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 n WBTPTA\WBTPTA\salaryRemodified\2024\"/>
    </mc:Choice>
  </mc:AlternateContent>
  <xr:revisionPtr revIDLastSave="0" documentId="13_ncr:1_{06EAC811-EBBF-4382-AF53-541DBC9AF841}" xr6:coauthVersionLast="47" xr6:coauthVersionMax="47" xr10:uidLastSave="{00000000-0000-0000-0000-000000000000}"/>
  <bookViews>
    <workbookView xWindow="-120" yWindow="-120" windowWidth="29040" windowHeight="15990" xr2:uid="{B91B874B-A1D6-4725-BB0E-3CBC380CDF40}"/>
  </bookViews>
  <sheets>
    <sheet name="Sheet2" sheetId="2" r:id="rId1"/>
    <sheet name="Sheet1" sheetId="1" r:id="rId2"/>
  </sheets>
  <definedNames>
    <definedName name="_xlnm._FilterDatabase" localSheetId="1" hidden="1">Sheet1!$A$1:$FJ$299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2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2" i="2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2" i="2"/>
  <c r="DQ174" i="1"/>
  <c r="DG174" i="1"/>
  <c r="CW174" i="1"/>
  <c r="CM174" i="1"/>
  <c r="CC174" i="1"/>
  <c r="BS174" i="1"/>
  <c r="BI174" i="1"/>
  <c r="AY174" i="1"/>
  <c r="AN174" i="1"/>
  <c r="AD174" i="1"/>
  <c r="T174" i="1"/>
  <c r="J174" i="1"/>
  <c r="EZ104" i="1"/>
  <c r="EE104" i="1"/>
  <c r="ED104" i="1"/>
  <c r="DQ104" i="1"/>
  <c r="DP104" i="1"/>
  <c r="DG104" i="1"/>
  <c r="DF104" i="1"/>
  <c r="CW104" i="1"/>
  <c r="CV104" i="1"/>
  <c r="CM104" i="1"/>
  <c r="CL104" i="1"/>
  <c r="CP104" i="1" s="1"/>
  <c r="CC104" i="1"/>
  <c r="CB104" i="1"/>
  <c r="BS104" i="1"/>
  <c r="BR104" i="1"/>
  <c r="BV104" i="1" s="1"/>
  <c r="BY104" i="1" s="1"/>
  <c r="BI104" i="1"/>
  <c r="BH104" i="1"/>
  <c r="AY104" i="1"/>
  <c r="AX104" i="1"/>
  <c r="AW104" i="1"/>
  <c r="AN104" i="1"/>
  <c r="AM104" i="1"/>
  <c r="AD104" i="1"/>
  <c r="AC104" i="1"/>
  <c r="T104" i="1"/>
  <c r="S104" i="1"/>
  <c r="J104" i="1"/>
  <c r="I104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2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V297" i="1"/>
  <c r="CV298" i="1"/>
  <c r="CV299" i="1"/>
  <c r="CV2" i="1"/>
  <c r="AC258" i="1"/>
  <c r="AD258" i="1"/>
  <c r="T258" i="1"/>
  <c r="S25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2" i="1"/>
  <c r="AQ104" i="1" l="1"/>
  <c r="CF104" i="1"/>
  <c r="DT104" i="1"/>
  <c r="DJ104" i="1"/>
  <c r="W104" i="1"/>
  <c r="BL104" i="1"/>
  <c r="AG104" i="1"/>
  <c r="M104" i="1"/>
  <c r="P104" i="1" s="1"/>
  <c r="Q104" i="1" s="1"/>
  <c r="BB104" i="1"/>
  <c r="BE104" i="1" s="1"/>
  <c r="BF104" i="1" s="1"/>
  <c r="EP104" i="1"/>
  <c r="EQ104" i="1" s="1"/>
  <c r="CZ104" i="1"/>
  <c r="DM104" i="1"/>
  <c r="DN104" i="1" s="1"/>
  <c r="Z104" i="1"/>
  <c r="AA104" i="1" s="1"/>
  <c r="DW104" i="1"/>
  <c r="AJ104" i="1"/>
  <c r="AK104" i="1" s="1"/>
  <c r="BO104" i="1"/>
  <c r="BP104" i="1" s="1"/>
  <c r="CS104" i="1"/>
  <c r="CT104" i="1" s="1"/>
  <c r="DC104" i="1"/>
  <c r="DD104" i="1" s="1"/>
  <c r="AT104" i="1"/>
  <c r="AU104" i="1" s="1"/>
  <c r="BZ104" i="1"/>
  <c r="CI104" i="1"/>
  <c r="CJ104" i="1" s="1"/>
  <c r="AG258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Z20" i="1"/>
  <c r="EZ21" i="1"/>
  <c r="EZ22" i="1"/>
  <c r="EZ23" i="1"/>
  <c r="EZ24" i="1"/>
  <c r="EZ25" i="1"/>
  <c r="EZ26" i="1"/>
  <c r="EZ27" i="1"/>
  <c r="EZ28" i="1"/>
  <c r="EZ29" i="1"/>
  <c r="EZ30" i="1"/>
  <c r="EZ31" i="1"/>
  <c r="EZ32" i="1"/>
  <c r="EZ33" i="1"/>
  <c r="EZ34" i="1"/>
  <c r="EZ35" i="1"/>
  <c r="EZ36" i="1"/>
  <c r="EZ37" i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EZ51" i="1"/>
  <c r="EZ52" i="1"/>
  <c r="EZ53" i="1"/>
  <c r="EZ54" i="1"/>
  <c r="EZ55" i="1"/>
  <c r="EZ56" i="1"/>
  <c r="EZ57" i="1"/>
  <c r="EZ58" i="1"/>
  <c r="EZ59" i="1"/>
  <c r="EZ60" i="1"/>
  <c r="EZ61" i="1"/>
  <c r="EZ62" i="1"/>
  <c r="EZ63" i="1"/>
  <c r="EZ64" i="1"/>
  <c r="EZ65" i="1"/>
  <c r="EZ66" i="1"/>
  <c r="EZ67" i="1"/>
  <c r="EZ68" i="1"/>
  <c r="EZ69" i="1"/>
  <c r="EZ70" i="1"/>
  <c r="EZ71" i="1"/>
  <c r="EZ72" i="1"/>
  <c r="EZ73" i="1"/>
  <c r="EZ74" i="1"/>
  <c r="EZ75" i="1"/>
  <c r="EZ76" i="1"/>
  <c r="EZ77" i="1"/>
  <c r="EZ78" i="1"/>
  <c r="EZ79" i="1"/>
  <c r="EZ80" i="1"/>
  <c r="EZ81" i="1"/>
  <c r="EZ82" i="1"/>
  <c r="EZ83" i="1"/>
  <c r="EZ84" i="1"/>
  <c r="EZ85" i="1"/>
  <c r="EZ86" i="1"/>
  <c r="EZ87" i="1"/>
  <c r="EZ88" i="1"/>
  <c r="EZ89" i="1"/>
  <c r="EZ90" i="1"/>
  <c r="EZ91" i="1"/>
  <c r="EZ92" i="1"/>
  <c r="EZ93" i="1"/>
  <c r="EZ94" i="1"/>
  <c r="EZ95" i="1"/>
  <c r="EZ96" i="1"/>
  <c r="EZ97" i="1"/>
  <c r="EZ98" i="1"/>
  <c r="EZ99" i="1"/>
  <c r="EZ100" i="1"/>
  <c r="EZ101" i="1"/>
  <c r="EZ102" i="1"/>
  <c r="EZ103" i="1"/>
  <c r="EZ105" i="1"/>
  <c r="EZ106" i="1"/>
  <c r="EZ107" i="1"/>
  <c r="EZ108" i="1"/>
  <c r="EZ109" i="1"/>
  <c r="EZ110" i="1"/>
  <c r="EZ111" i="1"/>
  <c r="EZ112" i="1"/>
  <c r="EZ113" i="1"/>
  <c r="EZ114" i="1"/>
  <c r="EZ115" i="1"/>
  <c r="EZ116" i="1"/>
  <c r="EZ117" i="1"/>
  <c r="EZ118" i="1"/>
  <c r="EZ119" i="1"/>
  <c r="EZ120" i="1"/>
  <c r="EZ121" i="1"/>
  <c r="EZ122" i="1"/>
  <c r="EZ123" i="1"/>
  <c r="EZ124" i="1"/>
  <c r="EZ125" i="1"/>
  <c r="EZ126" i="1"/>
  <c r="EZ127" i="1"/>
  <c r="EZ128" i="1"/>
  <c r="EZ129" i="1"/>
  <c r="EZ130" i="1"/>
  <c r="EZ131" i="1"/>
  <c r="EZ132" i="1"/>
  <c r="EZ133" i="1"/>
  <c r="EZ134" i="1"/>
  <c r="EZ135" i="1"/>
  <c r="EZ136" i="1"/>
  <c r="EZ137" i="1"/>
  <c r="EZ138" i="1"/>
  <c r="EZ139" i="1"/>
  <c r="EZ140" i="1"/>
  <c r="EZ141" i="1"/>
  <c r="EZ142" i="1"/>
  <c r="EZ143" i="1"/>
  <c r="EZ144" i="1"/>
  <c r="EZ145" i="1"/>
  <c r="EZ146" i="1"/>
  <c r="EZ147" i="1"/>
  <c r="EZ148" i="1"/>
  <c r="EZ149" i="1"/>
  <c r="EZ150" i="1"/>
  <c r="EZ151" i="1"/>
  <c r="EZ152" i="1"/>
  <c r="EZ153" i="1"/>
  <c r="EZ154" i="1"/>
  <c r="EZ155" i="1"/>
  <c r="EZ156" i="1"/>
  <c r="EZ157" i="1"/>
  <c r="EZ158" i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EZ171" i="1"/>
  <c r="EZ172" i="1"/>
  <c r="EZ173" i="1"/>
  <c r="EZ174" i="1"/>
  <c r="EZ175" i="1"/>
  <c r="EZ176" i="1"/>
  <c r="EZ177" i="1"/>
  <c r="EZ178" i="1"/>
  <c r="EZ179" i="1"/>
  <c r="EZ180" i="1"/>
  <c r="EZ181" i="1"/>
  <c r="EZ182" i="1"/>
  <c r="EZ183" i="1"/>
  <c r="EZ184" i="1"/>
  <c r="EZ185" i="1"/>
  <c r="EZ186" i="1"/>
  <c r="EZ187" i="1"/>
  <c r="EZ188" i="1"/>
  <c r="EZ189" i="1"/>
  <c r="EZ190" i="1"/>
  <c r="EZ191" i="1"/>
  <c r="EZ192" i="1"/>
  <c r="EZ193" i="1"/>
  <c r="EZ194" i="1"/>
  <c r="EZ195" i="1"/>
  <c r="EZ196" i="1"/>
  <c r="EZ197" i="1"/>
  <c r="EZ198" i="1"/>
  <c r="EZ199" i="1"/>
  <c r="EZ200" i="1"/>
  <c r="EZ201" i="1"/>
  <c r="EZ202" i="1"/>
  <c r="EZ203" i="1"/>
  <c r="EZ204" i="1"/>
  <c r="EZ205" i="1"/>
  <c r="EZ206" i="1"/>
  <c r="EZ207" i="1"/>
  <c r="EZ208" i="1"/>
  <c r="EZ209" i="1"/>
  <c r="EZ210" i="1"/>
  <c r="EZ211" i="1"/>
  <c r="EZ212" i="1"/>
  <c r="EZ213" i="1"/>
  <c r="EZ214" i="1"/>
  <c r="EZ215" i="1"/>
  <c r="EZ216" i="1"/>
  <c r="EZ217" i="1"/>
  <c r="EZ218" i="1"/>
  <c r="EZ219" i="1"/>
  <c r="EZ220" i="1"/>
  <c r="EZ221" i="1"/>
  <c r="EZ222" i="1"/>
  <c r="EZ223" i="1"/>
  <c r="EZ224" i="1"/>
  <c r="EZ225" i="1"/>
  <c r="EZ226" i="1"/>
  <c r="EZ227" i="1"/>
  <c r="EZ228" i="1"/>
  <c r="EZ229" i="1"/>
  <c r="EZ230" i="1"/>
  <c r="EZ231" i="1"/>
  <c r="EZ232" i="1"/>
  <c r="EZ233" i="1"/>
  <c r="EZ234" i="1"/>
  <c r="EZ235" i="1"/>
  <c r="EZ236" i="1"/>
  <c r="EZ237" i="1"/>
  <c r="EZ238" i="1"/>
  <c r="EZ239" i="1"/>
  <c r="EZ240" i="1"/>
  <c r="EZ241" i="1"/>
  <c r="EZ242" i="1"/>
  <c r="EZ243" i="1"/>
  <c r="EZ244" i="1"/>
  <c r="EZ245" i="1"/>
  <c r="EZ246" i="1"/>
  <c r="EZ247" i="1"/>
  <c r="EZ248" i="1"/>
  <c r="EZ249" i="1"/>
  <c r="EZ250" i="1"/>
  <c r="EZ251" i="1"/>
  <c r="EZ252" i="1"/>
  <c r="EZ253" i="1"/>
  <c r="EZ254" i="1"/>
  <c r="EZ255" i="1"/>
  <c r="EZ256" i="1"/>
  <c r="EZ257" i="1"/>
  <c r="EZ258" i="1"/>
  <c r="EZ259" i="1"/>
  <c r="EZ260" i="1"/>
  <c r="EZ261" i="1"/>
  <c r="EZ262" i="1"/>
  <c r="EZ263" i="1"/>
  <c r="EZ264" i="1"/>
  <c r="EZ265" i="1"/>
  <c r="EZ266" i="1"/>
  <c r="EZ267" i="1"/>
  <c r="EZ268" i="1"/>
  <c r="EZ269" i="1"/>
  <c r="EZ270" i="1"/>
  <c r="EZ271" i="1"/>
  <c r="EZ272" i="1"/>
  <c r="EZ273" i="1"/>
  <c r="EZ274" i="1"/>
  <c r="EZ275" i="1"/>
  <c r="EZ276" i="1"/>
  <c r="EZ277" i="1"/>
  <c r="EZ278" i="1"/>
  <c r="EZ279" i="1"/>
  <c r="EZ280" i="1"/>
  <c r="EZ281" i="1"/>
  <c r="EZ282" i="1"/>
  <c r="EZ283" i="1"/>
  <c r="EZ284" i="1"/>
  <c r="EZ285" i="1"/>
  <c r="EZ286" i="1"/>
  <c r="EZ287" i="1"/>
  <c r="EZ288" i="1"/>
  <c r="EZ289" i="1"/>
  <c r="EZ290" i="1"/>
  <c r="EZ291" i="1"/>
  <c r="EZ292" i="1"/>
  <c r="EZ293" i="1"/>
  <c r="EZ294" i="1"/>
  <c r="EZ295" i="1"/>
  <c r="EZ296" i="1"/>
  <c r="EZ297" i="1"/>
  <c r="EZ298" i="1"/>
  <c r="EZ299" i="1"/>
  <c r="EZ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102" i="1"/>
  <c r="EE103" i="1"/>
  <c r="EE105" i="1"/>
  <c r="EE106" i="1"/>
  <c r="EE107" i="1"/>
  <c r="EE108" i="1"/>
  <c r="EE109" i="1"/>
  <c r="EE110" i="1"/>
  <c r="EE111" i="1"/>
  <c r="EE112" i="1"/>
  <c r="EE113" i="1"/>
  <c r="EE114" i="1"/>
  <c r="EE115" i="1"/>
  <c r="EE116" i="1"/>
  <c r="EE117" i="1"/>
  <c r="EE118" i="1"/>
  <c r="EE119" i="1"/>
  <c r="EE120" i="1"/>
  <c r="EE121" i="1"/>
  <c r="EE122" i="1"/>
  <c r="EE123" i="1"/>
  <c r="EE124" i="1"/>
  <c r="EE125" i="1"/>
  <c r="EE126" i="1"/>
  <c r="EE127" i="1"/>
  <c r="EE128" i="1"/>
  <c r="EE129" i="1"/>
  <c r="EE130" i="1"/>
  <c r="EE131" i="1"/>
  <c r="EE132" i="1"/>
  <c r="EE133" i="1"/>
  <c r="EE134" i="1"/>
  <c r="EE135" i="1"/>
  <c r="EE136" i="1"/>
  <c r="EE137" i="1"/>
  <c r="EE138" i="1"/>
  <c r="EE139" i="1"/>
  <c r="EE140" i="1"/>
  <c r="EE141" i="1"/>
  <c r="EE142" i="1"/>
  <c r="EE143" i="1"/>
  <c r="EE144" i="1"/>
  <c r="EE145" i="1"/>
  <c r="EE146" i="1"/>
  <c r="EE147" i="1"/>
  <c r="EE148" i="1"/>
  <c r="EE149" i="1"/>
  <c r="EE150" i="1"/>
  <c r="EE151" i="1"/>
  <c r="EE152" i="1"/>
  <c r="EE153" i="1"/>
  <c r="EE154" i="1"/>
  <c r="EE155" i="1"/>
  <c r="EE156" i="1"/>
  <c r="EE157" i="1"/>
  <c r="EE158" i="1"/>
  <c r="EE159" i="1"/>
  <c r="EE160" i="1"/>
  <c r="EE161" i="1"/>
  <c r="EE162" i="1"/>
  <c r="EE163" i="1"/>
  <c r="EE164" i="1"/>
  <c r="EE165" i="1"/>
  <c r="EE166" i="1"/>
  <c r="EE167" i="1"/>
  <c r="EE168" i="1"/>
  <c r="EE169" i="1"/>
  <c r="EE170" i="1"/>
  <c r="EE171" i="1"/>
  <c r="EE172" i="1"/>
  <c r="EE173" i="1"/>
  <c r="EE174" i="1"/>
  <c r="EE175" i="1"/>
  <c r="EE176" i="1"/>
  <c r="EE177" i="1"/>
  <c r="EE178" i="1"/>
  <c r="EE179" i="1"/>
  <c r="EE180" i="1"/>
  <c r="EE181" i="1"/>
  <c r="EE182" i="1"/>
  <c r="EE183" i="1"/>
  <c r="EE184" i="1"/>
  <c r="EE185" i="1"/>
  <c r="EE186" i="1"/>
  <c r="EE187" i="1"/>
  <c r="EE188" i="1"/>
  <c r="EE189" i="1"/>
  <c r="EE190" i="1"/>
  <c r="EE191" i="1"/>
  <c r="EE192" i="1"/>
  <c r="EE193" i="1"/>
  <c r="EE194" i="1"/>
  <c r="EE195" i="1"/>
  <c r="EE196" i="1"/>
  <c r="EE197" i="1"/>
  <c r="EE198" i="1"/>
  <c r="EE199" i="1"/>
  <c r="EE200" i="1"/>
  <c r="EE201" i="1"/>
  <c r="EE202" i="1"/>
  <c r="EE203" i="1"/>
  <c r="EE204" i="1"/>
  <c r="EE205" i="1"/>
  <c r="EE206" i="1"/>
  <c r="EE207" i="1"/>
  <c r="EE208" i="1"/>
  <c r="EE209" i="1"/>
  <c r="EE210" i="1"/>
  <c r="EE211" i="1"/>
  <c r="EE212" i="1"/>
  <c r="EE213" i="1"/>
  <c r="EE214" i="1"/>
  <c r="EE215" i="1"/>
  <c r="EE216" i="1"/>
  <c r="EE217" i="1"/>
  <c r="EE218" i="1"/>
  <c r="EE219" i="1"/>
  <c r="EE220" i="1"/>
  <c r="EE221" i="1"/>
  <c r="EE222" i="1"/>
  <c r="EE223" i="1"/>
  <c r="EE224" i="1"/>
  <c r="EE225" i="1"/>
  <c r="EE226" i="1"/>
  <c r="EE227" i="1"/>
  <c r="EE228" i="1"/>
  <c r="EE229" i="1"/>
  <c r="EE230" i="1"/>
  <c r="EE231" i="1"/>
  <c r="EE232" i="1"/>
  <c r="EE233" i="1"/>
  <c r="EE234" i="1"/>
  <c r="EE235" i="1"/>
  <c r="EE236" i="1"/>
  <c r="EE237" i="1"/>
  <c r="EE238" i="1"/>
  <c r="EE239" i="1"/>
  <c r="EE240" i="1"/>
  <c r="EE241" i="1"/>
  <c r="EE242" i="1"/>
  <c r="EE243" i="1"/>
  <c r="EE244" i="1"/>
  <c r="EE245" i="1"/>
  <c r="EE246" i="1"/>
  <c r="EE247" i="1"/>
  <c r="EE248" i="1"/>
  <c r="EE249" i="1"/>
  <c r="EE250" i="1"/>
  <c r="EE251" i="1"/>
  <c r="EE252" i="1"/>
  <c r="EE253" i="1"/>
  <c r="EE254" i="1"/>
  <c r="EE255" i="1"/>
  <c r="EE256" i="1"/>
  <c r="EE257" i="1"/>
  <c r="EE258" i="1"/>
  <c r="EE259" i="1"/>
  <c r="EE260" i="1"/>
  <c r="EE261" i="1"/>
  <c r="EE262" i="1"/>
  <c r="EE263" i="1"/>
  <c r="EE264" i="1"/>
  <c r="EE265" i="1"/>
  <c r="EE266" i="1"/>
  <c r="EE267" i="1"/>
  <c r="EE268" i="1"/>
  <c r="EE269" i="1"/>
  <c r="EE270" i="1"/>
  <c r="EE271" i="1"/>
  <c r="EE272" i="1"/>
  <c r="EE273" i="1"/>
  <c r="EE274" i="1"/>
  <c r="EE275" i="1"/>
  <c r="EE276" i="1"/>
  <c r="EE277" i="1"/>
  <c r="EE278" i="1"/>
  <c r="EE279" i="1"/>
  <c r="EE280" i="1"/>
  <c r="EE281" i="1"/>
  <c r="EE282" i="1"/>
  <c r="EE283" i="1"/>
  <c r="EE284" i="1"/>
  <c r="EE285" i="1"/>
  <c r="EE286" i="1"/>
  <c r="EE287" i="1"/>
  <c r="EE288" i="1"/>
  <c r="EE289" i="1"/>
  <c r="EE290" i="1"/>
  <c r="EE291" i="1"/>
  <c r="EE292" i="1"/>
  <c r="EE293" i="1"/>
  <c r="EE294" i="1"/>
  <c r="EE295" i="1"/>
  <c r="EE296" i="1"/>
  <c r="EE297" i="1"/>
  <c r="EE298" i="1"/>
  <c r="EE299" i="1"/>
  <c r="EE2" i="1"/>
  <c r="ED3" i="1"/>
  <c r="ED4" i="1"/>
  <c r="ED5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62" i="1"/>
  <c r="ED63" i="1"/>
  <c r="ED64" i="1"/>
  <c r="ED65" i="1"/>
  <c r="ED66" i="1"/>
  <c r="ED67" i="1"/>
  <c r="ED68" i="1"/>
  <c r="ED69" i="1"/>
  <c r="ED70" i="1"/>
  <c r="ED71" i="1"/>
  <c r="ED72" i="1"/>
  <c r="ED73" i="1"/>
  <c r="ED74" i="1"/>
  <c r="ED75" i="1"/>
  <c r="ED76" i="1"/>
  <c r="ED77" i="1"/>
  <c r="ED78" i="1"/>
  <c r="ED79" i="1"/>
  <c r="ED80" i="1"/>
  <c r="ED81" i="1"/>
  <c r="ED82" i="1"/>
  <c r="ED83" i="1"/>
  <c r="ED84" i="1"/>
  <c r="ED85" i="1"/>
  <c r="ED86" i="1"/>
  <c r="ED87" i="1"/>
  <c r="ED88" i="1"/>
  <c r="ED89" i="1"/>
  <c r="ED90" i="1"/>
  <c r="ED91" i="1"/>
  <c r="ED92" i="1"/>
  <c r="ED93" i="1"/>
  <c r="ED94" i="1"/>
  <c r="ED95" i="1"/>
  <c r="ED96" i="1"/>
  <c r="ED97" i="1"/>
  <c r="ED98" i="1"/>
  <c r="ED99" i="1"/>
  <c r="ED100" i="1"/>
  <c r="ED101" i="1"/>
  <c r="ED102" i="1"/>
  <c r="ED103" i="1"/>
  <c r="ED105" i="1"/>
  <c r="ED106" i="1"/>
  <c r="ED107" i="1"/>
  <c r="ED108" i="1"/>
  <c r="ED109" i="1"/>
  <c r="ED110" i="1"/>
  <c r="ED111" i="1"/>
  <c r="ED112" i="1"/>
  <c r="ED113" i="1"/>
  <c r="ED114" i="1"/>
  <c r="ED115" i="1"/>
  <c r="ED116" i="1"/>
  <c r="ED117" i="1"/>
  <c r="ED118" i="1"/>
  <c r="ED119" i="1"/>
  <c r="ED120" i="1"/>
  <c r="ED121" i="1"/>
  <c r="ED122" i="1"/>
  <c r="ED123" i="1"/>
  <c r="ED124" i="1"/>
  <c r="ED125" i="1"/>
  <c r="ED126" i="1"/>
  <c r="ED127" i="1"/>
  <c r="ED128" i="1"/>
  <c r="ED129" i="1"/>
  <c r="ED130" i="1"/>
  <c r="ED131" i="1"/>
  <c r="ED132" i="1"/>
  <c r="ED133" i="1"/>
  <c r="ED134" i="1"/>
  <c r="ED135" i="1"/>
  <c r="ED136" i="1"/>
  <c r="ED137" i="1"/>
  <c r="ED138" i="1"/>
  <c r="ED139" i="1"/>
  <c r="ED140" i="1"/>
  <c r="ED141" i="1"/>
  <c r="ED142" i="1"/>
  <c r="ED143" i="1"/>
  <c r="ED144" i="1"/>
  <c r="ED145" i="1"/>
  <c r="ED146" i="1"/>
  <c r="ED147" i="1"/>
  <c r="ED148" i="1"/>
  <c r="ED149" i="1"/>
  <c r="ED150" i="1"/>
  <c r="ED151" i="1"/>
  <c r="ED152" i="1"/>
  <c r="ED153" i="1"/>
  <c r="ED154" i="1"/>
  <c r="ED155" i="1"/>
  <c r="ED156" i="1"/>
  <c r="ED157" i="1"/>
  <c r="ED158" i="1"/>
  <c r="ED159" i="1"/>
  <c r="ED160" i="1"/>
  <c r="ED161" i="1"/>
  <c r="ED162" i="1"/>
  <c r="ED163" i="1"/>
  <c r="ED164" i="1"/>
  <c r="ED165" i="1"/>
  <c r="ED166" i="1"/>
  <c r="ED167" i="1"/>
  <c r="ED168" i="1"/>
  <c r="ED169" i="1"/>
  <c r="ED170" i="1"/>
  <c r="ED171" i="1"/>
  <c r="ED172" i="1"/>
  <c r="ED173" i="1"/>
  <c r="ED174" i="1"/>
  <c r="ED175" i="1"/>
  <c r="ED176" i="1"/>
  <c r="ED177" i="1"/>
  <c r="ED178" i="1"/>
  <c r="ED179" i="1"/>
  <c r="ED180" i="1"/>
  <c r="ED181" i="1"/>
  <c r="ED182" i="1"/>
  <c r="ED183" i="1"/>
  <c r="ED184" i="1"/>
  <c r="ED185" i="1"/>
  <c r="ED186" i="1"/>
  <c r="ED187" i="1"/>
  <c r="ED188" i="1"/>
  <c r="ED189" i="1"/>
  <c r="ED190" i="1"/>
  <c r="ED191" i="1"/>
  <c r="ED192" i="1"/>
  <c r="ED193" i="1"/>
  <c r="ED194" i="1"/>
  <c r="ED195" i="1"/>
  <c r="ED196" i="1"/>
  <c r="ED197" i="1"/>
  <c r="ED198" i="1"/>
  <c r="ED199" i="1"/>
  <c r="ED200" i="1"/>
  <c r="ED201" i="1"/>
  <c r="ED202" i="1"/>
  <c r="ED203" i="1"/>
  <c r="ED204" i="1"/>
  <c r="ED205" i="1"/>
  <c r="ED206" i="1"/>
  <c r="ED207" i="1"/>
  <c r="ED208" i="1"/>
  <c r="ED209" i="1"/>
  <c r="ED210" i="1"/>
  <c r="ED211" i="1"/>
  <c r="ED212" i="1"/>
  <c r="ED213" i="1"/>
  <c r="ED214" i="1"/>
  <c r="ED215" i="1"/>
  <c r="ED216" i="1"/>
  <c r="ED217" i="1"/>
  <c r="ED218" i="1"/>
  <c r="ED219" i="1"/>
  <c r="ED220" i="1"/>
  <c r="ED221" i="1"/>
  <c r="ED222" i="1"/>
  <c r="ED223" i="1"/>
  <c r="ED224" i="1"/>
  <c r="ED225" i="1"/>
  <c r="ED226" i="1"/>
  <c r="ED227" i="1"/>
  <c r="ED228" i="1"/>
  <c r="ED229" i="1"/>
  <c r="ED230" i="1"/>
  <c r="ED231" i="1"/>
  <c r="ED232" i="1"/>
  <c r="ED233" i="1"/>
  <c r="ED234" i="1"/>
  <c r="ED235" i="1"/>
  <c r="ED236" i="1"/>
  <c r="ED237" i="1"/>
  <c r="ED238" i="1"/>
  <c r="ED239" i="1"/>
  <c r="ED240" i="1"/>
  <c r="ED241" i="1"/>
  <c r="ED242" i="1"/>
  <c r="ED243" i="1"/>
  <c r="ED244" i="1"/>
  <c r="ED245" i="1"/>
  <c r="ED246" i="1"/>
  <c r="ED247" i="1"/>
  <c r="ED248" i="1"/>
  <c r="ED249" i="1"/>
  <c r="ED250" i="1"/>
  <c r="ED251" i="1"/>
  <c r="ED252" i="1"/>
  <c r="ED253" i="1"/>
  <c r="ED254" i="1"/>
  <c r="ED255" i="1"/>
  <c r="ED256" i="1"/>
  <c r="ED257" i="1"/>
  <c r="ED258" i="1"/>
  <c r="ED259" i="1"/>
  <c r="ED260" i="1"/>
  <c r="ED261" i="1"/>
  <c r="ED262" i="1"/>
  <c r="ED263" i="1"/>
  <c r="ED264" i="1"/>
  <c r="ED265" i="1"/>
  <c r="ED266" i="1"/>
  <c r="ED267" i="1"/>
  <c r="ED268" i="1"/>
  <c r="ED269" i="1"/>
  <c r="ED270" i="1"/>
  <c r="ED271" i="1"/>
  <c r="ED272" i="1"/>
  <c r="ED273" i="1"/>
  <c r="ED274" i="1"/>
  <c r="ED275" i="1"/>
  <c r="ED276" i="1"/>
  <c r="ED277" i="1"/>
  <c r="ED278" i="1"/>
  <c r="ED279" i="1"/>
  <c r="ED280" i="1"/>
  <c r="ED281" i="1"/>
  <c r="ED282" i="1"/>
  <c r="ED283" i="1"/>
  <c r="ED284" i="1"/>
  <c r="ED285" i="1"/>
  <c r="ED286" i="1"/>
  <c r="ED287" i="1"/>
  <c r="ED288" i="1"/>
  <c r="ED289" i="1"/>
  <c r="ED290" i="1"/>
  <c r="ED291" i="1"/>
  <c r="ED292" i="1"/>
  <c r="ED293" i="1"/>
  <c r="ED294" i="1"/>
  <c r="ED295" i="1"/>
  <c r="ED296" i="1"/>
  <c r="ED297" i="1"/>
  <c r="ED298" i="1"/>
  <c r="ED299" i="1"/>
  <c r="ED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2" i="1"/>
  <c r="DW4" i="1"/>
  <c r="DW61" i="1"/>
  <c r="DW137" i="1"/>
  <c r="DW146" i="1"/>
  <c r="DW193" i="1"/>
  <c r="DW199" i="1"/>
  <c r="DP3" i="1"/>
  <c r="DQ3" i="1"/>
  <c r="DP4" i="1"/>
  <c r="DQ4" i="1"/>
  <c r="DP5" i="1"/>
  <c r="DQ5" i="1"/>
  <c r="DP6" i="1"/>
  <c r="DQ6" i="1"/>
  <c r="DP7" i="1"/>
  <c r="DQ7" i="1"/>
  <c r="DP8" i="1"/>
  <c r="DQ8" i="1"/>
  <c r="DP9" i="1"/>
  <c r="DQ9" i="1"/>
  <c r="DP10" i="1"/>
  <c r="DQ10" i="1"/>
  <c r="DP11" i="1"/>
  <c r="DQ11" i="1"/>
  <c r="DP12" i="1"/>
  <c r="DQ12" i="1"/>
  <c r="DP13" i="1"/>
  <c r="DQ13" i="1"/>
  <c r="DP14" i="1"/>
  <c r="DQ14" i="1"/>
  <c r="DP15" i="1"/>
  <c r="DQ15" i="1"/>
  <c r="DP16" i="1"/>
  <c r="DQ16" i="1"/>
  <c r="DP17" i="1"/>
  <c r="DQ17" i="1"/>
  <c r="DP18" i="1"/>
  <c r="DQ18" i="1"/>
  <c r="DP19" i="1"/>
  <c r="DQ19" i="1"/>
  <c r="DP20" i="1"/>
  <c r="DQ20" i="1"/>
  <c r="DP21" i="1"/>
  <c r="DQ21" i="1"/>
  <c r="DP22" i="1"/>
  <c r="DQ22" i="1"/>
  <c r="DP23" i="1"/>
  <c r="DQ23" i="1"/>
  <c r="DP24" i="1"/>
  <c r="DQ24" i="1"/>
  <c r="DP25" i="1"/>
  <c r="DQ25" i="1"/>
  <c r="DP26" i="1"/>
  <c r="DQ26" i="1"/>
  <c r="DP27" i="1"/>
  <c r="DQ27" i="1"/>
  <c r="DP28" i="1"/>
  <c r="DQ28" i="1"/>
  <c r="DP29" i="1"/>
  <c r="DQ29" i="1"/>
  <c r="DP30" i="1"/>
  <c r="DQ30" i="1"/>
  <c r="DP31" i="1"/>
  <c r="DQ31" i="1"/>
  <c r="DP32" i="1"/>
  <c r="DQ32" i="1"/>
  <c r="DP33" i="1"/>
  <c r="DQ33" i="1"/>
  <c r="DP34" i="1"/>
  <c r="DQ34" i="1"/>
  <c r="DP35" i="1"/>
  <c r="DQ35" i="1"/>
  <c r="DP36" i="1"/>
  <c r="DQ36" i="1"/>
  <c r="DP37" i="1"/>
  <c r="DQ37" i="1"/>
  <c r="DP38" i="1"/>
  <c r="DQ38" i="1"/>
  <c r="DP39" i="1"/>
  <c r="DQ39" i="1"/>
  <c r="DP40" i="1"/>
  <c r="DQ40" i="1"/>
  <c r="DP41" i="1"/>
  <c r="DQ41" i="1"/>
  <c r="DP42" i="1"/>
  <c r="DQ42" i="1"/>
  <c r="DP43" i="1"/>
  <c r="DQ43" i="1"/>
  <c r="DP44" i="1"/>
  <c r="DQ44" i="1"/>
  <c r="DP45" i="1"/>
  <c r="DQ45" i="1"/>
  <c r="DP46" i="1"/>
  <c r="DQ46" i="1"/>
  <c r="DP47" i="1"/>
  <c r="DQ47" i="1"/>
  <c r="DP48" i="1"/>
  <c r="DQ48" i="1"/>
  <c r="DP49" i="1"/>
  <c r="DQ49" i="1"/>
  <c r="DP50" i="1"/>
  <c r="DQ50" i="1"/>
  <c r="DP51" i="1"/>
  <c r="DQ51" i="1"/>
  <c r="DP52" i="1"/>
  <c r="DQ52" i="1"/>
  <c r="DP53" i="1"/>
  <c r="DQ53" i="1"/>
  <c r="DP54" i="1"/>
  <c r="DQ54" i="1"/>
  <c r="DP55" i="1"/>
  <c r="DQ55" i="1"/>
  <c r="DP56" i="1"/>
  <c r="DQ56" i="1"/>
  <c r="DP57" i="1"/>
  <c r="DQ57" i="1"/>
  <c r="DP58" i="1"/>
  <c r="DQ58" i="1"/>
  <c r="DP59" i="1"/>
  <c r="DQ59" i="1"/>
  <c r="DP60" i="1"/>
  <c r="DQ60" i="1"/>
  <c r="DP61" i="1"/>
  <c r="DQ61" i="1"/>
  <c r="DP62" i="1"/>
  <c r="DQ62" i="1"/>
  <c r="DP63" i="1"/>
  <c r="DQ63" i="1"/>
  <c r="DP64" i="1"/>
  <c r="DQ64" i="1"/>
  <c r="DP65" i="1"/>
  <c r="DQ65" i="1"/>
  <c r="DP66" i="1"/>
  <c r="DQ66" i="1"/>
  <c r="DP67" i="1"/>
  <c r="DQ67" i="1"/>
  <c r="DP68" i="1"/>
  <c r="DQ68" i="1"/>
  <c r="DP69" i="1"/>
  <c r="DQ69" i="1"/>
  <c r="DP70" i="1"/>
  <c r="DQ70" i="1"/>
  <c r="DP71" i="1"/>
  <c r="DQ71" i="1"/>
  <c r="DP72" i="1"/>
  <c r="DQ72" i="1"/>
  <c r="DP73" i="1"/>
  <c r="DQ73" i="1"/>
  <c r="DP74" i="1"/>
  <c r="DQ74" i="1"/>
  <c r="DP75" i="1"/>
  <c r="DQ75" i="1"/>
  <c r="DP76" i="1"/>
  <c r="DQ76" i="1"/>
  <c r="DP77" i="1"/>
  <c r="DQ77" i="1"/>
  <c r="DP78" i="1"/>
  <c r="DQ78" i="1"/>
  <c r="DP79" i="1"/>
  <c r="DQ79" i="1"/>
  <c r="DP80" i="1"/>
  <c r="DQ80" i="1"/>
  <c r="DP81" i="1"/>
  <c r="DQ81" i="1"/>
  <c r="DP82" i="1"/>
  <c r="DQ82" i="1"/>
  <c r="DP83" i="1"/>
  <c r="DQ83" i="1"/>
  <c r="DP84" i="1"/>
  <c r="DQ84" i="1"/>
  <c r="DP85" i="1"/>
  <c r="DQ85" i="1"/>
  <c r="DP86" i="1"/>
  <c r="DQ86" i="1"/>
  <c r="DP87" i="1"/>
  <c r="DQ87" i="1"/>
  <c r="DP88" i="1"/>
  <c r="DQ88" i="1"/>
  <c r="DP89" i="1"/>
  <c r="DQ89" i="1"/>
  <c r="DP90" i="1"/>
  <c r="DQ90" i="1"/>
  <c r="DP91" i="1"/>
  <c r="DQ91" i="1"/>
  <c r="DP92" i="1"/>
  <c r="DQ92" i="1"/>
  <c r="DP93" i="1"/>
  <c r="DQ93" i="1"/>
  <c r="DP94" i="1"/>
  <c r="DQ94" i="1"/>
  <c r="DP95" i="1"/>
  <c r="DQ95" i="1"/>
  <c r="DP96" i="1"/>
  <c r="DQ96" i="1"/>
  <c r="DP97" i="1"/>
  <c r="DQ97" i="1"/>
  <c r="DP98" i="1"/>
  <c r="DQ98" i="1"/>
  <c r="DP99" i="1"/>
  <c r="DQ99" i="1"/>
  <c r="DP100" i="1"/>
  <c r="DQ100" i="1"/>
  <c r="DP101" i="1"/>
  <c r="DQ101" i="1"/>
  <c r="DP102" i="1"/>
  <c r="DQ102" i="1"/>
  <c r="DP103" i="1"/>
  <c r="DQ103" i="1"/>
  <c r="DP105" i="1"/>
  <c r="DQ105" i="1"/>
  <c r="DP106" i="1"/>
  <c r="DQ106" i="1"/>
  <c r="DP107" i="1"/>
  <c r="DQ107" i="1"/>
  <c r="DP108" i="1"/>
  <c r="DQ108" i="1"/>
  <c r="DP109" i="1"/>
  <c r="DQ109" i="1"/>
  <c r="DP110" i="1"/>
  <c r="DQ110" i="1"/>
  <c r="DP111" i="1"/>
  <c r="DQ111" i="1"/>
  <c r="DP112" i="1"/>
  <c r="DQ112" i="1"/>
  <c r="DP113" i="1"/>
  <c r="DQ113" i="1"/>
  <c r="DP114" i="1"/>
  <c r="DQ114" i="1"/>
  <c r="DP115" i="1"/>
  <c r="DQ115" i="1"/>
  <c r="DP116" i="1"/>
  <c r="DQ116" i="1"/>
  <c r="DP117" i="1"/>
  <c r="DQ117" i="1"/>
  <c r="DP118" i="1"/>
  <c r="DQ118" i="1"/>
  <c r="DP119" i="1"/>
  <c r="DQ119" i="1"/>
  <c r="DP120" i="1"/>
  <c r="DQ120" i="1"/>
  <c r="DP121" i="1"/>
  <c r="DQ121" i="1"/>
  <c r="DP122" i="1"/>
  <c r="DQ122" i="1"/>
  <c r="DP123" i="1"/>
  <c r="DQ123" i="1"/>
  <c r="DP124" i="1"/>
  <c r="DQ124" i="1"/>
  <c r="DP125" i="1"/>
  <c r="DQ125" i="1"/>
  <c r="DP126" i="1"/>
  <c r="DQ126" i="1"/>
  <c r="DP127" i="1"/>
  <c r="DQ127" i="1"/>
  <c r="DP128" i="1"/>
  <c r="DQ128" i="1"/>
  <c r="DP129" i="1"/>
  <c r="DQ129" i="1"/>
  <c r="DP130" i="1"/>
  <c r="DQ130" i="1"/>
  <c r="DP131" i="1"/>
  <c r="DQ131" i="1"/>
  <c r="DP132" i="1"/>
  <c r="DQ132" i="1"/>
  <c r="DP133" i="1"/>
  <c r="DQ133" i="1"/>
  <c r="DP134" i="1"/>
  <c r="DQ134" i="1"/>
  <c r="DP135" i="1"/>
  <c r="DQ135" i="1"/>
  <c r="DP136" i="1"/>
  <c r="DQ136" i="1"/>
  <c r="DP137" i="1"/>
  <c r="DQ137" i="1"/>
  <c r="DP138" i="1"/>
  <c r="DQ138" i="1"/>
  <c r="DP139" i="1"/>
  <c r="DQ139" i="1"/>
  <c r="DP140" i="1"/>
  <c r="DQ140" i="1"/>
  <c r="DP141" i="1"/>
  <c r="DQ141" i="1"/>
  <c r="DP142" i="1"/>
  <c r="DQ142" i="1"/>
  <c r="DP143" i="1"/>
  <c r="DQ143" i="1"/>
  <c r="DP144" i="1"/>
  <c r="DQ144" i="1"/>
  <c r="DP145" i="1"/>
  <c r="DQ145" i="1"/>
  <c r="DP146" i="1"/>
  <c r="DQ146" i="1"/>
  <c r="DP147" i="1"/>
  <c r="DQ147" i="1"/>
  <c r="DP148" i="1"/>
  <c r="DQ148" i="1"/>
  <c r="DP149" i="1"/>
  <c r="DQ149" i="1"/>
  <c r="DP150" i="1"/>
  <c r="DQ150" i="1"/>
  <c r="DP151" i="1"/>
  <c r="DQ151" i="1"/>
  <c r="DP152" i="1"/>
  <c r="DQ152" i="1"/>
  <c r="DP153" i="1"/>
  <c r="DQ153" i="1"/>
  <c r="DP154" i="1"/>
  <c r="DQ154" i="1"/>
  <c r="DP155" i="1"/>
  <c r="DQ155" i="1"/>
  <c r="DP156" i="1"/>
  <c r="DQ156" i="1"/>
  <c r="DP157" i="1"/>
  <c r="DQ157" i="1"/>
  <c r="DP158" i="1"/>
  <c r="DQ158" i="1"/>
  <c r="DP159" i="1"/>
  <c r="DQ159" i="1"/>
  <c r="DP160" i="1"/>
  <c r="DQ160" i="1"/>
  <c r="DP161" i="1"/>
  <c r="DQ161" i="1"/>
  <c r="DP162" i="1"/>
  <c r="DQ162" i="1"/>
  <c r="DP163" i="1"/>
  <c r="DQ163" i="1"/>
  <c r="DP164" i="1"/>
  <c r="DQ164" i="1"/>
  <c r="DP165" i="1"/>
  <c r="DQ165" i="1"/>
  <c r="DP166" i="1"/>
  <c r="DQ166" i="1"/>
  <c r="DP167" i="1"/>
  <c r="DQ167" i="1"/>
  <c r="DP168" i="1"/>
  <c r="DQ168" i="1"/>
  <c r="DP169" i="1"/>
  <c r="DQ169" i="1"/>
  <c r="DP170" i="1"/>
  <c r="DQ170" i="1"/>
  <c r="DP171" i="1"/>
  <c r="DQ171" i="1"/>
  <c r="DP172" i="1"/>
  <c r="DQ172" i="1"/>
  <c r="DP173" i="1"/>
  <c r="DQ173" i="1"/>
  <c r="DP174" i="1"/>
  <c r="DP175" i="1"/>
  <c r="DQ175" i="1"/>
  <c r="DP176" i="1"/>
  <c r="DQ176" i="1"/>
  <c r="DP177" i="1"/>
  <c r="DQ177" i="1"/>
  <c r="DP178" i="1"/>
  <c r="DQ178" i="1"/>
  <c r="DP179" i="1"/>
  <c r="DQ179" i="1"/>
  <c r="DP180" i="1"/>
  <c r="DQ180" i="1"/>
  <c r="DP181" i="1"/>
  <c r="DQ181" i="1"/>
  <c r="DP182" i="1"/>
  <c r="DQ182" i="1"/>
  <c r="DP183" i="1"/>
  <c r="DQ183" i="1"/>
  <c r="DP184" i="1"/>
  <c r="DQ184" i="1"/>
  <c r="DP185" i="1"/>
  <c r="DQ185" i="1"/>
  <c r="DP186" i="1"/>
  <c r="DQ186" i="1"/>
  <c r="DP187" i="1"/>
  <c r="DQ187" i="1"/>
  <c r="DP188" i="1"/>
  <c r="DQ188" i="1"/>
  <c r="DP189" i="1"/>
  <c r="DQ189" i="1"/>
  <c r="DP190" i="1"/>
  <c r="DQ190" i="1"/>
  <c r="DP191" i="1"/>
  <c r="DQ191" i="1"/>
  <c r="DP192" i="1"/>
  <c r="DQ192" i="1"/>
  <c r="DP193" i="1"/>
  <c r="DQ193" i="1"/>
  <c r="DP194" i="1"/>
  <c r="DQ194" i="1"/>
  <c r="DP195" i="1"/>
  <c r="DQ195" i="1"/>
  <c r="DP196" i="1"/>
  <c r="DQ196" i="1"/>
  <c r="DP197" i="1"/>
  <c r="DQ197" i="1"/>
  <c r="DP198" i="1"/>
  <c r="DQ198" i="1"/>
  <c r="DP199" i="1"/>
  <c r="DQ199" i="1"/>
  <c r="DP200" i="1"/>
  <c r="DQ200" i="1"/>
  <c r="DP201" i="1"/>
  <c r="DQ201" i="1"/>
  <c r="DP202" i="1"/>
  <c r="DQ202" i="1"/>
  <c r="DP203" i="1"/>
  <c r="DQ203" i="1"/>
  <c r="DP204" i="1"/>
  <c r="DQ204" i="1"/>
  <c r="DP205" i="1"/>
  <c r="DQ205" i="1"/>
  <c r="DP206" i="1"/>
  <c r="DQ206" i="1"/>
  <c r="DP207" i="1"/>
  <c r="DQ207" i="1"/>
  <c r="DP208" i="1"/>
  <c r="DQ208" i="1"/>
  <c r="DP209" i="1"/>
  <c r="DQ209" i="1"/>
  <c r="DP210" i="1"/>
  <c r="DQ210" i="1"/>
  <c r="DP211" i="1"/>
  <c r="DQ211" i="1"/>
  <c r="DP212" i="1"/>
  <c r="DQ212" i="1"/>
  <c r="DP213" i="1"/>
  <c r="DQ213" i="1"/>
  <c r="DP214" i="1"/>
  <c r="DQ214" i="1"/>
  <c r="DP215" i="1"/>
  <c r="DQ215" i="1"/>
  <c r="DP216" i="1"/>
  <c r="DQ216" i="1"/>
  <c r="DP217" i="1"/>
  <c r="DQ217" i="1"/>
  <c r="DP218" i="1"/>
  <c r="DQ218" i="1"/>
  <c r="DP219" i="1"/>
  <c r="DQ219" i="1"/>
  <c r="DP220" i="1"/>
  <c r="DQ220" i="1"/>
  <c r="DP221" i="1"/>
  <c r="DQ221" i="1"/>
  <c r="DP222" i="1"/>
  <c r="DQ222" i="1"/>
  <c r="DP223" i="1"/>
  <c r="DQ223" i="1"/>
  <c r="DP224" i="1"/>
  <c r="DQ224" i="1"/>
  <c r="DP225" i="1"/>
  <c r="DQ225" i="1"/>
  <c r="DP226" i="1"/>
  <c r="DQ226" i="1"/>
  <c r="DP227" i="1"/>
  <c r="DQ227" i="1"/>
  <c r="DP228" i="1"/>
  <c r="DQ228" i="1"/>
  <c r="DP229" i="1"/>
  <c r="DQ229" i="1"/>
  <c r="DP230" i="1"/>
  <c r="DQ230" i="1"/>
  <c r="DP231" i="1"/>
  <c r="DQ231" i="1"/>
  <c r="DP232" i="1"/>
  <c r="DQ232" i="1"/>
  <c r="DP233" i="1"/>
  <c r="DQ233" i="1"/>
  <c r="DP234" i="1"/>
  <c r="DQ234" i="1"/>
  <c r="DP235" i="1"/>
  <c r="DQ235" i="1"/>
  <c r="DP236" i="1"/>
  <c r="DQ236" i="1"/>
  <c r="DP237" i="1"/>
  <c r="DQ237" i="1"/>
  <c r="DP238" i="1"/>
  <c r="DQ238" i="1"/>
  <c r="DP239" i="1"/>
  <c r="DQ239" i="1"/>
  <c r="DP240" i="1"/>
  <c r="DQ240" i="1"/>
  <c r="DP241" i="1"/>
  <c r="DQ241" i="1"/>
  <c r="DP242" i="1"/>
  <c r="DQ242" i="1"/>
  <c r="DP243" i="1"/>
  <c r="DQ243" i="1"/>
  <c r="DP244" i="1"/>
  <c r="DQ244" i="1"/>
  <c r="DP245" i="1"/>
  <c r="DQ245" i="1"/>
  <c r="DP246" i="1"/>
  <c r="DQ246" i="1"/>
  <c r="DP247" i="1"/>
  <c r="DQ247" i="1"/>
  <c r="DP248" i="1"/>
  <c r="DQ248" i="1"/>
  <c r="DP249" i="1"/>
  <c r="DQ249" i="1"/>
  <c r="DP250" i="1"/>
  <c r="DQ250" i="1"/>
  <c r="DP251" i="1"/>
  <c r="DQ251" i="1"/>
  <c r="DP252" i="1"/>
  <c r="DQ252" i="1"/>
  <c r="DP253" i="1"/>
  <c r="DQ253" i="1"/>
  <c r="DP254" i="1"/>
  <c r="DQ254" i="1"/>
  <c r="DP255" i="1"/>
  <c r="DQ255" i="1"/>
  <c r="DP256" i="1"/>
  <c r="DQ256" i="1"/>
  <c r="DP257" i="1"/>
  <c r="DQ257" i="1"/>
  <c r="DP258" i="1"/>
  <c r="DQ258" i="1"/>
  <c r="DP259" i="1"/>
  <c r="DQ259" i="1"/>
  <c r="DP260" i="1"/>
  <c r="DQ260" i="1"/>
  <c r="DP261" i="1"/>
  <c r="DQ261" i="1"/>
  <c r="DP262" i="1"/>
  <c r="DQ262" i="1"/>
  <c r="DP263" i="1"/>
  <c r="DQ263" i="1"/>
  <c r="DP264" i="1"/>
  <c r="DQ264" i="1"/>
  <c r="DP265" i="1"/>
  <c r="DQ265" i="1"/>
  <c r="DP266" i="1"/>
  <c r="DQ266" i="1"/>
  <c r="DP267" i="1"/>
  <c r="DQ267" i="1"/>
  <c r="DP268" i="1"/>
  <c r="DQ268" i="1"/>
  <c r="DP269" i="1"/>
  <c r="DQ269" i="1"/>
  <c r="DP270" i="1"/>
  <c r="DQ270" i="1"/>
  <c r="DP271" i="1"/>
  <c r="DQ271" i="1"/>
  <c r="DP272" i="1"/>
  <c r="DQ272" i="1"/>
  <c r="DP273" i="1"/>
  <c r="DQ273" i="1"/>
  <c r="DP274" i="1"/>
  <c r="DQ274" i="1"/>
  <c r="DP275" i="1"/>
  <c r="DQ275" i="1"/>
  <c r="DP276" i="1"/>
  <c r="DQ276" i="1"/>
  <c r="DP277" i="1"/>
  <c r="DQ277" i="1"/>
  <c r="DP278" i="1"/>
  <c r="DQ278" i="1"/>
  <c r="DP279" i="1"/>
  <c r="DQ279" i="1"/>
  <c r="DP280" i="1"/>
  <c r="DQ280" i="1"/>
  <c r="DP281" i="1"/>
  <c r="DQ281" i="1"/>
  <c r="DP282" i="1"/>
  <c r="DQ282" i="1"/>
  <c r="DP283" i="1"/>
  <c r="DQ283" i="1"/>
  <c r="DP284" i="1"/>
  <c r="DQ284" i="1"/>
  <c r="DP285" i="1"/>
  <c r="DQ285" i="1"/>
  <c r="DP286" i="1"/>
  <c r="DQ286" i="1"/>
  <c r="DP287" i="1"/>
  <c r="DQ287" i="1"/>
  <c r="DP288" i="1"/>
  <c r="DQ288" i="1"/>
  <c r="DP289" i="1"/>
  <c r="DQ289" i="1"/>
  <c r="DP290" i="1"/>
  <c r="DQ290" i="1"/>
  <c r="DP291" i="1"/>
  <c r="DQ291" i="1"/>
  <c r="DP292" i="1"/>
  <c r="DQ292" i="1"/>
  <c r="DP293" i="1"/>
  <c r="DQ293" i="1"/>
  <c r="DP294" i="1"/>
  <c r="DQ294" i="1"/>
  <c r="DP295" i="1"/>
  <c r="DQ295" i="1"/>
  <c r="DP296" i="1"/>
  <c r="DQ296" i="1"/>
  <c r="DP297" i="1"/>
  <c r="DQ297" i="1"/>
  <c r="DP298" i="1"/>
  <c r="DQ298" i="1"/>
  <c r="DP299" i="1"/>
  <c r="DQ299" i="1"/>
  <c r="DQ2" i="1"/>
  <c r="DP2" i="1"/>
  <c r="DM4" i="1"/>
  <c r="DM61" i="1"/>
  <c r="DM137" i="1"/>
  <c r="DM146" i="1"/>
  <c r="DM193" i="1"/>
  <c r="DM199" i="1"/>
  <c r="DF3" i="1"/>
  <c r="DG3" i="1"/>
  <c r="DF4" i="1"/>
  <c r="DG4" i="1"/>
  <c r="DF5" i="1"/>
  <c r="DG5" i="1"/>
  <c r="DF6" i="1"/>
  <c r="DG6" i="1"/>
  <c r="DF7" i="1"/>
  <c r="DG7" i="1"/>
  <c r="DF8" i="1"/>
  <c r="DG8" i="1"/>
  <c r="DF9" i="1"/>
  <c r="DG9" i="1"/>
  <c r="DF10" i="1"/>
  <c r="DG10" i="1"/>
  <c r="DF11" i="1"/>
  <c r="DG11" i="1"/>
  <c r="DF12" i="1"/>
  <c r="DG12" i="1"/>
  <c r="DF13" i="1"/>
  <c r="DG13" i="1"/>
  <c r="DF14" i="1"/>
  <c r="DG14" i="1"/>
  <c r="DF15" i="1"/>
  <c r="DG15" i="1"/>
  <c r="DF16" i="1"/>
  <c r="DG16" i="1"/>
  <c r="DF17" i="1"/>
  <c r="DG17" i="1"/>
  <c r="DF18" i="1"/>
  <c r="DG18" i="1"/>
  <c r="DF19" i="1"/>
  <c r="DG19" i="1"/>
  <c r="DF20" i="1"/>
  <c r="DG20" i="1"/>
  <c r="DF21" i="1"/>
  <c r="DG21" i="1"/>
  <c r="DF22" i="1"/>
  <c r="DG22" i="1"/>
  <c r="DF23" i="1"/>
  <c r="DG23" i="1"/>
  <c r="DF24" i="1"/>
  <c r="DG24" i="1"/>
  <c r="DF25" i="1"/>
  <c r="DG25" i="1"/>
  <c r="DF26" i="1"/>
  <c r="DG26" i="1"/>
  <c r="DF27" i="1"/>
  <c r="DG27" i="1"/>
  <c r="DF28" i="1"/>
  <c r="DG28" i="1"/>
  <c r="DF29" i="1"/>
  <c r="DG29" i="1"/>
  <c r="DF30" i="1"/>
  <c r="DG30" i="1"/>
  <c r="DF31" i="1"/>
  <c r="DG31" i="1"/>
  <c r="DF32" i="1"/>
  <c r="DG32" i="1"/>
  <c r="DF33" i="1"/>
  <c r="DG33" i="1"/>
  <c r="DF34" i="1"/>
  <c r="DG34" i="1"/>
  <c r="DF35" i="1"/>
  <c r="DG35" i="1"/>
  <c r="DF36" i="1"/>
  <c r="DG36" i="1"/>
  <c r="DF37" i="1"/>
  <c r="DG37" i="1"/>
  <c r="DF38" i="1"/>
  <c r="DG38" i="1"/>
  <c r="DF39" i="1"/>
  <c r="DG39" i="1"/>
  <c r="DF40" i="1"/>
  <c r="DG40" i="1"/>
  <c r="DF41" i="1"/>
  <c r="DG41" i="1"/>
  <c r="DF42" i="1"/>
  <c r="DG42" i="1"/>
  <c r="DF43" i="1"/>
  <c r="DG43" i="1"/>
  <c r="DF44" i="1"/>
  <c r="DG44" i="1"/>
  <c r="DF45" i="1"/>
  <c r="DG45" i="1"/>
  <c r="DF46" i="1"/>
  <c r="DG46" i="1"/>
  <c r="DF47" i="1"/>
  <c r="DG47" i="1"/>
  <c r="DF48" i="1"/>
  <c r="DG48" i="1"/>
  <c r="DF49" i="1"/>
  <c r="DG49" i="1"/>
  <c r="DF50" i="1"/>
  <c r="DG50" i="1"/>
  <c r="DF51" i="1"/>
  <c r="DG51" i="1"/>
  <c r="DF52" i="1"/>
  <c r="DG52" i="1"/>
  <c r="DF53" i="1"/>
  <c r="DG53" i="1"/>
  <c r="DF54" i="1"/>
  <c r="DG54" i="1"/>
  <c r="DF55" i="1"/>
  <c r="DG55" i="1"/>
  <c r="DF56" i="1"/>
  <c r="DG56" i="1"/>
  <c r="DF57" i="1"/>
  <c r="DG57" i="1"/>
  <c r="DF58" i="1"/>
  <c r="DG58" i="1"/>
  <c r="DF59" i="1"/>
  <c r="DG59" i="1"/>
  <c r="DF60" i="1"/>
  <c r="DG60" i="1"/>
  <c r="DF61" i="1"/>
  <c r="DG61" i="1"/>
  <c r="DF62" i="1"/>
  <c r="DG62" i="1"/>
  <c r="DF63" i="1"/>
  <c r="DG63" i="1"/>
  <c r="DF64" i="1"/>
  <c r="DG64" i="1"/>
  <c r="DF65" i="1"/>
  <c r="DG65" i="1"/>
  <c r="DF66" i="1"/>
  <c r="DG66" i="1"/>
  <c r="DF67" i="1"/>
  <c r="DG67" i="1"/>
  <c r="DF68" i="1"/>
  <c r="DG68" i="1"/>
  <c r="DF69" i="1"/>
  <c r="DG69" i="1"/>
  <c r="DF70" i="1"/>
  <c r="DG70" i="1"/>
  <c r="DF71" i="1"/>
  <c r="DG71" i="1"/>
  <c r="DF72" i="1"/>
  <c r="DG72" i="1"/>
  <c r="DF73" i="1"/>
  <c r="DG73" i="1"/>
  <c r="DF74" i="1"/>
  <c r="DG74" i="1"/>
  <c r="DF75" i="1"/>
  <c r="DG75" i="1"/>
  <c r="DF76" i="1"/>
  <c r="DG76" i="1"/>
  <c r="DF77" i="1"/>
  <c r="DG77" i="1"/>
  <c r="DF78" i="1"/>
  <c r="DG78" i="1"/>
  <c r="DF79" i="1"/>
  <c r="DG79" i="1"/>
  <c r="DF80" i="1"/>
  <c r="DG80" i="1"/>
  <c r="DF81" i="1"/>
  <c r="DG81" i="1"/>
  <c r="DF82" i="1"/>
  <c r="DG82" i="1"/>
  <c r="DF83" i="1"/>
  <c r="DG83" i="1"/>
  <c r="DF84" i="1"/>
  <c r="DG84" i="1"/>
  <c r="DF85" i="1"/>
  <c r="DG85" i="1"/>
  <c r="DF86" i="1"/>
  <c r="DG86" i="1"/>
  <c r="DF87" i="1"/>
  <c r="DG87" i="1"/>
  <c r="DF88" i="1"/>
  <c r="DG88" i="1"/>
  <c r="DF89" i="1"/>
  <c r="DG89" i="1"/>
  <c r="DF90" i="1"/>
  <c r="DG90" i="1"/>
  <c r="DF91" i="1"/>
  <c r="DG91" i="1"/>
  <c r="DF92" i="1"/>
  <c r="DG92" i="1"/>
  <c r="DF93" i="1"/>
  <c r="DG93" i="1"/>
  <c r="DF94" i="1"/>
  <c r="DG94" i="1"/>
  <c r="DF95" i="1"/>
  <c r="DG95" i="1"/>
  <c r="DF96" i="1"/>
  <c r="DG96" i="1"/>
  <c r="DF97" i="1"/>
  <c r="DG97" i="1"/>
  <c r="DF98" i="1"/>
  <c r="DG98" i="1"/>
  <c r="DF99" i="1"/>
  <c r="DG99" i="1"/>
  <c r="DF100" i="1"/>
  <c r="DG100" i="1"/>
  <c r="DF101" i="1"/>
  <c r="DG101" i="1"/>
  <c r="DF102" i="1"/>
  <c r="DG102" i="1"/>
  <c r="DF103" i="1"/>
  <c r="DG103" i="1"/>
  <c r="DF105" i="1"/>
  <c r="DG105" i="1"/>
  <c r="DF106" i="1"/>
  <c r="DG106" i="1"/>
  <c r="DF107" i="1"/>
  <c r="DG107" i="1"/>
  <c r="DF108" i="1"/>
  <c r="DG108" i="1"/>
  <c r="DF109" i="1"/>
  <c r="DG109" i="1"/>
  <c r="DF110" i="1"/>
  <c r="DG110" i="1"/>
  <c r="DF111" i="1"/>
  <c r="DG111" i="1"/>
  <c r="DF112" i="1"/>
  <c r="DG112" i="1"/>
  <c r="DF113" i="1"/>
  <c r="DG113" i="1"/>
  <c r="DF114" i="1"/>
  <c r="DG114" i="1"/>
  <c r="DF115" i="1"/>
  <c r="DG115" i="1"/>
  <c r="DF116" i="1"/>
  <c r="DG116" i="1"/>
  <c r="DF117" i="1"/>
  <c r="DG117" i="1"/>
  <c r="DF118" i="1"/>
  <c r="DG118" i="1"/>
  <c r="DF119" i="1"/>
  <c r="DG119" i="1"/>
  <c r="DF120" i="1"/>
  <c r="DG120" i="1"/>
  <c r="DF121" i="1"/>
  <c r="DG121" i="1"/>
  <c r="DF122" i="1"/>
  <c r="DG122" i="1"/>
  <c r="DF123" i="1"/>
  <c r="DG123" i="1"/>
  <c r="DF124" i="1"/>
  <c r="DG124" i="1"/>
  <c r="DF125" i="1"/>
  <c r="DG125" i="1"/>
  <c r="DF126" i="1"/>
  <c r="DG126" i="1"/>
  <c r="DF127" i="1"/>
  <c r="DG127" i="1"/>
  <c r="DF128" i="1"/>
  <c r="DG128" i="1"/>
  <c r="DF129" i="1"/>
  <c r="DG129" i="1"/>
  <c r="DF130" i="1"/>
  <c r="DG130" i="1"/>
  <c r="DF131" i="1"/>
  <c r="DG131" i="1"/>
  <c r="DF132" i="1"/>
  <c r="DG132" i="1"/>
  <c r="DF133" i="1"/>
  <c r="DG133" i="1"/>
  <c r="DF134" i="1"/>
  <c r="DG134" i="1"/>
  <c r="DF135" i="1"/>
  <c r="DG135" i="1"/>
  <c r="DF136" i="1"/>
  <c r="DG136" i="1"/>
  <c r="DF137" i="1"/>
  <c r="DG137" i="1"/>
  <c r="DF138" i="1"/>
  <c r="DG138" i="1"/>
  <c r="DF139" i="1"/>
  <c r="DG139" i="1"/>
  <c r="DF140" i="1"/>
  <c r="DG140" i="1"/>
  <c r="DF141" i="1"/>
  <c r="DG141" i="1"/>
  <c r="DF142" i="1"/>
  <c r="DG142" i="1"/>
  <c r="DF143" i="1"/>
  <c r="DG143" i="1"/>
  <c r="DF144" i="1"/>
  <c r="DG144" i="1"/>
  <c r="DF145" i="1"/>
  <c r="DG145" i="1"/>
  <c r="DF146" i="1"/>
  <c r="DG146" i="1"/>
  <c r="DF147" i="1"/>
  <c r="DG147" i="1"/>
  <c r="DF148" i="1"/>
  <c r="DG148" i="1"/>
  <c r="DF149" i="1"/>
  <c r="DG149" i="1"/>
  <c r="DF150" i="1"/>
  <c r="DG150" i="1"/>
  <c r="DF151" i="1"/>
  <c r="DG151" i="1"/>
  <c r="DF152" i="1"/>
  <c r="DG152" i="1"/>
  <c r="DF153" i="1"/>
  <c r="DG153" i="1"/>
  <c r="DF154" i="1"/>
  <c r="DG154" i="1"/>
  <c r="DF155" i="1"/>
  <c r="DG155" i="1"/>
  <c r="DF156" i="1"/>
  <c r="DG156" i="1"/>
  <c r="DF157" i="1"/>
  <c r="DG157" i="1"/>
  <c r="DF158" i="1"/>
  <c r="DG158" i="1"/>
  <c r="DF159" i="1"/>
  <c r="DG159" i="1"/>
  <c r="DF160" i="1"/>
  <c r="DG160" i="1"/>
  <c r="DF161" i="1"/>
  <c r="DG161" i="1"/>
  <c r="DF162" i="1"/>
  <c r="DG162" i="1"/>
  <c r="DF163" i="1"/>
  <c r="DG163" i="1"/>
  <c r="DF164" i="1"/>
  <c r="DG164" i="1"/>
  <c r="DF165" i="1"/>
  <c r="DG165" i="1"/>
  <c r="DF166" i="1"/>
  <c r="DG166" i="1"/>
  <c r="DF167" i="1"/>
  <c r="DG167" i="1"/>
  <c r="DF168" i="1"/>
  <c r="DG168" i="1"/>
  <c r="DF169" i="1"/>
  <c r="DG169" i="1"/>
  <c r="DF170" i="1"/>
  <c r="DG170" i="1"/>
  <c r="DF171" i="1"/>
  <c r="DG171" i="1"/>
  <c r="DF172" i="1"/>
  <c r="DG172" i="1"/>
  <c r="DF173" i="1"/>
  <c r="DG173" i="1"/>
  <c r="DF174" i="1"/>
  <c r="DF175" i="1"/>
  <c r="DG175" i="1"/>
  <c r="DF176" i="1"/>
  <c r="DG176" i="1"/>
  <c r="DF177" i="1"/>
  <c r="DG177" i="1"/>
  <c r="DF178" i="1"/>
  <c r="DG178" i="1"/>
  <c r="DF179" i="1"/>
  <c r="DG179" i="1"/>
  <c r="DF180" i="1"/>
  <c r="DG180" i="1"/>
  <c r="DF181" i="1"/>
  <c r="DG181" i="1"/>
  <c r="DF182" i="1"/>
  <c r="DG182" i="1"/>
  <c r="DF183" i="1"/>
  <c r="DG183" i="1"/>
  <c r="DF184" i="1"/>
  <c r="DG184" i="1"/>
  <c r="DF185" i="1"/>
  <c r="DG185" i="1"/>
  <c r="DF186" i="1"/>
  <c r="DG186" i="1"/>
  <c r="DF187" i="1"/>
  <c r="DG187" i="1"/>
  <c r="DF188" i="1"/>
  <c r="DG188" i="1"/>
  <c r="DF189" i="1"/>
  <c r="DG189" i="1"/>
  <c r="DF190" i="1"/>
  <c r="DG190" i="1"/>
  <c r="DF191" i="1"/>
  <c r="DG191" i="1"/>
  <c r="DF192" i="1"/>
  <c r="DG192" i="1"/>
  <c r="DF193" i="1"/>
  <c r="DG193" i="1"/>
  <c r="DF194" i="1"/>
  <c r="DG194" i="1"/>
  <c r="DF195" i="1"/>
  <c r="DG195" i="1"/>
  <c r="DF196" i="1"/>
  <c r="DG196" i="1"/>
  <c r="DF197" i="1"/>
  <c r="DG197" i="1"/>
  <c r="DF198" i="1"/>
  <c r="DG198" i="1"/>
  <c r="DF199" i="1"/>
  <c r="DG199" i="1"/>
  <c r="DF200" i="1"/>
  <c r="DG200" i="1"/>
  <c r="DF201" i="1"/>
  <c r="DG201" i="1"/>
  <c r="DF202" i="1"/>
  <c r="DG202" i="1"/>
  <c r="DF203" i="1"/>
  <c r="DG203" i="1"/>
  <c r="DF204" i="1"/>
  <c r="DG204" i="1"/>
  <c r="DF205" i="1"/>
  <c r="DG205" i="1"/>
  <c r="DF206" i="1"/>
  <c r="DG206" i="1"/>
  <c r="DF207" i="1"/>
  <c r="DG207" i="1"/>
  <c r="DF208" i="1"/>
  <c r="DG208" i="1"/>
  <c r="DF209" i="1"/>
  <c r="DG209" i="1"/>
  <c r="DF210" i="1"/>
  <c r="DG210" i="1"/>
  <c r="DF211" i="1"/>
  <c r="DG211" i="1"/>
  <c r="DF212" i="1"/>
  <c r="DG212" i="1"/>
  <c r="DF213" i="1"/>
  <c r="DG213" i="1"/>
  <c r="DF214" i="1"/>
  <c r="DG214" i="1"/>
  <c r="DF215" i="1"/>
  <c r="DG215" i="1"/>
  <c r="DF216" i="1"/>
  <c r="DG216" i="1"/>
  <c r="DF217" i="1"/>
  <c r="DG217" i="1"/>
  <c r="DF218" i="1"/>
  <c r="DG218" i="1"/>
  <c r="DF219" i="1"/>
  <c r="DG219" i="1"/>
  <c r="DF220" i="1"/>
  <c r="DG220" i="1"/>
  <c r="DF221" i="1"/>
  <c r="DG221" i="1"/>
  <c r="DF222" i="1"/>
  <c r="DG222" i="1"/>
  <c r="DF223" i="1"/>
  <c r="DG223" i="1"/>
  <c r="DF224" i="1"/>
  <c r="DG224" i="1"/>
  <c r="DF225" i="1"/>
  <c r="DG225" i="1"/>
  <c r="DF226" i="1"/>
  <c r="DG226" i="1"/>
  <c r="DF227" i="1"/>
  <c r="DG227" i="1"/>
  <c r="DF228" i="1"/>
  <c r="DG228" i="1"/>
  <c r="DF229" i="1"/>
  <c r="DG229" i="1"/>
  <c r="DF230" i="1"/>
  <c r="DG230" i="1"/>
  <c r="DF231" i="1"/>
  <c r="DG231" i="1"/>
  <c r="DF232" i="1"/>
  <c r="DG232" i="1"/>
  <c r="DF233" i="1"/>
  <c r="DG233" i="1"/>
  <c r="DF234" i="1"/>
  <c r="DG234" i="1"/>
  <c r="DF235" i="1"/>
  <c r="DG235" i="1"/>
  <c r="DF236" i="1"/>
  <c r="DG236" i="1"/>
  <c r="DF237" i="1"/>
  <c r="DG237" i="1"/>
  <c r="DF238" i="1"/>
  <c r="DG238" i="1"/>
  <c r="DF239" i="1"/>
  <c r="DG239" i="1"/>
  <c r="DF240" i="1"/>
  <c r="DG240" i="1"/>
  <c r="DF241" i="1"/>
  <c r="DG241" i="1"/>
  <c r="DF242" i="1"/>
  <c r="DG242" i="1"/>
  <c r="DF243" i="1"/>
  <c r="DG243" i="1"/>
  <c r="DF244" i="1"/>
  <c r="DG244" i="1"/>
  <c r="DF245" i="1"/>
  <c r="DG245" i="1"/>
  <c r="DF246" i="1"/>
  <c r="DG246" i="1"/>
  <c r="DF247" i="1"/>
  <c r="DG247" i="1"/>
  <c r="DF248" i="1"/>
  <c r="DG248" i="1"/>
  <c r="DF249" i="1"/>
  <c r="DG249" i="1"/>
  <c r="DF250" i="1"/>
  <c r="DG250" i="1"/>
  <c r="DF251" i="1"/>
  <c r="DG251" i="1"/>
  <c r="DF252" i="1"/>
  <c r="DG252" i="1"/>
  <c r="DF253" i="1"/>
  <c r="DG253" i="1"/>
  <c r="DF254" i="1"/>
  <c r="DG254" i="1"/>
  <c r="DF255" i="1"/>
  <c r="DG255" i="1"/>
  <c r="DF256" i="1"/>
  <c r="DG256" i="1"/>
  <c r="DF257" i="1"/>
  <c r="DG257" i="1"/>
  <c r="DF258" i="1"/>
  <c r="DG258" i="1"/>
  <c r="DF259" i="1"/>
  <c r="DG259" i="1"/>
  <c r="DF260" i="1"/>
  <c r="DG260" i="1"/>
  <c r="DF261" i="1"/>
  <c r="DG261" i="1"/>
  <c r="DF262" i="1"/>
  <c r="DG262" i="1"/>
  <c r="DF263" i="1"/>
  <c r="DG263" i="1"/>
  <c r="DF264" i="1"/>
  <c r="DG264" i="1"/>
  <c r="DF265" i="1"/>
  <c r="DG265" i="1"/>
  <c r="DF266" i="1"/>
  <c r="DG266" i="1"/>
  <c r="DF267" i="1"/>
  <c r="DG267" i="1"/>
  <c r="DF268" i="1"/>
  <c r="DG268" i="1"/>
  <c r="DF269" i="1"/>
  <c r="DG269" i="1"/>
  <c r="DF270" i="1"/>
  <c r="DG270" i="1"/>
  <c r="DF271" i="1"/>
  <c r="DG271" i="1"/>
  <c r="DF272" i="1"/>
  <c r="DG272" i="1"/>
  <c r="DF273" i="1"/>
  <c r="DG273" i="1"/>
  <c r="DF274" i="1"/>
  <c r="DG274" i="1"/>
  <c r="DF275" i="1"/>
  <c r="DG275" i="1"/>
  <c r="DF276" i="1"/>
  <c r="DG276" i="1"/>
  <c r="DF277" i="1"/>
  <c r="DG277" i="1"/>
  <c r="DF278" i="1"/>
  <c r="DG278" i="1"/>
  <c r="DF279" i="1"/>
  <c r="DG279" i="1"/>
  <c r="DF280" i="1"/>
  <c r="DG280" i="1"/>
  <c r="DF281" i="1"/>
  <c r="DG281" i="1"/>
  <c r="DF282" i="1"/>
  <c r="DG282" i="1"/>
  <c r="DF283" i="1"/>
  <c r="DG283" i="1"/>
  <c r="DF284" i="1"/>
  <c r="DG284" i="1"/>
  <c r="DF285" i="1"/>
  <c r="DG285" i="1"/>
  <c r="DF286" i="1"/>
  <c r="DG286" i="1"/>
  <c r="DF287" i="1"/>
  <c r="DG287" i="1"/>
  <c r="DF288" i="1"/>
  <c r="DG288" i="1"/>
  <c r="DF289" i="1"/>
  <c r="DG289" i="1"/>
  <c r="DF290" i="1"/>
  <c r="DG290" i="1"/>
  <c r="DF291" i="1"/>
  <c r="DG291" i="1"/>
  <c r="DF292" i="1"/>
  <c r="DG292" i="1"/>
  <c r="DF293" i="1"/>
  <c r="DG293" i="1"/>
  <c r="DF294" i="1"/>
  <c r="DG294" i="1"/>
  <c r="DF295" i="1"/>
  <c r="DG295" i="1"/>
  <c r="DF296" i="1"/>
  <c r="DG296" i="1"/>
  <c r="DF297" i="1"/>
  <c r="DG297" i="1"/>
  <c r="DF298" i="1"/>
  <c r="DG298" i="1"/>
  <c r="DF299" i="1"/>
  <c r="DG299" i="1"/>
  <c r="DG2" i="1"/>
  <c r="DF2" i="1"/>
  <c r="DC4" i="1"/>
  <c r="DC61" i="1"/>
  <c r="DC137" i="1"/>
  <c r="DC146" i="1"/>
  <c r="DC193" i="1"/>
  <c r="DC199" i="1"/>
  <c r="CS4" i="1"/>
  <c r="CS61" i="1"/>
  <c r="CS137" i="1"/>
  <c r="CS146" i="1"/>
  <c r="CS193" i="1"/>
  <c r="CS199" i="1"/>
  <c r="CL3" i="1"/>
  <c r="CM3" i="1"/>
  <c r="CL4" i="1"/>
  <c r="CM4" i="1"/>
  <c r="CL5" i="1"/>
  <c r="CM5" i="1"/>
  <c r="CL6" i="1"/>
  <c r="CM6" i="1"/>
  <c r="CL7" i="1"/>
  <c r="CM7" i="1"/>
  <c r="CL8" i="1"/>
  <c r="CM8" i="1"/>
  <c r="CL9" i="1"/>
  <c r="CM9" i="1"/>
  <c r="CL10" i="1"/>
  <c r="CM10" i="1"/>
  <c r="CL11" i="1"/>
  <c r="CM11" i="1"/>
  <c r="CL12" i="1"/>
  <c r="CM12" i="1"/>
  <c r="CL13" i="1"/>
  <c r="CM13" i="1"/>
  <c r="CL14" i="1"/>
  <c r="CM14" i="1"/>
  <c r="CL15" i="1"/>
  <c r="CM15" i="1"/>
  <c r="CL16" i="1"/>
  <c r="CM16" i="1"/>
  <c r="CL17" i="1"/>
  <c r="CM17" i="1"/>
  <c r="CL18" i="1"/>
  <c r="CM18" i="1"/>
  <c r="CL19" i="1"/>
  <c r="CM19" i="1"/>
  <c r="CL20" i="1"/>
  <c r="CM20" i="1"/>
  <c r="CL21" i="1"/>
  <c r="CM21" i="1"/>
  <c r="CL22" i="1"/>
  <c r="CM22" i="1"/>
  <c r="CL23" i="1"/>
  <c r="CM23" i="1"/>
  <c r="CL24" i="1"/>
  <c r="CM24" i="1"/>
  <c r="CL25" i="1"/>
  <c r="CM25" i="1"/>
  <c r="CL26" i="1"/>
  <c r="CM26" i="1"/>
  <c r="CL27" i="1"/>
  <c r="CM27" i="1"/>
  <c r="CL28" i="1"/>
  <c r="CM28" i="1"/>
  <c r="CL29" i="1"/>
  <c r="CM29" i="1"/>
  <c r="CL30" i="1"/>
  <c r="CM30" i="1"/>
  <c r="CL31" i="1"/>
  <c r="CM31" i="1"/>
  <c r="CL32" i="1"/>
  <c r="CM32" i="1"/>
  <c r="CL33" i="1"/>
  <c r="CM33" i="1"/>
  <c r="CL34" i="1"/>
  <c r="CM34" i="1"/>
  <c r="CL35" i="1"/>
  <c r="CM35" i="1"/>
  <c r="CL36" i="1"/>
  <c r="CM36" i="1"/>
  <c r="CL37" i="1"/>
  <c r="CM37" i="1"/>
  <c r="CL38" i="1"/>
  <c r="CM38" i="1"/>
  <c r="CL39" i="1"/>
  <c r="CM39" i="1"/>
  <c r="CL40" i="1"/>
  <c r="CM40" i="1"/>
  <c r="CL41" i="1"/>
  <c r="CM41" i="1"/>
  <c r="CL42" i="1"/>
  <c r="CM42" i="1"/>
  <c r="CL43" i="1"/>
  <c r="CM43" i="1"/>
  <c r="CL44" i="1"/>
  <c r="CM44" i="1"/>
  <c r="CL45" i="1"/>
  <c r="CM45" i="1"/>
  <c r="CL46" i="1"/>
  <c r="CM46" i="1"/>
  <c r="CL47" i="1"/>
  <c r="CM47" i="1"/>
  <c r="CL48" i="1"/>
  <c r="CM48" i="1"/>
  <c r="CL49" i="1"/>
  <c r="CM49" i="1"/>
  <c r="CL50" i="1"/>
  <c r="CM50" i="1"/>
  <c r="CL51" i="1"/>
  <c r="CM51" i="1"/>
  <c r="CL52" i="1"/>
  <c r="CM52" i="1"/>
  <c r="CL53" i="1"/>
  <c r="CM53" i="1"/>
  <c r="CL54" i="1"/>
  <c r="CM54" i="1"/>
  <c r="CL55" i="1"/>
  <c r="CM55" i="1"/>
  <c r="CL56" i="1"/>
  <c r="CM56" i="1"/>
  <c r="CL57" i="1"/>
  <c r="CM57" i="1"/>
  <c r="CL58" i="1"/>
  <c r="CM58" i="1"/>
  <c r="CL59" i="1"/>
  <c r="CM59" i="1"/>
  <c r="CL60" i="1"/>
  <c r="CM60" i="1"/>
  <c r="CL61" i="1"/>
  <c r="CM61" i="1"/>
  <c r="CL62" i="1"/>
  <c r="CM62" i="1"/>
  <c r="CL63" i="1"/>
  <c r="CM63" i="1"/>
  <c r="CL64" i="1"/>
  <c r="CM64" i="1"/>
  <c r="CL65" i="1"/>
  <c r="CM65" i="1"/>
  <c r="CL66" i="1"/>
  <c r="CM66" i="1"/>
  <c r="CL67" i="1"/>
  <c r="CM67" i="1"/>
  <c r="CL68" i="1"/>
  <c r="CM68" i="1"/>
  <c r="CL69" i="1"/>
  <c r="CM69" i="1"/>
  <c r="CL70" i="1"/>
  <c r="CM70" i="1"/>
  <c r="CL71" i="1"/>
  <c r="CM71" i="1"/>
  <c r="CL72" i="1"/>
  <c r="CM72" i="1"/>
  <c r="CL73" i="1"/>
  <c r="CM73" i="1"/>
  <c r="CL74" i="1"/>
  <c r="CM74" i="1"/>
  <c r="CL75" i="1"/>
  <c r="CM75" i="1"/>
  <c r="CL76" i="1"/>
  <c r="CM76" i="1"/>
  <c r="CL77" i="1"/>
  <c r="CM77" i="1"/>
  <c r="CL78" i="1"/>
  <c r="CM78" i="1"/>
  <c r="CL79" i="1"/>
  <c r="CM79" i="1"/>
  <c r="CL80" i="1"/>
  <c r="CM80" i="1"/>
  <c r="CL81" i="1"/>
  <c r="CM81" i="1"/>
  <c r="CL82" i="1"/>
  <c r="CM82" i="1"/>
  <c r="CL83" i="1"/>
  <c r="CM83" i="1"/>
  <c r="CL84" i="1"/>
  <c r="CM84" i="1"/>
  <c r="CL85" i="1"/>
  <c r="CM85" i="1"/>
  <c r="CL86" i="1"/>
  <c r="CM86" i="1"/>
  <c r="CL87" i="1"/>
  <c r="CM87" i="1"/>
  <c r="CL88" i="1"/>
  <c r="CM88" i="1"/>
  <c r="CL89" i="1"/>
  <c r="CM89" i="1"/>
  <c r="CL90" i="1"/>
  <c r="CM90" i="1"/>
  <c r="CL91" i="1"/>
  <c r="CM91" i="1"/>
  <c r="CL92" i="1"/>
  <c r="CM92" i="1"/>
  <c r="CL93" i="1"/>
  <c r="CM93" i="1"/>
  <c r="CL94" i="1"/>
  <c r="CM94" i="1"/>
  <c r="CL95" i="1"/>
  <c r="CM95" i="1"/>
  <c r="CL96" i="1"/>
  <c r="CM96" i="1"/>
  <c r="CL97" i="1"/>
  <c r="CM97" i="1"/>
  <c r="CL98" i="1"/>
  <c r="CM98" i="1"/>
  <c r="CL99" i="1"/>
  <c r="CM99" i="1"/>
  <c r="CL100" i="1"/>
  <c r="CM100" i="1"/>
  <c r="CL101" i="1"/>
  <c r="CM101" i="1"/>
  <c r="CL102" i="1"/>
  <c r="CM102" i="1"/>
  <c r="CL103" i="1"/>
  <c r="CM103" i="1"/>
  <c r="CL105" i="1"/>
  <c r="CM105" i="1"/>
  <c r="CL106" i="1"/>
  <c r="CM106" i="1"/>
  <c r="CL107" i="1"/>
  <c r="CM107" i="1"/>
  <c r="CL108" i="1"/>
  <c r="CM108" i="1"/>
  <c r="CL109" i="1"/>
  <c r="CM109" i="1"/>
  <c r="CL110" i="1"/>
  <c r="CM110" i="1"/>
  <c r="CL111" i="1"/>
  <c r="CM111" i="1"/>
  <c r="CL112" i="1"/>
  <c r="CM112" i="1"/>
  <c r="CL113" i="1"/>
  <c r="CM113" i="1"/>
  <c r="CL114" i="1"/>
  <c r="CM114" i="1"/>
  <c r="CL115" i="1"/>
  <c r="CM115" i="1"/>
  <c r="CL116" i="1"/>
  <c r="CM116" i="1"/>
  <c r="CL117" i="1"/>
  <c r="CM117" i="1"/>
  <c r="CL118" i="1"/>
  <c r="CM118" i="1"/>
  <c r="CL119" i="1"/>
  <c r="CM119" i="1"/>
  <c r="CL120" i="1"/>
  <c r="CM120" i="1"/>
  <c r="CL121" i="1"/>
  <c r="CM121" i="1"/>
  <c r="CL122" i="1"/>
  <c r="CM122" i="1"/>
  <c r="CL123" i="1"/>
  <c r="CM123" i="1"/>
  <c r="CL124" i="1"/>
  <c r="CM124" i="1"/>
  <c r="CL125" i="1"/>
  <c r="CM125" i="1"/>
  <c r="CL126" i="1"/>
  <c r="CM126" i="1"/>
  <c r="CL127" i="1"/>
  <c r="CM127" i="1"/>
  <c r="CL128" i="1"/>
  <c r="CM128" i="1"/>
  <c r="CL129" i="1"/>
  <c r="CM129" i="1"/>
  <c r="CL130" i="1"/>
  <c r="CM130" i="1"/>
  <c r="CL131" i="1"/>
  <c r="CM131" i="1"/>
  <c r="CL132" i="1"/>
  <c r="CM132" i="1"/>
  <c r="CL133" i="1"/>
  <c r="CM133" i="1"/>
  <c r="CL134" i="1"/>
  <c r="CM134" i="1"/>
  <c r="CL135" i="1"/>
  <c r="CM135" i="1"/>
  <c r="CL136" i="1"/>
  <c r="CM136" i="1"/>
  <c r="CL137" i="1"/>
  <c r="CM137" i="1"/>
  <c r="CL138" i="1"/>
  <c r="CM138" i="1"/>
  <c r="CL139" i="1"/>
  <c r="CM139" i="1"/>
  <c r="CL140" i="1"/>
  <c r="CM140" i="1"/>
  <c r="CL141" i="1"/>
  <c r="CM141" i="1"/>
  <c r="CL142" i="1"/>
  <c r="CM142" i="1"/>
  <c r="CL143" i="1"/>
  <c r="CM143" i="1"/>
  <c r="CL144" i="1"/>
  <c r="CM144" i="1"/>
  <c r="CL145" i="1"/>
  <c r="CM145" i="1"/>
  <c r="CL146" i="1"/>
  <c r="CM146" i="1"/>
  <c r="CL147" i="1"/>
  <c r="CM147" i="1"/>
  <c r="CL148" i="1"/>
  <c r="CM148" i="1"/>
  <c r="CL149" i="1"/>
  <c r="CM149" i="1"/>
  <c r="CL150" i="1"/>
  <c r="CM150" i="1"/>
  <c r="CL151" i="1"/>
  <c r="CM151" i="1"/>
  <c r="CL152" i="1"/>
  <c r="CM152" i="1"/>
  <c r="CL153" i="1"/>
  <c r="CM153" i="1"/>
  <c r="CL154" i="1"/>
  <c r="CM154" i="1"/>
  <c r="CL155" i="1"/>
  <c r="CM155" i="1"/>
  <c r="CL156" i="1"/>
  <c r="CM156" i="1"/>
  <c r="CL157" i="1"/>
  <c r="CM157" i="1"/>
  <c r="CL158" i="1"/>
  <c r="CM158" i="1"/>
  <c r="CL159" i="1"/>
  <c r="CM159" i="1"/>
  <c r="CL160" i="1"/>
  <c r="CM160" i="1"/>
  <c r="CL161" i="1"/>
  <c r="CM161" i="1"/>
  <c r="CL162" i="1"/>
  <c r="CM162" i="1"/>
  <c r="CL163" i="1"/>
  <c r="CM163" i="1"/>
  <c r="CL164" i="1"/>
  <c r="CM164" i="1"/>
  <c r="CL165" i="1"/>
  <c r="CM165" i="1"/>
  <c r="CL166" i="1"/>
  <c r="CM166" i="1"/>
  <c r="CL167" i="1"/>
  <c r="CM167" i="1"/>
  <c r="CL168" i="1"/>
  <c r="CM168" i="1"/>
  <c r="CL169" i="1"/>
  <c r="CM169" i="1"/>
  <c r="CL170" i="1"/>
  <c r="CM170" i="1"/>
  <c r="CL171" i="1"/>
  <c r="CM171" i="1"/>
  <c r="CL172" i="1"/>
  <c r="CM172" i="1"/>
  <c r="CL173" i="1"/>
  <c r="CM173" i="1"/>
  <c r="CL174" i="1"/>
  <c r="CL175" i="1"/>
  <c r="CM175" i="1"/>
  <c r="CL176" i="1"/>
  <c r="CM176" i="1"/>
  <c r="CL177" i="1"/>
  <c r="CM177" i="1"/>
  <c r="CL178" i="1"/>
  <c r="CM178" i="1"/>
  <c r="CL179" i="1"/>
  <c r="CM179" i="1"/>
  <c r="CL180" i="1"/>
  <c r="CM180" i="1"/>
  <c r="CL181" i="1"/>
  <c r="CM181" i="1"/>
  <c r="CL182" i="1"/>
  <c r="CM182" i="1"/>
  <c r="CL183" i="1"/>
  <c r="CM183" i="1"/>
  <c r="CL184" i="1"/>
  <c r="CM184" i="1"/>
  <c r="CL185" i="1"/>
  <c r="CM185" i="1"/>
  <c r="CL186" i="1"/>
  <c r="CM186" i="1"/>
  <c r="CL187" i="1"/>
  <c r="CM187" i="1"/>
  <c r="CL188" i="1"/>
  <c r="CM188" i="1"/>
  <c r="CL189" i="1"/>
  <c r="CM189" i="1"/>
  <c r="CL190" i="1"/>
  <c r="CM190" i="1"/>
  <c r="CL191" i="1"/>
  <c r="CM191" i="1"/>
  <c r="CL192" i="1"/>
  <c r="CM192" i="1"/>
  <c r="CL193" i="1"/>
  <c r="CM193" i="1"/>
  <c r="CL194" i="1"/>
  <c r="CM194" i="1"/>
  <c r="CL195" i="1"/>
  <c r="CM195" i="1"/>
  <c r="CL196" i="1"/>
  <c r="CM196" i="1"/>
  <c r="CL197" i="1"/>
  <c r="CM197" i="1"/>
  <c r="CL198" i="1"/>
  <c r="CM198" i="1"/>
  <c r="CL199" i="1"/>
  <c r="CM199" i="1"/>
  <c r="CL200" i="1"/>
  <c r="CM200" i="1"/>
  <c r="CL201" i="1"/>
  <c r="CM201" i="1"/>
  <c r="CL202" i="1"/>
  <c r="CM202" i="1"/>
  <c r="CL203" i="1"/>
  <c r="CM203" i="1"/>
  <c r="CL204" i="1"/>
  <c r="CM204" i="1"/>
  <c r="CL205" i="1"/>
  <c r="CM205" i="1"/>
  <c r="CL206" i="1"/>
  <c r="CM206" i="1"/>
  <c r="CL207" i="1"/>
  <c r="CM207" i="1"/>
  <c r="CL208" i="1"/>
  <c r="CM208" i="1"/>
  <c r="CL209" i="1"/>
  <c r="CM209" i="1"/>
  <c r="CL210" i="1"/>
  <c r="CM210" i="1"/>
  <c r="CL211" i="1"/>
  <c r="CM211" i="1"/>
  <c r="CL212" i="1"/>
  <c r="CM212" i="1"/>
  <c r="CL213" i="1"/>
  <c r="CM213" i="1"/>
  <c r="CL214" i="1"/>
  <c r="CM214" i="1"/>
  <c r="CL215" i="1"/>
  <c r="CM215" i="1"/>
  <c r="CL216" i="1"/>
  <c r="CM216" i="1"/>
  <c r="CL217" i="1"/>
  <c r="CM217" i="1"/>
  <c r="CL218" i="1"/>
  <c r="CM218" i="1"/>
  <c r="CL219" i="1"/>
  <c r="CM219" i="1"/>
  <c r="CL220" i="1"/>
  <c r="CM220" i="1"/>
  <c r="CL221" i="1"/>
  <c r="CM221" i="1"/>
  <c r="CL222" i="1"/>
  <c r="CM222" i="1"/>
  <c r="CL223" i="1"/>
  <c r="CM223" i="1"/>
  <c r="CL224" i="1"/>
  <c r="CM224" i="1"/>
  <c r="CL225" i="1"/>
  <c r="CM225" i="1"/>
  <c r="CL226" i="1"/>
  <c r="CM226" i="1"/>
  <c r="CL227" i="1"/>
  <c r="CM227" i="1"/>
  <c r="CL228" i="1"/>
  <c r="CM228" i="1"/>
  <c r="CL229" i="1"/>
  <c r="CM229" i="1"/>
  <c r="CL230" i="1"/>
  <c r="CM230" i="1"/>
  <c r="CL231" i="1"/>
  <c r="CM231" i="1"/>
  <c r="CL232" i="1"/>
  <c r="CM232" i="1"/>
  <c r="CL233" i="1"/>
  <c r="CM233" i="1"/>
  <c r="CL234" i="1"/>
  <c r="CM234" i="1"/>
  <c r="CL235" i="1"/>
  <c r="CM235" i="1"/>
  <c r="CL236" i="1"/>
  <c r="CM236" i="1"/>
  <c r="CL237" i="1"/>
  <c r="CM237" i="1"/>
  <c r="CL238" i="1"/>
  <c r="CM238" i="1"/>
  <c r="CL239" i="1"/>
  <c r="CM239" i="1"/>
  <c r="CL240" i="1"/>
  <c r="CM240" i="1"/>
  <c r="CL241" i="1"/>
  <c r="CM241" i="1"/>
  <c r="CL242" i="1"/>
  <c r="CM242" i="1"/>
  <c r="CL243" i="1"/>
  <c r="CM243" i="1"/>
  <c r="CL244" i="1"/>
  <c r="CM244" i="1"/>
  <c r="CL245" i="1"/>
  <c r="CM245" i="1"/>
  <c r="CL246" i="1"/>
  <c r="CM246" i="1"/>
  <c r="CL247" i="1"/>
  <c r="CM247" i="1"/>
  <c r="CL248" i="1"/>
  <c r="CM248" i="1"/>
  <c r="CL249" i="1"/>
  <c r="CM249" i="1"/>
  <c r="CL250" i="1"/>
  <c r="CM250" i="1"/>
  <c r="CL251" i="1"/>
  <c r="CM251" i="1"/>
  <c r="CL252" i="1"/>
  <c r="CM252" i="1"/>
  <c r="CL253" i="1"/>
  <c r="CM253" i="1"/>
  <c r="CL254" i="1"/>
  <c r="CM254" i="1"/>
  <c r="CL255" i="1"/>
  <c r="CM255" i="1"/>
  <c r="CL256" i="1"/>
  <c r="CM256" i="1"/>
  <c r="CL257" i="1"/>
  <c r="CM257" i="1"/>
  <c r="CL258" i="1"/>
  <c r="CM258" i="1"/>
  <c r="CL259" i="1"/>
  <c r="CM259" i="1"/>
  <c r="CL260" i="1"/>
  <c r="CM260" i="1"/>
  <c r="CL261" i="1"/>
  <c r="CM261" i="1"/>
  <c r="CL262" i="1"/>
  <c r="CM262" i="1"/>
  <c r="CL263" i="1"/>
  <c r="CM263" i="1"/>
  <c r="CL264" i="1"/>
  <c r="CM264" i="1"/>
  <c r="CL265" i="1"/>
  <c r="CM265" i="1"/>
  <c r="CL266" i="1"/>
  <c r="CM266" i="1"/>
  <c r="CL267" i="1"/>
  <c r="CM267" i="1"/>
  <c r="CL268" i="1"/>
  <c r="CM268" i="1"/>
  <c r="CL269" i="1"/>
  <c r="CM269" i="1"/>
  <c r="CL270" i="1"/>
  <c r="CM270" i="1"/>
  <c r="CL271" i="1"/>
  <c r="CM271" i="1"/>
  <c r="CL272" i="1"/>
  <c r="CM272" i="1"/>
  <c r="CL273" i="1"/>
  <c r="CM273" i="1"/>
  <c r="CL274" i="1"/>
  <c r="CM274" i="1"/>
  <c r="CL275" i="1"/>
  <c r="CM275" i="1"/>
  <c r="CL276" i="1"/>
  <c r="CM276" i="1"/>
  <c r="CL277" i="1"/>
  <c r="CM277" i="1"/>
  <c r="CL278" i="1"/>
  <c r="CM278" i="1"/>
  <c r="CL279" i="1"/>
  <c r="CM279" i="1"/>
  <c r="CL280" i="1"/>
  <c r="CM280" i="1"/>
  <c r="CL281" i="1"/>
  <c r="CM281" i="1"/>
  <c r="CL282" i="1"/>
  <c r="CM282" i="1"/>
  <c r="CL283" i="1"/>
  <c r="CM283" i="1"/>
  <c r="CL284" i="1"/>
  <c r="CM284" i="1"/>
  <c r="CL285" i="1"/>
  <c r="CM285" i="1"/>
  <c r="CL286" i="1"/>
  <c r="CM286" i="1"/>
  <c r="CL287" i="1"/>
  <c r="CM287" i="1"/>
  <c r="CL288" i="1"/>
  <c r="CM288" i="1"/>
  <c r="CL289" i="1"/>
  <c r="CM289" i="1"/>
  <c r="CL290" i="1"/>
  <c r="CM290" i="1"/>
  <c r="CL291" i="1"/>
  <c r="CM291" i="1"/>
  <c r="CL292" i="1"/>
  <c r="CM292" i="1"/>
  <c r="CL293" i="1"/>
  <c r="CM293" i="1"/>
  <c r="CL294" i="1"/>
  <c r="CM294" i="1"/>
  <c r="CL295" i="1"/>
  <c r="CM295" i="1"/>
  <c r="CL296" i="1"/>
  <c r="CM296" i="1"/>
  <c r="CL297" i="1"/>
  <c r="CM297" i="1"/>
  <c r="CL298" i="1"/>
  <c r="CM298" i="1"/>
  <c r="CL299" i="1"/>
  <c r="CM299" i="1"/>
  <c r="CM2" i="1"/>
  <c r="CL2" i="1"/>
  <c r="CI4" i="1"/>
  <c r="CI61" i="1"/>
  <c r="CI137" i="1"/>
  <c r="CI146" i="1"/>
  <c r="CI193" i="1"/>
  <c r="CI199" i="1"/>
  <c r="CB3" i="1"/>
  <c r="CC3" i="1"/>
  <c r="CB4" i="1"/>
  <c r="CC4" i="1"/>
  <c r="CB5" i="1"/>
  <c r="CC5" i="1"/>
  <c r="CB6" i="1"/>
  <c r="CC6" i="1"/>
  <c r="CB7" i="1"/>
  <c r="CC7" i="1"/>
  <c r="CB8" i="1"/>
  <c r="CC8" i="1"/>
  <c r="CB9" i="1"/>
  <c r="CC9" i="1"/>
  <c r="CB10" i="1"/>
  <c r="CC10" i="1"/>
  <c r="CB11" i="1"/>
  <c r="CC11" i="1"/>
  <c r="CB12" i="1"/>
  <c r="CC12" i="1"/>
  <c r="CB13" i="1"/>
  <c r="CC13" i="1"/>
  <c r="CB14" i="1"/>
  <c r="CC14" i="1"/>
  <c r="CB15" i="1"/>
  <c r="CC15" i="1"/>
  <c r="CB16" i="1"/>
  <c r="CC16" i="1"/>
  <c r="CB17" i="1"/>
  <c r="CC17" i="1"/>
  <c r="CB18" i="1"/>
  <c r="CC18" i="1"/>
  <c r="CB19" i="1"/>
  <c r="CC19" i="1"/>
  <c r="CB20" i="1"/>
  <c r="CC20" i="1"/>
  <c r="CB21" i="1"/>
  <c r="CC21" i="1"/>
  <c r="CB22" i="1"/>
  <c r="CC22" i="1"/>
  <c r="CB23" i="1"/>
  <c r="CC23" i="1"/>
  <c r="CB24" i="1"/>
  <c r="CC24" i="1"/>
  <c r="CB25" i="1"/>
  <c r="CC25" i="1"/>
  <c r="CB26" i="1"/>
  <c r="CC26" i="1"/>
  <c r="CB27" i="1"/>
  <c r="CC27" i="1"/>
  <c r="CB28" i="1"/>
  <c r="CC28" i="1"/>
  <c r="CB29" i="1"/>
  <c r="CC29" i="1"/>
  <c r="CB30" i="1"/>
  <c r="CC30" i="1"/>
  <c r="CB31" i="1"/>
  <c r="CC31" i="1"/>
  <c r="CB32" i="1"/>
  <c r="CC32" i="1"/>
  <c r="CB33" i="1"/>
  <c r="CC33" i="1"/>
  <c r="CB34" i="1"/>
  <c r="CC34" i="1"/>
  <c r="CB35" i="1"/>
  <c r="CC35" i="1"/>
  <c r="CB36" i="1"/>
  <c r="CC36" i="1"/>
  <c r="CB37" i="1"/>
  <c r="CC37" i="1"/>
  <c r="CB38" i="1"/>
  <c r="CC38" i="1"/>
  <c r="CB39" i="1"/>
  <c r="CC39" i="1"/>
  <c r="CB40" i="1"/>
  <c r="CC40" i="1"/>
  <c r="CB41" i="1"/>
  <c r="CC41" i="1"/>
  <c r="CB42" i="1"/>
  <c r="CC42" i="1"/>
  <c r="CB43" i="1"/>
  <c r="CC43" i="1"/>
  <c r="CB44" i="1"/>
  <c r="CC44" i="1"/>
  <c r="CB45" i="1"/>
  <c r="CC45" i="1"/>
  <c r="CB46" i="1"/>
  <c r="CC46" i="1"/>
  <c r="CB47" i="1"/>
  <c r="CC47" i="1"/>
  <c r="CB48" i="1"/>
  <c r="CC48" i="1"/>
  <c r="CB49" i="1"/>
  <c r="CC49" i="1"/>
  <c r="CB50" i="1"/>
  <c r="CC50" i="1"/>
  <c r="CB51" i="1"/>
  <c r="CC51" i="1"/>
  <c r="CB52" i="1"/>
  <c r="CC52" i="1"/>
  <c r="CB53" i="1"/>
  <c r="CC53" i="1"/>
  <c r="CB54" i="1"/>
  <c r="CC54" i="1"/>
  <c r="CB55" i="1"/>
  <c r="CC55" i="1"/>
  <c r="CB56" i="1"/>
  <c r="CC56" i="1"/>
  <c r="CB57" i="1"/>
  <c r="CC57" i="1"/>
  <c r="CB58" i="1"/>
  <c r="CC58" i="1"/>
  <c r="CB59" i="1"/>
  <c r="CC59" i="1"/>
  <c r="CB60" i="1"/>
  <c r="CC60" i="1"/>
  <c r="CB61" i="1"/>
  <c r="CC61" i="1"/>
  <c r="CB62" i="1"/>
  <c r="CC62" i="1"/>
  <c r="CB63" i="1"/>
  <c r="CC63" i="1"/>
  <c r="CB64" i="1"/>
  <c r="CC64" i="1"/>
  <c r="CB65" i="1"/>
  <c r="CC65" i="1"/>
  <c r="CB66" i="1"/>
  <c r="CC66" i="1"/>
  <c r="CB67" i="1"/>
  <c r="CC67" i="1"/>
  <c r="CB68" i="1"/>
  <c r="CC68" i="1"/>
  <c r="CB69" i="1"/>
  <c r="CC69" i="1"/>
  <c r="CB70" i="1"/>
  <c r="CC70" i="1"/>
  <c r="CB71" i="1"/>
  <c r="CC71" i="1"/>
  <c r="CB72" i="1"/>
  <c r="CC72" i="1"/>
  <c r="CB73" i="1"/>
  <c r="CC73" i="1"/>
  <c r="CB74" i="1"/>
  <c r="CC74" i="1"/>
  <c r="CB75" i="1"/>
  <c r="CC75" i="1"/>
  <c r="CB76" i="1"/>
  <c r="CC76" i="1"/>
  <c r="CB77" i="1"/>
  <c r="CC77" i="1"/>
  <c r="CB78" i="1"/>
  <c r="CC78" i="1"/>
  <c r="CB79" i="1"/>
  <c r="CC79" i="1"/>
  <c r="CB80" i="1"/>
  <c r="CC80" i="1"/>
  <c r="CB81" i="1"/>
  <c r="CC81" i="1"/>
  <c r="CB82" i="1"/>
  <c r="CC82" i="1"/>
  <c r="CB83" i="1"/>
  <c r="CC83" i="1"/>
  <c r="CB84" i="1"/>
  <c r="CC84" i="1"/>
  <c r="CB85" i="1"/>
  <c r="CC85" i="1"/>
  <c r="CB86" i="1"/>
  <c r="CC86" i="1"/>
  <c r="CB87" i="1"/>
  <c r="CC87" i="1"/>
  <c r="CB88" i="1"/>
  <c r="CC88" i="1"/>
  <c r="CB89" i="1"/>
  <c r="CC89" i="1"/>
  <c r="CB90" i="1"/>
  <c r="CC90" i="1"/>
  <c r="CB91" i="1"/>
  <c r="CC91" i="1"/>
  <c r="CB92" i="1"/>
  <c r="CC92" i="1"/>
  <c r="CB93" i="1"/>
  <c r="CC93" i="1"/>
  <c r="CB94" i="1"/>
  <c r="CC94" i="1"/>
  <c r="CB95" i="1"/>
  <c r="CC95" i="1"/>
  <c r="CB96" i="1"/>
  <c r="CC96" i="1"/>
  <c r="CB97" i="1"/>
  <c r="CC97" i="1"/>
  <c r="CB98" i="1"/>
  <c r="CC98" i="1"/>
  <c r="CB99" i="1"/>
  <c r="CC99" i="1"/>
  <c r="CB100" i="1"/>
  <c r="CC100" i="1"/>
  <c r="CB101" i="1"/>
  <c r="CC101" i="1"/>
  <c r="CB102" i="1"/>
  <c r="CC102" i="1"/>
  <c r="CB103" i="1"/>
  <c r="CC103" i="1"/>
  <c r="CB105" i="1"/>
  <c r="CC105" i="1"/>
  <c r="CB106" i="1"/>
  <c r="CC106" i="1"/>
  <c r="CB107" i="1"/>
  <c r="CC107" i="1"/>
  <c r="CB108" i="1"/>
  <c r="CC108" i="1"/>
  <c r="CB109" i="1"/>
  <c r="CC109" i="1"/>
  <c r="CB110" i="1"/>
  <c r="CC110" i="1"/>
  <c r="CB111" i="1"/>
  <c r="CC111" i="1"/>
  <c r="CB112" i="1"/>
  <c r="CC112" i="1"/>
  <c r="CB113" i="1"/>
  <c r="CC113" i="1"/>
  <c r="CB114" i="1"/>
  <c r="CC114" i="1"/>
  <c r="CB115" i="1"/>
  <c r="CC115" i="1"/>
  <c r="CB116" i="1"/>
  <c r="CC116" i="1"/>
  <c r="CB117" i="1"/>
  <c r="CC117" i="1"/>
  <c r="CB118" i="1"/>
  <c r="CC118" i="1"/>
  <c r="CB119" i="1"/>
  <c r="CC119" i="1"/>
  <c r="CB120" i="1"/>
  <c r="CC120" i="1"/>
  <c r="CB121" i="1"/>
  <c r="CC121" i="1"/>
  <c r="CB122" i="1"/>
  <c r="CC122" i="1"/>
  <c r="CB123" i="1"/>
  <c r="CC123" i="1"/>
  <c r="CB124" i="1"/>
  <c r="CC124" i="1"/>
  <c r="CB125" i="1"/>
  <c r="CC125" i="1"/>
  <c r="CB126" i="1"/>
  <c r="CC126" i="1"/>
  <c r="CB127" i="1"/>
  <c r="CC127" i="1"/>
  <c r="CB128" i="1"/>
  <c r="CC128" i="1"/>
  <c r="CB129" i="1"/>
  <c r="CC129" i="1"/>
  <c r="CB130" i="1"/>
  <c r="CC130" i="1"/>
  <c r="CB131" i="1"/>
  <c r="CC131" i="1"/>
  <c r="CB132" i="1"/>
  <c r="CC132" i="1"/>
  <c r="CB133" i="1"/>
  <c r="CC133" i="1"/>
  <c r="CB134" i="1"/>
  <c r="CC134" i="1"/>
  <c r="CB135" i="1"/>
  <c r="CC135" i="1"/>
  <c r="CB136" i="1"/>
  <c r="CC136" i="1"/>
  <c r="CB137" i="1"/>
  <c r="CC137" i="1"/>
  <c r="CB138" i="1"/>
  <c r="CC138" i="1"/>
  <c r="CB139" i="1"/>
  <c r="CC139" i="1"/>
  <c r="CB140" i="1"/>
  <c r="CC140" i="1"/>
  <c r="CB141" i="1"/>
  <c r="CC141" i="1"/>
  <c r="CB142" i="1"/>
  <c r="CC142" i="1"/>
  <c r="CB143" i="1"/>
  <c r="CC143" i="1"/>
  <c r="CB144" i="1"/>
  <c r="CC144" i="1"/>
  <c r="CB145" i="1"/>
  <c r="CC145" i="1"/>
  <c r="CB146" i="1"/>
  <c r="CC146" i="1"/>
  <c r="CB147" i="1"/>
  <c r="CC147" i="1"/>
  <c r="CB148" i="1"/>
  <c r="CC148" i="1"/>
  <c r="CB149" i="1"/>
  <c r="CC149" i="1"/>
  <c r="CB150" i="1"/>
  <c r="CC150" i="1"/>
  <c r="CB151" i="1"/>
  <c r="CC151" i="1"/>
  <c r="CB152" i="1"/>
  <c r="CC152" i="1"/>
  <c r="CB153" i="1"/>
  <c r="CC153" i="1"/>
  <c r="CB154" i="1"/>
  <c r="CC154" i="1"/>
  <c r="CB155" i="1"/>
  <c r="CC155" i="1"/>
  <c r="CB156" i="1"/>
  <c r="CC156" i="1"/>
  <c r="CB157" i="1"/>
  <c r="CC157" i="1"/>
  <c r="CB158" i="1"/>
  <c r="CC158" i="1"/>
  <c r="CB159" i="1"/>
  <c r="CC159" i="1"/>
  <c r="CB160" i="1"/>
  <c r="CC160" i="1"/>
  <c r="CB161" i="1"/>
  <c r="CC161" i="1"/>
  <c r="CB162" i="1"/>
  <c r="CC162" i="1"/>
  <c r="CB163" i="1"/>
  <c r="CC163" i="1"/>
  <c r="CB164" i="1"/>
  <c r="CC164" i="1"/>
  <c r="CB165" i="1"/>
  <c r="CC165" i="1"/>
  <c r="CB166" i="1"/>
  <c r="CC166" i="1"/>
  <c r="CB167" i="1"/>
  <c r="CC167" i="1"/>
  <c r="CB168" i="1"/>
  <c r="CC168" i="1"/>
  <c r="CB169" i="1"/>
  <c r="CC169" i="1"/>
  <c r="CB170" i="1"/>
  <c r="CC170" i="1"/>
  <c r="CB171" i="1"/>
  <c r="CC171" i="1"/>
  <c r="CB172" i="1"/>
  <c r="CC172" i="1"/>
  <c r="CB173" i="1"/>
  <c r="CC173" i="1"/>
  <c r="CB174" i="1"/>
  <c r="CB175" i="1"/>
  <c r="CC175" i="1"/>
  <c r="CB176" i="1"/>
  <c r="CC176" i="1"/>
  <c r="CB177" i="1"/>
  <c r="CC177" i="1"/>
  <c r="CB178" i="1"/>
  <c r="CC178" i="1"/>
  <c r="CB179" i="1"/>
  <c r="CC179" i="1"/>
  <c r="CB180" i="1"/>
  <c r="CC180" i="1"/>
  <c r="CB181" i="1"/>
  <c r="CC181" i="1"/>
  <c r="CB182" i="1"/>
  <c r="CC182" i="1"/>
  <c r="CB183" i="1"/>
  <c r="CC183" i="1"/>
  <c r="CB184" i="1"/>
  <c r="CC184" i="1"/>
  <c r="CB185" i="1"/>
  <c r="CC185" i="1"/>
  <c r="CB186" i="1"/>
  <c r="CC186" i="1"/>
  <c r="CB187" i="1"/>
  <c r="CC187" i="1"/>
  <c r="CB188" i="1"/>
  <c r="CC188" i="1"/>
  <c r="CB189" i="1"/>
  <c r="CC189" i="1"/>
  <c r="CB190" i="1"/>
  <c r="CC190" i="1"/>
  <c r="CB191" i="1"/>
  <c r="CC191" i="1"/>
  <c r="CB192" i="1"/>
  <c r="CC192" i="1"/>
  <c r="CB193" i="1"/>
  <c r="CC193" i="1"/>
  <c r="CB194" i="1"/>
  <c r="CC194" i="1"/>
  <c r="CB195" i="1"/>
  <c r="CC195" i="1"/>
  <c r="CB196" i="1"/>
  <c r="CC196" i="1"/>
  <c r="CB197" i="1"/>
  <c r="CC197" i="1"/>
  <c r="CB198" i="1"/>
  <c r="CC198" i="1"/>
  <c r="CB199" i="1"/>
  <c r="CC199" i="1"/>
  <c r="CB200" i="1"/>
  <c r="CC200" i="1"/>
  <c r="CB201" i="1"/>
  <c r="CC201" i="1"/>
  <c r="CB202" i="1"/>
  <c r="CC202" i="1"/>
  <c r="CB203" i="1"/>
  <c r="CC203" i="1"/>
  <c r="CB204" i="1"/>
  <c r="CC204" i="1"/>
  <c r="CB205" i="1"/>
  <c r="CC205" i="1"/>
  <c r="CB206" i="1"/>
  <c r="CC206" i="1"/>
  <c r="CB207" i="1"/>
  <c r="CC207" i="1"/>
  <c r="CB208" i="1"/>
  <c r="CC208" i="1"/>
  <c r="CB209" i="1"/>
  <c r="CC209" i="1"/>
  <c r="CB210" i="1"/>
  <c r="CC210" i="1"/>
  <c r="CB211" i="1"/>
  <c r="CC211" i="1"/>
  <c r="CB212" i="1"/>
  <c r="CC212" i="1"/>
  <c r="CB213" i="1"/>
  <c r="CC213" i="1"/>
  <c r="CB214" i="1"/>
  <c r="CC214" i="1"/>
  <c r="CB215" i="1"/>
  <c r="CC215" i="1"/>
  <c r="CB216" i="1"/>
  <c r="CC216" i="1"/>
  <c r="CB217" i="1"/>
  <c r="CC217" i="1"/>
  <c r="CB218" i="1"/>
  <c r="CC218" i="1"/>
  <c r="CB219" i="1"/>
  <c r="CC219" i="1"/>
  <c r="CB220" i="1"/>
  <c r="CC220" i="1"/>
  <c r="CB221" i="1"/>
  <c r="CC221" i="1"/>
  <c r="CB222" i="1"/>
  <c r="CC222" i="1"/>
  <c r="CB223" i="1"/>
  <c r="CC223" i="1"/>
  <c r="CB224" i="1"/>
  <c r="CC224" i="1"/>
  <c r="CB225" i="1"/>
  <c r="CC225" i="1"/>
  <c r="CB226" i="1"/>
  <c r="CC226" i="1"/>
  <c r="CB227" i="1"/>
  <c r="CC227" i="1"/>
  <c r="CB228" i="1"/>
  <c r="CC228" i="1"/>
  <c r="CB229" i="1"/>
  <c r="CC229" i="1"/>
  <c r="CB230" i="1"/>
  <c r="CC230" i="1"/>
  <c r="CB231" i="1"/>
  <c r="CC231" i="1"/>
  <c r="CB232" i="1"/>
  <c r="CC232" i="1"/>
  <c r="CB233" i="1"/>
  <c r="CC233" i="1"/>
  <c r="CB234" i="1"/>
  <c r="CC234" i="1"/>
  <c r="CB235" i="1"/>
  <c r="CC235" i="1"/>
  <c r="CB236" i="1"/>
  <c r="CC236" i="1"/>
  <c r="CB237" i="1"/>
  <c r="CC237" i="1"/>
  <c r="CB238" i="1"/>
  <c r="CC238" i="1"/>
  <c r="CB239" i="1"/>
  <c r="CC239" i="1"/>
  <c r="CB240" i="1"/>
  <c r="CC240" i="1"/>
  <c r="CB241" i="1"/>
  <c r="CC241" i="1"/>
  <c r="CB242" i="1"/>
  <c r="CC242" i="1"/>
  <c r="CB243" i="1"/>
  <c r="CC243" i="1"/>
  <c r="CB244" i="1"/>
  <c r="CC244" i="1"/>
  <c r="CB245" i="1"/>
  <c r="CC245" i="1"/>
  <c r="CB246" i="1"/>
  <c r="CC246" i="1"/>
  <c r="CB247" i="1"/>
  <c r="CC247" i="1"/>
  <c r="CB248" i="1"/>
  <c r="CC248" i="1"/>
  <c r="CB249" i="1"/>
  <c r="CC249" i="1"/>
  <c r="CB250" i="1"/>
  <c r="CC250" i="1"/>
  <c r="CB251" i="1"/>
  <c r="CC251" i="1"/>
  <c r="CB252" i="1"/>
  <c r="CC252" i="1"/>
  <c r="CB253" i="1"/>
  <c r="CC253" i="1"/>
  <c r="CB254" i="1"/>
  <c r="CC254" i="1"/>
  <c r="CB255" i="1"/>
  <c r="CC255" i="1"/>
  <c r="CB256" i="1"/>
  <c r="CC256" i="1"/>
  <c r="CB257" i="1"/>
  <c r="CC257" i="1"/>
  <c r="CB258" i="1"/>
  <c r="CC258" i="1"/>
  <c r="CB259" i="1"/>
  <c r="CC259" i="1"/>
  <c r="CB260" i="1"/>
  <c r="CC260" i="1"/>
  <c r="CB261" i="1"/>
  <c r="CC261" i="1"/>
  <c r="CB262" i="1"/>
  <c r="CC262" i="1"/>
  <c r="CB263" i="1"/>
  <c r="CC263" i="1"/>
  <c r="CB264" i="1"/>
  <c r="CC264" i="1"/>
  <c r="CB265" i="1"/>
  <c r="CC265" i="1"/>
  <c r="CB266" i="1"/>
  <c r="CC266" i="1"/>
  <c r="CB267" i="1"/>
  <c r="CC267" i="1"/>
  <c r="CB268" i="1"/>
  <c r="CC268" i="1"/>
  <c r="CB269" i="1"/>
  <c r="CC269" i="1"/>
  <c r="CB270" i="1"/>
  <c r="CC270" i="1"/>
  <c r="CB271" i="1"/>
  <c r="CC271" i="1"/>
  <c r="CB272" i="1"/>
  <c r="CC272" i="1"/>
  <c r="CB273" i="1"/>
  <c r="CC273" i="1"/>
  <c r="CB274" i="1"/>
  <c r="CC274" i="1"/>
  <c r="CB275" i="1"/>
  <c r="CC275" i="1"/>
  <c r="CB276" i="1"/>
  <c r="CC276" i="1"/>
  <c r="CB277" i="1"/>
  <c r="CC277" i="1"/>
  <c r="CB278" i="1"/>
  <c r="CC278" i="1"/>
  <c r="CB279" i="1"/>
  <c r="CC279" i="1"/>
  <c r="CB280" i="1"/>
  <c r="CC280" i="1"/>
  <c r="CB281" i="1"/>
  <c r="CC281" i="1"/>
  <c r="CB282" i="1"/>
  <c r="CC282" i="1"/>
  <c r="CB283" i="1"/>
  <c r="CC283" i="1"/>
  <c r="CB284" i="1"/>
  <c r="CC284" i="1"/>
  <c r="CB285" i="1"/>
  <c r="CC285" i="1"/>
  <c r="CB286" i="1"/>
  <c r="CC286" i="1"/>
  <c r="CB287" i="1"/>
  <c r="CC287" i="1"/>
  <c r="CB288" i="1"/>
  <c r="CC288" i="1"/>
  <c r="CB289" i="1"/>
  <c r="CC289" i="1"/>
  <c r="CB290" i="1"/>
  <c r="CC290" i="1"/>
  <c r="CB291" i="1"/>
  <c r="CC291" i="1"/>
  <c r="CB292" i="1"/>
  <c r="CC292" i="1"/>
  <c r="CB293" i="1"/>
  <c r="CC293" i="1"/>
  <c r="CB294" i="1"/>
  <c r="CC294" i="1"/>
  <c r="CB295" i="1"/>
  <c r="CC295" i="1"/>
  <c r="CB296" i="1"/>
  <c r="CC296" i="1"/>
  <c r="CB297" i="1"/>
  <c r="CC297" i="1"/>
  <c r="CB298" i="1"/>
  <c r="CC298" i="1"/>
  <c r="CB299" i="1"/>
  <c r="CC299" i="1"/>
  <c r="CC2" i="1"/>
  <c r="CB2" i="1"/>
  <c r="BY4" i="1"/>
  <c r="BY61" i="1"/>
  <c r="BY137" i="1"/>
  <c r="BY146" i="1"/>
  <c r="BY193" i="1"/>
  <c r="BY199" i="1"/>
  <c r="BR3" i="1"/>
  <c r="BS3" i="1"/>
  <c r="BR4" i="1"/>
  <c r="BS4" i="1"/>
  <c r="BR5" i="1"/>
  <c r="BS5" i="1"/>
  <c r="BR6" i="1"/>
  <c r="BS6" i="1"/>
  <c r="BR7" i="1"/>
  <c r="BS7" i="1"/>
  <c r="BR8" i="1"/>
  <c r="BS8" i="1"/>
  <c r="BR9" i="1"/>
  <c r="BS9" i="1"/>
  <c r="BR10" i="1"/>
  <c r="BS10" i="1"/>
  <c r="BR11" i="1"/>
  <c r="BS11" i="1"/>
  <c r="BR12" i="1"/>
  <c r="BS12" i="1"/>
  <c r="BR13" i="1"/>
  <c r="BS13" i="1"/>
  <c r="BR14" i="1"/>
  <c r="BS14" i="1"/>
  <c r="BR15" i="1"/>
  <c r="BS15" i="1"/>
  <c r="BR16" i="1"/>
  <c r="BS16" i="1"/>
  <c r="BR17" i="1"/>
  <c r="BS17" i="1"/>
  <c r="BR18" i="1"/>
  <c r="BS18" i="1"/>
  <c r="BR19" i="1"/>
  <c r="BS19" i="1"/>
  <c r="BR20" i="1"/>
  <c r="BS20" i="1"/>
  <c r="BR21" i="1"/>
  <c r="BS21" i="1"/>
  <c r="BR22" i="1"/>
  <c r="BS22" i="1"/>
  <c r="BR23" i="1"/>
  <c r="BS23" i="1"/>
  <c r="BR24" i="1"/>
  <c r="BS24" i="1"/>
  <c r="BR25" i="1"/>
  <c r="BS25" i="1"/>
  <c r="BR26" i="1"/>
  <c r="BS26" i="1"/>
  <c r="BR27" i="1"/>
  <c r="BS27" i="1"/>
  <c r="BR28" i="1"/>
  <c r="BS28" i="1"/>
  <c r="BR29" i="1"/>
  <c r="BS29" i="1"/>
  <c r="BR30" i="1"/>
  <c r="BS30" i="1"/>
  <c r="BR31" i="1"/>
  <c r="BS31" i="1"/>
  <c r="BR32" i="1"/>
  <c r="BS32" i="1"/>
  <c r="BR33" i="1"/>
  <c r="BS33" i="1"/>
  <c r="BR34" i="1"/>
  <c r="BS34" i="1"/>
  <c r="BR35" i="1"/>
  <c r="BS35" i="1"/>
  <c r="BR36" i="1"/>
  <c r="BS36" i="1"/>
  <c r="BR37" i="1"/>
  <c r="BS37" i="1"/>
  <c r="BR38" i="1"/>
  <c r="BS38" i="1"/>
  <c r="BR39" i="1"/>
  <c r="BS39" i="1"/>
  <c r="BR40" i="1"/>
  <c r="BS40" i="1"/>
  <c r="BR41" i="1"/>
  <c r="BS41" i="1"/>
  <c r="BR42" i="1"/>
  <c r="BS42" i="1"/>
  <c r="BR43" i="1"/>
  <c r="BS43" i="1"/>
  <c r="BR44" i="1"/>
  <c r="BS44" i="1"/>
  <c r="BR45" i="1"/>
  <c r="BS45" i="1"/>
  <c r="BR46" i="1"/>
  <c r="BS46" i="1"/>
  <c r="BR47" i="1"/>
  <c r="BS47" i="1"/>
  <c r="BR48" i="1"/>
  <c r="BS48" i="1"/>
  <c r="BR49" i="1"/>
  <c r="BS49" i="1"/>
  <c r="BR50" i="1"/>
  <c r="BS50" i="1"/>
  <c r="BR51" i="1"/>
  <c r="BS51" i="1"/>
  <c r="BR52" i="1"/>
  <c r="BS52" i="1"/>
  <c r="BR53" i="1"/>
  <c r="BS53" i="1"/>
  <c r="BR54" i="1"/>
  <c r="BS54" i="1"/>
  <c r="BR55" i="1"/>
  <c r="BS55" i="1"/>
  <c r="BR56" i="1"/>
  <c r="BS56" i="1"/>
  <c r="BR57" i="1"/>
  <c r="BS57" i="1"/>
  <c r="BR58" i="1"/>
  <c r="BS58" i="1"/>
  <c r="BR59" i="1"/>
  <c r="BS59" i="1"/>
  <c r="BR60" i="1"/>
  <c r="BS60" i="1"/>
  <c r="BR61" i="1"/>
  <c r="BS61" i="1"/>
  <c r="BR62" i="1"/>
  <c r="BS62" i="1"/>
  <c r="BR63" i="1"/>
  <c r="BS63" i="1"/>
  <c r="BR64" i="1"/>
  <c r="BS64" i="1"/>
  <c r="BR65" i="1"/>
  <c r="BS65" i="1"/>
  <c r="BR66" i="1"/>
  <c r="BS66" i="1"/>
  <c r="BR67" i="1"/>
  <c r="BS67" i="1"/>
  <c r="BR68" i="1"/>
  <c r="BS68" i="1"/>
  <c r="BR69" i="1"/>
  <c r="BS69" i="1"/>
  <c r="BR70" i="1"/>
  <c r="BS70" i="1"/>
  <c r="BR71" i="1"/>
  <c r="BS71" i="1"/>
  <c r="BR72" i="1"/>
  <c r="BS72" i="1"/>
  <c r="BR73" i="1"/>
  <c r="BS73" i="1"/>
  <c r="BR74" i="1"/>
  <c r="BS74" i="1"/>
  <c r="BR75" i="1"/>
  <c r="BS75" i="1"/>
  <c r="BR76" i="1"/>
  <c r="BS76" i="1"/>
  <c r="BR77" i="1"/>
  <c r="BS77" i="1"/>
  <c r="BR78" i="1"/>
  <c r="BS78" i="1"/>
  <c r="BR79" i="1"/>
  <c r="BS79" i="1"/>
  <c r="BR80" i="1"/>
  <c r="BS80" i="1"/>
  <c r="BR81" i="1"/>
  <c r="BS81" i="1"/>
  <c r="BR82" i="1"/>
  <c r="BS82" i="1"/>
  <c r="BR83" i="1"/>
  <c r="BS83" i="1"/>
  <c r="BR84" i="1"/>
  <c r="BS84" i="1"/>
  <c r="BR85" i="1"/>
  <c r="BS85" i="1"/>
  <c r="BR86" i="1"/>
  <c r="BS86" i="1"/>
  <c r="BR87" i="1"/>
  <c r="BS87" i="1"/>
  <c r="BR88" i="1"/>
  <c r="BS88" i="1"/>
  <c r="BR89" i="1"/>
  <c r="BS89" i="1"/>
  <c r="BR90" i="1"/>
  <c r="BS90" i="1"/>
  <c r="BR91" i="1"/>
  <c r="BS91" i="1"/>
  <c r="BR92" i="1"/>
  <c r="BS92" i="1"/>
  <c r="BR93" i="1"/>
  <c r="BS93" i="1"/>
  <c r="BR94" i="1"/>
  <c r="BS94" i="1"/>
  <c r="BR95" i="1"/>
  <c r="BS95" i="1"/>
  <c r="BR96" i="1"/>
  <c r="BS96" i="1"/>
  <c r="BR97" i="1"/>
  <c r="BS97" i="1"/>
  <c r="BR98" i="1"/>
  <c r="BS98" i="1"/>
  <c r="BR99" i="1"/>
  <c r="BS99" i="1"/>
  <c r="BR100" i="1"/>
  <c r="BS100" i="1"/>
  <c r="BR101" i="1"/>
  <c r="BS101" i="1"/>
  <c r="BR102" i="1"/>
  <c r="BS102" i="1"/>
  <c r="BR103" i="1"/>
  <c r="BS103" i="1"/>
  <c r="BR105" i="1"/>
  <c r="BS105" i="1"/>
  <c r="BR106" i="1"/>
  <c r="BS106" i="1"/>
  <c r="BR107" i="1"/>
  <c r="BS107" i="1"/>
  <c r="BR108" i="1"/>
  <c r="BS108" i="1"/>
  <c r="BR109" i="1"/>
  <c r="BS109" i="1"/>
  <c r="BR110" i="1"/>
  <c r="BS110" i="1"/>
  <c r="BR111" i="1"/>
  <c r="BS111" i="1"/>
  <c r="BR112" i="1"/>
  <c r="BS112" i="1"/>
  <c r="BR113" i="1"/>
  <c r="BS113" i="1"/>
  <c r="BR114" i="1"/>
  <c r="BS114" i="1"/>
  <c r="BR115" i="1"/>
  <c r="BS115" i="1"/>
  <c r="BR116" i="1"/>
  <c r="BS116" i="1"/>
  <c r="BR117" i="1"/>
  <c r="BS117" i="1"/>
  <c r="BR118" i="1"/>
  <c r="BS118" i="1"/>
  <c r="BR119" i="1"/>
  <c r="BS119" i="1"/>
  <c r="BR120" i="1"/>
  <c r="BS120" i="1"/>
  <c r="BR121" i="1"/>
  <c r="BS121" i="1"/>
  <c r="BR122" i="1"/>
  <c r="BS122" i="1"/>
  <c r="BR123" i="1"/>
  <c r="BS123" i="1"/>
  <c r="BR124" i="1"/>
  <c r="BS124" i="1"/>
  <c r="BR125" i="1"/>
  <c r="BS125" i="1"/>
  <c r="BR126" i="1"/>
  <c r="BS126" i="1"/>
  <c r="BR127" i="1"/>
  <c r="BS127" i="1"/>
  <c r="BR128" i="1"/>
  <c r="BS128" i="1"/>
  <c r="BR129" i="1"/>
  <c r="BS129" i="1"/>
  <c r="BR130" i="1"/>
  <c r="BS130" i="1"/>
  <c r="BR131" i="1"/>
  <c r="BS131" i="1"/>
  <c r="BR132" i="1"/>
  <c r="BS132" i="1"/>
  <c r="BR133" i="1"/>
  <c r="BS133" i="1"/>
  <c r="BR134" i="1"/>
  <c r="BS134" i="1"/>
  <c r="BR135" i="1"/>
  <c r="BS135" i="1"/>
  <c r="BR136" i="1"/>
  <c r="BS136" i="1"/>
  <c r="BR137" i="1"/>
  <c r="BS137" i="1"/>
  <c r="BR138" i="1"/>
  <c r="BS138" i="1"/>
  <c r="BR139" i="1"/>
  <c r="BS139" i="1"/>
  <c r="BR140" i="1"/>
  <c r="BS140" i="1"/>
  <c r="BR141" i="1"/>
  <c r="BS141" i="1"/>
  <c r="BR142" i="1"/>
  <c r="BS142" i="1"/>
  <c r="BR143" i="1"/>
  <c r="BS143" i="1"/>
  <c r="BR144" i="1"/>
  <c r="BS144" i="1"/>
  <c r="BR145" i="1"/>
  <c r="BS145" i="1"/>
  <c r="BR146" i="1"/>
  <c r="BS146" i="1"/>
  <c r="BR147" i="1"/>
  <c r="BS147" i="1"/>
  <c r="BR148" i="1"/>
  <c r="BS148" i="1"/>
  <c r="BR149" i="1"/>
  <c r="BS149" i="1"/>
  <c r="BR150" i="1"/>
  <c r="BS150" i="1"/>
  <c r="BR151" i="1"/>
  <c r="BS151" i="1"/>
  <c r="BR152" i="1"/>
  <c r="BS152" i="1"/>
  <c r="BR153" i="1"/>
  <c r="BS153" i="1"/>
  <c r="BR154" i="1"/>
  <c r="BS154" i="1"/>
  <c r="BR155" i="1"/>
  <c r="BS155" i="1"/>
  <c r="BR156" i="1"/>
  <c r="BS156" i="1"/>
  <c r="BR157" i="1"/>
  <c r="BS157" i="1"/>
  <c r="BR158" i="1"/>
  <c r="BS158" i="1"/>
  <c r="BR159" i="1"/>
  <c r="BS159" i="1"/>
  <c r="BR160" i="1"/>
  <c r="BS160" i="1"/>
  <c r="BR161" i="1"/>
  <c r="BS161" i="1"/>
  <c r="BR162" i="1"/>
  <c r="BS162" i="1"/>
  <c r="BR163" i="1"/>
  <c r="BS163" i="1"/>
  <c r="BR164" i="1"/>
  <c r="BS164" i="1"/>
  <c r="BR165" i="1"/>
  <c r="BS165" i="1"/>
  <c r="BR166" i="1"/>
  <c r="BS166" i="1"/>
  <c r="BR167" i="1"/>
  <c r="BS167" i="1"/>
  <c r="BR168" i="1"/>
  <c r="BS168" i="1"/>
  <c r="BR169" i="1"/>
  <c r="BS169" i="1"/>
  <c r="BR170" i="1"/>
  <c r="BS170" i="1"/>
  <c r="BR171" i="1"/>
  <c r="BS171" i="1"/>
  <c r="BR172" i="1"/>
  <c r="BS172" i="1"/>
  <c r="BR173" i="1"/>
  <c r="BS173" i="1"/>
  <c r="BR174" i="1"/>
  <c r="BR175" i="1"/>
  <c r="BS175" i="1"/>
  <c r="BR176" i="1"/>
  <c r="BS176" i="1"/>
  <c r="BR177" i="1"/>
  <c r="BS177" i="1"/>
  <c r="BR178" i="1"/>
  <c r="BS178" i="1"/>
  <c r="BR179" i="1"/>
  <c r="BS179" i="1"/>
  <c r="BR180" i="1"/>
  <c r="BS180" i="1"/>
  <c r="BR181" i="1"/>
  <c r="BS181" i="1"/>
  <c r="BR182" i="1"/>
  <c r="BS182" i="1"/>
  <c r="BR183" i="1"/>
  <c r="BS183" i="1"/>
  <c r="BR184" i="1"/>
  <c r="BS184" i="1"/>
  <c r="BR185" i="1"/>
  <c r="BS185" i="1"/>
  <c r="BR186" i="1"/>
  <c r="BS186" i="1"/>
  <c r="BR187" i="1"/>
  <c r="BS187" i="1"/>
  <c r="BR188" i="1"/>
  <c r="BS188" i="1"/>
  <c r="BR189" i="1"/>
  <c r="BS189" i="1"/>
  <c r="BR190" i="1"/>
  <c r="BS190" i="1"/>
  <c r="BR191" i="1"/>
  <c r="BS191" i="1"/>
  <c r="BR192" i="1"/>
  <c r="BS192" i="1"/>
  <c r="BR193" i="1"/>
  <c r="BS193" i="1"/>
  <c r="BR194" i="1"/>
  <c r="BS194" i="1"/>
  <c r="BR195" i="1"/>
  <c r="BS195" i="1"/>
  <c r="BR196" i="1"/>
  <c r="BS196" i="1"/>
  <c r="BR197" i="1"/>
  <c r="BS197" i="1"/>
  <c r="BR198" i="1"/>
  <c r="BS198" i="1"/>
  <c r="BR199" i="1"/>
  <c r="BS199" i="1"/>
  <c r="BR200" i="1"/>
  <c r="BS200" i="1"/>
  <c r="BR201" i="1"/>
  <c r="BS201" i="1"/>
  <c r="BR202" i="1"/>
  <c r="BS202" i="1"/>
  <c r="BR203" i="1"/>
  <c r="BS203" i="1"/>
  <c r="BR204" i="1"/>
  <c r="BS204" i="1"/>
  <c r="BR205" i="1"/>
  <c r="BS205" i="1"/>
  <c r="BR206" i="1"/>
  <c r="BS206" i="1"/>
  <c r="BR207" i="1"/>
  <c r="BS207" i="1"/>
  <c r="BR208" i="1"/>
  <c r="BS208" i="1"/>
  <c r="BR209" i="1"/>
  <c r="BS209" i="1"/>
  <c r="BR210" i="1"/>
  <c r="BS210" i="1"/>
  <c r="BR211" i="1"/>
  <c r="BS211" i="1"/>
  <c r="BR212" i="1"/>
  <c r="BS212" i="1"/>
  <c r="BR213" i="1"/>
  <c r="BS213" i="1"/>
  <c r="BR214" i="1"/>
  <c r="BS214" i="1"/>
  <c r="BR215" i="1"/>
  <c r="BS215" i="1"/>
  <c r="BR216" i="1"/>
  <c r="BS216" i="1"/>
  <c r="BR217" i="1"/>
  <c r="BS217" i="1"/>
  <c r="BR218" i="1"/>
  <c r="BS218" i="1"/>
  <c r="BR219" i="1"/>
  <c r="BS219" i="1"/>
  <c r="BR220" i="1"/>
  <c r="BS220" i="1"/>
  <c r="BR221" i="1"/>
  <c r="BS221" i="1"/>
  <c r="BR222" i="1"/>
  <c r="BS222" i="1"/>
  <c r="BR223" i="1"/>
  <c r="BS223" i="1"/>
  <c r="BR224" i="1"/>
  <c r="BS224" i="1"/>
  <c r="BR225" i="1"/>
  <c r="BS225" i="1"/>
  <c r="BR226" i="1"/>
  <c r="BS226" i="1"/>
  <c r="BR227" i="1"/>
  <c r="BS227" i="1"/>
  <c r="BR228" i="1"/>
  <c r="BS228" i="1"/>
  <c r="BR229" i="1"/>
  <c r="BS229" i="1"/>
  <c r="BR230" i="1"/>
  <c r="BS230" i="1"/>
  <c r="BR231" i="1"/>
  <c r="BS231" i="1"/>
  <c r="BR232" i="1"/>
  <c r="BS232" i="1"/>
  <c r="BR233" i="1"/>
  <c r="BS233" i="1"/>
  <c r="BR234" i="1"/>
  <c r="BS234" i="1"/>
  <c r="BR235" i="1"/>
  <c r="BS235" i="1"/>
  <c r="BR236" i="1"/>
  <c r="BS236" i="1"/>
  <c r="BR237" i="1"/>
  <c r="BS237" i="1"/>
  <c r="BR238" i="1"/>
  <c r="BS238" i="1"/>
  <c r="BR239" i="1"/>
  <c r="BS239" i="1"/>
  <c r="BR240" i="1"/>
  <c r="BS240" i="1"/>
  <c r="BR241" i="1"/>
  <c r="BS241" i="1"/>
  <c r="BR242" i="1"/>
  <c r="BS242" i="1"/>
  <c r="BR243" i="1"/>
  <c r="BS243" i="1"/>
  <c r="BR244" i="1"/>
  <c r="BS244" i="1"/>
  <c r="BR245" i="1"/>
  <c r="BS245" i="1"/>
  <c r="BR246" i="1"/>
  <c r="BS246" i="1"/>
  <c r="BR247" i="1"/>
  <c r="BS247" i="1"/>
  <c r="BR248" i="1"/>
  <c r="BS248" i="1"/>
  <c r="BR249" i="1"/>
  <c r="BS249" i="1"/>
  <c r="BR250" i="1"/>
  <c r="BS250" i="1"/>
  <c r="BR251" i="1"/>
  <c r="BS251" i="1"/>
  <c r="BR252" i="1"/>
  <c r="BS252" i="1"/>
  <c r="BR253" i="1"/>
  <c r="BS253" i="1"/>
  <c r="BR254" i="1"/>
  <c r="BS254" i="1"/>
  <c r="BR255" i="1"/>
  <c r="BS255" i="1"/>
  <c r="BR256" i="1"/>
  <c r="BS256" i="1"/>
  <c r="BR257" i="1"/>
  <c r="BS257" i="1"/>
  <c r="BR258" i="1"/>
  <c r="BS258" i="1"/>
  <c r="BR259" i="1"/>
  <c r="BS259" i="1"/>
  <c r="BR260" i="1"/>
  <c r="BS260" i="1"/>
  <c r="BR261" i="1"/>
  <c r="BS261" i="1"/>
  <c r="BR262" i="1"/>
  <c r="BS262" i="1"/>
  <c r="BR263" i="1"/>
  <c r="BS263" i="1"/>
  <c r="BR264" i="1"/>
  <c r="BS264" i="1"/>
  <c r="BR265" i="1"/>
  <c r="BS265" i="1"/>
  <c r="BR266" i="1"/>
  <c r="BS266" i="1"/>
  <c r="BR267" i="1"/>
  <c r="BS267" i="1"/>
  <c r="BR268" i="1"/>
  <c r="BS268" i="1"/>
  <c r="BR269" i="1"/>
  <c r="BS269" i="1"/>
  <c r="BR270" i="1"/>
  <c r="BS270" i="1"/>
  <c r="BR271" i="1"/>
  <c r="BS271" i="1"/>
  <c r="BR272" i="1"/>
  <c r="BS272" i="1"/>
  <c r="BR273" i="1"/>
  <c r="BS273" i="1"/>
  <c r="BR274" i="1"/>
  <c r="BS274" i="1"/>
  <c r="BR275" i="1"/>
  <c r="BS275" i="1"/>
  <c r="BR276" i="1"/>
  <c r="BS276" i="1"/>
  <c r="BR277" i="1"/>
  <c r="BS277" i="1"/>
  <c r="BR278" i="1"/>
  <c r="BS278" i="1"/>
  <c r="BR279" i="1"/>
  <c r="BS279" i="1"/>
  <c r="BR280" i="1"/>
  <c r="BS280" i="1"/>
  <c r="BR281" i="1"/>
  <c r="BS281" i="1"/>
  <c r="BR282" i="1"/>
  <c r="BS282" i="1"/>
  <c r="BR283" i="1"/>
  <c r="BS283" i="1"/>
  <c r="BR284" i="1"/>
  <c r="BS284" i="1"/>
  <c r="BR285" i="1"/>
  <c r="BS285" i="1"/>
  <c r="BR286" i="1"/>
  <c r="BS286" i="1"/>
  <c r="BR287" i="1"/>
  <c r="BS287" i="1"/>
  <c r="BR288" i="1"/>
  <c r="BS288" i="1"/>
  <c r="BR289" i="1"/>
  <c r="BS289" i="1"/>
  <c r="BR290" i="1"/>
  <c r="BS290" i="1"/>
  <c r="BR291" i="1"/>
  <c r="BS291" i="1"/>
  <c r="BR292" i="1"/>
  <c r="BS292" i="1"/>
  <c r="BR293" i="1"/>
  <c r="BS293" i="1"/>
  <c r="BR294" i="1"/>
  <c r="BS294" i="1"/>
  <c r="BR295" i="1"/>
  <c r="BS295" i="1"/>
  <c r="BR296" i="1"/>
  <c r="BS296" i="1"/>
  <c r="BR297" i="1"/>
  <c r="BS297" i="1"/>
  <c r="BR298" i="1"/>
  <c r="BS298" i="1"/>
  <c r="BR299" i="1"/>
  <c r="BS299" i="1"/>
  <c r="BS2" i="1"/>
  <c r="BR2" i="1"/>
  <c r="BO4" i="1"/>
  <c r="BO61" i="1"/>
  <c r="BO137" i="1"/>
  <c r="BO146" i="1"/>
  <c r="BO193" i="1"/>
  <c r="BO199" i="1"/>
  <c r="BH3" i="1"/>
  <c r="BI3" i="1"/>
  <c r="BH4" i="1"/>
  <c r="BI4" i="1"/>
  <c r="BH5" i="1"/>
  <c r="BI5" i="1"/>
  <c r="BH6" i="1"/>
  <c r="BI6" i="1"/>
  <c r="BH7" i="1"/>
  <c r="BI7" i="1"/>
  <c r="BH8" i="1"/>
  <c r="BI8" i="1"/>
  <c r="BH9" i="1"/>
  <c r="BI9" i="1"/>
  <c r="BH10" i="1"/>
  <c r="BI10" i="1"/>
  <c r="BH11" i="1"/>
  <c r="BI11" i="1"/>
  <c r="BH12" i="1"/>
  <c r="BI12" i="1"/>
  <c r="BH13" i="1"/>
  <c r="BI13" i="1"/>
  <c r="BH14" i="1"/>
  <c r="BI14" i="1"/>
  <c r="BH15" i="1"/>
  <c r="BI15" i="1"/>
  <c r="BH16" i="1"/>
  <c r="BI16" i="1"/>
  <c r="BH17" i="1"/>
  <c r="BI17" i="1"/>
  <c r="BH18" i="1"/>
  <c r="BI18" i="1"/>
  <c r="BH19" i="1"/>
  <c r="BI19" i="1"/>
  <c r="BH20" i="1"/>
  <c r="BI20" i="1"/>
  <c r="BH21" i="1"/>
  <c r="BI21" i="1"/>
  <c r="BH22" i="1"/>
  <c r="BI22" i="1"/>
  <c r="BH23" i="1"/>
  <c r="BI23" i="1"/>
  <c r="BH24" i="1"/>
  <c r="BI24" i="1"/>
  <c r="BH25" i="1"/>
  <c r="BI25" i="1"/>
  <c r="BH26" i="1"/>
  <c r="BI26" i="1"/>
  <c r="BH27" i="1"/>
  <c r="BI27" i="1"/>
  <c r="BH28" i="1"/>
  <c r="BI28" i="1"/>
  <c r="BH29" i="1"/>
  <c r="BI29" i="1"/>
  <c r="BH30" i="1"/>
  <c r="BI30" i="1"/>
  <c r="BH31" i="1"/>
  <c r="BI31" i="1"/>
  <c r="BH32" i="1"/>
  <c r="BI32" i="1"/>
  <c r="BH33" i="1"/>
  <c r="BI33" i="1"/>
  <c r="BH34" i="1"/>
  <c r="BI34" i="1"/>
  <c r="BH35" i="1"/>
  <c r="BI35" i="1"/>
  <c r="BH36" i="1"/>
  <c r="BI36" i="1"/>
  <c r="BH37" i="1"/>
  <c r="BI37" i="1"/>
  <c r="BH38" i="1"/>
  <c r="BI38" i="1"/>
  <c r="BH39" i="1"/>
  <c r="BI39" i="1"/>
  <c r="BH40" i="1"/>
  <c r="BI40" i="1"/>
  <c r="BH41" i="1"/>
  <c r="BI41" i="1"/>
  <c r="BH42" i="1"/>
  <c r="BI42" i="1"/>
  <c r="BH43" i="1"/>
  <c r="BI43" i="1"/>
  <c r="BH44" i="1"/>
  <c r="BI44" i="1"/>
  <c r="BH45" i="1"/>
  <c r="BI45" i="1"/>
  <c r="BH46" i="1"/>
  <c r="BI46" i="1"/>
  <c r="BH47" i="1"/>
  <c r="BI47" i="1"/>
  <c r="BH48" i="1"/>
  <c r="BI48" i="1"/>
  <c r="BH49" i="1"/>
  <c r="BI49" i="1"/>
  <c r="BH50" i="1"/>
  <c r="BI50" i="1"/>
  <c r="BH51" i="1"/>
  <c r="BI51" i="1"/>
  <c r="BH52" i="1"/>
  <c r="BI52" i="1"/>
  <c r="BH53" i="1"/>
  <c r="BI53" i="1"/>
  <c r="BH54" i="1"/>
  <c r="BI54" i="1"/>
  <c r="BH55" i="1"/>
  <c r="BI55" i="1"/>
  <c r="BH56" i="1"/>
  <c r="BI56" i="1"/>
  <c r="BH57" i="1"/>
  <c r="BI57" i="1"/>
  <c r="BH58" i="1"/>
  <c r="BI58" i="1"/>
  <c r="BH59" i="1"/>
  <c r="BI59" i="1"/>
  <c r="BH60" i="1"/>
  <c r="BI60" i="1"/>
  <c r="BH61" i="1"/>
  <c r="BI61" i="1"/>
  <c r="BH62" i="1"/>
  <c r="BI62" i="1"/>
  <c r="BH63" i="1"/>
  <c r="BI63" i="1"/>
  <c r="BH64" i="1"/>
  <c r="BI64" i="1"/>
  <c r="BH65" i="1"/>
  <c r="BI65" i="1"/>
  <c r="BH66" i="1"/>
  <c r="BI66" i="1"/>
  <c r="BH67" i="1"/>
  <c r="BI67" i="1"/>
  <c r="BH68" i="1"/>
  <c r="BI68" i="1"/>
  <c r="BH69" i="1"/>
  <c r="BI69" i="1"/>
  <c r="BH70" i="1"/>
  <c r="BI70" i="1"/>
  <c r="BH71" i="1"/>
  <c r="BI71" i="1"/>
  <c r="BH72" i="1"/>
  <c r="BI72" i="1"/>
  <c r="BH73" i="1"/>
  <c r="BI73" i="1"/>
  <c r="BH74" i="1"/>
  <c r="BI74" i="1"/>
  <c r="BH75" i="1"/>
  <c r="BI75" i="1"/>
  <c r="BH76" i="1"/>
  <c r="BI76" i="1"/>
  <c r="BH77" i="1"/>
  <c r="BI77" i="1"/>
  <c r="BH78" i="1"/>
  <c r="BI78" i="1"/>
  <c r="BH79" i="1"/>
  <c r="BI79" i="1"/>
  <c r="BH80" i="1"/>
  <c r="BI80" i="1"/>
  <c r="BH81" i="1"/>
  <c r="BI81" i="1"/>
  <c r="BH82" i="1"/>
  <c r="BI82" i="1"/>
  <c r="BH83" i="1"/>
  <c r="BI83" i="1"/>
  <c r="BH84" i="1"/>
  <c r="BI84" i="1"/>
  <c r="BH85" i="1"/>
  <c r="BI85" i="1"/>
  <c r="BH86" i="1"/>
  <c r="BI86" i="1"/>
  <c r="BH87" i="1"/>
  <c r="BI87" i="1"/>
  <c r="BH88" i="1"/>
  <c r="BI88" i="1"/>
  <c r="BH89" i="1"/>
  <c r="BI89" i="1"/>
  <c r="BH90" i="1"/>
  <c r="BI90" i="1"/>
  <c r="BH91" i="1"/>
  <c r="BI91" i="1"/>
  <c r="BH92" i="1"/>
  <c r="BI92" i="1"/>
  <c r="BH93" i="1"/>
  <c r="BI93" i="1"/>
  <c r="BH94" i="1"/>
  <c r="BI94" i="1"/>
  <c r="BH95" i="1"/>
  <c r="BI95" i="1"/>
  <c r="BH96" i="1"/>
  <c r="BI96" i="1"/>
  <c r="BH97" i="1"/>
  <c r="BI97" i="1"/>
  <c r="BH98" i="1"/>
  <c r="BI98" i="1"/>
  <c r="BH99" i="1"/>
  <c r="BI99" i="1"/>
  <c r="BH100" i="1"/>
  <c r="BI100" i="1"/>
  <c r="BH101" i="1"/>
  <c r="BI101" i="1"/>
  <c r="BH102" i="1"/>
  <c r="BI102" i="1"/>
  <c r="BH103" i="1"/>
  <c r="BI103" i="1"/>
  <c r="BH105" i="1"/>
  <c r="BI105" i="1"/>
  <c r="BH106" i="1"/>
  <c r="BI106" i="1"/>
  <c r="BH107" i="1"/>
  <c r="BI107" i="1"/>
  <c r="BH108" i="1"/>
  <c r="BI108" i="1"/>
  <c r="BH109" i="1"/>
  <c r="BI109" i="1"/>
  <c r="BH110" i="1"/>
  <c r="BI110" i="1"/>
  <c r="BH111" i="1"/>
  <c r="BI111" i="1"/>
  <c r="BH112" i="1"/>
  <c r="BI112" i="1"/>
  <c r="BH113" i="1"/>
  <c r="BI113" i="1"/>
  <c r="BH114" i="1"/>
  <c r="BI114" i="1"/>
  <c r="BH115" i="1"/>
  <c r="BI115" i="1"/>
  <c r="BH116" i="1"/>
  <c r="BI116" i="1"/>
  <c r="BH117" i="1"/>
  <c r="BI117" i="1"/>
  <c r="BH118" i="1"/>
  <c r="BI118" i="1"/>
  <c r="BH119" i="1"/>
  <c r="BI119" i="1"/>
  <c r="BH120" i="1"/>
  <c r="BI120" i="1"/>
  <c r="BH121" i="1"/>
  <c r="BI121" i="1"/>
  <c r="BH122" i="1"/>
  <c r="BI122" i="1"/>
  <c r="BH123" i="1"/>
  <c r="BI123" i="1"/>
  <c r="BH124" i="1"/>
  <c r="BI124" i="1"/>
  <c r="BH125" i="1"/>
  <c r="BI125" i="1"/>
  <c r="BH126" i="1"/>
  <c r="BI126" i="1"/>
  <c r="BH127" i="1"/>
  <c r="BI127" i="1"/>
  <c r="BH128" i="1"/>
  <c r="BI128" i="1"/>
  <c r="BH129" i="1"/>
  <c r="BI129" i="1"/>
  <c r="BH130" i="1"/>
  <c r="BI130" i="1"/>
  <c r="BH131" i="1"/>
  <c r="BI131" i="1"/>
  <c r="BH132" i="1"/>
  <c r="BI132" i="1"/>
  <c r="BH133" i="1"/>
  <c r="BI133" i="1"/>
  <c r="BH134" i="1"/>
  <c r="BI134" i="1"/>
  <c r="BH135" i="1"/>
  <c r="BI135" i="1"/>
  <c r="BH136" i="1"/>
  <c r="BI136" i="1"/>
  <c r="BH137" i="1"/>
  <c r="BI137" i="1"/>
  <c r="BH138" i="1"/>
  <c r="BI138" i="1"/>
  <c r="BH139" i="1"/>
  <c r="BI139" i="1"/>
  <c r="BH140" i="1"/>
  <c r="BI140" i="1"/>
  <c r="BH141" i="1"/>
  <c r="BI141" i="1"/>
  <c r="BH142" i="1"/>
  <c r="BI142" i="1"/>
  <c r="BH143" i="1"/>
  <c r="BI143" i="1"/>
  <c r="BH144" i="1"/>
  <c r="BI144" i="1"/>
  <c r="BH145" i="1"/>
  <c r="BI145" i="1"/>
  <c r="BH146" i="1"/>
  <c r="BI146" i="1"/>
  <c r="BH147" i="1"/>
  <c r="BI147" i="1"/>
  <c r="BH148" i="1"/>
  <c r="BI148" i="1"/>
  <c r="BH149" i="1"/>
  <c r="BI149" i="1"/>
  <c r="BH150" i="1"/>
  <c r="BI150" i="1"/>
  <c r="BH151" i="1"/>
  <c r="BI151" i="1"/>
  <c r="BH152" i="1"/>
  <c r="BI152" i="1"/>
  <c r="BH153" i="1"/>
  <c r="BI153" i="1"/>
  <c r="BH154" i="1"/>
  <c r="BI154" i="1"/>
  <c r="BH155" i="1"/>
  <c r="BI155" i="1"/>
  <c r="BH156" i="1"/>
  <c r="BI156" i="1"/>
  <c r="BH157" i="1"/>
  <c r="BI157" i="1"/>
  <c r="BH158" i="1"/>
  <c r="BI158" i="1"/>
  <c r="BH159" i="1"/>
  <c r="BI159" i="1"/>
  <c r="BH160" i="1"/>
  <c r="BI160" i="1"/>
  <c r="BH161" i="1"/>
  <c r="BI161" i="1"/>
  <c r="BH162" i="1"/>
  <c r="BI162" i="1"/>
  <c r="BH163" i="1"/>
  <c r="BI163" i="1"/>
  <c r="BH164" i="1"/>
  <c r="BI164" i="1"/>
  <c r="BH165" i="1"/>
  <c r="BI165" i="1"/>
  <c r="BH166" i="1"/>
  <c r="BI166" i="1"/>
  <c r="BH167" i="1"/>
  <c r="BI167" i="1"/>
  <c r="BH168" i="1"/>
  <c r="BI168" i="1"/>
  <c r="BH169" i="1"/>
  <c r="BI169" i="1"/>
  <c r="BH170" i="1"/>
  <c r="BI170" i="1"/>
  <c r="BH171" i="1"/>
  <c r="BI171" i="1"/>
  <c r="BH172" i="1"/>
  <c r="BI172" i="1"/>
  <c r="BH173" i="1"/>
  <c r="BI173" i="1"/>
  <c r="BH174" i="1"/>
  <c r="BH175" i="1"/>
  <c r="BI175" i="1"/>
  <c r="BH176" i="1"/>
  <c r="BI176" i="1"/>
  <c r="BH177" i="1"/>
  <c r="BI177" i="1"/>
  <c r="BH178" i="1"/>
  <c r="BI178" i="1"/>
  <c r="BH179" i="1"/>
  <c r="BI179" i="1"/>
  <c r="BH180" i="1"/>
  <c r="BI180" i="1"/>
  <c r="BH181" i="1"/>
  <c r="BI181" i="1"/>
  <c r="BH182" i="1"/>
  <c r="BI182" i="1"/>
  <c r="BH183" i="1"/>
  <c r="BI183" i="1"/>
  <c r="BH184" i="1"/>
  <c r="BI184" i="1"/>
  <c r="BH185" i="1"/>
  <c r="BI185" i="1"/>
  <c r="BH186" i="1"/>
  <c r="BI186" i="1"/>
  <c r="BH187" i="1"/>
  <c r="BI187" i="1"/>
  <c r="BH188" i="1"/>
  <c r="BI188" i="1"/>
  <c r="BH189" i="1"/>
  <c r="BI189" i="1"/>
  <c r="BH190" i="1"/>
  <c r="BI190" i="1"/>
  <c r="BH191" i="1"/>
  <c r="BI191" i="1"/>
  <c r="BH192" i="1"/>
  <c r="BI192" i="1"/>
  <c r="BH193" i="1"/>
  <c r="BI193" i="1"/>
  <c r="BH194" i="1"/>
  <c r="BI194" i="1"/>
  <c r="BH195" i="1"/>
  <c r="BI195" i="1"/>
  <c r="BH196" i="1"/>
  <c r="BI196" i="1"/>
  <c r="BH197" i="1"/>
  <c r="BI197" i="1"/>
  <c r="BH198" i="1"/>
  <c r="BI198" i="1"/>
  <c r="BH199" i="1"/>
  <c r="BI199" i="1"/>
  <c r="BH200" i="1"/>
  <c r="BI200" i="1"/>
  <c r="BH201" i="1"/>
  <c r="BI201" i="1"/>
  <c r="BH202" i="1"/>
  <c r="BI202" i="1"/>
  <c r="BH203" i="1"/>
  <c r="BI203" i="1"/>
  <c r="BH204" i="1"/>
  <c r="BI204" i="1"/>
  <c r="BH205" i="1"/>
  <c r="BI205" i="1"/>
  <c r="BH206" i="1"/>
  <c r="BI206" i="1"/>
  <c r="BH207" i="1"/>
  <c r="BI207" i="1"/>
  <c r="BH208" i="1"/>
  <c r="BI208" i="1"/>
  <c r="BH209" i="1"/>
  <c r="BI209" i="1"/>
  <c r="BH210" i="1"/>
  <c r="BI210" i="1"/>
  <c r="BH211" i="1"/>
  <c r="BI211" i="1"/>
  <c r="BH212" i="1"/>
  <c r="BI212" i="1"/>
  <c r="BH213" i="1"/>
  <c r="BI213" i="1"/>
  <c r="BH214" i="1"/>
  <c r="BI214" i="1"/>
  <c r="BH215" i="1"/>
  <c r="BI215" i="1"/>
  <c r="BH216" i="1"/>
  <c r="BI216" i="1"/>
  <c r="BH217" i="1"/>
  <c r="BI217" i="1"/>
  <c r="BH218" i="1"/>
  <c r="BI218" i="1"/>
  <c r="BH219" i="1"/>
  <c r="BI219" i="1"/>
  <c r="BH220" i="1"/>
  <c r="BI220" i="1"/>
  <c r="BH221" i="1"/>
  <c r="BI221" i="1"/>
  <c r="BH222" i="1"/>
  <c r="BI222" i="1"/>
  <c r="BH223" i="1"/>
  <c r="BI223" i="1"/>
  <c r="BH224" i="1"/>
  <c r="BI224" i="1"/>
  <c r="BH225" i="1"/>
  <c r="BI225" i="1"/>
  <c r="BH226" i="1"/>
  <c r="BI226" i="1"/>
  <c r="BH227" i="1"/>
  <c r="BI227" i="1"/>
  <c r="BH228" i="1"/>
  <c r="BI228" i="1"/>
  <c r="BH229" i="1"/>
  <c r="BI229" i="1"/>
  <c r="BH230" i="1"/>
  <c r="BI230" i="1"/>
  <c r="BH231" i="1"/>
  <c r="BI231" i="1"/>
  <c r="BH232" i="1"/>
  <c r="BI232" i="1"/>
  <c r="BH233" i="1"/>
  <c r="BI233" i="1"/>
  <c r="BH234" i="1"/>
  <c r="BI234" i="1"/>
  <c r="BH235" i="1"/>
  <c r="BI235" i="1"/>
  <c r="BH236" i="1"/>
  <c r="BI236" i="1"/>
  <c r="BH237" i="1"/>
  <c r="BI237" i="1"/>
  <c r="BH238" i="1"/>
  <c r="BI238" i="1"/>
  <c r="BH239" i="1"/>
  <c r="BI239" i="1"/>
  <c r="BH240" i="1"/>
  <c r="BI240" i="1"/>
  <c r="BH241" i="1"/>
  <c r="BI241" i="1"/>
  <c r="BH242" i="1"/>
  <c r="BI242" i="1"/>
  <c r="BH243" i="1"/>
  <c r="BI243" i="1"/>
  <c r="BH244" i="1"/>
  <c r="BI244" i="1"/>
  <c r="BH245" i="1"/>
  <c r="BI245" i="1"/>
  <c r="BH246" i="1"/>
  <c r="BI246" i="1"/>
  <c r="BH247" i="1"/>
  <c r="BI247" i="1"/>
  <c r="BH248" i="1"/>
  <c r="BI248" i="1"/>
  <c r="BH249" i="1"/>
  <c r="BI249" i="1"/>
  <c r="BH250" i="1"/>
  <c r="BI250" i="1"/>
  <c r="BH251" i="1"/>
  <c r="BI251" i="1"/>
  <c r="BH252" i="1"/>
  <c r="BI252" i="1"/>
  <c r="BH253" i="1"/>
  <c r="BI253" i="1"/>
  <c r="BH254" i="1"/>
  <c r="BI254" i="1"/>
  <c r="BH255" i="1"/>
  <c r="BI255" i="1"/>
  <c r="BH256" i="1"/>
  <c r="BI256" i="1"/>
  <c r="BH257" i="1"/>
  <c r="BI257" i="1"/>
  <c r="BH258" i="1"/>
  <c r="BI258" i="1"/>
  <c r="BH259" i="1"/>
  <c r="BI259" i="1"/>
  <c r="BH260" i="1"/>
  <c r="BI260" i="1"/>
  <c r="BH261" i="1"/>
  <c r="BI261" i="1"/>
  <c r="BH262" i="1"/>
  <c r="BI262" i="1"/>
  <c r="BH263" i="1"/>
  <c r="BI263" i="1"/>
  <c r="BH264" i="1"/>
  <c r="BI264" i="1"/>
  <c r="BH265" i="1"/>
  <c r="BI265" i="1"/>
  <c r="BH266" i="1"/>
  <c r="BI266" i="1"/>
  <c r="BH267" i="1"/>
  <c r="BI267" i="1"/>
  <c r="BH268" i="1"/>
  <c r="BI268" i="1"/>
  <c r="BH269" i="1"/>
  <c r="BI269" i="1"/>
  <c r="BH270" i="1"/>
  <c r="BI270" i="1"/>
  <c r="BH271" i="1"/>
  <c r="BI271" i="1"/>
  <c r="BH272" i="1"/>
  <c r="BI272" i="1"/>
  <c r="BH273" i="1"/>
  <c r="BI273" i="1"/>
  <c r="BH274" i="1"/>
  <c r="BI274" i="1"/>
  <c r="BH275" i="1"/>
  <c r="BI275" i="1"/>
  <c r="BH276" i="1"/>
  <c r="BI276" i="1"/>
  <c r="BH277" i="1"/>
  <c r="BI277" i="1"/>
  <c r="BH278" i="1"/>
  <c r="BI278" i="1"/>
  <c r="BH279" i="1"/>
  <c r="BI279" i="1"/>
  <c r="BH280" i="1"/>
  <c r="BI280" i="1"/>
  <c r="BH281" i="1"/>
  <c r="BI281" i="1"/>
  <c r="BH282" i="1"/>
  <c r="BI282" i="1"/>
  <c r="BH283" i="1"/>
  <c r="BI283" i="1"/>
  <c r="BH284" i="1"/>
  <c r="BI284" i="1"/>
  <c r="BH285" i="1"/>
  <c r="BI285" i="1"/>
  <c r="BH286" i="1"/>
  <c r="BI286" i="1"/>
  <c r="BH287" i="1"/>
  <c r="BI287" i="1"/>
  <c r="BH288" i="1"/>
  <c r="BI288" i="1"/>
  <c r="BH289" i="1"/>
  <c r="BI289" i="1"/>
  <c r="BH290" i="1"/>
  <c r="BI290" i="1"/>
  <c r="BH291" i="1"/>
  <c r="BI291" i="1"/>
  <c r="BH292" i="1"/>
  <c r="BI292" i="1"/>
  <c r="BH293" i="1"/>
  <c r="BI293" i="1"/>
  <c r="BH294" i="1"/>
  <c r="BI294" i="1"/>
  <c r="BH295" i="1"/>
  <c r="BI295" i="1"/>
  <c r="BH296" i="1"/>
  <c r="BI296" i="1"/>
  <c r="BH297" i="1"/>
  <c r="BI297" i="1"/>
  <c r="BH298" i="1"/>
  <c r="BI298" i="1"/>
  <c r="BH299" i="1"/>
  <c r="BI299" i="1"/>
  <c r="BI2" i="1"/>
  <c r="BH2" i="1"/>
  <c r="BE4" i="1"/>
  <c r="BE61" i="1"/>
  <c r="BE137" i="1"/>
  <c r="BE146" i="1"/>
  <c r="BE193" i="1"/>
  <c r="BE199" i="1"/>
  <c r="AW3" i="1"/>
  <c r="AY3" i="1"/>
  <c r="AW4" i="1"/>
  <c r="AY4" i="1"/>
  <c r="AW5" i="1"/>
  <c r="AY5" i="1"/>
  <c r="AW6" i="1"/>
  <c r="AY6" i="1"/>
  <c r="AW7" i="1"/>
  <c r="AY7" i="1"/>
  <c r="AW8" i="1"/>
  <c r="AY8" i="1"/>
  <c r="AW9" i="1"/>
  <c r="AY9" i="1"/>
  <c r="AW10" i="1"/>
  <c r="AY10" i="1"/>
  <c r="AW11" i="1"/>
  <c r="AY11" i="1"/>
  <c r="AW12" i="1"/>
  <c r="AY12" i="1"/>
  <c r="AW13" i="1"/>
  <c r="AY13" i="1"/>
  <c r="AW14" i="1"/>
  <c r="AY14" i="1"/>
  <c r="AW15" i="1"/>
  <c r="AY15" i="1"/>
  <c r="AW16" i="1"/>
  <c r="AY16" i="1"/>
  <c r="AW17" i="1"/>
  <c r="AY17" i="1"/>
  <c r="AW18" i="1"/>
  <c r="AY18" i="1"/>
  <c r="AW19" i="1"/>
  <c r="AY19" i="1"/>
  <c r="AW20" i="1"/>
  <c r="AY20" i="1"/>
  <c r="AW21" i="1"/>
  <c r="AY21" i="1"/>
  <c r="AW22" i="1"/>
  <c r="AY22" i="1"/>
  <c r="AW23" i="1"/>
  <c r="AY23" i="1"/>
  <c r="AW24" i="1"/>
  <c r="AY24" i="1"/>
  <c r="AW25" i="1"/>
  <c r="AY25" i="1"/>
  <c r="AW26" i="1"/>
  <c r="AY26" i="1"/>
  <c r="AW27" i="1"/>
  <c r="AY27" i="1"/>
  <c r="AW28" i="1"/>
  <c r="AY28" i="1"/>
  <c r="AW29" i="1"/>
  <c r="AY29" i="1"/>
  <c r="AW30" i="1"/>
  <c r="AY30" i="1"/>
  <c r="AW31" i="1"/>
  <c r="AY31" i="1"/>
  <c r="AW32" i="1"/>
  <c r="AY32" i="1"/>
  <c r="AW33" i="1"/>
  <c r="AY33" i="1"/>
  <c r="AW34" i="1"/>
  <c r="AY34" i="1"/>
  <c r="AW35" i="1"/>
  <c r="AY35" i="1"/>
  <c r="AW36" i="1"/>
  <c r="AY36" i="1"/>
  <c r="AW37" i="1"/>
  <c r="AY37" i="1"/>
  <c r="AW38" i="1"/>
  <c r="AY38" i="1"/>
  <c r="AW39" i="1"/>
  <c r="AY39" i="1"/>
  <c r="AW40" i="1"/>
  <c r="AY40" i="1"/>
  <c r="AW41" i="1"/>
  <c r="AY41" i="1"/>
  <c r="AW42" i="1"/>
  <c r="AY42" i="1"/>
  <c r="AW43" i="1"/>
  <c r="AY43" i="1"/>
  <c r="AW44" i="1"/>
  <c r="AY44" i="1"/>
  <c r="AW45" i="1"/>
  <c r="AY45" i="1"/>
  <c r="AW46" i="1"/>
  <c r="AY46" i="1"/>
  <c r="AW47" i="1"/>
  <c r="AY47" i="1"/>
  <c r="AW48" i="1"/>
  <c r="AY48" i="1"/>
  <c r="AW49" i="1"/>
  <c r="AY49" i="1"/>
  <c r="AW50" i="1"/>
  <c r="AY50" i="1"/>
  <c r="AW51" i="1"/>
  <c r="AY51" i="1"/>
  <c r="AW52" i="1"/>
  <c r="AY52" i="1"/>
  <c r="AW53" i="1"/>
  <c r="AY53" i="1"/>
  <c r="AW54" i="1"/>
  <c r="AY54" i="1"/>
  <c r="AW55" i="1"/>
  <c r="AY55" i="1"/>
  <c r="AW56" i="1"/>
  <c r="AY56" i="1"/>
  <c r="AW57" i="1"/>
  <c r="AY57" i="1"/>
  <c r="AW58" i="1"/>
  <c r="AY58" i="1"/>
  <c r="AW59" i="1"/>
  <c r="AY59" i="1"/>
  <c r="AW60" i="1"/>
  <c r="AY60" i="1"/>
  <c r="AW61" i="1"/>
  <c r="AY61" i="1"/>
  <c r="AW62" i="1"/>
  <c r="AY62" i="1"/>
  <c r="AW63" i="1"/>
  <c r="AY63" i="1"/>
  <c r="AW64" i="1"/>
  <c r="AY64" i="1"/>
  <c r="AW65" i="1"/>
  <c r="AY65" i="1"/>
  <c r="AW66" i="1"/>
  <c r="AY66" i="1"/>
  <c r="AW67" i="1"/>
  <c r="AY67" i="1"/>
  <c r="AW68" i="1"/>
  <c r="AY68" i="1"/>
  <c r="AW69" i="1"/>
  <c r="AY69" i="1"/>
  <c r="AW70" i="1"/>
  <c r="AY70" i="1"/>
  <c r="AW71" i="1"/>
  <c r="AY71" i="1"/>
  <c r="AW72" i="1"/>
  <c r="AY72" i="1"/>
  <c r="AW73" i="1"/>
  <c r="AY73" i="1"/>
  <c r="AW74" i="1"/>
  <c r="AY74" i="1"/>
  <c r="AW75" i="1"/>
  <c r="AY75" i="1"/>
  <c r="AW76" i="1"/>
  <c r="AY76" i="1"/>
  <c r="AW77" i="1"/>
  <c r="AY77" i="1"/>
  <c r="AW78" i="1"/>
  <c r="AY78" i="1"/>
  <c r="AW79" i="1"/>
  <c r="AY79" i="1"/>
  <c r="AW80" i="1"/>
  <c r="AY80" i="1"/>
  <c r="AW81" i="1"/>
  <c r="AY81" i="1"/>
  <c r="AW82" i="1"/>
  <c r="AY82" i="1"/>
  <c r="AW83" i="1"/>
  <c r="AY83" i="1"/>
  <c r="AW84" i="1"/>
  <c r="AY84" i="1"/>
  <c r="AW85" i="1"/>
  <c r="AY85" i="1"/>
  <c r="AW86" i="1"/>
  <c r="AY86" i="1"/>
  <c r="AW87" i="1"/>
  <c r="AY87" i="1"/>
  <c r="AW88" i="1"/>
  <c r="AY88" i="1"/>
  <c r="AW89" i="1"/>
  <c r="AY89" i="1"/>
  <c r="AW90" i="1"/>
  <c r="AY90" i="1"/>
  <c r="AW91" i="1"/>
  <c r="AY91" i="1"/>
  <c r="AW92" i="1"/>
  <c r="AY92" i="1"/>
  <c r="AW93" i="1"/>
  <c r="AY93" i="1"/>
  <c r="AW94" i="1"/>
  <c r="AY94" i="1"/>
  <c r="AW95" i="1"/>
  <c r="AY95" i="1"/>
  <c r="AW96" i="1"/>
  <c r="AY96" i="1"/>
  <c r="AW97" i="1"/>
  <c r="AY97" i="1"/>
  <c r="AW98" i="1"/>
  <c r="AY98" i="1"/>
  <c r="AW99" i="1"/>
  <c r="AY99" i="1"/>
  <c r="AW100" i="1"/>
  <c r="AY100" i="1"/>
  <c r="AW101" i="1"/>
  <c r="AY101" i="1"/>
  <c r="AW102" i="1"/>
  <c r="AY102" i="1"/>
  <c r="AW103" i="1"/>
  <c r="AY103" i="1"/>
  <c r="AW105" i="1"/>
  <c r="AY105" i="1"/>
  <c r="AW106" i="1"/>
  <c r="AY106" i="1"/>
  <c r="AW107" i="1"/>
  <c r="AY107" i="1"/>
  <c r="AW108" i="1"/>
  <c r="AY108" i="1"/>
  <c r="AW109" i="1"/>
  <c r="AY109" i="1"/>
  <c r="AW110" i="1"/>
  <c r="AY110" i="1"/>
  <c r="AW111" i="1"/>
  <c r="AY111" i="1"/>
  <c r="AW112" i="1"/>
  <c r="AY112" i="1"/>
  <c r="AW113" i="1"/>
  <c r="AY113" i="1"/>
  <c r="AW114" i="1"/>
  <c r="AY114" i="1"/>
  <c r="AW115" i="1"/>
  <c r="AY115" i="1"/>
  <c r="AW116" i="1"/>
  <c r="AY116" i="1"/>
  <c r="AW117" i="1"/>
  <c r="AY117" i="1"/>
  <c r="AW118" i="1"/>
  <c r="AY118" i="1"/>
  <c r="AW119" i="1"/>
  <c r="AY119" i="1"/>
  <c r="AW120" i="1"/>
  <c r="AY120" i="1"/>
  <c r="AW121" i="1"/>
  <c r="AY121" i="1"/>
  <c r="AW122" i="1"/>
  <c r="AY122" i="1"/>
  <c r="AW123" i="1"/>
  <c r="AY123" i="1"/>
  <c r="AW124" i="1"/>
  <c r="AY124" i="1"/>
  <c r="AW125" i="1"/>
  <c r="AY125" i="1"/>
  <c r="AW126" i="1"/>
  <c r="AY126" i="1"/>
  <c r="AW127" i="1"/>
  <c r="AY127" i="1"/>
  <c r="AW128" i="1"/>
  <c r="AY128" i="1"/>
  <c r="AW129" i="1"/>
  <c r="AY129" i="1"/>
  <c r="AW130" i="1"/>
  <c r="AY130" i="1"/>
  <c r="AW131" i="1"/>
  <c r="AY131" i="1"/>
  <c r="AW132" i="1"/>
  <c r="AY132" i="1"/>
  <c r="AW133" i="1"/>
  <c r="AY133" i="1"/>
  <c r="AW134" i="1"/>
  <c r="AY134" i="1"/>
  <c r="AW135" i="1"/>
  <c r="AY135" i="1"/>
  <c r="AW136" i="1"/>
  <c r="AY136" i="1"/>
  <c r="AW137" i="1"/>
  <c r="AY137" i="1"/>
  <c r="AW138" i="1"/>
  <c r="AY138" i="1"/>
  <c r="AW139" i="1"/>
  <c r="AY139" i="1"/>
  <c r="AW140" i="1"/>
  <c r="AY140" i="1"/>
  <c r="AW141" i="1"/>
  <c r="AY141" i="1"/>
  <c r="AW142" i="1"/>
  <c r="AY142" i="1"/>
  <c r="AW143" i="1"/>
  <c r="AY143" i="1"/>
  <c r="AW144" i="1"/>
  <c r="AY144" i="1"/>
  <c r="AW145" i="1"/>
  <c r="AY145" i="1"/>
  <c r="AW146" i="1"/>
  <c r="AY146" i="1"/>
  <c r="AW147" i="1"/>
  <c r="AY147" i="1"/>
  <c r="AW148" i="1"/>
  <c r="AY148" i="1"/>
  <c r="AW149" i="1"/>
  <c r="AY149" i="1"/>
  <c r="AW150" i="1"/>
  <c r="AY150" i="1"/>
  <c r="AW151" i="1"/>
  <c r="AY151" i="1"/>
  <c r="AW152" i="1"/>
  <c r="AY152" i="1"/>
  <c r="AW153" i="1"/>
  <c r="AY153" i="1"/>
  <c r="AW154" i="1"/>
  <c r="AY154" i="1"/>
  <c r="AW155" i="1"/>
  <c r="AY155" i="1"/>
  <c r="AW156" i="1"/>
  <c r="AY156" i="1"/>
  <c r="AW157" i="1"/>
  <c r="AY157" i="1"/>
  <c r="AW158" i="1"/>
  <c r="AY158" i="1"/>
  <c r="AW159" i="1"/>
  <c r="AY159" i="1"/>
  <c r="AW160" i="1"/>
  <c r="AY160" i="1"/>
  <c r="AW161" i="1"/>
  <c r="AY161" i="1"/>
  <c r="AW162" i="1"/>
  <c r="AY162" i="1"/>
  <c r="AW163" i="1"/>
  <c r="AY163" i="1"/>
  <c r="AW164" i="1"/>
  <c r="AY164" i="1"/>
  <c r="AW165" i="1"/>
  <c r="AY165" i="1"/>
  <c r="AW166" i="1"/>
  <c r="AY166" i="1"/>
  <c r="AW167" i="1"/>
  <c r="AY167" i="1"/>
  <c r="AW168" i="1"/>
  <c r="AY168" i="1"/>
  <c r="AW169" i="1"/>
  <c r="AY169" i="1"/>
  <c r="AW170" i="1"/>
  <c r="AY170" i="1"/>
  <c r="AW171" i="1"/>
  <c r="AY171" i="1"/>
  <c r="AW172" i="1"/>
  <c r="AY172" i="1"/>
  <c r="AW173" i="1"/>
  <c r="AY173" i="1"/>
  <c r="AW174" i="1"/>
  <c r="AW175" i="1"/>
  <c r="AY175" i="1"/>
  <c r="AW176" i="1"/>
  <c r="AY176" i="1"/>
  <c r="AW177" i="1"/>
  <c r="AY177" i="1"/>
  <c r="AW178" i="1"/>
  <c r="AY178" i="1"/>
  <c r="AW179" i="1"/>
  <c r="AY179" i="1"/>
  <c r="AW180" i="1"/>
  <c r="AY180" i="1"/>
  <c r="AW181" i="1"/>
  <c r="AY181" i="1"/>
  <c r="AW182" i="1"/>
  <c r="AY182" i="1"/>
  <c r="AW183" i="1"/>
  <c r="AY183" i="1"/>
  <c r="AW184" i="1"/>
  <c r="AY184" i="1"/>
  <c r="AW185" i="1"/>
  <c r="AY185" i="1"/>
  <c r="AW186" i="1"/>
  <c r="AY186" i="1"/>
  <c r="AW187" i="1"/>
  <c r="AY187" i="1"/>
  <c r="AW188" i="1"/>
  <c r="AY188" i="1"/>
  <c r="AW189" i="1"/>
  <c r="AY189" i="1"/>
  <c r="AW190" i="1"/>
  <c r="AY190" i="1"/>
  <c r="AW191" i="1"/>
  <c r="AY191" i="1"/>
  <c r="AW192" i="1"/>
  <c r="AY192" i="1"/>
  <c r="AW193" i="1"/>
  <c r="AY193" i="1"/>
  <c r="AW194" i="1"/>
  <c r="AY194" i="1"/>
  <c r="AW195" i="1"/>
  <c r="AY195" i="1"/>
  <c r="AW196" i="1"/>
  <c r="AY196" i="1"/>
  <c r="AW197" i="1"/>
  <c r="AY197" i="1"/>
  <c r="AW198" i="1"/>
  <c r="AY198" i="1"/>
  <c r="AW199" i="1"/>
  <c r="AY199" i="1"/>
  <c r="AW200" i="1"/>
  <c r="AY200" i="1"/>
  <c r="AW201" i="1"/>
  <c r="AY201" i="1"/>
  <c r="AW202" i="1"/>
  <c r="AY202" i="1"/>
  <c r="AW203" i="1"/>
  <c r="AY203" i="1"/>
  <c r="AW204" i="1"/>
  <c r="AY204" i="1"/>
  <c r="AW205" i="1"/>
  <c r="AY205" i="1"/>
  <c r="AW206" i="1"/>
  <c r="AY206" i="1"/>
  <c r="AW207" i="1"/>
  <c r="AY207" i="1"/>
  <c r="AW208" i="1"/>
  <c r="AY208" i="1"/>
  <c r="AW209" i="1"/>
  <c r="AY209" i="1"/>
  <c r="AW210" i="1"/>
  <c r="AY210" i="1"/>
  <c r="AW211" i="1"/>
  <c r="AY211" i="1"/>
  <c r="AW212" i="1"/>
  <c r="AY212" i="1"/>
  <c r="AW213" i="1"/>
  <c r="AY213" i="1"/>
  <c r="AW214" i="1"/>
  <c r="AY214" i="1"/>
  <c r="AW215" i="1"/>
  <c r="AY215" i="1"/>
  <c r="AW216" i="1"/>
  <c r="AY216" i="1"/>
  <c r="AW217" i="1"/>
  <c r="AY217" i="1"/>
  <c r="AW218" i="1"/>
  <c r="AY218" i="1"/>
  <c r="AW219" i="1"/>
  <c r="AY219" i="1"/>
  <c r="AW220" i="1"/>
  <c r="AY220" i="1"/>
  <c r="AW221" i="1"/>
  <c r="AY221" i="1"/>
  <c r="AW222" i="1"/>
  <c r="AY222" i="1"/>
  <c r="AW223" i="1"/>
  <c r="AY223" i="1"/>
  <c r="AW224" i="1"/>
  <c r="AY224" i="1"/>
  <c r="AW225" i="1"/>
  <c r="AY225" i="1"/>
  <c r="AW226" i="1"/>
  <c r="AY226" i="1"/>
  <c r="AW227" i="1"/>
  <c r="AY227" i="1"/>
  <c r="AW228" i="1"/>
  <c r="AY228" i="1"/>
  <c r="AW229" i="1"/>
  <c r="AY229" i="1"/>
  <c r="AW230" i="1"/>
  <c r="AY230" i="1"/>
  <c r="AW231" i="1"/>
  <c r="AY231" i="1"/>
  <c r="AW232" i="1"/>
  <c r="AY232" i="1"/>
  <c r="AW233" i="1"/>
  <c r="AY233" i="1"/>
  <c r="AW234" i="1"/>
  <c r="AY234" i="1"/>
  <c r="AW235" i="1"/>
  <c r="AY235" i="1"/>
  <c r="AW236" i="1"/>
  <c r="AY236" i="1"/>
  <c r="AW237" i="1"/>
  <c r="AY237" i="1"/>
  <c r="AW238" i="1"/>
  <c r="AY238" i="1"/>
  <c r="AW239" i="1"/>
  <c r="AY239" i="1"/>
  <c r="AW240" i="1"/>
  <c r="AY240" i="1"/>
  <c r="AW241" i="1"/>
  <c r="AY241" i="1"/>
  <c r="AW242" i="1"/>
  <c r="AY242" i="1"/>
  <c r="AW243" i="1"/>
  <c r="AY243" i="1"/>
  <c r="AW244" i="1"/>
  <c r="AY244" i="1"/>
  <c r="AW245" i="1"/>
  <c r="AY245" i="1"/>
  <c r="AW246" i="1"/>
  <c r="AY246" i="1"/>
  <c r="AW247" i="1"/>
  <c r="AY247" i="1"/>
  <c r="AW248" i="1"/>
  <c r="AY248" i="1"/>
  <c r="AW249" i="1"/>
  <c r="AY249" i="1"/>
  <c r="AW250" i="1"/>
  <c r="AY250" i="1"/>
  <c r="AW251" i="1"/>
  <c r="AY251" i="1"/>
  <c r="AW252" i="1"/>
  <c r="AY252" i="1"/>
  <c r="AW253" i="1"/>
  <c r="AY253" i="1"/>
  <c r="AW254" i="1"/>
  <c r="AY254" i="1"/>
  <c r="AW255" i="1"/>
  <c r="AY255" i="1"/>
  <c r="AW256" i="1"/>
  <c r="AY256" i="1"/>
  <c r="AW257" i="1"/>
  <c r="AY257" i="1"/>
  <c r="AW258" i="1"/>
  <c r="AY258" i="1"/>
  <c r="AW259" i="1"/>
  <c r="AY259" i="1"/>
  <c r="AW260" i="1"/>
  <c r="AY260" i="1"/>
  <c r="AW261" i="1"/>
  <c r="AY261" i="1"/>
  <c r="AW262" i="1"/>
  <c r="AY262" i="1"/>
  <c r="AW263" i="1"/>
  <c r="AY263" i="1"/>
  <c r="AW264" i="1"/>
  <c r="AY264" i="1"/>
  <c r="AW265" i="1"/>
  <c r="AY265" i="1"/>
  <c r="AW266" i="1"/>
  <c r="AY266" i="1"/>
  <c r="AW267" i="1"/>
  <c r="AY267" i="1"/>
  <c r="AW268" i="1"/>
  <c r="AY268" i="1"/>
  <c r="AW269" i="1"/>
  <c r="AY269" i="1"/>
  <c r="AW270" i="1"/>
  <c r="AY270" i="1"/>
  <c r="AW271" i="1"/>
  <c r="AY271" i="1"/>
  <c r="AW272" i="1"/>
  <c r="AY272" i="1"/>
  <c r="AW273" i="1"/>
  <c r="AY273" i="1"/>
  <c r="AW274" i="1"/>
  <c r="AY274" i="1"/>
  <c r="AW275" i="1"/>
  <c r="AY275" i="1"/>
  <c r="AW276" i="1"/>
  <c r="AY276" i="1"/>
  <c r="AW277" i="1"/>
  <c r="AY277" i="1"/>
  <c r="AW278" i="1"/>
  <c r="AY278" i="1"/>
  <c r="AW279" i="1"/>
  <c r="AY279" i="1"/>
  <c r="AW280" i="1"/>
  <c r="AY280" i="1"/>
  <c r="AW281" i="1"/>
  <c r="AY281" i="1"/>
  <c r="AW282" i="1"/>
  <c r="AY282" i="1"/>
  <c r="AW283" i="1"/>
  <c r="AY283" i="1"/>
  <c r="AW284" i="1"/>
  <c r="AY284" i="1"/>
  <c r="AW285" i="1"/>
  <c r="AY285" i="1"/>
  <c r="AW286" i="1"/>
  <c r="AY286" i="1"/>
  <c r="AW287" i="1"/>
  <c r="AY287" i="1"/>
  <c r="AW288" i="1"/>
  <c r="AY288" i="1"/>
  <c r="AW289" i="1"/>
  <c r="AY289" i="1"/>
  <c r="AW290" i="1"/>
  <c r="AY290" i="1"/>
  <c r="AW291" i="1"/>
  <c r="AY291" i="1"/>
  <c r="AW292" i="1"/>
  <c r="AY292" i="1"/>
  <c r="AW293" i="1"/>
  <c r="AY293" i="1"/>
  <c r="AW294" i="1"/>
  <c r="AY294" i="1"/>
  <c r="AW295" i="1"/>
  <c r="AY295" i="1"/>
  <c r="AW296" i="1"/>
  <c r="AY296" i="1"/>
  <c r="AW297" i="1"/>
  <c r="AY297" i="1"/>
  <c r="AW298" i="1"/>
  <c r="AY298" i="1"/>
  <c r="AW299" i="1"/>
  <c r="AY299" i="1"/>
  <c r="AY2" i="1"/>
  <c r="AW2" i="1"/>
  <c r="AT4" i="1"/>
  <c r="AT61" i="1"/>
  <c r="AT137" i="1"/>
  <c r="AT146" i="1"/>
  <c r="AT193" i="1"/>
  <c r="AT199" i="1"/>
  <c r="AM3" i="1"/>
  <c r="AN3" i="1"/>
  <c r="AM4" i="1"/>
  <c r="AN4" i="1"/>
  <c r="AM5" i="1"/>
  <c r="AN5" i="1"/>
  <c r="AM6" i="1"/>
  <c r="AN6" i="1"/>
  <c r="AM7" i="1"/>
  <c r="AN7" i="1"/>
  <c r="AM8" i="1"/>
  <c r="AN8" i="1"/>
  <c r="AM9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M18" i="1"/>
  <c r="AN18" i="1"/>
  <c r="AM19" i="1"/>
  <c r="AN19" i="1"/>
  <c r="AM20" i="1"/>
  <c r="AN20" i="1"/>
  <c r="AM21" i="1"/>
  <c r="AN21" i="1"/>
  <c r="AM22" i="1"/>
  <c r="AN22" i="1"/>
  <c r="AM23" i="1"/>
  <c r="AN23" i="1"/>
  <c r="AM24" i="1"/>
  <c r="AN24" i="1"/>
  <c r="AM25" i="1"/>
  <c r="AN25" i="1"/>
  <c r="AM26" i="1"/>
  <c r="AN26" i="1"/>
  <c r="AM27" i="1"/>
  <c r="AN27" i="1"/>
  <c r="AM28" i="1"/>
  <c r="AN28" i="1"/>
  <c r="AM29" i="1"/>
  <c r="AN29" i="1"/>
  <c r="AM30" i="1"/>
  <c r="AN30" i="1"/>
  <c r="AM31" i="1"/>
  <c r="AN31" i="1"/>
  <c r="AM32" i="1"/>
  <c r="AN32" i="1"/>
  <c r="AM33" i="1"/>
  <c r="AN33" i="1"/>
  <c r="AM34" i="1"/>
  <c r="AN34" i="1"/>
  <c r="AM35" i="1"/>
  <c r="AN35" i="1"/>
  <c r="AM36" i="1"/>
  <c r="AN36" i="1"/>
  <c r="AM37" i="1"/>
  <c r="AN37" i="1"/>
  <c r="AM38" i="1"/>
  <c r="AN38" i="1"/>
  <c r="AM39" i="1"/>
  <c r="AN39" i="1"/>
  <c r="AM40" i="1"/>
  <c r="AN40" i="1"/>
  <c r="AM41" i="1"/>
  <c r="AN41" i="1"/>
  <c r="AM42" i="1"/>
  <c r="AN42" i="1"/>
  <c r="AM43" i="1"/>
  <c r="AN43" i="1"/>
  <c r="AM44" i="1"/>
  <c r="AN44" i="1"/>
  <c r="AM45" i="1"/>
  <c r="AN45" i="1"/>
  <c r="AM46" i="1"/>
  <c r="AN46" i="1"/>
  <c r="AM47" i="1"/>
  <c r="AN47" i="1"/>
  <c r="AM48" i="1"/>
  <c r="AN48" i="1"/>
  <c r="AM49" i="1"/>
  <c r="AN49" i="1"/>
  <c r="AM50" i="1"/>
  <c r="AN50" i="1"/>
  <c r="AM51" i="1"/>
  <c r="AN51" i="1"/>
  <c r="AM52" i="1"/>
  <c r="AN52" i="1"/>
  <c r="AM53" i="1"/>
  <c r="AN53" i="1"/>
  <c r="AM54" i="1"/>
  <c r="AN54" i="1"/>
  <c r="AM55" i="1"/>
  <c r="AN55" i="1"/>
  <c r="AM56" i="1"/>
  <c r="AN56" i="1"/>
  <c r="AM57" i="1"/>
  <c r="AN57" i="1"/>
  <c r="AM58" i="1"/>
  <c r="AN58" i="1"/>
  <c r="AM59" i="1"/>
  <c r="AN59" i="1"/>
  <c r="AM60" i="1"/>
  <c r="AN60" i="1"/>
  <c r="AM61" i="1"/>
  <c r="AN61" i="1"/>
  <c r="AM62" i="1"/>
  <c r="AN62" i="1"/>
  <c r="AM63" i="1"/>
  <c r="AN63" i="1"/>
  <c r="AM64" i="1"/>
  <c r="AN64" i="1"/>
  <c r="AM65" i="1"/>
  <c r="AN65" i="1"/>
  <c r="AM66" i="1"/>
  <c r="AN66" i="1"/>
  <c r="AM67" i="1"/>
  <c r="AN67" i="1"/>
  <c r="AM68" i="1"/>
  <c r="AN68" i="1"/>
  <c r="AM69" i="1"/>
  <c r="AN69" i="1"/>
  <c r="AM70" i="1"/>
  <c r="AN70" i="1"/>
  <c r="AM71" i="1"/>
  <c r="AN71" i="1"/>
  <c r="AM72" i="1"/>
  <c r="AN72" i="1"/>
  <c r="AM73" i="1"/>
  <c r="AN73" i="1"/>
  <c r="AM74" i="1"/>
  <c r="AN74" i="1"/>
  <c r="AM75" i="1"/>
  <c r="AN75" i="1"/>
  <c r="AM76" i="1"/>
  <c r="AN76" i="1"/>
  <c r="AM77" i="1"/>
  <c r="AN77" i="1"/>
  <c r="AM78" i="1"/>
  <c r="AN78" i="1"/>
  <c r="AM79" i="1"/>
  <c r="AN79" i="1"/>
  <c r="AM80" i="1"/>
  <c r="AN80" i="1"/>
  <c r="AM81" i="1"/>
  <c r="AN81" i="1"/>
  <c r="AM82" i="1"/>
  <c r="AN82" i="1"/>
  <c r="AM83" i="1"/>
  <c r="AN83" i="1"/>
  <c r="AM84" i="1"/>
  <c r="AN84" i="1"/>
  <c r="AM85" i="1"/>
  <c r="AN85" i="1"/>
  <c r="AM86" i="1"/>
  <c r="AN86" i="1"/>
  <c r="AM87" i="1"/>
  <c r="AN87" i="1"/>
  <c r="AM88" i="1"/>
  <c r="AN88" i="1"/>
  <c r="AM89" i="1"/>
  <c r="AN89" i="1"/>
  <c r="AM90" i="1"/>
  <c r="AN90" i="1"/>
  <c r="AM91" i="1"/>
  <c r="AN91" i="1"/>
  <c r="AM92" i="1"/>
  <c r="AN92" i="1"/>
  <c r="AM93" i="1"/>
  <c r="AN93" i="1"/>
  <c r="AM94" i="1"/>
  <c r="AN94" i="1"/>
  <c r="AM95" i="1"/>
  <c r="AN95" i="1"/>
  <c r="AM96" i="1"/>
  <c r="AN96" i="1"/>
  <c r="AM97" i="1"/>
  <c r="AN97" i="1"/>
  <c r="AM98" i="1"/>
  <c r="AN98" i="1"/>
  <c r="AM99" i="1"/>
  <c r="AN99" i="1"/>
  <c r="AM100" i="1"/>
  <c r="AN100" i="1"/>
  <c r="AM101" i="1"/>
  <c r="AN101" i="1"/>
  <c r="AM102" i="1"/>
  <c r="AN102" i="1"/>
  <c r="AM103" i="1"/>
  <c r="AN103" i="1"/>
  <c r="AM105" i="1"/>
  <c r="AN105" i="1"/>
  <c r="AM106" i="1"/>
  <c r="AN106" i="1"/>
  <c r="AM107" i="1"/>
  <c r="AN107" i="1"/>
  <c r="AM108" i="1"/>
  <c r="AN108" i="1"/>
  <c r="AM109" i="1"/>
  <c r="AN109" i="1"/>
  <c r="AM110" i="1"/>
  <c r="AN110" i="1"/>
  <c r="AM111" i="1"/>
  <c r="AN111" i="1"/>
  <c r="AM112" i="1"/>
  <c r="AN112" i="1"/>
  <c r="AM113" i="1"/>
  <c r="AN113" i="1"/>
  <c r="AM114" i="1"/>
  <c r="AN114" i="1"/>
  <c r="AM115" i="1"/>
  <c r="AN115" i="1"/>
  <c r="AM116" i="1"/>
  <c r="AN116" i="1"/>
  <c r="AM117" i="1"/>
  <c r="AN117" i="1"/>
  <c r="AM118" i="1"/>
  <c r="AN118" i="1"/>
  <c r="AM119" i="1"/>
  <c r="AN119" i="1"/>
  <c r="AM120" i="1"/>
  <c r="AN120" i="1"/>
  <c r="AM121" i="1"/>
  <c r="AN121" i="1"/>
  <c r="AM122" i="1"/>
  <c r="AN122" i="1"/>
  <c r="AM123" i="1"/>
  <c r="AN123" i="1"/>
  <c r="AM124" i="1"/>
  <c r="AN124" i="1"/>
  <c r="AM125" i="1"/>
  <c r="AN125" i="1"/>
  <c r="AM126" i="1"/>
  <c r="AN126" i="1"/>
  <c r="AM127" i="1"/>
  <c r="AN127" i="1"/>
  <c r="AM128" i="1"/>
  <c r="AN128" i="1"/>
  <c r="AM129" i="1"/>
  <c r="AN129" i="1"/>
  <c r="AM130" i="1"/>
  <c r="AN130" i="1"/>
  <c r="AM131" i="1"/>
  <c r="AN131" i="1"/>
  <c r="AM132" i="1"/>
  <c r="AN132" i="1"/>
  <c r="AM133" i="1"/>
  <c r="AN133" i="1"/>
  <c r="AM134" i="1"/>
  <c r="AN134" i="1"/>
  <c r="AM135" i="1"/>
  <c r="AN135" i="1"/>
  <c r="AM136" i="1"/>
  <c r="AN136" i="1"/>
  <c r="AM137" i="1"/>
  <c r="AN137" i="1"/>
  <c r="AM138" i="1"/>
  <c r="AN138" i="1"/>
  <c r="AM139" i="1"/>
  <c r="AN139" i="1"/>
  <c r="AM140" i="1"/>
  <c r="AN140" i="1"/>
  <c r="AM141" i="1"/>
  <c r="AN141" i="1"/>
  <c r="AM142" i="1"/>
  <c r="AN142" i="1"/>
  <c r="AM143" i="1"/>
  <c r="AN143" i="1"/>
  <c r="AM144" i="1"/>
  <c r="AN144" i="1"/>
  <c r="AM145" i="1"/>
  <c r="AN145" i="1"/>
  <c r="AM146" i="1"/>
  <c r="AN146" i="1"/>
  <c r="AM147" i="1"/>
  <c r="AN147" i="1"/>
  <c r="AM148" i="1"/>
  <c r="AN148" i="1"/>
  <c r="AM149" i="1"/>
  <c r="AN149" i="1"/>
  <c r="AM150" i="1"/>
  <c r="AN150" i="1"/>
  <c r="AM151" i="1"/>
  <c r="AN151" i="1"/>
  <c r="AM152" i="1"/>
  <c r="AN152" i="1"/>
  <c r="AM153" i="1"/>
  <c r="AN153" i="1"/>
  <c r="AM154" i="1"/>
  <c r="AN154" i="1"/>
  <c r="AM155" i="1"/>
  <c r="AN155" i="1"/>
  <c r="AM156" i="1"/>
  <c r="AN156" i="1"/>
  <c r="AM157" i="1"/>
  <c r="AN157" i="1"/>
  <c r="AM158" i="1"/>
  <c r="AN158" i="1"/>
  <c r="AM159" i="1"/>
  <c r="AN159" i="1"/>
  <c r="AM160" i="1"/>
  <c r="AN160" i="1"/>
  <c r="AM161" i="1"/>
  <c r="AN161" i="1"/>
  <c r="AM162" i="1"/>
  <c r="AN162" i="1"/>
  <c r="AM163" i="1"/>
  <c r="AN163" i="1"/>
  <c r="AM164" i="1"/>
  <c r="AN164" i="1"/>
  <c r="AM165" i="1"/>
  <c r="AN165" i="1"/>
  <c r="AM166" i="1"/>
  <c r="AN166" i="1"/>
  <c r="AM167" i="1"/>
  <c r="AN167" i="1"/>
  <c r="AM168" i="1"/>
  <c r="AN168" i="1"/>
  <c r="AM169" i="1"/>
  <c r="AN169" i="1"/>
  <c r="AM170" i="1"/>
  <c r="AN170" i="1"/>
  <c r="AM171" i="1"/>
  <c r="AN171" i="1"/>
  <c r="AM172" i="1"/>
  <c r="AN172" i="1"/>
  <c r="AM173" i="1"/>
  <c r="AN173" i="1"/>
  <c r="AM174" i="1"/>
  <c r="AM175" i="1"/>
  <c r="AN175" i="1"/>
  <c r="AM176" i="1"/>
  <c r="AN176" i="1"/>
  <c r="AM177" i="1"/>
  <c r="AN177" i="1"/>
  <c r="AM178" i="1"/>
  <c r="AN178" i="1"/>
  <c r="AM179" i="1"/>
  <c r="AN179" i="1"/>
  <c r="AM180" i="1"/>
  <c r="AN180" i="1"/>
  <c r="AM181" i="1"/>
  <c r="AN181" i="1"/>
  <c r="AM182" i="1"/>
  <c r="AN182" i="1"/>
  <c r="AM183" i="1"/>
  <c r="AN183" i="1"/>
  <c r="AM184" i="1"/>
  <c r="AN184" i="1"/>
  <c r="AM185" i="1"/>
  <c r="AN185" i="1"/>
  <c r="AM186" i="1"/>
  <c r="AN186" i="1"/>
  <c r="AM187" i="1"/>
  <c r="AN187" i="1"/>
  <c r="AM188" i="1"/>
  <c r="AN188" i="1"/>
  <c r="AM189" i="1"/>
  <c r="AN189" i="1"/>
  <c r="AM190" i="1"/>
  <c r="AN190" i="1"/>
  <c r="AM191" i="1"/>
  <c r="AN191" i="1"/>
  <c r="AM192" i="1"/>
  <c r="AN192" i="1"/>
  <c r="AM193" i="1"/>
  <c r="AN193" i="1"/>
  <c r="AM194" i="1"/>
  <c r="AN194" i="1"/>
  <c r="AM195" i="1"/>
  <c r="AN195" i="1"/>
  <c r="AM196" i="1"/>
  <c r="AN196" i="1"/>
  <c r="AM197" i="1"/>
  <c r="AN197" i="1"/>
  <c r="AM198" i="1"/>
  <c r="AN198" i="1"/>
  <c r="AM199" i="1"/>
  <c r="AN199" i="1"/>
  <c r="AM200" i="1"/>
  <c r="AN200" i="1"/>
  <c r="AM201" i="1"/>
  <c r="AN201" i="1"/>
  <c r="AM202" i="1"/>
  <c r="AN202" i="1"/>
  <c r="AM203" i="1"/>
  <c r="AN203" i="1"/>
  <c r="AM204" i="1"/>
  <c r="AN204" i="1"/>
  <c r="AM205" i="1"/>
  <c r="AN205" i="1"/>
  <c r="AM206" i="1"/>
  <c r="AN206" i="1"/>
  <c r="AM207" i="1"/>
  <c r="AN207" i="1"/>
  <c r="AM208" i="1"/>
  <c r="AN208" i="1"/>
  <c r="AM209" i="1"/>
  <c r="AN209" i="1"/>
  <c r="AM210" i="1"/>
  <c r="AN210" i="1"/>
  <c r="AM211" i="1"/>
  <c r="AN211" i="1"/>
  <c r="AM212" i="1"/>
  <c r="AN212" i="1"/>
  <c r="AM213" i="1"/>
  <c r="AN213" i="1"/>
  <c r="AM214" i="1"/>
  <c r="AN214" i="1"/>
  <c r="AM215" i="1"/>
  <c r="AN215" i="1"/>
  <c r="AM216" i="1"/>
  <c r="AN216" i="1"/>
  <c r="AM217" i="1"/>
  <c r="AN217" i="1"/>
  <c r="AM218" i="1"/>
  <c r="AN218" i="1"/>
  <c r="AM219" i="1"/>
  <c r="AN219" i="1"/>
  <c r="AM220" i="1"/>
  <c r="AN220" i="1"/>
  <c r="AM221" i="1"/>
  <c r="AN221" i="1"/>
  <c r="AM222" i="1"/>
  <c r="AN222" i="1"/>
  <c r="AM223" i="1"/>
  <c r="AN223" i="1"/>
  <c r="AM224" i="1"/>
  <c r="AN224" i="1"/>
  <c r="AM225" i="1"/>
  <c r="AN225" i="1"/>
  <c r="AM226" i="1"/>
  <c r="AN226" i="1"/>
  <c r="AM227" i="1"/>
  <c r="AN227" i="1"/>
  <c r="AM228" i="1"/>
  <c r="AN228" i="1"/>
  <c r="AM229" i="1"/>
  <c r="AN229" i="1"/>
  <c r="AM230" i="1"/>
  <c r="AN230" i="1"/>
  <c r="AM231" i="1"/>
  <c r="AN231" i="1"/>
  <c r="AM232" i="1"/>
  <c r="AN232" i="1"/>
  <c r="AM233" i="1"/>
  <c r="AN233" i="1"/>
  <c r="AM234" i="1"/>
  <c r="AN234" i="1"/>
  <c r="AM235" i="1"/>
  <c r="AN235" i="1"/>
  <c r="AM236" i="1"/>
  <c r="AN236" i="1"/>
  <c r="AM237" i="1"/>
  <c r="AN237" i="1"/>
  <c r="AM238" i="1"/>
  <c r="AN238" i="1"/>
  <c r="AM239" i="1"/>
  <c r="AN239" i="1"/>
  <c r="AM240" i="1"/>
  <c r="AN240" i="1"/>
  <c r="AM241" i="1"/>
  <c r="AN241" i="1"/>
  <c r="AM242" i="1"/>
  <c r="AN242" i="1"/>
  <c r="AM243" i="1"/>
  <c r="AN243" i="1"/>
  <c r="AM244" i="1"/>
  <c r="AN244" i="1"/>
  <c r="AM245" i="1"/>
  <c r="AN245" i="1"/>
  <c r="AM246" i="1"/>
  <c r="AN246" i="1"/>
  <c r="AM247" i="1"/>
  <c r="AN247" i="1"/>
  <c r="AM248" i="1"/>
  <c r="AN248" i="1"/>
  <c r="AM249" i="1"/>
  <c r="AN249" i="1"/>
  <c r="AM250" i="1"/>
  <c r="AN250" i="1"/>
  <c r="AM251" i="1"/>
  <c r="AN251" i="1"/>
  <c r="AM252" i="1"/>
  <c r="AN252" i="1"/>
  <c r="AM253" i="1"/>
  <c r="AN253" i="1"/>
  <c r="AM254" i="1"/>
  <c r="AN254" i="1"/>
  <c r="AM255" i="1"/>
  <c r="AN255" i="1"/>
  <c r="AM256" i="1"/>
  <c r="AN256" i="1"/>
  <c r="AM257" i="1"/>
  <c r="AN257" i="1"/>
  <c r="AM258" i="1"/>
  <c r="AN258" i="1"/>
  <c r="AM259" i="1"/>
  <c r="AN259" i="1"/>
  <c r="AM260" i="1"/>
  <c r="AN260" i="1"/>
  <c r="AM261" i="1"/>
  <c r="AN261" i="1"/>
  <c r="AM262" i="1"/>
  <c r="AN262" i="1"/>
  <c r="AM263" i="1"/>
  <c r="AN263" i="1"/>
  <c r="AM264" i="1"/>
  <c r="AN264" i="1"/>
  <c r="AM265" i="1"/>
  <c r="AN265" i="1"/>
  <c r="AM266" i="1"/>
  <c r="AN266" i="1"/>
  <c r="AM267" i="1"/>
  <c r="AN267" i="1"/>
  <c r="AM268" i="1"/>
  <c r="AN268" i="1"/>
  <c r="AM269" i="1"/>
  <c r="AN269" i="1"/>
  <c r="AM270" i="1"/>
  <c r="AN270" i="1"/>
  <c r="AM271" i="1"/>
  <c r="AN271" i="1"/>
  <c r="AM272" i="1"/>
  <c r="AN272" i="1"/>
  <c r="AM273" i="1"/>
  <c r="AN273" i="1"/>
  <c r="AM274" i="1"/>
  <c r="AN274" i="1"/>
  <c r="AM275" i="1"/>
  <c r="AN275" i="1"/>
  <c r="AM276" i="1"/>
  <c r="AN276" i="1"/>
  <c r="AM277" i="1"/>
  <c r="AN277" i="1"/>
  <c r="AM278" i="1"/>
  <c r="AN278" i="1"/>
  <c r="AM279" i="1"/>
  <c r="AN279" i="1"/>
  <c r="AM280" i="1"/>
  <c r="AN280" i="1"/>
  <c r="AM281" i="1"/>
  <c r="AN281" i="1"/>
  <c r="AM282" i="1"/>
  <c r="AN282" i="1"/>
  <c r="AM283" i="1"/>
  <c r="AN283" i="1"/>
  <c r="AM284" i="1"/>
  <c r="AN284" i="1"/>
  <c r="AM285" i="1"/>
  <c r="AN285" i="1"/>
  <c r="AM286" i="1"/>
  <c r="AN286" i="1"/>
  <c r="AM287" i="1"/>
  <c r="AN287" i="1"/>
  <c r="AM288" i="1"/>
  <c r="AN288" i="1"/>
  <c r="AM289" i="1"/>
  <c r="AN289" i="1"/>
  <c r="AM290" i="1"/>
  <c r="AN290" i="1"/>
  <c r="AM291" i="1"/>
  <c r="AN291" i="1"/>
  <c r="AM292" i="1"/>
  <c r="AN292" i="1"/>
  <c r="AM293" i="1"/>
  <c r="AN293" i="1"/>
  <c r="AM294" i="1"/>
  <c r="AN294" i="1"/>
  <c r="AM295" i="1"/>
  <c r="AN295" i="1"/>
  <c r="AM296" i="1"/>
  <c r="AN296" i="1"/>
  <c r="AM297" i="1"/>
  <c r="AN297" i="1"/>
  <c r="AM298" i="1"/>
  <c r="AN298" i="1"/>
  <c r="AM299" i="1"/>
  <c r="AN299" i="1"/>
  <c r="AN2" i="1"/>
  <c r="AM2" i="1"/>
  <c r="AJ4" i="1"/>
  <c r="AJ61" i="1"/>
  <c r="AJ137" i="1"/>
  <c r="AJ146" i="1"/>
  <c r="AJ193" i="1"/>
  <c r="AJ19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2" i="1"/>
  <c r="Z4" i="1"/>
  <c r="Z61" i="1"/>
  <c r="Z137" i="1"/>
  <c r="Z146" i="1"/>
  <c r="Z193" i="1"/>
  <c r="Z19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2" i="1"/>
  <c r="P4" i="1"/>
  <c r="P61" i="1"/>
  <c r="P137" i="1"/>
  <c r="P146" i="1"/>
  <c r="P193" i="1"/>
  <c r="P19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2" i="1"/>
  <c r="DY104" i="1" l="1"/>
  <c r="DZ104" i="1"/>
  <c r="DX104" i="1"/>
  <c r="FM104" i="1"/>
  <c r="FJ104" i="1"/>
  <c r="FK104" i="1" s="1"/>
  <c r="FL104" i="1" s="1"/>
  <c r="FN104" i="1" s="1"/>
  <c r="EA104" i="1"/>
  <c r="EP292" i="1"/>
  <c r="EQ292" i="1" s="1"/>
  <c r="EP284" i="1"/>
  <c r="EQ284" i="1" s="1"/>
  <c r="EP276" i="1"/>
  <c r="EQ276" i="1" s="1"/>
  <c r="EP268" i="1"/>
  <c r="EQ268" i="1" s="1"/>
  <c r="EP260" i="1"/>
  <c r="EQ260" i="1" s="1"/>
  <c r="EP252" i="1"/>
  <c r="EQ252" i="1" s="1"/>
  <c r="EP244" i="1"/>
  <c r="EQ244" i="1" s="1"/>
  <c r="EP236" i="1"/>
  <c r="EQ236" i="1" s="1"/>
  <c r="EP228" i="1"/>
  <c r="EQ228" i="1" s="1"/>
  <c r="EP220" i="1"/>
  <c r="EQ220" i="1" s="1"/>
  <c r="EP212" i="1"/>
  <c r="EQ212" i="1" s="1"/>
  <c r="EP204" i="1"/>
  <c r="EQ204" i="1" s="1"/>
  <c r="EP196" i="1"/>
  <c r="EQ196" i="1" s="1"/>
  <c r="EP188" i="1"/>
  <c r="EQ188" i="1" s="1"/>
  <c r="EP180" i="1"/>
  <c r="EQ180" i="1" s="1"/>
  <c r="EP172" i="1"/>
  <c r="EQ172" i="1" s="1"/>
  <c r="EP164" i="1"/>
  <c r="EQ164" i="1" s="1"/>
  <c r="EP156" i="1"/>
  <c r="EQ156" i="1" s="1"/>
  <c r="EP148" i="1"/>
  <c r="EQ148" i="1" s="1"/>
  <c r="EP140" i="1"/>
  <c r="EQ140" i="1" s="1"/>
  <c r="EP132" i="1"/>
  <c r="EQ132" i="1" s="1"/>
  <c r="EP124" i="1"/>
  <c r="EQ124" i="1" s="1"/>
  <c r="EP116" i="1"/>
  <c r="EQ116" i="1" s="1"/>
  <c r="EP108" i="1"/>
  <c r="EQ108" i="1" s="1"/>
  <c r="EP100" i="1"/>
  <c r="EQ100" i="1" s="1"/>
  <c r="EP92" i="1"/>
  <c r="EQ92" i="1" s="1"/>
  <c r="EP84" i="1"/>
  <c r="EQ84" i="1" s="1"/>
  <c r="EP76" i="1"/>
  <c r="EQ76" i="1" s="1"/>
  <c r="EP68" i="1"/>
  <c r="EQ68" i="1" s="1"/>
  <c r="EP60" i="1"/>
  <c r="EQ60" i="1" s="1"/>
  <c r="EP52" i="1"/>
  <c r="EQ52" i="1" s="1"/>
  <c r="EP44" i="1"/>
  <c r="EQ44" i="1" s="1"/>
  <c r="EP36" i="1"/>
  <c r="EQ36" i="1" s="1"/>
  <c r="EP28" i="1"/>
  <c r="EQ28" i="1" s="1"/>
  <c r="EP20" i="1"/>
  <c r="EQ20" i="1" s="1"/>
  <c r="EP12" i="1"/>
  <c r="EQ12" i="1" s="1"/>
  <c r="EP4" i="1"/>
  <c r="EQ4" i="1" s="1"/>
  <c r="AG293" i="1"/>
  <c r="AJ293" i="1" s="1"/>
  <c r="AK293" i="1" s="1"/>
  <c r="AG285" i="1"/>
  <c r="AJ285" i="1" s="1"/>
  <c r="AK285" i="1" s="1"/>
  <c r="AG277" i="1"/>
  <c r="AJ277" i="1" s="1"/>
  <c r="AK277" i="1" s="1"/>
  <c r="AG269" i="1"/>
  <c r="AG261" i="1"/>
  <c r="AJ261" i="1" s="1"/>
  <c r="AK261" i="1" s="1"/>
  <c r="AG253" i="1"/>
  <c r="AJ253" i="1" s="1"/>
  <c r="AK253" i="1" s="1"/>
  <c r="AG245" i="1"/>
  <c r="AG237" i="1"/>
  <c r="AG229" i="1"/>
  <c r="AJ229" i="1" s="1"/>
  <c r="AK229" i="1" s="1"/>
  <c r="AG221" i="1"/>
  <c r="AJ221" i="1" s="1"/>
  <c r="AK221" i="1" s="1"/>
  <c r="AG213" i="1"/>
  <c r="AJ213" i="1" s="1"/>
  <c r="AK213" i="1" s="1"/>
  <c r="AG205" i="1"/>
  <c r="AG197" i="1"/>
  <c r="AJ197" i="1" s="1"/>
  <c r="AK197" i="1" s="1"/>
  <c r="AG181" i="1"/>
  <c r="AJ181" i="1" s="1"/>
  <c r="AK181" i="1" s="1"/>
  <c r="AG173" i="1"/>
  <c r="AG165" i="1"/>
  <c r="AG157" i="1"/>
  <c r="AJ157" i="1" s="1"/>
  <c r="AK157" i="1" s="1"/>
  <c r="AG149" i="1"/>
  <c r="AJ149" i="1" s="1"/>
  <c r="AK149" i="1" s="1"/>
  <c r="AG141" i="1"/>
  <c r="AJ141" i="1" s="1"/>
  <c r="AK141" i="1" s="1"/>
  <c r="AG133" i="1"/>
  <c r="AG125" i="1"/>
  <c r="AJ125" i="1" s="1"/>
  <c r="AK125" i="1" s="1"/>
  <c r="AG117" i="1"/>
  <c r="AJ117" i="1" s="1"/>
  <c r="AK117" i="1" s="1"/>
  <c r="AG109" i="1"/>
  <c r="AG101" i="1"/>
  <c r="AG93" i="1"/>
  <c r="AJ93" i="1" s="1"/>
  <c r="AK93" i="1" s="1"/>
  <c r="AG85" i="1"/>
  <c r="AJ85" i="1" s="1"/>
  <c r="AK85" i="1" s="1"/>
  <c r="AG77" i="1"/>
  <c r="AJ77" i="1" s="1"/>
  <c r="AK77" i="1" s="1"/>
  <c r="AG69" i="1"/>
  <c r="AG61" i="1"/>
  <c r="AK61" i="1" s="1"/>
  <c r="AG53" i="1"/>
  <c r="AJ53" i="1" s="1"/>
  <c r="AK53" i="1" s="1"/>
  <c r="AG45" i="1"/>
  <c r="AG37" i="1"/>
  <c r="AG29" i="1"/>
  <c r="AJ29" i="1" s="1"/>
  <c r="AK29" i="1" s="1"/>
  <c r="AG21" i="1"/>
  <c r="AJ21" i="1" s="1"/>
  <c r="AK21" i="1" s="1"/>
  <c r="AG13" i="1"/>
  <c r="AJ13" i="1" s="1"/>
  <c r="AK13" i="1" s="1"/>
  <c r="AG5" i="1"/>
  <c r="EP299" i="1"/>
  <c r="EQ299" i="1" s="1"/>
  <c r="EP291" i="1"/>
  <c r="EQ291" i="1" s="1"/>
  <c r="EP283" i="1"/>
  <c r="EQ283" i="1" s="1"/>
  <c r="EP275" i="1"/>
  <c r="EQ275" i="1" s="1"/>
  <c r="EP267" i="1"/>
  <c r="EQ267" i="1" s="1"/>
  <c r="EP259" i="1"/>
  <c r="EQ259" i="1" s="1"/>
  <c r="EP251" i="1"/>
  <c r="EQ251" i="1" s="1"/>
  <c r="EP243" i="1"/>
  <c r="EQ243" i="1" s="1"/>
  <c r="EP235" i="1"/>
  <c r="EQ235" i="1" s="1"/>
  <c r="EP227" i="1"/>
  <c r="EQ227" i="1" s="1"/>
  <c r="EP219" i="1"/>
  <c r="EQ219" i="1" s="1"/>
  <c r="EP211" i="1"/>
  <c r="EQ211" i="1" s="1"/>
  <c r="EP203" i="1"/>
  <c r="EQ203" i="1" s="1"/>
  <c r="EP195" i="1"/>
  <c r="EQ195" i="1" s="1"/>
  <c r="EP187" i="1"/>
  <c r="EQ187" i="1" s="1"/>
  <c r="EP179" i="1"/>
  <c r="EQ179" i="1" s="1"/>
  <c r="EP171" i="1"/>
  <c r="EQ171" i="1" s="1"/>
  <c r="EP163" i="1"/>
  <c r="EQ163" i="1" s="1"/>
  <c r="EP155" i="1"/>
  <c r="EQ155" i="1" s="1"/>
  <c r="EP147" i="1"/>
  <c r="EQ147" i="1" s="1"/>
  <c r="EP139" i="1"/>
  <c r="EQ139" i="1" s="1"/>
  <c r="EP131" i="1"/>
  <c r="EQ131" i="1" s="1"/>
  <c r="EP123" i="1"/>
  <c r="EQ123" i="1" s="1"/>
  <c r="EP115" i="1"/>
  <c r="EQ115" i="1" s="1"/>
  <c r="EP107" i="1"/>
  <c r="EQ107" i="1" s="1"/>
  <c r="EP99" i="1"/>
  <c r="EQ99" i="1" s="1"/>
  <c r="EP91" i="1"/>
  <c r="EQ91" i="1" s="1"/>
  <c r="EP83" i="1"/>
  <c r="EQ83" i="1" s="1"/>
  <c r="EP75" i="1"/>
  <c r="EQ75" i="1" s="1"/>
  <c r="EP67" i="1"/>
  <c r="EQ67" i="1" s="1"/>
  <c r="EP59" i="1"/>
  <c r="EQ59" i="1" s="1"/>
  <c r="EP51" i="1"/>
  <c r="EQ51" i="1" s="1"/>
  <c r="EP43" i="1"/>
  <c r="EQ43" i="1" s="1"/>
  <c r="EP35" i="1"/>
  <c r="EQ35" i="1" s="1"/>
  <c r="EP27" i="1"/>
  <c r="EQ27" i="1" s="1"/>
  <c r="EP19" i="1"/>
  <c r="EQ19" i="1" s="1"/>
  <c r="EP11" i="1"/>
  <c r="EQ11" i="1" s="1"/>
  <c r="EP3" i="1"/>
  <c r="EQ3" i="1" s="1"/>
  <c r="M293" i="1"/>
  <c r="P293" i="1" s="1"/>
  <c r="M285" i="1"/>
  <c r="P285" i="1" s="1"/>
  <c r="M277" i="1"/>
  <c r="P277" i="1" s="1"/>
  <c r="AG189" i="1"/>
  <c r="AJ189" i="1" s="1"/>
  <c r="AK189" i="1" s="1"/>
  <c r="DJ287" i="1"/>
  <c r="DM287" i="1" s="1"/>
  <c r="DN287" i="1" s="1"/>
  <c r="DJ227" i="1"/>
  <c r="DM227" i="1" s="1"/>
  <c r="DN227" i="1" s="1"/>
  <c r="DJ195" i="1"/>
  <c r="DM195" i="1" s="1"/>
  <c r="DN195" i="1" s="1"/>
  <c r="DJ171" i="1"/>
  <c r="DM171" i="1" s="1"/>
  <c r="DN171" i="1" s="1"/>
  <c r="DJ163" i="1"/>
  <c r="DM163" i="1" s="1"/>
  <c r="DN163" i="1" s="1"/>
  <c r="DJ115" i="1"/>
  <c r="DM115" i="1" s="1"/>
  <c r="DN115" i="1" s="1"/>
  <c r="DJ79" i="1"/>
  <c r="DM79" i="1" s="1"/>
  <c r="DN79" i="1" s="1"/>
  <c r="DJ71" i="1"/>
  <c r="DM71" i="1" s="1"/>
  <c r="DN71" i="1" s="1"/>
  <c r="DJ59" i="1"/>
  <c r="DM59" i="1" s="1"/>
  <c r="DN59" i="1" s="1"/>
  <c r="DJ43" i="1"/>
  <c r="DM43" i="1" s="1"/>
  <c r="DN43" i="1" s="1"/>
  <c r="DJ7" i="1"/>
  <c r="DM7" i="1" s="1"/>
  <c r="DN7" i="1" s="1"/>
  <c r="DT96" i="1"/>
  <c r="DW96" i="1" s="1"/>
  <c r="M261" i="1"/>
  <c r="P261" i="1" s="1"/>
  <c r="EP86" i="1"/>
  <c r="EQ86" i="1" s="1"/>
  <c r="EP78" i="1"/>
  <c r="EQ78" i="1" s="1"/>
  <c r="EP70" i="1"/>
  <c r="EQ70" i="1" s="1"/>
  <c r="EP62" i="1"/>
  <c r="EQ62" i="1" s="1"/>
  <c r="EP54" i="1"/>
  <c r="EQ54" i="1" s="1"/>
  <c r="EP46" i="1"/>
  <c r="EQ46" i="1" s="1"/>
  <c r="EP38" i="1"/>
  <c r="EQ38" i="1" s="1"/>
  <c r="EP30" i="1"/>
  <c r="EQ30" i="1" s="1"/>
  <c r="EP22" i="1"/>
  <c r="EQ22" i="1" s="1"/>
  <c r="EP14" i="1"/>
  <c r="EQ14" i="1" s="1"/>
  <c r="EP6" i="1"/>
  <c r="EQ6" i="1" s="1"/>
  <c r="M269" i="1"/>
  <c r="P269" i="1" s="1"/>
  <c r="W293" i="1"/>
  <c r="W285" i="1"/>
  <c r="Z285" i="1" s="1"/>
  <c r="AA285" i="1" s="1"/>
  <c r="W277" i="1"/>
  <c r="Z277" i="1" s="1"/>
  <c r="AA277" i="1" s="1"/>
  <c r="W269" i="1"/>
  <c r="Z269" i="1" s="1"/>
  <c r="AA269" i="1" s="1"/>
  <c r="W261" i="1"/>
  <c r="W253" i="1"/>
  <c r="W245" i="1"/>
  <c r="Z245" i="1" s="1"/>
  <c r="AA245" i="1" s="1"/>
  <c r="W237" i="1"/>
  <c r="W229" i="1"/>
  <c r="W221" i="1"/>
  <c r="Z221" i="1" s="1"/>
  <c r="AA221" i="1" s="1"/>
  <c r="W213" i="1"/>
  <c r="Z213" i="1" s="1"/>
  <c r="AA213" i="1" s="1"/>
  <c r="W205" i="1"/>
  <c r="Z205" i="1" s="1"/>
  <c r="AA205" i="1" s="1"/>
  <c r="W197" i="1"/>
  <c r="W189" i="1"/>
  <c r="Z189" i="1" s="1"/>
  <c r="W181" i="1"/>
  <c r="Z181" i="1" s="1"/>
  <c r="AA181" i="1" s="1"/>
  <c r="W173" i="1"/>
  <c r="W165" i="1"/>
  <c r="W157" i="1"/>
  <c r="Z157" i="1" s="1"/>
  <c r="W149" i="1"/>
  <c r="Z149" i="1" s="1"/>
  <c r="AA149" i="1" s="1"/>
  <c r="W141" i="1"/>
  <c r="Z141" i="1" s="1"/>
  <c r="AA141" i="1" s="1"/>
  <c r="W133" i="1"/>
  <c r="W125" i="1"/>
  <c r="Z125" i="1" s="1"/>
  <c r="W117" i="1"/>
  <c r="Z117" i="1" s="1"/>
  <c r="AA117" i="1" s="1"/>
  <c r="W109" i="1"/>
  <c r="W101" i="1"/>
  <c r="W93" i="1"/>
  <c r="Z93" i="1" s="1"/>
  <c r="AA93" i="1" s="1"/>
  <c r="W85" i="1"/>
  <c r="Z85" i="1" s="1"/>
  <c r="AA85" i="1" s="1"/>
  <c r="W77" i="1"/>
  <c r="Z77" i="1" s="1"/>
  <c r="W69" i="1"/>
  <c r="W61" i="1"/>
  <c r="AA61" i="1" s="1"/>
  <c r="W53" i="1"/>
  <c r="Z53" i="1" s="1"/>
  <c r="AA53" i="1" s="1"/>
  <c r="W45" i="1"/>
  <c r="Z45" i="1" s="1"/>
  <c r="W37" i="1"/>
  <c r="W29" i="1"/>
  <c r="Z29" i="1" s="1"/>
  <c r="AA29" i="1" s="1"/>
  <c r="W21" i="1"/>
  <c r="Z21" i="1" s="1"/>
  <c r="AA21" i="1" s="1"/>
  <c r="W13" i="1"/>
  <c r="Z13" i="1" s="1"/>
  <c r="W5" i="1"/>
  <c r="EP69" i="1"/>
  <c r="EQ69" i="1" s="1"/>
  <c r="EP61" i="1"/>
  <c r="EQ61" i="1" s="1"/>
  <c r="EP53" i="1"/>
  <c r="EQ53" i="1" s="1"/>
  <c r="EP45" i="1"/>
  <c r="EQ45" i="1" s="1"/>
  <c r="EP37" i="1"/>
  <c r="EQ37" i="1" s="1"/>
  <c r="EP29" i="1"/>
  <c r="EQ29" i="1" s="1"/>
  <c r="EP21" i="1"/>
  <c r="EQ21" i="1" s="1"/>
  <c r="EP13" i="1"/>
  <c r="EQ13" i="1" s="1"/>
  <c r="EP5" i="1"/>
  <c r="EQ5" i="1" s="1"/>
  <c r="EP2" i="1"/>
  <c r="EQ2" i="1" s="1"/>
  <c r="CP2" i="1"/>
  <c r="CS2" i="1" s="1"/>
  <c r="CT2" i="1" s="1"/>
  <c r="CP296" i="1"/>
  <c r="CP288" i="1"/>
  <c r="CS288" i="1" s="1"/>
  <c r="CP284" i="1"/>
  <c r="CS284" i="1" s="1"/>
  <c r="CT284" i="1" s="1"/>
  <c r="CP280" i="1"/>
  <c r="CS280" i="1" s="1"/>
  <c r="CP276" i="1"/>
  <c r="CS276" i="1" s="1"/>
  <c r="CP272" i="1"/>
  <c r="CP268" i="1"/>
  <c r="CS268" i="1" s="1"/>
  <c r="CT268" i="1" s="1"/>
  <c r="CP264" i="1"/>
  <c r="CP260" i="1"/>
  <c r="CP256" i="1"/>
  <c r="CS256" i="1" s="1"/>
  <c r="CT256" i="1" s="1"/>
  <c r="CP252" i="1"/>
  <c r="CS252" i="1" s="1"/>
  <c r="CT252" i="1" s="1"/>
  <c r="CP248" i="1"/>
  <c r="CS248" i="1" s="1"/>
  <c r="CP244" i="1"/>
  <c r="CS244" i="1" s="1"/>
  <c r="CT244" i="1" s="1"/>
  <c r="CP240" i="1"/>
  <c r="CS240" i="1" s="1"/>
  <c r="CT240" i="1" s="1"/>
  <c r="CP236" i="1"/>
  <c r="CS236" i="1" s="1"/>
  <c r="CT236" i="1" s="1"/>
  <c r="CP232" i="1"/>
  <c r="CP228" i="1"/>
  <c r="CS228" i="1" s="1"/>
  <c r="CT228" i="1" s="1"/>
  <c r="CP224" i="1"/>
  <c r="CS224" i="1" s="1"/>
  <c r="CT224" i="1" s="1"/>
  <c r="CP220" i="1"/>
  <c r="CS220" i="1" s="1"/>
  <c r="CT220" i="1" s="1"/>
  <c r="CP216" i="1"/>
  <c r="CS216" i="1" s="1"/>
  <c r="CT216" i="1" s="1"/>
  <c r="CP212" i="1"/>
  <c r="CS212" i="1" s="1"/>
  <c r="CT212" i="1" s="1"/>
  <c r="CP208" i="1"/>
  <c r="CS208" i="1" s="1"/>
  <c r="CT208" i="1" s="1"/>
  <c r="CP204" i="1"/>
  <c r="CS204" i="1" s="1"/>
  <c r="CT204" i="1" s="1"/>
  <c r="CP200" i="1"/>
  <c r="CS200" i="1" s="1"/>
  <c r="CP196" i="1"/>
  <c r="CP192" i="1"/>
  <c r="CS192" i="1" s="1"/>
  <c r="CT192" i="1" s="1"/>
  <c r="CP188" i="1"/>
  <c r="CS188" i="1" s="1"/>
  <c r="CT188" i="1" s="1"/>
  <c r="CP184" i="1"/>
  <c r="CS184" i="1" s="1"/>
  <c r="CT184" i="1" s="1"/>
  <c r="CZ297" i="1"/>
  <c r="DC297" i="1" s="1"/>
  <c r="DD297" i="1" s="1"/>
  <c r="CZ277" i="1"/>
  <c r="DC277" i="1" s="1"/>
  <c r="DD277" i="1" s="1"/>
  <c r="CZ273" i="1"/>
  <c r="DC273" i="1" s="1"/>
  <c r="DD273" i="1" s="1"/>
  <c r="CZ265" i="1"/>
  <c r="DC265" i="1" s="1"/>
  <c r="DD265" i="1" s="1"/>
  <c r="CZ245" i="1"/>
  <c r="DC245" i="1" s="1"/>
  <c r="DD245" i="1" s="1"/>
  <c r="CZ241" i="1"/>
  <c r="DC241" i="1" s="1"/>
  <c r="DD241" i="1" s="1"/>
  <c r="CZ233" i="1"/>
  <c r="DC233" i="1" s="1"/>
  <c r="DD233" i="1" s="1"/>
  <c r="CZ225" i="1"/>
  <c r="DC225" i="1" s="1"/>
  <c r="DD225" i="1" s="1"/>
  <c r="CZ213" i="1"/>
  <c r="DC213" i="1" s="1"/>
  <c r="DD213" i="1" s="1"/>
  <c r="CZ201" i="1"/>
  <c r="DC201" i="1" s="1"/>
  <c r="DD201" i="1" s="1"/>
  <c r="CZ193" i="1"/>
  <c r="DD193" i="1" s="1"/>
  <c r="CZ181" i="1"/>
  <c r="DC181" i="1" s="1"/>
  <c r="DD181" i="1" s="1"/>
  <c r="CZ161" i="1"/>
  <c r="DC161" i="1" s="1"/>
  <c r="DD161" i="1" s="1"/>
  <c r="CZ153" i="1"/>
  <c r="DC153" i="1" s="1"/>
  <c r="DD153" i="1" s="1"/>
  <c r="EP297" i="1"/>
  <c r="EQ297" i="1" s="1"/>
  <c r="EP289" i="1"/>
  <c r="EQ289" i="1" s="1"/>
  <c r="EP281" i="1"/>
  <c r="EQ281" i="1" s="1"/>
  <c r="EP273" i="1"/>
  <c r="EQ273" i="1" s="1"/>
  <c r="EP265" i="1"/>
  <c r="EQ265" i="1" s="1"/>
  <c r="EP257" i="1"/>
  <c r="EQ257" i="1" s="1"/>
  <c r="EP249" i="1"/>
  <c r="EQ249" i="1" s="1"/>
  <c r="EP241" i="1"/>
  <c r="EQ241" i="1" s="1"/>
  <c r="EP233" i="1"/>
  <c r="EQ233" i="1" s="1"/>
  <c r="EP225" i="1"/>
  <c r="EQ225" i="1" s="1"/>
  <c r="EP217" i="1"/>
  <c r="EQ217" i="1" s="1"/>
  <c r="EP209" i="1"/>
  <c r="EQ209" i="1" s="1"/>
  <c r="EP201" i="1"/>
  <c r="EQ201" i="1" s="1"/>
  <c r="EP193" i="1"/>
  <c r="EQ193" i="1" s="1"/>
  <c r="EP185" i="1"/>
  <c r="EQ185" i="1" s="1"/>
  <c r="EP177" i="1"/>
  <c r="EQ177" i="1" s="1"/>
  <c r="EP169" i="1"/>
  <c r="EQ169" i="1" s="1"/>
  <c r="EP161" i="1"/>
  <c r="EQ161" i="1" s="1"/>
  <c r="EP153" i="1"/>
  <c r="EQ153" i="1" s="1"/>
  <c r="EP145" i="1"/>
  <c r="EQ145" i="1" s="1"/>
  <c r="EP137" i="1"/>
  <c r="EQ137" i="1" s="1"/>
  <c r="EP129" i="1"/>
  <c r="EQ129" i="1" s="1"/>
  <c r="EP121" i="1"/>
  <c r="EQ121" i="1" s="1"/>
  <c r="EP113" i="1"/>
  <c r="EQ113" i="1" s="1"/>
  <c r="EP105" i="1"/>
  <c r="EQ105" i="1" s="1"/>
  <c r="EP97" i="1"/>
  <c r="EQ97" i="1" s="1"/>
  <c r="EP89" i="1"/>
  <c r="EQ89" i="1" s="1"/>
  <c r="EP81" i="1"/>
  <c r="EQ81" i="1" s="1"/>
  <c r="EP73" i="1"/>
  <c r="EQ73" i="1" s="1"/>
  <c r="EP65" i="1"/>
  <c r="EQ65" i="1" s="1"/>
  <c r="EP57" i="1"/>
  <c r="EQ57" i="1" s="1"/>
  <c r="EP49" i="1"/>
  <c r="EQ49" i="1" s="1"/>
  <c r="EP41" i="1"/>
  <c r="EQ41" i="1" s="1"/>
  <c r="EP33" i="1"/>
  <c r="EQ33" i="1" s="1"/>
  <c r="EP25" i="1"/>
  <c r="EQ25" i="1" s="1"/>
  <c r="EP17" i="1"/>
  <c r="EQ17" i="1" s="1"/>
  <c r="EP9" i="1"/>
  <c r="EQ9" i="1" s="1"/>
  <c r="EP298" i="1"/>
  <c r="EQ298" i="1" s="1"/>
  <c r="EP290" i="1"/>
  <c r="EQ290" i="1" s="1"/>
  <c r="EP282" i="1"/>
  <c r="EQ282" i="1" s="1"/>
  <c r="EP274" i="1"/>
  <c r="EQ274" i="1" s="1"/>
  <c r="EP266" i="1"/>
  <c r="EQ266" i="1" s="1"/>
  <c r="EP258" i="1"/>
  <c r="EQ258" i="1" s="1"/>
  <c r="EP250" i="1"/>
  <c r="EQ250" i="1" s="1"/>
  <c r="EP242" i="1"/>
  <c r="EQ242" i="1" s="1"/>
  <c r="EP234" i="1"/>
  <c r="EQ234" i="1" s="1"/>
  <c r="EP226" i="1"/>
  <c r="EQ226" i="1" s="1"/>
  <c r="EP218" i="1"/>
  <c r="EQ218" i="1" s="1"/>
  <c r="EP210" i="1"/>
  <c r="EQ210" i="1" s="1"/>
  <c r="EP202" i="1"/>
  <c r="EQ202" i="1" s="1"/>
  <c r="EP194" i="1"/>
  <c r="EQ194" i="1" s="1"/>
  <c r="EP186" i="1"/>
  <c r="EQ186" i="1" s="1"/>
  <c r="EP178" i="1"/>
  <c r="EQ178" i="1" s="1"/>
  <c r="EP170" i="1"/>
  <c r="EQ170" i="1" s="1"/>
  <c r="EP162" i="1"/>
  <c r="EQ162" i="1" s="1"/>
  <c r="EP154" i="1"/>
  <c r="EQ154" i="1" s="1"/>
  <c r="EP146" i="1"/>
  <c r="EQ146" i="1" s="1"/>
  <c r="EP138" i="1"/>
  <c r="EQ138" i="1" s="1"/>
  <c r="EP130" i="1"/>
  <c r="EQ130" i="1" s="1"/>
  <c r="EP122" i="1"/>
  <c r="EQ122" i="1" s="1"/>
  <c r="EP114" i="1"/>
  <c r="EQ114" i="1" s="1"/>
  <c r="EP106" i="1"/>
  <c r="EQ106" i="1" s="1"/>
  <c r="EP98" i="1"/>
  <c r="EQ98" i="1" s="1"/>
  <c r="EP90" i="1"/>
  <c r="EQ90" i="1" s="1"/>
  <c r="EP82" i="1"/>
  <c r="EQ82" i="1" s="1"/>
  <c r="EP74" i="1"/>
  <c r="EQ74" i="1" s="1"/>
  <c r="EP66" i="1"/>
  <c r="EQ66" i="1" s="1"/>
  <c r="EP58" i="1"/>
  <c r="EQ58" i="1" s="1"/>
  <c r="EP50" i="1"/>
  <c r="EQ50" i="1" s="1"/>
  <c r="EP42" i="1"/>
  <c r="EQ42" i="1" s="1"/>
  <c r="EP34" i="1"/>
  <c r="EQ34" i="1" s="1"/>
  <c r="EP26" i="1"/>
  <c r="EQ26" i="1" s="1"/>
  <c r="EP18" i="1"/>
  <c r="EQ18" i="1" s="1"/>
  <c r="EP10" i="1"/>
  <c r="EQ10" i="1" s="1"/>
  <c r="W294" i="1"/>
  <c r="Z294" i="1" s="1"/>
  <c r="AA294" i="1" s="1"/>
  <c r="W286" i="1"/>
  <c r="Z286" i="1" s="1"/>
  <c r="AA286" i="1" s="1"/>
  <c r="W278" i="1"/>
  <c r="Z278" i="1" s="1"/>
  <c r="AA278" i="1" s="1"/>
  <c r="W270" i="1"/>
  <c r="W262" i="1"/>
  <c r="W246" i="1"/>
  <c r="Z246" i="1" s="1"/>
  <c r="AA246" i="1" s="1"/>
  <c r="EP294" i="1"/>
  <c r="EQ294" i="1" s="1"/>
  <c r="EP286" i="1"/>
  <c r="EQ286" i="1" s="1"/>
  <c r="EP278" i="1"/>
  <c r="EQ278" i="1" s="1"/>
  <c r="EP270" i="1"/>
  <c r="EQ270" i="1" s="1"/>
  <c r="EP262" i="1"/>
  <c r="EQ262" i="1" s="1"/>
  <c r="EP254" i="1"/>
  <c r="EQ254" i="1" s="1"/>
  <c r="EP246" i="1"/>
  <c r="EQ246" i="1" s="1"/>
  <c r="EP238" i="1"/>
  <c r="EQ238" i="1" s="1"/>
  <c r="EP230" i="1"/>
  <c r="EQ230" i="1" s="1"/>
  <c r="EP222" i="1"/>
  <c r="EQ222" i="1" s="1"/>
  <c r="EP214" i="1"/>
  <c r="EQ214" i="1" s="1"/>
  <c r="EP206" i="1"/>
  <c r="EQ206" i="1" s="1"/>
  <c r="EP198" i="1"/>
  <c r="EQ198" i="1" s="1"/>
  <c r="EP190" i="1"/>
  <c r="EQ190" i="1" s="1"/>
  <c r="EP182" i="1"/>
  <c r="EQ182" i="1" s="1"/>
  <c r="EP174" i="1"/>
  <c r="EQ174" i="1" s="1"/>
  <c r="EP166" i="1"/>
  <c r="EQ166" i="1" s="1"/>
  <c r="EP158" i="1"/>
  <c r="EQ158" i="1" s="1"/>
  <c r="EP150" i="1"/>
  <c r="EQ150" i="1" s="1"/>
  <c r="EP142" i="1"/>
  <c r="EQ142" i="1" s="1"/>
  <c r="EP134" i="1"/>
  <c r="EQ134" i="1" s="1"/>
  <c r="EP126" i="1"/>
  <c r="EQ126" i="1" s="1"/>
  <c r="EP118" i="1"/>
  <c r="EQ118" i="1" s="1"/>
  <c r="EP110" i="1"/>
  <c r="EQ110" i="1" s="1"/>
  <c r="EP102" i="1"/>
  <c r="EQ102" i="1" s="1"/>
  <c r="EP94" i="1"/>
  <c r="EQ94" i="1" s="1"/>
  <c r="EP296" i="1"/>
  <c r="EQ296" i="1" s="1"/>
  <c r="EP288" i="1"/>
  <c r="EQ288" i="1" s="1"/>
  <c r="EP280" i="1"/>
  <c r="EQ280" i="1" s="1"/>
  <c r="EP272" i="1"/>
  <c r="EQ272" i="1" s="1"/>
  <c r="EP264" i="1"/>
  <c r="EQ264" i="1" s="1"/>
  <c r="EP256" i="1"/>
  <c r="EQ256" i="1" s="1"/>
  <c r="EP248" i="1"/>
  <c r="EQ248" i="1" s="1"/>
  <c r="EP240" i="1"/>
  <c r="EQ240" i="1" s="1"/>
  <c r="EP232" i="1"/>
  <c r="EQ232" i="1" s="1"/>
  <c r="EP224" i="1"/>
  <c r="EQ224" i="1" s="1"/>
  <c r="EP216" i="1"/>
  <c r="EQ216" i="1" s="1"/>
  <c r="EP208" i="1"/>
  <c r="EQ208" i="1" s="1"/>
  <c r="EP200" i="1"/>
  <c r="EQ200" i="1" s="1"/>
  <c r="EP192" i="1"/>
  <c r="EQ192" i="1" s="1"/>
  <c r="EP184" i="1"/>
  <c r="EQ184" i="1" s="1"/>
  <c r="EP176" i="1"/>
  <c r="EQ176" i="1" s="1"/>
  <c r="EP168" i="1"/>
  <c r="EQ168" i="1" s="1"/>
  <c r="EP160" i="1"/>
  <c r="EQ160" i="1" s="1"/>
  <c r="EP152" i="1"/>
  <c r="EQ152" i="1" s="1"/>
  <c r="EP144" i="1"/>
  <c r="EQ144" i="1" s="1"/>
  <c r="EP136" i="1"/>
  <c r="EQ136" i="1" s="1"/>
  <c r="EP128" i="1"/>
  <c r="EQ128" i="1" s="1"/>
  <c r="EP120" i="1"/>
  <c r="EQ120" i="1" s="1"/>
  <c r="EP112" i="1"/>
  <c r="EQ112" i="1" s="1"/>
  <c r="EP96" i="1"/>
  <c r="EQ96" i="1" s="1"/>
  <c r="EP88" i="1"/>
  <c r="EQ88" i="1" s="1"/>
  <c r="EP80" i="1"/>
  <c r="EQ80" i="1" s="1"/>
  <c r="EP72" i="1"/>
  <c r="EQ72" i="1" s="1"/>
  <c r="W254" i="1"/>
  <c r="Z254" i="1" s="1"/>
  <c r="AA254" i="1" s="1"/>
  <c r="EP293" i="1"/>
  <c r="EQ293" i="1" s="1"/>
  <c r="EP285" i="1"/>
  <c r="EQ285" i="1" s="1"/>
  <c r="EP277" i="1"/>
  <c r="EQ277" i="1" s="1"/>
  <c r="EP269" i="1"/>
  <c r="EQ269" i="1" s="1"/>
  <c r="EP261" i="1"/>
  <c r="EQ261" i="1" s="1"/>
  <c r="EP253" i="1"/>
  <c r="EQ253" i="1" s="1"/>
  <c r="EP245" i="1"/>
  <c r="EQ245" i="1" s="1"/>
  <c r="EP237" i="1"/>
  <c r="EQ237" i="1" s="1"/>
  <c r="EP229" i="1"/>
  <c r="EQ229" i="1" s="1"/>
  <c r="EP221" i="1"/>
  <c r="EQ221" i="1" s="1"/>
  <c r="EP213" i="1"/>
  <c r="EQ213" i="1" s="1"/>
  <c r="EP205" i="1"/>
  <c r="EQ205" i="1" s="1"/>
  <c r="EP197" i="1"/>
  <c r="EQ197" i="1" s="1"/>
  <c r="EP189" i="1"/>
  <c r="EQ189" i="1" s="1"/>
  <c r="EP181" i="1"/>
  <c r="EQ181" i="1" s="1"/>
  <c r="EP173" i="1"/>
  <c r="EQ173" i="1" s="1"/>
  <c r="EP165" i="1"/>
  <c r="EQ165" i="1" s="1"/>
  <c r="EP157" i="1"/>
  <c r="EQ157" i="1" s="1"/>
  <c r="EP149" i="1"/>
  <c r="EQ149" i="1" s="1"/>
  <c r="EP141" i="1"/>
  <c r="EQ141" i="1" s="1"/>
  <c r="EP133" i="1"/>
  <c r="EQ133" i="1" s="1"/>
  <c r="EP125" i="1"/>
  <c r="EQ125" i="1" s="1"/>
  <c r="EP117" i="1"/>
  <c r="EQ117" i="1" s="1"/>
  <c r="EP109" i="1"/>
  <c r="EQ109" i="1" s="1"/>
  <c r="EP101" i="1"/>
  <c r="EQ101" i="1" s="1"/>
  <c r="EP93" i="1"/>
  <c r="EQ93" i="1" s="1"/>
  <c r="EP85" i="1"/>
  <c r="EQ85" i="1" s="1"/>
  <c r="EP77" i="1"/>
  <c r="EQ77" i="1" s="1"/>
  <c r="EP64" i="1"/>
  <c r="EQ64" i="1" s="1"/>
  <c r="EP56" i="1"/>
  <c r="EQ56" i="1" s="1"/>
  <c r="EP48" i="1"/>
  <c r="EQ48" i="1" s="1"/>
  <c r="EP40" i="1"/>
  <c r="EQ40" i="1" s="1"/>
  <c r="EP32" i="1"/>
  <c r="EQ32" i="1" s="1"/>
  <c r="EP24" i="1"/>
  <c r="EQ24" i="1" s="1"/>
  <c r="EP16" i="1"/>
  <c r="EQ16" i="1" s="1"/>
  <c r="EP8" i="1"/>
  <c r="EQ8" i="1" s="1"/>
  <c r="M253" i="1"/>
  <c r="P253" i="1" s="1"/>
  <c r="M245" i="1"/>
  <c r="P245" i="1" s="1"/>
  <c r="M237" i="1"/>
  <c r="P237" i="1" s="1"/>
  <c r="M229" i="1"/>
  <c r="P229" i="1" s="1"/>
  <c r="M221" i="1"/>
  <c r="P221" i="1" s="1"/>
  <c r="M213" i="1"/>
  <c r="P213" i="1" s="1"/>
  <c r="M205" i="1"/>
  <c r="P205" i="1" s="1"/>
  <c r="M197" i="1"/>
  <c r="P197" i="1" s="1"/>
  <c r="M189" i="1"/>
  <c r="P189" i="1" s="1"/>
  <c r="M181" i="1"/>
  <c r="P181" i="1" s="1"/>
  <c r="M173" i="1"/>
  <c r="P173" i="1" s="1"/>
  <c r="M165" i="1"/>
  <c r="P165" i="1" s="1"/>
  <c r="Q165" i="1" s="1"/>
  <c r="M157" i="1"/>
  <c r="P157" i="1" s="1"/>
  <c r="Q157" i="1" s="1"/>
  <c r="M149" i="1"/>
  <c r="P149" i="1" s="1"/>
  <c r="Q149" i="1" s="1"/>
  <c r="M141" i="1"/>
  <c r="P141" i="1" s="1"/>
  <c r="M133" i="1"/>
  <c r="P133" i="1" s="1"/>
  <c r="Q133" i="1" s="1"/>
  <c r="M125" i="1"/>
  <c r="P125" i="1" s="1"/>
  <c r="M117" i="1"/>
  <c r="P117" i="1" s="1"/>
  <c r="Q117" i="1" s="1"/>
  <c r="M109" i="1"/>
  <c r="M101" i="1"/>
  <c r="P101" i="1" s="1"/>
  <c r="Q101" i="1" s="1"/>
  <c r="M93" i="1"/>
  <c r="P93" i="1" s="1"/>
  <c r="M85" i="1"/>
  <c r="P85" i="1" s="1"/>
  <c r="Q85" i="1" s="1"/>
  <c r="M77" i="1"/>
  <c r="P77" i="1" s="1"/>
  <c r="Q77" i="1" s="1"/>
  <c r="M69" i="1"/>
  <c r="M61" i="1"/>
  <c r="Q61" i="1" s="1"/>
  <c r="M53" i="1"/>
  <c r="P53" i="1" s="1"/>
  <c r="Q53" i="1" s="1"/>
  <c r="M45" i="1"/>
  <c r="M37" i="1"/>
  <c r="P37" i="1" s="1"/>
  <c r="Q37" i="1" s="1"/>
  <c r="M29" i="1"/>
  <c r="P29" i="1" s="1"/>
  <c r="Q29" i="1" s="1"/>
  <c r="M21" i="1"/>
  <c r="P21" i="1" s="1"/>
  <c r="Q21" i="1" s="1"/>
  <c r="M13" i="1"/>
  <c r="P13" i="1" s="1"/>
  <c r="Q13" i="1" s="1"/>
  <c r="M5" i="1"/>
  <c r="EP295" i="1"/>
  <c r="EQ295" i="1" s="1"/>
  <c r="EP287" i="1"/>
  <c r="EQ287" i="1" s="1"/>
  <c r="EP279" i="1"/>
  <c r="EQ279" i="1" s="1"/>
  <c r="EP271" i="1"/>
  <c r="EQ271" i="1" s="1"/>
  <c r="EP263" i="1"/>
  <c r="EQ263" i="1" s="1"/>
  <c r="EP255" i="1"/>
  <c r="EQ255" i="1" s="1"/>
  <c r="EP247" i="1"/>
  <c r="EQ247" i="1" s="1"/>
  <c r="EP239" i="1"/>
  <c r="EQ239" i="1" s="1"/>
  <c r="EP231" i="1"/>
  <c r="EQ231" i="1" s="1"/>
  <c r="EP223" i="1"/>
  <c r="EQ223" i="1" s="1"/>
  <c r="EP215" i="1"/>
  <c r="EQ215" i="1" s="1"/>
  <c r="EP207" i="1"/>
  <c r="EQ207" i="1" s="1"/>
  <c r="EP199" i="1"/>
  <c r="EQ199" i="1" s="1"/>
  <c r="EP191" i="1"/>
  <c r="EQ191" i="1" s="1"/>
  <c r="EP183" i="1"/>
  <c r="EQ183" i="1" s="1"/>
  <c r="EP175" i="1"/>
  <c r="EQ175" i="1" s="1"/>
  <c r="EP167" i="1"/>
  <c r="EQ167" i="1" s="1"/>
  <c r="EP159" i="1"/>
  <c r="EQ159" i="1" s="1"/>
  <c r="EP151" i="1"/>
  <c r="EQ151" i="1" s="1"/>
  <c r="EP143" i="1"/>
  <c r="EQ143" i="1" s="1"/>
  <c r="EP135" i="1"/>
  <c r="EQ135" i="1" s="1"/>
  <c r="EP127" i="1"/>
  <c r="EQ127" i="1" s="1"/>
  <c r="EP119" i="1"/>
  <c r="EQ119" i="1" s="1"/>
  <c r="EP111" i="1"/>
  <c r="EQ111" i="1" s="1"/>
  <c r="EP103" i="1"/>
  <c r="EQ103" i="1" s="1"/>
  <c r="EP95" i="1"/>
  <c r="EQ95" i="1" s="1"/>
  <c r="EP87" i="1"/>
  <c r="EQ87" i="1" s="1"/>
  <c r="EP79" i="1"/>
  <c r="EQ79" i="1" s="1"/>
  <c r="EP71" i="1"/>
  <c r="EQ71" i="1" s="1"/>
  <c r="EP63" i="1"/>
  <c r="EQ63" i="1" s="1"/>
  <c r="EP55" i="1"/>
  <c r="EQ55" i="1" s="1"/>
  <c r="EP47" i="1"/>
  <c r="EQ47" i="1" s="1"/>
  <c r="EP39" i="1"/>
  <c r="EQ39" i="1" s="1"/>
  <c r="EP31" i="1"/>
  <c r="EQ31" i="1" s="1"/>
  <c r="EP23" i="1"/>
  <c r="EQ23" i="1" s="1"/>
  <c r="EP15" i="1"/>
  <c r="EQ15" i="1" s="1"/>
  <c r="EP7" i="1"/>
  <c r="EQ7" i="1" s="1"/>
  <c r="W296" i="1"/>
  <c r="Z296" i="1" s="1"/>
  <c r="AA296" i="1" s="1"/>
  <c r="W288" i="1"/>
  <c r="Z288" i="1" s="1"/>
  <c r="AA288" i="1" s="1"/>
  <c r="W280" i="1"/>
  <c r="Z280" i="1" s="1"/>
  <c r="AA280" i="1" s="1"/>
  <c r="W272" i="1"/>
  <c r="Z272" i="1" s="1"/>
  <c r="AA272" i="1" s="1"/>
  <c r="W264" i="1"/>
  <c r="Z264" i="1" s="1"/>
  <c r="AA264" i="1" s="1"/>
  <c r="W256" i="1"/>
  <c r="Z256" i="1" s="1"/>
  <c r="AA256" i="1" s="1"/>
  <c r="W248" i="1"/>
  <c r="Z248" i="1" s="1"/>
  <c r="AA248" i="1" s="1"/>
  <c r="W295" i="1"/>
  <c r="Z295" i="1" s="1"/>
  <c r="AA295" i="1" s="1"/>
  <c r="W287" i="1"/>
  <c r="Z287" i="1" s="1"/>
  <c r="AA287" i="1" s="1"/>
  <c r="W279" i="1"/>
  <c r="Z279" i="1" s="1"/>
  <c r="AA279" i="1" s="1"/>
  <c r="W271" i="1"/>
  <c r="Z271" i="1" s="1"/>
  <c r="AA271" i="1" s="1"/>
  <c r="W263" i="1"/>
  <c r="Z263" i="1" s="1"/>
  <c r="AA263" i="1" s="1"/>
  <c r="W255" i="1"/>
  <c r="Z255" i="1" s="1"/>
  <c r="AA255" i="1" s="1"/>
  <c r="W247" i="1"/>
  <c r="W239" i="1"/>
  <c r="Z239" i="1" s="1"/>
  <c r="AA239" i="1" s="1"/>
  <c r="W231" i="1"/>
  <c r="Z231" i="1" s="1"/>
  <c r="AA231" i="1" s="1"/>
  <c r="W223" i="1"/>
  <c r="Z223" i="1" s="1"/>
  <c r="AA223" i="1" s="1"/>
  <c r="W215" i="1"/>
  <c r="Z215" i="1" s="1"/>
  <c r="AA215" i="1" s="1"/>
  <c r="W207" i="1"/>
  <c r="Z207" i="1" s="1"/>
  <c r="AA207" i="1" s="1"/>
  <c r="W199" i="1"/>
  <c r="AA199" i="1" s="1"/>
  <c r="W191" i="1"/>
  <c r="Z191" i="1" s="1"/>
  <c r="AA191" i="1" s="1"/>
  <c r="W183" i="1"/>
  <c r="W175" i="1"/>
  <c r="Z175" i="1" s="1"/>
  <c r="AA175" i="1" s="1"/>
  <c r="W167" i="1"/>
  <c r="Z167" i="1" s="1"/>
  <c r="AA167" i="1" s="1"/>
  <c r="W159" i="1"/>
  <c r="Z159" i="1" s="1"/>
  <c r="AA159" i="1" s="1"/>
  <c r="W151" i="1"/>
  <c r="Z151" i="1" s="1"/>
  <c r="AA151" i="1" s="1"/>
  <c r="W143" i="1"/>
  <c r="W135" i="1"/>
  <c r="Z135" i="1" s="1"/>
  <c r="AA135" i="1" s="1"/>
  <c r="W127" i="1"/>
  <c r="Z127" i="1" s="1"/>
  <c r="AA127" i="1" s="1"/>
  <c r="W119" i="1"/>
  <c r="W111" i="1"/>
  <c r="Z111" i="1" s="1"/>
  <c r="AA111" i="1" s="1"/>
  <c r="W103" i="1"/>
  <c r="Z103" i="1" s="1"/>
  <c r="AA103" i="1" s="1"/>
  <c r="W95" i="1"/>
  <c r="Z95" i="1" s="1"/>
  <c r="AA95" i="1" s="1"/>
  <c r="W87" i="1"/>
  <c r="Z87" i="1" s="1"/>
  <c r="AA87" i="1" s="1"/>
  <c r="W79" i="1"/>
  <c r="Z79" i="1" s="1"/>
  <c r="AA79" i="1" s="1"/>
  <c r="W71" i="1"/>
  <c r="Z71" i="1" s="1"/>
  <c r="AA71" i="1" s="1"/>
  <c r="W63" i="1"/>
  <c r="Z63" i="1" s="1"/>
  <c r="AA63" i="1" s="1"/>
  <c r="W55" i="1"/>
  <c r="W47" i="1"/>
  <c r="Z47" i="1" s="1"/>
  <c r="AA47" i="1" s="1"/>
  <c r="W39" i="1"/>
  <c r="Z39" i="1" s="1"/>
  <c r="AA39" i="1" s="1"/>
  <c r="W31" i="1"/>
  <c r="Z31" i="1" s="1"/>
  <c r="AA31" i="1" s="1"/>
  <c r="W23" i="1"/>
  <c r="Z23" i="1" s="1"/>
  <c r="AA23" i="1" s="1"/>
  <c r="W15" i="1"/>
  <c r="Z15" i="1" s="1"/>
  <c r="AA15" i="1" s="1"/>
  <c r="W7" i="1"/>
  <c r="Z7" i="1" s="1"/>
  <c r="AA7" i="1" s="1"/>
  <c r="M297" i="1"/>
  <c r="P297" i="1" s="1"/>
  <c r="Q297" i="1" s="1"/>
  <c r="M289" i="1"/>
  <c r="M273" i="1"/>
  <c r="P273" i="1" s="1"/>
  <c r="Q273" i="1" s="1"/>
  <c r="M257" i="1"/>
  <c r="P257" i="1" s="1"/>
  <c r="Q257" i="1" s="1"/>
  <c r="M241" i="1"/>
  <c r="P241" i="1" s="1"/>
  <c r="Q241" i="1" s="1"/>
  <c r="M225" i="1"/>
  <c r="P225" i="1" s="1"/>
  <c r="Q225" i="1" s="1"/>
  <c r="M209" i="1"/>
  <c r="P209" i="1" s="1"/>
  <c r="Q209" i="1" s="1"/>
  <c r="M193" i="1"/>
  <c r="Q193" i="1" s="1"/>
  <c r="M177" i="1"/>
  <c r="P177" i="1" s="1"/>
  <c r="Q177" i="1" s="1"/>
  <c r="M169" i="1"/>
  <c r="M153" i="1"/>
  <c r="P153" i="1" s="1"/>
  <c r="Q153" i="1" s="1"/>
  <c r="M145" i="1"/>
  <c r="P145" i="1" s="1"/>
  <c r="M137" i="1"/>
  <c r="Q137" i="1" s="1"/>
  <c r="M129" i="1"/>
  <c r="P129" i="1" s="1"/>
  <c r="M121" i="1"/>
  <c r="P121" i="1" s="1"/>
  <c r="Q121" i="1" s="1"/>
  <c r="M113" i="1"/>
  <c r="P113" i="1" s="1"/>
  <c r="Q113" i="1" s="1"/>
  <c r="M105" i="1"/>
  <c r="P105" i="1" s="1"/>
  <c r="Q105" i="1" s="1"/>
  <c r="M97" i="1"/>
  <c r="M89" i="1"/>
  <c r="P89" i="1" s="1"/>
  <c r="Q89" i="1" s="1"/>
  <c r="M81" i="1"/>
  <c r="P81" i="1" s="1"/>
  <c r="M73" i="1"/>
  <c r="P73" i="1" s="1"/>
  <c r="Q73" i="1" s="1"/>
  <c r="M65" i="1"/>
  <c r="P65" i="1" s="1"/>
  <c r="M57" i="1"/>
  <c r="P57" i="1" s="1"/>
  <c r="Q57" i="1" s="1"/>
  <c r="M49" i="1"/>
  <c r="P49" i="1" s="1"/>
  <c r="Q49" i="1" s="1"/>
  <c r="M41" i="1"/>
  <c r="P41" i="1" s="1"/>
  <c r="Q41" i="1" s="1"/>
  <c r="M33" i="1"/>
  <c r="M25" i="1"/>
  <c r="P25" i="1" s="1"/>
  <c r="Q25" i="1" s="1"/>
  <c r="M17" i="1"/>
  <c r="P17" i="1" s="1"/>
  <c r="Q17" i="1" s="1"/>
  <c r="M9" i="1"/>
  <c r="P9" i="1" s="1"/>
  <c r="Q9" i="1" s="1"/>
  <c r="M281" i="1"/>
  <c r="P281" i="1" s="1"/>
  <c r="Q281" i="1" s="1"/>
  <c r="M265" i="1"/>
  <c r="P265" i="1" s="1"/>
  <c r="Q265" i="1" s="1"/>
  <c r="M249" i="1"/>
  <c r="P249" i="1" s="1"/>
  <c r="Q249" i="1" s="1"/>
  <c r="M233" i="1"/>
  <c r="P233" i="1" s="1"/>
  <c r="Q233" i="1" s="1"/>
  <c r="M217" i="1"/>
  <c r="M201" i="1"/>
  <c r="P201" i="1" s="1"/>
  <c r="Q201" i="1" s="1"/>
  <c r="M185" i="1"/>
  <c r="P185" i="1" s="1"/>
  <c r="Q185" i="1" s="1"/>
  <c r="M161" i="1"/>
  <c r="P161" i="1" s="1"/>
  <c r="AQ297" i="1"/>
  <c r="AT297" i="1" s="1"/>
  <c r="AU297" i="1" s="1"/>
  <c r="AQ293" i="1"/>
  <c r="AT293" i="1" s="1"/>
  <c r="AU293" i="1" s="1"/>
  <c r="AQ281" i="1"/>
  <c r="AT281" i="1" s="1"/>
  <c r="AU281" i="1" s="1"/>
  <c r="AQ277" i="1"/>
  <c r="AT277" i="1" s="1"/>
  <c r="AU277" i="1" s="1"/>
  <c r="AQ265" i="1"/>
  <c r="CP298" i="1"/>
  <c r="CS298" i="1" s="1"/>
  <c r="CT298" i="1" s="1"/>
  <c r="CP294" i="1"/>
  <c r="CS294" i="1" s="1"/>
  <c r="CT294" i="1" s="1"/>
  <c r="CP290" i="1"/>
  <c r="CS290" i="1" s="1"/>
  <c r="CP286" i="1"/>
  <c r="CS286" i="1" s="1"/>
  <c r="CT286" i="1" s="1"/>
  <c r="CP282" i="1"/>
  <c r="CP274" i="1"/>
  <c r="CS274" i="1" s="1"/>
  <c r="CT274" i="1" s="1"/>
  <c r="CP270" i="1"/>
  <c r="CS270" i="1" s="1"/>
  <c r="CT270" i="1" s="1"/>
  <c r="CP266" i="1"/>
  <c r="CS266" i="1" s="1"/>
  <c r="CT266" i="1" s="1"/>
  <c r="CP258" i="1"/>
  <c r="CS258" i="1" s="1"/>
  <c r="CT258" i="1" s="1"/>
  <c r="CP254" i="1"/>
  <c r="CS254" i="1" s="1"/>
  <c r="CT254" i="1" s="1"/>
  <c r="CP246" i="1"/>
  <c r="CS246" i="1" s="1"/>
  <c r="CP242" i="1"/>
  <c r="CS242" i="1" s="1"/>
  <c r="CP238" i="1"/>
  <c r="CS238" i="1" s="1"/>
  <c r="CP234" i="1"/>
  <c r="CS234" i="1" s="1"/>
  <c r="CT234" i="1" s="1"/>
  <c r="CP230" i="1"/>
  <c r="CS230" i="1" s="1"/>
  <c r="CT230" i="1" s="1"/>
  <c r="CP226" i="1"/>
  <c r="CS226" i="1" s="1"/>
  <c r="CT226" i="1" s="1"/>
  <c r="CP218" i="1"/>
  <c r="CS218" i="1" s="1"/>
  <c r="CT218" i="1" s="1"/>
  <c r="CP214" i="1"/>
  <c r="CS214" i="1" s="1"/>
  <c r="CT214" i="1" s="1"/>
  <c r="CP210" i="1"/>
  <c r="CS210" i="1" s="1"/>
  <c r="CT210" i="1" s="1"/>
  <c r="CP202" i="1"/>
  <c r="CS202" i="1" s="1"/>
  <c r="CT202" i="1" s="1"/>
  <c r="CP198" i="1"/>
  <c r="CS198" i="1" s="1"/>
  <c r="CT198" i="1" s="1"/>
  <c r="CP194" i="1"/>
  <c r="CS194" i="1" s="1"/>
  <c r="CT194" i="1" s="1"/>
  <c r="CP190" i="1"/>
  <c r="CS190" i="1" s="1"/>
  <c r="CT190" i="1" s="1"/>
  <c r="CP186" i="1"/>
  <c r="CS186" i="1" s="1"/>
  <c r="CT186" i="1" s="1"/>
  <c r="CZ295" i="1"/>
  <c r="DC295" i="1" s="1"/>
  <c r="DD295" i="1" s="1"/>
  <c r="CZ287" i="1"/>
  <c r="DC287" i="1" s="1"/>
  <c r="DD287" i="1" s="1"/>
  <c r="CZ283" i="1"/>
  <c r="DC283" i="1" s="1"/>
  <c r="DD283" i="1" s="1"/>
  <c r="CZ263" i="1"/>
  <c r="DC263" i="1" s="1"/>
  <c r="DD263" i="1" s="1"/>
  <c r="CZ255" i="1"/>
  <c r="DC255" i="1" s="1"/>
  <c r="DD255" i="1" s="1"/>
  <c r="CZ251" i="1"/>
  <c r="DC251" i="1" s="1"/>
  <c r="DD251" i="1" s="1"/>
  <c r="CZ235" i="1"/>
  <c r="DC235" i="1" s="1"/>
  <c r="DD235" i="1" s="1"/>
  <c r="CZ223" i="1"/>
  <c r="DC223" i="1" s="1"/>
  <c r="DD223" i="1" s="1"/>
  <c r="CZ215" i="1"/>
  <c r="DC215" i="1" s="1"/>
  <c r="DD215" i="1" s="1"/>
  <c r="CZ143" i="1"/>
  <c r="DC143" i="1" s="1"/>
  <c r="DD143" i="1" s="1"/>
  <c r="AG297" i="1"/>
  <c r="AJ297" i="1" s="1"/>
  <c r="AK297" i="1" s="1"/>
  <c r="AG289" i="1"/>
  <c r="AJ289" i="1" s="1"/>
  <c r="AK289" i="1" s="1"/>
  <c r="AG281" i="1"/>
  <c r="AJ281" i="1" s="1"/>
  <c r="AK281" i="1" s="1"/>
  <c r="AG273" i="1"/>
  <c r="AJ273" i="1" s="1"/>
  <c r="AK273" i="1" s="1"/>
  <c r="AG265" i="1"/>
  <c r="AJ265" i="1" s="1"/>
  <c r="AK265" i="1" s="1"/>
  <c r="AG257" i="1"/>
  <c r="AG249" i="1"/>
  <c r="AJ249" i="1" s="1"/>
  <c r="AK249" i="1" s="1"/>
  <c r="AG241" i="1"/>
  <c r="AJ241" i="1" s="1"/>
  <c r="AK241" i="1" s="1"/>
  <c r="AG233" i="1"/>
  <c r="AJ233" i="1" s="1"/>
  <c r="AK233" i="1" s="1"/>
  <c r="AG225" i="1"/>
  <c r="AJ225" i="1" s="1"/>
  <c r="AK225" i="1" s="1"/>
  <c r="AG217" i="1"/>
  <c r="AJ217" i="1" s="1"/>
  <c r="AK217" i="1" s="1"/>
  <c r="AG209" i="1"/>
  <c r="AJ209" i="1" s="1"/>
  <c r="AK209" i="1" s="1"/>
  <c r="AG201" i="1"/>
  <c r="AJ201" i="1" s="1"/>
  <c r="AK201" i="1" s="1"/>
  <c r="AG193" i="1"/>
  <c r="AK193" i="1" s="1"/>
  <c r="AG185" i="1"/>
  <c r="AJ185" i="1" s="1"/>
  <c r="AK185" i="1" s="1"/>
  <c r="AG177" i="1"/>
  <c r="AJ177" i="1" s="1"/>
  <c r="AK177" i="1" s="1"/>
  <c r="AG169" i="1"/>
  <c r="AJ169" i="1" s="1"/>
  <c r="AK169" i="1" s="1"/>
  <c r="AG161" i="1"/>
  <c r="AJ161" i="1" s="1"/>
  <c r="AK161" i="1" s="1"/>
  <c r="AG153" i="1"/>
  <c r="AJ153" i="1" s="1"/>
  <c r="AK153" i="1" s="1"/>
  <c r="AG145" i="1"/>
  <c r="AJ145" i="1" s="1"/>
  <c r="AK145" i="1" s="1"/>
  <c r="AG137" i="1"/>
  <c r="AK137" i="1" s="1"/>
  <c r="AG129" i="1"/>
  <c r="AG113" i="1"/>
  <c r="AJ113" i="1" s="1"/>
  <c r="AK113" i="1" s="1"/>
  <c r="DJ277" i="1"/>
  <c r="DM277" i="1" s="1"/>
  <c r="DN277" i="1" s="1"/>
  <c r="DJ193" i="1"/>
  <c r="DN193" i="1" s="1"/>
  <c r="DJ137" i="1"/>
  <c r="DN137" i="1" s="1"/>
  <c r="DJ101" i="1"/>
  <c r="DM101" i="1" s="1"/>
  <c r="DN101" i="1" s="1"/>
  <c r="DJ17" i="1"/>
  <c r="DM17" i="1" s="1"/>
  <c r="DN17" i="1" s="1"/>
  <c r="W299" i="1"/>
  <c r="Z299" i="1" s="1"/>
  <c r="AA299" i="1" s="1"/>
  <c r="W283" i="1"/>
  <c r="Z283" i="1" s="1"/>
  <c r="AA283" i="1" s="1"/>
  <c r="W259" i="1"/>
  <c r="Z259" i="1" s="1"/>
  <c r="AA259" i="1" s="1"/>
  <c r="W243" i="1"/>
  <c r="Z243" i="1" s="1"/>
  <c r="AA243" i="1" s="1"/>
  <c r="W227" i="1"/>
  <c r="Z227" i="1" s="1"/>
  <c r="AA227" i="1" s="1"/>
  <c r="W211" i="1"/>
  <c r="Z211" i="1" s="1"/>
  <c r="AA211" i="1" s="1"/>
  <c r="W195" i="1"/>
  <c r="Z195" i="1" s="1"/>
  <c r="AA195" i="1" s="1"/>
  <c r="W187" i="1"/>
  <c r="Z187" i="1" s="1"/>
  <c r="AA187" i="1" s="1"/>
  <c r="W171" i="1"/>
  <c r="Z171" i="1" s="1"/>
  <c r="AA171" i="1" s="1"/>
  <c r="W147" i="1"/>
  <c r="Z147" i="1" s="1"/>
  <c r="AA147" i="1" s="1"/>
  <c r="W131" i="1"/>
  <c r="Z131" i="1" s="1"/>
  <c r="AA131" i="1" s="1"/>
  <c r="W115" i="1"/>
  <c r="Z115" i="1" s="1"/>
  <c r="AA115" i="1" s="1"/>
  <c r="W99" i="1"/>
  <c r="Z99" i="1" s="1"/>
  <c r="AA99" i="1" s="1"/>
  <c r="W83" i="1"/>
  <c r="Z83" i="1" s="1"/>
  <c r="AA83" i="1" s="1"/>
  <c r="W67" i="1"/>
  <c r="Z67" i="1" s="1"/>
  <c r="AA67" i="1" s="1"/>
  <c r="W51" i="1"/>
  <c r="Z51" i="1" s="1"/>
  <c r="AA51" i="1" s="1"/>
  <c r="W35" i="1"/>
  <c r="Z35" i="1" s="1"/>
  <c r="W27" i="1"/>
  <c r="W11" i="1"/>
  <c r="Z11" i="1" s="1"/>
  <c r="AA11" i="1" s="1"/>
  <c r="W298" i="1"/>
  <c r="Z298" i="1" s="1"/>
  <c r="AA298" i="1" s="1"/>
  <c r="W290" i="1"/>
  <c r="Z290" i="1" s="1"/>
  <c r="AA290" i="1" s="1"/>
  <c r="W282" i="1"/>
  <c r="Z282" i="1" s="1"/>
  <c r="AA282" i="1" s="1"/>
  <c r="W274" i="1"/>
  <c r="Z274" i="1" s="1"/>
  <c r="AA274" i="1" s="1"/>
  <c r="W266" i="1"/>
  <c r="Z266" i="1" s="1"/>
  <c r="AA266" i="1" s="1"/>
  <c r="W258" i="1"/>
  <c r="Z258" i="1" s="1"/>
  <c r="AA258" i="1" s="1"/>
  <c r="W250" i="1"/>
  <c r="Z250" i="1" s="1"/>
  <c r="AA250" i="1" s="1"/>
  <c r="W242" i="1"/>
  <c r="Z242" i="1" s="1"/>
  <c r="AA242" i="1" s="1"/>
  <c r="W234" i="1"/>
  <c r="Z234" i="1" s="1"/>
  <c r="AA234" i="1" s="1"/>
  <c r="W226" i="1"/>
  <c r="Z226" i="1" s="1"/>
  <c r="AA226" i="1" s="1"/>
  <c r="W218" i="1"/>
  <c r="Z218" i="1" s="1"/>
  <c r="AA218" i="1" s="1"/>
  <c r="W210" i="1"/>
  <c r="Z210" i="1" s="1"/>
  <c r="AA210" i="1" s="1"/>
  <c r="W202" i="1"/>
  <c r="Z202" i="1" s="1"/>
  <c r="AA202" i="1" s="1"/>
  <c r="W194" i="1"/>
  <c r="Z194" i="1" s="1"/>
  <c r="AA194" i="1" s="1"/>
  <c r="W186" i="1"/>
  <c r="Z186" i="1" s="1"/>
  <c r="AA186" i="1" s="1"/>
  <c r="W178" i="1"/>
  <c r="Z178" i="1" s="1"/>
  <c r="AA178" i="1" s="1"/>
  <c r="W170" i="1"/>
  <c r="Z170" i="1" s="1"/>
  <c r="AA170" i="1" s="1"/>
  <c r="W162" i="1"/>
  <c r="Z162" i="1" s="1"/>
  <c r="AA162" i="1" s="1"/>
  <c r="W154" i="1"/>
  <c r="Z154" i="1" s="1"/>
  <c r="AA154" i="1" s="1"/>
  <c r="W146" i="1"/>
  <c r="AA146" i="1" s="1"/>
  <c r="W138" i="1"/>
  <c r="Z138" i="1" s="1"/>
  <c r="AA138" i="1" s="1"/>
  <c r="W130" i="1"/>
  <c r="Z130" i="1" s="1"/>
  <c r="AA130" i="1" s="1"/>
  <c r="W122" i="1"/>
  <c r="Z122" i="1" s="1"/>
  <c r="AA122" i="1" s="1"/>
  <c r="W114" i="1"/>
  <c r="Z114" i="1" s="1"/>
  <c r="AA114" i="1" s="1"/>
  <c r="W106" i="1"/>
  <c r="Z106" i="1" s="1"/>
  <c r="AA106" i="1" s="1"/>
  <c r="W98" i="1"/>
  <c r="Z98" i="1" s="1"/>
  <c r="AA98" i="1" s="1"/>
  <c r="W90" i="1"/>
  <c r="Z90" i="1" s="1"/>
  <c r="AA90" i="1" s="1"/>
  <c r="W82" i="1"/>
  <c r="Z82" i="1" s="1"/>
  <c r="AA82" i="1" s="1"/>
  <c r="W74" i="1"/>
  <c r="Z74" i="1" s="1"/>
  <c r="AA74" i="1" s="1"/>
  <c r="W66" i="1"/>
  <c r="Z66" i="1" s="1"/>
  <c r="AA66" i="1" s="1"/>
  <c r="W58" i="1"/>
  <c r="Z58" i="1" s="1"/>
  <c r="AA58" i="1" s="1"/>
  <c r="W50" i="1"/>
  <c r="Z50" i="1" s="1"/>
  <c r="AA50" i="1" s="1"/>
  <c r="W42" i="1"/>
  <c r="Z42" i="1" s="1"/>
  <c r="AA42" i="1" s="1"/>
  <c r="W34" i="1"/>
  <c r="Z34" i="1" s="1"/>
  <c r="AA34" i="1" s="1"/>
  <c r="W26" i="1"/>
  <c r="Z26" i="1" s="1"/>
  <c r="AA26" i="1" s="1"/>
  <c r="W18" i="1"/>
  <c r="Z18" i="1" s="1"/>
  <c r="AA18" i="1" s="1"/>
  <c r="W10" i="1"/>
  <c r="Z10" i="1" s="1"/>
  <c r="AA10" i="1" s="1"/>
  <c r="W291" i="1"/>
  <c r="Z291" i="1" s="1"/>
  <c r="AA291" i="1" s="1"/>
  <c r="W275" i="1"/>
  <c r="Z275" i="1" s="1"/>
  <c r="AA275" i="1" s="1"/>
  <c r="W267" i="1"/>
  <c r="Z267" i="1" s="1"/>
  <c r="AA267" i="1" s="1"/>
  <c r="W251" i="1"/>
  <c r="Z251" i="1" s="1"/>
  <c r="AA251" i="1" s="1"/>
  <c r="W235" i="1"/>
  <c r="Z235" i="1" s="1"/>
  <c r="AA235" i="1" s="1"/>
  <c r="W219" i="1"/>
  <c r="Z219" i="1" s="1"/>
  <c r="AA219" i="1" s="1"/>
  <c r="W203" i="1"/>
  <c r="Z203" i="1" s="1"/>
  <c r="AA203" i="1" s="1"/>
  <c r="W179" i="1"/>
  <c r="Z179" i="1" s="1"/>
  <c r="AA179" i="1" s="1"/>
  <c r="W163" i="1"/>
  <c r="Z163" i="1" s="1"/>
  <c r="AA163" i="1" s="1"/>
  <c r="W155" i="1"/>
  <c r="Z155" i="1" s="1"/>
  <c r="AA155" i="1" s="1"/>
  <c r="W139" i="1"/>
  <c r="Z139" i="1" s="1"/>
  <c r="AA139" i="1" s="1"/>
  <c r="W123" i="1"/>
  <c r="Z123" i="1" s="1"/>
  <c r="AA123" i="1" s="1"/>
  <c r="W107" i="1"/>
  <c r="Z107" i="1" s="1"/>
  <c r="AA107" i="1" s="1"/>
  <c r="W91" i="1"/>
  <c r="W75" i="1"/>
  <c r="Z75" i="1" s="1"/>
  <c r="AA75" i="1" s="1"/>
  <c r="W59" i="1"/>
  <c r="Z59" i="1" s="1"/>
  <c r="AA59" i="1" s="1"/>
  <c r="W43" i="1"/>
  <c r="Z43" i="1" s="1"/>
  <c r="AA43" i="1" s="1"/>
  <c r="W19" i="1"/>
  <c r="Z19" i="1" s="1"/>
  <c r="AA19" i="1" s="1"/>
  <c r="W3" i="1"/>
  <c r="Z3" i="1" s="1"/>
  <c r="AA3" i="1" s="1"/>
  <c r="W297" i="1"/>
  <c r="Z297" i="1" s="1"/>
  <c r="AA297" i="1" s="1"/>
  <c r="W289" i="1"/>
  <c r="Z289" i="1" s="1"/>
  <c r="AA289" i="1" s="1"/>
  <c r="W281" i="1"/>
  <c r="Z281" i="1" s="1"/>
  <c r="AA281" i="1" s="1"/>
  <c r="W273" i="1"/>
  <c r="Z273" i="1" s="1"/>
  <c r="AA273" i="1" s="1"/>
  <c r="W265" i="1"/>
  <c r="Z265" i="1" s="1"/>
  <c r="AA265" i="1" s="1"/>
  <c r="W257" i="1"/>
  <c r="Z257" i="1" s="1"/>
  <c r="AA257" i="1" s="1"/>
  <c r="W249" i="1"/>
  <c r="Z249" i="1" s="1"/>
  <c r="AA249" i="1" s="1"/>
  <c r="W241" i="1"/>
  <c r="Z241" i="1" s="1"/>
  <c r="AA241" i="1" s="1"/>
  <c r="W233" i="1"/>
  <c r="Z233" i="1" s="1"/>
  <c r="AA233" i="1" s="1"/>
  <c r="W225" i="1"/>
  <c r="Z225" i="1" s="1"/>
  <c r="AA225" i="1" s="1"/>
  <c r="W217" i="1"/>
  <c r="Z217" i="1" s="1"/>
  <c r="AA217" i="1" s="1"/>
  <c r="W209" i="1"/>
  <c r="Z209" i="1" s="1"/>
  <c r="W201" i="1"/>
  <c r="Z201" i="1" s="1"/>
  <c r="W193" i="1"/>
  <c r="AA193" i="1" s="1"/>
  <c r="W185" i="1"/>
  <c r="Z185" i="1" s="1"/>
  <c r="W177" i="1"/>
  <c r="Z177" i="1" s="1"/>
  <c r="W169" i="1"/>
  <c r="Z169" i="1" s="1"/>
  <c r="W161" i="1"/>
  <c r="Z161" i="1" s="1"/>
  <c r="W153" i="1"/>
  <c r="Z153" i="1" s="1"/>
  <c r="W145" i="1"/>
  <c r="Z145" i="1" s="1"/>
  <c r="W137" i="1"/>
  <c r="AA137" i="1" s="1"/>
  <c r="W129" i="1"/>
  <c r="Z129" i="1" s="1"/>
  <c r="AA129" i="1" s="1"/>
  <c r="W121" i="1"/>
  <c r="Z121" i="1" s="1"/>
  <c r="W113" i="1"/>
  <c r="Z113" i="1" s="1"/>
  <c r="AA113" i="1" s="1"/>
  <c r="W105" i="1"/>
  <c r="Z105" i="1" s="1"/>
  <c r="AA105" i="1" s="1"/>
  <c r="W97" i="1"/>
  <c r="Z97" i="1" s="1"/>
  <c r="W89" i="1"/>
  <c r="Z89" i="1" s="1"/>
  <c r="W81" i="1"/>
  <c r="Z81" i="1" s="1"/>
  <c r="AA81" i="1" s="1"/>
  <c r="W73" i="1"/>
  <c r="Z73" i="1" s="1"/>
  <c r="W65" i="1"/>
  <c r="Z65" i="1" s="1"/>
  <c r="AA65" i="1" s="1"/>
  <c r="W57" i="1"/>
  <c r="Z57" i="1" s="1"/>
  <c r="W49" i="1"/>
  <c r="Z49" i="1" s="1"/>
  <c r="AA49" i="1" s="1"/>
  <c r="W41" i="1"/>
  <c r="Z41" i="1" s="1"/>
  <c r="AA41" i="1" s="1"/>
  <c r="W33" i="1"/>
  <c r="Z33" i="1" s="1"/>
  <c r="AA33" i="1" s="1"/>
  <c r="W25" i="1"/>
  <c r="Z25" i="1" s="1"/>
  <c r="W17" i="1"/>
  <c r="Z17" i="1" s="1"/>
  <c r="AA17" i="1" s="1"/>
  <c r="W9" i="1"/>
  <c r="Z9" i="1" s="1"/>
  <c r="AG283" i="1"/>
  <c r="AJ283" i="1" s="1"/>
  <c r="AK283" i="1" s="1"/>
  <c r="AG267" i="1"/>
  <c r="AJ267" i="1" s="1"/>
  <c r="AK267" i="1" s="1"/>
  <c r="AG219" i="1"/>
  <c r="AJ219" i="1" s="1"/>
  <c r="AK219" i="1" s="1"/>
  <c r="AG203" i="1"/>
  <c r="AJ203" i="1" s="1"/>
  <c r="AK203" i="1" s="1"/>
  <c r="AG155" i="1"/>
  <c r="AJ155" i="1" s="1"/>
  <c r="AK155" i="1" s="1"/>
  <c r="AG139" i="1"/>
  <c r="AJ139" i="1" s="1"/>
  <c r="AK139" i="1" s="1"/>
  <c r="AG91" i="1"/>
  <c r="AG75" i="1"/>
  <c r="AJ75" i="1" s="1"/>
  <c r="AK75" i="1" s="1"/>
  <c r="AG27" i="1"/>
  <c r="AJ27" i="1" s="1"/>
  <c r="AK27" i="1" s="1"/>
  <c r="AG11" i="1"/>
  <c r="AJ11" i="1" s="1"/>
  <c r="AK11" i="1" s="1"/>
  <c r="AQ296" i="1"/>
  <c r="AT296" i="1" s="1"/>
  <c r="AU296" i="1" s="1"/>
  <c r="AQ292" i="1"/>
  <c r="AT292" i="1" s="1"/>
  <c r="AU292" i="1" s="1"/>
  <c r="AQ288" i="1"/>
  <c r="AT288" i="1" s="1"/>
  <c r="AU288" i="1" s="1"/>
  <c r="AQ284" i="1"/>
  <c r="AT284" i="1" s="1"/>
  <c r="AU284" i="1" s="1"/>
  <c r="W292" i="1"/>
  <c r="Z292" i="1" s="1"/>
  <c r="AA292" i="1" s="1"/>
  <c r="W276" i="1"/>
  <c r="Z276" i="1" s="1"/>
  <c r="AA276" i="1" s="1"/>
  <c r="W268" i="1"/>
  <c r="Z268" i="1" s="1"/>
  <c r="AA268" i="1" s="1"/>
  <c r="W252" i="1"/>
  <c r="Z252" i="1" s="1"/>
  <c r="AA252" i="1" s="1"/>
  <c r="W244" i="1"/>
  <c r="Z244" i="1" s="1"/>
  <c r="AA244" i="1" s="1"/>
  <c r="W236" i="1"/>
  <c r="Z236" i="1" s="1"/>
  <c r="AA236" i="1" s="1"/>
  <c r="W228" i="1"/>
  <c r="Z228" i="1" s="1"/>
  <c r="AA228" i="1" s="1"/>
  <c r="W220" i="1"/>
  <c r="Z220" i="1" s="1"/>
  <c r="AA220" i="1" s="1"/>
  <c r="W204" i="1"/>
  <c r="Z204" i="1" s="1"/>
  <c r="AA204" i="1" s="1"/>
  <c r="W196" i="1"/>
  <c r="Z196" i="1" s="1"/>
  <c r="AA196" i="1" s="1"/>
  <c r="W188" i="1"/>
  <c r="Z188" i="1" s="1"/>
  <c r="AA188" i="1" s="1"/>
  <c r="W180" i="1"/>
  <c r="Z180" i="1" s="1"/>
  <c r="AA180" i="1" s="1"/>
  <c r="W172" i="1"/>
  <c r="Z172" i="1" s="1"/>
  <c r="AA172" i="1" s="1"/>
  <c r="W164" i="1"/>
  <c r="Z164" i="1" s="1"/>
  <c r="AA164" i="1" s="1"/>
  <c r="W156" i="1"/>
  <c r="Z156" i="1" s="1"/>
  <c r="AA156" i="1" s="1"/>
  <c r="W148" i="1"/>
  <c r="Z148" i="1" s="1"/>
  <c r="AA148" i="1" s="1"/>
  <c r="W140" i="1"/>
  <c r="Z140" i="1" s="1"/>
  <c r="AA140" i="1" s="1"/>
  <c r="W132" i="1"/>
  <c r="Z132" i="1" s="1"/>
  <c r="AA132" i="1" s="1"/>
  <c r="W124" i="1"/>
  <c r="Z124" i="1" s="1"/>
  <c r="AA124" i="1" s="1"/>
  <c r="W116" i="1"/>
  <c r="Z116" i="1" s="1"/>
  <c r="AA116" i="1" s="1"/>
  <c r="W108" i="1"/>
  <c r="Z108" i="1" s="1"/>
  <c r="AA108" i="1" s="1"/>
  <c r="W100" i="1"/>
  <c r="Z100" i="1" s="1"/>
  <c r="AA100" i="1" s="1"/>
  <c r="W92" i="1"/>
  <c r="Z92" i="1" s="1"/>
  <c r="AA92" i="1" s="1"/>
  <c r="W84" i="1"/>
  <c r="Z84" i="1" s="1"/>
  <c r="AA84" i="1" s="1"/>
  <c r="W76" i="1"/>
  <c r="Z76" i="1" s="1"/>
  <c r="AA76" i="1" s="1"/>
  <c r="W68" i="1"/>
  <c r="Z68" i="1" s="1"/>
  <c r="AA68" i="1" s="1"/>
  <c r="W60" i="1"/>
  <c r="Z60" i="1" s="1"/>
  <c r="AA60" i="1" s="1"/>
  <c r="W52" i="1"/>
  <c r="Z52" i="1" s="1"/>
  <c r="AA52" i="1" s="1"/>
  <c r="W44" i="1"/>
  <c r="Z44" i="1" s="1"/>
  <c r="AA44" i="1" s="1"/>
  <c r="W36" i="1"/>
  <c r="Z36" i="1" s="1"/>
  <c r="AA36" i="1" s="1"/>
  <c r="W28" i="1"/>
  <c r="Z28" i="1" s="1"/>
  <c r="AA28" i="1" s="1"/>
  <c r="W20" i="1"/>
  <c r="Z20" i="1" s="1"/>
  <c r="AA20" i="1" s="1"/>
  <c r="W12" i="1"/>
  <c r="Z12" i="1" s="1"/>
  <c r="AA12" i="1" s="1"/>
  <c r="W4" i="1"/>
  <c r="AA4" i="1" s="1"/>
  <c r="W2" i="1"/>
  <c r="Z2" i="1" s="1"/>
  <c r="W284" i="1"/>
  <c r="Z284" i="1" s="1"/>
  <c r="AA284" i="1" s="1"/>
  <c r="W260" i="1"/>
  <c r="Z260" i="1" s="1"/>
  <c r="AA260" i="1" s="1"/>
  <c r="W212" i="1"/>
  <c r="Z212" i="1" s="1"/>
  <c r="AA212" i="1" s="1"/>
  <c r="AG2" i="1"/>
  <c r="AJ2" i="1" s="1"/>
  <c r="AG284" i="1"/>
  <c r="AJ284" i="1" s="1"/>
  <c r="AG252" i="1"/>
  <c r="AJ252" i="1" s="1"/>
  <c r="AG236" i="1"/>
  <c r="AJ236" i="1" s="1"/>
  <c r="AG220" i="1"/>
  <c r="AJ220" i="1" s="1"/>
  <c r="AG188" i="1"/>
  <c r="AJ188" i="1" s="1"/>
  <c r="AG172" i="1"/>
  <c r="AJ172" i="1" s="1"/>
  <c r="AG156" i="1"/>
  <c r="AJ156" i="1" s="1"/>
  <c r="AG124" i="1"/>
  <c r="AJ124" i="1" s="1"/>
  <c r="AG108" i="1"/>
  <c r="AJ108" i="1" s="1"/>
  <c r="AG92" i="1"/>
  <c r="AJ92" i="1" s="1"/>
  <c r="AG60" i="1"/>
  <c r="AJ60" i="1" s="1"/>
  <c r="AG44" i="1"/>
  <c r="AJ44" i="1" s="1"/>
  <c r="AG28" i="1"/>
  <c r="AJ28" i="1" s="1"/>
  <c r="AQ280" i="1"/>
  <c r="AT280" i="1" s="1"/>
  <c r="AU280" i="1" s="1"/>
  <c r="AQ276" i="1"/>
  <c r="AT276" i="1" s="1"/>
  <c r="AU276" i="1" s="1"/>
  <c r="AQ272" i="1"/>
  <c r="AT272" i="1" s="1"/>
  <c r="AU272" i="1" s="1"/>
  <c r="AQ268" i="1"/>
  <c r="AT268" i="1" s="1"/>
  <c r="AQ264" i="1"/>
  <c r="AT264" i="1" s="1"/>
  <c r="AU264" i="1" s="1"/>
  <c r="AQ260" i="1"/>
  <c r="AT260" i="1" s="1"/>
  <c r="AU260" i="1" s="1"/>
  <c r="AQ256" i="1"/>
  <c r="AT256" i="1" s="1"/>
  <c r="AU256" i="1" s="1"/>
  <c r="AQ252" i="1"/>
  <c r="AT252" i="1" s="1"/>
  <c r="AU252" i="1" s="1"/>
  <c r="AQ248" i="1"/>
  <c r="AT248" i="1" s="1"/>
  <c r="AU248" i="1" s="1"/>
  <c r="AQ244" i="1"/>
  <c r="AT244" i="1" s="1"/>
  <c r="AU244" i="1" s="1"/>
  <c r="AQ240" i="1"/>
  <c r="AT240" i="1" s="1"/>
  <c r="AU240" i="1" s="1"/>
  <c r="AQ236" i="1"/>
  <c r="AT236" i="1" s="1"/>
  <c r="AU236" i="1" s="1"/>
  <c r="AQ232" i="1"/>
  <c r="AT232" i="1" s="1"/>
  <c r="AU232" i="1" s="1"/>
  <c r="AQ228" i="1"/>
  <c r="AT228" i="1" s="1"/>
  <c r="AU228" i="1" s="1"/>
  <c r="AQ224" i="1"/>
  <c r="AT224" i="1" s="1"/>
  <c r="AU224" i="1" s="1"/>
  <c r="AQ220" i="1"/>
  <c r="AT220" i="1" s="1"/>
  <c r="AU220" i="1" s="1"/>
  <c r="AQ216" i="1"/>
  <c r="AT216" i="1" s="1"/>
  <c r="AQ212" i="1"/>
  <c r="AT212" i="1" s="1"/>
  <c r="AU212" i="1" s="1"/>
  <c r="AQ208" i="1"/>
  <c r="AT208" i="1" s="1"/>
  <c r="AU208" i="1" s="1"/>
  <c r="AQ204" i="1"/>
  <c r="AT204" i="1" s="1"/>
  <c r="AQ200" i="1"/>
  <c r="AT200" i="1" s="1"/>
  <c r="AU200" i="1" s="1"/>
  <c r="AQ196" i="1"/>
  <c r="AT196" i="1" s="1"/>
  <c r="AQ192" i="1"/>
  <c r="AT192" i="1" s="1"/>
  <c r="AU192" i="1" s="1"/>
  <c r="AQ188" i="1"/>
  <c r="AT188" i="1" s="1"/>
  <c r="AQ184" i="1"/>
  <c r="AT184" i="1" s="1"/>
  <c r="AU184" i="1" s="1"/>
  <c r="AQ180" i="1"/>
  <c r="AT180" i="1" s="1"/>
  <c r="AU180" i="1" s="1"/>
  <c r="AQ176" i="1"/>
  <c r="AQ172" i="1"/>
  <c r="AT172" i="1" s="1"/>
  <c r="AQ168" i="1"/>
  <c r="AT168" i="1" s="1"/>
  <c r="AU168" i="1" s="1"/>
  <c r="AQ164" i="1"/>
  <c r="AT164" i="1" s="1"/>
  <c r="AU164" i="1" s="1"/>
  <c r="AQ160" i="1"/>
  <c r="AT160" i="1" s="1"/>
  <c r="AU160" i="1" s="1"/>
  <c r="AQ156" i="1"/>
  <c r="AT156" i="1" s="1"/>
  <c r="AQ152" i="1"/>
  <c r="AT152" i="1" s="1"/>
  <c r="AQ148" i="1"/>
  <c r="AT148" i="1" s="1"/>
  <c r="AU148" i="1" s="1"/>
  <c r="AQ144" i="1"/>
  <c r="AT144" i="1" s="1"/>
  <c r="AU144" i="1" s="1"/>
  <c r="AQ140" i="1"/>
  <c r="AT140" i="1" s="1"/>
  <c r="AU140" i="1" s="1"/>
  <c r="AQ136" i="1"/>
  <c r="AT136" i="1" s="1"/>
  <c r="AU136" i="1" s="1"/>
  <c r="AQ132" i="1"/>
  <c r="AT132" i="1" s="1"/>
  <c r="AU132" i="1" s="1"/>
  <c r="AQ128" i="1"/>
  <c r="AT128" i="1" s="1"/>
  <c r="AU128" i="1" s="1"/>
  <c r="AQ124" i="1"/>
  <c r="AT124" i="1" s="1"/>
  <c r="AU124" i="1" s="1"/>
  <c r="AQ120" i="1"/>
  <c r="AT120" i="1" s="1"/>
  <c r="AU120" i="1" s="1"/>
  <c r="AQ116" i="1"/>
  <c r="AT116" i="1" s="1"/>
  <c r="AU116" i="1" s="1"/>
  <c r="AQ112" i="1"/>
  <c r="AQ108" i="1"/>
  <c r="AT108" i="1" s="1"/>
  <c r="AU108" i="1" s="1"/>
  <c r="AQ100" i="1"/>
  <c r="AT100" i="1" s="1"/>
  <c r="AU100" i="1" s="1"/>
  <c r="AQ96" i="1"/>
  <c r="AT96" i="1" s="1"/>
  <c r="AU96" i="1" s="1"/>
  <c r="AQ92" i="1"/>
  <c r="AT92" i="1" s="1"/>
  <c r="AU92" i="1" s="1"/>
  <c r="AQ88" i="1"/>
  <c r="AT88" i="1" s="1"/>
  <c r="AQ84" i="1"/>
  <c r="AT84" i="1" s="1"/>
  <c r="AU84" i="1" s="1"/>
  <c r="AQ80" i="1"/>
  <c r="AT80" i="1" s="1"/>
  <c r="AU80" i="1" s="1"/>
  <c r="AQ76" i="1"/>
  <c r="AT76" i="1" s="1"/>
  <c r="AU76" i="1" s="1"/>
  <c r="AQ72" i="1"/>
  <c r="AT72" i="1" s="1"/>
  <c r="AU72" i="1" s="1"/>
  <c r="AQ68" i="1"/>
  <c r="AT68" i="1" s="1"/>
  <c r="AU68" i="1" s="1"/>
  <c r="AQ64" i="1"/>
  <c r="AT64" i="1" s="1"/>
  <c r="AU64" i="1" s="1"/>
  <c r="AQ60" i="1"/>
  <c r="AT60" i="1" s="1"/>
  <c r="AU60" i="1" s="1"/>
  <c r="AQ56" i="1"/>
  <c r="AT56" i="1" s="1"/>
  <c r="AU56" i="1" s="1"/>
  <c r="AQ52" i="1"/>
  <c r="AT52" i="1" s="1"/>
  <c r="AU52" i="1" s="1"/>
  <c r="AQ48" i="1"/>
  <c r="AQ44" i="1"/>
  <c r="AT44" i="1" s="1"/>
  <c r="AU44" i="1" s="1"/>
  <c r="AQ40" i="1"/>
  <c r="AT40" i="1" s="1"/>
  <c r="AU40" i="1" s="1"/>
  <c r="AQ36" i="1"/>
  <c r="AT36" i="1" s="1"/>
  <c r="AU36" i="1" s="1"/>
  <c r="AQ32" i="1"/>
  <c r="AT32" i="1" s="1"/>
  <c r="AU32" i="1" s="1"/>
  <c r="AQ28" i="1"/>
  <c r="AT28" i="1" s="1"/>
  <c r="AU28" i="1" s="1"/>
  <c r="AQ24" i="1"/>
  <c r="AT24" i="1" s="1"/>
  <c r="AU24" i="1" s="1"/>
  <c r="AQ20" i="1"/>
  <c r="AT20" i="1" s="1"/>
  <c r="AU20" i="1" s="1"/>
  <c r="AQ16" i="1"/>
  <c r="AT16" i="1" s="1"/>
  <c r="AU16" i="1" s="1"/>
  <c r="AQ12" i="1"/>
  <c r="AT12" i="1" s="1"/>
  <c r="AU12" i="1" s="1"/>
  <c r="AQ8" i="1"/>
  <c r="AQ4" i="1"/>
  <c r="AU4" i="1" s="1"/>
  <c r="BB229" i="1"/>
  <c r="BE229" i="1" s="1"/>
  <c r="BF229" i="1" s="1"/>
  <c r="BB197" i="1"/>
  <c r="BE197" i="1" s="1"/>
  <c r="BF197" i="1" s="1"/>
  <c r="BB193" i="1"/>
  <c r="BF193" i="1" s="1"/>
  <c r="BB165" i="1"/>
  <c r="BE165" i="1" s="1"/>
  <c r="BF165" i="1" s="1"/>
  <c r="BB137" i="1"/>
  <c r="BB133" i="1"/>
  <c r="BE133" i="1" s="1"/>
  <c r="BF133" i="1" s="1"/>
  <c r="BV231" i="1"/>
  <c r="BY231" i="1" s="1"/>
  <c r="BZ231" i="1" s="1"/>
  <c r="BV203" i="1"/>
  <c r="BY203" i="1" s="1"/>
  <c r="BZ203" i="1" s="1"/>
  <c r="BV103" i="1"/>
  <c r="BY103" i="1" s="1"/>
  <c r="BZ103" i="1" s="1"/>
  <c r="BV75" i="1"/>
  <c r="BY75" i="1" s="1"/>
  <c r="BZ75" i="1" s="1"/>
  <c r="BV47" i="1"/>
  <c r="BY47" i="1" s="1"/>
  <c r="BZ47" i="1" s="1"/>
  <c r="BV27" i="1"/>
  <c r="BY27" i="1" s="1"/>
  <c r="BZ27" i="1" s="1"/>
  <c r="CF100" i="1"/>
  <c r="CF52" i="1"/>
  <c r="CI52" i="1" s="1"/>
  <c r="CJ52" i="1" s="1"/>
  <c r="CF48" i="1"/>
  <c r="DT111" i="1"/>
  <c r="DW111" i="1" s="1"/>
  <c r="DT39" i="1"/>
  <c r="DW39" i="1" s="1"/>
  <c r="BL17" i="1"/>
  <c r="BO17" i="1" s="1"/>
  <c r="BP17" i="1" s="1"/>
  <c r="AQ122" i="1"/>
  <c r="AT122" i="1" s="1"/>
  <c r="AU122" i="1" s="1"/>
  <c r="AQ118" i="1"/>
  <c r="AT118" i="1" s="1"/>
  <c r="AU118" i="1" s="1"/>
  <c r="AQ114" i="1"/>
  <c r="AQ110" i="1"/>
  <c r="AT110" i="1" s="1"/>
  <c r="AU110" i="1" s="1"/>
  <c r="AQ106" i="1"/>
  <c r="AT106" i="1" s="1"/>
  <c r="AU106" i="1" s="1"/>
  <c r="AQ102" i="1"/>
  <c r="AT102" i="1" s="1"/>
  <c r="AU102" i="1" s="1"/>
  <c r="AQ98" i="1"/>
  <c r="AT98" i="1" s="1"/>
  <c r="AU98" i="1" s="1"/>
  <c r="AQ94" i="1"/>
  <c r="AT94" i="1" s="1"/>
  <c r="AU94" i="1" s="1"/>
  <c r="AQ90" i="1"/>
  <c r="AT90" i="1" s="1"/>
  <c r="AU90" i="1" s="1"/>
  <c r="AQ86" i="1"/>
  <c r="AT86" i="1" s="1"/>
  <c r="AU86" i="1" s="1"/>
  <c r="AQ82" i="1"/>
  <c r="AT82" i="1" s="1"/>
  <c r="AU82" i="1" s="1"/>
  <c r="AQ78" i="1"/>
  <c r="AT78" i="1" s="1"/>
  <c r="AU78" i="1" s="1"/>
  <c r="AQ74" i="1"/>
  <c r="AT74" i="1" s="1"/>
  <c r="AU74" i="1" s="1"/>
  <c r="AQ70" i="1"/>
  <c r="AT70" i="1" s="1"/>
  <c r="AU70" i="1" s="1"/>
  <c r="AQ66" i="1"/>
  <c r="AT66" i="1" s="1"/>
  <c r="AU66" i="1" s="1"/>
  <c r="AQ62" i="1"/>
  <c r="AT62" i="1" s="1"/>
  <c r="AU62" i="1" s="1"/>
  <c r="AQ58" i="1"/>
  <c r="AT58" i="1" s="1"/>
  <c r="AU58" i="1" s="1"/>
  <c r="AQ54" i="1"/>
  <c r="AT54" i="1" s="1"/>
  <c r="AU54" i="1" s="1"/>
  <c r="AQ50" i="1"/>
  <c r="AQ46" i="1"/>
  <c r="AT46" i="1" s="1"/>
  <c r="AU46" i="1" s="1"/>
  <c r="AQ42" i="1"/>
  <c r="AT42" i="1" s="1"/>
  <c r="AU42" i="1" s="1"/>
  <c r="AQ38" i="1"/>
  <c r="AT38" i="1" s="1"/>
  <c r="AU38" i="1" s="1"/>
  <c r="AQ34" i="1"/>
  <c r="AT34" i="1" s="1"/>
  <c r="AU34" i="1" s="1"/>
  <c r="AQ30" i="1"/>
  <c r="AT30" i="1" s="1"/>
  <c r="AU30" i="1" s="1"/>
  <c r="AQ26" i="1"/>
  <c r="AT26" i="1" s="1"/>
  <c r="AU26" i="1" s="1"/>
  <c r="AQ22" i="1"/>
  <c r="AT22" i="1" s="1"/>
  <c r="AU22" i="1" s="1"/>
  <c r="AQ18" i="1"/>
  <c r="AT18" i="1" s="1"/>
  <c r="AU18" i="1" s="1"/>
  <c r="AQ14" i="1"/>
  <c r="AT14" i="1" s="1"/>
  <c r="AQ10" i="1"/>
  <c r="AQ6" i="1"/>
  <c r="AT6" i="1" s="1"/>
  <c r="AU6" i="1" s="1"/>
  <c r="BB199" i="1"/>
  <c r="BF199" i="1" s="1"/>
  <c r="BB191" i="1"/>
  <c r="BE191" i="1" s="1"/>
  <c r="BF191" i="1" s="1"/>
  <c r="BB127" i="1"/>
  <c r="BE127" i="1" s="1"/>
  <c r="BF127" i="1" s="1"/>
  <c r="BB123" i="1"/>
  <c r="BE123" i="1" s="1"/>
  <c r="BF123" i="1" s="1"/>
  <c r="BB119" i="1"/>
  <c r="BE119" i="1" s="1"/>
  <c r="BF119" i="1" s="1"/>
  <c r="CF254" i="1"/>
  <c r="CI254" i="1" s="1"/>
  <c r="CJ254" i="1" s="1"/>
  <c r="CF206" i="1"/>
  <c r="CI206" i="1" s="1"/>
  <c r="CJ206" i="1" s="1"/>
  <c r="CF202" i="1"/>
  <c r="CI202" i="1" s="1"/>
  <c r="CJ202" i="1" s="1"/>
  <c r="CP299" i="1"/>
  <c r="CS299" i="1" s="1"/>
  <c r="CT299" i="1" s="1"/>
  <c r="CP295" i="1"/>
  <c r="CS295" i="1" s="1"/>
  <c r="CT295" i="1" s="1"/>
  <c r="CP291" i="1"/>
  <c r="CS291" i="1" s="1"/>
  <c r="CT291" i="1" s="1"/>
  <c r="CP287" i="1"/>
  <c r="CS287" i="1" s="1"/>
  <c r="CT287" i="1" s="1"/>
  <c r="CP283" i="1"/>
  <c r="CS283" i="1" s="1"/>
  <c r="CT283" i="1" s="1"/>
  <c r="CP279" i="1"/>
  <c r="CS279" i="1" s="1"/>
  <c r="CT279" i="1" s="1"/>
  <c r="CP275" i="1"/>
  <c r="CS275" i="1" s="1"/>
  <c r="CT275" i="1" s="1"/>
  <c r="CP271" i="1"/>
  <c r="CS271" i="1" s="1"/>
  <c r="CT271" i="1" s="1"/>
  <c r="CP267" i="1"/>
  <c r="CS267" i="1" s="1"/>
  <c r="CT267" i="1" s="1"/>
  <c r="CP263" i="1"/>
  <c r="CS263" i="1" s="1"/>
  <c r="CT263" i="1" s="1"/>
  <c r="CP259" i="1"/>
  <c r="CS259" i="1" s="1"/>
  <c r="CT259" i="1" s="1"/>
  <c r="CP255" i="1"/>
  <c r="CS255" i="1" s="1"/>
  <c r="CT255" i="1" s="1"/>
  <c r="CP251" i="1"/>
  <c r="CS251" i="1" s="1"/>
  <c r="CT251" i="1" s="1"/>
  <c r="CP247" i="1"/>
  <c r="CS247" i="1" s="1"/>
  <c r="CT247" i="1" s="1"/>
  <c r="CP243" i="1"/>
  <c r="CS243" i="1" s="1"/>
  <c r="CT243" i="1" s="1"/>
  <c r="CP239" i="1"/>
  <c r="CS239" i="1" s="1"/>
  <c r="CT239" i="1" s="1"/>
  <c r="CP235" i="1"/>
  <c r="CS235" i="1" s="1"/>
  <c r="CT235" i="1" s="1"/>
  <c r="CP231" i="1"/>
  <c r="CS231" i="1" s="1"/>
  <c r="CT231" i="1" s="1"/>
  <c r="CP227" i="1"/>
  <c r="CS227" i="1" s="1"/>
  <c r="CT227" i="1" s="1"/>
  <c r="CP223" i="1"/>
  <c r="CS223" i="1" s="1"/>
  <c r="CT223" i="1" s="1"/>
  <c r="CP219" i="1"/>
  <c r="CS219" i="1" s="1"/>
  <c r="CT219" i="1" s="1"/>
  <c r="CP215" i="1"/>
  <c r="CS215" i="1" s="1"/>
  <c r="CT215" i="1" s="1"/>
  <c r="CP211" i="1"/>
  <c r="CS211" i="1" s="1"/>
  <c r="CT211" i="1" s="1"/>
  <c r="CP207" i="1"/>
  <c r="CS207" i="1" s="1"/>
  <c r="CT207" i="1" s="1"/>
  <c r="CP203" i="1"/>
  <c r="CS203" i="1" s="1"/>
  <c r="CT203" i="1" s="1"/>
  <c r="CP199" i="1"/>
  <c r="CT199" i="1" s="1"/>
  <c r="CP195" i="1"/>
  <c r="CS195" i="1" s="1"/>
  <c r="CT195" i="1" s="1"/>
  <c r="DT298" i="1"/>
  <c r="DW298" i="1" s="1"/>
  <c r="DT294" i="1"/>
  <c r="DW294" i="1" s="1"/>
  <c r="DT290" i="1"/>
  <c r="DW290" i="1" s="1"/>
  <c r="DT286" i="1"/>
  <c r="DW286" i="1" s="1"/>
  <c r="DT282" i="1"/>
  <c r="DW282" i="1" s="1"/>
  <c r="DT278" i="1"/>
  <c r="DW278" i="1" s="1"/>
  <c r="DT274" i="1"/>
  <c r="DW274" i="1" s="1"/>
  <c r="DT270" i="1"/>
  <c r="DW270" i="1" s="1"/>
  <c r="DT266" i="1"/>
  <c r="DW266" i="1" s="1"/>
  <c r="DT262" i="1"/>
  <c r="DW262" i="1" s="1"/>
  <c r="DT258" i="1"/>
  <c r="DW258" i="1" s="1"/>
  <c r="DT254" i="1"/>
  <c r="DW254" i="1" s="1"/>
  <c r="DT250" i="1"/>
  <c r="DW250" i="1" s="1"/>
  <c r="DT246" i="1"/>
  <c r="DW246" i="1" s="1"/>
  <c r="DT242" i="1"/>
  <c r="DW242" i="1" s="1"/>
  <c r="DT238" i="1"/>
  <c r="DW238" i="1" s="1"/>
  <c r="AQ299" i="1"/>
  <c r="AT299" i="1" s="1"/>
  <c r="AU299" i="1" s="1"/>
  <c r="AQ291" i="1"/>
  <c r="AQ287" i="1"/>
  <c r="AT287" i="1" s="1"/>
  <c r="AU287" i="1" s="1"/>
  <c r="AQ275" i="1"/>
  <c r="AQ271" i="1"/>
  <c r="AT271" i="1" s="1"/>
  <c r="AU271" i="1" s="1"/>
  <c r="AQ115" i="1"/>
  <c r="AT115" i="1" s="1"/>
  <c r="AU115" i="1" s="1"/>
  <c r="BL97" i="1"/>
  <c r="BO97" i="1" s="1"/>
  <c r="BP97" i="1" s="1"/>
  <c r="W240" i="1"/>
  <c r="Z240" i="1" s="1"/>
  <c r="AA240" i="1" s="1"/>
  <c r="W232" i="1"/>
  <c r="Z232" i="1" s="1"/>
  <c r="AA232" i="1" s="1"/>
  <c r="W224" i="1"/>
  <c r="Z224" i="1" s="1"/>
  <c r="AA224" i="1" s="1"/>
  <c r="W216" i="1"/>
  <c r="Z216" i="1" s="1"/>
  <c r="AA216" i="1" s="1"/>
  <c r="W208" i="1"/>
  <c r="Z208" i="1" s="1"/>
  <c r="AA208" i="1" s="1"/>
  <c r="W200" i="1"/>
  <c r="Z200" i="1" s="1"/>
  <c r="W192" i="1"/>
  <c r="Z192" i="1" s="1"/>
  <c r="AA192" i="1" s="1"/>
  <c r="W184" i="1"/>
  <c r="Z184" i="1" s="1"/>
  <c r="AA184" i="1" s="1"/>
  <c r="W176" i="1"/>
  <c r="Z176" i="1" s="1"/>
  <c r="AA176" i="1" s="1"/>
  <c r="W168" i="1"/>
  <c r="Z168" i="1" s="1"/>
  <c r="W160" i="1"/>
  <c r="Z160" i="1" s="1"/>
  <c r="AA160" i="1" s="1"/>
  <c r="W152" i="1"/>
  <c r="Z152" i="1" s="1"/>
  <c r="AA152" i="1" s="1"/>
  <c r="W144" i="1"/>
  <c r="Z144" i="1" s="1"/>
  <c r="AA144" i="1" s="1"/>
  <c r="W136" i="1"/>
  <c r="Z136" i="1" s="1"/>
  <c r="W128" i="1"/>
  <c r="Z128" i="1" s="1"/>
  <c r="AA128" i="1" s="1"/>
  <c r="W120" i="1"/>
  <c r="Z120" i="1" s="1"/>
  <c r="AA120" i="1" s="1"/>
  <c r="W112" i="1"/>
  <c r="Z112" i="1" s="1"/>
  <c r="AA112" i="1" s="1"/>
  <c r="W96" i="1"/>
  <c r="W88" i="1"/>
  <c r="Z88" i="1" s="1"/>
  <c r="AA88" i="1" s="1"/>
  <c r="W80" i="1"/>
  <c r="Z80" i="1" s="1"/>
  <c r="AA80" i="1" s="1"/>
  <c r="W72" i="1"/>
  <c r="Z72" i="1" s="1"/>
  <c r="AA72" i="1" s="1"/>
  <c r="W64" i="1"/>
  <c r="Z64" i="1" s="1"/>
  <c r="AA64" i="1" s="1"/>
  <c r="W56" i="1"/>
  <c r="Z56" i="1" s="1"/>
  <c r="W48" i="1"/>
  <c r="Z48" i="1" s="1"/>
  <c r="AA48" i="1" s="1"/>
  <c r="W40" i="1"/>
  <c r="Z40" i="1" s="1"/>
  <c r="AA40" i="1" s="1"/>
  <c r="W32" i="1"/>
  <c r="Z32" i="1" s="1"/>
  <c r="AA32" i="1" s="1"/>
  <c r="W24" i="1"/>
  <c r="Z24" i="1" s="1"/>
  <c r="W16" i="1"/>
  <c r="Z16" i="1" s="1"/>
  <c r="AA16" i="1" s="1"/>
  <c r="W8" i="1"/>
  <c r="Z8" i="1" s="1"/>
  <c r="AA8" i="1" s="1"/>
  <c r="AG263" i="1"/>
  <c r="AJ263" i="1" s="1"/>
  <c r="AG247" i="1"/>
  <c r="AJ247" i="1" s="1"/>
  <c r="AG199" i="1"/>
  <c r="AK199" i="1" s="1"/>
  <c r="AG183" i="1"/>
  <c r="AJ183" i="1" s="1"/>
  <c r="AG135" i="1"/>
  <c r="AJ135" i="1" s="1"/>
  <c r="AG119" i="1"/>
  <c r="AJ119" i="1" s="1"/>
  <c r="AG71" i="1"/>
  <c r="AJ71" i="1" s="1"/>
  <c r="AG55" i="1"/>
  <c r="AJ55" i="1" s="1"/>
  <c r="AG7" i="1"/>
  <c r="AJ7" i="1" s="1"/>
  <c r="AQ298" i="1"/>
  <c r="AT298" i="1" s="1"/>
  <c r="AU298" i="1" s="1"/>
  <c r="AQ294" i="1"/>
  <c r="AT294" i="1" s="1"/>
  <c r="AU294" i="1" s="1"/>
  <c r="AQ290" i="1"/>
  <c r="AT290" i="1" s="1"/>
  <c r="AU290" i="1" s="1"/>
  <c r="AQ286" i="1"/>
  <c r="AQ282" i="1"/>
  <c r="AT282" i="1" s="1"/>
  <c r="AU282" i="1" s="1"/>
  <c r="AQ278" i="1"/>
  <c r="AT278" i="1" s="1"/>
  <c r="AQ274" i="1"/>
  <c r="AT274" i="1" s="1"/>
  <c r="AU274" i="1" s="1"/>
  <c r="AQ270" i="1"/>
  <c r="AT270" i="1" s="1"/>
  <c r="AU270" i="1" s="1"/>
  <c r="AQ266" i="1"/>
  <c r="AT266" i="1" s="1"/>
  <c r="AU266" i="1" s="1"/>
  <c r="AQ262" i="1"/>
  <c r="AT262" i="1" s="1"/>
  <c r="AU262" i="1" s="1"/>
  <c r="AQ258" i="1"/>
  <c r="AT258" i="1" s="1"/>
  <c r="AU258" i="1" s="1"/>
  <c r="AQ254" i="1"/>
  <c r="AT254" i="1" s="1"/>
  <c r="AQ250" i="1"/>
  <c r="AT250" i="1" s="1"/>
  <c r="AU250" i="1" s="1"/>
  <c r="AQ246" i="1"/>
  <c r="AT246" i="1" s="1"/>
  <c r="AU246" i="1" s="1"/>
  <c r="AQ242" i="1"/>
  <c r="AT242" i="1" s="1"/>
  <c r="AU242" i="1" s="1"/>
  <c r="AQ238" i="1"/>
  <c r="AT238" i="1" s="1"/>
  <c r="AQ234" i="1"/>
  <c r="AT234" i="1" s="1"/>
  <c r="AU234" i="1" s="1"/>
  <c r="AQ230" i="1"/>
  <c r="AT230" i="1" s="1"/>
  <c r="AU230" i="1" s="1"/>
  <c r="AQ226" i="1"/>
  <c r="AT226" i="1" s="1"/>
  <c r="AU226" i="1" s="1"/>
  <c r="AQ222" i="1"/>
  <c r="AT222" i="1" s="1"/>
  <c r="AQ218" i="1"/>
  <c r="AT218" i="1" s="1"/>
  <c r="AU218" i="1" s="1"/>
  <c r="AQ214" i="1"/>
  <c r="AQ210" i="1"/>
  <c r="AT210" i="1" s="1"/>
  <c r="AU210" i="1" s="1"/>
  <c r="AQ206" i="1"/>
  <c r="AT206" i="1" s="1"/>
  <c r="AQ202" i="1"/>
  <c r="AT202" i="1" s="1"/>
  <c r="AU202" i="1" s="1"/>
  <c r="AQ198" i="1"/>
  <c r="AT198" i="1" s="1"/>
  <c r="AU198" i="1" s="1"/>
  <c r="AQ194" i="1"/>
  <c r="AT194" i="1" s="1"/>
  <c r="AU194" i="1" s="1"/>
  <c r="AQ190" i="1"/>
  <c r="AT190" i="1" s="1"/>
  <c r="AU190" i="1" s="1"/>
  <c r="AQ186" i="1"/>
  <c r="AT186" i="1" s="1"/>
  <c r="AU186" i="1" s="1"/>
  <c r="AQ182" i="1"/>
  <c r="AT182" i="1" s="1"/>
  <c r="AU182" i="1" s="1"/>
  <c r="AQ178" i="1"/>
  <c r="AT178" i="1" s="1"/>
  <c r="AU178" i="1" s="1"/>
  <c r="AQ174" i="1"/>
  <c r="AT174" i="1" s="1"/>
  <c r="AU174" i="1" s="1"/>
  <c r="AQ170" i="1"/>
  <c r="AT170" i="1" s="1"/>
  <c r="AU170" i="1" s="1"/>
  <c r="AQ166" i="1"/>
  <c r="AT166" i="1" s="1"/>
  <c r="AU166" i="1" s="1"/>
  <c r="AQ162" i="1"/>
  <c r="AT162" i="1" s="1"/>
  <c r="AU162" i="1" s="1"/>
  <c r="AQ158" i="1"/>
  <c r="AQ154" i="1"/>
  <c r="AT154" i="1" s="1"/>
  <c r="AU154" i="1" s="1"/>
  <c r="AQ150" i="1"/>
  <c r="AT150" i="1" s="1"/>
  <c r="AU150" i="1" s="1"/>
  <c r="AQ146" i="1"/>
  <c r="AU146" i="1" s="1"/>
  <c r="AQ142" i="1"/>
  <c r="AT142" i="1" s="1"/>
  <c r="AU142" i="1" s="1"/>
  <c r="AQ138" i="1"/>
  <c r="AT138" i="1" s="1"/>
  <c r="AU138" i="1" s="1"/>
  <c r="AQ134" i="1"/>
  <c r="AT134" i="1" s="1"/>
  <c r="AU134" i="1" s="1"/>
  <c r="AQ130" i="1"/>
  <c r="AT130" i="1" s="1"/>
  <c r="AU130" i="1" s="1"/>
  <c r="AQ126" i="1"/>
  <c r="AT126" i="1" s="1"/>
  <c r="AU126" i="1" s="1"/>
  <c r="BV161" i="1"/>
  <c r="BY161" i="1" s="1"/>
  <c r="BZ161" i="1" s="1"/>
  <c r="AG121" i="1"/>
  <c r="AG105" i="1"/>
  <c r="AJ105" i="1" s="1"/>
  <c r="AK105" i="1" s="1"/>
  <c r="AG97" i="1"/>
  <c r="AJ97" i="1" s="1"/>
  <c r="AK97" i="1" s="1"/>
  <c r="AG89" i="1"/>
  <c r="AJ89" i="1" s="1"/>
  <c r="AK89" i="1" s="1"/>
  <c r="AG81" i="1"/>
  <c r="AJ81" i="1" s="1"/>
  <c r="AK81" i="1" s="1"/>
  <c r="AG73" i="1"/>
  <c r="AJ73" i="1" s="1"/>
  <c r="AK73" i="1" s="1"/>
  <c r="AG65" i="1"/>
  <c r="AG57" i="1"/>
  <c r="AJ57" i="1" s="1"/>
  <c r="AK57" i="1" s="1"/>
  <c r="AG49" i="1"/>
  <c r="AJ49" i="1" s="1"/>
  <c r="AK49" i="1" s="1"/>
  <c r="AG41" i="1"/>
  <c r="AJ41" i="1" s="1"/>
  <c r="AK41" i="1" s="1"/>
  <c r="AG33" i="1"/>
  <c r="AJ33" i="1" s="1"/>
  <c r="AK33" i="1" s="1"/>
  <c r="AG25" i="1"/>
  <c r="AJ25" i="1" s="1"/>
  <c r="AK25" i="1" s="1"/>
  <c r="AG17" i="1"/>
  <c r="AJ17" i="1" s="1"/>
  <c r="AK17" i="1" s="1"/>
  <c r="AG9" i="1"/>
  <c r="AJ9" i="1" s="1"/>
  <c r="AK9" i="1" s="1"/>
  <c r="DZ193" i="1"/>
  <c r="W238" i="1"/>
  <c r="Z238" i="1" s="1"/>
  <c r="W230" i="1"/>
  <c r="Z230" i="1" s="1"/>
  <c r="AA230" i="1" s="1"/>
  <c r="W222" i="1"/>
  <c r="Z222" i="1" s="1"/>
  <c r="AA222" i="1" s="1"/>
  <c r="W214" i="1"/>
  <c r="Z214" i="1" s="1"/>
  <c r="AA214" i="1" s="1"/>
  <c r="W206" i="1"/>
  <c r="Z206" i="1" s="1"/>
  <c r="AA206" i="1" s="1"/>
  <c r="W198" i="1"/>
  <c r="Z198" i="1" s="1"/>
  <c r="AA198" i="1" s="1"/>
  <c r="W190" i="1"/>
  <c r="Z190" i="1" s="1"/>
  <c r="AA190" i="1" s="1"/>
  <c r="W182" i="1"/>
  <c r="W174" i="1"/>
  <c r="Z174" i="1" s="1"/>
  <c r="AA174" i="1" s="1"/>
  <c r="W166" i="1"/>
  <c r="W158" i="1"/>
  <c r="Z158" i="1" s="1"/>
  <c r="AA158" i="1" s="1"/>
  <c r="W150" i="1"/>
  <c r="Z150" i="1" s="1"/>
  <c r="AA150" i="1" s="1"/>
  <c r="W142" i="1"/>
  <c r="Z142" i="1" s="1"/>
  <c r="AA142" i="1" s="1"/>
  <c r="W134" i="1"/>
  <c r="Z134" i="1" s="1"/>
  <c r="AA134" i="1" s="1"/>
  <c r="W126" i="1"/>
  <c r="Z126" i="1" s="1"/>
  <c r="AA126" i="1" s="1"/>
  <c r="W118" i="1"/>
  <c r="Z118" i="1" s="1"/>
  <c r="AA118" i="1" s="1"/>
  <c r="W110" i="1"/>
  <c r="Z110" i="1" s="1"/>
  <c r="AA110" i="1" s="1"/>
  <c r="W102" i="1"/>
  <c r="Z102" i="1" s="1"/>
  <c r="AA102" i="1" s="1"/>
  <c r="W94" i="1"/>
  <c r="Z94" i="1" s="1"/>
  <c r="AA94" i="1" s="1"/>
  <c r="W86" i="1"/>
  <c r="Z86" i="1" s="1"/>
  <c r="AA86" i="1" s="1"/>
  <c r="W78" i="1"/>
  <c r="Z78" i="1" s="1"/>
  <c r="AA78" i="1" s="1"/>
  <c r="W70" i="1"/>
  <c r="Z70" i="1" s="1"/>
  <c r="AA70" i="1" s="1"/>
  <c r="W62" i="1"/>
  <c r="Z62" i="1" s="1"/>
  <c r="AA62" i="1" s="1"/>
  <c r="W54" i="1"/>
  <c r="W46" i="1"/>
  <c r="Z46" i="1" s="1"/>
  <c r="AA46" i="1" s="1"/>
  <c r="W38" i="1"/>
  <c r="Z38" i="1" s="1"/>
  <c r="AA38" i="1" s="1"/>
  <c r="W30" i="1"/>
  <c r="Z30" i="1" s="1"/>
  <c r="AA30" i="1" s="1"/>
  <c r="W22" i="1"/>
  <c r="Z22" i="1" s="1"/>
  <c r="AA22" i="1" s="1"/>
  <c r="W14" i="1"/>
  <c r="Z14" i="1" s="1"/>
  <c r="AA14" i="1" s="1"/>
  <c r="W6" i="1"/>
  <c r="Z6" i="1" s="1"/>
  <c r="AA6" i="1" s="1"/>
  <c r="DZ199" i="1"/>
  <c r="DX294" i="1"/>
  <c r="DX290" i="1"/>
  <c r="DZ146" i="1"/>
  <c r="DZ137" i="1"/>
  <c r="DZ61" i="1"/>
  <c r="BV49" i="1"/>
  <c r="BY49" i="1" s="1"/>
  <c r="BZ49" i="1" s="1"/>
  <c r="CP297" i="1"/>
  <c r="CS297" i="1" s="1"/>
  <c r="CT297" i="1" s="1"/>
  <c r="CP293" i="1"/>
  <c r="CS293" i="1" s="1"/>
  <c r="CT293" i="1" s="1"/>
  <c r="CP289" i="1"/>
  <c r="CS289" i="1" s="1"/>
  <c r="CT289" i="1" s="1"/>
  <c r="CP285" i="1"/>
  <c r="CS285" i="1" s="1"/>
  <c r="CT285" i="1" s="1"/>
  <c r="CP281" i="1"/>
  <c r="CS281" i="1" s="1"/>
  <c r="CT281" i="1" s="1"/>
  <c r="CP277" i="1"/>
  <c r="CS277" i="1" s="1"/>
  <c r="CT277" i="1" s="1"/>
  <c r="CP273" i="1"/>
  <c r="CS273" i="1" s="1"/>
  <c r="CT273" i="1" s="1"/>
  <c r="CP269" i="1"/>
  <c r="CS269" i="1" s="1"/>
  <c r="CT269" i="1" s="1"/>
  <c r="CP265" i="1"/>
  <c r="CS265" i="1" s="1"/>
  <c r="CT265" i="1" s="1"/>
  <c r="CP261" i="1"/>
  <c r="CS261" i="1" s="1"/>
  <c r="CT261" i="1" s="1"/>
  <c r="CP257" i="1"/>
  <c r="CS257" i="1" s="1"/>
  <c r="CT257" i="1" s="1"/>
  <c r="CP253" i="1"/>
  <c r="CS253" i="1" s="1"/>
  <c r="CT253" i="1" s="1"/>
  <c r="CP249" i="1"/>
  <c r="CS249" i="1" s="1"/>
  <c r="CT249" i="1" s="1"/>
  <c r="CP245" i="1"/>
  <c r="CS245" i="1" s="1"/>
  <c r="CT245" i="1" s="1"/>
  <c r="CP241" i="1"/>
  <c r="CS241" i="1" s="1"/>
  <c r="CT241" i="1" s="1"/>
  <c r="CP237" i="1"/>
  <c r="CS237" i="1" s="1"/>
  <c r="CT237" i="1" s="1"/>
  <c r="CP233" i="1"/>
  <c r="CS233" i="1" s="1"/>
  <c r="CT233" i="1" s="1"/>
  <c r="CP229" i="1"/>
  <c r="CS229" i="1" s="1"/>
  <c r="CT229" i="1" s="1"/>
  <c r="CP225" i="1"/>
  <c r="CS225" i="1" s="1"/>
  <c r="CT225" i="1" s="1"/>
  <c r="CP221" i="1"/>
  <c r="CS221" i="1" s="1"/>
  <c r="CT221" i="1" s="1"/>
  <c r="CP217" i="1"/>
  <c r="CS217" i="1" s="1"/>
  <c r="CT217" i="1" s="1"/>
  <c r="CP213" i="1"/>
  <c r="CS213" i="1" s="1"/>
  <c r="CT213" i="1" s="1"/>
  <c r="CP209" i="1"/>
  <c r="CS209" i="1" s="1"/>
  <c r="CT209" i="1" s="1"/>
  <c r="CP205" i="1"/>
  <c r="CS205" i="1" s="1"/>
  <c r="CT205" i="1" s="1"/>
  <c r="CP201" i="1"/>
  <c r="CS201" i="1" s="1"/>
  <c r="CT201" i="1" s="1"/>
  <c r="CP197" i="1"/>
  <c r="CS197" i="1" s="1"/>
  <c r="CT197" i="1" s="1"/>
  <c r="CP193" i="1"/>
  <c r="CT193" i="1" s="1"/>
  <c r="CP177" i="1"/>
  <c r="CS177" i="1" s="1"/>
  <c r="CT177" i="1" s="1"/>
  <c r="CP85" i="1"/>
  <c r="CS85" i="1" s="1"/>
  <c r="CT85" i="1" s="1"/>
  <c r="DT296" i="1"/>
  <c r="DT292" i="1"/>
  <c r="DT288" i="1"/>
  <c r="DT284" i="1"/>
  <c r="DT280" i="1"/>
  <c r="DT276" i="1"/>
  <c r="DT272" i="1"/>
  <c r="DT268" i="1"/>
  <c r="DT264" i="1"/>
  <c r="DT260" i="1"/>
  <c r="DT256" i="1"/>
  <c r="DT252" i="1"/>
  <c r="DT248" i="1"/>
  <c r="DT244" i="1"/>
  <c r="DT240" i="1"/>
  <c r="DT236" i="1"/>
  <c r="DZ4" i="1"/>
  <c r="DJ210" i="1"/>
  <c r="DM210" i="1" s="1"/>
  <c r="DN210" i="1" s="1"/>
  <c r="DJ204" i="1"/>
  <c r="DM204" i="1" s="1"/>
  <c r="DN204" i="1" s="1"/>
  <c r="DJ198" i="1"/>
  <c r="DM198" i="1" s="1"/>
  <c r="DN198" i="1" s="1"/>
  <c r="DJ192" i="1"/>
  <c r="DM192" i="1" s="1"/>
  <c r="DN192" i="1" s="1"/>
  <c r="DJ186" i="1"/>
  <c r="DM186" i="1" s="1"/>
  <c r="DN186" i="1" s="1"/>
  <c r="DJ180" i="1"/>
  <c r="DM180" i="1" s="1"/>
  <c r="DJ174" i="1"/>
  <c r="DM174" i="1" s="1"/>
  <c r="DN174" i="1" s="1"/>
  <c r="DJ168" i="1"/>
  <c r="DM168" i="1" s="1"/>
  <c r="DN168" i="1" s="1"/>
  <c r="DJ162" i="1"/>
  <c r="DM162" i="1" s="1"/>
  <c r="DN162" i="1" s="1"/>
  <c r="DJ156" i="1"/>
  <c r="DM156" i="1" s="1"/>
  <c r="DN156" i="1" s="1"/>
  <c r="DJ148" i="1"/>
  <c r="DM148" i="1" s="1"/>
  <c r="DJ142" i="1"/>
  <c r="DM142" i="1" s="1"/>
  <c r="DN142" i="1" s="1"/>
  <c r="DJ136" i="1"/>
  <c r="DM136" i="1" s="1"/>
  <c r="DN136" i="1" s="1"/>
  <c r="DJ130" i="1"/>
  <c r="DM130" i="1" s="1"/>
  <c r="DN130" i="1" s="1"/>
  <c r="DJ124" i="1"/>
  <c r="DM124" i="1" s="1"/>
  <c r="DN124" i="1" s="1"/>
  <c r="DJ118" i="1"/>
  <c r="DM118" i="1" s="1"/>
  <c r="DN118" i="1" s="1"/>
  <c r="DJ112" i="1"/>
  <c r="DM112" i="1" s="1"/>
  <c r="DN112" i="1" s="1"/>
  <c r="DJ106" i="1"/>
  <c r="DM106" i="1" s="1"/>
  <c r="DN106" i="1" s="1"/>
  <c r="DJ100" i="1"/>
  <c r="DM100" i="1" s="1"/>
  <c r="DN100" i="1" s="1"/>
  <c r="DJ94" i="1"/>
  <c r="DM94" i="1" s="1"/>
  <c r="DN94" i="1" s="1"/>
  <c r="DJ88" i="1"/>
  <c r="DM88" i="1" s="1"/>
  <c r="DN88" i="1" s="1"/>
  <c r="DJ82" i="1"/>
  <c r="DM82" i="1" s="1"/>
  <c r="DN82" i="1" s="1"/>
  <c r="DJ76" i="1"/>
  <c r="DM76" i="1" s="1"/>
  <c r="DN76" i="1" s="1"/>
  <c r="DJ68" i="1"/>
  <c r="DM68" i="1" s="1"/>
  <c r="DN68" i="1" s="1"/>
  <c r="DJ60" i="1"/>
  <c r="DM60" i="1" s="1"/>
  <c r="DN60" i="1" s="1"/>
  <c r="DJ54" i="1"/>
  <c r="DM54" i="1" s="1"/>
  <c r="DN54" i="1" s="1"/>
  <c r="DJ46" i="1"/>
  <c r="DM46" i="1" s="1"/>
  <c r="DN46" i="1" s="1"/>
  <c r="DJ42" i="1"/>
  <c r="DM42" i="1" s="1"/>
  <c r="DN42" i="1" s="1"/>
  <c r="DJ36" i="1"/>
  <c r="DM36" i="1" s="1"/>
  <c r="DN36" i="1" s="1"/>
  <c r="DJ32" i="1"/>
  <c r="DM32" i="1" s="1"/>
  <c r="DN32" i="1" s="1"/>
  <c r="DJ28" i="1"/>
  <c r="DM28" i="1" s="1"/>
  <c r="DJ22" i="1"/>
  <c r="DM22" i="1" s="1"/>
  <c r="DN22" i="1" s="1"/>
  <c r="DJ18" i="1"/>
  <c r="DM18" i="1" s="1"/>
  <c r="DN18" i="1" s="1"/>
  <c r="DJ14" i="1"/>
  <c r="DM14" i="1" s="1"/>
  <c r="DN14" i="1" s="1"/>
  <c r="DJ10" i="1"/>
  <c r="DM10" i="1" s="1"/>
  <c r="DN10" i="1" s="1"/>
  <c r="DJ4" i="1"/>
  <c r="DN4" i="1" s="1"/>
  <c r="DJ212" i="1"/>
  <c r="DM212" i="1" s="1"/>
  <c r="DJ206" i="1"/>
  <c r="DM206" i="1" s="1"/>
  <c r="DN206" i="1" s="1"/>
  <c r="DJ200" i="1"/>
  <c r="DM200" i="1" s="1"/>
  <c r="DN200" i="1" s="1"/>
  <c r="DJ194" i="1"/>
  <c r="DM194" i="1" s="1"/>
  <c r="DN194" i="1" s="1"/>
  <c r="DJ190" i="1"/>
  <c r="DM190" i="1" s="1"/>
  <c r="DN190" i="1" s="1"/>
  <c r="DJ184" i="1"/>
  <c r="DM184" i="1" s="1"/>
  <c r="DJ178" i="1"/>
  <c r="DM178" i="1" s="1"/>
  <c r="DN178" i="1" s="1"/>
  <c r="DJ172" i="1"/>
  <c r="DM172" i="1" s="1"/>
  <c r="DN172" i="1" s="1"/>
  <c r="DJ166" i="1"/>
  <c r="DM166" i="1" s="1"/>
  <c r="DN166" i="1" s="1"/>
  <c r="DJ160" i="1"/>
  <c r="DM160" i="1" s="1"/>
  <c r="DN160" i="1" s="1"/>
  <c r="DJ154" i="1"/>
  <c r="DM154" i="1" s="1"/>
  <c r="DN154" i="1" s="1"/>
  <c r="DJ150" i="1"/>
  <c r="DM150" i="1" s="1"/>
  <c r="DN150" i="1" s="1"/>
  <c r="DJ144" i="1"/>
  <c r="DM144" i="1" s="1"/>
  <c r="DN144" i="1" s="1"/>
  <c r="DJ138" i="1"/>
  <c r="DM138" i="1" s="1"/>
  <c r="DN138" i="1" s="1"/>
  <c r="DJ132" i="1"/>
  <c r="DM132" i="1" s="1"/>
  <c r="DN132" i="1" s="1"/>
  <c r="DJ126" i="1"/>
  <c r="DM126" i="1" s="1"/>
  <c r="DN126" i="1" s="1"/>
  <c r="DJ120" i="1"/>
  <c r="DM120" i="1" s="1"/>
  <c r="DN120" i="1" s="1"/>
  <c r="DJ114" i="1"/>
  <c r="DM114" i="1" s="1"/>
  <c r="DN114" i="1" s="1"/>
  <c r="DJ110" i="1"/>
  <c r="DM110" i="1" s="1"/>
  <c r="DN110" i="1" s="1"/>
  <c r="DJ98" i="1"/>
  <c r="DM98" i="1" s="1"/>
  <c r="DJ92" i="1"/>
  <c r="DM92" i="1" s="1"/>
  <c r="DN92" i="1" s="1"/>
  <c r="DJ86" i="1"/>
  <c r="DM86" i="1" s="1"/>
  <c r="DN86" i="1" s="1"/>
  <c r="DJ80" i="1"/>
  <c r="DM80" i="1" s="1"/>
  <c r="DN80" i="1" s="1"/>
  <c r="DJ74" i="1"/>
  <c r="DM74" i="1" s="1"/>
  <c r="DN74" i="1" s="1"/>
  <c r="DJ72" i="1"/>
  <c r="DM72" i="1" s="1"/>
  <c r="DN72" i="1" s="1"/>
  <c r="DJ66" i="1"/>
  <c r="DM66" i="1" s="1"/>
  <c r="DN66" i="1" s="1"/>
  <c r="DJ62" i="1"/>
  <c r="DM62" i="1" s="1"/>
  <c r="DN62" i="1" s="1"/>
  <c r="DJ56" i="1"/>
  <c r="DM56" i="1" s="1"/>
  <c r="DN56" i="1" s="1"/>
  <c r="DJ50" i="1"/>
  <c r="DM50" i="1" s="1"/>
  <c r="DN50" i="1" s="1"/>
  <c r="DJ38" i="1"/>
  <c r="DM38" i="1" s="1"/>
  <c r="DN38" i="1" s="1"/>
  <c r="DJ208" i="1"/>
  <c r="DM208" i="1" s="1"/>
  <c r="DN208" i="1" s="1"/>
  <c r="DJ202" i="1"/>
  <c r="DM202" i="1" s="1"/>
  <c r="DN202" i="1" s="1"/>
  <c r="DJ196" i="1"/>
  <c r="DM196" i="1" s="1"/>
  <c r="DN196" i="1" s="1"/>
  <c r="DJ188" i="1"/>
  <c r="DM188" i="1" s="1"/>
  <c r="DN188" i="1" s="1"/>
  <c r="DJ182" i="1"/>
  <c r="DM182" i="1" s="1"/>
  <c r="DJ176" i="1"/>
  <c r="DM176" i="1" s="1"/>
  <c r="DN176" i="1" s="1"/>
  <c r="DJ170" i="1"/>
  <c r="DM170" i="1" s="1"/>
  <c r="DN170" i="1" s="1"/>
  <c r="DJ164" i="1"/>
  <c r="DM164" i="1" s="1"/>
  <c r="DN164" i="1" s="1"/>
  <c r="DJ158" i="1"/>
  <c r="DM158" i="1" s="1"/>
  <c r="DN158" i="1" s="1"/>
  <c r="DJ152" i="1"/>
  <c r="DM152" i="1" s="1"/>
  <c r="DN152" i="1" s="1"/>
  <c r="DJ146" i="1"/>
  <c r="DN146" i="1" s="1"/>
  <c r="DJ140" i="1"/>
  <c r="DM140" i="1" s="1"/>
  <c r="DN140" i="1" s="1"/>
  <c r="DJ134" i="1"/>
  <c r="DM134" i="1" s="1"/>
  <c r="DN134" i="1" s="1"/>
  <c r="DJ128" i="1"/>
  <c r="DM128" i="1" s="1"/>
  <c r="DN128" i="1" s="1"/>
  <c r="DJ122" i="1"/>
  <c r="DM122" i="1" s="1"/>
  <c r="DJ116" i="1"/>
  <c r="DM116" i="1" s="1"/>
  <c r="DN116" i="1" s="1"/>
  <c r="DJ108" i="1"/>
  <c r="DM108" i="1" s="1"/>
  <c r="DJ102" i="1"/>
  <c r="DM102" i="1" s="1"/>
  <c r="DN102" i="1" s="1"/>
  <c r="DJ96" i="1"/>
  <c r="DM96" i="1" s="1"/>
  <c r="DN96" i="1" s="1"/>
  <c r="DJ90" i="1"/>
  <c r="DM90" i="1" s="1"/>
  <c r="DN90" i="1" s="1"/>
  <c r="DJ84" i="1"/>
  <c r="DM84" i="1" s="1"/>
  <c r="DN84" i="1" s="1"/>
  <c r="DJ78" i="1"/>
  <c r="DM78" i="1" s="1"/>
  <c r="DN78" i="1" s="1"/>
  <c r="DJ70" i="1"/>
  <c r="DM70" i="1" s="1"/>
  <c r="DN70" i="1" s="1"/>
  <c r="DJ64" i="1"/>
  <c r="DM64" i="1" s="1"/>
  <c r="DN64" i="1" s="1"/>
  <c r="DJ58" i="1"/>
  <c r="DM58" i="1" s="1"/>
  <c r="DN58" i="1" s="1"/>
  <c r="DJ52" i="1"/>
  <c r="DM52" i="1" s="1"/>
  <c r="DN52" i="1" s="1"/>
  <c r="DJ48" i="1"/>
  <c r="DM48" i="1" s="1"/>
  <c r="DN48" i="1" s="1"/>
  <c r="DJ44" i="1"/>
  <c r="DM44" i="1" s="1"/>
  <c r="DJ40" i="1"/>
  <c r="DM40" i="1" s="1"/>
  <c r="DN40" i="1" s="1"/>
  <c r="DJ34" i="1"/>
  <c r="DM34" i="1" s="1"/>
  <c r="DN34" i="1" s="1"/>
  <c r="DJ30" i="1"/>
  <c r="DM30" i="1" s="1"/>
  <c r="DN30" i="1" s="1"/>
  <c r="DJ26" i="1"/>
  <c r="DM26" i="1" s="1"/>
  <c r="DN26" i="1" s="1"/>
  <c r="DJ24" i="1"/>
  <c r="DM24" i="1" s="1"/>
  <c r="DN24" i="1" s="1"/>
  <c r="DJ20" i="1"/>
  <c r="DM20" i="1" s="1"/>
  <c r="DN20" i="1" s="1"/>
  <c r="DJ16" i="1"/>
  <c r="DM16" i="1" s="1"/>
  <c r="DN16" i="1" s="1"/>
  <c r="DJ12" i="1"/>
  <c r="DM12" i="1" s="1"/>
  <c r="DJ8" i="1"/>
  <c r="DM8" i="1" s="1"/>
  <c r="DN8" i="1" s="1"/>
  <c r="DJ6" i="1"/>
  <c r="DM6" i="1" s="1"/>
  <c r="DN6" i="1" s="1"/>
  <c r="AQ283" i="1"/>
  <c r="AT283" i="1" s="1"/>
  <c r="AU283" i="1" s="1"/>
  <c r="AQ273" i="1"/>
  <c r="AT273" i="1" s="1"/>
  <c r="AU273" i="1" s="1"/>
  <c r="AQ261" i="1"/>
  <c r="AT261" i="1" s="1"/>
  <c r="AU261" i="1" s="1"/>
  <c r="AQ253" i="1"/>
  <c r="AT253" i="1" s="1"/>
  <c r="AQ245" i="1"/>
  <c r="AT245" i="1" s="1"/>
  <c r="AU245" i="1" s="1"/>
  <c r="AQ229" i="1"/>
  <c r="AT229" i="1" s="1"/>
  <c r="AU229" i="1" s="1"/>
  <c r="AQ213" i="1"/>
  <c r="AT213" i="1" s="1"/>
  <c r="AU213" i="1" s="1"/>
  <c r="AQ197" i="1"/>
  <c r="AT197" i="1" s="1"/>
  <c r="AU197" i="1" s="1"/>
  <c r="AQ189" i="1"/>
  <c r="AT189" i="1" s="1"/>
  <c r="AQ181" i="1"/>
  <c r="AT181" i="1" s="1"/>
  <c r="AU181" i="1" s="1"/>
  <c r="AQ173" i="1"/>
  <c r="AT173" i="1" s="1"/>
  <c r="AQ165" i="1"/>
  <c r="AT165" i="1" s="1"/>
  <c r="AU165" i="1" s="1"/>
  <c r="AQ157" i="1"/>
  <c r="AT157" i="1" s="1"/>
  <c r="AQ149" i="1"/>
  <c r="AT149" i="1" s="1"/>
  <c r="AU149" i="1" s="1"/>
  <c r="AQ119" i="1"/>
  <c r="AT119" i="1" s="1"/>
  <c r="AQ87" i="1"/>
  <c r="AT87" i="1" s="1"/>
  <c r="AQ67" i="1"/>
  <c r="AT67" i="1" s="1"/>
  <c r="AQ55" i="1"/>
  <c r="AT55" i="1" s="1"/>
  <c r="AQ35" i="1"/>
  <c r="AT35" i="1" s="1"/>
  <c r="AQ23" i="1"/>
  <c r="AT23" i="1" s="1"/>
  <c r="AQ3" i="1"/>
  <c r="AT3" i="1" s="1"/>
  <c r="BB298" i="1"/>
  <c r="BE298" i="1" s="1"/>
  <c r="BB296" i="1"/>
  <c r="BE296" i="1" s="1"/>
  <c r="BF296" i="1" s="1"/>
  <c r="BB294" i="1"/>
  <c r="BE294" i="1" s="1"/>
  <c r="BF294" i="1" s="1"/>
  <c r="BB292" i="1"/>
  <c r="BE292" i="1" s="1"/>
  <c r="BF292" i="1" s="1"/>
  <c r="BB290" i="1"/>
  <c r="BE290" i="1" s="1"/>
  <c r="BF290" i="1" s="1"/>
  <c r="BB288" i="1"/>
  <c r="BE288" i="1" s="1"/>
  <c r="BF288" i="1" s="1"/>
  <c r="BB286" i="1"/>
  <c r="BB284" i="1"/>
  <c r="BE284" i="1" s="1"/>
  <c r="BF284" i="1" s="1"/>
  <c r="BB282" i="1"/>
  <c r="BE282" i="1" s="1"/>
  <c r="BF282" i="1" s="1"/>
  <c r="BB280" i="1"/>
  <c r="BE280" i="1" s="1"/>
  <c r="BF280" i="1" s="1"/>
  <c r="BB278" i="1"/>
  <c r="BE278" i="1" s="1"/>
  <c r="BF278" i="1" s="1"/>
  <c r="BB276" i="1"/>
  <c r="BE276" i="1" s="1"/>
  <c r="BF276" i="1" s="1"/>
  <c r="BB274" i="1"/>
  <c r="BE274" i="1" s="1"/>
  <c r="BF274" i="1" s="1"/>
  <c r="BB272" i="1"/>
  <c r="BE272" i="1" s="1"/>
  <c r="BF272" i="1" s="1"/>
  <c r="BB270" i="1"/>
  <c r="BE270" i="1" s="1"/>
  <c r="BF270" i="1" s="1"/>
  <c r="BB268" i="1"/>
  <c r="BE268" i="1" s="1"/>
  <c r="BF268" i="1" s="1"/>
  <c r="BB266" i="1"/>
  <c r="BE266" i="1" s="1"/>
  <c r="BF266" i="1" s="1"/>
  <c r="BB264" i="1"/>
  <c r="BE264" i="1" s="1"/>
  <c r="BF264" i="1" s="1"/>
  <c r="BB262" i="1"/>
  <c r="BE262" i="1" s="1"/>
  <c r="BF262" i="1" s="1"/>
  <c r="BB260" i="1"/>
  <c r="BE260" i="1" s="1"/>
  <c r="BF260" i="1" s="1"/>
  <c r="BB258" i="1"/>
  <c r="BE258" i="1" s="1"/>
  <c r="BF258" i="1" s="1"/>
  <c r="BB256" i="1"/>
  <c r="BE256" i="1" s="1"/>
  <c r="BF256" i="1" s="1"/>
  <c r="BB254" i="1"/>
  <c r="BE254" i="1" s="1"/>
  <c r="BB252" i="1"/>
  <c r="BE252" i="1" s="1"/>
  <c r="BF252" i="1" s="1"/>
  <c r="BB250" i="1"/>
  <c r="BE250" i="1" s="1"/>
  <c r="BF250" i="1" s="1"/>
  <c r="BB248" i="1"/>
  <c r="BE248" i="1" s="1"/>
  <c r="BF248" i="1" s="1"/>
  <c r="BB246" i="1"/>
  <c r="BE246" i="1" s="1"/>
  <c r="BF246" i="1" s="1"/>
  <c r="BB244" i="1"/>
  <c r="BE244" i="1" s="1"/>
  <c r="BF244" i="1" s="1"/>
  <c r="BB242" i="1"/>
  <c r="BE242" i="1" s="1"/>
  <c r="BF242" i="1" s="1"/>
  <c r="BB240" i="1"/>
  <c r="BE240" i="1" s="1"/>
  <c r="BF240" i="1" s="1"/>
  <c r="BB238" i="1"/>
  <c r="BE238" i="1" s="1"/>
  <c r="BF238" i="1" s="1"/>
  <c r="BB236" i="1"/>
  <c r="BB234" i="1"/>
  <c r="BE234" i="1" s="1"/>
  <c r="BB232" i="1"/>
  <c r="BE232" i="1" s="1"/>
  <c r="BF232" i="1" s="1"/>
  <c r="BB230" i="1"/>
  <c r="BE230" i="1" s="1"/>
  <c r="BF230" i="1" s="1"/>
  <c r="BB228" i="1"/>
  <c r="BE228" i="1" s="1"/>
  <c r="BF228" i="1" s="1"/>
  <c r="BB226" i="1"/>
  <c r="BE226" i="1" s="1"/>
  <c r="BF226" i="1" s="1"/>
  <c r="BB224" i="1"/>
  <c r="BE224" i="1" s="1"/>
  <c r="BF224" i="1" s="1"/>
  <c r="BB222" i="1"/>
  <c r="BE222" i="1" s="1"/>
  <c r="BB220" i="1"/>
  <c r="BE220" i="1" s="1"/>
  <c r="BF220" i="1" s="1"/>
  <c r="BB218" i="1"/>
  <c r="BE218" i="1" s="1"/>
  <c r="BF218" i="1" s="1"/>
  <c r="BB216" i="1"/>
  <c r="BE216" i="1" s="1"/>
  <c r="BF216" i="1" s="1"/>
  <c r="BB214" i="1"/>
  <c r="BE214" i="1" s="1"/>
  <c r="BB212" i="1"/>
  <c r="BE212" i="1" s="1"/>
  <c r="BF212" i="1" s="1"/>
  <c r="BB210" i="1"/>
  <c r="BE210" i="1" s="1"/>
  <c r="BF210" i="1" s="1"/>
  <c r="BB208" i="1"/>
  <c r="BE208" i="1" s="1"/>
  <c r="BF208" i="1" s="1"/>
  <c r="BB206" i="1"/>
  <c r="BE206" i="1" s="1"/>
  <c r="BF206" i="1" s="1"/>
  <c r="BB204" i="1"/>
  <c r="BE204" i="1" s="1"/>
  <c r="BF204" i="1" s="1"/>
  <c r="BB202" i="1"/>
  <c r="BE202" i="1" s="1"/>
  <c r="BB200" i="1"/>
  <c r="BE200" i="1" s="1"/>
  <c r="BF200" i="1" s="1"/>
  <c r="BB198" i="1"/>
  <c r="BE198" i="1" s="1"/>
  <c r="BF198" i="1" s="1"/>
  <c r="BB196" i="1"/>
  <c r="BE196" i="1" s="1"/>
  <c r="BF196" i="1" s="1"/>
  <c r="BB194" i="1"/>
  <c r="BE194" i="1" s="1"/>
  <c r="BF194" i="1" s="1"/>
  <c r="BB192" i="1"/>
  <c r="BE192" i="1" s="1"/>
  <c r="BF192" i="1" s="1"/>
  <c r="BB190" i="1"/>
  <c r="BE190" i="1" s="1"/>
  <c r="BF190" i="1" s="1"/>
  <c r="BB188" i="1"/>
  <c r="BE188" i="1" s="1"/>
  <c r="BF188" i="1" s="1"/>
  <c r="BB186" i="1"/>
  <c r="BE186" i="1" s="1"/>
  <c r="BF186" i="1" s="1"/>
  <c r="BB184" i="1"/>
  <c r="BE184" i="1" s="1"/>
  <c r="BF184" i="1" s="1"/>
  <c r="BB182" i="1"/>
  <c r="BE182" i="1" s="1"/>
  <c r="BF182" i="1" s="1"/>
  <c r="BB180" i="1"/>
  <c r="BE180" i="1" s="1"/>
  <c r="BF180" i="1" s="1"/>
  <c r="BB178" i="1"/>
  <c r="BE178" i="1" s="1"/>
  <c r="BF178" i="1" s="1"/>
  <c r="BB176" i="1"/>
  <c r="BE176" i="1" s="1"/>
  <c r="BF176" i="1" s="1"/>
  <c r="BB174" i="1"/>
  <c r="BE174" i="1" s="1"/>
  <c r="BF174" i="1" s="1"/>
  <c r="BB172" i="1"/>
  <c r="BE172" i="1" s="1"/>
  <c r="BF172" i="1" s="1"/>
  <c r="BB170" i="1"/>
  <c r="BE170" i="1" s="1"/>
  <c r="BF170" i="1" s="1"/>
  <c r="BB168" i="1"/>
  <c r="BE168" i="1" s="1"/>
  <c r="BF168" i="1" s="1"/>
  <c r="BB166" i="1"/>
  <c r="BE166" i="1" s="1"/>
  <c r="BF166" i="1" s="1"/>
  <c r="BB164" i="1"/>
  <c r="BE164" i="1" s="1"/>
  <c r="BF164" i="1" s="1"/>
  <c r="BB162" i="1"/>
  <c r="BE162" i="1" s="1"/>
  <c r="BF162" i="1" s="1"/>
  <c r="BB160" i="1"/>
  <c r="BE160" i="1" s="1"/>
  <c r="BF160" i="1" s="1"/>
  <c r="BB158" i="1"/>
  <c r="BE158" i="1" s="1"/>
  <c r="BF158" i="1" s="1"/>
  <c r="BB156" i="1"/>
  <c r="BE156" i="1" s="1"/>
  <c r="BF156" i="1" s="1"/>
  <c r="BB154" i="1"/>
  <c r="BE154" i="1" s="1"/>
  <c r="BF154" i="1" s="1"/>
  <c r="BB152" i="1"/>
  <c r="BE152" i="1" s="1"/>
  <c r="BF152" i="1" s="1"/>
  <c r="BB150" i="1"/>
  <c r="BE150" i="1" s="1"/>
  <c r="BF150" i="1" s="1"/>
  <c r="BB148" i="1"/>
  <c r="BE148" i="1" s="1"/>
  <c r="BF148" i="1" s="1"/>
  <c r="BB146" i="1"/>
  <c r="BF146" i="1" s="1"/>
  <c r="BB144" i="1"/>
  <c r="BE144" i="1" s="1"/>
  <c r="BF144" i="1" s="1"/>
  <c r="BB142" i="1"/>
  <c r="BB140" i="1"/>
  <c r="BE140" i="1" s="1"/>
  <c r="BF140" i="1" s="1"/>
  <c r="BB138" i="1"/>
  <c r="BE138" i="1" s="1"/>
  <c r="BF138" i="1" s="1"/>
  <c r="BB136" i="1"/>
  <c r="BE136" i="1" s="1"/>
  <c r="BF136" i="1" s="1"/>
  <c r="BB134" i="1"/>
  <c r="BE134" i="1" s="1"/>
  <c r="BF134" i="1" s="1"/>
  <c r="BB132" i="1"/>
  <c r="BE132" i="1" s="1"/>
  <c r="BF132" i="1" s="1"/>
  <c r="BB130" i="1"/>
  <c r="BE130" i="1" s="1"/>
  <c r="BF130" i="1" s="1"/>
  <c r="BB128" i="1"/>
  <c r="BB126" i="1"/>
  <c r="BE126" i="1" s="1"/>
  <c r="BF126" i="1" s="1"/>
  <c r="BB124" i="1"/>
  <c r="BE124" i="1" s="1"/>
  <c r="BF124" i="1" s="1"/>
  <c r="BB122" i="1"/>
  <c r="BE122" i="1" s="1"/>
  <c r="BF122" i="1" s="1"/>
  <c r="BB120" i="1"/>
  <c r="BE120" i="1" s="1"/>
  <c r="BF120" i="1" s="1"/>
  <c r="BB118" i="1"/>
  <c r="BE118" i="1" s="1"/>
  <c r="BF118" i="1" s="1"/>
  <c r="BB116" i="1"/>
  <c r="BE116" i="1" s="1"/>
  <c r="BF116" i="1" s="1"/>
  <c r="BB114" i="1"/>
  <c r="BE114" i="1" s="1"/>
  <c r="BF114" i="1" s="1"/>
  <c r="BB112" i="1"/>
  <c r="BE112" i="1" s="1"/>
  <c r="BF112" i="1" s="1"/>
  <c r="BB110" i="1"/>
  <c r="BE110" i="1" s="1"/>
  <c r="BF110" i="1" s="1"/>
  <c r="BB108" i="1"/>
  <c r="BE108" i="1" s="1"/>
  <c r="BF108" i="1" s="1"/>
  <c r="BB106" i="1"/>
  <c r="BE106" i="1" s="1"/>
  <c r="BF106" i="1" s="1"/>
  <c r="BB102" i="1"/>
  <c r="BE102" i="1" s="1"/>
  <c r="BF102" i="1" s="1"/>
  <c r="BB100" i="1"/>
  <c r="BE100" i="1" s="1"/>
  <c r="BF100" i="1" s="1"/>
  <c r="BB98" i="1"/>
  <c r="BE98" i="1" s="1"/>
  <c r="BF98" i="1" s="1"/>
  <c r="BB96" i="1"/>
  <c r="BE96" i="1" s="1"/>
  <c r="BF96" i="1" s="1"/>
  <c r="BB94" i="1"/>
  <c r="BE94" i="1" s="1"/>
  <c r="BF94" i="1" s="1"/>
  <c r="BB92" i="1"/>
  <c r="BE92" i="1" s="1"/>
  <c r="BF92" i="1" s="1"/>
  <c r="BB90" i="1"/>
  <c r="BE90" i="1" s="1"/>
  <c r="BF90" i="1" s="1"/>
  <c r="BB88" i="1"/>
  <c r="BE88" i="1" s="1"/>
  <c r="BF88" i="1" s="1"/>
  <c r="BB86" i="1"/>
  <c r="BE86" i="1" s="1"/>
  <c r="BF86" i="1" s="1"/>
  <c r="BB84" i="1"/>
  <c r="BE84" i="1" s="1"/>
  <c r="BF84" i="1" s="1"/>
  <c r="BB82" i="1"/>
  <c r="BE82" i="1" s="1"/>
  <c r="BF82" i="1" s="1"/>
  <c r="BB80" i="1"/>
  <c r="BE80" i="1" s="1"/>
  <c r="BF80" i="1" s="1"/>
  <c r="BB78" i="1"/>
  <c r="BE78" i="1" s="1"/>
  <c r="BB76" i="1"/>
  <c r="BE76" i="1" s="1"/>
  <c r="BF76" i="1" s="1"/>
  <c r="BB74" i="1"/>
  <c r="BE74" i="1" s="1"/>
  <c r="BF74" i="1" s="1"/>
  <c r="BB72" i="1"/>
  <c r="BE72" i="1" s="1"/>
  <c r="BF72" i="1" s="1"/>
  <c r="BB70" i="1"/>
  <c r="BE70" i="1" s="1"/>
  <c r="BF70" i="1" s="1"/>
  <c r="BB68" i="1"/>
  <c r="BE68" i="1" s="1"/>
  <c r="BF68" i="1" s="1"/>
  <c r="BB66" i="1"/>
  <c r="BE66" i="1" s="1"/>
  <c r="BF66" i="1" s="1"/>
  <c r="BB64" i="1"/>
  <c r="BE64" i="1" s="1"/>
  <c r="BF64" i="1" s="1"/>
  <c r="BB62" i="1"/>
  <c r="BE62" i="1" s="1"/>
  <c r="BF62" i="1" s="1"/>
  <c r="BB60" i="1"/>
  <c r="BB58" i="1"/>
  <c r="BE58" i="1" s="1"/>
  <c r="BF58" i="1" s="1"/>
  <c r="BB56" i="1"/>
  <c r="BE56" i="1" s="1"/>
  <c r="BF56" i="1" s="1"/>
  <c r="BB54" i="1"/>
  <c r="BE54" i="1" s="1"/>
  <c r="BF54" i="1" s="1"/>
  <c r="BB52" i="1"/>
  <c r="BE52" i="1" s="1"/>
  <c r="BF52" i="1" s="1"/>
  <c r="BB50" i="1"/>
  <c r="BE50" i="1" s="1"/>
  <c r="BF50" i="1" s="1"/>
  <c r="BB48" i="1"/>
  <c r="BE48" i="1" s="1"/>
  <c r="BF48" i="1" s="1"/>
  <c r="BB46" i="1"/>
  <c r="BE46" i="1" s="1"/>
  <c r="BF46" i="1" s="1"/>
  <c r="BB44" i="1"/>
  <c r="BE44" i="1" s="1"/>
  <c r="BF44" i="1" s="1"/>
  <c r="BB42" i="1"/>
  <c r="BE42" i="1" s="1"/>
  <c r="BF42" i="1" s="1"/>
  <c r="BB40" i="1"/>
  <c r="BE40" i="1" s="1"/>
  <c r="BF40" i="1" s="1"/>
  <c r="BB38" i="1"/>
  <c r="BE38" i="1" s="1"/>
  <c r="BF38" i="1" s="1"/>
  <c r="BB36" i="1"/>
  <c r="BE36" i="1" s="1"/>
  <c r="BF36" i="1" s="1"/>
  <c r="BB34" i="1"/>
  <c r="BE34" i="1" s="1"/>
  <c r="BF34" i="1" s="1"/>
  <c r="BB32" i="1"/>
  <c r="BE32" i="1" s="1"/>
  <c r="BF32" i="1" s="1"/>
  <c r="BB30" i="1"/>
  <c r="BE30" i="1" s="1"/>
  <c r="BF30" i="1" s="1"/>
  <c r="BB28" i="1"/>
  <c r="BE28" i="1" s="1"/>
  <c r="BF28" i="1" s="1"/>
  <c r="BB26" i="1"/>
  <c r="BE26" i="1" s="1"/>
  <c r="BF26" i="1" s="1"/>
  <c r="BB24" i="1"/>
  <c r="BE24" i="1" s="1"/>
  <c r="BF24" i="1" s="1"/>
  <c r="BB22" i="1"/>
  <c r="BE22" i="1" s="1"/>
  <c r="BF22" i="1" s="1"/>
  <c r="BB20" i="1"/>
  <c r="BE20" i="1" s="1"/>
  <c r="BF20" i="1" s="1"/>
  <c r="BB18" i="1"/>
  <c r="BE18" i="1" s="1"/>
  <c r="BF18" i="1" s="1"/>
  <c r="BB16" i="1"/>
  <c r="BE16" i="1" s="1"/>
  <c r="BF16" i="1" s="1"/>
  <c r="BB14" i="1"/>
  <c r="BE14" i="1" s="1"/>
  <c r="BF14" i="1" s="1"/>
  <c r="BB12" i="1"/>
  <c r="BE12" i="1" s="1"/>
  <c r="BF12" i="1" s="1"/>
  <c r="BB10" i="1"/>
  <c r="BE10" i="1" s="1"/>
  <c r="BF10" i="1" s="1"/>
  <c r="BB8" i="1"/>
  <c r="BE8" i="1" s="1"/>
  <c r="BF8" i="1" s="1"/>
  <c r="BB6" i="1"/>
  <c r="BE6" i="1" s="1"/>
  <c r="BF6" i="1" s="1"/>
  <c r="BB4" i="1"/>
  <c r="BF4" i="1" s="1"/>
  <c r="BL299" i="1"/>
  <c r="BO299" i="1" s="1"/>
  <c r="BP299" i="1" s="1"/>
  <c r="BL297" i="1"/>
  <c r="BO297" i="1" s="1"/>
  <c r="BP297" i="1" s="1"/>
  <c r="BL295" i="1"/>
  <c r="BO295" i="1" s="1"/>
  <c r="BP295" i="1" s="1"/>
  <c r="BL293" i="1"/>
  <c r="BO293" i="1" s="1"/>
  <c r="BP293" i="1" s="1"/>
  <c r="BL291" i="1"/>
  <c r="BO291" i="1" s="1"/>
  <c r="BP291" i="1" s="1"/>
  <c r="BL289" i="1"/>
  <c r="BO289" i="1" s="1"/>
  <c r="BP289" i="1" s="1"/>
  <c r="BL287" i="1"/>
  <c r="BO287" i="1" s="1"/>
  <c r="BP287" i="1" s="1"/>
  <c r="BL285" i="1"/>
  <c r="BO285" i="1" s="1"/>
  <c r="BP285" i="1" s="1"/>
  <c r="BL283" i="1"/>
  <c r="BO283" i="1" s="1"/>
  <c r="BP283" i="1" s="1"/>
  <c r="BL281" i="1"/>
  <c r="BO281" i="1" s="1"/>
  <c r="BP281" i="1" s="1"/>
  <c r="BL279" i="1"/>
  <c r="BO279" i="1" s="1"/>
  <c r="BP279" i="1" s="1"/>
  <c r="BL277" i="1"/>
  <c r="BO277" i="1" s="1"/>
  <c r="BP277" i="1" s="1"/>
  <c r="BL275" i="1"/>
  <c r="BO275" i="1" s="1"/>
  <c r="BP275" i="1" s="1"/>
  <c r="BL273" i="1"/>
  <c r="BO273" i="1" s="1"/>
  <c r="BP273" i="1" s="1"/>
  <c r="BL271" i="1"/>
  <c r="BO271" i="1" s="1"/>
  <c r="BP271" i="1" s="1"/>
  <c r="BL269" i="1"/>
  <c r="BO269" i="1" s="1"/>
  <c r="BP269" i="1" s="1"/>
  <c r="BL267" i="1"/>
  <c r="BO267" i="1" s="1"/>
  <c r="BP267" i="1" s="1"/>
  <c r="BL265" i="1"/>
  <c r="BO265" i="1" s="1"/>
  <c r="BP265" i="1" s="1"/>
  <c r="BL263" i="1"/>
  <c r="BO263" i="1" s="1"/>
  <c r="BP263" i="1" s="1"/>
  <c r="BL261" i="1"/>
  <c r="BO261" i="1" s="1"/>
  <c r="BP261" i="1" s="1"/>
  <c r="BL259" i="1"/>
  <c r="BO259" i="1" s="1"/>
  <c r="BP259" i="1" s="1"/>
  <c r="BL257" i="1"/>
  <c r="BO257" i="1" s="1"/>
  <c r="BP257" i="1" s="1"/>
  <c r="BL255" i="1"/>
  <c r="BO255" i="1" s="1"/>
  <c r="BP255" i="1" s="1"/>
  <c r="BL253" i="1"/>
  <c r="BO253" i="1" s="1"/>
  <c r="BP253" i="1" s="1"/>
  <c r="BL2" i="1"/>
  <c r="BO2" i="1" s="1"/>
  <c r="BP2" i="1" s="1"/>
  <c r="BL296" i="1"/>
  <c r="BO296" i="1" s="1"/>
  <c r="BP296" i="1" s="1"/>
  <c r="BL292" i="1"/>
  <c r="BO292" i="1" s="1"/>
  <c r="BP292" i="1" s="1"/>
  <c r="BL284" i="1"/>
  <c r="BO284" i="1" s="1"/>
  <c r="BP284" i="1" s="1"/>
  <c r="BL276" i="1"/>
  <c r="BO276" i="1" s="1"/>
  <c r="BP276" i="1" s="1"/>
  <c r="BL268" i="1"/>
  <c r="BO268" i="1" s="1"/>
  <c r="BP268" i="1" s="1"/>
  <c r="BL260" i="1"/>
  <c r="BO260" i="1" s="1"/>
  <c r="BP260" i="1" s="1"/>
  <c r="BL256" i="1"/>
  <c r="BO256" i="1" s="1"/>
  <c r="BP256" i="1" s="1"/>
  <c r="BL252" i="1"/>
  <c r="BO252" i="1" s="1"/>
  <c r="BP252" i="1" s="1"/>
  <c r="BL244" i="1"/>
  <c r="BO244" i="1" s="1"/>
  <c r="BP244" i="1" s="1"/>
  <c r="BL236" i="1"/>
  <c r="BO236" i="1" s="1"/>
  <c r="BP236" i="1" s="1"/>
  <c r="BL232" i="1"/>
  <c r="BO232" i="1" s="1"/>
  <c r="BP232" i="1" s="1"/>
  <c r="BL228" i="1"/>
  <c r="BO228" i="1" s="1"/>
  <c r="BP228" i="1" s="1"/>
  <c r="BL220" i="1"/>
  <c r="BO220" i="1" s="1"/>
  <c r="BP220" i="1" s="1"/>
  <c r="BL212" i="1"/>
  <c r="BO212" i="1" s="1"/>
  <c r="BP212" i="1" s="1"/>
  <c r="BL204" i="1"/>
  <c r="BO204" i="1" s="1"/>
  <c r="BP204" i="1" s="1"/>
  <c r="BL196" i="1"/>
  <c r="BO196" i="1" s="1"/>
  <c r="BP196" i="1" s="1"/>
  <c r="BL192" i="1"/>
  <c r="BO192" i="1" s="1"/>
  <c r="BP192" i="1" s="1"/>
  <c r="BL188" i="1"/>
  <c r="BO188" i="1" s="1"/>
  <c r="BP188" i="1" s="1"/>
  <c r="BL180" i="1"/>
  <c r="BO180" i="1" s="1"/>
  <c r="BP180" i="1" s="1"/>
  <c r="BL172" i="1"/>
  <c r="BO172" i="1" s="1"/>
  <c r="BP172" i="1" s="1"/>
  <c r="BL168" i="1"/>
  <c r="BO168" i="1" s="1"/>
  <c r="BP168" i="1" s="1"/>
  <c r="BL164" i="1"/>
  <c r="BO164" i="1" s="1"/>
  <c r="BP164" i="1" s="1"/>
  <c r="BL156" i="1"/>
  <c r="BO156" i="1" s="1"/>
  <c r="BL148" i="1"/>
  <c r="BO148" i="1" s="1"/>
  <c r="BP148" i="1" s="1"/>
  <c r="BL140" i="1"/>
  <c r="BO140" i="1" s="1"/>
  <c r="BP140" i="1" s="1"/>
  <c r="BL132" i="1"/>
  <c r="BO132" i="1" s="1"/>
  <c r="BP132" i="1" s="1"/>
  <c r="BL128" i="1"/>
  <c r="BO128" i="1" s="1"/>
  <c r="BP128" i="1" s="1"/>
  <c r="BL124" i="1"/>
  <c r="BO124" i="1" s="1"/>
  <c r="BL116" i="1"/>
  <c r="BO116" i="1" s="1"/>
  <c r="BP116" i="1" s="1"/>
  <c r="BL108" i="1"/>
  <c r="BO108" i="1" s="1"/>
  <c r="BP108" i="1" s="1"/>
  <c r="BL100" i="1"/>
  <c r="BO100" i="1" s="1"/>
  <c r="BP100" i="1" s="1"/>
  <c r="BL92" i="1"/>
  <c r="BO92" i="1" s="1"/>
  <c r="BP92" i="1" s="1"/>
  <c r="BL84" i="1"/>
  <c r="BO84" i="1" s="1"/>
  <c r="BP84" i="1" s="1"/>
  <c r="BL76" i="1"/>
  <c r="BO76" i="1" s="1"/>
  <c r="BP76" i="1" s="1"/>
  <c r="BL64" i="1"/>
  <c r="BO64" i="1" s="1"/>
  <c r="BP64" i="1" s="1"/>
  <c r="BV189" i="1"/>
  <c r="BY189" i="1" s="1"/>
  <c r="BZ189" i="1" s="1"/>
  <c r="BV133" i="1"/>
  <c r="BY133" i="1" s="1"/>
  <c r="BZ133" i="1" s="1"/>
  <c r="BV63" i="1"/>
  <c r="BY63" i="1" s="1"/>
  <c r="BZ63" i="1" s="1"/>
  <c r="BV17" i="1"/>
  <c r="BY17" i="1" s="1"/>
  <c r="BZ17" i="1" s="1"/>
  <c r="DJ223" i="1"/>
  <c r="DM223" i="1" s="1"/>
  <c r="DN223" i="1" s="1"/>
  <c r="DJ129" i="1"/>
  <c r="DM129" i="1" s="1"/>
  <c r="DN129" i="1" s="1"/>
  <c r="DJ45" i="1"/>
  <c r="DM45" i="1" s="1"/>
  <c r="DN45" i="1" s="1"/>
  <c r="DT299" i="1"/>
  <c r="DT297" i="1"/>
  <c r="DT295" i="1"/>
  <c r="DT293" i="1"/>
  <c r="DT291" i="1"/>
  <c r="DT289" i="1"/>
  <c r="DT287" i="1"/>
  <c r="DT285" i="1"/>
  <c r="DT283" i="1"/>
  <c r="DT281" i="1"/>
  <c r="DT279" i="1"/>
  <c r="DT277" i="1"/>
  <c r="DT275" i="1"/>
  <c r="DT273" i="1"/>
  <c r="DT271" i="1"/>
  <c r="DT269" i="1"/>
  <c r="DT267" i="1"/>
  <c r="DT265" i="1"/>
  <c r="DT263" i="1"/>
  <c r="DT261" i="1"/>
  <c r="DT259" i="1"/>
  <c r="DT257" i="1"/>
  <c r="DT255" i="1"/>
  <c r="DT253" i="1"/>
  <c r="DT251" i="1"/>
  <c r="DT249" i="1"/>
  <c r="BL251" i="1"/>
  <c r="BO251" i="1" s="1"/>
  <c r="BP251" i="1" s="1"/>
  <c r="BL249" i="1"/>
  <c r="BO249" i="1" s="1"/>
  <c r="BP249" i="1" s="1"/>
  <c r="BL247" i="1"/>
  <c r="BO247" i="1" s="1"/>
  <c r="BP247" i="1" s="1"/>
  <c r="BL245" i="1"/>
  <c r="BO245" i="1" s="1"/>
  <c r="BP245" i="1" s="1"/>
  <c r="BL243" i="1"/>
  <c r="BO243" i="1" s="1"/>
  <c r="BP243" i="1" s="1"/>
  <c r="BL241" i="1"/>
  <c r="BO241" i="1" s="1"/>
  <c r="BP241" i="1" s="1"/>
  <c r="BL239" i="1"/>
  <c r="BO239" i="1" s="1"/>
  <c r="BP239" i="1" s="1"/>
  <c r="BL237" i="1"/>
  <c r="BO237" i="1" s="1"/>
  <c r="BP237" i="1" s="1"/>
  <c r="BL235" i="1"/>
  <c r="BO235" i="1" s="1"/>
  <c r="BP235" i="1" s="1"/>
  <c r="BL233" i="1"/>
  <c r="BO233" i="1" s="1"/>
  <c r="BP233" i="1" s="1"/>
  <c r="BL231" i="1"/>
  <c r="BO231" i="1" s="1"/>
  <c r="BP231" i="1" s="1"/>
  <c r="BL229" i="1"/>
  <c r="BO229" i="1" s="1"/>
  <c r="BP229" i="1" s="1"/>
  <c r="BL227" i="1"/>
  <c r="BO227" i="1" s="1"/>
  <c r="BP227" i="1" s="1"/>
  <c r="BL225" i="1"/>
  <c r="BO225" i="1" s="1"/>
  <c r="BP225" i="1" s="1"/>
  <c r="BL223" i="1"/>
  <c r="BO223" i="1" s="1"/>
  <c r="BP223" i="1" s="1"/>
  <c r="BL221" i="1"/>
  <c r="BO221" i="1" s="1"/>
  <c r="BP221" i="1" s="1"/>
  <c r="BL219" i="1"/>
  <c r="BO219" i="1" s="1"/>
  <c r="BP219" i="1" s="1"/>
  <c r="BL217" i="1"/>
  <c r="BO217" i="1" s="1"/>
  <c r="BP217" i="1" s="1"/>
  <c r="BL215" i="1"/>
  <c r="BO215" i="1" s="1"/>
  <c r="BP215" i="1" s="1"/>
  <c r="BL213" i="1"/>
  <c r="BO213" i="1" s="1"/>
  <c r="BP213" i="1" s="1"/>
  <c r="BL211" i="1"/>
  <c r="BO211" i="1" s="1"/>
  <c r="BP211" i="1" s="1"/>
  <c r="BL209" i="1"/>
  <c r="BO209" i="1" s="1"/>
  <c r="BP209" i="1" s="1"/>
  <c r="BL207" i="1"/>
  <c r="BO207" i="1" s="1"/>
  <c r="BP207" i="1" s="1"/>
  <c r="BL205" i="1"/>
  <c r="BO205" i="1" s="1"/>
  <c r="BP205" i="1" s="1"/>
  <c r="BL203" i="1"/>
  <c r="BO203" i="1" s="1"/>
  <c r="BP203" i="1" s="1"/>
  <c r="BL201" i="1"/>
  <c r="BO201" i="1" s="1"/>
  <c r="BP201" i="1" s="1"/>
  <c r="BL199" i="1"/>
  <c r="BP199" i="1" s="1"/>
  <c r="BL197" i="1"/>
  <c r="BO197" i="1" s="1"/>
  <c r="BP197" i="1" s="1"/>
  <c r="BL195" i="1"/>
  <c r="BO195" i="1" s="1"/>
  <c r="BP195" i="1" s="1"/>
  <c r="BL193" i="1"/>
  <c r="BL191" i="1"/>
  <c r="BO191" i="1" s="1"/>
  <c r="BP191" i="1" s="1"/>
  <c r="BL189" i="1"/>
  <c r="BO189" i="1" s="1"/>
  <c r="BP189" i="1" s="1"/>
  <c r="BL187" i="1"/>
  <c r="BO187" i="1" s="1"/>
  <c r="BP187" i="1" s="1"/>
  <c r="BL185" i="1"/>
  <c r="BO185" i="1" s="1"/>
  <c r="BP185" i="1" s="1"/>
  <c r="BL183" i="1"/>
  <c r="BO183" i="1" s="1"/>
  <c r="BP183" i="1" s="1"/>
  <c r="BL181" i="1"/>
  <c r="BO181" i="1" s="1"/>
  <c r="BP181" i="1" s="1"/>
  <c r="BL179" i="1"/>
  <c r="BO179" i="1" s="1"/>
  <c r="BP179" i="1" s="1"/>
  <c r="BL177" i="1"/>
  <c r="BO177" i="1" s="1"/>
  <c r="BP177" i="1" s="1"/>
  <c r="BL175" i="1"/>
  <c r="BO175" i="1" s="1"/>
  <c r="BP175" i="1" s="1"/>
  <c r="BL173" i="1"/>
  <c r="BO173" i="1" s="1"/>
  <c r="BP173" i="1" s="1"/>
  <c r="BL171" i="1"/>
  <c r="BO171" i="1" s="1"/>
  <c r="BP171" i="1" s="1"/>
  <c r="BL169" i="1"/>
  <c r="BO169" i="1" s="1"/>
  <c r="BP169" i="1" s="1"/>
  <c r="BL167" i="1"/>
  <c r="BO167" i="1" s="1"/>
  <c r="BP167" i="1" s="1"/>
  <c r="BL165" i="1"/>
  <c r="BO165" i="1" s="1"/>
  <c r="BP165" i="1" s="1"/>
  <c r="BL163" i="1"/>
  <c r="BO163" i="1" s="1"/>
  <c r="BP163" i="1" s="1"/>
  <c r="BL161" i="1"/>
  <c r="BO161" i="1" s="1"/>
  <c r="BP161" i="1" s="1"/>
  <c r="BL159" i="1"/>
  <c r="BO159" i="1" s="1"/>
  <c r="BP159" i="1" s="1"/>
  <c r="BL157" i="1"/>
  <c r="BO157" i="1" s="1"/>
  <c r="BP157" i="1" s="1"/>
  <c r="BL155" i="1"/>
  <c r="BO155" i="1" s="1"/>
  <c r="BP155" i="1" s="1"/>
  <c r="BL153" i="1"/>
  <c r="BO153" i="1" s="1"/>
  <c r="BP153" i="1" s="1"/>
  <c r="BL151" i="1"/>
  <c r="BO151" i="1" s="1"/>
  <c r="BP151" i="1" s="1"/>
  <c r="BL149" i="1"/>
  <c r="BO149" i="1" s="1"/>
  <c r="BP149" i="1" s="1"/>
  <c r="BL147" i="1"/>
  <c r="BO147" i="1" s="1"/>
  <c r="BP147" i="1" s="1"/>
  <c r="BL145" i="1"/>
  <c r="BO145" i="1" s="1"/>
  <c r="BP145" i="1" s="1"/>
  <c r="BL143" i="1"/>
  <c r="BO143" i="1" s="1"/>
  <c r="BP143" i="1" s="1"/>
  <c r="BL141" i="1"/>
  <c r="BO141" i="1" s="1"/>
  <c r="BP141" i="1" s="1"/>
  <c r="BL139" i="1"/>
  <c r="BO139" i="1" s="1"/>
  <c r="BP139" i="1" s="1"/>
  <c r="BL137" i="1"/>
  <c r="BP137" i="1" s="1"/>
  <c r="BL135" i="1"/>
  <c r="BO135" i="1" s="1"/>
  <c r="BP135" i="1" s="1"/>
  <c r="BL133" i="1"/>
  <c r="BO133" i="1" s="1"/>
  <c r="BP133" i="1" s="1"/>
  <c r="BL131" i="1"/>
  <c r="BO131" i="1" s="1"/>
  <c r="BP131" i="1" s="1"/>
  <c r="BL129" i="1"/>
  <c r="BO129" i="1" s="1"/>
  <c r="BP129" i="1" s="1"/>
  <c r="BL127" i="1"/>
  <c r="BO127" i="1" s="1"/>
  <c r="BP127" i="1" s="1"/>
  <c r="BL125" i="1"/>
  <c r="BO125" i="1" s="1"/>
  <c r="BP125" i="1" s="1"/>
  <c r="BL123" i="1"/>
  <c r="BO123" i="1" s="1"/>
  <c r="BP123" i="1" s="1"/>
  <c r="BL121" i="1"/>
  <c r="BO121" i="1" s="1"/>
  <c r="BP121" i="1" s="1"/>
  <c r="BL119" i="1"/>
  <c r="BO119" i="1" s="1"/>
  <c r="BP119" i="1" s="1"/>
  <c r="BL117" i="1"/>
  <c r="BO117" i="1" s="1"/>
  <c r="BP117" i="1" s="1"/>
  <c r="BL115" i="1"/>
  <c r="BO115" i="1" s="1"/>
  <c r="BL113" i="1"/>
  <c r="BO113" i="1" s="1"/>
  <c r="BP113" i="1" s="1"/>
  <c r="BL111" i="1"/>
  <c r="BO111" i="1" s="1"/>
  <c r="BP111" i="1" s="1"/>
  <c r="BL109" i="1"/>
  <c r="BO109" i="1" s="1"/>
  <c r="BP109" i="1" s="1"/>
  <c r="BL107" i="1"/>
  <c r="BO107" i="1" s="1"/>
  <c r="BP107" i="1" s="1"/>
  <c r="BL105" i="1"/>
  <c r="BO105" i="1" s="1"/>
  <c r="BP105" i="1" s="1"/>
  <c r="BL103" i="1"/>
  <c r="BO103" i="1" s="1"/>
  <c r="BP103" i="1" s="1"/>
  <c r="BL101" i="1"/>
  <c r="BO101" i="1" s="1"/>
  <c r="BP101" i="1" s="1"/>
  <c r="BL99" i="1"/>
  <c r="BO99" i="1" s="1"/>
  <c r="BP99" i="1" s="1"/>
  <c r="BL95" i="1"/>
  <c r="BO95" i="1" s="1"/>
  <c r="BP95" i="1" s="1"/>
  <c r="BL93" i="1"/>
  <c r="BO93" i="1" s="1"/>
  <c r="BP93" i="1" s="1"/>
  <c r="BL91" i="1"/>
  <c r="BO91" i="1" s="1"/>
  <c r="BP91" i="1" s="1"/>
  <c r="BL89" i="1"/>
  <c r="BO89" i="1" s="1"/>
  <c r="BP89" i="1" s="1"/>
  <c r="BL87" i="1"/>
  <c r="BO87" i="1" s="1"/>
  <c r="BP87" i="1" s="1"/>
  <c r="BL85" i="1"/>
  <c r="BO85" i="1" s="1"/>
  <c r="BP85" i="1" s="1"/>
  <c r="BL83" i="1"/>
  <c r="BO83" i="1" s="1"/>
  <c r="BP83" i="1" s="1"/>
  <c r="BL81" i="1"/>
  <c r="BO81" i="1" s="1"/>
  <c r="BP81" i="1" s="1"/>
  <c r="BL79" i="1"/>
  <c r="BO79" i="1" s="1"/>
  <c r="BP79" i="1" s="1"/>
  <c r="BL77" i="1"/>
  <c r="BO77" i="1" s="1"/>
  <c r="BP77" i="1" s="1"/>
  <c r="BL75" i="1"/>
  <c r="BO75" i="1" s="1"/>
  <c r="BP75" i="1" s="1"/>
  <c r="BL73" i="1"/>
  <c r="BO73" i="1" s="1"/>
  <c r="BP73" i="1" s="1"/>
  <c r="BL71" i="1"/>
  <c r="BO71" i="1" s="1"/>
  <c r="BP71" i="1" s="1"/>
  <c r="BL69" i="1"/>
  <c r="BO69" i="1" s="1"/>
  <c r="BP69" i="1" s="1"/>
  <c r="BL67" i="1"/>
  <c r="BO67" i="1" s="1"/>
  <c r="BP67" i="1" s="1"/>
  <c r="BL65" i="1"/>
  <c r="BO65" i="1" s="1"/>
  <c r="BP65" i="1" s="1"/>
  <c r="BL63" i="1"/>
  <c r="BO63" i="1" s="1"/>
  <c r="BP63" i="1" s="1"/>
  <c r="BL61" i="1"/>
  <c r="BP61" i="1" s="1"/>
  <c r="BL59" i="1"/>
  <c r="BO59" i="1" s="1"/>
  <c r="BP59" i="1" s="1"/>
  <c r="BL57" i="1"/>
  <c r="BO57" i="1" s="1"/>
  <c r="BP57" i="1" s="1"/>
  <c r="BL55" i="1"/>
  <c r="BO55" i="1" s="1"/>
  <c r="BP55" i="1" s="1"/>
  <c r="BL53" i="1"/>
  <c r="BO53" i="1" s="1"/>
  <c r="BP53" i="1" s="1"/>
  <c r="BL51" i="1"/>
  <c r="BO51" i="1" s="1"/>
  <c r="BP51" i="1" s="1"/>
  <c r="BL49" i="1"/>
  <c r="BO49" i="1" s="1"/>
  <c r="BP49" i="1" s="1"/>
  <c r="BL47" i="1"/>
  <c r="BO47" i="1" s="1"/>
  <c r="BP47" i="1" s="1"/>
  <c r="BL45" i="1"/>
  <c r="BO45" i="1" s="1"/>
  <c r="BP45" i="1" s="1"/>
  <c r="BL43" i="1"/>
  <c r="BO43" i="1" s="1"/>
  <c r="BP43" i="1" s="1"/>
  <c r="BL41" i="1"/>
  <c r="BO41" i="1" s="1"/>
  <c r="BP41" i="1" s="1"/>
  <c r="BL39" i="1"/>
  <c r="BO39" i="1" s="1"/>
  <c r="BP39" i="1" s="1"/>
  <c r="BL37" i="1"/>
  <c r="BO37" i="1" s="1"/>
  <c r="BP37" i="1" s="1"/>
  <c r="BL35" i="1"/>
  <c r="BO35" i="1" s="1"/>
  <c r="BP35" i="1" s="1"/>
  <c r="BL33" i="1"/>
  <c r="BO33" i="1" s="1"/>
  <c r="BP33" i="1" s="1"/>
  <c r="BL31" i="1"/>
  <c r="BO31" i="1" s="1"/>
  <c r="BP31" i="1" s="1"/>
  <c r="BL29" i="1"/>
  <c r="BO29" i="1" s="1"/>
  <c r="BP29" i="1" s="1"/>
  <c r="BL27" i="1"/>
  <c r="BO27" i="1" s="1"/>
  <c r="BP27" i="1" s="1"/>
  <c r="BL25" i="1"/>
  <c r="BO25" i="1" s="1"/>
  <c r="BP25" i="1" s="1"/>
  <c r="BL23" i="1"/>
  <c r="BO23" i="1" s="1"/>
  <c r="BP23" i="1" s="1"/>
  <c r="BL21" i="1"/>
  <c r="BO21" i="1" s="1"/>
  <c r="BP21" i="1" s="1"/>
  <c r="BL19" i="1"/>
  <c r="BO19" i="1" s="1"/>
  <c r="BP19" i="1" s="1"/>
  <c r="BL15" i="1"/>
  <c r="BO15" i="1" s="1"/>
  <c r="BP15" i="1" s="1"/>
  <c r="BL13" i="1"/>
  <c r="BO13" i="1" s="1"/>
  <c r="BP13" i="1" s="1"/>
  <c r="BL11" i="1"/>
  <c r="BO11" i="1" s="1"/>
  <c r="BP11" i="1" s="1"/>
  <c r="BL9" i="1"/>
  <c r="BO9" i="1" s="1"/>
  <c r="BP9" i="1" s="1"/>
  <c r="BL7" i="1"/>
  <c r="BO7" i="1" s="1"/>
  <c r="BP7" i="1" s="1"/>
  <c r="BL5" i="1"/>
  <c r="BO5" i="1" s="1"/>
  <c r="BP5" i="1" s="1"/>
  <c r="BL3" i="1"/>
  <c r="BO3" i="1" s="1"/>
  <c r="BP3" i="1" s="1"/>
  <c r="BV134" i="1"/>
  <c r="BY134" i="1" s="1"/>
  <c r="BZ134" i="1" s="1"/>
  <c r="CF256" i="1"/>
  <c r="CI256" i="1" s="1"/>
  <c r="CJ256" i="1" s="1"/>
  <c r="CF154" i="1"/>
  <c r="CI154" i="1" s="1"/>
  <c r="CJ154" i="1" s="1"/>
  <c r="CP37" i="1"/>
  <c r="CS37" i="1" s="1"/>
  <c r="CT37" i="1" s="1"/>
  <c r="DJ299" i="1"/>
  <c r="DM299" i="1" s="1"/>
  <c r="DN299" i="1" s="1"/>
  <c r="DJ295" i="1"/>
  <c r="DM295" i="1" s="1"/>
  <c r="DN295" i="1" s="1"/>
  <c r="DJ293" i="1"/>
  <c r="DM293" i="1" s="1"/>
  <c r="DN293" i="1" s="1"/>
  <c r="DJ291" i="1"/>
  <c r="DM291" i="1" s="1"/>
  <c r="DN291" i="1" s="1"/>
  <c r="DJ285" i="1"/>
  <c r="DM285" i="1" s="1"/>
  <c r="DN285" i="1" s="1"/>
  <c r="DJ283" i="1"/>
  <c r="DM283" i="1" s="1"/>
  <c r="DN283" i="1" s="1"/>
  <c r="DJ281" i="1"/>
  <c r="DM281" i="1" s="1"/>
  <c r="DN281" i="1" s="1"/>
  <c r="DJ279" i="1"/>
  <c r="DM279" i="1" s="1"/>
  <c r="DN279" i="1" s="1"/>
  <c r="DJ273" i="1"/>
  <c r="DM273" i="1" s="1"/>
  <c r="DN273" i="1" s="1"/>
  <c r="DJ271" i="1"/>
  <c r="DM271" i="1" s="1"/>
  <c r="DN271" i="1" s="1"/>
  <c r="DJ269" i="1"/>
  <c r="DM269" i="1" s="1"/>
  <c r="DN269" i="1" s="1"/>
  <c r="DJ265" i="1"/>
  <c r="DM265" i="1" s="1"/>
  <c r="DN265" i="1" s="1"/>
  <c r="DJ263" i="1"/>
  <c r="DM263" i="1" s="1"/>
  <c r="DN263" i="1" s="1"/>
  <c r="DJ259" i="1"/>
  <c r="DM259" i="1" s="1"/>
  <c r="DN259" i="1" s="1"/>
  <c r="DJ257" i="1"/>
  <c r="DM257" i="1" s="1"/>
  <c r="DN257" i="1" s="1"/>
  <c r="DJ255" i="1"/>
  <c r="DM255" i="1" s="1"/>
  <c r="DN255" i="1" s="1"/>
  <c r="DJ253" i="1"/>
  <c r="DM253" i="1" s="1"/>
  <c r="DN253" i="1" s="1"/>
  <c r="DJ251" i="1"/>
  <c r="DM251" i="1" s="1"/>
  <c r="DN251" i="1" s="1"/>
  <c r="DJ249" i="1"/>
  <c r="DM249" i="1" s="1"/>
  <c r="DN249" i="1" s="1"/>
  <c r="DJ247" i="1"/>
  <c r="DM247" i="1" s="1"/>
  <c r="DN247" i="1" s="1"/>
  <c r="DJ245" i="1"/>
  <c r="DM245" i="1" s="1"/>
  <c r="DN245" i="1" s="1"/>
  <c r="DJ243" i="1"/>
  <c r="DM243" i="1" s="1"/>
  <c r="DN243" i="1" s="1"/>
  <c r="DJ241" i="1"/>
  <c r="DM241" i="1" s="1"/>
  <c r="DN241" i="1" s="1"/>
  <c r="DJ237" i="1"/>
  <c r="DM237" i="1" s="1"/>
  <c r="DN237" i="1" s="1"/>
  <c r="DJ213" i="1"/>
  <c r="DM213" i="1" s="1"/>
  <c r="DN213" i="1" s="1"/>
  <c r="DJ209" i="1"/>
  <c r="DM209" i="1" s="1"/>
  <c r="DN209" i="1" s="1"/>
  <c r="DJ185" i="1"/>
  <c r="DM185" i="1" s="1"/>
  <c r="DN185" i="1" s="1"/>
  <c r="DJ181" i="1"/>
  <c r="DM181" i="1" s="1"/>
  <c r="DN181" i="1" s="1"/>
  <c r="DJ159" i="1"/>
  <c r="DM159" i="1" s="1"/>
  <c r="DN159" i="1" s="1"/>
  <c r="DJ149" i="1"/>
  <c r="DM149" i="1" s="1"/>
  <c r="DN149" i="1" s="1"/>
  <c r="DJ127" i="1"/>
  <c r="DM127" i="1" s="1"/>
  <c r="DN127" i="1" s="1"/>
  <c r="DJ117" i="1"/>
  <c r="DM117" i="1" s="1"/>
  <c r="DN117" i="1" s="1"/>
  <c r="DJ91" i="1"/>
  <c r="DM91" i="1" s="1"/>
  <c r="DN91" i="1" s="1"/>
  <c r="DJ87" i="1"/>
  <c r="DM87" i="1" s="1"/>
  <c r="DN87" i="1" s="1"/>
  <c r="DJ63" i="1"/>
  <c r="DM63" i="1" s="1"/>
  <c r="DN63" i="1" s="1"/>
  <c r="DJ31" i="1"/>
  <c r="DM31" i="1" s="1"/>
  <c r="DN31" i="1" s="1"/>
  <c r="DT234" i="1"/>
  <c r="DT232" i="1"/>
  <c r="DT230" i="1"/>
  <c r="DT228" i="1"/>
  <c r="DT226" i="1"/>
  <c r="DT224" i="1"/>
  <c r="DT222" i="1"/>
  <c r="DT220" i="1"/>
  <c r="DT218" i="1"/>
  <c r="DT216" i="1"/>
  <c r="DW216" i="1" s="1"/>
  <c r="DT214" i="1"/>
  <c r="DW214" i="1" s="1"/>
  <c r="DT212" i="1"/>
  <c r="DW212" i="1" s="1"/>
  <c r="DT210" i="1"/>
  <c r="DW210" i="1" s="1"/>
  <c r="DT208" i="1"/>
  <c r="DW208" i="1" s="1"/>
  <c r="DT206" i="1"/>
  <c r="DW206" i="1" s="1"/>
  <c r="DX206" i="1" s="1"/>
  <c r="DT204" i="1"/>
  <c r="DT202" i="1"/>
  <c r="DT200" i="1"/>
  <c r="DT198" i="1"/>
  <c r="DW198" i="1" s="1"/>
  <c r="DT196" i="1"/>
  <c r="DT194" i="1"/>
  <c r="DW194" i="1" s="1"/>
  <c r="DT192" i="1"/>
  <c r="DW192" i="1" s="1"/>
  <c r="DT190" i="1"/>
  <c r="DW190" i="1" s="1"/>
  <c r="DT188" i="1"/>
  <c r="DW188" i="1" s="1"/>
  <c r="DT180" i="1"/>
  <c r="DT168" i="1"/>
  <c r="DW168" i="1" s="1"/>
  <c r="DT164" i="1"/>
  <c r="DT152" i="1"/>
  <c r="DW152" i="1" s="1"/>
  <c r="DT144" i="1"/>
  <c r="DW144" i="1" s="1"/>
  <c r="DT136" i="1"/>
  <c r="DW136" i="1" s="1"/>
  <c r="DT132" i="1"/>
  <c r="DW132" i="1" s="1"/>
  <c r="DT128" i="1"/>
  <c r="DW128" i="1" s="1"/>
  <c r="DT116" i="1"/>
  <c r="DW116" i="1" s="1"/>
  <c r="DT106" i="1"/>
  <c r="DT102" i="1"/>
  <c r="DW102" i="1" s="1"/>
  <c r="DT100" i="1"/>
  <c r="DT98" i="1"/>
  <c r="DT94" i="1"/>
  <c r="DT92" i="1"/>
  <c r="DT90" i="1"/>
  <c r="DW90" i="1" s="1"/>
  <c r="DT88" i="1"/>
  <c r="DT86" i="1"/>
  <c r="DW86" i="1" s="1"/>
  <c r="DT84" i="1"/>
  <c r="DW84" i="1" s="1"/>
  <c r="DT82" i="1"/>
  <c r="DT80" i="1"/>
  <c r="DT78" i="1"/>
  <c r="DT76" i="1"/>
  <c r="DW76" i="1" s="1"/>
  <c r="DT74" i="1"/>
  <c r="DT72" i="1"/>
  <c r="DW72" i="1" s="1"/>
  <c r="DT70" i="1"/>
  <c r="DT68" i="1"/>
  <c r="DW68" i="1" s="1"/>
  <c r="DT66" i="1"/>
  <c r="DT64" i="1"/>
  <c r="DT62" i="1"/>
  <c r="DW62" i="1" s="1"/>
  <c r="DT60" i="1"/>
  <c r="DW60" i="1" s="1"/>
  <c r="DT58" i="1"/>
  <c r="DT56" i="1"/>
  <c r="DW56" i="1" s="1"/>
  <c r="DT54" i="1"/>
  <c r="DW54" i="1" s="1"/>
  <c r="DT52" i="1"/>
  <c r="DW52" i="1" s="1"/>
  <c r="DT50" i="1"/>
  <c r="DW50" i="1" s="1"/>
  <c r="DT48" i="1"/>
  <c r="DT46" i="1"/>
  <c r="DT44" i="1"/>
  <c r="DW44" i="1" s="1"/>
  <c r="DT42" i="1"/>
  <c r="DT40" i="1"/>
  <c r="DW40" i="1" s="1"/>
  <c r="DT38" i="1"/>
  <c r="DW38" i="1" s="1"/>
  <c r="DT36" i="1"/>
  <c r="DW36" i="1" s="1"/>
  <c r="DT34" i="1"/>
  <c r="DT32" i="1"/>
  <c r="DW32" i="1" s="1"/>
  <c r="DT30" i="1"/>
  <c r="DW30" i="1" s="1"/>
  <c r="DT28" i="1"/>
  <c r="DW28" i="1" s="1"/>
  <c r="DT26" i="1"/>
  <c r="DT24" i="1"/>
  <c r="DW24" i="1" s="1"/>
  <c r="DT22" i="1"/>
  <c r="DW22" i="1" s="1"/>
  <c r="DT20" i="1"/>
  <c r="DW20" i="1" s="1"/>
  <c r="DT18" i="1"/>
  <c r="DT16" i="1"/>
  <c r="DW16" i="1" s="1"/>
  <c r="DT14" i="1"/>
  <c r="DT12" i="1"/>
  <c r="DT10" i="1"/>
  <c r="DT8" i="1"/>
  <c r="DW8" i="1" s="1"/>
  <c r="DT6" i="1"/>
  <c r="DW6" i="1" s="1"/>
  <c r="DT4" i="1"/>
  <c r="AQ267" i="1"/>
  <c r="AT267" i="1" s="1"/>
  <c r="AU267" i="1" s="1"/>
  <c r="AQ221" i="1"/>
  <c r="AT221" i="1" s="1"/>
  <c r="AU221" i="1" s="1"/>
  <c r="AQ131" i="1"/>
  <c r="AT131" i="1" s="1"/>
  <c r="AQ99" i="1"/>
  <c r="AT99" i="1" s="1"/>
  <c r="BB299" i="1"/>
  <c r="BE299" i="1" s="1"/>
  <c r="BF299" i="1" s="1"/>
  <c r="BB297" i="1"/>
  <c r="BE297" i="1" s="1"/>
  <c r="BF297" i="1" s="1"/>
  <c r="BB295" i="1"/>
  <c r="BE295" i="1" s="1"/>
  <c r="BF295" i="1" s="1"/>
  <c r="BB293" i="1"/>
  <c r="BE293" i="1" s="1"/>
  <c r="BF293" i="1" s="1"/>
  <c r="BB291" i="1"/>
  <c r="BE291" i="1" s="1"/>
  <c r="BF291" i="1" s="1"/>
  <c r="BB289" i="1"/>
  <c r="BE289" i="1" s="1"/>
  <c r="BF289" i="1" s="1"/>
  <c r="BB287" i="1"/>
  <c r="BE287" i="1" s="1"/>
  <c r="BF287" i="1" s="1"/>
  <c r="BB285" i="1"/>
  <c r="BE285" i="1" s="1"/>
  <c r="BF285" i="1" s="1"/>
  <c r="BB283" i="1"/>
  <c r="BE283" i="1" s="1"/>
  <c r="BF283" i="1" s="1"/>
  <c r="BB281" i="1"/>
  <c r="BE281" i="1" s="1"/>
  <c r="BF281" i="1" s="1"/>
  <c r="BB279" i="1"/>
  <c r="BE279" i="1" s="1"/>
  <c r="BF279" i="1" s="1"/>
  <c r="BB277" i="1"/>
  <c r="BE277" i="1" s="1"/>
  <c r="BF277" i="1" s="1"/>
  <c r="BB275" i="1"/>
  <c r="BE275" i="1" s="1"/>
  <c r="BF275" i="1" s="1"/>
  <c r="BB273" i="1"/>
  <c r="BE273" i="1" s="1"/>
  <c r="BF273" i="1" s="1"/>
  <c r="BB271" i="1"/>
  <c r="BE271" i="1" s="1"/>
  <c r="BF271" i="1" s="1"/>
  <c r="BB269" i="1"/>
  <c r="BE269" i="1" s="1"/>
  <c r="BF269" i="1" s="1"/>
  <c r="BB267" i="1"/>
  <c r="BE267" i="1" s="1"/>
  <c r="BF267" i="1" s="1"/>
  <c r="BB265" i="1"/>
  <c r="BE265" i="1" s="1"/>
  <c r="BF265" i="1" s="1"/>
  <c r="BB263" i="1"/>
  <c r="BE263" i="1" s="1"/>
  <c r="BF263" i="1" s="1"/>
  <c r="BB261" i="1"/>
  <c r="BE261" i="1" s="1"/>
  <c r="BF261" i="1" s="1"/>
  <c r="BB259" i="1"/>
  <c r="BE259" i="1" s="1"/>
  <c r="BF259" i="1" s="1"/>
  <c r="BB257" i="1"/>
  <c r="BE257" i="1" s="1"/>
  <c r="BF257" i="1" s="1"/>
  <c r="BB255" i="1"/>
  <c r="BE255" i="1" s="1"/>
  <c r="BF255" i="1" s="1"/>
  <c r="BB253" i="1"/>
  <c r="BE253" i="1" s="1"/>
  <c r="BF253" i="1" s="1"/>
  <c r="BB251" i="1"/>
  <c r="BE251" i="1" s="1"/>
  <c r="BF251" i="1" s="1"/>
  <c r="BB249" i="1"/>
  <c r="BE249" i="1" s="1"/>
  <c r="BF249" i="1" s="1"/>
  <c r="BB247" i="1"/>
  <c r="BE247" i="1" s="1"/>
  <c r="BF247" i="1" s="1"/>
  <c r="BB245" i="1"/>
  <c r="BE245" i="1" s="1"/>
  <c r="BF245" i="1" s="1"/>
  <c r="BB243" i="1"/>
  <c r="BE243" i="1" s="1"/>
  <c r="BF243" i="1" s="1"/>
  <c r="BB241" i="1"/>
  <c r="BE241" i="1" s="1"/>
  <c r="BF241" i="1" s="1"/>
  <c r="BB239" i="1"/>
  <c r="BE239" i="1" s="1"/>
  <c r="BF239" i="1" s="1"/>
  <c r="BB237" i="1"/>
  <c r="BE237" i="1" s="1"/>
  <c r="BF237" i="1" s="1"/>
  <c r="BB235" i="1"/>
  <c r="BE235" i="1" s="1"/>
  <c r="BF235" i="1" s="1"/>
  <c r="BB233" i="1"/>
  <c r="BE233" i="1" s="1"/>
  <c r="BF233" i="1" s="1"/>
  <c r="BB231" i="1"/>
  <c r="BE231" i="1" s="1"/>
  <c r="BF231" i="1" s="1"/>
  <c r="BB227" i="1"/>
  <c r="BE227" i="1" s="1"/>
  <c r="BF227" i="1" s="1"/>
  <c r="BB225" i="1"/>
  <c r="BE225" i="1" s="1"/>
  <c r="BF225" i="1" s="1"/>
  <c r="BB223" i="1"/>
  <c r="BE223" i="1" s="1"/>
  <c r="BF223" i="1" s="1"/>
  <c r="BB221" i="1"/>
  <c r="BE221" i="1" s="1"/>
  <c r="BF221" i="1" s="1"/>
  <c r="BB219" i="1"/>
  <c r="BE219" i="1" s="1"/>
  <c r="BF219" i="1" s="1"/>
  <c r="BB217" i="1"/>
  <c r="BE217" i="1" s="1"/>
  <c r="BF217" i="1" s="1"/>
  <c r="BB215" i="1"/>
  <c r="BE215" i="1" s="1"/>
  <c r="BF215" i="1" s="1"/>
  <c r="BB213" i="1"/>
  <c r="BE213" i="1" s="1"/>
  <c r="BF213" i="1" s="1"/>
  <c r="BB211" i="1"/>
  <c r="BE211" i="1" s="1"/>
  <c r="BF211" i="1" s="1"/>
  <c r="BB209" i="1"/>
  <c r="BE209" i="1" s="1"/>
  <c r="BF209" i="1" s="1"/>
  <c r="BB207" i="1"/>
  <c r="BE207" i="1" s="1"/>
  <c r="BF207" i="1" s="1"/>
  <c r="BB205" i="1"/>
  <c r="BE205" i="1" s="1"/>
  <c r="BF205" i="1" s="1"/>
  <c r="BB203" i="1"/>
  <c r="BE203" i="1" s="1"/>
  <c r="BF203" i="1" s="1"/>
  <c r="BB201" i="1"/>
  <c r="BE201" i="1" s="1"/>
  <c r="BF201" i="1" s="1"/>
  <c r="BB195" i="1"/>
  <c r="BE195" i="1" s="1"/>
  <c r="BF195" i="1" s="1"/>
  <c r="BB189" i="1"/>
  <c r="BE189" i="1" s="1"/>
  <c r="BF189" i="1" s="1"/>
  <c r="BB187" i="1"/>
  <c r="BE187" i="1" s="1"/>
  <c r="BF187" i="1" s="1"/>
  <c r="BB185" i="1"/>
  <c r="BE185" i="1" s="1"/>
  <c r="BF185" i="1" s="1"/>
  <c r="BB183" i="1"/>
  <c r="BE183" i="1" s="1"/>
  <c r="BF183" i="1" s="1"/>
  <c r="BB181" i="1"/>
  <c r="BE181" i="1" s="1"/>
  <c r="BF181" i="1" s="1"/>
  <c r="BB179" i="1"/>
  <c r="BE179" i="1" s="1"/>
  <c r="BF179" i="1" s="1"/>
  <c r="BB177" i="1"/>
  <c r="BE177" i="1" s="1"/>
  <c r="BF177" i="1" s="1"/>
  <c r="BB175" i="1"/>
  <c r="BE175" i="1" s="1"/>
  <c r="BF175" i="1" s="1"/>
  <c r="BB173" i="1"/>
  <c r="BE173" i="1" s="1"/>
  <c r="BF173" i="1" s="1"/>
  <c r="BB171" i="1"/>
  <c r="BE171" i="1" s="1"/>
  <c r="BF171" i="1" s="1"/>
  <c r="BB169" i="1"/>
  <c r="BE169" i="1" s="1"/>
  <c r="BF169" i="1" s="1"/>
  <c r="BB167" i="1"/>
  <c r="BE167" i="1" s="1"/>
  <c r="BF167" i="1" s="1"/>
  <c r="BB163" i="1"/>
  <c r="BE163" i="1" s="1"/>
  <c r="BF163" i="1" s="1"/>
  <c r="BB161" i="1"/>
  <c r="BE161" i="1" s="1"/>
  <c r="BF161" i="1" s="1"/>
  <c r="BB159" i="1"/>
  <c r="BE159" i="1" s="1"/>
  <c r="BF159" i="1" s="1"/>
  <c r="BB157" i="1"/>
  <c r="BE157" i="1" s="1"/>
  <c r="BF157" i="1" s="1"/>
  <c r="BB155" i="1"/>
  <c r="BE155" i="1" s="1"/>
  <c r="BF155" i="1" s="1"/>
  <c r="BB153" i="1"/>
  <c r="BE153" i="1" s="1"/>
  <c r="BF153" i="1" s="1"/>
  <c r="BB151" i="1"/>
  <c r="BE151" i="1" s="1"/>
  <c r="BF151" i="1" s="1"/>
  <c r="BB149" i="1"/>
  <c r="BE149" i="1" s="1"/>
  <c r="BF149" i="1" s="1"/>
  <c r="BB147" i="1"/>
  <c r="BE147" i="1" s="1"/>
  <c r="BF147" i="1" s="1"/>
  <c r="BB145" i="1"/>
  <c r="BE145" i="1" s="1"/>
  <c r="BF145" i="1" s="1"/>
  <c r="BB143" i="1"/>
  <c r="BE143" i="1" s="1"/>
  <c r="BF143" i="1" s="1"/>
  <c r="BB141" i="1"/>
  <c r="BE141" i="1" s="1"/>
  <c r="BF141" i="1" s="1"/>
  <c r="BB139" i="1"/>
  <c r="BE139" i="1" s="1"/>
  <c r="BF139" i="1" s="1"/>
  <c r="BB135" i="1"/>
  <c r="BE135" i="1" s="1"/>
  <c r="BF135" i="1" s="1"/>
  <c r="BB131" i="1"/>
  <c r="BE131" i="1" s="1"/>
  <c r="BF131" i="1" s="1"/>
  <c r="BB129" i="1"/>
  <c r="BE129" i="1" s="1"/>
  <c r="BF129" i="1" s="1"/>
  <c r="BB125" i="1"/>
  <c r="BE125" i="1" s="1"/>
  <c r="BF125" i="1" s="1"/>
  <c r="BB121" i="1"/>
  <c r="BE121" i="1" s="1"/>
  <c r="BF121" i="1" s="1"/>
  <c r="BB117" i="1"/>
  <c r="BE117" i="1" s="1"/>
  <c r="BF117" i="1" s="1"/>
  <c r="BB115" i="1"/>
  <c r="BE115" i="1" s="1"/>
  <c r="BF115" i="1" s="1"/>
  <c r="BB113" i="1"/>
  <c r="BE113" i="1" s="1"/>
  <c r="BF113" i="1" s="1"/>
  <c r="BB111" i="1"/>
  <c r="BE111" i="1" s="1"/>
  <c r="BF111" i="1" s="1"/>
  <c r="BB109" i="1"/>
  <c r="BE109" i="1" s="1"/>
  <c r="BF109" i="1" s="1"/>
  <c r="BB107" i="1"/>
  <c r="BE107" i="1" s="1"/>
  <c r="BF107" i="1" s="1"/>
  <c r="BB105" i="1"/>
  <c r="BE105" i="1" s="1"/>
  <c r="BF105" i="1" s="1"/>
  <c r="BB103" i="1"/>
  <c r="BE103" i="1" s="1"/>
  <c r="BF103" i="1" s="1"/>
  <c r="BB101" i="1"/>
  <c r="BE101" i="1" s="1"/>
  <c r="BF101" i="1" s="1"/>
  <c r="BB99" i="1"/>
  <c r="BE99" i="1" s="1"/>
  <c r="BF99" i="1" s="1"/>
  <c r="BB97" i="1"/>
  <c r="BE97" i="1" s="1"/>
  <c r="BF97" i="1" s="1"/>
  <c r="BB95" i="1"/>
  <c r="BE95" i="1" s="1"/>
  <c r="BF95" i="1" s="1"/>
  <c r="BB93" i="1"/>
  <c r="BE93" i="1" s="1"/>
  <c r="BF93" i="1" s="1"/>
  <c r="BB91" i="1"/>
  <c r="BE91" i="1" s="1"/>
  <c r="BF91" i="1" s="1"/>
  <c r="BB89" i="1"/>
  <c r="BE89" i="1" s="1"/>
  <c r="BF89" i="1" s="1"/>
  <c r="BB87" i="1"/>
  <c r="BE87" i="1" s="1"/>
  <c r="BF87" i="1" s="1"/>
  <c r="BB85" i="1"/>
  <c r="BE85" i="1" s="1"/>
  <c r="BF85" i="1" s="1"/>
  <c r="BB83" i="1"/>
  <c r="BE83" i="1" s="1"/>
  <c r="BF83" i="1" s="1"/>
  <c r="BB81" i="1"/>
  <c r="BE81" i="1" s="1"/>
  <c r="BF81" i="1" s="1"/>
  <c r="BB79" i="1"/>
  <c r="BE79" i="1" s="1"/>
  <c r="BF79" i="1" s="1"/>
  <c r="BB77" i="1"/>
  <c r="BE77" i="1" s="1"/>
  <c r="BF77" i="1" s="1"/>
  <c r="BB75" i="1"/>
  <c r="BE75" i="1" s="1"/>
  <c r="BF75" i="1" s="1"/>
  <c r="BB73" i="1"/>
  <c r="BE73" i="1" s="1"/>
  <c r="BF73" i="1" s="1"/>
  <c r="BB71" i="1"/>
  <c r="BE71" i="1" s="1"/>
  <c r="BF71" i="1" s="1"/>
  <c r="BB69" i="1"/>
  <c r="BE69" i="1" s="1"/>
  <c r="BF69" i="1" s="1"/>
  <c r="BB67" i="1"/>
  <c r="BE67" i="1" s="1"/>
  <c r="BF67" i="1" s="1"/>
  <c r="BB65" i="1"/>
  <c r="BE65" i="1" s="1"/>
  <c r="BF65" i="1" s="1"/>
  <c r="BB63" i="1"/>
  <c r="BE63" i="1" s="1"/>
  <c r="BF63" i="1" s="1"/>
  <c r="BB61" i="1"/>
  <c r="BF61" i="1" s="1"/>
  <c r="BB59" i="1"/>
  <c r="BE59" i="1" s="1"/>
  <c r="BF59" i="1" s="1"/>
  <c r="BB57" i="1"/>
  <c r="BE57" i="1" s="1"/>
  <c r="BF57" i="1" s="1"/>
  <c r="BB55" i="1"/>
  <c r="BE55" i="1" s="1"/>
  <c r="BF55" i="1" s="1"/>
  <c r="BB53" i="1"/>
  <c r="BE53" i="1" s="1"/>
  <c r="BF53" i="1" s="1"/>
  <c r="BB51" i="1"/>
  <c r="BE51" i="1" s="1"/>
  <c r="BF51" i="1" s="1"/>
  <c r="BB49" i="1"/>
  <c r="BE49" i="1" s="1"/>
  <c r="BF49" i="1" s="1"/>
  <c r="BB47" i="1"/>
  <c r="BE47" i="1" s="1"/>
  <c r="BF47" i="1" s="1"/>
  <c r="BB45" i="1"/>
  <c r="BE45" i="1" s="1"/>
  <c r="BF45" i="1" s="1"/>
  <c r="BB43" i="1"/>
  <c r="BE43" i="1" s="1"/>
  <c r="BF43" i="1" s="1"/>
  <c r="BB41" i="1"/>
  <c r="BE41" i="1" s="1"/>
  <c r="BF41" i="1" s="1"/>
  <c r="BB39" i="1"/>
  <c r="BE39" i="1" s="1"/>
  <c r="BF39" i="1" s="1"/>
  <c r="BB37" i="1"/>
  <c r="BE37" i="1" s="1"/>
  <c r="BF37" i="1" s="1"/>
  <c r="BB35" i="1"/>
  <c r="BE35" i="1" s="1"/>
  <c r="BF35" i="1" s="1"/>
  <c r="BB33" i="1"/>
  <c r="BE33" i="1" s="1"/>
  <c r="BF33" i="1" s="1"/>
  <c r="BB31" i="1"/>
  <c r="BE31" i="1" s="1"/>
  <c r="BF31" i="1" s="1"/>
  <c r="BB29" i="1"/>
  <c r="BE29" i="1" s="1"/>
  <c r="BF29" i="1" s="1"/>
  <c r="BB27" i="1"/>
  <c r="BE27" i="1" s="1"/>
  <c r="BF27" i="1" s="1"/>
  <c r="BB25" i="1"/>
  <c r="BE25" i="1" s="1"/>
  <c r="BF25" i="1" s="1"/>
  <c r="BB23" i="1"/>
  <c r="BE23" i="1" s="1"/>
  <c r="BF23" i="1" s="1"/>
  <c r="BB21" i="1"/>
  <c r="BE21" i="1" s="1"/>
  <c r="BF21" i="1" s="1"/>
  <c r="BB19" i="1"/>
  <c r="BE19" i="1" s="1"/>
  <c r="BF19" i="1" s="1"/>
  <c r="BB17" i="1"/>
  <c r="BE17" i="1" s="1"/>
  <c r="BF17" i="1" s="1"/>
  <c r="BB15" i="1"/>
  <c r="BE15" i="1" s="1"/>
  <c r="BF15" i="1" s="1"/>
  <c r="BB13" i="1"/>
  <c r="BE13" i="1" s="1"/>
  <c r="BF13" i="1" s="1"/>
  <c r="BB11" i="1"/>
  <c r="BE11" i="1" s="1"/>
  <c r="BF11" i="1" s="1"/>
  <c r="BB9" i="1"/>
  <c r="BE9" i="1" s="1"/>
  <c r="BF9" i="1" s="1"/>
  <c r="BB7" i="1"/>
  <c r="BE7" i="1" s="1"/>
  <c r="BF7" i="1" s="1"/>
  <c r="BB5" i="1"/>
  <c r="BE5" i="1" s="1"/>
  <c r="BF5" i="1" s="1"/>
  <c r="BB3" i="1"/>
  <c r="BE3" i="1" s="1"/>
  <c r="BF3" i="1" s="1"/>
  <c r="AQ289" i="1"/>
  <c r="AT289" i="1" s="1"/>
  <c r="AU289" i="1" s="1"/>
  <c r="AQ237" i="1"/>
  <c r="AT237" i="1" s="1"/>
  <c r="AQ205" i="1"/>
  <c r="AT205" i="1" s="1"/>
  <c r="AG299" i="1"/>
  <c r="AJ299" i="1" s="1"/>
  <c r="AK299" i="1" s="1"/>
  <c r="AG295" i="1"/>
  <c r="AJ295" i="1" s="1"/>
  <c r="AG279" i="1"/>
  <c r="AJ279" i="1" s="1"/>
  <c r="AG251" i="1"/>
  <c r="AJ251" i="1" s="1"/>
  <c r="AK251" i="1" s="1"/>
  <c r="AG235" i="1"/>
  <c r="AJ235" i="1" s="1"/>
  <c r="AK235" i="1" s="1"/>
  <c r="AG231" i="1"/>
  <c r="AJ231" i="1" s="1"/>
  <c r="AG215" i="1"/>
  <c r="AJ215" i="1" s="1"/>
  <c r="AG187" i="1"/>
  <c r="AJ187" i="1" s="1"/>
  <c r="AK187" i="1" s="1"/>
  <c r="AG171" i="1"/>
  <c r="AJ171" i="1" s="1"/>
  <c r="AK171" i="1" s="1"/>
  <c r="AG167" i="1"/>
  <c r="AJ167" i="1" s="1"/>
  <c r="AG151" i="1"/>
  <c r="AJ151" i="1" s="1"/>
  <c r="AG123" i="1"/>
  <c r="AJ123" i="1" s="1"/>
  <c r="AK123" i="1" s="1"/>
  <c r="AG107" i="1"/>
  <c r="AJ107" i="1" s="1"/>
  <c r="AK107" i="1" s="1"/>
  <c r="AG103" i="1"/>
  <c r="AJ103" i="1" s="1"/>
  <c r="AG87" i="1"/>
  <c r="AJ87" i="1" s="1"/>
  <c r="AG59" i="1"/>
  <c r="AJ59" i="1" s="1"/>
  <c r="AK59" i="1" s="1"/>
  <c r="AG43" i="1"/>
  <c r="AJ43" i="1" s="1"/>
  <c r="AK43" i="1" s="1"/>
  <c r="AG39" i="1"/>
  <c r="AJ39" i="1" s="1"/>
  <c r="AG23" i="1"/>
  <c r="AJ23" i="1" s="1"/>
  <c r="BB2" i="1"/>
  <c r="BE2" i="1" s="1"/>
  <c r="BF2" i="1" s="1"/>
  <c r="BE60" i="1"/>
  <c r="BL288" i="1"/>
  <c r="BO288" i="1" s="1"/>
  <c r="BP288" i="1" s="1"/>
  <c r="BL280" i="1"/>
  <c r="BO280" i="1" s="1"/>
  <c r="BP280" i="1" s="1"/>
  <c r="BL272" i="1"/>
  <c r="BO272" i="1" s="1"/>
  <c r="BP272" i="1" s="1"/>
  <c r="BL264" i="1"/>
  <c r="BO264" i="1" s="1"/>
  <c r="BP264" i="1" s="1"/>
  <c r="BL248" i="1"/>
  <c r="BO248" i="1" s="1"/>
  <c r="BP248" i="1" s="1"/>
  <c r="BL240" i="1"/>
  <c r="BO240" i="1" s="1"/>
  <c r="BP240" i="1" s="1"/>
  <c r="BL224" i="1"/>
  <c r="BO224" i="1" s="1"/>
  <c r="BP224" i="1" s="1"/>
  <c r="BL216" i="1"/>
  <c r="BO216" i="1" s="1"/>
  <c r="BP216" i="1" s="1"/>
  <c r="BL208" i="1"/>
  <c r="BO208" i="1" s="1"/>
  <c r="BP208" i="1" s="1"/>
  <c r="BL200" i="1"/>
  <c r="BO200" i="1" s="1"/>
  <c r="BP200" i="1" s="1"/>
  <c r="BL184" i="1"/>
  <c r="BO184" i="1" s="1"/>
  <c r="BP184" i="1" s="1"/>
  <c r="BL176" i="1"/>
  <c r="BO176" i="1" s="1"/>
  <c r="BP176" i="1" s="1"/>
  <c r="BL160" i="1"/>
  <c r="BO160" i="1" s="1"/>
  <c r="BL152" i="1"/>
  <c r="BO152" i="1" s="1"/>
  <c r="BP152" i="1" s="1"/>
  <c r="BL144" i="1"/>
  <c r="BO144" i="1" s="1"/>
  <c r="BP144" i="1" s="1"/>
  <c r="BL136" i="1"/>
  <c r="BO136" i="1" s="1"/>
  <c r="BP136" i="1" s="1"/>
  <c r="BL120" i="1"/>
  <c r="BO120" i="1" s="1"/>
  <c r="BP120" i="1" s="1"/>
  <c r="BL112" i="1"/>
  <c r="BO112" i="1" s="1"/>
  <c r="BP112" i="1" s="1"/>
  <c r="BL96" i="1"/>
  <c r="BO96" i="1" s="1"/>
  <c r="BP96" i="1" s="1"/>
  <c r="BL88" i="1"/>
  <c r="BO88" i="1" s="1"/>
  <c r="BP88" i="1" s="1"/>
  <c r="BL80" i="1"/>
  <c r="BO80" i="1" s="1"/>
  <c r="BP80" i="1" s="1"/>
  <c r="BL74" i="1"/>
  <c r="BO74" i="1" s="1"/>
  <c r="BP74" i="1" s="1"/>
  <c r="BL72" i="1"/>
  <c r="BO72" i="1" s="1"/>
  <c r="BP72" i="1" s="1"/>
  <c r="BL70" i="1"/>
  <c r="BO70" i="1" s="1"/>
  <c r="BP70" i="1" s="1"/>
  <c r="BL66" i="1"/>
  <c r="BO66" i="1" s="1"/>
  <c r="BL62" i="1"/>
  <c r="BO62" i="1" s="1"/>
  <c r="BP62" i="1" s="1"/>
  <c r="BL58" i="1"/>
  <c r="BO58" i="1" s="1"/>
  <c r="BP58" i="1" s="1"/>
  <c r="BL56" i="1"/>
  <c r="BO56" i="1" s="1"/>
  <c r="BP56" i="1" s="1"/>
  <c r="BL54" i="1"/>
  <c r="BO54" i="1" s="1"/>
  <c r="BP54" i="1" s="1"/>
  <c r="BL50" i="1"/>
  <c r="BO50" i="1" s="1"/>
  <c r="BP50" i="1" s="1"/>
  <c r="BL48" i="1"/>
  <c r="BO48" i="1" s="1"/>
  <c r="BP48" i="1" s="1"/>
  <c r="BL46" i="1"/>
  <c r="BO46" i="1" s="1"/>
  <c r="BL42" i="1"/>
  <c r="BO42" i="1" s="1"/>
  <c r="BP42" i="1" s="1"/>
  <c r="BL40" i="1"/>
  <c r="BO40" i="1" s="1"/>
  <c r="BP40" i="1" s="1"/>
  <c r="BL38" i="1"/>
  <c r="BO38" i="1" s="1"/>
  <c r="BP38" i="1" s="1"/>
  <c r="BL34" i="1"/>
  <c r="BO34" i="1" s="1"/>
  <c r="BP34" i="1" s="1"/>
  <c r="BL32" i="1"/>
  <c r="BO32" i="1" s="1"/>
  <c r="AG268" i="1"/>
  <c r="AJ268" i="1" s="1"/>
  <c r="AG204" i="1"/>
  <c r="AJ204" i="1" s="1"/>
  <c r="AG140" i="1"/>
  <c r="AJ140" i="1" s="1"/>
  <c r="AG76" i="1"/>
  <c r="AJ76" i="1" s="1"/>
  <c r="AG12" i="1"/>
  <c r="AJ12" i="1" s="1"/>
  <c r="AQ83" i="1"/>
  <c r="AT83" i="1" s="1"/>
  <c r="AU83" i="1" s="1"/>
  <c r="AQ51" i="1"/>
  <c r="AT51" i="1" s="1"/>
  <c r="AU51" i="1" s="1"/>
  <c r="AQ19" i="1"/>
  <c r="AT19" i="1" s="1"/>
  <c r="AU19" i="1" s="1"/>
  <c r="BV298" i="1"/>
  <c r="BY298" i="1" s="1"/>
  <c r="BZ298" i="1" s="1"/>
  <c r="BV296" i="1"/>
  <c r="BY296" i="1" s="1"/>
  <c r="BZ296" i="1" s="1"/>
  <c r="BV294" i="1"/>
  <c r="BY294" i="1" s="1"/>
  <c r="BZ294" i="1" s="1"/>
  <c r="BV292" i="1"/>
  <c r="BY292" i="1" s="1"/>
  <c r="BZ292" i="1" s="1"/>
  <c r="BV290" i="1"/>
  <c r="BY290" i="1" s="1"/>
  <c r="BZ290" i="1" s="1"/>
  <c r="BV288" i="1"/>
  <c r="BY288" i="1" s="1"/>
  <c r="BZ288" i="1" s="1"/>
  <c r="BV286" i="1"/>
  <c r="BY286" i="1" s="1"/>
  <c r="BZ286" i="1" s="1"/>
  <c r="BV284" i="1"/>
  <c r="BY284" i="1" s="1"/>
  <c r="BZ284" i="1" s="1"/>
  <c r="BV282" i="1"/>
  <c r="BY282" i="1" s="1"/>
  <c r="BZ282" i="1" s="1"/>
  <c r="BV280" i="1"/>
  <c r="BY280" i="1" s="1"/>
  <c r="BZ280" i="1" s="1"/>
  <c r="BV278" i="1"/>
  <c r="BY278" i="1" s="1"/>
  <c r="BZ278" i="1" s="1"/>
  <c r="BV276" i="1"/>
  <c r="BY276" i="1" s="1"/>
  <c r="BZ276" i="1" s="1"/>
  <c r="BV274" i="1"/>
  <c r="BY274" i="1" s="1"/>
  <c r="BZ274" i="1" s="1"/>
  <c r="BV272" i="1"/>
  <c r="BY272" i="1" s="1"/>
  <c r="BZ272" i="1" s="1"/>
  <c r="BV270" i="1"/>
  <c r="BY270" i="1" s="1"/>
  <c r="BZ270" i="1" s="1"/>
  <c r="BV268" i="1"/>
  <c r="BY268" i="1" s="1"/>
  <c r="BZ268" i="1" s="1"/>
  <c r="BV266" i="1"/>
  <c r="BY266" i="1" s="1"/>
  <c r="BZ266" i="1" s="1"/>
  <c r="BV264" i="1"/>
  <c r="BY264" i="1" s="1"/>
  <c r="BZ264" i="1" s="1"/>
  <c r="BV262" i="1"/>
  <c r="BY262" i="1" s="1"/>
  <c r="BZ262" i="1" s="1"/>
  <c r="BV260" i="1"/>
  <c r="BY260" i="1" s="1"/>
  <c r="BZ260" i="1" s="1"/>
  <c r="BV258" i="1"/>
  <c r="BY258" i="1" s="1"/>
  <c r="BZ258" i="1" s="1"/>
  <c r="BV256" i="1"/>
  <c r="BY256" i="1" s="1"/>
  <c r="BZ256" i="1" s="1"/>
  <c r="BV254" i="1"/>
  <c r="BY254" i="1" s="1"/>
  <c r="BZ254" i="1" s="1"/>
  <c r="BV252" i="1"/>
  <c r="BY252" i="1" s="1"/>
  <c r="BZ252" i="1" s="1"/>
  <c r="BV250" i="1"/>
  <c r="BY250" i="1" s="1"/>
  <c r="BZ250" i="1" s="1"/>
  <c r="BV248" i="1"/>
  <c r="BY248" i="1" s="1"/>
  <c r="BZ248" i="1" s="1"/>
  <c r="BV246" i="1"/>
  <c r="BY246" i="1" s="1"/>
  <c r="BZ246" i="1" s="1"/>
  <c r="BV244" i="1"/>
  <c r="BY244" i="1" s="1"/>
  <c r="BZ244" i="1" s="1"/>
  <c r="BV242" i="1"/>
  <c r="BY242" i="1" s="1"/>
  <c r="BZ242" i="1" s="1"/>
  <c r="BV240" i="1"/>
  <c r="BY240" i="1" s="1"/>
  <c r="BZ240" i="1" s="1"/>
  <c r="BV238" i="1"/>
  <c r="BY238" i="1" s="1"/>
  <c r="BZ238" i="1" s="1"/>
  <c r="BV236" i="1"/>
  <c r="BY236" i="1" s="1"/>
  <c r="BZ236" i="1" s="1"/>
  <c r="BV234" i="1"/>
  <c r="BY234" i="1" s="1"/>
  <c r="BZ234" i="1" s="1"/>
  <c r="BV232" i="1"/>
  <c r="BY232" i="1" s="1"/>
  <c r="BZ232" i="1" s="1"/>
  <c r="BV230" i="1"/>
  <c r="BY230" i="1" s="1"/>
  <c r="BZ230" i="1" s="1"/>
  <c r="BV228" i="1"/>
  <c r="BY228" i="1" s="1"/>
  <c r="BZ228" i="1" s="1"/>
  <c r="BV226" i="1"/>
  <c r="BY226" i="1" s="1"/>
  <c r="BZ226" i="1" s="1"/>
  <c r="BV224" i="1"/>
  <c r="BY224" i="1" s="1"/>
  <c r="BZ224" i="1" s="1"/>
  <c r="BV222" i="1"/>
  <c r="BY222" i="1" s="1"/>
  <c r="BZ222" i="1" s="1"/>
  <c r="BV162" i="1"/>
  <c r="BY162" i="1" s="1"/>
  <c r="BZ162" i="1" s="1"/>
  <c r="BV106" i="1"/>
  <c r="BY106" i="1" s="1"/>
  <c r="BZ106" i="1" s="1"/>
  <c r="CF297" i="1"/>
  <c r="CI297" i="1" s="1"/>
  <c r="CJ297" i="1" s="1"/>
  <c r="CF293" i="1"/>
  <c r="CI293" i="1" s="1"/>
  <c r="CJ293" i="1" s="1"/>
  <c r="CF281" i="1"/>
  <c r="CI281" i="1" s="1"/>
  <c r="CJ281" i="1" s="1"/>
  <c r="CF277" i="1"/>
  <c r="CI277" i="1" s="1"/>
  <c r="CJ277" i="1" s="1"/>
  <c r="CF261" i="1"/>
  <c r="CI261" i="1" s="1"/>
  <c r="CJ261" i="1" s="1"/>
  <c r="CF249" i="1"/>
  <c r="CI249" i="1" s="1"/>
  <c r="CJ249" i="1" s="1"/>
  <c r="CF245" i="1"/>
  <c r="CI245" i="1" s="1"/>
  <c r="CJ245" i="1" s="1"/>
  <c r="CF233" i="1"/>
  <c r="CI233" i="1" s="1"/>
  <c r="CJ233" i="1" s="1"/>
  <c r="CF229" i="1"/>
  <c r="CI229" i="1" s="1"/>
  <c r="CJ229" i="1" s="1"/>
  <c r="CF217" i="1"/>
  <c r="CI217" i="1" s="1"/>
  <c r="CJ217" i="1" s="1"/>
  <c r="CF213" i="1"/>
  <c r="CI213" i="1" s="1"/>
  <c r="CJ213" i="1" s="1"/>
  <c r="CF197" i="1"/>
  <c r="CI197" i="1" s="1"/>
  <c r="CJ197" i="1" s="1"/>
  <c r="CF185" i="1"/>
  <c r="CI185" i="1" s="1"/>
  <c r="CJ185" i="1" s="1"/>
  <c r="CF181" i="1"/>
  <c r="CI181" i="1" s="1"/>
  <c r="CJ181" i="1" s="1"/>
  <c r="CF169" i="1"/>
  <c r="CI169" i="1" s="1"/>
  <c r="CJ169" i="1" s="1"/>
  <c r="CF165" i="1"/>
  <c r="CI165" i="1" s="1"/>
  <c r="CJ165" i="1" s="1"/>
  <c r="CF153" i="1"/>
  <c r="CI153" i="1" s="1"/>
  <c r="CJ153" i="1" s="1"/>
  <c r="CF149" i="1"/>
  <c r="CI149" i="1" s="1"/>
  <c r="CJ149" i="1" s="1"/>
  <c r="CF133" i="1"/>
  <c r="CI133" i="1" s="1"/>
  <c r="CJ133" i="1" s="1"/>
  <c r="CF121" i="1"/>
  <c r="CI121" i="1" s="1"/>
  <c r="CJ121" i="1" s="1"/>
  <c r="CF117" i="1"/>
  <c r="CI117" i="1" s="1"/>
  <c r="CJ117" i="1" s="1"/>
  <c r="CF105" i="1"/>
  <c r="CI105" i="1" s="1"/>
  <c r="CJ105" i="1" s="1"/>
  <c r="CF101" i="1"/>
  <c r="CI101" i="1" s="1"/>
  <c r="CJ101" i="1" s="1"/>
  <c r="CF89" i="1"/>
  <c r="CI89" i="1" s="1"/>
  <c r="CJ89" i="1" s="1"/>
  <c r="CF85" i="1"/>
  <c r="CI85" i="1" s="1"/>
  <c r="CJ85" i="1" s="1"/>
  <c r="CF69" i="1"/>
  <c r="CI69" i="1" s="1"/>
  <c r="CJ69" i="1" s="1"/>
  <c r="CF57" i="1"/>
  <c r="CI57" i="1" s="1"/>
  <c r="CJ57" i="1" s="1"/>
  <c r="CF53" i="1"/>
  <c r="CI53" i="1" s="1"/>
  <c r="CJ53" i="1" s="1"/>
  <c r="CF41" i="1"/>
  <c r="CI41" i="1" s="1"/>
  <c r="CJ41" i="1" s="1"/>
  <c r="CF37" i="1"/>
  <c r="CI37" i="1" s="1"/>
  <c r="CJ37" i="1" s="1"/>
  <c r="CF25" i="1"/>
  <c r="CI25" i="1" s="1"/>
  <c r="CJ25" i="1" s="1"/>
  <c r="CF21" i="1"/>
  <c r="CI21" i="1" s="1"/>
  <c r="CJ21" i="1" s="1"/>
  <c r="CF5" i="1"/>
  <c r="CI5" i="1" s="1"/>
  <c r="CJ5" i="1" s="1"/>
  <c r="CZ292" i="1"/>
  <c r="DC292" i="1" s="1"/>
  <c r="DD292" i="1" s="1"/>
  <c r="CZ284" i="1"/>
  <c r="DC284" i="1" s="1"/>
  <c r="DD284" i="1" s="1"/>
  <c r="CZ256" i="1"/>
  <c r="DC256" i="1" s="1"/>
  <c r="CZ240" i="1"/>
  <c r="DC240" i="1" s="1"/>
  <c r="DD240" i="1" s="1"/>
  <c r="CZ228" i="1"/>
  <c r="CZ220" i="1"/>
  <c r="DC220" i="1" s="1"/>
  <c r="DD220" i="1" s="1"/>
  <c r="CZ212" i="1"/>
  <c r="DC212" i="1" s="1"/>
  <c r="DD212" i="1" s="1"/>
  <c r="CZ192" i="1"/>
  <c r="DC192" i="1" s="1"/>
  <c r="DD192" i="1" s="1"/>
  <c r="CZ172" i="1"/>
  <c r="DC172" i="1" s="1"/>
  <c r="DD172" i="1" s="1"/>
  <c r="CZ164" i="1"/>
  <c r="DC164" i="1" s="1"/>
  <c r="DD164" i="1" s="1"/>
  <c r="CZ156" i="1"/>
  <c r="DC156" i="1" s="1"/>
  <c r="DD156" i="1" s="1"/>
  <c r="CZ144" i="1"/>
  <c r="DC144" i="1" s="1"/>
  <c r="DD144" i="1" s="1"/>
  <c r="CZ128" i="1"/>
  <c r="DC128" i="1" s="1"/>
  <c r="DD128" i="1" s="1"/>
  <c r="CZ100" i="1"/>
  <c r="DC100" i="1" s="1"/>
  <c r="DD100" i="1" s="1"/>
  <c r="CZ92" i="1"/>
  <c r="DC92" i="1" s="1"/>
  <c r="CZ56" i="1"/>
  <c r="DC56" i="1" s="1"/>
  <c r="DD56" i="1" s="1"/>
  <c r="CZ20" i="1"/>
  <c r="DC20" i="1" s="1"/>
  <c r="DD20" i="1" s="1"/>
  <c r="DJ298" i="1"/>
  <c r="DM298" i="1" s="1"/>
  <c r="DN298" i="1" s="1"/>
  <c r="DJ296" i="1"/>
  <c r="DM296" i="1" s="1"/>
  <c r="DN296" i="1" s="1"/>
  <c r="DJ294" i="1"/>
  <c r="DM294" i="1" s="1"/>
  <c r="DN294" i="1" s="1"/>
  <c r="DJ292" i="1"/>
  <c r="DM292" i="1" s="1"/>
  <c r="DN292" i="1" s="1"/>
  <c r="DJ290" i="1"/>
  <c r="DM290" i="1" s="1"/>
  <c r="DN290" i="1" s="1"/>
  <c r="DJ288" i="1"/>
  <c r="DM288" i="1" s="1"/>
  <c r="DN288" i="1" s="1"/>
  <c r="DJ286" i="1"/>
  <c r="DM286" i="1" s="1"/>
  <c r="DN286" i="1" s="1"/>
  <c r="DJ284" i="1"/>
  <c r="DM284" i="1" s="1"/>
  <c r="DN284" i="1" s="1"/>
  <c r="DJ282" i="1"/>
  <c r="DM282" i="1" s="1"/>
  <c r="DN282" i="1" s="1"/>
  <c r="DJ280" i="1"/>
  <c r="DM280" i="1" s="1"/>
  <c r="DN280" i="1" s="1"/>
  <c r="DJ278" i="1"/>
  <c r="DM278" i="1" s="1"/>
  <c r="DN278" i="1" s="1"/>
  <c r="DJ276" i="1"/>
  <c r="DM276" i="1" s="1"/>
  <c r="DN276" i="1" s="1"/>
  <c r="DJ274" i="1"/>
  <c r="DM274" i="1" s="1"/>
  <c r="DN274" i="1" s="1"/>
  <c r="DJ272" i="1"/>
  <c r="DM272" i="1" s="1"/>
  <c r="DN272" i="1" s="1"/>
  <c r="DJ270" i="1"/>
  <c r="DM270" i="1" s="1"/>
  <c r="DN270" i="1" s="1"/>
  <c r="DJ268" i="1"/>
  <c r="DM268" i="1" s="1"/>
  <c r="DN268" i="1" s="1"/>
  <c r="DJ266" i="1"/>
  <c r="DM266" i="1" s="1"/>
  <c r="DN266" i="1" s="1"/>
  <c r="DJ264" i="1"/>
  <c r="DM264" i="1" s="1"/>
  <c r="DJ262" i="1"/>
  <c r="DM262" i="1" s="1"/>
  <c r="DN262" i="1" s="1"/>
  <c r="DJ260" i="1"/>
  <c r="DM260" i="1" s="1"/>
  <c r="DN260" i="1" s="1"/>
  <c r="DJ258" i="1"/>
  <c r="DJ256" i="1"/>
  <c r="DM256" i="1" s="1"/>
  <c r="DN256" i="1" s="1"/>
  <c r="DJ254" i="1"/>
  <c r="DM254" i="1" s="1"/>
  <c r="DJ252" i="1"/>
  <c r="DM252" i="1" s="1"/>
  <c r="DN252" i="1" s="1"/>
  <c r="DJ250" i="1"/>
  <c r="DM250" i="1" s="1"/>
  <c r="DJ248" i="1"/>
  <c r="DM248" i="1" s="1"/>
  <c r="DN248" i="1" s="1"/>
  <c r="DJ246" i="1"/>
  <c r="DM246" i="1" s="1"/>
  <c r="DN246" i="1" s="1"/>
  <c r="DJ244" i="1"/>
  <c r="DM244" i="1" s="1"/>
  <c r="DJ242" i="1"/>
  <c r="DJ240" i="1"/>
  <c r="DM240" i="1" s="1"/>
  <c r="DN240" i="1" s="1"/>
  <c r="DJ238" i="1"/>
  <c r="DM238" i="1" s="1"/>
  <c r="DN238" i="1" s="1"/>
  <c r="DJ236" i="1"/>
  <c r="DM236" i="1" s="1"/>
  <c r="DN236" i="1" s="1"/>
  <c r="DJ234" i="1"/>
  <c r="DM234" i="1" s="1"/>
  <c r="DN234" i="1" s="1"/>
  <c r="DJ232" i="1"/>
  <c r="DM232" i="1" s="1"/>
  <c r="DN232" i="1" s="1"/>
  <c r="DJ230" i="1"/>
  <c r="DM230" i="1" s="1"/>
  <c r="DN230" i="1" s="1"/>
  <c r="DJ228" i="1"/>
  <c r="DM228" i="1" s="1"/>
  <c r="DJ226" i="1"/>
  <c r="DM226" i="1" s="1"/>
  <c r="DN226" i="1" s="1"/>
  <c r="DJ224" i="1"/>
  <c r="DM224" i="1" s="1"/>
  <c r="DN224" i="1" s="1"/>
  <c r="DJ222" i="1"/>
  <c r="DM222" i="1" s="1"/>
  <c r="DN222" i="1" s="1"/>
  <c r="DJ220" i="1"/>
  <c r="DM220" i="1" s="1"/>
  <c r="DN220" i="1" s="1"/>
  <c r="DJ218" i="1"/>
  <c r="DM218" i="1" s="1"/>
  <c r="DN218" i="1" s="1"/>
  <c r="DJ216" i="1"/>
  <c r="DM216" i="1" s="1"/>
  <c r="DJ214" i="1"/>
  <c r="DM214" i="1" s="1"/>
  <c r="DN214" i="1" s="1"/>
  <c r="BL30" i="1"/>
  <c r="BO30" i="1" s="1"/>
  <c r="BP30" i="1" s="1"/>
  <c r="BL26" i="1"/>
  <c r="BO26" i="1" s="1"/>
  <c r="BL24" i="1"/>
  <c r="BO24" i="1" s="1"/>
  <c r="BP24" i="1" s="1"/>
  <c r="BL22" i="1"/>
  <c r="BO22" i="1" s="1"/>
  <c r="BP22" i="1" s="1"/>
  <c r="BL18" i="1"/>
  <c r="BO18" i="1" s="1"/>
  <c r="BP18" i="1" s="1"/>
  <c r="BL16" i="1"/>
  <c r="BO16" i="1" s="1"/>
  <c r="BP16" i="1" s="1"/>
  <c r="BL14" i="1"/>
  <c r="BO14" i="1" s="1"/>
  <c r="BP14" i="1" s="1"/>
  <c r="BL10" i="1"/>
  <c r="BO10" i="1" s="1"/>
  <c r="BP10" i="1" s="1"/>
  <c r="BL8" i="1"/>
  <c r="BO8" i="1" s="1"/>
  <c r="BP8" i="1" s="1"/>
  <c r="BL6" i="1"/>
  <c r="BO6" i="1" s="1"/>
  <c r="BP6" i="1" s="1"/>
  <c r="BV299" i="1"/>
  <c r="BY299" i="1" s="1"/>
  <c r="BZ299" i="1" s="1"/>
  <c r="BV293" i="1"/>
  <c r="BY293" i="1" s="1"/>
  <c r="BZ293" i="1" s="1"/>
  <c r="BV287" i="1"/>
  <c r="BY287" i="1" s="1"/>
  <c r="BZ287" i="1" s="1"/>
  <c r="BV285" i="1"/>
  <c r="BY285" i="1" s="1"/>
  <c r="BZ285" i="1" s="1"/>
  <c r="BV279" i="1"/>
  <c r="BY279" i="1" s="1"/>
  <c r="BZ279" i="1" s="1"/>
  <c r="BV273" i="1"/>
  <c r="BY273" i="1" s="1"/>
  <c r="BZ273" i="1" s="1"/>
  <c r="BV271" i="1"/>
  <c r="BY271" i="1" s="1"/>
  <c r="BZ271" i="1" s="1"/>
  <c r="BV263" i="1"/>
  <c r="BY263" i="1" s="1"/>
  <c r="BZ263" i="1" s="1"/>
  <c r="BV257" i="1"/>
  <c r="BY257" i="1" s="1"/>
  <c r="BZ257" i="1" s="1"/>
  <c r="BV251" i="1"/>
  <c r="BY251" i="1" s="1"/>
  <c r="BZ251" i="1" s="1"/>
  <c r="BV245" i="1"/>
  <c r="BY245" i="1" s="1"/>
  <c r="BZ245" i="1" s="1"/>
  <c r="BV237" i="1"/>
  <c r="BY237" i="1" s="1"/>
  <c r="BZ237" i="1" s="1"/>
  <c r="BV235" i="1"/>
  <c r="BY235" i="1" s="1"/>
  <c r="BZ235" i="1" s="1"/>
  <c r="BV229" i="1"/>
  <c r="BY229" i="1" s="1"/>
  <c r="BZ229" i="1" s="1"/>
  <c r="BV223" i="1"/>
  <c r="BY223" i="1" s="1"/>
  <c r="BZ223" i="1" s="1"/>
  <c r="BV221" i="1"/>
  <c r="BY221" i="1" s="1"/>
  <c r="BZ221" i="1" s="1"/>
  <c r="BV215" i="1"/>
  <c r="BY215" i="1" s="1"/>
  <c r="BZ215" i="1" s="1"/>
  <c r="BV209" i="1"/>
  <c r="BY209" i="1" s="1"/>
  <c r="BZ209" i="1" s="1"/>
  <c r="BV207" i="1"/>
  <c r="BY207" i="1" s="1"/>
  <c r="BZ207" i="1" s="1"/>
  <c r="BV205" i="1"/>
  <c r="BY205" i="1" s="1"/>
  <c r="BZ205" i="1" s="1"/>
  <c r="BV199" i="1"/>
  <c r="BZ199" i="1" s="1"/>
  <c r="BV193" i="1"/>
  <c r="BZ193" i="1" s="1"/>
  <c r="BV187" i="1"/>
  <c r="BY187" i="1" s="1"/>
  <c r="BZ187" i="1" s="1"/>
  <c r="BV181" i="1"/>
  <c r="BY181" i="1" s="1"/>
  <c r="BZ181" i="1" s="1"/>
  <c r="BV177" i="1"/>
  <c r="BY177" i="1" s="1"/>
  <c r="BZ177" i="1" s="1"/>
  <c r="BV175" i="1"/>
  <c r="BY175" i="1" s="1"/>
  <c r="BZ175" i="1" s="1"/>
  <c r="BV173" i="1"/>
  <c r="BY173" i="1" s="1"/>
  <c r="BZ173" i="1" s="1"/>
  <c r="BV171" i="1"/>
  <c r="BY171" i="1" s="1"/>
  <c r="BZ171" i="1" s="1"/>
  <c r="BV165" i="1"/>
  <c r="BY165" i="1" s="1"/>
  <c r="BZ165" i="1" s="1"/>
  <c r="BV159" i="1"/>
  <c r="BY159" i="1" s="1"/>
  <c r="BZ159" i="1" s="1"/>
  <c r="BV157" i="1"/>
  <c r="BY157" i="1" s="1"/>
  <c r="BZ157" i="1" s="1"/>
  <c r="BV151" i="1"/>
  <c r="BY151" i="1" s="1"/>
  <c r="BZ151" i="1" s="1"/>
  <c r="BV149" i="1"/>
  <c r="BY149" i="1" s="1"/>
  <c r="BZ149" i="1" s="1"/>
  <c r="BV145" i="1"/>
  <c r="BY145" i="1" s="1"/>
  <c r="BZ145" i="1" s="1"/>
  <c r="BV143" i="1"/>
  <c r="BY143" i="1" s="1"/>
  <c r="BV135" i="1"/>
  <c r="BY135" i="1" s="1"/>
  <c r="BZ135" i="1" s="1"/>
  <c r="BV129" i="1"/>
  <c r="BY129" i="1" s="1"/>
  <c r="BZ129" i="1" s="1"/>
  <c r="BV123" i="1"/>
  <c r="BY123" i="1" s="1"/>
  <c r="BZ123" i="1" s="1"/>
  <c r="BV119" i="1"/>
  <c r="BY119" i="1" s="1"/>
  <c r="BV117" i="1"/>
  <c r="BY117" i="1" s="1"/>
  <c r="BZ117" i="1" s="1"/>
  <c r="BV109" i="1"/>
  <c r="BY109" i="1" s="1"/>
  <c r="BZ109" i="1" s="1"/>
  <c r="BV107" i="1"/>
  <c r="BY107" i="1" s="1"/>
  <c r="BZ107" i="1" s="1"/>
  <c r="BV101" i="1"/>
  <c r="BY101" i="1" s="1"/>
  <c r="BZ101" i="1" s="1"/>
  <c r="BV95" i="1"/>
  <c r="BY95" i="1" s="1"/>
  <c r="BZ95" i="1" s="1"/>
  <c r="BV93" i="1"/>
  <c r="BY93" i="1" s="1"/>
  <c r="BZ93" i="1" s="1"/>
  <c r="BV91" i="1"/>
  <c r="BY91" i="1" s="1"/>
  <c r="BZ91" i="1" s="1"/>
  <c r="BV87" i="1"/>
  <c r="BY87" i="1" s="1"/>
  <c r="BZ87" i="1" s="1"/>
  <c r="BV81" i="1"/>
  <c r="BY81" i="1" s="1"/>
  <c r="BZ81" i="1" s="1"/>
  <c r="BV79" i="1"/>
  <c r="BY79" i="1" s="1"/>
  <c r="BZ79" i="1" s="1"/>
  <c r="BV71" i="1"/>
  <c r="BY71" i="1" s="1"/>
  <c r="BZ71" i="1" s="1"/>
  <c r="BV67" i="1"/>
  <c r="BY67" i="1" s="1"/>
  <c r="BZ67" i="1" s="1"/>
  <c r="BV65" i="1"/>
  <c r="BY65" i="1" s="1"/>
  <c r="BZ65" i="1" s="1"/>
  <c r="BV61" i="1"/>
  <c r="BZ61" i="1" s="1"/>
  <c r="BV59" i="1"/>
  <c r="BY59" i="1" s="1"/>
  <c r="BZ59" i="1" s="1"/>
  <c r="BV57" i="1"/>
  <c r="BY57" i="1" s="1"/>
  <c r="BZ57" i="1" s="1"/>
  <c r="BV55" i="1"/>
  <c r="BY55" i="1" s="1"/>
  <c r="BZ55" i="1" s="1"/>
  <c r="BV53" i="1"/>
  <c r="BY53" i="1" s="1"/>
  <c r="BZ53" i="1" s="1"/>
  <c r="BV51" i="1"/>
  <c r="BY51" i="1" s="1"/>
  <c r="BZ51" i="1" s="1"/>
  <c r="BV45" i="1"/>
  <c r="BY45" i="1" s="1"/>
  <c r="BZ45" i="1" s="1"/>
  <c r="BV43" i="1"/>
  <c r="BY43" i="1" s="1"/>
  <c r="BZ43" i="1" s="1"/>
  <c r="BV41" i="1"/>
  <c r="BY41" i="1" s="1"/>
  <c r="BZ41" i="1" s="1"/>
  <c r="BV39" i="1"/>
  <c r="BY39" i="1" s="1"/>
  <c r="BZ39" i="1" s="1"/>
  <c r="BV37" i="1"/>
  <c r="BY37" i="1" s="1"/>
  <c r="BZ37" i="1" s="1"/>
  <c r="BV35" i="1"/>
  <c r="BY35" i="1" s="1"/>
  <c r="BZ35" i="1" s="1"/>
  <c r="BV33" i="1"/>
  <c r="BY33" i="1" s="1"/>
  <c r="BZ33" i="1" s="1"/>
  <c r="BV31" i="1"/>
  <c r="BY31" i="1" s="1"/>
  <c r="BZ31" i="1" s="1"/>
  <c r="BV29" i="1"/>
  <c r="BY29" i="1" s="1"/>
  <c r="BZ29" i="1" s="1"/>
  <c r="BV25" i="1"/>
  <c r="BY25" i="1" s="1"/>
  <c r="BZ25" i="1" s="1"/>
  <c r="BV23" i="1"/>
  <c r="BY23" i="1" s="1"/>
  <c r="BZ23" i="1" s="1"/>
  <c r="BV21" i="1"/>
  <c r="BY21" i="1" s="1"/>
  <c r="BZ21" i="1" s="1"/>
  <c r="BV19" i="1"/>
  <c r="BY19" i="1" s="1"/>
  <c r="BZ19" i="1" s="1"/>
  <c r="BV15" i="1"/>
  <c r="BY15" i="1" s="1"/>
  <c r="BZ15" i="1" s="1"/>
  <c r="BV13" i="1"/>
  <c r="BY13" i="1" s="1"/>
  <c r="BZ13" i="1" s="1"/>
  <c r="BV11" i="1"/>
  <c r="BY11" i="1" s="1"/>
  <c r="BZ11" i="1" s="1"/>
  <c r="BV9" i="1"/>
  <c r="BY9" i="1" s="1"/>
  <c r="BZ9" i="1" s="1"/>
  <c r="BV7" i="1"/>
  <c r="BY7" i="1" s="1"/>
  <c r="BZ7" i="1" s="1"/>
  <c r="BV5" i="1"/>
  <c r="BY5" i="1" s="1"/>
  <c r="BZ5" i="1" s="1"/>
  <c r="BV3" i="1"/>
  <c r="BY3" i="1" s="1"/>
  <c r="BZ3" i="1" s="1"/>
  <c r="CF298" i="1"/>
  <c r="CI298" i="1" s="1"/>
  <c r="CJ298" i="1" s="1"/>
  <c r="CF292" i="1"/>
  <c r="CI292" i="1" s="1"/>
  <c r="CJ292" i="1" s="1"/>
  <c r="CF288" i="1"/>
  <c r="CI288" i="1" s="1"/>
  <c r="CJ288" i="1" s="1"/>
  <c r="CF286" i="1"/>
  <c r="CI286" i="1" s="1"/>
  <c r="CJ286" i="1" s="1"/>
  <c r="CF282" i="1"/>
  <c r="CI282" i="1" s="1"/>
  <c r="CJ282" i="1" s="1"/>
  <c r="CF276" i="1"/>
  <c r="CI276" i="1" s="1"/>
  <c r="CJ276" i="1" s="1"/>
  <c r="CF272" i="1"/>
  <c r="CI272" i="1" s="1"/>
  <c r="CJ272" i="1" s="1"/>
  <c r="CF270" i="1"/>
  <c r="CI270" i="1" s="1"/>
  <c r="CJ270" i="1" s="1"/>
  <c r="CF266" i="1"/>
  <c r="CI266" i="1" s="1"/>
  <c r="CJ266" i="1" s="1"/>
  <c r="CF260" i="1"/>
  <c r="CI260" i="1" s="1"/>
  <c r="CJ260" i="1" s="1"/>
  <c r="CF250" i="1"/>
  <c r="CI250" i="1" s="1"/>
  <c r="CJ250" i="1" s="1"/>
  <c r="CF244" i="1"/>
  <c r="CI244" i="1" s="1"/>
  <c r="CJ244" i="1" s="1"/>
  <c r="CF240" i="1"/>
  <c r="CI240" i="1" s="1"/>
  <c r="CJ240" i="1" s="1"/>
  <c r="CF238" i="1"/>
  <c r="CI238" i="1" s="1"/>
  <c r="CJ238" i="1" s="1"/>
  <c r="CF234" i="1"/>
  <c r="CI234" i="1" s="1"/>
  <c r="CJ234" i="1" s="1"/>
  <c r="CF228" i="1"/>
  <c r="CI228" i="1" s="1"/>
  <c r="CJ228" i="1" s="1"/>
  <c r="CF224" i="1"/>
  <c r="CI224" i="1" s="1"/>
  <c r="CJ224" i="1" s="1"/>
  <c r="CF222" i="1"/>
  <c r="CI222" i="1" s="1"/>
  <c r="CJ222" i="1" s="1"/>
  <c r="CF218" i="1"/>
  <c r="CI218" i="1" s="1"/>
  <c r="CJ218" i="1" s="1"/>
  <c r="CF212" i="1"/>
  <c r="CI212" i="1" s="1"/>
  <c r="CJ212" i="1" s="1"/>
  <c r="CF208" i="1"/>
  <c r="CI208" i="1" s="1"/>
  <c r="CJ208" i="1" s="1"/>
  <c r="CF196" i="1"/>
  <c r="CI196" i="1" s="1"/>
  <c r="CJ196" i="1" s="1"/>
  <c r="CF192" i="1"/>
  <c r="CI192" i="1" s="1"/>
  <c r="CJ192" i="1" s="1"/>
  <c r="CF190" i="1"/>
  <c r="CI190" i="1" s="1"/>
  <c r="CJ190" i="1" s="1"/>
  <c r="CF186" i="1"/>
  <c r="CI186" i="1" s="1"/>
  <c r="CJ186" i="1" s="1"/>
  <c r="CF180" i="1"/>
  <c r="CI180" i="1" s="1"/>
  <c r="CJ180" i="1" s="1"/>
  <c r="CF176" i="1"/>
  <c r="CI176" i="1" s="1"/>
  <c r="CJ176" i="1" s="1"/>
  <c r="CF174" i="1"/>
  <c r="CI174" i="1" s="1"/>
  <c r="CJ174" i="1" s="1"/>
  <c r="CF170" i="1"/>
  <c r="CI170" i="1" s="1"/>
  <c r="CJ170" i="1" s="1"/>
  <c r="CF164" i="1"/>
  <c r="CI164" i="1" s="1"/>
  <c r="CJ164" i="1" s="1"/>
  <c r="CF160" i="1"/>
  <c r="CI160" i="1" s="1"/>
  <c r="CJ160" i="1" s="1"/>
  <c r="CF158" i="1"/>
  <c r="CI158" i="1" s="1"/>
  <c r="CJ158" i="1" s="1"/>
  <c r="CF148" i="1"/>
  <c r="CI148" i="1" s="1"/>
  <c r="CJ148" i="1" s="1"/>
  <c r="CF144" i="1"/>
  <c r="CI144" i="1" s="1"/>
  <c r="CJ144" i="1" s="1"/>
  <c r="CF142" i="1"/>
  <c r="CI142" i="1" s="1"/>
  <c r="CJ142" i="1" s="1"/>
  <c r="CF138" i="1"/>
  <c r="CI138" i="1" s="1"/>
  <c r="CJ138" i="1" s="1"/>
  <c r="CF132" i="1"/>
  <c r="CI132" i="1" s="1"/>
  <c r="CJ132" i="1" s="1"/>
  <c r="CF128" i="1"/>
  <c r="CI128" i="1" s="1"/>
  <c r="CJ128" i="1" s="1"/>
  <c r="CF126" i="1"/>
  <c r="CI126" i="1" s="1"/>
  <c r="CJ126" i="1" s="1"/>
  <c r="CF122" i="1"/>
  <c r="CI122" i="1" s="1"/>
  <c r="CJ122" i="1" s="1"/>
  <c r="CF116" i="1"/>
  <c r="CI116" i="1" s="1"/>
  <c r="CJ116" i="1" s="1"/>
  <c r="CF112" i="1"/>
  <c r="CI112" i="1" s="1"/>
  <c r="CF110" i="1"/>
  <c r="CI110" i="1" s="1"/>
  <c r="CJ110" i="1" s="1"/>
  <c r="CF106" i="1"/>
  <c r="CI106" i="1" s="1"/>
  <c r="CF96" i="1"/>
  <c r="CI96" i="1" s="1"/>
  <c r="CJ96" i="1" s="1"/>
  <c r="CF94" i="1"/>
  <c r="CI94" i="1" s="1"/>
  <c r="CJ94" i="1" s="1"/>
  <c r="CF90" i="1"/>
  <c r="CI90" i="1" s="1"/>
  <c r="CJ90" i="1" s="1"/>
  <c r="CF84" i="1"/>
  <c r="CI84" i="1" s="1"/>
  <c r="CJ84" i="1" s="1"/>
  <c r="CF80" i="1"/>
  <c r="CI80" i="1" s="1"/>
  <c r="CJ80" i="1" s="1"/>
  <c r="CF78" i="1"/>
  <c r="CI78" i="1" s="1"/>
  <c r="CJ78" i="1" s="1"/>
  <c r="CF74" i="1"/>
  <c r="CI74" i="1" s="1"/>
  <c r="CJ74" i="1" s="1"/>
  <c r="CF68" i="1"/>
  <c r="CI68" i="1" s="1"/>
  <c r="CJ68" i="1" s="1"/>
  <c r="CF64" i="1"/>
  <c r="CI64" i="1" s="1"/>
  <c r="CJ64" i="1" s="1"/>
  <c r="CF62" i="1"/>
  <c r="CI62" i="1" s="1"/>
  <c r="CJ62" i="1" s="1"/>
  <c r="CF58" i="1"/>
  <c r="CI58" i="1" s="1"/>
  <c r="CJ58" i="1" s="1"/>
  <c r="CF46" i="1"/>
  <c r="CI46" i="1" s="1"/>
  <c r="CJ46" i="1" s="1"/>
  <c r="CF42" i="1"/>
  <c r="CI42" i="1" s="1"/>
  <c r="CJ42" i="1" s="1"/>
  <c r="CF36" i="1"/>
  <c r="CI36" i="1" s="1"/>
  <c r="CJ36" i="1" s="1"/>
  <c r="CF32" i="1"/>
  <c r="CI32" i="1" s="1"/>
  <c r="CJ32" i="1" s="1"/>
  <c r="CF30" i="1"/>
  <c r="CI30" i="1" s="1"/>
  <c r="CJ30" i="1" s="1"/>
  <c r="CF26" i="1"/>
  <c r="CI26" i="1" s="1"/>
  <c r="CJ26" i="1" s="1"/>
  <c r="CF20" i="1"/>
  <c r="CI20" i="1" s="1"/>
  <c r="CJ20" i="1" s="1"/>
  <c r="CF16" i="1"/>
  <c r="CI16" i="1" s="1"/>
  <c r="CF14" i="1"/>
  <c r="CI14" i="1" s="1"/>
  <c r="CJ14" i="1" s="1"/>
  <c r="CF10" i="1"/>
  <c r="CI10" i="1" s="1"/>
  <c r="CJ10" i="1" s="1"/>
  <c r="CF4" i="1"/>
  <c r="CJ4" i="1" s="1"/>
  <c r="CP191" i="1"/>
  <c r="CS191" i="1" s="1"/>
  <c r="CT191" i="1" s="1"/>
  <c r="CP189" i="1"/>
  <c r="CS189" i="1" s="1"/>
  <c r="CT189" i="1" s="1"/>
  <c r="CP187" i="1"/>
  <c r="CS187" i="1" s="1"/>
  <c r="CT187" i="1" s="1"/>
  <c r="CP185" i="1"/>
  <c r="CS185" i="1" s="1"/>
  <c r="CT185" i="1" s="1"/>
  <c r="CP183" i="1"/>
  <c r="CS183" i="1" s="1"/>
  <c r="CT183" i="1" s="1"/>
  <c r="CP181" i="1"/>
  <c r="CS181" i="1" s="1"/>
  <c r="CT181" i="1" s="1"/>
  <c r="CP179" i="1"/>
  <c r="CS179" i="1" s="1"/>
  <c r="CT179" i="1" s="1"/>
  <c r="CP173" i="1"/>
  <c r="CS173" i="1" s="1"/>
  <c r="CT173" i="1" s="1"/>
  <c r="CP165" i="1"/>
  <c r="CS165" i="1" s="1"/>
  <c r="CT165" i="1" s="1"/>
  <c r="CP157" i="1"/>
  <c r="CS157" i="1" s="1"/>
  <c r="CT157" i="1" s="1"/>
  <c r="CP149" i="1"/>
  <c r="CS149" i="1" s="1"/>
  <c r="CT149" i="1" s="1"/>
  <c r="CP141" i="1"/>
  <c r="CS141" i="1" s="1"/>
  <c r="CT141" i="1" s="1"/>
  <c r="CP137" i="1"/>
  <c r="CT137" i="1" s="1"/>
  <c r="CP129" i="1"/>
  <c r="CS129" i="1" s="1"/>
  <c r="CT129" i="1" s="1"/>
  <c r="CP125" i="1"/>
  <c r="CS125" i="1" s="1"/>
  <c r="CT125" i="1" s="1"/>
  <c r="CP121" i="1"/>
  <c r="CS121" i="1" s="1"/>
  <c r="CT121" i="1" s="1"/>
  <c r="CP113" i="1"/>
  <c r="CS113" i="1" s="1"/>
  <c r="CT113" i="1" s="1"/>
  <c r="CP109" i="1"/>
  <c r="CS109" i="1" s="1"/>
  <c r="CT109" i="1" s="1"/>
  <c r="CP101" i="1"/>
  <c r="CS101" i="1" s="1"/>
  <c r="CT101" i="1" s="1"/>
  <c r="CP93" i="1"/>
  <c r="CS93" i="1" s="1"/>
  <c r="CT93" i="1" s="1"/>
  <c r="CP77" i="1"/>
  <c r="CS77" i="1" s="1"/>
  <c r="CT77" i="1" s="1"/>
  <c r="CP73" i="1"/>
  <c r="CS73" i="1" s="1"/>
  <c r="CT73" i="1" s="1"/>
  <c r="CP65" i="1"/>
  <c r="CS65" i="1" s="1"/>
  <c r="CT65" i="1" s="1"/>
  <c r="CP61" i="1"/>
  <c r="CT61" i="1" s="1"/>
  <c r="CP57" i="1"/>
  <c r="CS57" i="1" s="1"/>
  <c r="CT57" i="1" s="1"/>
  <c r="CP49" i="1"/>
  <c r="CS49" i="1" s="1"/>
  <c r="CT49" i="1" s="1"/>
  <c r="CP45" i="1"/>
  <c r="CS45" i="1" s="1"/>
  <c r="CT45" i="1" s="1"/>
  <c r="CP29" i="1"/>
  <c r="CS29" i="1" s="1"/>
  <c r="CT29" i="1" s="1"/>
  <c r="CP21" i="1"/>
  <c r="CS21" i="1" s="1"/>
  <c r="CT21" i="1" s="1"/>
  <c r="CP13" i="1"/>
  <c r="CS13" i="1" s="1"/>
  <c r="CP9" i="1"/>
  <c r="CS9" i="1" s="1"/>
  <c r="CT9" i="1" s="1"/>
  <c r="CZ135" i="1"/>
  <c r="DC135" i="1" s="1"/>
  <c r="DD135" i="1" s="1"/>
  <c r="CZ121" i="1"/>
  <c r="DC121" i="1" s="1"/>
  <c r="DD121" i="1" s="1"/>
  <c r="CZ113" i="1"/>
  <c r="DC113" i="1" s="1"/>
  <c r="DD113" i="1" s="1"/>
  <c r="CZ103" i="1"/>
  <c r="DC103" i="1" s="1"/>
  <c r="DD103" i="1" s="1"/>
  <c r="CZ101" i="1"/>
  <c r="DC101" i="1" s="1"/>
  <c r="DD101" i="1" s="1"/>
  <c r="CZ91" i="1"/>
  <c r="DC91" i="1" s="1"/>
  <c r="DD91" i="1" s="1"/>
  <c r="CZ81" i="1"/>
  <c r="DC81" i="1" s="1"/>
  <c r="DD81" i="1" s="1"/>
  <c r="CZ79" i="1"/>
  <c r="DC79" i="1" s="1"/>
  <c r="DD79" i="1" s="1"/>
  <c r="CZ71" i="1"/>
  <c r="DC71" i="1" s="1"/>
  <c r="DD71" i="1" s="1"/>
  <c r="CZ57" i="1"/>
  <c r="DC57" i="1" s="1"/>
  <c r="DD57" i="1" s="1"/>
  <c r="CZ45" i="1"/>
  <c r="DC45" i="1" s="1"/>
  <c r="DD45" i="1" s="1"/>
  <c r="CZ31" i="1"/>
  <c r="DC31" i="1" s="1"/>
  <c r="DD31" i="1" s="1"/>
  <c r="CZ29" i="1"/>
  <c r="DC29" i="1" s="1"/>
  <c r="DD29" i="1" s="1"/>
  <c r="CZ15" i="1"/>
  <c r="DC15" i="1" s="1"/>
  <c r="DD15" i="1" s="1"/>
  <c r="CZ3" i="1"/>
  <c r="DC3" i="1" s="1"/>
  <c r="DD3" i="1" s="1"/>
  <c r="DT160" i="1"/>
  <c r="DW160" i="1" s="1"/>
  <c r="CP182" i="1"/>
  <c r="CS182" i="1" s="1"/>
  <c r="CT182" i="1" s="1"/>
  <c r="CP178" i="1"/>
  <c r="CS178" i="1" s="1"/>
  <c r="CT178" i="1" s="1"/>
  <c r="CP176" i="1"/>
  <c r="CS176" i="1" s="1"/>
  <c r="CT176" i="1" s="1"/>
  <c r="CP174" i="1"/>
  <c r="CS174" i="1" s="1"/>
  <c r="CP172" i="1"/>
  <c r="CS172" i="1" s="1"/>
  <c r="CT172" i="1" s="1"/>
  <c r="CP168" i="1"/>
  <c r="CS168" i="1" s="1"/>
  <c r="CT168" i="1" s="1"/>
  <c r="CP166" i="1"/>
  <c r="CS166" i="1" s="1"/>
  <c r="CT166" i="1" s="1"/>
  <c r="CP162" i="1"/>
  <c r="CS162" i="1" s="1"/>
  <c r="CT162" i="1" s="1"/>
  <c r="CP160" i="1"/>
  <c r="CS160" i="1" s="1"/>
  <c r="CT160" i="1" s="1"/>
  <c r="CP158" i="1"/>
  <c r="CS158" i="1" s="1"/>
  <c r="CP156" i="1"/>
  <c r="CS156" i="1" s="1"/>
  <c r="CP154" i="1"/>
  <c r="CS154" i="1" s="1"/>
  <c r="CT154" i="1" s="1"/>
  <c r="CP152" i="1"/>
  <c r="CS152" i="1" s="1"/>
  <c r="CT152" i="1" s="1"/>
  <c r="CP150" i="1"/>
  <c r="CS150" i="1" s="1"/>
  <c r="CT150" i="1" s="1"/>
  <c r="CP148" i="1"/>
  <c r="CS148" i="1" s="1"/>
  <c r="CT148" i="1" s="1"/>
  <c r="CP146" i="1"/>
  <c r="CT146" i="1" s="1"/>
  <c r="CP144" i="1"/>
  <c r="CS144" i="1" s="1"/>
  <c r="CT144" i="1" s="1"/>
  <c r="CP140" i="1"/>
  <c r="CS140" i="1" s="1"/>
  <c r="CP138" i="1"/>
  <c r="CS138" i="1" s="1"/>
  <c r="CT138" i="1" s="1"/>
  <c r="CP136" i="1"/>
  <c r="CS136" i="1" s="1"/>
  <c r="CT136" i="1" s="1"/>
  <c r="CP132" i="1"/>
  <c r="CS132" i="1" s="1"/>
  <c r="CT132" i="1" s="1"/>
  <c r="CP130" i="1"/>
  <c r="CS130" i="1" s="1"/>
  <c r="CT130" i="1" s="1"/>
  <c r="CP126" i="1"/>
  <c r="CS126" i="1" s="1"/>
  <c r="CT126" i="1" s="1"/>
  <c r="CP124" i="1"/>
  <c r="CS124" i="1" s="1"/>
  <c r="CT124" i="1" s="1"/>
  <c r="CP122" i="1"/>
  <c r="CS122" i="1" s="1"/>
  <c r="CT122" i="1" s="1"/>
  <c r="CP120" i="1"/>
  <c r="CS120" i="1" s="1"/>
  <c r="CT120" i="1" s="1"/>
  <c r="CP118" i="1"/>
  <c r="CS118" i="1" s="1"/>
  <c r="CT118" i="1" s="1"/>
  <c r="CP116" i="1"/>
  <c r="CS116" i="1" s="1"/>
  <c r="CP114" i="1"/>
  <c r="CS114" i="1" s="1"/>
  <c r="CT114" i="1" s="1"/>
  <c r="CP112" i="1"/>
  <c r="CS112" i="1" s="1"/>
  <c r="CT112" i="1" s="1"/>
  <c r="CP110" i="1"/>
  <c r="CS110" i="1" s="1"/>
  <c r="CP106" i="1"/>
  <c r="CS106" i="1" s="1"/>
  <c r="CT106" i="1" s="1"/>
  <c r="CP102" i="1"/>
  <c r="CS102" i="1" s="1"/>
  <c r="CT102" i="1" s="1"/>
  <c r="CP98" i="1"/>
  <c r="CS98" i="1" s="1"/>
  <c r="CT98" i="1" s="1"/>
  <c r="CP96" i="1"/>
  <c r="CS96" i="1" s="1"/>
  <c r="CP92" i="1"/>
  <c r="CS92" i="1" s="1"/>
  <c r="CT92" i="1" s="1"/>
  <c r="CP90" i="1"/>
  <c r="CS90" i="1" s="1"/>
  <c r="CP88" i="1"/>
  <c r="CS88" i="1" s="1"/>
  <c r="CT88" i="1" s="1"/>
  <c r="CP86" i="1"/>
  <c r="CS86" i="1" s="1"/>
  <c r="CT86" i="1" s="1"/>
  <c r="CP84" i="1"/>
  <c r="CS84" i="1" s="1"/>
  <c r="CT84" i="1" s="1"/>
  <c r="CP82" i="1"/>
  <c r="CS82" i="1" s="1"/>
  <c r="CT82" i="1" s="1"/>
  <c r="CP76" i="1"/>
  <c r="CS76" i="1" s="1"/>
  <c r="CT76" i="1" s="1"/>
  <c r="CP74" i="1"/>
  <c r="CS74" i="1" s="1"/>
  <c r="CT74" i="1" s="1"/>
  <c r="CP72" i="1"/>
  <c r="CS72" i="1" s="1"/>
  <c r="CT72" i="1" s="1"/>
  <c r="CP68" i="1"/>
  <c r="CS68" i="1" s="1"/>
  <c r="CT68" i="1" s="1"/>
  <c r="CP66" i="1"/>
  <c r="CS66" i="1" s="1"/>
  <c r="CT66" i="1" s="1"/>
  <c r="CP62" i="1"/>
  <c r="CS62" i="1" s="1"/>
  <c r="CT62" i="1" s="1"/>
  <c r="CP60" i="1"/>
  <c r="CS60" i="1" s="1"/>
  <c r="CP58" i="1"/>
  <c r="CS58" i="1" s="1"/>
  <c r="CT58" i="1" s="1"/>
  <c r="CP56" i="1"/>
  <c r="CS56" i="1" s="1"/>
  <c r="CP54" i="1"/>
  <c r="CP52" i="1"/>
  <c r="CS52" i="1" s="1"/>
  <c r="CT52" i="1" s="1"/>
  <c r="CP50" i="1"/>
  <c r="CS50" i="1" s="1"/>
  <c r="CT50" i="1" s="1"/>
  <c r="CP48" i="1"/>
  <c r="CS48" i="1" s="1"/>
  <c r="CT48" i="1" s="1"/>
  <c r="CP46" i="1"/>
  <c r="CS46" i="1" s="1"/>
  <c r="CT46" i="1" s="1"/>
  <c r="CP44" i="1"/>
  <c r="CP40" i="1"/>
  <c r="CS40" i="1" s="1"/>
  <c r="CP38" i="1"/>
  <c r="CS38" i="1" s="1"/>
  <c r="CT38" i="1" s="1"/>
  <c r="CP34" i="1"/>
  <c r="CS34" i="1" s="1"/>
  <c r="CT34" i="1" s="1"/>
  <c r="CP32" i="1"/>
  <c r="CS32" i="1" s="1"/>
  <c r="CT32" i="1" s="1"/>
  <c r="CP30" i="1"/>
  <c r="CS30" i="1" s="1"/>
  <c r="CT30" i="1" s="1"/>
  <c r="CP26" i="1"/>
  <c r="CS26" i="1" s="1"/>
  <c r="CT26" i="1" s="1"/>
  <c r="CP24" i="1"/>
  <c r="CS24" i="1" s="1"/>
  <c r="CP20" i="1"/>
  <c r="CS20" i="1" s="1"/>
  <c r="CT20" i="1" s="1"/>
  <c r="CP18" i="1"/>
  <c r="CS18" i="1" s="1"/>
  <c r="CP16" i="1"/>
  <c r="CS16" i="1" s="1"/>
  <c r="CT16" i="1" s="1"/>
  <c r="CP14" i="1"/>
  <c r="CS14" i="1" s="1"/>
  <c r="CT14" i="1" s="1"/>
  <c r="CP12" i="1"/>
  <c r="CS12" i="1" s="1"/>
  <c r="CT12" i="1" s="1"/>
  <c r="CP10" i="1"/>
  <c r="CS10" i="1" s="1"/>
  <c r="CT10" i="1" s="1"/>
  <c r="CP8" i="1"/>
  <c r="CS8" i="1" s="1"/>
  <c r="CT8" i="1" s="1"/>
  <c r="CP4" i="1"/>
  <c r="CT4" i="1" s="1"/>
  <c r="DJ235" i="1"/>
  <c r="DM235" i="1" s="1"/>
  <c r="DN235" i="1" s="1"/>
  <c r="DJ231" i="1"/>
  <c r="DM231" i="1" s="1"/>
  <c r="DN231" i="1" s="1"/>
  <c r="DJ229" i="1"/>
  <c r="DM229" i="1" s="1"/>
  <c r="DN229" i="1" s="1"/>
  <c r="DJ221" i="1"/>
  <c r="DM221" i="1" s="1"/>
  <c r="DN221" i="1" s="1"/>
  <c r="DJ219" i="1"/>
  <c r="DM219" i="1" s="1"/>
  <c r="DN219" i="1" s="1"/>
  <c r="DJ217" i="1"/>
  <c r="DM217" i="1" s="1"/>
  <c r="DN217" i="1" s="1"/>
  <c r="DJ215" i="1"/>
  <c r="DM215" i="1" s="1"/>
  <c r="DN215" i="1" s="1"/>
  <c r="DJ207" i="1"/>
  <c r="DM207" i="1" s="1"/>
  <c r="DN207" i="1" s="1"/>
  <c r="DJ205" i="1"/>
  <c r="DM205" i="1" s="1"/>
  <c r="DN205" i="1" s="1"/>
  <c r="DJ201" i="1"/>
  <c r="DM201" i="1" s="1"/>
  <c r="DN201" i="1" s="1"/>
  <c r="DJ199" i="1"/>
  <c r="DN199" i="1" s="1"/>
  <c r="DJ191" i="1"/>
  <c r="DM191" i="1" s="1"/>
  <c r="DN191" i="1" s="1"/>
  <c r="DJ189" i="1"/>
  <c r="DM189" i="1" s="1"/>
  <c r="DN189" i="1" s="1"/>
  <c r="DJ187" i="1"/>
  <c r="DM187" i="1" s="1"/>
  <c r="DN187" i="1" s="1"/>
  <c r="DJ183" i="1"/>
  <c r="DM183" i="1" s="1"/>
  <c r="DN183" i="1" s="1"/>
  <c r="DJ179" i="1"/>
  <c r="DM179" i="1" s="1"/>
  <c r="DN179" i="1" s="1"/>
  <c r="DJ177" i="1"/>
  <c r="DM177" i="1" s="1"/>
  <c r="DN177" i="1" s="1"/>
  <c r="DJ173" i="1"/>
  <c r="DM173" i="1" s="1"/>
  <c r="DN173" i="1" s="1"/>
  <c r="DJ167" i="1"/>
  <c r="DM167" i="1" s="1"/>
  <c r="DN167" i="1" s="1"/>
  <c r="DJ165" i="1"/>
  <c r="DM165" i="1" s="1"/>
  <c r="DN165" i="1" s="1"/>
  <c r="DJ157" i="1"/>
  <c r="DM157" i="1" s="1"/>
  <c r="DN157" i="1" s="1"/>
  <c r="DJ155" i="1"/>
  <c r="DM155" i="1" s="1"/>
  <c r="DN155" i="1" s="1"/>
  <c r="DJ153" i="1"/>
  <c r="DM153" i="1" s="1"/>
  <c r="DN153" i="1" s="1"/>
  <c r="DJ151" i="1"/>
  <c r="DM151" i="1" s="1"/>
  <c r="DN151" i="1" s="1"/>
  <c r="DJ145" i="1"/>
  <c r="DM145" i="1" s="1"/>
  <c r="DN145" i="1" s="1"/>
  <c r="DJ143" i="1"/>
  <c r="DM143" i="1" s="1"/>
  <c r="DN143" i="1" s="1"/>
  <c r="DJ141" i="1"/>
  <c r="DM141" i="1" s="1"/>
  <c r="DN141" i="1" s="1"/>
  <c r="DJ135" i="1"/>
  <c r="DM135" i="1" s="1"/>
  <c r="DN135" i="1" s="1"/>
  <c r="DJ131" i="1"/>
  <c r="DM131" i="1" s="1"/>
  <c r="DN131" i="1" s="1"/>
  <c r="DJ125" i="1"/>
  <c r="DM125" i="1" s="1"/>
  <c r="DN125" i="1" s="1"/>
  <c r="DJ123" i="1"/>
  <c r="DM123" i="1" s="1"/>
  <c r="DN123" i="1" s="1"/>
  <c r="DJ121" i="1"/>
  <c r="DM121" i="1" s="1"/>
  <c r="DN121" i="1" s="1"/>
  <c r="DJ119" i="1"/>
  <c r="DM119" i="1" s="1"/>
  <c r="DN119" i="1" s="1"/>
  <c r="DJ113" i="1"/>
  <c r="DM113" i="1" s="1"/>
  <c r="DN113" i="1" s="1"/>
  <c r="DJ109" i="1"/>
  <c r="DM109" i="1" s="1"/>
  <c r="DN109" i="1" s="1"/>
  <c r="DJ107" i="1"/>
  <c r="DM107" i="1" s="1"/>
  <c r="DN107" i="1" s="1"/>
  <c r="DJ103" i="1"/>
  <c r="DM103" i="1" s="1"/>
  <c r="DN103" i="1" s="1"/>
  <c r="DJ97" i="1"/>
  <c r="DM97" i="1" s="1"/>
  <c r="DN97" i="1" s="1"/>
  <c r="DJ93" i="1"/>
  <c r="DM93" i="1" s="1"/>
  <c r="DN93" i="1" s="1"/>
  <c r="DJ85" i="1"/>
  <c r="DM85" i="1" s="1"/>
  <c r="DN85" i="1" s="1"/>
  <c r="DJ81" i="1"/>
  <c r="DM81" i="1" s="1"/>
  <c r="DN81" i="1" s="1"/>
  <c r="DJ75" i="1"/>
  <c r="DM75" i="1" s="1"/>
  <c r="DN75" i="1" s="1"/>
  <c r="DJ69" i="1"/>
  <c r="DM69" i="1" s="1"/>
  <c r="DN69" i="1" s="1"/>
  <c r="DJ65" i="1"/>
  <c r="DM65" i="1" s="1"/>
  <c r="DN65" i="1" s="1"/>
  <c r="DJ61" i="1"/>
  <c r="DN61" i="1" s="1"/>
  <c r="DJ55" i="1"/>
  <c r="DM55" i="1" s="1"/>
  <c r="DN55" i="1" s="1"/>
  <c r="DJ53" i="1"/>
  <c r="DM53" i="1" s="1"/>
  <c r="DN53" i="1" s="1"/>
  <c r="DJ47" i="1"/>
  <c r="DM47" i="1" s="1"/>
  <c r="DN47" i="1" s="1"/>
  <c r="DJ39" i="1"/>
  <c r="DM39" i="1" s="1"/>
  <c r="DN39" i="1" s="1"/>
  <c r="DJ37" i="1"/>
  <c r="DM37" i="1" s="1"/>
  <c r="DN37" i="1" s="1"/>
  <c r="DJ33" i="1"/>
  <c r="DM33" i="1" s="1"/>
  <c r="DN33" i="1" s="1"/>
  <c r="DJ27" i="1"/>
  <c r="DM27" i="1" s="1"/>
  <c r="DN27" i="1" s="1"/>
  <c r="DJ23" i="1"/>
  <c r="DM23" i="1" s="1"/>
  <c r="DN23" i="1" s="1"/>
  <c r="DJ15" i="1"/>
  <c r="DM15" i="1" s="1"/>
  <c r="DN15" i="1" s="1"/>
  <c r="DJ13" i="1"/>
  <c r="DM13" i="1" s="1"/>
  <c r="DN13" i="1" s="1"/>
  <c r="DJ11" i="1"/>
  <c r="DM11" i="1" s="1"/>
  <c r="DN11" i="1" s="1"/>
  <c r="DJ5" i="1"/>
  <c r="DM5" i="1" s="1"/>
  <c r="DN5" i="1" s="1"/>
  <c r="DT247" i="1"/>
  <c r="DT245" i="1"/>
  <c r="DT243" i="1"/>
  <c r="DT241" i="1"/>
  <c r="DT239" i="1"/>
  <c r="DT237" i="1"/>
  <c r="DT235" i="1"/>
  <c r="DT233" i="1"/>
  <c r="DT231" i="1"/>
  <c r="DT229" i="1"/>
  <c r="DT227" i="1"/>
  <c r="DT225" i="1"/>
  <c r="DT223" i="1"/>
  <c r="DT221" i="1"/>
  <c r="DT219" i="1"/>
  <c r="DT217" i="1"/>
  <c r="DT215" i="1"/>
  <c r="DT213" i="1"/>
  <c r="DT211" i="1"/>
  <c r="DT209" i="1"/>
  <c r="DT207" i="1"/>
  <c r="DT205" i="1"/>
  <c r="DT203" i="1"/>
  <c r="DT201" i="1"/>
  <c r="DT199" i="1"/>
  <c r="DX199" i="1" s="1"/>
  <c r="DT197" i="1"/>
  <c r="DT195" i="1"/>
  <c r="DT193" i="1"/>
  <c r="DX193" i="1" s="1"/>
  <c r="DT191" i="1"/>
  <c r="DT189" i="1"/>
  <c r="DT187" i="1"/>
  <c r="DT185" i="1"/>
  <c r="DT183" i="1"/>
  <c r="DT181" i="1"/>
  <c r="DT179" i="1"/>
  <c r="DT177" i="1"/>
  <c r="DT175" i="1"/>
  <c r="DT173" i="1"/>
  <c r="DT171" i="1"/>
  <c r="DT169" i="1"/>
  <c r="DT167" i="1"/>
  <c r="DT165" i="1"/>
  <c r="DT163" i="1"/>
  <c r="DT161" i="1"/>
  <c r="DT159" i="1"/>
  <c r="DT157" i="1"/>
  <c r="DW157" i="1" s="1"/>
  <c r="DT155" i="1"/>
  <c r="DW155" i="1" s="1"/>
  <c r="DT153" i="1"/>
  <c r="DW153" i="1" s="1"/>
  <c r="DT151" i="1"/>
  <c r="DT149" i="1"/>
  <c r="DT147" i="1"/>
  <c r="DW147" i="1" s="1"/>
  <c r="DT145" i="1"/>
  <c r="DW145" i="1" s="1"/>
  <c r="DT75" i="1"/>
  <c r="DT143" i="1"/>
  <c r="DW143" i="1" s="1"/>
  <c r="DT141" i="1"/>
  <c r="DT139" i="1"/>
  <c r="DT137" i="1"/>
  <c r="DT125" i="1"/>
  <c r="DT109" i="1"/>
  <c r="DT87" i="1"/>
  <c r="DT11" i="1"/>
  <c r="BE286" i="1"/>
  <c r="BF286" i="1" s="1"/>
  <c r="AJ91" i="1"/>
  <c r="AK91" i="1" s="1"/>
  <c r="BL286" i="1"/>
  <c r="BO286" i="1" s="1"/>
  <c r="BP286" i="1" s="1"/>
  <c r="BL278" i="1"/>
  <c r="BO278" i="1" s="1"/>
  <c r="BP278" i="1" s="1"/>
  <c r="BL270" i="1"/>
  <c r="BO270" i="1" s="1"/>
  <c r="BP270" i="1" s="1"/>
  <c r="BL266" i="1"/>
  <c r="BO266" i="1" s="1"/>
  <c r="BP266" i="1" s="1"/>
  <c r="BL254" i="1"/>
  <c r="BO254" i="1" s="1"/>
  <c r="BP254" i="1" s="1"/>
  <c r="BL246" i="1"/>
  <c r="BO246" i="1" s="1"/>
  <c r="BP246" i="1" s="1"/>
  <c r="BL242" i="1"/>
  <c r="BO242" i="1" s="1"/>
  <c r="BP242" i="1" s="1"/>
  <c r="BL230" i="1"/>
  <c r="BO230" i="1" s="1"/>
  <c r="BP230" i="1" s="1"/>
  <c r="BL218" i="1"/>
  <c r="BO218" i="1" s="1"/>
  <c r="BP218" i="1" s="1"/>
  <c r="BL214" i="1"/>
  <c r="BO214" i="1" s="1"/>
  <c r="BP214" i="1" s="1"/>
  <c r="BL198" i="1"/>
  <c r="BO198" i="1" s="1"/>
  <c r="BP198" i="1" s="1"/>
  <c r="BL194" i="1"/>
  <c r="BO194" i="1" s="1"/>
  <c r="BP194" i="1" s="1"/>
  <c r="BL182" i="1"/>
  <c r="BO182" i="1" s="1"/>
  <c r="BP182" i="1" s="1"/>
  <c r="BL166" i="1"/>
  <c r="BO166" i="1" s="1"/>
  <c r="BP166" i="1" s="1"/>
  <c r="BL158" i="1"/>
  <c r="BO158" i="1" s="1"/>
  <c r="BP158" i="1" s="1"/>
  <c r="BL154" i="1"/>
  <c r="BO154" i="1" s="1"/>
  <c r="BP154" i="1" s="1"/>
  <c r="BL150" i="1"/>
  <c r="BO150" i="1" s="1"/>
  <c r="BP150" i="1" s="1"/>
  <c r="BL142" i="1"/>
  <c r="BO142" i="1" s="1"/>
  <c r="BP142" i="1" s="1"/>
  <c r="BL138" i="1"/>
  <c r="BO138" i="1" s="1"/>
  <c r="BP138" i="1" s="1"/>
  <c r="BL134" i="1"/>
  <c r="BO134" i="1" s="1"/>
  <c r="BP134" i="1" s="1"/>
  <c r="BL130" i="1"/>
  <c r="BO130" i="1" s="1"/>
  <c r="BP130" i="1" s="1"/>
  <c r="BL118" i="1"/>
  <c r="BO118" i="1" s="1"/>
  <c r="BP118" i="1" s="1"/>
  <c r="BL114" i="1"/>
  <c r="BO114" i="1" s="1"/>
  <c r="BP114" i="1" s="1"/>
  <c r="BL110" i="1"/>
  <c r="BO110" i="1" s="1"/>
  <c r="BP110" i="1" s="1"/>
  <c r="BL106" i="1"/>
  <c r="BO106" i="1" s="1"/>
  <c r="BP106" i="1" s="1"/>
  <c r="BL94" i="1"/>
  <c r="BO94" i="1" s="1"/>
  <c r="BP94" i="1" s="1"/>
  <c r="BL86" i="1"/>
  <c r="BO86" i="1" s="1"/>
  <c r="BP86" i="1" s="1"/>
  <c r="BL78" i="1"/>
  <c r="CF265" i="1"/>
  <c r="CI265" i="1" s="1"/>
  <c r="CJ265" i="1" s="1"/>
  <c r="CF201" i="1"/>
  <c r="CI201" i="1" s="1"/>
  <c r="CJ201" i="1" s="1"/>
  <c r="CF137" i="1"/>
  <c r="CJ137" i="1" s="1"/>
  <c r="CF73" i="1"/>
  <c r="CI73" i="1" s="1"/>
  <c r="CJ73" i="1" s="1"/>
  <c r="CF9" i="1"/>
  <c r="CI9" i="1" s="1"/>
  <c r="CJ9" i="1" s="1"/>
  <c r="AG296" i="1"/>
  <c r="AJ296" i="1" s="1"/>
  <c r="AK296" i="1" s="1"/>
  <c r="AG292" i="1"/>
  <c r="AJ292" i="1" s="1"/>
  <c r="AG288" i="1"/>
  <c r="AJ288" i="1" s="1"/>
  <c r="AG280" i="1"/>
  <c r="AJ280" i="1" s="1"/>
  <c r="AG276" i="1"/>
  <c r="AJ276" i="1" s="1"/>
  <c r="AK276" i="1" s="1"/>
  <c r="AG272" i="1"/>
  <c r="AJ272" i="1" s="1"/>
  <c r="AK272" i="1" s="1"/>
  <c r="AG264" i="1"/>
  <c r="AJ264" i="1" s="1"/>
  <c r="AG260" i="1"/>
  <c r="AJ260" i="1" s="1"/>
  <c r="AG256" i="1"/>
  <c r="AJ256" i="1" s="1"/>
  <c r="AK256" i="1" s="1"/>
  <c r="AG248" i="1"/>
  <c r="AJ248" i="1" s="1"/>
  <c r="AK248" i="1" s="1"/>
  <c r="AG244" i="1"/>
  <c r="AJ244" i="1" s="1"/>
  <c r="AG240" i="1"/>
  <c r="AJ240" i="1" s="1"/>
  <c r="AG232" i="1"/>
  <c r="AJ232" i="1" s="1"/>
  <c r="AK232" i="1" s="1"/>
  <c r="AG228" i="1"/>
  <c r="AJ228" i="1" s="1"/>
  <c r="AK228" i="1" s="1"/>
  <c r="AG224" i="1"/>
  <c r="AJ224" i="1" s="1"/>
  <c r="AG216" i="1"/>
  <c r="AJ216" i="1" s="1"/>
  <c r="AG212" i="1"/>
  <c r="AJ212" i="1" s="1"/>
  <c r="AK212" i="1" s="1"/>
  <c r="AG208" i="1"/>
  <c r="AJ208" i="1" s="1"/>
  <c r="AK208" i="1" s="1"/>
  <c r="AG200" i="1"/>
  <c r="AJ200" i="1" s="1"/>
  <c r="AG196" i="1"/>
  <c r="AJ196" i="1" s="1"/>
  <c r="AG192" i="1"/>
  <c r="AJ192" i="1" s="1"/>
  <c r="AK192" i="1" s="1"/>
  <c r="AG184" i="1"/>
  <c r="AJ184" i="1" s="1"/>
  <c r="AG180" i="1"/>
  <c r="AJ180" i="1" s="1"/>
  <c r="AG176" i="1"/>
  <c r="AJ176" i="1" s="1"/>
  <c r="AG168" i="1"/>
  <c r="AJ168" i="1" s="1"/>
  <c r="AK168" i="1" s="1"/>
  <c r="AG164" i="1"/>
  <c r="AJ164" i="1" s="1"/>
  <c r="AK164" i="1" s="1"/>
  <c r="AG160" i="1"/>
  <c r="AJ160" i="1" s="1"/>
  <c r="AG152" i="1"/>
  <c r="AJ152" i="1" s="1"/>
  <c r="AG148" i="1"/>
  <c r="AJ148" i="1" s="1"/>
  <c r="AK148" i="1" s="1"/>
  <c r="AG144" i="1"/>
  <c r="AJ144" i="1" s="1"/>
  <c r="AK144" i="1" s="1"/>
  <c r="AG136" i="1"/>
  <c r="AJ136" i="1" s="1"/>
  <c r="AK136" i="1" s="1"/>
  <c r="AG132" i="1"/>
  <c r="AJ132" i="1" s="1"/>
  <c r="AK132" i="1" s="1"/>
  <c r="AG128" i="1"/>
  <c r="AJ128" i="1" s="1"/>
  <c r="AK128" i="1" s="1"/>
  <c r="AG120" i="1"/>
  <c r="AJ120" i="1" s="1"/>
  <c r="AK120" i="1" s="1"/>
  <c r="AG116" i="1"/>
  <c r="AJ116" i="1" s="1"/>
  <c r="AK116" i="1" s="1"/>
  <c r="AG112" i="1"/>
  <c r="AJ112" i="1" s="1"/>
  <c r="AK112" i="1" s="1"/>
  <c r="AG100" i="1"/>
  <c r="AJ100" i="1" s="1"/>
  <c r="AK100" i="1" s="1"/>
  <c r="AG96" i="1"/>
  <c r="AJ96" i="1" s="1"/>
  <c r="AK96" i="1" s="1"/>
  <c r="AG88" i="1"/>
  <c r="AJ88" i="1" s="1"/>
  <c r="AG84" i="1"/>
  <c r="AJ84" i="1" s="1"/>
  <c r="AK84" i="1" s="1"/>
  <c r="AG80" i="1"/>
  <c r="AJ80" i="1" s="1"/>
  <c r="AK80" i="1" s="1"/>
  <c r="AG72" i="1"/>
  <c r="AJ72" i="1" s="1"/>
  <c r="AK72" i="1" s="1"/>
  <c r="AG68" i="1"/>
  <c r="AG64" i="1"/>
  <c r="AJ64" i="1" s="1"/>
  <c r="AK64" i="1" s="1"/>
  <c r="AG56" i="1"/>
  <c r="AJ56" i="1" s="1"/>
  <c r="AK56" i="1" s="1"/>
  <c r="AG52" i="1"/>
  <c r="AJ52" i="1" s="1"/>
  <c r="AG48" i="1"/>
  <c r="AJ48" i="1" s="1"/>
  <c r="AG40" i="1"/>
  <c r="AJ40" i="1" s="1"/>
  <c r="AK40" i="1" s="1"/>
  <c r="AG36" i="1"/>
  <c r="AJ36" i="1" s="1"/>
  <c r="AK36" i="1" s="1"/>
  <c r="AG32" i="1"/>
  <c r="AJ32" i="1" s="1"/>
  <c r="AG24" i="1"/>
  <c r="AJ24" i="1" s="1"/>
  <c r="AK24" i="1" s="1"/>
  <c r="AG20" i="1"/>
  <c r="AJ20" i="1" s="1"/>
  <c r="AK20" i="1" s="1"/>
  <c r="AG16" i="1"/>
  <c r="AJ16" i="1" s="1"/>
  <c r="AK16" i="1" s="1"/>
  <c r="AG8" i="1"/>
  <c r="AJ8" i="1" s="1"/>
  <c r="AG4" i="1"/>
  <c r="AK4" i="1" s="1"/>
  <c r="AQ295" i="1"/>
  <c r="AT295" i="1" s="1"/>
  <c r="AU295" i="1" s="1"/>
  <c r="AQ285" i="1"/>
  <c r="AT285" i="1" s="1"/>
  <c r="AU285" i="1" s="1"/>
  <c r="AQ279" i="1"/>
  <c r="AT279" i="1" s="1"/>
  <c r="AQ269" i="1"/>
  <c r="AT269" i="1" s="1"/>
  <c r="AU269" i="1" s="1"/>
  <c r="AQ263" i="1"/>
  <c r="AT263" i="1" s="1"/>
  <c r="AU263" i="1" s="1"/>
  <c r="AQ257" i="1"/>
  <c r="AT257" i="1" s="1"/>
  <c r="AU257" i="1" s="1"/>
  <c r="AQ249" i="1"/>
  <c r="AT249" i="1" s="1"/>
  <c r="AU249" i="1" s="1"/>
  <c r="AQ241" i="1"/>
  <c r="AT241" i="1" s="1"/>
  <c r="AU241" i="1" s="1"/>
  <c r="AQ233" i="1"/>
  <c r="AT233" i="1" s="1"/>
  <c r="AU233" i="1" s="1"/>
  <c r="AQ225" i="1"/>
  <c r="AT225" i="1" s="1"/>
  <c r="AU225" i="1" s="1"/>
  <c r="AQ217" i="1"/>
  <c r="AT217" i="1" s="1"/>
  <c r="AU217" i="1" s="1"/>
  <c r="AQ209" i="1"/>
  <c r="AT209" i="1" s="1"/>
  <c r="AU209" i="1" s="1"/>
  <c r="AQ201" i="1"/>
  <c r="AT201" i="1" s="1"/>
  <c r="AU201" i="1" s="1"/>
  <c r="AQ193" i="1"/>
  <c r="AU193" i="1" s="1"/>
  <c r="AQ185" i="1"/>
  <c r="AT185" i="1" s="1"/>
  <c r="AU185" i="1" s="1"/>
  <c r="AQ177" i="1"/>
  <c r="AT177" i="1" s="1"/>
  <c r="AU177" i="1" s="1"/>
  <c r="AQ169" i="1"/>
  <c r="AT169" i="1" s="1"/>
  <c r="AU169" i="1" s="1"/>
  <c r="AQ161" i="1"/>
  <c r="AT161" i="1" s="1"/>
  <c r="AU161" i="1" s="1"/>
  <c r="AQ153" i="1"/>
  <c r="AT153" i="1" s="1"/>
  <c r="AU153" i="1" s="1"/>
  <c r="AQ145" i="1"/>
  <c r="AT145" i="1" s="1"/>
  <c r="AU145" i="1" s="1"/>
  <c r="AQ135" i="1"/>
  <c r="AT135" i="1" s="1"/>
  <c r="AU135" i="1" s="1"/>
  <c r="AQ103" i="1"/>
  <c r="AT103" i="1" s="1"/>
  <c r="AU103" i="1" s="1"/>
  <c r="AQ71" i="1"/>
  <c r="AT71" i="1" s="1"/>
  <c r="AQ39" i="1"/>
  <c r="AQ7" i="1"/>
  <c r="AT7" i="1" s="1"/>
  <c r="AU7" i="1" s="1"/>
  <c r="CP278" i="1"/>
  <c r="CP250" i="1"/>
  <c r="CS250" i="1" s="1"/>
  <c r="CT250" i="1" s="1"/>
  <c r="CP170" i="1"/>
  <c r="CS170" i="1" s="1"/>
  <c r="CT170" i="1" s="1"/>
  <c r="CP134" i="1"/>
  <c r="CS134" i="1" s="1"/>
  <c r="CT134" i="1" s="1"/>
  <c r="CP70" i="1"/>
  <c r="CS70" i="1" s="1"/>
  <c r="CT70" i="1" s="1"/>
  <c r="CP36" i="1"/>
  <c r="CS36" i="1" s="1"/>
  <c r="BL298" i="1"/>
  <c r="BO298" i="1" s="1"/>
  <c r="BP298" i="1" s="1"/>
  <c r="BL294" i="1"/>
  <c r="BO294" i="1" s="1"/>
  <c r="BP294" i="1" s="1"/>
  <c r="BL290" i="1"/>
  <c r="BO290" i="1" s="1"/>
  <c r="BP290" i="1" s="1"/>
  <c r="BL282" i="1"/>
  <c r="BO282" i="1" s="1"/>
  <c r="BP282" i="1" s="1"/>
  <c r="BL274" i="1"/>
  <c r="BO274" i="1" s="1"/>
  <c r="BP274" i="1" s="1"/>
  <c r="BL262" i="1"/>
  <c r="BO262" i="1" s="1"/>
  <c r="BP262" i="1" s="1"/>
  <c r="BL258" i="1"/>
  <c r="BO258" i="1" s="1"/>
  <c r="BP258" i="1" s="1"/>
  <c r="BL250" i="1"/>
  <c r="BO250" i="1" s="1"/>
  <c r="BP250" i="1" s="1"/>
  <c r="BL238" i="1"/>
  <c r="BO238" i="1" s="1"/>
  <c r="BP238" i="1" s="1"/>
  <c r="BL234" i="1"/>
  <c r="BO234" i="1" s="1"/>
  <c r="BP234" i="1" s="1"/>
  <c r="BL226" i="1"/>
  <c r="BO226" i="1" s="1"/>
  <c r="BP226" i="1" s="1"/>
  <c r="BL222" i="1"/>
  <c r="BO222" i="1" s="1"/>
  <c r="BP222" i="1" s="1"/>
  <c r="BL210" i="1"/>
  <c r="BO210" i="1" s="1"/>
  <c r="BP210" i="1" s="1"/>
  <c r="BL206" i="1"/>
  <c r="BO206" i="1" s="1"/>
  <c r="BP206" i="1" s="1"/>
  <c r="BL202" i="1"/>
  <c r="BO202" i="1" s="1"/>
  <c r="BP202" i="1" s="1"/>
  <c r="BL190" i="1"/>
  <c r="BO190" i="1" s="1"/>
  <c r="BP190" i="1" s="1"/>
  <c r="BL186" i="1"/>
  <c r="BO186" i="1" s="1"/>
  <c r="BP186" i="1" s="1"/>
  <c r="BL178" i="1"/>
  <c r="BO178" i="1" s="1"/>
  <c r="BP178" i="1" s="1"/>
  <c r="BL174" i="1"/>
  <c r="BO174" i="1" s="1"/>
  <c r="BP174" i="1" s="1"/>
  <c r="BL170" i="1"/>
  <c r="BO170" i="1" s="1"/>
  <c r="BP170" i="1" s="1"/>
  <c r="BL162" i="1"/>
  <c r="BO162" i="1" s="1"/>
  <c r="BP162" i="1" s="1"/>
  <c r="BL146" i="1"/>
  <c r="BP146" i="1" s="1"/>
  <c r="BL126" i="1"/>
  <c r="BO126" i="1" s="1"/>
  <c r="BP126" i="1" s="1"/>
  <c r="BL122" i="1"/>
  <c r="BO122" i="1" s="1"/>
  <c r="BP122" i="1" s="1"/>
  <c r="BL102" i="1"/>
  <c r="BO102" i="1" s="1"/>
  <c r="BL98" i="1"/>
  <c r="BO98" i="1" s="1"/>
  <c r="BP98" i="1" s="1"/>
  <c r="BL90" i="1"/>
  <c r="BO90" i="1" s="1"/>
  <c r="BL82" i="1"/>
  <c r="BO82" i="1" s="1"/>
  <c r="BP82" i="1" s="1"/>
  <c r="AG291" i="1"/>
  <c r="AJ291" i="1" s="1"/>
  <c r="AK291" i="1" s="1"/>
  <c r="AG287" i="1"/>
  <c r="AJ287" i="1" s="1"/>
  <c r="AK287" i="1" s="1"/>
  <c r="AG275" i="1"/>
  <c r="AJ275" i="1" s="1"/>
  <c r="AK275" i="1" s="1"/>
  <c r="AG271" i="1"/>
  <c r="AJ271" i="1" s="1"/>
  <c r="AK271" i="1" s="1"/>
  <c r="AG259" i="1"/>
  <c r="AJ259" i="1" s="1"/>
  <c r="AK259" i="1" s="1"/>
  <c r="AG255" i="1"/>
  <c r="AJ255" i="1" s="1"/>
  <c r="AK255" i="1" s="1"/>
  <c r="AG243" i="1"/>
  <c r="AJ243" i="1" s="1"/>
  <c r="AK243" i="1" s="1"/>
  <c r="AG239" i="1"/>
  <c r="AJ239" i="1" s="1"/>
  <c r="AK239" i="1" s="1"/>
  <c r="AG227" i="1"/>
  <c r="AJ227" i="1" s="1"/>
  <c r="AK227" i="1" s="1"/>
  <c r="AG223" i="1"/>
  <c r="AJ223" i="1" s="1"/>
  <c r="AK223" i="1" s="1"/>
  <c r="AG211" i="1"/>
  <c r="AJ211" i="1" s="1"/>
  <c r="AK211" i="1" s="1"/>
  <c r="AG207" i="1"/>
  <c r="AJ207" i="1" s="1"/>
  <c r="AK207" i="1" s="1"/>
  <c r="AG195" i="1"/>
  <c r="AJ195" i="1" s="1"/>
  <c r="AK195" i="1" s="1"/>
  <c r="AG191" i="1"/>
  <c r="AJ191" i="1" s="1"/>
  <c r="AK191" i="1" s="1"/>
  <c r="AG179" i="1"/>
  <c r="AJ179" i="1" s="1"/>
  <c r="AK179" i="1" s="1"/>
  <c r="AG175" i="1"/>
  <c r="AJ175" i="1" s="1"/>
  <c r="AK175" i="1" s="1"/>
  <c r="AG163" i="1"/>
  <c r="AJ163" i="1" s="1"/>
  <c r="AK163" i="1" s="1"/>
  <c r="AG159" i="1"/>
  <c r="AJ159" i="1" s="1"/>
  <c r="AK159" i="1" s="1"/>
  <c r="AG147" i="1"/>
  <c r="AJ147" i="1" s="1"/>
  <c r="AK147" i="1" s="1"/>
  <c r="AG143" i="1"/>
  <c r="AJ143" i="1" s="1"/>
  <c r="AK143" i="1" s="1"/>
  <c r="AG131" i="1"/>
  <c r="AJ131" i="1" s="1"/>
  <c r="AK131" i="1" s="1"/>
  <c r="AG127" i="1"/>
  <c r="AJ127" i="1" s="1"/>
  <c r="AK127" i="1" s="1"/>
  <c r="AG115" i="1"/>
  <c r="AJ115" i="1" s="1"/>
  <c r="AK115" i="1" s="1"/>
  <c r="AG111" i="1"/>
  <c r="AJ111" i="1" s="1"/>
  <c r="AK111" i="1" s="1"/>
  <c r="AG99" i="1"/>
  <c r="AJ99" i="1" s="1"/>
  <c r="AK99" i="1" s="1"/>
  <c r="AG95" i="1"/>
  <c r="AJ95" i="1" s="1"/>
  <c r="AK95" i="1" s="1"/>
  <c r="AG83" i="1"/>
  <c r="AJ83" i="1" s="1"/>
  <c r="AK83" i="1" s="1"/>
  <c r="AG79" i="1"/>
  <c r="AJ79" i="1" s="1"/>
  <c r="AK79" i="1" s="1"/>
  <c r="AG67" i="1"/>
  <c r="AJ67" i="1" s="1"/>
  <c r="AK67" i="1" s="1"/>
  <c r="AG63" i="1"/>
  <c r="AJ63" i="1" s="1"/>
  <c r="AK63" i="1" s="1"/>
  <c r="AG51" i="1"/>
  <c r="AJ51" i="1" s="1"/>
  <c r="AK51" i="1" s="1"/>
  <c r="AG47" i="1"/>
  <c r="AJ47" i="1" s="1"/>
  <c r="AK47" i="1" s="1"/>
  <c r="AG35" i="1"/>
  <c r="AJ35" i="1" s="1"/>
  <c r="AK35" i="1" s="1"/>
  <c r="AG31" i="1"/>
  <c r="AJ31" i="1" s="1"/>
  <c r="AK31" i="1" s="1"/>
  <c r="AG19" i="1"/>
  <c r="AJ19" i="1" s="1"/>
  <c r="AK19" i="1" s="1"/>
  <c r="AG15" i="1"/>
  <c r="AJ15" i="1" s="1"/>
  <c r="AK15" i="1" s="1"/>
  <c r="AG3" i="1"/>
  <c r="AJ3" i="1" s="1"/>
  <c r="AK3" i="1" s="1"/>
  <c r="AQ2" i="1"/>
  <c r="AT2" i="1" s="1"/>
  <c r="AU2" i="1" s="1"/>
  <c r="BV220" i="1"/>
  <c r="BY220" i="1" s="1"/>
  <c r="BZ220" i="1" s="1"/>
  <c r="BV218" i="1"/>
  <c r="BY218" i="1" s="1"/>
  <c r="BZ218" i="1" s="1"/>
  <c r="BV216" i="1"/>
  <c r="BY216" i="1" s="1"/>
  <c r="BZ216" i="1" s="1"/>
  <c r="BV214" i="1"/>
  <c r="BY214" i="1" s="1"/>
  <c r="BZ214" i="1" s="1"/>
  <c r="BV212" i="1"/>
  <c r="BY212" i="1" s="1"/>
  <c r="BZ212" i="1" s="1"/>
  <c r="BV210" i="1"/>
  <c r="BY210" i="1" s="1"/>
  <c r="BZ210" i="1" s="1"/>
  <c r="BV208" i="1"/>
  <c r="BY208" i="1" s="1"/>
  <c r="BZ208" i="1" s="1"/>
  <c r="BV206" i="1"/>
  <c r="BY206" i="1" s="1"/>
  <c r="BV204" i="1"/>
  <c r="BY204" i="1" s="1"/>
  <c r="BZ204" i="1" s="1"/>
  <c r="BV202" i="1"/>
  <c r="BV200" i="1"/>
  <c r="BY200" i="1" s="1"/>
  <c r="BZ200" i="1" s="1"/>
  <c r="BV198" i="1"/>
  <c r="BY198" i="1" s="1"/>
  <c r="BZ198" i="1" s="1"/>
  <c r="BV196" i="1"/>
  <c r="BY196" i="1" s="1"/>
  <c r="BZ196" i="1" s="1"/>
  <c r="BV194" i="1"/>
  <c r="BV192" i="1"/>
  <c r="BY192" i="1" s="1"/>
  <c r="BV190" i="1"/>
  <c r="BY190" i="1" s="1"/>
  <c r="BZ190" i="1" s="1"/>
  <c r="BV188" i="1"/>
  <c r="BY188" i="1" s="1"/>
  <c r="BZ188" i="1" s="1"/>
  <c r="BV186" i="1"/>
  <c r="BY186" i="1" s="1"/>
  <c r="BZ186" i="1" s="1"/>
  <c r="BV184" i="1"/>
  <c r="BY184" i="1" s="1"/>
  <c r="BV182" i="1"/>
  <c r="BY182" i="1" s="1"/>
  <c r="BZ182" i="1" s="1"/>
  <c r="BV180" i="1"/>
  <c r="BY180" i="1" s="1"/>
  <c r="BZ180" i="1" s="1"/>
  <c r="BV178" i="1"/>
  <c r="BY178" i="1" s="1"/>
  <c r="BZ178" i="1" s="1"/>
  <c r="BV176" i="1"/>
  <c r="BY176" i="1" s="1"/>
  <c r="BV174" i="1"/>
  <c r="BY174" i="1" s="1"/>
  <c r="BZ174" i="1" s="1"/>
  <c r="BV172" i="1"/>
  <c r="BY172" i="1" s="1"/>
  <c r="BZ172" i="1" s="1"/>
  <c r="BV170" i="1"/>
  <c r="BY170" i="1" s="1"/>
  <c r="BZ170" i="1" s="1"/>
  <c r="BV168" i="1"/>
  <c r="BV166" i="1"/>
  <c r="BY166" i="1" s="1"/>
  <c r="BV164" i="1"/>
  <c r="BY164" i="1" s="1"/>
  <c r="BZ164" i="1" s="1"/>
  <c r="BV160" i="1"/>
  <c r="BY160" i="1" s="1"/>
  <c r="BV158" i="1"/>
  <c r="BY158" i="1" s="1"/>
  <c r="BZ158" i="1" s="1"/>
  <c r="BV156" i="1"/>
  <c r="BY156" i="1" s="1"/>
  <c r="BZ156" i="1" s="1"/>
  <c r="BV154" i="1"/>
  <c r="BY154" i="1" s="1"/>
  <c r="BV152" i="1"/>
  <c r="BY152" i="1" s="1"/>
  <c r="BZ152" i="1" s="1"/>
  <c r="BV150" i="1"/>
  <c r="BV148" i="1"/>
  <c r="BY148" i="1" s="1"/>
  <c r="BV146" i="1"/>
  <c r="BZ146" i="1" s="1"/>
  <c r="BV144" i="1"/>
  <c r="BY144" i="1" s="1"/>
  <c r="BZ144" i="1" s="1"/>
  <c r="BV142" i="1"/>
  <c r="BV140" i="1"/>
  <c r="BY140" i="1" s="1"/>
  <c r="BV138" i="1"/>
  <c r="BY138" i="1" s="1"/>
  <c r="BZ138" i="1" s="1"/>
  <c r="BV136" i="1"/>
  <c r="BY136" i="1" s="1"/>
  <c r="BZ136" i="1" s="1"/>
  <c r="BV132" i="1"/>
  <c r="BV130" i="1"/>
  <c r="BY130" i="1" s="1"/>
  <c r="BZ130" i="1" s="1"/>
  <c r="BV128" i="1"/>
  <c r="BY128" i="1" s="1"/>
  <c r="BV126" i="1"/>
  <c r="BY126" i="1" s="1"/>
  <c r="BZ126" i="1" s="1"/>
  <c r="BV124" i="1"/>
  <c r="BY124" i="1" s="1"/>
  <c r="BZ124" i="1" s="1"/>
  <c r="BV122" i="1"/>
  <c r="BY122" i="1" s="1"/>
  <c r="BZ122" i="1" s="1"/>
  <c r="BV120" i="1"/>
  <c r="BY120" i="1" s="1"/>
  <c r="BV118" i="1"/>
  <c r="BY118" i="1" s="1"/>
  <c r="BZ118" i="1" s="1"/>
  <c r="BV116" i="1"/>
  <c r="BY116" i="1" s="1"/>
  <c r="BZ116" i="1" s="1"/>
  <c r="BV114" i="1"/>
  <c r="BY114" i="1" s="1"/>
  <c r="BZ114" i="1" s="1"/>
  <c r="BV112" i="1"/>
  <c r="BY112" i="1" s="1"/>
  <c r="BZ112" i="1" s="1"/>
  <c r="BV110" i="1"/>
  <c r="BY110" i="1" s="1"/>
  <c r="BZ110" i="1" s="1"/>
  <c r="BV108" i="1"/>
  <c r="BY108" i="1" s="1"/>
  <c r="BZ108" i="1" s="1"/>
  <c r="BV102" i="1"/>
  <c r="BV100" i="1"/>
  <c r="BY100" i="1" s="1"/>
  <c r="BZ100" i="1" s="1"/>
  <c r="BV98" i="1"/>
  <c r="BY98" i="1" s="1"/>
  <c r="BZ98" i="1" s="1"/>
  <c r="BV96" i="1"/>
  <c r="BY96" i="1" s="1"/>
  <c r="BZ96" i="1" s="1"/>
  <c r="BV94" i="1"/>
  <c r="BY94" i="1" s="1"/>
  <c r="BV92" i="1"/>
  <c r="BY92" i="1" s="1"/>
  <c r="BZ92" i="1" s="1"/>
  <c r="BV90" i="1"/>
  <c r="BY90" i="1" s="1"/>
  <c r="BZ90" i="1" s="1"/>
  <c r="BV88" i="1"/>
  <c r="BY88" i="1" s="1"/>
  <c r="BZ88" i="1" s="1"/>
  <c r="BV86" i="1"/>
  <c r="BY86" i="1" s="1"/>
  <c r="BV84" i="1"/>
  <c r="BY84" i="1" s="1"/>
  <c r="BZ84" i="1" s="1"/>
  <c r="BV82" i="1"/>
  <c r="BY82" i="1" s="1"/>
  <c r="BZ82" i="1" s="1"/>
  <c r="BV80" i="1"/>
  <c r="BY80" i="1" s="1"/>
  <c r="BZ80" i="1" s="1"/>
  <c r="BV78" i="1"/>
  <c r="BY78" i="1" s="1"/>
  <c r="BV76" i="1"/>
  <c r="BY76" i="1" s="1"/>
  <c r="BZ76" i="1" s="1"/>
  <c r="BV74" i="1"/>
  <c r="BY74" i="1" s="1"/>
  <c r="BZ74" i="1" s="1"/>
  <c r="BV72" i="1"/>
  <c r="BY72" i="1" s="1"/>
  <c r="BZ72" i="1" s="1"/>
  <c r="BV70" i="1"/>
  <c r="BY70" i="1" s="1"/>
  <c r="BZ70" i="1" s="1"/>
  <c r="BV68" i="1"/>
  <c r="BY68" i="1" s="1"/>
  <c r="BZ68" i="1" s="1"/>
  <c r="BV66" i="1"/>
  <c r="BY66" i="1" s="1"/>
  <c r="BZ66" i="1" s="1"/>
  <c r="BV64" i="1"/>
  <c r="BY64" i="1" s="1"/>
  <c r="BZ64" i="1" s="1"/>
  <c r="BV62" i="1"/>
  <c r="BY62" i="1" s="1"/>
  <c r="BZ62" i="1" s="1"/>
  <c r="BV60" i="1"/>
  <c r="BY60" i="1" s="1"/>
  <c r="BZ60" i="1" s="1"/>
  <c r="BV58" i="1"/>
  <c r="BY58" i="1" s="1"/>
  <c r="BZ58" i="1" s="1"/>
  <c r="BV56" i="1"/>
  <c r="BY56" i="1" s="1"/>
  <c r="BZ56" i="1" s="1"/>
  <c r="BV54" i="1"/>
  <c r="BY54" i="1" s="1"/>
  <c r="BZ54" i="1" s="1"/>
  <c r="BV52" i="1"/>
  <c r="BY52" i="1" s="1"/>
  <c r="BZ52" i="1" s="1"/>
  <c r="BV50" i="1"/>
  <c r="BY50" i="1" s="1"/>
  <c r="BV48" i="1"/>
  <c r="BY48" i="1" s="1"/>
  <c r="BZ48" i="1" s="1"/>
  <c r="BV46" i="1"/>
  <c r="BY46" i="1" s="1"/>
  <c r="BZ46" i="1" s="1"/>
  <c r="BV44" i="1"/>
  <c r="BY44" i="1" s="1"/>
  <c r="BZ44" i="1" s="1"/>
  <c r="BV42" i="1"/>
  <c r="BV40" i="1"/>
  <c r="BY40" i="1" s="1"/>
  <c r="BZ40" i="1" s="1"/>
  <c r="BV38" i="1"/>
  <c r="BY38" i="1" s="1"/>
  <c r="BV36" i="1"/>
  <c r="BY36" i="1" s="1"/>
  <c r="BZ36" i="1" s="1"/>
  <c r="BV34" i="1"/>
  <c r="BY34" i="1" s="1"/>
  <c r="BV32" i="1"/>
  <c r="BY32" i="1" s="1"/>
  <c r="BZ32" i="1" s="1"/>
  <c r="BV30" i="1"/>
  <c r="BY30" i="1" s="1"/>
  <c r="BZ30" i="1" s="1"/>
  <c r="BV28" i="1"/>
  <c r="BY28" i="1" s="1"/>
  <c r="BZ28" i="1" s="1"/>
  <c r="BV26" i="1"/>
  <c r="BY26" i="1" s="1"/>
  <c r="BZ26" i="1" s="1"/>
  <c r="BV24" i="1"/>
  <c r="BY24" i="1" s="1"/>
  <c r="BZ24" i="1" s="1"/>
  <c r="BV22" i="1"/>
  <c r="BV20" i="1"/>
  <c r="BY20" i="1" s="1"/>
  <c r="BZ20" i="1" s="1"/>
  <c r="BV18" i="1"/>
  <c r="BY18" i="1" s="1"/>
  <c r="BZ18" i="1" s="1"/>
  <c r="BV16" i="1"/>
  <c r="BY16" i="1" s="1"/>
  <c r="BZ16" i="1" s="1"/>
  <c r="BV14" i="1"/>
  <c r="BY14" i="1" s="1"/>
  <c r="BZ14" i="1" s="1"/>
  <c r="BV12" i="1"/>
  <c r="BY12" i="1" s="1"/>
  <c r="BZ12" i="1" s="1"/>
  <c r="BV10" i="1"/>
  <c r="BY10" i="1" s="1"/>
  <c r="BV8" i="1"/>
  <c r="BY8" i="1" s="1"/>
  <c r="BZ8" i="1" s="1"/>
  <c r="BV6" i="1"/>
  <c r="BY6" i="1" s="1"/>
  <c r="BZ6" i="1" s="1"/>
  <c r="BV4" i="1"/>
  <c r="BZ4" i="1" s="1"/>
  <c r="CZ299" i="1"/>
  <c r="DC299" i="1" s="1"/>
  <c r="DD299" i="1" s="1"/>
  <c r="CZ293" i="1"/>
  <c r="DC293" i="1" s="1"/>
  <c r="DD293" i="1" s="1"/>
  <c r="CZ289" i="1"/>
  <c r="DC289" i="1" s="1"/>
  <c r="DD289" i="1" s="1"/>
  <c r="CZ281" i="1"/>
  <c r="DC281" i="1" s="1"/>
  <c r="DD281" i="1" s="1"/>
  <c r="CZ279" i="1"/>
  <c r="DC279" i="1" s="1"/>
  <c r="DD279" i="1" s="1"/>
  <c r="CZ271" i="1"/>
  <c r="DC271" i="1" s="1"/>
  <c r="DD271" i="1" s="1"/>
  <c r="CZ267" i="1"/>
  <c r="DC267" i="1" s="1"/>
  <c r="DD267" i="1" s="1"/>
  <c r="CZ261" i="1"/>
  <c r="DC261" i="1" s="1"/>
  <c r="DD261" i="1" s="1"/>
  <c r="CZ257" i="1"/>
  <c r="DC257" i="1" s="1"/>
  <c r="DD257" i="1" s="1"/>
  <c r="CZ249" i="1"/>
  <c r="DC249" i="1" s="1"/>
  <c r="DD249" i="1" s="1"/>
  <c r="CZ247" i="1"/>
  <c r="DC247" i="1" s="1"/>
  <c r="DD247" i="1" s="1"/>
  <c r="CZ239" i="1"/>
  <c r="DC239" i="1" s="1"/>
  <c r="DD239" i="1" s="1"/>
  <c r="CZ231" i="1"/>
  <c r="DC231" i="1" s="1"/>
  <c r="DD231" i="1" s="1"/>
  <c r="CZ229" i="1"/>
  <c r="DC229" i="1" s="1"/>
  <c r="DD229" i="1" s="1"/>
  <c r="CZ219" i="1"/>
  <c r="DC219" i="1" s="1"/>
  <c r="DD219" i="1" s="1"/>
  <c r="CZ217" i="1"/>
  <c r="DC217" i="1" s="1"/>
  <c r="DD217" i="1" s="1"/>
  <c r="CZ203" i="1"/>
  <c r="DC203" i="1" s="1"/>
  <c r="DD203" i="1" s="1"/>
  <c r="CZ191" i="1"/>
  <c r="DC191" i="1" s="1"/>
  <c r="DD191" i="1" s="1"/>
  <c r="CZ183" i="1"/>
  <c r="DC183" i="1" s="1"/>
  <c r="DD183" i="1" s="1"/>
  <c r="CZ171" i="1"/>
  <c r="DC171" i="1" s="1"/>
  <c r="DD171" i="1" s="1"/>
  <c r="CZ165" i="1"/>
  <c r="DC165" i="1" s="1"/>
  <c r="DD165" i="1" s="1"/>
  <c r="CZ151" i="1"/>
  <c r="DC151" i="1" s="1"/>
  <c r="DD151" i="1" s="1"/>
  <c r="CZ133" i="1"/>
  <c r="DC133" i="1" s="1"/>
  <c r="DD133" i="1" s="1"/>
  <c r="CZ123" i="1"/>
  <c r="DC123" i="1" s="1"/>
  <c r="DD123" i="1" s="1"/>
  <c r="CZ111" i="1"/>
  <c r="DC111" i="1" s="1"/>
  <c r="DD111" i="1" s="1"/>
  <c r="CZ89" i="1"/>
  <c r="DC89" i="1" s="1"/>
  <c r="DD89" i="1" s="1"/>
  <c r="CZ67" i="1"/>
  <c r="DC67" i="1" s="1"/>
  <c r="DD67" i="1" s="1"/>
  <c r="CZ41" i="1"/>
  <c r="DC41" i="1" s="1"/>
  <c r="DD41" i="1" s="1"/>
  <c r="CZ13" i="1"/>
  <c r="DC13" i="1" s="1"/>
  <c r="DD13" i="1" s="1"/>
  <c r="BL68" i="1"/>
  <c r="BO68" i="1" s="1"/>
  <c r="BP68" i="1" s="1"/>
  <c r="BL60" i="1"/>
  <c r="BO60" i="1" s="1"/>
  <c r="BL52" i="1"/>
  <c r="BO52" i="1" s="1"/>
  <c r="BL44" i="1"/>
  <c r="BO44" i="1" s="1"/>
  <c r="BP44" i="1" s="1"/>
  <c r="BL36" i="1"/>
  <c r="BO36" i="1" s="1"/>
  <c r="BL28" i="1"/>
  <c r="BO28" i="1" s="1"/>
  <c r="BP28" i="1" s="1"/>
  <c r="BL20" i="1"/>
  <c r="BO20" i="1" s="1"/>
  <c r="BP20" i="1" s="1"/>
  <c r="BL12" i="1"/>
  <c r="BO12" i="1" s="1"/>
  <c r="BL4" i="1"/>
  <c r="BP4" i="1" s="1"/>
  <c r="BV295" i="1"/>
  <c r="BY295" i="1" s="1"/>
  <c r="BZ295" i="1" s="1"/>
  <c r="BV289" i="1"/>
  <c r="BY289" i="1" s="1"/>
  <c r="BZ289" i="1" s="1"/>
  <c r="BV283" i="1"/>
  <c r="BY283" i="1" s="1"/>
  <c r="BZ283" i="1" s="1"/>
  <c r="BV277" i="1"/>
  <c r="BY277" i="1" s="1"/>
  <c r="BZ277" i="1" s="1"/>
  <c r="BV269" i="1"/>
  <c r="BY269" i="1" s="1"/>
  <c r="BZ269" i="1" s="1"/>
  <c r="BV267" i="1"/>
  <c r="BY267" i="1" s="1"/>
  <c r="BZ267" i="1" s="1"/>
  <c r="BV261" i="1"/>
  <c r="BY261" i="1" s="1"/>
  <c r="BZ261" i="1" s="1"/>
  <c r="BV255" i="1"/>
  <c r="BY255" i="1" s="1"/>
  <c r="BZ255" i="1" s="1"/>
  <c r="BV253" i="1"/>
  <c r="BY253" i="1" s="1"/>
  <c r="BZ253" i="1" s="1"/>
  <c r="BV247" i="1"/>
  <c r="BY247" i="1" s="1"/>
  <c r="BZ247" i="1" s="1"/>
  <c r="BV241" i="1"/>
  <c r="BY241" i="1" s="1"/>
  <c r="BZ241" i="1" s="1"/>
  <c r="BV239" i="1"/>
  <c r="BY239" i="1" s="1"/>
  <c r="BZ239" i="1" s="1"/>
  <c r="BV225" i="1"/>
  <c r="BY225" i="1" s="1"/>
  <c r="BZ225" i="1" s="1"/>
  <c r="BV219" i="1"/>
  <c r="BY219" i="1" s="1"/>
  <c r="BZ219" i="1" s="1"/>
  <c r="BV213" i="1"/>
  <c r="BY213" i="1" s="1"/>
  <c r="BZ213" i="1" s="1"/>
  <c r="BV197" i="1"/>
  <c r="BY197" i="1" s="1"/>
  <c r="BZ197" i="1" s="1"/>
  <c r="BV191" i="1"/>
  <c r="BY191" i="1" s="1"/>
  <c r="BZ191" i="1" s="1"/>
  <c r="BV183" i="1"/>
  <c r="BY183" i="1" s="1"/>
  <c r="BZ183" i="1" s="1"/>
  <c r="BV167" i="1"/>
  <c r="BY167" i="1" s="1"/>
  <c r="BZ167" i="1" s="1"/>
  <c r="BV155" i="1"/>
  <c r="BY155" i="1" s="1"/>
  <c r="BZ155" i="1" s="1"/>
  <c r="BV141" i="1"/>
  <c r="BY141" i="1" s="1"/>
  <c r="BZ141" i="1" s="1"/>
  <c r="BV139" i="1"/>
  <c r="BY139" i="1" s="1"/>
  <c r="BZ139" i="1" s="1"/>
  <c r="BV127" i="1"/>
  <c r="BY127" i="1" s="1"/>
  <c r="BZ127" i="1" s="1"/>
  <c r="BV125" i="1"/>
  <c r="BY125" i="1" s="1"/>
  <c r="BZ125" i="1" s="1"/>
  <c r="BV113" i="1"/>
  <c r="BY113" i="1" s="1"/>
  <c r="BZ113" i="1" s="1"/>
  <c r="BV111" i="1"/>
  <c r="BY111" i="1" s="1"/>
  <c r="BZ111" i="1" s="1"/>
  <c r="BV97" i="1"/>
  <c r="BY97" i="1" s="1"/>
  <c r="BZ97" i="1" s="1"/>
  <c r="BV85" i="1"/>
  <c r="BY85" i="1" s="1"/>
  <c r="BZ85" i="1" s="1"/>
  <c r="BV77" i="1"/>
  <c r="BY77" i="1" s="1"/>
  <c r="BZ77" i="1" s="1"/>
  <c r="BV69" i="1"/>
  <c r="BY69" i="1" s="1"/>
  <c r="BZ69" i="1" s="1"/>
  <c r="CP292" i="1"/>
  <c r="CS292" i="1" s="1"/>
  <c r="CT292" i="1" s="1"/>
  <c r="CP262" i="1"/>
  <c r="CS262" i="1" s="1"/>
  <c r="CT262" i="1" s="1"/>
  <c r="CP222" i="1"/>
  <c r="CS222" i="1" s="1"/>
  <c r="CT222" i="1" s="1"/>
  <c r="CP206" i="1"/>
  <c r="CS206" i="1" s="1"/>
  <c r="CT206" i="1" s="1"/>
  <c r="CP180" i="1"/>
  <c r="CP164" i="1"/>
  <c r="CS164" i="1" s="1"/>
  <c r="CT164" i="1" s="1"/>
  <c r="CP142" i="1"/>
  <c r="CS142" i="1" s="1"/>
  <c r="CT142" i="1" s="1"/>
  <c r="CP128" i="1"/>
  <c r="CS128" i="1" s="1"/>
  <c r="CP108" i="1"/>
  <c r="CS108" i="1" s="1"/>
  <c r="CT108" i="1" s="1"/>
  <c r="CP100" i="1"/>
  <c r="CS100" i="1" s="1"/>
  <c r="CT100" i="1" s="1"/>
  <c r="CP94" i="1"/>
  <c r="CS94" i="1" s="1"/>
  <c r="CT94" i="1" s="1"/>
  <c r="CP80" i="1"/>
  <c r="CS80" i="1" s="1"/>
  <c r="CT80" i="1" s="1"/>
  <c r="CP78" i="1"/>
  <c r="CP64" i="1"/>
  <c r="CS64" i="1" s="1"/>
  <c r="CP42" i="1"/>
  <c r="CS42" i="1" s="1"/>
  <c r="CP28" i="1"/>
  <c r="CP22" i="1"/>
  <c r="CS22" i="1" s="1"/>
  <c r="CT22" i="1" s="1"/>
  <c r="CP6" i="1"/>
  <c r="CS6" i="1" s="1"/>
  <c r="CF2" i="1"/>
  <c r="CI2" i="1" s="1"/>
  <c r="CJ2" i="1" s="1"/>
  <c r="CF296" i="1"/>
  <c r="CI296" i="1" s="1"/>
  <c r="CJ296" i="1" s="1"/>
  <c r="CF294" i="1"/>
  <c r="CI294" i="1" s="1"/>
  <c r="CJ294" i="1" s="1"/>
  <c r="CF290" i="1"/>
  <c r="CI290" i="1" s="1"/>
  <c r="CJ290" i="1" s="1"/>
  <c r="CF284" i="1"/>
  <c r="CI284" i="1" s="1"/>
  <c r="CJ284" i="1" s="1"/>
  <c r="CF280" i="1"/>
  <c r="CI280" i="1" s="1"/>
  <c r="CJ280" i="1" s="1"/>
  <c r="CF278" i="1"/>
  <c r="CI278" i="1" s="1"/>
  <c r="CJ278" i="1" s="1"/>
  <c r="CF274" i="1"/>
  <c r="CI274" i="1" s="1"/>
  <c r="CJ274" i="1" s="1"/>
  <c r="CF268" i="1"/>
  <c r="CI268" i="1" s="1"/>
  <c r="CJ268" i="1" s="1"/>
  <c r="CF264" i="1"/>
  <c r="CI264" i="1" s="1"/>
  <c r="CJ264" i="1" s="1"/>
  <c r="CF262" i="1"/>
  <c r="CI262" i="1" s="1"/>
  <c r="CJ262" i="1" s="1"/>
  <c r="CF258" i="1"/>
  <c r="CI258" i="1" s="1"/>
  <c r="CJ258" i="1" s="1"/>
  <c r="CF252" i="1"/>
  <c r="CI252" i="1" s="1"/>
  <c r="CJ252" i="1" s="1"/>
  <c r="CF248" i="1"/>
  <c r="CI248" i="1" s="1"/>
  <c r="CJ248" i="1" s="1"/>
  <c r="CF246" i="1"/>
  <c r="CI246" i="1" s="1"/>
  <c r="CJ246" i="1" s="1"/>
  <c r="CF242" i="1"/>
  <c r="CI242" i="1" s="1"/>
  <c r="CJ242" i="1" s="1"/>
  <c r="CF236" i="1"/>
  <c r="CI236" i="1" s="1"/>
  <c r="CJ236" i="1" s="1"/>
  <c r="CF232" i="1"/>
  <c r="CI232" i="1" s="1"/>
  <c r="CJ232" i="1" s="1"/>
  <c r="CF230" i="1"/>
  <c r="CI230" i="1" s="1"/>
  <c r="CJ230" i="1" s="1"/>
  <c r="CF226" i="1"/>
  <c r="CI226" i="1" s="1"/>
  <c r="CJ226" i="1" s="1"/>
  <c r="CF220" i="1"/>
  <c r="CI220" i="1" s="1"/>
  <c r="CJ220" i="1" s="1"/>
  <c r="CF216" i="1"/>
  <c r="CI216" i="1" s="1"/>
  <c r="CJ216" i="1" s="1"/>
  <c r="CF214" i="1"/>
  <c r="CI214" i="1" s="1"/>
  <c r="CJ214" i="1" s="1"/>
  <c r="CF210" i="1"/>
  <c r="CI210" i="1" s="1"/>
  <c r="CJ210" i="1" s="1"/>
  <c r="CF204" i="1"/>
  <c r="CI204" i="1" s="1"/>
  <c r="CJ204" i="1" s="1"/>
  <c r="CF200" i="1"/>
  <c r="CI200" i="1" s="1"/>
  <c r="CJ200" i="1" s="1"/>
  <c r="CF198" i="1"/>
  <c r="CI198" i="1" s="1"/>
  <c r="CJ198" i="1" s="1"/>
  <c r="CF194" i="1"/>
  <c r="CI194" i="1" s="1"/>
  <c r="CJ194" i="1" s="1"/>
  <c r="CF188" i="1"/>
  <c r="CI188" i="1" s="1"/>
  <c r="CJ188" i="1" s="1"/>
  <c r="CF184" i="1"/>
  <c r="CI184" i="1" s="1"/>
  <c r="CJ184" i="1" s="1"/>
  <c r="CF182" i="1"/>
  <c r="CI182" i="1" s="1"/>
  <c r="CJ182" i="1" s="1"/>
  <c r="CF178" i="1"/>
  <c r="CI178" i="1" s="1"/>
  <c r="CF172" i="1"/>
  <c r="CI172" i="1" s="1"/>
  <c r="CJ172" i="1" s="1"/>
  <c r="CF168" i="1"/>
  <c r="CI168" i="1" s="1"/>
  <c r="CJ168" i="1" s="1"/>
  <c r="CF166" i="1"/>
  <c r="CI166" i="1" s="1"/>
  <c r="CJ166" i="1" s="1"/>
  <c r="CF162" i="1"/>
  <c r="CI162" i="1" s="1"/>
  <c r="CF156" i="1"/>
  <c r="CI156" i="1" s="1"/>
  <c r="CJ156" i="1" s="1"/>
  <c r="CF152" i="1"/>
  <c r="CI152" i="1" s="1"/>
  <c r="CJ152" i="1" s="1"/>
  <c r="CF150" i="1"/>
  <c r="CI150" i="1" s="1"/>
  <c r="CJ150" i="1" s="1"/>
  <c r="CF146" i="1"/>
  <c r="CJ146" i="1" s="1"/>
  <c r="CF140" i="1"/>
  <c r="CI140" i="1" s="1"/>
  <c r="CJ140" i="1" s="1"/>
  <c r="CF136" i="1"/>
  <c r="CI136" i="1" s="1"/>
  <c r="CJ136" i="1" s="1"/>
  <c r="CF134" i="1"/>
  <c r="CI134" i="1" s="1"/>
  <c r="CJ134" i="1" s="1"/>
  <c r="CF130" i="1"/>
  <c r="CI130" i="1" s="1"/>
  <c r="CF124" i="1"/>
  <c r="CI124" i="1" s="1"/>
  <c r="CJ124" i="1" s="1"/>
  <c r="CF120" i="1"/>
  <c r="CI120" i="1" s="1"/>
  <c r="CF118" i="1"/>
  <c r="CI118" i="1" s="1"/>
  <c r="CF114" i="1"/>
  <c r="CI114" i="1" s="1"/>
  <c r="CF108" i="1"/>
  <c r="CI108" i="1" s="1"/>
  <c r="CJ108" i="1" s="1"/>
  <c r="CF102" i="1"/>
  <c r="CI102" i="1" s="1"/>
  <c r="CJ102" i="1" s="1"/>
  <c r="CF98" i="1"/>
  <c r="CI98" i="1" s="1"/>
  <c r="CF92" i="1"/>
  <c r="CI92" i="1" s="1"/>
  <c r="CF88" i="1"/>
  <c r="CI88" i="1" s="1"/>
  <c r="CJ88" i="1" s="1"/>
  <c r="CF86" i="1"/>
  <c r="CI86" i="1" s="1"/>
  <c r="CF82" i="1"/>
  <c r="CI82" i="1" s="1"/>
  <c r="CF76" i="1"/>
  <c r="CI76" i="1" s="1"/>
  <c r="CJ76" i="1" s="1"/>
  <c r="CF72" i="1"/>
  <c r="CI72" i="1" s="1"/>
  <c r="CJ72" i="1" s="1"/>
  <c r="CF70" i="1"/>
  <c r="CI70" i="1" s="1"/>
  <c r="CJ70" i="1" s="1"/>
  <c r="CF66" i="1"/>
  <c r="CI66" i="1" s="1"/>
  <c r="CF60" i="1"/>
  <c r="CI60" i="1" s="1"/>
  <c r="CJ60" i="1" s="1"/>
  <c r="CF56" i="1"/>
  <c r="CI56" i="1" s="1"/>
  <c r="CJ56" i="1" s="1"/>
  <c r="CF54" i="1"/>
  <c r="CF50" i="1"/>
  <c r="CI50" i="1" s="1"/>
  <c r="CJ50" i="1" s="1"/>
  <c r="CF44" i="1"/>
  <c r="CI44" i="1" s="1"/>
  <c r="CJ44" i="1" s="1"/>
  <c r="CF40" i="1"/>
  <c r="CI40" i="1" s="1"/>
  <c r="CF38" i="1"/>
  <c r="CI38" i="1" s="1"/>
  <c r="CF34" i="1"/>
  <c r="CI34" i="1" s="1"/>
  <c r="CJ34" i="1" s="1"/>
  <c r="CF28" i="1"/>
  <c r="CI28" i="1" s="1"/>
  <c r="CJ28" i="1" s="1"/>
  <c r="CF24" i="1"/>
  <c r="CI24" i="1" s="1"/>
  <c r="CF22" i="1"/>
  <c r="CI22" i="1" s="1"/>
  <c r="CF18" i="1"/>
  <c r="CI18" i="1" s="1"/>
  <c r="CJ18" i="1" s="1"/>
  <c r="CF12" i="1"/>
  <c r="CI12" i="1" s="1"/>
  <c r="CJ12" i="1" s="1"/>
  <c r="CF8" i="1"/>
  <c r="CI8" i="1" s="1"/>
  <c r="CJ8" i="1" s="1"/>
  <c r="CF6" i="1"/>
  <c r="CI6" i="1" s="1"/>
  <c r="CJ6" i="1" s="1"/>
  <c r="CP169" i="1"/>
  <c r="CS169" i="1" s="1"/>
  <c r="CT169" i="1" s="1"/>
  <c r="CP161" i="1"/>
  <c r="CS161" i="1" s="1"/>
  <c r="CT161" i="1" s="1"/>
  <c r="CP153" i="1"/>
  <c r="CS153" i="1" s="1"/>
  <c r="CT153" i="1" s="1"/>
  <c r="CP145" i="1"/>
  <c r="CS145" i="1" s="1"/>
  <c r="CT145" i="1" s="1"/>
  <c r="CP133" i="1"/>
  <c r="CS133" i="1" s="1"/>
  <c r="CT133" i="1" s="1"/>
  <c r="CP117" i="1"/>
  <c r="CS117" i="1" s="1"/>
  <c r="CT117" i="1" s="1"/>
  <c r="CP105" i="1"/>
  <c r="CS105" i="1" s="1"/>
  <c r="CT105" i="1" s="1"/>
  <c r="CP97" i="1"/>
  <c r="CS97" i="1" s="1"/>
  <c r="CT97" i="1" s="1"/>
  <c r="CP89" i="1"/>
  <c r="CS89" i="1" s="1"/>
  <c r="CT89" i="1" s="1"/>
  <c r="CP81" i="1"/>
  <c r="CS81" i="1" s="1"/>
  <c r="CT81" i="1" s="1"/>
  <c r="CP69" i="1"/>
  <c r="CS69" i="1" s="1"/>
  <c r="CT69" i="1" s="1"/>
  <c r="CP53" i="1"/>
  <c r="CS53" i="1" s="1"/>
  <c r="CT53" i="1" s="1"/>
  <c r="CP41" i="1"/>
  <c r="CS41" i="1" s="1"/>
  <c r="CT41" i="1" s="1"/>
  <c r="CP33" i="1"/>
  <c r="CS33" i="1" s="1"/>
  <c r="CT33" i="1" s="1"/>
  <c r="CP25" i="1"/>
  <c r="CS25" i="1" s="1"/>
  <c r="CT25" i="1" s="1"/>
  <c r="CP17" i="1"/>
  <c r="CS17" i="1" s="1"/>
  <c r="CT17" i="1" s="1"/>
  <c r="CP5" i="1"/>
  <c r="CS5" i="1" s="1"/>
  <c r="CT5" i="1" s="1"/>
  <c r="CZ291" i="1"/>
  <c r="DC291" i="1" s="1"/>
  <c r="DD291" i="1" s="1"/>
  <c r="CZ285" i="1"/>
  <c r="DC285" i="1" s="1"/>
  <c r="DD285" i="1" s="1"/>
  <c r="CZ275" i="1"/>
  <c r="DC275" i="1" s="1"/>
  <c r="DD275" i="1" s="1"/>
  <c r="CZ269" i="1"/>
  <c r="DC269" i="1" s="1"/>
  <c r="DD269" i="1" s="1"/>
  <c r="CZ259" i="1"/>
  <c r="DC259" i="1" s="1"/>
  <c r="DD259" i="1" s="1"/>
  <c r="CZ253" i="1"/>
  <c r="DC253" i="1" s="1"/>
  <c r="DD253" i="1" s="1"/>
  <c r="CZ243" i="1"/>
  <c r="DC243" i="1" s="1"/>
  <c r="DD243" i="1" s="1"/>
  <c r="CZ237" i="1"/>
  <c r="DC237" i="1" s="1"/>
  <c r="DD237" i="1" s="1"/>
  <c r="CZ227" i="1"/>
  <c r="DC227" i="1" s="1"/>
  <c r="DD227" i="1" s="1"/>
  <c r="CZ221" i="1"/>
  <c r="DC221" i="1" s="1"/>
  <c r="DD221" i="1" s="1"/>
  <c r="CZ211" i="1"/>
  <c r="DC211" i="1" s="1"/>
  <c r="DD211" i="1" s="1"/>
  <c r="CZ209" i="1"/>
  <c r="DC209" i="1" s="1"/>
  <c r="DD209" i="1" s="1"/>
  <c r="CZ207" i="1"/>
  <c r="DC207" i="1" s="1"/>
  <c r="DD207" i="1" s="1"/>
  <c r="CZ205" i="1"/>
  <c r="DC205" i="1" s="1"/>
  <c r="DD205" i="1" s="1"/>
  <c r="CZ199" i="1"/>
  <c r="DD199" i="1" s="1"/>
  <c r="CZ197" i="1"/>
  <c r="DC197" i="1" s="1"/>
  <c r="DD197" i="1" s="1"/>
  <c r="CZ195" i="1"/>
  <c r="DC195" i="1" s="1"/>
  <c r="DD195" i="1" s="1"/>
  <c r="CZ189" i="1"/>
  <c r="DC189" i="1" s="1"/>
  <c r="DD189" i="1" s="1"/>
  <c r="CZ187" i="1"/>
  <c r="DC187" i="1" s="1"/>
  <c r="DD187" i="1" s="1"/>
  <c r="CZ185" i="1"/>
  <c r="DC185" i="1" s="1"/>
  <c r="DD185" i="1" s="1"/>
  <c r="CZ179" i="1"/>
  <c r="DC179" i="1" s="1"/>
  <c r="DD179" i="1" s="1"/>
  <c r="CZ177" i="1"/>
  <c r="DC177" i="1" s="1"/>
  <c r="DD177" i="1" s="1"/>
  <c r="CZ175" i="1"/>
  <c r="DC175" i="1" s="1"/>
  <c r="DD175" i="1" s="1"/>
  <c r="CZ173" i="1"/>
  <c r="DC173" i="1" s="1"/>
  <c r="DD173" i="1" s="1"/>
  <c r="CZ169" i="1"/>
  <c r="DC169" i="1" s="1"/>
  <c r="DD169" i="1" s="1"/>
  <c r="CZ167" i="1"/>
  <c r="DC167" i="1" s="1"/>
  <c r="DD167" i="1" s="1"/>
  <c r="CZ163" i="1"/>
  <c r="DC163" i="1" s="1"/>
  <c r="DD163" i="1" s="1"/>
  <c r="CZ159" i="1"/>
  <c r="DC159" i="1" s="1"/>
  <c r="DD159" i="1" s="1"/>
  <c r="CZ157" i="1"/>
  <c r="DC157" i="1" s="1"/>
  <c r="DD157" i="1" s="1"/>
  <c r="CZ155" i="1"/>
  <c r="DC155" i="1" s="1"/>
  <c r="DD155" i="1" s="1"/>
  <c r="CZ149" i="1"/>
  <c r="DC149" i="1" s="1"/>
  <c r="DD149" i="1" s="1"/>
  <c r="CZ147" i="1"/>
  <c r="DC147" i="1" s="1"/>
  <c r="DD147" i="1" s="1"/>
  <c r="CZ145" i="1"/>
  <c r="DC145" i="1" s="1"/>
  <c r="DD145" i="1" s="1"/>
  <c r="CZ141" i="1"/>
  <c r="DC141" i="1" s="1"/>
  <c r="DD141" i="1" s="1"/>
  <c r="CZ139" i="1"/>
  <c r="DC139" i="1" s="1"/>
  <c r="DD139" i="1" s="1"/>
  <c r="CZ137" i="1"/>
  <c r="DD137" i="1" s="1"/>
  <c r="CZ131" i="1"/>
  <c r="DC131" i="1" s="1"/>
  <c r="DD131" i="1" s="1"/>
  <c r="CZ129" i="1"/>
  <c r="DC129" i="1" s="1"/>
  <c r="DD129" i="1" s="1"/>
  <c r="CZ127" i="1"/>
  <c r="DC127" i="1" s="1"/>
  <c r="DD127" i="1" s="1"/>
  <c r="CZ125" i="1"/>
  <c r="DC125" i="1" s="1"/>
  <c r="DD125" i="1" s="1"/>
  <c r="CZ119" i="1"/>
  <c r="DC119" i="1" s="1"/>
  <c r="DD119" i="1" s="1"/>
  <c r="CZ117" i="1"/>
  <c r="DC117" i="1" s="1"/>
  <c r="DD117" i="1" s="1"/>
  <c r="CZ115" i="1"/>
  <c r="DC115" i="1" s="1"/>
  <c r="DD115" i="1" s="1"/>
  <c r="CZ109" i="1"/>
  <c r="DC109" i="1" s="1"/>
  <c r="DD109" i="1" s="1"/>
  <c r="CZ107" i="1"/>
  <c r="DC107" i="1" s="1"/>
  <c r="DD107" i="1" s="1"/>
  <c r="CZ105" i="1"/>
  <c r="DC105" i="1" s="1"/>
  <c r="DD105" i="1" s="1"/>
  <c r="CZ99" i="1"/>
  <c r="DC99" i="1" s="1"/>
  <c r="DD99" i="1" s="1"/>
  <c r="CZ97" i="1"/>
  <c r="DC97" i="1" s="1"/>
  <c r="DD97" i="1" s="1"/>
  <c r="CZ95" i="1"/>
  <c r="DC95" i="1" s="1"/>
  <c r="DD95" i="1" s="1"/>
  <c r="CZ93" i="1"/>
  <c r="DC93" i="1" s="1"/>
  <c r="DD93" i="1" s="1"/>
  <c r="CZ87" i="1"/>
  <c r="DC87" i="1" s="1"/>
  <c r="DD87" i="1" s="1"/>
  <c r="CZ85" i="1"/>
  <c r="DC85" i="1" s="1"/>
  <c r="DD85" i="1" s="1"/>
  <c r="CZ83" i="1"/>
  <c r="DC83" i="1" s="1"/>
  <c r="DD83" i="1" s="1"/>
  <c r="CZ77" i="1"/>
  <c r="DC77" i="1" s="1"/>
  <c r="DD77" i="1" s="1"/>
  <c r="CZ75" i="1"/>
  <c r="DC75" i="1" s="1"/>
  <c r="DD75" i="1" s="1"/>
  <c r="CZ73" i="1"/>
  <c r="DC73" i="1" s="1"/>
  <c r="DD73" i="1" s="1"/>
  <c r="CZ69" i="1"/>
  <c r="DC69" i="1" s="1"/>
  <c r="DD69" i="1" s="1"/>
  <c r="CZ65" i="1"/>
  <c r="DC65" i="1" s="1"/>
  <c r="DD65" i="1" s="1"/>
  <c r="CZ63" i="1"/>
  <c r="DC63" i="1" s="1"/>
  <c r="DD63" i="1" s="1"/>
  <c r="CZ61" i="1"/>
  <c r="DD61" i="1" s="1"/>
  <c r="CZ59" i="1"/>
  <c r="DC59" i="1" s="1"/>
  <c r="DD59" i="1" s="1"/>
  <c r="CZ55" i="1"/>
  <c r="DC55" i="1" s="1"/>
  <c r="DD55" i="1" s="1"/>
  <c r="CZ53" i="1"/>
  <c r="DC53" i="1" s="1"/>
  <c r="DD53" i="1" s="1"/>
  <c r="CZ51" i="1"/>
  <c r="DC51" i="1" s="1"/>
  <c r="DD51" i="1" s="1"/>
  <c r="CZ49" i="1"/>
  <c r="DC49" i="1" s="1"/>
  <c r="DD49" i="1" s="1"/>
  <c r="CZ47" i="1"/>
  <c r="DC47" i="1" s="1"/>
  <c r="DD47" i="1" s="1"/>
  <c r="CZ43" i="1"/>
  <c r="DC43" i="1" s="1"/>
  <c r="DD43" i="1" s="1"/>
  <c r="CZ39" i="1"/>
  <c r="DC39" i="1" s="1"/>
  <c r="DD39" i="1" s="1"/>
  <c r="CZ37" i="1"/>
  <c r="DC37" i="1" s="1"/>
  <c r="DD37" i="1" s="1"/>
  <c r="CZ35" i="1"/>
  <c r="DC35" i="1" s="1"/>
  <c r="DD35" i="1" s="1"/>
  <c r="CZ33" i="1"/>
  <c r="DC33" i="1" s="1"/>
  <c r="DD33" i="1" s="1"/>
  <c r="CZ27" i="1"/>
  <c r="DC27" i="1" s="1"/>
  <c r="DD27" i="1" s="1"/>
  <c r="CZ25" i="1"/>
  <c r="DC25" i="1" s="1"/>
  <c r="DD25" i="1" s="1"/>
  <c r="CZ23" i="1"/>
  <c r="DC23" i="1" s="1"/>
  <c r="DD23" i="1" s="1"/>
  <c r="CZ21" i="1"/>
  <c r="DC21" i="1" s="1"/>
  <c r="DD21" i="1" s="1"/>
  <c r="CZ19" i="1"/>
  <c r="DC19" i="1" s="1"/>
  <c r="DD19" i="1" s="1"/>
  <c r="CZ17" i="1"/>
  <c r="DC17" i="1" s="1"/>
  <c r="DD17" i="1" s="1"/>
  <c r="CZ11" i="1"/>
  <c r="DC11" i="1" s="1"/>
  <c r="DD11" i="1" s="1"/>
  <c r="CZ9" i="1"/>
  <c r="DC9" i="1" s="1"/>
  <c r="DD9" i="1" s="1"/>
  <c r="CZ7" i="1"/>
  <c r="DC7" i="1" s="1"/>
  <c r="DD7" i="1" s="1"/>
  <c r="CZ5" i="1"/>
  <c r="DC5" i="1" s="1"/>
  <c r="DD5" i="1" s="1"/>
  <c r="CZ2" i="1"/>
  <c r="DC2" i="1" s="1"/>
  <c r="DD2" i="1" s="1"/>
  <c r="CZ288" i="1"/>
  <c r="DC288" i="1" s="1"/>
  <c r="DD288" i="1" s="1"/>
  <c r="CZ276" i="1"/>
  <c r="DC276" i="1" s="1"/>
  <c r="DD276" i="1" s="1"/>
  <c r="CZ272" i="1"/>
  <c r="DC272" i="1" s="1"/>
  <c r="DD272" i="1" s="1"/>
  <c r="CZ268" i="1"/>
  <c r="DC268" i="1" s="1"/>
  <c r="DD268" i="1" s="1"/>
  <c r="CZ260" i="1"/>
  <c r="DC260" i="1" s="1"/>
  <c r="CZ252" i="1"/>
  <c r="DC252" i="1" s="1"/>
  <c r="DD252" i="1" s="1"/>
  <c r="CZ244" i="1"/>
  <c r="DC244" i="1" s="1"/>
  <c r="DD244" i="1" s="1"/>
  <c r="CZ236" i="1"/>
  <c r="DC236" i="1" s="1"/>
  <c r="DD236" i="1" s="1"/>
  <c r="CZ224" i="1"/>
  <c r="CZ208" i="1"/>
  <c r="CZ204" i="1"/>
  <c r="DC204" i="1" s="1"/>
  <c r="CZ196" i="1"/>
  <c r="DC196" i="1" s="1"/>
  <c r="DD196" i="1" s="1"/>
  <c r="CZ188" i="1"/>
  <c r="DC188" i="1" s="1"/>
  <c r="CZ180" i="1"/>
  <c r="DC180" i="1" s="1"/>
  <c r="DD180" i="1" s="1"/>
  <c r="CZ176" i="1"/>
  <c r="DC176" i="1" s="1"/>
  <c r="CZ160" i="1"/>
  <c r="DC160" i="1" s="1"/>
  <c r="DD160" i="1" s="1"/>
  <c r="CZ148" i="1"/>
  <c r="DC148" i="1" s="1"/>
  <c r="CZ140" i="1"/>
  <c r="DC140" i="1" s="1"/>
  <c r="DD140" i="1" s="1"/>
  <c r="CZ132" i="1"/>
  <c r="DC132" i="1" s="1"/>
  <c r="DD132" i="1" s="1"/>
  <c r="CZ124" i="1"/>
  <c r="DC124" i="1" s="1"/>
  <c r="CZ116" i="1"/>
  <c r="DC116" i="1" s="1"/>
  <c r="DD116" i="1" s="1"/>
  <c r="CZ112" i="1"/>
  <c r="DC112" i="1" s="1"/>
  <c r="DD112" i="1" s="1"/>
  <c r="CZ108" i="1"/>
  <c r="DC108" i="1" s="1"/>
  <c r="DD108" i="1" s="1"/>
  <c r="CZ96" i="1"/>
  <c r="DC96" i="1" s="1"/>
  <c r="CZ84" i="1"/>
  <c r="DC84" i="1" s="1"/>
  <c r="CZ72" i="1"/>
  <c r="DC72" i="1" s="1"/>
  <c r="DD72" i="1" s="1"/>
  <c r="CZ60" i="1"/>
  <c r="DC60" i="1" s="1"/>
  <c r="DD60" i="1" s="1"/>
  <c r="CZ52" i="1"/>
  <c r="DC52" i="1" s="1"/>
  <c r="DD52" i="1" s="1"/>
  <c r="CZ44" i="1"/>
  <c r="DC44" i="1" s="1"/>
  <c r="DD44" i="1" s="1"/>
  <c r="CZ36" i="1"/>
  <c r="DC36" i="1" s="1"/>
  <c r="DD36" i="1" s="1"/>
  <c r="CZ28" i="1"/>
  <c r="DC28" i="1" s="1"/>
  <c r="DD28" i="1" s="1"/>
  <c r="CZ24" i="1"/>
  <c r="DC24" i="1" s="1"/>
  <c r="CZ8" i="1"/>
  <c r="DC8" i="1" s="1"/>
  <c r="DD8" i="1" s="1"/>
  <c r="DT2" i="1"/>
  <c r="DW2" i="1" s="1"/>
  <c r="DJ297" i="1"/>
  <c r="DM297" i="1" s="1"/>
  <c r="DN297" i="1" s="1"/>
  <c r="DJ289" i="1"/>
  <c r="DM289" i="1" s="1"/>
  <c r="DN289" i="1" s="1"/>
  <c r="DJ275" i="1"/>
  <c r="DM275" i="1" s="1"/>
  <c r="DN275" i="1" s="1"/>
  <c r="DJ267" i="1"/>
  <c r="DM267" i="1" s="1"/>
  <c r="DN267" i="1" s="1"/>
  <c r="DJ261" i="1"/>
  <c r="DM261" i="1" s="1"/>
  <c r="DN261" i="1" s="1"/>
  <c r="DJ239" i="1"/>
  <c r="DM239" i="1" s="1"/>
  <c r="DN239" i="1" s="1"/>
  <c r="DJ233" i="1"/>
  <c r="DM233" i="1" s="1"/>
  <c r="DN233" i="1" s="1"/>
  <c r="DJ225" i="1"/>
  <c r="DM225" i="1" s="1"/>
  <c r="DN225" i="1" s="1"/>
  <c r="DJ211" i="1"/>
  <c r="DM211" i="1" s="1"/>
  <c r="DN211" i="1" s="1"/>
  <c r="DJ203" i="1"/>
  <c r="DM203" i="1" s="1"/>
  <c r="DN203" i="1" s="1"/>
  <c r="DJ197" i="1"/>
  <c r="DM197" i="1" s="1"/>
  <c r="DN197" i="1" s="1"/>
  <c r="DJ175" i="1"/>
  <c r="DM175" i="1" s="1"/>
  <c r="DN175" i="1" s="1"/>
  <c r="DJ169" i="1"/>
  <c r="DM169" i="1" s="1"/>
  <c r="DN169" i="1" s="1"/>
  <c r="DJ161" i="1"/>
  <c r="DM161" i="1" s="1"/>
  <c r="DN161" i="1" s="1"/>
  <c r="DJ147" i="1"/>
  <c r="DM147" i="1" s="1"/>
  <c r="DN147" i="1" s="1"/>
  <c r="DJ139" i="1"/>
  <c r="DM139" i="1" s="1"/>
  <c r="DN139" i="1" s="1"/>
  <c r="DJ133" i="1"/>
  <c r="DM133" i="1" s="1"/>
  <c r="DN133" i="1" s="1"/>
  <c r="DJ111" i="1"/>
  <c r="DM111" i="1" s="1"/>
  <c r="DN111" i="1" s="1"/>
  <c r="DJ105" i="1"/>
  <c r="DM105" i="1" s="1"/>
  <c r="DN105" i="1" s="1"/>
  <c r="DJ95" i="1"/>
  <c r="DM95" i="1" s="1"/>
  <c r="DN95" i="1" s="1"/>
  <c r="DJ77" i="1"/>
  <c r="DM77" i="1" s="1"/>
  <c r="DN77" i="1" s="1"/>
  <c r="DJ49" i="1"/>
  <c r="DM49" i="1" s="1"/>
  <c r="DN49" i="1" s="1"/>
  <c r="DJ29" i="1"/>
  <c r="DM29" i="1" s="1"/>
  <c r="DN29" i="1" s="1"/>
  <c r="DJ21" i="1"/>
  <c r="DM21" i="1" s="1"/>
  <c r="DN21" i="1" s="1"/>
  <c r="DT59" i="1"/>
  <c r="DT47" i="1"/>
  <c r="DT135" i="1"/>
  <c r="DW135" i="1" s="1"/>
  <c r="DT133" i="1"/>
  <c r="DW133" i="1" s="1"/>
  <c r="DT131" i="1"/>
  <c r="DT129" i="1"/>
  <c r="DT127" i="1"/>
  <c r="DT123" i="1"/>
  <c r="DT121" i="1"/>
  <c r="DT119" i="1"/>
  <c r="DT117" i="1"/>
  <c r="DT115" i="1"/>
  <c r="DT113" i="1"/>
  <c r="DT107" i="1"/>
  <c r="DT105" i="1"/>
  <c r="DT103" i="1"/>
  <c r="DT101" i="1"/>
  <c r="DT99" i="1"/>
  <c r="DT97" i="1"/>
  <c r="DT95" i="1"/>
  <c r="DT93" i="1"/>
  <c r="DT91" i="1"/>
  <c r="DT89" i="1"/>
  <c r="DT85" i="1"/>
  <c r="DT83" i="1"/>
  <c r="DT81" i="1"/>
  <c r="DT79" i="1"/>
  <c r="DT77" i="1"/>
  <c r="DT73" i="1"/>
  <c r="DT71" i="1"/>
  <c r="DT69" i="1"/>
  <c r="DT67" i="1"/>
  <c r="DT65" i="1"/>
  <c r="DT63" i="1"/>
  <c r="DT61" i="1"/>
  <c r="DT57" i="1"/>
  <c r="DT55" i="1"/>
  <c r="DT53" i="1"/>
  <c r="DT51" i="1"/>
  <c r="DT49" i="1"/>
  <c r="DT45" i="1"/>
  <c r="DT43" i="1"/>
  <c r="DT41" i="1"/>
  <c r="DT37" i="1"/>
  <c r="DT35" i="1"/>
  <c r="DT33" i="1"/>
  <c r="DT31" i="1"/>
  <c r="DT29" i="1"/>
  <c r="DT27" i="1"/>
  <c r="DT25" i="1"/>
  <c r="DT23" i="1"/>
  <c r="DT21" i="1"/>
  <c r="DT19" i="1"/>
  <c r="DT17" i="1"/>
  <c r="DT15" i="1"/>
  <c r="DT13" i="1"/>
  <c r="DT9" i="1"/>
  <c r="DT7" i="1"/>
  <c r="DT5" i="1"/>
  <c r="DT3" i="1"/>
  <c r="DT186" i="1"/>
  <c r="DT184" i="1"/>
  <c r="DT182" i="1"/>
  <c r="DT178" i="1"/>
  <c r="DT176" i="1"/>
  <c r="DW176" i="1" s="1"/>
  <c r="DT174" i="1"/>
  <c r="DW174" i="1" s="1"/>
  <c r="DT172" i="1"/>
  <c r="DT170" i="1"/>
  <c r="DT166" i="1"/>
  <c r="DW166" i="1" s="1"/>
  <c r="DT162" i="1"/>
  <c r="DT158" i="1"/>
  <c r="DT156" i="1"/>
  <c r="DW156" i="1" s="1"/>
  <c r="DX156" i="1" s="1"/>
  <c r="DT154" i="1"/>
  <c r="DT150" i="1"/>
  <c r="DT148" i="1"/>
  <c r="DT146" i="1"/>
  <c r="DT142" i="1"/>
  <c r="DW142" i="1" s="1"/>
  <c r="DT140" i="1"/>
  <c r="DW140" i="1" s="1"/>
  <c r="DT138" i="1"/>
  <c r="DW138" i="1" s="1"/>
  <c r="DT134" i="1"/>
  <c r="DW134" i="1" s="1"/>
  <c r="DT130" i="1"/>
  <c r="DT126" i="1"/>
  <c r="DW126" i="1" s="1"/>
  <c r="DX126" i="1" s="1"/>
  <c r="DT124" i="1"/>
  <c r="DT122" i="1"/>
  <c r="DW122" i="1" s="1"/>
  <c r="DT120" i="1"/>
  <c r="DT118" i="1"/>
  <c r="DT114" i="1"/>
  <c r="DT112" i="1"/>
  <c r="DT110" i="1"/>
  <c r="DW110" i="1" s="1"/>
  <c r="DT108" i="1"/>
  <c r="Z166" i="1"/>
  <c r="AA166" i="1" s="1"/>
  <c r="AT286" i="1"/>
  <c r="AU286" i="1" s="1"/>
  <c r="AT114" i="1"/>
  <c r="AU114" i="1" s="1"/>
  <c r="AT50" i="1"/>
  <c r="AU50" i="1" s="1"/>
  <c r="AT8" i="1"/>
  <c r="AU8" i="1" s="1"/>
  <c r="Z247" i="1"/>
  <c r="AA247" i="1" s="1"/>
  <c r="Z183" i="1"/>
  <c r="AA183" i="1" s="1"/>
  <c r="Z143" i="1"/>
  <c r="AA143" i="1" s="1"/>
  <c r="Z119" i="1"/>
  <c r="AA119" i="1" s="1"/>
  <c r="Z91" i="1"/>
  <c r="AA91" i="1" s="1"/>
  <c r="Z55" i="1"/>
  <c r="AA55" i="1" s="1"/>
  <c r="Z27" i="1"/>
  <c r="AA27" i="1" s="1"/>
  <c r="AJ269" i="1"/>
  <c r="AK269" i="1" s="1"/>
  <c r="AJ257" i="1"/>
  <c r="AK257" i="1" s="1"/>
  <c r="AJ245" i="1"/>
  <c r="AK245" i="1" s="1"/>
  <c r="AJ237" i="1"/>
  <c r="AK237" i="1" s="1"/>
  <c r="AJ205" i="1"/>
  <c r="AK205" i="1" s="1"/>
  <c r="AJ173" i="1"/>
  <c r="AK173" i="1" s="1"/>
  <c r="AJ165" i="1"/>
  <c r="AK165" i="1" s="1"/>
  <c r="AJ133" i="1"/>
  <c r="AK133" i="1" s="1"/>
  <c r="AJ129" i="1"/>
  <c r="AK129" i="1" s="1"/>
  <c r="AJ121" i="1"/>
  <c r="AK121" i="1" s="1"/>
  <c r="AJ109" i="1"/>
  <c r="AK109" i="1" s="1"/>
  <c r="AJ101" i="1"/>
  <c r="AK101" i="1" s="1"/>
  <c r="AJ69" i="1"/>
  <c r="AK69" i="1" s="1"/>
  <c r="AJ65" i="1"/>
  <c r="AK65" i="1" s="1"/>
  <c r="AJ45" i="1"/>
  <c r="AK45" i="1" s="1"/>
  <c r="AJ37" i="1"/>
  <c r="AK37" i="1" s="1"/>
  <c r="AJ5" i="1"/>
  <c r="AK5" i="1" s="1"/>
  <c r="AT291" i="1"/>
  <c r="AU291" i="1" s="1"/>
  <c r="AT275" i="1"/>
  <c r="AU275" i="1" s="1"/>
  <c r="AT265" i="1"/>
  <c r="AU265" i="1" s="1"/>
  <c r="Z270" i="1"/>
  <c r="AA270" i="1" s="1"/>
  <c r="Z262" i="1"/>
  <c r="AA262" i="1" s="1"/>
  <c r="Z182" i="1"/>
  <c r="AA182" i="1" s="1"/>
  <c r="Z54" i="1"/>
  <c r="AA54" i="1" s="1"/>
  <c r="Z293" i="1"/>
  <c r="AA293" i="1" s="1"/>
  <c r="Z261" i="1"/>
  <c r="AA261" i="1" s="1"/>
  <c r="Z229" i="1"/>
  <c r="AA229" i="1" s="1"/>
  <c r="Z197" i="1"/>
  <c r="AA197" i="1" s="1"/>
  <c r="Z101" i="1"/>
  <c r="AA101" i="1" s="1"/>
  <c r="AA45" i="1"/>
  <c r="AT176" i="1"/>
  <c r="AU176" i="1" s="1"/>
  <c r="AT112" i="1"/>
  <c r="AU112" i="1" s="1"/>
  <c r="AT48" i="1"/>
  <c r="AU48" i="1" s="1"/>
  <c r="AT10" i="1"/>
  <c r="AU10" i="1" s="1"/>
  <c r="AT214" i="1"/>
  <c r="AU214" i="1" s="1"/>
  <c r="AU3" i="1"/>
  <c r="Z96" i="1"/>
  <c r="AA96" i="1" s="1"/>
  <c r="AU23" i="1"/>
  <c r="BE236" i="1"/>
  <c r="BF236" i="1" s="1"/>
  <c r="BF137" i="1"/>
  <c r="Z253" i="1"/>
  <c r="AA253" i="1" s="1"/>
  <c r="Z237" i="1"/>
  <c r="AA237" i="1" s="1"/>
  <c r="Z173" i="1"/>
  <c r="AA173" i="1" s="1"/>
  <c r="Z165" i="1"/>
  <c r="AA165" i="1" s="1"/>
  <c r="Z133" i="1"/>
  <c r="AA133" i="1" s="1"/>
  <c r="Z109" i="1"/>
  <c r="AA109" i="1" s="1"/>
  <c r="Z69" i="1"/>
  <c r="AA69" i="1" s="1"/>
  <c r="Z37" i="1"/>
  <c r="AA37" i="1" s="1"/>
  <c r="Z5" i="1"/>
  <c r="AA5" i="1" s="1"/>
  <c r="BE142" i="1"/>
  <c r="BF142" i="1" s="1"/>
  <c r="M294" i="1"/>
  <c r="M286" i="1"/>
  <c r="P286" i="1" s="1"/>
  <c r="Q286" i="1" s="1"/>
  <c r="M282" i="1"/>
  <c r="P282" i="1" s="1"/>
  <c r="Q282" i="1" s="1"/>
  <c r="M270" i="1"/>
  <c r="P270" i="1" s="1"/>
  <c r="Q270" i="1" s="1"/>
  <c r="M266" i="1"/>
  <c r="P266" i="1" s="1"/>
  <c r="M262" i="1"/>
  <c r="P262" i="1" s="1"/>
  <c r="Q262" i="1" s="1"/>
  <c r="M250" i="1"/>
  <c r="P250" i="1" s="1"/>
  <c r="M246" i="1"/>
  <c r="P246" i="1" s="1"/>
  <c r="M238" i="1"/>
  <c r="P238" i="1" s="1"/>
  <c r="Q238" i="1" s="1"/>
  <c r="M230" i="1"/>
  <c r="M222" i="1"/>
  <c r="P222" i="1" s="1"/>
  <c r="Q222" i="1" s="1"/>
  <c r="M218" i="1"/>
  <c r="P218" i="1" s="1"/>
  <c r="M206" i="1"/>
  <c r="P206" i="1" s="1"/>
  <c r="Q206" i="1" s="1"/>
  <c r="M202" i="1"/>
  <c r="P202" i="1" s="1"/>
  <c r="M198" i="1"/>
  <c r="P198" i="1" s="1"/>
  <c r="M186" i="1"/>
  <c r="P186" i="1" s="1"/>
  <c r="M182" i="1"/>
  <c r="P182" i="1" s="1"/>
  <c r="Q182" i="1" s="1"/>
  <c r="M174" i="1"/>
  <c r="P174" i="1" s="1"/>
  <c r="M166" i="1"/>
  <c r="P166" i="1" s="1"/>
  <c r="M158" i="1"/>
  <c r="P158" i="1" s="1"/>
  <c r="Q158" i="1" s="1"/>
  <c r="M154" i="1"/>
  <c r="P154" i="1" s="1"/>
  <c r="M142" i="1"/>
  <c r="P142" i="1" s="1"/>
  <c r="Q142" i="1" s="1"/>
  <c r="M138" i="1"/>
  <c r="P138" i="1" s="1"/>
  <c r="Q138" i="1" s="1"/>
  <c r="M134" i="1"/>
  <c r="P134" i="1" s="1"/>
  <c r="Q134" i="1" s="1"/>
  <c r="M122" i="1"/>
  <c r="P122" i="1" s="1"/>
  <c r="Q122" i="1" s="1"/>
  <c r="AG298" i="1"/>
  <c r="AG294" i="1"/>
  <c r="AG290" i="1"/>
  <c r="AG286" i="1"/>
  <c r="AG282" i="1"/>
  <c r="AG278" i="1"/>
  <c r="AG274" i="1"/>
  <c r="AG270" i="1"/>
  <c r="AG266" i="1"/>
  <c r="AG262" i="1"/>
  <c r="AG254" i="1"/>
  <c r="AG250" i="1"/>
  <c r="AG246" i="1"/>
  <c r="AG242" i="1"/>
  <c r="AG238" i="1"/>
  <c r="AG234" i="1"/>
  <c r="AG230" i="1"/>
  <c r="AG226" i="1"/>
  <c r="AG222" i="1"/>
  <c r="AG218" i="1"/>
  <c r="AG214" i="1"/>
  <c r="AG210" i="1"/>
  <c r="AG206" i="1"/>
  <c r="AG202" i="1"/>
  <c r="AG198" i="1"/>
  <c r="AG194" i="1"/>
  <c r="AG190" i="1"/>
  <c r="AG186" i="1"/>
  <c r="AG182" i="1"/>
  <c r="AG178" i="1"/>
  <c r="AG174" i="1"/>
  <c r="AG170" i="1"/>
  <c r="AG166" i="1"/>
  <c r="AG162" i="1"/>
  <c r="AG158" i="1"/>
  <c r="AG154" i="1"/>
  <c r="AG150" i="1"/>
  <c r="AG146" i="1"/>
  <c r="AK146" i="1" s="1"/>
  <c r="AG142" i="1"/>
  <c r="AG138" i="1"/>
  <c r="AG134" i="1"/>
  <c r="AG130" i="1"/>
  <c r="AG126" i="1"/>
  <c r="AG122" i="1"/>
  <c r="AG118" i="1"/>
  <c r="AG114" i="1"/>
  <c r="AG110" i="1"/>
  <c r="AG106" i="1"/>
  <c r="AG102" i="1"/>
  <c r="AG98" i="1"/>
  <c r="AG94" i="1"/>
  <c r="AG90" i="1"/>
  <c r="AG86" i="1"/>
  <c r="AG82" i="1"/>
  <c r="AG78" i="1"/>
  <c r="AG74" i="1"/>
  <c r="AG70" i="1"/>
  <c r="AG66" i="1"/>
  <c r="AG62" i="1"/>
  <c r="AG58" i="1"/>
  <c r="AG54" i="1"/>
  <c r="AG50" i="1"/>
  <c r="AG46" i="1"/>
  <c r="AG42" i="1"/>
  <c r="AG38" i="1"/>
  <c r="AG34" i="1"/>
  <c r="AG30" i="1"/>
  <c r="AG26" i="1"/>
  <c r="AG22" i="1"/>
  <c r="AG18" i="1"/>
  <c r="AG14" i="1"/>
  <c r="AG10" i="1"/>
  <c r="AG6" i="1"/>
  <c r="AQ259" i="1"/>
  <c r="AQ255" i="1"/>
  <c r="AQ251" i="1"/>
  <c r="AQ247" i="1"/>
  <c r="AQ243" i="1"/>
  <c r="AQ239" i="1"/>
  <c r="AQ235" i="1"/>
  <c r="AQ231" i="1"/>
  <c r="AQ227" i="1"/>
  <c r="AQ223" i="1"/>
  <c r="AQ219" i="1"/>
  <c r="AQ215" i="1"/>
  <c r="AQ211" i="1"/>
  <c r="AQ207" i="1"/>
  <c r="AQ203" i="1"/>
  <c r="AQ199" i="1"/>
  <c r="AU199" i="1" s="1"/>
  <c r="AQ195" i="1"/>
  <c r="AQ191" i="1"/>
  <c r="AQ187" i="1"/>
  <c r="AQ183" i="1"/>
  <c r="AQ179" i="1"/>
  <c r="AQ175" i="1"/>
  <c r="AQ171" i="1"/>
  <c r="AQ167" i="1"/>
  <c r="AQ163" i="1"/>
  <c r="AQ159" i="1"/>
  <c r="AQ155" i="1"/>
  <c r="AQ151" i="1"/>
  <c r="AQ147" i="1"/>
  <c r="AQ143" i="1"/>
  <c r="AQ141" i="1"/>
  <c r="AQ139" i="1"/>
  <c r="AQ137" i="1"/>
  <c r="AU137" i="1" s="1"/>
  <c r="AQ133" i="1"/>
  <c r="AQ129" i="1"/>
  <c r="AQ127" i="1"/>
  <c r="AQ125" i="1"/>
  <c r="AQ123" i="1"/>
  <c r="AQ121" i="1"/>
  <c r="AQ117" i="1"/>
  <c r="AQ113" i="1"/>
  <c r="AQ111" i="1"/>
  <c r="AQ109" i="1"/>
  <c r="AQ107" i="1"/>
  <c r="AQ105" i="1"/>
  <c r="AQ101" i="1"/>
  <c r="AQ97" i="1"/>
  <c r="AQ95" i="1"/>
  <c r="AQ93" i="1"/>
  <c r="AQ91" i="1"/>
  <c r="AQ89" i="1"/>
  <c r="AQ85" i="1"/>
  <c r="AQ81" i="1"/>
  <c r="AQ79" i="1"/>
  <c r="AQ77" i="1"/>
  <c r="AQ75" i="1"/>
  <c r="AQ73" i="1"/>
  <c r="AQ69" i="1"/>
  <c r="AQ65" i="1"/>
  <c r="AQ63" i="1"/>
  <c r="AQ61" i="1"/>
  <c r="AU61" i="1" s="1"/>
  <c r="AQ59" i="1"/>
  <c r="AQ57" i="1"/>
  <c r="AQ53" i="1"/>
  <c r="AQ49" i="1"/>
  <c r="AQ47" i="1"/>
  <c r="AQ45" i="1"/>
  <c r="AQ43" i="1"/>
  <c r="AQ41" i="1"/>
  <c r="AQ37" i="1"/>
  <c r="AQ33" i="1"/>
  <c r="AQ31" i="1"/>
  <c r="AQ29" i="1"/>
  <c r="AQ27" i="1"/>
  <c r="AQ25" i="1"/>
  <c r="AQ21" i="1"/>
  <c r="AQ17" i="1"/>
  <c r="AQ15" i="1"/>
  <c r="AQ13" i="1"/>
  <c r="AQ11" i="1"/>
  <c r="AQ9" i="1"/>
  <c r="AQ5" i="1"/>
  <c r="AT158" i="1"/>
  <c r="AU158" i="1" s="1"/>
  <c r="AU222" i="1"/>
  <c r="CS272" i="1"/>
  <c r="CT272" i="1" s="1"/>
  <c r="CS44" i="1"/>
  <c r="CT44" i="1" s="1"/>
  <c r="BP193" i="1"/>
  <c r="BV297" i="1"/>
  <c r="BY297" i="1" s="1"/>
  <c r="BZ297" i="1" s="1"/>
  <c r="BV291" i="1"/>
  <c r="BY291" i="1" s="1"/>
  <c r="BZ291" i="1" s="1"/>
  <c r="BV281" i="1"/>
  <c r="BY281" i="1" s="1"/>
  <c r="BZ281" i="1" s="1"/>
  <c r="BV275" i="1"/>
  <c r="BY275" i="1" s="1"/>
  <c r="BZ275" i="1" s="1"/>
  <c r="BV265" i="1"/>
  <c r="BY265" i="1" s="1"/>
  <c r="BZ265" i="1" s="1"/>
  <c r="BV259" i="1"/>
  <c r="BY259" i="1" s="1"/>
  <c r="BZ259" i="1" s="1"/>
  <c r="BV249" i="1"/>
  <c r="BY249" i="1" s="1"/>
  <c r="BZ249" i="1" s="1"/>
  <c r="BV243" i="1"/>
  <c r="BY243" i="1" s="1"/>
  <c r="BZ243" i="1" s="1"/>
  <c r="BV233" i="1"/>
  <c r="BY233" i="1" s="1"/>
  <c r="BZ233" i="1" s="1"/>
  <c r="BV227" i="1"/>
  <c r="BY227" i="1" s="1"/>
  <c r="BZ227" i="1" s="1"/>
  <c r="BV217" i="1"/>
  <c r="BY217" i="1" s="1"/>
  <c r="BZ217" i="1" s="1"/>
  <c r="BV211" i="1"/>
  <c r="BY211" i="1" s="1"/>
  <c r="BZ211" i="1" s="1"/>
  <c r="BV201" i="1"/>
  <c r="BY201" i="1" s="1"/>
  <c r="BZ201" i="1" s="1"/>
  <c r="BV195" i="1"/>
  <c r="BY195" i="1" s="1"/>
  <c r="BZ195" i="1" s="1"/>
  <c r="BV185" i="1"/>
  <c r="BY185" i="1" s="1"/>
  <c r="BZ185" i="1" s="1"/>
  <c r="BV179" i="1"/>
  <c r="BY179" i="1" s="1"/>
  <c r="BZ179" i="1" s="1"/>
  <c r="BV169" i="1"/>
  <c r="BY169" i="1" s="1"/>
  <c r="BZ169" i="1" s="1"/>
  <c r="BV163" i="1"/>
  <c r="BY163" i="1" s="1"/>
  <c r="BZ163" i="1" s="1"/>
  <c r="BV153" i="1"/>
  <c r="BY153" i="1" s="1"/>
  <c r="BZ153" i="1" s="1"/>
  <c r="BV147" i="1"/>
  <c r="BV137" i="1"/>
  <c r="BZ137" i="1" s="1"/>
  <c r="BV131" i="1"/>
  <c r="BV121" i="1"/>
  <c r="BV115" i="1"/>
  <c r="BV105" i="1"/>
  <c r="BV99" i="1"/>
  <c r="BV89" i="1"/>
  <c r="BY89" i="1" s="1"/>
  <c r="BZ89" i="1" s="1"/>
  <c r="BV83" i="1"/>
  <c r="BY83" i="1" s="1"/>
  <c r="BZ83" i="1" s="1"/>
  <c r="BV73" i="1"/>
  <c r="BY73" i="1" s="1"/>
  <c r="BZ73" i="1" s="1"/>
  <c r="CI48" i="1"/>
  <c r="CJ48" i="1" s="1"/>
  <c r="DC228" i="1"/>
  <c r="DD228" i="1" s="1"/>
  <c r="BV2" i="1"/>
  <c r="BY2" i="1" s="1"/>
  <c r="BZ2" i="1" s="1"/>
  <c r="CF289" i="1"/>
  <c r="CI289" i="1" s="1"/>
  <c r="CJ289" i="1" s="1"/>
  <c r="CF285" i="1"/>
  <c r="CI285" i="1" s="1"/>
  <c r="CJ285" i="1" s="1"/>
  <c r="CF273" i="1"/>
  <c r="CI273" i="1" s="1"/>
  <c r="CJ273" i="1" s="1"/>
  <c r="CF269" i="1"/>
  <c r="CI269" i="1" s="1"/>
  <c r="CJ269" i="1" s="1"/>
  <c r="CF257" i="1"/>
  <c r="CI257" i="1" s="1"/>
  <c r="CJ257" i="1" s="1"/>
  <c r="CF253" i="1"/>
  <c r="CI253" i="1" s="1"/>
  <c r="CJ253" i="1" s="1"/>
  <c r="CF241" i="1"/>
  <c r="CI241" i="1" s="1"/>
  <c r="CJ241" i="1" s="1"/>
  <c r="CF237" i="1"/>
  <c r="CI237" i="1" s="1"/>
  <c r="CJ237" i="1" s="1"/>
  <c r="CF225" i="1"/>
  <c r="CI225" i="1" s="1"/>
  <c r="CJ225" i="1" s="1"/>
  <c r="CF221" i="1"/>
  <c r="CI221" i="1" s="1"/>
  <c r="CJ221" i="1" s="1"/>
  <c r="CF209" i="1"/>
  <c r="CI209" i="1" s="1"/>
  <c r="CJ209" i="1" s="1"/>
  <c r="CF205" i="1"/>
  <c r="CI205" i="1" s="1"/>
  <c r="CJ205" i="1" s="1"/>
  <c r="CF193" i="1"/>
  <c r="CJ193" i="1" s="1"/>
  <c r="CF189" i="1"/>
  <c r="CI189" i="1" s="1"/>
  <c r="CJ189" i="1" s="1"/>
  <c r="CF177" i="1"/>
  <c r="CI177" i="1" s="1"/>
  <c r="CJ177" i="1" s="1"/>
  <c r="CF173" i="1"/>
  <c r="CI173" i="1" s="1"/>
  <c r="CJ173" i="1" s="1"/>
  <c r="CF161" i="1"/>
  <c r="CI161" i="1" s="1"/>
  <c r="CJ161" i="1" s="1"/>
  <c r="CF157" i="1"/>
  <c r="CI157" i="1" s="1"/>
  <c r="CJ157" i="1" s="1"/>
  <c r="CF145" i="1"/>
  <c r="CI145" i="1" s="1"/>
  <c r="CJ145" i="1" s="1"/>
  <c r="CF141" i="1"/>
  <c r="CI141" i="1" s="1"/>
  <c r="CJ141" i="1" s="1"/>
  <c r="CF129" i="1"/>
  <c r="CI129" i="1" s="1"/>
  <c r="CJ129" i="1" s="1"/>
  <c r="CF125" i="1"/>
  <c r="CI125" i="1" s="1"/>
  <c r="CJ125" i="1" s="1"/>
  <c r="CF113" i="1"/>
  <c r="CI113" i="1" s="1"/>
  <c r="CJ113" i="1" s="1"/>
  <c r="CF109" i="1"/>
  <c r="CI109" i="1" s="1"/>
  <c r="CJ109" i="1" s="1"/>
  <c r="CF97" i="1"/>
  <c r="CI97" i="1" s="1"/>
  <c r="CJ97" i="1" s="1"/>
  <c r="CF93" i="1"/>
  <c r="CI93" i="1" s="1"/>
  <c r="CJ93" i="1" s="1"/>
  <c r="CF81" i="1"/>
  <c r="CF77" i="1"/>
  <c r="CF65" i="1"/>
  <c r="CI65" i="1" s="1"/>
  <c r="CJ65" i="1" s="1"/>
  <c r="CF61" i="1"/>
  <c r="CJ61" i="1" s="1"/>
  <c r="CF49" i="1"/>
  <c r="CI49" i="1" s="1"/>
  <c r="CJ49" i="1" s="1"/>
  <c r="CF45" i="1"/>
  <c r="CI45" i="1" s="1"/>
  <c r="CJ45" i="1" s="1"/>
  <c r="CF33" i="1"/>
  <c r="CI33" i="1" s="1"/>
  <c r="CJ33" i="1" s="1"/>
  <c r="CF29" i="1"/>
  <c r="CI29" i="1" s="1"/>
  <c r="CJ29" i="1" s="1"/>
  <c r="CF17" i="1"/>
  <c r="CI17" i="1" s="1"/>
  <c r="CJ17" i="1" s="1"/>
  <c r="CF13" i="1"/>
  <c r="CI13" i="1" s="1"/>
  <c r="CJ13" i="1" s="1"/>
  <c r="CI100" i="1"/>
  <c r="CJ100" i="1" s="1"/>
  <c r="CF299" i="1"/>
  <c r="CI299" i="1" s="1"/>
  <c r="CJ299" i="1" s="1"/>
  <c r="CF295" i="1"/>
  <c r="CI295" i="1" s="1"/>
  <c r="CJ295" i="1" s="1"/>
  <c r="CF291" i="1"/>
  <c r="CI291" i="1" s="1"/>
  <c r="CJ291" i="1" s="1"/>
  <c r="CF287" i="1"/>
  <c r="CI287" i="1" s="1"/>
  <c r="CJ287" i="1" s="1"/>
  <c r="CF283" i="1"/>
  <c r="CI283" i="1" s="1"/>
  <c r="CJ283" i="1" s="1"/>
  <c r="CF279" i="1"/>
  <c r="CI279" i="1" s="1"/>
  <c r="CJ279" i="1" s="1"/>
  <c r="CF275" i="1"/>
  <c r="CI275" i="1" s="1"/>
  <c r="CJ275" i="1" s="1"/>
  <c r="CF271" i="1"/>
  <c r="CI271" i="1" s="1"/>
  <c r="CJ271" i="1" s="1"/>
  <c r="CF267" i="1"/>
  <c r="CI267" i="1" s="1"/>
  <c r="CJ267" i="1" s="1"/>
  <c r="CF263" i="1"/>
  <c r="CI263" i="1" s="1"/>
  <c r="CJ263" i="1" s="1"/>
  <c r="CF259" i="1"/>
  <c r="CI259" i="1" s="1"/>
  <c r="CJ259" i="1" s="1"/>
  <c r="CF255" i="1"/>
  <c r="CI255" i="1" s="1"/>
  <c r="CJ255" i="1" s="1"/>
  <c r="CF251" i="1"/>
  <c r="CI251" i="1" s="1"/>
  <c r="CJ251" i="1" s="1"/>
  <c r="CF247" i="1"/>
  <c r="CI247" i="1" s="1"/>
  <c r="CJ247" i="1" s="1"/>
  <c r="CF243" i="1"/>
  <c r="CI243" i="1" s="1"/>
  <c r="CJ243" i="1" s="1"/>
  <c r="CF239" i="1"/>
  <c r="CI239" i="1" s="1"/>
  <c r="CJ239" i="1" s="1"/>
  <c r="CF235" i="1"/>
  <c r="CI235" i="1" s="1"/>
  <c r="CJ235" i="1" s="1"/>
  <c r="CF231" i="1"/>
  <c r="CI231" i="1" s="1"/>
  <c r="CJ231" i="1" s="1"/>
  <c r="CF227" i="1"/>
  <c r="CI227" i="1" s="1"/>
  <c r="CJ227" i="1" s="1"/>
  <c r="CF223" i="1"/>
  <c r="CI223" i="1" s="1"/>
  <c r="CJ223" i="1" s="1"/>
  <c r="CF219" i="1"/>
  <c r="CI219" i="1" s="1"/>
  <c r="CJ219" i="1" s="1"/>
  <c r="CF215" i="1"/>
  <c r="CI215" i="1" s="1"/>
  <c r="CJ215" i="1" s="1"/>
  <c r="CF211" i="1"/>
  <c r="CI211" i="1" s="1"/>
  <c r="CJ211" i="1" s="1"/>
  <c r="CF207" i="1"/>
  <c r="CI207" i="1" s="1"/>
  <c r="CJ207" i="1" s="1"/>
  <c r="CF203" i="1"/>
  <c r="CI203" i="1" s="1"/>
  <c r="CJ203" i="1" s="1"/>
  <c r="CF199" i="1"/>
  <c r="CJ199" i="1" s="1"/>
  <c r="CF195" i="1"/>
  <c r="CI195" i="1" s="1"/>
  <c r="CJ195" i="1" s="1"/>
  <c r="CF191" i="1"/>
  <c r="CI191" i="1" s="1"/>
  <c r="CJ191" i="1" s="1"/>
  <c r="CF187" i="1"/>
  <c r="CI187" i="1" s="1"/>
  <c r="CJ187" i="1" s="1"/>
  <c r="CF183" i="1"/>
  <c r="CI183" i="1" s="1"/>
  <c r="CJ183" i="1" s="1"/>
  <c r="CF179" i="1"/>
  <c r="CI179" i="1" s="1"/>
  <c r="CJ179" i="1" s="1"/>
  <c r="CF175" i="1"/>
  <c r="CI175" i="1" s="1"/>
  <c r="CJ175" i="1" s="1"/>
  <c r="CF171" i="1"/>
  <c r="CI171" i="1" s="1"/>
  <c r="CJ171" i="1" s="1"/>
  <c r="CF167" i="1"/>
  <c r="CI167" i="1" s="1"/>
  <c r="CJ167" i="1" s="1"/>
  <c r="CF163" i="1"/>
  <c r="CI163" i="1" s="1"/>
  <c r="CJ163" i="1" s="1"/>
  <c r="CF159" i="1"/>
  <c r="CI159" i="1" s="1"/>
  <c r="CJ159" i="1" s="1"/>
  <c r="CF155" i="1"/>
  <c r="CI155" i="1" s="1"/>
  <c r="CJ155" i="1" s="1"/>
  <c r="CF151" i="1"/>
  <c r="CI151" i="1" s="1"/>
  <c r="CJ151" i="1" s="1"/>
  <c r="CF147" i="1"/>
  <c r="CI147" i="1" s="1"/>
  <c r="CJ147" i="1" s="1"/>
  <c r="CF143" i="1"/>
  <c r="CI143" i="1" s="1"/>
  <c r="CJ143" i="1" s="1"/>
  <c r="CF139" i="1"/>
  <c r="CI139" i="1" s="1"/>
  <c r="CJ139" i="1" s="1"/>
  <c r="CF135" i="1"/>
  <c r="CI135" i="1" s="1"/>
  <c r="CJ135" i="1" s="1"/>
  <c r="CF131" i="1"/>
  <c r="CI131" i="1" s="1"/>
  <c r="CJ131" i="1" s="1"/>
  <c r="CF127" i="1"/>
  <c r="CI127" i="1" s="1"/>
  <c r="CJ127" i="1" s="1"/>
  <c r="CF123" i="1"/>
  <c r="CI123" i="1" s="1"/>
  <c r="CJ123" i="1" s="1"/>
  <c r="CF119" i="1"/>
  <c r="CI119" i="1" s="1"/>
  <c r="CJ119" i="1" s="1"/>
  <c r="CF115" i="1"/>
  <c r="CI115" i="1" s="1"/>
  <c r="CJ115" i="1" s="1"/>
  <c r="CF111" i="1"/>
  <c r="CI111" i="1" s="1"/>
  <c r="CJ111" i="1" s="1"/>
  <c r="CF107" i="1"/>
  <c r="CI107" i="1" s="1"/>
  <c r="CJ107" i="1" s="1"/>
  <c r="CF103" i="1"/>
  <c r="CI103" i="1" s="1"/>
  <c r="CJ103" i="1" s="1"/>
  <c r="CF99" i="1"/>
  <c r="CI99" i="1" s="1"/>
  <c r="CJ99" i="1" s="1"/>
  <c r="CF95" i="1"/>
  <c r="CI95" i="1" s="1"/>
  <c r="CJ95" i="1" s="1"/>
  <c r="CF91" i="1"/>
  <c r="CI91" i="1" s="1"/>
  <c r="CJ91" i="1" s="1"/>
  <c r="CF87" i="1"/>
  <c r="CI87" i="1" s="1"/>
  <c r="CJ87" i="1" s="1"/>
  <c r="CF83" i="1"/>
  <c r="CF79" i="1"/>
  <c r="CI79" i="1" s="1"/>
  <c r="CJ79" i="1" s="1"/>
  <c r="CF75" i="1"/>
  <c r="CF71" i="1"/>
  <c r="CI71" i="1" s="1"/>
  <c r="CJ71" i="1" s="1"/>
  <c r="CF67" i="1"/>
  <c r="CI67" i="1" s="1"/>
  <c r="CJ67" i="1" s="1"/>
  <c r="CF63" i="1"/>
  <c r="CI63" i="1" s="1"/>
  <c r="CJ63" i="1" s="1"/>
  <c r="CF59" i="1"/>
  <c r="CI59" i="1" s="1"/>
  <c r="CJ59" i="1" s="1"/>
  <c r="CF55" i="1"/>
  <c r="CI55" i="1" s="1"/>
  <c r="CJ55" i="1" s="1"/>
  <c r="CF51" i="1"/>
  <c r="CI51" i="1" s="1"/>
  <c r="CJ51" i="1" s="1"/>
  <c r="CF47" i="1"/>
  <c r="CI47" i="1" s="1"/>
  <c r="CJ47" i="1" s="1"/>
  <c r="CF43" i="1"/>
  <c r="CI43" i="1" s="1"/>
  <c r="CJ43" i="1" s="1"/>
  <c r="CF39" i="1"/>
  <c r="CI39" i="1" s="1"/>
  <c r="CJ39" i="1" s="1"/>
  <c r="CF35" i="1"/>
  <c r="CI35" i="1" s="1"/>
  <c r="CJ35" i="1" s="1"/>
  <c r="CF31" i="1"/>
  <c r="CI31" i="1" s="1"/>
  <c r="CJ31" i="1" s="1"/>
  <c r="CF27" i="1"/>
  <c r="CI27" i="1" s="1"/>
  <c r="CJ27" i="1" s="1"/>
  <c r="CF23" i="1"/>
  <c r="CI23" i="1" s="1"/>
  <c r="CJ23" i="1" s="1"/>
  <c r="CF19" i="1"/>
  <c r="CI19" i="1" s="1"/>
  <c r="CJ19" i="1" s="1"/>
  <c r="CF15" i="1"/>
  <c r="CI15" i="1" s="1"/>
  <c r="CJ15" i="1" s="1"/>
  <c r="CF11" i="1"/>
  <c r="CI11" i="1" s="1"/>
  <c r="CJ11" i="1" s="1"/>
  <c r="CF7" i="1"/>
  <c r="CI7" i="1" s="1"/>
  <c r="CJ7" i="1" s="1"/>
  <c r="CF3" i="1"/>
  <c r="CI3" i="1" s="1"/>
  <c r="CJ3" i="1" s="1"/>
  <c r="CS296" i="1"/>
  <c r="CT296" i="1" s="1"/>
  <c r="CS282" i="1"/>
  <c r="CT282" i="1" s="1"/>
  <c r="CS264" i="1"/>
  <c r="CT264" i="1" s="1"/>
  <c r="CT200" i="1"/>
  <c r="CS196" i="1"/>
  <c r="CT196" i="1" s="1"/>
  <c r="CS260" i="1"/>
  <c r="CT260" i="1" s="1"/>
  <c r="CS232" i="1"/>
  <c r="CT232" i="1" s="1"/>
  <c r="CP175" i="1"/>
  <c r="CS175" i="1" s="1"/>
  <c r="CT175" i="1" s="1"/>
  <c r="CP171" i="1"/>
  <c r="CS171" i="1" s="1"/>
  <c r="CT171" i="1" s="1"/>
  <c r="CP167" i="1"/>
  <c r="CS167" i="1" s="1"/>
  <c r="CT167" i="1" s="1"/>
  <c r="CP163" i="1"/>
  <c r="CS163" i="1" s="1"/>
  <c r="CT163" i="1" s="1"/>
  <c r="CP159" i="1"/>
  <c r="CS159" i="1" s="1"/>
  <c r="CT159" i="1" s="1"/>
  <c r="CP155" i="1"/>
  <c r="CS155" i="1" s="1"/>
  <c r="CT155" i="1" s="1"/>
  <c r="CP151" i="1"/>
  <c r="CS151" i="1" s="1"/>
  <c r="CT151" i="1" s="1"/>
  <c r="CP147" i="1"/>
  <c r="CS147" i="1" s="1"/>
  <c r="CT147" i="1" s="1"/>
  <c r="CP143" i="1"/>
  <c r="CS143" i="1" s="1"/>
  <c r="CT143" i="1" s="1"/>
  <c r="CP139" i="1"/>
  <c r="CS139" i="1" s="1"/>
  <c r="CT139" i="1" s="1"/>
  <c r="CP135" i="1"/>
  <c r="CS135" i="1" s="1"/>
  <c r="CT135" i="1" s="1"/>
  <c r="CP131" i="1"/>
  <c r="CS131" i="1" s="1"/>
  <c r="CT131" i="1" s="1"/>
  <c r="CP127" i="1"/>
  <c r="CS127" i="1" s="1"/>
  <c r="CT127" i="1" s="1"/>
  <c r="CP123" i="1"/>
  <c r="CS123" i="1" s="1"/>
  <c r="CT123" i="1" s="1"/>
  <c r="CP119" i="1"/>
  <c r="CS119" i="1" s="1"/>
  <c r="CT119" i="1" s="1"/>
  <c r="CP115" i="1"/>
  <c r="CS115" i="1" s="1"/>
  <c r="CT115" i="1" s="1"/>
  <c r="CP111" i="1"/>
  <c r="CS111" i="1" s="1"/>
  <c r="CT111" i="1" s="1"/>
  <c r="CP107" i="1"/>
  <c r="CS107" i="1" s="1"/>
  <c r="CT107" i="1" s="1"/>
  <c r="CP103" i="1"/>
  <c r="CS103" i="1" s="1"/>
  <c r="CT103" i="1" s="1"/>
  <c r="CP99" i="1"/>
  <c r="CS99" i="1" s="1"/>
  <c r="CT99" i="1" s="1"/>
  <c r="CP95" i="1"/>
  <c r="CS95" i="1" s="1"/>
  <c r="CT95" i="1" s="1"/>
  <c r="CP91" i="1"/>
  <c r="CS91" i="1" s="1"/>
  <c r="CT91" i="1" s="1"/>
  <c r="CP87" i="1"/>
  <c r="CS87" i="1" s="1"/>
  <c r="CT87" i="1" s="1"/>
  <c r="CP83" i="1"/>
  <c r="CS83" i="1" s="1"/>
  <c r="CT83" i="1" s="1"/>
  <c r="CP79" i="1"/>
  <c r="CS79" i="1" s="1"/>
  <c r="CT79" i="1" s="1"/>
  <c r="CP75" i="1"/>
  <c r="CS75" i="1" s="1"/>
  <c r="CT75" i="1" s="1"/>
  <c r="CP71" i="1"/>
  <c r="CS71" i="1" s="1"/>
  <c r="CT71" i="1" s="1"/>
  <c r="CP67" i="1"/>
  <c r="CS67" i="1" s="1"/>
  <c r="CT67" i="1" s="1"/>
  <c r="CP63" i="1"/>
  <c r="CP59" i="1"/>
  <c r="CS59" i="1" s="1"/>
  <c r="CT59" i="1" s="1"/>
  <c r="CP55" i="1"/>
  <c r="CS55" i="1" s="1"/>
  <c r="CT55" i="1" s="1"/>
  <c r="CP51" i="1"/>
  <c r="CS51" i="1" s="1"/>
  <c r="CT51" i="1" s="1"/>
  <c r="CP47" i="1"/>
  <c r="CS47" i="1" s="1"/>
  <c r="CT47" i="1" s="1"/>
  <c r="CP43" i="1"/>
  <c r="CS43" i="1" s="1"/>
  <c r="CT43" i="1" s="1"/>
  <c r="CP39" i="1"/>
  <c r="CS39" i="1" s="1"/>
  <c r="CT39" i="1" s="1"/>
  <c r="CP35" i="1"/>
  <c r="CS35" i="1" s="1"/>
  <c r="CT35" i="1" s="1"/>
  <c r="CP31" i="1"/>
  <c r="CS31" i="1" s="1"/>
  <c r="CT31" i="1" s="1"/>
  <c r="CP27" i="1"/>
  <c r="CS27" i="1" s="1"/>
  <c r="CT27" i="1" s="1"/>
  <c r="CP23" i="1"/>
  <c r="CS23" i="1" s="1"/>
  <c r="CT23" i="1" s="1"/>
  <c r="CP19" i="1"/>
  <c r="CS19" i="1" s="1"/>
  <c r="CT19" i="1" s="1"/>
  <c r="CP15" i="1"/>
  <c r="CP11" i="1"/>
  <c r="CP7" i="1"/>
  <c r="CP3" i="1"/>
  <c r="CS3" i="1" s="1"/>
  <c r="CT3" i="1" s="1"/>
  <c r="CZ298" i="1"/>
  <c r="CZ296" i="1"/>
  <c r="CZ294" i="1"/>
  <c r="CZ290" i="1"/>
  <c r="CZ286" i="1"/>
  <c r="CZ282" i="1"/>
  <c r="CZ280" i="1"/>
  <c r="CZ278" i="1"/>
  <c r="CZ274" i="1"/>
  <c r="CZ270" i="1"/>
  <c r="CZ266" i="1"/>
  <c r="CZ264" i="1"/>
  <c r="CZ262" i="1"/>
  <c r="CZ258" i="1"/>
  <c r="CZ254" i="1"/>
  <c r="CZ250" i="1"/>
  <c r="CZ248" i="1"/>
  <c r="CZ246" i="1"/>
  <c r="CZ242" i="1"/>
  <c r="CZ238" i="1"/>
  <c r="CZ234" i="1"/>
  <c r="CZ232" i="1"/>
  <c r="CZ230" i="1"/>
  <c r="CZ226" i="1"/>
  <c r="CZ222" i="1"/>
  <c r="CZ218" i="1"/>
  <c r="CZ216" i="1"/>
  <c r="CZ214" i="1"/>
  <c r="CZ210" i="1"/>
  <c r="CZ206" i="1"/>
  <c r="CZ202" i="1"/>
  <c r="CZ200" i="1"/>
  <c r="CZ198" i="1"/>
  <c r="CZ194" i="1"/>
  <c r="CZ190" i="1"/>
  <c r="CZ186" i="1"/>
  <c r="CZ184" i="1"/>
  <c r="CZ182" i="1"/>
  <c r="CZ178" i="1"/>
  <c r="CZ174" i="1"/>
  <c r="CZ170" i="1"/>
  <c r="CZ168" i="1"/>
  <c r="DC168" i="1" s="1"/>
  <c r="DD168" i="1" s="1"/>
  <c r="CZ166" i="1"/>
  <c r="DC166" i="1" s="1"/>
  <c r="DD166" i="1" s="1"/>
  <c r="CZ162" i="1"/>
  <c r="CZ158" i="1"/>
  <c r="CZ154" i="1"/>
  <c r="CZ152" i="1"/>
  <c r="CZ150" i="1"/>
  <c r="CZ146" i="1"/>
  <c r="DD146" i="1" s="1"/>
  <c r="CZ142" i="1"/>
  <c r="CZ138" i="1"/>
  <c r="CZ136" i="1"/>
  <c r="CZ134" i="1"/>
  <c r="CZ130" i="1"/>
  <c r="CZ126" i="1"/>
  <c r="CZ122" i="1"/>
  <c r="CZ120" i="1"/>
  <c r="CZ118" i="1"/>
  <c r="CZ114" i="1"/>
  <c r="CZ110" i="1"/>
  <c r="CZ106" i="1"/>
  <c r="CZ102" i="1"/>
  <c r="CZ98" i="1"/>
  <c r="CZ94" i="1"/>
  <c r="CZ90" i="1"/>
  <c r="CZ88" i="1"/>
  <c r="CZ86" i="1"/>
  <c r="CZ82" i="1"/>
  <c r="CZ80" i="1"/>
  <c r="CZ78" i="1"/>
  <c r="CZ76" i="1"/>
  <c r="CZ74" i="1"/>
  <c r="CZ70" i="1"/>
  <c r="CZ68" i="1"/>
  <c r="CZ66" i="1"/>
  <c r="CZ64" i="1"/>
  <c r="CZ62" i="1"/>
  <c r="CZ58" i="1"/>
  <c r="CZ54" i="1"/>
  <c r="CZ50" i="1"/>
  <c r="CZ48" i="1"/>
  <c r="CZ46" i="1"/>
  <c r="CZ42" i="1"/>
  <c r="CZ40" i="1"/>
  <c r="CZ38" i="1"/>
  <c r="CZ34" i="1"/>
  <c r="CZ32" i="1"/>
  <c r="CZ30" i="1"/>
  <c r="CZ26" i="1"/>
  <c r="CZ22" i="1"/>
  <c r="CZ18" i="1"/>
  <c r="CZ16" i="1"/>
  <c r="CZ14" i="1"/>
  <c r="CZ12" i="1"/>
  <c r="CZ10" i="1"/>
  <c r="CZ6" i="1"/>
  <c r="CZ4" i="1"/>
  <c r="DD4" i="1" s="1"/>
  <c r="DJ2" i="1"/>
  <c r="DM2" i="1" s="1"/>
  <c r="DN2" i="1" s="1"/>
  <c r="DJ99" i="1"/>
  <c r="DM99" i="1" s="1"/>
  <c r="DN99" i="1" s="1"/>
  <c r="DJ89" i="1"/>
  <c r="DM89" i="1" s="1"/>
  <c r="DN89" i="1" s="1"/>
  <c r="DJ83" i="1"/>
  <c r="DM83" i="1" s="1"/>
  <c r="DN83" i="1" s="1"/>
  <c r="DJ73" i="1"/>
  <c r="DM73" i="1" s="1"/>
  <c r="DN73" i="1" s="1"/>
  <c r="DJ67" i="1"/>
  <c r="DM67" i="1" s="1"/>
  <c r="DN67" i="1" s="1"/>
  <c r="DJ57" i="1"/>
  <c r="DM57" i="1" s="1"/>
  <c r="DN57" i="1" s="1"/>
  <c r="DJ51" i="1"/>
  <c r="DM51" i="1" s="1"/>
  <c r="DN51" i="1" s="1"/>
  <c r="DJ41" i="1"/>
  <c r="DM41" i="1" s="1"/>
  <c r="DN41" i="1" s="1"/>
  <c r="DJ35" i="1"/>
  <c r="DM35" i="1" s="1"/>
  <c r="DN35" i="1" s="1"/>
  <c r="DJ25" i="1"/>
  <c r="DM25" i="1" s="1"/>
  <c r="DN25" i="1" s="1"/>
  <c r="DJ19" i="1"/>
  <c r="DM19" i="1" s="1"/>
  <c r="DN19" i="1" s="1"/>
  <c r="DJ9" i="1"/>
  <c r="DM9" i="1" s="1"/>
  <c r="DN9" i="1" s="1"/>
  <c r="DJ3" i="1"/>
  <c r="DM3" i="1" s="1"/>
  <c r="DN3" i="1" s="1"/>
  <c r="P33" i="1"/>
  <c r="Q33" i="1" s="1"/>
  <c r="P45" i="1"/>
  <c r="Q45" i="1" s="1"/>
  <c r="P69" i="1"/>
  <c r="Q69" i="1" s="1"/>
  <c r="P5" i="1"/>
  <c r="Q5" i="1" s="1"/>
  <c r="P97" i="1"/>
  <c r="Q97" i="1" s="1"/>
  <c r="P289" i="1"/>
  <c r="Q289" i="1" s="1"/>
  <c r="P217" i="1"/>
  <c r="Q217" i="1" s="1"/>
  <c r="Q285" i="1"/>
  <c r="Q269" i="1"/>
  <c r="Q237" i="1"/>
  <c r="Q173" i="1"/>
  <c r="P169" i="1"/>
  <c r="Q169" i="1" s="1"/>
  <c r="P109" i="1"/>
  <c r="Q109" i="1" s="1"/>
  <c r="M296" i="1"/>
  <c r="M288" i="1"/>
  <c r="M280" i="1"/>
  <c r="M272" i="1"/>
  <c r="M264" i="1"/>
  <c r="M256" i="1"/>
  <c r="M248" i="1"/>
  <c r="M240" i="1"/>
  <c r="M232" i="1"/>
  <c r="M224" i="1"/>
  <c r="M216" i="1"/>
  <c r="M208" i="1"/>
  <c r="M200" i="1"/>
  <c r="M192" i="1"/>
  <c r="M184" i="1"/>
  <c r="M176" i="1"/>
  <c r="M168" i="1"/>
  <c r="M160" i="1"/>
  <c r="M148" i="1"/>
  <c r="M140" i="1"/>
  <c r="M132" i="1"/>
  <c r="M120" i="1"/>
  <c r="M112" i="1"/>
  <c r="M96" i="1"/>
  <c r="M88" i="1"/>
  <c r="M80" i="1"/>
  <c r="M72" i="1"/>
  <c r="M68" i="1"/>
  <c r="M64" i="1"/>
  <c r="M56" i="1"/>
  <c r="M52" i="1"/>
  <c r="M48" i="1"/>
  <c r="M44" i="1"/>
  <c r="M40" i="1"/>
  <c r="M36" i="1"/>
  <c r="M32" i="1"/>
  <c r="M24" i="1"/>
  <c r="M20" i="1"/>
  <c r="M16" i="1"/>
  <c r="M12" i="1"/>
  <c r="M8" i="1"/>
  <c r="M4" i="1"/>
  <c r="Q4" i="1" s="1"/>
  <c r="M2" i="1"/>
  <c r="M292" i="1"/>
  <c r="M284" i="1"/>
  <c r="M276" i="1"/>
  <c r="M268" i="1"/>
  <c r="M260" i="1"/>
  <c r="M252" i="1"/>
  <c r="M244" i="1"/>
  <c r="M236" i="1"/>
  <c r="M228" i="1"/>
  <c r="M220" i="1"/>
  <c r="M212" i="1"/>
  <c r="M204" i="1"/>
  <c r="M196" i="1"/>
  <c r="M188" i="1"/>
  <c r="M180" i="1"/>
  <c r="M172" i="1"/>
  <c r="M164" i="1"/>
  <c r="M156" i="1"/>
  <c r="M152" i="1"/>
  <c r="M144" i="1"/>
  <c r="M136" i="1"/>
  <c r="M128" i="1"/>
  <c r="M124" i="1"/>
  <c r="M116" i="1"/>
  <c r="M108" i="1"/>
  <c r="M100" i="1"/>
  <c r="M92" i="1"/>
  <c r="M84" i="1"/>
  <c r="M76" i="1"/>
  <c r="M60" i="1"/>
  <c r="M28" i="1"/>
  <c r="M118" i="1"/>
  <c r="M110" i="1"/>
  <c r="M102" i="1"/>
  <c r="M94" i="1"/>
  <c r="M90" i="1"/>
  <c r="M78" i="1"/>
  <c r="M74" i="1"/>
  <c r="M70" i="1"/>
  <c r="M58" i="1"/>
  <c r="M14" i="1"/>
  <c r="M298" i="1"/>
  <c r="M278" i="1"/>
  <c r="M254" i="1"/>
  <c r="M234" i="1"/>
  <c r="M214" i="1"/>
  <c r="M190" i="1"/>
  <c r="M170" i="1"/>
  <c r="M150" i="1"/>
  <c r="M126" i="1"/>
  <c r="M106" i="1"/>
  <c r="M86" i="1"/>
  <c r="M62" i="1"/>
  <c r="M295" i="1"/>
  <c r="M291" i="1"/>
  <c r="M283" i="1"/>
  <c r="M271" i="1"/>
  <c r="M263" i="1"/>
  <c r="M255" i="1"/>
  <c r="M247" i="1"/>
  <c r="M239" i="1"/>
  <c r="M231" i="1"/>
  <c r="M219" i="1"/>
  <c r="M211" i="1"/>
  <c r="M203" i="1"/>
  <c r="M195" i="1"/>
  <c r="M187" i="1"/>
  <c r="M179" i="1"/>
  <c r="M171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M3" i="1"/>
  <c r="M299" i="1"/>
  <c r="M287" i="1"/>
  <c r="M279" i="1"/>
  <c r="M275" i="1"/>
  <c r="M267" i="1"/>
  <c r="M259" i="1"/>
  <c r="M251" i="1"/>
  <c r="M243" i="1"/>
  <c r="M235" i="1"/>
  <c r="M227" i="1"/>
  <c r="M223" i="1"/>
  <c r="M215" i="1"/>
  <c r="M207" i="1"/>
  <c r="M199" i="1"/>
  <c r="Q199" i="1" s="1"/>
  <c r="M191" i="1"/>
  <c r="M183" i="1"/>
  <c r="M175" i="1"/>
  <c r="M167" i="1"/>
  <c r="M290" i="1"/>
  <c r="M274" i="1"/>
  <c r="M258" i="1"/>
  <c r="M242" i="1"/>
  <c r="M226" i="1"/>
  <c r="M210" i="1"/>
  <c r="M194" i="1"/>
  <c r="M178" i="1"/>
  <c r="M162" i="1"/>
  <c r="M146" i="1"/>
  <c r="Q146" i="1" s="1"/>
  <c r="M130" i="1"/>
  <c r="M114" i="1"/>
  <c r="M98" i="1"/>
  <c r="M82" i="1"/>
  <c r="M66" i="1"/>
  <c r="M54" i="1"/>
  <c r="M50" i="1"/>
  <c r="M46" i="1"/>
  <c r="M42" i="1"/>
  <c r="M38" i="1"/>
  <c r="M34" i="1"/>
  <c r="M30" i="1"/>
  <c r="M26" i="1"/>
  <c r="M22" i="1"/>
  <c r="M18" i="1"/>
  <c r="M10" i="1"/>
  <c r="M6" i="1"/>
  <c r="DX286" i="1" l="1"/>
  <c r="AA125" i="1"/>
  <c r="Q277" i="1"/>
  <c r="AA189" i="1"/>
  <c r="Q245" i="1"/>
  <c r="AU157" i="1"/>
  <c r="DX282" i="1"/>
  <c r="Q181" i="1"/>
  <c r="AK92" i="1"/>
  <c r="EC104" i="1"/>
  <c r="ER104" i="1" s="1"/>
  <c r="FA104" i="1" s="1"/>
  <c r="FC104" i="1" s="1"/>
  <c r="GA104" i="1"/>
  <c r="FS104" i="1"/>
  <c r="FT104" i="1" s="1"/>
  <c r="FZ104" i="1"/>
  <c r="FU104" i="1"/>
  <c r="FV104" i="1" s="1"/>
  <c r="FQ104" i="1"/>
  <c r="FR104" i="1" s="1"/>
  <c r="FO104" i="1"/>
  <c r="FP104" i="1" s="1"/>
  <c r="GC104" i="1"/>
  <c r="GD104" i="1" s="1"/>
  <c r="GE104" i="1" s="1"/>
  <c r="FB104" i="1"/>
  <c r="Q293" i="1"/>
  <c r="AA77" i="1"/>
  <c r="Q261" i="1"/>
  <c r="AA13" i="1"/>
  <c r="AU87" i="1"/>
  <c r="DD260" i="1"/>
  <c r="AK12" i="1"/>
  <c r="AA157" i="1"/>
  <c r="Q221" i="1"/>
  <c r="CJ16" i="1"/>
  <c r="AK76" i="1"/>
  <c r="Q229" i="1"/>
  <c r="Q93" i="1"/>
  <c r="CT288" i="1"/>
  <c r="DN250" i="1"/>
  <c r="AU119" i="1"/>
  <c r="CT280" i="1"/>
  <c r="AA25" i="1"/>
  <c r="DN244" i="1"/>
  <c r="CT276" i="1"/>
  <c r="CT248" i="1"/>
  <c r="BZ119" i="1"/>
  <c r="AK292" i="1"/>
  <c r="AU172" i="1"/>
  <c r="AK183" i="1"/>
  <c r="Q189" i="1"/>
  <c r="Q125" i="1"/>
  <c r="Q253" i="1"/>
  <c r="CT290" i="1"/>
  <c r="BP90" i="1"/>
  <c r="AA2" i="1"/>
  <c r="AU206" i="1"/>
  <c r="AK7" i="1"/>
  <c r="Q205" i="1"/>
  <c r="DN98" i="1"/>
  <c r="CT246" i="1"/>
  <c r="CT116" i="1"/>
  <c r="AK44" i="1"/>
  <c r="DD96" i="1"/>
  <c r="Q197" i="1"/>
  <c r="Q213" i="1"/>
  <c r="AK215" i="1"/>
  <c r="Q141" i="1"/>
  <c r="CT174" i="1"/>
  <c r="CT242" i="1"/>
  <c r="AK263" i="1"/>
  <c r="AK103" i="1"/>
  <c r="CT96" i="1"/>
  <c r="Q161" i="1"/>
  <c r="Q129" i="1"/>
  <c r="AA97" i="1"/>
  <c r="AU238" i="1"/>
  <c r="AK140" i="1"/>
  <c r="Q65" i="1"/>
  <c r="AA161" i="1"/>
  <c r="AK220" i="1"/>
  <c r="AU156" i="1"/>
  <c r="AU196" i="1"/>
  <c r="DX111" i="1"/>
  <c r="CT158" i="1"/>
  <c r="AA136" i="1"/>
  <c r="AK167" i="1"/>
  <c r="DN184" i="1"/>
  <c r="AU278" i="1"/>
  <c r="AA169" i="1"/>
  <c r="AK252" i="1"/>
  <c r="BF60" i="1"/>
  <c r="AU189" i="1"/>
  <c r="AK236" i="1"/>
  <c r="CJ112" i="1"/>
  <c r="AA177" i="1"/>
  <c r="AK60" i="1"/>
  <c r="DX250" i="1"/>
  <c r="Q145" i="1"/>
  <c r="Q81" i="1"/>
  <c r="AK55" i="1"/>
  <c r="AA200" i="1"/>
  <c r="AK71" i="1"/>
  <c r="DX254" i="1"/>
  <c r="AA9" i="1"/>
  <c r="DN228" i="1"/>
  <c r="BF78" i="1"/>
  <c r="AA73" i="1"/>
  <c r="DN12" i="1"/>
  <c r="CT24" i="1"/>
  <c r="AA201" i="1"/>
  <c r="DN180" i="1"/>
  <c r="CT238" i="1"/>
  <c r="BZ34" i="1"/>
  <c r="AA168" i="1"/>
  <c r="AK156" i="1"/>
  <c r="CT18" i="1"/>
  <c r="BP115" i="1"/>
  <c r="DX270" i="1"/>
  <c r="AA209" i="1"/>
  <c r="CJ22" i="1"/>
  <c r="AU88" i="1"/>
  <c r="AK188" i="1"/>
  <c r="DN108" i="1"/>
  <c r="DN212" i="1"/>
  <c r="CJ92" i="1"/>
  <c r="AU253" i="1"/>
  <c r="BZ143" i="1"/>
  <c r="AU152" i="1"/>
  <c r="AU216" i="1"/>
  <c r="Q186" i="1"/>
  <c r="BP66" i="1"/>
  <c r="CT42" i="1"/>
  <c r="BZ160" i="1"/>
  <c r="BP60" i="1"/>
  <c r="AA145" i="1"/>
  <c r="AK295" i="1"/>
  <c r="BF234" i="1"/>
  <c r="CT128" i="1"/>
  <c r="AK172" i="1"/>
  <c r="CJ106" i="1"/>
  <c r="CT156" i="1"/>
  <c r="AU254" i="1"/>
  <c r="AK108" i="1"/>
  <c r="AK247" i="1"/>
  <c r="BF202" i="1"/>
  <c r="AU268" i="1"/>
  <c r="AU14" i="1"/>
  <c r="AU205" i="1"/>
  <c r="AA35" i="1"/>
  <c r="DN122" i="1"/>
  <c r="DX258" i="1"/>
  <c r="AA57" i="1"/>
  <c r="Q246" i="1"/>
  <c r="DN254" i="1"/>
  <c r="DX142" i="1"/>
  <c r="DN28" i="1"/>
  <c r="DN148" i="1"/>
  <c r="CT13" i="1"/>
  <c r="DD176" i="1"/>
  <c r="DD204" i="1"/>
  <c r="AK119" i="1"/>
  <c r="AU67" i="1"/>
  <c r="AK231" i="1"/>
  <c r="AA89" i="1"/>
  <c r="AK184" i="1"/>
  <c r="CT56" i="1"/>
  <c r="DX262" i="1"/>
  <c r="AU204" i="1"/>
  <c r="AA24" i="1"/>
  <c r="AK2" i="1"/>
  <c r="BP124" i="1"/>
  <c r="AU55" i="1"/>
  <c r="AU131" i="1"/>
  <c r="AK124" i="1"/>
  <c r="AK279" i="1"/>
  <c r="AA185" i="1"/>
  <c r="DX274" i="1"/>
  <c r="AK284" i="1"/>
  <c r="DN44" i="1"/>
  <c r="CT110" i="1"/>
  <c r="CT6" i="1"/>
  <c r="AU99" i="1"/>
  <c r="AA153" i="1"/>
  <c r="BP156" i="1"/>
  <c r="AA56" i="1"/>
  <c r="AK135" i="1"/>
  <c r="AA238" i="1"/>
  <c r="DX238" i="1"/>
  <c r="AA121" i="1"/>
  <c r="BP32" i="1"/>
  <c r="BP160" i="1"/>
  <c r="AK28" i="1"/>
  <c r="AK204" i="1"/>
  <c r="BP12" i="1"/>
  <c r="AK23" i="1"/>
  <c r="AU188" i="1"/>
  <c r="DX242" i="1"/>
  <c r="DY242" i="1"/>
  <c r="DY258" i="1"/>
  <c r="DM242" i="1"/>
  <c r="DN242" i="1" s="1"/>
  <c r="AU237" i="1"/>
  <c r="AK39" i="1"/>
  <c r="BP102" i="1"/>
  <c r="DY246" i="1"/>
  <c r="DY262" i="1"/>
  <c r="DY278" i="1"/>
  <c r="DY294" i="1"/>
  <c r="DX246" i="1"/>
  <c r="DX278" i="1"/>
  <c r="CT60" i="1"/>
  <c r="DD124" i="1"/>
  <c r="BP26" i="1"/>
  <c r="DY266" i="1"/>
  <c r="DM258" i="1"/>
  <c r="DN258" i="1" s="1"/>
  <c r="DY238" i="1"/>
  <c r="DY270" i="1"/>
  <c r="DY286" i="1"/>
  <c r="Q198" i="1"/>
  <c r="Q250" i="1"/>
  <c r="DX266" i="1"/>
  <c r="DX298" i="1"/>
  <c r="DX134" i="1"/>
  <c r="DX147" i="1"/>
  <c r="DY118" i="1"/>
  <c r="DY140" i="1"/>
  <c r="DW162" i="1"/>
  <c r="DY162" i="1"/>
  <c r="DW184" i="1"/>
  <c r="DY184" i="1"/>
  <c r="DW9" i="1"/>
  <c r="DY9" i="1"/>
  <c r="DW27" i="1"/>
  <c r="DY27" i="1"/>
  <c r="DW45" i="1"/>
  <c r="DY45" i="1"/>
  <c r="DW65" i="1"/>
  <c r="DY65" i="1"/>
  <c r="DW83" i="1"/>
  <c r="DY83" i="1"/>
  <c r="DW101" i="1"/>
  <c r="DY101" i="1"/>
  <c r="DW121" i="1"/>
  <c r="DY121" i="1"/>
  <c r="DW47" i="1"/>
  <c r="DY47" i="1"/>
  <c r="DY143" i="1"/>
  <c r="DY157" i="1"/>
  <c r="DW173" i="1"/>
  <c r="DY173" i="1"/>
  <c r="DW189" i="1"/>
  <c r="DY189" i="1"/>
  <c r="DW205" i="1"/>
  <c r="DY205" i="1"/>
  <c r="DW221" i="1"/>
  <c r="DY221" i="1"/>
  <c r="DW237" i="1"/>
  <c r="DY237" i="1"/>
  <c r="DX4" i="1"/>
  <c r="DY4" i="1"/>
  <c r="DY20" i="1"/>
  <c r="DY36" i="1"/>
  <c r="DY52" i="1"/>
  <c r="DY68" i="1"/>
  <c r="DY84" i="1"/>
  <c r="DY102" i="1"/>
  <c r="DY152" i="1"/>
  <c r="DW196" i="1"/>
  <c r="DY196" i="1"/>
  <c r="DY212" i="1"/>
  <c r="DW228" i="1"/>
  <c r="DY228" i="1"/>
  <c r="DW251" i="1"/>
  <c r="DY251" i="1"/>
  <c r="DW267" i="1"/>
  <c r="DY267" i="1"/>
  <c r="DW283" i="1"/>
  <c r="DY283" i="1"/>
  <c r="DW299" i="1"/>
  <c r="DY299" i="1"/>
  <c r="DX39" i="1"/>
  <c r="DW252" i="1"/>
  <c r="DY252" i="1"/>
  <c r="DW284" i="1"/>
  <c r="DY284" i="1"/>
  <c r="DX84" i="1"/>
  <c r="DY120" i="1"/>
  <c r="DY142" i="1"/>
  <c r="DY166" i="1"/>
  <c r="DW186" i="1"/>
  <c r="DY186" i="1"/>
  <c r="DW13" i="1"/>
  <c r="DY13" i="1"/>
  <c r="DW29" i="1"/>
  <c r="DY29" i="1"/>
  <c r="DW49" i="1"/>
  <c r="DY49" i="1"/>
  <c r="DW67" i="1"/>
  <c r="DY67" i="1"/>
  <c r="DW85" i="1"/>
  <c r="DY85" i="1"/>
  <c r="DW103" i="1"/>
  <c r="DY103" i="1"/>
  <c r="DW123" i="1"/>
  <c r="DY123" i="1"/>
  <c r="DW59" i="1"/>
  <c r="DY59" i="1"/>
  <c r="CT36" i="1"/>
  <c r="DW11" i="1"/>
  <c r="DY11" i="1"/>
  <c r="DW75" i="1"/>
  <c r="DY75" i="1"/>
  <c r="DW159" i="1"/>
  <c r="DY159" i="1"/>
  <c r="DW175" i="1"/>
  <c r="DY175" i="1"/>
  <c r="DW191" i="1"/>
  <c r="DY191" i="1"/>
  <c r="DW207" i="1"/>
  <c r="DY207" i="1"/>
  <c r="DW223" i="1"/>
  <c r="DY223" i="1"/>
  <c r="DW239" i="1"/>
  <c r="DY239" i="1"/>
  <c r="DY6" i="1"/>
  <c r="DY22" i="1"/>
  <c r="DY38" i="1"/>
  <c r="DY54" i="1"/>
  <c r="DW70" i="1"/>
  <c r="DY70" i="1"/>
  <c r="DY86" i="1"/>
  <c r="DW164" i="1"/>
  <c r="DY164" i="1"/>
  <c r="DY198" i="1"/>
  <c r="DY214" i="1"/>
  <c r="DW230" i="1"/>
  <c r="DY230" i="1"/>
  <c r="DW253" i="1"/>
  <c r="DY253" i="1"/>
  <c r="DW269" i="1"/>
  <c r="DY269" i="1"/>
  <c r="DW285" i="1"/>
  <c r="DY285" i="1"/>
  <c r="DW256" i="1"/>
  <c r="DY256" i="1"/>
  <c r="DW288" i="1"/>
  <c r="DY288" i="1"/>
  <c r="DX76" i="1"/>
  <c r="DX56" i="1"/>
  <c r="DX22" i="1"/>
  <c r="DX2" i="1"/>
  <c r="DX145" i="1"/>
  <c r="DZ145" i="1"/>
  <c r="DY122" i="1"/>
  <c r="DX146" i="1"/>
  <c r="DY146" i="1"/>
  <c r="DW170" i="1"/>
  <c r="DY170" i="1"/>
  <c r="DW15" i="1"/>
  <c r="DY15" i="1"/>
  <c r="DW31" i="1"/>
  <c r="DY31" i="1"/>
  <c r="DW51" i="1"/>
  <c r="DY51" i="1"/>
  <c r="DW69" i="1"/>
  <c r="DY69" i="1"/>
  <c r="DW89" i="1"/>
  <c r="DY89" i="1"/>
  <c r="DW105" i="1"/>
  <c r="DY105" i="1"/>
  <c r="DW127" i="1"/>
  <c r="DY127" i="1"/>
  <c r="DW87" i="1"/>
  <c r="DY87" i="1"/>
  <c r="DY145" i="1"/>
  <c r="DW161" i="1"/>
  <c r="DY161" i="1"/>
  <c r="DW177" i="1"/>
  <c r="DY177" i="1"/>
  <c r="DY193" i="1"/>
  <c r="DW209" i="1"/>
  <c r="DY209" i="1"/>
  <c r="DW225" i="1"/>
  <c r="DY225" i="1"/>
  <c r="DW241" i="1"/>
  <c r="DY241" i="1"/>
  <c r="DY8" i="1"/>
  <c r="DY24" i="1"/>
  <c r="DY40" i="1"/>
  <c r="DY56" i="1"/>
  <c r="DY72" i="1"/>
  <c r="DW88" i="1"/>
  <c r="DY88" i="1"/>
  <c r="DW106" i="1"/>
  <c r="DY106" i="1"/>
  <c r="DY168" i="1"/>
  <c r="DW200" i="1"/>
  <c r="DY200" i="1"/>
  <c r="DY216" i="1"/>
  <c r="DW232" i="1"/>
  <c r="DY232" i="1"/>
  <c r="DW255" i="1"/>
  <c r="DY255" i="1"/>
  <c r="DW271" i="1"/>
  <c r="DY271" i="1"/>
  <c r="DW287" i="1"/>
  <c r="DY287" i="1"/>
  <c r="DW260" i="1"/>
  <c r="DY260" i="1"/>
  <c r="DW292" i="1"/>
  <c r="DY292" i="1"/>
  <c r="DY111" i="1"/>
  <c r="DY274" i="1"/>
  <c r="DX208" i="1"/>
  <c r="DX16" i="1"/>
  <c r="DX174" i="1"/>
  <c r="DX168" i="1"/>
  <c r="DX20" i="1"/>
  <c r="DX140" i="1"/>
  <c r="DX32" i="1"/>
  <c r="DX28" i="1"/>
  <c r="DX60" i="1"/>
  <c r="DX102" i="1"/>
  <c r="DX190" i="1"/>
  <c r="DX38" i="1"/>
  <c r="DX86" i="1"/>
  <c r="DX128" i="1"/>
  <c r="DY124" i="1"/>
  <c r="DY148" i="1"/>
  <c r="DW172" i="1"/>
  <c r="DY172" i="1"/>
  <c r="DW17" i="1"/>
  <c r="DY17" i="1"/>
  <c r="DW33" i="1"/>
  <c r="DY33" i="1"/>
  <c r="DW53" i="1"/>
  <c r="DY53" i="1"/>
  <c r="DW71" i="1"/>
  <c r="DY71" i="1"/>
  <c r="DW91" i="1"/>
  <c r="DY91" i="1"/>
  <c r="DW107" i="1"/>
  <c r="DY107" i="1"/>
  <c r="DW129" i="1"/>
  <c r="DY129" i="1"/>
  <c r="DW109" i="1"/>
  <c r="DY109" i="1"/>
  <c r="DY147" i="1"/>
  <c r="DW163" i="1"/>
  <c r="DY163" i="1"/>
  <c r="DW179" i="1"/>
  <c r="DY179" i="1"/>
  <c r="DW195" i="1"/>
  <c r="DY195" i="1"/>
  <c r="DW211" i="1"/>
  <c r="DY211" i="1"/>
  <c r="DW227" i="1"/>
  <c r="DY227" i="1"/>
  <c r="DW243" i="1"/>
  <c r="DY243" i="1"/>
  <c r="DW10" i="1"/>
  <c r="DY10" i="1"/>
  <c r="DW26" i="1"/>
  <c r="DY26" i="1"/>
  <c r="DW42" i="1"/>
  <c r="DX42" i="1" s="1"/>
  <c r="DY42" i="1"/>
  <c r="DW58" i="1"/>
  <c r="DY58" i="1"/>
  <c r="DW74" i="1"/>
  <c r="DY74" i="1"/>
  <c r="DY90" i="1"/>
  <c r="DY116" i="1"/>
  <c r="DW180" i="1"/>
  <c r="DY180" i="1"/>
  <c r="DW202" i="1"/>
  <c r="DY202" i="1"/>
  <c r="DW218" i="1"/>
  <c r="DY218" i="1"/>
  <c r="DW234" i="1"/>
  <c r="DY234" i="1"/>
  <c r="DW257" i="1"/>
  <c r="DY257" i="1"/>
  <c r="DW273" i="1"/>
  <c r="DY273" i="1"/>
  <c r="DW289" i="1"/>
  <c r="DY289" i="1"/>
  <c r="DW264" i="1"/>
  <c r="DY264" i="1"/>
  <c r="DW296" i="1"/>
  <c r="DY296" i="1"/>
  <c r="DY282" i="1"/>
  <c r="DX52" i="1"/>
  <c r="DX24" i="1"/>
  <c r="DX62" i="1"/>
  <c r="DX30" i="1"/>
  <c r="DX110" i="1"/>
  <c r="DX194" i="1"/>
  <c r="DX54" i="1"/>
  <c r="DX116" i="1"/>
  <c r="DX155" i="1"/>
  <c r="DX144" i="1"/>
  <c r="DW108" i="1"/>
  <c r="DY108" i="1"/>
  <c r="DY126" i="1"/>
  <c r="DW150" i="1"/>
  <c r="DY150" i="1"/>
  <c r="DY174" i="1"/>
  <c r="DW19" i="1"/>
  <c r="DY19" i="1"/>
  <c r="DW35" i="1"/>
  <c r="DY35" i="1"/>
  <c r="DW55" i="1"/>
  <c r="DY55" i="1"/>
  <c r="DW73" i="1"/>
  <c r="DY73" i="1"/>
  <c r="DW93" i="1"/>
  <c r="DY93" i="1"/>
  <c r="DW113" i="1"/>
  <c r="DY113" i="1"/>
  <c r="DW131" i="1"/>
  <c r="DY131" i="1"/>
  <c r="DW125" i="1"/>
  <c r="DY125" i="1"/>
  <c r="DW149" i="1"/>
  <c r="DY149" i="1"/>
  <c r="DW165" i="1"/>
  <c r="DY165" i="1"/>
  <c r="DW181" i="1"/>
  <c r="DY181" i="1"/>
  <c r="DW197" i="1"/>
  <c r="DY197" i="1"/>
  <c r="DW213" i="1"/>
  <c r="DY213" i="1"/>
  <c r="DW229" i="1"/>
  <c r="DY229" i="1"/>
  <c r="DW245" i="1"/>
  <c r="DY245" i="1"/>
  <c r="DW12" i="1"/>
  <c r="DY12" i="1"/>
  <c r="DY28" i="1"/>
  <c r="DY44" i="1"/>
  <c r="DY60" i="1"/>
  <c r="DY76" i="1"/>
  <c r="DW92" i="1"/>
  <c r="DY92" i="1"/>
  <c r="DY128" i="1"/>
  <c r="DY188" i="1"/>
  <c r="DW204" i="1"/>
  <c r="DY204" i="1"/>
  <c r="DW220" i="1"/>
  <c r="DY220" i="1"/>
  <c r="DW259" i="1"/>
  <c r="DY259" i="1"/>
  <c r="DW275" i="1"/>
  <c r="DY275" i="1"/>
  <c r="DW291" i="1"/>
  <c r="DY291" i="1"/>
  <c r="DW236" i="1"/>
  <c r="DY236" i="1"/>
  <c r="DW268" i="1"/>
  <c r="DY268" i="1"/>
  <c r="DY290" i="1"/>
  <c r="DX96" i="1"/>
  <c r="DY110" i="1"/>
  <c r="DW130" i="1"/>
  <c r="DY130" i="1"/>
  <c r="DY154" i="1"/>
  <c r="DY176" i="1"/>
  <c r="DW3" i="1"/>
  <c r="DY3" i="1"/>
  <c r="DW21" i="1"/>
  <c r="DY21" i="1"/>
  <c r="DW37" i="1"/>
  <c r="DY37" i="1"/>
  <c r="DW57" i="1"/>
  <c r="DY57" i="1"/>
  <c r="DW77" i="1"/>
  <c r="DY77" i="1"/>
  <c r="DW95" i="1"/>
  <c r="DY95" i="1"/>
  <c r="DW115" i="1"/>
  <c r="DY115" i="1"/>
  <c r="DY133" i="1"/>
  <c r="DX137" i="1"/>
  <c r="DY137" i="1"/>
  <c r="DW151" i="1"/>
  <c r="DY151" i="1"/>
  <c r="DW167" i="1"/>
  <c r="DY167" i="1"/>
  <c r="DW183" i="1"/>
  <c r="DY183" i="1"/>
  <c r="DY199" i="1"/>
  <c r="DW215" i="1"/>
  <c r="DY215" i="1"/>
  <c r="DW231" i="1"/>
  <c r="DY231" i="1"/>
  <c r="DW247" i="1"/>
  <c r="DY247" i="1"/>
  <c r="CT40" i="1"/>
  <c r="DW14" i="1"/>
  <c r="DY14" i="1"/>
  <c r="DY30" i="1"/>
  <c r="DW46" i="1"/>
  <c r="DY46" i="1"/>
  <c r="DY62" i="1"/>
  <c r="DW78" i="1"/>
  <c r="DY78" i="1"/>
  <c r="DW94" i="1"/>
  <c r="DY94" i="1"/>
  <c r="DY132" i="1"/>
  <c r="DY190" i="1"/>
  <c r="DY206" i="1"/>
  <c r="DW222" i="1"/>
  <c r="DY222" i="1"/>
  <c r="DW261" i="1"/>
  <c r="DY261" i="1"/>
  <c r="DW277" i="1"/>
  <c r="DY277" i="1"/>
  <c r="DW293" i="1"/>
  <c r="DY293" i="1"/>
  <c r="DY254" i="1"/>
  <c r="DW240" i="1"/>
  <c r="DY240" i="1"/>
  <c r="DW272" i="1"/>
  <c r="DY272" i="1"/>
  <c r="DY298" i="1"/>
  <c r="DX212" i="1"/>
  <c r="DX8" i="1"/>
  <c r="DX143" i="1"/>
  <c r="DX198" i="1"/>
  <c r="DX157" i="1"/>
  <c r="DZ157" i="1"/>
  <c r="Q166" i="1"/>
  <c r="DX40" i="1"/>
  <c r="DX152" i="1"/>
  <c r="DX90" i="1"/>
  <c r="DX133" i="1"/>
  <c r="DX192" i="1"/>
  <c r="DX153" i="1"/>
  <c r="DZ153" i="1"/>
  <c r="DY112" i="1"/>
  <c r="DY134" i="1"/>
  <c r="DY156" i="1"/>
  <c r="DW178" i="1"/>
  <c r="DY178" i="1"/>
  <c r="DW5" i="1"/>
  <c r="DY5" i="1"/>
  <c r="DW23" i="1"/>
  <c r="DY23" i="1"/>
  <c r="DW41" i="1"/>
  <c r="DY41" i="1"/>
  <c r="DX61" i="1"/>
  <c r="DY61" i="1"/>
  <c r="DW79" i="1"/>
  <c r="DY79" i="1"/>
  <c r="DW97" i="1"/>
  <c r="DY97" i="1"/>
  <c r="DW117" i="1"/>
  <c r="DY117" i="1"/>
  <c r="DY135" i="1"/>
  <c r="DW139" i="1"/>
  <c r="DY139" i="1"/>
  <c r="DY153" i="1"/>
  <c r="DW169" i="1"/>
  <c r="DY169" i="1"/>
  <c r="DW185" i="1"/>
  <c r="DY185" i="1"/>
  <c r="DW201" i="1"/>
  <c r="DY201" i="1"/>
  <c r="DW217" i="1"/>
  <c r="DY217" i="1"/>
  <c r="DW233" i="1"/>
  <c r="DY233" i="1"/>
  <c r="DY16" i="1"/>
  <c r="DY32" i="1"/>
  <c r="DW48" i="1"/>
  <c r="DY48" i="1"/>
  <c r="DW64" i="1"/>
  <c r="DY64" i="1"/>
  <c r="DW80" i="1"/>
  <c r="DY80" i="1"/>
  <c r="DW98" i="1"/>
  <c r="DY98" i="1"/>
  <c r="DY136" i="1"/>
  <c r="DY192" i="1"/>
  <c r="DY208" i="1"/>
  <c r="DW224" i="1"/>
  <c r="DY224" i="1"/>
  <c r="DW263" i="1"/>
  <c r="DY263" i="1"/>
  <c r="DW279" i="1"/>
  <c r="DY279" i="1"/>
  <c r="DW295" i="1"/>
  <c r="DY295" i="1"/>
  <c r="DW244" i="1"/>
  <c r="DY244" i="1"/>
  <c r="DW276" i="1"/>
  <c r="DY276" i="1"/>
  <c r="DX6" i="1"/>
  <c r="DX214" i="1"/>
  <c r="DX136" i="1"/>
  <c r="DX216" i="1"/>
  <c r="DX36" i="1"/>
  <c r="DX68" i="1"/>
  <c r="DX122" i="1"/>
  <c r="DX132" i="1"/>
  <c r="DX44" i="1"/>
  <c r="DX72" i="1"/>
  <c r="DX166" i="1"/>
  <c r="DX210" i="1"/>
  <c r="DX160" i="1"/>
  <c r="DX176" i="1"/>
  <c r="DX135" i="1"/>
  <c r="DW114" i="1"/>
  <c r="DY114" i="1"/>
  <c r="DY138" i="1"/>
  <c r="DW158" i="1"/>
  <c r="DY158" i="1"/>
  <c r="DW182" i="1"/>
  <c r="DX182" i="1" s="1"/>
  <c r="DY182" i="1"/>
  <c r="DW7" i="1"/>
  <c r="DY7" i="1"/>
  <c r="DW25" i="1"/>
  <c r="DY25" i="1"/>
  <c r="DW43" i="1"/>
  <c r="DY43" i="1"/>
  <c r="DW63" i="1"/>
  <c r="DY63" i="1"/>
  <c r="DW81" i="1"/>
  <c r="DY81" i="1"/>
  <c r="DW99" i="1"/>
  <c r="DY99" i="1"/>
  <c r="DW119" i="1"/>
  <c r="DY119" i="1"/>
  <c r="DX188" i="1"/>
  <c r="DW141" i="1"/>
  <c r="DY141" i="1"/>
  <c r="DY155" i="1"/>
  <c r="DW171" i="1"/>
  <c r="DY171" i="1"/>
  <c r="DW187" i="1"/>
  <c r="DY187" i="1"/>
  <c r="DW203" i="1"/>
  <c r="DY203" i="1"/>
  <c r="DW219" i="1"/>
  <c r="DY219" i="1"/>
  <c r="DW235" i="1"/>
  <c r="DY235" i="1"/>
  <c r="DY160" i="1"/>
  <c r="DW18" i="1"/>
  <c r="DY18" i="1"/>
  <c r="DW34" i="1"/>
  <c r="DY34" i="1"/>
  <c r="DX50" i="1"/>
  <c r="DY50" i="1"/>
  <c r="DW66" i="1"/>
  <c r="DX66" i="1" s="1"/>
  <c r="DY66" i="1"/>
  <c r="DW82" i="1"/>
  <c r="DY82" i="1"/>
  <c r="DW100" i="1"/>
  <c r="DY100" i="1"/>
  <c r="DY144" i="1"/>
  <c r="DY194" i="1"/>
  <c r="DY210" i="1"/>
  <c r="DW226" i="1"/>
  <c r="DY226" i="1"/>
  <c r="DW249" i="1"/>
  <c r="DY249" i="1"/>
  <c r="DW265" i="1"/>
  <c r="DY265" i="1"/>
  <c r="DW281" i="1"/>
  <c r="DY281" i="1"/>
  <c r="DW297" i="1"/>
  <c r="DY297" i="1"/>
  <c r="DN182" i="1"/>
  <c r="DY39" i="1"/>
  <c r="DW248" i="1"/>
  <c r="DY248" i="1"/>
  <c r="DW280" i="1"/>
  <c r="DY280" i="1"/>
  <c r="DY250" i="1"/>
  <c r="DY96" i="1"/>
  <c r="CT140" i="1"/>
  <c r="DD92" i="1"/>
  <c r="DD256" i="1"/>
  <c r="BZ50" i="1"/>
  <c r="BZ192" i="1"/>
  <c r="CJ120" i="1"/>
  <c r="AK87" i="1"/>
  <c r="BP46" i="1"/>
  <c r="AU35" i="1"/>
  <c r="AK151" i="1"/>
  <c r="CT90" i="1"/>
  <c r="BE128" i="1"/>
  <c r="BF128" i="1" s="1"/>
  <c r="DN216" i="1"/>
  <c r="CJ40" i="1"/>
  <c r="CJ24" i="1"/>
  <c r="BZ10" i="1"/>
  <c r="BP52" i="1"/>
  <c r="BZ184" i="1"/>
  <c r="BZ176" i="1"/>
  <c r="AU173" i="1"/>
  <c r="AK268" i="1"/>
  <c r="DN264" i="1"/>
  <c r="DX138" i="1"/>
  <c r="DD188" i="1"/>
  <c r="CJ82" i="1"/>
  <c r="BZ154" i="1"/>
  <c r="CJ118" i="1"/>
  <c r="BZ140" i="1"/>
  <c r="BZ206" i="1"/>
  <c r="AK152" i="1"/>
  <c r="AK176" i="1"/>
  <c r="AK196" i="1"/>
  <c r="AK216" i="1"/>
  <c r="AU71" i="1"/>
  <c r="AK52" i="1"/>
  <c r="AK244" i="1"/>
  <c r="AK264" i="1"/>
  <c r="AK288" i="1"/>
  <c r="CS54" i="1"/>
  <c r="CT54" i="1" s="1"/>
  <c r="BF254" i="1"/>
  <c r="BF214" i="1"/>
  <c r="BF222" i="1"/>
  <c r="BF298" i="1"/>
  <c r="DD84" i="1"/>
  <c r="CJ114" i="1"/>
  <c r="BZ78" i="1"/>
  <c r="BZ128" i="1"/>
  <c r="BZ86" i="1"/>
  <c r="BZ38" i="1"/>
  <c r="BP36" i="1"/>
  <c r="AK88" i="1"/>
  <c r="CI54" i="1"/>
  <c r="CJ54" i="1" s="1"/>
  <c r="Q154" i="1"/>
  <c r="DW118" i="1"/>
  <c r="DW124" i="1"/>
  <c r="DY2" i="1"/>
  <c r="DD24" i="1"/>
  <c r="DD148" i="1"/>
  <c r="CS78" i="1"/>
  <c r="CT78" i="1" s="1"/>
  <c r="CS278" i="1"/>
  <c r="CT278" i="1" s="1"/>
  <c r="CJ38" i="1"/>
  <c r="CJ86" i="1"/>
  <c r="CJ98" i="1"/>
  <c r="CJ130" i="1"/>
  <c r="CJ162" i="1"/>
  <c r="CJ178" i="1"/>
  <c r="BY22" i="1"/>
  <c r="BZ22" i="1" s="1"/>
  <c r="BZ94" i="1"/>
  <c r="BY102" i="1"/>
  <c r="BZ102" i="1" s="1"/>
  <c r="BZ148" i="1"/>
  <c r="CJ66" i="1"/>
  <c r="BO78" i="1"/>
  <c r="BP78" i="1" s="1"/>
  <c r="AJ68" i="1"/>
  <c r="AK68" i="1" s="1"/>
  <c r="AT39" i="1"/>
  <c r="AU39" i="1" s="1"/>
  <c r="AU279" i="1"/>
  <c r="AK8" i="1"/>
  <c r="AK32" i="1"/>
  <c r="AK48" i="1"/>
  <c r="AK160" i="1"/>
  <c r="AK180" i="1"/>
  <c r="AK200" i="1"/>
  <c r="AK224" i="1"/>
  <c r="AK240" i="1"/>
  <c r="AK260" i="1"/>
  <c r="AK280" i="1"/>
  <c r="DW120" i="1"/>
  <c r="DW154" i="1"/>
  <c r="CS28" i="1"/>
  <c r="CT28" i="1" s="1"/>
  <c r="BY42" i="1"/>
  <c r="BZ42" i="1" s="1"/>
  <c r="BY132" i="1"/>
  <c r="BZ132" i="1" s="1"/>
  <c r="BY142" i="1"/>
  <c r="BZ142" i="1" s="1"/>
  <c r="BY150" i="1"/>
  <c r="BZ150" i="1" s="1"/>
  <c r="BY168" i="1"/>
  <c r="BZ168" i="1" s="1"/>
  <c r="DW148" i="1"/>
  <c r="DC224" i="1"/>
  <c r="DD224" i="1" s="1"/>
  <c r="BZ120" i="1"/>
  <c r="CS180" i="1"/>
  <c r="CT180" i="1" s="1"/>
  <c r="P294" i="1"/>
  <c r="Q294" i="1" s="1"/>
  <c r="Q218" i="1"/>
  <c r="CT64" i="1"/>
  <c r="BZ166" i="1"/>
  <c r="DW112" i="1"/>
  <c r="DC208" i="1"/>
  <c r="DD208" i="1" s="1"/>
  <c r="BY194" i="1"/>
  <c r="BZ194" i="1" s="1"/>
  <c r="BY202" i="1"/>
  <c r="BZ202" i="1" s="1"/>
  <c r="DC26" i="1"/>
  <c r="DD26" i="1" s="1"/>
  <c r="DC38" i="1"/>
  <c r="DD38" i="1" s="1"/>
  <c r="DC62" i="1"/>
  <c r="DD62" i="1" s="1"/>
  <c r="DC80" i="1"/>
  <c r="DD80" i="1" s="1"/>
  <c r="DC130" i="1"/>
  <c r="DD130" i="1" s="1"/>
  <c r="DC182" i="1"/>
  <c r="DD182" i="1" s="1"/>
  <c r="DC206" i="1"/>
  <c r="DD206" i="1" s="1"/>
  <c r="DC232" i="1"/>
  <c r="DD232" i="1" s="1"/>
  <c r="DC246" i="1"/>
  <c r="DD246" i="1" s="1"/>
  <c r="DC258" i="1"/>
  <c r="DD258" i="1" s="1"/>
  <c r="DC270" i="1"/>
  <c r="DD270" i="1" s="1"/>
  <c r="DC282" i="1"/>
  <c r="DD282" i="1" s="1"/>
  <c r="DC296" i="1"/>
  <c r="DD296" i="1" s="1"/>
  <c r="CS11" i="1"/>
  <c r="CT11" i="1" s="1"/>
  <c r="BY147" i="1"/>
  <c r="BZ147" i="1" s="1"/>
  <c r="AT13" i="1"/>
  <c r="AU13" i="1" s="1"/>
  <c r="AT33" i="1"/>
  <c r="AU33" i="1" s="1"/>
  <c r="AT45" i="1"/>
  <c r="AU45" i="1" s="1"/>
  <c r="AT65" i="1"/>
  <c r="AU65" i="1" s="1"/>
  <c r="AT89" i="1"/>
  <c r="AU89" i="1" s="1"/>
  <c r="AT97" i="1"/>
  <c r="AU97" i="1" s="1"/>
  <c r="AT129" i="1"/>
  <c r="AU129" i="1" s="1"/>
  <c r="AT155" i="1"/>
  <c r="AU155" i="1" s="1"/>
  <c r="AT187" i="1"/>
  <c r="AU187" i="1" s="1"/>
  <c r="AT219" i="1"/>
  <c r="AU219" i="1" s="1"/>
  <c r="AT251" i="1"/>
  <c r="AU251" i="1" s="1"/>
  <c r="AJ26" i="1"/>
  <c r="AK26" i="1" s="1"/>
  <c r="AJ74" i="1"/>
  <c r="AK74" i="1" s="1"/>
  <c r="AJ90" i="1"/>
  <c r="AK90" i="1" s="1"/>
  <c r="AJ122" i="1"/>
  <c r="AK122" i="1" s="1"/>
  <c r="AJ154" i="1"/>
  <c r="AK154" i="1" s="1"/>
  <c r="AJ170" i="1"/>
  <c r="AK170" i="1" s="1"/>
  <c r="AJ202" i="1"/>
  <c r="AK202" i="1" s="1"/>
  <c r="AJ234" i="1"/>
  <c r="AK234" i="1" s="1"/>
  <c r="AJ250" i="1"/>
  <c r="AK250" i="1" s="1"/>
  <c r="AJ282" i="1"/>
  <c r="AK282" i="1" s="1"/>
  <c r="Q202" i="1"/>
  <c r="DC16" i="1"/>
  <c r="DD16" i="1" s="1"/>
  <c r="DC40" i="1"/>
  <c r="DD40" i="1" s="1"/>
  <c r="DC64" i="1"/>
  <c r="DD64" i="1" s="1"/>
  <c r="DC82" i="1"/>
  <c r="DD82" i="1" s="1"/>
  <c r="DC94" i="1"/>
  <c r="DD94" i="1" s="1"/>
  <c r="DC120" i="1"/>
  <c r="DD120" i="1" s="1"/>
  <c r="DC134" i="1"/>
  <c r="DD134" i="1" s="1"/>
  <c r="DC158" i="1"/>
  <c r="DD158" i="1" s="1"/>
  <c r="DC184" i="1"/>
  <c r="DD184" i="1" s="1"/>
  <c r="DC210" i="1"/>
  <c r="DD210" i="1" s="1"/>
  <c r="DC234" i="1"/>
  <c r="DD234" i="1" s="1"/>
  <c r="DC262" i="1"/>
  <c r="DD262" i="1" s="1"/>
  <c r="DC286" i="1"/>
  <c r="DD286" i="1" s="1"/>
  <c r="CS63" i="1"/>
  <c r="CT63" i="1" s="1"/>
  <c r="CI83" i="1"/>
  <c r="CJ83" i="1" s="1"/>
  <c r="AT5" i="1"/>
  <c r="AU5" i="1" s="1"/>
  <c r="AT15" i="1"/>
  <c r="AU15" i="1" s="1"/>
  <c r="AT47" i="1"/>
  <c r="AU47" i="1" s="1"/>
  <c r="AT143" i="1"/>
  <c r="AU143" i="1" s="1"/>
  <c r="AT207" i="1"/>
  <c r="AU207" i="1" s="1"/>
  <c r="AT239" i="1"/>
  <c r="AU239" i="1" s="1"/>
  <c r="AJ30" i="1"/>
  <c r="AK30" i="1" s="1"/>
  <c r="AJ46" i="1"/>
  <c r="AK46" i="1" s="1"/>
  <c r="AJ78" i="1"/>
  <c r="AK78" i="1" s="1"/>
  <c r="AJ110" i="1"/>
  <c r="AK110" i="1" s="1"/>
  <c r="AJ142" i="1"/>
  <c r="AK142" i="1" s="1"/>
  <c r="AJ174" i="1"/>
  <c r="AK174" i="1" s="1"/>
  <c r="AJ222" i="1"/>
  <c r="AK222" i="1" s="1"/>
  <c r="AJ238" i="1"/>
  <c r="AK238" i="1" s="1"/>
  <c r="AJ286" i="1"/>
  <c r="AK286" i="1" s="1"/>
  <c r="Q174" i="1"/>
  <c r="Q266" i="1"/>
  <c r="DC10" i="1"/>
  <c r="DD10" i="1" s="1"/>
  <c r="DC18" i="1"/>
  <c r="DD18" i="1" s="1"/>
  <c r="DC32" i="1"/>
  <c r="DD32" i="1" s="1"/>
  <c r="DC42" i="1"/>
  <c r="DD42" i="1" s="1"/>
  <c r="DC54" i="1"/>
  <c r="DD54" i="1" s="1"/>
  <c r="DC66" i="1"/>
  <c r="DD66" i="1" s="1"/>
  <c r="DC76" i="1"/>
  <c r="DD76" i="1" s="1"/>
  <c r="DC86" i="1"/>
  <c r="DD86" i="1" s="1"/>
  <c r="DC98" i="1"/>
  <c r="DD98" i="1" s="1"/>
  <c r="DC110" i="1"/>
  <c r="DD110" i="1" s="1"/>
  <c r="DC122" i="1"/>
  <c r="DD122" i="1" s="1"/>
  <c r="DC136" i="1"/>
  <c r="DD136" i="1" s="1"/>
  <c r="DC150" i="1"/>
  <c r="DD150" i="1" s="1"/>
  <c r="DC162" i="1"/>
  <c r="DD162" i="1" s="1"/>
  <c r="DC174" i="1"/>
  <c r="DD174" i="1" s="1"/>
  <c r="DC186" i="1"/>
  <c r="DD186" i="1" s="1"/>
  <c r="DC200" i="1"/>
  <c r="DD200" i="1" s="1"/>
  <c r="DC214" i="1"/>
  <c r="DD214" i="1" s="1"/>
  <c r="DC226" i="1"/>
  <c r="DD226" i="1" s="1"/>
  <c r="DC238" i="1"/>
  <c r="DD238" i="1" s="1"/>
  <c r="DC250" i="1"/>
  <c r="DD250" i="1" s="1"/>
  <c r="DC264" i="1"/>
  <c r="DD264" i="1" s="1"/>
  <c r="DC278" i="1"/>
  <c r="DD278" i="1" s="1"/>
  <c r="DC290" i="1"/>
  <c r="DD290" i="1" s="1"/>
  <c r="BY99" i="1"/>
  <c r="BZ99" i="1" s="1"/>
  <c r="BY131" i="1"/>
  <c r="BZ131" i="1" s="1"/>
  <c r="AT9" i="1"/>
  <c r="AU9" i="1" s="1"/>
  <c r="AT17" i="1"/>
  <c r="AU17" i="1" s="1"/>
  <c r="AT29" i="1"/>
  <c r="AU29" i="1" s="1"/>
  <c r="AT41" i="1"/>
  <c r="AU41" i="1" s="1"/>
  <c r="AT49" i="1"/>
  <c r="AU49" i="1" s="1"/>
  <c r="AT73" i="1"/>
  <c r="AU73" i="1" s="1"/>
  <c r="AT81" i="1"/>
  <c r="AU81" i="1" s="1"/>
  <c r="AT93" i="1"/>
  <c r="AU93" i="1" s="1"/>
  <c r="AT105" i="1"/>
  <c r="AU105" i="1" s="1"/>
  <c r="AT113" i="1"/>
  <c r="AU113" i="1" s="1"/>
  <c r="AT125" i="1"/>
  <c r="AU125" i="1" s="1"/>
  <c r="AT147" i="1"/>
  <c r="AU147" i="1" s="1"/>
  <c r="AT163" i="1"/>
  <c r="AU163" i="1" s="1"/>
  <c r="AT179" i="1"/>
  <c r="AU179" i="1" s="1"/>
  <c r="AT195" i="1"/>
  <c r="AU195" i="1" s="1"/>
  <c r="AT211" i="1"/>
  <c r="AU211" i="1" s="1"/>
  <c r="AT227" i="1"/>
  <c r="AU227" i="1" s="1"/>
  <c r="AT243" i="1"/>
  <c r="AU243" i="1" s="1"/>
  <c r="AT259" i="1"/>
  <c r="AU259" i="1" s="1"/>
  <c r="AJ18" i="1"/>
  <c r="AK18" i="1" s="1"/>
  <c r="AJ34" i="1"/>
  <c r="AK34" i="1" s="1"/>
  <c r="AJ50" i="1"/>
  <c r="AK50" i="1" s="1"/>
  <c r="AJ66" i="1"/>
  <c r="AK66" i="1" s="1"/>
  <c r="AJ82" i="1"/>
  <c r="AK82" i="1" s="1"/>
  <c r="AJ98" i="1"/>
  <c r="AK98" i="1" s="1"/>
  <c r="AJ114" i="1"/>
  <c r="AK114" i="1" s="1"/>
  <c r="AJ130" i="1"/>
  <c r="AK130" i="1" s="1"/>
  <c r="AJ162" i="1"/>
  <c r="AK162" i="1" s="1"/>
  <c r="AJ178" i="1"/>
  <c r="AK178" i="1" s="1"/>
  <c r="AJ194" i="1"/>
  <c r="AK194" i="1" s="1"/>
  <c r="AJ210" i="1"/>
  <c r="AK210" i="1" s="1"/>
  <c r="AJ226" i="1"/>
  <c r="AK226" i="1" s="1"/>
  <c r="AJ242" i="1"/>
  <c r="AK242" i="1" s="1"/>
  <c r="AJ258" i="1"/>
  <c r="AK258" i="1" s="1"/>
  <c r="AJ274" i="1"/>
  <c r="AK274" i="1" s="1"/>
  <c r="AJ290" i="1"/>
  <c r="AK290" i="1" s="1"/>
  <c r="DC14" i="1"/>
  <c r="DD14" i="1" s="1"/>
  <c r="DC48" i="1"/>
  <c r="DD48" i="1" s="1"/>
  <c r="DC70" i="1"/>
  <c r="DD70" i="1" s="1"/>
  <c r="DC90" i="1"/>
  <c r="DD90" i="1" s="1"/>
  <c r="DC118" i="1"/>
  <c r="DD118" i="1" s="1"/>
  <c r="DC142" i="1"/>
  <c r="DD142" i="1" s="1"/>
  <c r="DC154" i="1"/>
  <c r="DD154" i="1" s="1"/>
  <c r="DC194" i="1"/>
  <c r="DD194" i="1" s="1"/>
  <c r="DC218" i="1"/>
  <c r="DD218" i="1" s="1"/>
  <c r="CI81" i="1"/>
  <c r="CJ81" i="1" s="1"/>
  <c r="BY115" i="1"/>
  <c r="BZ115" i="1" s="1"/>
  <c r="AT25" i="1"/>
  <c r="AU25" i="1" s="1"/>
  <c r="AT57" i="1"/>
  <c r="AU57" i="1" s="1"/>
  <c r="AT77" i="1"/>
  <c r="AU77" i="1" s="1"/>
  <c r="AT109" i="1"/>
  <c r="AU109" i="1" s="1"/>
  <c r="AT121" i="1"/>
  <c r="AU121" i="1" s="1"/>
  <c r="AT141" i="1"/>
  <c r="AU141" i="1" s="1"/>
  <c r="AT171" i="1"/>
  <c r="AU171" i="1" s="1"/>
  <c r="AT203" i="1"/>
  <c r="AU203" i="1" s="1"/>
  <c r="AT235" i="1"/>
  <c r="AU235" i="1" s="1"/>
  <c r="AJ10" i="1"/>
  <c r="AK10" i="1" s="1"/>
  <c r="AJ42" i="1"/>
  <c r="AK42" i="1" s="1"/>
  <c r="AJ58" i="1"/>
  <c r="AK58" i="1" s="1"/>
  <c r="AJ106" i="1"/>
  <c r="AK106" i="1" s="1"/>
  <c r="AJ138" i="1"/>
  <c r="AK138" i="1" s="1"/>
  <c r="AJ186" i="1"/>
  <c r="AK186" i="1" s="1"/>
  <c r="AJ218" i="1"/>
  <c r="AK218" i="1" s="1"/>
  <c r="AJ266" i="1"/>
  <c r="AK266" i="1" s="1"/>
  <c r="AJ298" i="1"/>
  <c r="AK298" i="1" s="1"/>
  <c r="DC6" i="1"/>
  <c r="DD6" i="1" s="1"/>
  <c r="DC30" i="1"/>
  <c r="DD30" i="1" s="1"/>
  <c r="DC50" i="1"/>
  <c r="DD50" i="1" s="1"/>
  <c r="DC74" i="1"/>
  <c r="DD74" i="1" s="1"/>
  <c r="DC106" i="1"/>
  <c r="DD106" i="1" s="1"/>
  <c r="DC170" i="1"/>
  <c r="DD170" i="1" s="1"/>
  <c r="DC198" i="1"/>
  <c r="DD198" i="1" s="1"/>
  <c r="DC222" i="1"/>
  <c r="DD222" i="1" s="1"/>
  <c r="DC248" i="1"/>
  <c r="DD248" i="1" s="1"/>
  <c r="DC274" i="1"/>
  <c r="DD274" i="1" s="1"/>
  <c r="DC298" i="1"/>
  <c r="DD298" i="1" s="1"/>
  <c r="CS15" i="1"/>
  <c r="CT15" i="1" s="1"/>
  <c r="BY121" i="1"/>
  <c r="BZ121" i="1" s="1"/>
  <c r="AT27" i="1"/>
  <c r="AU27" i="1" s="1"/>
  <c r="AT37" i="1"/>
  <c r="AU37" i="1" s="1"/>
  <c r="AT59" i="1"/>
  <c r="AU59" i="1" s="1"/>
  <c r="AT69" i="1"/>
  <c r="AU69" i="1" s="1"/>
  <c r="AT79" i="1"/>
  <c r="AU79" i="1" s="1"/>
  <c r="AT91" i="1"/>
  <c r="AU91" i="1" s="1"/>
  <c r="AT101" i="1"/>
  <c r="AU101" i="1" s="1"/>
  <c r="AT111" i="1"/>
  <c r="AU111" i="1" s="1"/>
  <c r="AT123" i="1"/>
  <c r="AU123" i="1" s="1"/>
  <c r="AT133" i="1"/>
  <c r="AU133" i="1" s="1"/>
  <c r="AT159" i="1"/>
  <c r="AU159" i="1" s="1"/>
  <c r="AT175" i="1"/>
  <c r="AU175" i="1" s="1"/>
  <c r="AT191" i="1"/>
  <c r="AU191" i="1" s="1"/>
  <c r="AT223" i="1"/>
  <c r="AU223" i="1" s="1"/>
  <c r="AT255" i="1"/>
  <c r="AU255" i="1" s="1"/>
  <c r="AJ14" i="1"/>
  <c r="AK14" i="1" s="1"/>
  <c r="AJ62" i="1"/>
  <c r="AK62" i="1" s="1"/>
  <c r="AJ94" i="1"/>
  <c r="AK94" i="1" s="1"/>
  <c r="AJ126" i="1"/>
  <c r="AK126" i="1" s="1"/>
  <c r="AJ158" i="1"/>
  <c r="AK158" i="1" s="1"/>
  <c r="AJ190" i="1"/>
  <c r="AK190" i="1" s="1"/>
  <c r="AJ206" i="1"/>
  <c r="AK206" i="1" s="1"/>
  <c r="AJ254" i="1"/>
  <c r="AK254" i="1" s="1"/>
  <c r="AJ270" i="1"/>
  <c r="AK270" i="1" s="1"/>
  <c r="P230" i="1"/>
  <c r="Q230" i="1" s="1"/>
  <c r="DC12" i="1"/>
  <c r="DD12" i="1" s="1"/>
  <c r="DC22" i="1"/>
  <c r="DD22" i="1" s="1"/>
  <c r="DC34" i="1"/>
  <c r="DD34" i="1" s="1"/>
  <c r="DC46" i="1"/>
  <c r="DD46" i="1" s="1"/>
  <c r="DC58" i="1"/>
  <c r="DD58" i="1" s="1"/>
  <c r="DC68" i="1"/>
  <c r="DD68" i="1" s="1"/>
  <c r="DC78" i="1"/>
  <c r="DD78" i="1" s="1"/>
  <c r="DC88" i="1"/>
  <c r="DD88" i="1" s="1"/>
  <c r="DC102" i="1"/>
  <c r="DD102" i="1" s="1"/>
  <c r="DC114" i="1"/>
  <c r="DD114" i="1" s="1"/>
  <c r="DC126" i="1"/>
  <c r="DD126" i="1" s="1"/>
  <c r="DC138" i="1"/>
  <c r="DD138" i="1" s="1"/>
  <c r="DC152" i="1"/>
  <c r="DD152" i="1" s="1"/>
  <c r="DC178" i="1"/>
  <c r="DD178" i="1" s="1"/>
  <c r="DC190" i="1"/>
  <c r="DD190" i="1" s="1"/>
  <c r="DC202" i="1"/>
  <c r="DD202" i="1" s="1"/>
  <c r="DC216" i="1"/>
  <c r="DD216" i="1" s="1"/>
  <c r="DC230" i="1"/>
  <c r="DD230" i="1" s="1"/>
  <c r="DC242" i="1"/>
  <c r="DD242" i="1" s="1"/>
  <c r="DC254" i="1"/>
  <c r="DD254" i="1" s="1"/>
  <c r="DC266" i="1"/>
  <c r="DD266" i="1" s="1"/>
  <c r="DC280" i="1"/>
  <c r="DD280" i="1" s="1"/>
  <c r="DC294" i="1"/>
  <c r="DD294" i="1" s="1"/>
  <c r="CS7" i="1"/>
  <c r="CT7" i="1" s="1"/>
  <c r="CI75" i="1"/>
  <c r="CJ75" i="1" s="1"/>
  <c r="CI77" i="1"/>
  <c r="CJ77" i="1" s="1"/>
  <c r="BY105" i="1"/>
  <c r="BZ105" i="1" s="1"/>
  <c r="AT11" i="1"/>
  <c r="AU11" i="1" s="1"/>
  <c r="AT21" i="1"/>
  <c r="AU21" i="1" s="1"/>
  <c r="AT31" i="1"/>
  <c r="AU31" i="1" s="1"/>
  <c r="AT43" i="1"/>
  <c r="AU43" i="1" s="1"/>
  <c r="AT53" i="1"/>
  <c r="AU53" i="1" s="1"/>
  <c r="AT63" i="1"/>
  <c r="AU63" i="1" s="1"/>
  <c r="AT75" i="1"/>
  <c r="AU75" i="1" s="1"/>
  <c r="AT85" i="1"/>
  <c r="AU85" i="1" s="1"/>
  <c r="AT95" i="1"/>
  <c r="AU95" i="1" s="1"/>
  <c r="AT107" i="1"/>
  <c r="AU107" i="1" s="1"/>
  <c r="AT117" i="1"/>
  <c r="AU117" i="1" s="1"/>
  <c r="AT127" i="1"/>
  <c r="AU127" i="1" s="1"/>
  <c r="AT139" i="1"/>
  <c r="AU139" i="1" s="1"/>
  <c r="AT151" i="1"/>
  <c r="AU151" i="1" s="1"/>
  <c r="AT167" i="1"/>
  <c r="AU167" i="1" s="1"/>
  <c r="AT183" i="1"/>
  <c r="AU183" i="1" s="1"/>
  <c r="AT215" i="1"/>
  <c r="AU215" i="1" s="1"/>
  <c r="AT231" i="1"/>
  <c r="AU231" i="1" s="1"/>
  <c r="AT247" i="1"/>
  <c r="AU247" i="1" s="1"/>
  <c r="AJ6" i="1"/>
  <c r="AK6" i="1" s="1"/>
  <c r="AJ22" i="1"/>
  <c r="AK22" i="1" s="1"/>
  <c r="AJ38" i="1"/>
  <c r="AK38" i="1" s="1"/>
  <c r="AJ54" i="1"/>
  <c r="AK54" i="1" s="1"/>
  <c r="AJ70" i="1"/>
  <c r="AK70" i="1" s="1"/>
  <c r="AJ86" i="1"/>
  <c r="AK86" i="1" s="1"/>
  <c r="AJ102" i="1"/>
  <c r="AK102" i="1" s="1"/>
  <c r="AJ118" i="1"/>
  <c r="AK118" i="1" s="1"/>
  <c r="AJ134" i="1"/>
  <c r="AK134" i="1" s="1"/>
  <c r="AJ150" i="1"/>
  <c r="AK150" i="1" s="1"/>
  <c r="AJ166" i="1"/>
  <c r="AK166" i="1" s="1"/>
  <c r="AJ182" i="1"/>
  <c r="AK182" i="1" s="1"/>
  <c r="AJ198" i="1"/>
  <c r="AK198" i="1" s="1"/>
  <c r="AJ214" i="1"/>
  <c r="AK214" i="1" s="1"/>
  <c r="AJ230" i="1"/>
  <c r="AK230" i="1" s="1"/>
  <c r="AJ246" i="1"/>
  <c r="AK246" i="1" s="1"/>
  <c r="AJ262" i="1"/>
  <c r="AK262" i="1" s="1"/>
  <c r="AJ278" i="1"/>
  <c r="AK278" i="1" s="1"/>
  <c r="AJ294" i="1"/>
  <c r="AK294" i="1" s="1"/>
  <c r="P6" i="1"/>
  <c r="Q6" i="1" s="1"/>
  <c r="P42" i="1"/>
  <c r="Q42" i="1" s="1"/>
  <c r="P130" i="1"/>
  <c r="Q130" i="1" s="1"/>
  <c r="P175" i="1"/>
  <c r="Q175" i="1" s="1"/>
  <c r="P267" i="1"/>
  <c r="Q267" i="1" s="1"/>
  <c r="P15" i="1"/>
  <c r="Q15" i="1" s="1"/>
  <c r="P63" i="1"/>
  <c r="Q63" i="1" s="1"/>
  <c r="P111" i="1"/>
  <c r="Q111" i="1" s="1"/>
  <c r="P143" i="1"/>
  <c r="Q143" i="1" s="1"/>
  <c r="P187" i="1"/>
  <c r="Q187" i="1" s="1"/>
  <c r="P255" i="1"/>
  <c r="Q255" i="1" s="1"/>
  <c r="P291" i="1"/>
  <c r="Q291" i="1" s="1"/>
  <c r="P190" i="1"/>
  <c r="Q190" i="1" s="1"/>
  <c r="P70" i="1"/>
  <c r="Q70" i="1" s="1"/>
  <c r="P94" i="1"/>
  <c r="Q94" i="1" s="1"/>
  <c r="P92" i="1"/>
  <c r="Q92" i="1" s="1"/>
  <c r="P180" i="1"/>
  <c r="Q180" i="1" s="1"/>
  <c r="P40" i="1"/>
  <c r="Q40" i="1" s="1"/>
  <c r="P148" i="1"/>
  <c r="Q148" i="1" s="1"/>
  <c r="P243" i="1"/>
  <c r="Q243" i="1" s="1"/>
  <c r="P83" i="1"/>
  <c r="Q83" i="1" s="1"/>
  <c r="P298" i="1"/>
  <c r="Q298" i="1" s="1"/>
  <c r="P26" i="1"/>
  <c r="Q26" i="1" s="1"/>
  <c r="P66" i="1"/>
  <c r="Q66" i="1" s="1"/>
  <c r="P194" i="1"/>
  <c r="Q194" i="1" s="1"/>
  <c r="P258" i="1"/>
  <c r="Q258" i="1" s="1"/>
  <c r="P207" i="1"/>
  <c r="Q207" i="1" s="1"/>
  <c r="P235" i="1"/>
  <c r="Q235" i="1" s="1"/>
  <c r="P299" i="1"/>
  <c r="Q299" i="1" s="1"/>
  <c r="P31" i="1"/>
  <c r="Q31" i="1" s="1"/>
  <c r="P47" i="1"/>
  <c r="Q47" i="1" s="1"/>
  <c r="P79" i="1"/>
  <c r="Q79" i="1" s="1"/>
  <c r="P95" i="1"/>
  <c r="Q95" i="1" s="1"/>
  <c r="P127" i="1"/>
  <c r="Q127" i="1" s="1"/>
  <c r="P159" i="1"/>
  <c r="Q159" i="1" s="1"/>
  <c r="P219" i="1"/>
  <c r="Q219" i="1" s="1"/>
  <c r="P106" i="1"/>
  <c r="Q106" i="1" s="1"/>
  <c r="P278" i="1"/>
  <c r="Q278" i="1" s="1"/>
  <c r="P28" i="1"/>
  <c r="Q28" i="1" s="1"/>
  <c r="P124" i="1"/>
  <c r="Q124" i="1" s="1"/>
  <c r="P152" i="1"/>
  <c r="Q152" i="1" s="1"/>
  <c r="P212" i="1"/>
  <c r="Q212" i="1" s="1"/>
  <c r="P244" i="1"/>
  <c r="Q244" i="1" s="1"/>
  <c r="P276" i="1"/>
  <c r="Q276" i="1" s="1"/>
  <c r="P20" i="1"/>
  <c r="Q20" i="1" s="1"/>
  <c r="P56" i="1"/>
  <c r="Q56" i="1" s="1"/>
  <c r="P80" i="1"/>
  <c r="Q80" i="1" s="1"/>
  <c r="P112" i="1"/>
  <c r="Q112" i="1" s="1"/>
  <c r="P184" i="1"/>
  <c r="Q184" i="1" s="1"/>
  <c r="P10" i="1"/>
  <c r="Q10" i="1" s="1"/>
  <c r="P30" i="1"/>
  <c r="Q30" i="1" s="1"/>
  <c r="P46" i="1"/>
  <c r="Q46" i="1" s="1"/>
  <c r="P82" i="1"/>
  <c r="Q82" i="1" s="1"/>
  <c r="P210" i="1"/>
  <c r="Q210" i="1" s="1"/>
  <c r="P274" i="1"/>
  <c r="Q274" i="1" s="1"/>
  <c r="P183" i="1"/>
  <c r="Q183" i="1" s="1"/>
  <c r="P215" i="1"/>
  <c r="Q215" i="1" s="1"/>
  <c r="P275" i="1"/>
  <c r="Q275" i="1" s="1"/>
  <c r="P3" i="1"/>
  <c r="Q3" i="1" s="1"/>
  <c r="P19" i="1"/>
  <c r="Q19" i="1" s="1"/>
  <c r="P35" i="1"/>
  <c r="Q35" i="1" s="1"/>
  <c r="P51" i="1"/>
  <c r="Q51" i="1" s="1"/>
  <c r="P67" i="1"/>
  <c r="Q67" i="1" s="1"/>
  <c r="P99" i="1"/>
  <c r="Q99" i="1" s="1"/>
  <c r="P115" i="1"/>
  <c r="Q115" i="1" s="1"/>
  <c r="P131" i="1"/>
  <c r="Q131" i="1" s="1"/>
  <c r="P147" i="1"/>
  <c r="Q147" i="1" s="1"/>
  <c r="P163" i="1"/>
  <c r="Q163" i="1" s="1"/>
  <c r="P195" i="1"/>
  <c r="Q195" i="1" s="1"/>
  <c r="P231" i="1"/>
  <c r="Q231" i="1" s="1"/>
  <c r="P263" i="1"/>
  <c r="Q263" i="1" s="1"/>
  <c r="P295" i="1"/>
  <c r="Q295" i="1" s="1"/>
  <c r="P126" i="1"/>
  <c r="Q126" i="1" s="1"/>
  <c r="P214" i="1"/>
  <c r="Q214" i="1" s="1"/>
  <c r="P74" i="1"/>
  <c r="Q74" i="1" s="1"/>
  <c r="P102" i="1"/>
  <c r="Q102" i="1" s="1"/>
  <c r="P60" i="1"/>
  <c r="Q60" i="1" s="1"/>
  <c r="P100" i="1"/>
  <c r="Q100" i="1" s="1"/>
  <c r="P128" i="1"/>
  <c r="Q128" i="1" s="1"/>
  <c r="P156" i="1"/>
  <c r="Q156" i="1" s="1"/>
  <c r="P188" i="1"/>
  <c r="Q188" i="1" s="1"/>
  <c r="P220" i="1"/>
  <c r="Q220" i="1" s="1"/>
  <c r="P252" i="1"/>
  <c r="Q252" i="1" s="1"/>
  <c r="P284" i="1"/>
  <c r="Q284" i="1" s="1"/>
  <c r="P8" i="1"/>
  <c r="Q8" i="1" s="1"/>
  <c r="P24" i="1"/>
  <c r="Q24" i="1" s="1"/>
  <c r="P44" i="1"/>
  <c r="Q44" i="1" s="1"/>
  <c r="P64" i="1"/>
  <c r="Q64" i="1" s="1"/>
  <c r="P88" i="1"/>
  <c r="Q88" i="1" s="1"/>
  <c r="P120" i="1"/>
  <c r="Q120" i="1" s="1"/>
  <c r="P160" i="1"/>
  <c r="Q160" i="1" s="1"/>
  <c r="P192" i="1"/>
  <c r="Q192" i="1" s="1"/>
  <c r="P224" i="1"/>
  <c r="Q224" i="1" s="1"/>
  <c r="P256" i="1"/>
  <c r="Q256" i="1" s="1"/>
  <c r="P288" i="1"/>
  <c r="Q288" i="1" s="1"/>
  <c r="P18" i="1"/>
  <c r="Q18" i="1" s="1"/>
  <c r="P34" i="1"/>
  <c r="Q34" i="1" s="1"/>
  <c r="P50" i="1"/>
  <c r="Q50" i="1" s="1"/>
  <c r="P98" i="1"/>
  <c r="Q98" i="1" s="1"/>
  <c r="P162" i="1"/>
  <c r="Q162" i="1" s="1"/>
  <c r="P226" i="1"/>
  <c r="Q226" i="1" s="1"/>
  <c r="P290" i="1"/>
  <c r="Q290" i="1" s="1"/>
  <c r="P191" i="1"/>
  <c r="Q191" i="1" s="1"/>
  <c r="P223" i="1"/>
  <c r="Q223" i="1" s="1"/>
  <c r="P251" i="1"/>
  <c r="Q251" i="1" s="1"/>
  <c r="P279" i="1"/>
  <c r="Q279" i="1" s="1"/>
  <c r="P7" i="1"/>
  <c r="Q7" i="1" s="1"/>
  <c r="P23" i="1"/>
  <c r="Q23" i="1" s="1"/>
  <c r="P39" i="1"/>
  <c r="Q39" i="1" s="1"/>
  <c r="P55" i="1"/>
  <c r="Q55" i="1" s="1"/>
  <c r="P71" i="1"/>
  <c r="Q71" i="1" s="1"/>
  <c r="P87" i="1"/>
  <c r="Q87" i="1" s="1"/>
  <c r="P103" i="1"/>
  <c r="Q103" i="1" s="1"/>
  <c r="P119" i="1"/>
  <c r="Q119" i="1" s="1"/>
  <c r="P135" i="1"/>
  <c r="Q135" i="1" s="1"/>
  <c r="P151" i="1"/>
  <c r="Q151" i="1" s="1"/>
  <c r="P171" i="1"/>
  <c r="Q171" i="1" s="1"/>
  <c r="P203" i="1"/>
  <c r="Q203" i="1" s="1"/>
  <c r="P239" i="1"/>
  <c r="Q239" i="1" s="1"/>
  <c r="P271" i="1"/>
  <c r="Q271" i="1" s="1"/>
  <c r="P62" i="1"/>
  <c r="Q62" i="1" s="1"/>
  <c r="P150" i="1"/>
  <c r="Q150" i="1" s="1"/>
  <c r="P234" i="1"/>
  <c r="Q234" i="1" s="1"/>
  <c r="P14" i="1"/>
  <c r="Q14" i="1" s="1"/>
  <c r="P78" i="1"/>
  <c r="Q78" i="1" s="1"/>
  <c r="P110" i="1"/>
  <c r="Q110" i="1" s="1"/>
  <c r="P76" i="1"/>
  <c r="Q76" i="1" s="1"/>
  <c r="P108" i="1"/>
  <c r="Q108" i="1" s="1"/>
  <c r="P136" i="1"/>
  <c r="Q136" i="1" s="1"/>
  <c r="P164" i="1"/>
  <c r="Q164" i="1" s="1"/>
  <c r="P196" i="1"/>
  <c r="Q196" i="1" s="1"/>
  <c r="P228" i="1"/>
  <c r="Q228" i="1" s="1"/>
  <c r="P260" i="1"/>
  <c r="Q260" i="1" s="1"/>
  <c r="P292" i="1"/>
  <c r="Q292" i="1" s="1"/>
  <c r="P12" i="1"/>
  <c r="Q12" i="1" s="1"/>
  <c r="P32" i="1"/>
  <c r="Q32" i="1" s="1"/>
  <c r="P48" i="1"/>
  <c r="Q48" i="1" s="1"/>
  <c r="P68" i="1"/>
  <c r="Q68" i="1" s="1"/>
  <c r="P96" i="1"/>
  <c r="Q96" i="1" s="1"/>
  <c r="P132" i="1"/>
  <c r="Q132" i="1" s="1"/>
  <c r="P168" i="1"/>
  <c r="Q168" i="1" s="1"/>
  <c r="P200" i="1"/>
  <c r="Q200" i="1" s="1"/>
  <c r="P232" i="1"/>
  <c r="Q232" i="1" s="1"/>
  <c r="P264" i="1"/>
  <c r="Q264" i="1" s="1"/>
  <c r="P296" i="1"/>
  <c r="Q296" i="1" s="1"/>
  <c r="P22" i="1"/>
  <c r="Q22" i="1" s="1"/>
  <c r="P38" i="1"/>
  <c r="Q38" i="1" s="1"/>
  <c r="P54" i="1"/>
  <c r="Q54" i="1" s="1"/>
  <c r="P114" i="1"/>
  <c r="Q114" i="1" s="1"/>
  <c r="P178" i="1"/>
  <c r="Q178" i="1" s="1"/>
  <c r="P242" i="1"/>
  <c r="Q242" i="1" s="1"/>
  <c r="P167" i="1"/>
  <c r="Q167" i="1" s="1"/>
  <c r="P227" i="1"/>
  <c r="Q227" i="1" s="1"/>
  <c r="P259" i="1"/>
  <c r="Q259" i="1" s="1"/>
  <c r="P287" i="1"/>
  <c r="Q287" i="1" s="1"/>
  <c r="P11" i="1"/>
  <c r="Q11" i="1" s="1"/>
  <c r="P27" i="1"/>
  <c r="Q27" i="1" s="1"/>
  <c r="P43" i="1"/>
  <c r="Q43" i="1" s="1"/>
  <c r="P59" i="1"/>
  <c r="Q59" i="1" s="1"/>
  <c r="P75" i="1"/>
  <c r="Q75" i="1" s="1"/>
  <c r="P91" i="1"/>
  <c r="Q91" i="1" s="1"/>
  <c r="P107" i="1"/>
  <c r="Q107" i="1" s="1"/>
  <c r="P123" i="1"/>
  <c r="Q123" i="1" s="1"/>
  <c r="P139" i="1"/>
  <c r="Q139" i="1" s="1"/>
  <c r="P155" i="1"/>
  <c r="Q155" i="1" s="1"/>
  <c r="P179" i="1"/>
  <c r="Q179" i="1" s="1"/>
  <c r="P211" i="1"/>
  <c r="Q211" i="1" s="1"/>
  <c r="P247" i="1"/>
  <c r="Q247" i="1" s="1"/>
  <c r="P283" i="1"/>
  <c r="Q283" i="1" s="1"/>
  <c r="P86" i="1"/>
  <c r="Q86" i="1" s="1"/>
  <c r="P170" i="1"/>
  <c r="Q170" i="1" s="1"/>
  <c r="P254" i="1"/>
  <c r="Q254" i="1" s="1"/>
  <c r="P58" i="1"/>
  <c r="Q58" i="1" s="1"/>
  <c r="P90" i="1"/>
  <c r="Q90" i="1" s="1"/>
  <c r="P118" i="1"/>
  <c r="Q118" i="1" s="1"/>
  <c r="P84" i="1"/>
  <c r="Q84" i="1" s="1"/>
  <c r="P116" i="1"/>
  <c r="Q116" i="1" s="1"/>
  <c r="P144" i="1"/>
  <c r="Q144" i="1" s="1"/>
  <c r="P172" i="1"/>
  <c r="Q172" i="1" s="1"/>
  <c r="P204" i="1"/>
  <c r="Q204" i="1" s="1"/>
  <c r="P236" i="1"/>
  <c r="Q236" i="1" s="1"/>
  <c r="P268" i="1"/>
  <c r="Q268" i="1" s="1"/>
  <c r="P2" i="1"/>
  <c r="Q2" i="1" s="1"/>
  <c r="P16" i="1"/>
  <c r="Q16" i="1" s="1"/>
  <c r="P36" i="1"/>
  <c r="Q36" i="1" s="1"/>
  <c r="P52" i="1"/>
  <c r="Q52" i="1" s="1"/>
  <c r="P72" i="1"/>
  <c r="Q72" i="1" s="1"/>
  <c r="P140" i="1"/>
  <c r="Q140" i="1" s="1"/>
  <c r="P176" i="1"/>
  <c r="Q176" i="1" s="1"/>
  <c r="P208" i="1"/>
  <c r="Q208" i="1" s="1"/>
  <c r="P240" i="1"/>
  <c r="Q240" i="1" s="1"/>
  <c r="P272" i="1"/>
  <c r="Q272" i="1" s="1"/>
  <c r="P216" i="1"/>
  <c r="Q216" i="1" s="1"/>
  <c r="P248" i="1"/>
  <c r="Q248" i="1" s="1"/>
  <c r="P280" i="1"/>
  <c r="Q280" i="1" s="1"/>
  <c r="FD104" i="1" l="1"/>
  <c r="FE104" i="1" s="1"/>
  <c r="FF104" i="1" s="1"/>
  <c r="FG104" i="1" s="1"/>
  <c r="FI104" i="1" s="1"/>
  <c r="FW104" i="1"/>
  <c r="FX104" i="1" s="1"/>
  <c r="FY104" i="1" s="1"/>
  <c r="FJ160" i="1"/>
  <c r="FK160" i="1" s="1"/>
  <c r="FL160" i="1" s="1"/>
  <c r="FM160" i="1"/>
  <c r="FJ48" i="1"/>
  <c r="FK48" i="1" s="1"/>
  <c r="FL48" i="1" s="1"/>
  <c r="FM48" i="1"/>
  <c r="FJ254" i="1"/>
  <c r="FK254" i="1" s="1"/>
  <c r="FL254" i="1" s="1"/>
  <c r="FM254" i="1"/>
  <c r="FJ204" i="1"/>
  <c r="FK204" i="1" s="1"/>
  <c r="FL204" i="1" s="1"/>
  <c r="FM204" i="1"/>
  <c r="FJ19" i="1"/>
  <c r="FK19" i="1" s="1"/>
  <c r="FL19" i="1" s="1"/>
  <c r="FM19" i="1"/>
  <c r="FJ148" i="1"/>
  <c r="FK148" i="1" s="1"/>
  <c r="FL148" i="1" s="1"/>
  <c r="FM148" i="1"/>
  <c r="FJ271" i="1"/>
  <c r="FK271" i="1" s="1"/>
  <c r="FL271" i="1" s="1"/>
  <c r="FM271" i="1"/>
  <c r="FJ38" i="1"/>
  <c r="FK38" i="1" s="1"/>
  <c r="FL38" i="1" s="1"/>
  <c r="FM38" i="1"/>
  <c r="FJ29" i="1"/>
  <c r="FK29" i="1" s="1"/>
  <c r="FL29" i="1" s="1"/>
  <c r="FM29" i="1"/>
  <c r="FJ210" i="1"/>
  <c r="FK210" i="1" s="1"/>
  <c r="FL210" i="1" s="1"/>
  <c r="FM210" i="1"/>
  <c r="FJ99" i="1"/>
  <c r="FK99" i="1" s="1"/>
  <c r="FL99" i="1" s="1"/>
  <c r="FM99" i="1"/>
  <c r="FJ135" i="1"/>
  <c r="FK135" i="1" s="1"/>
  <c r="FL135" i="1" s="1"/>
  <c r="FM135" i="1"/>
  <c r="FJ293" i="1"/>
  <c r="FK293" i="1" s="1"/>
  <c r="FL293" i="1" s="1"/>
  <c r="FM293" i="1"/>
  <c r="FJ95" i="1"/>
  <c r="FK95" i="1" s="1"/>
  <c r="FL95" i="1" s="1"/>
  <c r="FM95" i="1"/>
  <c r="FJ58" i="1"/>
  <c r="FK58" i="1" s="1"/>
  <c r="FL58" i="1" s="1"/>
  <c r="FM58" i="1"/>
  <c r="FJ168" i="1"/>
  <c r="FK168" i="1" s="1"/>
  <c r="FL168" i="1" s="1"/>
  <c r="FM168" i="1"/>
  <c r="FJ51" i="1"/>
  <c r="FK51" i="1" s="1"/>
  <c r="FL51" i="1" s="1"/>
  <c r="FM51" i="1"/>
  <c r="FJ22" i="1"/>
  <c r="FK22" i="1" s="1"/>
  <c r="FL22" i="1" s="1"/>
  <c r="FM22" i="1"/>
  <c r="FJ36" i="1"/>
  <c r="FK36" i="1" s="1"/>
  <c r="FL36" i="1" s="1"/>
  <c r="FM36" i="1"/>
  <c r="FJ184" i="1"/>
  <c r="FK184" i="1" s="1"/>
  <c r="FL184" i="1" s="1"/>
  <c r="FM184" i="1"/>
  <c r="FJ194" i="1"/>
  <c r="FK194" i="1" s="1"/>
  <c r="FL194" i="1" s="1"/>
  <c r="FM194" i="1"/>
  <c r="FJ50" i="1"/>
  <c r="FK50" i="1" s="1"/>
  <c r="FL50" i="1" s="1"/>
  <c r="FM50" i="1"/>
  <c r="FJ114" i="1"/>
  <c r="FK114" i="1" s="1"/>
  <c r="FL114" i="1" s="1"/>
  <c r="FM114" i="1"/>
  <c r="FJ98" i="1"/>
  <c r="FK98" i="1" s="1"/>
  <c r="FL98" i="1" s="1"/>
  <c r="FM98" i="1"/>
  <c r="FJ32" i="1"/>
  <c r="FK32" i="1" s="1"/>
  <c r="FL32" i="1" s="1"/>
  <c r="FM32" i="1"/>
  <c r="FJ185" i="1"/>
  <c r="FK185" i="1" s="1"/>
  <c r="FL185" i="1" s="1"/>
  <c r="FM185" i="1"/>
  <c r="FJ117" i="1"/>
  <c r="FK117" i="1" s="1"/>
  <c r="FL117" i="1" s="1"/>
  <c r="FM117" i="1"/>
  <c r="FJ41" i="1"/>
  <c r="FK41" i="1" s="1"/>
  <c r="FL41" i="1" s="1"/>
  <c r="FM41" i="1"/>
  <c r="FJ156" i="1"/>
  <c r="FK156" i="1" s="1"/>
  <c r="FL156" i="1" s="1"/>
  <c r="FM156" i="1"/>
  <c r="FJ190" i="1"/>
  <c r="FK190" i="1" s="1"/>
  <c r="FL190" i="1" s="1"/>
  <c r="FM190" i="1"/>
  <c r="FJ151" i="1"/>
  <c r="FK151" i="1" s="1"/>
  <c r="FL151" i="1" s="1"/>
  <c r="FM151" i="1"/>
  <c r="FJ275" i="1"/>
  <c r="FK275" i="1" s="1"/>
  <c r="FL275" i="1" s="1"/>
  <c r="FM275" i="1"/>
  <c r="FJ188" i="1"/>
  <c r="FK188" i="1" s="1"/>
  <c r="FL188" i="1" s="1"/>
  <c r="FM188" i="1"/>
  <c r="FJ12" i="1"/>
  <c r="FK12" i="1" s="1"/>
  <c r="FL12" i="1" s="1"/>
  <c r="FM12" i="1"/>
  <c r="FJ197" i="1"/>
  <c r="FK197" i="1" s="1"/>
  <c r="FL197" i="1" s="1"/>
  <c r="FM197" i="1"/>
  <c r="FJ125" i="1"/>
  <c r="FK125" i="1" s="1"/>
  <c r="FL125" i="1" s="1"/>
  <c r="FM125" i="1"/>
  <c r="FJ73" i="1"/>
  <c r="FK73" i="1" s="1"/>
  <c r="FL73" i="1" s="1"/>
  <c r="FM73" i="1"/>
  <c r="FJ174" i="1"/>
  <c r="FK174" i="1" s="1"/>
  <c r="FL174" i="1" s="1"/>
  <c r="FM174" i="1"/>
  <c r="FJ282" i="1"/>
  <c r="FK282" i="1" s="1"/>
  <c r="FL282" i="1" s="1"/>
  <c r="FM282" i="1"/>
  <c r="FJ107" i="1"/>
  <c r="FK107" i="1" s="1"/>
  <c r="FL107" i="1" s="1"/>
  <c r="FM107" i="1"/>
  <c r="FJ33" i="1"/>
  <c r="FK33" i="1" s="1"/>
  <c r="FL33" i="1" s="1"/>
  <c r="FM33" i="1"/>
  <c r="FJ292" i="1"/>
  <c r="FK292" i="1" s="1"/>
  <c r="FL292" i="1" s="1"/>
  <c r="FM292" i="1"/>
  <c r="FJ255" i="1"/>
  <c r="FK255" i="1" s="1"/>
  <c r="FL255" i="1" s="1"/>
  <c r="FM255" i="1"/>
  <c r="FJ106" i="1"/>
  <c r="FK106" i="1" s="1"/>
  <c r="FL106" i="1" s="1"/>
  <c r="FM106" i="1"/>
  <c r="FJ8" i="1"/>
  <c r="FK8" i="1" s="1"/>
  <c r="FL8" i="1" s="1"/>
  <c r="FN8" i="1" s="1"/>
  <c r="FM8" i="1"/>
  <c r="FJ177" i="1"/>
  <c r="FK177" i="1" s="1"/>
  <c r="FL177" i="1" s="1"/>
  <c r="FM177" i="1"/>
  <c r="FJ288" i="1"/>
  <c r="FK288" i="1" s="1"/>
  <c r="FL288" i="1" s="1"/>
  <c r="FM288" i="1"/>
  <c r="FJ253" i="1"/>
  <c r="FK253" i="1" s="1"/>
  <c r="FL253" i="1" s="1"/>
  <c r="FM253" i="1"/>
  <c r="FJ6" i="1"/>
  <c r="FK6" i="1" s="1"/>
  <c r="FL6" i="1" s="1"/>
  <c r="FM6" i="1"/>
  <c r="FJ85" i="1"/>
  <c r="FK85" i="1" s="1"/>
  <c r="FL85" i="1" s="1"/>
  <c r="FM85" i="1"/>
  <c r="FJ13" i="1"/>
  <c r="FK13" i="1" s="1"/>
  <c r="FL13" i="1" s="1"/>
  <c r="FM13" i="1"/>
  <c r="FJ284" i="1"/>
  <c r="FK284" i="1" s="1"/>
  <c r="FL284" i="1" s="1"/>
  <c r="FN284" i="1" s="1"/>
  <c r="FM284" i="1"/>
  <c r="FJ196" i="1"/>
  <c r="FK196" i="1" s="1"/>
  <c r="FL196" i="1" s="1"/>
  <c r="FM196" i="1"/>
  <c r="FJ20" i="1"/>
  <c r="FK20" i="1" s="1"/>
  <c r="FL20" i="1" s="1"/>
  <c r="FM20" i="1"/>
  <c r="FJ246" i="1"/>
  <c r="FK246" i="1" s="1"/>
  <c r="FL246" i="1" s="1"/>
  <c r="FM246" i="1"/>
  <c r="FJ192" i="1"/>
  <c r="FK192" i="1" s="1"/>
  <c r="FL192" i="1" s="1"/>
  <c r="FM192" i="1"/>
  <c r="FJ62" i="1"/>
  <c r="FK62" i="1" s="1"/>
  <c r="FL62" i="1" s="1"/>
  <c r="FM62" i="1"/>
  <c r="FJ149" i="1"/>
  <c r="FK149" i="1" s="1"/>
  <c r="FL149" i="1" s="1"/>
  <c r="FM149" i="1"/>
  <c r="FJ143" i="1"/>
  <c r="FK143" i="1" s="1"/>
  <c r="FL143" i="1" s="1"/>
  <c r="FM143" i="1"/>
  <c r="FJ242" i="1"/>
  <c r="FK242" i="1" s="1"/>
  <c r="FL242" i="1" s="1"/>
  <c r="FM242" i="1"/>
  <c r="FJ280" i="1"/>
  <c r="FK280" i="1" s="1"/>
  <c r="FL280" i="1" s="1"/>
  <c r="FM280" i="1"/>
  <c r="FJ235" i="1"/>
  <c r="FK235" i="1" s="1"/>
  <c r="FL235" i="1" s="1"/>
  <c r="FM235" i="1"/>
  <c r="FJ138" i="1"/>
  <c r="FK138" i="1" s="1"/>
  <c r="FL138" i="1" s="1"/>
  <c r="FM138" i="1"/>
  <c r="FJ136" i="1"/>
  <c r="FK136" i="1" s="1"/>
  <c r="FL136" i="1" s="1"/>
  <c r="FN136" i="1" s="1"/>
  <c r="FM136" i="1"/>
  <c r="FJ206" i="1"/>
  <c r="FK206" i="1" s="1"/>
  <c r="FL206" i="1" s="1"/>
  <c r="FM206" i="1"/>
  <c r="FJ28" i="1"/>
  <c r="FK28" i="1" s="1"/>
  <c r="FL28" i="1" s="1"/>
  <c r="FM28" i="1"/>
  <c r="FJ202" i="1"/>
  <c r="FK202" i="1" s="1"/>
  <c r="FL202" i="1" s="1"/>
  <c r="FM202" i="1"/>
  <c r="FJ124" i="1"/>
  <c r="FK124" i="1" s="1"/>
  <c r="FL124" i="1" s="1"/>
  <c r="FN124" i="1" s="1"/>
  <c r="FM124" i="1"/>
  <c r="FJ127" i="1"/>
  <c r="FK127" i="1" s="1"/>
  <c r="FL127" i="1" s="1"/>
  <c r="FM127" i="1"/>
  <c r="FJ11" i="1"/>
  <c r="FK11" i="1" s="1"/>
  <c r="FL11" i="1" s="1"/>
  <c r="FM11" i="1"/>
  <c r="FJ283" i="1"/>
  <c r="FK283" i="1" s="1"/>
  <c r="FL283" i="1" s="1"/>
  <c r="FM283" i="1"/>
  <c r="FJ47" i="1"/>
  <c r="FK47" i="1" s="1"/>
  <c r="FL47" i="1" s="1"/>
  <c r="FN47" i="1" s="1"/>
  <c r="FM47" i="1"/>
  <c r="FJ248" i="1"/>
  <c r="FK248" i="1" s="1"/>
  <c r="FL248" i="1" s="1"/>
  <c r="FM248" i="1"/>
  <c r="FJ265" i="1"/>
  <c r="FK265" i="1" s="1"/>
  <c r="FL265" i="1" s="1"/>
  <c r="FM265" i="1"/>
  <c r="FJ144" i="1"/>
  <c r="FK144" i="1" s="1"/>
  <c r="FL144" i="1" s="1"/>
  <c r="FM144" i="1"/>
  <c r="FJ219" i="1"/>
  <c r="FK219" i="1" s="1"/>
  <c r="FL219" i="1" s="1"/>
  <c r="FN219" i="1" s="1"/>
  <c r="FM219" i="1"/>
  <c r="FJ155" i="1"/>
  <c r="FK155" i="1" s="1"/>
  <c r="FL155" i="1" s="1"/>
  <c r="FM155" i="1"/>
  <c r="FJ81" i="1"/>
  <c r="FK81" i="1" s="1"/>
  <c r="FL81" i="1" s="1"/>
  <c r="FM81" i="1"/>
  <c r="FJ7" i="1"/>
  <c r="FK7" i="1" s="1"/>
  <c r="FL7" i="1" s="1"/>
  <c r="FM7" i="1"/>
  <c r="FJ276" i="1"/>
  <c r="FK276" i="1" s="1"/>
  <c r="FL276" i="1" s="1"/>
  <c r="FN276" i="1" s="1"/>
  <c r="FM276" i="1"/>
  <c r="FJ263" i="1"/>
  <c r="FK263" i="1" s="1"/>
  <c r="FL263" i="1" s="1"/>
  <c r="FM263" i="1"/>
  <c r="FJ16" i="1"/>
  <c r="FK16" i="1" s="1"/>
  <c r="FL16" i="1" s="1"/>
  <c r="FM16" i="1"/>
  <c r="FJ134" i="1"/>
  <c r="FK134" i="1" s="1"/>
  <c r="FL134" i="1" s="1"/>
  <c r="FM134" i="1"/>
  <c r="FJ298" i="1"/>
  <c r="FK298" i="1" s="1"/>
  <c r="FL298" i="1" s="1"/>
  <c r="FM298" i="1"/>
  <c r="FJ277" i="1"/>
  <c r="FK277" i="1" s="1"/>
  <c r="FL277" i="1" s="1"/>
  <c r="FM277" i="1"/>
  <c r="FJ132" i="1"/>
  <c r="FK132" i="1" s="1"/>
  <c r="FL132" i="1" s="1"/>
  <c r="FM132" i="1"/>
  <c r="FJ30" i="1"/>
  <c r="FK30" i="1" s="1"/>
  <c r="FL30" i="1" s="1"/>
  <c r="FM30" i="1"/>
  <c r="FJ215" i="1"/>
  <c r="FK215" i="1" s="1"/>
  <c r="FL215" i="1" s="1"/>
  <c r="FN215" i="1" s="1"/>
  <c r="FM215" i="1"/>
  <c r="FJ77" i="1"/>
  <c r="FK77" i="1" s="1"/>
  <c r="FL77" i="1" s="1"/>
  <c r="FM77" i="1"/>
  <c r="FJ3" i="1"/>
  <c r="FK3" i="1" s="1"/>
  <c r="FL3" i="1" s="1"/>
  <c r="FM3" i="1"/>
  <c r="FJ290" i="1"/>
  <c r="FK290" i="1" s="1"/>
  <c r="FL290" i="1" s="1"/>
  <c r="FM290" i="1"/>
  <c r="FJ128" i="1"/>
  <c r="FK128" i="1" s="1"/>
  <c r="FL128" i="1" s="1"/>
  <c r="FN128" i="1" s="1"/>
  <c r="FM128" i="1"/>
  <c r="FJ150" i="1"/>
  <c r="FK150" i="1" s="1"/>
  <c r="FL150" i="1" s="1"/>
  <c r="FM150" i="1"/>
  <c r="FJ296" i="1"/>
  <c r="FK296" i="1" s="1"/>
  <c r="FL296" i="1" s="1"/>
  <c r="FM296" i="1"/>
  <c r="FJ257" i="1"/>
  <c r="FK257" i="1" s="1"/>
  <c r="FL257" i="1" s="1"/>
  <c r="FM257" i="1"/>
  <c r="FJ180" i="1"/>
  <c r="FK180" i="1" s="1"/>
  <c r="FL180" i="1" s="1"/>
  <c r="FM180" i="1"/>
  <c r="FJ42" i="1"/>
  <c r="FK42" i="1" s="1"/>
  <c r="FL42" i="1" s="1"/>
  <c r="FM42" i="1"/>
  <c r="FJ227" i="1"/>
  <c r="FK227" i="1" s="1"/>
  <c r="FL227" i="1" s="1"/>
  <c r="FM227" i="1"/>
  <c r="FJ163" i="1"/>
  <c r="FK163" i="1" s="1"/>
  <c r="FL163" i="1" s="1"/>
  <c r="FM163" i="1"/>
  <c r="FJ241" i="1"/>
  <c r="FK241" i="1" s="1"/>
  <c r="FL241" i="1" s="1"/>
  <c r="FN241" i="1" s="1"/>
  <c r="FM241" i="1"/>
  <c r="FJ105" i="1"/>
  <c r="FK105" i="1" s="1"/>
  <c r="FL105" i="1" s="1"/>
  <c r="FM105" i="1"/>
  <c r="FJ31" i="1"/>
  <c r="FK31" i="1" s="1"/>
  <c r="FL31" i="1" s="1"/>
  <c r="FM31" i="1"/>
  <c r="FJ122" i="1"/>
  <c r="FK122" i="1" s="1"/>
  <c r="FL122" i="1" s="1"/>
  <c r="FM122" i="1"/>
  <c r="FJ239" i="1"/>
  <c r="FK239" i="1" s="1"/>
  <c r="FL239" i="1" s="1"/>
  <c r="FN239" i="1" s="1"/>
  <c r="FM239" i="1"/>
  <c r="FJ175" i="1"/>
  <c r="FK175" i="1" s="1"/>
  <c r="FL175" i="1" s="1"/>
  <c r="FM175" i="1"/>
  <c r="FJ267" i="1"/>
  <c r="FK267" i="1" s="1"/>
  <c r="FL267" i="1" s="1"/>
  <c r="FM267" i="1"/>
  <c r="FJ4" i="1"/>
  <c r="FK4" i="1" s="1"/>
  <c r="FL4" i="1" s="1"/>
  <c r="FM4" i="1"/>
  <c r="FJ189" i="1"/>
  <c r="FK189" i="1" s="1"/>
  <c r="FL189" i="1" s="1"/>
  <c r="FN189" i="1" s="1"/>
  <c r="FM189" i="1"/>
  <c r="FJ121" i="1"/>
  <c r="FK121" i="1" s="1"/>
  <c r="FL121" i="1" s="1"/>
  <c r="FM121" i="1"/>
  <c r="FJ45" i="1"/>
  <c r="FK45" i="1" s="1"/>
  <c r="FL45" i="1" s="1"/>
  <c r="FM45" i="1"/>
  <c r="FJ162" i="1"/>
  <c r="FK162" i="1" s="1"/>
  <c r="FL162" i="1" s="1"/>
  <c r="FM162" i="1"/>
  <c r="FJ66" i="1"/>
  <c r="FK66" i="1" s="1"/>
  <c r="FL66" i="1" s="1"/>
  <c r="FN66" i="1" s="1"/>
  <c r="FM66" i="1"/>
  <c r="FJ61" i="1"/>
  <c r="FK61" i="1" s="1"/>
  <c r="FL61" i="1" s="1"/>
  <c r="FM61" i="1"/>
  <c r="FJ167" i="1"/>
  <c r="FK167" i="1" s="1"/>
  <c r="FL167" i="1" s="1"/>
  <c r="FM167" i="1"/>
  <c r="FJ93" i="1"/>
  <c r="FK93" i="1" s="1"/>
  <c r="FL93" i="1" s="1"/>
  <c r="FM93" i="1"/>
  <c r="FJ274" i="1"/>
  <c r="FK274" i="1" s="1"/>
  <c r="FL274" i="1" s="1"/>
  <c r="FN274" i="1" s="1"/>
  <c r="FM274" i="1"/>
  <c r="FJ278" i="1"/>
  <c r="FK278" i="1" s="1"/>
  <c r="FL278" i="1" s="1"/>
  <c r="FM278" i="1"/>
  <c r="FJ281" i="1"/>
  <c r="FK281" i="1" s="1"/>
  <c r="FL281" i="1" s="1"/>
  <c r="FM281" i="1"/>
  <c r="FJ171" i="1"/>
  <c r="FK171" i="1" s="1"/>
  <c r="FL171" i="1" s="1"/>
  <c r="FM171" i="1"/>
  <c r="FJ279" i="1"/>
  <c r="FK279" i="1" s="1"/>
  <c r="FL279" i="1" s="1"/>
  <c r="FN279" i="1" s="1"/>
  <c r="FM279" i="1"/>
  <c r="FJ231" i="1"/>
  <c r="FK231" i="1" s="1"/>
  <c r="FL231" i="1" s="1"/>
  <c r="FM231" i="1"/>
  <c r="FJ110" i="1"/>
  <c r="FK110" i="1" s="1"/>
  <c r="FL110" i="1" s="1"/>
  <c r="FM110" i="1"/>
  <c r="FJ179" i="1"/>
  <c r="FK179" i="1" s="1"/>
  <c r="FL179" i="1" s="1"/>
  <c r="FM179" i="1"/>
  <c r="FJ24" i="1"/>
  <c r="FK24" i="1" s="1"/>
  <c r="FL24" i="1" s="1"/>
  <c r="FN24" i="1" s="1"/>
  <c r="FM24" i="1"/>
  <c r="FJ146" i="1"/>
  <c r="FK146" i="1" s="1"/>
  <c r="FL146" i="1" s="1"/>
  <c r="FM146" i="1"/>
  <c r="FJ212" i="1"/>
  <c r="FK212" i="1" s="1"/>
  <c r="FL212" i="1" s="1"/>
  <c r="FM212" i="1"/>
  <c r="FJ65" i="1"/>
  <c r="FK65" i="1" s="1"/>
  <c r="FL65" i="1" s="1"/>
  <c r="FM65" i="1"/>
  <c r="FJ262" i="1"/>
  <c r="FK262" i="1" s="1"/>
  <c r="FL262" i="1" s="1"/>
  <c r="FN262" i="1" s="1"/>
  <c r="FM262" i="1"/>
  <c r="FJ100" i="1"/>
  <c r="FK100" i="1" s="1"/>
  <c r="FL100" i="1" s="1"/>
  <c r="FM100" i="1"/>
  <c r="FJ34" i="1"/>
  <c r="FK34" i="1" s="1"/>
  <c r="FL34" i="1" s="1"/>
  <c r="FM34" i="1"/>
  <c r="FJ141" i="1"/>
  <c r="FK141" i="1" s="1"/>
  <c r="FL141" i="1" s="1"/>
  <c r="FM141" i="1"/>
  <c r="FJ80" i="1"/>
  <c r="FK80" i="1" s="1"/>
  <c r="FL80" i="1" s="1"/>
  <c r="FN80" i="1" s="1"/>
  <c r="FM80" i="1"/>
  <c r="FJ233" i="1"/>
  <c r="FK233" i="1" s="1"/>
  <c r="FL233" i="1" s="1"/>
  <c r="FM233" i="1"/>
  <c r="FJ169" i="1"/>
  <c r="FK169" i="1" s="1"/>
  <c r="FL169" i="1" s="1"/>
  <c r="FM169" i="1"/>
  <c r="FJ97" i="1"/>
  <c r="FK97" i="1" s="1"/>
  <c r="FL97" i="1" s="1"/>
  <c r="FM97" i="1"/>
  <c r="FJ23" i="1"/>
  <c r="FK23" i="1" s="1"/>
  <c r="FL23" i="1" s="1"/>
  <c r="FN23" i="1" s="1"/>
  <c r="FM23" i="1"/>
  <c r="FJ112" i="1"/>
  <c r="FK112" i="1" s="1"/>
  <c r="FL112" i="1" s="1"/>
  <c r="FM112" i="1"/>
  <c r="FJ272" i="1"/>
  <c r="FK272" i="1" s="1"/>
  <c r="FL272" i="1" s="1"/>
  <c r="FM272" i="1"/>
  <c r="FJ94" i="1"/>
  <c r="FK94" i="1" s="1"/>
  <c r="FL94" i="1" s="1"/>
  <c r="FM94" i="1"/>
  <c r="FJ14" i="1"/>
  <c r="FK14" i="1" s="1"/>
  <c r="FL14" i="1" s="1"/>
  <c r="FN14" i="1" s="1"/>
  <c r="FM14" i="1"/>
  <c r="FJ137" i="1"/>
  <c r="FK137" i="1" s="1"/>
  <c r="FL137" i="1" s="1"/>
  <c r="FM137" i="1"/>
  <c r="FJ268" i="1"/>
  <c r="FK268" i="1" s="1"/>
  <c r="FL268" i="1" s="1"/>
  <c r="FM268" i="1"/>
  <c r="FJ259" i="1"/>
  <c r="FK259" i="1" s="1"/>
  <c r="FL259" i="1" s="1"/>
  <c r="FM259" i="1"/>
  <c r="FJ92" i="1"/>
  <c r="FK92" i="1" s="1"/>
  <c r="FL92" i="1" s="1"/>
  <c r="FN92" i="1" s="1"/>
  <c r="FM92" i="1"/>
  <c r="FJ245" i="1"/>
  <c r="FK245" i="1" s="1"/>
  <c r="FL245" i="1" s="1"/>
  <c r="FM245" i="1"/>
  <c r="FJ181" i="1"/>
  <c r="FK181" i="1" s="1"/>
  <c r="FL181" i="1" s="1"/>
  <c r="FM181" i="1"/>
  <c r="FJ131" i="1"/>
  <c r="FK131" i="1" s="1"/>
  <c r="FL131" i="1" s="1"/>
  <c r="FM131" i="1"/>
  <c r="FJ55" i="1"/>
  <c r="FK55" i="1" s="1"/>
  <c r="FL55" i="1" s="1"/>
  <c r="FN55" i="1" s="1"/>
  <c r="FM55" i="1"/>
  <c r="FJ91" i="1"/>
  <c r="FK91" i="1" s="1"/>
  <c r="FL91" i="1" s="1"/>
  <c r="FM91" i="1"/>
  <c r="FJ17" i="1"/>
  <c r="FK17" i="1" s="1"/>
  <c r="FL17" i="1" s="1"/>
  <c r="FM17" i="1"/>
  <c r="FJ260" i="1"/>
  <c r="FK260" i="1" s="1"/>
  <c r="FL260" i="1" s="1"/>
  <c r="FM260" i="1"/>
  <c r="FJ232" i="1"/>
  <c r="FK232" i="1" s="1"/>
  <c r="FL232" i="1" s="1"/>
  <c r="FN232" i="1" s="1"/>
  <c r="FM232" i="1"/>
  <c r="FJ88" i="1"/>
  <c r="FK88" i="1" s="1"/>
  <c r="FL88" i="1" s="1"/>
  <c r="FM88" i="1"/>
  <c r="FJ161" i="1"/>
  <c r="FK161" i="1" s="1"/>
  <c r="FL161" i="1" s="1"/>
  <c r="FM161" i="1"/>
  <c r="FJ256" i="1"/>
  <c r="FK256" i="1" s="1"/>
  <c r="FL256" i="1" s="1"/>
  <c r="FM256" i="1"/>
  <c r="FJ230" i="1"/>
  <c r="FK230" i="1" s="1"/>
  <c r="FL230" i="1" s="1"/>
  <c r="FN230" i="1" s="1"/>
  <c r="FM230" i="1"/>
  <c r="FJ86" i="1"/>
  <c r="FK86" i="1" s="1"/>
  <c r="FL86" i="1" s="1"/>
  <c r="FM86" i="1"/>
  <c r="FJ59" i="1"/>
  <c r="FK59" i="1" s="1"/>
  <c r="FL59" i="1" s="1"/>
  <c r="FM59" i="1"/>
  <c r="FJ67" i="1"/>
  <c r="FK67" i="1" s="1"/>
  <c r="FL67" i="1" s="1"/>
  <c r="FM67" i="1"/>
  <c r="FJ186" i="1"/>
  <c r="FK186" i="1" s="1"/>
  <c r="FL186" i="1" s="1"/>
  <c r="FN186" i="1" s="1"/>
  <c r="FM186" i="1"/>
  <c r="FJ252" i="1"/>
  <c r="FK252" i="1" s="1"/>
  <c r="FL252" i="1" s="1"/>
  <c r="FM252" i="1"/>
  <c r="FJ152" i="1"/>
  <c r="FK152" i="1" s="1"/>
  <c r="FL152" i="1" s="1"/>
  <c r="FM152" i="1"/>
  <c r="FJ178" i="1"/>
  <c r="FK178" i="1" s="1"/>
  <c r="FL178" i="1" s="1"/>
  <c r="FM178" i="1"/>
  <c r="FJ291" i="1"/>
  <c r="FK291" i="1" s="1"/>
  <c r="FL291" i="1" s="1"/>
  <c r="FN291" i="1" s="1"/>
  <c r="FM291" i="1"/>
  <c r="FJ129" i="1"/>
  <c r="FK129" i="1" s="1"/>
  <c r="FL129" i="1" s="1"/>
  <c r="FM129" i="1"/>
  <c r="FJ164" i="1"/>
  <c r="FK164" i="1" s="1"/>
  <c r="FL164" i="1" s="1"/>
  <c r="FM164" i="1"/>
  <c r="FJ52" i="1"/>
  <c r="FK52" i="1" s="1"/>
  <c r="FL52" i="1" s="1"/>
  <c r="FM52" i="1"/>
  <c r="FJ39" i="1"/>
  <c r="FK39" i="1" s="1"/>
  <c r="FL39" i="1" s="1"/>
  <c r="FN39" i="1" s="1"/>
  <c r="FM39" i="1"/>
  <c r="FJ249" i="1"/>
  <c r="FK249" i="1" s="1"/>
  <c r="FL249" i="1" s="1"/>
  <c r="FM249" i="1"/>
  <c r="FJ203" i="1"/>
  <c r="FK203" i="1" s="1"/>
  <c r="FL203" i="1" s="1"/>
  <c r="FM203" i="1"/>
  <c r="FJ63" i="1"/>
  <c r="FK63" i="1" s="1"/>
  <c r="FL63" i="1" s="1"/>
  <c r="FM63" i="1"/>
  <c r="FJ182" i="1"/>
  <c r="FK182" i="1" s="1"/>
  <c r="FL182" i="1" s="1"/>
  <c r="FN182" i="1" s="1"/>
  <c r="FM182" i="1"/>
  <c r="FJ244" i="1"/>
  <c r="FK244" i="1" s="1"/>
  <c r="FL244" i="1" s="1"/>
  <c r="FM244" i="1"/>
  <c r="FJ224" i="1"/>
  <c r="FK224" i="1" s="1"/>
  <c r="FL224" i="1" s="1"/>
  <c r="FM224" i="1"/>
  <c r="FJ261" i="1"/>
  <c r="FK261" i="1" s="1"/>
  <c r="FL261" i="1" s="1"/>
  <c r="FM261" i="1"/>
  <c r="FJ199" i="1"/>
  <c r="FK199" i="1" s="1"/>
  <c r="FL199" i="1" s="1"/>
  <c r="FN199" i="1" s="1"/>
  <c r="FM199" i="1"/>
  <c r="FJ57" i="1"/>
  <c r="FK57" i="1" s="1"/>
  <c r="FL57" i="1" s="1"/>
  <c r="FM57" i="1"/>
  <c r="FJ176" i="1"/>
  <c r="FK176" i="1" s="1"/>
  <c r="FL176" i="1" s="1"/>
  <c r="FM176" i="1"/>
  <c r="FJ126" i="1"/>
  <c r="FK126" i="1" s="1"/>
  <c r="FL126" i="1" s="1"/>
  <c r="FM126" i="1"/>
  <c r="FJ264" i="1"/>
  <c r="FK264" i="1" s="1"/>
  <c r="FL264" i="1" s="1"/>
  <c r="FN264" i="1" s="1"/>
  <c r="FM264" i="1"/>
  <c r="FJ234" i="1"/>
  <c r="FK234" i="1" s="1"/>
  <c r="FL234" i="1" s="1"/>
  <c r="FM234" i="1"/>
  <c r="FJ116" i="1"/>
  <c r="FK116" i="1" s="1"/>
  <c r="FL116" i="1" s="1"/>
  <c r="FM116" i="1"/>
  <c r="FJ26" i="1"/>
  <c r="FK26" i="1" s="1"/>
  <c r="FL26" i="1" s="1"/>
  <c r="FM26" i="1"/>
  <c r="FJ211" i="1"/>
  <c r="FK211" i="1" s="1"/>
  <c r="FL211" i="1" s="1"/>
  <c r="FN211" i="1" s="1"/>
  <c r="FM211" i="1"/>
  <c r="FJ147" i="1"/>
  <c r="FK147" i="1" s="1"/>
  <c r="FL147" i="1" s="1"/>
  <c r="FM147" i="1"/>
  <c r="FJ225" i="1"/>
  <c r="FK225" i="1" s="1"/>
  <c r="FL225" i="1" s="1"/>
  <c r="FM225" i="1"/>
  <c r="FJ89" i="1"/>
  <c r="FK89" i="1" s="1"/>
  <c r="FL89" i="1" s="1"/>
  <c r="FM89" i="1"/>
  <c r="FJ15" i="1"/>
  <c r="FK15" i="1" s="1"/>
  <c r="FL15" i="1" s="1"/>
  <c r="FN15" i="1" s="1"/>
  <c r="FM15" i="1"/>
  <c r="FJ70" i="1"/>
  <c r="FK70" i="1" s="1"/>
  <c r="FL70" i="1" s="1"/>
  <c r="FM70" i="1"/>
  <c r="FJ223" i="1"/>
  <c r="FK223" i="1" s="1"/>
  <c r="FL223" i="1" s="1"/>
  <c r="FM223" i="1"/>
  <c r="FJ159" i="1"/>
  <c r="FK159" i="1" s="1"/>
  <c r="FL159" i="1" s="1"/>
  <c r="FM159" i="1"/>
  <c r="FJ251" i="1"/>
  <c r="FK251" i="1" s="1"/>
  <c r="FL251" i="1" s="1"/>
  <c r="FN251" i="1" s="1"/>
  <c r="FM251" i="1"/>
  <c r="FJ102" i="1"/>
  <c r="FK102" i="1" s="1"/>
  <c r="FL102" i="1" s="1"/>
  <c r="FM102" i="1"/>
  <c r="FJ237" i="1"/>
  <c r="FK237" i="1" s="1"/>
  <c r="FL237" i="1" s="1"/>
  <c r="FM237" i="1"/>
  <c r="FJ173" i="1"/>
  <c r="FK173" i="1" s="1"/>
  <c r="FL173" i="1" s="1"/>
  <c r="FM173" i="1"/>
  <c r="FJ101" i="1"/>
  <c r="FK101" i="1" s="1"/>
  <c r="FL101" i="1" s="1"/>
  <c r="FN101" i="1" s="1"/>
  <c r="FM101" i="1"/>
  <c r="FJ27" i="1"/>
  <c r="FK27" i="1" s="1"/>
  <c r="FL27" i="1" s="1"/>
  <c r="FM27" i="1"/>
  <c r="FJ140" i="1"/>
  <c r="FK140" i="1" s="1"/>
  <c r="FL140" i="1" s="1"/>
  <c r="FM140" i="1"/>
  <c r="FJ286" i="1"/>
  <c r="FK286" i="1" s="1"/>
  <c r="FL286" i="1" s="1"/>
  <c r="FM286" i="1"/>
  <c r="FJ250" i="1"/>
  <c r="FK250" i="1" s="1"/>
  <c r="FL250" i="1" s="1"/>
  <c r="FN250" i="1" s="1"/>
  <c r="FM250" i="1"/>
  <c r="FJ201" i="1"/>
  <c r="FK201" i="1" s="1"/>
  <c r="FL201" i="1" s="1"/>
  <c r="FM201" i="1"/>
  <c r="FJ213" i="1"/>
  <c r="FK213" i="1" s="1"/>
  <c r="FL213" i="1" s="1"/>
  <c r="FM213" i="1"/>
  <c r="FJ53" i="1"/>
  <c r="FK53" i="1" s="1"/>
  <c r="FL53" i="1" s="1"/>
  <c r="FM53" i="1"/>
  <c r="FJ40" i="1"/>
  <c r="FK40" i="1" s="1"/>
  <c r="FL40" i="1" s="1"/>
  <c r="FN40" i="1" s="1"/>
  <c r="FM40" i="1"/>
  <c r="FJ269" i="1"/>
  <c r="FK269" i="1" s="1"/>
  <c r="FL269" i="1" s="1"/>
  <c r="FM269" i="1"/>
  <c r="FJ103" i="1"/>
  <c r="FK103" i="1" s="1"/>
  <c r="FL103" i="1" s="1"/>
  <c r="FM103" i="1"/>
  <c r="FJ25" i="1"/>
  <c r="FK25" i="1" s="1"/>
  <c r="FL25" i="1" s="1"/>
  <c r="FM25" i="1"/>
  <c r="FJ46" i="1"/>
  <c r="FK46" i="1" s="1"/>
  <c r="FL46" i="1" s="1"/>
  <c r="FN46" i="1" s="1"/>
  <c r="FM46" i="1"/>
  <c r="FJ21" i="1"/>
  <c r="FK21" i="1" s="1"/>
  <c r="FL21" i="1" s="1"/>
  <c r="FM21" i="1"/>
  <c r="FJ273" i="1"/>
  <c r="FK273" i="1" s="1"/>
  <c r="FL273" i="1" s="1"/>
  <c r="FM273" i="1"/>
  <c r="FJ111" i="1"/>
  <c r="FK111" i="1" s="1"/>
  <c r="FL111" i="1" s="1"/>
  <c r="FM111" i="1"/>
  <c r="FJ193" i="1"/>
  <c r="FK193" i="1" s="1"/>
  <c r="FL193" i="1" s="1"/>
  <c r="FN193" i="1" s="1"/>
  <c r="FM193" i="1"/>
  <c r="FJ191" i="1"/>
  <c r="FK191" i="1" s="1"/>
  <c r="FL191" i="1" s="1"/>
  <c r="FM191" i="1"/>
  <c r="FJ205" i="1"/>
  <c r="FK205" i="1" s="1"/>
  <c r="FL205" i="1" s="1"/>
  <c r="FM205" i="1"/>
  <c r="FJ266" i="1"/>
  <c r="FK266" i="1" s="1"/>
  <c r="FL266" i="1" s="1"/>
  <c r="FM266" i="1"/>
  <c r="FJ2" i="1"/>
  <c r="FK2" i="1" s="1"/>
  <c r="FL2" i="1" s="1"/>
  <c r="FN2" i="1" s="1"/>
  <c r="FM2" i="1"/>
  <c r="FJ82" i="1"/>
  <c r="FK82" i="1" s="1"/>
  <c r="FL82" i="1" s="1"/>
  <c r="FM82" i="1"/>
  <c r="FJ18" i="1"/>
  <c r="FK18" i="1" s="1"/>
  <c r="FL18" i="1" s="1"/>
  <c r="FM18" i="1"/>
  <c r="FJ64" i="1"/>
  <c r="FK64" i="1" s="1"/>
  <c r="FL64" i="1" s="1"/>
  <c r="FM64" i="1"/>
  <c r="FJ217" i="1"/>
  <c r="FK217" i="1" s="1"/>
  <c r="FL217" i="1" s="1"/>
  <c r="FN217" i="1" s="1"/>
  <c r="FM217" i="1"/>
  <c r="FJ153" i="1"/>
  <c r="FK153" i="1" s="1"/>
  <c r="FL153" i="1" s="1"/>
  <c r="FM153" i="1"/>
  <c r="FJ79" i="1"/>
  <c r="FK79" i="1" s="1"/>
  <c r="FL79" i="1" s="1"/>
  <c r="FM79" i="1"/>
  <c r="FJ5" i="1"/>
  <c r="FK5" i="1" s="1"/>
  <c r="FL5" i="1" s="1"/>
  <c r="FM5" i="1"/>
  <c r="FJ240" i="1"/>
  <c r="FK240" i="1" s="1"/>
  <c r="FL240" i="1" s="1"/>
  <c r="FN240" i="1" s="1"/>
  <c r="FM240" i="1"/>
  <c r="FJ78" i="1"/>
  <c r="FK78" i="1" s="1"/>
  <c r="FL78" i="1" s="1"/>
  <c r="FM78" i="1"/>
  <c r="FJ183" i="1"/>
  <c r="FK183" i="1" s="1"/>
  <c r="FL183" i="1" s="1"/>
  <c r="FM183" i="1"/>
  <c r="FJ133" i="1"/>
  <c r="FK133" i="1" s="1"/>
  <c r="FL133" i="1" s="1"/>
  <c r="FM133" i="1"/>
  <c r="FJ154" i="1"/>
  <c r="FK154" i="1" s="1"/>
  <c r="FL154" i="1" s="1"/>
  <c r="FN154" i="1" s="1"/>
  <c r="FM154" i="1"/>
  <c r="FJ236" i="1"/>
  <c r="FK236" i="1" s="1"/>
  <c r="FL236" i="1" s="1"/>
  <c r="FM236" i="1"/>
  <c r="FJ220" i="1"/>
  <c r="FK220" i="1" s="1"/>
  <c r="FL220" i="1" s="1"/>
  <c r="FM220" i="1"/>
  <c r="FJ76" i="1"/>
  <c r="FK76" i="1" s="1"/>
  <c r="FL76" i="1" s="1"/>
  <c r="FM76" i="1"/>
  <c r="FJ229" i="1"/>
  <c r="FK229" i="1" s="1"/>
  <c r="FL229" i="1" s="1"/>
  <c r="FN229" i="1" s="1"/>
  <c r="FM229" i="1"/>
  <c r="FJ165" i="1"/>
  <c r="FK165" i="1" s="1"/>
  <c r="FL165" i="1" s="1"/>
  <c r="FM165" i="1"/>
  <c r="FJ113" i="1"/>
  <c r="FK113" i="1" s="1"/>
  <c r="FL113" i="1" s="1"/>
  <c r="FM113" i="1"/>
  <c r="FJ35" i="1"/>
  <c r="FK35" i="1" s="1"/>
  <c r="FL35" i="1" s="1"/>
  <c r="FM35" i="1"/>
  <c r="FJ108" i="1"/>
  <c r="FK108" i="1" s="1"/>
  <c r="FL108" i="1" s="1"/>
  <c r="FN108" i="1" s="1"/>
  <c r="FM108" i="1"/>
  <c r="FJ90" i="1"/>
  <c r="FK90" i="1" s="1"/>
  <c r="FL90" i="1" s="1"/>
  <c r="FM90" i="1"/>
  <c r="FJ109" i="1"/>
  <c r="FK109" i="1" s="1"/>
  <c r="FL109" i="1" s="1"/>
  <c r="FM109" i="1"/>
  <c r="FJ71" i="1"/>
  <c r="FK71" i="1" s="1"/>
  <c r="FL71" i="1" s="1"/>
  <c r="FM71" i="1"/>
  <c r="FJ172" i="1"/>
  <c r="FK172" i="1" s="1"/>
  <c r="FL172" i="1" s="1"/>
  <c r="FN172" i="1" s="1"/>
  <c r="FM172" i="1"/>
  <c r="FJ287" i="1"/>
  <c r="FK287" i="1" s="1"/>
  <c r="FL287" i="1" s="1"/>
  <c r="FM287" i="1"/>
  <c r="FJ216" i="1"/>
  <c r="FK216" i="1" s="1"/>
  <c r="FL216" i="1" s="1"/>
  <c r="FM216" i="1"/>
  <c r="FJ72" i="1"/>
  <c r="FK72" i="1" s="1"/>
  <c r="FL72" i="1" s="1"/>
  <c r="FM72" i="1"/>
  <c r="FJ145" i="1"/>
  <c r="FK145" i="1" s="1"/>
  <c r="FL145" i="1" s="1"/>
  <c r="FN145" i="1" s="1"/>
  <c r="FM145" i="1"/>
  <c r="FJ285" i="1"/>
  <c r="FK285" i="1" s="1"/>
  <c r="FL285" i="1" s="1"/>
  <c r="FM285" i="1"/>
  <c r="FJ214" i="1"/>
  <c r="FK214" i="1" s="1"/>
  <c r="FL214" i="1" s="1"/>
  <c r="FM214" i="1"/>
  <c r="FJ123" i="1"/>
  <c r="FK123" i="1" s="1"/>
  <c r="FL123" i="1" s="1"/>
  <c r="FM123" i="1"/>
  <c r="FJ49" i="1"/>
  <c r="FK49" i="1" s="1"/>
  <c r="FL49" i="1" s="1"/>
  <c r="FN49" i="1" s="1"/>
  <c r="FM49" i="1"/>
  <c r="FJ166" i="1"/>
  <c r="FK166" i="1" s="1"/>
  <c r="FL166" i="1" s="1"/>
  <c r="FM166" i="1"/>
  <c r="FJ84" i="1"/>
  <c r="FK84" i="1" s="1"/>
  <c r="FL84" i="1" s="1"/>
  <c r="FM84" i="1"/>
  <c r="FJ118" i="1"/>
  <c r="FK118" i="1" s="1"/>
  <c r="FL118" i="1" s="1"/>
  <c r="FM118" i="1"/>
  <c r="FJ270" i="1"/>
  <c r="FK270" i="1" s="1"/>
  <c r="FL270" i="1" s="1"/>
  <c r="FN270" i="1" s="1"/>
  <c r="FM270" i="1"/>
  <c r="FJ44" i="1"/>
  <c r="FK44" i="1" s="1"/>
  <c r="FL44" i="1" s="1"/>
  <c r="FM44" i="1"/>
  <c r="FJ120" i="1"/>
  <c r="FK120" i="1" s="1"/>
  <c r="FL120" i="1" s="1"/>
  <c r="FM120" i="1"/>
  <c r="FJ243" i="1"/>
  <c r="FK243" i="1" s="1"/>
  <c r="FL243" i="1" s="1"/>
  <c r="FM243" i="1"/>
  <c r="FJ96" i="1"/>
  <c r="FK96" i="1" s="1"/>
  <c r="FL96" i="1" s="1"/>
  <c r="FN96" i="1" s="1"/>
  <c r="FM96" i="1"/>
  <c r="FJ297" i="1"/>
  <c r="FK297" i="1" s="1"/>
  <c r="FL297" i="1" s="1"/>
  <c r="FM297" i="1"/>
  <c r="FJ226" i="1"/>
  <c r="FK226" i="1" s="1"/>
  <c r="FL226" i="1" s="1"/>
  <c r="FM226" i="1"/>
  <c r="FJ187" i="1"/>
  <c r="FK187" i="1" s="1"/>
  <c r="FL187" i="1" s="1"/>
  <c r="FM187" i="1"/>
  <c r="FJ119" i="1"/>
  <c r="FK119" i="1" s="1"/>
  <c r="FL119" i="1" s="1"/>
  <c r="FN119" i="1" s="1"/>
  <c r="FM119" i="1"/>
  <c r="FJ43" i="1"/>
  <c r="FK43" i="1" s="1"/>
  <c r="FL43" i="1" s="1"/>
  <c r="FM43" i="1"/>
  <c r="FJ158" i="1"/>
  <c r="FK158" i="1" s="1"/>
  <c r="FL158" i="1" s="1"/>
  <c r="FM158" i="1"/>
  <c r="FJ295" i="1"/>
  <c r="FK295" i="1" s="1"/>
  <c r="FL295" i="1" s="1"/>
  <c r="FM295" i="1"/>
  <c r="FJ208" i="1"/>
  <c r="FK208" i="1" s="1"/>
  <c r="FL208" i="1" s="1"/>
  <c r="FN208" i="1" s="1"/>
  <c r="FM208" i="1"/>
  <c r="FJ139" i="1"/>
  <c r="FK139" i="1" s="1"/>
  <c r="FL139" i="1" s="1"/>
  <c r="FM139" i="1"/>
  <c r="FJ222" i="1"/>
  <c r="FK222" i="1" s="1"/>
  <c r="FL222" i="1" s="1"/>
  <c r="FM222" i="1"/>
  <c r="FJ247" i="1"/>
  <c r="FK247" i="1" s="1"/>
  <c r="FL247" i="1" s="1"/>
  <c r="FM247" i="1"/>
  <c r="FJ115" i="1"/>
  <c r="FK115" i="1" s="1"/>
  <c r="FL115" i="1" s="1"/>
  <c r="FN115" i="1" s="1"/>
  <c r="FM115" i="1"/>
  <c r="FJ37" i="1"/>
  <c r="FK37" i="1" s="1"/>
  <c r="FL37" i="1" s="1"/>
  <c r="FM37" i="1"/>
  <c r="FJ130" i="1"/>
  <c r="FK130" i="1" s="1"/>
  <c r="FL130" i="1" s="1"/>
  <c r="FM130" i="1"/>
  <c r="FJ60" i="1"/>
  <c r="FK60" i="1" s="1"/>
  <c r="FL60" i="1" s="1"/>
  <c r="FM60" i="1"/>
  <c r="FJ289" i="1"/>
  <c r="FK289" i="1" s="1"/>
  <c r="FL289" i="1" s="1"/>
  <c r="FN289" i="1" s="1"/>
  <c r="FM289" i="1"/>
  <c r="FJ218" i="1"/>
  <c r="FK218" i="1" s="1"/>
  <c r="FL218" i="1" s="1"/>
  <c r="FM218" i="1"/>
  <c r="FJ74" i="1"/>
  <c r="FK74" i="1" s="1"/>
  <c r="FL74" i="1" s="1"/>
  <c r="FM74" i="1"/>
  <c r="FJ10" i="1"/>
  <c r="FK10" i="1" s="1"/>
  <c r="FL10" i="1" s="1"/>
  <c r="FM10" i="1"/>
  <c r="FJ195" i="1"/>
  <c r="FK195" i="1" s="1"/>
  <c r="FL195" i="1" s="1"/>
  <c r="FN195" i="1" s="1"/>
  <c r="FM195" i="1"/>
  <c r="FJ200" i="1"/>
  <c r="FK200" i="1" s="1"/>
  <c r="FL200" i="1" s="1"/>
  <c r="FM200" i="1"/>
  <c r="FJ56" i="1"/>
  <c r="FK56" i="1" s="1"/>
  <c r="FL56" i="1" s="1"/>
  <c r="FM56" i="1"/>
  <c r="FJ209" i="1"/>
  <c r="FK209" i="1" s="1"/>
  <c r="FL209" i="1" s="1"/>
  <c r="FM209" i="1"/>
  <c r="FJ87" i="1"/>
  <c r="FK87" i="1" s="1"/>
  <c r="FL87" i="1" s="1"/>
  <c r="FN87" i="1" s="1"/>
  <c r="FM87" i="1"/>
  <c r="FJ69" i="1"/>
  <c r="FK69" i="1" s="1"/>
  <c r="FL69" i="1" s="1"/>
  <c r="FM69" i="1"/>
  <c r="FJ170" i="1"/>
  <c r="FK170" i="1" s="1"/>
  <c r="FL170" i="1" s="1"/>
  <c r="FM170" i="1"/>
  <c r="FJ198" i="1"/>
  <c r="FK198" i="1" s="1"/>
  <c r="FL198" i="1" s="1"/>
  <c r="FM198" i="1"/>
  <c r="FJ54" i="1"/>
  <c r="FK54" i="1" s="1"/>
  <c r="FL54" i="1" s="1"/>
  <c r="FN54" i="1" s="1"/>
  <c r="FM54" i="1"/>
  <c r="FJ207" i="1"/>
  <c r="FK207" i="1" s="1"/>
  <c r="FL207" i="1" s="1"/>
  <c r="FM207" i="1"/>
  <c r="FJ75" i="1"/>
  <c r="FK75" i="1" s="1"/>
  <c r="FL75" i="1" s="1"/>
  <c r="FM75" i="1"/>
  <c r="FJ142" i="1"/>
  <c r="FK142" i="1" s="1"/>
  <c r="FL142" i="1" s="1"/>
  <c r="FM142" i="1"/>
  <c r="FJ299" i="1"/>
  <c r="FK299" i="1" s="1"/>
  <c r="FL299" i="1" s="1"/>
  <c r="FN299" i="1" s="1"/>
  <c r="FM299" i="1"/>
  <c r="FJ228" i="1"/>
  <c r="FK228" i="1" s="1"/>
  <c r="FL228" i="1" s="1"/>
  <c r="FM228" i="1"/>
  <c r="FJ68" i="1"/>
  <c r="FK68" i="1" s="1"/>
  <c r="FL68" i="1" s="1"/>
  <c r="FM68" i="1"/>
  <c r="FJ221" i="1"/>
  <c r="FK221" i="1" s="1"/>
  <c r="FL221" i="1" s="1"/>
  <c r="FM221" i="1"/>
  <c r="FJ157" i="1"/>
  <c r="FK157" i="1" s="1"/>
  <c r="FL157" i="1" s="1"/>
  <c r="FN157" i="1" s="1"/>
  <c r="FM157" i="1"/>
  <c r="FJ83" i="1"/>
  <c r="FK83" i="1" s="1"/>
  <c r="FL83" i="1" s="1"/>
  <c r="FM83" i="1"/>
  <c r="FJ9" i="1"/>
  <c r="FK9" i="1" s="1"/>
  <c r="FL9" i="1" s="1"/>
  <c r="FM9" i="1"/>
  <c r="FJ238" i="1"/>
  <c r="FK238" i="1" s="1"/>
  <c r="FL238" i="1" s="1"/>
  <c r="FM238" i="1"/>
  <c r="FJ294" i="1"/>
  <c r="FK294" i="1" s="1"/>
  <c r="FL294" i="1" s="1"/>
  <c r="FN294" i="1" s="1"/>
  <c r="FM294" i="1"/>
  <c r="FJ258" i="1"/>
  <c r="FK258" i="1" s="1"/>
  <c r="FL258" i="1" s="1"/>
  <c r="FM258" i="1"/>
  <c r="EA219" i="1"/>
  <c r="EA134" i="1"/>
  <c r="EA215" i="1"/>
  <c r="EA290" i="1"/>
  <c r="EA296" i="1"/>
  <c r="EA163" i="1"/>
  <c r="EA175" i="1"/>
  <c r="EA4" i="1"/>
  <c r="EC4" i="1" s="1"/>
  <c r="ER4" i="1" s="1"/>
  <c r="FA4" i="1" s="1"/>
  <c r="FC4" i="1" s="1"/>
  <c r="EA2" i="1"/>
  <c r="EA100" i="1"/>
  <c r="EA34" i="1"/>
  <c r="EA141" i="1"/>
  <c r="EA80" i="1"/>
  <c r="EA233" i="1"/>
  <c r="EA169" i="1"/>
  <c r="EA97" i="1"/>
  <c r="EA23" i="1"/>
  <c r="EA112" i="1"/>
  <c r="EA272" i="1"/>
  <c r="EA94" i="1"/>
  <c r="EA14" i="1"/>
  <c r="EA137" i="1"/>
  <c r="EC137" i="1" s="1"/>
  <c r="ER137" i="1" s="1"/>
  <c r="FA137" i="1" s="1"/>
  <c r="FC137" i="1" s="1"/>
  <c r="EA268" i="1"/>
  <c r="EA259" i="1"/>
  <c r="EA92" i="1"/>
  <c r="EA245" i="1"/>
  <c r="EA181" i="1"/>
  <c r="EA131" i="1"/>
  <c r="EA55" i="1"/>
  <c r="EA91" i="1"/>
  <c r="EA17" i="1"/>
  <c r="EA260" i="1"/>
  <c r="EA232" i="1"/>
  <c r="EA88" i="1"/>
  <c r="EA161" i="1"/>
  <c r="EA256" i="1"/>
  <c r="EA230" i="1"/>
  <c r="EA86" i="1"/>
  <c r="EA59" i="1"/>
  <c r="EA67" i="1"/>
  <c r="EA186" i="1"/>
  <c r="EA252" i="1"/>
  <c r="EA152" i="1"/>
  <c r="EA248" i="1"/>
  <c r="EA81" i="1"/>
  <c r="EA276" i="1"/>
  <c r="EA30" i="1"/>
  <c r="EA3" i="1"/>
  <c r="EA180" i="1"/>
  <c r="EA122" i="1"/>
  <c r="EA239" i="1"/>
  <c r="EA45" i="1"/>
  <c r="EA39" i="1"/>
  <c r="EA249" i="1"/>
  <c r="EA203" i="1"/>
  <c r="EA63" i="1"/>
  <c r="EA182" i="1"/>
  <c r="EA244" i="1"/>
  <c r="EA224" i="1"/>
  <c r="EA261" i="1"/>
  <c r="EA199" i="1"/>
  <c r="EC199" i="1" s="1"/>
  <c r="ER199" i="1" s="1"/>
  <c r="FA199" i="1" s="1"/>
  <c r="FC199" i="1" s="1"/>
  <c r="EA57" i="1"/>
  <c r="EA176" i="1"/>
  <c r="EA126" i="1"/>
  <c r="EA264" i="1"/>
  <c r="EA234" i="1"/>
  <c r="EA116" i="1"/>
  <c r="EA26" i="1"/>
  <c r="EA211" i="1"/>
  <c r="EA147" i="1"/>
  <c r="EA225" i="1"/>
  <c r="EA89" i="1"/>
  <c r="EA15" i="1"/>
  <c r="EA70" i="1"/>
  <c r="EA223" i="1"/>
  <c r="EA159" i="1"/>
  <c r="EA251" i="1"/>
  <c r="EA102" i="1"/>
  <c r="EA237" i="1"/>
  <c r="EA173" i="1"/>
  <c r="EA101" i="1"/>
  <c r="EA27" i="1"/>
  <c r="EA140" i="1"/>
  <c r="EA286" i="1"/>
  <c r="EA82" i="1"/>
  <c r="EA18" i="1"/>
  <c r="EA64" i="1"/>
  <c r="EA217" i="1"/>
  <c r="EA153" i="1"/>
  <c r="EC153" i="1" s="1"/>
  <c r="ER153" i="1" s="1"/>
  <c r="FA153" i="1" s="1"/>
  <c r="FC153" i="1" s="1"/>
  <c r="EA79" i="1"/>
  <c r="EA5" i="1"/>
  <c r="EA240" i="1"/>
  <c r="EA78" i="1"/>
  <c r="EA183" i="1"/>
  <c r="EA133" i="1"/>
  <c r="EA154" i="1"/>
  <c r="EA236" i="1"/>
  <c r="EA220" i="1"/>
  <c r="EA76" i="1"/>
  <c r="EA229" i="1"/>
  <c r="EA165" i="1"/>
  <c r="EA113" i="1"/>
  <c r="EA35" i="1"/>
  <c r="EA108" i="1"/>
  <c r="EA90" i="1"/>
  <c r="EA109" i="1"/>
  <c r="EA71" i="1"/>
  <c r="EA172" i="1"/>
  <c r="EA287" i="1"/>
  <c r="EA216" i="1"/>
  <c r="EA72" i="1"/>
  <c r="EA145" i="1"/>
  <c r="EC145" i="1" s="1"/>
  <c r="ER145" i="1" s="1"/>
  <c r="FA145" i="1" s="1"/>
  <c r="FC145" i="1" s="1"/>
  <c r="EA285" i="1"/>
  <c r="EA214" i="1"/>
  <c r="EA123" i="1"/>
  <c r="EA49" i="1"/>
  <c r="EA166" i="1"/>
  <c r="EA84" i="1"/>
  <c r="EA118" i="1"/>
  <c r="EA270" i="1"/>
  <c r="EA144" i="1"/>
  <c r="EA277" i="1"/>
  <c r="EA96" i="1"/>
  <c r="EA297" i="1"/>
  <c r="EA226" i="1"/>
  <c r="EA187" i="1"/>
  <c r="EA119" i="1"/>
  <c r="EA43" i="1"/>
  <c r="EA158" i="1"/>
  <c r="EA295" i="1"/>
  <c r="EA208" i="1"/>
  <c r="EA139" i="1"/>
  <c r="EA222" i="1"/>
  <c r="EA247" i="1"/>
  <c r="EA115" i="1"/>
  <c r="EA37" i="1"/>
  <c r="EA130" i="1"/>
  <c r="EA60" i="1"/>
  <c r="EA289" i="1"/>
  <c r="EA218" i="1"/>
  <c r="EA74" i="1"/>
  <c r="EA10" i="1"/>
  <c r="EA195" i="1"/>
  <c r="EA200" i="1"/>
  <c r="EA56" i="1"/>
  <c r="EA209" i="1"/>
  <c r="EA87" i="1"/>
  <c r="EA69" i="1"/>
  <c r="EA170" i="1"/>
  <c r="EA198" i="1"/>
  <c r="EA54" i="1"/>
  <c r="EA207" i="1"/>
  <c r="EA75" i="1"/>
  <c r="EA142" i="1"/>
  <c r="EA299" i="1"/>
  <c r="EA228" i="1"/>
  <c r="EA68" i="1"/>
  <c r="EA221" i="1"/>
  <c r="EA157" i="1"/>
  <c r="EC157" i="1" s="1"/>
  <c r="ER157" i="1" s="1"/>
  <c r="FA157" i="1" s="1"/>
  <c r="FC157" i="1" s="1"/>
  <c r="EA83" i="1"/>
  <c r="EA9" i="1"/>
  <c r="EA238" i="1"/>
  <c r="EA294" i="1"/>
  <c r="EA258" i="1"/>
  <c r="EA155" i="1"/>
  <c r="EA16" i="1"/>
  <c r="EA298" i="1"/>
  <c r="EA77" i="1"/>
  <c r="EA128" i="1"/>
  <c r="EA150" i="1"/>
  <c r="EA42" i="1"/>
  <c r="EA241" i="1"/>
  <c r="EA31" i="1"/>
  <c r="EA189" i="1"/>
  <c r="EA162" i="1"/>
  <c r="EA250" i="1"/>
  <c r="EA66" i="1"/>
  <c r="EA160" i="1"/>
  <c r="EA192" i="1"/>
  <c r="EA48" i="1"/>
  <c r="EA201" i="1"/>
  <c r="EA61" i="1"/>
  <c r="EC61" i="1" s="1"/>
  <c r="ER61" i="1" s="1"/>
  <c r="FA61" i="1" s="1"/>
  <c r="FC61" i="1" s="1"/>
  <c r="EA178" i="1"/>
  <c r="EA254" i="1"/>
  <c r="EA62" i="1"/>
  <c r="EA167" i="1"/>
  <c r="EA291" i="1"/>
  <c r="EA204" i="1"/>
  <c r="EA44" i="1"/>
  <c r="EA213" i="1"/>
  <c r="EA149" i="1"/>
  <c r="EA93" i="1"/>
  <c r="EA19" i="1"/>
  <c r="EA129" i="1"/>
  <c r="EA53" i="1"/>
  <c r="EA148" i="1"/>
  <c r="EA274" i="1"/>
  <c r="EA271" i="1"/>
  <c r="EA40" i="1"/>
  <c r="EA269" i="1"/>
  <c r="EA164" i="1"/>
  <c r="EA38" i="1"/>
  <c r="EA103" i="1"/>
  <c r="EA29" i="1"/>
  <c r="EA120" i="1"/>
  <c r="EA52" i="1"/>
  <c r="EA143" i="1"/>
  <c r="EA278" i="1"/>
  <c r="EA242" i="1"/>
  <c r="EA7" i="1"/>
  <c r="EA263" i="1"/>
  <c r="EA132" i="1"/>
  <c r="EA227" i="1"/>
  <c r="EA105" i="1"/>
  <c r="EA267" i="1"/>
  <c r="EA121" i="1"/>
  <c r="EA280" i="1"/>
  <c r="EA281" i="1"/>
  <c r="EA210" i="1"/>
  <c r="EA235" i="1"/>
  <c r="EA171" i="1"/>
  <c r="EA99" i="1"/>
  <c r="EA25" i="1"/>
  <c r="EA138" i="1"/>
  <c r="EA279" i="1"/>
  <c r="EA136" i="1"/>
  <c r="EA135" i="1"/>
  <c r="EA293" i="1"/>
  <c r="EA206" i="1"/>
  <c r="EA46" i="1"/>
  <c r="EA231" i="1"/>
  <c r="EA95" i="1"/>
  <c r="EA21" i="1"/>
  <c r="EA110" i="1"/>
  <c r="EA28" i="1"/>
  <c r="EA273" i="1"/>
  <c r="EA202" i="1"/>
  <c r="EA58" i="1"/>
  <c r="EA243" i="1"/>
  <c r="EA179" i="1"/>
  <c r="EA124" i="1"/>
  <c r="EA111" i="1"/>
  <c r="EA168" i="1"/>
  <c r="EA24" i="1"/>
  <c r="EA193" i="1"/>
  <c r="EC193" i="1" s="1"/>
  <c r="ER193" i="1" s="1"/>
  <c r="FA193" i="1" s="1"/>
  <c r="FC193" i="1" s="1"/>
  <c r="EA127" i="1"/>
  <c r="EA51" i="1"/>
  <c r="EA146" i="1"/>
  <c r="EC146" i="1" s="1"/>
  <c r="ER146" i="1" s="1"/>
  <c r="FA146" i="1" s="1"/>
  <c r="FC146" i="1" s="1"/>
  <c r="EA22" i="1"/>
  <c r="EA191" i="1"/>
  <c r="EA11" i="1"/>
  <c r="EA283" i="1"/>
  <c r="EA212" i="1"/>
  <c r="EA36" i="1"/>
  <c r="EA205" i="1"/>
  <c r="EA47" i="1"/>
  <c r="EA65" i="1"/>
  <c r="EA184" i="1"/>
  <c r="EA266" i="1"/>
  <c r="EA262" i="1"/>
  <c r="EA265" i="1"/>
  <c r="EA257" i="1"/>
  <c r="EA194" i="1"/>
  <c r="EA50" i="1"/>
  <c r="EA114" i="1"/>
  <c r="EA98" i="1"/>
  <c r="EA32" i="1"/>
  <c r="EA185" i="1"/>
  <c r="EA117" i="1"/>
  <c r="EA41" i="1"/>
  <c r="EA156" i="1"/>
  <c r="EA190" i="1"/>
  <c r="EA151" i="1"/>
  <c r="EA275" i="1"/>
  <c r="EA188" i="1"/>
  <c r="EA12" i="1"/>
  <c r="EA197" i="1"/>
  <c r="EA125" i="1"/>
  <c r="EA73" i="1"/>
  <c r="EA174" i="1"/>
  <c r="EA282" i="1"/>
  <c r="EA107" i="1"/>
  <c r="EA33" i="1"/>
  <c r="EA292" i="1"/>
  <c r="EA255" i="1"/>
  <c r="EA106" i="1"/>
  <c r="EA8" i="1"/>
  <c r="EA177" i="1"/>
  <c r="EA288" i="1"/>
  <c r="EA253" i="1"/>
  <c r="EA6" i="1"/>
  <c r="EA85" i="1"/>
  <c r="EA13" i="1"/>
  <c r="EA284" i="1"/>
  <c r="EA196" i="1"/>
  <c r="EA20" i="1"/>
  <c r="EA246" i="1"/>
  <c r="DZ28" i="1"/>
  <c r="DZ148" i="1"/>
  <c r="DX154" i="1"/>
  <c r="DZ154" i="1"/>
  <c r="DZ124" i="1"/>
  <c r="DX280" i="1"/>
  <c r="DZ280" i="1"/>
  <c r="DX281" i="1"/>
  <c r="DZ281" i="1"/>
  <c r="DX235" i="1"/>
  <c r="DZ235" i="1"/>
  <c r="DX171" i="1"/>
  <c r="DZ171" i="1"/>
  <c r="DZ160" i="1"/>
  <c r="DZ214" i="1"/>
  <c r="DX276" i="1"/>
  <c r="DZ276" i="1"/>
  <c r="DX263" i="1"/>
  <c r="DZ263" i="1"/>
  <c r="DX293" i="1"/>
  <c r="DZ293" i="1"/>
  <c r="DZ46" i="1"/>
  <c r="DX46" i="1"/>
  <c r="DX231" i="1"/>
  <c r="DZ231" i="1"/>
  <c r="DX95" i="1"/>
  <c r="DZ95" i="1"/>
  <c r="DX21" i="1"/>
  <c r="DZ21" i="1"/>
  <c r="DZ96" i="1"/>
  <c r="DZ54" i="1"/>
  <c r="DX107" i="1"/>
  <c r="DZ107" i="1"/>
  <c r="DX33" i="1"/>
  <c r="DZ33" i="1"/>
  <c r="DX271" i="1"/>
  <c r="DZ271" i="1"/>
  <c r="DX256" i="1"/>
  <c r="DZ256" i="1"/>
  <c r="DX239" i="1"/>
  <c r="DZ239" i="1"/>
  <c r="DX175" i="1"/>
  <c r="DZ175" i="1"/>
  <c r="DZ206" i="1"/>
  <c r="DX85" i="1"/>
  <c r="DZ85" i="1"/>
  <c r="DX13" i="1"/>
  <c r="DZ13" i="1"/>
  <c r="DZ290" i="1"/>
  <c r="DZ39" i="1"/>
  <c r="DX120" i="1"/>
  <c r="DZ120" i="1"/>
  <c r="DX118" i="1"/>
  <c r="DZ118" i="1"/>
  <c r="DX99" i="1"/>
  <c r="DZ99" i="1"/>
  <c r="DX25" i="1"/>
  <c r="DZ25" i="1"/>
  <c r="DZ44" i="1"/>
  <c r="DZ36" i="1"/>
  <c r="EC36" i="1" s="1"/>
  <c r="ER36" i="1" s="1"/>
  <c r="FA36" i="1" s="1"/>
  <c r="FC36" i="1" s="1"/>
  <c r="DZ80" i="1"/>
  <c r="DX80" i="1"/>
  <c r="DX233" i="1"/>
  <c r="DZ233" i="1"/>
  <c r="DX169" i="1"/>
  <c r="DZ169" i="1"/>
  <c r="DX97" i="1"/>
  <c r="DZ97" i="1"/>
  <c r="DX23" i="1"/>
  <c r="DZ23" i="1"/>
  <c r="DZ152" i="1"/>
  <c r="DZ198" i="1"/>
  <c r="DX151" i="1"/>
  <c r="DZ151" i="1"/>
  <c r="DX236" i="1"/>
  <c r="DZ236" i="1"/>
  <c r="DX220" i="1"/>
  <c r="DZ220" i="1"/>
  <c r="DX229" i="1"/>
  <c r="DZ229" i="1"/>
  <c r="DX165" i="1"/>
  <c r="DZ165" i="1"/>
  <c r="DX113" i="1"/>
  <c r="DZ113" i="1"/>
  <c r="DX35" i="1"/>
  <c r="DZ35" i="1"/>
  <c r="DX108" i="1"/>
  <c r="DZ108" i="1"/>
  <c r="DZ62" i="1"/>
  <c r="DX296" i="1"/>
  <c r="DZ296" i="1"/>
  <c r="DX257" i="1"/>
  <c r="DZ257" i="1"/>
  <c r="DX180" i="1"/>
  <c r="DZ180" i="1"/>
  <c r="DZ42" i="1"/>
  <c r="DX227" i="1"/>
  <c r="DZ227" i="1"/>
  <c r="DX163" i="1"/>
  <c r="DZ163" i="1"/>
  <c r="EC163" i="1" s="1"/>
  <c r="ER163" i="1" s="1"/>
  <c r="FA163" i="1" s="1"/>
  <c r="FC163" i="1" s="1"/>
  <c r="DZ86" i="1"/>
  <c r="DZ60" i="1"/>
  <c r="DZ20" i="1"/>
  <c r="EC20" i="1" s="1"/>
  <c r="ER20" i="1" s="1"/>
  <c r="FA20" i="1" s="1"/>
  <c r="FC20" i="1" s="1"/>
  <c r="DZ208" i="1"/>
  <c r="DX127" i="1"/>
  <c r="DZ127" i="1"/>
  <c r="DX51" i="1"/>
  <c r="DZ51" i="1"/>
  <c r="DZ56" i="1"/>
  <c r="DZ111" i="1"/>
  <c r="DX230" i="1"/>
  <c r="DZ230" i="1"/>
  <c r="DZ274" i="1"/>
  <c r="DX251" i="1"/>
  <c r="DZ251" i="1"/>
  <c r="DX237" i="1"/>
  <c r="DZ237" i="1"/>
  <c r="DX173" i="1"/>
  <c r="DZ173" i="1"/>
  <c r="DX101" i="1"/>
  <c r="DZ101" i="1"/>
  <c r="DX27" i="1"/>
  <c r="DZ27" i="1"/>
  <c r="DX248" i="1"/>
  <c r="DZ248" i="1"/>
  <c r="DX265" i="1"/>
  <c r="DZ265" i="1"/>
  <c r="DX219" i="1"/>
  <c r="DZ219" i="1"/>
  <c r="DX114" i="1"/>
  <c r="DZ114" i="1"/>
  <c r="DZ210" i="1"/>
  <c r="DZ6" i="1"/>
  <c r="DX244" i="1"/>
  <c r="DZ244" i="1"/>
  <c r="DX224" i="1"/>
  <c r="DZ224" i="1"/>
  <c r="DX277" i="1"/>
  <c r="DZ277" i="1"/>
  <c r="DX215" i="1"/>
  <c r="DZ215" i="1"/>
  <c r="DX77" i="1"/>
  <c r="DZ77" i="1"/>
  <c r="DX3" i="1"/>
  <c r="DZ3" i="1"/>
  <c r="DZ298" i="1"/>
  <c r="DZ144" i="1"/>
  <c r="DZ194" i="1"/>
  <c r="DX91" i="1"/>
  <c r="DZ91" i="1"/>
  <c r="DX17" i="1"/>
  <c r="DZ17" i="1"/>
  <c r="DX292" i="1"/>
  <c r="DZ292" i="1"/>
  <c r="DX255" i="1"/>
  <c r="DZ255" i="1"/>
  <c r="DZ106" i="1"/>
  <c r="DX106" i="1"/>
  <c r="DX177" i="1"/>
  <c r="DZ177" i="1"/>
  <c r="DZ70" i="1"/>
  <c r="DX70" i="1"/>
  <c r="DX223" i="1"/>
  <c r="DZ223" i="1"/>
  <c r="DX159" i="1"/>
  <c r="DZ159" i="1"/>
  <c r="DX59" i="1"/>
  <c r="DZ59" i="1"/>
  <c r="DX67" i="1"/>
  <c r="DZ67" i="1"/>
  <c r="DZ186" i="1"/>
  <c r="DX186" i="1"/>
  <c r="DZ258" i="1"/>
  <c r="DZ147" i="1"/>
  <c r="DX100" i="1"/>
  <c r="DZ100" i="1"/>
  <c r="EC100" i="1" s="1"/>
  <c r="ER100" i="1" s="1"/>
  <c r="FA100" i="1" s="1"/>
  <c r="FC100" i="1" s="1"/>
  <c r="DX34" i="1"/>
  <c r="DZ34" i="1"/>
  <c r="DZ141" i="1"/>
  <c r="DX141" i="1"/>
  <c r="DX81" i="1"/>
  <c r="DZ81" i="1"/>
  <c r="DX7" i="1"/>
  <c r="DZ7" i="1"/>
  <c r="EC7" i="1" s="1"/>
  <c r="ER7" i="1" s="1"/>
  <c r="FA7" i="1" s="1"/>
  <c r="FC7" i="1" s="1"/>
  <c r="DZ135" i="1"/>
  <c r="DZ132" i="1"/>
  <c r="DZ216" i="1"/>
  <c r="DZ64" i="1"/>
  <c r="DX64" i="1"/>
  <c r="DX217" i="1"/>
  <c r="DZ217" i="1"/>
  <c r="DX79" i="1"/>
  <c r="DZ79" i="1"/>
  <c r="DX5" i="1"/>
  <c r="DZ5" i="1"/>
  <c r="DZ192" i="1"/>
  <c r="DZ156" i="1"/>
  <c r="DZ143" i="1"/>
  <c r="DX272" i="1"/>
  <c r="DZ272" i="1"/>
  <c r="DZ94" i="1"/>
  <c r="DX94" i="1"/>
  <c r="DZ14" i="1"/>
  <c r="EC14" i="1" s="1"/>
  <c r="ER14" i="1" s="1"/>
  <c r="FA14" i="1" s="1"/>
  <c r="FC14" i="1" s="1"/>
  <c r="DX14" i="1"/>
  <c r="DZ282" i="1"/>
  <c r="DX291" i="1"/>
  <c r="DZ291" i="1"/>
  <c r="DZ204" i="1"/>
  <c r="DX204" i="1"/>
  <c r="DX213" i="1"/>
  <c r="DZ213" i="1"/>
  <c r="DZ149" i="1"/>
  <c r="DX149" i="1"/>
  <c r="DX93" i="1"/>
  <c r="DZ93" i="1"/>
  <c r="DX19" i="1"/>
  <c r="DZ19" i="1"/>
  <c r="DZ24" i="1"/>
  <c r="DX264" i="1"/>
  <c r="DZ264" i="1"/>
  <c r="DX234" i="1"/>
  <c r="DZ234" i="1"/>
  <c r="DX26" i="1"/>
  <c r="DZ26" i="1"/>
  <c r="DX211" i="1"/>
  <c r="DZ211" i="1"/>
  <c r="DZ38" i="1"/>
  <c r="DZ168" i="1"/>
  <c r="DZ294" i="1"/>
  <c r="DX241" i="1"/>
  <c r="DZ241" i="1"/>
  <c r="DX105" i="1"/>
  <c r="DZ105" i="1"/>
  <c r="DX31" i="1"/>
  <c r="DZ31" i="1"/>
  <c r="DZ76" i="1"/>
  <c r="DX285" i="1"/>
  <c r="DZ285" i="1"/>
  <c r="DZ242" i="1"/>
  <c r="DX299" i="1"/>
  <c r="DZ299" i="1"/>
  <c r="DX228" i="1"/>
  <c r="DZ228" i="1"/>
  <c r="DX221" i="1"/>
  <c r="DZ221" i="1"/>
  <c r="DX83" i="1"/>
  <c r="DZ83" i="1"/>
  <c r="DX9" i="1"/>
  <c r="DZ9" i="1"/>
  <c r="DX249" i="1"/>
  <c r="DZ249" i="1"/>
  <c r="DX203" i="1"/>
  <c r="DZ203" i="1"/>
  <c r="DZ188" i="1"/>
  <c r="DZ166" i="1"/>
  <c r="DZ286" i="1"/>
  <c r="DX295" i="1"/>
  <c r="DZ295" i="1"/>
  <c r="DZ139" i="1"/>
  <c r="DX139" i="1"/>
  <c r="DZ40" i="1"/>
  <c r="DX261" i="1"/>
  <c r="DZ261" i="1"/>
  <c r="DX57" i="1"/>
  <c r="DZ57" i="1"/>
  <c r="DZ266" i="1"/>
  <c r="DZ155" i="1"/>
  <c r="DZ142" i="1"/>
  <c r="DX109" i="1"/>
  <c r="DZ109" i="1"/>
  <c r="DX71" i="1"/>
  <c r="DZ71" i="1"/>
  <c r="DX172" i="1"/>
  <c r="DZ172" i="1"/>
  <c r="DZ278" i="1"/>
  <c r="DX260" i="1"/>
  <c r="DZ260" i="1"/>
  <c r="DX232" i="1"/>
  <c r="DZ232" i="1"/>
  <c r="DX88" i="1"/>
  <c r="DZ88" i="1"/>
  <c r="DX161" i="1"/>
  <c r="DZ161" i="1"/>
  <c r="DX207" i="1"/>
  <c r="DZ207" i="1"/>
  <c r="DX75" i="1"/>
  <c r="DZ75" i="1"/>
  <c r="DX123" i="1"/>
  <c r="DZ123" i="1"/>
  <c r="DX49" i="1"/>
  <c r="DZ49" i="1"/>
  <c r="DZ134" i="1"/>
  <c r="DX124" i="1"/>
  <c r="DX82" i="1"/>
  <c r="DZ82" i="1"/>
  <c r="DZ18" i="1"/>
  <c r="DX18" i="1"/>
  <c r="DX63" i="1"/>
  <c r="DZ63" i="1"/>
  <c r="DZ182" i="1"/>
  <c r="DZ50" i="1"/>
  <c r="DZ122" i="1"/>
  <c r="DZ138" i="1"/>
  <c r="DZ270" i="1"/>
  <c r="DZ48" i="1"/>
  <c r="DX48" i="1"/>
  <c r="DX201" i="1"/>
  <c r="DZ201" i="1"/>
  <c r="DX178" i="1"/>
  <c r="DZ178" i="1"/>
  <c r="DZ133" i="1"/>
  <c r="DZ8" i="1"/>
  <c r="DX240" i="1"/>
  <c r="DZ240" i="1"/>
  <c r="DZ78" i="1"/>
  <c r="EC78" i="1" s="1"/>
  <c r="ER78" i="1" s="1"/>
  <c r="FA78" i="1" s="1"/>
  <c r="FC78" i="1" s="1"/>
  <c r="DX78" i="1"/>
  <c r="DX183" i="1"/>
  <c r="DZ183" i="1"/>
  <c r="DX275" i="1"/>
  <c r="DZ275" i="1"/>
  <c r="EC275" i="1" s="1"/>
  <c r="ER275" i="1" s="1"/>
  <c r="FA275" i="1" s="1"/>
  <c r="FC275" i="1" s="1"/>
  <c r="DZ12" i="1"/>
  <c r="DX12" i="1"/>
  <c r="DX197" i="1"/>
  <c r="DZ197" i="1"/>
  <c r="DX125" i="1"/>
  <c r="DZ125" i="1"/>
  <c r="DX73" i="1"/>
  <c r="DZ73" i="1"/>
  <c r="DZ110" i="1"/>
  <c r="DZ52" i="1"/>
  <c r="DX289" i="1"/>
  <c r="DZ289" i="1"/>
  <c r="DX218" i="1"/>
  <c r="DZ218" i="1"/>
  <c r="DX74" i="1"/>
  <c r="DZ74" i="1"/>
  <c r="DX10" i="1"/>
  <c r="DZ10" i="1"/>
  <c r="DX195" i="1"/>
  <c r="DZ195" i="1"/>
  <c r="DZ190" i="1"/>
  <c r="DZ32" i="1"/>
  <c r="DZ174" i="1"/>
  <c r="DZ262" i="1"/>
  <c r="DX225" i="1"/>
  <c r="DZ225" i="1"/>
  <c r="DX89" i="1"/>
  <c r="DZ89" i="1"/>
  <c r="DX15" i="1"/>
  <c r="DZ15" i="1"/>
  <c r="DZ2" i="1"/>
  <c r="DX269" i="1"/>
  <c r="DZ269" i="1"/>
  <c r="DZ164" i="1"/>
  <c r="DX164" i="1"/>
  <c r="DX284" i="1"/>
  <c r="DZ284" i="1"/>
  <c r="EC284" i="1" s="1"/>
  <c r="ER284" i="1" s="1"/>
  <c r="FA284" i="1" s="1"/>
  <c r="FC284" i="1" s="1"/>
  <c r="DX283" i="1"/>
  <c r="DZ283" i="1"/>
  <c r="DX205" i="1"/>
  <c r="DZ205" i="1"/>
  <c r="DX47" i="1"/>
  <c r="DZ47" i="1"/>
  <c r="DX65" i="1"/>
  <c r="DZ65" i="1"/>
  <c r="DX184" i="1"/>
  <c r="DZ184" i="1"/>
  <c r="DX297" i="1"/>
  <c r="DZ297" i="1"/>
  <c r="DX226" i="1"/>
  <c r="DZ226" i="1"/>
  <c r="DX187" i="1"/>
  <c r="DZ187" i="1"/>
  <c r="DZ176" i="1"/>
  <c r="DZ126" i="1"/>
  <c r="DZ136" i="1"/>
  <c r="EC136" i="1" s="1"/>
  <c r="ER136" i="1" s="1"/>
  <c r="FA136" i="1" s="1"/>
  <c r="FC136" i="1" s="1"/>
  <c r="DZ238" i="1"/>
  <c r="DX279" i="1"/>
  <c r="DZ279" i="1"/>
  <c r="DX222" i="1"/>
  <c r="DZ222" i="1"/>
  <c r="DX247" i="1"/>
  <c r="DZ247" i="1"/>
  <c r="DX115" i="1"/>
  <c r="DZ115" i="1"/>
  <c r="DX37" i="1"/>
  <c r="DZ37" i="1"/>
  <c r="DZ130" i="1"/>
  <c r="DX130" i="1"/>
  <c r="DX150" i="1"/>
  <c r="DZ150" i="1"/>
  <c r="DZ116" i="1"/>
  <c r="DX129" i="1"/>
  <c r="DZ129" i="1"/>
  <c r="DX53" i="1"/>
  <c r="DZ53" i="1"/>
  <c r="DZ246" i="1"/>
  <c r="DX287" i="1"/>
  <c r="DZ287" i="1"/>
  <c r="DX288" i="1"/>
  <c r="DZ288" i="1"/>
  <c r="DX191" i="1"/>
  <c r="DZ191" i="1"/>
  <c r="DX11" i="1"/>
  <c r="DZ11" i="1"/>
  <c r="DX103" i="1"/>
  <c r="DZ103" i="1"/>
  <c r="DX29" i="1"/>
  <c r="DZ29" i="1"/>
  <c r="DZ84" i="1"/>
  <c r="DX196" i="1"/>
  <c r="DZ196" i="1"/>
  <c r="DZ254" i="1"/>
  <c r="DX112" i="1"/>
  <c r="DZ112" i="1"/>
  <c r="DX148" i="1"/>
  <c r="DZ66" i="1"/>
  <c r="DX119" i="1"/>
  <c r="DZ119" i="1"/>
  <c r="DX43" i="1"/>
  <c r="DZ43" i="1"/>
  <c r="DX158" i="1"/>
  <c r="DZ158" i="1"/>
  <c r="DZ72" i="1"/>
  <c r="DZ68" i="1"/>
  <c r="DZ98" i="1"/>
  <c r="DX98" i="1"/>
  <c r="DX185" i="1"/>
  <c r="DZ185" i="1"/>
  <c r="DX117" i="1"/>
  <c r="DZ117" i="1"/>
  <c r="DX41" i="1"/>
  <c r="DZ41" i="1"/>
  <c r="DZ90" i="1"/>
  <c r="DZ212" i="1"/>
  <c r="EC212" i="1" s="1"/>
  <c r="ER212" i="1" s="1"/>
  <c r="FA212" i="1" s="1"/>
  <c r="FC212" i="1" s="1"/>
  <c r="DX167" i="1"/>
  <c r="DZ167" i="1"/>
  <c r="DX268" i="1"/>
  <c r="DZ268" i="1"/>
  <c r="DX259" i="1"/>
  <c r="DZ259" i="1"/>
  <c r="DZ92" i="1"/>
  <c r="DX92" i="1"/>
  <c r="DX245" i="1"/>
  <c r="DZ245" i="1"/>
  <c r="DX181" i="1"/>
  <c r="DZ181" i="1"/>
  <c r="DX131" i="1"/>
  <c r="DZ131" i="1"/>
  <c r="DX55" i="1"/>
  <c r="DZ55" i="1"/>
  <c r="EC55" i="1" s="1"/>
  <c r="ER55" i="1" s="1"/>
  <c r="FA55" i="1" s="1"/>
  <c r="FC55" i="1" s="1"/>
  <c r="DZ30" i="1"/>
  <c r="DX273" i="1"/>
  <c r="DZ273" i="1"/>
  <c r="DX202" i="1"/>
  <c r="DZ202" i="1"/>
  <c r="DZ58" i="1"/>
  <c r="DX58" i="1"/>
  <c r="DX243" i="1"/>
  <c r="DZ243" i="1"/>
  <c r="DX179" i="1"/>
  <c r="DZ179" i="1"/>
  <c r="DZ128" i="1"/>
  <c r="DZ102" i="1"/>
  <c r="DZ140" i="1"/>
  <c r="DZ16" i="1"/>
  <c r="DX200" i="1"/>
  <c r="DZ200" i="1"/>
  <c r="DX209" i="1"/>
  <c r="DZ209" i="1"/>
  <c r="DX87" i="1"/>
  <c r="DZ87" i="1"/>
  <c r="DX69" i="1"/>
  <c r="DZ69" i="1"/>
  <c r="DZ170" i="1"/>
  <c r="DX170" i="1"/>
  <c r="DZ22" i="1"/>
  <c r="DX253" i="1"/>
  <c r="DZ253" i="1"/>
  <c r="DX252" i="1"/>
  <c r="DZ252" i="1"/>
  <c r="DX267" i="1"/>
  <c r="DZ267" i="1"/>
  <c r="EC267" i="1" s="1"/>
  <c r="ER267" i="1" s="1"/>
  <c r="FA267" i="1" s="1"/>
  <c r="FC267" i="1" s="1"/>
  <c r="DX189" i="1"/>
  <c r="DZ189" i="1"/>
  <c r="DX121" i="1"/>
  <c r="DZ121" i="1"/>
  <c r="DX45" i="1"/>
  <c r="DZ45" i="1"/>
  <c r="DX162" i="1"/>
  <c r="DZ162" i="1"/>
  <c r="DZ250" i="1"/>
  <c r="FN228" i="1" l="1"/>
  <c r="FN200" i="1"/>
  <c r="GC200" i="1" s="1"/>
  <c r="FN236" i="1"/>
  <c r="GC236" i="1" s="1"/>
  <c r="FN91" i="1"/>
  <c r="GC91" i="1" s="1"/>
  <c r="FN277" i="1"/>
  <c r="GC277" i="1" s="1"/>
  <c r="FN188" i="1"/>
  <c r="GC188" i="1" s="1"/>
  <c r="FN32" i="1"/>
  <c r="FS32" i="1" s="1"/>
  <c r="FN51" i="1"/>
  <c r="FU51" i="1" s="1"/>
  <c r="FV51" i="1" s="1"/>
  <c r="FN293" i="1"/>
  <c r="FN29" i="1"/>
  <c r="GB29" i="1" s="1"/>
  <c r="FN19" i="1"/>
  <c r="FN160" i="1"/>
  <c r="EC179" i="1"/>
  <c r="ER179" i="1" s="1"/>
  <c r="FA179" i="1" s="1"/>
  <c r="FC179" i="1" s="1"/>
  <c r="EC2" i="1"/>
  <c r="ER2" i="1" s="1"/>
  <c r="FA2" i="1" s="1"/>
  <c r="FC2" i="1" s="1"/>
  <c r="EC240" i="1"/>
  <c r="ER240" i="1" s="1"/>
  <c r="FA240" i="1" s="1"/>
  <c r="FC240" i="1" s="1"/>
  <c r="EC172" i="1"/>
  <c r="ER172" i="1" s="1"/>
  <c r="FA172" i="1" s="1"/>
  <c r="FC172" i="1" s="1"/>
  <c r="EC123" i="1"/>
  <c r="ER123" i="1" s="1"/>
  <c r="FA123" i="1" s="1"/>
  <c r="FC123" i="1" s="1"/>
  <c r="EC224" i="1"/>
  <c r="ER224" i="1" s="1"/>
  <c r="FA224" i="1" s="1"/>
  <c r="FC224" i="1" s="1"/>
  <c r="EC239" i="1"/>
  <c r="ER239" i="1" s="1"/>
  <c r="FA239" i="1" s="1"/>
  <c r="FC239" i="1" s="1"/>
  <c r="EC128" i="1"/>
  <c r="ER128" i="1" s="1"/>
  <c r="FA128" i="1" s="1"/>
  <c r="FC128" i="1" s="1"/>
  <c r="EC75" i="1"/>
  <c r="ER75" i="1" s="1"/>
  <c r="FA75" i="1" s="1"/>
  <c r="FC75" i="1" s="1"/>
  <c r="EC232" i="1"/>
  <c r="ER232" i="1" s="1"/>
  <c r="FA232" i="1" s="1"/>
  <c r="FC232" i="1" s="1"/>
  <c r="EC242" i="1"/>
  <c r="ER242" i="1" s="1"/>
  <c r="FA242" i="1" s="1"/>
  <c r="FC242" i="1" s="1"/>
  <c r="EC180" i="1"/>
  <c r="ER180" i="1" s="1"/>
  <c r="FA180" i="1" s="1"/>
  <c r="FC180" i="1" s="1"/>
  <c r="EC40" i="1"/>
  <c r="ER40" i="1" s="1"/>
  <c r="FA40" i="1" s="1"/>
  <c r="FC40" i="1" s="1"/>
  <c r="GB104" i="1"/>
  <c r="GF104" i="1" s="1"/>
  <c r="GG104" i="1" s="1"/>
  <c r="FN68" i="1"/>
  <c r="FN170" i="1"/>
  <c r="FN74" i="1"/>
  <c r="FZ74" i="1" s="1"/>
  <c r="GA74" i="1" s="1"/>
  <c r="FN222" i="1"/>
  <c r="FS222" i="1" s="1"/>
  <c r="FN226" i="1"/>
  <c r="FU226" i="1" s="1"/>
  <c r="FV226" i="1" s="1"/>
  <c r="FN84" i="1"/>
  <c r="GA84" i="1" s="1"/>
  <c r="FN214" i="1"/>
  <c r="GC214" i="1" s="1"/>
  <c r="FN216" i="1"/>
  <c r="FO216" i="1" s="1"/>
  <c r="FN109" i="1"/>
  <c r="GC109" i="1" s="1"/>
  <c r="FN113" i="1"/>
  <c r="FU113" i="1" s="1"/>
  <c r="FV113" i="1" s="1"/>
  <c r="FN220" i="1"/>
  <c r="FQ220" i="1" s="1"/>
  <c r="FR220" i="1" s="1"/>
  <c r="FN183" i="1"/>
  <c r="FZ183" i="1" s="1"/>
  <c r="GA183" i="1" s="1"/>
  <c r="FN79" i="1"/>
  <c r="FS79" i="1" s="1"/>
  <c r="FN205" i="1"/>
  <c r="GC205" i="1" s="1"/>
  <c r="FN273" i="1"/>
  <c r="FZ273" i="1" s="1"/>
  <c r="FN103" i="1"/>
  <c r="FU103" i="1" s="1"/>
  <c r="FV103" i="1" s="1"/>
  <c r="FN213" i="1"/>
  <c r="FN140" i="1"/>
  <c r="FO140" i="1" s="1"/>
  <c r="FN237" i="1"/>
  <c r="FU237" i="1" s="1"/>
  <c r="FV237" i="1" s="1"/>
  <c r="FN223" i="1"/>
  <c r="GA223" i="1" s="1"/>
  <c r="FN225" i="1"/>
  <c r="FQ225" i="1" s="1"/>
  <c r="FR225" i="1" s="1"/>
  <c r="FN116" i="1"/>
  <c r="FS116" i="1" s="1"/>
  <c r="FN176" i="1"/>
  <c r="FS176" i="1" s="1"/>
  <c r="FN224" i="1"/>
  <c r="FU224" i="1" s="1"/>
  <c r="FV224" i="1" s="1"/>
  <c r="FN203" i="1"/>
  <c r="FN164" i="1"/>
  <c r="FQ164" i="1" s="1"/>
  <c r="FR164" i="1" s="1"/>
  <c r="FN152" i="1"/>
  <c r="FO152" i="1" s="1"/>
  <c r="FU152" i="1" s="1"/>
  <c r="FV152" i="1" s="1"/>
  <c r="FN59" i="1"/>
  <c r="FQ59" i="1" s="1"/>
  <c r="FR59" i="1" s="1"/>
  <c r="FN161" i="1"/>
  <c r="FS161" i="1" s="1"/>
  <c r="FN17" i="1"/>
  <c r="FQ17" i="1" s="1"/>
  <c r="FR17" i="1" s="1"/>
  <c r="FN181" i="1"/>
  <c r="GC181" i="1" s="1"/>
  <c r="FN268" i="1"/>
  <c r="FZ268" i="1" s="1"/>
  <c r="FN272" i="1"/>
  <c r="FN169" i="1"/>
  <c r="FQ169" i="1" s="1"/>
  <c r="FR169" i="1" s="1"/>
  <c r="FN34" i="1"/>
  <c r="FU34" i="1" s="1"/>
  <c r="FV34" i="1" s="1"/>
  <c r="FN212" i="1"/>
  <c r="GA212" i="1" s="1"/>
  <c r="FN110" i="1"/>
  <c r="FU110" i="1" s="1"/>
  <c r="FV110" i="1" s="1"/>
  <c r="FN281" i="1"/>
  <c r="FU281" i="1" s="1"/>
  <c r="FV281" i="1" s="1"/>
  <c r="FN167" i="1"/>
  <c r="FQ167" i="1" s="1"/>
  <c r="FR167" i="1" s="1"/>
  <c r="FN45" i="1"/>
  <c r="FU45" i="1" s="1"/>
  <c r="FV45" i="1" s="1"/>
  <c r="FN267" i="1"/>
  <c r="GC267" i="1" s="1"/>
  <c r="FN31" i="1"/>
  <c r="GB31" i="1" s="1"/>
  <c r="FN227" i="1"/>
  <c r="GA227" i="1" s="1"/>
  <c r="FN296" i="1"/>
  <c r="FU296" i="1" s="1"/>
  <c r="FV296" i="1" s="1"/>
  <c r="FN3" i="1"/>
  <c r="FS3" i="1" s="1"/>
  <c r="FN132" i="1"/>
  <c r="FS132" i="1" s="1"/>
  <c r="FN16" i="1"/>
  <c r="FS16" i="1" s="1"/>
  <c r="FN81" i="1"/>
  <c r="FS81" i="1" s="1"/>
  <c r="FN265" i="1"/>
  <c r="FN11" i="1"/>
  <c r="FS11" i="1" s="1"/>
  <c r="FN28" i="1"/>
  <c r="FU28" i="1" s="1"/>
  <c r="FV28" i="1" s="1"/>
  <c r="FN235" i="1"/>
  <c r="FQ235" i="1" s="1"/>
  <c r="FR235" i="1" s="1"/>
  <c r="FN149" i="1"/>
  <c r="FU149" i="1" s="1"/>
  <c r="FV149" i="1" s="1"/>
  <c r="FN20" i="1"/>
  <c r="FS20" i="1" s="1"/>
  <c r="FN85" i="1"/>
  <c r="FO85" i="1" s="1"/>
  <c r="FN288" i="1"/>
  <c r="GB288" i="1" s="1"/>
  <c r="FN255" i="1"/>
  <c r="FN282" i="1"/>
  <c r="GC282" i="1" s="1"/>
  <c r="GD282" i="1" s="1"/>
  <c r="GE282" i="1" s="1"/>
  <c r="FN197" i="1"/>
  <c r="FO197" i="1" s="1"/>
  <c r="FN151" i="1"/>
  <c r="FS151" i="1" s="1"/>
  <c r="FN117" i="1"/>
  <c r="FS117" i="1" s="1"/>
  <c r="FN114" i="1"/>
  <c r="FU114" i="1" s="1"/>
  <c r="FV114" i="1" s="1"/>
  <c r="FN36" i="1"/>
  <c r="FS36" i="1" s="1"/>
  <c r="FN58" i="1"/>
  <c r="FS58" i="1" s="1"/>
  <c r="FN99" i="1"/>
  <c r="FN271" i="1"/>
  <c r="FO271" i="1" s="1"/>
  <c r="FN254" i="1"/>
  <c r="FQ254" i="1" s="1"/>
  <c r="FR254" i="1" s="1"/>
  <c r="FN9" i="1"/>
  <c r="FO9" i="1" s="1"/>
  <c r="FN75" i="1"/>
  <c r="FU75" i="1" s="1"/>
  <c r="FV75" i="1" s="1"/>
  <c r="FN56" i="1"/>
  <c r="FQ56" i="1" s="1"/>
  <c r="FR56" i="1" s="1"/>
  <c r="FN130" i="1"/>
  <c r="FZ130" i="1" s="1"/>
  <c r="GA130" i="1" s="1"/>
  <c r="FN158" i="1"/>
  <c r="FS158" i="1" s="1"/>
  <c r="FN120" i="1"/>
  <c r="FN18" i="1"/>
  <c r="FZ18" i="1" s="1"/>
  <c r="GA18" i="1" s="1"/>
  <c r="FN243" i="1"/>
  <c r="FS243" i="1" s="1"/>
  <c r="FN126" i="1"/>
  <c r="GA126" i="1" s="1"/>
  <c r="FN107" i="1"/>
  <c r="FS107" i="1" s="1"/>
  <c r="FN125" i="1"/>
  <c r="FU125" i="1" s="1"/>
  <c r="FV125" i="1" s="1"/>
  <c r="FN168" i="1"/>
  <c r="FO168" i="1" s="1"/>
  <c r="FN135" i="1"/>
  <c r="GC135" i="1" s="1"/>
  <c r="FN204" i="1"/>
  <c r="FQ204" i="1" s="1"/>
  <c r="FR204" i="1" s="1"/>
  <c r="FN71" i="1"/>
  <c r="FZ71" i="1" s="1"/>
  <c r="GA71" i="1" s="1"/>
  <c r="FN260" i="1"/>
  <c r="FU260" i="1" s="1"/>
  <c r="FV260" i="1" s="1"/>
  <c r="EC34" i="1"/>
  <c r="ER34" i="1" s="1"/>
  <c r="FA34" i="1" s="1"/>
  <c r="FC34" i="1" s="1"/>
  <c r="FN83" i="1"/>
  <c r="FU83" i="1" s="1"/>
  <c r="FV83" i="1" s="1"/>
  <c r="FN207" i="1"/>
  <c r="FU207" i="1" s="1"/>
  <c r="FV207" i="1" s="1"/>
  <c r="FN139" i="1"/>
  <c r="FQ139" i="1" s="1"/>
  <c r="FR139" i="1" s="1"/>
  <c r="FN44" i="1"/>
  <c r="FU44" i="1" s="1"/>
  <c r="FV44" i="1" s="1"/>
  <c r="FN285" i="1"/>
  <c r="GC285" i="1" s="1"/>
  <c r="FN165" i="1"/>
  <c r="FS165" i="1" s="1"/>
  <c r="FN153" i="1"/>
  <c r="FU153" i="1" s="1"/>
  <c r="FV153" i="1" s="1"/>
  <c r="FN191" i="1"/>
  <c r="FS191" i="1" s="1"/>
  <c r="FN269" i="1"/>
  <c r="FS269" i="1" s="1"/>
  <c r="FN201" i="1"/>
  <c r="FZ201" i="1" s="1"/>
  <c r="FN27" i="1"/>
  <c r="FS27" i="1" s="1"/>
  <c r="FN102" i="1"/>
  <c r="FQ102" i="1" s="1"/>
  <c r="FR102" i="1" s="1"/>
  <c r="FN70" i="1"/>
  <c r="FU70" i="1" s="1"/>
  <c r="FV70" i="1" s="1"/>
  <c r="FN147" i="1"/>
  <c r="FS147" i="1" s="1"/>
  <c r="FN234" i="1"/>
  <c r="FZ234" i="1" s="1"/>
  <c r="FN57" i="1"/>
  <c r="FU57" i="1" s="1"/>
  <c r="FV57" i="1" s="1"/>
  <c r="FN244" i="1"/>
  <c r="FQ244" i="1" s="1"/>
  <c r="FR244" i="1" s="1"/>
  <c r="FN129" i="1"/>
  <c r="FS129" i="1" s="1"/>
  <c r="FN252" i="1"/>
  <c r="GC252" i="1" s="1"/>
  <c r="FN86" i="1"/>
  <c r="FZ86" i="1" s="1"/>
  <c r="GA86" i="1" s="1"/>
  <c r="FN88" i="1"/>
  <c r="GA88" i="1" s="1"/>
  <c r="FN245" i="1"/>
  <c r="FU245" i="1" s="1"/>
  <c r="FV245" i="1" s="1"/>
  <c r="FN137" i="1"/>
  <c r="GC137" i="1" s="1"/>
  <c r="FN112" i="1"/>
  <c r="FO112" i="1" s="1"/>
  <c r="FN233" i="1"/>
  <c r="FS233" i="1" s="1"/>
  <c r="FN100" i="1"/>
  <c r="FQ100" i="1" s="1"/>
  <c r="FR100" i="1" s="1"/>
  <c r="FN146" i="1"/>
  <c r="GC146" i="1" s="1"/>
  <c r="GD146" i="1" s="1"/>
  <c r="GE146" i="1" s="1"/>
  <c r="FN231" i="1"/>
  <c r="FU231" i="1" s="1"/>
  <c r="FV231" i="1" s="1"/>
  <c r="FN278" i="1"/>
  <c r="FS278" i="1" s="1"/>
  <c r="FN61" i="1"/>
  <c r="FU61" i="1" s="1"/>
  <c r="FV61" i="1" s="1"/>
  <c r="FN121" i="1"/>
  <c r="FU121" i="1" s="1"/>
  <c r="FV121" i="1" s="1"/>
  <c r="FN175" i="1"/>
  <c r="GC175" i="1" s="1"/>
  <c r="FN105" i="1"/>
  <c r="FS105" i="1" s="1"/>
  <c r="FN77" i="1"/>
  <c r="FU77" i="1" s="1"/>
  <c r="FV77" i="1" s="1"/>
  <c r="FN263" i="1"/>
  <c r="FS263" i="1" s="1"/>
  <c r="FN155" i="1"/>
  <c r="FU155" i="1" s="1"/>
  <c r="FV155" i="1" s="1"/>
  <c r="FN248" i="1"/>
  <c r="FU248" i="1" s="1"/>
  <c r="FV248" i="1" s="1"/>
  <c r="FN127" i="1"/>
  <c r="FU127" i="1" s="1"/>
  <c r="FV127" i="1" s="1"/>
  <c r="FN206" i="1"/>
  <c r="FQ206" i="1" s="1"/>
  <c r="FR206" i="1" s="1"/>
  <c r="FN280" i="1"/>
  <c r="FZ280" i="1" s="1"/>
  <c r="FN62" i="1"/>
  <c r="FQ62" i="1" s="1"/>
  <c r="FR62" i="1" s="1"/>
  <c r="FN196" i="1"/>
  <c r="FU196" i="1" s="1"/>
  <c r="FV196" i="1" s="1"/>
  <c r="FN292" i="1"/>
  <c r="FQ292" i="1" s="1"/>
  <c r="FR292" i="1" s="1"/>
  <c r="FN174" i="1"/>
  <c r="FO174" i="1" s="1"/>
  <c r="FN12" i="1"/>
  <c r="FQ12" i="1" s="1"/>
  <c r="FR12" i="1" s="1"/>
  <c r="FN190" i="1"/>
  <c r="FS190" i="1" s="1"/>
  <c r="FN185" i="1"/>
  <c r="GA185" i="1" s="1"/>
  <c r="FN50" i="1"/>
  <c r="FQ50" i="1" s="1"/>
  <c r="FR50" i="1" s="1"/>
  <c r="FN22" i="1"/>
  <c r="FS22" i="1" s="1"/>
  <c r="FN95" i="1"/>
  <c r="FU95" i="1" s="1"/>
  <c r="FV95" i="1" s="1"/>
  <c r="FN210" i="1"/>
  <c r="FS210" i="1" s="1"/>
  <c r="FN148" i="1"/>
  <c r="FU148" i="1" s="1"/>
  <c r="FV148" i="1" s="1"/>
  <c r="FN48" i="1"/>
  <c r="FU48" i="1" s="1"/>
  <c r="FV48" i="1" s="1"/>
  <c r="FN258" i="1"/>
  <c r="FQ258" i="1" s="1"/>
  <c r="FR258" i="1" s="1"/>
  <c r="FN69" i="1"/>
  <c r="FS69" i="1" s="1"/>
  <c r="FN218" i="1"/>
  <c r="FZ218" i="1" s="1"/>
  <c r="FN37" i="1"/>
  <c r="GB37" i="1" s="1"/>
  <c r="FN43" i="1"/>
  <c r="FS43" i="1" s="1"/>
  <c r="FN297" i="1"/>
  <c r="GC297" i="1" s="1"/>
  <c r="FN166" i="1"/>
  <c r="FQ166" i="1" s="1"/>
  <c r="FR166" i="1" s="1"/>
  <c r="FN287" i="1"/>
  <c r="FQ287" i="1" s="1"/>
  <c r="FR287" i="1" s="1"/>
  <c r="FN90" i="1"/>
  <c r="FS90" i="1" s="1"/>
  <c r="FN78" i="1"/>
  <c r="GC78" i="1" s="1"/>
  <c r="FN82" i="1"/>
  <c r="FO82" i="1" s="1"/>
  <c r="FN21" i="1"/>
  <c r="FS21" i="1" s="1"/>
  <c r="FN249" i="1"/>
  <c r="FU249" i="1" s="1"/>
  <c r="FV249" i="1" s="1"/>
  <c r="EC182" i="1"/>
  <c r="ER182" i="1" s="1"/>
  <c r="FA182" i="1" s="1"/>
  <c r="FC182" i="1" s="1"/>
  <c r="FN238" i="1"/>
  <c r="FU238" i="1" s="1"/>
  <c r="FV238" i="1" s="1"/>
  <c r="FN72" i="1"/>
  <c r="FS72" i="1" s="1"/>
  <c r="FN286" i="1"/>
  <c r="FU286" i="1" s="1"/>
  <c r="FV286" i="1" s="1"/>
  <c r="FN52" i="1"/>
  <c r="FS52" i="1" s="1"/>
  <c r="FN256" i="1"/>
  <c r="FO256" i="1" s="1"/>
  <c r="FN94" i="1"/>
  <c r="FU94" i="1" s="1"/>
  <c r="FV94" i="1" s="1"/>
  <c r="FN93" i="1"/>
  <c r="FZ93" i="1" s="1"/>
  <c r="FN163" i="1"/>
  <c r="GC163" i="1" s="1"/>
  <c r="FN30" i="1"/>
  <c r="FO30" i="1" s="1"/>
  <c r="FN7" i="1"/>
  <c r="FS7" i="1" s="1"/>
  <c r="FN144" i="1"/>
  <c r="FZ144" i="1" s="1"/>
  <c r="FN283" i="1"/>
  <c r="FS283" i="1" s="1"/>
  <c r="FN143" i="1"/>
  <c r="FO143" i="1" s="1"/>
  <c r="FN253" i="1"/>
  <c r="GC253" i="1" s="1"/>
  <c r="FN184" i="1"/>
  <c r="GC184" i="1" s="1"/>
  <c r="FN38" i="1"/>
  <c r="FU38" i="1" s="1"/>
  <c r="FV38" i="1" s="1"/>
  <c r="FN187" i="1"/>
  <c r="FU187" i="1" s="1"/>
  <c r="FV187" i="1" s="1"/>
  <c r="FN35" i="1"/>
  <c r="FS35" i="1" s="1"/>
  <c r="FN173" i="1"/>
  <c r="FU173" i="1" s="1"/>
  <c r="FV173" i="1" s="1"/>
  <c r="FN261" i="1"/>
  <c r="FW261" i="1" s="1"/>
  <c r="FX261" i="1" s="1"/>
  <c r="FN259" i="1"/>
  <c r="GA259" i="1" s="1"/>
  <c r="FN142" i="1"/>
  <c r="FU142" i="1" s="1"/>
  <c r="FV142" i="1" s="1"/>
  <c r="FN53" i="1"/>
  <c r="FZ53" i="1" s="1"/>
  <c r="FN63" i="1"/>
  <c r="FU63" i="1" s="1"/>
  <c r="FV63" i="1" s="1"/>
  <c r="FN141" i="1"/>
  <c r="FU141" i="1" s="1"/>
  <c r="FV141" i="1" s="1"/>
  <c r="FN41" i="1"/>
  <c r="FZ41" i="1" s="1"/>
  <c r="EC143" i="1"/>
  <c r="ER143" i="1" s="1"/>
  <c r="FA143" i="1" s="1"/>
  <c r="FC143" i="1" s="1"/>
  <c r="EC118" i="1"/>
  <c r="ER118" i="1" s="1"/>
  <c r="FA118" i="1" s="1"/>
  <c r="FC118" i="1" s="1"/>
  <c r="FN13" i="1"/>
  <c r="GC13" i="1" s="1"/>
  <c r="FN221" i="1"/>
  <c r="FS221" i="1" s="1"/>
  <c r="FN123" i="1"/>
  <c r="GC123" i="1" s="1"/>
  <c r="FN5" i="1"/>
  <c r="FQ5" i="1" s="1"/>
  <c r="FR5" i="1" s="1"/>
  <c r="FN67" i="1"/>
  <c r="FU67" i="1" s="1"/>
  <c r="FV67" i="1" s="1"/>
  <c r="FN179" i="1"/>
  <c r="FS179" i="1" s="1"/>
  <c r="FN275" i="1"/>
  <c r="GC275" i="1" s="1"/>
  <c r="FN60" i="1"/>
  <c r="GC60" i="1" s="1"/>
  <c r="FN64" i="1"/>
  <c r="FU64" i="1" s="1"/>
  <c r="FV64" i="1" s="1"/>
  <c r="FN98" i="1"/>
  <c r="FS98" i="1" s="1"/>
  <c r="FN247" i="1"/>
  <c r="FZ247" i="1" s="1"/>
  <c r="FN76" i="1"/>
  <c r="FW76" i="1" s="1"/>
  <c r="FX76" i="1" s="1"/>
  <c r="FN111" i="1"/>
  <c r="FS111" i="1" s="1"/>
  <c r="FN131" i="1"/>
  <c r="FU131" i="1" s="1"/>
  <c r="FV131" i="1" s="1"/>
  <c r="FN171" i="1"/>
  <c r="FS171" i="1" s="1"/>
  <c r="FS157" i="1"/>
  <c r="FQ157" i="1"/>
  <c r="FR157" i="1" s="1"/>
  <c r="FU157" i="1"/>
  <c r="FV157" i="1" s="1"/>
  <c r="FS299" i="1"/>
  <c r="FU299" i="1"/>
  <c r="FV299" i="1" s="1"/>
  <c r="FQ299" i="1"/>
  <c r="FR299" i="1" s="1"/>
  <c r="FS87" i="1"/>
  <c r="FQ87" i="1"/>
  <c r="FR87" i="1" s="1"/>
  <c r="FU87" i="1"/>
  <c r="FV87" i="1" s="1"/>
  <c r="FS195" i="1"/>
  <c r="FQ195" i="1"/>
  <c r="FR195" i="1" s="1"/>
  <c r="FU195" i="1"/>
  <c r="FV195" i="1" s="1"/>
  <c r="FQ115" i="1"/>
  <c r="FR115" i="1" s="1"/>
  <c r="FS115" i="1"/>
  <c r="FS208" i="1"/>
  <c r="FQ208" i="1"/>
  <c r="FR208" i="1" s="1"/>
  <c r="FU208" i="1"/>
  <c r="FV208" i="1" s="1"/>
  <c r="FU119" i="1"/>
  <c r="FV119" i="1" s="1"/>
  <c r="FS119" i="1"/>
  <c r="FQ119" i="1"/>
  <c r="FR119" i="1" s="1"/>
  <c r="FQ96" i="1"/>
  <c r="FR96" i="1" s="1"/>
  <c r="FU96" i="1"/>
  <c r="FV96" i="1" s="1"/>
  <c r="FS96" i="1"/>
  <c r="FS270" i="1"/>
  <c r="FQ270" i="1"/>
  <c r="FR270" i="1" s="1"/>
  <c r="FU270" i="1"/>
  <c r="FV270" i="1" s="1"/>
  <c r="FU172" i="1"/>
  <c r="FV172" i="1" s="1"/>
  <c r="FS172" i="1"/>
  <c r="FQ172" i="1"/>
  <c r="FR172" i="1" s="1"/>
  <c r="FS108" i="1"/>
  <c r="FU108" i="1"/>
  <c r="FV108" i="1" s="1"/>
  <c r="FQ108" i="1"/>
  <c r="FR108" i="1" s="1"/>
  <c r="FS229" i="1"/>
  <c r="FQ229" i="1"/>
  <c r="FR229" i="1" s="1"/>
  <c r="FU229" i="1"/>
  <c r="FV229" i="1" s="1"/>
  <c r="FS240" i="1"/>
  <c r="FQ240" i="1"/>
  <c r="FR240" i="1" s="1"/>
  <c r="FS2" i="1"/>
  <c r="FQ2" i="1"/>
  <c r="FR2" i="1" s="1"/>
  <c r="FU2" i="1"/>
  <c r="FV2" i="1" s="1"/>
  <c r="FQ46" i="1"/>
  <c r="FR46" i="1" s="1"/>
  <c r="FS46" i="1"/>
  <c r="FU46" i="1"/>
  <c r="FV46" i="1" s="1"/>
  <c r="FS40" i="1"/>
  <c r="FQ40" i="1"/>
  <c r="FR40" i="1" s="1"/>
  <c r="FU101" i="1"/>
  <c r="FV101" i="1" s="1"/>
  <c r="FS101" i="1"/>
  <c r="FQ101" i="1"/>
  <c r="FR101" i="1" s="1"/>
  <c r="FU251" i="1"/>
  <c r="FV251" i="1" s="1"/>
  <c r="FS251" i="1"/>
  <c r="FQ251" i="1"/>
  <c r="FR251" i="1" s="1"/>
  <c r="FU15" i="1"/>
  <c r="FV15" i="1" s="1"/>
  <c r="FS15" i="1"/>
  <c r="FQ15" i="1"/>
  <c r="FR15" i="1" s="1"/>
  <c r="FS211" i="1"/>
  <c r="FU211" i="1"/>
  <c r="FV211" i="1" s="1"/>
  <c r="FQ211" i="1"/>
  <c r="FR211" i="1" s="1"/>
  <c r="FU264" i="1"/>
  <c r="FV264" i="1" s="1"/>
  <c r="FS264" i="1"/>
  <c r="FQ264" i="1"/>
  <c r="FR264" i="1" s="1"/>
  <c r="FU199" i="1"/>
  <c r="FV199" i="1" s="1"/>
  <c r="FS199" i="1"/>
  <c r="FQ199" i="1"/>
  <c r="FR199" i="1" s="1"/>
  <c r="FS39" i="1"/>
  <c r="FU39" i="1"/>
  <c r="FV39" i="1" s="1"/>
  <c r="FW39" i="1"/>
  <c r="FX39" i="1" s="1"/>
  <c r="FQ39" i="1"/>
  <c r="FR39" i="1" s="1"/>
  <c r="FS291" i="1"/>
  <c r="FQ291" i="1"/>
  <c r="FR291" i="1" s="1"/>
  <c r="FS232" i="1"/>
  <c r="FQ232" i="1"/>
  <c r="FR232" i="1" s="1"/>
  <c r="FU232" i="1"/>
  <c r="FV232" i="1" s="1"/>
  <c r="FU55" i="1"/>
  <c r="FV55" i="1" s="1"/>
  <c r="FS55" i="1"/>
  <c r="FQ55" i="1"/>
  <c r="FR55" i="1" s="1"/>
  <c r="FU92" i="1"/>
  <c r="FV92" i="1" s="1"/>
  <c r="FS92" i="1"/>
  <c r="FQ92" i="1"/>
  <c r="FR92" i="1" s="1"/>
  <c r="FW14" i="1"/>
  <c r="FX14" i="1" s="1"/>
  <c r="FS14" i="1"/>
  <c r="FU14" i="1"/>
  <c r="FV14" i="1" s="1"/>
  <c r="FQ14" i="1"/>
  <c r="FR14" i="1" s="1"/>
  <c r="FS23" i="1"/>
  <c r="FQ23" i="1"/>
  <c r="FR23" i="1" s="1"/>
  <c r="FU23" i="1"/>
  <c r="FV23" i="1" s="1"/>
  <c r="FQ80" i="1"/>
  <c r="FR80" i="1" s="1"/>
  <c r="FU80" i="1"/>
  <c r="FV80" i="1" s="1"/>
  <c r="FS80" i="1"/>
  <c r="FU24" i="1"/>
  <c r="FV24" i="1" s="1"/>
  <c r="FS24" i="1"/>
  <c r="FQ24" i="1"/>
  <c r="FR24" i="1" s="1"/>
  <c r="FU279" i="1"/>
  <c r="FV279" i="1" s="1"/>
  <c r="FS279" i="1"/>
  <c r="FQ279" i="1"/>
  <c r="FR279" i="1" s="1"/>
  <c r="FS189" i="1"/>
  <c r="FW189" i="1"/>
  <c r="FX189" i="1" s="1"/>
  <c r="FQ189" i="1"/>
  <c r="FR189" i="1" s="1"/>
  <c r="FU189" i="1"/>
  <c r="FV189" i="1" s="1"/>
  <c r="FS239" i="1"/>
  <c r="FQ239" i="1"/>
  <c r="FR239" i="1" s="1"/>
  <c r="FU239" i="1"/>
  <c r="FV239" i="1" s="1"/>
  <c r="FU128" i="1"/>
  <c r="FV128" i="1" s="1"/>
  <c r="FS128" i="1"/>
  <c r="FQ128" i="1"/>
  <c r="FR128" i="1" s="1"/>
  <c r="FW215" i="1"/>
  <c r="FX215" i="1" s="1"/>
  <c r="FS215" i="1"/>
  <c r="FQ215" i="1"/>
  <c r="FR215" i="1" s="1"/>
  <c r="FU215" i="1"/>
  <c r="FV215" i="1" s="1"/>
  <c r="FS276" i="1"/>
  <c r="FU276" i="1"/>
  <c r="FV276" i="1" s="1"/>
  <c r="FQ276" i="1"/>
  <c r="FR276" i="1" s="1"/>
  <c r="FU219" i="1"/>
  <c r="FV219" i="1" s="1"/>
  <c r="FS219" i="1"/>
  <c r="FQ219" i="1"/>
  <c r="FR219" i="1" s="1"/>
  <c r="FQ47" i="1"/>
  <c r="FR47" i="1" s="1"/>
  <c r="FS47" i="1"/>
  <c r="FU47" i="1"/>
  <c r="FV47" i="1" s="1"/>
  <c r="FS124" i="1"/>
  <c r="FQ124" i="1"/>
  <c r="FR124" i="1" s="1"/>
  <c r="FU124" i="1"/>
  <c r="FV124" i="1" s="1"/>
  <c r="FU136" i="1"/>
  <c r="FV136" i="1" s="1"/>
  <c r="FS136" i="1"/>
  <c r="FQ136" i="1"/>
  <c r="FR136" i="1" s="1"/>
  <c r="FQ284" i="1"/>
  <c r="FR284" i="1" s="1"/>
  <c r="FS284" i="1"/>
  <c r="FU284" i="1"/>
  <c r="FV284" i="1" s="1"/>
  <c r="FS8" i="1"/>
  <c r="FU8" i="1"/>
  <c r="FV8" i="1" s="1"/>
  <c r="FQ8" i="1"/>
  <c r="FR8" i="1" s="1"/>
  <c r="FQ293" i="1"/>
  <c r="FR293" i="1" s="1"/>
  <c r="FU293" i="1"/>
  <c r="FV293" i="1" s="1"/>
  <c r="FQ29" i="1"/>
  <c r="FR29" i="1" s="1"/>
  <c r="FS29" i="1"/>
  <c r="FQ19" i="1"/>
  <c r="FR19" i="1" s="1"/>
  <c r="FU19" i="1"/>
  <c r="FV19" i="1" s="1"/>
  <c r="FS19" i="1"/>
  <c r="FQ160" i="1"/>
  <c r="FR160" i="1" s="1"/>
  <c r="FU160" i="1"/>
  <c r="FV160" i="1" s="1"/>
  <c r="FU154" i="1"/>
  <c r="FV154" i="1" s="1"/>
  <c r="FS154" i="1"/>
  <c r="FQ154" i="1"/>
  <c r="FR154" i="1" s="1"/>
  <c r="FU250" i="1"/>
  <c r="FV250" i="1" s="1"/>
  <c r="FQ250" i="1"/>
  <c r="FR250" i="1" s="1"/>
  <c r="FS250" i="1"/>
  <c r="FS262" i="1"/>
  <c r="FQ262" i="1"/>
  <c r="FR262" i="1" s="1"/>
  <c r="FU262" i="1"/>
  <c r="FV262" i="1" s="1"/>
  <c r="FN242" i="1"/>
  <c r="GC242" i="1" s="1"/>
  <c r="GD242" i="1" s="1"/>
  <c r="GE242" i="1" s="1"/>
  <c r="FN133" i="1"/>
  <c r="GA133" i="1" s="1"/>
  <c r="FN4" i="1"/>
  <c r="GA4" i="1" s="1"/>
  <c r="FN10" i="1"/>
  <c r="GC10" i="1" s="1"/>
  <c r="GD10" i="1" s="1"/>
  <c r="GE10" i="1" s="1"/>
  <c r="FN266" i="1"/>
  <c r="FZ266" i="1" s="1"/>
  <c r="FN25" i="1"/>
  <c r="FZ25" i="1" s="1"/>
  <c r="FN89" i="1"/>
  <c r="GB89" i="1" s="1"/>
  <c r="FN26" i="1"/>
  <c r="GB26" i="1" s="1"/>
  <c r="FN178" i="1"/>
  <c r="FZ178" i="1" s="1"/>
  <c r="FN97" i="1"/>
  <c r="FZ97" i="1" s="1"/>
  <c r="FN65" i="1"/>
  <c r="FN162" i="1"/>
  <c r="FZ162" i="1" s="1"/>
  <c r="FN122" i="1"/>
  <c r="FZ122" i="1" s="1"/>
  <c r="FN73" i="1"/>
  <c r="FN194" i="1"/>
  <c r="GC194" i="1" s="1"/>
  <c r="FU267" i="1"/>
  <c r="FV267" i="1" s="1"/>
  <c r="FS267" i="1"/>
  <c r="FQ267" i="1"/>
  <c r="FR267" i="1" s="1"/>
  <c r="FU289" i="1"/>
  <c r="FV289" i="1" s="1"/>
  <c r="FS289" i="1"/>
  <c r="FQ289" i="1"/>
  <c r="FR289" i="1" s="1"/>
  <c r="FU182" i="1"/>
  <c r="FV182" i="1" s="1"/>
  <c r="FQ182" i="1"/>
  <c r="FR182" i="1" s="1"/>
  <c r="FS182" i="1"/>
  <c r="FQ274" i="1"/>
  <c r="FR274" i="1" s="1"/>
  <c r="FS274" i="1"/>
  <c r="FS200" i="1"/>
  <c r="FU200" i="1"/>
  <c r="FV200" i="1" s="1"/>
  <c r="FQ200" i="1"/>
  <c r="FR200" i="1" s="1"/>
  <c r="FQ236" i="1"/>
  <c r="FR236" i="1" s="1"/>
  <c r="FS236" i="1"/>
  <c r="FU236" i="1"/>
  <c r="FV236" i="1" s="1"/>
  <c r="FN192" i="1"/>
  <c r="FZ192" i="1" s="1"/>
  <c r="FN180" i="1"/>
  <c r="GA180" i="1" s="1"/>
  <c r="FN198" i="1"/>
  <c r="FN209" i="1"/>
  <c r="FN118" i="1"/>
  <c r="GC118" i="1" s="1"/>
  <c r="FN257" i="1"/>
  <c r="FZ257" i="1" s="1"/>
  <c r="FN290" i="1"/>
  <c r="GC290" i="1" s="1"/>
  <c r="GD290" i="1" s="1"/>
  <c r="GE290" i="1" s="1"/>
  <c r="FN134" i="1"/>
  <c r="GA134" i="1" s="1"/>
  <c r="FN202" i="1"/>
  <c r="GC202" i="1" s="1"/>
  <c r="GD202" i="1" s="1"/>
  <c r="GE202" i="1" s="1"/>
  <c r="FN138" i="1"/>
  <c r="GC138" i="1" s="1"/>
  <c r="GD138" i="1" s="1"/>
  <c r="GE138" i="1" s="1"/>
  <c r="FN246" i="1"/>
  <c r="GA246" i="1" s="1"/>
  <c r="FN106" i="1"/>
  <c r="GA106" i="1" s="1"/>
  <c r="FQ145" i="1"/>
  <c r="FR145" i="1" s="1"/>
  <c r="FS145" i="1"/>
  <c r="FS277" i="1"/>
  <c r="FQ170" i="1"/>
  <c r="FR170" i="1" s="1"/>
  <c r="FQ193" i="1"/>
  <c r="FR193" i="1" s="1"/>
  <c r="FS193" i="1"/>
  <c r="FQ230" i="1"/>
  <c r="FR230" i="1" s="1"/>
  <c r="FU230" i="1"/>
  <c r="FV230" i="1" s="1"/>
  <c r="FS230" i="1"/>
  <c r="FN298" i="1"/>
  <c r="FO298" i="1" s="1"/>
  <c r="FN295" i="1"/>
  <c r="GA295" i="1" s="1"/>
  <c r="FS109" i="1"/>
  <c r="FQ109" i="1"/>
  <c r="FR109" i="1" s="1"/>
  <c r="FU109" i="1"/>
  <c r="FV109" i="1" s="1"/>
  <c r="FN156" i="1"/>
  <c r="GA156" i="1" s="1"/>
  <c r="FU54" i="1"/>
  <c r="FV54" i="1" s="1"/>
  <c r="FS54" i="1"/>
  <c r="FQ54" i="1"/>
  <c r="FR54" i="1" s="1"/>
  <c r="FU49" i="1"/>
  <c r="FV49" i="1" s="1"/>
  <c r="FS49" i="1"/>
  <c r="FQ49" i="1"/>
  <c r="FR49" i="1" s="1"/>
  <c r="FU217" i="1"/>
  <c r="FV217" i="1" s="1"/>
  <c r="FS217" i="1"/>
  <c r="FQ217" i="1"/>
  <c r="FR217" i="1" s="1"/>
  <c r="FQ241" i="1"/>
  <c r="FR241" i="1" s="1"/>
  <c r="FS241" i="1"/>
  <c r="FU241" i="1"/>
  <c r="FV241" i="1" s="1"/>
  <c r="FN33" i="1"/>
  <c r="GB33" i="1" s="1"/>
  <c r="FN159" i="1"/>
  <c r="GA159" i="1" s="1"/>
  <c r="FU294" i="1"/>
  <c r="FV294" i="1" s="1"/>
  <c r="FS294" i="1"/>
  <c r="FQ294" i="1"/>
  <c r="FR294" i="1" s="1"/>
  <c r="FS186" i="1"/>
  <c r="FU186" i="1"/>
  <c r="FV186" i="1" s="1"/>
  <c r="FQ186" i="1"/>
  <c r="FR186" i="1" s="1"/>
  <c r="FQ66" i="1"/>
  <c r="FR66" i="1" s="1"/>
  <c r="FS66" i="1"/>
  <c r="FU66" i="1"/>
  <c r="FV66" i="1" s="1"/>
  <c r="FU228" i="1"/>
  <c r="FV228" i="1" s="1"/>
  <c r="FQ228" i="1"/>
  <c r="FR228" i="1" s="1"/>
  <c r="FS228" i="1"/>
  <c r="EC197" i="1"/>
  <c r="ER197" i="1" s="1"/>
  <c r="FA197" i="1" s="1"/>
  <c r="FC197" i="1" s="1"/>
  <c r="GC154" i="1"/>
  <c r="GD154" i="1" s="1"/>
  <c r="GE154" i="1" s="1"/>
  <c r="GC2" i="1"/>
  <c r="GD2" i="1" s="1"/>
  <c r="GE2" i="1" s="1"/>
  <c r="GC250" i="1"/>
  <c r="GD250" i="1" s="1"/>
  <c r="GE250" i="1" s="1"/>
  <c r="GC186" i="1"/>
  <c r="GD186" i="1" s="1"/>
  <c r="GE186" i="1" s="1"/>
  <c r="GC66" i="1"/>
  <c r="GD66" i="1" s="1"/>
  <c r="GE66" i="1" s="1"/>
  <c r="FN42" i="1"/>
  <c r="FO42" i="1" s="1"/>
  <c r="FP42" i="1" s="1"/>
  <c r="FN150" i="1"/>
  <c r="FZ150" i="1" s="1"/>
  <c r="FN6" i="1"/>
  <c r="GA6" i="1" s="1"/>
  <c r="FN177" i="1"/>
  <c r="FO177" i="1" s="1"/>
  <c r="EC87" i="1"/>
  <c r="ER87" i="1" s="1"/>
  <c r="FA87" i="1" s="1"/>
  <c r="EC272" i="1"/>
  <c r="ER272" i="1" s="1"/>
  <c r="FA272" i="1" s="1"/>
  <c r="EC181" i="1"/>
  <c r="ER181" i="1" s="1"/>
  <c r="FA181" i="1" s="1"/>
  <c r="FC181" i="1" s="1"/>
  <c r="EC103" i="1"/>
  <c r="ER103" i="1" s="1"/>
  <c r="FA103" i="1" s="1"/>
  <c r="EC96" i="1"/>
  <c r="ER96" i="1" s="1"/>
  <c r="FA96" i="1" s="1"/>
  <c r="FC96" i="1" s="1"/>
  <c r="EC294" i="1"/>
  <c r="ER294" i="1" s="1"/>
  <c r="FA294" i="1" s="1"/>
  <c r="FC294" i="1" s="1"/>
  <c r="EC215" i="1"/>
  <c r="ER215" i="1" s="1"/>
  <c r="FA215" i="1" s="1"/>
  <c r="EC6" i="1"/>
  <c r="ER6" i="1" s="1"/>
  <c r="FA6" i="1" s="1"/>
  <c r="FC6" i="1" s="1"/>
  <c r="EC53" i="1"/>
  <c r="ER53" i="1" s="1"/>
  <c r="FA53" i="1" s="1"/>
  <c r="EC289" i="1"/>
  <c r="ER289" i="1" s="1"/>
  <c r="FA289" i="1" s="1"/>
  <c r="FC289" i="1" s="1"/>
  <c r="EC45" i="1"/>
  <c r="ER45" i="1" s="1"/>
  <c r="FA45" i="1" s="1"/>
  <c r="EC49" i="1"/>
  <c r="ER49" i="1" s="1"/>
  <c r="FA49" i="1" s="1"/>
  <c r="FC49" i="1" s="1"/>
  <c r="EC161" i="1"/>
  <c r="ER161" i="1" s="1"/>
  <c r="FA161" i="1" s="1"/>
  <c r="FC161" i="1" s="1"/>
  <c r="EC5" i="1"/>
  <c r="ER5" i="1" s="1"/>
  <c r="FA5" i="1" s="1"/>
  <c r="FC5" i="1" s="1"/>
  <c r="EC141" i="1"/>
  <c r="ER141" i="1" s="1"/>
  <c r="FA141" i="1" s="1"/>
  <c r="GC55" i="1"/>
  <c r="GC215" i="1"/>
  <c r="GC136" i="1"/>
  <c r="GB240" i="1"/>
  <c r="GC15" i="1"/>
  <c r="GB193" i="1"/>
  <c r="GC8" i="1"/>
  <c r="GC24" i="1"/>
  <c r="GC239" i="1"/>
  <c r="GC270" i="1"/>
  <c r="GC49" i="1"/>
  <c r="GC230" i="1"/>
  <c r="GC232" i="1"/>
  <c r="GC229" i="1"/>
  <c r="GC262" i="1"/>
  <c r="GC92" i="1"/>
  <c r="EC192" i="1"/>
  <c r="ER192" i="1" s="1"/>
  <c r="FA192" i="1" s="1"/>
  <c r="FC192" i="1" s="1"/>
  <c r="GC101" i="1"/>
  <c r="GC264" i="1"/>
  <c r="GB291" i="1"/>
  <c r="GC199" i="1"/>
  <c r="GC294" i="1"/>
  <c r="GC87" i="1"/>
  <c r="GC14" i="1"/>
  <c r="GC157" i="1"/>
  <c r="GC119" i="1"/>
  <c r="GC46" i="1"/>
  <c r="GC251" i="1"/>
  <c r="GC182" i="1"/>
  <c r="GC23" i="1"/>
  <c r="GC128" i="1"/>
  <c r="GC276" i="1"/>
  <c r="GC219" i="1"/>
  <c r="GC47" i="1"/>
  <c r="GC228" i="1"/>
  <c r="GC289" i="1"/>
  <c r="GC96" i="1"/>
  <c r="GC172" i="1"/>
  <c r="GC217" i="1"/>
  <c r="GB40" i="1"/>
  <c r="GC80" i="1"/>
  <c r="GC279" i="1"/>
  <c r="GC284" i="1"/>
  <c r="GC19" i="1"/>
  <c r="GC160" i="1"/>
  <c r="GC241" i="1"/>
  <c r="GC54" i="1"/>
  <c r="GC211" i="1"/>
  <c r="GC39" i="1"/>
  <c r="GC189" i="1"/>
  <c r="GC124" i="1"/>
  <c r="GB115" i="1"/>
  <c r="GC208" i="1"/>
  <c r="GC299" i="1"/>
  <c r="GC108" i="1"/>
  <c r="FZ115" i="1"/>
  <c r="GA115" i="1" s="1"/>
  <c r="FO115" i="1"/>
  <c r="GA2" i="1"/>
  <c r="FZ2" i="1"/>
  <c r="FO2" i="1"/>
  <c r="GA262" i="1"/>
  <c r="FZ262" i="1"/>
  <c r="FO262" i="1"/>
  <c r="FZ277" i="1"/>
  <c r="GA200" i="1"/>
  <c r="FZ200" i="1"/>
  <c r="FO200" i="1"/>
  <c r="FZ186" i="1"/>
  <c r="GA186" i="1"/>
  <c r="FO186" i="1"/>
  <c r="GA92" i="1"/>
  <c r="FZ92" i="1"/>
  <c r="FO92" i="1"/>
  <c r="FZ154" i="1"/>
  <c r="GA154" i="1"/>
  <c r="FO154" i="1"/>
  <c r="GA229" i="1"/>
  <c r="FZ229" i="1"/>
  <c r="FO229" i="1"/>
  <c r="FZ291" i="1"/>
  <c r="GA291" i="1" s="1"/>
  <c r="FO291" i="1"/>
  <c r="GA272" i="1"/>
  <c r="FZ272" i="1"/>
  <c r="FO272" i="1"/>
  <c r="FZ241" i="1"/>
  <c r="GA241" i="1"/>
  <c r="FO241" i="1"/>
  <c r="GA294" i="1"/>
  <c r="FZ294" i="1"/>
  <c r="FO294" i="1"/>
  <c r="GA87" i="1"/>
  <c r="FZ87" i="1"/>
  <c r="FO87" i="1"/>
  <c r="FZ195" i="1"/>
  <c r="GA195" i="1" s="1"/>
  <c r="FO195" i="1"/>
  <c r="FO113" i="1"/>
  <c r="GA14" i="1"/>
  <c r="FZ14" i="1"/>
  <c r="FO14" i="1"/>
  <c r="FP14" i="1" s="1"/>
  <c r="GA46" i="1"/>
  <c r="FZ46" i="1"/>
  <c r="FO46" i="1"/>
  <c r="GA251" i="1"/>
  <c r="FZ251" i="1"/>
  <c r="FO251" i="1"/>
  <c r="GA23" i="1"/>
  <c r="FZ23" i="1"/>
  <c r="FO23" i="1"/>
  <c r="GA276" i="1"/>
  <c r="FZ276" i="1"/>
  <c r="FO276" i="1"/>
  <c r="GA219" i="1"/>
  <c r="FZ219" i="1"/>
  <c r="FO219" i="1"/>
  <c r="GA47" i="1"/>
  <c r="FZ47" i="1"/>
  <c r="FO47" i="1"/>
  <c r="FZ29" i="1"/>
  <c r="GA29" i="1" s="1"/>
  <c r="FO29" i="1"/>
  <c r="GA279" i="1"/>
  <c r="FZ279" i="1"/>
  <c r="FO279" i="1"/>
  <c r="FZ274" i="1"/>
  <c r="GA274" i="1"/>
  <c r="FO274" i="1"/>
  <c r="FU274" i="1" s="1"/>
  <c r="FV274" i="1" s="1"/>
  <c r="GA284" i="1"/>
  <c r="FZ284" i="1"/>
  <c r="FO284" i="1"/>
  <c r="GA19" i="1"/>
  <c r="FZ19" i="1"/>
  <c r="FO19" i="1"/>
  <c r="GA119" i="1"/>
  <c r="FZ119" i="1"/>
  <c r="FO119" i="1"/>
  <c r="GA172" i="1"/>
  <c r="FZ172" i="1"/>
  <c r="FO172" i="1"/>
  <c r="GA211" i="1"/>
  <c r="FZ211" i="1"/>
  <c r="FO211" i="1"/>
  <c r="FZ66" i="1"/>
  <c r="GA66" i="1"/>
  <c r="FO66" i="1"/>
  <c r="GA189" i="1"/>
  <c r="FZ189" i="1"/>
  <c r="FO189" i="1"/>
  <c r="FP189" i="1" s="1"/>
  <c r="GA124" i="1"/>
  <c r="FZ124" i="1"/>
  <c r="FO124" i="1"/>
  <c r="GA157" i="1"/>
  <c r="FZ157" i="1"/>
  <c r="FO157" i="1"/>
  <c r="GA299" i="1"/>
  <c r="FZ299" i="1"/>
  <c r="FO299" i="1"/>
  <c r="GA108" i="1"/>
  <c r="FZ108" i="1"/>
  <c r="FO108" i="1"/>
  <c r="FZ250" i="1"/>
  <c r="GA250" i="1"/>
  <c r="FO250" i="1"/>
  <c r="FZ203" i="1"/>
  <c r="GA203" i="1" s="1"/>
  <c r="FO203" i="1"/>
  <c r="EC150" i="1"/>
  <c r="ER150" i="1" s="1"/>
  <c r="FA150" i="1" s="1"/>
  <c r="FC150" i="1" s="1"/>
  <c r="GA54" i="1"/>
  <c r="FZ54" i="1"/>
  <c r="FO54" i="1"/>
  <c r="GA270" i="1"/>
  <c r="FZ270" i="1"/>
  <c r="FO270" i="1"/>
  <c r="FZ217" i="1"/>
  <c r="GA217" i="1"/>
  <c r="FO217" i="1"/>
  <c r="FZ40" i="1"/>
  <c r="GA40" i="1" s="1"/>
  <c r="FO40" i="1"/>
  <c r="GA15" i="1"/>
  <c r="FZ15" i="1"/>
  <c r="FO15" i="1"/>
  <c r="GA182" i="1"/>
  <c r="FZ182" i="1"/>
  <c r="FO182" i="1"/>
  <c r="GA230" i="1"/>
  <c r="FZ230" i="1"/>
  <c r="FO230" i="1"/>
  <c r="FZ24" i="1"/>
  <c r="GA24" i="1"/>
  <c r="FO24" i="1"/>
  <c r="FZ128" i="1"/>
  <c r="GA128" i="1"/>
  <c r="FO128" i="1"/>
  <c r="GA293" i="1"/>
  <c r="FZ293" i="1"/>
  <c r="FO293" i="1"/>
  <c r="EC209" i="1"/>
  <c r="ER209" i="1" s="1"/>
  <c r="FA209" i="1" s="1"/>
  <c r="EC15" i="1"/>
  <c r="ER15" i="1" s="1"/>
  <c r="FA15" i="1" s="1"/>
  <c r="EC122" i="1"/>
  <c r="ER122" i="1" s="1"/>
  <c r="FA122" i="1" s="1"/>
  <c r="FC122" i="1" s="1"/>
  <c r="EC234" i="1"/>
  <c r="ER234" i="1" s="1"/>
  <c r="FA234" i="1" s="1"/>
  <c r="EC60" i="1"/>
  <c r="ER60" i="1" s="1"/>
  <c r="FA60" i="1" s="1"/>
  <c r="EC23" i="1"/>
  <c r="ER23" i="1" s="1"/>
  <c r="FA23" i="1" s="1"/>
  <c r="FC23" i="1" s="1"/>
  <c r="EC160" i="1"/>
  <c r="ER160" i="1" s="1"/>
  <c r="FA160" i="1" s="1"/>
  <c r="GA213" i="1"/>
  <c r="FZ213" i="1"/>
  <c r="FO213" i="1"/>
  <c r="FZ255" i="1"/>
  <c r="GA255" i="1" s="1"/>
  <c r="FO255" i="1"/>
  <c r="FZ145" i="1"/>
  <c r="GA145" i="1"/>
  <c r="FO145" i="1"/>
  <c r="FU145" i="1" s="1"/>
  <c r="FV145" i="1" s="1"/>
  <c r="FZ193" i="1"/>
  <c r="GA193" i="1" s="1"/>
  <c r="FO193" i="1"/>
  <c r="GA101" i="1"/>
  <c r="FZ101" i="1"/>
  <c r="FO101" i="1"/>
  <c r="GA264" i="1"/>
  <c r="FZ264" i="1"/>
  <c r="FO264" i="1"/>
  <c r="GA55" i="1"/>
  <c r="FZ55" i="1"/>
  <c r="FO55" i="1"/>
  <c r="FZ80" i="1"/>
  <c r="GA80" i="1"/>
  <c r="FO80" i="1"/>
  <c r="FZ8" i="1"/>
  <c r="GA8" i="1"/>
  <c r="FO8" i="1"/>
  <c r="GA228" i="1"/>
  <c r="FZ228" i="1"/>
  <c r="FO228" i="1"/>
  <c r="GA109" i="1"/>
  <c r="FZ109" i="1"/>
  <c r="FO109" i="1"/>
  <c r="FZ140" i="1"/>
  <c r="GA11" i="1"/>
  <c r="FZ11" i="1"/>
  <c r="EC184" i="1"/>
  <c r="ER184" i="1" s="1"/>
  <c r="FA184" i="1" s="1"/>
  <c r="FC184" i="1" s="1"/>
  <c r="EC142" i="1"/>
  <c r="ER142" i="1" s="1"/>
  <c r="FA142" i="1" s="1"/>
  <c r="FC142" i="1" s="1"/>
  <c r="FZ289" i="1"/>
  <c r="GA289" i="1"/>
  <c r="FO289" i="1"/>
  <c r="GA208" i="1"/>
  <c r="FZ208" i="1"/>
  <c r="FO208" i="1"/>
  <c r="FZ96" i="1"/>
  <c r="GA96" i="1"/>
  <c r="FO96" i="1"/>
  <c r="FZ49" i="1"/>
  <c r="GA49" i="1"/>
  <c r="FO49" i="1"/>
  <c r="FZ240" i="1"/>
  <c r="GA240" i="1" s="1"/>
  <c r="FO240" i="1"/>
  <c r="GA199" i="1"/>
  <c r="FZ199" i="1"/>
  <c r="FO199" i="1"/>
  <c r="GA39" i="1"/>
  <c r="FZ39" i="1"/>
  <c r="FO39" i="1"/>
  <c r="FP39" i="1" s="1"/>
  <c r="GA232" i="1"/>
  <c r="FZ232" i="1"/>
  <c r="FO232" i="1"/>
  <c r="GA239" i="1"/>
  <c r="FZ239" i="1"/>
  <c r="FO239" i="1"/>
  <c r="GA215" i="1"/>
  <c r="FZ215" i="1"/>
  <c r="FO215" i="1"/>
  <c r="FP215" i="1" s="1"/>
  <c r="FZ136" i="1"/>
  <c r="GA136" i="1"/>
  <c r="FO136" i="1"/>
  <c r="EC253" i="1"/>
  <c r="ER253" i="1" s="1"/>
  <c r="FA253" i="1" s="1"/>
  <c r="FC253" i="1" s="1"/>
  <c r="EC112" i="1"/>
  <c r="ER112" i="1" s="1"/>
  <c r="FA112" i="1" s="1"/>
  <c r="FC112" i="1" s="1"/>
  <c r="EC134" i="1"/>
  <c r="ER134" i="1" s="1"/>
  <c r="FA134" i="1" s="1"/>
  <c r="FC134" i="1" s="1"/>
  <c r="EC38" i="1"/>
  <c r="ER38" i="1" s="1"/>
  <c r="FA38" i="1" s="1"/>
  <c r="FC38" i="1" s="1"/>
  <c r="EC27" i="1"/>
  <c r="ER27" i="1" s="1"/>
  <c r="FA27" i="1" s="1"/>
  <c r="EC92" i="1"/>
  <c r="ER92" i="1" s="1"/>
  <c r="FA92" i="1" s="1"/>
  <c r="EC98" i="1"/>
  <c r="ER98" i="1" s="1"/>
  <c r="FA98" i="1" s="1"/>
  <c r="FC98" i="1" s="1"/>
  <c r="EC129" i="1"/>
  <c r="ER129" i="1" s="1"/>
  <c r="FA129" i="1" s="1"/>
  <c r="FC129" i="1" s="1"/>
  <c r="EC295" i="1"/>
  <c r="ER295" i="1" s="1"/>
  <c r="FA295" i="1" s="1"/>
  <c r="FC295" i="1" s="1"/>
  <c r="EC252" i="1"/>
  <c r="ER252" i="1" s="1"/>
  <c r="FA252" i="1" s="1"/>
  <c r="FC252" i="1" s="1"/>
  <c r="EC191" i="1"/>
  <c r="ER191" i="1" s="1"/>
  <c r="FA191" i="1" s="1"/>
  <c r="EC186" i="1"/>
  <c r="ER186" i="1" s="1"/>
  <c r="FA186" i="1" s="1"/>
  <c r="FC186" i="1" s="1"/>
  <c r="EC238" i="1"/>
  <c r="ER238" i="1" s="1"/>
  <c r="FA238" i="1" s="1"/>
  <c r="FC238" i="1" s="1"/>
  <c r="EC88" i="1"/>
  <c r="ER88" i="1" s="1"/>
  <c r="FA88" i="1" s="1"/>
  <c r="FC88" i="1" s="1"/>
  <c r="EC70" i="1"/>
  <c r="ER70" i="1" s="1"/>
  <c r="FA70" i="1" s="1"/>
  <c r="FC70" i="1" s="1"/>
  <c r="EC219" i="1"/>
  <c r="ER219" i="1" s="1"/>
  <c r="FA219" i="1" s="1"/>
  <c r="EC120" i="1"/>
  <c r="ER120" i="1" s="1"/>
  <c r="FA120" i="1" s="1"/>
  <c r="FC120" i="1" s="1"/>
  <c r="EC131" i="1"/>
  <c r="ER131" i="1" s="1"/>
  <c r="FA131" i="1" s="1"/>
  <c r="FC131" i="1" s="1"/>
  <c r="EC48" i="1"/>
  <c r="ER48" i="1" s="1"/>
  <c r="FA48" i="1" s="1"/>
  <c r="EC290" i="1"/>
  <c r="ER290" i="1" s="1"/>
  <c r="FA290" i="1" s="1"/>
  <c r="FC290" i="1" s="1"/>
  <c r="EC208" i="1"/>
  <c r="ER208" i="1" s="1"/>
  <c r="FA208" i="1" s="1"/>
  <c r="FC208" i="1" s="1"/>
  <c r="EC296" i="1"/>
  <c r="ER296" i="1" s="1"/>
  <c r="FA296" i="1" s="1"/>
  <c r="FC296" i="1" s="1"/>
  <c r="EC29" i="1"/>
  <c r="ER29" i="1" s="1"/>
  <c r="FA29" i="1" s="1"/>
  <c r="FC29" i="1" s="1"/>
  <c r="EC297" i="1"/>
  <c r="ER297" i="1" s="1"/>
  <c r="FA297" i="1" s="1"/>
  <c r="EC94" i="1"/>
  <c r="ER94" i="1" s="1"/>
  <c r="FA94" i="1" s="1"/>
  <c r="FC94" i="1" s="1"/>
  <c r="EC291" i="1"/>
  <c r="ER291" i="1" s="1"/>
  <c r="FA291" i="1" s="1"/>
  <c r="EC152" i="1"/>
  <c r="ER152" i="1" s="1"/>
  <c r="FA152" i="1" s="1"/>
  <c r="EC86" i="1"/>
  <c r="ER86" i="1" s="1"/>
  <c r="FA86" i="1" s="1"/>
  <c r="FC86" i="1" s="1"/>
  <c r="EC12" i="1"/>
  <c r="ER12" i="1" s="1"/>
  <c r="FA12" i="1" s="1"/>
  <c r="FC12" i="1" s="1"/>
  <c r="EC204" i="1"/>
  <c r="ER204" i="1" s="1"/>
  <c r="FA204" i="1" s="1"/>
  <c r="FC204" i="1" s="1"/>
  <c r="EC206" i="1"/>
  <c r="ER206" i="1" s="1"/>
  <c r="FA206" i="1" s="1"/>
  <c r="EC264" i="1"/>
  <c r="ER264" i="1" s="1"/>
  <c r="FA264" i="1" s="1"/>
  <c r="FC264" i="1" s="1"/>
  <c r="EC236" i="1"/>
  <c r="ER236" i="1" s="1"/>
  <c r="FA236" i="1" s="1"/>
  <c r="FC236" i="1" s="1"/>
  <c r="EC279" i="1"/>
  <c r="ER279" i="1" s="1"/>
  <c r="FA279" i="1" s="1"/>
  <c r="FC279" i="1" s="1"/>
  <c r="EC144" i="1"/>
  <c r="ER144" i="1" s="1"/>
  <c r="FA144" i="1" s="1"/>
  <c r="FC144" i="1" s="1"/>
  <c r="EC114" i="1"/>
  <c r="ER114" i="1" s="1"/>
  <c r="FA114" i="1" s="1"/>
  <c r="FC114" i="1" s="1"/>
  <c r="EC282" i="1"/>
  <c r="ER282" i="1" s="1"/>
  <c r="FA282" i="1" s="1"/>
  <c r="EC90" i="1"/>
  <c r="ER90" i="1" s="1"/>
  <c r="FA90" i="1" s="1"/>
  <c r="FC90" i="1" s="1"/>
  <c r="EC164" i="1"/>
  <c r="ER164" i="1" s="1"/>
  <c r="FA164" i="1" s="1"/>
  <c r="FC164" i="1" s="1"/>
  <c r="EC151" i="1"/>
  <c r="ER151" i="1" s="1"/>
  <c r="FA151" i="1" s="1"/>
  <c r="EC101" i="1"/>
  <c r="ER101" i="1" s="1"/>
  <c r="FA101" i="1" s="1"/>
  <c r="FC101" i="1" s="1"/>
  <c r="EC62" i="1"/>
  <c r="ER62" i="1" s="1"/>
  <c r="FA62" i="1" s="1"/>
  <c r="FC62" i="1" s="1"/>
  <c r="EC66" i="1"/>
  <c r="ER66" i="1" s="1"/>
  <c r="FA66" i="1" s="1"/>
  <c r="FC66" i="1" s="1"/>
  <c r="EC288" i="1"/>
  <c r="ER288" i="1" s="1"/>
  <c r="FA288" i="1" s="1"/>
  <c r="FC288" i="1" s="1"/>
  <c r="EC19" i="1"/>
  <c r="ER19" i="1" s="1"/>
  <c r="FA19" i="1" s="1"/>
  <c r="FC19" i="1" s="1"/>
  <c r="EC42" i="1"/>
  <c r="ER42" i="1" s="1"/>
  <c r="FA42" i="1" s="1"/>
  <c r="FC42" i="1" s="1"/>
  <c r="EC281" i="1"/>
  <c r="ER281" i="1" s="1"/>
  <c r="FA281" i="1" s="1"/>
  <c r="EC211" i="1"/>
  <c r="ER211" i="1" s="1"/>
  <c r="FA211" i="1" s="1"/>
  <c r="FC211" i="1" s="1"/>
  <c r="EC227" i="1"/>
  <c r="ER227" i="1" s="1"/>
  <c r="FA227" i="1" s="1"/>
  <c r="FC227" i="1" s="1"/>
  <c r="EC165" i="1"/>
  <c r="ER165" i="1" s="1"/>
  <c r="FA165" i="1" s="1"/>
  <c r="FC165" i="1" s="1"/>
  <c r="EC202" i="1"/>
  <c r="ER202" i="1" s="1"/>
  <c r="FA202" i="1" s="1"/>
  <c r="EC229" i="1"/>
  <c r="ER229" i="1" s="1"/>
  <c r="FA229" i="1" s="1"/>
  <c r="FC229" i="1" s="1"/>
  <c r="EC68" i="1"/>
  <c r="ER68" i="1" s="1"/>
  <c r="FA68" i="1" s="1"/>
  <c r="FC68" i="1" s="1"/>
  <c r="EC117" i="1"/>
  <c r="ER117" i="1" s="1"/>
  <c r="FA117" i="1" s="1"/>
  <c r="FC117" i="1" s="1"/>
  <c r="EC82" i="1"/>
  <c r="ER82" i="1" s="1"/>
  <c r="FA82" i="1" s="1"/>
  <c r="EC265" i="1"/>
  <c r="ER265" i="1" s="1"/>
  <c r="FA265" i="1" s="1"/>
  <c r="FC265" i="1" s="1"/>
  <c r="FB146" i="1"/>
  <c r="FB145" i="1"/>
  <c r="FB4" i="1"/>
  <c r="FB179" i="1"/>
  <c r="FB267" i="1"/>
  <c r="FB284" i="1"/>
  <c r="FB40" i="1"/>
  <c r="FB157" i="1"/>
  <c r="FB182" i="1"/>
  <c r="FB163" i="1"/>
  <c r="FB36" i="1"/>
  <c r="FB61" i="1"/>
  <c r="FB137" i="1"/>
  <c r="FB78" i="1"/>
  <c r="FB14" i="1"/>
  <c r="FB193" i="1"/>
  <c r="FB199" i="1"/>
  <c r="FB34" i="1"/>
  <c r="FB212" i="1"/>
  <c r="FB123" i="1"/>
  <c r="FB224" i="1"/>
  <c r="FB239" i="1"/>
  <c r="FB136" i="1"/>
  <c r="FB275" i="1"/>
  <c r="FB7" i="1"/>
  <c r="FB100" i="1"/>
  <c r="FB55" i="1"/>
  <c r="FB20" i="1"/>
  <c r="FB153" i="1"/>
  <c r="EC249" i="1"/>
  <c r="ER249" i="1" s="1"/>
  <c r="FA249" i="1" s="1"/>
  <c r="FC249" i="1" s="1"/>
  <c r="EC298" i="1"/>
  <c r="ER298" i="1" s="1"/>
  <c r="FA298" i="1" s="1"/>
  <c r="FC298" i="1" s="1"/>
  <c r="EC195" i="1"/>
  <c r="ER195" i="1" s="1"/>
  <c r="FA195" i="1" s="1"/>
  <c r="FC195" i="1" s="1"/>
  <c r="EC205" i="1"/>
  <c r="ER205" i="1" s="1"/>
  <c r="FA205" i="1" s="1"/>
  <c r="FC205" i="1" s="1"/>
  <c r="EC57" i="1"/>
  <c r="ER57" i="1" s="1"/>
  <c r="FA57" i="1" s="1"/>
  <c r="FC57" i="1" s="1"/>
  <c r="EC276" i="1"/>
  <c r="ER276" i="1" s="1"/>
  <c r="FA276" i="1" s="1"/>
  <c r="FC276" i="1" s="1"/>
  <c r="EC119" i="1"/>
  <c r="ER119" i="1" s="1"/>
  <c r="FA119" i="1" s="1"/>
  <c r="FC119" i="1" s="1"/>
  <c r="EC102" i="1"/>
  <c r="ER102" i="1" s="1"/>
  <c r="FA102" i="1" s="1"/>
  <c r="FC102" i="1" s="1"/>
  <c r="EC8" i="1"/>
  <c r="ER8" i="1" s="1"/>
  <c r="FA8" i="1" s="1"/>
  <c r="FC8" i="1" s="1"/>
  <c r="EC18" i="1"/>
  <c r="ER18" i="1" s="1"/>
  <c r="FA18" i="1" s="1"/>
  <c r="FC18" i="1" s="1"/>
  <c r="EC17" i="1"/>
  <c r="ER17" i="1" s="1"/>
  <c r="FA17" i="1" s="1"/>
  <c r="FC17" i="1" s="1"/>
  <c r="EC243" i="1"/>
  <c r="ER243" i="1" s="1"/>
  <c r="FA243" i="1" s="1"/>
  <c r="FC243" i="1" s="1"/>
  <c r="EC107" i="1"/>
  <c r="ER107" i="1" s="1"/>
  <c r="FA107" i="1" s="1"/>
  <c r="FC107" i="1" s="1"/>
  <c r="EC51" i="1"/>
  <c r="ER51" i="1" s="1"/>
  <c r="FA51" i="1" s="1"/>
  <c r="FC51" i="1" s="1"/>
  <c r="EC231" i="1"/>
  <c r="ER231" i="1" s="1"/>
  <c r="FA231" i="1" s="1"/>
  <c r="FC231" i="1" s="1"/>
  <c r="EC43" i="1"/>
  <c r="ER43" i="1" s="1"/>
  <c r="FA43" i="1" s="1"/>
  <c r="FC43" i="1" s="1"/>
  <c r="EC254" i="1"/>
  <c r="ER254" i="1" s="1"/>
  <c r="FA254" i="1" s="1"/>
  <c r="FC254" i="1" s="1"/>
  <c r="EC190" i="1"/>
  <c r="ER190" i="1" s="1"/>
  <c r="FA190" i="1" s="1"/>
  <c r="FC190" i="1" s="1"/>
  <c r="EC50" i="1"/>
  <c r="ER50" i="1" s="1"/>
  <c r="FA50" i="1" s="1"/>
  <c r="FC50" i="1" s="1"/>
  <c r="EC196" i="1"/>
  <c r="ER196" i="1" s="1"/>
  <c r="FA196" i="1" s="1"/>
  <c r="FC196" i="1" s="1"/>
  <c r="EC154" i="1"/>
  <c r="ER154" i="1" s="1"/>
  <c r="FA154" i="1" s="1"/>
  <c r="FC154" i="1" s="1"/>
  <c r="EC47" i="1"/>
  <c r="ER47" i="1" s="1"/>
  <c r="FA47" i="1" s="1"/>
  <c r="FC47" i="1" s="1"/>
  <c r="EC278" i="1"/>
  <c r="ER278" i="1" s="1"/>
  <c r="FA278" i="1" s="1"/>
  <c r="FC278" i="1" s="1"/>
  <c r="EC95" i="1"/>
  <c r="ER95" i="1" s="1"/>
  <c r="FA95" i="1" s="1"/>
  <c r="FC95" i="1" s="1"/>
  <c r="EC37" i="1"/>
  <c r="ER37" i="1" s="1"/>
  <c r="FA37" i="1" s="1"/>
  <c r="FC37" i="1" s="1"/>
  <c r="EC293" i="1"/>
  <c r="ER293" i="1" s="1"/>
  <c r="FA293" i="1" s="1"/>
  <c r="FC293" i="1" s="1"/>
  <c r="EC121" i="1"/>
  <c r="ER121" i="1" s="1"/>
  <c r="FA121" i="1" s="1"/>
  <c r="FC121" i="1" s="1"/>
  <c r="EC269" i="1"/>
  <c r="ER269" i="1" s="1"/>
  <c r="FA269" i="1" s="1"/>
  <c r="FC269" i="1" s="1"/>
  <c r="EC270" i="1"/>
  <c r="ER270" i="1" s="1"/>
  <c r="FA270" i="1" s="1"/>
  <c r="FC270" i="1" s="1"/>
  <c r="EC177" i="1"/>
  <c r="ER177" i="1" s="1"/>
  <c r="FA177" i="1" s="1"/>
  <c r="FC177" i="1" s="1"/>
  <c r="EC108" i="1"/>
  <c r="ER108" i="1" s="1"/>
  <c r="FA108" i="1" s="1"/>
  <c r="FC108" i="1" s="1"/>
  <c r="EC174" i="1"/>
  <c r="ER174" i="1" s="1"/>
  <c r="FA174" i="1" s="1"/>
  <c r="FC174" i="1" s="1"/>
  <c r="EC138" i="1"/>
  <c r="ER138" i="1" s="1"/>
  <c r="FA138" i="1" s="1"/>
  <c r="FC138" i="1" s="1"/>
  <c r="EC93" i="1"/>
  <c r="ER93" i="1" s="1"/>
  <c r="FA93" i="1" s="1"/>
  <c r="FC93" i="1" s="1"/>
  <c r="EC213" i="1"/>
  <c r="ER213" i="1" s="1"/>
  <c r="FA213" i="1" s="1"/>
  <c r="FC213" i="1" s="1"/>
  <c r="EC10" i="1"/>
  <c r="ER10" i="1" s="1"/>
  <c r="FA10" i="1" s="1"/>
  <c r="FC10" i="1" s="1"/>
  <c r="EC52" i="1"/>
  <c r="ER52" i="1" s="1"/>
  <c r="FA52" i="1" s="1"/>
  <c r="FC52" i="1" s="1"/>
  <c r="EC259" i="1"/>
  <c r="ER259" i="1" s="1"/>
  <c r="FA259" i="1" s="1"/>
  <c r="FC259" i="1" s="1"/>
  <c r="EC105" i="1"/>
  <c r="ER105" i="1" s="1"/>
  <c r="FA105" i="1" s="1"/>
  <c r="FC105" i="1" s="1"/>
  <c r="EC3" i="1"/>
  <c r="ER3" i="1" s="1"/>
  <c r="FA3" i="1" s="1"/>
  <c r="FC3" i="1" s="1"/>
  <c r="EC198" i="1"/>
  <c r="ER198" i="1" s="1"/>
  <c r="FA198" i="1" s="1"/>
  <c r="FC198" i="1" s="1"/>
  <c r="EC16" i="1"/>
  <c r="ER16" i="1" s="1"/>
  <c r="FA16" i="1" s="1"/>
  <c r="FC16" i="1" s="1"/>
  <c r="EC58" i="1"/>
  <c r="ER58" i="1" s="1"/>
  <c r="FA58" i="1" s="1"/>
  <c r="FC58" i="1" s="1"/>
  <c r="EC247" i="1"/>
  <c r="ER247" i="1" s="1"/>
  <c r="FA247" i="1" s="1"/>
  <c r="FC247" i="1" s="1"/>
  <c r="EC221" i="1"/>
  <c r="ER221" i="1" s="1"/>
  <c r="FA221" i="1" s="1"/>
  <c r="FC221" i="1" s="1"/>
  <c r="EC257" i="1"/>
  <c r="ER257" i="1" s="1"/>
  <c r="FA257" i="1" s="1"/>
  <c r="FC257" i="1" s="1"/>
  <c r="EC271" i="1"/>
  <c r="ER271" i="1" s="1"/>
  <c r="FA271" i="1" s="1"/>
  <c r="FC271" i="1" s="1"/>
  <c r="EC262" i="1"/>
  <c r="ER262" i="1" s="1"/>
  <c r="FA262" i="1" s="1"/>
  <c r="FC262" i="1" s="1"/>
  <c r="EC268" i="1"/>
  <c r="ER268" i="1" s="1"/>
  <c r="FA268" i="1" s="1"/>
  <c r="FC268" i="1" s="1"/>
  <c r="EC133" i="1"/>
  <c r="ER133" i="1" s="1"/>
  <c r="FA133" i="1" s="1"/>
  <c r="FC133" i="1" s="1"/>
  <c r="EC166" i="1"/>
  <c r="ER166" i="1" s="1"/>
  <c r="FA166" i="1" s="1"/>
  <c r="FC166" i="1" s="1"/>
  <c r="EC241" i="1"/>
  <c r="ER241" i="1" s="1"/>
  <c r="FA241" i="1" s="1"/>
  <c r="FC241" i="1" s="1"/>
  <c r="EC217" i="1"/>
  <c r="ER217" i="1" s="1"/>
  <c r="FA217" i="1" s="1"/>
  <c r="FC217" i="1" s="1"/>
  <c r="EC173" i="1"/>
  <c r="ER173" i="1" s="1"/>
  <c r="FA173" i="1" s="1"/>
  <c r="FC173" i="1" s="1"/>
  <c r="EC126" i="1"/>
  <c r="ER126" i="1" s="1"/>
  <c r="FA126" i="1" s="1"/>
  <c r="FC126" i="1" s="1"/>
  <c r="EC283" i="1"/>
  <c r="ER283" i="1" s="1"/>
  <c r="FA283" i="1" s="1"/>
  <c r="FC283" i="1" s="1"/>
  <c r="EC273" i="1"/>
  <c r="ER273" i="1" s="1"/>
  <c r="FA273" i="1" s="1"/>
  <c r="FC273" i="1" s="1"/>
  <c r="EC176" i="1"/>
  <c r="ER176" i="1" s="1"/>
  <c r="FA176" i="1" s="1"/>
  <c r="FC176" i="1" s="1"/>
  <c r="EC32" i="1"/>
  <c r="ER32" i="1" s="1"/>
  <c r="FA32" i="1" s="1"/>
  <c r="FC32" i="1" s="1"/>
  <c r="EC218" i="1"/>
  <c r="ER218" i="1" s="1"/>
  <c r="FA218" i="1" s="1"/>
  <c r="FC218" i="1" s="1"/>
  <c r="EC183" i="1"/>
  <c r="ER183" i="1" s="1"/>
  <c r="FA183" i="1" s="1"/>
  <c r="FC183" i="1" s="1"/>
  <c r="EC188" i="1"/>
  <c r="ER188" i="1" s="1"/>
  <c r="FA188" i="1" s="1"/>
  <c r="FC188" i="1" s="1"/>
  <c r="EC46" i="1"/>
  <c r="ER46" i="1" s="1"/>
  <c r="FA46" i="1" s="1"/>
  <c r="FC46" i="1" s="1"/>
  <c r="EC21" i="1"/>
  <c r="ER21" i="1" s="1"/>
  <c r="FA21" i="1" s="1"/>
  <c r="FC21" i="1" s="1"/>
  <c r="EC260" i="1"/>
  <c r="ER260" i="1" s="1"/>
  <c r="FA260" i="1" s="1"/>
  <c r="FC260" i="1" s="1"/>
  <c r="EC203" i="1"/>
  <c r="ER203" i="1" s="1"/>
  <c r="FA203" i="1" s="1"/>
  <c r="FC203" i="1" s="1"/>
  <c r="EC258" i="1"/>
  <c r="ER258" i="1" s="1"/>
  <c r="FA258" i="1" s="1"/>
  <c r="FC258" i="1" s="1"/>
  <c r="EC237" i="1"/>
  <c r="ER237" i="1" s="1"/>
  <c r="FA237" i="1" s="1"/>
  <c r="FC237" i="1" s="1"/>
  <c r="EC72" i="1"/>
  <c r="ER72" i="1" s="1"/>
  <c r="FA72" i="1" s="1"/>
  <c r="FC72" i="1" s="1"/>
  <c r="EC185" i="1"/>
  <c r="ER185" i="1" s="1"/>
  <c r="FA185" i="1" s="1"/>
  <c r="FC185" i="1" s="1"/>
  <c r="EC11" i="1"/>
  <c r="ER11" i="1" s="1"/>
  <c r="FA11" i="1" s="1"/>
  <c r="FC11" i="1" s="1"/>
  <c r="EC246" i="1"/>
  <c r="ER246" i="1" s="1"/>
  <c r="FA246" i="1" s="1"/>
  <c r="FC246" i="1" s="1"/>
  <c r="EC222" i="1"/>
  <c r="ER222" i="1" s="1"/>
  <c r="FA222" i="1" s="1"/>
  <c r="FC222" i="1" s="1"/>
  <c r="EC187" i="1"/>
  <c r="ER187" i="1" s="1"/>
  <c r="FA187" i="1" s="1"/>
  <c r="FC187" i="1" s="1"/>
  <c r="EC30" i="1"/>
  <c r="ER30" i="1" s="1"/>
  <c r="FA30" i="1" s="1"/>
  <c r="FC30" i="1" s="1"/>
  <c r="EC89" i="1"/>
  <c r="ER89" i="1" s="1"/>
  <c r="FA89" i="1" s="1"/>
  <c r="FC89" i="1" s="1"/>
  <c r="EC201" i="1"/>
  <c r="ER201" i="1" s="1"/>
  <c r="FA201" i="1" s="1"/>
  <c r="FC201" i="1" s="1"/>
  <c r="EC64" i="1"/>
  <c r="ER64" i="1" s="1"/>
  <c r="FA64" i="1" s="1"/>
  <c r="FC64" i="1" s="1"/>
  <c r="EC113" i="1"/>
  <c r="ER113" i="1" s="1"/>
  <c r="FA113" i="1" s="1"/>
  <c r="FC113" i="1" s="1"/>
  <c r="EC97" i="1"/>
  <c r="ER97" i="1" s="1"/>
  <c r="FA97" i="1" s="1"/>
  <c r="FC97" i="1" s="1"/>
  <c r="EC63" i="1"/>
  <c r="ER63" i="1" s="1"/>
  <c r="FA63" i="1" s="1"/>
  <c r="FC63" i="1" s="1"/>
  <c r="EC155" i="1"/>
  <c r="ER155" i="1" s="1"/>
  <c r="FA155" i="1" s="1"/>
  <c r="FC155" i="1" s="1"/>
  <c r="EC139" i="1"/>
  <c r="ER139" i="1" s="1"/>
  <c r="FA139" i="1" s="1"/>
  <c r="FC139" i="1" s="1"/>
  <c r="EC228" i="1"/>
  <c r="ER228" i="1" s="1"/>
  <c r="FA228" i="1" s="1"/>
  <c r="FC228" i="1" s="1"/>
  <c r="EC31" i="1"/>
  <c r="ER31" i="1" s="1"/>
  <c r="FA31" i="1" s="1"/>
  <c r="FC31" i="1" s="1"/>
  <c r="EC216" i="1"/>
  <c r="ER216" i="1" s="1"/>
  <c r="FA216" i="1" s="1"/>
  <c r="FC216" i="1" s="1"/>
  <c r="EC44" i="1"/>
  <c r="ER44" i="1" s="1"/>
  <c r="FA44" i="1" s="1"/>
  <c r="FC44" i="1" s="1"/>
  <c r="EC33" i="1"/>
  <c r="ER33" i="1" s="1"/>
  <c r="FA33" i="1" s="1"/>
  <c r="FC33" i="1" s="1"/>
  <c r="EC235" i="1"/>
  <c r="ER235" i="1" s="1"/>
  <c r="FA235" i="1" s="1"/>
  <c r="FC235" i="1" s="1"/>
  <c r="EC170" i="1"/>
  <c r="ER170" i="1" s="1"/>
  <c r="FA170" i="1" s="1"/>
  <c r="FC170" i="1" s="1"/>
  <c r="EC226" i="1"/>
  <c r="ER226" i="1" s="1"/>
  <c r="FA226" i="1" s="1"/>
  <c r="FC226" i="1" s="1"/>
  <c r="EC69" i="1"/>
  <c r="ER69" i="1" s="1"/>
  <c r="FA69" i="1" s="1"/>
  <c r="FC69" i="1" s="1"/>
  <c r="EC84" i="1"/>
  <c r="ER84" i="1" s="1"/>
  <c r="FA84" i="1" s="1"/>
  <c r="FC84" i="1" s="1"/>
  <c r="EC225" i="1"/>
  <c r="ER225" i="1" s="1"/>
  <c r="FA225" i="1" s="1"/>
  <c r="FC225" i="1" s="1"/>
  <c r="EC24" i="1"/>
  <c r="ER24" i="1" s="1"/>
  <c r="FA24" i="1" s="1"/>
  <c r="FC24" i="1" s="1"/>
  <c r="EC67" i="1"/>
  <c r="ER67" i="1" s="1"/>
  <c r="FA67" i="1" s="1"/>
  <c r="FC67" i="1" s="1"/>
  <c r="EC292" i="1"/>
  <c r="ER292" i="1" s="1"/>
  <c r="FA292" i="1" s="1"/>
  <c r="FC292" i="1" s="1"/>
  <c r="EC148" i="1"/>
  <c r="ER148" i="1" s="1"/>
  <c r="FA148" i="1" s="1"/>
  <c r="FC148" i="1" s="1"/>
  <c r="EC171" i="1"/>
  <c r="ER171" i="1" s="1"/>
  <c r="FA171" i="1" s="1"/>
  <c r="FC171" i="1" s="1"/>
  <c r="EC39" i="1"/>
  <c r="ER39" i="1" s="1"/>
  <c r="FA39" i="1" s="1"/>
  <c r="FC39" i="1" s="1"/>
  <c r="EC140" i="1"/>
  <c r="ER140" i="1" s="1"/>
  <c r="FA140" i="1" s="1"/>
  <c r="FC140" i="1" s="1"/>
  <c r="EC41" i="1"/>
  <c r="ER41" i="1" s="1"/>
  <c r="FA41" i="1" s="1"/>
  <c r="FC41" i="1" s="1"/>
  <c r="EC110" i="1"/>
  <c r="ER110" i="1" s="1"/>
  <c r="FA110" i="1" s="1"/>
  <c r="FC110" i="1" s="1"/>
  <c r="EC79" i="1"/>
  <c r="ER79" i="1" s="1"/>
  <c r="FA79" i="1" s="1"/>
  <c r="FC79" i="1" s="1"/>
  <c r="EC135" i="1"/>
  <c r="ER135" i="1" s="1"/>
  <c r="FA135" i="1" s="1"/>
  <c r="FC135" i="1" s="1"/>
  <c r="EC274" i="1"/>
  <c r="ER274" i="1" s="1"/>
  <c r="FA274" i="1" s="1"/>
  <c r="FC274" i="1" s="1"/>
  <c r="EC169" i="1"/>
  <c r="ER169" i="1" s="1"/>
  <c r="FA169" i="1" s="1"/>
  <c r="FC169" i="1" s="1"/>
  <c r="EC116" i="1"/>
  <c r="ER116" i="1" s="1"/>
  <c r="FA116" i="1" s="1"/>
  <c r="FC116" i="1" s="1"/>
  <c r="EC73" i="1"/>
  <c r="ER73" i="1" s="1"/>
  <c r="FA73" i="1" s="1"/>
  <c r="FC73" i="1" s="1"/>
  <c r="EC71" i="1"/>
  <c r="ER71" i="1" s="1"/>
  <c r="FA71" i="1" s="1"/>
  <c r="FC71" i="1" s="1"/>
  <c r="EC286" i="1"/>
  <c r="ER286" i="1" s="1"/>
  <c r="FA286" i="1" s="1"/>
  <c r="FC286" i="1" s="1"/>
  <c r="EC26" i="1"/>
  <c r="ER26" i="1" s="1"/>
  <c r="FA26" i="1" s="1"/>
  <c r="FC26" i="1" s="1"/>
  <c r="EC230" i="1"/>
  <c r="ER230" i="1" s="1"/>
  <c r="FA230" i="1" s="1"/>
  <c r="FC230" i="1" s="1"/>
  <c r="EC233" i="1"/>
  <c r="ER233" i="1" s="1"/>
  <c r="FA233" i="1" s="1"/>
  <c r="FC233" i="1" s="1"/>
  <c r="EC158" i="1"/>
  <c r="ER158" i="1" s="1"/>
  <c r="FA158" i="1" s="1"/>
  <c r="FC158" i="1" s="1"/>
  <c r="EC261" i="1"/>
  <c r="ER261" i="1" s="1"/>
  <c r="FA261" i="1" s="1"/>
  <c r="FC261" i="1" s="1"/>
  <c r="EC83" i="1"/>
  <c r="ER83" i="1" s="1"/>
  <c r="FA83" i="1" s="1"/>
  <c r="FC83" i="1" s="1"/>
  <c r="EC77" i="1"/>
  <c r="ER77" i="1" s="1"/>
  <c r="FA77" i="1" s="1"/>
  <c r="FC77" i="1" s="1"/>
  <c r="EC256" i="1"/>
  <c r="ER256" i="1" s="1"/>
  <c r="FA256" i="1" s="1"/>
  <c r="FC256" i="1" s="1"/>
  <c r="EC54" i="1"/>
  <c r="ER54" i="1" s="1"/>
  <c r="FA54" i="1" s="1"/>
  <c r="FC54" i="1" s="1"/>
  <c r="EC214" i="1"/>
  <c r="ER214" i="1" s="1"/>
  <c r="FA214" i="1" s="1"/>
  <c r="FC214" i="1" s="1"/>
  <c r="EC132" i="1"/>
  <c r="ER132" i="1" s="1"/>
  <c r="FA132" i="1" s="1"/>
  <c r="FC132" i="1" s="1"/>
  <c r="EC250" i="1"/>
  <c r="ER250" i="1" s="1"/>
  <c r="FA250" i="1" s="1"/>
  <c r="FC250" i="1" s="1"/>
  <c r="EC125" i="1"/>
  <c r="ER125" i="1" s="1"/>
  <c r="FA125" i="1" s="1"/>
  <c r="FC125" i="1" s="1"/>
  <c r="EC178" i="1"/>
  <c r="ER178" i="1" s="1"/>
  <c r="FA178" i="1" s="1"/>
  <c r="FC178" i="1" s="1"/>
  <c r="EC109" i="1"/>
  <c r="ER109" i="1" s="1"/>
  <c r="FA109" i="1" s="1"/>
  <c r="FC109" i="1" s="1"/>
  <c r="EC285" i="1"/>
  <c r="ER285" i="1" s="1"/>
  <c r="FA285" i="1" s="1"/>
  <c r="FC285" i="1" s="1"/>
  <c r="EC159" i="1"/>
  <c r="ER159" i="1" s="1"/>
  <c r="FA159" i="1" s="1"/>
  <c r="FC159" i="1" s="1"/>
  <c r="EC91" i="1"/>
  <c r="ER91" i="1" s="1"/>
  <c r="FA91" i="1" s="1"/>
  <c r="FC91" i="1" s="1"/>
  <c r="EC111" i="1"/>
  <c r="ER111" i="1" s="1"/>
  <c r="FA111" i="1" s="1"/>
  <c r="FC111" i="1" s="1"/>
  <c r="EC220" i="1"/>
  <c r="ER220" i="1" s="1"/>
  <c r="FA220" i="1" s="1"/>
  <c r="FC220" i="1" s="1"/>
  <c r="EC162" i="1"/>
  <c r="ER162" i="1" s="1"/>
  <c r="FA162" i="1" s="1"/>
  <c r="FC162" i="1" s="1"/>
  <c r="EC22" i="1"/>
  <c r="ER22" i="1" s="1"/>
  <c r="FA22" i="1" s="1"/>
  <c r="FC22" i="1" s="1"/>
  <c r="EC65" i="1"/>
  <c r="ER65" i="1" s="1"/>
  <c r="FA65" i="1" s="1"/>
  <c r="FC65" i="1" s="1"/>
  <c r="EC207" i="1"/>
  <c r="ER207" i="1" s="1"/>
  <c r="FA207" i="1" s="1"/>
  <c r="FC207" i="1" s="1"/>
  <c r="EC106" i="1"/>
  <c r="ER106" i="1" s="1"/>
  <c r="FA106" i="1" s="1"/>
  <c r="FC106" i="1" s="1"/>
  <c r="EC248" i="1"/>
  <c r="ER248" i="1" s="1"/>
  <c r="FA248" i="1" s="1"/>
  <c r="FC248" i="1" s="1"/>
  <c r="EC56" i="1"/>
  <c r="ER56" i="1" s="1"/>
  <c r="FA56" i="1" s="1"/>
  <c r="FC56" i="1" s="1"/>
  <c r="EC124" i="1"/>
  <c r="ER124" i="1" s="1"/>
  <c r="FA124" i="1" s="1"/>
  <c r="FC124" i="1" s="1"/>
  <c r="EC200" i="1"/>
  <c r="ER200" i="1" s="1"/>
  <c r="FA200" i="1" s="1"/>
  <c r="FC200" i="1" s="1"/>
  <c r="EC130" i="1"/>
  <c r="ER130" i="1" s="1"/>
  <c r="FA130" i="1" s="1"/>
  <c r="FC130" i="1" s="1"/>
  <c r="EC76" i="1"/>
  <c r="ER76" i="1" s="1"/>
  <c r="FA76" i="1" s="1"/>
  <c r="FC76" i="1" s="1"/>
  <c r="EC168" i="1"/>
  <c r="ER168" i="1" s="1"/>
  <c r="FA168" i="1" s="1"/>
  <c r="FC168" i="1" s="1"/>
  <c r="EC149" i="1"/>
  <c r="ER149" i="1" s="1"/>
  <c r="FA149" i="1" s="1"/>
  <c r="FC149" i="1" s="1"/>
  <c r="EC223" i="1"/>
  <c r="ER223" i="1" s="1"/>
  <c r="FA223" i="1" s="1"/>
  <c r="FC223" i="1" s="1"/>
  <c r="EC255" i="1"/>
  <c r="ER255" i="1" s="1"/>
  <c r="FA255" i="1" s="1"/>
  <c r="FC255" i="1" s="1"/>
  <c r="EC194" i="1"/>
  <c r="ER194" i="1" s="1"/>
  <c r="FA194" i="1" s="1"/>
  <c r="FC194" i="1" s="1"/>
  <c r="EC210" i="1"/>
  <c r="ER210" i="1" s="1"/>
  <c r="FA210" i="1" s="1"/>
  <c r="FC210" i="1" s="1"/>
  <c r="EC277" i="1"/>
  <c r="ER277" i="1" s="1"/>
  <c r="FA277" i="1" s="1"/>
  <c r="FC277" i="1" s="1"/>
  <c r="EC251" i="1"/>
  <c r="ER251" i="1" s="1"/>
  <c r="FA251" i="1" s="1"/>
  <c r="FC251" i="1" s="1"/>
  <c r="EC175" i="1"/>
  <c r="ER175" i="1" s="1"/>
  <c r="FA175" i="1" s="1"/>
  <c r="FC175" i="1" s="1"/>
  <c r="EC263" i="1"/>
  <c r="ER263" i="1" s="1"/>
  <c r="FA263" i="1" s="1"/>
  <c r="FC263" i="1" s="1"/>
  <c r="EC266" i="1"/>
  <c r="ER266" i="1" s="1"/>
  <c r="FA266" i="1" s="1"/>
  <c r="FC266" i="1" s="1"/>
  <c r="EC127" i="1"/>
  <c r="ER127" i="1" s="1"/>
  <c r="FA127" i="1" s="1"/>
  <c r="FC127" i="1" s="1"/>
  <c r="EC25" i="1"/>
  <c r="ER25" i="1" s="1"/>
  <c r="FA25" i="1" s="1"/>
  <c r="FC25" i="1" s="1"/>
  <c r="EC9" i="1"/>
  <c r="ER9" i="1" s="1"/>
  <c r="FA9" i="1" s="1"/>
  <c r="FC9" i="1" s="1"/>
  <c r="EC299" i="1"/>
  <c r="ER299" i="1" s="1"/>
  <c r="FA299" i="1" s="1"/>
  <c r="FC299" i="1" s="1"/>
  <c r="EC28" i="1"/>
  <c r="ER28" i="1" s="1"/>
  <c r="FA28" i="1" s="1"/>
  <c r="FC28" i="1" s="1"/>
  <c r="EC74" i="1"/>
  <c r="ER74" i="1" s="1"/>
  <c r="FA74" i="1" s="1"/>
  <c r="FC74" i="1" s="1"/>
  <c r="EC59" i="1"/>
  <c r="ER59" i="1" s="1"/>
  <c r="FA59" i="1" s="1"/>
  <c r="FC59" i="1" s="1"/>
  <c r="EC99" i="1"/>
  <c r="ER99" i="1" s="1"/>
  <c r="FA99" i="1" s="1"/>
  <c r="FC99" i="1" s="1"/>
  <c r="EC13" i="1"/>
  <c r="ER13" i="1" s="1"/>
  <c r="FA13" i="1" s="1"/>
  <c r="FC13" i="1" s="1"/>
  <c r="EC189" i="1"/>
  <c r="ER189" i="1" s="1"/>
  <c r="FA189" i="1" s="1"/>
  <c r="FC189" i="1" s="1"/>
  <c r="EC287" i="1"/>
  <c r="ER287" i="1" s="1"/>
  <c r="FA287" i="1" s="1"/>
  <c r="FC287" i="1" s="1"/>
  <c r="EC244" i="1"/>
  <c r="ER244" i="1" s="1"/>
  <c r="FA244" i="1" s="1"/>
  <c r="FC244" i="1" s="1"/>
  <c r="EC280" i="1"/>
  <c r="ER280" i="1" s="1"/>
  <c r="FA280" i="1" s="1"/>
  <c r="FC280" i="1" s="1"/>
  <c r="EC115" i="1"/>
  <c r="ER115" i="1" s="1"/>
  <c r="FA115" i="1" s="1"/>
  <c r="FC115" i="1" s="1"/>
  <c r="EC81" i="1"/>
  <c r="ER81" i="1" s="1"/>
  <c r="FA81" i="1" s="1"/>
  <c r="FC81" i="1" s="1"/>
  <c r="EC147" i="1"/>
  <c r="ER147" i="1" s="1"/>
  <c r="FA147" i="1" s="1"/>
  <c r="FC147" i="1" s="1"/>
  <c r="EC35" i="1"/>
  <c r="ER35" i="1" s="1"/>
  <c r="FA35" i="1" s="1"/>
  <c r="FC35" i="1" s="1"/>
  <c r="EC85" i="1"/>
  <c r="ER85" i="1" s="1"/>
  <c r="FA85" i="1" s="1"/>
  <c r="FC85" i="1" s="1"/>
  <c r="EC245" i="1"/>
  <c r="ER245" i="1" s="1"/>
  <c r="FA245" i="1" s="1"/>
  <c r="FC245" i="1" s="1"/>
  <c r="EC167" i="1"/>
  <c r="ER167" i="1" s="1"/>
  <c r="FA167" i="1" s="1"/>
  <c r="FC167" i="1" s="1"/>
  <c r="EC156" i="1"/>
  <c r="ER156" i="1" s="1"/>
  <c r="FA156" i="1" s="1"/>
  <c r="FC156" i="1" s="1"/>
  <c r="EC80" i="1"/>
  <c r="ER80" i="1" s="1"/>
  <c r="FA80" i="1" s="1"/>
  <c r="FC80" i="1" s="1"/>
  <c r="FS170" i="1" l="1"/>
  <c r="GC170" i="1"/>
  <c r="GD170" i="1" s="1"/>
  <c r="GE170" i="1" s="1"/>
  <c r="FQ265" i="1"/>
  <c r="FR265" i="1" s="1"/>
  <c r="FS265" i="1"/>
  <c r="FU265" i="1"/>
  <c r="FV265" i="1" s="1"/>
  <c r="FS293" i="1"/>
  <c r="GC293" i="1"/>
  <c r="GC68" i="1"/>
  <c r="FS68" i="1"/>
  <c r="FU68" i="1"/>
  <c r="FV68" i="1" s="1"/>
  <c r="FU213" i="1"/>
  <c r="FV213" i="1" s="1"/>
  <c r="FS213" i="1"/>
  <c r="FT213" i="1" s="1"/>
  <c r="FQ213" i="1"/>
  <c r="FR213" i="1" s="1"/>
  <c r="GC213" i="1"/>
  <c r="FQ203" i="1"/>
  <c r="FR203" i="1" s="1"/>
  <c r="FS203" i="1"/>
  <c r="GB203" i="1"/>
  <c r="FQ272" i="1"/>
  <c r="FR272" i="1" s="1"/>
  <c r="FU272" i="1"/>
  <c r="FV272" i="1" s="1"/>
  <c r="FS272" i="1"/>
  <c r="GC272" i="1"/>
  <c r="FZ265" i="1"/>
  <c r="GC265" i="1"/>
  <c r="GA265" i="1"/>
  <c r="FO265" i="1"/>
  <c r="FS255" i="1"/>
  <c r="FQ255" i="1"/>
  <c r="FR255" i="1" s="1"/>
  <c r="GB255" i="1"/>
  <c r="FQ99" i="1"/>
  <c r="FR99" i="1" s="1"/>
  <c r="GC99" i="1"/>
  <c r="FQ120" i="1"/>
  <c r="FR120" i="1" s="1"/>
  <c r="FU120" i="1"/>
  <c r="FV120" i="1" s="1"/>
  <c r="FS120" i="1"/>
  <c r="GC120" i="1"/>
  <c r="FZ120" i="1"/>
  <c r="GA120" i="1"/>
  <c r="FO120" i="1"/>
  <c r="GA236" i="1"/>
  <c r="FZ236" i="1"/>
  <c r="FO236" i="1"/>
  <c r="FS91" i="1"/>
  <c r="FZ91" i="1"/>
  <c r="FO91" i="1"/>
  <c r="FW160" i="1"/>
  <c r="FX160" i="1" s="1"/>
  <c r="FZ160" i="1"/>
  <c r="FO160" i="1"/>
  <c r="FP160" i="1" s="1"/>
  <c r="FQ68" i="1"/>
  <c r="FR68" i="1" s="1"/>
  <c r="GA68" i="1"/>
  <c r="FZ68" i="1"/>
  <c r="FO68" i="1"/>
  <c r="GA267" i="1"/>
  <c r="FZ267" i="1"/>
  <c r="FO267" i="1"/>
  <c r="FU99" i="1"/>
  <c r="FV99" i="1" s="1"/>
  <c r="GA99" i="1"/>
  <c r="FZ99" i="1"/>
  <c r="FO99" i="1"/>
  <c r="GA277" i="1"/>
  <c r="FU277" i="1"/>
  <c r="FV277" i="1" s="1"/>
  <c r="FO277" i="1"/>
  <c r="FQ31" i="1"/>
  <c r="FR31" i="1" s="1"/>
  <c r="FS160" i="1"/>
  <c r="FU170" i="1"/>
  <c r="FV170" i="1" s="1"/>
  <c r="FU91" i="1"/>
  <c r="FV91" i="1" s="1"/>
  <c r="FS31" i="1"/>
  <c r="FT31" i="1" s="1"/>
  <c r="FW282" i="1"/>
  <c r="FX282" i="1" s="1"/>
  <c r="FQ271" i="1"/>
  <c r="FR271" i="1" s="1"/>
  <c r="FS99" i="1"/>
  <c r="GA188" i="1"/>
  <c r="GA226" i="1"/>
  <c r="GA91" i="1"/>
  <c r="GA160" i="1"/>
  <c r="GA140" i="1"/>
  <c r="FO170" i="1"/>
  <c r="FP170" i="1" s="1"/>
  <c r="FQ212" i="1"/>
  <c r="FR212" i="1" s="1"/>
  <c r="FQ91" i="1"/>
  <c r="FR91" i="1" s="1"/>
  <c r="FQ277" i="1"/>
  <c r="FR277" i="1" s="1"/>
  <c r="GA32" i="1"/>
  <c r="GA170" i="1"/>
  <c r="FZ271" i="1"/>
  <c r="GA271" i="1" s="1"/>
  <c r="FS169" i="1"/>
  <c r="FT169" i="1" s="1"/>
  <c r="FO59" i="1"/>
  <c r="FP59" i="1" s="1"/>
  <c r="FO107" i="1"/>
  <c r="FP107" i="1" s="1"/>
  <c r="FO169" i="1"/>
  <c r="FU169" i="1"/>
  <c r="FV169" i="1" s="1"/>
  <c r="GB18" i="1"/>
  <c r="FQ188" i="1"/>
  <c r="FR188" i="1" s="1"/>
  <c r="FZ110" i="1"/>
  <c r="FO225" i="1"/>
  <c r="FP225" i="1" s="1"/>
  <c r="FO21" i="1"/>
  <c r="FP21" i="1" s="1"/>
  <c r="FO117" i="1"/>
  <c r="FP117" i="1" s="1"/>
  <c r="FO37" i="1"/>
  <c r="FP37" i="1" s="1"/>
  <c r="FZ32" i="1"/>
  <c r="FZ117" i="1"/>
  <c r="GA117" i="1" s="1"/>
  <c r="FU32" i="1"/>
  <c r="FV32" i="1" s="1"/>
  <c r="GA149" i="1"/>
  <c r="GB161" i="1"/>
  <c r="FO226" i="1"/>
  <c r="FP226" i="1" s="1"/>
  <c r="FO221" i="1"/>
  <c r="FP221" i="1" s="1"/>
  <c r="GA75" i="1"/>
  <c r="FO62" i="1"/>
  <c r="GC83" i="1"/>
  <c r="GD83" i="1" s="1"/>
  <c r="GE83" i="1" s="1"/>
  <c r="GB21" i="1"/>
  <c r="FB172" i="1"/>
  <c r="FZ37" i="1"/>
  <c r="GA37" i="1" s="1"/>
  <c r="FZ226" i="1"/>
  <c r="FO142" i="1"/>
  <c r="FP142" i="1" s="1"/>
  <c r="FO51" i="1"/>
  <c r="FP51" i="1" s="1"/>
  <c r="FZ107" i="1"/>
  <c r="FZ21" i="1"/>
  <c r="GA21" i="1" s="1"/>
  <c r="GA225" i="1"/>
  <c r="FO161" i="1"/>
  <c r="FP161" i="1" s="1"/>
  <c r="GC51" i="1"/>
  <c r="GD51" i="1" s="1"/>
  <c r="GE51" i="1" s="1"/>
  <c r="FB240" i="1"/>
  <c r="FD240" i="1" s="1"/>
  <c r="FE240" i="1" s="1"/>
  <c r="FF240" i="1" s="1"/>
  <c r="FG240" i="1" s="1"/>
  <c r="FI240" i="1" s="1"/>
  <c r="FO244" i="1"/>
  <c r="FP244" i="1" s="1"/>
  <c r="FO83" i="1"/>
  <c r="FP83" i="1" s="1"/>
  <c r="GA142" i="1"/>
  <c r="FO3" i="1"/>
  <c r="FZ51" i="1"/>
  <c r="FZ225" i="1"/>
  <c r="GA62" i="1"/>
  <c r="FZ161" i="1"/>
  <c r="GA161" i="1" s="1"/>
  <c r="GC149" i="1"/>
  <c r="GD149" i="1" s="1"/>
  <c r="GE149" i="1" s="1"/>
  <c r="GC223" i="1"/>
  <c r="GD223" i="1" s="1"/>
  <c r="GE223" i="1" s="1"/>
  <c r="FQ51" i="1"/>
  <c r="FR51" i="1" s="1"/>
  <c r="FU188" i="1"/>
  <c r="FV188" i="1" s="1"/>
  <c r="FQ222" i="1"/>
  <c r="FR222" i="1" s="1"/>
  <c r="FB180" i="1"/>
  <c r="FZ244" i="1"/>
  <c r="FZ83" i="1"/>
  <c r="FZ235" i="1"/>
  <c r="GA235" i="1" s="1"/>
  <c r="FZ3" i="1"/>
  <c r="FO296" i="1"/>
  <c r="FP296" i="1" s="1"/>
  <c r="GA51" i="1"/>
  <c r="FO105" i="1"/>
  <c r="FP105" i="1" s="1"/>
  <c r="FO79" i="1"/>
  <c r="FP79" i="1" s="1"/>
  <c r="GC62" i="1"/>
  <c r="GD62" i="1" s="1"/>
  <c r="GE62" i="1" s="1"/>
  <c r="GC233" i="1"/>
  <c r="GD233" i="1" s="1"/>
  <c r="GE233" i="1" s="1"/>
  <c r="FQ161" i="1"/>
  <c r="FR161" i="1" s="1"/>
  <c r="FS51" i="1"/>
  <c r="FT51" i="1" s="1"/>
  <c r="GA244" i="1"/>
  <c r="GA83" i="1"/>
  <c r="GA3" i="1"/>
  <c r="FZ98" i="1"/>
  <c r="GA105" i="1"/>
  <c r="FZ79" i="1"/>
  <c r="GC105" i="1"/>
  <c r="GD105" i="1" s="1"/>
  <c r="GE105" i="1" s="1"/>
  <c r="GC225" i="1"/>
  <c r="GD225" i="1" s="1"/>
  <c r="GE225" i="1" s="1"/>
  <c r="GC32" i="1"/>
  <c r="GD32" i="1" s="1"/>
  <c r="GE32" i="1" s="1"/>
  <c r="FZ62" i="1"/>
  <c r="FS188" i="1"/>
  <c r="FT188" i="1" s="1"/>
  <c r="FB242" i="1"/>
  <c r="FO75" i="1"/>
  <c r="FP75" i="1" s="1"/>
  <c r="GA9" i="1"/>
  <c r="FO149" i="1"/>
  <c r="FP149" i="1" s="1"/>
  <c r="FZ105" i="1"/>
  <c r="FO22" i="1"/>
  <c r="FU22" i="1" s="1"/>
  <c r="FV22" i="1" s="1"/>
  <c r="FO188" i="1"/>
  <c r="FP188" i="1" s="1"/>
  <c r="GC110" i="1"/>
  <c r="GD110" i="1" s="1"/>
  <c r="GE110" i="1" s="1"/>
  <c r="GC126" i="1"/>
  <c r="GC79" i="1"/>
  <c r="GD79" i="1" s="1"/>
  <c r="GE79" i="1" s="1"/>
  <c r="FQ32" i="1"/>
  <c r="FR32" i="1" s="1"/>
  <c r="FW151" i="1"/>
  <c r="FX151" i="1" s="1"/>
  <c r="FB2" i="1"/>
  <c r="FB161" i="1"/>
  <c r="FB294" i="1"/>
  <c r="FB96" i="1"/>
  <c r="FD96" i="1" s="1"/>
  <c r="FE96" i="1" s="1"/>
  <c r="FF96" i="1" s="1"/>
  <c r="FG96" i="1" s="1"/>
  <c r="FI96" i="1" s="1"/>
  <c r="FO32" i="1"/>
  <c r="FP32" i="1" s="1"/>
  <c r="FZ94" i="1"/>
  <c r="FZ75" i="1"/>
  <c r="FZ149" i="1"/>
  <c r="FZ22" i="1"/>
  <c r="GA22" i="1" s="1"/>
  <c r="FZ188" i="1"/>
  <c r="FO110" i="1"/>
  <c r="FP110" i="1" s="1"/>
  <c r="FZ170" i="1"/>
  <c r="GA113" i="1"/>
  <c r="GA169" i="1"/>
  <c r="GC164" i="1"/>
  <c r="GD164" i="1" s="1"/>
  <c r="GE164" i="1" s="1"/>
  <c r="GC169" i="1"/>
  <c r="GD169" i="1" s="1"/>
  <c r="GE169" i="1" s="1"/>
  <c r="GC140" i="1"/>
  <c r="GD140" i="1" s="1"/>
  <c r="GE140" i="1" s="1"/>
  <c r="FS271" i="1"/>
  <c r="FU140" i="1"/>
  <c r="FV140" i="1" s="1"/>
  <c r="FO282" i="1"/>
  <c r="FP282" i="1" s="1"/>
  <c r="FO31" i="1"/>
  <c r="FP31" i="1" s="1"/>
  <c r="FZ113" i="1"/>
  <c r="FZ169" i="1"/>
  <c r="GC113" i="1"/>
  <c r="GD113" i="1" s="1"/>
  <c r="GE113" i="1" s="1"/>
  <c r="FQ18" i="1"/>
  <c r="FR18" i="1" s="1"/>
  <c r="FQ140" i="1"/>
  <c r="FR140" i="1" s="1"/>
  <c r="GA282" i="1"/>
  <c r="FO164" i="1"/>
  <c r="FP164" i="1" s="1"/>
  <c r="FO18" i="1"/>
  <c r="FP18" i="1" s="1"/>
  <c r="FZ31" i="1"/>
  <c r="GA31" i="1" s="1"/>
  <c r="FS18" i="1"/>
  <c r="FT18" i="1" s="1"/>
  <c r="FS140" i="1"/>
  <c r="FT140" i="1" s="1"/>
  <c r="FZ282" i="1"/>
  <c r="FZ164" i="1"/>
  <c r="GC11" i="1"/>
  <c r="GD11" i="1" s="1"/>
  <c r="GE11" i="1" s="1"/>
  <c r="FQ282" i="1"/>
  <c r="FR282" i="1" s="1"/>
  <c r="FQ113" i="1"/>
  <c r="FR113" i="1" s="1"/>
  <c r="FU11" i="1"/>
  <c r="FV11" i="1" s="1"/>
  <c r="FS164" i="1"/>
  <c r="FT164" i="1" s="1"/>
  <c r="FB128" i="1"/>
  <c r="FD128" i="1" s="1"/>
  <c r="FE128" i="1" s="1"/>
  <c r="FF128" i="1" s="1"/>
  <c r="FG128" i="1" s="1"/>
  <c r="FI128" i="1" s="1"/>
  <c r="GA164" i="1"/>
  <c r="GB271" i="1"/>
  <c r="FS282" i="1"/>
  <c r="FT282" i="1" s="1"/>
  <c r="FS113" i="1"/>
  <c r="FT113" i="1" s="1"/>
  <c r="FQ11" i="1"/>
  <c r="FR11" i="1" s="1"/>
  <c r="FU164" i="1"/>
  <c r="FV164" i="1" s="1"/>
  <c r="FO11" i="1"/>
  <c r="FP11" i="1" s="1"/>
  <c r="FU282" i="1"/>
  <c r="FV282" i="1" s="1"/>
  <c r="FS254" i="1"/>
  <c r="FT254" i="1" s="1"/>
  <c r="FZ152" i="1"/>
  <c r="GA152" i="1" s="1"/>
  <c r="FB75" i="1"/>
  <c r="FB142" i="1"/>
  <c r="FD142" i="1" s="1"/>
  <c r="FE142" i="1" s="1"/>
  <c r="FF142" i="1" s="1"/>
  <c r="FG142" i="1" s="1"/>
  <c r="FI142" i="1" s="1"/>
  <c r="GA254" i="1"/>
  <c r="FQ197" i="1"/>
  <c r="FR197" i="1" s="1"/>
  <c r="FO34" i="1"/>
  <c r="FP34" i="1" s="1"/>
  <c r="FO260" i="1"/>
  <c r="FP260" i="1" s="1"/>
  <c r="FO237" i="1"/>
  <c r="FP237" i="1" s="1"/>
  <c r="GC254" i="1"/>
  <c r="GD254" i="1" s="1"/>
  <c r="GE254" i="1" s="1"/>
  <c r="FZ197" i="1"/>
  <c r="FQ227" i="1"/>
  <c r="FR227" i="1" s="1"/>
  <c r="FO227" i="1"/>
  <c r="FP227" i="1" s="1"/>
  <c r="FZ260" i="1"/>
  <c r="GA197" i="1"/>
  <c r="FZ237" i="1"/>
  <c r="GC243" i="1"/>
  <c r="GD243" i="1" s="1"/>
  <c r="GE243" i="1" s="1"/>
  <c r="GC227" i="1"/>
  <c r="GD227" i="1" s="1"/>
  <c r="GE227" i="1" s="1"/>
  <c r="FQ152" i="1"/>
  <c r="FR152" i="1" s="1"/>
  <c r="FS74" i="1"/>
  <c r="FT74" i="1" s="1"/>
  <c r="FU254" i="1"/>
  <c r="FV254" i="1" s="1"/>
  <c r="FS197" i="1"/>
  <c r="FT197" i="1" s="1"/>
  <c r="FS227" i="1"/>
  <c r="FT227" i="1" s="1"/>
  <c r="FO28" i="1"/>
  <c r="FP28" i="1" s="1"/>
  <c r="FZ227" i="1"/>
  <c r="GA260" i="1"/>
  <c r="GA237" i="1"/>
  <c r="GC237" i="1"/>
  <c r="GD237" i="1" s="1"/>
  <c r="GE237" i="1" s="1"/>
  <c r="FQ260" i="1"/>
  <c r="FR260" i="1" s="1"/>
  <c r="FS152" i="1"/>
  <c r="FT152" i="1" s="1"/>
  <c r="FQ74" i="1"/>
  <c r="FR74" i="1" s="1"/>
  <c r="FU197" i="1"/>
  <c r="FV197" i="1" s="1"/>
  <c r="FU227" i="1"/>
  <c r="FV227" i="1" s="1"/>
  <c r="FZ28" i="1"/>
  <c r="FO220" i="1"/>
  <c r="FP220" i="1" s="1"/>
  <c r="FS260" i="1"/>
  <c r="GC34" i="1"/>
  <c r="GD34" i="1" s="1"/>
  <c r="GE34" i="1" s="1"/>
  <c r="GA28" i="1"/>
  <c r="FZ220" i="1"/>
  <c r="FO243" i="1"/>
  <c r="FP243" i="1" s="1"/>
  <c r="GC260" i="1"/>
  <c r="GD260" i="1" s="1"/>
  <c r="GE260" i="1" s="1"/>
  <c r="GC197" i="1"/>
  <c r="GD197" i="1" s="1"/>
  <c r="GE197" i="1" s="1"/>
  <c r="GC28" i="1"/>
  <c r="GD28" i="1" s="1"/>
  <c r="GE28" i="1" s="1"/>
  <c r="FQ243" i="1"/>
  <c r="FR243" i="1" s="1"/>
  <c r="FS34" i="1"/>
  <c r="FT34" i="1" s="1"/>
  <c r="FU243" i="1"/>
  <c r="FV243" i="1" s="1"/>
  <c r="FS28" i="1"/>
  <c r="FT28" i="1" s="1"/>
  <c r="FQ237" i="1"/>
  <c r="FR237" i="1" s="1"/>
  <c r="GA220" i="1"/>
  <c r="FO74" i="1"/>
  <c r="FP74" i="1" s="1"/>
  <c r="FZ243" i="1"/>
  <c r="GA34" i="1"/>
  <c r="GA243" i="1"/>
  <c r="FO254" i="1"/>
  <c r="FP254" i="1" s="1"/>
  <c r="FQ34" i="1"/>
  <c r="FR34" i="1" s="1"/>
  <c r="FQ28" i="1"/>
  <c r="FR28" i="1" s="1"/>
  <c r="FS237" i="1"/>
  <c r="FT237" i="1" s="1"/>
  <c r="FS220" i="1"/>
  <c r="FT220" i="1" s="1"/>
  <c r="FZ34" i="1"/>
  <c r="FZ254" i="1"/>
  <c r="FS235" i="1"/>
  <c r="FT235" i="1" s="1"/>
  <c r="FB232" i="1"/>
  <c r="FD232" i="1" s="1"/>
  <c r="FE232" i="1" s="1"/>
  <c r="FF232" i="1" s="1"/>
  <c r="FG232" i="1" s="1"/>
  <c r="FI232" i="1" s="1"/>
  <c r="FO151" i="1"/>
  <c r="FP151" i="1" s="1"/>
  <c r="FZ296" i="1"/>
  <c r="FZ9" i="1"/>
  <c r="FO222" i="1"/>
  <c r="FP222" i="1" s="1"/>
  <c r="GC151" i="1"/>
  <c r="GD151" i="1" s="1"/>
  <c r="GE151" i="1" s="1"/>
  <c r="FU212" i="1"/>
  <c r="FV212" i="1" s="1"/>
  <c r="FQ223" i="1"/>
  <c r="FR223" i="1" s="1"/>
  <c r="FU151" i="1"/>
  <c r="FV151" i="1" s="1"/>
  <c r="FU222" i="1"/>
  <c r="FV222" i="1" s="1"/>
  <c r="FZ151" i="1"/>
  <c r="FZ59" i="1"/>
  <c r="GA296" i="1"/>
  <c r="FZ222" i="1"/>
  <c r="FO223" i="1"/>
  <c r="FP223" i="1" s="1"/>
  <c r="GC296" i="1"/>
  <c r="GD296" i="1" s="1"/>
  <c r="GE296" i="1" s="1"/>
  <c r="GC280" i="1"/>
  <c r="GD280" i="1" s="1"/>
  <c r="GE280" i="1" s="1"/>
  <c r="FQ296" i="1"/>
  <c r="FR296" i="1" s="1"/>
  <c r="FS9" i="1"/>
  <c r="FT9" i="1" s="1"/>
  <c r="FS212" i="1"/>
  <c r="FT212" i="1" s="1"/>
  <c r="FU223" i="1"/>
  <c r="FV223" i="1" s="1"/>
  <c r="GA151" i="1"/>
  <c r="GA59" i="1"/>
  <c r="GA222" i="1"/>
  <c r="FZ223" i="1"/>
  <c r="GC222" i="1"/>
  <c r="GD222" i="1" s="1"/>
  <c r="GE222" i="1" s="1"/>
  <c r="GC212" i="1"/>
  <c r="GD212" i="1" s="1"/>
  <c r="GE212" i="1" s="1"/>
  <c r="FU126" i="1"/>
  <c r="FV126" i="1" s="1"/>
  <c r="FS296" i="1"/>
  <c r="FT296" i="1" s="1"/>
  <c r="FU9" i="1"/>
  <c r="FV9" i="1" s="1"/>
  <c r="FS223" i="1"/>
  <c r="FT223" i="1" s="1"/>
  <c r="FB184" i="1"/>
  <c r="FO212" i="1"/>
  <c r="FP212" i="1" s="1"/>
  <c r="FS126" i="1"/>
  <c r="FT126" i="1" s="1"/>
  <c r="FQ9" i="1"/>
  <c r="FR9" i="1" s="1"/>
  <c r="FQ183" i="1"/>
  <c r="FR183" i="1" s="1"/>
  <c r="FS59" i="1"/>
  <c r="FZ212" i="1"/>
  <c r="FO126" i="1"/>
  <c r="FP126" i="1" s="1"/>
  <c r="GB183" i="1"/>
  <c r="GC59" i="1"/>
  <c r="GD59" i="1" s="1"/>
  <c r="GE59" i="1" s="1"/>
  <c r="FQ126" i="1"/>
  <c r="FR126" i="1" s="1"/>
  <c r="FS183" i="1"/>
  <c r="FT183" i="1" s="1"/>
  <c r="FU59" i="1"/>
  <c r="FV59" i="1" s="1"/>
  <c r="FO183" i="1"/>
  <c r="FP183" i="1" s="1"/>
  <c r="FZ126" i="1"/>
  <c r="GC9" i="1"/>
  <c r="GD9" i="1" s="1"/>
  <c r="GE9" i="1" s="1"/>
  <c r="FQ151" i="1"/>
  <c r="FR151" i="1" s="1"/>
  <c r="FO235" i="1"/>
  <c r="FU235" i="1" s="1"/>
  <c r="FV235" i="1" s="1"/>
  <c r="FO233" i="1"/>
  <c r="FP233" i="1" s="1"/>
  <c r="FZ142" i="1"/>
  <c r="FO94" i="1"/>
  <c r="FP94" i="1" s="1"/>
  <c r="GA107" i="1"/>
  <c r="GA233" i="1"/>
  <c r="FO269" i="1"/>
  <c r="FP269" i="1" s="1"/>
  <c r="GA110" i="1"/>
  <c r="GA79" i="1"/>
  <c r="GB269" i="1"/>
  <c r="FZ233" i="1"/>
  <c r="FZ269" i="1"/>
  <c r="GA269" i="1" s="1"/>
  <c r="FZ253" i="1"/>
  <c r="GC107" i="1"/>
  <c r="GD107" i="1" s="1"/>
  <c r="GE107" i="1" s="1"/>
  <c r="FQ105" i="1"/>
  <c r="FR105" i="1" s="1"/>
  <c r="FQ149" i="1"/>
  <c r="FR149" i="1" s="1"/>
  <c r="GA94" i="1"/>
  <c r="GC3" i="1"/>
  <c r="GD3" i="1" s="1"/>
  <c r="GE3" i="1" s="1"/>
  <c r="GC244" i="1"/>
  <c r="GD244" i="1" s="1"/>
  <c r="GE244" i="1" s="1"/>
  <c r="FQ107" i="1"/>
  <c r="FR107" i="1" s="1"/>
  <c r="FU105" i="1"/>
  <c r="FV105" i="1" s="1"/>
  <c r="FS226" i="1"/>
  <c r="FT226" i="1" s="1"/>
  <c r="GA98" i="1"/>
  <c r="GC75" i="1"/>
  <c r="GD75" i="1" s="1"/>
  <c r="GE75" i="1" s="1"/>
  <c r="FU225" i="1"/>
  <c r="FV225" i="1" s="1"/>
  <c r="FU62" i="1"/>
  <c r="FV62" i="1" s="1"/>
  <c r="FQ75" i="1"/>
  <c r="FR75" i="1" s="1"/>
  <c r="GA253" i="1"/>
  <c r="GB117" i="1"/>
  <c r="FQ269" i="1"/>
  <c r="FR269" i="1" s="1"/>
  <c r="GH104" i="1"/>
  <c r="GI104" i="1" s="1"/>
  <c r="J104" i="2" s="1"/>
  <c r="FZ205" i="1"/>
  <c r="FO20" i="1"/>
  <c r="FP20" i="1" s="1"/>
  <c r="FO132" i="1"/>
  <c r="FP132" i="1" s="1"/>
  <c r="FO116" i="1"/>
  <c r="FP116" i="1" s="1"/>
  <c r="GA205" i="1"/>
  <c r="GC56" i="1"/>
  <c r="GD56" i="1" s="1"/>
  <c r="GE56" i="1" s="1"/>
  <c r="GA93" i="1"/>
  <c r="GC77" i="1"/>
  <c r="GD77" i="1" s="1"/>
  <c r="GE77" i="1" s="1"/>
  <c r="GB132" i="1"/>
  <c r="FZ20" i="1"/>
  <c r="FZ132" i="1"/>
  <c r="GA132" i="1" s="1"/>
  <c r="FZ116" i="1"/>
  <c r="FO249" i="1"/>
  <c r="FP249" i="1" s="1"/>
  <c r="FO95" i="1"/>
  <c r="FP95" i="1" s="1"/>
  <c r="FO125" i="1"/>
  <c r="FP125" i="1" s="1"/>
  <c r="GA20" i="1"/>
  <c r="GA116" i="1"/>
  <c r="FZ249" i="1"/>
  <c r="GA249" i="1" s="1"/>
  <c r="FQ114" i="1"/>
  <c r="FR114" i="1" s="1"/>
  <c r="FS84" i="1"/>
  <c r="FT84" i="1" s="1"/>
  <c r="GC114" i="1"/>
  <c r="GD114" i="1" s="1"/>
  <c r="GE114" i="1" s="1"/>
  <c r="FS114" i="1"/>
  <c r="FT114" i="1" s="1"/>
  <c r="FQ249" i="1"/>
  <c r="FR249" i="1" s="1"/>
  <c r="FU84" i="1"/>
  <c r="FV84" i="1" s="1"/>
  <c r="FZ95" i="1"/>
  <c r="FZ125" i="1"/>
  <c r="FO77" i="1"/>
  <c r="FP77" i="1" s="1"/>
  <c r="FO84" i="1"/>
  <c r="FP84" i="1" s="1"/>
  <c r="GA56" i="1"/>
  <c r="FO43" i="1"/>
  <c r="FP43" i="1" s="1"/>
  <c r="GA95" i="1"/>
  <c r="FO114" i="1"/>
  <c r="FP114" i="1" s="1"/>
  <c r="GA125" i="1"/>
  <c r="FZ77" i="1"/>
  <c r="FZ84" i="1"/>
  <c r="FO207" i="1"/>
  <c r="FP207" i="1" s="1"/>
  <c r="GA129" i="1"/>
  <c r="FZ123" i="1"/>
  <c r="GC125" i="1"/>
  <c r="GD125" i="1" s="1"/>
  <c r="GE125" i="1" s="1"/>
  <c r="GC84" i="1"/>
  <c r="GD84" i="1" s="1"/>
  <c r="GE84" i="1" s="1"/>
  <c r="GC20" i="1"/>
  <c r="GD20" i="1" s="1"/>
  <c r="GE20" i="1" s="1"/>
  <c r="FS249" i="1"/>
  <c r="FT249" i="1" s="1"/>
  <c r="FQ84" i="1"/>
  <c r="FR84" i="1" s="1"/>
  <c r="FS205" i="1"/>
  <c r="FT205" i="1" s="1"/>
  <c r="FZ129" i="1"/>
  <c r="FS17" i="1"/>
  <c r="FT17" i="1" s="1"/>
  <c r="FZ43" i="1"/>
  <c r="GA114" i="1"/>
  <c r="FO100" i="1"/>
  <c r="FP100" i="1" s="1"/>
  <c r="FZ207" i="1"/>
  <c r="GA43" i="1"/>
  <c r="FZ114" i="1"/>
  <c r="FO205" i="1"/>
  <c r="FP205" i="1" s="1"/>
  <c r="GA100" i="1"/>
  <c r="GA207" i="1"/>
  <c r="FQ201" i="1"/>
  <c r="FR201" i="1" s="1"/>
  <c r="FQ281" i="1"/>
  <c r="FR281" i="1" s="1"/>
  <c r="FU17" i="1"/>
  <c r="FV17" i="1" s="1"/>
  <c r="GA53" i="1"/>
  <c r="FQ205" i="1"/>
  <c r="FR205" i="1" s="1"/>
  <c r="FU56" i="1"/>
  <c r="FV56" i="1" s="1"/>
  <c r="FU43" i="1"/>
  <c r="FV43" i="1" s="1"/>
  <c r="FU205" i="1"/>
  <c r="FV205" i="1" s="1"/>
  <c r="GA77" i="1"/>
  <c r="FO56" i="1"/>
  <c r="FP56" i="1" s="1"/>
  <c r="GA123" i="1"/>
  <c r="FO196" i="1"/>
  <c r="FP196" i="1" s="1"/>
  <c r="GC207" i="1"/>
  <c r="GD207" i="1" s="1"/>
  <c r="GE207" i="1" s="1"/>
  <c r="GC201" i="1"/>
  <c r="GD201" i="1" s="1"/>
  <c r="GE201" i="1" s="1"/>
  <c r="GC196" i="1"/>
  <c r="GD196" i="1" s="1"/>
  <c r="GE196" i="1" s="1"/>
  <c r="GC100" i="1"/>
  <c r="GD100" i="1" s="1"/>
  <c r="GE100" i="1" s="1"/>
  <c r="FQ233" i="1"/>
  <c r="FR233" i="1" s="1"/>
  <c r="FS201" i="1"/>
  <c r="FT201" i="1" s="1"/>
  <c r="FS225" i="1"/>
  <c r="FT225" i="1" s="1"/>
  <c r="FQ226" i="1"/>
  <c r="FR226" i="1" s="1"/>
  <c r="FU100" i="1"/>
  <c r="FV100" i="1" s="1"/>
  <c r="FQ37" i="1"/>
  <c r="FR37" i="1" s="1"/>
  <c r="FS110" i="1"/>
  <c r="FT110" i="1" s="1"/>
  <c r="FQ79" i="1"/>
  <c r="FR79" i="1" s="1"/>
  <c r="FS253" i="1"/>
  <c r="FT253" i="1" s="1"/>
  <c r="FO201" i="1"/>
  <c r="FP201" i="1" s="1"/>
  <c r="FZ196" i="1"/>
  <c r="FO281" i="1"/>
  <c r="FP281" i="1" s="1"/>
  <c r="FO17" i="1"/>
  <c r="FP17" i="1" s="1"/>
  <c r="GC129" i="1"/>
  <c r="GD129" i="1" s="1"/>
  <c r="GE129" i="1" s="1"/>
  <c r="GC17" i="1"/>
  <c r="GD17" i="1" s="1"/>
  <c r="GE17" i="1" s="1"/>
  <c r="GC116" i="1"/>
  <c r="GD116" i="1" s="1"/>
  <c r="GE116" i="1" s="1"/>
  <c r="GC43" i="1"/>
  <c r="GD43" i="1" s="1"/>
  <c r="GE43" i="1" s="1"/>
  <c r="FU129" i="1"/>
  <c r="FV129" i="1" s="1"/>
  <c r="FU201" i="1"/>
  <c r="FV201" i="1" s="1"/>
  <c r="FU98" i="1"/>
  <c r="FV98" i="1" s="1"/>
  <c r="FS100" i="1"/>
  <c r="FT100" i="1" s="1"/>
  <c r="FS125" i="1"/>
  <c r="FQ83" i="1"/>
  <c r="FR83" i="1" s="1"/>
  <c r="FQ253" i="1"/>
  <c r="FR253" i="1" s="1"/>
  <c r="FZ100" i="1"/>
  <c r="FZ56" i="1"/>
  <c r="GA201" i="1"/>
  <c r="GA196" i="1"/>
  <c r="GA281" i="1"/>
  <c r="GA17" i="1"/>
  <c r="GC281" i="1"/>
  <c r="GD281" i="1" s="1"/>
  <c r="GE281" i="1" s="1"/>
  <c r="FU107" i="1"/>
  <c r="FV107" i="1" s="1"/>
  <c r="FQ129" i="1"/>
  <c r="FR129" i="1" s="1"/>
  <c r="FS281" i="1"/>
  <c r="FT281" i="1" s="1"/>
  <c r="FQ125" i="1"/>
  <c r="FR125" i="1" s="1"/>
  <c r="FQ196" i="1"/>
  <c r="FR196" i="1" s="1"/>
  <c r="FS83" i="1"/>
  <c r="FT83" i="1" s="1"/>
  <c r="FU3" i="1"/>
  <c r="FV3" i="1" s="1"/>
  <c r="FO129" i="1"/>
  <c r="FP129" i="1" s="1"/>
  <c r="FZ281" i="1"/>
  <c r="GA247" i="1"/>
  <c r="FZ17" i="1"/>
  <c r="GC95" i="1"/>
  <c r="GD95" i="1" s="1"/>
  <c r="GE95" i="1" s="1"/>
  <c r="FS62" i="1"/>
  <c r="FT62" i="1" s="1"/>
  <c r="FU253" i="1"/>
  <c r="FV253" i="1" s="1"/>
  <c r="GC226" i="1"/>
  <c r="GD226" i="1" s="1"/>
  <c r="GE226" i="1" s="1"/>
  <c r="FQ22" i="1"/>
  <c r="FR22" i="1" s="1"/>
  <c r="FS149" i="1"/>
  <c r="FT149" i="1" s="1"/>
  <c r="FQ77" i="1"/>
  <c r="FR77" i="1" s="1"/>
  <c r="FS37" i="1"/>
  <c r="FT37" i="1" s="1"/>
  <c r="FQ20" i="1"/>
  <c r="FR20" i="1" s="1"/>
  <c r="FQ132" i="1"/>
  <c r="FR132" i="1" s="1"/>
  <c r="FQ116" i="1"/>
  <c r="FR116" i="1" s="1"/>
  <c r="FU79" i="1"/>
  <c r="FV79" i="1" s="1"/>
  <c r="FS56" i="1"/>
  <c r="FT56" i="1" s="1"/>
  <c r="FQ94" i="1"/>
  <c r="FR94" i="1" s="1"/>
  <c r="GC142" i="1"/>
  <c r="GD142" i="1" s="1"/>
  <c r="GE142" i="1" s="1"/>
  <c r="FU233" i="1"/>
  <c r="FV233" i="1" s="1"/>
  <c r="FQ21" i="1"/>
  <c r="FR21" i="1" s="1"/>
  <c r="FQ95" i="1"/>
  <c r="FR95" i="1" s="1"/>
  <c r="FS244" i="1"/>
  <c r="FT244" i="1" s="1"/>
  <c r="FQ207" i="1"/>
  <c r="FR207" i="1" s="1"/>
  <c r="FU20" i="1"/>
  <c r="FV20" i="1" s="1"/>
  <c r="FU116" i="1"/>
  <c r="FV116" i="1" s="1"/>
  <c r="FS94" i="1"/>
  <c r="FT94" i="1" s="1"/>
  <c r="FQ117" i="1"/>
  <c r="FR117" i="1" s="1"/>
  <c r="FS95" i="1"/>
  <c r="FT95" i="1" s="1"/>
  <c r="FU244" i="1"/>
  <c r="FV244" i="1" s="1"/>
  <c r="FS207" i="1"/>
  <c r="FT207" i="1" s="1"/>
  <c r="FQ3" i="1"/>
  <c r="FR3" i="1" s="1"/>
  <c r="FQ110" i="1"/>
  <c r="FR110" i="1" s="1"/>
  <c r="FS75" i="1"/>
  <c r="FT75" i="1" s="1"/>
  <c r="FO253" i="1"/>
  <c r="FP253" i="1" s="1"/>
  <c r="GC94" i="1"/>
  <c r="GD94" i="1" s="1"/>
  <c r="GE94" i="1" s="1"/>
  <c r="FQ98" i="1"/>
  <c r="FR98" i="1" s="1"/>
  <c r="FQ142" i="1"/>
  <c r="FR142" i="1" s="1"/>
  <c r="FU181" i="1"/>
  <c r="FV181" i="1" s="1"/>
  <c r="FS167" i="1"/>
  <c r="FT167" i="1" s="1"/>
  <c r="FZ168" i="1"/>
  <c r="FZ181" i="1"/>
  <c r="FS168" i="1"/>
  <c r="FT168" i="1" s="1"/>
  <c r="GA168" i="1"/>
  <c r="FQ30" i="1"/>
  <c r="FR30" i="1" s="1"/>
  <c r="FU167" i="1"/>
  <c r="FV167" i="1" s="1"/>
  <c r="FO167" i="1"/>
  <c r="FP167" i="1" s="1"/>
  <c r="GB130" i="1"/>
  <c r="FQ181" i="1"/>
  <c r="FR181" i="1" s="1"/>
  <c r="FZ85" i="1"/>
  <c r="FO16" i="1"/>
  <c r="FO176" i="1"/>
  <c r="FP176" i="1" s="1"/>
  <c r="GC16" i="1"/>
  <c r="GD16" i="1" s="1"/>
  <c r="GE16" i="1" s="1"/>
  <c r="FQ58" i="1"/>
  <c r="FR58" i="1" s="1"/>
  <c r="FQ288" i="1"/>
  <c r="FR288" i="1" s="1"/>
  <c r="GA268" i="1"/>
  <c r="FZ231" i="1"/>
  <c r="GA85" i="1"/>
  <c r="GA16" i="1"/>
  <c r="FZ176" i="1"/>
  <c r="FQ130" i="1"/>
  <c r="FR130" i="1" s="1"/>
  <c r="FQ36" i="1"/>
  <c r="FR36" i="1" s="1"/>
  <c r="FO44" i="1"/>
  <c r="FP44" i="1" s="1"/>
  <c r="FO181" i="1"/>
  <c r="FP181" i="1" s="1"/>
  <c r="FZ297" i="1"/>
  <c r="FS130" i="1"/>
  <c r="FT130" i="1" s="1"/>
  <c r="FZ44" i="1"/>
  <c r="GC266" i="1"/>
  <c r="GD266" i="1" s="1"/>
  <c r="GE266" i="1" s="1"/>
  <c r="GA181" i="1"/>
  <c r="FZ158" i="1"/>
  <c r="FO210" i="1"/>
  <c r="FP210" i="1" s="1"/>
  <c r="FO36" i="1"/>
  <c r="FP36" i="1" s="1"/>
  <c r="FZ16" i="1"/>
  <c r="FO224" i="1"/>
  <c r="FP224" i="1" s="1"/>
  <c r="GA176" i="1"/>
  <c r="FZ135" i="1"/>
  <c r="FO288" i="1"/>
  <c r="FP288" i="1" s="1"/>
  <c r="FZ167" i="1"/>
  <c r="FZ216" i="1"/>
  <c r="GA216" i="1" s="1"/>
  <c r="GA81" i="1"/>
  <c r="GC176" i="1"/>
  <c r="GD176" i="1" s="1"/>
  <c r="GE176" i="1" s="1"/>
  <c r="GC85" i="1"/>
  <c r="GD85" i="1" s="1"/>
  <c r="GE85" i="1" s="1"/>
  <c r="FQ81" i="1"/>
  <c r="FR81" i="1" s="1"/>
  <c r="FQ176" i="1"/>
  <c r="FR176" i="1" s="1"/>
  <c r="FQ273" i="1"/>
  <c r="FR273" i="1" s="1"/>
  <c r="FU214" i="1"/>
  <c r="FV214" i="1" s="1"/>
  <c r="FS85" i="1"/>
  <c r="FT85" i="1" s="1"/>
  <c r="FS44" i="1"/>
  <c r="FT44" i="1" s="1"/>
  <c r="FQ135" i="1"/>
  <c r="FR135" i="1" s="1"/>
  <c r="FQ16" i="1"/>
  <c r="FR16" i="1" s="1"/>
  <c r="FQ168" i="1"/>
  <c r="FR168" i="1" s="1"/>
  <c r="FS181" i="1"/>
  <c r="FT181" i="1" s="1"/>
  <c r="FQ216" i="1"/>
  <c r="FR216" i="1" s="1"/>
  <c r="FW141" i="1"/>
  <c r="FX141" i="1" s="1"/>
  <c r="FO81" i="1"/>
  <c r="FP81" i="1" s="1"/>
  <c r="FU30" i="1"/>
  <c r="FV30" i="1" s="1"/>
  <c r="FO273" i="1"/>
  <c r="FP273" i="1" s="1"/>
  <c r="GA158" i="1"/>
  <c r="FZ292" i="1"/>
  <c r="FZ36" i="1"/>
  <c r="FZ224" i="1"/>
  <c r="FO214" i="1"/>
  <c r="FP214" i="1" s="1"/>
  <c r="GA135" i="1"/>
  <c r="FZ288" i="1"/>
  <c r="GA288" i="1" s="1"/>
  <c r="FO155" i="1"/>
  <c r="FP155" i="1" s="1"/>
  <c r="GA167" i="1"/>
  <c r="FO103" i="1"/>
  <c r="FP103" i="1" s="1"/>
  <c r="FZ81" i="1"/>
  <c r="FO166" i="1"/>
  <c r="FP166" i="1" s="1"/>
  <c r="GC224" i="1"/>
  <c r="GD224" i="1" s="1"/>
  <c r="GE224" i="1" s="1"/>
  <c r="GB216" i="1"/>
  <c r="GC238" i="1"/>
  <c r="GD238" i="1" s="1"/>
  <c r="GE238" i="1" s="1"/>
  <c r="GC268" i="1"/>
  <c r="GD268" i="1" s="1"/>
  <c r="GE268" i="1" s="1"/>
  <c r="FU81" i="1"/>
  <c r="FV81" i="1" s="1"/>
  <c r="FU176" i="1"/>
  <c r="FV176" i="1" s="1"/>
  <c r="FS273" i="1"/>
  <c r="FT273" i="1" s="1"/>
  <c r="FS214" i="1"/>
  <c r="FT214" i="1" s="1"/>
  <c r="FQ85" i="1"/>
  <c r="FR85" i="1" s="1"/>
  <c r="FS268" i="1"/>
  <c r="FT268" i="1" s="1"/>
  <c r="FS135" i="1"/>
  <c r="FT135" i="1" s="1"/>
  <c r="FQ158" i="1"/>
  <c r="FR158" i="1" s="1"/>
  <c r="FU16" i="1"/>
  <c r="FV16" i="1" s="1"/>
  <c r="FU168" i="1"/>
  <c r="FV168" i="1" s="1"/>
  <c r="FQ224" i="1"/>
  <c r="FR224" i="1" s="1"/>
  <c r="FS216" i="1"/>
  <c r="FT216" i="1" s="1"/>
  <c r="FO158" i="1"/>
  <c r="FP158" i="1" s="1"/>
  <c r="GC158" i="1"/>
  <c r="GD158" i="1" s="1"/>
  <c r="GE158" i="1" s="1"/>
  <c r="FU58" i="1"/>
  <c r="FV58" i="1" s="1"/>
  <c r="FB122" i="1"/>
  <c r="FD122" i="1" s="1"/>
  <c r="FE122" i="1" s="1"/>
  <c r="FF122" i="1" s="1"/>
  <c r="FG122" i="1" s="1"/>
  <c r="FI122" i="1" s="1"/>
  <c r="GA273" i="1"/>
  <c r="FO130" i="1"/>
  <c r="FP130" i="1" s="1"/>
  <c r="FZ252" i="1"/>
  <c r="GA36" i="1"/>
  <c r="GA224" i="1"/>
  <c r="FZ214" i="1"/>
  <c r="FO45" i="1"/>
  <c r="FP45" i="1" s="1"/>
  <c r="FZ103" i="1"/>
  <c r="FZ166" i="1"/>
  <c r="GC103" i="1"/>
  <c r="GD103" i="1" s="1"/>
  <c r="GE103" i="1" s="1"/>
  <c r="GC273" i="1"/>
  <c r="GD273" i="1" s="1"/>
  <c r="GE273" i="1" s="1"/>
  <c r="FQ146" i="1"/>
  <c r="FR146" i="1" s="1"/>
  <c r="GC58" i="1"/>
  <c r="GD58" i="1" s="1"/>
  <c r="GE58" i="1" s="1"/>
  <c r="FU273" i="1"/>
  <c r="FV273" i="1" s="1"/>
  <c r="FQ214" i="1"/>
  <c r="FR214" i="1" s="1"/>
  <c r="FU85" i="1"/>
  <c r="FV85" i="1" s="1"/>
  <c r="FU268" i="1"/>
  <c r="FV268" i="1" s="1"/>
  <c r="FU135" i="1"/>
  <c r="FV135" i="1" s="1"/>
  <c r="FU158" i="1"/>
  <c r="FV158" i="1" s="1"/>
  <c r="FQ45" i="1"/>
  <c r="FR45" i="1" s="1"/>
  <c r="FS224" i="1"/>
  <c r="FT224" i="1" s="1"/>
  <c r="FO135" i="1"/>
  <c r="FP135" i="1" s="1"/>
  <c r="FQ44" i="1"/>
  <c r="FR44" i="1" s="1"/>
  <c r="FO58" i="1"/>
  <c r="FP58" i="1" s="1"/>
  <c r="GA252" i="1"/>
  <c r="GA214" i="1"/>
  <c r="FZ238" i="1"/>
  <c r="FZ67" i="1"/>
  <c r="FZ45" i="1"/>
  <c r="GA103" i="1"/>
  <c r="GA166" i="1"/>
  <c r="GC148" i="1"/>
  <c r="GD148" i="1" s="1"/>
  <c r="GE148" i="1" s="1"/>
  <c r="GC44" i="1"/>
  <c r="GD44" i="1" s="1"/>
  <c r="GE44" i="1" s="1"/>
  <c r="FQ103" i="1"/>
  <c r="FR103" i="1" s="1"/>
  <c r="FQ268" i="1"/>
  <c r="FR268" i="1" s="1"/>
  <c r="FS45" i="1"/>
  <c r="FT45" i="1" s="1"/>
  <c r="GA58" i="1"/>
  <c r="FO268" i="1"/>
  <c r="FP268" i="1" s="1"/>
  <c r="FO139" i="1"/>
  <c r="FP139" i="1" s="1"/>
  <c r="FZ111" i="1"/>
  <c r="GA238" i="1"/>
  <c r="FO148" i="1"/>
  <c r="FP148" i="1" s="1"/>
  <c r="GA67" i="1"/>
  <c r="GA45" i="1"/>
  <c r="GC81" i="1"/>
  <c r="GD81" i="1" s="1"/>
  <c r="GE81" i="1" s="1"/>
  <c r="GC168" i="1"/>
  <c r="GD168" i="1" s="1"/>
  <c r="GE168" i="1" s="1"/>
  <c r="GC45" i="1"/>
  <c r="GD45" i="1" s="1"/>
  <c r="GE45" i="1" s="1"/>
  <c r="GC167" i="1"/>
  <c r="GD167" i="1" s="1"/>
  <c r="GE167" i="1" s="1"/>
  <c r="GC36" i="1"/>
  <c r="GD36" i="1" s="1"/>
  <c r="GE36" i="1" s="1"/>
  <c r="FS103" i="1"/>
  <c r="FT103" i="1" s="1"/>
  <c r="FU36" i="1"/>
  <c r="FV36" i="1" s="1"/>
  <c r="FS139" i="1"/>
  <c r="FT139" i="1" s="1"/>
  <c r="FS288" i="1"/>
  <c r="FT288" i="1" s="1"/>
  <c r="FZ58" i="1"/>
  <c r="FO231" i="1"/>
  <c r="FP231" i="1" s="1"/>
  <c r="FZ139" i="1"/>
  <c r="GA187" i="1"/>
  <c r="GA111" i="1"/>
  <c r="FO297" i="1"/>
  <c r="FP297" i="1" s="1"/>
  <c r="FO102" i="1"/>
  <c r="FP102" i="1" s="1"/>
  <c r="GC292" i="1"/>
  <c r="GD292" i="1" s="1"/>
  <c r="GE292" i="1" s="1"/>
  <c r="GC27" i="1"/>
  <c r="GD27" i="1" s="1"/>
  <c r="GE27" i="1" s="1"/>
  <c r="FB23" i="1"/>
  <c r="FB289" i="1"/>
  <c r="FD289" i="1" s="1"/>
  <c r="FE289" i="1" s="1"/>
  <c r="FF289" i="1" s="1"/>
  <c r="FG289" i="1" s="1"/>
  <c r="FI289" i="1" s="1"/>
  <c r="FZ204" i="1"/>
  <c r="FS53" i="1"/>
  <c r="FT53" i="1" s="1"/>
  <c r="GA204" i="1"/>
  <c r="FO88" i="1"/>
  <c r="FP88" i="1" s="1"/>
  <c r="FU204" i="1"/>
  <c r="FV204" i="1" s="1"/>
  <c r="FS142" i="1"/>
  <c r="FB15" i="1"/>
  <c r="FC15" i="1"/>
  <c r="FB215" i="1"/>
  <c r="FC215" i="1"/>
  <c r="FB209" i="1"/>
  <c r="FC209" i="1"/>
  <c r="FB5" i="1"/>
  <c r="FD5" i="1" s="1"/>
  <c r="FE5" i="1" s="1"/>
  <c r="FF5" i="1" s="1"/>
  <c r="FG5" i="1" s="1"/>
  <c r="FI5" i="1" s="1"/>
  <c r="FB192" i="1"/>
  <c r="FD192" i="1" s="1"/>
  <c r="FE192" i="1" s="1"/>
  <c r="FF192" i="1" s="1"/>
  <c r="FG192" i="1" s="1"/>
  <c r="FI192" i="1" s="1"/>
  <c r="FB143" i="1"/>
  <c r="FD143" i="1" s="1"/>
  <c r="FE143" i="1" s="1"/>
  <c r="FF143" i="1" s="1"/>
  <c r="FG143" i="1" s="1"/>
  <c r="FI143" i="1" s="1"/>
  <c r="FB202" i="1"/>
  <c r="FC202" i="1"/>
  <c r="FB152" i="1"/>
  <c r="FC152" i="1"/>
  <c r="FB48" i="1"/>
  <c r="FC48" i="1"/>
  <c r="FB219" i="1"/>
  <c r="FC219" i="1"/>
  <c r="FQ71" i="1"/>
  <c r="FR71" i="1" s="1"/>
  <c r="FB141" i="1"/>
  <c r="FC141" i="1"/>
  <c r="FS204" i="1"/>
  <c r="FT204" i="1" s="1"/>
  <c r="FU74" i="1"/>
  <c r="FV74" i="1" s="1"/>
  <c r="FB291" i="1"/>
  <c r="FC291" i="1"/>
  <c r="FB160" i="1"/>
  <c r="FC160" i="1"/>
  <c r="GC204" i="1"/>
  <c r="GD204" i="1" s="1"/>
  <c r="GE204" i="1" s="1"/>
  <c r="FB103" i="1"/>
  <c r="FC103" i="1"/>
  <c r="FS71" i="1"/>
  <c r="FT71" i="1" s="1"/>
  <c r="FU220" i="1"/>
  <c r="FV220" i="1" s="1"/>
  <c r="FB45" i="1"/>
  <c r="FC45" i="1"/>
  <c r="FB295" i="1"/>
  <c r="FB197" i="1"/>
  <c r="FD197" i="1" s="1"/>
  <c r="FE197" i="1" s="1"/>
  <c r="FF197" i="1" s="1"/>
  <c r="FG197" i="1" s="1"/>
  <c r="FI197" i="1" s="1"/>
  <c r="FB151" i="1"/>
  <c r="FC151" i="1"/>
  <c r="FB297" i="1"/>
  <c r="FC297" i="1"/>
  <c r="FB60" i="1"/>
  <c r="FC60" i="1"/>
  <c r="FO71" i="1"/>
  <c r="FP71" i="1" s="1"/>
  <c r="FO7" i="1"/>
  <c r="FP7" i="1" s="1"/>
  <c r="FB272" i="1"/>
  <c r="FC272" i="1"/>
  <c r="FB27" i="1"/>
  <c r="FC27" i="1"/>
  <c r="GB71" i="1"/>
  <c r="FB82" i="1"/>
  <c r="FC82" i="1"/>
  <c r="FB281" i="1"/>
  <c r="FC281" i="1"/>
  <c r="FB206" i="1"/>
  <c r="FC206" i="1"/>
  <c r="FB234" i="1"/>
  <c r="FC234" i="1"/>
  <c r="FB53" i="1"/>
  <c r="FC53" i="1"/>
  <c r="FB87" i="1"/>
  <c r="FC87" i="1"/>
  <c r="FU50" i="1"/>
  <c r="FV50" i="1" s="1"/>
  <c r="FB282" i="1"/>
  <c r="FC282" i="1"/>
  <c r="FB191" i="1"/>
  <c r="FC191" i="1"/>
  <c r="FB92" i="1"/>
  <c r="FC92" i="1"/>
  <c r="FO204" i="1"/>
  <c r="FP204" i="1" s="1"/>
  <c r="FO72" i="1"/>
  <c r="FP72" i="1" s="1"/>
  <c r="GC35" i="1"/>
  <c r="GD35" i="1" s="1"/>
  <c r="GE35" i="1" s="1"/>
  <c r="GC246" i="1"/>
  <c r="GD246" i="1" s="1"/>
  <c r="GE246" i="1" s="1"/>
  <c r="GC111" i="1"/>
  <c r="GD111" i="1" s="1"/>
  <c r="GE111" i="1" s="1"/>
  <c r="FS30" i="1"/>
  <c r="FT30" i="1" s="1"/>
  <c r="GC133" i="1"/>
  <c r="GD133" i="1" s="1"/>
  <c r="GE133" i="1" s="1"/>
  <c r="GA48" i="1"/>
  <c r="FQ148" i="1"/>
  <c r="FR148" i="1" s="1"/>
  <c r="FO131" i="1"/>
  <c r="FP131" i="1" s="1"/>
  <c r="FZ35" i="1"/>
  <c r="FU278" i="1"/>
  <c r="FV278" i="1" s="1"/>
  <c r="GA35" i="1"/>
  <c r="GA278" i="1"/>
  <c r="FZ4" i="1"/>
  <c r="GA138" i="1"/>
  <c r="FO26" i="1"/>
  <c r="FP26" i="1" s="1"/>
  <c r="FZ245" i="1"/>
  <c r="FS231" i="1"/>
  <c r="FT231" i="1" s="1"/>
  <c r="GA61" i="1"/>
  <c r="GC25" i="1"/>
  <c r="GD25" i="1" s="1"/>
  <c r="GE25" i="1" s="1"/>
  <c r="FZ155" i="1"/>
  <c r="FS166" i="1"/>
  <c r="FT166" i="1" s="1"/>
  <c r="FZ174" i="1"/>
  <c r="GA231" i="1"/>
  <c r="FZ148" i="1"/>
  <c r="FO141" i="1"/>
  <c r="FP141" i="1" s="1"/>
  <c r="FU12" i="1"/>
  <c r="FV12" i="1" s="1"/>
  <c r="FS238" i="1"/>
  <c r="GA44" i="1"/>
  <c r="FZ30" i="1"/>
  <c r="GA174" i="1"/>
  <c r="GA292" i="1"/>
  <c r="GA139" i="1"/>
  <c r="FO246" i="1"/>
  <c r="FP246" i="1" s="1"/>
  <c r="FO179" i="1"/>
  <c r="FP179" i="1" s="1"/>
  <c r="GA148" i="1"/>
  <c r="GA155" i="1"/>
  <c r="GA102" i="1"/>
  <c r="FZ141" i="1"/>
  <c r="GC139" i="1"/>
  <c r="GD139" i="1" s="1"/>
  <c r="GE139" i="1" s="1"/>
  <c r="GC187" i="1"/>
  <c r="GD187" i="1" s="1"/>
  <c r="GE187" i="1" s="1"/>
  <c r="GC155" i="1"/>
  <c r="GD155" i="1" s="1"/>
  <c r="GE155" i="1" s="1"/>
  <c r="FQ86" i="1"/>
  <c r="FR86" i="1" s="1"/>
  <c r="FU166" i="1"/>
  <c r="FV166" i="1" s="1"/>
  <c r="FS292" i="1"/>
  <c r="FT292" i="1" s="1"/>
  <c r="GA30" i="1"/>
  <c r="FZ246" i="1"/>
  <c r="FZ179" i="1"/>
  <c r="FO187" i="1"/>
  <c r="FP187" i="1" s="1"/>
  <c r="GA141" i="1"/>
  <c r="GC67" i="1"/>
  <c r="GD67" i="1" s="1"/>
  <c r="GE67" i="1" s="1"/>
  <c r="GC141" i="1"/>
  <c r="GD141" i="1" s="1"/>
  <c r="GE141" i="1" s="1"/>
  <c r="GC30" i="1"/>
  <c r="GD30" i="1" s="1"/>
  <c r="GE30" i="1" s="1"/>
  <c r="FS86" i="1"/>
  <c r="FT86" i="1" s="1"/>
  <c r="FS102" i="1"/>
  <c r="FQ297" i="1"/>
  <c r="FR297" i="1" s="1"/>
  <c r="FQ179" i="1"/>
  <c r="FR179" i="1" s="1"/>
  <c r="FS196" i="1"/>
  <c r="FS77" i="1"/>
  <c r="FT77" i="1" s="1"/>
  <c r="FQ43" i="1"/>
  <c r="FR43" i="1" s="1"/>
  <c r="GC166" i="1"/>
  <c r="GD166" i="1" s="1"/>
  <c r="GE166" i="1" s="1"/>
  <c r="FZ102" i="1"/>
  <c r="GC156" i="1"/>
  <c r="GD156" i="1" s="1"/>
  <c r="GE156" i="1" s="1"/>
  <c r="FQ155" i="1"/>
  <c r="FR155" i="1" s="1"/>
  <c r="FO86" i="1"/>
  <c r="FP86" i="1" s="1"/>
  <c r="FZ27" i="1"/>
  <c r="GA179" i="1"/>
  <c r="FZ187" i="1"/>
  <c r="FO111" i="1"/>
  <c r="FP111" i="1" s="1"/>
  <c r="FO238" i="1"/>
  <c r="FP238" i="1" s="1"/>
  <c r="FO278" i="1"/>
  <c r="FP278" i="1" s="1"/>
  <c r="FO67" i="1"/>
  <c r="FP67" i="1" s="1"/>
  <c r="GC4" i="1"/>
  <c r="GD4" i="1" s="1"/>
  <c r="GE4" i="1" s="1"/>
  <c r="GC231" i="1"/>
  <c r="GD231" i="1" s="1"/>
  <c r="GE231" i="1" s="1"/>
  <c r="FO133" i="1"/>
  <c r="FP133" i="1" s="1"/>
  <c r="FO165" i="1"/>
  <c r="FP165" i="1" s="1"/>
  <c r="FZ133" i="1"/>
  <c r="GC144" i="1"/>
  <c r="GD144" i="1" s="1"/>
  <c r="GE144" i="1" s="1"/>
  <c r="GC12" i="1"/>
  <c r="GD12" i="1" s="1"/>
  <c r="GE12" i="1" s="1"/>
  <c r="FS248" i="1"/>
  <c r="FT248" i="1" s="1"/>
  <c r="FQ41" i="1"/>
  <c r="FR41" i="1" s="1"/>
  <c r="FU179" i="1"/>
  <c r="FV179" i="1" s="1"/>
  <c r="FU147" i="1"/>
  <c r="FV147" i="1" s="1"/>
  <c r="FO192" i="1"/>
  <c r="FP192" i="1" s="1"/>
  <c r="FZ165" i="1"/>
  <c r="GC7" i="1"/>
  <c r="GD7" i="1" s="1"/>
  <c r="GE7" i="1" s="1"/>
  <c r="FO25" i="1"/>
  <c r="FP25" i="1" s="1"/>
  <c r="GA298" i="1"/>
  <c r="GA25" i="1"/>
  <c r="FO89" i="1"/>
  <c r="FP89" i="1" s="1"/>
  <c r="FO287" i="1"/>
  <c r="FP287" i="1" s="1"/>
  <c r="GC131" i="1"/>
  <c r="GD131" i="1" s="1"/>
  <c r="GE131" i="1" s="1"/>
  <c r="FQ88" i="1"/>
  <c r="FR88" i="1" s="1"/>
  <c r="GC287" i="1"/>
  <c r="GD287" i="1" s="1"/>
  <c r="GE287" i="1" s="1"/>
  <c r="GC192" i="1"/>
  <c r="GD192" i="1" s="1"/>
  <c r="GE192" i="1" s="1"/>
  <c r="FS70" i="1"/>
  <c r="FT70" i="1" s="1"/>
  <c r="FS88" i="1"/>
  <c r="FT88" i="1" s="1"/>
  <c r="GA190" i="1"/>
  <c r="FO144" i="1"/>
  <c r="FP144" i="1" s="1"/>
  <c r="FO156" i="1"/>
  <c r="FP156" i="1" s="1"/>
  <c r="GA144" i="1"/>
  <c r="FS173" i="1"/>
  <c r="FT173" i="1" s="1"/>
  <c r="FO245" i="1"/>
  <c r="FP245" i="1" s="1"/>
  <c r="FQ173" i="1"/>
  <c r="FR173" i="1" s="1"/>
  <c r="FU190" i="1"/>
  <c r="FV190" i="1" s="1"/>
  <c r="GA150" i="1"/>
  <c r="FZ89" i="1"/>
  <c r="GA89" i="1" s="1"/>
  <c r="GC122" i="1"/>
  <c r="GD122" i="1" s="1"/>
  <c r="GE122" i="1" s="1"/>
  <c r="GA90" i="1"/>
  <c r="FO286" i="1"/>
  <c r="FP286" i="1" s="1"/>
  <c r="GA72" i="1"/>
  <c r="FZ7" i="1"/>
  <c r="FO41" i="1"/>
  <c r="FP41" i="1" s="1"/>
  <c r="FZ287" i="1"/>
  <c r="FZ88" i="1"/>
  <c r="FZ52" i="1"/>
  <c r="FS12" i="1"/>
  <c r="FT12" i="1" s="1"/>
  <c r="FU88" i="1"/>
  <c r="FV88" i="1" s="1"/>
  <c r="FS287" i="1"/>
  <c r="FT287" i="1" s="1"/>
  <c r="GA245" i="1"/>
  <c r="FS127" i="1"/>
  <c r="FT127" i="1" s="1"/>
  <c r="GC88" i="1"/>
  <c r="GD88" i="1" s="1"/>
  <c r="GE88" i="1" s="1"/>
  <c r="FQ127" i="1"/>
  <c r="FR127" i="1" s="1"/>
  <c r="FO234" i="1"/>
  <c r="FP234" i="1" s="1"/>
  <c r="FZ90" i="1"/>
  <c r="FZ286" i="1"/>
  <c r="FO173" i="1"/>
  <c r="FP173" i="1" s="1"/>
  <c r="FZ258" i="1"/>
  <c r="FZ72" i="1"/>
  <c r="GA7" i="1"/>
  <c r="GA41" i="1"/>
  <c r="GA122" i="1"/>
  <c r="FO70" i="1"/>
  <c r="FP70" i="1" s="1"/>
  <c r="GC179" i="1"/>
  <c r="GD179" i="1" s="1"/>
  <c r="GE179" i="1" s="1"/>
  <c r="GC177" i="1"/>
  <c r="GD177" i="1" s="1"/>
  <c r="GE177" i="1" s="1"/>
  <c r="GC173" i="1"/>
  <c r="GD173" i="1" s="1"/>
  <c r="GE173" i="1" s="1"/>
  <c r="GC6" i="1"/>
  <c r="GD6" i="1" s="1"/>
  <c r="GE6" i="1" s="1"/>
  <c r="GC70" i="1"/>
  <c r="GD70" i="1" s="1"/>
  <c r="GE70" i="1" s="1"/>
  <c r="FS148" i="1"/>
  <c r="FT148" i="1" s="1"/>
  <c r="FQ174" i="1"/>
  <c r="FR174" i="1" s="1"/>
  <c r="FS61" i="1"/>
  <c r="FT61" i="1" s="1"/>
  <c r="FU287" i="1"/>
  <c r="FV287" i="1" s="1"/>
  <c r="FQ238" i="1"/>
  <c r="FR238" i="1" s="1"/>
  <c r="FU171" i="1"/>
  <c r="FV171" i="1" s="1"/>
  <c r="FQ111" i="1"/>
  <c r="FR111" i="1" s="1"/>
  <c r="GA165" i="1"/>
  <c r="FO122" i="1"/>
  <c r="FP122" i="1" s="1"/>
  <c r="GA131" i="1"/>
  <c r="GC278" i="1"/>
  <c r="GD278" i="1" s="1"/>
  <c r="GE278" i="1" s="1"/>
  <c r="GA137" i="1"/>
  <c r="FO285" i="1"/>
  <c r="FP285" i="1" s="1"/>
  <c r="FO127" i="1"/>
  <c r="FP127" i="1" s="1"/>
  <c r="GA118" i="1"/>
  <c r="GA286" i="1"/>
  <c r="FO12" i="1"/>
  <c r="FP12" i="1" s="1"/>
  <c r="GA42" i="1"/>
  <c r="FO147" i="1"/>
  <c r="FP147" i="1" s="1"/>
  <c r="FO171" i="1"/>
  <c r="FP171" i="1" s="1"/>
  <c r="FO6" i="1"/>
  <c r="FP6" i="1" s="1"/>
  <c r="FO248" i="1"/>
  <c r="FP248" i="1" s="1"/>
  <c r="FZ70" i="1"/>
  <c r="FO266" i="1"/>
  <c r="FP266" i="1" s="1"/>
  <c r="FS174" i="1"/>
  <c r="FT174" i="1" s="1"/>
  <c r="FQ61" i="1"/>
  <c r="FR61" i="1" s="1"/>
  <c r="FS285" i="1"/>
  <c r="FT285" i="1" s="1"/>
  <c r="FQ67" i="1"/>
  <c r="FR67" i="1" s="1"/>
  <c r="FQ141" i="1"/>
  <c r="FR141" i="1" s="1"/>
  <c r="FU111" i="1"/>
  <c r="FV111" i="1" s="1"/>
  <c r="FO90" i="1"/>
  <c r="FP90" i="1" s="1"/>
  <c r="FO258" i="1"/>
  <c r="FP258" i="1" s="1"/>
  <c r="GA258" i="1"/>
  <c r="FO257" i="1"/>
  <c r="FP257" i="1" s="1"/>
  <c r="GA275" i="1"/>
  <c r="GC41" i="1"/>
  <c r="GD41" i="1" s="1"/>
  <c r="GE41" i="1" s="1"/>
  <c r="FO190" i="1"/>
  <c r="FP190" i="1" s="1"/>
  <c r="FZ173" i="1"/>
  <c r="FZ12" i="1"/>
  <c r="FO61" i="1"/>
  <c r="FZ147" i="1"/>
  <c r="GA171" i="1"/>
  <c r="FZ6" i="1"/>
  <c r="GA248" i="1"/>
  <c r="GA70" i="1"/>
  <c r="GA266" i="1"/>
  <c r="GC171" i="1"/>
  <c r="GD171" i="1" s="1"/>
  <c r="GE171" i="1" s="1"/>
  <c r="GC257" i="1"/>
  <c r="GD257" i="1" s="1"/>
  <c r="GE257" i="1" s="1"/>
  <c r="FQ70" i="1"/>
  <c r="FR70" i="1" s="1"/>
  <c r="FS155" i="1"/>
  <c r="FQ231" i="1"/>
  <c r="FR231" i="1" s="1"/>
  <c r="FS67" i="1"/>
  <c r="FT67" i="1" s="1"/>
  <c r="FU35" i="1"/>
  <c r="FV35" i="1" s="1"/>
  <c r="FS141" i="1"/>
  <c r="FT141" i="1" s="1"/>
  <c r="FQ72" i="1"/>
  <c r="FR72" i="1" s="1"/>
  <c r="FZ285" i="1"/>
  <c r="FZ127" i="1"/>
  <c r="GA285" i="1"/>
  <c r="FZ190" i="1"/>
  <c r="GA127" i="1"/>
  <c r="GA173" i="1"/>
  <c r="GA12" i="1"/>
  <c r="FZ61" i="1"/>
  <c r="GA147" i="1"/>
  <c r="FO35" i="1"/>
  <c r="FP35" i="1" s="1"/>
  <c r="GB283" i="1"/>
  <c r="FQ248" i="1"/>
  <c r="FR248" i="1" s="1"/>
  <c r="FQ147" i="1"/>
  <c r="FR147" i="1" s="1"/>
  <c r="FQ35" i="1"/>
  <c r="FR35" i="1" s="1"/>
  <c r="FQ221" i="1"/>
  <c r="FR221" i="1" s="1"/>
  <c r="FO146" i="1"/>
  <c r="FP146" i="1" s="1"/>
  <c r="GA210" i="1"/>
  <c r="FO263" i="1"/>
  <c r="FP263" i="1" s="1"/>
  <c r="FO175" i="1"/>
  <c r="FP175" i="1" s="1"/>
  <c r="FZ26" i="1"/>
  <c r="GA26" i="1" s="1"/>
  <c r="FU297" i="1"/>
  <c r="FV297" i="1" s="1"/>
  <c r="FS13" i="1"/>
  <c r="FT13" i="1" s="1"/>
  <c r="GA146" i="1"/>
  <c r="FZ210" i="1"/>
  <c r="FU263" i="1"/>
  <c r="FV263" i="1" s="1"/>
  <c r="FS175" i="1"/>
  <c r="FT175" i="1" s="1"/>
  <c r="FQ64" i="1"/>
  <c r="FR64" i="1" s="1"/>
  <c r="FZ146" i="1"/>
  <c r="FO150" i="1"/>
  <c r="FP150" i="1" s="1"/>
  <c r="FZ263" i="1"/>
  <c r="FO295" i="1"/>
  <c r="FP295" i="1" s="1"/>
  <c r="FO202" i="1"/>
  <c r="FP202" i="1" s="1"/>
  <c r="FU256" i="1"/>
  <c r="FV256" i="1" s="1"/>
  <c r="FS252" i="1"/>
  <c r="FT252" i="1" s="1"/>
  <c r="FO27" i="1"/>
  <c r="FP27" i="1" s="1"/>
  <c r="GA263" i="1"/>
  <c r="GA82" i="1"/>
  <c r="FZ295" i="1"/>
  <c r="FO4" i="1"/>
  <c r="FP4" i="1" s="1"/>
  <c r="GC98" i="1"/>
  <c r="GD98" i="1" s="1"/>
  <c r="GE98" i="1" s="1"/>
  <c r="GA27" i="1"/>
  <c r="FZ221" i="1"/>
  <c r="GA221" i="1" s="1"/>
  <c r="FO292" i="1"/>
  <c r="FP292" i="1" s="1"/>
  <c r="FO252" i="1"/>
  <c r="FP252" i="1" s="1"/>
  <c r="FO98" i="1"/>
  <c r="FP98" i="1" s="1"/>
  <c r="GA297" i="1"/>
  <c r="FZ106" i="1"/>
  <c r="FZ112" i="1"/>
  <c r="GA112" i="1" s="1"/>
  <c r="GC295" i="1"/>
  <c r="GD295" i="1" s="1"/>
  <c r="GE295" i="1" s="1"/>
  <c r="GC263" i="1"/>
  <c r="GD263" i="1" s="1"/>
  <c r="GE263" i="1" s="1"/>
  <c r="FQ144" i="1"/>
  <c r="FR144" i="1" s="1"/>
  <c r="FU72" i="1"/>
  <c r="FV72" i="1" s="1"/>
  <c r="FS144" i="1"/>
  <c r="FT144" i="1" s="1"/>
  <c r="FS187" i="1"/>
  <c r="FB129" i="1"/>
  <c r="FD129" i="1" s="1"/>
  <c r="FE129" i="1" s="1"/>
  <c r="FF129" i="1" s="1"/>
  <c r="FG129" i="1" s="1"/>
  <c r="FI129" i="1" s="1"/>
  <c r="FQ187" i="1"/>
  <c r="FR187" i="1" s="1"/>
  <c r="FQ171" i="1"/>
  <c r="FR171" i="1" s="1"/>
  <c r="FZ137" i="1"/>
  <c r="FZ42" i="1"/>
  <c r="FO60" i="1"/>
  <c r="FP60" i="1" s="1"/>
  <c r="FO69" i="1"/>
  <c r="FP69" i="1" s="1"/>
  <c r="GC159" i="1"/>
  <c r="GD159" i="1" s="1"/>
  <c r="GE159" i="1" s="1"/>
  <c r="FQ153" i="1"/>
  <c r="FR153" i="1" s="1"/>
  <c r="FO180" i="1"/>
  <c r="FP180" i="1" s="1"/>
  <c r="GC180" i="1"/>
  <c r="GD180" i="1" s="1"/>
  <c r="GE180" i="1" s="1"/>
  <c r="FS153" i="1"/>
  <c r="FT153" i="1" s="1"/>
  <c r="GC234" i="1"/>
  <c r="GD234" i="1" s="1"/>
  <c r="GE234" i="1" s="1"/>
  <c r="FS60" i="1"/>
  <c r="FT60" i="1" s="1"/>
  <c r="FS261" i="1"/>
  <c r="FT261" i="1" s="1"/>
  <c r="FB49" i="1"/>
  <c r="FD49" i="1" s="1"/>
  <c r="FE49" i="1" s="1"/>
  <c r="FF49" i="1" s="1"/>
  <c r="FG49" i="1" s="1"/>
  <c r="FI49" i="1" s="1"/>
  <c r="FB118" i="1"/>
  <c r="FD118" i="1" s="1"/>
  <c r="FE118" i="1" s="1"/>
  <c r="FF118" i="1" s="1"/>
  <c r="FG118" i="1" s="1"/>
  <c r="FI118" i="1" s="1"/>
  <c r="FZ171" i="1"/>
  <c r="FZ48" i="1"/>
  <c r="FZ278" i="1"/>
  <c r="FO275" i="1"/>
  <c r="FP275" i="1" s="1"/>
  <c r="FZ248" i="1"/>
  <c r="FZ180" i="1"/>
  <c r="GC72" i="1"/>
  <c r="GD72" i="1" s="1"/>
  <c r="GE72" i="1" s="1"/>
  <c r="GC127" i="1"/>
  <c r="GD127" i="1" s="1"/>
  <c r="GE127" i="1" s="1"/>
  <c r="FQ90" i="1"/>
  <c r="FR90" i="1" s="1"/>
  <c r="FS258" i="1"/>
  <c r="FT258" i="1" s="1"/>
  <c r="GC90" i="1"/>
  <c r="GD90" i="1" s="1"/>
  <c r="GE90" i="1" s="1"/>
  <c r="FS41" i="1"/>
  <c r="FT41" i="1" s="1"/>
  <c r="FU285" i="1"/>
  <c r="FV285" i="1" s="1"/>
  <c r="FQ275" i="1"/>
  <c r="FR275" i="1" s="1"/>
  <c r="FU144" i="1"/>
  <c r="FV144" i="1" s="1"/>
  <c r="FQ261" i="1"/>
  <c r="FR261" i="1" s="1"/>
  <c r="FO261" i="1"/>
  <c r="FP261" i="1" s="1"/>
  <c r="FZ275" i="1"/>
  <c r="GC61" i="1"/>
  <c r="GD61" i="1" s="1"/>
  <c r="GE61" i="1" s="1"/>
  <c r="GC147" i="1"/>
  <c r="GD147" i="1" s="1"/>
  <c r="GE147" i="1" s="1"/>
  <c r="GC48" i="1"/>
  <c r="GD48" i="1" s="1"/>
  <c r="GE48" i="1" s="1"/>
  <c r="GC286" i="1"/>
  <c r="GD286" i="1" s="1"/>
  <c r="GE286" i="1" s="1"/>
  <c r="GC190" i="1"/>
  <c r="GD190" i="1" s="1"/>
  <c r="GE190" i="1" s="1"/>
  <c r="FU90" i="1"/>
  <c r="FV90" i="1" s="1"/>
  <c r="FU258" i="1"/>
  <c r="FV258" i="1" s="1"/>
  <c r="GC258" i="1"/>
  <c r="GD258" i="1" s="1"/>
  <c r="GE258" i="1" s="1"/>
  <c r="FU41" i="1"/>
  <c r="FV41" i="1" s="1"/>
  <c r="FQ165" i="1"/>
  <c r="FR165" i="1" s="1"/>
  <c r="FQ285" i="1"/>
  <c r="FR285" i="1" s="1"/>
  <c r="FU275" i="1"/>
  <c r="FV275" i="1" s="1"/>
  <c r="FQ7" i="1"/>
  <c r="FR7" i="1" s="1"/>
  <c r="FQ286" i="1"/>
  <c r="FR286" i="1" s="1"/>
  <c r="FO159" i="1"/>
  <c r="FP159" i="1" s="1"/>
  <c r="FO78" i="1"/>
  <c r="FP78" i="1" s="1"/>
  <c r="FS48" i="1"/>
  <c r="FT48" i="1" s="1"/>
  <c r="FS245" i="1"/>
  <c r="FT245" i="1" s="1"/>
  <c r="FU165" i="1"/>
  <c r="FV165" i="1" s="1"/>
  <c r="FS275" i="1"/>
  <c r="FT275" i="1" s="1"/>
  <c r="FU7" i="1"/>
  <c r="FV7" i="1" s="1"/>
  <c r="FS286" i="1"/>
  <c r="FT286" i="1" s="1"/>
  <c r="FZ159" i="1"/>
  <c r="FO106" i="1"/>
  <c r="FP106" i="1" s="1"/>
  <c r="FZ185" i="1"/>
  <c r="GC165" i="1"/>
  <c r="GD165" i="1" s="1"/>
  <c r="GE165" i="1" s="1"/>
  <c r="FQ278" i="1"/>
  <c r="FR278" i="1" s="1"/>
  <c r="FS234" i="1"/>
  <c r="FT234" i="1" s="1"/>
  <c r="FQ48" i="1"/>
  <c r="FR48" i="1" s="1"/>
  <c r="FQ190" i="1"/>
  <c r="FR190" i="1" s="1"/>
  <c r="FU206" i="1"/>
  <c r="FV206" i="1" s="1"/>
  <c r="FQ245" i="1"/>
  <c r="FR245" i="1" s="1"/>
  <c r="FS131" i="1"/>
  <c r="FT131" i="1" s="1"/>
  <c r="FO48" i="1"/>
  <c r="FP48" i="1" s="1"/>
  <c r="GA287" i="1"/>
  <c r="FZ131" i="1"/>
  <c r="GC153" i="1"/>
  <c r="GD153" i="1" s="1"/>
  <c r="GE153" i="1" s="1"/>
  <c r="GC248" i="1"/>
  <c r="GD248" i="1" s="1"/>
  <c r="GE248" i="1" s="1"/>
  <c r="GC245" i="1"/>
  <c r="GD245" i="1" s="1"/>
  <c r="GE245" i="1" s="1"/>
  <c r="FQ234" i="1"/>
  <c r="FR234" i="1" s="1"/>
  <c r="FS206" i="1"/>
  <c r="FT206" i="1" s="1"/>
  <c r="FQ131" i="1"/>
  <c r="FR131" i="1" s="1"/>
  <c r="FU13" i="1"/>
  <c r="FV13" i="1" s="1"/>
  <c r="FS50" i="1"/>
  <c r="FT50" i="1" s="1"/>
  <c r="FQ256" i="1"/>
  <c r="FR256" i="1" s="1"/>
  <c r="FQ175" i="1"/>
  <c r="FR175" i="1" s="1"/>
  <c r="FU191" i="1"/>
  <c r="FV191" i="1" s="1"/>
  <c r="FS64" i="1"/>
  <c r="GA234" i="1"/>
  <c r="GA280" i="1"/>
  <c r="FZ261" i="1"/>
  <c r="FZ13" i="1"/>
  <c r="FO283" i="1"/>
  <c r="FP283" i="1" s="1"/>
  <c r="GA256" i="1"/>
  <c r="FZ143" i="1"/>
  <c r="GA64" i="1"/>
  <c r="GA52" i="1"/>
  <c r="GA202" i="1"/>
  <c r="GB69" i="1"/>
  <c r="GC64" i="1"/>
  <c r="GD64" i="1" s="1"/>
  <c r="GE64" i="1" s="1"/>
  <c r="GC121" i="1"/>
  <c r="GD121" i="1" s="1"/>
  <c r="GE121" i="1" s="1"/>
  <c r="FQ210" i="1"/>
  <c r="FR210" i="1" s="1"/>
  <c r="FS137" i="1"/>
  <c r="FT137" i="1" s="1"/>
  <c r="FU234" i="1"/>
  <c r="FV234" i="1" s="1"/>
  <c r="FS297" i="1"/>
  <c r="FQ13" i="1"/>
  <c r="FR13" i="1" s="1"/>
  <c r="GC162" i="1"/>
  <c r="GD162" i="1" s="1"/>
  <c r="GE162" i="1" s="1"/>
  <c r="FS256" i="1"/>
  <c r="FT256" i="1" s="1"/>
  <c r="FU175" i="1"/>
  <c r="FV175" i="1" s="1"/>
  <c r="FQ112" i="1"/>
  <c r="FR112" i="1" s="1"/>
  <c r="FU252" i="1"/>
  <c r="FV252" i="1" s="1"/>
  <c r="FU27" i="1"/>
  <c r="FV27" i="1" s="1"/>
  <c r="FQ78" i="1"/>
  <c r="FR78" i="1" s="1"/>
  <c r="FU139" i="1"/>
  <c r="FV139" i="1" s="1"/>
  <c r="FU60" i="1"/>
  <c r="FV60" i="1" s="1"/>
  <c r="FQ259" i="1"/>
  <c r="FR259" i="1" s="1"/>
  <c r="FU261" i="1"/>
  <c r="FV261" i="1" s="1"/>
  <c r="FZ191" i="1"/>
  <c r="GA261" i="1"/>
  <c r="GA13" i="1"/>
  <c r="GA57" i="1"/>
  <c r="FZ175" i="1"/>
  <c r="GA143" i="1"/>
  <c r="FO121" i="1"/>
  <c r="FP121" i="1" s="1"/>
  <c r="FZ64" i="1"/>
  <c r="FZ60" i="1"/>
  <c r="FZ69" i="1"/>
  <c r="GA69" i="1" s="1"/>
  <c r="FZ202" i="1"/>
  <c r="GC191" i="1"/>
  <c r="GD191" i="1" s="1"/>
  <c r="GE191" i="1" s="1"/>
  <c r="GC185" i="1"/>
  <c r="GD185" i="1" s="1"/>
  <c r="GE185" i="1" s="1"/>
  <c r="FS146" i="1"/>
  <c r="FT146" i="1" s="1"/>
  <c r="FU137" i="1"/>
  <c r="FV137" i="1" s="1"/>
  <c r="FS218" i="1"/>
  <c r="FT218" i="1" s="1"/>
  <c r="FQ185" i="1"/>
  <c r="FR185" i="1" s="1"/>
  <c r="FQ263" i="1"/>
  <c r="FR263" i="1" s="1"/>
  <c r="FU292" i="1"/>
  <c r="FV292" i="1" s="1"/>
  <c r="FQ252" i="1"/>
  <c r="FR252" i="1" s="1"/>
  <c r="FQ27" i="1"/>
  <c r="FR27" i="1" s="1"/>
  <c r="FU78" i="1"/>
  <c r="FV78" i="1" s="1"/>
  <c r="FQ60" i="1"/>
  <c r="FR60" i="1" s="1"/>
  <c r="FU143" i="1"/>
  <c r="FV143" i="1" s="1"/>
  <c r="FU259" i="1"/>
  <c r="FV259" i="1" s="1"/>
  <c r="FQ137" i="1"/>
  <c r="FR137" i="1" s="1"/>
  <c r="GC82" i="1"/>
  <c r="GD82" i="1" s="1"/>
  <c r="GE82" i="1" s="1"/>
  <c r="FS112" i="1"/>
  <c r="GA191" i="1"/>
  <c r="FO218" i="1"/>
  <c r="FP218" i="1" s="1"/>
  <c r="FZ57" i="1"/>
  <c r="FZ283" i="1"/>
  <c r="GA283" i="1" s="1"/>
  <c r="FO10" i="1"/>
  <c r="FP10" i="1" s="1"/>
  <c r="GA175" i="1"/>
  <c r="FZ50" i="1"/>
  <c r="GA50" i="1" s="1"/>
  <c r="FO259" i="1"/>
  <c r="FP259" i="1" s="1"/>
  <c r="FO153" i="1"/>
  <c r="FP153" i="1" s="1"/>
  <c r="GA60" i="1"/>
  <c r="FO185" i="1"/>
  <c r="FP185" i="1" s="1"/>
  <c r="FZ78" i="1"/>
  <c r="FO162" i="1"/>
  <c r="FP162" i="1" s="1"/>
  <c r="GC52" i="1"/>
  <c r="GD52" i="1" s="1"/>
  <c r="GE52" i="1" s="1"/>
  <c r="GC143" i="1"/>
  <c r="GD143" i="1" s="1"/>
  <c r="GE143" i="1" s="1"/>
  <c r="FU146" i="1"/>
  <c r="FV146" i="1" s="1"/>
  <c r="FS82" i="1"/>
  <c r="FT82" i="1" s="1"/>
  <c r="FU218" i="1"/>
  <c r="FV218" i="1" s="1"/>
  <c r="FS185" i="1"/>
  <c r="FT185" i="1" s="1"/>
  <c r="FQ280" i="1"/>
  <c r="FR280" i="1" s="1"/>
  <c r="FS78" i="1"/>
  <c r="FT78" i="1" s="1"/>
  <c r="FQ143" i="1"/>
  <c r="FR143" i="1" s="1"/>
  <c r="FS259" i="1"/>
  <c r="FT259" i="1" s="1"/>
  <c r="GB112" i="1"/>
  <c r="GA10" i="1"/>
  <c r="FO206" i="1"/>
  <c r="FP206" i="1" s="1"/>
  <c r="GA121" i="1"/>
  <c r="GA78" i="1"/>
  <c r="GA162" i="1"/>
  <c r="GC57" i="1"/>
  <c r="GD57" i="1" s="1"/>
  <c r="GE57" i="1" s="1"/>
  <c r="GC206" i="1"/>
  <c r="GD206" i="1" s="1"/>
  <c r="GE206" i="1" s="1"/>
  <c r="GC259" i="1"/>
  <c r="GD259" i="1" s="1"/>
  <c r="GE259" i="1" s="1"/>
  <c r="GC261" i="1"/>
  <c r="GD261" i="1" s="1"/>
  <c r="GE261" i="1" s="1"/>
  <c r="FQ121" i="1"/>
  <c r="FR121" i="1" s="1"/>
  <c r="FQ57" i="1"/>
  <c r="FR57" i="1" s="1"/>
  <c r="FQ82" i="1"/>
  <c r="FR82" i="1" s="1"/>
  <c r="FQ218" i="1"/>
  <c r="FR218" i="1" s="1"/>
  <c r="FU185" i="1"/>
  <c r="FV185" i="1" s="1"/>
  <c r="FS280" i="1"/>
  <c r="FT280" i="1" s="1"/>
  <c r="FS143" i="1"/>
  <c r="FT143" i="1" s="1"/>
  <c r="FQ52" i="1"/>
  <c r="FR52" i="1" s="1"/>
  <c r="FZ82" i="1"/>
  <c r="FO57" i="1"/>
  <c r="FP57" i="1" s="1"/>
  <c r="FZ256" i="1"/>
  <c r="FO50" i="1"/>
  <c r="FP50" i="1" s="1"/>
  <c r="FO280" i="1"/>
  <c r="FP280" i="1" s="1"/>
  <c r="GA218" i="1"/>
  <c r="FZ10" i="1"/>
  <c r="FZ206" i="1"/>
  <c r="FZ121" i="1"/>
  <c r="FZ259" i="1"/>
  <c r="GA153" i="1"/>
  <c r="FZ156" i="1"/>
  <c r="FZ242" i="1"/>
  <c r="GC256" i="1"/>
  <c r="GD256" i="1" s="1"/>
  <c r="GE256" i="1" s="1"/>
  <c r="FS121" i="1"/>
  <c r="FT121" i="1" s="1"/>
  <c r="FS57" i="1"/>
  <c r="FU82" i="1"/>
  <c r="FV82" i="1" s="1"/>
  <c r="FU280" i="1"/>
  <c r="FV280" i="1" s="1"/>
  <c r="FQ69" i="1"/>
  <c r="FR69" i="1" s="1"/>
  <c r="FQ283" i="1"/>
  <c r="FR283" i="1" s="1"/>
  <c r="FU52" i="1"/>
  <c r="FV52" i="1" s="1"/>
  <c r="FQ191" i="1"/>
  <c r="FR191" i="1" s="1"/>
  <c r="FO191" i="1"/>
  <c r="FP191" i="1" s="1"/>
  <c r="FO13" i="1"/>
  <c r="FP13" i="1" s="1"/>
  <c r="FZ138" i="1"/>
  <c r="FO137" i="1"/>
  <c r="FP137" i="1" s="1"/>
  <c r="GA206" i="1"/>
  <c r="FZ153" i="1"/>
  <c r="FO64" i="1"/>
  <c r="FP64" i="1" s="1"/>
  <c r="FO138" i="1"/>
  <c r="FP138" i="1" s="1"/>
  <c r="FO52" i="1"/>
  <c r="FP52" i="1" s="1"/>
  <c r="GA163" i="1"/>
  <c r="FQ163" i="1"/>
  <c r="FR163" i="1" s="1"/>
  <c r="GA38" i="1"/>
  <c r="GA192" i="1"/>
  <c r="FO184" i="1"/>
  <c r="FP184" i="1" s="1"/>
  <c r="FO63" i="1"/>
  <c r="FP63" i="1" s="1"/>
  <c r="FO178" i="1"/>
  <c r="FP178" i="1" s="1"/>
  <c r="FO76" i="1"/>
  <c r="FP76" i="1" s="1"/>
  <c r="GC247" i="1"/>
  <c r="GD247" i="1" s="1"/>
  <c r="GE247" i="1" s="1"/>
  <c r="FS247" i="1"/>
  <c r="FQ123" i="1"/>
  <c r="FR123" i="1" s="1"/>
  <c r="FQ53" i="1"/>
  <c r="FR53" i="1" s="1"/>
  <c r="FQ184" i="1"/>
  <c r="FR184" i="1" s="1"/>
  <c r="FS163" i="1"/>
  <c r="FT163" i="1" s="1"/>
  <c r="FU5" i="1"/>
  <c r="FV5" i="1" s="1"/>
  <c r="FO5" i="1"/>
  <c r="FP5" i="1" s="1"/>
  <c r="FZ298" i="1"/>
  <c r="GC97" i="1"/>
  <c r="GD97" i="1" s="1"/>
  <c r="GE97" i="1" s="1"/>
  <c r="FU247" i="1"/>
  <c r="FV247" i="1" s="1"/>
  <c r="FU53" i="1"/>
  <c r="FV53" i="1" s="1"/>
  <c r="FB181" i="1"/>
  <c r="FD181" i="1" s="1"/>
  <c r="FE181" i="1" s="1"/>
  <c r="FF181" i="1" s="1"/>
  <c r="FG181" i="1" s="1"/>
  <c r="FI181" i="1" s="1"/>
  <c r="FB70" i="1"/>
  <c r="FD70" i="1" s="1"/>
  <c r="FE70" i="1" s="1"/>
  <c r="FF70" i="1" s="1"/>
  <c r="FG70" i="1" s="1"/>
  <c r="FI70" i="1" s="1"/>
  <c r="FO33" i="1"/>
  <c r="FP33" i="1" s="1"/>
  <c r="GA178" i="1"/>
  <c r="GC93" i="1"/>
  <c r="GD93" i="1" s="1"/>
  <c r="GE93" i="1" s="1"/>
  <c r="GC178" i="1"/>
  <c r="GD178" i="1" s="1"/>
  <c r="GE178" i="1" s="1"/>
  <c r="FQ247" i="1"/>
  <c r="FR247" i="1" s="1"/>
  <c r="FU123" i="1"/>
  <c r="FV123" i="1" s="1"/>
  <c r="FS184" i="1"/>
  <c r="FT184" i="1" s="1"/>
  <c r="FU163" i="1"/>
  <c r="FV163" i="1" s="1"/>
  <c r="FS5" i="1"/>
  <c r="FT5" i="1" s="1"/>
  <c r="FZ5" i="1"/>
  <c r="FZ33" i="1"/>
  <c r="GA33" i="1" s="1"/>
  <c r="FO134" i="1"/>
  <c r="FP134" i="1" s="1"/>
  <c r="FO247" i="1"/>
  <c r="FP247" i="1" s="1"/>
  <c r="FO53" i="1"/>
  <c r="FP53" i="1" s="1"/>
  <c r="GC53" i="1"/>
  <c r="GD53" i="1" s="1"/>
  <c r="GE53" i="1" s="1"/>
  <c r="FS123" i="1"/>
  <c r="FU184" i="1"/>
  <c r="FV184" i="1" s="1"/>
  <c r="FQ93" i="1"/>
  <c r="FR93" i="1" s="1"/>
  <c r="FZ163" i="1"/>
  <c r="GC76" i="1"/>
  <c r="GD76" i="1" s="1"/>
  <c r="GE76" i="1" s="1"/>
  <c r="FU76" i="1"/>
  <c r="FV76" i="1" s="1"/>
  <c r="GA5" i="1"/>
  <c r="FZ134" i="1"/>
  <c r="GA97" i="1"/>
  <c r="FZ184" i="1"/>
  <c r="FO290" i="1"/>
  <c r="FP290" i="1" s="1"/>
  <c r="FO93" i="1"/>
  <c r="FP93" i="1" s="1"/>
  <c r="FZ63" i="1"/>
  <c r="FO123" i="1"/>
  <c r="FP123" i="1" s="1"/>
  <c r="FO163" i="1"/>
  <c r="FP163" i="1" s="1"/>
  <c r="GC134" i="1"/>
  <c r="GD134" i="1" s="1"/>
  <c r="GE134" i="1" s="1"/>
  <c r="GC5" i="1"/>
  <c r="GD5" i="1" s="1"/>
  <c r="GE5" i="1" s="1"/>
  <c r="FS38" i="1"/>
  <c r="FT38" i="1" s="1"/>
  <c r="FS63" i="1"/>
  <c r="FT63" i="1" s="1"/>
  <c r="FU93" i="1"/>
  <c r="FV93" i="1" s="1"/>
  <c r="FQ76" i="1"/>
  <c r="FR76" i="1" s="1"/>
  <c r="FO118" i="1"/>
  <c r="FP118" i="1" s="1"/>
  <c r="FO38" i="1"/>
  <c r="FP38" i="1" s="1"/>
  <c r="GA184" i="1"/>
  <c r="GA290" i="1"/>
  <c r="GA63" i="1"/>
  <c r="FZ76" i="1"/>
  <c r="GC63" i="1"/>
  <c r="GD63" i="1" s="1"/>
  <c r="GE63" i="1" s="1"/>
  <c r="FQ38" i="1"/>
  <c r="FR38" i="1" s="1"/>
  <c r="FQ63" i="1"/>
  <c r="FR63" i="1" s="1"/>
  <c r="FS76" i="1"/>
  <c r="FT76" i="1" s="1"/>
  <c r="FS93" i="1"/>
  <c r="FT93" i="1" s="1"/>
  <c r="FZ38" i="1"/>
  <c r="FZ118" i="1"/>
  <c r="FZ290" i="1"/>
  <c r="GA76" i="1"/>
  <c r="GC38" i="1"/>
  <c r="GD38" i="1" s="1"/>
  <c r="GE38" i="1" s="1"/>
  <c r="FU209" i="1"/>
  <c r="FV209" i="1" s="1"/>
  <c r="FS209" i="1"/>
  <c r="FT209" i="1" s="1"/>
  <c r="FQ209" i="1"/>
  <c r="FR209" i="1" s="1"/>
  <c r="FQ65" i="1"/>
  <c r="FR65" i="1" s="1"/>
  <c r="FU65" i="1"/>
  <c r="FV65" i="1" s="1"/>
  <c r="FS65" i="1"/>
  <c r="FT65" i="1" s="1"/>
  <c r="GA194" i="1"/>
  <c r="GC65" i="1"/>
  <c r="GD65" i="1" s="1"/>
  <c r="GE65" i="1" s="1"/>
  <c r="FU177" i="1"/>
  <c r="FV177" i="1" s="1"/>
  <c r="FS177" i="1"/>
  <c r="FT177" i="1" s="1"/>
  <c r="FQ177" i="1"/>
  <c r="FR177" i="1" s="1"/>
  <c r="FU198" i="1"/>
  <c r="FV198" i="1" s="1"/>
  <c r="FS198" i="1"/>
  <c r="FT198" i="1" s="1"/>
  <c r="FQ198" i="1"/>
  <c r="FR198" i="1" s="1"/>
  <c r="FU73" i="1"/>
  <c r="FV73" i="1" s="1"/>
  <c r="FQ73" i="1"/>
  <c r="FR73" i="1" s="1"/>
  <c r="FS73" i="1"/>
  <c r="FT73" i="1" s="1"/>
  <c r="FU97" i="1"/>
  <c r="FV97" i="1" s="1"/>
  <c r="FS97" i="1"/>
  <c r="FT97" i="1" s="1"/>
  <c r="FQ97" i="1"/>
  <c r="FR97" i="1" s="1"/>
  <c r="FB238" i="1"/>
  <c r="FD238" i="1" s="1"/>
  <c r="FE238" i="1" s="1"/>
  <c r="FF238" i="1" s="1"/>
  <c r="FG238" i="1" s="1"/>
  <c r="FI238" i="1" s="1"/>
  <c r="FZ65" i="1"/>
  <c r="FO73" i="1"/>
  <c r="FP73" i="1" s="1"/>
  <c r="FZ198" i="1"/>
  <c r="FZ194" i="1"/>
  <c r="FS6" i="1"/>
  <c r="FU6" i="1"/>
  <c r="FV6" i="1" s="1"/>
  <c r="FQ6" i="1"/>
  <c r="FR6" i="1" s="1"/>
  <c r="FU159" i="1"/>
  <c r="FV159" i="1" s="1"/>
  <c r="FQ159" i="1"/>
  <c r="FR159" i="1" s="1"/>
  <c r="FS159" i="1"/>
  <c r="FT159" i="1" s="1"/>
  <c r="FS106" i="1"/>
  <c r="FU106" i="1"/>
  <c r="FV106" i="1" s="1"/>
  <c r="FQ106" i="1"/>
  <c r="FR106" i="1" s="1"/>
  <c r="FU180" i="1"/>
  <c r="FV180" i="1" s="1"/>
  <c r="FQ180" i="1"/>
  <c r="FR180" i="1" s="1"/>
  <c r="FS180" i="1"/>
  <c r="FT180" i="1" s="1"/>
  <c r="GC106" i="1"/>
  <c r="GD106" i="1" s="1"/>
  <c r="GE106" i="1" s="1"/>
  <c r="FQ178" i="1"/>
  <c r="FR178" i="1" s="1"/>
  <c r="FU178" i="1"/>
  <c r="FV178" i="1" s="1"/>
  <c r="FS178" i="1"/>
  <c r="FT178" i="1" s="1"/>
  <c r="GA257" i="1"/>
  <c r="FO209" i="1"/>
  <c r="FP209" i="1" s="1"/>
  <c r="GA198" i="1"/>
  <c r="GA177" i="1"/>
  <c r="FQ150" i="1"/>
  <c r="FR150" i="1" s="1"/>
  <c r="FU150" i="1"/>
  <c r="FV150" i="1" s="1"/>
  <c r="FS150" i="1"/>
  <c r="FT150" i="1" s="1"/>
  <c r="FU246" i="1"/>
  <c r="FV246" i="1" s="1"/>
  <c r="FS246" i="1"/>
  <c r="FT246" i="1" s="1"/>
  <c r="FQ246" i="1"/>
  <c r="FR246" i="1" s="1"/>
  <c r="FQ26" i="1"/>
  <c r="FR26" i="1" s="1"/>
  <c r="FS26" i="1"/>
  <c r="FT26" i="1" s="1"/>
  <c r="FU4" i="1"/>
  <c r="FV4" i="1" s="1"/>
  <c r="FS4" i="1"/>
  <c r="FT4" i="1" s="1"/>
  <c r="FQ4" i="1"/>
  <c r="FR4" i="1" s="1"/>
  <c r="GA65" i="1"/>
  <c r="FZ177" i="1"/>
  <c r="FO242" i="1"/>
  <c r="FP242" i="1" s="1"/>
  <c r="GC198" i="1"/>
  <c r="GD198" i="1" s="1"/>
  <c r="GE198" i="1" s="1"/>
  <c r="FW42" i="1"/>
  <c r="FX42" i="1" s="1"/>
  <c r="FQ42" i="1"/>
  <c r="FR42" i="1" s="1"/>
  <c r="FU42" i="1"/>
  <c r="FV42" i="1" s="1"/>
  <c r="FS42" i="1"/>
  <c r="FT42" i="1" s="1"/>
  <c r="GC42" i="1"/>
  <c r="GD42" i="1" s="1"/>
  <c r="GE42" i="1" s="1"/>
  <c r="FS156" i="1"/>
  <c r="FU156" i="1"/>
  <c r="FV156" i="1" s="1"/>
  <c r="FQ156" i="1"/>
  <c r="FR156" i="1" s="1"/>
  <c r="FU295" i="1"/>
  <c r="FV295" i="1" s="1"/>
  <c r="FS295" i="1"/>
  <c r="FT295" i="1" s="1"/>
  <c r="FQ295" i="1"/>
  <c r="FR295" i="1" s="1"/>
  <c r="FQ138" i="1"/>
  <c r="FR138" i="1" s="1"/>
  <c r="FU138" i="1"/>
  <c r="FV138" i="1" s="1"/>
  <c r="FS138" i="1"/>
  <c r="FT138" i="1" s="1"/>
  <c r="FQ89" i="1"/>
  <c r="FR89" i="1" s="1"/>
  <c r="FS89" i="1"/>
  <c r="FB114" i="1"/>
  <c r="FD114" i="1" s="1"/>
  <c r="FE114" i="1" s="1"/>
  <c r="FF114" i="1" s="1"/>
  <c r="FG114" i="1" s="1"/>
  <c r="FI114" i="1" s="1"/>
  <c r="FB88" i="1"/>
  <c r="FD88" i="1" s="1"/>
  <c r="FE88" i="1" s="1"/>
  <c r="FF88" i="1" s="1"/>
  <c r="FG88" i="1" s="1"/>
  <c r="FI88" i="1" s="1"/>
  <c r="GA73" i="1"/>
  <c r="FO97" i="1"/>
  <c r="FP97" i="1" s="1"/>
  <c r="GC73" i="1"/>
  <c r="GD73" i="1" s="1"/>
  <c r="GE73" i="1" s="1"/>
  <c r="GC209" i="1"/>
  <c r="GD209" i="1" s="1"/>
  <c r="GE209" i="1" s="1"/>
  <c r="GC150" i="1"/>
  <c r="GD150" i="1" s="1"/>
  <c r="GE150" i="1" s="1"/>
  <c r="FS298" i="1"/>
  <c r="FT298" i="1" s="1"/>
  <c r="FQ298" i="1"/>
  <c r="FR298" i="1" s="1"/>
  <c r="FU298" i="1"/>
  <c r="FV298" i="1" s="1"/>
  <c r="FQ202" i="1"/>
  <c r="FR202" i="1" s="1"/>
  <c r="FU202" i="1"/>
  <c r="FV202" i="1" s="1"/>
  <c r="FS202" i="1"/>
  <c r="FT202" i="1" s="1"/>
  <c r="FQ25" i="1"/>
  <c r="FR25" i="1" s="1"/>
  <c r="FS25" i="1"/>
  <c r="FT25" i="1" s="1"/>
  <c r="FU25" i="1"/>
  <c r="FV25" i="1" s="1"/>
  <c r="FS133" i="1"/>
  <c r="FT133" i="1" s="1"/>
  <c r="FU133" i="1"/>
  <c r="FV133" i="1" s="1"/>
  <c r="FQ133" i="1"/>
  <c r="FR133" i="1" s="1"/>
  <c r="FQ257" i="1"/>
  <c r="FR257" i="1" s="1"/>
  <c r="FU257" i="1"/>
  <c r="FV257" i="1" s="1"/>
  <c r="FS257" i="1"/>
  <c r="FT257" i="1" s="1"/>
  <c r="FU194" i="1"/>
  <c r="FV194" i="1" s="1"/>
  <c r="FS194" i="1"/>
  <c r="FT194" i="1" s="1"/>
  <c r="FQ194" i="1"/>
  <c r="FR194" i="1" s="1"/>
  <c r="FS242" i="1"/>
  <c r="FT242" i="1" s="1"/>
  <c r="FU242" i="1"/>
  <c r="FV242" i="1" s="1"/>
  <c r="FQ242" i="1"/>
  <c r="FR242" i="1" s="1"/>
  <c r="FO65" i="1"/>
  <c r="FP65" i="1" s="1"/>
  <c r="FZ73" i="1"/>
  <c r="GA209" i="1"/>
  <c r="FO194" i="1"/>
  <c r="FP194" i="1" s="1"/>
  <c r="FS33" i="1"/>
  <c r="FT33" i="1" s="1"/>
  <c r="FQ33" i="1"/>
  <c r="FR33" i="1" s="1"/>
  <c r="FS134" i="1"/>
  <c r="FT134" i="1" s="1"/>
  <c r="FU134" i="1"/>
  <c r="FV134" i="1" s="1"/>
  <c r="FQ134" i="1"/>
  <c r="FR134" i="1" s="1"/>
  <c r="FQ192" i="1"/>
  <c r="FR192" i="1" s="1"/>
  <c r="FU192" i="1"/>
  <c r="FV192" i="1" s="1"/>
  <c r="FS192" i="1"/>
  <c r="FS122" i="1"/>
  <c r="FT122" i="1" s="1"/>
  <c r="FU122" i="1"/>
  <c r="FV122" i="1" s="1"/>
  <c r="FQ122" i="1"/>
  <c r="FR122" i="1" s="1"/>
  <c r="FU266" i="1"/>
  <c r="FV266" i="1" s="1"/>
  <c r="FQ266" i="1"/>
  <c r="FR266" i="1" s="1"/>
  <c r="FS266" i="1"/>
  <c r="FT266" i="1" s="1"/>
  <c r="GC298" i="1"/>
  <c r="GD298" i="1" s="1"/>
  <c r="GE298" i="1" s="1"/>
  <c r="FB252" i="1"/>
  <c r="FD252" i="1" s="1"/>
  <c r="FE252" i="1" s="1"/>
  <c r="FF252" i="1" s="1"/>
  <c r="FG252" i="1" s="1"/>
  <c r="FI252" i="1" s="1"/>
  <c r="FZ209" i="1"/>
  <c r="FO198" i="1"/>
  <c r="FP198" i="1" s="1"/>
  <c r="GA242" i="1"/>
  <c r="FU290" i="1"/>
  <c r="FV290" i="1" s="1"/>
  <c r="FS290" i="1"/>
  <c r="FT290" i="1" s="1"/>
  <c r="FQ290" i="1"/>
  <c r="FR290" i="1" s="1"/>
  <c r="FS118" i="1"/>
  <c r="FT118" i="1" s="1"/>
  <c r="FQ118" i="1"/>
  <c r="FR118" i="1" s="1"/>
  <c r="FU118" i="1"/>
  <c r="FV118" i="1" s="1"/>
  <c r="FU162" i="1"/>
  <c r="FV162" i="1" s="1"/>
  <c r="FS162" i="1"/>
  <c r="FT162" i="1" s="1"/>
  <c r="FQ162" i="1"/>
  <c r="FR162" i="1" s="1"/>
  <c r="FS10" i="1"/>
  <c r="FU10" i="1"/>
  <c r="FV10" i="1" s="1"/>
  <c r="FQ10" i="1"/>
  <c r="FR10" i="1" s="1"/>
  <c r="FP68" i="1"/>
  <c r="FW68" i="1"/>
  <c r="FX68" i="1" s="1"/>
  <c r="FP293" i="1"/>
  <c r="FW293" i="1"/>
  <c r="FX293" i="1" s="1"/>
  <c r="FP250" i="1"/>
  <c r="FW250" i="1"/>
  <c r="FX250" i="1" s="1"/>
  <c r="FP251" i="1"/>
  <c r="FW251" i="1"/>
  <c r="FX251" i="1" s="1"/>
  <c r="FP298" i="1"/>
  <c r="FP91" i="1"/>
  <c r="FP174" i="1"/>
  <c r="FP85" i="1"/>
  <c r="FP124" i="1"/>
  <c r="FW124" i="1"/>
  <c r="FX124" i="1" s="1"/>
  <c r="FP96" i="1"/>
  <c r="FW96" i="1"/>
  <c r="FX96" i="1" s="1"/>
  <c r="FP140" i="1"/>
  <c r="FP168" i="1"/>
  <c r="FP211" i="1"/>
  <c r="FW211" i="1"/>
  <c r="FX211" i="1" s="1"/>
  <c r="FP195" i="1"/>
  <c r="FW195" i="1"/>
  <c r="FX195" i="1" s="1"/>
  <c r="FP92" i="1"/>
  <c r="FW92" i="1"/>
  <c r="FX92" i="1" s="1"/>
  <c r="FP228" i="1"/>
  <c r="FW228" i="1"/>
  <c r="FX228" i="1" s="1"/>
  <c r="FP55" i="1"/>
  <c r="FW55" i="1"/>
  <c r="FX55" i="1" s="1"/>
  <c r="FP299" i="1"/>
  <c r="FW299" i="1"/>
  <c r="FX299" i="1" s="1"/>
  <c r="FP30" i="1"/>
  <c r="FP80" i="1"/>
  <c r="FW80" i="1"/>
  <c r="FX80" i="1" s="1"/>
  <c r="FP40" i="1"/>
  <c r="FU40" i="1"/>
  <c r="FW40" i="1" s="1"/>
  <c r="FP219" i="1"/>
  <c r="FW219" i="1"/>
  <c r="FX219" i="1" s="1"/>
  <c r="FP265" i="1"/>
  <c r="FW265" i="1"/>
  <c r="FX265" i="1" s="1"/>
  <c r="FP154" i="1"/>
  <c r="FW154" i="1"/>
  <c r="FX154" i="1" s="1"/>
  <c r="FP200" i="1"/>
  <c r="FW200" i="1"/>
  <c r="FX200" i="1" s="1"/>
  <c r="FP99" i="1"/>
  <c r="FP199" i="1"/>
  <c r="FW199" i="1"/>
  <c r="FX199" i="1" s="1"/>
  <c r="FP8" i="1"/>
  <c r="FW8" i="1"/>
  <c r="FX8" i="1" s="1"/>
  <c r="FP101" i="1"/>
  <c r="FW101" i="1"/>
  <c r="FX101" i="1" s="1"/>
  <c r="FP213" i="1"/>
  <c r="FW213" i="1"/>
  <c r="FX213" i="1" s="1"/>
  <c r="FP128" i="1"/>
  <c r="FW128" i="1"/>
  <c r="FX128" i="1" s="1"/>
  <c r="FP15" i="1"/>
  <c r="FW15" i="1"/>
  <c r="FX15" i="1" s="1"/>
  <c r="FP270" i="1"/>
  <c r="FW270" i="1"/>
  <c r="FX270" i="1" s="1"/>
  <c r="FP203" i="1"/>
  <c r="FU203" i="1"/>
  <c r="FW203" i="1" s="1"/>
  <c r="FP66" i="1"/>
  <c r="FW66" i="1"/>
  <c r="FX66" i="1" s="1"/>
  <c r="FP29" i="1"/>
  <c r="FU29" i="1"/>
  <c r="FW29" i="1" s="1"/>
  <c r="FP47" i="1"/>
  <c r="FW47" i="1"/>
  <c r="FX47" i="1" s="1"/>
  <c r="FP230" i="1"/>
  <c r="FW230" i="1"/>
  <c r="FX230" i="1" s="1"/>
  <c r="FP276" i="1"/>
  <c r="FW276" i="1"/>
  <c r="FX276" i="1" s="1"/>
  <c r="FP271" i="1"/>
  <c r="FP272" i="1"/>
  <c r="FW272" i="1"/>
  <c r="FX272" i="1" s="1"/>
  <c r="FP240" i="1"/>
  <c r="FU240" i="1"/>
  <c r="FW240" i="1" s="1"/>
  <c r="FP24" i="1"/>
  <c r="FW24" i="1"/>
  <c r="FX24" i="1" s="1"/>
  <c r="FP229" i="1"/>
  <c r="FW229" i="1"/>
  <c r="FX229" i="1" s="1"/>
  <c r="FP49" i="1"/>
  <c r="FW49" i="1"/>
  <c r="FX49" i="1" s="1"/>
  <c r="FP145" i="1"/>
  <c r="FW145" i="1"/>
  <c r="FX145" i="1" s="1"/>
  <c r="FP119" i="1"/>
  <c r="FW119" i="1"/>
  <c r="FX119" i="1" s="1"/>
  <c r="FP19" i="1"/>
  <c r="FW19" i="1"/>
  <c r="FX19" i="1" s="1"/>
  <c r="FP284" i="1"/>
  <c r="FW284" i="1"/>
  <c r="FX284" i="1" s="1"/>
  <c r="FP279" i="1"/>
  <c r="FW279" i="1"/>
  <c r="FX279" i="1" s="1"/>
  <c r="FP152" i="1"/>
  <c r="FP277" i="1"/>
  <c r="FP113" i="1"/>
  <c r="FP87" i="1"/>
  <c r="FW87" i="1"/>
  <c r="FX87" i="1" s="1"/>
  <c r="FP262" i="1"/>
  <c r="FW262" i="1"/>
  <c r="FX262" i="1" s="1"/>
  <c r="FP239" i="1"/>
  <c r="FW239" i="1"/>
  <c r="FX239" i="1" s="1"/>
  <c r="FP193" i="1"/>
  <c r="FU193" i="1"/>
  <c r="FW193" i="1" s="1"/>
  <c r="FP136" i="1"/>
  <c r="FW136" i="1"/>
  <c r="FX136" i="1" s="1"/>
  <c r="FP109" i="1"/>
  <c r="FW109" i="1"/>
  <c r="FX109" i="1" s="1"/>
  <c r="FP264" i="1"/>
  <c r="FW264" i="1"/>
  <c r="FX264" i="1" s="1"/>
  <c r="FP9" i="1"/>
  <c r="FP143" i="1"/>
  <c r="FP197" i="1"/>
  <c r="FP112" i="1"/>
  <c r="FP120" i="1"/>
  <c r="FW120" i="1"/>
  <c r="FX120" i="1" s="1"/>
  <c r="FP186" i="1"/>
  <c r="FW186" i="1"/>
  <c r="FX186" i="1" s="1"/>
  <c r="FP232" i="1"/>
  <c r="FW232" i="1"/>
  <c r="FX232" i="1" s="1"/>
  <c r="FP208" i="1"/>
  <c r="FW208" i="1"/>
  <c r="FX208" i="1" s="1"/>
  <c r="FP82" i="1"/>
  <c r="FP255" i="1"/>
  <c r="FU255" i="1"/>
  <c r="FW255" i="1" s="1"/>
  <c r="FP54" i="1"/>
  <c r="FW54" i="1"/>
  <c r="FX54" i="1" s="1"/>
  <c r="FP157" i="1"/>
  <c r="FW157" i="1"/>
  <c r="FX157" i="1" s="1"/>
  <c r="FP236" i="1"/>
  <c r="FW236" i="1"/>
  <c r="FX236" i="1" s="1"/>
  <c r="FP267" i="1"/>
  <c r="FW267" i="1"/>
  <c r="FX267" i="1" s="1"/>
  <c r="FP289" i="1"/>
  <c r="FW289" i="1"/>
  <c r="FX289" i="1" s="1"/>
  <c r="FP182" i="1"/>
  <c r="FW182" i="1"/>
  <c r="FX182" i="1" s="1"/>
  <c r="FP217" i="1"/>
  <c r="FW217" i="1"/>
  <c r="FX217" i="1" s="1"/>
  <c r="FP108" i="1"/>
  <c r="FW108" i="1"/>
  <c r="FX108" i="1" s="1"/>
  <c r="FP256" i="1"/>
  <c r="FP172" i="1"/>
  <c r="FW172" i="1"/>
  <c r="FX172" i="1" s="1"/>
  <c r="FP177" i="1"/>
  <c r="FP274" i="1"/>
  <c r="FW274" i="1"/>
  <c r="FX274" i="1" s="1"/>
  <c r="FP23" i="1"/>
  <c r="FW23" i="1"/>
  <c r="FX23" i="1" s="1"/>
  <c r="FP46" i="1"/>
  <c r="FW46" i="1"/>
  <c r="FX46" i="1" s="1"/>
  <c r="FP294" i="1"/>
  <c r="FW294" i="1"/>
  <c r="FX294" i="1" s="1"/>
  <c r="FP241" i="1"/>
  <c r="FW241" i="1"/>
  <c r="FX241" i="1" s="1"/>
  <c r="FP291" i="1"/>
  <c r="FU291" i="1"/>
  <c r="FV291" i="1" s="1"/>
  <c r="FP216" i="1"/>
  <c r="FP115" i="1"/>
  <c r="FU115" i="1"/>
  <c r="FW115" i="1" s="1"/>
  <c r="FP2" i="1"/>
  <c r="FW2" i="1"/>
  <c r="FX2" i="1" s="1"/>
  <c r="FT165" i="1"/>
  <c r="FT241" i="1"/>
  <c r="FT199" i="1"/>
  <c r="FT240" i="1"/>
  <c r="FT263" i="1"/>
  <c r="FT147" i="1"/>
  <c r="FT8" i="1"/>
  <c r="FT145" i="1"/>
  <c r="FT15" i="1"/>
  <c r="FT108" i="1"/>
  <c r="FT124" i="1"/>
  <c r="FT189" i="1"/>
  <c r="FY189" i="1" s="1"/>
  <c r="GB189" i="1" s="1"/>
  <c r="FT66" i="1"/>
  <c r="FT176" i="1"/>
  <c r="FT222" i="1"/>
  <c r="FT233" i="1"/>
  <c r="FT14" i="1"/>
  <c r="FY14" i="1" s="1"/>
  <c r="GB14" i="1" s="1"/>
  <c r="FT265" i="1"/>
  <c r="FT186" i="1"/>
  <c r="FT35" i="1"/>
  <c r="FT161" i="1"/>
  <c r="FT115" i="1"/>
  <c r="FT39" i="1"/>
  <c r="FY39" i="1" s="1"/>
  <c r="GB39" i="1" s="1"/>
  <c r="FT208" i="1"/>
  <c r="FT132" i="1"/>
  <c r="FT80" i="1"/>
  <c r="FT276" i="1"/>
  <c r="FT154" i="1"/>
  <c r="FT92" i="1"/>
  <c r="FT151" i="1"/>
  <c r="FT55" i="1"/>
  <c r="FT40" i="1"/>
  <c r="FT91" i="1"/>
  <c r="FT190" i="1"/>
  <c r="FT232" i="1"/>
  <c r="FT96" i="1"/>
  <c r="FT289" i="1"/>
  <c r="FT58" i="1"/>
  <c r="FT116" i="1"/>
  <c r="FT3" i="1"/>
  <c r="FT170" i="1"/>
  <c r="FT36" i="1"/>
  <c r="FT117" i="1"/>
  <c r="FT72" i="1"/>
  <c r="FT7" i="1"/>
  <c r="FT105" i="1"/>
  <c r="FT211" i="1"/>
  <c r="FT107" i="1"/>
  <c r="FT47" i="1"/>
  <c r="FT23" i="1"/>
  <c r="FT291" i="1"/>
  <c r="FT229" i="1"/>
  <c r="FT79" i="1"/>
  <c r="FT262" i="1"/>
  <c r="FT299" i="1"/>
  <c r="FT219" i="1"/>
  <c r="FT43" i="1"/>
  <c r="FT11" i="1"/>
  <c r="FT228" i="1"/>
  <c r="FT182" i="1"/>
  <c r="FT270" i="1"/>
  <c r="FT54" i="1"/>
  <c r="FT203" i="1"/>
  <c r="FT171" i="1"/>
  <c r="FT250" i="1"/>
  <c r="FT98" i="1"/>
  <c r="FT19" i="1"/>
  <c r="FT279" i="1"/>
  <c r="FT29" i="1"/>
  <c r="FT278" i="1"/>
  <c r="FT87" i="1"/>
  <c r="FT272" i="1"/>
  <c r="FT200" i="1"/>
  <c r="FT69" i="1"/>
  <c r="FT81" i="1"/>
  <c r="FT68" i="1"/>
  <c r="FT32" i="1"/>
  <c r="FT215" i="1"/>
  <c r="FY215" i="1" s="1"/>
  <c r="GB215" i="1" s="1"/>
  <c r="FT49" i="1"/>
  <c r="FT109" i="1"/>
  <c r="FT158" i="1"/>
  <c r="FT128" i="1"/>
  <c r="FT24" i="1"/>
  <c r="FT230" i="1"/>
  <c r="FT179" i="1"/>
  <c r="FT243" i="1"/>
  <c r="FT294" i="1"/>
  <c r="FT21" i="1"/>
  <c r="FT191" i="1"/>
  <c r="FT267" i="1"/>
  <c r="FT136" i="1"/>
  <c r="FT239" i="1"/>
  <c r="FT20" i="1"/>
  <c r="FT210" i="1"/>
  <c r="FT101" i="1"/>
  <c r="FT193" i="1"/>
  <c r="FT217" i="1"/>
  <c r="FT16" i="1"/>
  <c r="FT157" i="1"/>
  <c r="FT129" i="1"/>
  <c r="FT172" i="1"/>
  <c r="FT46" i="1"/>
  <c r="FT269" i="1"/>
  <c r="FT195" i="1"/>
  <c r="FT277" i="1"/>
  <c r="FT293" i="1"/>
  <c r="FT119" i="1"/>
  <c r="FT284" i="1"/>
  <c r="FT236" i="1"/>
  <c r="FT160" i="1"/>
  <c r="FY160" i="1" s="1"/>
  <c r="GB160" i="1" s="1"/>
  <c r="FT27" i="1"/>
  <c r="FT90" i="1"/>
  <c r="FT221" i="1"/>
  <c r="FT264" i="1"/>
  <c r="FT255" i="1"/>
  <c r="FT283" i="1"/>
  <c r="FT111" i="1"/>
  <c r="FT274" i="1"/>
  <c r="FT22" i="1"/>
  <c r="FT251" i="1"/>
  <c r="FT120" i="1"/>
  <c r="FT52" i="1"/>
  <c r="FT2" i="1"/>
  <c r="FB253" i="1"/>
  <c r="FD253" i="1" s="1"/>
  <c r="FE253" i="1" s="1"/>
  <c r="FF253" i="1" s="1"/>
  <c r="FG253" i="1" s="1"/>
  <c r="FI253" i="1" s="1"/>
  <c r="FB98" i="1"/>
  <c r="FD98" i="1" s="1"/>
  <c r="FE98" i="1" s="1"/>
  <c r="FF98" i="1" s="1"/>
  <c r="FG98" i="1" s="1"/>
  <c r="FI98" i="1" s="1"/>
  <c r="FB6" i="1"/>
  <c r="FD6" i="1" s="1"/>
  <c r="FE6" i="1" s="1"/>
  <c r="FF6" i="1" s="1"/>
  <c r="FG6" i="1" s="1"/>
  <c r="FI6" i="1" s="1"/>
  <c r="FB112" i="1"/>
  <c r="FD112" i="1" s="1"/>
  <c r="FE112" i="1" s="1"/>
  <c r="FF112" i="1" s="1"/>
  <c r="FG112" i="1" s="1"/>
  <c r="FI112" i="1" s="1"/>
  <c r="FB186" i="1"/>
  <c r="FD186" i="1" s="1"/>
  <c r="FE186" i="1" s="1"/>
  <c r="FF186" i="1" s="1"/>
  <c r="FG186" i="1" s="1"/>
  <c r="FI186" i="1" s="1"/>
  <c r="GD252" i="1"/>
  <c r="GE252" i="1" s="1"/>
  <c r="GD228" i="1"/>
  <c r="GE228" i="1" s="1"/>
  <c r="GD101" i="1"/>
  <c r="GE101" i="1" s="1"/>
  <c r="FB288" i="1"/>
  <c r="FD288" i="1" s="1"/>
  <c r="FE288" i="1" s="1"/>
  <c r="FF288" i="1" s="1"/>
  <c r="FG288" i="1" s="1"/>
  <c r="FI288" i="1" s="1"/>
  <c r="GD96" i="1"/>
  <c r="GE96" i="1" s="1"/>
  <c r="GD47" i="1"/>
  <c r="GE47" i="1" s="1"/>
  <c r="GD14" i="1"/>
  <c r="GE14" i="1" s="1"/>
  <c r="GD200" i="1"/>
  <c r="GE200" i="1" s="1"/>
  <c r="GD163" i="1"/>
  <c r="GE163" i="1" s="1"/>
  <c r="GD188" i="1"/>
  <c r="GE188" i="1" s="1"/>
  <c r="GD137" i="1"/>
  <c r="GE137" i="1" s="1"/>
  <c r="GD184" i="1"/>
  <c r="GE184" i="1" s="1"/>
  <c r="GD19" i="1"/>
  <c r="GE19" i="1" s="1"/>
  <c r="GD181" i="1"/>
  <c r="GE181" i="1" s="1"/>
  <c r="GD297" i="1"/>
  <c r="GE297" i="1" s="1"/>
  <c r="GD15" i="1"/>
  <c r="GE15" i="1" s="1"/>
  <c r="GD267" i="1"/>
  <c r="GE267" i="1" s="1"/>
  <c r="FB150" i="1"/>
  <c r="FD150" i="1" s="1"/>
  <c r="FE150" i="1" s="1"/>
  <c r="FF150" i="1" s="1"/>
  <c r="FG150" i="1" s="1"/>
  <c r="FI150" i="1" s="1"/>
  <c r="GD217" i="1"/>
  <c r="GE217" i="1" s="1"/>
  <c r="FB86" i="1"/>
  <c r="FD86" i="1" s="1"/>
  <c r="FE86" i="1" s="1"/>
  <c r="FF86" i="1" s="1"/>
  <c r="FG86" i="1" s="1"/>
  <c r="FI86" i="1" s="1"/>
  <c r="GD277" i="1"/>
  <c r="GE277" i="1" s="1"/>
  <c r="GD46" i="1"/>
  <c r="GE46" i="1" s="1"/>
  <c r="GD214" i="1"/>
  <c r="GE214" i="1" s="1"/>
  <c r="GD299" i="1"/>
  <c r="GE299" i="1" s="1"/>
  <c r="GD39" i="1"/>
  <c r="GE39" i="1" s="1"/>
  <c r="GD194" i="1"/>
  <c r="GE194" i="1" s="1"/>
  <c r="GD80" i="1"/>
  <c r="GE80" i="1" s="1"/>
  <c r="GD289" i="1"/>
  <c r="GE289" i="1" s="1"/>
  <c r="GD182" i="1"/>
  <c r="GE182" i="1" s="1"/>
  <c r="GD199" i="1"/>
  <c r="GE199" i="1" s="1"/>
  <c r="GD8" i="1"/>
  <c r="GE8" i="1" s="1"/>
  <c r="GD108" i="1"/>
  <c r="GE108" i="1" s="1"/>
  <c r="GD175" i="1"/>
  <c r="GE175" i="1" s="1"/>
  <c r="GD219" i="1"/>
  <c r="GE219" i="1" s="1"/>
  <c r="GD91" i="1"/>
  <c r="GE91" i="1" s="1"/>
  <c r="GD293" i="1"/>
  <c r="GE293" i="1" s="1"/>
  <c r="GD236" i="1"/>
  <c r="GE236" i="1" s="1"/>
  <c r="GD92" i="1"/>
  <c r="GE92" i="1" s="1"/>
  <c r="GD49" i="1"/>
  <c r="GE49" i="1" s="1"/>
  <c r="GD285" i="1"/>
  <c r="GE285" i="1" s="1"/>
  <c r="GD24" i="1"/>
  <c r="GE24" i="1" s="1"/>
  <c r="GD109" i="1"/>
  <c r="GE109" i="1" s="1"/>
  <c r="GD136" i="1"/>
  <c r="GE136" i="1" s="1"/>
  <c r="GD55" i="1"/>
  <c r="GE55" i="1" s="1"/>
  <c r="GD13" i="1"/>
  <c r="GE13" i="1" s="1"/>
  <c r="GD211" i="1"/>
  <c r="GE211" i="1" s="1"/>
  <c r="GD241" i="1"/>
  <c r="GE241" i="1" s="1"/>
  <c r="GD60" i="1"/>
  <c r="GE60" i="1" s="1"/>
  <c r="GD284" i="1"/>
  <c r="GE284" i="1" s="1"/>
  <c r="GD172" i="1"/>
  <c r="GE172" i="1" s="1"/>
  <c r="GD119" i="1"/>
  <c r="GE119" i="1" s="1"/>
  <c r="GD87" i="1"/>
  <c r="GE87" i="1" s="1"/>
  <c r="GD264" i="1"/>
  <c r="GE264" i="1" s="1"/>
  <c r="GD120" i="1"/>
  <c r="GE120" i="1" s="1"/>
  <c r="GD253" i="1"/>
  <c r="GE253" i="1" s="1"/>
  <c r="GD270" i="1"/>
  <c r="GE270" i="1" s="1"/>
  <c r="GD213" i="1"/>
  <c r="GE213" i="1" s="1"/>
  <c r="GD54" i="1"/>
  <c r="GE54" i="1" s="1"/>
  <c r="GD160" i="1"/>
  <c r="GE160" i="1" s="1"/>
  <c r="GD276" i="1"/>
  <c r="GE276" i="1" s="1"/>
  <c r="GD157" i="1"/>
  <c r="GE157" i="1" s="1"/>
  <c r="GD229" i="1"/>
  <c r="GE229" i="1" s="1"/>
  <c r="GD232" i="1"/>
  <c r="GE232" i="1" s="1"/>
  <c r="GD239" i="1"/>
  <c r="GE239" i="1" s="1"/>
  <c r="GD118" i="1"/>
  <c r="GE118" i="1" s="1"/>
  <c r="GD272" i="1"/>
  <c r="GE272" i="1" s="1"/>
  <c r="GD124" i="1"/>
  <c r="GE124" i="1" s="1"/>
  <c r="GD123" i="1"/>
  <c r="GE123" i="1" s="1"/>
  <c r="GD126" i="1"/>
  <c r="GE126" i="1" s="1"/>
  <c r="GD294" i="1"/>
  <c r="GE294" i="1" s="1"/>
  <c r="GD262" i="1"/>
  <c r="GE262" i="1" s="1"/>
  <c r="GD205" i="1"/>
  <c r="GE205" i="1" s="1"/>
  <c r="GD99" i="1"/>
  <c r="GE99" i="1" s="1"/>
  <c r="GD68" i="1"/>
  <c r="GE68" i="1" s="1"/>
  <c r="GD208" i="1"/>
  <c r="GE208" i="1" s="1"/>
  <c r="GD189" i="1"/>
  <c r="GE189" i="1" s="1"/>
  <c r="GD279" i="1"/>
  <c r="GE279" i="1" s="1"/>
  <c r="GD135" i="1"/>
  <c r="GE135" i="1" s="1"/>
  <c r="GD128" i="1"/>
  <c r="GE128" i="1" s="1"/>
  <c r="GD23" i="1"/>
  <c r="GE23" i="1" s="1"/>
  <c r="GD251" i="1"/>
  <c r="GE251" i="1" s="1"/>
  <c r="GD78" i="1"/>
  <c r="GE78" i="1" s="1"/>
  <c r="GD265" i="1"/>
  <c r="GE265" i="1" s="1"/>
  <c r="GD275" i="1"/>
  <c r="GE275" i="1" s="1"/>
  <c r="GD230" i="1"/>
  <c r="GE230" i="1" s="1"/>
  <c r="GD215" i="1"/>
  <c r="GE215" i="1" s="1"/>
  <c r="FB38" i="1"/>
  <c r="FD38" i="1" s="1"/>
  <c r="FE38" i="1" s="1"/>
  <c r="FF38" i="1" s="1"/>
  <c r="FG38" i="1" s="1"/>
  <c r="FI38" i="1" s="1"/>
  <c r="FB120" i="1"/>
  <c r="FD120" i="1" s="1"/>
  <c r="FE120" i="1" s="1"/>
  <c r="FF120" i="1" s="1"/>
  <c r="FG120" i="1" s="1"/>
  <c r="FI120" i="1" s="1"/>
  <c r="FB131" i="1"/>
  <c r="FD131" i="1" s="1"/>
  <c r="FE131" i="1" s="1"/>
  <c r="FF131" i="1" s="1"/>
  <c r="FG131" i="1" s="1"/>
  <c r="FI131" i="1" s="1"/>
  <c r="FD209" i="1"/>
  <c r="FE209" i="1" s="1"/>
  <c r="FF209" i="1" s="1"/>
  <c r="FG209" i="1" s="1"/>
  <c r="FI209" i="1" s="1"/>
  <c r="FB134" i="1"/>
  <c r="FD134" i="1" s="1"/>
  <c r="FE134" i="1" s="1"/>
  <c r="FF134" i="1" s="1"/>
  <c r="FG134" i="1" s="1"/>
  <c r="FI134" i="1" s="1"/>
  <c r="FB264" i="1"/>
  <c r="FD264" i="1" s="1"/>
  <c r="FE264" i="1" s="1"/>
  <c r="FF264" i="1" s="1"/>
  <c r="FG264" i="1" s="1"/>
  <c r="FI264" i="1" s="1"/>
  <c r="FB265" i="1"/>
  <c r="FD265" i="1" s="1"/>
  <c r="FE265" i="1" s="1"/>
  <c r="FF265" i="1" s="1"/>
  <c r="FG265" i="1" s="1"/>
  <c r="FI265" i="1" s="1"/>
  <c r="FB29" i="1"/>
  <c r="FD29" i="1" s="1"/>
  <c r="FE29" i="1" s="1"/>
  <c r="FF29" i="1" s="1"/>
  <c r="FG29" i="1" s="1"/>
  <c r="FI29" i="1" s="1"/>
  <c r="FB296" i="1"/>
  <c r="FD296" i="1" s="1"/>
  <c r="FE296" i="1" s="1"/>
  <c r="FF296" i="1" s="1"/>
  <c r="FG296" i="1" s="1"/>
  <c r="FI296" i="1" s="1"/>
  <c r="FB208" i="1"/>
  <c r="FD208" i="1" s="1"/>
  <c r="FE208" i="1" s="1"/>
  <c r="FF208" i="1" s="1"/>
  <c r="FG208" i="1" s="1"/>
  <c r="FI208" i="1" s="1"/>
  <c r="FB204" i="1"/>
  <c r="FD204" i="1" s="1"/>
  <c r="FE204" i="1" s="1"/>
  <c r="FF204" i="1" s="1"/>
  <c r="FG204" i="1" s="1"/>
  <c r="FI204" i="1" s="1"/>
  <c r="FB290" i="1"/>
  <c r="FD290" i="1" s="1"/>
  <c r="FE290" i="1" s="1"/>
  <c r="FF290" i="1" s="1"/>
  <c r="FG290" i="1" s="1"/>
  <c r="FI290" i="1" s="1"/>
  <c r="FB94" i="1"/>
  <c r="FD94" i="1" s="1"/>
  <c r="FE94" i="1" s="1"/>
  <c r="FF94" i="1" s="1"/>
  <c r="FG94" i="1" s="1"/>
  <c r="FI94" i="1" s="1"/>
  <c r="FB12" i="1"/>
  <c r="FD12" i="1" s="1"/>
  <c r="FE12" i="1" s="1"/>
  <c r="FF12" i="1" s="1"/>
  <c r="FG12" i="1" s="1"/>
  <c r="FI12" i="1" s="1"/>
  <c r="FB211" i="1"/>
  <c r="FD211" i="1" s="1"/>
  <c r="FE211" i="1" s="1"/>
  <c r="FF211" i="1" s="1"/>
  <c r="FG211" i="1" s="1"/>
  <c r="FI211" i="1" s="1"/>
  <c r="FB101" i="1"/>
  <c r="FD101" i="1" s="1"/>
  <c r="FE101" i="1" s="1"/>
  <c r="FF101" i="1" s="1"/>
  <c r="FG101" i="1" s="1"/>
  <c r="FI101" i="1" s="1"/>
  <c r="FB165" i="1"/>
  <c r="FD165" i="1" s="1"/>
  <c r="FE165" i="1" s="1"/>
  <c r="FF165" i="1" s="1"/>
  <c r="FG165" i="1" s="1"/>
  <c r="FI165" i="1" s="1"/>
  <c r="FB279" i="1"/>
  <c r="FD279" i="1" s="1"/>
  <c r="FE279" i="1" s="1"/>
  <c r="FF279" i="1" s="1"/>
  <c r="FG279" i="1" s="1"/>
  <c r="FI279" i="1" s="1"/>
  <c r="FB236" i="1"/>
  <c r="FD236" i="1" s="1"/>
  <c r="FE236" i="1" s="1"/>
  <c r="FF236" i="1" s="1"/>
  <c r="FG236" i="1" s="1"/>
  <c r="FI236" i="1" s="1"/>
  <c r="FB62" i="1"/>
  <c r="FD62" i="1" s="1"/>
  <c r="FE62" i="1" s="1"/>
  <c r="FF62" i="1" s="1"/>
  <c r="FG62" i="1" s="1"/>
  <c r="FI62" i="1" s="1"/>
  <c r="FB144" i="1"/>
  <c r="FD144" i="1" s="1"/>
  <c r="FE144" i="1" s="1"/>
  <c r="FF144" i="1" s="1"/>
  <c r="FG144" i="1" s="1"/>
  <c r="FI144" i="1" s="1"/>
  <c r="FB66" i="1"/>
  <c r="FD66" i="1" s="1"/>
  <c r="FE66" i="1" s="1"/>
  <c r="FF66" i="1" s="1"/>
  <c r="FG66" i="1" s="1"/>
  <c r="FI66" i="1" s="1"/>
  <c r="FB227" i="1"/>
  <c r="FD227" i="1" s="1"/>
  <c r="FE227" i="1" s="1"/>
  <c r="FF227" i="1" s="1"/>
  <c r="FG227" i="1" s="1"/>
  <c r="FI227" i="1" s="1"/>
  <c r="FB19" i="1"/>
  <c r="FD19" i="1" s="1"/>
  <c r="FE19" i="1" s="1"/>
  <c r="FF19" i="1" s="1"/>
  <c r="FG19" i="1" s="1"/>
  <c r="FI19" i="1" s="1"/>
  <c r="FB42" i="1"/>
  <c r="FD42" i="1" s="1"/>
  <c r="FE42" i="1" s="1"/>
  <c r="FF42" i="1" s="1"/>
  <c r="FG42" i="1" s="1"/>
  <c r="FI42" i="1" s="1"/>
  <c r="FB90" i="1"/>
  <c r="FD90" i="1" s="1"/>
  <c r="FE90" i="1" s="1"/>
  <c r="FF90" i="1" s="1"/>
  <c r="FG90" i="1" s="1"/>
  <c r="FI90" i="1" s="1"/>
  <c r="FB164" i="1"/>
  <c r="FD164" i="1" s="1"/>
  <c r="FE164" i="1" s="1"/>
  <c r="FF164" i="1" s="1"/>
  <c r="FG164" i="1" s="1"/>
  <c r="FI164" i="1" s="1"/>
  <c r="FD180" i="1"/>
  <c r="FE180" i="1" s="1"/>
  <c r="FF180" i="1" s="1"/>
  <c r="FG180" i="1" s="1"/>
  <c r="FI180" i="1" s="1"/>
  <c r="FD242" i="1"/>
  <c r="FE242" i="1" s="1"/>
  <c r="FF242" i="1" s="1"/>
  <c r="FG242" i="1" s="1"/>
  <c r="FI242" i="1" s="1"/>
  <c r="FD55" i="1"/>
  <c r="FE55" i="1" s="1"/>
  <c r="FF55" i="1" s="1"/>
  <c r="FG55" i="1" s="1"/>
  <c r="FI55" i="1" s="1"/>
  <c r="FD100" i="1"/>
  <c r="FE100" i="1" s="1"/>
  <c r="FF100" i="1" s="1"/>
  <c r="FG100" i="1" s="1"/>
  <c r="FI100" i="1" s="1"/>
  <c r="FD275" i="1"/>
  <c r="FE275" i="1" s="1"/>
  <c r="FF275" i="1" s="1"/>
  <c r="FG275" i="1" s="1"/>
  <c r="FI275" i="1" s="1"/>
  <c r="FD239" i="1"/>
  <c r="FE239" i="1" s="1"/>
  <c r="FF239" i="1" s="1"/>
  <c r="FG239" i="1" s="1"/>
  <c r="FI239" i="1" s="1"/>
  <c r="FD14" i="1"/>
  <c r="FE14" i="1" s="1"/>
  <c r="FF14" i="1" s="1"/>
  <c r="FG14" i="1" s="1"/>
  <c r="FI14" i="1" s="1"/>
  <c r="FD78" i="1"/>
  <c r="FE78" i="1" s="1"/>
  <c r="FF78" i="1" s="1"/>
  <c r="FG78" i="1" s="1"/>
  <c r="FI78" i="1" s="1"/>
  <c r="FD36" i="1"/>
  <c r="FE36" i="1" s="1"/>
  <c r="FF36" i="1" s="1"/>
  <c r="FG36" i="1" s="1"/>
  <c r="FI36" i="1" s="1"/>
  <c r="FD294" i="1"/>
  <c r="FE294" i="1" s="1"/>
  <c r="FF294" i="1" s="1"/>
  <c r="FG294" i="1" s="1"/>
  <c r="FI294" i="1" s="1"/>
  <c r="FD179" i="1"/>
  <c r="FE179" i="1" s="1"/>
  <c r="FF179" i="1" s="1"/>
  <c r="FG179" i="1" s="1"/>
  <c r="FI179" i="1" s="1"/>
  <c r="FD199" i="1"/>
  <c r="FE199" i="1" s="1"/>
  <c r="FF199" i="1" s="1"/>
  <c r="FG199" i="1" s="1"/>
  <c r="FI199" i="1" s="1"/>
  <c r="FD182" i="1"/>
  <c r="FE182" i="1" s="1"/>
  <c r="FF182" i="1" s="1"/>
  <c r="FG182" i="1" s="1"/>
  <c r="FI182" i="1" s="1"/>
  <c r="FD157" i="1"/>
  <c r="FE157" i="1" s="1"/>
  <c r="FF157" i="1" s="1"/>
  <c r="FG157" i="1" s="1"/>
  <c r="FI157" i="1" s="1"/>
  <c r="FD267" i="1"/>
  <c r="FE267" i="1" s="1"/>
  <c r="FF267" i="1" s="1"/>
  <c r="FG267" i="1" s="1"/>
  <c r="FI267" i="1" s="1"/>
  <c r="FD146" i="1"/>
  <c r="FE146" i="1" s="1"/>
  <c r="FF146" i="1" s="1"/>
  <c r="FG146" i="1" s="1"/>
  <c r="FI146" i="1" s="1"/>
  <c r="FD23" i="1"/>
  <c r="FE23" i="1" s="1"/>
  <c r="FF23" i="1" s="1"/>
  <c r="FG23" i="1" s="1"/>
  <c r="FI23" i="1" s="1"/>
  <c r="FD15" i="1"/>
  <c r="FE15" i="1" s="1"/>
  <c r="FF15" i="1" s="1"/>
  <c r="FG15" i="1" s="1"/>
  <c r="FI15" i="1" s="1"/>
  <c r="FD75" i="1"/>
  <c r="FE75" i="1" s="1"/>
  <c r="FF75" i="1" s="1"/>
  <c r="FG75" i="1" s="1"/>
  <c r="FI75" i="1" s="1"/>
  <c r="FB229" i="1"/>
  <c r="FD229" i="1" s="1"/>
  <c r="FE229" i="1" s="1"/>
  <c r="FF229" i="1" s="1"/>
  <c r="FG229" i="1" s="1"/>
  <c r="FI229" i="1" s="1"/>
  <c r="FD7" i="1"/>
  <c r="FE7" i="1" s="1"/>
  <c r="FF7" i="1" s="1"/>
  <c r="FG7" i="1" s="1"/>
  <c r="FI7" i="1" s="1"/>
  <c r="FD136" i="1"/>
  <c r="FE136" i="1" s="1"/>
  <c r="FF136" i="1" s="1"/>
  <c r="FG136" i="1" s="1"/>
  <c r="FI136" i="1" s="1"/>
  <c r="FD224" i="1"/>
  <c r="FE224" i="1" s="1"/>
  <c r="FF224" i="1" s="1"/>
  <c r="FG224" i="1" s="1"/>
  <c r="FI224" i="1" s="1"/>
  <c r="FD2" i="1"/>
  <c r="FE2" i="1" s="1"/>
  <c r="FF2" i="1" s="1"/>
  <c r="FG2" i="1" s="1"/>
  <c r="FI2" i="1" s="1"/>
  <c r="FD212" i="1"/>
  <c r="FE212" i="1" s="1"/>
  <c r="FF212" i="1" s="1"/>
  <c r="FG212" i="1" s="1"/>
  <c r="FI212" i="1" s="1"/>
  <c r="FD34" i="1"/>
  <c r="FE34" i="1" s="1"/>
  <c r="FF34" i="1" s="1"/>
  <c r="FG34" i="1" s="1"/>
  <c r="FI34" i="1" s="1"/>
  <c r="FD163" i="1"/>
  <c r="FE163" i="1" s="1"/>
  <c r="FF163" i="1" s="1"/>
  <c r="FG163" i="1" s="1"/>
  <c r="FI163" i="1" s="1"/>
  <c r="FD284" i="1"/>
  <c r="FE284" i="1" s="1"/>
  <c r="FF284" i="1" s="1"/>
  <c r="FG284" i="1" s="1"/>
  <c r="FI284" i="1" s="1"/>
  <c r="FB117" i="1"/>
  <c r="FD117" i="1" s="1"/>
  <c r="FE117" i="1" s="1"/>
  <c r="FF117" i="1" s="1"/>
  <c r="FG117" i="1" s="1"/>
  <c r="FI117" i="1" s="1"/>
  <c r="FB68" i="1"/>
  <c r="FD68" i="1" s="1"/>
  <c r="FE68" i="1" s="1"/>
  <c r="FF68" i="1" s="1"/>
  <c r="FG68" i="1" s="1"/>
  <c r="FI68" i="1" s="1"/>
  <c r="FD161" i="1"/>
  <c r="FE161" i="1" s="1"/>
  <c r="FF161" i="1" s="1"/>
  <c r="FG161" i="1" s="1"/>
  <c r="FI161" i="1" s="1"/>
  <c r="FD145" i="1"/>
  <c r="FE145" i="1" s="1"/>
  <c r="FF145" i="1" s="1"/>
  <c r="FG145" i="1" s="1"/>
  <c r="FI145" i="1" s="1"/>
  <c r="FD153" i="1"/>
  <c r="FE153" i="1" s="1"/>
  <c r="FF153" i="1" s="1"/>
  <c r="FG153" i="1" s="1"/>
  <c r="FI153" i="1" s="1"/>
  <c r="FD295" i="1"/>
  <c r="FE295" i="1" s="1"/>
  <c r="FF295" i="1" s="1"/>
  <c r="FG295" i="1" s="1"/>
  <c r="FI295" i="1" s="1"/>
  <c r="FD193" i="1"/>
  <c r="FE193" i="1" s="1"/>
  <c r="FF193" i="1" s="1"/>
  <c r="FG193" i="1" s="1"/>
  <c r="FI193" i="1" s="1"/>
  <c r="FD137" i="1"/>
  <c r="FE137" i="1" s="1"/>
  <c r="FF137" i="1" s="1"/>
  <c r="FG137" i="1" s="1"/>
  <c r="FI137" i="1" s="1"/>
  <c r="FD20" i="1"/>
  <c r="FE20" i="1" s="1"/>
  <c r="FF20" i="1" s="1"/>
  <c r="FG20" i="1" s="1"/>
  <c r="FI20" i="1" s="1"/>
  <c r="FD184" i="1"/>
  <c r="FE184" i="1" s="1"/>
  <c r="FF184" i="1" s="1"/>
  <c r="FG184" i="1" s="1"/>
  <c r="FI184" i="1" s="1"/>
  <c r="FD123" i="1"/>
  <c r="FE123" i="1" s="1"/>
  <c r="FF123" i="1" s="1"/>
  <c r="FG123" i="1" s="1"/>
  <c r="FI123" i="1" s="1"/>
  <c r="FD172" i="1"/>
  <c r="FE172" i="1" s="1"/>
  <c r="FF172" i="1" s="1"/>
  <c r="FG172" i="1" s="1"/>
  <c r="FI172" i="1" s="1"/>
  <c r="FD61" i="1"/>
  <c r="FE61" i="1" s="1"/>
  <c r="FF61" i="1" s="1"/>
  <c r="FG61" i="1" s="1"/>
  <c r="FI61" i="1" s="1"/>
  <c r="FD40" i="1"/>
  <c r="FE40" i="1" s="1"/>
  <c r="FF40" i="1" s="1"/>
  <c r="FG40" i="1" s="1"/>
  <c r="FI40" i="1" s="1"/>
  <c r="FD4" i="1"/>
  <c r="FE4" i="1" s="1"/>
  <c r="FF4" i="1" s="1"/>
  <c r="FG4" i="1" s="1"/>
  <c r="FI4" i="1" s="1"/>
  <c r="FB299" i="1"/>
  <c r="FB22" i="1"/>
  <c r="FB245" i="1"/>
  <c r="FB210" i="1"/>
  <c r="FB162" i="1"/>
  <c r="FB116" i="1"/>
  <c r="FB35" i="1"/>
  <c r="FB13" i="1"/>
  <c r="FB127" i="1"/>
  <c r="FB255" i="1"/>
  <c r="FB56" i="1"/>
  <c r="FB111" i="1"/>
  <c r="FB132" i="1"/>
  <c r="FB233" i="1"/>
  <c r="FB274" i="1"/>
  <c r="FB148" i="1"/>
  <c r="FB170" i="1"/>
  <c r="FB155" i="1"/>
  <c r="FB187" i="1"/>
  <c r="FB203" i="1"/>
  <c r="FB176" i="1"/>
  <c r="FB133" i="1"/>
  <c r="FB16" i="1"/>
  <c r="FB93" i="1"/>
  <c r="FB293" i="1"/>
  <c r="FB190" i="1"/>
  <c r="FB18" i="1"/>
  <c r="FB298" i="1"/>
  <c r="FB248" i="1"/>
  <c r="FB214" i="1"/>
  <c r="FB230" i="1"/>
  <c r="FB135" i="1"/>
  <c r="FB292" i="1"/>
  <c r="FB235" i="1"/>
  <c r="FB63" i="1"/>
  <c r="FB222" i="1"/>
  <c r="FB260" i="1"/>
  <c r="FB273" i="1"/>
  <c r="FB268" i="1"/>
  <c r="FB198" i="1"/>
  <c r="FB138" i="1"/>
  <c r="FB37" i="1"/>
  <c r="FB254" i="1"/>
  <c r="FB8" i="1"/>
  <c r="FB249" i="1"/>
  <c r="FB99" i="1"/>
  <c r="FB106" i="1"/>
  <c r="FB79" i="1"/>
  <c r="FB33" i="1"/>
  <c r="FB97" i="1"/>
  <c r="FB246" i="1"/>
  <c r="FB21" i="1"/>
  <c r="FB283" i="1"/>
  <c r="FB262" i="1"/>
  <c r="FB3" i="1"/>
  <c r="FB174" i="1"/>
  <c r="FB95" i="1"/>
  <c r="FB43" i="1"/>
  <c r="FB102" i="1"/>
  <c r="FB266" i="1"/>
  <c r="FB91" i="1"/>
  <c r="FB59" i="1"/>
  <c r="FB149" i="1"/>
  <c r="FB54" i="1"/>
  <c r="FB26" i="1"/>
  <c r="FB80" i="1"/>
  <c r="FB74" i="1"/>
  <c r="FB175" i="1"/>
  <c r="FB168" i="1"/>
  <c r="FB207" i="1"/>
  <c r="FB285" i="1"/>
  <c r="FB256" i="1"/>
  <c r="FB286" i="1"/>
  <c r="FB110" i="1"/>
  <c r="FB24" i="1"/>
  <c r="FB44" i="1"/>
  <c r="FB113" i="1"/>
  <c r="FB11" i="1"/>
  <c r="FB46" i="1"/>
  <c r="FB126" i="1"/>
  <c r="FB271" i="1"/>
  <c r="FB105" i="1"/>
  <c r="FB108" i="1"/>
  <c r="FB278" i="1"/>
  <c r="FB231" i="1"/>
  <c r="FB119" i="1"/>
  <c r="FB147" i="1"/>
  <c r="FB223" i="1"/>
  <c r="FB81" i="1"/>
  <c r="FB263" i="1"/>
  <c r="FB159" i="1"/>
  <c r="FB67" i="1"/>
  <c r="FB115" i="1"/>
  <c r="FB156" i="1"/>
  <c r="FB280" i="1"/>
  <c r="FB28" i="1"/>
  <c r="FB251" i="1"/>
  <c r="FB76" i="1"/>
  <c r="FB65" i="1"/>
  <c r="FB109" i="1"/>
  <c r="FB77" i="1"/>
  <c r="FB71" i="1"/>
  <c r="FB41" i="1"/>
  <c r="FB225" i="1"/>
  <c r="FB216" i="1"/>
  <c r="FB64" i="1"/>
  <c r="FB185" i="1"/>
  <c r="FB188" i="1"/>
  <c r="FB173" i="1"/>
  <c r="FB257" i="1"/>
  <c r="FB259" i="1"/>
  <c r="FB177" i="1"/>
  <c r="FB47" i="1"/>
  <c r="FB51" i="1"/>
  <c r="FB276" i="1"/>
  <c r="FB167" i="1"/>
  <c r="FB130" i="1"/>
  <c r="FB83" i="1"/>
  <c r="FB73" i="1"/>
  <c r="FB140" i="1"/>
  <c r="FB84" i="1"/>
  <c r="FB31" i="1"/>
  <c r="FB201" i="1"/>
  <c r="FB72" i="1"/>
  <c r="FB183" i="1"/>
  <c r="FB217" i="1"/>
  <c r="FB221" i="1"/>
  <c r="FB52" i="1"/>
  <c r="FB270" i="1"/>
  <c r="FB154" i="1"/>
  <c r="FB107" i="1"/>
  <c r="FB57" i="1"/>
  <c r="FB9" i="1"/>
  <c r="FB261" i="1"/>
  <c r="FB69" i="1"/>
  <c r="FB228" i="1"/>
  <c r="FB89" i="1"/>
  <c r="FB237" i="1"/>
  <c r="FB218" i="1"/>
  <c r="FB241" i="1"/>
  <c r="FB247" i="1"/>
  <c r="FB10" i="1"/>
  <c r="FB269" i="1"/>
  <c r="FB196" i="1"/>
  <c r="FB243" i="1"/>
  <c r="FB205" i="1"/>
  <c r="FB244" i="1"/>
  <c r="FB277" i="1"/>
  <c r="FB178" i="1"/>
  <c r="FB287" i="1"/>
  <c r="FB200" i="1"/>
  <c r="FB125" i="1"/>
  <c r="FB39" i="1"/>
  <c r="FB85" i="1"/>
  <c r="FB189" i="1"/>
  <c r="FB25" i="1"/>
  <c r="FB194" i="1"/>
  <c r="FB124" i="1"/>
  <c r="FB220" i="1"/>
  <c r="FB250" i="1"/>
  <c r="FB158" i="1"/>
  <c r="FB169" i="1"/>
  <c r="FB171" i="1"/>
  <c r="FB226" i="1"/>
  <c r="FB139" i="1"/>
  <c r="FB30" i="1"/>
  <c r="FB258" i="1"/>
  <c r="FB32" i="1"/>
  <c r="FB166" i="1"/>
  <c r="FB58" i="1"/>
  <c r="FB213" i="1"/>
  <c r="FB121" i="1"/>
  <c r="FB50" i="1"/>
  <c r="FB17" i="1"/>
  <c r="FB195" i="1"/>
  <c r="FW99" i="1" l="1"/>
  <c r="FX99" i="1" s="1"/>
  <c r="FT99" i="1"/>
  <c r="FU31" i="1"/>
  <c r="FW31" i="1" s="1"/>
  <c r="FW235" i="1"/>
  <c r="FX235" i="1" s="1"/>
  <c r="FP235" i="1"/>
  <c r="FU271" i="1"/>
  <c r="FV271" i="1" s="1"/>
  <c r="FW34" i="1"/>
  <c r="FX34" i="1" s="1"/>
  <c r="FW169" i="1"/>
  <c r="FX169" i="1" s="1"/>
  <c r="FD152" i="1"/>
  <c r="FE152" i="1" s="1"/>
  <c r="FF152" i="1" s="1"/>
  <c r="FG152" i="1" s="1"/>
  <c r="FI152" i="1" s="1"/>
  <c r="FP169" i="1"/>
  <c r="FW91" i="1"/>
  <c r="FX91" i="1" s="1"/>
  <c r="FW62" i="1"/>
  <c r="FX62" i="1" s="1"/>
  <c r="FP62" i="1"/>
  <c r="FW196" i="1"/>
  <c r="FX196" i="1" s="1"/>
  <c r="FT271" i="1"/>
  <c r="FW277" i="1"/>
  <c r="FX277" i="1" s="1"/>
  <c r="FY277" i="1" s="1"/>
  <c r="GB277" i="1" s="1"/>
  <c r="GF277" i="1" s="1"/>
  <c r="GG277" i="1" s="1"/>
  <c r="GH277" i="1" s="1"/>
  <c r="FW170" i="1"/>
  <c r="FX170" i="1" s="1"/>
  <c r="FY170" i="1" s="1"/>
  <c r="GB170" i="1" s="1"/>
  <c r="GF170" i="1" s="1"/>
  <c r="GG170" i="1" s="1"/>
  <c r="FW254" i="1"/>
  <c r="FX254" i="1" s="1"/>
  <c r="FY254" i="1" s="1"/>
  <c r="GB254" i="1" s="1"/>
  <c r="GF254" i="1" s="1"/>
  <c r="GG254" i="1" s="1"/>
  <c r="FW51" i="1"/>
  <c r="FX51" i="1" s="1"/>
  <c r="FY51" i="1" s="1"/>
  <c r="GB51" i="1" s="1"/>
  <c r="GF51" i="1" s="1"/>
  <c r="GG51" i="1" s="1"/>
  <c r="FU18" i="1"/>
  <c r="FW18" i="1" s="1"/>
  <c r="FX18" i="1" s="1"/>
  <c r="FW11" i="1"/>
  <c r="FX11" i="1" s="1"/>
  <c r="FY11" i="1" s="1"/>
  <c r="GB11" i="1" s="1"/>
  <c r="GF11" i="1" s="1"/>
  <c r="GG11" i="1" s="1"/>
  <c r="FU132" i="1"/>
  <c r="FW132" i="1" s="1"/>
  <c r="FX132" i="1" s="1"/>
  <c r="FP22" i="1"/>
  <c r="FW113" i="1"/>
  <c r="FX113" i="1" s="1"/>
  <c r="FY113" i="1" s="1"/>
  <c r="GB113" i="1" s="1"/>
  <c r="GF113" i="1" s="1"/>
  <c r="GG113" i="1" s="1"/>
  <c r="FW3" i="1"/>
  <c r="FX3" i="1" s="1"/>
  <c r="FW212" i="1"/>
  <c r="FX212" i="1" s="1"/>
  <c r="FY212" i="1" s="1"/>
  <c r="GB212" i="1" s="1"/>
  <c r="GF212" i="1" s="1"/>
  <c r="GG212" i="1" s="1"/>
  <c r="FW32" i="1"/>
  <c r="FX32" i="1" s="1"/>
  <c r="FY32" i="1" s="1"/>
  <c r="GB32" i="1" s="1"/>
  <c r="GF32" i="1" s="1"/>
  <c r="GG32" i="1" s="1"/>
  <c r="FP3" i="1"/>
  <c r="FW188" i="1"/>
  <c r="FX188" i="1" s="1"/>
  <c r="FY188" i="1" s="1"/>
  <c r="GB188" i="1" s="1"/>
  <c r="GF188" i="1" s="1"/>
  <c r="GG188" i="1" s="1"/>
  <c r="FW59" i="1"/>
  <c r="FX59" i="1" s="1"/>
  <c r="FU161" i="1"/>
  <c r="FW161" i="1" s="1"/>
  <c r="FX161" i="1" s="1"/>
  <c r="FW28" i="1"/>
  <c r="FX28" i="1" s="1"/>
  <c r="FY28" i="1" s="1"/>
  <c r="GB28" i="1" s="1"/>
  <c r="GF28" i="1" s="1"/>
  <c r="GG28" i="1" s="1"/>
  <c r="FW237" i="1"/>
  <c r="FX237" i="1" s="1"/>
  <c r="FY237" i="1" s="1"/>
  <c r="GB237" i="1" s="1"/>
  <c r="GF237" i="1" s="1"/>
  <c r="GG237" i="1" s="1"/>
  <c r="FW260" i="1"/>
  <c r="FX260" i="1" s="1"/>
  <c r="FW226" i="1"/>
  <c r="FX226" i="1" s="1"/>
  <c r="FY226" i="1" s="1"/>
  <c r="GB226" i="1" s="1"/>
  <c r="GF226" i="1" s="1"/>
  <c r="GG226" i="1" s="1"/>
  <c r="GH226" i="1" s="1"/>
  <c r="FY151" i="1"/>
  <c r="GB151" i="1" s="1"/>
  <c r="GF151" i="1" s="1"/>
  <c r="GG151" i="1" s="1"/>
  <c r="FW197" i="1"/>
  <c r="FX197" i="1" s="1"/>
  <c r="FY197" i="1" s="1"/>
  <c r="GB197" i="1" s="1"/>
  <c r="GF197" i="1" s="1"/>
  <c r="GG197" i="1" s="1"/>
  <c r="FY282" i="1"/>
  <c r="GB282" i="1" s="1"/>
  <c r="GF282" i="1" s="1"/>
  <c r="GG282" i="1" s="1"/>
  <c r="GH282" i="1" s="1"/>
  <c r="GI282" i="1" s="1"/>
  <c r="J282" i="2" s="1"/>
  <c r="FW243" i="1"/>
  <c r="FX243" i="1" s="1"/>
  <c r="FY243" i="1" s="1"/>
  <c r="GB243" i="1" s="1"/>
  <c r="GF243" i="1" s="1"/>
  <c r="GG243" i="1" s="1"/>
  <c r="GH243" i="1" s="1"/>
  <c r="FT260" i="1"/>
  <c r="FW9" i="1"/>
  <c r="FX9" i="1" s="1"/>
  <c r="FY9" i="1" s="1"/>
  <c r="GB9" i="1" s="1"/>
  <c r="GF9" i="1" s="1"/>
  <c r="GG9" i="1" s="1"/>
  <c r="FW164" i="1"/>
  <c r="FX164" i="1" s="1"/>
  <c r="FY164" i="1" s="1"/>
  <c r="GB164" i="1" s="1"/>
  <c r="GF164" i="1" s="1"/>
  <c r="GG164" i="1" s="1"/>
  <c r="FW227" i="1"/>
  <c r="FX227" i="1" s="1"/>
  <c r="FY227" i="1" s="1"/>
  <c r="GB227" i="1" s="1"/>
  <c r="GF227" i="1" s="1"/>
  <c r="GG227" i="1" s="1"/>
  <c r="FW140" i="1"/>
  <c r="FX140" i="1" s="1"/>
  <c r="FY140" i="1" s="1"/>
  <c r="GB140" i="1" s="1"/>
  <c r="GF140" i="1" s="1"/>
  <c r="GG140" i="1" s="1"/>
  <c r="FW152" i="1"/>
  <c r="FX152" i="1" s="1"/>
  <c r="FY152" i="1" s="1"/>
  <c r="FD215" i="1"/>
  <c r="FE215" i="1" s="1"/>
  <c r="FF215" i="1" s="1"/>
  <c r="FG215" i="1" s="1"/>
  <c r="FI215" i="1" s="1"/>
  <c r="FD92" i="1"/>
  <c r="FE92" i="1" s="1"/>
  <c r="FF92" i="1" s="1"/>
  <c r="FG92" i="1" s="1"/>
  <c r="FI92" i="1" s="1"/>
  <c r="FW223" i="1"/>
  <c r="FX223" i="1" s="1"/>
  <c r="FY223" i="1" s="1"/>
  <c r="GB223" i="1" s="1"/>
  <c r="GF223" i="1" s="1"/>
  <c r="GG223" i="1" s="1"/>
  <c r="FU183" i="1"/>
  <c r="FW183" i="1" s="1"/>
  <c r="FW296" i="1"/>
  <c r="FX296" i="1" s="1"/>
  <c r="FY296" i="1" s="1"/>
  <c r="GB296" i="1" s="1"/>
  <c r="GF296" i="1" s="1"/>
  <c r="GG296" i="1" s="1"/>
  <c r="FD48" i="1"/>
  <c r="FE48" i="1" s="1"/>
  <c r="FF48" i="1" s="1"/>
  <c r="FG48" i="1" s="1"/>
  <c r="FI48" i="1" s="1"/>
  <c r="FT59" i="1"/>
  <c r="FW222" i="1"/>
  <c r="FX222" i="1" s="1"/>
  <c r="FY222" i="1" s="1"/>
  <c r="GB222" i="1" s="1"/>
  <c r="GF222" i="1" s="1"/>
  <c r="GG222" i="1" s="1"/>
  <c r="FD53" i="1"/>
  <c r="FE53" i="1" s="1"/>
  <c r="FF53" i="1" s="1"/>
  <c r="FG53" i="1" s="1"/>
  <c r="FI53" i="1" s="1"/>
  <c r="FD82" i="1"/>
  <c r="FE82" i="1" s="1"/>
  <c r="FF82" i="1" s="1"/>
  <c r="FG82" i="1" s="1"/>
  <c r="FI82" i="1" s="1"/>
  <c r="FD160" i="1"/>
  <c r="FE160" i="1" s="1"/>
  <c r="FF160" i="1" s="1"/>
  <c r="FG160" i="1" s="1"/>
  <c r="FI160" i="1" s="1"/>
  <c r="FW126" i="1"/>
  <c r="FX126" i="1" s="1"/>
  <c r="FY126" i="1" s="1"/>
  <c r="GB126" i="1" s="1"/>
  <c r="GF126" i="1" s="1"/>
  <c r="GG126" i="1" s="1"/>
  <c r="FD191" i="1"/>
  <c r="FE191" i="1" s="1"/>
  <c r="FF191" i="1" s="1"/>
  <c r="FG191" i="1" s="1"/>
  <c r="FI191" i="1" s="1"/>
  <c r="FD60" i="1"/>
  <c r="FE60" i="1" s="1"/>
  <c r="FF60" i="1" s="1"/>
  <c r="FG60" i="1" s="1"/>
  <c r="FI60" i="1" s="1"/>
  <c r="FD45" i="1"/>
  <c r="FE45" i="1" s="1"/>
  <c r="FF45" i="1" s="1"/>
  <c r="FG45" i="1" s="1"/>
  <c r="FI45" i="1" s="1"/>
  <c r="FD219" i="1"/>
  <c r="FE219" i="1" s="1"/>
  <c r="FF219" i="1" s="1"/>
  <c r="FG219" i="1" s="1"/>
  <c r="FI219" i="1" s="1"/>
  <c r="FW105" i="1"/>
  <c r="FX105" i="1" s="1"/>
  <c r="FY105" i="1" s="1"/>
  <c r="GB105" i="1" s="1"/>
  <c r="GF105" i="1" s="1"/>
  <c r="GG105" i="1" s="1"/>
  <c r="FW107" i="1"/>
  <c r="FX107" i="1" s="1"/>
  <c r="FY107" i="1" s="1"/>
  <c r="GB107" i="1" s="1"/>
  <c r="GF107" i="1" s="1"/>
  <c r="GG107" i="1" s="1"/>
  <c r="FW168" i="1"/>
  <c r="FX168" i="1" s="1"/>
  <c r="FY168" i="1" s="1"/>
  <c r="GB168" i="1" s="1"/>
  <c r="GF168" i="1" s="1"/>
  <c r="GG168" i="1" s="1"/>
  <c r="FW114" i="1"/>
  <c r="FX114" i="1" s="1"/>
  <c r="FY114" i="1" s="1"/>
  <c r="GB114" i="1" s="1"/>
  <c r="GF114" i="1" s="1"/>
  <c r="GG114" i="1" s="1"/>
  <c r="GH114" i="1" s="1"/>
  <c r="GI114" i="1" s="1"/>
  <c r="J114" i="2" s="1"/>
  <c r="FU269" i="1"/>
  <c r="FW269" i="1" s="1"/>
  <c r="FW84" i="1"/>
  <c r="FX84" i="1" s="1"/>
  <c r="FY84" i="1" s="1"/>
  <c r="GB84" i="1" s="1"/>
  <c r="GF84" i="1" s="1"/>
  <c r="GG84" i="1" s="1"/>
  <c r="FW110" i="1"/>
  <c r="FX110" i="1" s="1"/>
  <c r="FY110" i="1" s="1"/>
  <c r="GB110" i="1" s="1"/>
  <c r="GF110" i="1" s="1"/>
  <c r="GG110" i="1" s="1"/>
  <c r="FW22" i="1"/>
  <c r="FX22" i="1" s="1"/>
  <c r="FW149" i="1"/>
  <c r="FX149" i="1" s="1"/>
  <c r="FY149" i="1" s="1"/>
  <c r="GB149" i="1" s="1"/>
  <c r="GF149" i="1" s="1"/>
  <c r="GG149" i="1" s="1"/>
  <c r="FW249" i="1"/>
  <c r="FX249" i="1" s="1"/>
  <c r="FY249" i="1" s="1"/>
  <c r="FW94" i="1"/>
  <c r="FX94" i="1" s="1"/>
  <c r="FY94" i="1" s="1"/>
  <c r="GB94" i="1" s="1"/>
  <c r="GF94" i="1" s="1"/>
  <c r="GG94" i="1" s="1"/>
  <c r="FW75" i="1"/>
  <c r="FX75" i="1" s="1"/>
  <c r="FY75" i="1" s="1"/>
  <c r="GB75" i="1" s="1"/>
  <c r="GF75" i="1" s="1"/>
  <c r="GG75" i="1" s="1"/>
  <c r="FW79" i="1"/>
  <c r="FX79" i="1" s="1"/>
  <c r="FY79" i="1" s="1"/>
  <c r="GB79" i="1" s="1"/>
  <c r="GF79" i="1" s="1"/>
  <c r="GG79" i="1" s="1"/>
  <c r="FW205" i="1"/>
  <c r="FX205" i="1" s="1"/>
  <c r="FY205" i="1" s="1"/>
  <c r="GB205" i="1" s="1"/>
  <c r="GF205" i="1" s="1"/>
  <c r="GG205" i="1" s="1"/>
  <c r="FW176" i="1"/>
  <c r="FX176" i="1" s="1"/>
  <c r="FY176" i="1" s="1"/>
  <c r="GB176" i="1" s="1"/>
  <c r="GF176" i="1" s="1"/>
  <c r="GG176" i="1" s="1"/>
  <c r="FU117" i="1"/>
  <c r="FV117" i="1" s="1"/>
  <c r="FW56" i="1"/>
  <c r="FX56" i="1" s="1"/>
  <c r="FY56" i="1" s="1"/>
  <c r="GB56" i="1" s="1"/>
  <c r="GF56" i="1" s="1"/>
  <c r="GG56" i="1" s="1"/>
  <c r="FW129" i="1"/>
  <c r="FX129" i="1" s="1"/>
  <c r="FY129" i="1" s="1"/>
  <c r="GB129" i="1" s="1"/>
  <c r="GF129" i="1" s="1"/>
  <c r="GG129" i="1" s="1"/>
  <c r="FW281" i="1"/>
  <c r="FX281" i="1" s="1"/>
  <c r="FY281" i="1" s="1"/>
  <c r="GB281" i="1" s="1"/>
  <c r="GF281" i="1" s="1"/>
  <c r="GG281" i="1" s="1"/>
  <c r="FW233" i="1"/>
  <c r="FX233" i="1" s="1"/>
  <c r="FY233" i="1" s="1"/>
  <c r="GB233" i="1" s="1"/>
  <c r="GF233" i="1" s="1"/>
  <c r="GG233" i="1" s="1"/>
  <c r="FW201" i="1"/>
  <c r="FX201" i="1" s="1"/>
  <c r="FY201" i="1" s="1"/>
  <c r="GB201" i="1" s="1"/>
  <c r="GF201" i="1" s="1"/>
  <c r="GG201" i="1" s="1"/>
  <c r="FW225" i="1"/>
  <c r="FX225" i="1" s="1"/>
  <c r="FY225" i="1" s="1"/>
  <c r="GB225" i="1" s="1"/>
  <c r="GF225" i="1" s="1"/>
  <c r="GG225" i="1" s="1"/>
  <c r="FU21" i="1"/>
  <c r="FW21" i="1" s="1"/>
  <c r="FW100" i="1"/>
  <c r="FX100" i="1" s="1"/>
  <c r="FY100" i="1" s="1"/>
  <c r="GB100" i="1" s="1"/>
  <c r="GF100" i="1" s="1"/>
  <c r="GG100" i="1" s="1"/>
  <c r="FW83" i="1"/>
  <c r="FX83" i="1" s="1"/>
  <c r="FY83" i="1" s="1"/>
  <c r="GB83" i="1" s="1"/>
  <c r="GF83" i="1" s="1"/>
  <c r="GG83" i="1" s="1"/>
  <c r="FW268" i="1"/>
  <c r="FX268" i="1" s="1"/>
  <c r="FY268" i="1" s="1"/>
  <c r="GB268" i="1" s="1"/>
  <c r="GF268" i="1" s="1"/>
  <c r="GG268" i="1" s="1"/>
  <c r="FW125" i="1"/>
  <c r="FX125" i="1" s="1"/>
  <c r="FU37" i="1"/>
  <c r="FW37" i="1" s="1"/>
  <c r="FW207" i="1"/>
  <c r="FX207" i="1" s="1"/>
  <c r="FY207" i="1" s="1"/>
  <c r="GB207" i="1" s="1"/>
  <c r="GF207" i="1" s="1"/>
  <c r="GG207" i="1" s="1"/>
  <c r="FW181" i="1"/>
  <c r="FX181" i="1" s="1"/>
  <c r="FY181" i="1" s="1"/>
  <c r="GB181" i="1" s="1"/>
  <c r="GF181" i="1" s="1"/>
  <c r="GG181" i="1" s="1"/>
  <c r="FT125" i="1"/>
  <c r="FW44" i="1"/>
  <c r="FX44" i="1" s="1"/>
  <c r="FY44" i="1" s="1"/>
  <c r="GB44" i="1" s="1"/>
  <c r="GF44" i="1" s="1"/>
  <c r="GG44" i="1" s="1"/>
  <c r="FW17" i="1"/>
  <c r="FX17" i="1" s="1"/>
  <c r="FY17" i="1" s="1"/>
  <c r="GB17" i="1" s="1"/>
  <c r="GF17" i="1" s="1"/>
  <c r="GG17" i="1" s="1"/>
  <c r="FW116" i="1"/>
  <c r="FX116" i="1" s="1"/>
  <c r="FY116" i="1" s="1"/>
  <c r="GB116" i="1" s="1"/>
  <c r="GF116" i="1" s="1"/>
  <c r="GG116" i="1" s="1"/>
  <c r="FW253" i="1"/>
  <c r="FX253" i="1" s="1"/>
  <c r="FY253" i="1" s="1"/>
  <c r="GB253" i="1" s="1"/>
  <c r="GF253" i="1" s="1"/>
  <c r="GG253" i="1" s="1"/>
  <c r="FW20" i="1"/>
  <c r="FX20" i="1" s="1"/>
  <c r="FY20" i="1" s="1"/>
  <c r="GB20" i="1" s="1"/>
  <c r="GF20" i="1" s="1"/>
  <c r="GG20" i="1" s="1"/>
  <c r="FW244" i="1"/>
  <c r="FX244" i="1" s="1"/>
  <c r="FY244" i="1" s="1"/>
  <c r="GB244" i="1" s="1"/>
  <c r="GF244" i="1" s="1"/>
  <c r="GG244" i="1" s="1"/>
  <c r="FW95" i="1"/>
  <c r="FX95" i="1" s="1"/>
  <c r="FY95" i="1" s="1"/>
  <c r="GB95" i="1" s="1"/>
  <c r="GF95" i="1" s="1"/>
  <c r="GG95" i="1" s="1"/>
  <c r="FW142" i="1"/>
  <c r="FX142" i="1" s="1"/>
  <c r="FW45" i="1"/>
  <c r="FX45" i="1" s="1"/>
  <c r="FY45" i="1" s="1"/>
  <c r="GB45" i="1" s="1"/>
  <c r="GF45" i="1" s="1"/>
  <c r="GG45" i="1" s="1"/>
  <c r="FD202" i="1"/>
  <c r="FE202" i="1" s="1"/>
  <c r="FF202" i="1" s="1"/>
  <c r="FG202" i="1" s="1"/>
  <c r="FI202" i="1" s="1"/>
  <c r="FU216" i="1"/>
  <c r="FW216" i="1" s="1"/>
  <c r="FW16" i="1"/>
  <c r="FX16" i="1" s="1"/>
  <c r="FU288" i="1"/>
  <c r="FW288" i="1" s="1"/>
  <c r="FW36" i="1"/>
  <c r="FX36" i="1" s="1"/>
  <c r="FY36" i="1" s="1"/>
  <c r="GB36" i="1" s="1"/>
  <c r="GF36" i="1" s="1"/>
  <c r="GG36" i="1" s="1"/>
  <c r="FW214" i="1"/>
  <c r="FX214" i="1" s="1"/>
  <c r="FY214" i="1" s="1"/>
  <c r="GB214" i="1" s="1"/>
  <c r="GF214" i="1" s="1"/>
  <c r="GG214" i="1" s="1"/>
  <c r="FW167" i="1"/>
  <c r="FX167" i="1" s="1"/>
  <c r="FY167" i="1" s="1"/>
  <c r="GB167" i="1" s="1"/>
  <c r="GF167" i="1" s="1"/>
  <c r="GG167" i="1" s="1"/>
  <c r="FW30" i="1"/>
  <c r="FX30" i="1" s="1"/>
  <c r="FY30" i="1" s="1"/>
  <c r="GB30" i="1" s="1"/>
  <c r="GF30" i="1" s="1"/>
  <c r="GG30" i="1" s="1"/>
  <c r="FP16" i="1"/>
  <c r="FW103" i="1"/>
  <c r="FX103" i="1" s="1"/>
  <c r="FY103" i="1" s="1"/>
  <c r="GB103" i="1" s="1"/>
  <c r="GF103" i="1" s="1"/>
  <c r="GG103" i="1" s="1"/>
  <c r="FU130" i="1"/>
  <c r="FW130" i="1" s="1"/>
  <c r="FX130" i="1" s="1"/>
  <c r="FW135" i="1"/>
  <c r="FX135" i="1" s="1"/>
  <c r="FY135" i="1" s="1"/>
  <c r="GB135" i="1" s="1"/>
  <c r="GF135" i="1" s="1"/>
  <c r="GG135" i="1" s="1"/>
  <c r="FW58" i="1"/>
  <c r="FX58" i="1" s="1"/>
  <c r="FY58" i="1" s="1"/>
  <c r="GB58" i="1" s="1"/>
  <c r="GF58" i="1" s="1"/>
  <c r="GG58" i="1" s="1"/>
  <c r="FW85" i="1"/>
  <c r="FX85" i="1" s="1"/>
  <c r="FY85" i="1" s="1"/>
  <c r="GB85" i="1" s="1"/>
  <c r="GF85" i="1" s="1"/>
  <c r="GG85" i="1" s="1"/>
  <c r="FD282" i="1"/>
  <c r="FE282" i="1" s="1"/>
  <c r="FF282" i="1" s="1"/>
  <c r="FG282" i="1" s="1"/>
  <c r="FI282" i="1" s="1"/>
  <c r="FD234" i="1"/>
  <c r="FE234" i="1" s="1"/>
  <c r="FF234" i="1" s="1"/>
  <c r="FG234" i="1" s="1"/>
  <c r="FI234" i="1" s="1"/>
  <c r="FD27" i="1"/>
  <c r="FE27" i="1" s="1"/>
  <c r="FF27" i="1" s="1"/>
  <c r="FG27" i="1" s="1"/>
  <c r="FI27" i="1" s="1"/>
  <c r="FD297" i="1"/>
  <c r="FE297" i="1" s="1"/>
  <c r="FF297" i="1" s="1"/>
  <c r="FG297" i="1" s="1"/>
  <c r="FI297" i="1" s="1"/>
  <c r="FD291" i="1"/>
  <c r="FE291" i="1" s="1"/>
  <c r="FF291" i="1" s="1"/>
  <c r="FG291" i="1" s="1"/>
  <c r="FI291" i="1" s="1"/>
  <c r="FW273" i="1"/>
  <c r="FX273" i="1" s="1"/>
  <c r="FY273" i="1" s="1"/>
  <c r="GB273" i="1" s="1"/>
  <c r="GF273" i="1" s="1"/>
  <c r="GG273" i="1" s="1"/>
  <c r="FW224" i="1"/>
  <c r="FX224" i="1" s="1"/>
  <c r="FY224" i="1" s="1"/>
  <c r="GB224" i="1" s="1"/>
  <c r="GF224" i="1" s="1"/>
  <c r="GG224" i="1" s="1"/>
  <c r="FW158" i="1"/>
  <c r="FX158" i="1" s="1"/>
  <c r="FY158" i="1" s="1"/>
  <c r="GB158" i="1" s="1"/>
  <c r="GF158" i="1" s="1"/>
  <c r="GG158" i="1" s="1"/>
  <c r="FW81" i="1"/>
  <c r="FX81" i="1" s="1"/>
  <c r="FY81" i="1" s="1"/>
  <c r="GB81" i="1" s="1"/>
  <c r="GF81" i="1" s="1"/>
  <c r="GG81" i="1" s="1"/>
  <c r="FT142" i="1"/>
  <c r="FW67" i="1"/>
  <c r="FX67" i="1" s="1"/>
  <c r="FY67" i="1" s="1"/>
  <c r="GB67" i="1" s="1"/>
  <c r="GF67" i="1" s="1"/>
  <c r="GG67" i="1" s="1"/>
  <c r="FW220" i="1"/>
  <c r="FX220" i="1" s="1"/>
  <c r="FY220" i="1" s="1"/>
  <c r="FW74" i="1"/>
  <c r="FX74" i="1" s="1"/>
  <c r="FY74" i="1" s="1"/>
  <c r="FU71" i="1"/>
  <c r="FW71" i="1" s="1"/>
  <c r="FX71" i="1" s="1"/>
  <c r="FD206" i="1"/>
  <c r="FE206" i="1" s="1"/>
  <c r="FF206" i="1" s="1"/>
  <c r="FG206" i="1" s="1"/>
  <c r="FI206" i="1" s="1"/>
  <c r="FD87" i="1"/>
  <c r="FE87" i="1" s="1"/>
  <c r="FF87" i="1" s="1"/>
  <c r="FG87" i="1" s="1"/>
  <c r="FI87" i="1" s="1"/>
  <c r="FD281" i="1"/>
  <c r="FE281" i="1" s="1"/>
  <c r="FF281" i="1" s="1"/>
  <c r="FG281" i="1" s="1"/>
  <c r="FI281" i="1" s="1"/>
  <c r="FD272" i="1"/>
  <c r="FE272" i="1" s="1"/>
  <c r="FF272" i="1" s="1"/>
  <c r="FG272" i="1" s="1"/>
  <c r="FI272" i="1" s="1"/>
  <c r="FD151" i="1"/>
  <c r="FE151" i="1" s="1"/>
  <c r="FF151" i="1" s="1"/>
  <c r="FG151" i="1" s="1"/>
  <c r="FI151" i="1" s="1"/>
  <c r="FD103" i="1"/>
  <c r="FE103" i="1" s="1"/>
  <c r="FF103" i="1" s="1"/>
  <c r="FG103" i="1" s="1"/>
  <c r="FI103" i="1" s="1"/>
  <c r="FD141" i="1"/>
  <c r="FE141" i="1" s="1"/>
  <c r="FF141" i="1" s="1"/>
  <c r="FG141" i="1" s="1"/>
  <c r="FI141" i="1" s="1"/>
  <c r="FV203" i="1"/>
  <c r="FW204" i="1"/>
  <c r="FX204" i="1" s="1"/>
  <c r="FY204" i="1" s="1"/>
  <c r="GB204" i="1" s="1"/>
  <c r="GF204" i="1" s="1"/>
  <c r="GG204" i="1" s="1"/>
  <c r="FU86" i="1"/>
  <c r="FV86" i="1" s="1"/>
  <c r="FU174" i="1"/>
  <c r="FV174" i="1" s="1"/>
  <c r="FT102" i="1"/>
  <c r="FU102" i="1"/>
  <c r="FV102" i="1" s="1"/>
  <c r="FV240" i="1"/>
  <c r="FU210" i="1"/>
  <c r="FV210" i="1" s="1"/>
  <c r="FU221" i="1"/>
  <c r="FV221" i="1" s="1"/>
  <c r="FW155" i="1"/>
  <c r="FX155" i="1" s="1"/>
  <c r="FW111" i="1"/>
  <c r="FX111" i="1" s="1"/>
  <c r="FY111" i="1" s="1"/>
  <c r="GB111" i="1" s="1"/>
  <c r="GF111" i="1" s="1"/>
  <c r="GG111" i="1" s="1"/>
  <c r="FW50" i="1"/>
  <c r="FX50" i="1" s="1"/>
  <c r="FY50" i="1" s="1"/>
  <c r="FW231" i="1"/>
  <c r="FX231" i="1" s="1"/>
  <c r="FY231" i="1" s="1"/>
  <c r="GB231" i="1" s="1"/>
  <c r="GF231" i="1" s="1"/>
  <c r="GG231" i="1" s="1"/>
  <c r="FT155" i="1"/>
  <c r="FW43" i="1"/>
  <c r="FX43" i="1" s="1"/>
  <c r="FY43" i="1" s="1"/>
  <c r="GB43" i="1" s="1"/>
  <c r="GF43" i="1" s="1"/>
  <c r="GG43" i="1" s="1"/>
  <c r="FW278" i="1"/>
  <c r="FX278" i="1" s="1"/>
  <c r="FY278" i="1" s="1"/>
  <c r="GB278" i="1" s="1"/>
  <c r="GF278" i="1" s="1"/>
  <c r="GG278" i="1" s="1"/>
  <c r="FW139" i="1"/>
  <c r="FX139" i="1" s="1"/>
  <c r="FY139" i="1" s="1"/>
  <c r="GB139" i="1" s="1"/>
  <c r="GF139" i="1" s="1"/>
  <c r="GG139" i="1" s="1"/>
  <c r="FW238" i="1"/>
  <c r="FX238" i="1" s="1"/>
  <c r="FW53" i="1"/>
  <c r="FX53" i="1" s="1"/>
  <c r="FY53" i="1" s="1"/>
  <c r="GB53" i="1" s="1"/>
  <c r="GF53" i="1" s="1"/>
  <c r="GG53" i="1" s="1"/>
  <c r="FW147" i="1"/>
  <c r="FX147" i="1" s="1"/>
  <c r="FY147" i="1" s="1"/>
  <c r="GB147" i="1" s="1"/>
  <c r="GF147" i="1" s="1"/>
  <c r="GG147" i="1" s="1"/>
  <c r="FW70" i="1"/>
  <c r="FX70" i="1" s="1"/>
  <c r="FY70" i="1" s="1"/>
  <c r="GB70" i="1" s="1"/>
  <c r="GF70" i="1" s="1"/>
  <c r="GG70" i="1" s="1"/>
  <c r="FW77" i="1"/>
  <c r="FX77" i="1" s="1"/>
  <c r="FY77" i="1" s="1"/>
  <c r="GB77" i="1" s="1"/>
  <c r="GF77" i="1" s="1"/>
  <c r="GG77" i="1" s="1"/>
  <c r="FT196" i="1"/>
  <c r="FW286" i="1"/>
  <c r="FX286" i="1" s="1"/>
  <c r="FY286" i="1" s="1"/>
  <c r="GB286" i="1" s="1"/>
  <c r="GF286" i="1" s="1"/>
  <c r="GG286" i="1" s="1"/>
  <c r="FW12" i="1"/>
  <c r="FX12" i="1" s="1"/>
  <c r="FY12" i="1" s="1"/>
  <c r="GB12" i="1" s="1"/>
  <c r="GF12" i="1" s="1"/>
  <c r="GG12" i="1" s="1"/>
  <c r="FW148" i="1"/>
  <c r="FX148" i="1" s="1"/>
  <c r="FY148" i="1" s="1"/>
  <c r="GB148" i="1" s="1"/>
  <c r="GF148" i="1" s="1"/>
  <c r="GG148" i="1" s="1"/>
  <c r="FU112" i="1"/>
  <c r="FW112" i="1" s="1"/>
  <c r="FY141" i="1"/>
  <c r="GB141" i="1" s="1"/>
  <c r="GF141" i="1" s="1"/>
  <c r="GG141" i="1" s="1"/>
  <c r="FW287" i="1"/>
  <c r="FX287" i="1" s="1"/>
  <c r="FY287" i="1" s="1"/>
  <c r="GB287" i="1" s="1"/>
  <c r="GF287" i="1" s="1"/>
  <c r="GG287" i="1" s="1"/>
  <c r="FW297" i="1"/>
  <c r="FX297" i="1" s="1"/>
  <c r="FW166" i="1"/>
  <c r="FX166" i="1" s="1"/>
  <c r="FY166" i="1" s="1"/>
  <c r="GB166" i="1" s="1"/>
  <c r="GF166" i="1" s="1"/>
  <c r="GG166" i="1" s="1"/>
  <c r="FT238" i="1"/>
  <c r="FW61" i="1"/>
  <c r="FX61" i="1" s="1"/>
  <c r="FP61" i="1"/>
  <c r="FW88" i="1"/>
  <c r="FX88" i="1" s="1"/>
  <c r="FY88" i="1" s="1"/>
  <c r="GB88" i="1" s="1"/>
  <c r="GF88" i="1" s="1"/>
  <c r="GG88" i="1" s="1"/>
  <c r="FW248" i="1"/>
  <c r="FX248" i="1" s="1"/>
  <c r="FY248" i="1" s="1"/>
  <c r="GB248" i="1" s="1"/>
  <c r="GF248" i="1" s="1"/>
  <c r="GG248" i="1" s="1"/>
  <c r="FW98" i="1"/>
  <c r="FX98" i="1" s="1"/>
  <c r="FY98" i="1" s="1"/>
  <c r="GB98" i="1" s="1"/>
  <c r="GF98" i="1" s="1"/>
  <c r="GG98" i="1" s="1"/>
  <c r="FW179" i="1"/>
  <c r="FX179" i="1" s="1"/>
  <c r="FY179" i="1" s="1"/>
  <c r="GB179" i="1" s="1"/>
  <c r="GF179" i="1" s="1"/>
  <c r="GG179" i="1" s="1"/>
  <c r="FU89" i="1"/>
  <c r="FW89" i="1" s="1"/>
  <c r="FW275" i="1"/>
  <c r="FX275" i="1" s="1"/>
  <c r="FY275" i="1" s="1"/>
  <c r="GB275" i="1" s="1"/>
  <c r="GF275" i="1" s="1"/>
  <c r="GG275" i="1" s="1"/>
  <c r="FW245" i="1"/>
  <c r="FX245" i="1" s="1"/>
  <c r="FY245" i="1" s="1"/>
  <c r="GB245" i="1" s="1"/>
  <c r="GF245" i="1" s="1"/>
  <c r="GG245" i="1" s="1"/>
  <c r="FW41" i="1"/>
  <c r="FX41" i="1" s="1"/>
  <c r="FY41" i="1" s="1"/>
  <c r="GB41" i="1" s="1"/>
  <c r="GF41" i="1" s="1"/>
  <c r="GG41" i="1" s="1"/>
  <c r="FT112" i="1"/>
  <c r="FW171" i="1"/>
  <c r="FX171" i="1" s="1"/>
  <c r="FY171" i="1" s="1"/>
  <c r="GB171" i="1" s="1"/>
  <c r="GF171" i="1" s="1"/>
  <c r="GG171" i="1" s="1"/>
  <c r="FW72" i="1"/>
  <c r="FX72" i="1" s="1"/>
  <c r="FY72" i="1" s="1"/>
  <c r="GB72" i="1" s="1"/>
  <c r="GF72" i="1" s="1"/>
  <c r="GG72" i="1" s="1"/>
  <c r="FW173" i="1"/>
  <c r="FX173" i="1" s="1"/>
  <c r="FY173" i="1" s="1"/>
  <c r="GB173" i="1" s="1"/>
  <c r="GF173" i="1" s="1"/>
  <c r="GG173" i="1" s="1"/>
  <c r="FW252" i="1"/>
  <c r="FX252" i="1" s="1"/>
  <c r="FY252" i="1" s="1"/>
  <c r="GB252" i="1" s="1"/>
  <c r="GF252" i="1" s="1"/>
  <c r="GG252" i="1" s="1"/>
  <c r="FW285" i="1"/>
  <c r="FX285" i="1" s="1"/>
  <c r="FY285" i="1" s="1"/>
  <c r="GB285" i="1" s="1"/>
  <c r="GF285" i="1" s="1"/>
  <c r="GG285" i="1" s="1"/>
  <c r="FW52" i="1"/>
  <c r="FX52" i="1" s="1"/>
  <c r="FY52" i="1" s="1"/>
  <c r="GB52" i="1" s="1"/>
  <c r="GF52" i="1" s="1"/>
  <c r="GG52" i="1" s="1"/>
  <c r="FW57" i="1"/>
  <c r="FX57" i="1" s="1"/>
  <c r="FW187" i="1"/>
  <c r="FX187" i="1" s="1"/>
  <c r="FW121" i="1"/>
  <c r="FX121" i="1" s="1"/>
  <c r="FY121" i="1" s="1"/>
  <c r="GB121" i="1" s="1"/>
  <c r="GF121" i="1" s="1"/>
  <c r="GG121" i="1" s="1"/>
  <c r="FW175" i="1"/>
  <c r="FX175" i="1" s="1"/>
  <c r="FY175" i="1" s="1"/>
  <c r="GB175" i="1" s="1"/>
  <c r="GF175" i="1" s="1"/>
  <c r="GG175" i="1" s="1"/>
  <c r="FW7" i="1"/>
  <c r="FX7" i="1" s="1"/>
  <c r="FY7" i="1" s="1"/>
  <c r="GB7" i="1" s="1"/>
  <c r="GF7" i="1" s="1"/>
  <c r="GG7" i="1" s="1"/>
  <c r="FW48" i="1"/>
  <c r="FX48" i="1" s="1"/>
  <c r="FY48" i="1" s="1"/>
  <c r="GB48" i="1" s="1"/>
  <c r="GF48" i="1" s="1"/>
  <c r="GG48" i="1" s="1"/>
  <c r="FW292" i="1"/>
  <c r="FX292" i="1" s="1"/>
  <c r="FY292" i="1" s="1"/>
  <c r="GB292" i="1" s="1"/>
  <c r="GF292" i="1" s="1"/>
  <c r="GG292" i="1" s="1"/>
  <c r="FT187" i="1"/>
  <c r="FW146" i="1"/>
  <c r="FX146" i="1" s="1"/>
  <c r="FY146" i="1" s="1"/>
  <c r="GB146" i="1" s="1"/>
  <c r="GF146" i="1" s="1"/>
  <c r="GG146" i="1" s="1"/>
  <c r="GH146" i="1" s="1"/>
  <c r="GI146" i="1" s="1"/>
  <c r="J146" i="2" s="1"/>
  <c r="FW190" i="1"/>
  <c r="FX190" i="1" s="1"/>
  <c r="FY190" i="1" s="1"/>
  <c r="GB190" i="1" s="1"/>
  <c r="GF190" i="1" s="1"/>
  <c r="GG190" i="1" s="1"/>
  <c r="FW153" i="1"/>
  <c r="FX153" i="1" s="1"/>
  <c r="FY153" i="1" s="1"/>
  <c r="GB153" i="1" s="1"/>
  <c r="GF153" i="1" s="1"/>
  <c r="GG153" i="1" s="1"/>
  <c r="FT57" i="1"/>
  <c r="FW127" i="1"/>
  <c r="FX127" i="1" s="1"/>
  <c r="FY127" i="1" s="1"/>
  <c r="GB127" i="1" s="1"/>
  <c r="GF127" i="1" s="1"/>
  <c r="GG127" i="1" s="1"/>
  <c r="FW13" i="1"/>
  <c r="FX13" i="1" s="1"/>
  <c r="FY13" i="1" s="1"/>
  <c r="GB13" i="1" s="1"/>
  <c r="GF13" i="1" s="1"/>
  <c r="GG13" i="1" s="1"/>
  <c r="FW35" i="1"/>
  <c r="FX35" i="1" s="1"/>
  <c r="FY35" i="1" s="1"/>
  <c r="GB35" i="1" s="1"/>
  <c r="GF35" i="1" s="1"/>
  <c r="GG35" i="1" s="1"/>
  <c r="FW258" i="1"/>
  <c r="FX258" i="1" s="1"/>
  <c r="FY258" i="1" s="1"/>
  <c r="GB258" i="1" s="1"/>
  <c r="GF258" i="1" s="1"/>
  <c r="GG258" i="1" s="1"/>
  <c r="FW256" i="1"/>
  <c r="FX256" i="1" s="1"/>
  <c r="FY256" i="1" s="1"/>
  <c r="GB256" i="1" s="1"/>
  <c r="GF256" i="1" s="1"/>
  <c r="GG256" i="1" s="1"/>
  <c r="FV29" i="1"/>
  <c r="FY261" i="1"/>
  <c r="GB261" i="1" s="1"/>
  <c r="GF261" i="1" s="1"/>
  <c r="GG261" i="1" s="1"/>
  <c r="FW177" i="1"/>
  <c r="FX177" i="1" s="1"/>
  <c r="FY177" i="1" s="1"/>
  <c r="GB177" i="1" s="1"/>
  <c r="GF177" i="1" s="1"/>
  <c r="GG177" i="1" s="1"/>
  <c r="FW90" i="1"/>
  <c r="FX90" i="1" s="1"/>
  <c r="FY90" i="1" s="1"/>
  <c r="GB90" i="1" s="1"/>
  <c r="GF90" i="1" s="1"/>
  <c r="GG90" i="1" s="1"/>
  <c r="FW165" i="1"/>
  <c r="FX165" i="1" s="1"/>
  <c r="FY165" i="1" s="1"/>
  <c r="GB165" i="1" s="1"/>
  <c r="GF165" i="1" s="1"/>
  <c r="GG165" i="1" s="1"/>
  <c r="FW144" i="1"/>
  <c r="FX144" i="1" s="1"/>
  <c r="FY144" i="1" s="1"/>
  <c r="GB144" i="1" s="1"/>
  <c r="GF144" i="1" s="1"/>
  <c r="GG144" i="1" s="1"/>
  <c r="FW131" i="1"/>
  <c r="FX131" i="1" s="1"/>
  <c r="FY131" i="1" s="1"/>
  <c r="GB131" i="1" s="1"/>
  <c r="GF131" i="1" s="1"/>
  <c r="GG131" i="1" s="1"/>
  <c r="FW27" i="1"/>
  <c r="FX27" i="1" s="1"/>
  <c r="FY27" i="1" s="1"/>
  <c r="GB27" i="1" s="1"/>
  <c r="GF27" i="1" s="1"/>
  <c r="GG27" i="1" s="1"/>
  <c r="FW64" i="1"/>
  <c r="FX64" i="1" s="1"/>
  <c r="FW123" i="1"/>
  <c r="FX123" i="1" s="1"/>
  <c r="FU26" i="1"/>
  <c r="FW26" i="1" s="1"/>
  <c r="FX26" i="1" s="1"/>
  <c r="FW194" i="1"/>
  <c r="FX194" i="1" s="1"/>
  <c r="FY194" i="1" s="1"/>
  <c r="GB194" i="1" s="1"/>
  <c r="GF194" i="1" s="1"/>
  <c r="GG194" i="1" s="1"/>
  <c r="FT89" i="1"/>
  <c r="FW280" i="1"/>
  <c r="FX280" i="1" s="1"/>
  <c r="FY280" i="1" s="1"/>
  <c r="GB280" i="1" s="1"/>
  <c r="GF280" i="1" s="1"/>
  <c r="GG280" i="1" s="1"/>
  <c r="FW246" i="1"/>
  <c r="FX246" i="1" s="1"/>
  <c r="FY246" i="1" s="1"/>
  <c r="GB246" i="1" s="1"/>
  <c r="GF246" i="1" s="1"/>
  <c r="GG246" i="1" s="1"/>
  <c r="FW82" i="1"/>
  <c r="FX82" i="1" s="1"/>
  <c r="FY82" i="1" s="1"/>
  <c r="GB82" i="1" s="1"/>
  <c r="GF82" i="1" s="1"/>
  <c r="GG82" i="1" s="1"/>
  <c r="FW5" i="1"/>
  <c r="FX5" i="1" s="1"/>
  <c r="FY5" i="1" s="1"/>
  <c r="GB5" i="1" s="1"/>
  <c r="GF5" i="1" s="1"/>
  <c r="GG5" i="1" s="1"/>
  <c r="FW60" i="1"/>
  <c r="FX60" i="1" s="1"/>
  <c r="FY60" i="1" s="1"/>
  <c r="GB60" i="1" s="1"/>
  <c r="GF60" i="1" s="1"/>
  <c r="GG60" i="1" s="1"/>
  <c r="FT64" i="1"/>
  <c r="FW184" i="1"/>
  <c r="FX184" i="1" s="1"/>
  <c r="FY184" i="1" s="1"/>
  <c r="GB184" i="1" s="1"/>
  <c r="GF184" i="1" s="1"/>
  <c r="GG184" i="1" s="1"/>
  <c r="FW191" i="1"/>
  <c r="FX191" i="1" s="1"/>
  <c r="FY191" i="1" s="1"/>
  <c r="GB191" i="1" s="1"/>
  <c r="GF191" i="1" s="1"/>
  <c r="GG191" i="1" s="1"/>
  <c r="FW234" i="1"/>
  <c r="FX234" i="1" s="1"/>
  <c r="FY234" i="1" s="1"/>
  <c r="GB234" i="1" s="1"/>
  <c r="GF234" i="1" s="1"/>
  <c r="GG234" i="1" s="1"/>
  <c r="GH234" i="1" s="1"/>
  <c r="FW198" i="1"/>
  <c r="FX198" i="1" s="1"/>
  <c r="FY198" i="1" s="1"/>
  <c r="GB198" i="1" s="1"/>
  <c r="GF198" i="1" s="1"/>
  <c r="GG198" i="1" s="1"/>
  <c r="FW247" i="1"/>
  <c r="FX247" i="1" s="1"/>
  <c r="FW163" i="1"/>
  <c r="FX163" i="1" s="1"/>
  <c r="FY163" i="1" s="1"/>
  <c r="GB163" i="1" s="1"/>
  <c r="GF163" i="1" s="1"/>
  <c r="GG163" i="1" s="1"/>
  <c r="FW206" i="1"/>
  <c r="FX206" i="1" s="1"/>
  <c r="FY206" i="1" s="1"/>
  <c r="GB206" i="1" s="1"/>
  <c r="GF206" i="1" s="1"/>
  <c r="GG206" i="1" s="1"/>
  <c r="FW192" i="1"/>
  <c r="FX192" i="1" s="1"/>
  <c r="FW180" i="1"/>
  <c r="FX180" i="1" s="1"/>
  <c r="FY180" i="1" s="1"/>
  <c r="GB180" i="1" s="1"/>
  <c r="GF180" i="1" s="1"/>
  <c r="GG180" i="1" s="1"/>
  <c r="FW93" i="1"/>
  <c r="FX93" i="1" s="1"/>
  <c r="FY93" i="1" s="1"/>
  <c r="GB93" i="1" s="1"/>
  <c r="GF93" i="1" s="1"/>
  <c r="GG93" i="1" s="1"/>
  <c r="FW137" i="1"/>
  <c r="FX137" i="1" s="1"/>
  <c r="FY137" i="1" s="1"/>
  <c r="GB137" i="1" s="1"/>
  <c r="GF137" i="1" s="1"/>
  <c r="GG137" i="1" s="1"/>
  <c r="FW185" i="1"/>
  <c r="FX185" i="1" s="1"/>
  <c r="FY185" i="1" s="1"/>
  <c r="GB185" i="1" s="1"/>
  <c r="GF185" i="1" s="1"/>
  <c r="GG185" i="1" s="1"/>
  <c r="FT297" i="1"/>
  <c r="FT247" i="1"/>
  <c r="FW259" i="1"/>
  <c r="FX259" i="1" s="1"/>
  <c r="FY259" i="1" s="1"/>
  <c r="GB259" i="1" s="1"/>
  <c r="GF259" i="1" s="1"/>
  <c r="GG259" i="1" s="1"/>
  <c r="FW10" i="1"/>
  <c r="FX10" i="1" s="1"/>
  <c r="FW156" i="1"/>
  <c r="FX156" i="1" s="1"/>
  <c r="FW6" i="1"/>
  <c r="FX6" i="1" s="1"/>
  <c r="FY76" i="1"/>
  <c r="GB76" i="1" s="1"/>
  <c r="GF76" i="1" s="1"/>
  <c r="GG76" i="1" s="1"/>
  <c r="FT192" i="1"/>
  <c r="FW25" i="1"/>
  <c r="FX25" i="1" s="1"/>
  <c r="FY25" i="1" s="1"/>
  <c r="GB25" i="1" s="1"/>
  <c r="GF25" i="1" s="1"/>
  <c r="GG25" i="1" s="1"/>
  <c r="GH25" i="1" s="1"/>
  <c r="FW143" i="1"/>
  <c r="FX143" i="1" s="1"/>
  <c r="FY143" i="1" s="1"/>
  <c r="GB143" i="1" s="1"/>
  <c r="GF143" i="1" s="1"/>
  <c r="GG143" i="1" s="1"/>
  <c r="FW263" i="1"/>
  <c r="FX263" i="1" s="1"/>
  <c r="FY263" i="1" s="1"/>
  <c r="GB263" i="1" s="1"/>
  <c r="GF263" i="1" s="1"/>
  <c r="GG263" i="1" s="1"/>
  <c r="FU69" i="1"/>
  <c r="FW69" i="1" s="1"/>
  <c r="FW159" i="1"/>
  <c r="FX159" i="1" s="1"/>
  <c r="FY159" i="1" s="1"/>
  <c r="GB159" i="1" s="1"/>
  <c r="GF159" i="1" s="1"/>
  <c r="GG159" i="1" s="1"/>
  <c r="FW78" i="1"/>
  <c r="FX78" i="1" s="1"/>
  <c r="FY78" i="1" s="1"/>
  <c r="GB78" i="1" s="1"/>
  <c r="GF78" i="1" s="1"/>
  <c r="GG78" i="1" s="1"/>
  <c r="FW218" i="1"/>
  <c r="FX218" i="1" s="1"/>
  <c r="FY218" i="1" s="1"/>
  <c r="FU283" i="1"/>
  <c r="FW283" i="1" s="1"/>
  <c r="FT6" i="1"/>
  <c r="FW266" i="1"/>
  <c r="FX266" i="1" s="1"/>
  <c r="FY266" i="1" s="1"/>
  <c r="GB266" i="1" s="1"/>
  <c r="GF266" i="1" s="1"/>
  <c r="GG266" i="1" s="1"/>
  <c r="FW209" i="1"/>
  <c r="FX209" i="1" s="1"/>
  <c r="FY209" i="1" s="1"/>
  <c r="GB209" i="1" s="1"/>
  <c r="GF209" i="1" s="1"/>
  <c r="GG209" i="1" s="1"/>
  <c r="FW38" i="1"/>
  <c r="FX38" i="1" s="1"/>
  <c r="FY38" i="1" s="1"/>
  <c r="GB38" i="1" s="1"/>
  <c r="GF38" i="1" s="1"/>
  <c r="GG38" i="1" s="1"/>
  <c r="FW134" i="1"/>
  <c r="FX134" i="1" s="1"/>
  <c r="FY134" i="1" s="1"/>
  <c r="GB134" i="1" s="1"/>
  <c r="GF134" i="1" s="1"/>
  <c r="GG134" i="1" s="1"/>
  <c r="FY42" i="1"/>
  <c r="GB42" i="1" s="1"/>
  <c r="GF42" i="1" s="1"/>
  <c r="GG42" i="1" s="1"/>
  <c r="GH42" i="1" s="1"/>
  <c r="FW106" i="1"/>
  <c r="FX106" i="1" s="1"/>
  <c r="FT123" i="1"/>
  <c r="FT156" i="1"/>
  <c r="FW290" i="1"/>
  <c r="FX290" i="1" s="1"/>
  <c r="FY290" i="1" s="1"/>
  <c r="GB290" i="1" s="1"/>
  <c r="GF290" i="1" s="1"/>
  <c r="GG290" i="1" s="1"/>
  <c r="FW65" i="1"/>
  <c r="FX65" i="1" s="1"/>
  <c r="FY65" i="1" s="1"/>
  <c r="GB65" i="1" s="1"/>
  <c r="GF65" i="1" s="1"/>
  <c r="GG65" i="1" s="1"/>
  <c r="FW73" i="1"/>
  <c r="FX73" i="1" s="1"/>
  <c r="FY73" i="1" s="1"/>
  <c r="GB73" i="1" s="1"/>
  <c r="GF73" i="1" s="1"/>
  <c r="GG73" i="1" s="1"/>
  <c r="FV193" i="1"/>
  <c r="FY264" i="1"/>
  <c r="GB264" i="1" s="1"/>
  <c r="GF264" i="1" s="1"/>
  <c r="GG264" i="1" s="1"/>
  <c r="FW257" i="1"/>
  <c r="FX257" i="1" s="1"/>
  <c r="FY257" i="1" s="1"/>
  <c r="GB257" i="1" s="1"/>
  <c r="GF257" i="1" s="1"/>
  <c r="GG257" i="1" s="1"/>
  <c r="FW63" i="1"/>
  <c r="FX63" i="1" s="1"/>
  <c r="FY63" i="1" s="1"/>
  <c r="GB63" i="1" s="1"/>
  <c r="GF63" i="1" s="1"/>
  <c r="GG63" i="1" s="1"/>
  <c r="FW162" i="1"/>
  <c r="FX162" i="1" s="1"/>
  <c r="FY162" i="1" s="1"/>
  <c r="GB162" i="1" s="1"/>
  <c r="GF162" i="1" s="1"/>
  <c r="GG162" i="1" s="1"/>
  <c r="FW97" i="1"/>
  <c r="FX97" i="1" s="1"/>
  <c r="FY97" i="1" s="1"/>
  <c r="GB97" i="1" s="1"/>
  <c r="GF97" i="1" s="1"/>
  <c r="GG97" i="1" s="1"/>
  <c r="FW118" i="1"/>
  <c r="FX118" i="1" s="1"/>
  <c r="FY118" i="1" s="1"/>
  <c r="GB118" i="1" s="1"/>
  <c r="GF118" i="1" s="1"/>
  <c r="GG118" i="1" s="1"/>
  <c r="FT10" i="1"/>
  <c r="FY34" i="1"/>
  <c r="GB34" i="1" s="1"/>
  <c r="GF34" i="1" s="1"/>
  <c r="GG34" i="1" s="1"/>
  <c r="GH34" i="1" s="1"/>
  <c r="GI34" i="1" s="1"/>
  <c r="J34" i="2" s="1"/>
  <c r="FT106" i="1"/>
  <c r="FW242" i="1"/>
  <c r="FX242" i="1" s="1"/>
  <c r="FY242" i="1" s="1"/>
  <c r="GB242" i="1" s="1"/>
  <c r="GF242" i="1" s="1"/>
  <c r="GG242" i="1" s="1"/>
  <c r="FV31" i="1"/>
  <c r="FW291" i="1"/>
  <c r="FX291" i="1" s="1"/>
  <c r="FY291" i="1" s="1"/>
  <c r="GC291" i="1" s="1"/>
  <c r="GD291" i="1" s="1"/>
  <c r="GE291" i="1" s="1"/>
  <c r="GF291" i="1" s="1"/>
  <c r="GG291" i="1" s="1"/>
  <c r="FW298" i="1"/>
  <c r="FX298" i="1" s="1"/>
  <c r="FY298" i="1" s="1"/>
  <c r="GB298" i="1" s="1"/>
  <c r="GF298" i="1" s="1"/>
  <c r="GG298" i="1" s="1"/>
  <c r="FW295" i="1"/>
  <c r="FX295" i="1" s="1"/>
  <c r="FY295" i="1" s="1"/>
  <c r="GB295" i="1" s="1"/>
  <c r="GF295" i="1" s="1"/>
  <c r="GG295" i="1" s="1"/>
  <c r="FW150" i="1"/>
  <c r="FX150" i="1" s="1"/>
  <c r="FY150" i="1" s="1"/>
  <c r="GB150" i="1" s="1"/>
  <c r="GF150" i="1" s="1"/>
  <c r="GG150" i="1" s="1"/>
  <c r="FU33" i="1"/>
  <c r="FV33" i="1" s="1"/>
  <c r="FV115" i="1"/>
  <c r="FW178" i="1"/>
  <c r="FX178" i="1" s="1"/>
  <c r="FY178" i="1" s="1"/>
  <c r="GB178" i="1" s="1"/>
  <c r="GF178" i="1" s="1"/>
  <c r="GG178" i="1" s="1"/>
  <c r="GH178" i="1" s="1"/>
  <c r="GI178" i="1" s="1"/>
  <c r="J178" i="2" s="1"/>
  <c r="FW202" i="1"/>
  <c r="FX202" i="1" s="1"/>
  <c r="FY202" i="1" s="1"/>
  <c r="GB202" i="1" s="1"/>
  <c r="GF202" i="1" s="1"/>
  <c r="GG202" i="1" s="1"/>
  <c r="FW4" i="1"/>
  <c r="FX4" i="1" s="1"/>
  <c r="FY4" i="1" s="1"/>
  <c r="GB4" i="1" s="1"/>
  <c r="GF4" i="1" s="1"/>
  <c r="GG4" i="1" s="1"/>
  <c r="FY208" i="1"/>
  <c r="GB208" i="1" s="1"/>
  <c r="GF208" i="1" s="1"/>
  <c r="GG208" i="1" s="1"/>
  <c r="FW133" i="1"/>
  <c r="FX133" i="1" s="1"/>
  <c r="FY133" i="1" s="1"/>
  <c r="GB133" i="1" s="1"/>
  <c r="GF133" i="1" s="1"/>
  <c r="GG133" i="1" s="1"/>
  <c r="FW122" i="1"/>
  <c r="FX122" i="1" s="1"/>
  <c r="FY122" i="1" s="1"/>
  <c r="GB122" i="1" s="1"/>
  <c r="GF122" i="1" s="1"/>
  <c r="GG122" i="1" s="1"/>
  <c r="GH122" i="1" s="1"/>
  <c r="FW138" i="1"/>
  <c r="FX138" i="1" s="1"/>
  <c r="FY138" i="1" s="1"/>
  <c r="GB138" i="1" s="1"/>
  <c r="GF138" i="1" s="1"/>
  <c r="GG138" i="1" s="1"/>
  <c r="FY270" i="1"/>
  <c r="GB270" i="1" s="1"/>
  <c r="GF270" i="1" s="1"/>
  <c r="GG270" i="1" s="1"/>
  <c r="FY213" i="1"/>
  <c r="GB213" i="1" s="1"/>
  <c r="GF213" i="1" s="1"/>
  <c r="GG213" i="1" s="1"/>
  <c r="FW271" i="1"/>
  <c r="FX271" i="1" s="1"/>
  <c r="FY47" i="1"/>
  <c r="GB47" i="1" s="1"/>
  <c r="GF47" i="1" s="1"/>
  <c r="GG47" i="1" s="1"/>
  <c r="FY186" i="1"/>
  <c r="GB186" i="1" s="1"/>
  <c r="GF186" i="1" s="1"/>
  <c r="GG186" i="1" s="1"/>
  <c r="GH186" i="1" s="1"/>
  <c r="GI186" i="1" s="1"/>
  <c r="J186" i="2" s="1"/>
  <c r="FY124" i="1"/>
  <c r="GB124" i="1" s="1"/>
  <c r="GF124" i="1" s="1"/>
  <c r="GG124" i="1" s="1"/>
  <c r="FY91" i="1"/>
  <c r="GB91" i="1" s="1"/>
  <c r="GF91" i="1" s="1"/>
  <c r="GG91" i="1" s="1"/>
  <c r="FX115" i="1"/>
  <c r="FY267" i="1"/>
  <c r="GB267" i="1" s="1"/>
  <c r="GF267" i="1" s="1"/>
  <c r="GG267" i="1" s="1"/>
  <c r="FY236" i="1"/>
  <c r="GB236" i="1" s="1"/>
  <c r="GF236" i="1" s="1"/>
  <c r="GG236" i="1" s="1"/>
  <c r="FY157" i="1"/>
  <c r="GB157" i="1" s="1"/>
  <c r="GF157" i="1" s="1"/>
  <c r="GG157" i="1" s="1"/>
  <c r="FY24" i="1"/>
  <c r="GB24" i="1" s="1"/>
  <c r="GF24" i="1" s="1"/>
  <c r="GG24" i="1" s="1"/>
  <c r="FY289" i="1"/>
  <c r="GB289" i="1" s="1"/>
  <c r="GF289" i="1" s="1"/>
  <c r="GG289" i="1" s="1"/>
  <c r="FY279" i="1"/>
  <c r="GB279" i="1" s="1"/>
  <c r="GF279" i="1" s="1"/>
  <c r="GG279" i="1" s="1"/>
  <c r="FY299" i="1"/>
  <c r="GB299" i="1" s="1"/>
  <c r="GF299" i="1" s="1"/>
  <c r="GG299" i="1" s="1"/>
  <c r="FY46" i="1"/>
  <c r="GB46" i="1" s="1"/>
  <c r="GF46" i="1" s="1"/>
  <c r="GG46" i="1" s="1"/>
  <c r="FY239" i="1"/>
  <c r="GB239" i="1" s="1"/>
  <c r="GF239" i="1" s="1"/>
  <c r="GG239" i="1" s="1"/>
  <c r="FX203" i="1"/>
  <c r="FY241" i="1"/>
  <c r="GB241" i="1" s="1"/>
  <c r="GF241" i="1" s="1"/>
  <c r="GG241" i="1" s="1"/>
  <c r="FY200" i="1"/>
  <c r="GB200" i="1" s="1"/>
  <c r="GF200" i="1" s="1"/>
  <c r="GG200" i="1" s="1"/>
  <c r="FY219" i="1"/>
  <c r="GB219" i="1" s="1"/>
  <c r="GF219" i="1" s="1"/>
  <c r="GG219" i="1" s="1"/>
  <c r="FY23" i="1"/>
  <c r="GB23" i="1" s="1"/>
  <c r="GF23" i="1" s="1"/>
  <c r="GG23" i="1" s="1"/>
  <c r="FY136" i="1"/>
  <c r="GB136" i="1" s="1"/>
  <c r="GF136" i="1" s="1"/>
  <c r="GG136" i="1" s="1"/>
  <c r="FY284" i="1"/>
  <c r="GB284" i="1" s="1"/>
  <c r="GF284" i="1" s="1"/>
  <c r="GG284" i="1" s="1"/>
  <c r="FY229" i="1"/>
  <c r="GB229" i="1" s="1"/>
  <c r="GF229" i="1" s="1"/>
  <c r="GG229" i="1" s="1"/>
  <c r="FY276" i="1"/>
  <c r="GB276" i="1" s="1"/>
  <c r="GF276" i="1" s="1"/>
  <c r="GG276" i="1" s="1"/>
  <c r="FY15" i="1"/>
  <c r="GB15" i="1" s="1"/>
  <c r="GF15" i="1" s="1"/>
  <c r="GG15" i="1" s="1"/>
  <c r="FY199" i="1"/>
  <c r="GB199" i="1" s="1"/>
  <c r="GF199" i="1" s="1"/>
  <c r="GG199" i="1" s="1"/>
  <c r="FY211" i="1"/>
  <c r="GB211" i="1" s="1"/>
  <c r="GF211" i="1" s="1"/>
  <c r="GG211" i="1" s="1"/>
  <c r="FY293" i="1"/>
  <c r="GB293" i="1" s="1"/>
  <c r="GF293" i="1" s="1"/>
  <c r="GG293" i="1" s="1"/>
  <c r="FY99" i="1"/>
  <c r="GB99" i="1" s="1"/>
  <c r="GF99" i="1" s="1"/>
  <c r="GG99" i="1" s="1"/>
  <c r="FY232" i="1"/>
  <c r="GB232" i="1" s="1"/>
  <c r="GF232" i="1" s="1"/>
  <c r="GG232" i="1" s="1"/>
  <c r="FY120" i="1"/>
  <c r="GB120" i="1" s="1"/>
  <c r="GF120" i="1" s="1"/>
  <c r="GG120" i="1" s="1"/>
  <c r="FY87" i="1"/>
  <c r="GB87" i="1" s="1"/>
  <c r="GF87" i="1" s="1"/>
  <c r="GG87" i="1" s="1"/>
  <c r="FY145" i="1"/>
  <c r="FX29" i="1"/>
  <c r="FX240" i="1"/>
  <c r="FY294" i="1"/>
  <c r="GB294" i="1" s="1"/>
  <c r="GF294" i="1" s="1"/>
  <c r="GG294" i="1" s="1"/>
  <c r="FY274" i="1"/>
  <c r="FY172" i="1"/>
  <c r="GB172" i="1" s="1"/>
  <c r="GF172" i="1" s="1"/>
  <c r="GG172" i="1" s="1"/>
  <c r="FY19" i="1"/>
  <c r="GB19" i="1" s="1"/>
  <c r="GF19" i="1" s="1"/>
  <c r="GG19" i="1" s="1"/>
  <c r="FY128" i="1"/>
  <c r="GB128" i="1" s="1"/>
  <c r="GF128" i="1" s="1"/>
  <c r="GG128" i="1" s="1"/>
  <c r="FY101" i="1"/>
  <c r="GB101" i="1" s="1"/>
  <c r="GF101" i="1" s="1"/>
  <c r="GG101" i="1" s="1"/>
  <c r="FY154" i="1"/>
  <c r="GB154" i="1" s="1"/>
  <c r="GF154" i="1" s="1"/>
  <c r="GG154" i="1" s="1"/>
  <c r="FY55" i="1"/>
  <c r="GB55" i="1" s="1"/>
  <c r="GF55" i="1" s="1"/>
  <c r="GG55" i="1" s="1"/>
  <c r="FY195" i="1"/>
  <c r="FY96" i="1"/>
  <c r="GB96" i="1" s="1"/>
  <c r="GF96" i="1" s="1"/>
  <c r="GG96" i="1" s="1"/>
  <c r="FY217" i="1"/>
  <c r="GB217" i="1" s="1"/>
  <c r="GF217" i="1" s="1"/>
  <c r="GG217" i="1" s="1"/>
  <c r="FY54" i="1"/>
  <c r="GB54" i="1" s="1"/>
  <c r="GF54" i="1" s="1"/>
  <c r="GG54" i="1" s="1"/>
  <c r="FY109" i="1"/>
  <c r="GB109" i="1" s="1"/>
  <c r="GF109" i="1" s="1"/>
  <c r="GG109" i="1" s="1"/>
  <c r="FY262" i="1"/>
  <c r="GB262" i="1" s="1"/>
  <c r="GF262" i="1" s="1"/>
  <c r="GG262" i="1" s="1"/>
  <c r="FY108" i="1"/>
  <c r="GB108" i="1" s="1"/>
  <c r="GF108" i="1" s="1"/>
  <c r="GG108" i="1" s="1"/>
  <c r="FY119" i="1"/>
  <c r="GB119" i="1" s="1"/>
  <c r="GF119" i="1" s="1"/>
  <c r="GG119" i="1" s="1"/>
  <c r="FY49" i="1"/>
  <c r="GB49" i="1" s="1"/>
  <c r="GF49" i="1" s="1"/>
  <c r="GG49" i="1" s="1"/>
  <c r="FY272" i="1"/>
  <c r="GB272" i="1" s="1"/>
  <c r="GF272" i="1" s="1"/>
  <c r="GG272" i="1" s="1"/>
  <c r="FY230" i="1"/>
  <c r="GB230" i="1" s="1"/>
  <c r="GF230" i="1" s="1"/>
  <c r="GG230" i="1" s="1"/>
  <c r="FY8" i="1"/>
  <c r="GB8" i="1" s="1"/>
  <c r="GF8" i="1" s="1"/>
  <c r="GG8" i="1" s="1"/>
  <c r="FY265" i="1"/>
  <c r="GB265" i="1" s="1"/>
  <c r="GF265" i="1" s="1"/>
  <c r="GG265" i="1" s="1"/>
  <c r="FY228" i="1"/>
  <c r="GB228" i="1" s="1"/>
  <c r="GF228" i="1" s="1"/>
  <c r="GG228" i="1" s="1"/>
  <c r="FY92" i="1"/>
  <c r="GB92" i="1" s="1"/>
  <c r="GF92" i="1" s="1"/>
  <c r="GG92" i="1" s="1"/>
  <c r="FY68" i="1"/>
  <c r="GB68" i="1" s="1"/>
  <c r="GF68" i="1" s="1"/>
  <c r="GG68" i="1" s="1"/>
  <c r="FX31" i="1"/>
  <c r="FY182" i="1"/>
  <c r="GB182" i="1" s="1"/>
  <c r="GF182" i="1" s="1"/>
  <c r="GG182" i="1" s="1"/>
  <c r="FY66" i="1"/>
  <c r="GB66" i="1" s="1"/>
  <c r="GF66" i="1" s="1"/>
  <c r="GG66" i="1" s="1"/>
  <c r="FY80" i="1"/>
  <c r="GB80" i="1" s="1"/>
  <c r="GF80" i="1" s="1"/>
  <c r="GG80" i="1" s="1"/>
  <c r="FY251" i="1"/>
  <c r="GB251" i="1" s="1"/>
  <c r="GF251" i="1" s="1"/>
  <c r="GG251" i="1" s="1"/>
  <c r="FY250" i="1"/>
  <c r="GB250" i="1" s="1"/>
  <c r="GF250" i="1" s="1"/>
  <c r="GG250" i="1" s="1"/>
  <c r="FY2" i="1"/>
  <c r="GB2" i="1" s="1"/>
  <c r="GF2" i="1" s="1"/>
  <c r="GG2" i="1" s="1"/>
  <c r="FV40" i="1"/>
  <c r="FX40" i="1" s="1"/>
  <c r="FY40" i="1" s="1"/>
  <c r="FV255" i="1"/>
  <c r="FX255" i="1" s="1"/>
  <c r="FY255" i="1" s="1"/>
  <c r="GC255" i="1" s="1"/>
  <c r="GD255" i="1" s="1"/>
  <c r="GE255" i="1" s="1"/>
  <c r="GF255" i="1" s="1"/>
  <c r="GG255" i="1" s="1"/>
  <c r="FX193" i="1"/>
  <c r="GF215" i="1"/>
  <c r="GG215" i="1" s="1"/>
  <c r="GF14" i="1"/>
  <c r="GG14" i="1" s="1"/>
  <c r="GF160" i="1"/>
  <c r="GG160" i="1" s="1"/>
  <c r="GF189" i="1"/>
  <c r="GG189" i="1" s="1"/>
  <c r="GF39" i="1"/>
  <c r="GG39" i="1" s="1"/>
  <c r="FD166" i="1"/>
  <c r="FE166" i="1" s="1"/>
  <c r="FF166" i="1" s="1"/>
  <c r="FG166" i="1" s="1"/>
  <c r="FI166" i="1" s="1"/>
  <c r="FD139" i="1"/>
  <c r="FE139" i="1" s="1"/>
  <c r="FF139" i="1" s="1"/>
  <c r="FG139" i="1" s="1"/>
  <c r="FI139" i="1" s="1"/>
  <c r="FD158" i="1"/>
  <c r="FE158" i="1" s="1"/>
  <c r="FF158" i="1" s="1"/>
  <c r="FG158" i="1" s="1"/>
  <c r="FI158" i="1" s="1"/>
  <c r="FD194" i="1"/>
  <c r="FE194" i="1" s="1"/>
  <c r="FF194" i="1" s="1"/>
  <c r="FG194" i="1" s="1"/>
  <c r="FI194" i="1" s="1"/>
  <c r="FD178" i="1"/>
  <c r="FE178" i="1" s="1"/>
  <c r="FF178" i="1" s="1"/>
  <c r="FG178" i="1" s="1"/>
  <c r="FI178" i="1" s="1"/>
  <c r="FD243" i="1"/>
  <c r="FE243" i="1" s="1"/>
  <c r="FF243" i="1" s="1"/>
  <c r="FG243" i="1" s="1"/>
  <c r="FI243" i="1" s="1"/>
  <c r="FD247" i="1"/>
  <c r="FE247" i="1" s="1"/>
  <c r="FF247" i="1" s="1"/>
  <c r="FG247" i="1" s="1"/>
  <c r="FI247" i="1" s="1"/>
  <c r="FD270" i="1"/>
  <c r="FE270" i="1" s="1"/>
  <c r="FF270" i="1" s="1"/>
  <c r="FG270" i="1" s="1"/>
  <c r="FI270" i="1" s="1"/>
  <c r="FD287" i="1"/>
  <c r="FE287" i="1" s="1"/>
  <c r="FF287" i="1" s="1"/>
  <c r="FG287" i="1" s="1"/>
  <c r="FI287" i="1" s="1"/>
  <c r="FD217" i="1"/>
  <c r="FE217" i="1" s="1"/>
  <c r="FF217" i="1" s="1"/>
  <c r="FG217" i="1" s="1"/>
  <c r="FI217" i="1" s="1"/>
  <c r="FD31" i="1"/>
  <c r="FE31" i="1" s="1"/>
  <c r="FF31" i="1" s="1"/>
  <c r="FG31" i="1" s="1"/>
  <c r="FI31" i="1" s="1"/>
  <c r="FD257" i="1"/>
  <c r="FE257" i="1" s="1"/>
  <c r="FF257" i="1" s="1"/>
  <c r="FG257" i="1" s="1"/>
  <c r="FI257" i="1" s="1"/>
  <c r="FD71" i="1"/>
  <c r="FE71" i="1" s="1"/>
  <c r="FF71" i="1" s="1"/>
  <c r="FG71" i="1" s="1"/>
  <c r="FI71" i="1" s="1"/>
  <c r="FD263" i="1"/>
  <c r="FE263" i="1" s="1"/>
  <c r="FF263" i="1" s="1"/>
  <c r="FG263" i="1" s="1"/>
  <c r="FI263" i="1" s="1"/>
  <c r="FD119" i="1"/>
  <c r="FE119" i="1" s="1"/>
  <c r="FF119" i="1" s="1"/>
  <c r="FG119" i="1" s="1"/>
  <c r="FI119" i="1" s="1"/>
  <c r="FD105" i="1"/>
  <c r="FE105" i="1" s="1"/>
  <c r="FF105" i="1" s="1"/>
  <c r="FG105" i="1" s="1"/>
  <c r="FI105" i="1" s="1"/>
  <c r="FD207" i="1"/>
  <c r="FE207" i="1" s="1"/>
  <c r="FF207" i="1" s="1"/>
  <c r="FG207" i="1" s="1"/>
  <c r="FI207" i="1" s="1"/>
  <c r="FD97" i="1"/>
  <c r="FE97" i="1" s="1"/>
  <c r="FF97" i="1" s="1"/>
  <c r="FG97" i="1" s="1"/>
  <c r="FI97" i="1" s="1"/>
  <c r="FD273" i="1"/>
  <c r="FE273" i="1" s="1"/>
  <c r="FF273" i="1" s="1"/>
  <c r="FG273" i="1" s="1"/>
  <c r="FI273" i="1" s="1"/>
  <c r="FD84" i="1"/>
  <c r="FE84" i="1" s="1"/>
  <c r="FF84" i="1" s="1"/>
  <c r="FG84" i="1" s="1"/>
  <c r="FI84" i="1" s="1"/>
  <c r="FD130" i="1"/>
  <c r="FE130" i="1" s="1"/>
  <c r="FF130" i="1" s="1"/>
  <c r="FG130" i="1" s="1"/>
  <c r="FI130" i="1" s="1"/>
  <c r="FD47" i="1"/>
  <c r="FE47" i="1" s="1"/>
  <c r="FF47" i="1" s="1"/>
  <c r="FG47" i="1" s="1"/>
  <c r="FI47" i="1" s="1"/>
  <c r="FD173" i="1"/>
  <c r="FE173" i="1" s="1"/>
  <c r="FF173" i="1" s="1"/>
  <c r="FG173" i="1" s="1"/>
  <c r="FI173" i="1" s="1"/>
  <c r="FD216" i="1"/>
  <c r="FE216" i="1" s="1"/>
  <c r="FF216" i="1" s="1"/>
  <c r="FG216" i="1" s="1"/>
  <c r="FI216" i="1" s="1"/>
  <c r="FD77" i="1"/>
  <c r="FE77" i="1" s="1"/>
  <c r="FF77" i="1" s="1"/>
  <c r="FG77" i="1" s="1"/>
  <c r="FI77" i="1" s="1"/>
  <c r="FD251" i="1"/>
  <c r="FE251" i="1" s="1"/>
  <c r="FF251" i="1" s="1"/>
  <c r="FG251" i="1" s="1"/>
  <c r="FI251" i="1" s="1"/>
  <c r="FD115" i="1"/>
  <c r="FE115" i="1" s="1"/>
  <c r="FF115" i="1" s="1"/>
  <c r="FG115" i="1" s="1"/>
  <c r="FI115" i="1" s="1"/>
  <c r="FD271" i="1"/>
  <c r="FE271" i="1" s="1"/>
  <c r="FF271" i="1" s="1"/>
  <c r="FG271" i="1" s="1"/>
  <c r="FI271" i="1" s="1"/>
  <c r="FD286" i="1"/>
  <c r="FE286" i="1" s="1"/>
  <c r="FF286" i="1" s="1"/>
  <c r="FG286" i="1" s="1"/>
  <c r="FI286" i="1" s="1"/>
  <c r="FD168" i="1"/>
  <c r="FE168" i="1" s="1"/>
  <c r="FF168" i="1" s="1"/>
  <c r="FG168" i="1" s="1"/>
  <c r="FI168" i="1" s="1"/>
  <c r="FD26" i="1"/>
  <c r="FE26" i="1" s="1"/>
  <c r="FF26" i="1" s="1"/>
  <c r="FG26" i="1" s="1"/>
  <c r="FI26" i="1" s="1"/>
  <c r="FD91" i="1"/>
  <c r="FE91" i="1" s="1"/>
  <c r="FF91" i="1" s="1"/>
  <c r="FG91" i="1" s="1"/>
  <c r="FI91" i="1" s="1"/>
  <c r="FD283" i="1"/>
  <c r="FE283" i="1" s="1"/>
  <c r="FF283" i="1" s="1"/>
  <c r="FG283" i="1" s="1"/>
  <c r="FI283" i="1" s="1"/>
  <c r="FD138" i="1"/>
  <c r="FE138" i="1" s="1"/>
  <c r="FF138" i="1" s="1"/>
  <c r="FG138" i="1" s="1"/>
  <c r="FI138" i="1" s="1"/>
  <c r="FD260" i="1"/>
  <c r="FE260" i="1" s="1"/>
  <c r="FF260" i="1" s="1"/>
  <c r="FG260" i="1" s="1"/>
  <c r="FI260" i="1" s="1"/>
  <c r="FD292" i="1"/>
  <c r="FE292" i="1" s="1"/>
  <c r="FF292" i="1" s="1"/>
  <c r="FG292" i="1" s="1"/>
  <c r="FI292" i="1" s="1"/>
  <c r="FD248" i="1"/>
  <c r="FE248" i="1" s="1"/>
  <c r="FF248" i="1" s="1"/>
  <c r="FG248" i="1" s="1"/>
  <c r="FI248" i="1" s="1"/>
  <c r="FD293" i="1"/>
  <c r="FE293" i="1" s="1"/>
  <c r="FF293" i="1" s="1"/>
  <c r="FG293" i="1" s="1"/>
  <c r="FI293" i="1" s="1"/>
  <c r="FD176" i="1"/>
  <c r="FE176" i="1" s="1"/>
  <c r="FF176" i="1" s="1"/>
  <c r="FG176" i="1" s="1"/>
  <c r="FI176" i="1" s="1"/>
  <c r="FD170" i="1"/>
  <c r="FE170" i="1" s="1"/>
  <c r="FF170" i="1" s="1"/>
  <c r="FG170" i="1" s="1"/>
  <c r="FI170" i="1" s="1"/>
  <c r="FD162" i="1"/>
  <c r="FE162" i="1" s="1"/>
  <c r="FF162" i="1" s="1"/>
  <c r="FG162" i="1" s="1"/>
  <c r="FI162" i="1" s="1"/>
  <c r="FD299" i="1"/>
  <c r="FE299" i="1" s="1"/>
  <c r="FF299" i="1" s="1"/>
  <c r="FG299" i="1" s="1"/>
  <c r="FI299" i="1" s="1"/>
  <c r="FD58" i="1"/>
  <c r="FE58" i="1" s="1"/>
  <c r="FF58" i="1" s="1"/>
  <c r="FG58" i="1" s="1"/>
  <c r="FI58" i="1" s="1"/>
  <c r="FD30" i="1"/>
  <c r="FE30" i="1" s="1"/>
  <c r="FF30" i="1" s="1"/>
  <c r="FG30" i="1" s="1"/>
  <c r="FI30" i="1" s="1"/>
  <c r="FD201" i="1"/>
  <c r="FE201" i="1" s="1"/>
  <c r="FF201" i="1" s="1"/>
  <c r="FG201" i="1" s="1"/>
  <c r="FI201" i="1" s="1"/>
  <c r="FD73" i="1"/>
  <c r="FE73" i="1" s="1"/>
  <c r="FF73" i="1" s="1"/>
  <c r="FG73" i="1" s="1"/>
  <c r="FI73" i="1" s="1"/>
  <c r="FD185" i="1"/>
  <c r="FE185" i="1" s="1"/>
  <c r="FF185" i="1" s="1"/>
  <c r="FG185" i="1" s="1"/>
  <c r="FI185" i="1" s="1"/>
  <c r="FD41" i="1"/>
  <c r="FE41" i="1" s="1"/>
  <c r="FF41" i="1" s="1"/>
  <c r="FG41" i="1" s="1"/>
  <c r="FI41" i="1" s="1"/>
  <c r="FD65" i="1"/>
  <c r="FE65" i="1" s="1"/>
  <c r="FF65" i="1" s="1"/>
  <c r="FG65" i="1" s="1"/>
  <c r="FI65" i="1" s="1"/>
  <c r="FD63" i="1"/>
  <c r="FE63" i="1" s="1"/>
  <c r="FF63" i="1" s="1"/>
  <c r="FG63" i="1" s="1"/>
  <c r="FI63" i="1" s="1"/>
  <c r="FD233" i="1"/>
  <c r="FE233" i="1" s="1"/>
  <c r="FF233" i="1" s="1"/>
  <c r="FG233" i="1" s="1"/>
  <c r="FI233" i="1" s="1"/>
  <c r="FD169" i="1"/>
  <c r="FE169" i="1" s="1"/>
  <c r="FF169" i="1" s="1"/>
  <c r="FG169" i="1" s="1"/>
  <c r="FI169" i="1" s="1"/>
  <c r="FD32" i="1"/>
  <c r="FE32" i="1" s="1"/>
  <c r="FF32" i="1" s="1"/>
  <c r="FG32" i="1" s="1"/>
  <c r="FI32" i="1" s="1"/>
  <c r="FD226" i="1"/>
  <c r="FE226" i="1" s="1"/>
  <c r="FF226" i="1" s="1"/>
  <c r="FG226" i="1" s="1"/>
  <c r="FI226" i="1" s="1"/>
  <c r="FD250" i="1"/>
  <c r="FE250" i="1" s="1"/>
  <c r="FF250" i="1" s="1"/>
  <c r="FG250" i="1" s="1"/>
  <c r="FI250" i="1" s="1"/>
  <c r="FD125" i="1"/>
  <c r="FE125" i="1" s="1"/>
  <c r="FF125" i="1" s="1"/>
  <c r="FG125" i="1" s="1"/>
  <c r="FI125" i="1" s="1"/>
  <c r="FD277" i="1"/>
  <c r="FE277" i="1" s="1"/>
  <c r="FF277" i="1" s="1"/>
  <c r="FG277" i="1" s="1"/>
  <c r="FI277" i="1" s="1"/>
  <c r="FD196" i="1"/>
  <c r="FE196" i="1" s="1"/>
  <c r="FF196" i="1" s="1"/>
  <c r="FG196" i="1" s="1"/>
  <c r="FI196" i="1" s="1"/>
  <c r="FD228" i="1"/>
  <c r="FE228" i="1" s="1"/>
  <c r="FF228" i="1" s="1"/>
  <c r="FG228" i="1" s="1"/>
  <c r="FI228" i="1" s="1"/>
  <c r="FD52" i="1"/>
  <c r="FE52" i="1" s="1"/>
  <c r="FF52" i="1" s="1"/>
  <c r="FG52" i="1" s="1"/>
  <c r="FI52" i="1" s="1"/>
  <c r="FD72" i="1"/>
  <c r="FE72" i="1" s="1"/>
  <c r="FF72" i="1" s="1"/>
  <c r="FG72" i="1" s="1"/>
  <c r="FI72" i="1" s="1"/>
  <c r="FD140" i="1"/>
  <c r="FE140" i="1" s="1"/>
  <c r="FF140" i="1" s="1"/>
  <c r="FG140" i="1" s="1"/>
  <c r="FI140" i="1" s="1"/>
  <c r="FD188" i="1"/>
  <c r="FE188" i="1" s="1"/>
  <c r="FF188" i="1" s="1"/>
  <c r="FG188" i="1" s="1"/>
  <c r="FI188" i="1" s="1"/>
  <c r="FD109" i="1"/>
  <c r="FE109" i="1" s="1"/>
  <c r="FF109" i="1" s="1"/>
  <c r="FG109" i="1" s="1"/>
  <c r="FI109" i="1" s="1"/>
  <c r="FD28" i="1"/>
  <c r="FE28" i="1" s="1"/>
  <c r="FF28" i="1" s="1"/>
  <c r="FG28" i="1" s="1"/>
  <c r="FI28" i="1" s="1"/>
  <c r="FD67" i="1"/>
  <c r="FE67" i="1" s="1"/>
  <c r="FF67" i="1" s="1"/>
  <c r="FG67" i="1" s="1"/>
  <c r="FI67" i="1" s="1"/>
  <c r="FD278" i="1"/>
  <c r="FE278" i="1" s="1"/>
  <c r="FF278" i="1" s="1"/>
  <c r="FG278" i="1" s="1"/>
  <c r="FI278" i="1" s="1"/>
  <c r="FD126" i="1"/>
  <c r="FE126" i="1" s="1"/>
  <c r="FF126" i="1" s="1"/>
  <c r="FG126" i="1" s="1"/>
  <c r="FI126" i="1" s="1"/>
  <c r="FD44" i="1"/>
  <c r="FE44" i="1" s="1"/>
  <c r="FF44" i="1" s="1"/>
  <c r="FG44" i="1" s="1"/>
  <c r="FI44" i="1" s="1"/>
  <c r="FD256" i="1"/>
  <c r="FE256" i="1" s="1"/>
  <c r="FF256" i="1" s="1"/>
  <c r="FG256" i="1" s="1"/>
  <c r="FI256" i="1" s="1"/>
  <c r="FD175" i="1"/>
  <c r="FE175" i="1" s="1"/>
  <c r="FF175" i="1" s="1"/>
  <c r="FG175" i="1" s="1"/>
  <c r="FI175" i="1" s="1"/>
  <c r="FD54" i="1"/>
  <c r="FE54" i="1" s="1"/>
  <c r="FF54" i="1" s="1"/>
  <c r="FG54" i="1" s="1"/>
  <c r="FI54" i="1" s="1"/>
  <c r="FD266" i="1"/>
  <c r="FE266" i="1" s="1"/>
  <c r="FF266" i="1" s="1"/>
  <c r="FG266" i="1" s="1"/>
  <c r="FI266" i="1" s="1"/>
  <c r="FD174" i="1"/>
  <c r="FE174" i="1" s="1"/>
  <c r="FF174" i="1" s="1"/>
  <c r="FG174" i="1" s="1"/>
  <c r="FI174" i="1" s="1"/>
  <c r="FD21" i="1"/>
  <c r="FE21" i="1" s="1"/>
  <c r="FF21" i="1" s="1"/>
  <c r="FG21" i="1" s="1"/>
  <c r="FI21" i="1" s="1"/>
  <c r="FD8" i="1"/>
  <c r="FE8" i="1" s="1"/>
  <c r="FF8" i="1" s="1"/>
  <c r="FG8" i="1" s="1"/>
  <c r="FI8" i="1" s="1"/>
  <c r="FD198" i="1"/>
  <c r="FE198" i="1" s="1"/>
  <c r="FF198" i="1" s="1"/>
  <c r="FG198" i="1" s="1"/>
  <c r="FI198" i="1" s="1"/>
  <c r="FD222" i="1"/>
  <c r="FE222" i="1" s="1"/>
  <c r="FF222" i="1" s="1"/>
  <c r="FG222" i="1" s="1"/>
  <c r="FI222" i="1" s="1"/>
  <c r="FD135" i="1"/>
  <c r="FE135" i="1" s="1"/>
  <c r="FF135" i="1" s="1"/>
  <c r="FG135" i="1" s="1"/>
  <c r="FI135" i="1" s="1"/>
  <c r="FD298" i="1"/>
  <c r="FE298" i="1" s="1"/>
  <c r="FF298" i="1" s="1"/>
  <c r="FG298" i="1" s="1"/>
  <c r="FI298" i="1" s="1"/>
  <c r="FD93" i="1"/>
  <c r="FE93" i="1" s="1"/>
  <c r="FF93" i="1" s="1"/>
  <c r="FG93" i="1" s="1"/>
  <c r="FI93" i="1" s="1"/>
  <c r="FD203" i="1"/>
  <c r="FE203" i="1" s="1"/>
  <c r="FF203" i="1" s="1"/>
  <c r="FG203" i="1" s="1"/>
  <c r="FI203" i="1" s="1"/>
  <c r="FD148" i="1"/>
  <c r="FE148" i="1" s="1"/>
  <c r="FF148" i="1" s="1"/>
  <c r="FG148" i="1" s="1"/>
  <c r="FI148" i="1" s="1"/>
  <c r="FD111" i="1"/>
  <c r="FE111" i="1" s="1"/>
  <c r="FF111" i="1" s="1"/>
  <c r="FG111" i="1" s="1"/>
  <c r="FI111" i="1" s="1"/>
  <c r="FD13" i="1"/>
  <c r="FE13" i="1" s="1"/>
  <c r="FF13" i="1" s="1"/>
  <c r="FG13" i="1" s="1"/>
  <c r="FI13" i="1" s="1"/>
  <c r="FD210" i="1"/>
  <c r="FE210" i="1" s="1"/>
  <c r="FF210" i="1" s="1"/>
  <c r="FG210" i="1" s="1"/>
  <c r="FI210" i="1" s="1"/>
  <c r="FD124" i="1"/>
  <c r="FE124" i="1" s="1"/>
  <c r="FF124" i="1" s="1"/>
  <c r="FG124" i="1" s="1"/>
  <c r="FI124" i="1" s="1"/>
  <c r="FD85" i="1"/>
  <c r="FE85" i="1" s="1"/>
  <c r="FF85" i="1" s="1"/>
  <c r="FG85" i="1" s="1"/>
  <c r="FI85" i="1" s="1"/>
  <c r="FD205" i="1"/>
  <c r="FE205" i="1" s="1"/>
  <c r="FF205" i="1" s="1"/>
  <c r="FG205" i="1" s="1"/>
  <c r="FI205" i="1" s="1"/>
  <c r="FD10" i="1"/>
  <c r="FE10" i="1" s="1"/>
  <c r="FF10" i="1" s="1"/>
  <c r="FG10" i="1" s="1"/>
  <c r="FI10" i="1" s="1"/>
  <c r="FD237" i="1"/>
  <c r="FE237" i="1" s="1"/>
  <c r="FF237" i="1" s="1"/>
  <c r="FG237" i="1" s="1"/>
  <c r="FI237" i="1" s="1"/>
  <c r="FD261" i="1"/>
  <c r="FE261" i="1" s="1"/>
  <c r="FF261" i="1" s="1"/>
  <c r="FG261" i="1" s="1"/>
  <c r="FI261" i="1" s="1"/>
  <c r="FD154" i="1"/>
  <c r="FE154" i="1" s="1"/>
  <c r="FF154" i="1" s="1"/>
  <c r="FG154" i="1" s="1"/>
  <c r="FI154" i="1" s="1"/>
  <c r="FD83" i="1"/>
  <c r="FE83" i="1" s="1"/>
  <c r="FF83" i="1" s="1"/>
  <c r="FG83" i="1" s="1"/>
  <c r="FI83" i="1" s="1"/>
  <c r="FD51" i="1"/>
  <c r="FE51" i="1" s="1"/>
  <c r="FF51" i="1" s="1"/>
  <c r="FG51" i="1" s="1"/>
  <c r="FI51" i="1" s="1"/>
  <c r="FD64" i="1"/>
  <c r="FE64" i="1" s="1"/>
  <c r="FF64" i="1" s="1"/>
  <c r="FG64" i="1" s="1"/>
  <c r="FI64" i="1" s="1"/>
  <c r="FD76" i="1"/>
  <c r="FE76" i="1" s="1"/>
  <c r="FF76" i="1" s="1"/>
  <c r="FG76" i="1" s="1"/>
  <c r="FI76" i="1" s="1"/>
  <c r="FD156" i="1"/>
  <c r="FE156" i="1" s="1"/>
  <c r="FF156" i="1" s="1"/>
  <c r="FG156" i="1" s="1"/>
  <c r="FI156" i="1" s="1"/>
  <c r="FD11" i="1"/>
  <c r="FE11" i="1" s="1"/>
  <c r="FF11" i="1" s="1"/>
  <c r="FG11" i="1" s="1"/>
  <c r="FI11" i="1" s="1"/>
  <c r="FD110" i="1"/>
  <c r="FE110" i="1" s="1"/>
  <c r="FF110" i="1" s="1"/>
  <c r="FG110" i="1" s="1"/>
  <c r="FI110" i="1" s="1"/>
  <c r="FD80" i="1"/>
  <c r="FE80" i="1" s="1"/>
  <c r="FF80" i="1" s="1"/>
  <c r="FG80" i="1" s="1"/>
  <c r="FI80" i="1" s="1"/>
  <c r="FD59" i="1"/>
  <c r="FE59" i="1" s="1"/>
  <c r="FF59" i="1" s="1"/>
  <c r="FG59" i="1" s="1"/>
  <c r="FI59" i="1" s="1"/>
  <c r="FD43" i="1"/>
  <c r="FE43" i="1" s="1"/>
  <c r="FF43" i="1" s="1"/>
  <c r="FG43" i="1" s="1"/>
  <c r="FI43" i="1" s="1"/>
  <c r="FD262" i="1"/>
  <c r="FE262" i="1" s="1"/>
  <c r="FF262" i="1" s="1"/>
  <c r="FG262" i="1" s="1"/>
  <c r="FI262" i="1" s="1"/>
  <c r="FD99" i="1"/>
  <c r="FE99" i="1" s="1"/>
  <c r="FF99" i="1" s="1"/>
  <c r="FG99" i="1" s="1"/>
  <c r="FI99" i="1" s="1"/>
  <c r="FD37" i="1"/>
  <c r="FE37" i="1" s="1"/>
  <c r="FF37" i="1" s="1"/>
  <c r="FG37" i="1" s="1"/>
  <c r="FI37" i="1" s="1"/>
  <c r="FD235" i="1"/>
  <c r="FE235" i="1" s="1"/>
  <c r="FF235" i="1" s="1"/>
  <c r="FG235" i="1" s="1"/>
  <c r="FI235" i="1" s="1"/>
  <c r="FD214" i="1"/>
  <c r="FE214" i="1" s="1"/>
  <c r="FF214" i="1" s="1"/>
  <c r="FG214" i="1" s="1"/>
  <c r="FI214" i="1" s="1"/>
  <c r="FD190" i="1"/>
  <c r="FE190" i="1" s="1"/>
  <c r="FF190" i="1" s="1"/>
  <c r="FG190" i="1" s="1"/>
  <c r="FI190" i="1" s="1"/>
  <c r="FD133" i="1"/>
  <c r="FE133" i="1" s="1"/>
  <c r="FF133" i="1" s="1"/>
  <c r="FG133" i="1" s="1"/>
  <c r="FI133" i="1" s="1"/>
  <c r="FD155" i="1"/>
  <c r="FE155" i="1" s="1"/>
  <c r="FF155" i="1" s="1"/>
  <c r="FG155" i="1" s="1"/>
  <c r="FI155" i="1" s="1"/>
  <c r="FD255" i="1"/>
  <c r="FE255" i="1" s="1"/>
  <c r="FF255" i="1" s="1"/>
  <c r="FG255" i="1" s="1"/>
  <c r="FI255" i="1" s="1"/>
  <c r="FD116" i="1"/>
  <c r="FE116" i="1" s="1"/>
  <c r="FF116" i="1" s="1"/>
  <c r="FG116" i="1" s="1"/>
  <c r="FI116" i="1" s="1"/>
  <c r="FD22" i="1"/>
  <c r="FE22" i="1" s="1"/>
  <c r="FF22" i="1" s="1"/>
  <c r="FG22" i="1" s="1"/>
  <c r="FI22" i="1" s="1"/>
  <c r="FD50" i="1"/>
  <c r="FE50" i="1" s="1"/>
  <c r="FF50" i="1" s="1"/>
  <c r="FG50" i="1" s="1"/>
  <c r="FI50" i="1" s="1"/>
  <c r="FD183" i="1"/>
  <c r="FE183" i="1" s="1"/>
  <c r="FF183" i="1" s="1"/>
  <c r="FG183" i="1" s="1"/>
  <c r="FI183" i="1" s="1"/>
  <c r="FD132" i="1"/>
  <c r="FE132" i="1" s="1"/>
  <c r="FF132" i="1" s="1"/>
  <c r="FG132" i="1" s="1"/>
  <c r="FI132" i="1" s="1"/>
  <c r="FD39" i="1"/>
  <c r="FE39" i="1" s="1"/>
  <c r="FF39" i="1" s="1"/>
  <c r="FG39" i="1" s="1"/>
  <c r="FI39" i="1" s="1"/>
  <c r="FD89" i="1"/>
  <c r="FE89" i="1" s="1"/>
  <c r="FF89" i="1" s="1"/>
  <c r="FG89" i="1" s="1"/>
  <c r="FI89" i="1" s="1"/>
  <c r="FD9" i="1"/>
  <c r="FE9" i="1" s="1"/>
  <c r="FF9" i="1" s="1"/>
  <c r="FG9" i="1" s="1"/>
  <c r="FI9" i="1" s="1"/>
  <c r="FD81" i="1"/>
  <c r="FE81" i="1" s="1"/>
  <c r="FF81" i="1" s="1"/>
  <c r="FG81" i="1" s="1"/>
  <c r="FI81" i="1" s="1"/>
  <c r="FD231" i="1"/>
  <c r="FE231" i="1" s="1"/>
  <c r="FF231" i="1" s="1"/>
  <c r="FG231" i="1" s="1"/>
  <c r="FI231" i="1" s="1"/>
  <c r="FD113" i="1"/>
  <c r="FE113" i="1" s="1"/>
  <c r="FF113" i="1" s="1"/>
  <c r="FG113" i="1" s="1"/>
  <c r="FI113" i="1" s="1"/>
  <c r="FD95" i="1"/>
  <c r="FE95" i="1" s="1"/>
  <c r="FF95" i="1" s="1"/>
  <c r="FG95" i="1" s="1"/>
  <c r="FI95" i="1" s="1"/>
  <c r="FD33" i="1"/>
  <c r="FE33" i="1" s="1"/>
  <c r="FF33" i="1" s="1"/>
  <c r="FG33" i="1" s="1"/>
  <c r="FI33" i="1" s="1"/>
  <c r="FD249" i="1"/>
  <c r="FE249" i="1" s="1"/>
  <c r="FF249" i="1" s="1"/>
  <c r="FG249" i="1" s="1"/>
  <c r="FI249" i="1" s="1"/>
  <c r="FD127" i="1"/>
  <c r="FE127" i="1" s="1"/>
  <c r="FF127" i="1" s="1"/>
  <c r="FG127" i="1" s="1"/>
  <c r="FI127" i="1" s="1"/>
  <c r="FD17" i="1"/>
  <c r="FE17" i="1" s="1"/>
  <c r="FF17" i="1" s="1"/>
  <c r="FG17" i="1" s="1"/>
  <c r="FI17" i="1" s="1"/>
  <c r="FD121" i="1"/>
  <c r="FE121" i="1" s="1"/>
  <c r="FF121" i="1" s="1"/>
  <c r="FG121" i="1" s="1"/>
  <c r="FI121" i="1" s="1"/>
  <c r="FD25" i="1"/>
  <c r="FE25" i="1" s="1"/>
  <c r="FF25" i="1" s="1"/>
  <c r="FG25" i="1" s="1"/>
  <c r="FI25" i="1" s="1"/>
  <c r="FD241" i="1"/>
  <c r="FE241" i="1" s="1"/>
  <c r="FF241" i="1" s="1"/>
  <c r="FG241" i="1" s="1"/>
  <c r="FI241" i="1" s="1"/>
  <c r="FD57" i="1"/>
  <c r="FE57" i="1" s="1"/>
  <c r="FF57" i="1" s="1"/>
  <c r="FG57" i="1" s="1"/>
  <c r="FI57" i="1" s="1"/>
  <c r="FD167" i="1"/>
  <c r="FE167" i="1" s="1"/>
  <c r="FF167" i="1" s="1"/>
  <c r="FG167" i="1" s="1"/>
  <c r="FI167" i="1" s="1"/>
  <c r="FD177" i="1"/>
  <c r="FE177" i="1" s="1"/>
  <c r="FF177" i="1" s="1"/>
  <c r="FG177" i="1" s="1"/>
  <c r="FI177" i="1" s="1"/>
  <c r="FD225" i="1"/>
  <c r="FE225" i="1" s="1"/>
  <c r="FF225" i="1" s="1"/>
  <c r="FG225" i="1" s="1"/>
  <c r="FI225" i="1" s="1"/>
  <c r="FD223" i="1"/>
  <c r="FE223" i="1" s="1"/>
  <c r="FF223" i="1" s="1"/>
  <c r="FG223" i="1" s="1"/>
  <c r="FI223" i="1" s="1"/>
  <c r="FD79" i="1"/>
  <c r="FE79" i="1" s="1"/>
  <c r="FF79" i="1" s="1"/>
  <c r="FG79" i="1" s="1"/>
  <c r="FI79" i="1" s="1"/>
  <c r="FD195" i="1"/>
  <c r="FE195" i="1" s="1"/>
  <c r="FF195" i="1" s="1"/>
  <c r="FG195" i="1" s="1"/>
  <c r="FI195" i="1" s="1"/>
  <c r="FD213" i="1"/>
  <c r="FE213" i="1" s="1"/>
  <c r="FF213" i="1" s="1"/>
  <c r="FG213" i="1" s="1"/>
  <c r="FI213" i="1" s="1"/>
  <c r="FD258" i="1"/>
  <c r="FE258" i="1" s="1"/>
  <c r="FF258" i="1" s="1"/>
  <c r="FG258" i="1" s="1"/>
  <c r="FI258" i="1" s="1"/>
  <c r="FD171" i="1"/>
  <c r="FE171" i="1" s="1"/>
  <c r="FF171" i="1" s="1"/>
  <c r="FG171" i="1" s="1"/>
  <c r="FI171" i="1" s="1"/>
  <c r="FD220" i="1"/>
  <c r="FE220" i="1" s="1"/>
  <c r="FF220" i="1" s="1"/>
  <c r="FG220" i="1" s="1"/>
  <c r="FI220" i="1" s="1"/>
  <c r="FD189" i="1"/>
  <c r="FE189" i="1" s="1"/>
  <c r="FF189" i="1" s="1"/>
  <c r="FG189" i="1" s="1"/>
  <c r="FI189" i="1" s="1"/>
  <c r="FD200" i="1"/>
  <c r="FE200" i="1" s="1"/>
  <c r="FF200" i="1" s="1"/>
  <c r="FG200" i="1" s="1"/>
  <c r="FI200" i="1" s="1"/>
  <c r="FD244" i="1"/>
  <c r="FE244" i="1" s="1"/>
  <c r="FF244" i="1" s="1"/>
  <c r="FG244" i="1" s="1"/>
  <c r="FI244" i="1" s="1"/>
  <c r="FD269" i="1"/>
  <c r="FE269" i="1" s="1"/>
  <c r="FF269" i="1" s="1"/>
  <c r="FG269" i="1" s="1"/>
  <c r="FI269" i="1" s="1"/>
  <c r="FD218" i="1"/>
  <c r="FE218" i="1" s="1"/>
  <c r="FF218" i="1" s="1"/>
  <c r="FG218" i="1" s="1"/>
  <c r="FI218" i="1" s="1"/>
  <c r="FD69" i="1"/>
  <c r="FE69" i="1" s="1"/>
  <c r="FF69" i="1" s="1"/>
  <c r="FG69" i="1" s="1"/>
  <c r="FI69" i="1" s="1"/>
  <c r="FD107" i="1"/>
  <c r="FE107" i="1" s="1"/>
  <c r="FF107" i="1" s="1"/>
  <c r="FG107" i="1" s="1"/>
  <c r="FI107" i="1" s="1"/>
  <c r="FD221" i="1"/>
  <c r="FE221" i="1" s="1"/>
  <c r="FF221" i="1" s="1"/>
  <c r="FG221" i="1" s="1"/>
  <c r="FI221" i="1" s="1"/>
  <c r="FD276" i="1"/>
  <c r="FE276" i="1" s="1"/>
  <c r="FF276" i="1" s="1"/>
  <c r="FG276" i="1" s="1"/>
  <c r="FI276" i="1" s="1"/>
  <c r="FD259" i="1"/>
  <c r="FE259" i="1" s="1"/>
  <c r="FF259" i="1" s="1"/>
  <c r="FG259" i="1" s="1"/>
  <c r="FI259" i="1" s="1"/>
  <c r="FD280" i="1"/>
  <c r="FE280" i="1" s="1"/>
  <c r="FF280" i="1" s="1"/>
  <c r="FG280" i="1" s="1"/>
  <c r="FI280" i="1" s="1"/>
  <c r="FD159" i="1"/>
  <c r="FE159" i="1" s="1"/>
  <c r="FF159" i="1" s="1"/>
  <c r="FG159" i="1" s="1"/>
  <c r="FI159" i="1" s="1"/>
  <c r="FD147" i="1"/>
  <c r="FE147" i="1" s="1"/>
  <c r="FF147" i="1" s="1"/>
  <c r="FG147" i="1" s="1"/>
  <c r="FI147" i="1" s="1"/>
  <c r="FD108" i="1"/>
  <c r="FE108" i="1" s="1"/>
  <c r="FF108" i="1" s="1"/>
  <c r="FG108" i="1" s="1"/>
  <c r="FI108" i="1" s="1"/>
  <c r="FD46" i="1"/>
  <c r="FE46" i="1" s="1"/>
  <c r="FF46" i="1" s="1"/>
  <c r="FG46" i="1" s="1"/>
  <c r="FI46" i="1" s="1"/>
  <c r="FD24" i="1"/>
  <c r="FE24" i="1" s="1"/>
  <c r="FF24" i="1" s="1"/>
  <c r="FG24" i="1" s="1"/>
  <c r="FI24" i="1" s="1"/>
  <c r="FD285" i="1"/>
  <c r="FE285" i="1" s="1"/>
  <c r="FF285" i="1" s="1"/>
  <c r="FG285" i="1" s="1"/>
  <c r="FI285" i="1" s="1"/>
  <c r="FD74" i="1"/>
  <c r="FE74" i="1" s="1"/>
  <c r="FF74" i="1" s="1"/>
  <c r="FG74" i="1" s="1"/>
  <c r="FI74" i="1" s="1"/>
  <c r="FD149" i="1"/>
  <c r="FE149" i="1" s="1"/>
  <c r="FF149" i="1" s="1"/>
  <c r="FG149" i="1" s="1"/>
  <c r="FI149" i="1" s="1"/>
  <c r="FD102" i="1"/>
  <c r="FE102" i="1" s="1"/>
  <c r="FF102" i="1" s="1"/>
  <c r="FG102" i="1" s="1"/>
  <c r="FI102" i="1" s="1"/>
  <c r="FD3" i="1"/>
  <c r="FE3" i="1" s="1"/>
  <c r="FF3" i="1" s="1"/>
  <c r="FG3" i="1" s="1"/>
  <c r="FI3" i="1" s="1"/>
  <c r="FD246" i="1"/>
  <c r="FE246" i="1" s="1"/>
  <c r="FF246" i="1" s="1"/>
  <c r="FG246" i="1" s="1"/>
  <c r="FI246" i="1" s="1"/>
  <c r="FD106" i="1"/>
  <c r="FE106" i="1" s="1"/>
  <c r="FF106" i="1" s="1"/>
  <c r="FG106" i="1" s="1"/>
  <c r="FI106" i="1" s="1"/>
  <c r="FD254" i="1"/>
  <c r="FE254" i="1" s="1"/>
  <c r="FF254" i="1" s="1"/>
  <c r="FG254" i="1" s="1"/>
  <c r="FI254" i="1" s="1"/>
  <c r="FD268" i="1"/>
  <c r="FE268" i="1" s="1"/>
  <c r="FF268" i="1" s="1"/>
  <c r="FG268" i="1" s="1"/>
  <c r="FI268" i="1" s="1"/>
  <c r="FD230" i="1"/>
  <c r="FE230" i="1" s="1"/>
  <c r="FF230" i="1" s="1"/>
  <c r="FG230" i="1" s="1"/>
  <c r="FI230" i="1" s="1"/>
  <c r="FD18" i="1"/>
  <c r="FE18" i="1" s="1"/>
  <c r="FF18" i="1" s="1"/>
  <c r="FG18" i="1" s="1"/>
  <c r="FI18" i="1" s="1"/>
  <c r="FD16" i="1"/>
  <c r="FE16" i="1" s="1"/>
  <c r="FF16" i="1" s="1"/>
  <c r="FG16" i="1" s="1"/>
  <c r="FI16" i="1" s="1"/>
  <c r="FD187" i="1"/>
  <c r="FE187" i="1" s="1"/>
  <c r="FF187" i="1" s="1"/>
  <c r="FG187" i="1" s="1"/>
  <c r="FI187" i="1" s="1"/>
  <c r="FD274" i="1"/>
  <c r="FE274" i="1" s="1"/>
  <c r="FF274" i="1" s="1"/>
  <c r="FG274" i="1" s="1"/>
  <c r="FI274" i="1" s="1"/>
  <c r="FD56" i="1"/>
  <c r="FE56" i="1" s="1"/>
  <c r="FF56" i="1" s="1"/>
  <c r="FG56" i="1" s="1"/>
  <c r="FI56" i="1" s="1"/>
  <c r="FD35" i="1"/>
  <c r="FE35" i="1" s="1"/>
  <c r="FF35" i="1" s="1"/>
  <c r="FG35" i="1" s="1"/>
  <c r="FI35" i="1" s="1"/>
  <c r="FD245" i="1"/>
  <c r="FE245" i="1" s="1"/>
  <c r="FF245" i="1" s="1"/>
  <c r="FG245" i="1" s="1"/>
  <c r="FI245" i="1" s="1"/>
  <c r="FY235" i="1" l="1"/>
  <c r="FY169" i="1"/>
  <c r="GB169" i="1" s="1"/>
  <c r="GF169" i="1" s="1"/>
  <c r="GG169" i="1" s="1"/>
  <c r="GH169" i="1" s="1"/>
  <c r="GI169" i="1" s="1"/>
  <c r="J169" i="2" s="1"/>
  <c r="FV18" i="1"/>
  <c r="FY18" i="1" s="1"/>
  <c r="GC18" i="1" s="1"/>
  <c r="GD18" i="1" s="1"/>
  <c r="GE18" i="1" s="1"/>
  <c r="GF18" i="1" s="1"/>
  <c r="GG18" i="1" s="1"/>
  <c r="FY62" i="1"/>
  <c r="GB62" i="1" s="1"/>
  <c r="GF62" i="1" s="1"/>
  <c r="GG62" i="1" s="1"/>
  <c r="GH62" i="1" s="1"/>
  <c r="GI62" i="1" s="1"/>
  <c r="J62" i="2" s="1"/>
  <c r="FY196" i="1"/>
  <c r="GB196" i="1" s="1"/>
  <c r="GF196" i="1" s="1"/>
  <c r="GG196" i="1" s="1"/>
  <c r="GH196" i="1" s="1"/>
  <c r="GI196" i="1" s="1"/>
  <c r="J196" i="2" s="1"/>
  <c r="FV132" i="1"/>
  <c r="FY132" i="1" s="1"/>
  <c r="GC132" i="1" s="1"/>
  <c r="GD132" i="1" s="1"/>
  <c r="GE132" i="1" s="1"/>
  <c r="GF132" i="1" s="1"/>
  <c r="GG132" i="1" s="1"/>
  <c r="FY271" i="1"/>
  <c r="GC271" i="1" s="1"/>
  <c r="GD271" i="1" s="1"/>
  <c r="GE271" i="1" s="1"/>
  <c r="GF271" i="1" s="1"/>
  <c r="GG271" i="1" s="1"/>
  <c r="GH271" i="1" s="1"/>
  <c r="GI271" i="1" s="1"/>
  <c r="J271" i="2" s="1"/>
  <c r="FY3" i="1"/>
  <c r="GB3" i="1" s="1"/>
  <c r="GF3" i="1" s="1"/>
  <c r="GG3" i="1" s="1"/>
  <c r="GH3" i="1" s="1"/>
  <c r="GI3" i="1" s="1"/>
  <c r="J3" i="2" s="1"/>
  <c r="FY260" i="1"/>
  <c r="GB260" i="1" s="1"/>
  <c r="GF260" i="1" s="1"/>
  <c r="GG260" i="1" s="1"/>
  <c r="GH260" i="1" s="1"/>
  <c r="GI260" i="1" s="1"/>
  <c r="J260" i="2" s="1"/>
  <c r="FY22" i="1"/>
  <c r="GB22" i="1" s="1"/>
  <c r="FY59" i="1"/>
  <c r="GB59" i="1" s="1"/>
  <c r="GF59" i="1" s="1"/>
  <c r="GG59" i="1" s="1"/>
  <c r="GH59" i="1" s="1"/>
  <c r="GI59" i="1" s="1"/>
  <c r="J59" i="2" s="1"/>
  <c r="FV269" i="1"/>
  <c r="FX269" i="1" s="1"/>
  <c r="FY269" i="1" s="1"/>
  <c r="GC269" i="1" s="1"/>
  <c r="GD269" i="1" s="1"/>
  <c r="GE269" i="1" s="1"/>
  <c r="GF269" i="1" s="1"/>
  <c r="GG269" i="1" s="1"/>
  <c r="FV161" i="1"/>
  <c r="FY161" i="1" s="1"/>
  <c r="GC161" i="1" s="1"/>
  <c r="GD161" i="1" s="1"/>
  <c r="GE161" i="1" s="1"/>
  <c r="GF161" i="1" s="1"/>
  <c r="GG161" i="1" s="1"/>
  <c r="GH161" i="1" s="1"/>
  <c r="GI161" i="1" s="1"/>
  <c r="J161" i="2" s="1"/>
  <c r="FY203" i="1"/>
  <c r="GC203" i="1" s="1"/>
  <c r="GD203" i="1" s="1"/>
  <c r="GE203" i="1" s="1"/>
  <c r="GF203" i="1" s="1"/>
  <c r="GG203" i="1" s="1"/>
  <c r="FV183" i="1"/>
  <c r="FX183" i="1" s="1"/>
  <c r="FY183" i="1" s="1"/>
  <c r="GC183" i="1" s="1"/>
  <c r="GD183" i="1" s="1"/>
  <c r="GE183" i="1" s="1"/>
  <c r="GF183" i="1" s="1"/>
  <c r="GG183" i="1" s="1"/>
  <c r="GH183" i="1" s="1"/>
  <c r="GI183" i="1" s="1"/>
  <c r="J183" i="2" s="1"/>
  <c r="FW117" i="1"/>
  <c r="FX117" i="1" s="1"/>
  <c r="FY117" i="1" s="1"/>
  <c r="GC117" i="1" s="1"/>
  <c r="GD117" i="1" s="1"/>
  <c r="GE117" i="1" s="1"/>
  <c r="GF117" i="1" s="1"/>
  <c r="GG117" i="1" s="1"/>
  <c r="GH117" i="1" s="1"/>
  <c r="GI117" i="1" s="1"/>
  <c r="J117" i="2" s="1"/>
  <c r="FY238" i="1"/>
  <c r="GB238" i="1" s="1"/>
  <c r="GF238" i="1" s="1"/>
  <c r="GG238" i="1" s="1"/>
  <c r="GH238" i="1" s="1"/>
  <c r="GI238" i="1" s="1"/>
  <c r="J238" i="2" s="1"/>
  <c r="FV21" i="1"/>
  <c r="FX21" i="1" s="1"/>
  <c r="FY21" i="1" s="1"/>
  <c r="GC21" i="1" s="1"/>
  <c r="GD21" i="1" s="1"/>
  <c r="GE21" i="1" s="1"/>
  <c r="GF21" i="1" s="1"/>
  <c r="GG21" i="1" s="1"/>
  <c r="FY125" i="1"/>
  <c r="GB125" i="1" s="1"/>
  <c r="GF125" i="1" s="1"/>
  <c r="GG125" i="1" s="1"/>
  <c r="GH125" i="1" s="1"/>
  <c r="GI125" i="1" s="1"/>
  <c r="J125" i="2" s="1"/>
  <c r="FV37" i="1"/>
  <c r="FX37" i="1" s="1"/>
  <c r="FY37" i="1" s="1"/>
  <c r="GC37" i="1" s="1"/>
  <c r="GD37" i="1" s="1"/>
  <c r="GE37" i="1" s="1"/>
  <c r="GF37" i="1" s="1"/>
  <c r="GG37" i="1" s="1"/>
  <c r="GH37" i="1" s="1"/>
  <c r="GI37" i="1" s="1"/>
  <c r="J37" i="2" s="1"/>
  <c r="FV288" i="1"/>
  <c r="FX288" i="1" s="1"/>
  <c r="FY288" i="1" s="1"/>
  <c r="GC288" i="1" s="1"/>
  <c r="GD288" i="1" s="1"/>
  <c r="GE288" i="1" s="1"/>
  <c r="GF288" i="1" s="1"/>
  <c r="GG288" i="1" s="1"/>
  <c r="FY142" i="1"/>
  <c r="GB142" i="1" s="1"/>
  <c r="GF142" i="1" s="1"/>
  <c r="GG142" i="1" s="1"/>
  <c r="GH142" i="1" s="1"/>
  <c r="GI142" i="1" s="1"/>
  <c r="J142" i="2" s="1"/>
  <c r="FV130" i="1"/>
  <c r="FY130" i="1" s="1"/>
  <c r="GC130" i="1" s="1"/>
  <c r="GD130" i="1" s="1"/>
  <c r="GE130" i="1" s="1"/>
  <c r="GF130" i="1" s="1"/>
  <c r="GG130" i="1" s="1"/>
  <c r="GH130" i="1" s="1"/>
  <c r="GI130" i="1" s="1"/>
  <c r="J130" i="2" s="1"/>
  <c r="FV216" i="1"/>
  <c r="FX216" i="1" s="1"/>
  <c r="FY216" i="1" s="1"/>
  <c r="GC216" i="1" s="1"/>
  <c r="GD216" i="1" s="1"/>
  <c r="GE216" i="1" s="1"/>
  <c r="GF216" i="1" s="1"/>
  <c r="GG216" i="1" s="1"/>
  <c r="FY16" i="1"/>
  <c r="GB16" i="1" s="1"/>
  <c r="GF16" i="1" s="1"/>
  <c r="GG16" i="1" s="1"/>
  <c r="GH16" i="1" s="1"/>
  <c r="FY240" i="1"/>
  <c r="GC240" i="1" s="1"/>
  <c r="GD240" i="1" s="1"/>
  <c r="GE240" i="1" s="1"/>
  <c r="GF240" i="1" s="1"/>
  <c r="GG240" i="1" s="1"/>
  <c r="FV89" i="1"/>
  <c r="FX89" i="1" s="1"/>
  <c r="FW174" i="1"/>
  <c r="FX174" i="1" s="1"/>
  <c r="FY174" i="1" s="1"/>
  <c r="GB174" i="1" s="1"/>
  <c r="FY106" i="1"/>
  <c r="GB106" i="1" s="1"/>
  <c r="GF106" i="1" s="1"/>
  <c r="GG106" i="1" s="1"/>
  <c r="GH106" i="1" s="1"/>
  <c r="GI106" i="1" s="1"/>
  <c r="J106" i="2" s="1"/>
  <c r="FW221" i="1"/>
  <c r="FX221" i="1" s="1"/>
  <c r="FY221" i="1" s="1"/>
  <c r="GB221" i="1" s="1"/>
  <c r="FV71" i="1"/>
  <c r="FY71" i="1" s="1"/>
  <c r="GC71" i="1" s="1"/>
  <c r="GD71" i="1" s="1"/>
  <c r="GE71" i="1" s="1"/>
  <c r="GF71" i="1" s="1"/>
  <c r="GG71" i="1" s="1"/>
  <c r="FY155" i="1"/>
  <c r="GB155" i="1" s="1"/>
  <c r="GF155" i="1" s="1"/>
  <c r="GG155" i="1" s="1"/>
  <c r="GH155" i="1" s="1"/>
  <c r="GI155" i="1" s="1"/>
  <c r="J155" i="2" s="1"/>
  <c r="FW86" i="1"/>
  <c r="FX86" i="1" s="1"/>
  <c r="FY86" i="1" s="1"/>
  <c r="GB86" i="1" s="1"/>
  <c r="GB220" i="1"/>
  <c r="GC220" i="1"/>
  <c r="GD220" i="1" s="1"/>
  <c r="GE220" i="1" s="1"/>
  <c r="GB74" i="1"/>
  <c r="GC74" i="1"/>
  <c r="GD74" i="1" s="1"/>
  <c r="GE74" i="1" s="1"/>
  <c r="GB235" i="1"/>
  <c r="GC235" i="1"/>
  <c r="GD235" i="1" s="1"/>
  <c r="GE235" i="1" s="1"/>
  <c r="FW210" i="1"/>
  <c r="FX210" i="1" s="1"/>
  <c r="FY210" i="1" s="1"/>
  <c r="GB50" i="1"/>
  <c r="GC50" i="1"/>
  <c r="GD50" i="1" s="1"/>
  <c r="GE50" i="1" s="1"/>
  <c r="GC86" i="1"/>
  <c r="GD86" i="1" s="1"/>
  <c r="GE86" i="1" s="1"/>
  <c r="GC221" i="1"/>
  <c r="GD221" i="1" s="1"/>
  <c r="GE221" i="1" s="1"/>
  <c r="FW102" i="1"/>
  <c r="FX102" i="1" s="1"/>
  <c r="FY102" i="1" s="1"/>
  <c r="GB152" i="1"/>
  <c r="GC152" i="1"/>
  <c r="GD152" i="1" s="1"/>
  <c r="GE152" i="1" s="1"/>
  <c r="GC22" i="1"/>
  <c r="GD22" i="1" s="1"/>
  <c r="GE22" i="1" s="1"/>
  <c r="GC174" i="1"/>
  <c r="GD174" i="1" s="1"/>
  <c r="GE174" i="1" s="1"/>
  <c r="GB249" i="1"/>
  <c r="GC249" i="1"/>
  <c r="GD249" i="1" s="1"/>
  <c r="GE249" i="1" s="1"/>
  <c r="GB218" i="1"/>
  <c r="GC218" i="1"/>
  <c r="GD218" i="1" s="1"/>
  <c r="GE218" i="1" s="1"/>
  <c r="GB195" i="1"/>
  <c r="GC195" i="1"/>
  <c r="GD195" i="1" s="1"/>
  <c r="GE195" i="1" s="1"/>
  <c r="GB274" i="1"/>
  <c r="GC274" i="1"/>
  <c r="GD274" i="1" s="1"/>
  <c r="GE274" i="1" s="1"/>
  <c r="GB145" i="1"/>
  <c r="GC145" i="1"/>
  <c r="GD145" i="1" s="1"/>
  <c r="GE145" i="1" s="1"/>
  <c r="FY123" i="1"/>
  <c r="GB123" i="1" s="1"/>
  <c r="GF123" i="1" s="1"/>
  <c r="GG123" i="1" s="1"/>
  <c r="GH123" i="1" s="1"/>
  <c r="GI123" i="1" s="1"/>
  <c r="J123" i="2" s="1"/>
  <c r="FY297" i="1"/>
  <c r="GB297" i="1" s="1"/>
  <c r="GF297" i="1" s="1"/>
  <c r="GG297" i="1" s="1"/>
  <c r="GH297" i="1" s="1"/>
  <c r="GI297" i="1" s="1"/>
  <c r="J297" i="2" s="1"/>
  <c r="FY64" i="1"/>
  <c r="GB64" i="1" s="1"/>
  <c r="GF64" i="1" s="1"/>
  <c r="GG64" i="1" s="1"/>
  <c r="GH64" i="1" s="1"/>
  <c r="GI64" i="1" s="1"/>
  <c r="J64" i="2" s="1"/>
  <c r="FY57" i="1"/>
  <c r="GB57" i="1" s="1"/>
  <c r="GF57" i="1" s="1"/>
  <c r="GG57" i="1" s="1"/>
  <c r="GH57" i="1" s="1"/>
  <c r="GI57" i="1" s="1"/>
  <c r="J57" i="2" s="1"/>
  <c r="FV112" i="1"/>
  <c r="FX112" i="1" s="1"/>
  <c r="FY112" i="1" s="1"/>
  <c r="GC112" i="1" s="1"/>
  <c r="GD112" i="1" s="1"/>
  <c r="GE112" i="1" s="1"/>
  <c r="GF112" i="1" s="1"/>
  <c r="GG112" i="1" s="1"/>
  <c r="FY61" i="1"/>
  <c r="GB61" i="1" s="1"/>
  <c r="GF61" i="1" s="1"/>
  <c r="GG61" i="1" s="1"/>
  <c r="GH61" i="1" s="1"/>
  <c r="GI61" i="1" s="1"/>
  <c r="J61" i="2" s="1"/>
  <c r="FY156" i="1"/>
  <c r="GB156" i="1" s="1"/>
  <c r="GF156" i="1" s="1"/>
  <c r="GG156" i="1" s="1"/>
  <c r="GH156" i="1" s="1"/>
  <c r="GI156" i="1" s="1"/>
  <c r="J156" i="2" s="1"/>
  <c r="FY6" i="1"/>
  <c r="GB6" i="1" s="1"/>
  <c r="GF6" i="1" s="1"/>
  <c r="GG6" i="1" s="1"/>
  <c r="GH6" i="1" s="1"/>
  <c r="GI6" i="1" s="1"/>
  <c r="J6" i="2" s="1"/>
  <c r="FY187" i="1"/>
  <c r="GB187" i="1" s="1"/>
  <c r="GF187" i="1" s="1"/>
  <c r="GG187" i="1" s="1"/>
  <c r="GH187" i="1" s="1"/>
  <c r="GI187" i="1" s="1"/>
  <c r="J187" i="2" s="1"/>
  <c r="FV26" i="1"/>
  <c r="FY26" i="1" s="1"/>
  <c r="GC26" i="1" s="1"/>
  <c r="GD26" i="1" s="1"/>
  <c r="GE26" i="1" s="1"/>
  <c r="GF26" i="1" s="1"/>
  <c r="GG26" i="1" s="1"/>
  <c r="GH26" i="1" s="1"/>
  <c r="GI26" i="1" s="1"/>
  <c r="J26" i="2" s="1"/>
  <c r="FY29" i="1"/>
  <c r="GC29" i="1" s="1"/>
  <c r="GD29" i="1" s="1"/>
  <c r="GE29" i="1" s="1"/>
  <c r="GF29" i="1" s="1"/>
  <c r="GG29" i="1" s="1"/>
  <c r="GH29" i="1" s="1"/>
  <c r="GI29" i="1" s="1"/>
  <c r="J29" i="2" s="1"/>
  <c r="FY192" i="1"/>
  <c r="GB192" i="1" s="1"/>
  <c r="GF192" i="1" s="1"/>
  <c r="GG192" i="1" s="1"/>
  <c r="GH192" i="1" s="1"/>
  <c r="GI192" i="1" s="1"/>
  <c r="J192" i="2" s="1"/>
  <c r="FV283" i="1"/>
  <c r="FY115" i="1"/>
  <c r="GC115" i="1" s="1"/>
  <c r="GD115" i="1" s="1"/>
  <c r="GE115" i="1" s="1"/>
  <c r="GF115" i="1" s="1"/>
  <c r="GG115" i="1" s="1"/>
  <c r="FY247" i="1"/>
  <c r="GB247" i="1" s="1"/>
  <c r="GF247" i="1" s="1"/>
  <c r="GG247" i="1" s="1"/>
  <c r="GH247" i="1" s="1"/>
  <c r="GI247" i="1" s="1"/>
  <c r="J247" i="2" s="1"/>
  <c r="FY31" i="1"/>
  <c r="GC31" i="1" s="1"/>
  <c r="GD31" i="1" s="1"/>
  <c r="GE31" i="1" s="1"/>
  <c r="GF31" i="1" s="1"/>
  <c r="GG31" i="1" s="1"/>
  <c r="FV69" i="1"/>
  <c r="FX69" i="1" s="1"/>
  <c r="FY69" i="1" s="1"/>
  <c r="GC69" i="1" s="1"/>
  <c r="GD69" i="1" s="1"/>
  <c r="GE69" i="1" s="1"/>
  <c r="GF69" i="1" s="1"/>
  <c r="GG69" i="1" s="1"/>
  <c r="GI42" i="1"/>
  <c r="J42" i="2" s="1"/>
  <c r="FY10" i="1"/>
  <c r="GB10" i="1" s="1"/>
  <c r="GF10" i="1" s="1"/>
  <c r="GG10" i="1" s="1"/>
  <c r="GH10" i="1" s="1"/>
  <c r="FY193" i="1"/>
  <c r="GC193" i="1" s="1"/>
  <c r="GD193" i="1" s="1"/>
  <c r="GE193" i="1" s="1"/>
  <c r="GF193" i="1" s="1"/>
  <c r="GG193" i="1" s="1"/>
  <c r="GH193" i="1" s="1"/>
  <c r="GI193" i="1" s="1"/>
  <c r="J193" i="2" s="1"/>
  <c r="FW33" i="1"/>
  <c r="FX33" i="1" s="1"/>
  <c r="FY33" i="1" s="1"/>
  <c r="GC33" i="1" s="1"/>
  <c r="GD33" i="1" s="1"/>
  <c r="GE33" i="1" s="1"/>
  <c r="GF33" i="1" s="1"/>
  <c r="GG33" i="1" s="1"/>
  <c r="GH265" i="1"/>
  <c r="GI265" i="1" s="1"/>
  <c r="J265" i="2" s="1"/>
  <c r="GH45" i="1"/>
  <c r="GI45" i="1" s="1"/>
  <c r="J45" i="2" s="1"/>
  <c r="GH92" i="1"/>
  <c r="GI92" i="1" s="1"/>
  <c r="J92" i="2" s="1"/>
  <c r="GH38" i="1"/>
  <c r="GI38" i="1" s="1"/>
  <c r="J38" i="2" s="1"/>
  <c r="GH211" i="1"/>
  <c r="GI211" i="1" s="1"/>
  <c r="J211" i="2" s="1"/>
  <c r="GH254" i="1"/>
  <c r="GI254" i="1" s="1"/>
  <c r="J254" i="2" s="1"/>
  <c r="GH280" i="1"/>
  <c r="GI280" i="1" s="1"/>
  <c r="J280" i="2" s="1"/>
  <c r="GH281" i="1"/>
  <c r="GI281" i="1" s="1"/>
  <c r="J281" i="2" s="1"/>
  <c r="GH120" i="1"/>
  <c r="GI120" i="1" s="1"/>
  <c r="J120" i="2" s="1"/>
  <c r="GH276" i="1"/>
  <c r="GI276" i="1" s="1"/>
  <c r="J276" i="2" s="1"/>
  <c r="GH158" i="1"/>
  <c r="GI158" i="1" s="1"/>
  <c r="J158" i="2" s="1"/>
  <c r="GH159" i="1"/>
  <c r="GI159" i="1" s="1"/>
  <c r="J159" i="2" s="1"/>
  <c r="GH266" i="1"/>
  <c r="GI266" i="1" s="1"/>
  <c r="J266" i="2" s="1"/>
  <c r="GH94" i="1"/>
  <c r="GI94" i="1" s="1"/>
  <c r="J94" i="2" s="1"/>
  <c r="GH255" i="1"/>
  <c r="GI255" i="1" s="1"/>
  <c r="J255" i="2" s="1"/>
  <c r="GH140" i="1"/>
  <c r="GI140" i="1" s="1"/>
  <c r="J140" i="2" s="1"/>
  <c r="GH119" i="1"/>
  <c r="GI119" i="1" s="1"/>
  <c r="J119" i="2" s="1"/>
  <c r="GH56" i="1"/>
  <c r="GI56" i="1" s="1"/>
  <c r="J56" i="2" s="1"/>
  <c r="GH144" i="1"/>
  <c r="GI144" i="1" s="1"/>
  <c r="J144" i="2" s="1"/>
  <c r="GH257" i="1"/>
  <c r="GI257" i="1" s="1"/>
  <c r="J257" i="2" s="1"/>
  <c r="GH28" i="1"/>
  <c r="GI28" i="1" s="1"/>
  <c r="J28" i="2" s="1"/>
  <c r="GH168" i="1"/>
  <c r="GI168" i="1" s="1"/>
  <c r="J168" i="2" s="1"/>
  <c r="GH36" i="1"/>
  <c r="GI36" i="1" s="1"/>
  <c r="J36" i="2" s="1"/>
  <c r="GH108" i="1"/>
  <c r="GI108" i="1" s="1"/>
  <c r="J108" i="2" s="1"/>
  <c r="GH173" i="1"/>
  <c r="GI173" i="1" s="1"/>
  <c r="J173" i="2" s="1"/>
  <c r="GH164" i="1"/>
  <c r="GI164" i="1" s="1"/>
  <c r="J164" i="2" s="1"/>
  <c r="GH214" i="1"/>
  <c r="GI214" i="1" s="1"/>
  <c r="J214" i="2" s="1"/>
  <c r="GH179" i="1"/>
  <c r="GI179" i="1" s="1"/>
  <c r="J179" i="2" s="1"/>
  <c r="GH272" i="1"/>
  <c r="GI272" i="1" s="1"/>
  <c r="J272" i="2" s="1"/>
  <c r="GH248" i="1"/>
  <c r="GI248" i="1" s="1"/>
  <c r="J248" i="2" s="1"/>
  <c r="GH180" i="1"/>
  <c r="GI180" i="1" s="1"/>
  <c r="J180" i="2" s="1"/>
  <c r="GH285" i="1"/>
  <c r="GI285" i="1" s="1"/>
  <c r="J285" i="2" s="1"/>
  <c r="GH212" i="1"/>
  <c r="GI212" i="1" s="1"/>
  <c r="J212" i="2" s="1"/>
  <c r="GH205" i="1"/>
  <c r="GI205" i="1" s="1"/>
  <c r="J205" i="2" s="1"/>
  <c r="GH43" i="1"/>
  <c r="GI43" i="1" s="1"/>
  <c r="J43" i="2" s="1"/>
  <c r="GI25" i="1"/>
  <c r="J25" i="2" s="1"/>
  <c r="GH154" i="1"/>
  <c r="GI154" i="1" s="1"/>
  <c r="J154" i="2" s="1"/>
  <c r="GH98" i="1"/>
  <c r="GI98" i="1" s="1"/>
  <c r="J98" i="2" s="1"/>
  <c r="GH105" i="1"/>
  <c r="GI105" i="1" s="1"/>
  <c r="J105" i="2" s="1"/>
  <c r="GH68" i="1"/>
  <c r="GI68" i="1" s="1"/>
  <c r="J68" i="2" s="1"/>
  <c r="GH11" i="1"/>
  <c r="GI11" i="1" s="1"/>
  <c r="J11" i="2" s="1"/>
  <c r="GH230" i="1"/>
  <c r="GI230" i="1" s="1"/>
  <c r="J230" i="2" s="1"/>
  <c r="GH191" i="1"/>
  <c r="GI191" i="1" s="1"/>
  <c r="J191" i="2" s="1"/>
  <c r="GH15" i="1"/>
  <c r="GI15" i="1" s="1"/>
  <c r="J15" i="2" s="1"/>
  <c r="GH111" i="1"/>
  <c r="GI111" i="1" s="1"/>
  <c r="J111" i="2" s="1"/>
  <c r="GH236" i="1"/>
  <c r="GI236" i="1" s="1"/>
  <c r="J236" i="2" s="1"/>
  <c r="GH60" i="1"/>
  <c r="GI60" i="1" s="1"/>
  <c r="J60" i="2" s="1"/>
  <c r="GH12" i="1"/>
  <c r="GI12" i="1" s="1"/>
  <c r="J12" i="2" s="1"/>
  <c r="GH121" i="1"/>
  <c r="GI121" i="1" s="1"/>
  <c r="J121" i="2" s="1"/>
  <c r="GH44" i="1"/>
  <c r="GI44" i="1" s="1"/>
  <c r="J44" i="2" s="1"/>
  <c r="GH239" i="1"/>
  <c r="GI239" i="1" s="1"/>
  <c r="J239" i="2" s="1"/>
  <c r="GH23" i="1"/>
  <c r="GI23" i="1" s="1"/>
  <c r="J23" i="2" s="1"/>
  <c r="GH251" i="1"/>
  <c r="GI251" i="1" s="1"/>
  <c r="J251" i="2" s="1"/>
  <c r="GH252" i="1"/>
  <c r="GI252" i="1" s="1"/>
  <c r="J252" i="2" s="1"/>
  <c r="GH287" i="1"/>
  <c r="GI287" i="1" s="1"/>
  <c r="J287" i="2" s="1"/>
  <c r="GH204" i="1"/>
  <c r="GI204" i="1" s="1"/>
  <c r="J204" i="2" s="1"/>
  <c r="GH124" i="1"/>
  <c r="GI124" i="1" s="1"/>
  <c r="J124" i="2" s="1"/>
  <c r="GH299" i="1"/>
  <c r="GI299" i="1" s="1"/>
  <c r="J299" i="2" s="1"/>
  <c r="GH293" i="1"/>
  <c r="GI293" i="1" s="1"/>
  <c r="J293" i="2" s="1"/>
  <c r="GH264" i="1"/>
  <c r="GI264" i="1" s="1"/>
  <c r="J264" i="2" s="1"/>
  <c r="GH129" i="1"/>
  <c r="GI129" i="1" s="1"/>
  <c r="J129" i="2" s="1"/>
  <c r="GH291" i="1"/>
  <c r="GI291" i="1" s="1"/>
  <c r="J291" i="2" s="1"/>
  <c r="GH233" i="1"/>
  <c r="GI233" i="1" s="1"/>
  <c r="J233" i="2" s="1"/>
  <c r="GH19" i="1"/>
  <c r="GI19" i="1" s="1"/>
  <c r="J19" i="2" s="1"/>
  <c r="GI226" i="1"/>
  <c r="J226" i="2" s="1"/>
  <c r="GH141" i="1"/>
  <c r="GI141" i="1" s="1"/>
  <c r="J141" i="2" s="1"/>
  <c r="GH143" i="1"/>
  <c r="GI143" i="1" s="1"/>
  <c r="J143" i="2" s="1"/>
  <c r="GH219" i="1"/>
  <c r="GI219" i="1" s="1"/>
  <c r="J219" i="2" s="1"/>
  <c r="GH49" i="1"/>
  <c r="GI49" i="1" s="1"/>
  <c r="J49" i="2" s="1"/>
  <c r="GH225" i="1"/>
  <c r="GI225" i="1" s="1"/>
  <c r="J225" i="2" s="1"/>
  <c r="GH79" i="1"/>
  <c r="GI79" i="1" s="1"/>
  <c r="J79" i="2" s="1"/>
  <c r="GH171" i="1"/>
  <c r="GI171" i="1" s="1"/>
  <c r="J171" i="2" s="1"/>
  <c r="GH137" i="1"/>
  <c r="GI137" i="1" s="1"/>
  <c r="J137" i="2" s="1"/>
  <c r="GH131" i="1"/>
  <c r="GI131" i="1" s="1"/>
  <c r="J131" i="2" s="1"/>
  <c r="GH13" i="1"/>
  <c r="GI13" i="1" s="1"/>
  <c r="J13" i="2" s="1"/>
  <c r="GH96" i="1"/>
  <c r="GI96" i="1" s="1"/>
  <c r="J96" i="2" s="1"/>
  <c r="GH292" i="1"/>
  <c r="GI292" i="1" s="1"/>
  <c r="J292" i="2" s="1"/>
  <c r="GH185" i="1"/>
  <c r="GI185" i="1" s="1"/>
  <c r="J185" i="2" s="1"/>
  <c r="GH241" i="1"/>
  <c r="GI241" i="1" s="1"/>
  <c r="J241" i="2" s="1"/>
  <c r="GH284" i="1"/>
  <c r="GI284" i="1" s="1"/>
  <c r="J284" i="2" s="1"/>
  <c r="GH206" i="1"/>
  <c r="GI206" i="1" s="1"/>
  <c r="J206" i="2" s="1"/>
  <c r="GH63" i="1"/>
  <c r="GI63" i="1" s="1"/>
  <c r="J63" i="2" s="1"/>
  <c r="GH229" i="1"/>
  <c r="GI229" i="1" s="1"/>
  <c r="J229" i="2" s="1"/>
  <c r="GH148" i="1"/>
  <c r="GI148" i="1" s="1"/>
  <c r="J148" i="2" s="1"/>
  <c r="GH190" i="1"/>
  <c r="GI190" i="1" s="1"/>
  <c r="J190" i="2" s="1"/>
  <c r="GH256" i="1"/>
  <c r="GI256" i="1" s="1"/>
  <c r="J256" i="2" s="1"/>
  <c r="GH298" i="1"/>
  <c r="GI298" i="1" s="1"/>
  <c r="J298" i="2" s="1"/>
  <c r="GH90" i="1"/>
  <c r="GI90" i="1" s="1"/>
  <c r="J90" i="2" s="1"/>
  <c r="GH82" i="1"/>
  <c r="GI82" i="1" s="1"/>
  <c r="J82" i="2" s="1"/>
  <c r="GH165" i="1"/>
  <c r="GI165" i="1" s="1"/>
  <c r="J165" i="2" s="1"/>
  <c r="GH77" i="1"/>
  <c r="GI77" i="1" s="1"/>
  <c r="J77" i="2" s="1"/>
  <c r="GH275" i="1"/>
  <c r="GI275" i="1" s="1"/>
  <c r="J275" i="2" s="1"/>
  <c r="GH73" i="1"/>
  <c r="GI73" i="1" s="1"/>
  <c r="J73" i="2" s="1"/>
  <c r="GH199" i="1"/>
  <c r="GI199" i="1" s="1"/>
  <c r="J199" i="2" s="1"/>
  <c r="GH268" i="1"/>
  <c r="GI268" i="1" s="1"/>
  <c r="J268" i="2" s="1"/>
  <c r="GH95" i="1"/>
  <c r="GI95" i="1" s="1"/>
  <c r="J95" i="2" s="1"/>
  <c r="GH163" i="1"/>
  <c r="GI163" i="1" s="1"/>
  <c r="J163" i="2" s="1"/>
  <c r="GH223" i="1"/>
  <c r="GI223" i="1" s="1"/>
  <c r="J223" i="2" s="1"/>
  <c r="GH39" i="1"/>
  <c r="GI39" i="1" s="1"/>
  <c r="J39" i="2" s="1"/>
  <c r="GH70" i="1"/>
  <c r="GI70" i="1" s="1"/>
  <c r="J70" i="2" s="1"/>
  <c r="GH198" i="1"/>
  <c r="GI198" i="1" s="1"/>
  <c r="J198" i="2" s="1"/>
  <c r="GH289" i="1"/>
  <c r="GI289" i="1" s="1"/>
  <c r="J289" i="2" s="1"/>
  <c r="GH232" i="1"/>
  <c r="GI232" i="1" s="1"/>
  <c r="J232" i="2" s="1"/>
  <c r="GH150" i="1"/>
  <c r="GI150" i="1" s="1"/>
  <c r="J150" i="2" s="1"/>
  <c r="GH72" i="1"/>
  <c r="GI72" i="1" s="1"/>
  <c r="J72" i="2" s="1"/>
  <c r="GH263" i="1"/>
  <c r="GI263" i="1" s="1"/>
  <c r="J263" i="2" s="1"/>
  <c r="GH227" i="1"/>
  <c r="GI227" i="1" s="1"/>
  <c r="J227" i="2" s="1"/>
  <c r="GH201" i="1"/>
  <c r="GI201" i="1" s="1"/>
  <c r="J201" i="2" s="1"/>
  <c r="GH81" i="1"/>
  <c r="GI81" i="1" s="1"/>
  <c r="J81" i="2" s="1"/>
  <c r="GH177" i="1"/>
  <c r="GI177" i="1" s="1"/>
  <c r="J177" i="2" s="1"/>
  <c r="GH172" i="1"/>
  <c r="GI172" i="1" s="1"/>
  <c r="J172" i="2" s="1"/>
  <c r="GH75" i="1"/>
  <c r="GI75" i="1" s="1"/>
  <c r="J75" i="2" s="1"/>
  <c r="GH290" i="1"/>
  <c r="GI290" i="1" s="1"/>
  <c r="J290" i="2" s="1"/>
  <c r="GH242" i="1"/>
  <c r="GI242" i="1" s="1"/>
  <c r="J242" i="2" s="1"/>
  <c r="GH188" i="1"/>
  <c r="GI188" i="1" s="1"/>
  <c r="J188" i="2" s="1"/>
  <c r="GH167" i="1"/>
  <c r="GI167" i="1" s="1"/>
  <c r="J167" i="2" s="1"/>
  <c r="GH87" i="1"/>
  <c r="GI87" i="1" s="1"/>
  <c r="J87" i="2" s="1"/>
  <c r="GH139" i="1"/>
  <c r="GI139" i="1" s="1"/>
  <c r="J139" i="2" s="1"/>
  <c r="GH93" i="1"/>
  <c r="GI93" i="1" s="1"/>
  <c r="J93" i="2" s="1"/>
  <c r="GH286" i="1"/>
  <c r="GI286" i="1" s="1"/>
  <c r="J286" i="2" s="1"/>
  <c r="GH109" i="1"/>
  <c r="GI109" i="1" s="1"/>
  <c r="J109" i="2" s="1"/>
  <c r="GH147" i="1"/>
  <c r="GI147" i="1" s="1"/>
  <c r="J147" i="2" s="1"/>
  <c r="GH5" i="1"/>
  <c r="GI5" i="1" s="1"/>
  <c r="J5" i="2" s="1"/>
  <c r="GH91" i="1"/>
  <c r="GI91" i="1" s="1"/>
  <c r="J91" i="2" s="1"/>
  <c r="GH151" i="1"/>
  <c r="GI151" i="1" s="1"/>
  <c r="J151" i="2" s="1"/>
  <c r="GH14" i="1"/>
  <c r="GI14" i="1" s="1"/>
  <c r="J14" i="2" s="1"/>
  <c r="GH267" i="1"/>
  <c r="GI267" i="1" s="1"/>
  <c r="J267" i="2" s="1"/>
  <c r="GH113" i="1"/>
  <c r="GI113" i="1" s="1"/>
  <c r="J113" i="2" s="1"/>
  <c r="GH133" i="1"/>
  <c r="GI133" i="1" s="1"/>
  <c r="J133" i="2" s="1"/>
  <c r="GH20" i="1"/>
  <c r="GI20" i="1" s="1"/>
  <c r="J20" i="2" s="1"/>
  <c r="GI277" i="1"/>
  <c r="J277" i="2" s="1"/>
  <c r="GH4" i="1"/>
  <c r="GI4" i="1" s="1"/>
  <c r="J4" i="2" s="1"/>
  <c r="GH217" i="1"/>
  <c r="GI217" i="1" s="1"/>
  <c r="J217" i="2" s="1"/>
  <c r="GH202" i="1"/>
  <c r="GI202" i="1" s="1"/>
  <c r="J202" i="2" s="1"/>
  <c r="GI122" i="1"/>
  <c r="J122" i="2" s="1"/>
  <c r="GH58" i="1"/>
  <c r="GI58" i="1" s="1"/>
  <c r="J58" i="2" s="1"/>
  <c r="GH182" i="1"/>
  <c r="GI182" i="1" s="1"/>
  <c r="J182" i="2" s="1"/>
  <c r="GH149" i="1"/>
  <c r="GI149" i="1" s="1"/>
  <c r="J149" i="2" s="1"/>
  <c r="GH99" i="1"/>
  <c r="GI99" i="1" s="1"/>
  <c r="J99" i="2" s="1"/>
  <c r="GH245" i="1"/>
  <c r="GI245" i="1" s="1"/>
  <c r="J245" i="2" s="1"/>
  <c r="GH136" i="1"/>
  <c r="GI136" i="1" s="1"/>
  <c r="J136" i="2" s="1"/>
  <c r="GH66" i="1"/>
  <c r="GI66" i="1" s="1"/>
  <c r="J66" i="2" s="1"/>
  <c r="GH273" i="1"/>
  <c r="GI273" i="1" s="1"/>
  <c r="J273" i="2" s="1"/>
  <c r="GH76" i="1"/>
  <c r="GI76" i="1" s="1"/>
  <c r="J76" i="2" s="1"/>
  <c r="GH51" i="1"/>
  <c r="GI51" i="1" s="1"/>
  <c r="J51" i="2" s="1"/>
  <c r="GH138" i="1"/>
  <c r="GI138" i="1" s="1"/>
  <c r="J138" i="2" s="1"/>
  <c r="GH7" i="1"/>
  <c r="GI7" i="1" s="1"/>
  <c r="J7" i="2" s="1"/>
  <c r="GH279" i="1"/>
  <c r="GI279" i="1" s="1"/>
  <c r="J279" i="2" s="1"/>
  <c r="GH250" i="1"/>
  <c r="GI250" i="1" s="1"/>
  <c r="J250" i="2" s="1"/>
  <c r="GH207" i="1"/>
  <c r="GI207" i="1" s="1"/>
  <c r="J207" i="2" s="1"/>
  <c r="GH85" i="1"/>
  <c r="GI85" i="1" s="1"/>
  <c r="J85" i="2" s="1"/>
  <c r="GH17" i="1"/>
  <c r="GI17" i="1" s="1"/>
  <c r="J17" i="2" s="1"/>
  <c r="GH270" i="1"/>
  <c r="GI270" i="1" s="1"/>
  <c r="J270" i="2" s="1"/>
  <c r="GH83" i="1"/>
  <c r="GI83" i="1" s="1"/>
  <c r="J83" i="2" s="1"/>
  <c r="GH294" i="1"/>
  <c r="GI294" i="1" s="1"/>
  <c r="J294" i="2" s="1"/>
  <c r="GH97" i="1"/>
  <c r="GI97" i="1" s="1"/>
  <c r="J97" i="2" s="1"/>
  <c r="GH244" i="1"/>
  <c r="GI244" i="1" s="1"/>
  <c r="J244" i="2" s="1"/>
  <c r="GH262" i="1"/>
  <c r="GI262" i="1" s="1"/>
  <c r="J262" i="2" s="1"/>
  <c r="GH127" i="1"/>
  <c r="GI127" i="1" s="1"/>
  <c r="J127" i="2" s="1"/>
  <c r="GH295" i="1"/>
  <c r="GI295" i="1" s="1"/>
  <c r="J295" i="2" s="1"/>
  <c r="GH78" i="1"/>
  <c r="GI78" i="1" s="1"/>
  <c r="J78" i="2" s="1"/>
  <c r="GH162" i="1"/>
  <c r="GI162" i="1" s="1"/>
  <c r="J162" i="2" s="1"/>
  <c r="GI234" i="1"/>
  <c r="J234" i="2" s="1"/>
  <c r="GH35" i="1"/>
  <c r="GI35" i="1" s="1"/>
  <c r="J35" i="2" s="1"/>
  <c r="GH41" i="1"/>
  <c r="GI41" i="1" s="1"/>
  <c r="J41" i="2" s="1"/>
  <c r="GH101" i="1"/>
  <c r="GI101" i="1" s="1"/>
  <c r="J101" i="2" s="1"/>
  <c r="GH258" i="1"/>
  <c r="GI258" i="1" s="1"/>
  <c r="J258" i="2" s="1"/>
  <c r="GH197" i="1"/>
  <c r="GI197" i="1" s="1"/>
  <c r="J197" i="2" s="1"/>
  <c r="GH84" i="1"/>
  <c r="GI84" i="1" s="1"/>
  <c r="J84" i="2" s="1"/>
  <c r="GH110" i="1"/>
  <c r="GI110" i="1" s="1"/>
  <c r="J110" i="2" s="1"/>
  <c r="GH46" i="1"/>
  <c r="GI46" i="1" s="1"/>
  <c r="J46" i="2" s="1"/>
  <c r="GH9" i="1"/>
  <c r="GI9" i="1" s="1"/>
  <c r="J9" i="2" s="1"/>
  <c r="GH47" i="1"/>
  <c r="GI47" i="1" s="1"/>
  <c r="J47" i="2" s="1"/>
  <c r="GH189" i="1"/>
  <c r="GI189" i="1" s="1"/>
  <c r="J189" i="2" s="1"/>
  <c r="GH107" i="1"/>
  <c r="GI107" i="1" s="1"/>
  <c r="J107" i="2" s="1"/>
  <c r="GH176" i="1"/>
  <c r="GI176" i="1" s="1"/>
  <c r="J176" i="2" s="1"/>
  <c r="GH246" i="1"/>
  <c r="GI246" i="1" s="1"/>
  <c r="J246" i="2" s="1"/>
  <c r="GH222" i="1"/>
  <c r="GI222" i="1" s="1"/>
  <c r="J222" i="2" s="1"/>
  <c r="GH30" i="1"/>
  <c r="GI30" i="1" s="1"/>
  <c r="J30" i="2" s="1"/>
  <c r="GH215" i="1"/>
  <c r="GI215" i="1" s="1"/>
  <c r="J215" i="2" s="1"/>
  <c r="GH181" i="1"/>
  <c r="GI181" i="1" s="1"/>
  <c r="J181" i="2" s="1"/>
  <c r="GH213" i="1"/>
  <c r="GI213" i="1" s="1"/>
  <c r="J213" i="2" s="1"/>
  <c r="GH261" i="1"/>
  <c r="GI261" i="1" s="1"/>
  <c r="J261" i="2" s="1"/>
  <c r="GI243" i="1"/>
  <c r="J243" i="2" s="1"/>
  <c r="GH259" i="1"/>
  <c r="GI259" i="1" s="1"/>
  <c r="J259" i="2" s="1"/>
  <c r="GH170" i="1"/>
  <c r="GI170" i="1" s="1"/>
  <c r="J170" i="2" s="1"/>
  <c r="GH2" i="1"/>
  <c r="GI2" i="1" s="1"/>
  <c r="J2" i="2" s="1"/>
  <c r="GC40" i="1"/>
  <c r="GD40" i="1" s="1"/>
  <c r="GE40" i="1" s="1"/>
  <c r="GF40" i="1" s="1"/>
  <c r="GG40" i="1" s="1"/>
  <c r="GH40" i="1" s="1"/>
  <c r="GH48" i="1"/>
  <c r="GI48" i="1" s="1"/>
  <c r="J48" i="2" s="1"/>
  <c r="GH237" i="1"/>
  <c r="GI237" i="1" s="1"/>
  <c r="J237" i="2" s="1"/>
  <c r="GH128" i="1"/>
  <c r="GI128" i="1" s="1"/>
  <c r="J128" i="2" s="1"/>
  <c r="GH194" i="1"/>
  <c r="GI194" i="1" s="1"/>
  <c r="J194" i="2" s="1"/>
  <c r="GH80" i="1"/>
  <c r="GI80" i="1" s="1"/>
  <c r="J80" i="2" s="1"/>
  <c r="GH166" i="1"/>
  <c r="GI166" i="1" s="1"/>
  <c r="J166" i="2" s="1"/>
  <c r="GH116" i="1"/>
  <c r="GI116" i="1" s="1"/>
  <c r="J116" i="2" s="1"/>
  <c r="GH126" i="1"/>
  <c r="GI126" i="1" s="1"/>
  <c r="J126" i="2" s="1"/>
  <c r="GH32" i="1"/>
  <c r="GI32" i="1" s="1"/>
  <c r="J32" i="2" s="1"/>
  <c r="GH88" i="1"/>
  <c r="GI88" i="1" s="1"/>
  <c r="J88" i="2" s="1"/>
  <c r="GH253" i="1"/>
  <c r="GI253" i="1" s="1"/>
  <c r="J253" i="2" s="1"/>
  <c r="GH103" i="1"/>
  <c r="GI103" i="1" s="1"/>
  <c r="J103" i="2" s="1"/>
  <c r="GH55" i="1"/>
  <c r="GI55" i="1" s="1"/>
  <c r="J55" i="2" s="1"/>
  <c r="GH228" i="1"/>
  <c r="GI228" i="1" s="1"/>
  <c r="J228" i="2" s="1"/>
  <c r="GH27" i="1"/>
  <c r="GI27" i="1" s="1"/>
  <c r="J27" i="2" s="1"/>
  <c r="GH53" i="1"/>
  <c r="GI53" i="1" s="1"/>
  <c r="J53" i="2" s="1"/>
  <c r="GH100" i="1"/>
  <c r="GI100" i="1" s="1"/>
  <c r="J100" i="2" s="1"/>
  <c r="GH224" i="1"/>
  <c r="GI224" i="1" s="1"/>
  <c r="J224" i="2" s="1"/>
  <c r="GH208" i="1"/>
  <c r="GI208" i="1" s="1"/>
  <c r="J208" i="2" s="1"/>
  <c r="GH209" i="1"/>
  <c r="GI209" i="1" s="1"/>
  <c r="J209" i="2" s="1"/>
  <c r="GH135" i="1"/>
  <c r="GI135" i="1" s="1"/>
  <c r="J135" i="2" s="1"/>
  <c r="GH184" i="1"/>
  <c r="GI184" i="1" s="1"/>
  <c r="J184" i="2" s="1"/>
  <c r="GH296" i="1"/>
  <c r="GI296" i="1" s="1"/>
  <c r="J296" i="2" s="1"/>
  <c r="GH157" i="1"/>
  <c r="GI157" i="1" s="1"/>
  <c r="J157" i="2" s="1"/>
  <c r="GH67" i="1"/>
  <c r="GI67" i="1" s="1"/>
  <c r="J67" i="2" s="1"/>
  <c r="GH200" i="1"/>
  <c r="GI200" i="1" s="1"/>
  <c r="J200" i="2" s="1"/>
  <c r="GH118" i="1"/>
  <c r="GI118" i="1" s="1"/>
  <c r="J118" i="2" s="1"/>
  <c r="GH24" i="1"/>
  <c r="GI24" i="1" s="1"/>
  <c r="J24" i="2" s="1"/>
  <c r="GH54" i="1"/>
  <c r="GI54" i="1" s="1"/>
  <c r="J54" i="2" s="1"/>
  <c r="GH134" i="1"/>
  <c r="GI134" i="1" s="1"/>
  <c r="J134" i="2" s="1"/>
  <c r="GH8" i="1"/>
  <c r="GI8" i="1" s="1"/>
  <c r="J8" i="2" s="1"/>
  <c r="GH153" i="1"/>
  <c r="GI153" i="1" s="1"/>
  <c r="J153" i="2" s="1"/>
  <c r="GH65" i="1"/>
  <c r="GI65" i="1" s="1"/>
  <c r="J65" i="2" s="1"/>
  <c r="GH231" i="1"/>
  <c r="GI231" i="1" s="1"/>
  <c r="J231" i="2" s="1"/>
  <c r="GH175" i="1"/>
  <c r="GI175" i="1" s="1"/>
  <c r="J175" i="2" s="1"/>
  <c r="GH160" i="1"/>
  <c r="GI160" i="1" s="1"/>
  <c r="J160" i="2" s="1"/>
  <c r="GH278" i="1"/>
  <c r="GI278" i="1" s="1"/>
  <c r="J278" i="2" s="1"/>
  <c r="GH52" i="1"/>
  <c r="GI52" i="1" s="1"/>
  <c r="J52" i="2" s="1"/>
  <c r="GI16" i="1" l="1"/>
  <c r="J16" i="2" s="1"/>
  <c r="FY89" i="1"/>
  <c r="GC89" i="1" s="1"/>
  <c r="GD89" i="1" s="1"/>
  <c r="GE89" i="1" s="1"/>
  <c r="GF89" i="1" s="1"/>
  <c r="GG89" i="1" s="1"/>
  <c r="GH89" i="1" s="1"/>
  <c r="GI89" i="1" s="1"/>
  <c r="J89" i="2" s="1"/>
  <c r="GF50" i="1"/>
  <c r="GG50" i="1" s="1"/>
  <c r="GH50" i="1" s="1"/>
  <c r="GI50" i="1" s="1"/>
  <c r="J50" i="2" s="1"/>
  <c r="GF221" i="1"/>
  <c r="GG221" i="1" s="1"/>
  <c r="GH221" i="1" s="1"/>
  <c r="GI221" i="1" s="1"/>
  <c r="J221" i="2" s="1"/>
  <c r="GF86" i="1"/>
  <c r="GG86" i="1" s="1"/>
  <c r="GH86" i="1" s="1"/>
  <c r="GI86" i="1" s="1"/>
  <c r="J86" i="2" s="1"/>
  <c r="GB210" i="1"/>
  <c r="GC210" i="1"/>
  <c r="GD210" i="1" s="1"/>
  <c r="GE210" i="1" s="1"/>
  <c r="GB102" i="1"/>
  <c r="GC102" i="1"/>
  <c r="GD102" i="1" s="1"/>
  <c r="GE102" i="1" s="1"/>
  <c r="GF145" i="1"/>
  <c r="GG145" i="1" s="1"/>
  <c r="GH145" i="1" s="1"/>
  <c r="GI145" i="1" s="1"/>
  <c r="J145" i="2" s="1"/>
  <c r="GF249" i="1"/>
  <c r="GG249" i="1" s="1"/>
  <c r="GH249" i="1" s="1"/>
  <c r="GI249" i="1" s="1"/>
  <c r="J249" i="2" s="1"/>
  <c r="GF235" i="1"/>
  <c r="GG235" i="1" s="1"/>
  <c r="GH235" i="1" s="1"/>
  <c r="GI235" i="1" s="1"/>
  <c r="J235" i="2" s="1"/>
  <c r="GF152" i="1"/>
  <c r="GG152" i="1" s="1"/>
  <c r="GH152" i="1" s="1"/>
  <c r="GI152" i="1" s="1"/>
  <c r="J152" i="2" s="1"/>
  <c r="GF274" i="1"/>
  <c r="GG274" i="1" s="1"/>
  <c r="GF174" i="1"/>
  <c r="GG174" i="1" s="1"/>
  <c r="GH174" i="1" s="1"/>
  <c r="GI174" i="1" s="1"/>
  <c r="J174" i="2" s="1"/>
  <c r="GF74" i="1"/>
  <c r="GG74" i="1" s="1"/>
  <c r="GH74" i="1" s="1"/>
  <c r="GI74" i="1" s="1"/>
  <c r="J74" i="2" s="1"/>
  <c r="GF218" i="1"/>
  <c r="GG218" i="1" s="1"/>
  <c r="GF195" i="1"/>
  <c r="GG195" i="1" s="1"/>
  <c r="GH195" i="1" s="1"/>
  <c r="GI195" i="1" s="1"/>
  <c r="J195" i="2" s="1"/>
  <c r="GF22" i="1"/>
  <c r="GG22" i="1" s="1"/>
  <c r="GH22" i="1" s="1"/>
  <c r="GI22" i="1" s="1"/>
  <c r="J22" i="2" s="1"/>
  <c r="GF220" i="1"/>
  <c r="GG220" i="1" s="1"/>
  <c r="GH220" i="1" s="1"/>
  <c r="GI220" i="1" s="1"/>
  <c r="J220" i="2" s="1"/>
  <c r="GI10" i="1"/>
  <c r="J10" i="2" s="1"/>
  <c r="FX283" i="1"/>
  <c r="FY283" i="1" s="1"/>
  <c r="GC283" i="1" s="1"/>
  <c r="GD283" i="1" s="1"/>
  <c r="GE283" i="1" s="1"/>
  <c r="GF283" i="1" s="1"/>
  <c r="GG283" i="1" s="1"/>
  <c r="GH283" i="1" s="1"/>
  <c r="GI283" i="1" s="1"/>
  <c r="J283" i="2" s="1"/>
  <c r="GH132" i="1"/>
  <c r="GI132" i="1" s="1"/>
  <c r="J132" i="2" s="1"/>
  <c r="GI40" i="1"/>
  <c r="J40" i="2" s="1"/>
  <c r="GH33" i="1"/>
  <c r="GI33" i="1" s="1"/>
  <c r="J33" i="2" s="1"/>
  <c r="GH21" i="1"/>
  <c r="GI21" i="1" s="1"/>
  <c r="J21" i="2" s="1"/>
  <c r="GH112" i="1"/>
  <c r="GI112" i="1" s="1"/>
  <c r="J112" i="2" s="1"/>
  <c r="GH69" i="1"/>
  <c r="GI69" i="1" s="1"/>
  <c r="J69" i="2" s="1"/>
  <c r="GH203" i="1"/>
  <c r="GI203" i="1" s="1"/>
  <c r="J203" i="2" s="1"/>
  <c r="GH115" i="1"/>
  <c r="GI115" i="1" s="1"/>
  <c r="J115" i="2" s="1"/>
  <c r="GH269" i="1"/>
  <c r="GI269" i="1" s="1"/>
  <c r="J269" i="2" s="1"/>
  <c r="GH18" i="1"/>
  <c r="GI18" i="1" s="1"/>
  <c r="J18" i="2" s="1"/>
  <c r="GH31" i="1"/>
  <c r="GI31" i="1" s="1"/>
  <c r="J31" i="2" s="1"/>
  <c r="GH216" i="1"/>
  <c r="GI216" i="1" s="1"/>
  <c r="J216" i="2" s="1"/>
  <c r="GH288" i="1"/>
  <c r="GI288" i="1" s="1"/>
  <c r="J288" i="2" s="1"/>
  <c r="GH71" i="1"/>
  <c r="GI71" i="1" s="1"/>
  <c r="J71" i="2" s="1"/>
  <c r="GH240" i="1"/>
  <c r="GI240" i="1" s="1"/>
  <c r="J240" i="2" s="1"/>
  <c r="GH218" i="1" l="1"/>
  <c r="GI218" i="1" s="1"/>
  <c r="J218" i="2" s="1"/>
  <c r="GF102" i="1"/>
  <c r="GG102" i="1" s="1"/>
  <c r="GH102" i="1" s="1"/>
  <c r="GI102" i="1" s="1"/>
  <c r="J102" i="2" s="1"/>
  <c r="GH274" i="1"/>
  <c r="GI274" i="1" s="1"/>
  <c r="J274" i="2" s="1"/>
  <c r="GF210" i="1"/>
  <c r="GG210" i="1" s="1"/>
  <c r="GH210" i="1" s="1"/>
  <c r="GI210" i="1" s="1"/>
  <c r="J210" i="2" s="1"/>
</calcChain>
</file>

<file path=xl/sharedStrings.xml><?xml version="1.0" encoding="utf-8"?>
<sst xmlns="http://schemas.openxmlformats.org/spreadsheetml/2006/main" count="1393" uniqueCount="874">
  <si>
    <t>sl</t>
  </si>
  <si>
    <t>id</t>
  </si>
  <si>
    <t>tname</t>
  </si>
  <si>
    <t>marchBasic</t>
  </si>
  <si>
    <t>aprilBasic</t>
  </si>
  <si>
    <t>mayBasic</t>
  </si>
  <si>
    <t>juneBasic</t>
  </si>
  <si>
    <t>julyBasic</t>
  </si>
  <si>
    <t>augustBasic</t>
  </si>
  <si>
    <t>septemberBasic</t>
  </si>
  <si>
    <t>octoberBasic</t>
  </si>
  <si>
    <t>novemberBasic</t>
  </si>
  <si>
    <t>decemberBasic</t>
  </si>
  <si>
    <t>januaryBasic</t>
  </si>
  <si>
    <t>februaryBasic</t>
  </si>
  <si>
    <t>marchHRA</t>
  </si>
  <si>
    <t>marchDA</t>
  </si>
  <si>
    <t>marchAddl</t>
  </si>
  <si>
    <t>marchGross</t>
  </si>
  <si>
    <t>marchGPF</t>
  </si>
  <si>
    <t>marchGSLI</t>
  </si>
  <si>
    <t>marchPTAX</t>
  </si>
  <si>
    <t>marchNetpay</t>
  </si>
  <si>
    <t>aprilDA</t>
  </si>
  <si>
    <t>aprilHRA</t>
  </si>
  <si>
    <t>aprilAddl</t>
  </si>
  <si>
    <t>aprilGross</t>
  </si>
  <si>
    <t>aprilGPF</t>
  </si>
  <si>
    <t>aprilGSLI</t>
  </si>
  <si>
    <t>aprilPTAX</t>
  </si>
  <si>
    <t>aprilNetpay</t>
  </si>
  <si>
    <t>mayDA</t>
  </si>
  <si>
    <t>mayHRA</t>
  </si>
  <si>
    <t>mayAddl</t>
  </si>
  <si>
    <t>mayGross</t>
  </si>
  <si>
    <t>mayGPF</t>
  </si>
  <si>
    <t>mayGSLI</t>
  </si>
  <si>
    <t>mayPTAX</t>
  </si>
  <si>
    <t>mayNetpay</t>
  </si>
  <si>
    <t>marchMA</t>
  </si>
  <si>
    <t>aprilMA</t>
  </si>
  <si>
    <t>mayMA</t>
  </si>
  <si>
    <t>juneDA</t>
  </si>
  <si>
    <t>juneHRA</t>
  </si>
  <si>
    <t>juneAddl</t>
  </si>
  <si>
    <t>juneMA</t>
  </si>
  <si>
    <t>juneGross</t>
  </si>
  <si>
    <t>juneGPF</t>
  </si>
  <si>
    <t>juneGSLI</t>
  </si>
  <si>
    <t>junePTAX</t>
  </si>
  <si>
    <t>juneNetpay</t>
  </si>
  <si>
    <t>julyDA</t>
  </si>
  <si>
    <t>julyHRA</t>
  </si>
  <si>
    <t>julyAddl</t>
  </si>
  <si>
    <t>julyMA</t>
  </si>
  <si>
    <t>julyGross</t>
  </si>
  <si>
    <t>julyGPF</t>
  </si>
  <si>
    <t>julyGSLI</t>
  </si>
  <si>
    <t>julyPTAX</t>
  </si>
  <si>
    <t>julyNetpay</t>
  </si>
  <si>
    <t>septemberDA</t>
  </si>
  <si>
    <t>septemberHRA</t>
  </si>
  <si>
    <t>septemberAddl</t>
  </si>
  <si>
    <t>septemberMA</t>
  </si>
  <si>
    <t>septemberGross</t>
  </si>
  <si>
    <t>septemberGPF</t>
  </si>
  <si>
    <t>septemberGSLI</t>
  </si>
  <si>
    <t>septemberPTAX</t>
  </si>
  <si>
    <t>septemberNetpay</t>
  </si>
  <si>
    <t>augustDA</t>
  </si>
  <si>
    <t>augustHRA</t>
  </si>
  <si>
    <t>augustAddl</t>
  </si>
  <si>
    <t>augustMA</t>
  </si>
  <si>
    <t>augustGross</t>
  </si>
  <si>
    <t>augustGPF</t>
  </si>
  <si>
    <t>augustGSLI</t>
  </si>
  <si>
    <t>augustPTAX</t>
  </si>
  <si>
    <t>augustNetpay</t>
  </si>
  <si>
    <t>octoberDA</t>
  </si>
  <si>
    <t>octoberHRA</t>
  </si>
  <si>
    <t>octoberAddl</t>
  </si>
  <si>
    <t>octoberMA</t>
  </si>
  <si>
    <t>octoberGross</t>
  </si>
  <si>
    <t>octoberGPF</t>
  </si>
  <si>
    <t>octoberGSLI</t>
  </si>
  <si>
    <t>octoberPTAX</t>
  </si>
  <si>
    <t>octoberNetpay</t>
  </si>
  <si>
    <t>novemberDA</t>
  </si>
  <si>
    <t>novemberHRA</t>
  </si>
  <si>
    <t>novemberAddl</t>
  </si>
  <si>
    <t>novemberMA</t>
  </si>
  <si>
    <t>novemberGross</t>
  </si>
  <si>
    <t>novemberGPF</t>
  </si>
  <si>
    <t>novemberGSLI</t>
  </si>
  <si>
    <t>novemberPTAX</t>
  </si>
  <si>
    <t>novemberNetpay</t>
  </si>
  <si>
    <t>decemberDA</t>
  </si>
  <si>
    <t>decemberHRA</t>
  </si>
  <si>
    <t>decemberAddl</t>
  </si>
  <si>
    <t>decemberMA</t>
  </si>
  <si>
    <t>decemberGross</t>
  </si>
  <si>
    <t>decemberGPF</t>
  </si>
  <si>
    <t>decemberGSLI</t>
  </si>
  <si>
    <t>decemberPTAX</t>
  </si>
  <si>
    <t>decemberNetpay</t>
  </si>
  <si>
    <t>januaryDA</t>
  </si>
  <si>
    <t>januaryHRA</t>
  </si>
  <si>
    <t>januaryAddl</t>
  </si>
  <si>
    <t>januaryMA</t>
  </si>
  <si>
    <t>januaryGross</t>
  </si>
  <si>
    <t>januaryGPF</t>
  </si>
  <si>
    <t>januaryGSLI</t>
  </si>
  <si>
    <t>januaryPTAX</t>
  </si>
  <si>
    <t>januaryNetpay</t>
  </si>
  <si>
    <t>februaryDA</t>
  </si>
  <si>
    <t>februaryHRA</t>
  </si>
  <si>
    <t>februaryAddl</t>
  </si>
  <si>
    <t>februaryMA</t>
  </si>
  <si>
    <t>februaryGross</t>
  </si>
  <si>
    <t>februaryGPF</t>
  </si>
  <si>
    <t>februaryGSLI</t>
  </si>
  <si>
    <t>februaryPTAX</t>
  </si>
  <si>
    <t>februaryNetpay</t>
  </si>
  <si>
    <t>AllGross</t>
  </si>
  <si>
    <t>teachers101</t>
  </si>
  <si>
    <t>SOHINI PAUL</t>
  </si>
  <si>
    <t>teachers102</t>
  </si>
  <si>
    <t>MOUMITA MAJI</t>
  </si>
  <si>
    <t>teachers103</t>
  </si>
  <si>
    <t>RAGHABENDRA KOLEY</t>
  </si>
  <si>
    <t>teachers104</t>
  </si>
  <si>
    <t>AVISHEK CHOWDHURY</t>
  </si>
  <si>
    <t>teachers105</t>
  </si>
  <si>
    <t>AMIT RIT</t>
  </si>
  <si>
    <t>teachers106</t>
  </si>
  <si>
    <t>TAPAS KARMAKAR</t>
  </si>
  <si>
    <t>teachers107</t>
  </si>
  <si>
    <t>BIKASH CHANDRA DALUI</t>
  </si>
  <si>
    <t>teachers108</t>
  </si>
  <si>
    <t>SUPARNA GHOSH</t>
  </si>
  <si>
    <t>teachers109</t>
  </si>
  <si>
    <t>SOHEL REJA</t>
  </si>
  <si>
    <t>teachers110</t>
  </si>
  <si>
    <t>TARUN GHARA</t>
  </si>
  <si>
    <t>teachers111</t>
  </si>
  <si>
    <t>SWAPAN DAS</t>
  </si>
  <si>
    <t>teachers112</t>
  </si>
  <si>
    <t>RAJU KOLEY</t>
  </si>
  <si>
    <t>teachers388-61383f93</t>
  </si>
  <si>
    <t>RAHUL BISWAS</t>
  </si>
  <si>
    <t>teachers113</t>
  </si>
  <si>
    <t>BAPAN SASMAL</t>
  </si>
  <si>
    <t>teachers114</t>
  </si>
  <si>
    <t>NILADRI DHALI</t>
  </si>
  <si>
    <t>teachers115</t>
  </si>
  <si>
    <t>PRIYANKA RAKSHIT</t>
  </si>
  <si>
    <t>teachers116</t>
  </si>
  <si>
    <t>SIPRA MAJUMDER</t>
  </si>
  <si>
    <t>teachers117</t>
  </si>
  <si>
    <t>PARTHA NANDI</t>
  </si>
  <si>
    <t>teachers118</t>
  </si>
  <si>
    <t>SWAGATA CHAKRABORTY</t>
  </si>
  <si>
    <t>teachers119</t>
  </si>
  <si>
    <t>PRABIR KUMAR CHAKRABORTY</t>
  </si>
  <si>
    <t>teachers120</t>
  </si>
  <si>
    <t>JAYANTI MAJUMDER</t>
  </si>
  <si>
    <t>teachers121</t>
  </si>
  <si>
    <t>MANAS CHAKRABORTY</t>
  </si>
  <si>
    <t>teachers122</t>
  </si>
  <si>
    <t>SOUMENDU PRAMANIK</t>
  </si>
  <si>
    <t>teachers123</t>
  </si>
  <si>
    <t>AMIT POREY</t>
  </si>
  <si>
    <t>teachers124</t>
  </si>
  <si>
    <t>ASHIS KUMAR PARUI</t>
  </si>
  <si>
    <t>teachers125</t>
  </si>
  <si>
    <t>SONALI ADHIKARY</t>
  </si>
  <si>
    <t>teachers126</t>
  </si>
  <si>
    <t>KAUSHIK DAS</t>
  </si>
  <si>
    <t>teachers127</t>
  </si>
  <si>
    <t>SHYAMAL HAIT</t>
  </si>
  <si>
    <t>teachers128</t>
  </si>
  <si>
    <t>NETAI DAS</t>
  </si>
  <si>
    <t>teachers129</t>
  </si>
  <si>
    <t>AMIT BARAN DIRGHANGI</t>
  </si>
  <si>
    <t>teachers130</t>
  </si>
  <si>
    <t>PRASANTA PAL</t>
  </si>
  <si>
    <t>teachers131</t>
  </si>
  <si>
    <t>DIPANKAR PATRA</t>
  </si>
  <si>
    <t>teachers132</t>
  </si>
  <si>
    <t>PREMNATH KAR</t>
  </si>
  <si>
    <t>teachers133</t>
  </si>
  <si>
    <t xml:space="preserve">SUBRATA BISWAS </t>
  </si>
  <si>
    <t>teachers134</t>
  </si>
  <si>
    <t>ARUP SAMANTA</t>
  </si>
  <si>
    <t>teachers135</t>
  </si>
  <si>
    <t>BHAGYADHAR KARAR</t>
  </si>
  <si>
    <t>teachers136</t>
  </si>
  <si>
    <t>NILANJANA DEYASHI PAL</t>
  </si>
  <si>
    <t>teachers389-da7ce61c</t>
  </si>
  <si>
    <t>MD HUMAYAN KABIR</t>
  </si>
  <si>
    <t>teachers137</t>
  </si>
  <si>
    <t>MRITYUNJAY ASH</t>
  </si>
  <si>
    <t>teachers138</t>
  </si>
  <si>
    <t>DEBKUMAR MUDLI</t>
  </si>
  <si>
    <t>teachers395-e9d452d8</t>
  </si>
  <si>
    <t>PIYALI BERA</t>
  </si>
  <si>
    <t>teachers139</t>
  </si>
  <si>
    <t>ASTAPADA DAS</t>
  </si>
  <si>
    <t>teachers140</t>
  </si>
  <si>
    <t>ANIRBAN PANDIT</t>
  </si>
  <si>
    <t>teachers141</t>
  </si>
  <si>
    <t>ADAITYA BAR</t>
  </si>
  <si>
    <t>teachers142</t>
  </si>
  <si>
    <t>CHANDANA CHAKRABORTI</t>
  </si>
  <si>
    <t>teachers143</t>
  </si>
  <si>
    <t>SUDIP CHAKRABORTY</t>
  </si>
  <si>
    <t>teachers144</t>
  </si>
  <si>
    <t>BIBEKASISH HAJRA</t>
  </si>
  <si>
    <t>teachers145</t>
  </si>
  <si>
    <t>SHYAMAL MAITY</t>
  </si>
  <si>
    <t>teachers146</t>
  </si>
  <si>
    <t>MANOJ KHOTEL</t>
  </si>
  <si>
    <t>teachers147</t>
  </si>
  <si>
    <t>PRADIP SADHUKHAN</t>
  </si>
  <si>
    <t>teachers148</t>
  </si>
  <si>
    <t>TRIDIB SINGH</t>
  </si>
  <si>
    <t>teachers149</t>
  </si>
  <si>
    <t>PRANAB GAYEN</t>
  </si>
  <si>
    <t>teachers150</t>
  </si>
  <si>
    <t>DEBASISH MAZUMDER</t>
  </si>
  <si>
    <t>teachers151</t>
  </si>
  <si>
    <t>SAYAN DAS</t>
  </si>
  <si>
    <t>teachers152</t>
  </si>
  <si>
    <t>KARTICK GHOSH</t>
  </si>
  <si>
    <t>teachers153</t>
  </si>
  <si>
    <t>SUMAN SAMANTA</t>
  </si>
  <si>
    <t>teachers154</t>
  </si>
  <si>
    <t>SURAJIT KOLEY</t>
  </si>
  <si>
    <t>teachers155</t>
  </si>
  <si>
    <t>RAMESH DALUI</t>
  </si>
  <si>
    <t>teachers156</t>
  </si>
  <si>
    <t>LIPI GHOSH</t>
  </si>
  <si>
    <t>teachers157</t>
  </si>
  <si>
    <t>PULAK MITRA</t>
  </si>
  <si>
    <t>teachers158</t>
  </si>
  <si>
    <t>SAYAN DE</t>
  </si>
  <si>
    <t>teachers159</t>
  </si>
  <si>
    <t>SHUVENDU MANNA</t>
  </si>
  <si>
    <t>teachers160</t>
  </si>
  <si>
    <t>PARTHA SARATHI CHANDRA</t>
  </si>
  <si>
    <t>teachers161</t>
  </si>
  <si>
    <t>SAUMEN MANDAL</t>
  </si>
  <si>
    <t>teachers162</t>
  </si>
  <si>
    <t>HEMA HALDER</t>
  </si>
  <si>
    <t>teachers398-7bc9c6b0</t>
  </si>
  <si>
    <t>BITHIKA MAJUMDER</t>
  </si>
  <si>
    <t>teachers163</t>
  </si>
  <si>
    <t>JAKIA SULTANA</t>
  </si>
  <si>
    <t>teachers164</t>
  </si>
  <si>
    <t>APURBA PRODHAN</t>
  </si>
  <si>
    <t>teachers165</t>
  </si>
  <si>
    <t>DALI KHAN</t>
  </si>
  <si>
    <t>teachers166</t>
  </si>
  <si>
    <t>BIKASH CHANDRA JANA</t>
  </si>
  <si>
    <t>teachers167</t>
  </si>
  <si>
    <t>SUKANTA GUCHAIT</t>
  </si>
  <si>
    <t>teachers168</t>
  </si>
  <si>
    <t>MOLLA MD MAHASIN</t>
  </si>
  <si>
    <t>teachers169</t>
  </si>
  <si>
    <t>UTPAL KUMAR SHEE</t>
  </si>
  <si>
    <t>teachers170</t>
  </si>
  <si>
    <t>SWAPAN PATRA</t>
  </si>
  <si>
    <t>teachers390-79bf2ea7</t>
  </si>
  <si>
    <t>SHAIKH MAHAMMAD ALI</t>
  </si>
  <si>
    <t>teachers171</t>
  </si>
  <si>
    <t>PALASH KUMAR MONDAL</t>
  </si>
  <si>
    <t>teachers172</t>
  </si>
  <si>
    <t>LABANYA MONDAL</t>
  </si>
  <si>
    <t>teachers173</t>
  </si>
  <si>
    <t>SUSHANTA BACHAR</t>
  </si>
  <si>
    <t>teachers174</t>
  </si>
  <si>
    <t>MALAYASISH BACHHAR</t>
  </si>
  <si>
    <t>teachers175</t>
  </si>
  <si>
    <t>SARMISTHA BAG</t>
  </si>
  <si>
    <t>teachers176</t>
  </si>
  <si>
    <t>SUBHANKAR GHOSH</t>
  </si>
  <si>
    <t>teachers177</t>
  </si>
  <si>
    <t>SUMON GOLUI</t>
  </si>
  <si>
    <t>teachers178</t>
  </si>
  <si>
    <t>NITYANANDA GOLUI</t>
  </si>
  <si>
    <t>teachers179</t>
  </si>
  <si>
    <t>ARINDAM MANDAL</t>
  </si>
  <si>
    <t>teachers180</t>
  </si>
  <si>
    <t>PRABHANJAN DAS</t>
  </si>
  <si>
    <t>teachers181</t>
  </si>
  <si>
    <t>SUVRA KANTI SARKAR</t>
  </si>
  <si>
    <t>teachers182</t>
  </si>
  <si>
    <t>SIDDHARTHA BISWAS</t>
  </si>
  <si>
    <t>teachers183</t>
  </si>
  <si>
    <t>SISIR KUMAR PRAMANICK</t>
  </si>
  <si>
    <t>teachers184</t>
  </si>
  <si>
    <t>SRIBAS HAZRA</t>
  </si>
  <si>
    <t>teachers185</t>
  </si>
  <si>
    <t>DEBASIS MALIK</t>
  </si>
  <si>
    <t>teachers186</t>
  </si>
  <si>
    <t>ASISH CHANDRA</t>
  </si>
  <si>
    <t>teachers187</t>
  </si>
  <si>
    <t>MD JAHIDUR RAHAMAN</t>
  </si>
  <si>
    <t>teachers188</t>
  </si>
  <si>
    <t>GOURANGA BODHAK</t>
  </si>
  <si>
    <t>teachers189</t>
  </si>
  <si>
    <t>SOUMOJIT SAHA</t>
  </si>
  <si>
    <t>teachers385-d26e20d3</t>
  </si>
  <si>
    <t>ALAKA HANSDA</t>
  </si>
  <si>
    <t>teachers190</t>
  </si>
  <si>
    <t>PROSENJIT GHOSH</t>
  </si>
  <si>
    <t>teachers191</t>
  </si>
  <si>
    <t>RANJAN ROUTH</t>
  </si>
  <si>
    <t>teachers192</t>
  </si>
  <si>
    <t>ASHIS KOLEY</t>
  </si>
  <si>
    <t>teachers193</t>
  </si>
  <si>
    <t>teachers194</t>
  </si>
  <si>
    <t>SEKHAR PALMAL</t>
  </si>
  <si>
    <t>teachers195</t>
  </si>
  <si>
    <t>SUSIL KUMAR SAMANTA</t>
  </si>
  <si>
    <t>teachers196</t>
  </si>
  <si>
    <t>SUVANKAR PAUL</t>
  </si>
  <si>
    <t>teachers197</t>
  </si>
  <si>
    <t>BAPI SAMANTA</t>
  </si>
  <si>
    <t>teachers198</t>
  </si>
  <si>
    <t>PINTU SAU</t>
  </si>
  <si>
    <t>teachers199</t>
  </si>
  <si>
    <t>AMIT MAL</t>
  </si>
  <si>
    <t>teachers200</t>
  </si>
  <si>
    <t>SUKANTA HAZRA</t>
  </si>
  <si>
    <t>teachers201</t>
  </si>
  <si>
    <t>NAZEMUL MALLICK</t>
  </si>
  <si>
    <t>teachers202</t>
  </si>
  <si>
    <t>DEBASISH SAMANTA</t>
  </si>
  <si>
    <t>teachers203</t>
  </si>
  <si>
    <t>ARGHA MAITY</t>
  </si>
  <si>
    <t>teachers204</t>
  </si>
  <si>
    <t>SWARAJ PANDIT</t>
  </si>
  <si>
    <t>teachers205</t>
  </si>
  <si>
    <t>NILIMA CHANDA</t>
  </si>
  <si>
    <t>teachers206</t>
  </si>
  <si>
    <t>SUKANTA DHARA</t>
  </si>
  <si>
    <t>teachers207</t>
  </si>
  <si>
    <t>SK KUTUBUDDIN</t>
  </si>
  <si>
    <t>teachers208</t>
  </si>
  <si>
    <t>TAPASI ACHARYYA</t>
  </si>
  <si>
    <t>teachers209</t>
  </si>
  <si>
    <t>ROJINA KHATUN</t>
  </si>
  <si>
    <t>teachers210</t>
  </si>
  <si>
    <t>NILADRY SEKHAR KHAN</t>
  </si>
  <si>
    <t>teachers211</t>
  </si>
  <si>
    <t>SUJIT BHATTACHARYAY</t>
  </si>
  <si>
    <t>teachers212</t>
  </si>
  <si>
    <t>SRABANI JATI</t>
  </si>
  <si>
    <t>teachers213</t>
  </si>
  <si>
    <t>PRASUN MUKHOPADHYAY</t>
  </si>
  <si>
    <t>teachers214</t>
  </si>
  <si>
    <t>DEBASRI KOLEY JATI</t>
  </si>
  <si>
    <t>teachers215</t>
  </si>
  <si>
    <t>MOUSUMI BISWAS</t>
  </si>
  <si>
    <t>teachers216</t>
  </si>
  <si>
    <t>MERAJUDDIN SARKAR</t>
  </si>
  <si>
    <t>teachers217</t>
  </si>
  <si>
    <t>FARID MONDAL</t>
  </si>
  <si>
    <t>teachers218</t>
  </si>
  <si>
    <t>UJJWAL ADHIKARY</t>
  </si>
  <si>
    <t>teachers219</t>
  </si>
  <si>
    <t>SUDIPTA BHANDARI</t>
  </si>
  <si>
    <t>teachers220</t>
  </si>
  <si>
    <t>SK RAJIBUL HAQUE</t>
  </si>
  <si>
    <t>teachers221</t>
  </si>
  <si>
    <t>SUBHRADIP POREL</t>
  </si>
  <si>
    <t>teachers222</t>
  </si>
  <si>
    <t>PRIYABRATA BANDYOPADHYAY</t>
  </si>
  <si>
    <t>teachers223</t>
  </si>
  <si>
    <t>SUJIT GUCHHAIT</t>
  </si>
  <si>
    <t>teachers224</t>
  </si>
  <si>
    <t>RAJASI SAMANTA</t>
  </si>
  <si>
    <t>teachers225</t>
  </si>
  <si>
    <t>MRIDULA CHAKRABARTI</t>
  </si>
  <si>
    <t>teachers226</t>
  </si>
  <si>
    <t>SK ASIF MURSHED</t>
  </si>
  <si>
    <t>teachers227</t>
  </si>
  <si>
    <t>TANDRA DALUI</t>
  </si>
  <si>
    <t>teachers228</t>
  </si>
  <si>
    <t>NETAI CHAND MAL</t>
  </si>
  <si>
    <t>teachers229</t>
  </si>
  <si>
    <t>RAJESH MAITY</t>
  </si>
  <si>
    <t>teachers230</t>
  </si>
  <si>
    <t>MRITUNJOY MANNA</t>
  </si>
  <si>
    <t>teachers231</t>
  </si>
  <si>
    <t>JULFIKAR ALI SHAH</t>
  </si>
  <si>
    <t>teachers232</t>
  </si>
  <si>
    <t>ATANU MAJI</t>
  </si>
  <si>
    <t>teachers233</t>
  </si>
  <si>
    <t>RUPALI DAS</t>
  </si>
  <si>
    <t>teachers391-12274feb</t>
  </si>
  <si>
    <t>MOONMOON SARKAR</t>
  </si>
  <si>
    <t>teachers234</t>
  </si>
  <si>
    <t>SUSMITA DHAWA</t>
  </si>
  <si>
    <t>teachers235</t>
  </si>
  <si>
    <t>BABITA DOLUI</t>
  </si>
  <si>
    <t>teachers236</t>
  </si>
  <si>
    <t>teachers237</t>
  </si>
  <si>
    <t>TAPAN KUMAR KOLEY</t>
  </si>
  <si>
    <t>teachers238</t>
  </si>
  <si>
    <t>BABULAL DHARA</t>
  </si>
  <si>
    <t>teachers239</t>
  </si>
  <si>
    <t>PRALHAD CHAKRABORTY</t>
  </si>
  <si>
    <t>teachers240</t>
  </si>
  <si>
    <t>SAMIR BAG</t>
  </si>
  <si>
    <t>teachers241</t>
  </si>
  <si>
    <t>KUMARESH SARKAR</t>
  </si>
  <si>
    <t>teachers242</t>
  </si>
  <si>
    <t>MILAN BISWAS</t>
  </si>
  <si>
    <t>teachers392-5190daaf</t>
  </si>
  <si>
    <t>MINHAJUDDIN SHIRAJ</t>
  </si>
  <si>
    <t>teachers243</t>
  </si>
  <si>
    <t>TAPAS KUMAR GHOSH</t>
  </si>
  <si>
    <t>teachers244</t>
  </si>
  <si>
    <t>MURARIMOHAN MANNA</t>
  </si>
  <si>
    <t>teachers245</t>
  </si>
  <si>
    <t>AVIJIT ROY</t>
  </si>
  <si>
    <t>teachers246</t>
  </si>
  <si>
    <t>CHINMOY KHAN</t>
  </si>
  <si>
    <t>teachers247</t>
  </si>
  <si>
    <t>PANKAJ KUMAR MONDAL</t>
  </si>
  <si>
    <t>teachers248</t>
  </si>
  <si>
    <t>TAPASI RAY</t>
  </si>
  <si>
    <t>teachers249</t>
  </si>
  <si>
    <t>PRASENJIT CHANDRA</t>
  </si>
  <si>
    <t>teachers250</t>
  </si>
  <si>
    <t>PRADIP KAMILYA</t>
  </si>
  <si>
    <t>teachers393-b8f65964</t>
  </si>
  <si>
    <t>RAJKUMAR SARKAR</t>
  </si>
  <si>
    <t>teachers251</t>
  </si>
  <si>
    <t>SUDIPTA DAS</t>
  </si>
  <si>
    <t>teachers254</t>
  </si>
  <si>
    <t>SUMANTA PATRA</t>
  </si>
  <si>
    <t>teachers253</t>
  </si>
  <si>
    <t>SUBRATA BISWAS</t>
  </si>
  <si>
    <t>teachers252</t>
  </si>
  <si>
    <t>ANKITA KOLEY DAS</t>
  </si>
  <si>
    <t>teachers256</t>
  </si>
  <si>
    <t>ULLASH JANA</t>
  </si>
  <si>
    <t>teachers255</t>
  </si>
  <si>
    <t>RAJESH GOLUI</t>
  </si>
  <si>
    <t>teachers257</t>
  </si>
  <si>
    <t>SUJATA MANNA</t>
  </si>
  <si>
    <t>teachers258</t>
  </si>
  <si>
    <t>UDAY BHUINYA</t>
  </si>
  <si>
    <t>teachers259</t>
  </si>
  <si>
    <t>SK SAHABUDDIN</t>
  </si>
  <si>
    <t>teachers260</t>
  </si>
  <si>
    <t>NIZAM UDDIN SARDAR</t>
  </si>
  <si>
    <t>teachers261</t>
  </si>
  <si>
    <t>KHEYALI MALAKAR</t>
  </si>
  <si>
    <t>teachers262</t>
  </si>
  <si>
    <t>MUKUL HAZRA</t>
  </si>
  <si>
    <t>teachers263</t>
  </si>
  <si>
    <t>SNEHASHIS JANA</t>
  </si>
  <si>
    <t>teachers264</t>
  </si>
  <si>
    <t>SUMA SAMANTA</t>
  </si>
  <si>
    <t>teachers265</t>
  </si>
  <si>
    <t>BILAS DANDA</t>
  </si>
  <si>
    <t>teachers266</t>
  </si>
  <si>
    <t>USUB ALI</t>
  </si>
  <si>
    <t>teachers267</t>
  </si>
  <si>
    <t>NIRMALYA DAS</t>
  </si>
  <si>
    <t>teachers268</t>
  </si>
  <si>
    <t>TANUJ RONG</t>
  </si>
  <si>
    <t>teachers269</t>
  </si>
  <si>
    <t>SUSANTA PAL</t>
  </si>
  <si>
    <t>teachers270</t>
  </si>
  <si>
    <t>MOUSUMI ADHIKARY</t>
  </si>
  <si>
    <t>teachers271</t>
  </si>
  <si>
    <t>SOUMEN MAITY</t>
  </si>
  <si>
    <t>teachers272</t>
  </si>
  <si>
    <t>ARKA CHANDRA</t>
  </si>
  <si>
    <t>teachers273</t>
  </si>
  <si>
    <t>NIRMAL DAS</t>
  </si>
  <si>
    <t>teachers274</t>
  </si>
  <si>
    <t>TAPAS POLLEY</t>
  </si>
  <si>
    <t>teachers275</t>
  </si>
  <si>
    <t>SANJOY KUMAR BAG</t>
  </si>
  <si>
    <t>teachers276</t>
  </si>
  <si>
    <t>PRIYANKA DEY</t>
  </si>
  <si>
    <t>teachers277</t>
  </si>
  <si>
    <t>SHAMPA SAU BODHAK</t>
  </si>
  <si>
    <t>teachers278</t>
  </si>
  <si>
    <t>SUMANA PRAMANIK</t>
  </si>
  <si>
    <t>teachers396-680da03e</t>
  </si>
  <si>
    <t>SHEULI PRODHAN</t>
  </si>
  <si>
    <t>teachers279</t>
  </si>
  <si>
    <t>HEMANTA KUMAR SADHUKHAN</t>
  </si>
  <si>
    <t>teachers280</t>
  </si>
  <si>
    <t>SOUVIK SAMANTA</t>
  </si>
  <si>
    <t>teachers281</t>
  </si>
  <si>
    <t>HEMANTA MAITY</t>
  </si>
  <si>
    <t>teachers282</t>
  </si>
  <si>
    <t>SK GOLAM EAJDANI</t>
  </si>
  <si>
    <t>teachers283</t>
  </si>
  <si>
    <t>SUDIP KUMAR KARAR</t>
  </si>
  <si>
    <t>teachers284</t>
  </si>
  <si>
    <t>SONALI PAUL</t>
  </si>
  <si>
    <t>teachers285</t>
  </si>
  <si>
    <t>SUSMITA MANDAL</t>
  </si>
  <si>
    <t>teachers286</t>
  </si>
  <si>
    <t>ABHIJIT MAITY</t>
  </si>
  <si>
    <t>teachers287</t>
  </si>
  <si>
    <t>SOUVIK CHAUDHURI</t>
  </si>
  <si>
    <t>teachers288</t>
  </si>
  <si>
    <t>ACHINTYA SAMANTA</t>
  </si>
  <si>
    <t>teachers289</t>
  </si>
  <si>
    <t>SOMENDRA NATH DAS</t>
  </si>
  <si>
    <t>teachers290</t>
  </si>
  <si>
    <t>DEBABRATA DAS</t>
  </si>
  <si>
    <t>teachers291</t>
  </si>
  <si>
    <t>KAMALA KANTA RAUL</t>
  </si>
  <si>
    <t>teachers292</t>
  </si>
  <si>
    <t>KARTICK CHANDRA MAITI</t>
  </si>
  <si>
    <t>teachers293</t>
  </si>
  <si>
    <t>DILIP KUMAR DAS</t>
  </si>
  <si>
    <t>teachers294</t>
  </si>
  <si>
    <t>MAUMITA CHAKRABORTY</t>
  </si>
  <si>
    <t>teachers295</t>
  </si>
  <si>
    <t>KAJARI BISWAS</t>
  </si>
  <si>
    <t>teachers296</t>
  </si>
  <si>
    <t>PALASH KUMAR DALUI</t>
  </si>
  <si>
    <t>teachers297</t>
  </si>
  <si>
    <t>DILIP DALUI</t>
  </si>
  <si>
    <t>teachers298</t>
  </si>
  <si>
    <t>SANTI SARKAR</t>
  </si>
  <si>
    <t>teachers299</t>
  </si>
  <si>
    <t>SUBIR MANNA</t>
  </si>
  <si>
    <t>teachers300</t>
  </si>
  <si>
    <t>PROSENJIT PARAL</t>
  </si>
  <si>
    <t>teachers301</t>
  </si>
  <si>
    <t>BIPLAB GHOSH</t>
  </si>
  <si>
    <t>teachers302</t>
  </si>
  <si>
    <t>SURAJIT DOLUI</t>
  </si>
  <si>
    <t>teachers303</t>
  </si>
  <si>
    <t>SIDDHARTHA MONDAL</t>
  </si>
  <si>
    <t>teachers387-8a82d5ab</t>
  </si>
  <si>
    <t>TARUN KUMAR BARUI</t>
  </si>
  <si>
    <t>teachers304</t>
  </si>
  <si>
    <t>SISIRKANA BERA</t>
  </si>
  <si>
    <t>teachers305</t>
  </si>
  <si>
    <t>ANUP DAS</t>
  </si>
  <si>
    <t>teachers306</t>
  </si>
  <si>
    <t>KALYANI HAZRA BOR</t>
  </si>
  <si>
    <t>teachers307</t>
  </si>
  <si>
    <t>JHANTU MALLICK</t>
  </si>
  <si>
    <t>teachers308</t>
  </si>
  <si>
    <t>GADADHAR BAR</t>
  </si>
  <si>
    <t>teachers309</t>
  </si>
  <si>
    <t>SAIKAT MONDAL</t>
  </si>
  <si>
    <t>teachers310</t>
  </si>
  <si>
    <t>PALASH BEJ</t>
  </si>
  <si>
    <t>teachers311</t>
  </si>
  <si>
    <t>PALLAB MONDAL</t>
  </si>
  <si>
    <t>teachers312</t>
  </si>
  <si>
    <t>AMIYA KUMAR RIT</t>
  </si>
  <si>
    <t>teachers313</t>
  </si>
  <si>
    <t>SUBHANKAR MAITY</t>
  </si>
  <si>
    <t>teachers314</t>
  </si>
  <si>
    <t>PALLABI PURKAIT</t>
  </si>
  <si>
    <t>teachers315</t>
  </si>
  <si>
    <t>MANTU MALICK</t>
  </si>
  <si>
    <t>teachers316</t>
  </si>
  <si>
    <t>GITA ADHIKARY</t>
  </si>
  <si>
    <t>teachers317</t>
  </si>
  <si>
    <t>ABHISHEK CHATTERJEE</t>
  </si>
  <si>
    <t>teachers318</t>
  </si>
  <si>
    <t>SURAJIT MAJUMDER</t>
  </si>
  <si>
    <t>teachers386-dbc88f20</t>
  </si>
  <si>
    <t>GOPINATH MANNA</t>
  </si>
  <si>
    <t>teachers319</t>
  </si>
  <si>
    <t>BHOLANATH DALUI</t>
  </si>
  <si>
    <t>teachers320</t>
  </si>
  <si>
    <t>KUNTAL PACHAL</t>
  </si>
  <si>
    <t>teachers321</t>
  </si>
  <si>
    <t>MD RAFIQUL ALAM</t>
  </si>
  <si>
    <t>teachers322</t>
  </si>
  <si>
    <t>ARATI PATRA</t>
  </si>
  <si>
    <t>teachers323</t>
  </si>
  <si>
    <t>BALARAM PAL</t>
  </si>
  <si>
    <t>teachers324</t>
  </si>
  <si>
    <t>DEBASHIS MAJI</t>
  </si>
  <si>
    <t>teachers325</t>
  </si>
  <si>
    <t>NUR HOSSAIN MALLICK</t>
  </si>
  <si>
    <t>teachers326</t>
  </si>
  <si>
    <t>SATINDRA NATH BERA</t>
  </si>
  <si>
    <t>teachers327</t>
  </si>
  <si>
    <t>PRANAB KUMAR POREY</t>
  </si>
  <si>
    <t>teachers328</t>
  </si>
  <si>
    <t>SUMANA BHANDARI</t>
  </si>
  <si>
    <t>teachers329</t>
  </si>
  <si>
    <t>MANASI SHOW</t>
  </si>
  <si>
    <t>teachers330</t>
  </si>
  <si>
    <t>NARAYAN CHANDRA MANNA</t>
  </si>
  <si>
    <t>teachers331</t>
  </si>
  <si>
    <t>MITHUN CHAKRABORTY</t>
  </si>
  <si>
    <t>teachers332</t>
  </si>
  <si>
    <t>ARUN KUMAR PAL</t>
  </si>
  <si>
    <t>teachers333</t>
  </si>
  <si>
    <t>SK SARAFUDDEN</t>
  </si>
  <si>
    <t>teachers334</t>
  </si>
  <si>
    <t>DEBDAS MANNA</t>
  </si>
  <si>
    <t>teachers335</t>
  </si>
  <si>
    <t>SUSANTA CHATTERJEE</t>
  </si>
  <si>
    <t>teachers388-9d83883f</t>
  </si>
  <si>
    <t>AVIJIT KARAR</t>
  </si>
  <si>
    <t>teachers336</t>
  </si>
  <si>
    <t>SANDIP KARAR</t>
  </si>
  <si>
    <t>teachers337</t>
  </si>
  <si>
    <t>KUNAL PACHAL</t>
  </si>
  <si>
    <t>teachers338</t>
  </si>
  <si>
    <t>ABDUL KARIM</t>
  </si>
  <si>
    <t>teachers339</t>
  </si>
  <si>
    <t>TAPAS PATRA</t>
  </si>
  <si>
    <t>teachers340</t>
  </si>
  <si>
    <t>TINA GAYEN DOLUI</t>
  </si>
  <si>
    <t>teachers341</t>
  </si>
  <si>
    <t>GAUTAM CHAKRABORTTY</t>
  </si>
  <si>
    <t>teachers342</t>
  </si>
  <si>
    <t>SOURAV SHAW</t>
  </si>
  <si>
    <t>teachers343</t>
  </si>
  <si>
    <t>PAPIYA SAHU</t>
  </si>
  <si>
    <t>teachers344</t>
  </si>
  <si>
    <t>DEBOSREE MAITY</t>
  </si>
  <si>
    <t>teachers345</t>
  </si>
  <si>
    <t>SANGHAMITRA MAITY</t>
  </si>
  <si>
    <t>teachers346</t>
  </si>
  <si>
    <t>LIPIKA MONDAL</t>
  </si>
  <si>
    <t>teachers347</t>
  </si>
  <si>
    <t>MINTU MALIK</t>
  </si>
  <si>
    <t>teachers348</t>
  </si>
  <si>
    <t>PAROMITA ROY</t>
  </si>
  <si>
    <t>teachers349</t>
  </si>
  <si>
    <t>ALAKANANDA PAUL</t>
  </si>
  <si>
    <t>teachers350</t>
  </si>
  <si>
    <t>PARTHO SARATHI HAZRA</t>
  </si>
  <si>
    <t>teachers351</t>
  </si>
  <si>
    <t>SUBRATA DAS</t>
  </si>
  <si>
    <t>teachers352</t>
  </si>
  <si>
    <t>KAJI SAMIM AKTAR</t>
  </si>
  <si>
    <t>teachers353</t>
  </si>
  <si>
    <t>SALIL KUMAR CHAKRABORTTY</t>
  </si>
  <si>
    <t>teachers354</t>
  </si>
  <si>
    <t>SANTI KUMAR KARAK</t>
  </si>
  <si>
    <t>teachers355</t>
  </si>
  <si>
    <t>PRASUN HAZRA</t>
  </si>
  <si>
    <t>teachers356</t>
  </si>
  <si>
    <t>SK SABIR HOSSAIN</t>
  </si>
  <si>
    <t>teachers357</t>
  </si>
  <si>
    <t>KANIKA PANJA</t>
  </si>
  <si>
    <t>teachers358</t>
  </si>
  <si>
    <t>DEBASHIS MANDAL</t>
  </si>
  <si>
    <t>teachers359</t>
  </si>
  <si>
    <t>AMIYA KUMAR KOLEY</t>
  </si>
  <si>
    <t>teachers360</t>
  </si>
  <si>
    <t>BARNA DATTA</t>
  </si>
  <si>
    <t>teachers361</t>
  </si>
  <si>
    <t>ROSHNIARA MONDAL SK</t>
  </si>
  <si>
    <t>teachers362</t>
  </si>
  <si>
    <t>PROBHAT RANJAN KOLEY</t>
  </si>
  <si>
    <t>teachers363</t>
  </si>
  <si>
    <t>PRIYANKA ROY</t>
  </si>
  <si>
    <t>teachers364</t>
  </si>
  <si>
    <t>RUPA HALDER</t>
  </si>
  <si>
    <t>teachers365</t>
  </si>
  <si>
    <t>HEMANTA KUMAR MISRA</t>
  </si>
  <si>
    <t>teachers366</t>
  </si>
  <si>
    <t>DIBYENDU KOLEY</t>
  </si>
  <si>
    <t>teachers367</t>
  </si>
  <si>
    <t>SARIFUL MOLLAH</t>
  </si>
  <si>
    <t>teachers394-a4f17403</t>
  </si>
  <si>
    <t>JNANSANKAR SINGHA MAHAPATRA</t>
  </si>
  <si>
    <t>teachers368</t>
  </si>
  <si>
    <t>MUNMUN CHANDRA</t>
  </si>
  <si>
    <t>teachers369</t>
  </si>
  <si>
    <t>SUPARNA GAYEN</t>
  </si>
  <si>
    <t>teachers370</t>
  </si>
  <si>
    <t>TANMOY SAHA</t>
  </si>
  <si>
    <t>teachers371</t>
  </si>
  <si>
    <t>SARAJIT BISWAS</t>
  </si>
  <si>
    <t>teachers372</t>
  </si>
  <si>
    <t>LAL CHAND SK</t>
  </si>
  <si>
    <t>teachers373</t>
  </si>
  <si>
    <t>RINA ADAK</t>
  </si>
  <si>
    <t>teachers374</t>
  </si>
  <si>
    <t>MRINMAY ADHIKARY</t>
  </si>
  <si>
    <t>teachers375</t>
  </si>
  <si>
    <t>MADHUMITA DHAL</t>
  </si>
  <si>
    <t>teachers376</t>
  </si>
  <si>
    <t>SAILEN NEBU</t>
  </si>
  <si>
    <t>teachers377</t>
  </si>
  <si>
    <t>BISWAJIT SAU</t>
  </si>
  <si>
    <t>teachers378</t>
  </si>
  <si>
    <t>KAMAL KUMAR DHARA</t>
  </si>
  <si>
    <t>teachers379</t>
  </si>
  <si>
    <t>DIBYENDU KUMAR ADHIKARY</t>
  </si>
  <si>
    <t>teachers380</t>
  </si>
  <si>
    <t>SANJUKTA HAJRA</t>
  </si>
  <si>
    <t>teachers381</t>
  </si>
  <si>
    <t>SK MAIDUL ISLAM</t>
  </si>
  <si>
    <t>teachers382</t>
  </si>
  <si>
    <t>MALLIKA GAYEN</t>
  </si>
  <si>
    <t>teachers383</t>
  </si>
  <si>
    <t>SURASHREE SADHUKHAN SAHA</t>
  </si>
  <si>
    <t>teachers384</t>
  </si>
  <si>
    <t>ABDUS SALAM MOLLICK</t>
  </si>
  <si>
    <t>bonus</t>
  </si>
  <si>
    <t>disability</t>
  </si>
  <si>
    <t>aprilIR</t>
  </si>
  <si>
    <t>GrossGPF</t>
  </si>
  <si>
    <t>GrossGSLI</t>
  </si>
  <si>
    <t>GrossPTAX</t>
  </si>
  <si>
    <t>StandardDeduction</t>
  </si>
  <si>
    <t>hbLoanPrincipal</t>
  </si>
  <si>
    <t>hbLoanInterest</t>
  </si>
  <si>
    <t>lic</t>
  </si>
  <si>
    <t>ulip</t>
  </si>
  <si>
    <t>ppf</t>
  </si>
  <si>
    <t>nsc</t>
  </si>
  <si>
    <t>nscInterest</t>
  </si>
  <si>
    <t>tutionFee</t>
  </si>
  <si>
    <t>sukanya</t>
  </si>
  <si>
    <t>stampDuty</t>
  </si>
  <si>
    <t>mediclaim</t>
  </si>
  <si>
    <t>terminalDisease</t>
  </si>
  <si>
    <t>handicapTreatment</t>
  </si>
  <si>
    <t>educationLoan</t>
  </si>
  <si>
    <t>charity</t>
  </si>
  <si>
    <t>rgSaving</t>
  </si>
  <si>
    <t>otherIncome</t>
  </si>
  <si>
    <t>fd</t>
  </si>
  <si>
    <t>tds</t>
  </si>
  <si>
    <t>GrossIncome</t>
  </si>
  <si>
    <t>Gross80C</t>
  </si>
  <si>
    <t>After80CDeduction</t>
  </si>
  <si>
    <t>limit80C</t>
  </si>
  <si>
    <t>Gross80D</t>
  </si>
  <si>
    <t>TaxableIncome</t>
  </si>
  <si>
    <t>firstSlabDeduction</t>
  </si>
  <si>
    <t>IncomeTaxStepOne</t>
  </si>
  <si>
    <t>IncomeTaxStepTwo</t>
  </si>
  <si>
    <t>Rebate</t>
  </si>
  <si>
    <t>addEduCess</t>
  </si>
  <si>
    <t>EduCess</t>
  </si>
  <si>
    <t>NetTax</t>
  </si>
  <si>
    <t>above5Lakh</t>
  </si>
  <si>
    <t>school</t>
  </si>
  <si>
    <t>AMORAGORI GIRLS PRIMARY SCHOOL</t>
  </si>
  <si>
    <t>BANCHARAM ROY PRIMARY SCHOOL</t>
  </si>
  <si>
    <t>BAR GAZIPUR PRIMARY SCHOOL</t>
  </si>
  <si>
    <t>BER DHAIPUR PRIMARY SCHOOL</t>
  </si>
  <si>
    <t>BETAI PC PRIMARY SCHOOL</t>
  </si>
  <si>
    <t>BHATEGHORI PRIMARY SCHOOL</t>
  </si>
  <si>
    <t>BHATEGHORI SIBTALA PRIMARY SCHOOL</t>
  </si>
  <si>
    <t>BINOLA KRISHNABATI PRIMARY SCHOOL</t>
  </si>
  <si>
    <t>BOALIA B PARA PRIMARY SCHOOL</t>
  </si>
  <si>
    <t>BOALIA PRIMARY SCHOOL</t>
  </si>
  <si>
    <t>CHAKJANARDAN PRIMARY SCHOOL</t>
  </si>
  <si>
    <t>CHAKSALIKA PRIMARY SCHOOL</t>
  </si>
  <si>
    <t>CHAKSALIKA RAJBANSHIPARA PRIMARY SCHOOL</t>
  </si>
  <si>
    <t>CHARANOWPARA PRIMARY SCHOOL</t>
  </si>
  <si>
    <t>CHINGRAJOLE NARAYANI GIRLS PRIMARY SCHOOL</t>
  </si>
  <si>
    <t>CHINGRAJOLE VIVEKANANDA PRIMARY SCHOOL</t>
  </si>
  <si>
    <t>DAKSHIN JOYPUR JR BASIC SCHOOL</t>
  </si>
  <si>
    <t>DHAIPUR PRIMARY SCHOOL</t>
  </si>
  <si>
    <t>DURGAPUR JUNIOR BASIC SCHOOL</t>
  </si>
  <si>
    <t>GAZIPUR THAKAMOYEE PRIMARY SCHOOL</t>
  </si>
  <si>
    <t>GHANASHYAMCHAK PRIMARY SCHOOL</t>
  </si>
  <si>
    <t>GHARDUBRA MONIMOHAN PRIMARY SCHOOL</t>
  </si>
  <si>
    <t>GHOLEDWIPA PRIMARY SCHOOL</t>
  </si>
  <si>
    <t>HANIDHARA PRIMARY SCHOOL</t>
  </si>
  <si>
    <t>HAZRABERIA PRIMARY SCHOOL</t>
  </si>
  <si>
    <t>JAGALGORI PRIMARY SCHOOL</t>
  </si>
  <si>
    <t>JAYANTI PRIMARY SCHOOL</t>
  </si>
  <si>
    <t>JHAMTIA DHARAMPOTA PRIMARY SCHOOL</t>
  </si>
  <si>
    <t>JHAMTIA DHARAPARA PRIMARY SCHOOL</t>
  </si>
  <si>
    <t>JHAMTIA PRIMARY SCHOOL</t>
  </si>
  <si>
    <t>JHAMTIA SELNAPARA PRIMARY SCHOOL</t>
  </si>
  <si>
    <t>JHIKIRA HIGH ATT PRIMARY SCHOOL</t>
  </si>
  <si>
    <t>JHIKIRA MOTIMONI GIRLS PRIMARY SCHOOL</t>
  </si>
  <si>
    <t>JHIKIRA MUSLIMPARA PRIMARY SCHOOL</t>
  </si>
  <si>
    <t>JHIKIRA SATISH CHANDRA JR BASIC SCHOOL</t>
  </si>
  <si>
    <t>JOYPUR BAKULTALA PRIMARY SCHOOL</t>
  </si>
  <si>
    <t>JOYPUR JOYCHANDI TALA PRIMARY SCHOOL</t>
  </si>
  <si>
    <t>JOYPUR PHAKIRDAS HIGH ATT PRIMARY SCHOOL</t>
  </si>
  <si>
    <t>JOYPUR RAJBANSHI PARA PRIMARY SCHOOL</t>
  </si>
  <si>
    <t>JOYPUR SANTRAPARA PRIMARY SCHOOL</t>
  </si>
  <si>
    <t>JOYPUR SURANGAMAYEE GIRLS PRIMARY SCHOOL</t>
  </si>
  <si>
    <t>KALASHDIHI PRIMARY SCHOOL</t>
  </si>
  <si>
    <t>KALBANSH GAZENDRA PRIMARY SCHOOL</t>
  </si>
  <si>
    <t>KAMARGORIA PRIMARY SCHOOL</t>
  </si>
  <si>
    <t>KAMARKHOLA PRIMARY SCHOOL</t>
  </si>
  <si>
    <t>KANKROLE PREMOMOYEE PRIMARY SCHOOL</t>
  </si>
  <si>
    <t>KHAJURDAHA PRIMARY SCHOOL</t>
  </si>
  <si>
    <t>KHORIOP HIGH ATT PRIMARY SCHOOL</t>
  </si>
  <si>
    <t>KHOROP SOUTH PRIMARY</t>
  </si>
  <si>
    <t>KUNDULIA TAPASILI PRIMARY SCHOOL</t>
  </si>
  <si>
    <t>MAHAKALPUR MC HIGH ATT PRIMARY SCHOOL</t>
  </si>
  <si>
    <t>MAINAN PRIMARY SCHOOL</t>
  </si>
  <si>
    <t>MANUCHAK ORIENTED PRIMARY SCHOOL</t>
  </si>
  <si>
    <t>MENOKA SMRITI VIDYAMANDIR JR BASIC</t>
  </si>
  <si>
    <t>NAKUBAR PRIMARY SCHOOL</t>
  </si>
  <si>
    <t>NISCHINTAPUR PRIMARY SCHOOL</t>
  </si>
  <si>
    <t>NOWPARA GAZIPUR PRIMARY SCHOOL</t>
  </si>
  <si>
    <t>NOWPARA JUNIOR BASIC SCHOOL</t>
  </si>
  <si>
    <t>NUTANGRAM PRIMARY SCHOOL</t>
  </si>
  <si>
    <t>PAIKBASA PRIMARY SCHOOL</t>
  </si>
  <si>
    <t>PASCHIM GAZIPUR II PRIMARY SCHOOL</t>
  </si>
  <si>
    <t>PASCHIM NOWPARA PRIMARY SCHOOL</t>
  </si>
  <si>
    <t>PASCHIM SAURIA PRIMARY SCHOOL</t>
  </si>
  <si>
    <t>RANJOYBAR MUZAFFAR AHMED PRIMARY SCHOOL</t>
  </si>
  <si>
    <t>RANJOYBAR PRIMARY SCHOOL</t>
  </si>
  <si>
    <t>RAUTARA PRIMARY SCHOOL</t>
  </si>
  <si>
    <t>SAHARABERIA PRIMARY SCHOOL</t>
  </si>
  <si>
    <t>SAHARABERIA SUKANTA PRIMARY SCHOOL</t>
  </si>
  <si>
    <t>SANURIA ORIENTED PRIMARY SCHOOL</t>
  </si>
  <si>
    <t>SATPOTA PRIMARY SCHOOL</t>
  </si>
  <si>
    <t>SEHAGORI PRIMARY SCHOOL</t>
  </si>
  <si>
    <t>SEHAGORI RAJBANSHIPARA PRIMARY SCHOOL</t>
  </si>
  <si>
    <t>SHIBGACHIA PRIMARY SCHOOL</t>
  </si>
  <si>
    <t>SIBGACHIA HORIZON PRIMARY SCHOOL</t>
  </si>
  <si>
    <t>SOUTH SIBGACHIA PRIMARY SCHOOL</t>
  </si>
  <si>
    <t>TELIBERIA PRIMARY SCHOOL</t>
  </si>
  <si>
    <t>THALIA HARA CHAND PRIMARY SCHOOL</t>
  </si>
  <si>
    <t>THALIA SIBTOLA PRIMARY SCHOOL</t>
  </si>
  <si>
    <t>UTTAR GAZIPUR PRIMARY SCHOOL</t>
  </si>
  <si>
    <t>UTTAR JOYPUR PRIMARY SCHOOL</t>
  </si>
  <si>
    <t>UTTAR KALBANSH KISHOR MOHAN PRIMARY SCHOOL</t>
  </si>
  <si>
    <t>UTTAR KANKROLE PRIMARY SCHOOL</t>
  </si>
  <si>
    <t>UTTAR SEHAGORI PRIMARY SCHOOL</t>
  </si>
  <si>
    <t>association</t>
  </si>
  <si>
    <t>WBTPTA</t>
  </si>
  <si>
    <t>ABPTA</t>
  </si>
  <si>
    <t>WBPTA</t>
  </si>
  <si>
    <t>NOT WBTPTA</t>
  </si>
  <si>
    <t>standardDeductionNew</t>
  </si>
  <si>
    <t>GrossIncomeNew</t>
  </si>
  <si>
    <t>ThirtyIT</t>
  </si>
  <si>
    <t>ThirtyITTax</t>
  </si>
  <si>
    <t>TwentyIT</t>
  </si>
  <si>
    <t>TwentyITTax</t>
  </si>
  <si>
    <t>FifteenIT</t>
  </si>
  <si>
    <t>FifteenITTax</t>
  </si>
  <si>
    <t>TenIT</t>
  </si>
  <si>
    <t>TenITTax</t>
  </si>
  <si>
    <t>FiveIT</t>
  </si>
  <si>
    <t>FiveITTax</t>
  </si>
  <si>
    <t>cal1</t>
  </si>
  <si>
    <t>cal2</t>
  </si>
  <si>
    <t>cal3</t>
  </si>
  <si>
    <t>CalculatedIT</t>
  </si>
  <si>
    <t>cal4</t>
  </si>
  <si>
    <t>cal5</t>
  </si>
  <si>
    <t>cal6</t>
  </si>
  <si>
    <t>GrossRelief</t>
  </si>
  <si>
    <t>IncomeTaxAfterRelief</t>
  </si>
  <si>
    <t>eduCess</t>
  </si>
  <si>
    <t>AddedEduCess</t>
  </si>
  <si>
    <t>GrossTotalIncome</t>
  </si>
  <si>
    <t>BankInterest</t>
  </si>
  <si>
    <t>TARAK NATH MONDAL</t>
  </si>
  <si>
    <t>TANUSHREE PANDIT GHOSH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</si>
</sst>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C726-D2FD-4111-8240-62898217B34D}">
  <dimension ref="A1:J400"/>
  <sheetViews>
    <sheetView tabSelected="1" workbookViewId="0">
      <selection activeCell="L4" sqref="L4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758</v>
      </c>
      <c r="D1" t="s">
        <v>842</v>
      </c>
      <c r="E1" t="s">
        <v>123</v>
      </c>
      <c r="F1" t="s">
        <v>747</v>
      </c>
      <c r="G1" t="s">
        <v>748</v>
      </c>
      <c r="H1" t="s">
        <v>749</v>
      </c>
      <c r="I1" t="s">
        <v>756</v>
      </c>
      <c r="J1" t="s">
        <v>869</v>
      </c>
    </row>
    <row r="2" spans="1:10" x14ac:dyDescent="0.25">
      <c r="A2" t="str">
        <f>IF(Sheet1!B2&lt;&gt;"",Sheet1!B2,"")</f>
        <v>teachers101</v>
      </c>
      <c r="B2" t="str">
        <f>IF(Sheet1!C2&lt;&gt;"",Sheet1!C2,"")</f>
        <v>SOHINI PAUL</v>
      </c>
      <c r="C2" t="str">
        <f>IF(Sheet1!D2&lt;&gt;"",Sheet1!D2,"")</f>
        <v>AMORAGORI GIRLS PRIMARY SCHOOL</v>
      </c>
      <c r="D2" t="str">
        <f>IF(Sheet1!E2&lt;&gt;"",Sheet1!E2,"")</f>
        <v>WBTPTA</v>
      </c>
      <c r="E2">
        <f>IF(Sheet1!DY2&lt;&gt;"",Sheet1!DY2,"")</f>
        <v>415160</v>
      </c>
      <c r="F2">
        <f>IF(Sheet1!EQ2&lt;&gt;"",Sheet1!EQ2,"")</f>
        <v>24000</v>
      </c>
      <c r="G2">
        <f>IF(Sheet1!EZ2&lt;&gt;"",Sheet1!EZ2,"")</f>
        <v>0</v>
      </c>
      <c r="H2">
        <f>IF(Sheet1!FA2&lt;&gt;"",Sheet1!FA2,"")</f>
        <v>339360</v>
      </c>
      <c r="I2">
        <f>IF(Sheet1!FI2&lt;&gt;"",Sheet1!FI2,"")</f>
        <v>0</v>
      </c>
      <c r="J2">
        <f ca="1">IF(Sheet1!GI2&lt;&gt;"",Sheet1!GI2,"")</f>
        <v>0</v>
      </c>
    </row>
    <row r="3" spans="1:10" x14ac:dyDescent="0.25">
      <c r="A3" t="str">
        <f>IF(Sheet1!B3&lt;&gt;"",Sheet1!B3,"")</f>
        <v>teachers102</v>
      </c>
      <c r="B3" t="str">
        <f>IF(Sheet1!C3&lt;&gt;"",Sheet1!C3,"")</f>
        <v>MOUMITA MAJI</v>
      </c>
      <c r="C3" t="str">
        <f>IF(Sheet1!D3&lt;&gt;"",Sheet1!D3,"")</f>
        <v>AMORAGORI GIRLS PRIMARY SCHOOL</v>
      </c>
      <c r="D3" t="str">
        <f>IF(Sheet1!E3&lt;&gt;"",Sheet1!E3,"")</f>
        <v>WBTPTA</v>
      </c>
      <c r="E3">
        <f>IF(Sheet1!DY3&lt;&gt;"",Sheet1!DY3,"")</f>
        <v>464456</v>
      </c>
      <c r="F3">
        <f>IF(Sheet1!EQ3&lt;&gt;"",Sheet1!EQ3,"")</f>
        <v>24000</v>
      </c>
      <c r="G3">
        <f>IF(Sheet1!EZ3&lt;&gt;"",Sheet1!EZ3,"")</f>
        <v>0</v>
      </c>
      <c r="H3">
        <f>IF(Sheet1!FA3&lt;&gt;"",Sheet1!FA3,"")</f>
        <v>388656</v>
      </c>
      <c r="I3">
        <f>IF(Sheet1!FI3&lt;&gt;"",Sheet1!FI3,"")</f>
        <v>0</v>
      </c>
      <c r="J3">
        <f ca="1">IF(Sheet1!GI3&lt;&gt;"",Sheet1!GI3,"")</f>
        <v>0</v>
      </c>
    </row>
    <row r="4" spans="1:10" x14ac:dyDescent="0.25">
      <c r="A4" t="str">
        <f>IF(Sheet1!B4&lt;&gt;"",Sheet1!B4,"")</f>
        <v>teachers103</v>
      </c>
      <c r="B4" t="str">
        <f>IF(Sheet1!C4&lt;&gt;"",Sheet1!C4,"")</f>
        <v>RAGHABENDRA KOLEY</v>
      </c>
      <c r="C4" t="str">
        <f>IF(Sheet1!D4&lt;&gt;"",Sheet1!D4,"")</f>
        <v>BANCHARAM ROY PRIMARY SCHOOL</v>
      </c>
      <c r="D4" t="str">
        <f>IF(Sheet1!E4&lt;&gt;"",Sheet1!E4,"")</f>
        <v>WBTPTA</v>
      </c>
      <c r="E4">
        <f>IF(Sheet1!DY4&lt;&gt;"",Sheet1!DY4,"")</f>
        <v>712284</v>
      </c>
      <c r="F4">
        <f>IF(Sheet1!EQ4&lt;&gt;"",Sheet1!EQ4,"")</f>
        <v>36000</v>
      </c>
      <c r="G4">
        <f>IF(Sheet1!EZ4&lt;&gt;"",Sheet1!EZ4,"")</f>
        <v>50000</v>
      </c>
      <c r="H4">
        <f>IF(Sheet1!FA4&lt;&gt;"",Sheet1!FA4,"")</f>
        <v>576284</v>
      </c>
      <c r="I4">
        <f>IF(Sheet1!FI4&lt;&gt;"",Sheet1!FI4,"")</f>
        <v>28867</v>
      </c>
      <c r="J4">
        <f ca="1">IF(Sheet1!GI4&lt;&gt;"",Sheet1!GI4,"")</f>
        <v>0</v>
      </c>
    </row>
    <row r="5" spans="1:10" x14ac:dyDescent="0.25">
      <c r="A5" t="str">
        <f>IF(Sheet1!B5&lt;&gt;"",Sheet1!B5,"")</f>
        <v>teachers104</v>
      </c>
      <c r="B5" t="str">
        <f>IF(Sheet1!C5&lt;&gt;"",Sheet1!C5,"")</f>
        <v>AVISHEK CHOWDHURY</v>
      </c>
      <c r="C5" t="str">
        <f>IF(Sheet1!D5&lt;&gt;"",Sheet1!D5,"")</f>
        <v>BANCHARAM ROY PRIMARY SCHOOL</v>
      </c>
      <c r="D5" t="str">
        <f>IF(Sheet1!E5&lt;&gt;"",Sheet1!E5,"")</f>
        <v>WBTPTA</v>
      </c>
      <c r="E5">
        <f>IF(Sheet1!DY5&lt;&gt;"",Sheet1!DY5,"")</f>
        <v>385532</v>
      </c>
      <c r="F5">
        <f>IF(Sheet1!EQ5&lt;&gt;"",Sheet1!EQ5,"")</f>
        <v>8000</v>
      </c>
      <c r="G5">
        <f>IF(Sheet1!EZ5&lt;&gt;"",Sheet1!EZ5,"")</f>
        <v>0</v>
      </c>
      <c r="H5">
        <f>IF(Sheet1!FA5&lt;&gt;"",Sheet1!FA5,"")</f>
        <v>325732</v>
      </c>
      <c r="I5">
        <f>IF(Sheet1!FI5&lt;&gt;"",Sheet1!FI5,"")</f>
        <v>0</v>
      </c>
      <c r="J5">
        <f ca="1">IF(Sheet1!GI5&lt;&gt;"",Sheet1!GI5,"")</f>
        <v>0</v>
      </c>
    </row>
    <row r="6" spans="1:10" x14ac:dyDescent="0.25">
      <c r="A6" t="str">
        <f>IF(Sheet1!B6&lt;&gt;"",Sheet1!B6,"")</f>
        <v>teachers105</v>
      </c>
      <c r="B6" t="str">
        <f>IF(Sheet1!C6&lt;&gt;"",Sheet1!C6,"")</f>
        <v>AMIT RIT</v>
      </c>
      <c r="C6" t="str">
        <f>IF(Sheet1!D6&lt;&gt;"",Sheet1!D6,"")</f>
        <v>BAR GAZIPUR PRIMARY SCHOOL</v>
      </c>
      <c r="D6" t="str">
        <f>IF(Sheet1!E6&lt;&gt;"",Sheet1!E6,"")</f>
        <v>ABPTA</v>
      </c>
      <c r="E6">
        <f>IF(Sheet1!DY6&lt;&gt;"",Sheet1!DY6,"")</f>
        <v>527060</v>
      </c>
      <c r="F6">
        <f>IF(Sheet1!EQ6&lt;&gt;"",Sheet1!EQ6,"")</f>
        <v>48000</v>
      </c>
      <c r="G6">
        <f>IF(Sheet1!EZ6&lt;&gt;"",Sheet1!EZ6,"")</f>
        <v>0</v>
      </c>
      <c r="H6">
        <f>IF(Sheet1!FA6&lt;&gt;"",Sheet1!FA6,"")</f>
        <v>426660</v>
      </c>
      <c r="I6">
        <f>IF(Sheet1!FI6&lt;&gt;"",Sheet1!FI6,"")</f>
        <v>0</v>
      </c>
      <c r="J6">
        <f ca="1">IF(Sheet1!GI6&lt;&gt;"",Sheet1!GI6,"")</f>
        <v>0</v>
      </c>
    </row>
    <row r="7" spans="1:10" x14ac:dyDescent="0.25">
      <c r="A7" t="str">
        <f>IF(Sheet1!B7&lt;&gt;"",Sheet1!B7,"")</f>
        <v>teachers106</v>
      </c>
      <c r="B7" t="str">
        <f>IF(Sheet1!C7&lt;&gt;"",Sheet1!C7,"")</f>
        <v>TAPAS KARMAKAR</v>
      </c>
      <c r="C7" t="str">
        <f>IF(Sheet1!D7&lt;&gt;"",Sheet1!D7,"")</f>
        <v>BAR GAZIPUR PRIMARY SCHOOL</v>
      </c>
      <c r="D7" t="str">
        <f>IF(Sheet1!E7&lt;&gt;"",Sheet1!E7,"")</f>
        <v>WBTPTA</v>
      </c>
      <c r="E7">
        <f>IF(Sheet1!DY7&lt;&gt;"",Sheet1!DY7,"")</f>
        <v>415160</v>
      </c>
      <c r="F7">
        <f>IF(Sheet1!EQ7&lt;&gt;"",Sheet1!EQ7,"")</f>
        <v>24000</v>
      </c>
      <c r="G7">
        <f>IF(Sheet1!EZ7&lt;&gt;"",Sheet1!EZ7,"")</f>
        <v>0</v>
      </c>
      <c r="H7">
        <f>IF(Sheet1!FA7&lt;&gt;"",Sheet1!FA7,"")</f>
        <v>339360</v>
      </c>
      <c r="I7">
        <f>IF(Sheet1!FI7&lt;&gt;"",Sheet1!FI7,"")</f>
        <v>0</v>
      </c>
      <c r="J7">
        <f ca="1">IF(Sheet1!GI7&lt;&gt;"",Sheet1!GI7,"")</f>
        <v>0</v>
      </c>
    </row>
    <row r="8" spans="1:10" x14ac:dyDescent="0.25">
      <c r="A8" t="str">
        <f>IF(Sheet1!B8&lt;&gt;"",Sheet1!B8,"")</f>
        <v>teachers107</v>
      </c>
      <c r="B8" t="str">
        <f>IF(Sheet1!C8&lt;&gt;"",Sheet1!C8,"")</f>
        <v>BIKASH CHANDRA DALUI</v>
      </c>
      <c r="C8" t="str">
        <f>IF(Sheet1!D8&lt;&gt;"",Sheet1!D8,"")</f>
        <v>BER DHAIPUR PRIMARY SCHOOL</v>
      </c>
      <c r="D8" t="str">
        <f>IF(Sheet1!E8&lt;&gt;"",Sheet1!E8,"")</f>
        <v>WBPTA</v>
      </c>
      <c r="E8">
        <f>IF(Sheet1!DY8&lt;&gt;"",Sheet1!DY8,"")</f>
        <v>717084</v>
      </c>
      <c r="F8">
        <f>IF(Sheet1!EQ8&lt;&gt;"",Sheet1!EQ8,"")</f>
        <v>36000</v>
      </c>
      <c r="G8">
        <f>IF(Sheet1!EZ8&lt;&gt;"",Sheet1!EZ8,"")</f>
        <v>0</v>
      </c>
      <c r="H8">
        <f>IF(Sheet1!FA8&lt;&gt;"",Sheet1!FA8,"")</f>
        <v>628684</v>
      </c>
      <c r="I8">
        <f>IF(Sheet1!FI8&lt;&gt;"",Sheet1!FI8,"")</f>
        <v>39766</v>
      </c>
      <c r="J8">
        <f ca="1">IF(Sheet1!GI8&lt;&gt;"",Sheet1!GI8,"")</f>
        <v>0</v>
      </c>
    </row>
    <row r="9" spans="1:10" x14ac:dyDescent="0.25">
      <c r="A9" t="str">
        <f>IF(Sheet1!B9&lt;&gt;"",Sheet1!B9,"")</f>
        <v>teachers108</v>
      </c>
      <c r="B9" t="str">
        <f>IF(Sheet1!C9&lt;&gt;"",Sheet1!C9,"")</f>
        <v>SUPARNA GHOSH</v>
      </c>
      <c r="C9" t="str">
        <f>IF(Sheet1!D9&lt;&gt;"",Sheet1!D9,"")</f>
        <v>BER DHAIPUR PRIMARY SCHOOL</v>
      </c>
      <c r="D9" t="str">
        <f>IF(Sheet1!E9&lt;&gt;"",Sheet1!E9,"")</f>
        <v>WBTPTA</v>
      </c>
      <c r="E9">
        <f>IF(Sheet1!DY9&lt;&gt;"",Sheet1!DY9,"")</f>
        <v>522260</v>
      </c>
      <c r="F9">
        <f>IF(Sheet1!EQ9&lt;&gt;"",Sheet1!EQ9,"")</f>
        <v>60000</v>
      </c>
      <c r="G9">
        <f>IF(Sheet1!EZ9&lt;&gt;"",Sheet1!EZ9,"")</f>
        <v>0</v>
      </c>
      <c r="H9">
        <f>IF(Sheet1!FA9&lt;&gt;"",Sheet1!FA9,"")</f>
        <v>409860</v>
      </c>
      <c r="I9">
        <f>IF(Sheet1!FI9&lt;&gt;"",Sheet1!FI9,"")</f>
        <v>0</v>
      </c>
      <c r="J9">
        <f ca="1">IF(Sheet1!GI9&lt;&gt;"",Sheet1!GI9,"")</f>
        <v>0</v>
      </c>
    </row>
    <row r="10" spans="1:10" x14ac:dyDescent="0.25">
      <c r="A10" t="str">
        <f>IF(Sheet1!B10&lt;&gt;"",Sheet1!B10,"")</f>
        <v>teachers109</v>
      </c>
      <c r="B10" t="str">
        <f>IF(Sheet1!C10&lt;&gt;"",Sheet1!C10,"")</f>
        <v>SOHEL REJA</v>
      </c>
      <c r="C10" t="str">
        <f>IF(Sheet1!D10&lt;&gt;"",Sheet1!D10,"")</f>
        <v>BER DHAIPUR PRIMARY SCHOOL</v>
      </c>
      <c r="D10" t="str">
        <f>IF(Sheet1!E10&lt;&gt;"",Sheet1!E10,"")</f>
        <v>WBTPTA</v>
      </c>
      <c r="E10">
        <f>IF(Sheet1!DY10&lt;&gt;"",Sheet1!DY10,"")</f>
        <v>415160</v>
      </c>
      <c r="F10">
        <f>IF(Sheet1!EQ10&lt;&gt;"",Sheet1!EQ10,"")</f>
        <v>24000</v>
      </c>
      <c r="G10">
        <f>IF(Sheet1!EZ10&lt;&gt;"",Sheet1!EZ10,"")</f>
        <v>0</v>
      </c>
      <c r="H10">
        <f>IF(Sheet1!FA10&lt;&gt;"",Sheet1!FA10,"")</f>
        <v>339360</v>
      </c>
      <c r="I10">
        <f>IF(Sheet1!FI10&lt;&gt;"",Sheet1!FI10,"")</f>
        <v>0</v>
      </c>
      <c r="J10">
        <f ca="1">IF(Sheet1!GI10&lt;&gt;"",Sheet1!GI10,"")</f>
        <v>0</v>
      </c>
    </row>
    <row r="11" spans="1:10" x14ac:dyDescent="0.25">
      <c r="A11" t="str">
        <f>IF(Sheet1!B11&lt;&gt;"",Sheet1!B11,"")</f>
        <v>teachers110</v>
      </c>
      <c r="B11" t="str">
        <f>IF(Sheet1!C11&lt;&gt;"",Sheet1!C11,"")</f>
        <v>TARUN GHARA</v>
      </c>
      <c r="C11" t="str">
        <f>IF(Sheet1!D11&lt;&gt;"",Sheet1!D11,"")</f>
        <v>BER DHAIPUR PRIMARY SCHOOL</v>
      </c>
      <c r="D11" t="str">
        <f>IF(Sheet1!E11&lt;&gt;"",Sheet1!E11,"")</f>
        <v>WBTPTA</v>
      </c>
      <c r="E11">
        <f>IF(Sheet1!DY11&lt;&gt;"",Sheet1!DY11,"")</f>
        <v>406054</v>
      </c>
      <c r="F11">
        <f>IF(Sheet1!EQ11&lt;&gt;"",Sheet1!EQ11,"")</f>
        <v>2000</v>
      </c>
      <c r="G11">
        <f>IF(Sheet1!EZ11&lt;&gt;"",Sheet1!EZ11,"")</f>
        <v>0</v>
      </c>
      <c r="H11">
        <f>IF(Sheet1!FA11&lt;&gt;"",Sheet1!FA11,"")</f>
        <v>352404</v>
      </c>
      <c r="I11">
        <f>IF(Sheet1!FI11&lt;&gt;"",Sheet1!FI11,"")</f>
        <v>0</v>
      </c>
      <c r="J11">
        <f ca="1">IF(Sheet1!GI11&lt;&gt;"",Sheet1!GI11,"")</f>
        <v>0</v>
      </c>
    </row>
    <row r="12" spans="1:10" x14ac:dyDescent="0.25">
      <c r="A12" t="str">
        <f>IF(Sheet1!B12&lt;&gt;"",Sheet1!B12,"")</f>
        <v>teachers111</v>
      </c>
      <c r="B12" t="str">
        <f>IF(Sheet1!C12&lt;&gt;"",Sheet1!C12,"")</f>
        <v>SWAPAN DAS</v>
      </c>
      <c r="C12" t="str">
        <f>IF(Sheet1!D12&lt;&gt;"",Sheet1!D12,"")</f>
        <v>BETAI PC PRIMARY SCHOOL</v>
      </c>
      <c r="D12" t="str">
        <f>IF(Sheet1!E12&lt;&gt;"",Sheet1!E12,"")</f>
        <v>WBTPTA</v>
      </c>
      <c r="E12">
        <f>IF(Sheet1!DY12&lt;&gt;"",Sheet1!DY12,"")</f>
        <v>711084</v>
      </c>
      <c r="F12">
        <f>IF(Sheet1!EQ12&lt;&gt;"",Sheet1!EQ12,"")</f>
        <v>36000</v>
      </c>
      <c r="G12">
        <f>IF(Sheet1!EZ12&lt;&gt;"",Sheet1!EZ12,"")</f>
        <v>0</v>
      </c>
      <c r="H12">
        <f>IF(Sheet1!FA12&lt;&gt;"",Sheet1!FA12,"")</f>
        <v>622684</v>
      </c>
      <c r="I12">
        <f>IF(Sheet1!FI12&lt;&gt;"",Sheet1!FI12,"")</f>
        <v>38518</v>
      </c>
      <c r="J12">
        <f ca="1">IF(Sheet1!GI12&lt;&gt;"",Sheet1!GI12,"")</f>
        <v>0</v>
      </c>
    </row>
    <row r="13" spans="1:10" x14ac:dyDescent="0.25">
      <c r="A13" t="str">
        <f>IF(Sheet1!B13&lt;&gt;"",Sheet1!B13,"")</f>
        <v>teachers112</v>
      </c>
      <c r="B13" t="str">
        <f>IF(Sheet1!C13&lt;&gt;"",Sheet1!C13,"")</f>
        <v>RAJU KOLEY</v>
      </c>
      <c r="C13" t="str">
        <f>IF(Sheet1!D13&lt;&gt;"",Sheet1!D13,"")</f>
        <v>BETAI PC PRIMARY SCHOOL</v>
      </c>
      <c r="D13" t="str">
        <f>IF(Sheet1!E13&lt;&gt;"",Sheet1!E13,"")</f>
        <v>WBTPTA</v>
      </c>
      <c r="E13">
        <f>IF(Sheet1!DY13&lt;&gt;"",Sheet1!DY13,"")</f>
        <v>415160</v>
      </c>
      <c r="F13">
        <f>IF(Sheet1!EQ13&lt;&gt;"",Sheet1!EQ13,"")</f>
        <v>24000</v>
      </c>
      <c r="G13">
        <f>IF(Sheet1!EZ13&lt;&gt;"",Sheet1!EZ13,"")</f>
        <v>0</v>
      </c>
      <c r="H13">
        <f>IF(Sheet1!FA13&lt;&gt;"",Sheet1!FA13,"")</f>
        <v>339360</v>
      </c>
      <c r="I13">
        <f>IF(Sheet1!FI13&lt;&gt;"",Sheet1!FI13,"")</f>
        <v>0</v>
      </c>
      <c r="J13">
        <f ca="1">IF(Sheet1!GI13&lt;&gt;"",Sheet1!GI13,"")</f>
        <v>0</v>
      </c>
    </row>
    <row r="14" spans="1:10" x14ac:dyDescent="0.25">
      <c r="A14" t="str">
        <f>IF(Sheet1!B14&lt;&gt;"",Sheet1!B14,"")</f>
        <v>teachers388-61383f93</v>
      </c>
      <c r="B14" t="str">
        <f>IF(Sheet1!C14&lt;&gt;"",Sheet1!C14,"")</f>
        <v>RAHUL BISWAS</v>
      </c>
      <c r="C14" t="str">
        <f>IF(Sheet1!D14&lt;&gt;"",Sheet1!D14,"")</f>
        <v>BETAI PC PRIMARY SCHOOL</v>
      </c>
      <c r="D14" t="str">
        <f>IF(Sheet1!E14&lt;&gt;"",Sheet1!E14,"")</f>
        <v>WBTPTA</v>
      </c>
      <c r="E14">
        <f>IF(Sheet1!DY14&lt;&gt;"",Sheet1!DY14,"")</f>
        <v>147156</v>
      </c>
      <c r="F14">
        <f>IF(Sheet1!EQ14&lt;&gt;"",Sheet1!EQ14,"")</f>
        <v>0</v>
      </c>
      <c r="G14">
        <f>IF(Sheet1!EZ14&lt;&gt;"",Sheet1!EZ14,"")</f>
        <v>0</v>
      </c>
      <c r="H14">
        <f>IF(Sheet1!FA14&lt;&gt;"",Sheet1!FA14,"")</f>
        <v>96556</v>
      </c>
      <c r="I14">
        <f>IF(Sheet1!FI14&lt;&gt;"",Sheet1!FI14,"")</f>
        <v>0</v>
      </c>
      <c r="J14">
        <f ca="1">IF(Sheet1!GI14&lt;&gt;"",Sheet1!GI14,"")</f>
        <v>0</v>
      </c>
    </row>
    <row r="15" spans="1:10" x14ac:dyDescent="0.25">
      <c r="A15" t="str">
        <f>IF(Sheet1!B15&lt;&gt;"",Sheet1!B15,"")</f>
        <v>teachers113</v>
      </c>
      <c r="B15" t="str">
        <f>IF(Sheet1!C15&lt;&gt;"",Sheet1!C15,"")</f>
        <v>BAPAN SASMAL</v>
      </c>
      <c r="C15" t="str">
        <f>IF(Sheet1!D15&lt;&gt;"",Sheet1!D15,"")</f>
        <v>BHATEGHORI PRIMARY SCHOOL</v>
      </c>
      <c r="D15" t="str">
        <f>IF(Sheet1!E15&lt;&gt;"",Sheet1!E15,"")</f>
        <v>WBTPTA</v>
      </c>
      <c r="E15">
        <f>IF(Sheet1!DY15&lt;&gt;"",Sheet1!DY15,"")</f>
        <v>484028</v>
      </c>
      <c r="F15">
        <f>IF(Sheet1!EQ15&lt;&gt;"",Sheet1!EQ15,"")</f>
        <v>24000</v>
      </c>
      <c r="G15">
        <f>IF(Sheet1!EZ15&lt;&gt;"",Sheet1!EZ15,"")</f>
        <v>0</v>
      </c>
      <c r="H15">
        <f>IF(Sheet1!FA15&lt;&gt;"",Sheet1!FA15,"")</f>
        <v>407828</v>
      </c>
      <c r="I15">
        <f>IF(Sheet1!FI15&lt;&gt;"",Sheet1!FI15,"")</f>
        <v>0</v>
      </c>
      <c r="J15">
        <f ca="1">IF(Sheet1!GI15&lt;&gt;"",Sheet1!GI15,"")</f>
        <v>0</v>
      </c>
    </row>
    <row r="16" spans="1:10" x14ac:dyDescent="0.25">
      <c r="A16" t="str">
        <f>IF(Sheet1!B16&lt;&gt;"",Sheet1!B16,"")</f>
        <v>teachers114</v>
      </c>
      <c r="B16" t="str">
        <f>IF(Sheet1!C16&lt;&gt;"",Sheet1!C16,"")</f>
        <v>NILADRI DHALI</v>
      </c>
      <c r="C16" t="str">
        <f>IF(Sheet1!D16&lt;&gt;"",Sheet1!D16,"")</f>
        <v>BHATEGHORI PRIMARY SCHOOL</v>
      </c>
      <c r="D16" t="str">
        <f>IF(Sheet1!E16&lt;&gt;"",Sheet1!E16,"")</f>
        <v>WBTPTA</v>
      </c>
      <c r="E16">
        <f>IF(Sheet1!DY16&lt;&gt;"",Sheet1!DY16,"")</f>
        <v>484028</v>
      </c>
      <c r="F16">
        <f>IF(Sheet1!EQ16&lt;&gt;"",Sheet1!EQ16,"")</f>
        <v>24000</v>
      </c>
      <c r="G16">
        <f>IF(Sheet1!EZ16&lt;&gt;"",Sheet1!EZ16,"")</f>
        <v>0</v>
      </c>
      <c r="H16">
        <f>IF(Sheet1!FA16&lt;&gt;"",Sheet1!FA16,"")</f>
        <v>407828</v>
      </c>
      <c r="I16">
        <f>IF(Sheet1!FI16&lt;&gt;"",Sheet1!FI16,"")</f>
        <v>0</v>
      </c>
      <c r="J16">
        <f ca="1">IF(Sheet1!GI16&lt;&gt;"",Sheet1!GI16,"")</f>
        <v>0</v>
      </c>
    </row>
    <row r="17" spans="1:10" x14ac:dyDescent="0.25">
      <c r="A17" t="str">
        <f>IF(Sheet1!B17&lt;&gt;"",Sheet1!B17,"")</f>
        <v>teachers115</v>
      </c>
      <c r="B17" t="str">
        <f>IF(Sheet1!C17&lt;&gt;"",Sheet1!C17,"")</f>
        <v>PRIYANKA RAKSHIT</v>
      </c>
      <c r="C17" t="str">
        <f>IF(Sheet1!D17&lt;&gt;"",Sheet1!D17,"")</f>
        <v>BHATEGHORI PRIMARY SCHOOL</v>
      </c>
      <c r="D17" t="str">
        <f>IF(Sheet1!E17&lt;&gt;"",Sheet1!E17,"")</f>
        <v>WBTPTA</v>
      </c>
      <c r="E17">
        <f>IF(Sheet1!DY17&lt;&gt;"",Sheet1!DY17,"")</f>
        <v>406054</v>
      </c>
      <c r="F17">
        <f>IF(Sheet1!EQ17&lt;&gt;"",Sheet1!EQ17,"")</f>
        <v>2000</v>
      </c>
      <c r="G17">
        <f>IF(Sheet1!EZ17&lt;&gt;"",Sheet1!EZ17,"")</f>
        <v>0</v>
      </c>
      <c r="H17">
        <f>IF(Sheet1!FA17&lt;&gt;"",Sheet1!FA17,"")</f>
        <v>352404</v>
      </c>
      <c r="I17">
        <f>IF(Sheet1!FI17&lt;&gt;"",Sheet1!FI17,"")</f>
        <v>0</v>
      </c>
      <c r="J17">
        <f ca="1">IF(Sheet1!GI17&lt;&gt;"",Sheet1!GI17,"")</f>
        <v>0</v>
      </c>
    </row>
    <row r="18" spans="1:10" x14ac:dyDescent="0.25">
      <c r="A18" t="str">
        <f>IF(Sheet1!B18&lt;&gt;"",Sheet1!B18,"")</f>
        <v>teachers116</v>
      </c>
      <c r="B18" t="str">
        <f>IF(Sheet1!C18&lt;&gt;"",Sheet1!C18,"")</f>
        <v>SIPRA MAJUMDER</v>
      </c>
      <c r="C18" t="str">
        <f>IF(Sheet1!D18&lt;&gt;"",Sheet1!D18,"")</f>
        <v>BHATEGHORI SIBTALA PRIMARY SCHOOL</v>
      </c>
      <c r="D18" t="str">
        <f>IF(Sheet1!E18&lt;&gt;"",Sheet1!E18,"")</f>
        <v>WBTPTA</v>
      </c>
      <c r="E18">
        <f>IF(Sheet1!DY18&lt;&gt;"",Sheet1!DY18,"")</f>
        <v>782936</v>
      </c>
      <c r="F18">
        <f>IF(Sheet1!EQ18&lt;&gt;"",Sheet1!EQ18,"")</f>
        <v>60720</v>
      </c>
      <c r="G18">
        <f>IF(Sheet1!EZ18&lt;&gt;"",Sheet1!EZ18,"")</f>
        <v>0</v>
      </c>
      <c r="H18">
        <f>IF(Sheet1!FA18&lt;&gt;"",Sheet1!FA18,"")</f>
        <v>669816</v>
      </c>
      <c r="I18">
        <f>IF(Sheet1!FI18&lt;&gt;"",Sheet1!FI18,"")</f>
        <v>48322</v>
      </c>
      <c r="J18">
        <f ca="1">IF(Sheet1!GI18&lt;&gt;"",Sheet1!GI18,"")</f>
        <v>8812</v>
      </c>
    </row>
    <row r="19" spans="1:10" x14ac:dyDescent="0.25">
      <c r="A19" t="str">
        <f>IF(Sheet1!B19&lt;&gt;"",Sheet1!B19,"")</f>
        <v>teachers117</v>
      </c>
      <c r="B19" t="str">
        <f>IF(Sheet1!C19&lt;&gt;"",Sheet1!C19,"")</f>
        <v>PARTHA NANDI</v>
      </c>
      <c r="C19" t="str">
        <f>IF(Sheet1!D19&lt;&gt;"",Sheet1!D19,"")</f>
        <v>BHATEGHORI SIBTALA PRIMARY SCHOOL</v>
      </c>
      <c r="D19" t="str">
        <f>IF(Sheet1!E19&lt;&gt;"",Sheet1!E19,"")</f>
        <v>WBTPTA</v>
      </c>
      <c r="E19">
        <f>IF(Sheet1!DY19&lt;&gt;"",Sheet1!DY19,"")</f>
        <v>512180</v>
      </c>
      <c r="F19">
        <f>IF(Sheet1!EQ19&lt;&gt;"",Sheet1!EQ19,"")</f>
        <v>150000</v>
      </c>
      <c r="G19">
        <f>IF(Sheet1!EZ19&lt;&gt;"",Sheet1!EZ19,"")</f>
        <v>0</v>
      </c>
      <c r="H19">
        <f>IF(Sheet1!FA19&lt;&gt;"",Sheet1!FA19,"")</f>
        <v>309780</v>
      </c>
      <c r="I19">
        <f>IF(Sheet1!FI19&lt;&gt;"",Sheet1!FI19,"")</f>
        <v>0</v>
      </c>
      <c r="J19">
        <f ca="1">IF(Sheet1!GI19&lt;&gt;"",Sheet1!GI19,"")</f>
        <v>0</v>
      </c>
    </row>
    <row r="20" spans="1:10" x14ac:dyDescent="0.25">
      <c r="A20" t="str">
        <f>IF(Sheet1!B20&lt;&gt;"",Sheet1!B20,"")</f>
        <v>teachers118</v>
      </c>
      <c r="B20" t="str">
        <f>IF(Sheet1!C20&lt;&gt;"",Sheet1!C20,"")</f>
        <v>SWAGATA CHAKRABORTY</v>
      </c>
      <c r="C20" t="str">
        <f>IF(Sheet1!D20&lt;&gt;"",Sheet1!D20,"")</f>
        <v>BHATEGHORI SIBTALA PRIMARY SCHOOL</v>
      </c>
      <c r="D20" t="str">
        <f>IF(Sheet1!E20&lt;&gt;"",Sheet1!E20,"")</f>
        <v>WBTPTA</v>
      </c>
      <c r="E20">
        <f>IF(Sheet1!DY20&lt;&gt;"",Sheet1!DY20,"")</f>
        <v>406054</v>
      </c>
      <c r="F20">
        <f>IF(Sheet1!EQ20&lt;&gt;"",Sheet1!EQ20,"")</f>
        <v>2000</v>
      </c>
      <c r="G20">
        <f>IF(Sheet1!EZ20&lt;&gt;"",Sheet1!EZ20,"")</f>
        <v>0</v>
      </c>
      <c r="H20">
        <f>IF(Sheet1!FA20&lt;&gt;"",Sheet1!FA20,"")</f>
        <v>352404</v>
      </c>
      <c r="I20">
        <f>IF(Sheet1!FI20&lt;&gt;"",Sheet1!FI20,"")</f>
        <v>0</v>
      </c>
      <c r="J20">
        <f ca="1">IF(Sheet1!GI20&lt;&gt;"",Sheet1!GI20,"")</f>
        <v>0</v>
      </c>
    </row>
    <row r="21" spans="1:10" x14ac:dyDescent="0.25">
      <c r="A21" t="str">
        <f>IF(Sheet1!B21&lt;&gt;"",Sheet1!B21,"")</f>
        <v>teachers119</v>
      </c>
      <c r="B21" t="str">
        <f>IF(Sheet1!C21&lt;&gt;"",Sheet1!C21,"")</f>
        <v>PRABIR KUMAR CHAKRABORTY</v>
      </c>
      <c r="C21" t="str">
        <f>IF(Sheet1!D21&lt;&gt;"",Sheet1!D21,"")</f>
        <v>BINOLA KRISHNABATI PRIMARY SCHOOL</v>
      </c>
      <c r="D21" t="str">
        <f>IF(Sheet1!E21&lt;&gt;"",Sheet1!E21,"")</f>
        <v>ABPTA</v>
      </c>
      <c r="E21">
        <f>IF(Sheet1!DY21&lt;&gt;"",Sheet1!DY21,"")</f>
        <v>785022</v>
      </c>
      <c r="F21">
        <f>IF(Sheet1!EQ21&lt;&gt;"",Sheet1!EQ21,"")</f>
        <v>24000</v>
      </c>
      <c r="G21">
        <f>IF(Sheet1!EZ21&lt;&gt;"",Sheet1!EZ21,"")</f>
        <v>0</v>
      </c>
      <c r="H21">
        <f>IF(Sheet1!FA21&lt;&gt;"",Sheet1!FA21,"")</f>
        <v>708822</v>
      </c>
      <c r="I21">
        <f>IF(Sheet1!FI21&lt;&gt;"",Sheet1!FI21,"")</f>
        <v>56435</v>
      </c>
      <c r="J21">
        <f ca="1">IF(Sheet1!GI21&lt;&gt;"",Sheet1!GI21,"")</f>
        <v>11410</v>
      </c>
    </row>
    <row r="22" spans="1:10" x14ac:dyDescent="0.25">
      <c r="A22" t="str">
        <f>IF(Sheet1!B22&lt;&gt;"",Sheet1!B22,"")</f>
        <v>teachers120</v>
      </c>
      <c r="B22" t="str">
        <f>IF(Sheet1!C22&lt;&gt;"",Sheet1!C22,"")</f>
        <v>JAYANTI MAJUMDER</v>
      </c>
      <c r="C22" t="str">
        <f>IF(Sheet1!D22&lt;&gt;"",Sheet1!D22,"")</f>
        <v>BINOLA KRISHNABATI PRIMARY SCHOOL</v>
      </c>
      <c r="D22" t="str">
        <f>IF(Sheet1!E22&lt;&gt;"",Sheet1!E22,"")</f>
        <v>ABPTA</v>
      </c>
      <c r="E22">
        <f>IF(Sheet1!DY22&lt;&gt;"",Sheet1!DY22,"")</f>
        <v>686264</v>
      </c>
      <c r="F22">
        <f>IF(Sheet1!EQ22&lt;&gt;"",Sheet1!EQ22,"")</f>
        <v>20660</v>
      </c>
      <c r="G22">
        <f>IF(Sheet1!EZ22&lt;&gt;"",Sheet1!EZ22,"")</f>
        <v>0</v>
      </c>
      <c r="H22">
        <f>IF(Sheet1!FA22&lt;&gt;"",Sheet1!FA22,"")</f>
        <v>613404</v>
      </c>
      <c r="I22">
        <f>IF(Sheet1!FI22&lt;&gt;"",Sheet1!FI22,"")</f>
        <v>36588</v>
      </c>
      <c r="J22">
        <f ca="1">IF(Sheet1!GI22&lt;&gt;"",Sheet1!GI22,"")</f>
        <v>0</v>
      </c>
    </row>
    <row r="23" spans="1:10" x14ac:dyDescent="0.25">
      <c r="A23" t="str">
        <f>IF(Sheet1!B23&lt;&gt;"",Sheet1!B23,"")</f>
        <v>teachers121</v>
      </c>
      <c r="B23" t="str">
        <f>IF(Sheet1!C23&lt;&gt;"",Sheet1!C23,"")</f>
        <v>MANAS CHAKRABORTY</v>
      </c>
      <c r="C23" t="str">
        <f>IF(Sheet1!D23&lt;&gt;"",Sheet1!D23,"")</f>
        <v>BINOLA KRISHNABATI PRIMARY SCHOOL</v>
      </c>
      <c r="D23" t="str">
        <f>IF(Sheet1!E23&lt;&gt;"",Sheet1!E23,"")</f>
        <v>WBTPTA</v>
      </c>
      <c r="E23">
        <f>IF(Sheet1!DY23&lt;&gt;"",Sheet1!DY23,"")</f>
        <v>728904</v>
      </c>
      <c r="F23">
        <f>IF(Sheet1!EQ23&lt;&gt;"",Sheet1!EQ23,"")</f>
        <v>48000</v>
      </c>
      <c r="G23">
        <f>IF(Sheet1!EZ23&lt;&gt;"",Sheet1!EZ23,"")</f>
        <v>0</v>
      </c>
      <c r="H23">
        <f>IF(Sheet1!FA23&lt;&gt;"",Sheet1!FA23,"")</f>
        <v>628504</v>
      </c>
      <c r="I23">
        <f>IF(Sheet1!FI23&lt;&gt;"",Sheet1!FI23,"")</f>
        <v>39729</v>
      </c>
      <c r="J23">
        <f ca="1">IF(Sheet1!GI23&lt;&gt;"",Sheet1!GI23,"")</f>
        <v>0</v>
      </c>
    </row>
    <row r="24" spans="1:10" x14ac:dyDescent="0.25">
      <c r="A24" t="str">
        <f>IF(Sheet1!B24&lt;&gt;"",Sheet1!B24,"")</f>
        <v>teachers122</v>
      </c>
      <c r="B24" t="str">
        <f>IF(Sheet1!C24&lt;&gt;"",Sheet1!C24,"")</f>
        <v>SOUMENDU PRAMANIK</v>
      </c>
      <c r="C24" t="str">
        <f>IF(Sheet1!D24&lt;&gt;"",Sheet1!D24,"")</f>
        <v>BINOLA KRISHNABATI PRIMARY SCHOOL</v>
      </c>
      <c r="D24" t="str">
        <f>IF(Sheet1!E24&lt;&gt;"",Sheet1!E24,"")</f>
        <v>ABPTA</v>
      </c>
      <c r="E24">
        <f>IF(Sheet1!DY24&lt;&gt;"",Sheet1!DY24,"")</f>
        <v>575016</v>
      </c>
      <c r="F24">
        <f>IF(Sheet1!EQ24&lt;&gt;"",Sheet1!EQ24,"")</f>
        <v>30000</v>
      </c>
      <c r="G24">
        <f>IF(Sheet1!EZ24&lt;&gt;"",Sheet1!EZ24,"")</f>
        <v>0</v>
      </c>
      <c r="H24">
        <f>IF(Sheet1!FA24&lt;&gt;"",Sheet1!FA24,"")</f>
        <v>492616</v>
      </c>
      <c r="I24">
        <f>IF(Sheet1!FI24&lt;&gt;"",Sheet1!FI24,"")</f>
        <v>0</v>
      </c>
      <c r="J24">
        <f ca="1">IF(Sheet1!GI24&lt;&gt;"",Sheet1!GI24,"")</f>
        <v>0</v>
      </c>
    </row>
    <row r="25" spans="1:10" x14ac:dyDescent="0.25">
      <c r="A25" t="str">
        <f>IF(Sheet1!B25&lt;&gt;"",Sheet1!B25,"")</f>
        <v>teachers123</v>
      </c>
      <c r="B25" t="str">
        <f>IF(Sheet1!C25&lt;&gt;"",Sheet1!C25,"")</f>
        <v>AMIT POREY</v>
      </c>
      <c r="C25" t="str">
        <f>IF(Sheet1!D25&lt;&gt;"",Sheet1!D25,"")</f>
        <v>BINOLA KRISHNABATI PRIMARY SCHOOL</v>
      </c>
      <c r="D25" t="str">
        <f>IF(Sheet1!E25&lt;&gt;"",Sheet1!E25,"")</f>
        <v>WBTPTA</v>
      </c>
      <c r="E25">
        <f>IF(Sheet1!DY25&lt;&gt;"",Sheet1!DY25,"")</f>
        <v>406054</v>
      </c>
      <c r="F25">
        <f>IF(Sheet1!EQ25&lt;&gt;"",Sheet1!EQ25,"")</f>
        <v>2000</v>
      </c>
      <c r="G25">
        <f>IF(Sheet1!EZ25&lt;&gt;"",Sheet1!EZ25,"")</f>
        <v>0</v>
      </c>
      <c r="H25">
        <f>IF(Sheet1!FA25&lt;&gt;"",Sheet1!FA25,"")</f>
        <v>352404</v>
      </c>
      <c r="I25">
        <f>IF(Sheet1!FI25&lt;&gt;"",Sheet1!FI25,"")</f>
        <v>0</v>
      </c>
      <c r="J25">
        <f ca="1">IF(Sheet1!GI25&lt;&gt;"",Sheet1!GI25,"")</f>
        <v>0</v>
      </c>
    </row>
    <row r="26" spans="1:10" x14ac:dyDescent="0.25">
      <c r="A26" t="str">
        <f>IF(Sheet1!B26&lt;&gt;"",Sheet1!B26,"")</f>
        <v>teachers124</v>
      </c>
      <c r="B26" t="str">
        <f>IF(Sheet1!C26&lt;&gt;"",Sheet1!C26,"")</f>
        <v>ASHIS KUMAR PARUI</v>
      </c>
      <c r="C26" t="str">
        <f>IF(Sheet1!D26&lt;&gt;"",Sheet1!D26,"")</f>
        <v>BOALIA B PARA PRIMARY SCHOOL</v>
      </c>
      <c r="D26" t="str">
        <f>IF(Sheet1!E26&lt;&gt;"",Sheet1!E26,"")</f>
        <v>ABPTA</v>
      </c>
      <c r="E26">
        <f>IF(Sheet1!DY26&lt;&gt;"",Sheet1!DY26,"")</f>
        <v>782936</v>
      </c>
      <c r="F26">
        <f>IF(Sheet1!EQ26&lt;&gt;"",Sheet1!EQ26,"")</f>
        <v>60720</v>
      </c>
      <c r="G26">
        <f>IF(Sheet1!EZ26&lt;&gt;"",Sheet1!EZ26,"")</f>
        <v>0</v>
      </c>
      <c r="H26">
        <f>IF(Sheet1!FA26&lt;&gt;"",Sheet1!FA26,"")</f>
        <v>669816</v>
      </c>
      <c r="I26">
        <f>IF(Sheet1!FI26&lt;&gt;"",Sheet1!FI26,"")</f>
        <v>48322</v>
      </c>
      <c r="J26">
        <f ca="1">IF(Sheet1!GI26&lt;&gt;"",Sheet1!GI26,"")</f>
        <v>9018</v>
      </c>
    </row>
    <row r="27" spans="1:10" x14ac:dyDescent="0.25">
      <c r="A27" t="str">
        <f>IF(Sheet1!B27&lt;&gt;"",Sheet1!B27,"")</f>
        <v>teachers125</v>
      </c>
      <c r="B27" t="str">
        <f>IF(Sheet1!C27&lt;&gt;"",Sheet1!C27,"")</f>
        <v>SONALI ADHIKARY</v>
      </c>
      <c r="C27" t="str">
        <f>IF(Sheet1!D27&lt;&gt;"",Sheet1!D27,"")</f>
        <v>BOALIA B PARA PRIMARY SCHOOL</v>
      </c>
      <c r="D27" t="str">
        <f>IF(Sheet1!E27&lt;&gt;"",Sheet1!E27,"")</f>
        <v>WBTPTA</v>
      </c>
      <c r="E27">
        <f>IF(Sheet1!DY27&lt;&gt;"",Sheet1!DY27,"")</f>
        <v>522260</v>
      </c>
      <c r="F27">
        <f>IF(Sheet1!EQ27&lt;&gt;"",Sheet1!EQ27,"")</f>
        <v>36000</v>
      </c>
      <c r="G27">
        <f>IF(Sheet1!EZ27&lt;&gt;"",Sheet1!EZ27,"")</f>
        <v>0</v>
      </c>
      <c r="H27">
        <f>IF(Sheet1!FA27&lt;&gt;"",Sheet1!FA27,"")</f>
        <v>433860</v>
      </c>
      <c r="I27">
        <f>IF(Sheet1!FI27&lt;&gt;"",Sheet1!FI27,"")</f>
        <v>0</v>
      </c>
      <c r="J27">
        <f ca="1">IF(Sheet1!GI27&lt;&gt;"",Sheet1!GI27,"")</f>
        <v>0</v>
      </c>
    </row>
    <row r="28" spans="1:10" x14ac:dyDescent="0.25">
      <c r="A28" t="str">
        <f>IF(Sheet1!B28&lt;&gt;"",Sheet1!B28,"")</f>
        <v>teachers126</v>
      </c>
      <c r="B28" t="str">
        <f>IF(Sheet1!C28&lt;&gt;"",Sheet1!C28,"")</f>
        <v>KAUSHIK DAS</v>
      </c>
      <c r="C28" t="str">
        <f>IF(Sheet1!D28&lt;&gt;"",Sheet1!D28,"")</f>
        <v>BOALIA B PARA PRIMARY SCHOOL</v>
      </c>
      <c r="D28" t="str">
        <f>IF(Sheet1!E28&lt;&gt;"",Sheet1!E28,"")</f>
        <v>WBTPTA</v>
      </c>
      <c r="E28">
        <f>IF(Sheet1!DY28&lt;&gt;"",Sheet1!DY28,"")</f>
        <v>515837</v>
      </c>
      <c r="F28">
        <f>IF(Sheet1!EQ28&lt;&gt;"",Sheet1!EQ28,"")</f>
        <v>30000</v>
      </c>
      <c r="G28">
        <f>IF(Sheet1!EZ28&lt;&gt;"",Sheet1!EZ28,"")</f>
        <v>0</v>
      </c>
      <c r="H28">
        <f>IF(Sheet1!FA28&lt;&gt;"",Sheet1!FA28,"")</f>
        <v>433437</v>
      </c>
      <c r="I28">
        <f>IF(Sheet1!FI28&lt;&gt;"",Sheet1!FI28,"")</f>
        <v>0</v>
      </c>
      <c r="J28">
        <f ca="1">IF(Sheet1!GI28&lt;&gt;"",Sheet1!GI28,"")</f>
        <v>0</v>
      </c>
    </row>
    <row r="29" spans="1:10" x14ac:dyDescent="0.25">
      <c r="A29" t="str">
        <f>IF(Sheet1!B29&lt;&gt;"",Sheet1!B29,"")</f>
        <v>teachers127</v>
      </c>
      <c r="B29" t="str">
        <f>IF(Sheet1!C29&lt;&gt;"",Sheet1!C29,"")</f>
        <v>SHYAMAL HAIT</v>
      </c>
      <c r="C29" t="str">
        <f>IF(Sheet1!D29&lt;&gt;"",Sheet1!D29,"")</f>
        <v>BOALIA PRIMARY SCHOOL</v>
      </c>
      <c r="D29" t="str">
        <f>IF(Sheet1!E29&lt;&gt;"",Sheet1!E29,"")</f>
        <v>ABPTA</v>
      </c>
      <c r="E29">
        <f>IF(Sheet1!DY29&lt;&gt;"",Sheet1!DY29,"")</f>
        <v>782936</v>
      </c>
      <c r="F29">
        <f>IF(Sheet1!EQ29&lt;&gt;"",Sheet1!EQ29,"")</f>
        <v>120000</v>
      </c>
      <c r="G29">
        <f>IF(Sheet1!EZ29&lt;&gt;"",Sheet1!EZ29,"")</f>
        <v>0</v>
      </c>
      <c r="H29">
        <f>IF(Sheet1!FA29&lt;&gt;"",Sheet1!FA29,"")</f>
        <v>610536</v>
      </c>
      <c r="I29">
        <f>IF(Sheet1!FI29&lt;&gt;"",Sheet1!FI29,"")</f>
        <v>35991</v>
      </c>
      <c r="J29">
        <f ca="1">IF(Sheet1!GI29&lt;&gt;"",Sheet1!GI29,"")</f>
        <v>8786</v>
      </c>
    </row>
    <row r="30" spans="1:10" x14ac:dyDescent="0.25">
      <c r="A30" t="str">
        <f>IF(Sheet1!B30&lt;&gt;"",Sheet1!B30,"")</f>
        <v>teachers128</v>
      </c>
      <c r="B30" t="str">
        <f>IF(Sheet1!C30&lt;&gt;"",Sheet1!C30,"")</f>
        <v>NETAI DAS</v>
      </c>
      <c r="C30" t="str">
        <f>IF(Sheet1!D30&lt;&gt;"",Sheet1!D30,"")</f>
        <v>BOALIA PRIMARY SCHOOL</v>
      </c>
      <c r="D30" t="str">
        <f>IF(Sheet1!E30&lt;&gt;"",Sheet1!E30,"")</f>
        <v>ABPTA</v>
      </c>
      <c r="E30">
        <f>IF(Sheet1!DY30&lt;&gt;"",Sheet1!DY30,"")</f>
        <v>415160</v>
      </c>
      <c r="F30">
        <f>IF(Sheet1!EQ30&lt;&gt;"",Sheet1!EQ30,"")</f>
        <v>36000</v>
      </c>
      <c r="G30">
        <f>IF(Sheet1!EZ30&lt;&gt;"",Sheet1!EZ30,"")</f>
        <v>0</v>
      </c>
      <c r="H30">
        <f>IF(Sheet1!FA30&lt;&gt;"",Sheet1!FA30,"")</f>
        <v>327360</v>
      </c>
      <c r="I30">
        <f>IF(Sheet1!FI30&lt;&gt;"",Sheet1!FI30,"")</f>
        <v>0</v>
      </c>
      <c r="J30">
        <f ca="1">IF(Sheet1!GI30&lt;&gt;"",Sheet1!GI30,"")</f>
        <v>0</v>
      </c>
    </row>
    <row r="31" spans="1:10" x14ac:dyDescent="0.25">
      <c r="A31" t="str">
        <f>IF(Sheet1!B31&lt;&gt;"",Sheet1!B31,"")</f>
        <v>teachers129</v>
      </c>
      <c r="B31" t="str">
        <f>IF(Sheet1!C31&lt;&gt;"",Sheet1!C31,"")</f>
        <v>AMIT BARAN DIRGHANGI</v>
      </c>
      <c r="C31" t="str">
        <f>IF(Sheet1!D31&lt;&gt;"",Sheet1!D31,"")</f>
        <v>CHAKJANARDAN PRIMARY SCHOOL</v>
      </c>
      <c r="D31" t="str">
        <f>IF(Sheet1!E31&lt;&gt;"",Sheet1!E31,"")</f>
        <v>ABPTA</v>
      </c>
      <c r="E31">
        <f>IF(Sheet1!DY31&lt;&gt;"",Sheet1!DY31,"")</f>
        <v>782936</v>
      </c>
      <c r="F31">
        <f>IF(Sheet1!EQ31&lt;&gt;"",Sheet1!EQ31,"")</f>
        <v>48720</v>
      </c>
      <c r="G31">
        <f>IF(Sheet1!EZ31&lt;&gt;"",Sheet1!EZ31,"")</f>
        <v>0</v>
      </c>
      <c r="H31">
        <f>IF(Sheet1!FA31&lt;&gt;"",Sheet1!FA31,"")</f>
        <v>681816</v>
      </c>
      <c r="I31">
        <f>IF(Sheet1!FI31&lt;&gt;"",Sheet1!FI31,"")</f>
        <v>50818</v>
      </c>
      <c r="J31">
        <f ca="1">IF(Sheet1!GI31&lt;&gt;"",Sheet1!GI31,"")</f>
        <v>9249</v>
      </c>
    </row>
    <row r="32" spans="1:10" x14ac:dyDescent="0.25">
      <c r="A32" t="str">
        <f>IF(Sheet1!B32&lt;&gt;"",Sheet1!B32,"")</f>
        <v>teachers130</v>
      </c>
      <c r="B32" t="str">
        <f>IF(Sheet1!C32&lt;&gt;"",Sheet1!C32,"")</f>
        <v>PRASANTA PAL</v>
      </c>
      <c r="C32" t="str">
        <f>IF(Sheet1!D32&lt;&gt;"",Sheet1!D32,"")</f>
        <v>CHAKJANARDAN PRIMARY SCHOOL</v>
      </c>
      <c r="D32" t="str">
        <f>IF(Sheet1!E32&lt;&gt;"",Sheet1!E32,"")</f>
        <v>WBTPTA</v>
      </c>
      <c r="E32">
        <f>IF(Sheet1!DY32&lt;&gt;"",Sheet1!DY32,"")</f>
        <v>406054</v>
      </c>
      <c r="F32">
        <f>IF(Sheet1!EQ32&lt;&gt;"",Sheet1!EQ32,"")</f>
        <v>2000</v>
      </c>
      <c r="G32">
        <f>IF(Sheet1!EZ32&lt;&gt;"",Sheet1!EZ32,"")</f>
        <v>0</v>
      </c>
      <c r="H32">
        <f>IF(Sheet1!FA32&lt;&gt;"",Sheet1!FA32,"")</f>
        <v>352404</v>
      </c>
      <c r="I32">
        <f>IF(Sheet1!FI32&lt;&gt;"",Sheet1!FI32,"")</f>
        <v>0</v>
      </c>
      <c r="J32">
        <f ca="1">IF(Sheet1!GI32&lt;&gt;"",Sheet1!GI32,"")</f>
        <v>0</v>
      </c>
    </row>
    <row r="33" spans="1:10" x14ac:dyDescent="0.25">
      <c r="A33" t="str">
        <f>IF(Sheet1!B33&lt;&gt;"",Sheet1!B33,"")</f>
        <v>teachers131</v>
      </c>
      <c r="B33" t="str">
        <f>IF(Sheet1!C33&lt;&gt;"",Sheet1!C33,"")</f>
        <v>DIPANKAR PATRA</v>
      </c>
      <c r="C33" t="str">
        <f>IF(Sheet1!D33&lt;&gt;"",Sheet1!D33,"")</f>
        <v>CHAKSALIKA PRIMARY SCHOOL</v>
      </c>
      <c r="D33" t="str">
        <f>IF(Sheet1!E33&lt;&gt;"",Sheet1!E33,"")</f>
        <v>ABPTA</v>
      </c>
      <c r="E33">
        <f>IF(Sheet1!DY33&lt;&gt;"",Sheet1!DY33,"")</f>
        <v>776936</v>
      </c>
      <c r="F33">
        <f>IF(Sheet1!EQ33&lt;&gt;"",Sheet1!EQ33,"")</f>
        <v>48720</v>
      </c>
      <c r="G33">
        <f>IF(Sheet1!EZ33&lt;&gt;"",Sheet1!EZ33,"")</f>
        <v>0</v>
      </c>
      <c r="H33">
        <f>IF(Sheet1!FA33&lt;&gt;"",Sheet1!FA33,"")</f>
        <v>675816</v>
      </c>
      <c r="I33">
        <f>IF(Sheet1!FI33&lt;&gt;"",Sheet1!FI33,"")</f>
        <v>49570</v>
      </c>
      <c r="J33">
        <f ca="1">IF(Sheet1!GI33&lt;&gt;"",Sheet1!GI33,"")</f>
        <v>2812</v>
      </c>
    </row>
    <row r="34" spans="1:10" x14ac:dyDescent="0.25">
      <c r="A34" t="str">
        <f>IF(Sheet1!B34&lt;&gt;"",Sheet1!B34,"")</f>
        <v>teachers132</v>
      </c>
      <c r="B34" t="str">
        <f>IF(Sheet1!C34&lt;&gt;"",Sheet1!C34,"")</f>
        <v>PREMNATH KAR</v>
      </c>
      <c r="C34" t="str">
        <f>IF(Sheet1!D34&lt;&gt;"",Sheet1!D34,"")</f>
        <v>CHAKSALIKA PRIMARY SCHOOL</v>
      </c>
      <c r="D34" t="str">
        <f>IF(Sheet1!E34&lt;&gt;"",Sheet1!E34,"")</f>
        <v>ABPTA</v>
      </c>
      <c r="E34">
        <f>IF(Sheet1!DY34&lt;&gt;"",Sheet1!DY34,"")</f>
        <v>512180</v>
      </c>
      <c r="F34">
        <f>IF(Sheet1!EQ34&lt;&gt;"",Sheet1!EQ34,"")</f>
        <v>36000</v>
      </c>
      <c r="G34">
        <f>IF(Sheet1!EZ34&lt;&gt;"",Sheet1!EZ34,"")</f>
        <v>0</v>
      </c>
      <c r="H34">
        <f>IF(Sheet1!FA34&lt;&gt;"",Sheet1!FA34,"")</f>
        <v>423780</v>
      </c>
      <c r="I34">
        <f>IF(Sheet1!FI34&lt;&gt;"",Sheet1!FI34,"")</f>
        <v>0</v>
      </c>
      <c r="J34">
        <f ca="1">IF(Sheet1!GI34&lt;&gt;"",Sheet1!GI34,"")</f>
        <v>0</v>
      </c>
    </row>
    <row r="35" spans="1:10" x14ac:dyDescent="0.25">
      <c r="A35" t="str">
        <f>IF(Sheet1!B35&lt;&gt;"",Sheet1!B35,"")</f>
        <v>teachers133</v>
      </c>
      <c r="B35" t="str">
        <f>IF(Sheet1!C35&lt;&gt;"",Sheet1!C35,"")</f>
        <v xml:space="preserve">SUBRATA BISWAS </v>
      </c>
      <c r="C35" t="str">
        <f>IF(Sheet1!D35&lt;&gt;"",Sheet1!D35,"")</f>
        <v>CHAKSALIKA PRIMARY SCHOOL</v>
      </c>
      <c r="D35" t="str">
        <f>IF(Sheet1!E35&lt;&gt;"",Sheet1!E35,"")</f>
        <v>ABPTA</v>
      </c>
      <c r="E35">
        <f>IF(Sheet1!DY35&lt;&gt;"",Sheet1!DY35,"")</f>
        <v>439346</v>
      </c>
      <c r="F35">
        <f>IF(Sheet1!EQ35&lt;&gt;"",Sheet1!EQ35,"")</f>
        <v>22000</v>
      </c>
      <c r="G35">
        <f>IF(Sheet1!EZ35&lt;&gt;"",Sheet1!EZ35,"")</f>
        <v>0</v>
      </c>
      <c r="H35">
        <f>IF(Sheet1!FA35&lt;&gt;"",Sheet1!FA35,"")</f>
        <v>365646</v>
      </c>
      <c r="I35">
        <f>IF(Sheet1!FI35&lt;&gt;"",Sheet1!FI35,"")</f>
        <v>0</v>
      </c>
      <c r="J35">
        <f ca="1">IF(Sheet1!GI35&lt;&gt;"",Sheet1!GI35,"")</f>
        <v>0</v>
      </c>
    </row>
    <row r="36" spans="1:10" x14ac:dyDescent="0.25">
      <c r="A36" t="str">
        <f>IF(Sheet1!B36&lt;&gt;"",Sheet1!B36,"")</f>
        <v>teachers134</v>
      </c>
      <c r="B36" t="str">
        <f>IF(Sheet1!C36&lt;&gt;"",Sheet1!C36,"")</f>
        <v>ARUP SAMANTA</v>
      </c>
      <c r="C36" t="str">
        <f>IF(Sheet1!D36&lt;&gt;"",Sheet1!D36,"")</f>
        <v>CHAKSALIKA PRIMARY SCHOOL</v>
      </c>
      <c r="D36" t="str">
        <f>IF(Sheet1!E36&lt;&gt;"",Sheet1!E36,"")</f>
        <v>ABPTA</v>
      </c>
      <c r="E36">
        <f>IF(Sheet1!DY36&lt;&gt;"",Sheet1!DY36,"")</f>
        <v>406054</v>
      </c>
      <c r="F36">
        <f>IF(Sheet1!EQ36&lt;&gt;"",Sheet1!EQ36,"")</f>
        <v>0</v>
      </c>
      <c r="G36">
        <f>IF(Sheet1!EZ36&lt;&gt;"",Sheet1!EZ36,"")</f>
        <v>0</v>
      </c>
      <c r="H36">
        <f>IF(Sheet1!FA36&lt;&gt;"",Sheet1!FA36,"")</f>
        <v>354404</v>
      </c>
      <c r="I36">
        <f>IF(Sheet1!FI36&lt;&gt;"",Sheet1!FI36,"")</f>
        <v>0</v>
      </c>
      <c r="J36">
        <f ca="1">IF(Sheet1!GI36&lt;&gt;"",Sheet1!GI36,"")</f>
        <v>0</v>
      </c>
    </row>
    <row r="37" spans="1:10" x14ac:dyDescent="0.25">
      <c r="A37" t="str">
        <f>IF(Sheet1!B37&lt;&gt;"",Sheet1!B37,"")</f>
        <v>teachers135</v>
      </c>
      <c r="B37" t="str">
        <f>IF(Sheet1!C37&lt;&gt;"",Sheet1!C37,"")</f>
        <v>BHAGYADHAR KARAR</v>
      </c>
      <c r="C37" t="str">
        <f>IF(Sheet1!D37&lt;&gt;"",Sheet1!D37,"")</f>
        <v>CHAKSALIKA RAJBANSHIPARA PRIMARY SCHOOL</v>
      </c>
      <c r="D37" t="str">
        <f>IF(Sheet1!E37&lt;&gt;"",Sheet1!E37,"")</f>
        <v>ABPTA</v>
      </c>
      <c r="E37">
        <f>IF(Sheet1!DY37&lt;&gt;"",Sheet1!DY37,"")</f>
        <v>782936</v>
      </c>
      <c r="F37">
        <f>IF(Sheet1!EQ37&lt;&gt;"",Sheet1!EQ37,"")</f>
        <v>120720</v>
      </c>
      <c r="G37">
        <f>IF(Sheet1!EZ37&lt;&gt;"",Sheet1!EZ37,"")</f>
        <v>0</v>
      </c>
      <c r="H37">
        <f>IF(Sheet1!FA37&lt;&gt;"",Sheet1!FA37,"")</f>
        <v>609816</v>
      </c>
      <c r="I37">
        <f>IF(Sheet1!FI37&lt;&gt;"",Sheet1!FI37,"")</f>
        <v>35842</v>
      </c>
      <c r="J37">
        <f ca="1">IF(Sheet1!GI37&lt;&gt;"",Sheet1!GI37,"")</f>
        <v>9156</v>
      </c>
    </row>
    <row r="38" spans="1:10" x14ac:dyDescent="0.25">
      <c r="A38" t="str">
        <f>IF(Sheet1!B38&lt;&gt;"",Sheet1!B38,"")</f>
        <v>teachers136</v>
      </c>
      <c r="B38" t="str">
        <f>IF(Sheet1!C38&lt;&gt;"",Sheet1!C38,"")</f>
        <v>NILANJANA DEYASHI PAL</v>
      </c>
      <c r="C38" t="str">
        <f>IF(Sheet1!D38&lt;&gt;"",Sheet1!D38,"")</f>
        <v>CHAKSALIKA RAJBANSHIPARA PRIMARY SCHOOL</v>
      </c>
      <c r="D38" t="str">
        <f>IF(Sheet1!E38&lt;&gt;"",Sheet1!E38,"")</f>
        <v>WBTPTA</v>
      </c>
      <c r="E38">
        <f>IF(Sheet1!DY38&lt;&gt;"",Sheet1!DY38,"")</f>
        <v>380032</v>
      </c>
      <c r="F38">
        <f>IF(Sheet1!EQ38&lt;&gt;"",Sheet1!EQ38,"")</f>
        <v>8000</v>
      </c>
      <c r="G38">
        <f>IF(Sheet1!EZ38&lt;&gt;"",Sheet1!EZ38,"")</f>
        <v>0</v>
      </c>
      <c r="H38">
        <f>IF(Sheet1!FA38&lt;&gt;"",Sheet1!FA38,"")</f>
        <v>320232</v>
      </c>
      <c r="I38">
        <f>IF(Sheet1!FI38&lt;&gt;"",Sheet1!FI38,"")</f>
        <v>0</v>
      </c>
      <c r="J38">
        <f ca="1">IF(Sheet1!GI38&lt;&gt;"",Sheet1!GI38,"")</f>
        <v>0</v>
      </c>
    </row>
    <row r="39" spans="1:10" x14ac:dyDescent="0.25">
      <c r="A39" t="str">
        <f>IF(Sheet1!B39&lt;&gt;"",Sheet1!B39,"")</f>
        <v>teachers389-da7ce61c</v>
      </c>
      <c r="B39" t="str">
        <f>IF(Sheet1!C39&lt;&gt;"",Sheet1!C39,"")</f>
        <v>MD HUMAYAN KABIR</v>
      </c>
      <c r="C39" t="str">
        <f>IF(Sheet1!D39&lt;&gt;"",Sheet1!D39,"")</f>
        <v>CHAKSALIKA RAJBANSHIPARA PRIMARY SCHOOL</v>
      </c>
      <c r="D39" t="str">
        <f>IF(Sheet1!E39&lt;&gt;"",Sheet1!E39,"")</f>
        <v>WBTPTA</v>
      </c>
      <c r="E39">
        <f>IF(Sheet1!DY39&lt;&gt;"",Sheet1!DY39,"")</f>
        <v>147156</v>
      </c>
      <c r="F39">
        <f>IF(Sheet1!EQ39&lt;&gt;"",Sheet1!EQ39,"")</f>
        <v>0</v>
      </c>
      <c r="G39">
        <f>IF(Sheet1!EZ39&lt;&gt;"",Sheet1!EZ39,"")</f>
        <v>0</v>
      </c>
      <c r="H39">
        <f>IF(Sheet1!FA39&lt;&gt;"",Sheet1!FA39,"")</f>
        <v>96556</v>
      </c>
      <c r="I39">
        <f>IF(Sheet1!FI39&lt;&gt;"",Sheet1!FI39,"")</f>
        <v>0</v>
      </c>
      <c r="J39">
        <f ca="1">IF(Sheet1!GI39&lt;&gt;"",Sheet1!GI39,"")</f>
        <v>0</v>
      </c>
    </row>
    <row r="40" spans="1:10" x14ac:dyDescent="0.25">
      <c r="A40" t="str">
        <f>IF(Sheet1!B40&lt;&gt;"",Sheet1!B40,"")</f>
        <v>teachers137</v>
      </c>
      <c r="B40" t="str">
        <f>IF(Sheet1!C40&lt;&gt;"",Sheet1!C40,"")</f>
        <v>MRITYUNJAY ASH</v>
      </c>
      <c r="C40" t="str">
        <f>IF(Sheet1!D40&lt;&gt;"",Sheet1!D40,"")</f>
        <v>CHARANOWPARA PRIMARY SCHOOL</v>
      </c>
      <c r="D40" t="str">
        <f>IF(Sheet1!E40&lt;&gt;"",Sheet1!E40,"")</f>
        <v>WBPTA</v>
      </c>
      <c r="E40">
        <f>IF(Sheet1!DY40&lt;&gt;"",Sheet1!DY40,"")</f>
        <v>838232</v>
      </c>
      <c r="F40">
        <f>IF(Sheet1!EQ40&lt;&gt;"",Sheet1!EQ40,"")</f>
        <v>60000</v>
      </c>
      <c r="G40">
        <f>IF(Sheet1!EZ40&lt;&gt;"",Sheet1!EZ40,"")</f>
        <v>0</v>
      </c>
      <c r="H40">
        <f>IF(Sheet1!FA40&lt;&gt;"",Sheet1!FA40,"")</f>
        <v>725832</v>
      </c>
      <c r="I40">
        <f>IF(Sheet1!FI40&lt;&gt;"",Sheet1!FI40,"")</f>
        <v>59973</v>
      </c>
      <c r="J40">
        <f ca="1">IF(Sheet1!GI40&lt;&gt;"",Sheet1!GI40,"")</f>
        <v>27475</v>
      </c>
    </row>
    <row r="41" spans="1:10" x14ac:dyDescent="0.25">
      <c r="A41" t="str">
        <f>IF(Sheet1!B41&lt;&gt;"",Sheet1!B41,"")</f>
        <v>teachers138</v>
      </c>
      <c r="B41" t="str">
        <f>IF(Sheet1!C41&lt;&gt;"",Sheet1!C41,"")</f>
        <v>DEBKUMAR MUDLI</v>
      </c>
      <c r="C41" t="str">
        <f>IF(Sheet1!D41&lt;&gt;"",Sheet1!D41,"")</f>
        <v>CHARANOWPARA PRIMARY SCHOOL</v>
      </c>
      <c r="D41" t="str">
        <f>IF(Sheet1!E41&lt;&gt;"",Sheet1!E41,"")</f>
        <v>WBTPTA</v>
      </c>
      <c r="E41">
        <f>IF(Sheet1!DY41&lt;&gt;"",Sheet1!DY41,"")</f>
        <v>406054</v>
      </c>
      <c r="F41">
        <f>IF(Sheet1!EQ41&lt;&gt;"",Sheet1!EQ41,"")</f>
        <v>0</v>
      </c>
      <c r="G41">
        <f>IF(Sheet1!EZ41&lt;&gt;"",Sheet1!EZ41,"")</f>
        <v>0</v>
      </c>
      <c r="H41">
        <f>IF(Sheet1!FA41&lt;&gt;"",Sheet1!FA41,"")</f>
        <v>354404</v>
      </c>
      <c r="I41">
        <f>IF(Sheet1!FI41&lt;&gt;"",Sheet1!FI41,"")</f>
        <v>0</v>
      </c>
      <c r="J41">
        <f ca="1">IF(Sheet1!GI41&lt;&gt;"",Sheet1!GI41,"")</f>
        <v>0</v>
      </c>
    </row>
    <row r="42" spans="1:10" x14ac:dyDescent="0.25">
      <c r="A42" t="str">
        <f>IF(Sheet1!B42&lt;&gt;"",Sheet1!B42,"")</f>
        <v>teachers395-e9d452d8</v>
      </c>
      <c r="B42" t="str">
        <f>IF(Sheet1!C42&lt;&gt;"",Sheet1!C42,"")</f>
        <v>PIYALI BERA</v>
      </c>
      <c r="C42" t="str">
        <f>IF(Sheet1!D42&lt;&gt;"",Sheet1!D42,"")</f>
        <v>CHARANOWPARA PRIMARY SCHOOL</v>
      </c>
      <c r="D42" t="str">
        <f>IF(Sheet1!E42&lt;&gt;"",Sheet1!E42,"")</f>
        <v>WBTPTA</v>
      </c>
      <c r="E42">
        <f>IF(Sheet1!DY42&lt;&gt;"",Sheet1!DY42,"")</f>
        <v>0</v>
      </c>
      <c r="F42">
        <f>IF(Sheet1!EQ42&lt;&gt;"",Sheet1!EQ42,"")</f>
        <v>0</v>
      </c>
      <c r="G42">
        <f>IF(Sheet1!EZ42&lt;&gt;"",Sheet1!EZ42,"")</f>
        <v>0</v>
      </c>
      <c r="H42">
        <f>IF(Sheet1!FA42&lt;&gt;"",Sheet1!FA42,"")</f>
        <v>0</v>
      </c>
      <c r="I42">
        <f>IF(Sheet1!FI42&lt;&gt;"",Sheet1!FI42,"")</f>
        <v>0</v>
      </c>
      <c r="J42">
        <f ca="1">IF(Sheet1!GI42&lt;&gt;"",Sheet1!GI42,"")</f>
        <v>0</v>
      </c>
    </row>
    <row r="43" spans="1:10" x14ac:dyDescent="0.25">
      <c r="A43" t="str">
        <f>IF(Sheet1!B43&lt;&gt;"",Sheet1!B43,"")</f>
        <v>teachers139</v>
      </c>
      <c r="B43" t="str">
        <f>IF(Sheet1!C43&lt;&gt;"",Sheet1!C43,"")</f>
        <v>ASTAPADA DAS</v>
      </c>
      <c r="C43" t="str">
        <f>IF(Sheet1!D43&lt;&gt;"",Sheet1!D43,"")</f>
        <v>CHINGRAJOLE NARAYANI GIRLS PRIMARY SCHOOL</v>
      </c>
      <c r="D43" t="str">
        <f>IF(Sheet1!E43&lt;&gt;"",Sheet1!E43,"")</f>
        <v>ABPTA</v>
      </c>
      <c r="E43">
        <f>IF(Sheet1!DY43&lt;&gt;"",Sheet1!DY43,"")</f>
        <v>717084</v>
      </c>
      <c r="F43">
        <f>IF(Sheet1!EQ43&lt;&gt;"",Sheet1!EQ43,"")</f>
        <v>36720</v>
      </c>
      <c r="G43">
        <f>IF(Sheet1!EZ43&lt;&gt;"",Sheet1!EZ43,"")</f>
        <v>0</v>
      </c>
      <c r="H43">
        <f>IF(Sheet1!FA43&lt;&gt;"",Sheet1!FA43,"")</f>
        <v>627964</v>
      </c>
      <c r="I43">
        <f>IF(Sheet1!FI43&lt;&gt;"",Sheet1!FI43,"")</f>
        <v>39617</v>
      </c>
      <c r="J43">
        <f ca="1">IF(Sheet1!GI43&lt;&gt;"",Sheet1!GI43,"")</f>
        <v>0</v>
      </c>
    </row>
    <row r="44" spans="1:10" x14ac:dyDescent="0.25">
      <c r="A44" t="str">
        <f>IF(Sheet1!B44&lt;&gt;"",Sheet1!B44,"")</f>
        <v>teachers140</v>
      </c>
      <c r="B44" t="str">
        <f>IF(Sheet1!C44&lt;&gt;"",Sheet1!C44,"")</f>
        <v>ANIRBAN PANDIT</v>
      </c>
      <c r="C44" t="str">
        <f>IF(Sheet1!D44&lt;&gt;"",Sheet1!D44,"")</f>
        <v>CHINGRAJOLE NARAYANI GIRLS PRIMARY SCHOOL</v>
      </c>
      <c r="D44" t="str">
        <f>IF(Sheet1!E44&lt;&gt;"",Sheet1!E44,"")</f>
        <v>ABPTA</v>
      </c>
      <c r="E44">
        <f>IF(Sheet1!DY44&lt;&gt;"",Sheet1!DY44,"")</f>
        <v>506180</v>
      </c>
      <c r="F44">
        <f>IF(Sheet1!EQ44&lt;&gt;"",Sheet1!EQ44,"")</f>
        <v>28000</v>
      </c>
      <c r="G44">
        <f>IF(Sheet1!EZ44&lt;&gt;"",Sheet1!EZ44,"")</f>
        <v>0</v>
      </c>
      <c r="H44">
        <f>IF(Sheet1!FA44&lt;&gt;"",Sheet1!FA44,"")</f>
        <v>425880</v>
      </c>
      <c r="I44">
        <f>IF(Sheet1!FI44&lt;&gt;"",Sheet1!FI44,"")</f>
        <v>0</v>
      </c>
      <c r="J44">
        <f ca="1">IF(Sheet1!GI44&lt;&gt;"",Sheet1!GI44,"")</f>
        <v>0</v>
      </c>
    </row>
    <row r="45" spans="1:10" x14ac:dyDescent="0.25">
      <c r="A45" t="str">
        <f>IF(Sheet1!B45&lt;&gt;"",Sheet1!B45,"")</f>
        <v>teachers141</v>
      </c>
      <c r="B45" t="str">
        <f>IF(Sheet1!C45&lt;&gt;"",Sheet1!C45,"")</f>
        <v>ADAITYA BAR</v>
      </c>
      <c r="C45" t="str">
        <f>IF(Sheet1!D45&lt;&gt;"",Sheet1!D45,"")</f>
        <v>CHINGRAJOLE NARAYANI GIRLS PRIMARY SCHOOL</v>
      </c>
      <c r="D45" t="str">
        <f>IF(Sheet1!E45&lt;&gt;"",Sheet1!E45,"")</f>
        <v>WBTPTA</v>
      </c>
      <c r="E45">
        <f>IF(Sheet1!DY45&lt;&gt;"",Sheet1!DY45,"")</f>
        <v>470456</v>
      </c>
      <c r="F45">
        <f>IF(Sheet1!EQ45&lt;&gt;"",Sheet1!EQ45,"")</f>
        <v>24000</v>
      </c>
      <c r="G45">
        <f>IF(Sheet1!EZ45&lt;&gt;"",Sheet1!EZ45,"")</f>
        <v>0</v>
      </c>
      <c r="H45">
        <f>IF(Sheet1!FA45&lt;&gt;"",Sheet1!FA45,"")</f>
        <v>394606</v>
      </c>
      <c r="I45">
        <f>IF(Sheet1!FI45&lt;&gt;"",Sheet1!FI45,"")</f>
        <v>0</v>
      </c>
      <c r="J45">
        <f ca="1">IF(Sheet1!GI45&lt;&gt;"",Sheet1!GI45,"")</f>
        <v>0</v>
      </c>
    </row>
    <row r="46" spans="1:10" x14ac:dyDescent="0.25">
      <c r="A46" t="str">
        <f>IF(Sheet1!B46&lt;&gt;"",Sheet1!B46,"")</f>
        <v>teachers142</v>
      </c>
      <c r="B46" t="str">
        <f>IF(Sheet1!C46&lt;&gt;"",Sheet1!C46,"")</f>
        <v>CHANDANA CHAKRABORTI</v>
      </c>
      <c r="C46" t="str">
        <f>IF(Sheet1!D46&lt;&gt;"",Sheet1!D46,"")</f>
        <v>CHINGRAJOLE VIVEKANANDA PRIMARY SCHOOL</v>
      </c>
      <c r="D46" t="str">
        <f>IF(Sheet1!E46&lt;&gt;"",Sheet1!E46,"")</f>
        <v>WBTPTA</v>
      </c>
      <c r="E46">
        <f>IF(Sheet1!DY46&lt;&gt;"",Sheet1!DY46,"")</f>
        <v>732196</v>
      </c>
      <c r="F46">
        <f>IF(Sheet1!EQ46&lt;&gt;"",Sheet1!EQ46,"")</f>
        <v>84000</v>
      </c>
      <c r="G46">
        <f>IF(Sheet1!EZ46&lt;&gt;"",Sheet1!EZ46,"")</f>
        <v>0</v>
      </c>
      <c r="H46">
        <f>IF(Sheet1!FA46&lt;&gt;"",Sheet1!FA46,"")</f>
        <v>595796</v>
      </c>
      <c r="I46">
        <f>IF(Sheet1!FI46&lt;&gt;"",Sheet1!FI46,"")</f>
        <v>32925</v>
      </c>
      <c r="J46">
        <f ca="1">IF(Sheet1!GI46&lt;&gt;"",Sheet1!GI46,"")</f>
        <v>0</v>
      </c>
    </row>
    <row r="47" spans="1:10" x14ac:dyDescent="0.25">
      <c r="A47" t="str">
        <f>IF(Sheet1!B47&lt;&gt;"",Sheet1!B47,"")</f>
        <v>teachers143</v>
      </c>
      <c r="B47" t="str">
        <f>IF(Sheet1!C47&lt;&gt;"",Sheet1!C47,"")</f>
        <v>SUDIP CHAKRABORTY</v>
      </c>
      <c r="C47" t="str">
        <f>IF(Sheet1!D47&lt;&gt;"",Sheet1!D47,"")</f>
        <v>CHINGRAJOLE VIVEKANANDA PRIMARY SCHOOL</v>
      </c>
      <c r="D47" t="str">
        <f>IF(Sheet1!E47&lt;&gt;"",Sheet1!E47,"")</f>
        <v>WBTPTA</v>
      </c>
      <c r="E47">
        <f>IF(Sheet1!DY47&lt;&gt;"",Sheet1!DY47,"")</f>
        <v>522260</v>
      </c>
      <c r="F47">
        <f>IF(Sheet1!EQ47&lt;&gt;"",Sheet1!EQ47,"")</f>
        <v>60000</v>
      </c>
      <c r="G47">
        <f>IF(Sheet1!EZ47&lt;&gt;"",Sheet1!EZ47,"")</f>
        <v>0</v>
      </c>
      <c r="H47">
        <f>IF(Sheet1!FA47&lt;&gt;"",Sheet1!FA47,"")</f>
        <v>409860</v>
      </c>
      <c r="I47">
        <f>IF(Sheet1!FI47&lt;&gt;"",Sheet1!FI47,"")</f>
        <v>0</v>
      </c>
      <c r="J47">
        <f ca="1">IF(Sheet1!GI47&lt;&gt;"",Sheet1!GI47,"")</f>
        <v>0</v>
      </c>
    </row>
    <row r="48" spans="1:10" x14ac:dyDescent="0.25">
      <c r="A48" t="str">
        <f>IF(Sheet1!B48&lt;&gt;"",Sheet1!B48,"")</f>
        <v>teachers144</v>
      </c>
      <c r="B48" t="str">
        <f>IF(Sheet1!C48&lt;&gt;"",Sheet1!C48,"")</f>
        <v>BIBEKASISH HAJRA</v>
      </c>
      <c r="C48" t="str">
        <f>IF(Sheet1!D48&lt;&gt;"",Sheet1!D48,"")</f>
        <v>CHINGRAJOLE VIVEKANANDA PRIMARY SCHOOL</v>
      </c>
      <c r="D48" t="str">
        <f>IF(Sheet1!E48&lt;&gt;"",Sheet1!E48,"")</f>
        <v>WBTPTA</v>
      </c>
      <c r="E48">
        <f>IF(Sheet1!DY48&lt;&gt;"",Sheet1!DY48,"")</f>
        <v>522260</v>
      </c>
      <c r="F48">
        <f>IF(Sheet1!EQ48&lt;&gt;"",Sheet1!EQ48,"")</f>
        <v>96000</v>
      </c>
      <c r="G48">
        <f>IF(Sheet1!EZ48&lt;&gt;"",Sheet1!EZ48,"")</f>
        <v>0</v>
      </c>
      <c r="H48">
        <f>IF(Sheet1!FA48&lt;&gt;"",Sheet1!FA48,"")</f>
        <v>373860</v>
      </c>
      <c r="I48">
        <f>IF(Sheet1!FI48&lt;&gt;"",Sheet1!FI48,"")</f>
        <v>0</v>
      </c>
      <c r="J48">
        <f ca="1">IF(Sheet1!GI48&lt;&gt;"",Sheet1!GI48,"")</f>
        <v>0</v>
      </c>
    </row>
    <row r="49" spans="1:10" x14ac:dyDescent="0.25">
      <c r="A49" t="str">
        <f>IF(Sheet1!B49&lt;&gt;"",Sheet1!B49,"")</f>
        <v>teachers145</v>
      </c>
      <c r="B49" t="str">
        <f>IF(Sheet1!C49&lt;&gt;"",Sheet1!C49,"")</f>
        <v>SHYAMAL MAITY</v>
      </c>
      <c r="C49" t="str">
        <f>IF(Sheet1!D49&lt;&gt;"",Sheet1!D49,"")</f>
        <v>CHINGRAJOLE VIVEKANANDA PRIMARY SCHOOL</v>
      </c>
      <c r="D49" t="str">
        <f>IF(Sheet1!E49&lt;&gt;"",Sheet1!E49,"")</f>
        <v>WBTPTA</v>
      </c>
      <c r="E49">
        <f>IF(Sheet1!DY49&lt;&gt;"",Sheet1!DY49,"")</f>
        <v>515757</v>
      </c>
      <c r="F49">
        <f>IF(Sheet1!EQ49&lt;&gt;"",Sheet1!EQ49,"")</f>
        <v>60000</v>
      </c>
      <c r="G49">
        <f>IF(Sheet1!EZ49&lt;&gt;"",Sheet1!EZ49,"")</f>
        <v>0</v>
      </c>
      <c r="H49">
        <f>IF(Sheet1!FA49&lt;&gt;"",Sheet1!FA49,"")</f>
        <v>403357</v>
      </c>
      <c r="I49">
        <f>IF(Sheet1!FI49&lt;&gt;"",Sheet1!FI49,"")</f>
        <v>0</v>
      </c>
      <c r="J49">
        <f ca="1">IF(Sheet1!GI49&lt;&gt;"",Sheet1!GI49,"")</f>
        <v>0</v>
      </c>
    </row>
    <row r="50" spans="1:10" x14ac:dyDescent="0.25">
      <c r="A50" t="str">
        <f>IF(Sheet1!B50&lt;&gt;"",Sheet1!B50,"")</f>
        <v>teachers146</v>
      </c>
      <c r="B50" t="str">
        <f>IF(Sheet1!C50&lt;&gt;"",Sheet1!C50,"")</f>
        <v>MANOJ KHOTEL</v>
      </c>
      <c r="C50" t="str">
        <f>IF(Sheet1!D50&lt;&gt;"",Sheet1!D50,"")</f>
        <v>DAKSHIN JOYPUR JR BASIC SCHOOL</v>
      </c>
      <c r="D50" t="str">
        <f>IF(Sheet1!E50&lt;&gt;"",Sheet1!E50,"")</f>
        <v>WBTPTA</v>
      </c>
      <c r="E50">
        <f>IF(Sheet1!DY50&lt;&gt;"",Sheet1!DY50,"")</f>
        <v>738196</v>
      </c>
      <c r="F50">
        <f>IF(Sheet1!EQ50&lt;&gt;"",Sheet1!EQ50,"")</f>
        <v>60000</v>
      </c>
      <c r="G50">
        <f>IF(Sheet1!EZ50&lt;&gt;"",Sheet1!EZ50,"")</f>
        <v>0</v>
      </c>
      <c r="H50">
        <f>IF(Sheet1!FA50&lt;&gt;"",Sheet1!FA50,"")</f>
        <v>625796</v>
      </c>
      <c r="I50">
        <f>IF(Sheet1!FI50&lt;&gt;"",Sheet1!FI50,"")</f>
        <v>39165</v>
      </c>
      <c r="J50">
        <f ca="1">IF(Sheet1!GI50&lt;&gt;"",Sheet1!GI50,"")</f>
        <v>0</v>
      </c>
    </row>
    <row r="51" spans="1:10" x14ac:dyDescent="0.25">
      <c r="A51" t="str">
        <f>IF(Sheet1!B51&lt;&gt;"",Sheet1!B51,"")</f>
        <v>teachers147</v>
      </c>
      <c r="B51" t="str">
        <f>IF(Sheet1!C51&lt;&gt;"",Sheet1!C51,"")</f>
        <v>PRADIP SADHUKHAN</v>
      </c>
      <c r="C51" t="str">
        <f>IF(Sheet1!D51&lt;&gt;"",Sheet1!D51,"")</f>
        <v>DAKSHIN JOYPUR JR BASIC SCHOOL</v>
      </c>
      <c r="D51" t="str">
        <f>IF(Sheet1!E51&lt;&gt;"",Sheet1!E51,"")</f>
        <v>WBTPTA</v>
      </c>
      <c r="E51">
        <f>IF(Sheet1!DY51&lt;&gt;"",Sheet1!DY51,"")</f>
        <v>512180</v>
      </c>
      <c r="F51">
        <f>IF(Sheet1!EQ51&lt;&gt;"",Sheet1!EQ51,"")</f>
        <v>72000</v>
      </c>
      <c r="G51">
        <f>IF(Sheet1!EZ51&lt;&gt;"",Sheet1!EZ51,"")</f>
        <v>0</v>
      </c>
      <c r="H51">
        <f>IF(Sheet1!FA51&lt;&gt;"",Sheet1!FA51,"")</f>
        <v>387780</v>
      </c>
      <c r="I51">
        <f>IF(Sheet1!FI51&lt;&gt;"",Sheet1!FI51,"")</f>
        <v>0</v>
      </c>
      <c r="J51">
        <f ca="1">IF(Sheet1!GI51&lt;&gt;"",Sheet1!GI51,"")</f>
        <v>0</v>
      </c>
    </row>
    <row r="52" spans="1:10" x14ac:dyDescent="0.25">
      <c r="A52" t="str">
        <f>IF(Sheet1!B52&lt;&gt;"",Sheet1!B52,"")</f>
        <v>teachers148</v>
      </c>
      <c r="B52" t="str">
        <f>IF(Sheet1!C52&lt;&gt;"",Sheet1!C52,"")</f>
        <v>TRIDIB SINGH</v>
      </c>
      <c r="C52" t="str">
        <f>IF(Sheet1!D52&lt;&gt;"",Sheet1!D52,"")</f>
        <v>DAKSHIN JOYPUR JR BASIC SCHOOL</v>
      </c>
      <c r="D52" t="str">
        <f>IF(Sheet1!E52&lt;&gt;"",Sheet1!E52,"")</f>
        <v>WBTPTA</v>
      </c>
      <c r="E52">
        <f>IF(Sheet1!DY52&lt;&gt;"",Sheet1!DY52,"")</f>
        <v>506180</v>
      </c>
      <c r="F52">
        <f>IF(Sheet1!EQ52&lt;&gt;"",Sheet1!EQ52,"")</f>
        <v>28000</v>
      </c>
      <c r="G52">
        <f>IF(Sheet1!EZ52&lt;&gt;"",Sheet1!EZ52,"")</f>
        <v>0</v>
      </c>
      <c r="H52">
        <f>IF(Sheet1!FA52&lt;&gt;"",Sheet1!FA52,"")</f>
        <v>425880</v>
      </c>
      <c r="I52">
        <f>IF(Sheet1!FI52&lt;&gt;"",Sheet1!FI52,"")</f>
        <v>0</v>
      </c>
      <c r="J52">
        <f ca="1">IF(Sheet1!GI52&lt;&gt;"",Sheet1!GI52,"")</f>
        <v>0</v>
      </c>
    </row>
    <row r="53" spans="1:10" x14ac:dyDescent="0.25">
      <c r="A53" t="str">
        <f>IF(Sheet1!B53&lt;&gt;"",Sheet1!B53,"")</f>
        <v>teachers149</v>
      </c>
      <c r="B53" t="str">
        <f>IF(Sheet1!C53&lt;&gt;"",Sheet1!C53,"")</f>
        <v>PRANAB GAYEN</v>
      </c>
      <c r="C53" t="str">
        <f>IF(Sheet1!D53&lt;&gt;"",Sheet1!D53,"")</f>
        <v>DHAIPUR PRIMARY SCHOOL</v>
      </c>
      <c r="D53" t="str">
        <f>IF(Sheet1!E53&lt;&gt;"",Sheet1!E53,"")</f>
        <v>WBTPTA</v>
      </c>
      <c r="E53">
        <f>IF(Sheet1!DY53&lt;&gt;"",Sheet1!DY53,"")</f>
        <v>527060</v>
      </c>
      <c r="F53">
        <f>IF(Sheet1!EQ53&lt;&gt;"",Sheet1!EQ53,"")</f>
        <v>36000</v>
      </c>
      <c r="G53">
        <f>IF(Sheet1!EZ53&lt;&gt;"",Sheet1!EZ53,"")</f>
        <v>0</v>
      </c>
      <c r="H53">
        <f>IF(Sheet1!FA53&lt;&gt;"",Sheet1!FA53,"")</f>
        <v>438660</v>
      </c>
      <c r="I53">
        <f>IF(Sheet1!FI53&lt;&gt;"",Sheet1!FI53,"")</f>
        <v>0</v>
      </c>
      <c r="J53">
        <f ca="1">IF(Sheet1!GI53&lt;&gt;"",Sheet1!GI53,"")</f>
        <v>0</v>
      </c>
    </row>
    <row r="54" spans="1:10" x14ac:dyDescent="0.25">
      <c r="A54" t="str">
        <f>IF(Sheet1!B54&lt;&gt;"",Sheet1!B54,"")</f>
        <v>teachers150</v>
      </c>
      <c r="B54" t="str">
        <f>IF(Sheet1!C54&lt;&gt;"",Sheet1!C54,"")</f>
        <v>DEBASISH MAZUMDER</v>
      </c>
      <c r="C54" t="str">
        <f>IF(Sheet1!D54&lt;&gt;"",Sheet1!D54,"")</f>
        <v>DHAIPUR PRIMARY SCHOOL</v>
      </c>
      <c r="D54" t="str">
        <f>IF(Sheet1!E54&lt;&gt;"",Sheet1!E54,"")</f>
        <v>WBTPTA</v>
      </c>
      <c r="E54">
        <f>IF(Sheet1!DY54&lt;&gt;"",Sheet1!DY54,"")</f>
        <v>522260</v>
      </c>
      <c r="F54">
        <f>IF(Sheet1!EQ54&lt;&gt;"",Sheet1!EQ54,"")</f>
        <v>28000</v>
      </c>
      <c r="G54">
        <f>IF(Sheet1!EZ54&lt;&gt;"",Sheet1!EZ54,"")</f>
        <v>0</v>
      </c>
      <c r="H54">
        <f>IF(Sheet1!FA54&lt;&gt;"",Sheet1!FA54,"")</f>
        <v>441860</v>
      </c>
      <c r="I54">
        <f>IF(Sheet1!FI54&lt;&gt;"",Sheet1!FI54,"")</f>
        <v>0</v>
      </c>
      <c r="J54">
        <f ca="1">IF(Sheet1!GI54&lt;&gt;"",Sheet1!GI54,"")</f>
        <v>0</v>
      </c>
    </row>
    <row r="55" spans="1:10" x14ac:dyDescent="0.25">
      <c r="A55" t="str">
        <f>IF(Sheet1!B55&lt;&gt;"",Sheet1!B55,"")</f>
        <v>teachers151</v>
      </c>
      <c r="B55" t="str">
        <f>IF(Sheet1!C55&lt;&gt;"",Sheet1!C55,"")</f>
        <v>SAYAN DAS</v>
      </c>
      <c r="C55" t="str">
        <f>IF(Sheet1!D55&lt;&gt;"",Sheet1!D55,"")</f>
        <v>DHAIPUR PRIMARY SCHOOL</v>
      </c>
      <c r="D55" t="str">
        <f>IF(Sheet1!E55&lt;&gt;"",Sheet1!E55,"")</f>
        <v>ABPTA</v>
      </c>
      <c r="E55">
        <f>IF(Sheet1!DY55&lt;&gt;"",Sheet1!DY55,"")</f>
        <v>512180</v>
      </c>
      <c r="F55">
        <f>IF(Sheet1!EQ55&lt;&gt;"",Sheet1!EQ55,"")</f>
        <v>28000</v>
      </c>
      <c r="G55">
        <f>IF(Sheet1!EZ55&lt;&gt;"",Sheet1!EZ55,"")</f>
        <v>0</v>
      </c>
      <c r="H55">
        <f>IF(Sheet1!FA55&lt;&gt;"",Sheet1!FA55,"")</f>
        <v>431780</v>
      </c>
      <c r="I55">
        <f>IF(Sheet1!FI55&lt;&gt;"",Sheet1!FI55,"")</f>
        <v>0</v>
      </c>
      <c r="J55">
        <f ca="1">IF(Sheet1!GI55&lt;&gt;"",Sheet1!GI55,"")</f>
        <v>0</v>
      </c>
    </row>
    <row r="56" spans="1:10" x14ac:dyDescent="0.25">
      <c r="A56" t="str">
        <f>IF(Sheet1!B56&lt;&gt;"",Sheet1!B56,"")</f>
        <v>teachers152</v>
      </c>
      <c r="B56" t="str">
        <f>IF(Sheet1!C56&lt;&gt;"",Sheet1!C56,"")</f>
        <v>KARTICK GHOSH</v>
      </c>
      <c r="C56" t="str">
        <f>IF(Sheet1!D56&lt;&gt;"",Sheet1!D56,"")</f>
        <v>DHAIPUR PRIMARY SCHOOL</v>
      </c>
      <c r="D56" t="str">
        <f>IF(Sheet1!E56&lt;&gt;"",Sheet1!E56,"")</f>
        <v>WBTPTA</v>
      </c>
      <c r="E56">
        <f>IF(Sheet1!DY56&lt;&gt;"",Sheet1!DY56,"")</f>
        <v>409160</v>
      </c>
      <c r="F56">
        <f>IF(Sheet1!EQ56&lt;&gt;"",Sheet1!EQ56,"")</f>
        <v>24000</v>
      </c>
      <c r="G56">
        <f>IF(Sheet1!EZ56&lt;&gt;"",Sheet1!EZ56,"")</f>
        <v>0</v>
      </c>
      <c r="H56">
        <f>IF(Sheet1!FA56&lt;&gt;"",Sheet1!FA56,"")</f>
        <v>333360</v>
      </c>
      <c r="I56">
        <f>IF(Sheet1!FI56&lt;&gt;"",Sheet1!FI56,"")</f>
        <v>0</v>
      </c>
      <c r="J56">
        <f ca="1">IF(Sheet1!GI56&lt;&gt;"",Sheet1!GI56,"")</f>
        <v>0</v>
      </c>
    </row>
    <row r="57" spans="1:10" x14ac:dyDescent="0.25">
      <c r="A57" t="str">
        <f>IF(Sheet1!B57&lt;&gt;"",Sheet1!B57,"")</f>
        <v>teachers153</v>
      </c>
      <c r="B57" t="str">
        <f>IF(Sheet1!C57&lt;&gt;"",Sheet1!C57,"")</f>
        <v>SUMAN SAMANTA</v>
      </c>
      <c r="C57" t="str">
        <f>IF(Sheet1!D57&lt;&gt;"",Sheet1!D57,"")</f>
        <v>DHAIPUR PRIMARY SCHOOL</v>
      </c>
      <c r="D57" t="str">
        <f>IF(Sheet1!E57&lt;&gt;"",Sheet1!E57,"")</f>
        <v>WBTPTA</v>
      </c>
      <c r="E57">
        <f>IF(Sheet1!DY57&lt;&gt;"",Sheet1!DY57,"")</f>
        <v>512180</v>
      </c>
      <c r="F57">
        <f>IF(Sheet1!EQ57&lt;&gt;"",Sheet1!EQ57,"")</f>
        <v>28000</v>
      </c>
      <c r="G57">
        <f>IF(Sheet1!EZ57&lt;&gt;"",Sheet1!EZ57,"")</f>
        <v>0</v>
      </c>
      <c r="H57">
        <f>IF(Sheet1!FA57&lt;&gt;"",Sheet1!FA57,"")</f>
        <v>431780</v>
      </c>
      <c r="I57">
        <f>IF(Sheet1!FI57&lt;&gt;"",Sheet1!FI57,"")</f>
        <v>0</v>
      </c>
      <c r="J57">
        <f ca="1">IF(Sheet1!GI57&lt;&gt;"",Sheet1!GI57,"")</f>
        <v>0</v>
      </c>
    </row>
    <row r="58" spans="1:10" x14ac:dyDescent="0.25">
      <c r="A58" t="str">
        <f>IF(Sheet1!B58&lt;&gt;"",Sheet1!B58,"")</f>
        <v>teachers154</v>
      </c>
      <c r="B58" t="str">
        <f>IF(Sheet1!C58&lt;&gt;"",Sheet1!C58,"")</f>
        <v>SURAJIT KOLEY</v>
      </c>
      <c r="C58" t="str">
        <f>IF(Sheet1!D58&lt;&gt;"",Sheet1!D58,"")</f>
        <v>DURGAPUR JUNIOR BASIC SCHOOL</v>
      </c>
      <c r="D58" t="str">
        <f>IF(Sheet1!E58&lt;&gt;"",Sheet1!E58,"")</f>
        <v>ABPTA</v>
      </c>
      <c r="E58">
        <f>IF(Sheet1!DY58&lt;&gt;"",Sheet1!DY58,"")</f>
        <v>579816</v>
      </c>
      <c r="F58">
        <f>IF(Sheet1!EQ58&lt;&gt;"",Sheet1!EQ58,"")</f>
        <v>36000</v>
      </c>
      <c r="G58">
        <f>IF(Sheet1!EZ58&lt;&gt;"",Sheet1!EZ58,"")</f>
        <v>0</v>
      </c>
      <c r="H58">
        <f>IF(Sheet1!FA58&lt;&gt;"",Sheet1!FA58,"")</f>
        <v>491416</v>
      </c>
      <c r="I58">
        <f>IF(Sheet1!FI58&lt;&gt;"",Sheet1!FI58,"")</f>
        <v>0</v>
      </c>
      <c r="J58">
        <f ca="1">IF(Sheet1!GI58&lt;&gt;"",Sheet1!GI58,"")</f>
        <v>0</v>
      </c>
    </row>
    <row r="59" spans="1:10" x14ac:dyDescent="0.25">
      <c r="A59" t="str">
        <f>IF(Sheet1!B59&lt;&gt;"",Sheet1!B59,"")</f>
        <v>teachers155</v>
      </c>
      <c r="B59" t="str">
        <f>IF(Sheet1!C59&lt;&gt;"",Sheet1!C59,"")</f>
        <v>RAMESH DALUI</v>
      </c>
      <c r="C59" t="str">
        <f>IF(Sheet1!D59&lt;&gt;"",Sheet1!D59,"")</f>
        <v>DURGAPUR JUNIOR BASIC SCHOOL</v>
      </c>
      <c r="D59" t="str">
        <f>IF(Sheet1!E59&lt;&gt;"",Sheet1!E59,"")</f>
        <v>WBTPTA</v>
      </c>
      <c r="E59">
        <f>IF(Sheet1!DY59&lt;&gt;"",Sheet1!DY59,"")</f>
        <v>512180</v>
      </c>
      <c r="F59">
        <f>IF(Sheet1!EQ59&lt;&gt;"",Sheet1!EQ59,"")</f>
        <v>28000</v>
      </c>
      <c r="G59">
        <f>IF(Sheet1!EZ59&lt;&gt;"",Sheet1!EZ59,"")</f>
        <v>0</v>
      </c>
      <c r="H59">
        <f>IF(Sheet1!FA59&lt;&gt;"",Sheet1!FA59,"")</f>
        <v>431780</v>
      </c>
      <c r="I59">
        <f>IF(Sheet1!FI59&lt;&gt;"",Sheet1!FI59,"")</f>
        <v>0</v>
      </c>
      <c r="J59">
        <f ca="1">IF(Sheet1!GI59&lt;&gt;"",Sheet1!GI59,"")</f>
        <v>0</v>
      </c>
    </row>
    <row r="60" spans="1:10" x14ac:dyDescent="0.25">
      <c r="A60" t="str">
        <f>IF(Sheet1!B60&lt;&gt;"",Sheet1!B60,"")</f>
        <v>teachers156</v>
      </c>
      <c r="B60" t="str">
        <f>IF(Sheet1!C60&lt;&gt;"",Sheet1!C60,"")</f>
        <v>LIPI GHOSH</v>
      </c>
      <c r="C60" t="str">
        <f>IF(Sheet1!D60&lt;&gt;"",Sheet1!D60,"")</f>
        <v>DURGAPUR JUNIOR BASIC SCHOOL</v>
      </c>
      <c r="D60" t="str">
        <f>IF(Sheet1!E60&lt;&gt;"",Sheet1!E60,"")</f>
        <v>WBTPTA</v>
      </c>
      <c r="E60">
        <f>IF(Sheet1!DY60&lt;&gt;"",Sheet1!DY60,"")</f>
        <v>512180</v>
      </c>
      <c r="F60">
        <f>IF(Sheet1!EQ60&lt;&gt;"",Sheet1!EQ60,"")</f>
        <v>28000</v>
      </c>
      <c r="G60">
        <f>IF(Sheet1!EZ60&lt;&gt;"",Sheet1!EZ60,"")</f>
        <v>0</v>
      </c>
      <c r="H60">
        <f>IF(Sheet1!FA60&lt;&gt;"",Sheet1!FA60,"")</f>
        <v>431780</v>
      </c>
      <c r="I60">
        <f>IF(Sheet1!FI60&lt;&gt;"",Sheet1!FI60,"")</f>
        <v>0</v>
      </c>
      <c r="J60">
        <f ca="1">IF(Sheet1!GI60&lt;&gt;"",Sheet1!GI60,"")</f>
        <v>0</v>
      </c>
    </row>
    <row r="61" spans="1:10" x14ac:dyDescent="0.25">
      <c r="A61" t="str">
        <f>IF(Sheet1!B61&lt;&gt;"",Sheet1!B61,"")</f>
        <v>teachers157</v>
      </c>
      <c r="B61" t="str">
        <f>IF(Sheet1!C61&lt;&gt;"",Sheet1!C61,"")</f>
        <v>PULAK MITRA</v>
      </c>
      <c r="C61" t="str">
        <f>IF(Sheet1!D61&lt;&gt;"",Sheet1!D61,"")</f>
        <v>DURGAPUR JUNIOR BASIC SCHOOL</v>
      </c>
      <c r="D61" t="str">
        <f>IF(Sheet1!E61&lt;&gt;"",Sheet1!E61,"")</f>
        <v>WBTPTA</v>
      </c>
      <c r="E61">
        <f>IF(Sheet1!DY61&lt;&gt;"",Sheet1!DY61,"")</f>
        <v>415160</v>
      </c>
      <c r="F61">
        <f>IF(Sheet1!EQ61&lt;&gt;"",Sheet1!EQ61,"")</f>
        <v>24000</v>
      </c>
      <c r="G61">
        <f>IF(Sheet1!EZ61&lt;&gt;"",Sheet1!EZ61,"")</f>
        <v>50000</v>
      </c>
      <c r="H61">
        <f>IF(Sheet1!FA61&lt;&gt;"",Sheet1!FA61,"")</f>
        <v>291160</v>
      </c>
      <c r="I61">
        <f>IF(Sheet1!FI61&lt;&gt;"",Sheet1!FI61,"")</f>
        <v>0</v>
      </c>
      <c r="J61">
        <f ca="1">IF(Sheet1!GI61&lt;&gt;"",Sheet1!GI61,"")</f>
        <v>0</v>
      </c>
    </row>
    <row r="62" spans="1:10" x14ac:dyDescent="0.25">
      <c r="A62" t="str">
        <f>IF(Sheet1!B62&lt;&gt;"",Sheet1!B62,"")</f>
        <v>teachers158</v>
      </c>
      <c r="B62" t="str">
        <f>IF(Sheet1!C62&lt;&gt;"",Sheet1!C62,"")</f>
        <v>SAYAN DE</v>
      </c>
      <c r="C62" t="str">
        <f>IF(Sheet1!D62&lt;&gt;"",Sheet1!D62,"")</f>
        <v>GAZIPUR THAKAMOYEE PRIMARY SCHOOL</v>
      </c>
      <c r="D62" t="str">
        <f>IF(Sheet1!E62&lt;&gt;"",Sheet1!E62,"")</f>
        <v>WBTPTA</v>
      </c>
      <c r="E62">
        <f>IF(Sheet1!DY62&lt;&gt;"",Sheet1!DY62,"")</f>
        <v>520557</v>
      </c>
      <c r="F62">
        <f>IF(Sheet1!EQ62&lt;&gt;"",Sheet1!EQ62,"")</f>
        <v>48000</v>
      </c>
      <c r="G62">
        <f>IF(Sheet1!EZ62&lt;&gt;"",Sheet1!EZ62,"")</f>
        <v>0</v>
      </c>
      <c r="H62">
        <f>IF(Sheet1!FA62&lt;&gt;"",Sheet1!FA62,"")</f>
        <v>420157</v>
      </c>
      <c r="I62">
        <f>IF(Sheet1!FI62&lt;&gt;"",Sheet1!FI62,"")</f>
        <v>0</v>
      </c>
      <c r="J62">
        <f ca="1">IF(Sheet1!GI62&lt;&gt;"",Sheet1!GI62,"")</f>
        <v>0</v>
      </c>
    </row>
    <row r="63" spans="1:10" x14ac:dyDescent="0.25">
      <c r="A63" t="str">
        <f>IF(Sheet1!B63&lt;&gt;"",Sheet1!B63,"")</f>
        <v>teachers159</v>
      </c>
      <c r="B63" t="str">
        <f>IF(Sheet1!C63&lt;&gt;"",Sheet1!C63,"")</f>
        <v>SHUVENDU MANNA</v>
      </c>
      <c r="C63" t="str">
        <f>IF(Sheet1!D63&lt;&gt;"",Sheet1!D63,"")</f>
        <v>GAZIPUR THAKAMOYEE PRIMARY SCHOOL</v>
      </c>
      <c r="D63" t="str">
        <f>IF(Sheet1!E63&lt;&gt;"",Sheet1!E63,"")</f>
        <v>ABPTA</v>
      </c>
      <c r="E63">
        <f>IF(Sheet1!DY63&lt;&gt;"",Sheet1!DY63,"")</f>
        <v>512180</v>
      </c>
      <c r="F63">
        <f>IF(Sheet1!EQ63&lt;&gt;"",Sheet1!EQ63,"")</f>
        <v>28000</v>
      </c>
      <c r="G63">
        <f>IF(Sheet1!EZ63&lt;&gt;"",Sheet1!EZ63,"")</f>
        <v>0</v>
      </c>
      <c r="H63">
        <f>IF(Sheet1!FA63&lt;&gt;"",Sheet1!FA63,"")</f>
        <v>431780</v>
      </c>
      <c r="I63">
        <f>IF(Sheet1!FI63&lt;&gt;"",Sheet1!FI63,"")</f>
        <v>0</v>
      </c>
      <c r="J63">
        <f ca="1">IF(Sheet1!GI63&lt;&gt;"",Sheet1!GI63,"")</f>
        <v>0</v>
      </c>
    </row>
    <row r="64" spans="1:10" x14ac:dyDescent="0.25">
      <c r="A64" t="str">
        <f>IF(Sheet1!B64&lt;&gt;"",Sheet1!B64,"")</f>
        <v>teachers160</v>
      </c>
      <c r="B64" t="str">
        <f>IF(Sheet1!C64&lt;&gt;"",Sheet1!C64,"")</f>
        <v>PARTHA SARATHI CHANDRA</v>
      </c>
      <c r="C64" t="str">
        <f>IF(Sheet1!D64&lt;&gt;"",Sheet1!D64,"")</f>
        <v>GAZIPUR THAKAMOYEE PRIMARY SCHOOL</v>
      </c>
      <c r="D64" t="str">
        <f>IF(Sheet1!E64&lt;&gt;"",Sheet1!E64,"")</f>
        <v>WBTPTA</v>
      </c>
      <c r="E64">
        <f>IF(Sheet1!DY64&lt;&gt;"",Sheet1!DY64,"")</f>
        <v>506180</v>
      </c>
      <c r="F64">
        <f>IF(Sheet1!EQ64&lt;&gt;"",Sheet1!EQ64,"")</f>
        <v>28000</v>
      </c>
      <c r="G64">
        <f>IF(Sheet1!EZ64&lt;&gt;"",Sheet1!EZ64,"")</f>
        <v>0</v>
      </c>
      <c r="H64">
        <f>IF(Sheet1!FA64&lt;&gt;"",Sheet1!FA64,"")</f>
        <v>425880</v>
      </c>
      <c r="I64">
        <f>IF(Sheet1!FI64&lt;&gt;"",Sheet1!FI64,"")</f>
        <v>0</v>
      </c>
      <c r="J64">
        <f ca="1">IF(Sheet1!GI64&lt;&gt;"",Sheet1!GI64,"")</f>
        <v>0</v>
      </c>
    </row>
    <row r="65" spans="1:10" x14ac:dyDescent="0.25">
      <c r="A65" t="str">
        <f>IF(Sheet1!B65&lt;&gt;"",Sheet1!B65,"")</f>
        <v>teachers161</v>
      </c>
      <c r="B65" t="str">
        <f>IF(Sheet1!C65&lt;&gt;"",Sheet1!C65,"")</f>
        <v>SAUMEN MANDAL</v>
      </c>
      <c r="C65" t="str">
        <f>IF(Sheet1!D65&lt;&gt;"",Sheet1!D65,"")</f>
        <v>GAZIPUR THAKAMOYEE PRIMARY SCHOOL</v>
      </c>
      <c r="D65" t="str">
        <f>IF(Sheet1!E65&lt;&gt;"",Sheet1!E65,"")</f>
        <v>ABPTA</v>
      </c>
      <c r="E65">
        <f>IF(Sheet1!DY65&lt;&gt;"",Sheet1!DY65,"")</f>
        <v>506180</v>
      </c>
      <c r="F65">
        <f>IF(Sheet1!EQ65&lt;&gt;"",Sheet1!EQ65,"")</f>
        <v>28000</v>
      </c>
      <c r="G65">
        <f>IF(Sheet1!EZ65&lt;&gt;"",Sheet1!EZ65,"")</f>
        <v>0</v>
      </c>
      <c r="H65">
        <f>IF(Sheet1!FA65&lt;&gt;"",Sheet1!FA65,"")</f>
        <v>425880</v>
      </c>
      <c r="I65">
        <f>IF(Sheet1!FI65&lt;&gt;"",Sheet1!FI65,"")</f>
        <v>0</v>
      </c>
      <c r="J65">
        <f ca="1">IF(Sheet1!GI65&lt;&gt;"",Sheet1!GI65,"")</f>
        <v>0</v>
      </c>
    </row>
    <row r="66" spans="1:10" x14ac:dyDescent="0.25">
      <c r="A66" t="str">
        <f>IF(Sheet1!B66&lt;&gt;"",Sheet1!B66,"")</f>
        <v>teachers162</v>
      </c>
      <c r="B66" t="str">
        <f>IF(Sheet1!C66&lt;&gt;"",Sheet1!C66,"")</f>
        <v>HEMA HALDER</v>
      </c>
      <c r="C66" t="str">
        <f>IF(Sheet1!D66&lt;&gt;"",Sheet1!D66,"")</f>
        <v>GAZIPUR THAKAMOYEE PRIMARY SCHOOL</v>
      </c>
      <c r="D66" t="str">
        <f>IF(Sheet1!E66&lt;&gt;"",Sheet1!E66,"")</f>
        <v>WBTPTA</v>
      </c>
      <c r="E66">
        <f>IF(Sheet1!DY66&lt;&gt;"",Sheet1!DY66,"")</f>
        <v>415160</v>
      </c>
      <c r="F66">
        <f>IF(Sheet1!EQ66&lt;&gt;"",Sheet1!EQ66,"")</f>
        <v>24000</v>
      </c>
      <c r="G66">
        <f>IF(Sheet1!EZ66&lt;&gt;"",Sheet1!EZ66,"")</f>
        <v>0</v>
      </c>
      <c r="H66">
        <f>IF(Sheet1!FA66&lt;&gt;"",Sheet1!FA66,"")</f>
        <v>339360</v>
      </c>
      <c r="I66">
        <f>IF(Sheet1!FI66&lt;&gt;"",Sheet1!FI66,"")</f>
        <v>0</v>
      </c>
      <c r="J66">
        <f ca="1">IF(Sheet1!GI66&lt;&gt;"",Sheet1!GI66,"")</f>
        <v>0</v>
      </c>
    </row>
    <row r="67" spans="1:10" x14ac:dyDescent="0.25">
      <c r="A67" t="str">
        <f>IF(Sheet1!B67&lt;&gt;"",Sheet1!B67,"")</f>
        <v>teachers398-7bc9c6b0</v>
      </c>
      <c r="B67" t="str">
        <f>IF(Sheet1!C67&lt;&gt;"",Sheet1!C67,"")</f>
        <v>BITHIKA MAJUMDER</v>
      </c>
      <c r="C67" t="str">
        <f>IF(Sheet1!D67&lt;&gt;"",Sheet1!D67,"")</f>
        <v>GAZIPUR THAKAMOYEE PRIMARY SCHOOL</v>
      </c>
      <c r="D67" t="str">
        <f>IF(Sheet1!E67&lt;&gt;"",Sheet1!E67,"")</f>
        <v>NOT WBTPTA</v>
      </c>
      <c r="E67">
        <f>IF(Sheet1!DY67&lt;&gt;"",Sheet1!DY67,"")</f>
        <v>470456</v>
      </c>
      <c r="F67">
        <f>IF(Sheet1!EQ67&lt;&gt;"",Sheet1!EQ67,"")</f>
        <v>24000</v>
      </c>
      <c r="G67">
        <f>IF(Sheet1!EZ67&lt;&gt;"",Sheet1!EZ67,"")</f>
        <v>0</v>
      </c>
      <c r="H67">
        <f>IF(Sheet1!FA67&lt;&gt;"",Sheet1!FA67,"")</f>
        <v>394606</v>
      </c>
      <c r="I67">
        <f>IF(Sheet1!FI67&lt;&gt;"",Sheet1!FI67,"")</f>
        <v>0</v>
      </c>
      <c r="J67">
        <f ca="1">IF(Sheet1!GI67&lt;&gt;"",Sheet1!GI67,"")</f>
        <v>0</v>
      </c>
    </row>
    <row r="68" spans="1:10" x14ac:dyDescent="0.25">
      <c r="A68" t="str">
        <f>IF(Sheet1!B68&lt;&gt;"",Sheet1!B68,"")</f>
        <v>teachers163</v>
      </c>
      <c r="B68" t="str">
        <f>IF(Sheet1!C68&lt;&gt;"",Sheet1!C68,"")</f>
        <v>JAKIA SULTANA</v>
      </c>
      <c r="C68" t="str">
        <f>IF(Sheet1!D68&lt;&gt;"",Sheet1!D68,"")</f>
        <v>GAZIPUR THAKAMOYEE PRIMARY SCHOOL</v>
      </c>
      <c r="D68" t="str">
        <f>IF(Sheet1!E68&lt;&gt;"",Sheet1!E68,"")</f>
        <v>WBTPTA</v>
      </c>
      <c r="E68">
        <f>IF(Sheet1!DY68&lt;&gt;"",Sheet1!DY68,"")</f>
        <v>406054</v>
      </c>
      <c r="F68">
        <f>IF(Sheet1!EQ68&lt;&gt;"",Sheet1!EQ68,"")</f>
        <v>0</v>
      </c>
      <c r="G68">
        <f>IF(Sheet1!EZ68&lt;&gt;"",Sheet1!EZ68,"")</f>
        <v>0</v>
      </c>
      <c r="H68">
        <f>IF(Sheet1!FA68&lt;&gt;"",Sheet1!FA68,"")</f>
        <v>354404</v>
      </c>
      <c r="I68">
        <f>IF(Sheet1!FI68&lt;&gt;"",Sheet1!FI68,"")</f>
        <v>0</v>
      </c>
      <c r="J68">
        <f ca="1">IF(Sheet1!GI68&lt;&gt;"",Sheet1!GI68,"")</f>
        <v>0</v>
      </c>
    </row>
    <row r="69" spans="1:10" x14ac:dyDescent="0.25">
      <c r="A69" t="str">
        <f>IF(Sheet1!B69&lt;&gt;"",Sheet1!B69,"")</f>
        <v>teachers164</v>
      </c>
      <c r="B69" t="str">
        <f>IF(Sheet1!C69&lt;&gt;"",Sheet1!C69,"")</f>
        <v>APURBA PRODHAN</v>
      </c>
      <c r="C69" t="str">
        <f>IF(Sheet1!D69&lt;&gt;"",Sheet1!D69,"")</f>
        <v>GHANASHYAMCHAK PRIMARY SCHOOL</v>
      </c>
      <c r="D69" t="str">
        <f>IF(Sheet1!E69&lt;&gt;"",Sheet1!E69,"")</f>
        <v>WBTPTA</v>
      </c>
      <c r="E69">
        <f>IF(Sheet1!DY69&lt;&gt;"",Sheet1!DY69,"")</f>
        <v>782936</v>
      </c>
      <c r="F69">
        <f>IF(Sheet1!EQ69&lt;&gt;"",Sheet1!EQ69,"")</f>
        <v>120720</v>
      </c>
      <c r="G69">
        <f>IF(Sheet1!EZ69&lt;&gt;"",Sheet1!EZ69,"")</f>
        <v>0</v>
      </c>
      <c r="H69">
        <f>IF(Sheet1!FA69&lt;&gt;"",Sheet1!FA69,"")</f>
        <v>609816</v>
      </c>
      <c r="I69">
        <f>IF(Sheet1!FI69&lt;&gt;"",Sheet1!FI69,"")</f>
        <v>35842</v>
      </c>
      <c r="J69">
        <f ca="1">IF(Sheet1!GI69&lt;&gt;"",Sheet1!GI69,"")</f>
        <v>8955</v>
      </c>
    </row>
    <row r="70" spans="1:10" x14ac:dyDescent="0.25">
      <c r="A70" t="str">
        <f>IF(Sheet1!B70&lt;&gt;"",Sheet1!B70,"")</f>
        <v>teachers165</v>
      </c>
      <c r="B70" t="str">
        <f>IF(Sheet1!C70&lt;&gt;"",Sheet1!C70,"")</f>
        <v>DALI KHAN</v>
      </c>
      <c r="C70" t="str">
        <f>IF(Sheet1!D70&lt;&gt;"",Sheet1!D70,"")</f>
        <v>GHANASHYAMCHAK PRIMARY SCHOOL</v>
      </c>
      <c r="D70" t="str">
        <f>IF(Sheet1!E70&lt;&gt;"",Sheet1!E70,"")</f>
        <v>ABPTA</v>
      </c>
      <c r="E70">
        <f>IF(Sheet1!DY70&lt;&gt;"",Sheet1!DY70,"")</f>
        <v>575016</v>
      </c>
      <c r="F70">
        <f>IF(Sheet1!EQ70&lt;&gt;"",Sheet1!EQ70,"")</f>
        <v>48000</v>
      </c>
      <c r="G70">
        <f>IF(Sheet1!EZ70&lt;&gt;"",Sheet1!EZ70,"")</f>
        <v>0</v>
      </c>
      <c r="H70">
        <f>IF(Sheet1!FA70&lt;&gt;"",Sheet1!FA70,"")</f>
        <v>474616</v>
      </c>
      <c r="I70">
        <f>IF(Sheet1!FI70&lt;&gt;"",Sheet1!FI70,"")</f>
        <v>0</v>
      </c>
      <c r="J70">
        <f ca="1">IF(Sheet1!GI70&lt;&gt;"",Sheet1!GI70,"")</f>
        <v>0</v>
      </c>
    </row>
    <row r="71" spans="1:10" x14ac:dyDescent="0.25">
      <c r="A71" t="str">
        <f>IF(Sheet1!B71&lt;&gt;"",Sheet1!B71,"")</f>
        <v>teachers166</v>
      </c>
      <c r="B71" t="str">
        <f>IF(Sheet1!C71&lt;&gt;"",Sheet1!C71,"")</f>
        <v>BIKASH CHANDRA JANA</v>
      </c>
      <c r="C71" t="str">
        <f>IF(Sheet1!D71&lt;&gt;"",Sheet1!D71,"")</f>
        <v>GHARDUBRA MONIMOHAN PRIMARY SCHOOL</v>
      </c>
      <c r="D71" t="str">
        <f>IF(Sheet1!E71&lt;&gt;"",Sheet1!E71,"")</f>
        <v>ABPTA</v>
      </c>
      <c r="E71">
        <f>IF(Sheet1!DY71&lt;&gt;"",Sheet1!DY71,"")</f>
        <v>782936</v>
      </c>
      <c r="F71">
        <f>IF(Sheet1!EQ71&lt;&gt;"",Sheet1!EQ71,"")</f>
        <v>48000</v>
      </c>
      <c r="G71">
        <f>IF(Sheet1!EZ71&lt;&gt;"",Sheet1!EZ71,"")</f>
        <v>0</v>
      </c>
      <c r="H71">
        <f>IF(Sheet1!FA71&lt;&gt;"",Sheet1!FA71,"")</f>
        <v>682536</v>
      </c>
      <c r="I71">
        <f>IF(Sheet1!FI71&lt;&gt;"",Sheet1!FI71,"")</f>
        <v>50967</v>
      </c>
      <c r="J71">
        <f ca="1">IF(Sheet1!GI71&lt;&gt;"",Sheet1!GI71,"")</f>
        <v>8946</v>
      </c>
    </row>
    <row r="72" spans="1:10" x14ac:dyDescent="0.25">
      <c r="A72" t="str">
        <f>IF(Sheet1!B72&lt;&gt;"",Sheet1!B72,"")</f>
        <v>teachers167</v>
      </c>
      <c r="B72" t="str">
        <f>IF(Sheet1!C72&lt;&gt;"",Sheet1!C72,"")</f>
        <v>SUKANTA GUCHAIT</v>
      </c>
      <c r="C72" t="str">
        <f>IF(Sheet1!D72&lt;&gt;"",Sheet1!D72,"")</f>
        <v>GHARDUBRA MONIMOHAN PRIMARY SCHOOL</v>
      </c>
      <c r="D72" t="str">
        <f>IF(Sheet1!E72&lt;&gt;"",Sheet1!E72,"")</f>
        <v>WBTPTA</v>
      </c>
      <c r="E72">
        <f>IF(Sheet1!DY72&lt;&gt;"",Sheet1!DY72,"")</f>
        <v>514823</v>
      </c>
      <c r="F72">
        <f>IF(Sheet1!EQ72&lt;&gt;"",Sheet1!EQ72,"")</f>
        <v>28000</v>
      </c>
      <c r="G72">
        <f>IF(Sheet1!EZ72&lt;&gt;"",Sheet1!EZ72,"")</f>
        <v>0</v>
      </c>
      <c r="H72">
        <f>IF(Sheet1!FA72&lt;&gt;"",Sheet1!FA72,"")</f>
        <v>434423</v>
      </c>
      <c r="I72">
        <f>IF(Sheet1!FI72&lt;&gt;"",Sheet1!FI72,"")</f>
        <v>0</v>
      </c>
      <c r="J72">
        <f ca="1">IF(Sheet1!GI72&lt;&gt;"",Sheet1!GI72,"")</f>
        <v>0</v>
      </c>
    </row>
    <row r="73" spans="1:10" x14ac:dyDescent="0.25">
      <c r="A73" t="str">
        <f>IF(Sheet1!B73&lt;&gt;"",Sheet1!B73,"")</f>
        <v>teachers168</v>
      </c>
      <c r="B73" t="str">
        <f>IF(Sheet1!C73&lt;&gt;"",Sheet1!C73,"")</f>
        <v>MOLLA MD MAHASIN</v>
      </c>
      <c r="C73" t="str">
        <f>IF(Sheet1!D73&lt;&gt;"",Sheet1!D73,"")</f>
        <v>GHARDUBRA MONIMOHAN PRIMARY SCHOOL</v>
      </c>
      <c r="D73" t="str">
        <f>IF(Sheet1!E73&lt;&gt;"",Sheet1!E73,"")</f>
        <v>WBTPTA</v>
      </c>
      <c r="E73">
        <f>IF(Sheet1!DY73&lt;&gt;"",Sheet1!DY73,"")</f>
        <v>512180</v>
      </c>
      <c r="F73">
        <f>IF(Sheet1!EQ73&lt;&gt;"",Sheet1!EQ73,"")</f>
        <v>28000</v>
      </c>
      <c r="G73">
        <f>IF(Sheet1!EZ73&lt;&gt;"",Sheet1!EZ73,"")</f>
        <v>0</v>
      </c>
      <c r="H73">
        <f>IF(Sheet1!FA73&lt;&gt;"",Sheet1!FA73,"")</f>
        <v>431780</v>
      </c>
      <c r="I73">
        <f>IF(Sheet1!FI73&lt;&gt;"",Sheet1!FI73,"")</f>
        <v>0</v>
      </c>
      <c r="J73">
        <f ca="1">IF(Sheet1!GI73&lt;&gt;"",Sheet1!GI73,"")</f>
        <v>0</v>
      </c>
    </row>
    <row r="74" spans="1:10" x14ac:dyDescent="0.25">
      <c r="A74" t="str">
        <f>IF(Sheet1!B74&lt;&gt;"",Sheet1!B74,"")</f>
        <v>teachers169</v>
      </c>
      <c r="B74" t="str">
        <f>IF(Sheet1!C74&lt;&gt;"",Sheet1!C74,"")</f>
        <v>UTPAL KUMAR SHEE</v>
      </c>
      <c r="C74" t="str">
        <f>IF(Sheet1!D74&lt;&gt;"",Sheet1!D74,"")</f>
        <v>GHOLEDWIPA PRIMARY SCHOOL</v>
      </c>
      <c r="D74" t="str">
        <f>IF(Sheet1!E74&lt;&gt;"",Sheet1!E74,"")</f>
        <v>ABPTA</v>
      </c>
      <c r="E74">
        <f>IF(Sheet1!DY74&lt;&gt;"",Sheet1!DY74,"")</f>
        <v>738196</v>
      </c>
      <c r="F74">
        <f>IF(Sheet1!EQ74&lt;&gt;"",Sheet1!EQ74,"")</f>
        <v>72000</v>
      </c>
      <c r="G74">
        <f>IF(Sheet1!EZ74&lt;&gt;"",Sheet1!EZ74,"")</f>
        <v>0</v>
      </c>
      <c r="H74">
        <f>IF(Sheet1!FA74&lt;&gt;"",Sheet1!FA74,"")</f>
        <v>613796</v>
      </c>
      <c r="I74">
        <f>IF(Sheet1!FI74&lt;&gt;"",Sheet1!FI74,"")</f>
        <v>36669</v>
      </c>
      <c r="J74">
        <f ca="1">IF(Sheet1!GI74&lt;&gt;"",Sheet1!GI74,"")</f>
        <v>0</v>
      </c>
    </row>
    <row r="75" spans="1:10" x14ac:dyDescent="0.25">
      <c r="A75" t="str">
        <f>IF(Sheet1!B75&lt;&gt;"",Sheet1!B75,"")</f>
        <v>teachers170</v>
      </c>
      <c r="B75" t="str">
        <f>IF(Sheet1!C75&lt;&gt;"",Sheet1!C75,"")</f>
        <v>SWAPAN PATRA</v>
      </c>
      <c r="C75" t="str">
        <f>IF(Sheet1!D75&lt;&gt;"",Sheet1!D75,"")</f>
        <v>GHOLEDWIPA PRIMARY SCHOOL</v>
      </c>
      <c r="D75" t="str">
        <f>IF(Sheet1!E75&lt;&gt;"",Sheet1!E75,"")</f>
        <v>WBTPTA</v>
      </c>
      <c r="E75">
        <f>IF(Sheet1!DY75&lt;&gt;"",Sheet1!DY75,"")</f>
        <v>706284</v>
      </c>
      <c r="F75">
        <f>IF(Sheet1!EQ75&lt;&gt;"",Sheet1!EQ75,"")</f>
        <v>36000</v>
      </c>
      <c r="G75">
        <f>IF(Sheet1!EZ75&lt;&gt;"",Sheet1!EZ75,"")</f>
        <v>0</v>
      </c>
      <c r="H75">
        <f>IF(Sheet1!FA75&lt;&gt;"",Sheet1!FA75,"")</f>
        <v>617884</v>
      </c>
      <c r="I75">
        <f>IF(Sheet1!FI75&lt;&gt;"",Sheet1!FI75,"")</f>
        <v>37520</v>
      </c>
      <c r="J75">
        <f ca="1">IF(Sheet1!GI75&lt;&gt;"",Sheet1!GI75,"")</f>
        <v>0</v>
      </c>
    </row>
    <row r="76" spans="1:10" x14ac:dyDescent="0.25">
      <c r="A76" t="str">
        <f>IF(Sheet1!B76&lt;&gt;"",Sheet1!B76,"")</f>
        <v>teachers390-79bf2ea7</v>
      </c>
      <c r="B76" t="str">
        <f>IF(Sheet1!C76&lt;&gt;"",Sheet1!C76,"")</f>
        <v>SHAIKH MAHAMMAD ALI</v>
      </c>
      <c r="C76" t="str">
        <f>IF(Sheet1!D76&lt;&gt;"",Sheet1!D76,"")</f>
        <v>GHOLEDWIPA PRIMARY SCHOOL</v>
      </c>
      <c r="D76" t="str">
        <f>IF(Sheet1!E76&lt;&gt;"",Sheet1!E76,"")</f>
        <v>WBTPTA</v>
      </c>
      <c r="E76">
        <f>IF(Sheet1!DY76&lt;&gt;"",Sheet1!DY76,"")</f>
        <v>147156</v>
      </c>
      <c r="F76">
        <f>IF(Sheet1!EQ76&lt;&gt;"",Sheet1!EQ76,"")</f>
        <v>0</v>
      </c>
      <c r="G76">
        <f>IF(Sheet1!EZ76&lt;&gt;"",Sheet1!EZ76,"")</f>
        <v>0</v>
      </c>
      <c r="H76">
        <f>IF(Sheet1!FA76&lt;&gt;"",Sheet1!FA76,"")</f>
        <v>96556</v>
      </c>
      <c r="I76">
        <f>IF(Sheet1!FI76&lt;&gt;"",Sheet1!FI76,"")</f>
        <v>0</v>
      </c>
      <c r="J76">
        <f ca="1">IF(Sheet1!GI76&lt;&gt;"",Sheet1!GI76,"")</f>
        <v>0</v>
      </c>
    </row>
    <row r="77" spans="1:10" x14ac:dyDescent="0.25">
      <c r="A77" t="str">
        <f>IF(Sheet1!B77&lt;&gt;"",Sheet1!B77,"")</f>
        <v>teachers171</v>
      </c>
      <c r="B77" t="str">
        <f>IF(Sheet1!C77&lt;&gt;"",Sheet1!C77,"")</f>
        <v>PALASH KUMAR MONDAL</v>
      </c>
      <c r="C77" t="str">
        <f>IF(Sheet1!D77&lt;&gt;"",Sheet1!D77,"")</f>
        <v>HANIDHARA PRIMARY SCHOOL</v>
      </c>
      <c r="D77" t="str">
        <f>IF(Sheet1!E77&lt;&gt;"",Sheet1!E77,"")</f>
        <v>WBPTA</v>
      </c>
      <c r="E77">
        <f>IF(Sheet1!DY77&lt;&gt;"",Sheet1!DY77,"")</f>
        <v>516980</v>
      </c>
      <c r="F77">
        <f>IF(Sheet1!EQ77&lt;&gt;"",Sheet1!EQ77,"")</f>
        <v>36000</v>
      </c>
      <c r="G77">
        <f>IF(Sheet1!EZ77&lt;&gt;"",Sheet1!EZ77,"")</f>
        <v>0</v>
      </c>
      <c r="H77">
        <f>IF(Sheet1!FA77&lt;&gt;"",Sheet1!FA77,"")</f>
        <v>428580</v>
      </c>
      <c r="I77">
        <f>IF(Sheet1!FI77&lt;&gt;"",Sheet1!FI77,"")</f>
        <v>0</v>
      </c>
      <c r="J77">
        <f ca="1">IF(Sheet1!GI77&lt;&gt;"",Sheet1!GI77,"")</f>
        <v>0</v>
      </c>
    </row>
    <row r="78" spans="1:10" x14ac:dyDescent="0.25">
      <c r="A78" t="str">
        <f>IF(Sheet1!B78&lt;&gt;"",Sheet1!B78,"")</f>
        <v>teachers172</v>
      </c>
      <c r="B78" t="str">
        <f>IF(Sheet1!C78&lt;&gt;"",Sheet1!C78,"")</f>
        <v>LABANYA MONDAL</v>
      </c>
      <c r="C78" t="str">
        <f>IF(Sheet1!D78&lt;&gt;"",Sheet1!D78,"")</f>
        <v>HANIDHARA PRIMARY SCHOOL</v>
      </c>
      <c r="D78" t="str">
        <f>IF(Sheet1!E78&lt;&gt;"",Sheet1!E78,"")</f>
        <v>WBTPTA</v>
      </c>
      <c r="E78">
        <f>IF(Sheet1!DY78&lt;&gt;"",Sheet1!DY78,"")</f>
        <v>515798</v>
      </c>
      <c r="F78">
        <f>IF(Sheet1!EQ78&lt;&gt;"",Sheet1!EQ78,"")</f>
        <v>28000</v>
      </c>
      <c r="G78">
        <f>IF(Sheet1!EZ78&lt;&gt;"",Sheet1!EZ78,"")</f>
        <v>0</v>
      </c>
      <c r="H78">
        <f>IF(Sheet1!FA78&lt;&gt;"",Sheet1!FA78,"")</f>
        <v>435398</v>
      </c>
      <c r="I78">
        <f>IF(Sheet1!FI78&lt;&gt;"",Sheet1!FI78,"")</f>
        <v>0</v>
      </c>
      <c r="J78">
        <f ca="1">IF(Sheet1!GI78&lt;&gt;"",Sheet1!GI78,"")</f>
        <v>0</v>
      </c>
    </row>
    <row r="79" spans="1:10" x14ac:dyDescent="0.25">
      <c r="A79" t="str">
        <f>IF(Sheet1!B79&lt;&gt;"",Sheet1!B79,"")</f>
        <v>teachers173</v>
      </c>
      <c r="B79" t="str">
        <f>IF(Sheet1!C79&lt;&gt;"",Sheet1!C79,"")</f>
        <v>SUSHANTA BACHAR</v>
      </c>
      <c r="C79" t="str">
        <f>IF(Sheet1!D79&lt;&gt;"",Sheet1!D79,"")</f>
        <v>HANIDHARA PRIMARY SCHOOL</v>
      </c>
      <c r="D79" t="str">
        <f>IF(Sheet1!E79&lt;&gt;"",Sheet1!E79,"")</f>
        <v>WBTPTA</v>
      </c>
      <c r="E79">
        <f>IF(Sheet1!DY79&lt;&gt;"",Sheet1!DY79,"")</f>
        <v>415160</v>
      </c>
      <c r="F79">
        <f>IF(Sheet1!EQ79&lt;&gt;"",Sheet1!EQ79,"")</f>
        <v>24000</v>
      </c>
      <c r="G79">
        <f>IF(Sheet1!EZ79&lt;&gt;"",Sheet1!EZ79,"")</f>
        <v>0</v>
      </c>
      <c r="H79">
        <f>IF(Sheet1!FA79&lt;&gt;"",Sheet1!FA79,"")</f>
        <v>339360</v>
      </c>
      <c r="I79">
        <f>IF(Sheet1!FI79&lt;&gt;"",Sheet1!FI79,"")</f>
        <v>0</v>
      </c>
      <c r="J79">
        <f ca="1">IF(Sheet1!GI79&lt;&gt;"",Sheet1!GI79,"")</f>
        <v>0</v>
      </c>
    </row>
    <row r="80" spans="1:10" x14ac:dyDescent="0.25">
      <c r="A80" t="str">
        <f>IF(Sheet1!B80&lt;&gt;"",Sheet1!B80,"")</f>
        <v>teachers174</v>
      </c>
      <c r="B80" t="str">
        <f>IF(Sheet1!C80&lt;&gt;"",Sheet1!C80,"")</f>
        <v>MALAYASISH BACHHAR</v>
      </c>
      <c r="C80" t="str">
        <f>IF(Sheet1!D80&lt;&gt;"",Sheet1!D80,"")</f>
        <v>HANIDHARA PRIMARY SCHOOL</v>
      </c>
      <c r="D80" t="str">
        <f>IF(Sheet1!E80&lt;&gt;"",Sheet1!E80,"")</f>
        <v>WBTPTA</v>
      </c>
      <c r="E80">
        <f>IF(Sheet1!DY80&lt;&gt;"",Sheet1!DY80,"")</f>
        <v>415160</v>
      </c>
      <c r="F80">
        <f>IF(Sheet1!EQ80&lt;&gt;"",Sheet1!EQ80,"")</f>
        <v>24000</v>
      </c>
      <c r="G80">
        <f>IF(Sheet1!EZ80&lt;&gt;"",Sheet1!EZ80,"")</f>
        <v>0</v>
      </c>
      <c r="H80">
        <f>IF(Sheet1!FA80&lt;&gt;"",Sheet1!FA80,"")</f>
        <v>339360</v>
      </c>
      <c r="I80">
        <f>IF(Sheet1!FI80&lt;&gt;"",Sheet1!FI80,"")</f>
        <v>0</v>
      </c>
      <c r="J80">
        <f ca="1">IF(Sheet1!GI80&lt;&gt;"",Sheet1!GI80,"")</f>
        <v>0</v>
      </c>
    </row>
    <row r="81" spans="1:10" x14ac:dyDescent="0.25">
      <c r="A81" t="str">
        <f>IF(Sheet1!B81&lt;&gt;"",Sheet1!B81,"")</f>
        <v>teachers175</v>
      </c>
      <c r="B81" t="str">
        <f>IF(Sheet1!C81&lt;&gt;"",Sheet1!C81,"")</f>
        <v>SARMISTHA BAG</v>
      </c>
      <c r="C81" t="str">
        <f>IF(Sheet1!D81&lt;&gt;"",Sheet1!D81,"")</f>
        <v>HANIDHARA PRIMARY SCHOOL</v>
      </c>
      <c r="D81" t="str">
        <f>IF(Sheet1!E81&lt;&gt;"",Sheet1!E81,"")</f>
        <v>WBTPTA</v>
      </c>
      <c r="E81">
        <f>IF(Sheet1!DY81&lt;&gt;"",Sheet1!DY81,"")</f>
        <v>400554</v>
      </c>
      <c r="F81">
        <f>IF(Sheet1!EQ81&lt;&gt;"",Sheet1!EQ81,"")</f>
        <v>2000</v>
      </c>
      <c r="G81">
        <f>IF(Sheet1!EZ81&lt;&gt;"",Sheet1!EZ81,"")</f>
        <v>0</v>
      </c>
      <c r="H81">
        <f>IF(Sheet1!FA81&lt;&gt;"",Sheet1!FA81,"")</f>
        <v>346904</v>
      </c>
      <c r="I81">
        <f>IF(Sheet1!FI81&lt;&gt;"",Sheet1!FI81,"")</f>
        <v>0</v>
      </c>
      <c r="J81">
        <f ca="1">IF(Sheet1!GI81&lt;&gt;"",Sheet1!GI81,"")</f>
        <v>0</v>
      </c>
    </row>
    <row r="82" spans="1:10" x14ac:dyDescent="0.25">
      <c r="A82" t="str">
        <f>IF(Sheet1!B82&lt;&gt;"",Sheet1!B82,"")</f>
        <v>teachers176</v>
      </c>
      <c r="B82" t="str">
        <f>IF(Sheet1!C82&lt;&gt;"",Sheet1!C82,"")</f>
        <v>SUBHANKAR GHOSH</v>
      </c>
      <c r="C82" t="str">
        <f>IF(Sheet1!D82&lt;&gt;"",Sheet1!D82,"")</f>
        <v>HAZRABERIA PRIMARY SCHOOL</v>
      </c>
      <c r="D82" t="str">
        <f>IF(Sheet1!E82&lt;&gt;"",Sheet1!E82,"")</f>
        <v>WBTPTA</v>
      </c>
      <c r="E82">
        <f>IF(Sheet1!DY82&lt;&gt;"",Sheet1!DY82,"")</f>
        <v>516980</v>
      </c>
      <c r="F82">
        <f>IF(Sheet1!EQ82&lt;&gt;"",Sheet1!EQ82,"")</f>
        <v>28000</v>
      </c>
      <c r="G82">
        <f>IF(Sheet1!EZ82&lt;&gt;"",Sheet1!EZ82,"")</f>
        <v>0</v>
      </c>
      <c r="H82">
        <f>IF(Sheet1!FA82&lt;&gt;"",Sheet1!FA82,"")</f>
        <v>436580</v>
      </c>
      <c r="I82">
        <f>IF(Sheet1!FI82&lt;&gt;"",Sheet1!FI82,"")</f>
        <v>0</v>
      </c>
      <c r="J82">
        <f ca="1">IF(Sheet1!GI82&lt;&gt;"",Sheet1!GI82,"")</f>
        <v>0</v>
      </c>
    </row>
    <row r="83" spans="1:10" x14ac:dyDescent="0.25">
      <c r="A83" t="str">
        <f>IF(Sheet1!B83&lt;&gt;"",Sheet1!B83,"")</f>
        <v>teachers177</v>
      </c>
      <c r="B83" t="str">
        <f>IF(Sheet1!C83&lt;&gt;"",Sheet1!C83,"")</f>
        <v>SUMON GOLUI</v>
      </c>
      <c r="C83" t="str">
        <f>IF(Sheet1!D83&lt;&gt;"",Sheet1!D83,"")</f>
        <v>HAZRABERIA PRIMARY SCHOOL</v>
      </c>
      <c r="D83" t="str">
        <f>IF(Sheet1!E83&lt;&gt;"",Sheet1!E83,"")</f>
        <v>WBTPTA</v>
      </c>
      <c r="E83">
        <f>IF(Sheet1!DY83&lt;&gt;"",Sheet1!DY83,"")</f>
        <v>506180</v>
      </c>
      <c r="F83">
        <f>IF(Sheet1!EQ83&lt;&gt;"",Sheet1!EQ83,"")</f>
        <v>28000</v>
      </c>
      <c r="G83">
        <f>IF(Sheet1!EZ83&lt;&gt;"",Sheet1!EZ83,"")</f>
        <v>0</v>
      </c>
      <c r="H83">
        <f>IF(Sheet1!FA83&lt;&gt;"",Sheet1!FA83,"")</f>
        <v>425880</v>
      </c>
      <c r="I83">
        <f>IF(Sheet1!FI83&lt;&gt;"",Sheet1!FI83,"")</f>
        <v>0</v>
      </c>
      <c r="J83">
        <f ca="1">IF(Sheet1!GI83&lt;&gt;"",Sheet1!GI83,"")</f>
        <v>0</v>
      </c>
    </row>
    <row r="84" spans="1:10" x14ac:dyDescent="0.25">
      <c r="A84" t="str">
        <f>IF(Sheet1!B84&lt;&gt;"",Sheet1!B84,"")</f>
        <v>teachers178</v>
      </c>
      <c r="B84" t="str">
        <f>IF(Sheet1!C84&lt;&gt;"",Sheet1!C84,"")</f>
        <v>NITYANANDA GOLUI</v>
      </c>
      <c r="C84" t="str">
        <f>IF(Sheet1!D84&lt;&gt;"",Sheet1!D84,"")</f>
        <v>JAGALGORI PRIMARY SCHOOL</v>
      </c>
      <c r="D84" t="str">
        <f>IF(Sheet1!E84&lt;&gt;"",Sheet1!E84,"")</f>
        <v>WBTPTA</v>
      </c>
      <c r="E84">
        <f>IF(Sheet1!DY84&lt;&gt;"",Sheet1!DY84,"")</f>
        <v>510980</v>
      </c>
      <c r="F84">
        <f>IF(Sheet1!EQ84&lt;&gt;"",Sheet1!EQ84,"")</f>
        <v>36000</v>
      </c>
      <c r="G84">
        <f>IF(Sheet1!EZ84&lt;&gt;"",Sheet1!EZ84,"")</f>
        <v>0</v>
      </c>
      <c r="H84">
        <f>IF(Sheet1!FA84&lt;&gt;"",Sheet1!FA84,"")</f>
        <v>422580</v>
      </c>
      <c r="I84">
        <f>IF(Sheet1!FI84&lt;&gt;"",Sheet1!FI84,"")</f>
        <v>0</v>
      </c>
      <c r="J84">
        <f ca="1">IF(Sheet1!GI84&lt;&gt;"",Sheet1!GI84,"")</f>
        <v>0</v>
      </c>
    </row>
    <row r="85" spans="1:10" x14ac:dyDescent="0.25">
      <c r="A85" t="str">
        <f>IF(Sheet1!B85&lt;&gt;"",Sheet1!B85,"")</f>
        <v>teachers179</v>
      </c>
      <c r="B85" t="str">
        <f>IF(Sheet1!C85&lt;&gt;"",Sheet1!C85,"")</f>
        <v>ARINDAM MANDAL</v>
      </c>
      <c r="C85" t="str">
        <f>IF(Sheet1!D85&lt;&gt;"",Sheet1!D85,"")</f>
        <v>JAGALGORI PRIMARY SCHOOL</v>
      </c>
      <c r="D85" t="str">
        <f>IF(Sheet1!E85&lt;&gt;"",Sheet1!E85,"")</f>
        <v>WBTPTA</v>
      </c>
      <c r="E85">
        <f>IF(Sheet1!DY85&lt;&gt;"",Sheet1!DY85,"")</f>
        <v>456884</v>
      </c>
      <c r="F85">
        <f>IF(Sheet1!EQ85&lt;&gt;"",Sheet1!EQ85,"")</f>
        <v>16000</v>
      </c>
      <c r="G85">
        <f>IF(Sheet1!EZ85&lt;&gt;"",Sheet1!EZ85,"")</f>
        <v>0</v>
      </c>
      <c r="H85">
        <f>IF(Sheet1!FA85&lt;&gt;"",Sheet1!FA85,"")</f>
        <v>389084</v>
      </c>
      <c r="I85">
        <f>IF(Sheet1!FI85&lt;&gt;"",Sheet1!FI85,"")</f>
        <v>0</v>
      </c>
      <c r="J85">
        <f ca="1">IF(Sheet1!GI85&lt;&gt;"",Sheet1!GI85,"")</f>
        <v>0</v>
      </c>
    </row>
    <row r="86" spans="1:10" x14ac:dyDescent="0.25">
      <c r="A86" t="str">
        <f>IF(Sheet1!B86&lt;&gt;"",Sheet1!B86,"")</f>
        <v>teachers180</v>
      </c>
      <c r="B86" t="str">
        <f>IF(Sheet1!C86&lt;&gt;"",Sheet1!C86,"")</f>
        <v>PRABHANJAN DAS</v>
      </c>
      <c r="C86" t="str">
        <f>IF(Sheet1!D86&lt;&gt;"",Sheet1!D86,"")</f>
        <v>JAYANTI PRIMARY SCHOOL</v>
      </c>
      <c r="D86" t="str">
        <f>IF(Sheet1!E86&lt;&gt;"",Sheet1!E86,"")</f>
        <v>WBPTA</v>
      </c>
      <c r="E86">
        <f>IF(Sheet1!DY86&lt;&gt;"",Sheet1!DY86,"")</f>
        <v>738196</v>
      </c>
      <c r="F86">
        <f>IF(Sheet1!EQ86&lt;&gt;"",Sheet1!EQ86,"")</f>
        <v>36000</v>
      </c>
      <c r="G86">
        <f>IF(Sheet1!EZ86&lt;&gt;"",Sheet1!EZ86,"")</f>
        <v>0</v>
      </c>
      <c r="H86">
        <f>IF(Sheet1!FA86&lt;&gt;"",Sheet1!FA86,"")</f>
        <v>649796</v>
      </c>
      <c r="I86">
        <f>IF(Sheet1!FI86&lt;&gt;"",Sheet1!FI86,"")</f>
        <v>44157</v>
      </c>
      <c r="J86">
        <f ca="1">IF(Sheet1!GI86&lt;&gt;"",Sheet1!GI86,"")</f>
        <v>0</v>
      </c>
    </row>
    <row r="87" spans="1:10" x14ac:dyDescent="0.25">
      <c r="A87" t="str">
        <f>IF(Sheet1!B87&lt;&gt;"",Sheet1!B87,"")</f>
        <v>teachers181</v>
      </c>
      <c r="B87" t="str">
        <f>IF(Sheet1!C87&lt;&gt;"",Sheet1!C87,"")</f>
        <v>SUVRA KANTI SARKAR</v>
      </c>
      <c r="C87" t="str">
        <f>IF(Sheet1!D87&lt;&gt;"",Sheet1!D87,"")</f>
        <v>JAYANTI PRIMARY SCHOOL</v>
      </c>
      <c r="D87" t="str">
        <f>IF(Sheet1!E87&lt;&gt;"",Sheet1!E87,"")</f>
        <v>WBTPTA</v>
      </c>
      <c r="E87">
        <f>IF(Sheet1!DY87&lt;&gt;"",Sheet1!DY87,"")</f>
        <v>516260</v>
      </c>
      <c r="F87">
        <f>IF(Sheet1!EQ87&lt;&gt;"",Sheet1!EQ87,"")</f>
        <v>36000</v>
      </c>
      <c r="G87">
        <f>IF(Sheet1!EZ87&lt;&gt;"",Sheet1!EZ87,"")</f>
        <v>0</v>
      </c>
      <c r="H87">
        <f>IF(Sheet1!FA87&lt;&gt;"",Sheet1!FA87,"")</f>
        <v>427960</v>
      </c>
      <c r="I87">
        <f>IF(Sheet1!FI87&lt;&gt;"",Sheet1!FI87,"")</f>
        <v>0</v>
      </c>
      <c r="J87">
        <f ca="1">IF(Sheet1!GI87&lt;&gt;"",Sheet1!GI87,"")</f>
        <v>0</v>
      </c>
    </row>
    <row r="88" spans="1:10" x14ac:dyDescent="0.25">
      <c r="A88" t="str">
        <f>IF(Sheet1!B88&lt;&gt;"",Sheet1!B88,"")</f>
        <v>teachers182</v>
      </c>
      <c r="B88" t="str">
        <f>IF(Sheet1!C88&lt;&gt;"",Sheet1!C88,"")</f>
        <v>SIDDHARTHA BISWAS</v>
      </c>
      <c r="C88" t="str">
        <f>IF(Sheet1!D88&lt;&gt;"",Sheet1!D88,"")</f>
        <v>JAYANTI PRIMARY SCHOOL</v>
      </c>
      <c r="D88" t="str">
        <f>IF(Sheet1!E88&lt;&gt;"",Sheet1!E88,"")</f>
        <v>WBTPTA</v>
      </c>
      <c r="E88">
        <f>IF(Sheet1!DY88&lt;&gt;"",Sheet1!DY88,"")</f>
        <v>415160</v>
      </c>
      <c r="F88">
        <f>IF(Sheet1!EQ88&lt;&gt;"",Sheet1!EQ88,"")</f>
        <v>24000</v>
      </c>
      <c r="G88">
        <f>IF(Sheet1!EZ88&lt;&gt;"",Sheet1!EZ88,"")</f>
        <v>0</v>
      </c>
      <c r="H88">
        <f>IF(Sheet1!FA88&lt;&gt;"",Sheet1!FA88,"")</f>
        <v>339360</v>
      </c>
      <c r="I88">
        <f>IF(Sheet1!FI88&lt;&gt;"",Sheet1!FI88,"")</f>
        <v>0</v>
      </c>
      <c r="J88">
        <f ca="1">IF(Sheet1!GI88&lt;&gt;"",Sheet1!GI88,"")</f>
        <v>0</v>
      </c>
    </row>
    <row r="89" spans="1:10" x14ac:dyDescent="0.25">
      <c r="A89" t="str">
        <f>IF(Sheet1!B89&lt;&gt;"",Sheet1!B89,"")</f>
        <v>teachers183</v>
      </c>
      <c r="B89" t="str">
        <f>IF(Sheet1!C89&lt;&gt;"",Sheet1!C89,"")</f>
        <v>SISIR KUMAR PRAMANICK</v>
      </c>
      <c r="C89" t="str">
        <f>IF(Sheet1!D89&lt;&gt;"",Sheet1!D89,"")</f>
        <v>JHAMTIA DHARAMPOTA PRIMARY SCHOOL</v>
      </c>
      <c r="D89" t="str">
        <f>IF(Sheet1!E89&lt;&gt;"",Sheet1!E89,"")</f>
        <v>WBTPTA</v>
      </c>
      <c r="E89">
        <f>IF(Sheet1!DY89&lt;&gt;"",Sheet1!DY89,"")</f>
        <v>838232</v>
      </c>
      <c r="F89">
        <f>IF(Sheet1!EQ89&lt;&gt;"",Sheet1!EQ89,"")</f>
        <v>60000</v>
      </c>
      <c r="G89">
        <f>IF(Sheet1!EZ89&lt;&gt;"",Sheet1!EZ89,"")</f>
        <v>0</v>
      </c>
      <c r="H89">
        <f>IF(Sheet1!FA89&lt;&gt;"",Sheet1!FA89,"")</f>
        <v>725832</v>
      </c>
      <c r="I89">
        <f>IF(Sheet1!FI89&lt;&gt;"",Sheet1!FI89,"")</f>
        <v>59973</v>
      </c>
      <c r="J89">
        <f ca="1">IF(Sheet1!GI89&lt;&gt;"",Sheet1!GI89,"")</f>
        <v>27438</v>
      </c>
    </row>
    <row r="90" spans="1:10" x14ac:dyDescent="0.25">
      <c r="A90" t="str">
        <f>IF(Sheet1!B90&lt;&gt;"",Sheet1!B90,"")</f>
        <v>teachers184</v>
      </c>
      <c r="B90" t="str">
        <f>IF(Sheet1!C90&lt;&gt;"",Sheet1!C90,"")</f>
        <v>SRIBAS HAZRA</v>
      </c>
      <c r="C90" t="str">
        <f>IF(Sheet1!D90&lt;&gt;"",Sheet1!D90,"")</f>
        <v>JHAMTIA DHARAMPOTA PRIMARY SCHOOL</v>
      </c>
      <c r="D90" t="str">
        <f>IF(Sheet1!E90&lt;&gt;"",Sheet1!E90,"")</f>
        <v>WBTPTA</v>
      </c>
      <c r="E90">
        <f>IF(Sheet1!DY90&lt;&gt;"",Sheet1!DY90,"")</f>
        <v>712284</v>
      </c>
      <c r="F90">
        <f>IF(Sheet1!EQ90&lt;&gt;"",Sheet1!EQ90,"")</f>
        <v>36720</v>
      </c>
      <c r="G90">
        <f>IF(Sheet1!EZ90&lt;&gt;"",Sheet1!EZ90,"")</f>
        <v>0</v>
      </c>
      <c r="H90">
        <f>IF(Sheet1!FA90&lt;&gt;"",Sheet1!FA90,"")</f>
        <v>623164</v>
      </c>
      <c r="I90">
        <f>IF(Sheet1!FI90&lt;&gt;"",Sheet1!FI90,"")</f>
        <v>38618</v>
      </c>
      <c r="J90">
        <f ca="1">IF(Sheet1!GI90&lt;&gt;"",Sheet1!GI90,"")</f>
        <v>0</v>
      </c>
    </row>
    <row r="91" spans="1:10" x14ac:dyDescent="0.25">
      <c r="A91" t="str">
        <f>IF(Sheet1!B91&lt;&gt;"",Sheet1!B91,"")</f>
        <v>teachers185</v>
      </c>
      <c r="B91" t="str">
        <f>IF(Sheet1!C91&lt;&gt;"",Sheet1!C91,"")</f>
        <v>DEBASIS MALIK</v>
      </c>
      <c r="C91" t="str">
        <f>IF(Sheet1!D91&lt;&gt;"",Sheet1!D91,"")</f>
        <v>JHAMTIA DHARAMPOTA PRIMARY SCHOOL</v>
      </c>
      <c r="D91" t="str">
        <f>IF(Sheet1!E91&lt;&gt;"",Sheet1!E91,"")</f>
        <v>WBTPTA</v>
      </c>
      <c r="E91">
        <f>IF(Sheet1!DY91&lt;&gt;"",Sheet1!DY91,"")</f>
        <v>537340</v>
      </c>
      <c r="F91">
        <f>IF(Sheet1!EQ91&lt;&gt;"",Sheet1!EQ91,"")</f>
        <v>36000</v>
      </c>
      <c r="G91">
        <f>IF(Sheet1!EZ91&lt;&gt;"",Sheet1!EZ91,"")</f>
        <v>0</v>
      </c>
      <c r="H91">
        <f>IF(Sheet1!FA91&lt;&gt;"",Sheet1!FA91,"")</f>
        <v>448940</v>
      </c>
      <c r="I91">
        <f>IF(Sheet1!FI91&lt;&gt;"",Sheet1!FI91,"")</f>
        <v>0</v>
      </c>
      <c r="J91">
        <f ca="1">IF(Sheet1!GI91&lt;&gt;"",Sheet1!GI91,"")</f>
        <v>0</v>
      </c>
    </row>
    <row r="92" spans="1:10" x14ac:dyDescent="0.25">
      <c r="A92" t="str">
        <f>IF(Sheet1!B92&lt;&gt;"",Sheet1!B92,"")</f>
        <v>teachers186</v>
      </c>
      <c r="B92" t="str">
        <f>IF(Sheet1!C92&lt;&gt;"",Sheet1!C92,"")</f>
        <v>ASISH CHANDRA</v>
      </c>
      <c r="C92" t="str">
        <f>IF(Sheet1!D92&lt;&gt;"",Sheet1!D92,"")</f>
        <v>JHAMTIA DHARAMPOTA PRIMARY SCHOOL</v>
      </c>
      <c r="D92" t="str">
        <f>IF(Sheet1!E92&lt;&gt;"",Sheet1!E92,"")</f>
        <v>WBTPTA</v>
      </c>
      <c r="E92">
        <f>IF(Sheet1!DY92&lt;&gt;"",Sheet1!DY92,"")</f>
        <v>522260</v>
      </c>
      <c r="F92">
        <f>IF(Sheet1!EQ92&lt;&gt;"",Sheet1!EQ92,"")</f>
        <v>36000</v>
      </c>
      <c r="G92">
        <f>IF(Sheet1!EZ92&lt;&gt;"",Sheet1!EZ92,"")</f>
        <v>0</v>
      </c>
      <c r="H92">
        <f>IF(Sheet1!FA92&lt;&gt;"",Sheet1!FA92,"")</f>
        <v>433860</v>
      </c>
      <c r="I92">
        <f>IF(Sheet1!FI92&lt;&gt;"",Sheet1!FI92,"")</f>
        <v>0</v>
      </c>
      <c r="J92">
        <f ca="1">IF(Sheet1!GI92&lt;&gt;"",Sheet1!GI92,"")</f>
        <v>0</v>
      </c>
    </row>
    <row r="93" spans="1:10" x14ac:dyDescent="0.25">
      <c r="A93" t="str">
        <f>IF(Sheet1!B93&lt;&gt;"",Sheet1!B93,"")</f>
        <v>teachers187</v>
      </c>
      <c r="B93" t="str">
        <f>IF(Sheet1!C93&lt;&gt;"",Sheet1!C93,"")</f>
        <v>MD JAHIDUR RAHAMAN</v>
      </c>
      <c r="C93" t="str">
        <f>IF(Sheet1!D93&lt;&gt;"",Sheet1!D93,"")</f>
        <v>JHAMTIA DHARAMPOTA PRIMARY SCHOOL</v>
      </c>
      <c r="D93" t="str">
        <f>IF(Sheet1!E93&lt;&gt;"",Sheet1!E93,"")</f>
        <v>WBTPTA</v>
      </c>
      <c r="E93">
        <f>IF(Sheet1!DY93&lt;&gt;"",Sheet1!DY93,"")</f>
        <v>406054</v>
      </c>
      <c r="F93">
        <f>IF(Sheet1!EQ93&lt;&gt;"",Sheet1!EQ93,"")</f>
        <v>0</v>
      </c>
      <c r="G93">
        <f>IF(Sheet1!EZ93&lt;&gt;"",Sheet1!EZ93,"")</f>
        <v>0</v>
      </c>
      <c r="H93">
        <f>IF(Sheet1!FA93&lt;&gt;"",Sheet1!FA93,"")</f>
        <v>354404</v>
      </c>
      <c r="I93">
        <f>IF(Sheet1!FI93&lt;&gt;"",Sheet1!FI93,"")</f>
        <v>0</v>
      </c>
      <c r="J93">
        <f ca="1">IF(Sheet1!GI93&lt;&gt;"",Sheet1!GI93,"")</f>
        <v>0</v>
      </c>
    </row>
    <row r="94" spans="1:10" x14ac:dyDescent="0.25">
      <c r="A94" t="str">
        <f>IF(Sheet1!B94&lt;&gt;"",Sheet1!B94,"")</f>
        <v>teachers188</v>
      </c>
      <c r="B94" t="str">
        <f>IF(Sheet1!C94&lt;&gt;"",Sheet1!C94,"")</f>
        <v>GOURANGA BODHAK</v>
      </c>
      <c r="C94" t="str">
        <f>IF(Sheet1!D94&lt;&gt;"",Sheet1!D94,"")</f>
        <v>JHAMTIA DHARAPARA PRIMARY SCHOOL</v>
      </c>
      <c r="D94" t="str">
        <f>IF(Sheet1!E94&lt;&gt;"",Sheet1!E94,"")</f>
        <v>WBTPTA</v>
      </c>
      <c r="E94">
        <f>IF(Sheet1!DY94&lt;&gt;"",Sheet1!DY94,"")</f>
        <v>515837</v>
      </c>
      <c r="F94">
        <f>IF(Sheet1!EQ94&lt;&gt;"",Sheet1!EQ94,"")</f>
        <v>28000</v>
      </c>
      <c r="G94">
        <f>IF(Sheet1!EZ94&lt;&gt;"",Sheet1!EZ94,"")</f>
        <v>0</v>
      </c>
      <c r="H94">
        <f>IF(Sheet1!FA94&lt;&gt;"",Sheet1!FA94,"")</f>
        <v>435437</v>
      </c>
      <c r="I94">
        <f>IF(Sheet1!FI94&lt;&gt;"",Sheet1!FI94,"")</f>
        <v>0</v>
      </c>
      <c r="J94">
        <f ca="1">IF(Sheet1!GI94&lt;&gt;"",Sheet1!GI94,"")</f>
        <v>0</v>
      </c>
    </row>
    <row r="95" spans="1:10" x14ac:dyDescent="0.25">
      <c r="A95" t="str">
        <f>IF(Sheet1!B95&lt;&gt;"",Sheet1!B95,"")</f>
        <v>teachers189</v>
      </c>
      <c r="B95" t="str">
        <f>IF(Sheet1!C95&lt;&gt;"",Sheet1!C95,"")</f>
        <v>SOUMOJIT SAHA</v>
      </c>
      <c r="C95" t="str">
        <f>IF(Sheet1!D95&lt;&gt;"",Sheet1!D95,"")</f>
        <v>JHAMTIA DHARAPARA PRIMARY SCHOOL</v>
      </c>
      <c r="D95" t="str">
        <f>IF(Sheet1!E95&lt;&gt;"",Sheet1!E95,"")</f>
        <v>WBTPTA</v>
      </c>
      <c r="E95">
        <f>IF(Sheet1!DY95&lt;&gt;"",Sheet1!DY95,"")</f>
        <v>391532</v>
      </c>
      <c r="F95">
        <f>IF(Sheet1!EQ95&lt;&gt;"",Sheet1!EQ95,"")</f>
        <v>14000</v>
      </c>
      <c r="G95">
        <f>IF(Sheet1!EZ95&lt;&gt;"",Sheet1!EZ95,"")</f>
        <v>0</v>
      </c>
      <c r="H95">
        <f>IF(Sheet1!FA95&lt;&gt;"",Sheet1!FA95,"")</f>
        <v>325732</v>
      </c>
      <c r="I95">
        <f>IF(Sheet1!FI95&lt;&gt;"",Sheet1!FI95,"")</f>
        <v>0</v>
      </c>
      <c r="J95">
        <f ca="1">IF(Sheet1!GI95&lt;&gt;"",Sheet1!GI95,"")</f>
        <v>0</v>
      </c>
    </row>
    <row r="96" spans="1:10" x14ac:dyDescent="0.25">
      <c r="A96" t="str">
        <f>IF(Sheet1!B96&lt;&gt;"",Sheet1!B96,"")</f>
        <v>teachers385-d26e20d3</v>
      </c>
      <c r="B96" t="str">
        <f>IF(Sheet1!C96&lt;&gt;"",Sheet1!C96,"")</f>
        <v>ALAKA HANSDA</v>
      </c>
      <c r="C96" t="str">
        <f>IF(Sheet1!D96&lt;&gt;"",Sheet1!D96,"")</f>
        <v>JHAMTIA DHARAPARA PRIMARY SCHOOL</v>
      </c>
      <c r="D96" t="str">
        <f>IF(Sheet1!E96&lt;&gt;"",Sheet1!E96,"")</f>
        <v>WBTPTA</v>
      </c>
      <c r="E96">
        <f>IF(Sheet1!DY96&lt;&gt;"",Sheet1!DY96,"")</f>
        <v>406054</v>
      </c>
      <c r="F96">
        <f>IF(Sheet1!EQ96&lt;&gt;"",Sheet1!EQ96,"")</f>
        <v>2000</v>
      </c>
      <c r="G96">
        <f>IF(Sheet1!EZ96&lt;&gt;"",Sheet1!EZ96,"")</f>
        <v>0</v>
      </c>
      <c r="H96">
        <f>IF(Sheet1!FA96&lt;&gt;"",Sheet1!FA96,"")</f>
        <v>352404</v>
      </c>
      <c r="I96">
        <f>IF(Sheet1!FI96&lt;&gt;"",Sheet1!FI96,"")</f>
        <v>0</v>
      </c>
      <c r="J96">
        <f ca="1">IF(Sheet1!GI96&lt;&gt;"",Sheet1!GI96,"")</f>
        <v>0</v>
      </c>
    </row>
    <row r="97" spans="1:10" x14ac:dyDescent="0.25">
      <c r="A97" t="str">
        <f>IF(Sheet1!B97&lt;&gt;"",Sheet1!B97,"")</f>
        <v>teachers190</v>
      </c>
      <c r="B97" t="str">
        <f>IF(Sheet1!C97&lt;&gt;"",Sheet1!C97,"")</f>
        <v>PROSENJIT GHOSH</v>
      </c>
      <c r="C97" t="str">
        <f>IF(Sheet1!D97&lt;&gt;"",Sheet1!D97,"")</f>
        <v>JHAMTIA PRIMARY SCHOOL</v>
      </c>
      <c r="D97" t="str">
        <f>IF(Sheet1!E97&lt;&gt;"",Sheet1!E97,"")</f>
        <v>WBTPTA</v>
      </c>
      <c r="E97">
        <f>IF(Sheet1!DY97&lt;&gt;"",Sheet1!DY97,"")</f>
        <v>519623</v>
      </c>
      <c r="F97">
        <f>IF(Sheet1!EQ97&lt;&gt;"",Sheet1!EQ97,"")</f>
        <v>28000</v>
      </c>
      <c r="G97">
        <f>IF(Sheet1!EZ97&lt;&gt;"",Sheet1!EZ97,"")</f>
        <v>0</v>
      </c>
      <c r="H97">
        <f>IF(Sheet1!FA97&lt;&gt;"",Sheet1!FA97,"")</f>
        <v>439223</v>
      </c>
      <c r="I97">
        <f>IF(Sheet1!FI97&lt;&gt;"",Sheet1!FI97,"")</f>
        <v>0</v>
      </c>
      <c r="J97">
        <f ca="1">IF(Sheet1!GI97&lt;&gt;"",Sheet1!GI97,"")</f>
        <v>0</v>
      </c>
    </row>
    <row r="98" spans="1:10" x14ac:dyDescent="0.25">
      <c r="A98" t="str">
        <f>IF(Sheet1!B98&lt;&gt;"",Sheet1!B98,"")</f>
        <v>teachers191</v>
      </c>
      <c r="B98" t="str">
        <f>IF(Sheet1!C98&lt;&gt;"",Sheet1!C98,"")</f>
        <v>RANJAN ROUTH</v>
      </c>
      <c r="C98" t="str">
        <f>IF(Sheet1!D98&lt;&gt;"",Sheet1!D98,"")</f>
        <v>JHAMTIA PRIMARY SCHOOL</v>
      </c>
      <c r="D98" t="str">
        <f>IF(Sheet1!E98&lt;&gt;"",Sheet1!E98,"")</f>
        <v>WBTPTA</v>
      </c>
      <c r="E98">
        <f>IF(Sheet1!DY98&lt;&gt;"",Sheet1!DY98,"")</f>
        <v>522260</v>
      </c>
      <c r="F98">
        <f>IF(Sheet1!EQ98&lt;&gt;"",Sheet1!EQ98,"")</f>
        <v>36000</v>
      </c>
      <c r="G98">
        <f>IF(Sheet1!EZ98&lt;&gt;"",Sheet1!EZ98,"")</f>
        <v>0</v>
      </c>
      <c r="H98">
        <f>IF(Sheet1!FA98&lt;&gt;"",Sheet1!FA98,"")</f>
        <v>433860</v>
      </c>
      <c r="I98">
        <f>IF(Sheet1!FI98&lt;&gt;"",Sheet1!FI98,"")</f>
        <v>0</v>
      </c>
      <c r="J98">
        <f ca="1">IF(Sheet1!GI98&lt;&gt;"",Sheet1!GI98,"")</f>
        <v>0</v>
      </c>
    </row>
    <row r="99" spans="1:10" x14ac:dyDescent="0.25">
      <c r="A99" t="str">
        <f>IF(Sheet1!B99&lt;&gt;"",Sheet1!B99,"")</f>
        <v>teachers192</v>
      </c>
      <c r="B99" t="str">
        <f>IF(Sheet1!C99&lt;&gt;"",Sheet1!C99,"")</f>
        <v>ASHIS KOLEY</v>
      </c>
      <c r="C99" t="str">
        <f>IF(Sheet1!D99&lt;&gt;"",Sheet1!D99,"")</f>
        <v>JHAMTIA PRIMARY SCHOOL</v>
      </c>
      <c r="D99" t="str">
        <f>IF(Sheet1!E99&lt;&gt;"",Sheet1!E99,"")</f>
        <v>WBTPTA</v>
      </c>
      <c r="E99">
        <f>IF(Sheet1!DY99&lt;&gt;"",Sheet1!DY99,"")</f>
        <v>439288</v>
      </c>
      <c r="F99">
        <f>IF(Sheet1!EQ99&lt;&gt;"",Sheet1!EQ99,"")</f>
        <v>24000</v>
      </c>
      <c r="G99">
        <f>IF(Sheet1!EZ99&lt;&gt;"",Sheet1!EZ99,"")</f>
        <v>0</v>
      </c>
      <c r="H99">
        <f>IF(Sheet1!FA99&lt;&gt;"",Sheet1!FA99,"")</f>
        <v>363488</v>
      </c>
      <c r="I99">
        <f>IF(Sheet1!FI99&lt;&gt;"",Sheet1!FI99,"")</f>
        <v>0</v>
      </c>
      <c r="J99">
        <f ca="1">IF(Sheet1!GI99&lt;&gt;"",Sheet1!GI99,"")</f>
        <v>0</v>
      </c>
    </row>
    <row r="100" spans="1:10" x14ac:dyDescent="0.25">
      <c r="A100" t="str">
        <f>IF(Sheet1!B100&lt;&gt;"",Sheet1!B100,"")</f>
        <v>teachers193</v>
      </c>
      <c r="B100" t="str">
        <f>IF(Sheet1!C100&lt;&gt;"",Sheet1!C100,"")</f>
        <v>TARAK NATH MONDAL</v>
      </c>
      <c r="C100" t="str">
        <f>IF(Sheet1!D100&lt;&gt;"",Sheet1!D100,"")</f>
        <v>JHAMTIA PRIMARY SCHOOL</v>
      </c>
      <c r="D100" t="str">
        <f>IF(Sheet1!E100&lt;&gt;"",Sheet1!E100,"")</f>
        <v>WBTPTA</v>
      </c>
      <c r="E100">
        <f>IF(Sheet1!DY100&lt;&gt;"",Sheet1!DY100,"")</f>
        <v>512180</v>
      </c>
      <c r="F100">
        <f>IF(Sheet1!EQ100&lt;&gt;"",Sheet1!EQ100,"")</f>
        <v>25550</v>
      </c>
      <c r="G100">
        <f>IF(Sheet1!EZ100&lt;&gt;"",Sheet1!EZ100,"")</f>
        <v>0</v>
      </c>
      <c r="H100">
        <f>IF(Sheet1!FA100&lt;&gt;"",Sheet1!FA100,"")</f>
        <v>434230</v>
      </c>
      <c r="I100">
        <f>IF(Sheet1!FI100&lt;&gt;"",Sheet1!FI100,"")</f>
        <v>0</v>
      </c>
      <c r="J100">
        <f ca="1">IF(Sheet1!GI100&lt;&gt;"",Sheet1!GI100,"")</f>
        <v>0</v>
      </c>
    </row>
    <row r="101" spans="1:10" x14ac:dyDescent="0.25">
      <c r="A101" t="str">
        <f>IF(Sheet1!B101&lt;&gt;"",Sheet1!B101,"")</f>
        <v>teachers194</v>
      </c>
      <c r="B101" t="str">
        <f>IF(Sheet1!C101&lt;&gt;"",Sheet1!C101,"")</f>
        <v>SEKHAR PALMAL</v>
      </c>
      <c r="C101" t="str">
        <f>IF(Sheet1!D101&lt;&gt;"",Sheet1!D101,"")</f>
        <v>JHAMTIA PRIMARY SCHOOL</v>
      </c>
      <c r="D101" t="str">
        <f>IF(Sheet1!E101&lt;&gt;"",Sheet1!E101,"")</f>
        <v>WBTPTA</v>
      </c>
      <c r="E101">
        <f>IF(Sheet1!DY101&lt;&gt;"",Sheet1!DY101,"")</f>
        <v>415160</v>
      </c>
      <c r="F101">
        <f>IF(Sheet1!EQ101&lt;&gt;"",Sheet1!EQ101,"")</f>
        <v>24000</v>
      </c>
      <c r="G101">
        <f>IF(Sheet1!EZ101&lt;&gt;"",Sheet1!EZ101,"")</f>
        <v>0</v>
      </c>
      <c r="H101">
        <f>IF(Sheet1!FA101&lt;&gt;"",Sheet1!FA101,"")</f>
        <v>339360</v>
      </c>
      <c r="I101">
        <f>IF(Sheet1!FI101&lt;&gt;"",Sheet1!FI101,"")</f>
        <v>0</v>
      </c>
      <c r="J101">
        <f ca="1">IF(Sheet1!GI101&lt;&gt;"",Sheet1!GI101,"")</f>
        <v>0</v>
      </c>
    </row>
    <row r="102" spans="1:10" x14ac:dyDescent="0.25">
      <c r="A102" t="str">
        <f>IF(Sheet1!B102&lt;&gt;"",Sheet1!B102,"")</f>
        <v>teachers195</v>
      </c>
      <c r="B102" t="str">
        <f>IF(Sheet1!C102&lt;&gt;"",Sheet1!C102,"")</f>
        <v>SUSIL KUMAR SAMANTA</v>
      </c>
      <c r="C102" t="str">
        <f>IF(Sheet1!D102&lt;&gt;"",Sheet1!D102,"")</f>
        <v>JHAMTIA SELNAPARA PRIMARY SCHOOL</v>
      </c>
      <c r="D102" t="str">
        <f>IF(Sheet1!E102&lt;&gt;"",Sheet1!E102,"")</f>
        <v>WBTPTA</v>
      </c>
      <c r="E102">
        <f>IF(Sheet1!DY102&lt;&gt;"",Sheet1!DY102,"")</f>
        <v>738196</v>
      </c>
      <c r="F102">
        <f>IF(Sheet1!EQ102&lt;&gt;"",Sheet1!EQ102,"")</f>
        <v>60720</v>
      </c>
      <c r="G102">
        <f>IF(Sheet1!EZ102&lt;&gt;"",Sheet1!EZ102,"")</f>
        <v>0</v>
      </c>
      <c r="H102">
        <f>IF(Sheet1!FA102&lt;&gt;"",Sheet1!FA102,"")</f>
        <v>625076</v>
      </c>
      <c r="I102">
        <f>IF(Sheet1!FI102&lt;&gt;"",Sheet1!FI102,"")</f>
        <v>39016</v>
      </c>
      <c r="J102">
        <f ca="1">IF(Sheet1!GI102&lt;&gt;"",Sheet1!GI102,"")</f>
        <v>0</v>
      </c>
    </row>
    <row r="103" spans="1:10" x14ac:dyDescent="0.25">
      <c r="A103" t="str">
        <f>IF(Sheet1!B103&lt;&gt;"",Sheet1!B103,"")</f>
        <v>teachers196</v>
      </c>
      <c r="B103" t="str">
        <f>IF(Sheet1!C103&lt;&gt;"",Sheet1!C103,"")</f>
        <v>SUVANKAR PAUL</v>
      </c>
      <c r="C103" t="str">
        <f>IF(Sheet1!D103&lt;&gt;"",Sheet1!D103,"")</f>
        <v>JHAMTIA SELNAPARA PRIMARY SCHOOL</v>
      </c>
      <c r="D103" t="str">
        <f>IF(Sheet1!E103&lt;&gt;"",Sheet1!E103,"")</f>
        <v>WBTPTA</v>
      </c>
      <c r="E103">
        <f>IF(Sheet1!DY103&lt;&gt;"",Sheet1!DY103,"")</f>
        <v>484028</v>
      </c>
      <c r="F103">
        <f>IF(Sheet1!EQ103&lt;&gt;"",Sheet1!EQ103,"")</f>
        <v>24000</v>
      </c>
      <c r="G103">
        <f>IF(Sheet1!EZ103&lt;&gt;"",Sheet1!EZ103,"")</f>
        <v>0</v>
      </c>
      <c r="H103">
        <f>IF(Sheet1!FA103&lt;&gt;"",Sheet1!FA103,"")</f>
        <v>407828</v>
      </c>
      <c r="I103">
        <f>IF(Sheet1!FI103&lt;&gt;"",Sheet1!FI103,"")</f>
        <v>0</v>
      </c>
      <c r="J103">
        <f ca="1">IF(Sheet1!GI103&lt;&gt;"",Sheet1!GI103,"")</f>
        <v>0</v>
      </c>
    </row>
    <row r="104" spans="1:10" x14ac:dyDescent="0.25">
      <c r="A104" t="str">
        <f>IF(Sheet1!B104&lt;&gt;"",Sheet1!B104,"")</f>
        <v>teachers197</v>
      </c>
      <c r="B104" t="str">
        <f>IF(Sheet1!C104&lt;&gt;"",Sheet1!C104,"")</f>
        <v>BAPI SAMANTA</v>
      </c>
      <c r="C104" t="str">
        <f>IF(Sheet1!D104&lt;&gt;"",Sheet1!D104,"")</f>
        <v>JHAMTIA SELNAPARA PRIMARY SCHOOL</v>
      </c>
      <c r="D104" t="str">
        <f>IF(Sheet1!E104&lt;&gt;"",Sheet1!E104,"")</f>
        <v>WBTPTA</v>
      </c>
      <c r="E104">
        <f>IF(Sheet1!DY104&lt;&gt;"",Sheet1!DY104,"")</f>
        <v>391532</v>
      </c>
      <c r="F104">
        <f>IF(Sheet1!EQ104&lt;&gt;"",Sheet1!EQ104,"")</f>
        <v>14000</v>
      </c>
      <c r="G104">
        <f>IF(Sheet1!EZ104&lt;&gt;"",Sheet1!EZ104,"")</f>
        <v>0</v>
      </c>
      <c r="H104">
        <f>IF(Sheet1!FA104&lt;&gt;"",Sheet1!FA104,"")</f>
        <v>325732</v>
      </c>
      <c r="I104">
        <f>IF(Sheet1!FI104&lt;&gt;"",Sheet1!FI104,"")</f>
        <v>0</v>
      </c>
      <c r="J104">
        <f ca="1">IF(Sheet1!GI104&lt;&gt;"",Sheet1!GI104,"")</f>
        <v>0</v>
      </c>
    </row>
    <row r="105" spans="1:10" x14ac:dyDescent="0.25">
      <c r="A105" t="str">
        <f>IF(Sheet1!B105&lt;&gt;"",Sheet1!B105,"")</f>
        <v>teachers198</v>
      </c>
      <c r="B105" t="str">
        <f>IF(Sheet1!C105&lt;&gt;"",Sheet1!C105,"")</f>
        <v>PINTU SAU</v>
      </c>
      <c r="C105" t="str">
        <f>IF(Sheet1!D105&lt;&gt;"",Sheet1!D105,"")</f>
        <v>JHIKIRA HIGH ATT PRIMARY SCHOOL</v>
      </c>
      <c r="D105" t="str">
        <f>IF(Sheet1!E105&lt;&gt;"",Sheet1!E105,"")</f>
        <v>WBTPTA</v>
      </c>
      <c r="E105">
        <f>IF(Sheet1!DY105&lt;&gt;"",Sheet1!DY105,"")</f>
        <v>527060</v>
      </c>
      <c r="F105">
        <f>IF(Sheet1!EQ105&lt;&gt;"",Sheet1!EQ105,"")</f>
        <v>48000</v>
      </c>
      <c r="G105">
        <f>IF(Sheet1!EZ105&lt;&gt;"",Sheet1!EZ105,"")</f>
        <v>0</v>
      </c>
      <c r="H105">
        <f>IF(Sheet1!FA105&lt;&gt;"",Sheet1!FA105,"")</f>
        <v>426660</v>
      </c>
      <c r="I105">
        <f>IF(Sheet1!FI105&lt;&gt;"",Sheet1!FI105,"")</f>
        <v>0</v>
      </c>
      <c r="J105">
        <f ca="1">IF(Sheet1!GI105&lt;&gt;"",Sheet1!GI105,"")</f>
        <v>0</v>
      </c>
    </row>
    <row r="106" spans="1:10" x14ac:dyDescent="0.25">
      <c r="A106" t="str">
        <f>IF(Sheet1!B106&lt;&gt;"",Sheet1!B106,"")</f>
        <v>teachers199</v>
      </c>
      <c r="B106" t="str">
        <f>IF(Sheet1!C106&lt;&gt;"",Sheet1!C106,"")</f>
        <v>AMIT MAL</v>
      </c>
      <c r="C106" t="str">
        <f>IF(Sheet1!D106&lt;&gt;"",Sheet1!D106,"")</f>
        <v>JHIKIRA HIGH ATT PRIMARY SCHOOL</v>
      </c>
      <c r="D106" t="str">
        <f>IF(Sheet1!E106&lt;&gt;"",Sheet1!E106,"")</f>
        <v>WBTPTA</v>
      </c>
      <c r="E106">
        <f>IF(Sheet1!DY106&lt;&gt;"",Sheet1!DY106,"")</f>
        <v>522260</v>
      </c>
      <c r="F106">
        <f>IF(Sheet1!EQ106&lt;&gt;"",Sheet1!EQ106,"")</f>
        <v>48000</v>
      </c>
      <c r="G106">
        <f>IF(Sheet1!EZ106&lt;&gt;"",Sheet1!EZ106,"")</f>
        <v>0</v>
      </c>
      <c r="H106">
        <f>IF(Sheet1!FA106&lt;&gt;"",Sheet1!FA106,"")</f>
        <v>421860</v>
      </c>
      <c r="I106">
        <f>IF(Sheet1!FI106&lt;&gt;"",Sheet1!FI106,"")</f>
        <v>0</v>
      </c>
      <c r="J106">
        <f ca="1">IF(Sheet1!GI106&lt;&gt;"",Sheet1!GI106,"")</f>
        <v>0</v>
      </c>
    </row>
    <row r="107" spans="1:10" x14ac:dyDescent="0.25">
      <c r="A107" t="str">
        <f>IF(Sheet1!B107&lt;&gt;"",Sheet1!B107,"")</f>
        <v>teachers200</v>
      </c>
      <c r="B107" t="str">
        <f>IF(Sheet1!C107&lt;&gt;"",Sheet1!C107,"")</f>
        <v>SUKANTA HAZRA</v>
      </c>
      <c r="C107" t="str">
        <f>IF(Sheet1!D107&lt;&gt;"",Sheet1!D107,"")</f>
        <v>JHIKIRA HIGH ATT PRIMARY SCHOOL</v>
      </c>
      <c r="D107" t="str">
        <f>IF(Sheet1!E107&lt;&gt;"",Sheet1!E107,"")</f>
        <v>WBTPTA</v>
      </c>
      <c r="E107">
        <f>IF(Sheet1!DY107&lt;&gt;"",Sheet1!DY107,"")</f>
        <v>415160</v>
      </c>
      <c r="F107">
        <f>IF(Sheet1!EQ107&lt;&gt;"",Sheet1!EQ107,"")</f>
        <v>24000</v>
      </c>
      <c r="G107">
        <f>IF(Sheet1!EZ107&lt;&gt;"",Sheet1!EZ107,"")</f>
        <v>0</v>
      </c>
      <c r="H107">
        <f>IF(Sheet1!FA107&lt;&gt;"",Sheet1!FA107,"")</f>
        <v>339360</v>
      </c>
      <c r="I107">
        <f>IF(Sheet1!FI107&lt;&gt;"",Sheet1!FI107,"")</f>
        <v>0</v>
      </c>
      <c r="J107">
        <f ca="1">IF(Sheet1!GI107&lt;&gt;"",Sheet1!GI107,"")</f>
        <v>0</v>
      </c>
    </row>
    <row r="108" spans="1:10" x14ac:dyDescent="0.25">
      <c r="A108" t="str">
        <f>IF(Sheet1!B108&lt;&gt;"",Sheet1!B108,"")</f>
        <v>teachers201</v>
      </c>
      <c r="B108" t="str">
        <f>IF(Sheet1!C108&lt;&gt;"",Sheet1!C108,"")</f>
        <v>NAZEMUL MALLICK</v>
      </c>
      <c r="C108" t="str">
        <f>IF(Sheet1!D108&lt;&gt;"",Sheet1!D108,"")</f>
        <v>JHIKIRA HIGH ATT PRIMARY SCHOOL</v>
      </c>
      <c r="D108" t="str">
        <f>IF(Sheet1!E108&lt;&gt;"",Sheet1!E108,"")</f>
        <v>WBTPTA</v>
      </c>
      <c r="E108">
        <f>IF(Sheet1!DY108&lt;&gt;"",Sheet1!DY108,"")</f>
        <v>406054</v>
      </c>
      <c r="F108">
        <f>IF(Sheet1!EQ108&lt;&gt;"",Sheet1!EQ108,"")</f>
        <v>0</v>
      </c>
      <c r="G108">
        <f>IF(Sheet1!EZ108&lt;&gt;"",Sheet1!EZ108,"")</f>
        <v>0</v>
      </c>
      <c r="H108">
        <f>IF(Sheet1!FA108&lt;&gt;"",Sheet1!FA108,"")</f>
        <v>354404</v>
      </c>
      <c r="I108">
        <f>IF(Sheet1!FI108&lt;&gt;"",Sheet1!FI108,"")</f>
        <v>0</v>
      </c>
      <c r="J108">
        <f ca="1">IF(Sheet1!GI108&lt;&gt;"",Sheet1!GI108,"")</f>
        <v>0</v>
      </c>
    </row>
    <row r="109" spans="1:10" x14ac:dyDescent="0.25">
      <c r="A109" t="str">
        <f>IF(Sheet1!B109&lt;&gt;"",Sheet1!B109,"")</f>
        <v>teachers202</v>
      </c>
      <c r="B109" t="str">
        <f>IF(Sheet1!C109&lt;&gt;"",Sheet1!C109,"")</f>
        <v>DEBASISH SAMANTA</v>
      </c>
      <c r="C109" t="str">
        <f>IF(Sheet1!D109&lt;&gt;"",Sheet1!D109,"")</f>
        <v>JHIKIRA MOTIMONI GIRLS PRIMARY SCHOOL</v>
      </c>
      <c r="D109" t="str">
        <f>IF(Sheet1!E109&lt;&gt;"",Sheet1!E109,"")</f>
        <v>WBTPTA</v>
      </c>
      <c r="E109">
        <f>IF(Sheet1!DY109&lt;&gt;"",Sheet1!DY109,"")</f>
        <v>516980</v>
      </c>
      <c r="F109">
        <f>IF(Sheet1!EQ109&lt;&gt;"",Sheet1!EQ109,"")</f>
        <v>28000</v>
      </c>
      <c r="G109">
        <f>IF(Sheet1!EZ109&lt;&gt;"",Sheet1!EZ109,"")</f>
        <v>0</v>
      </c>
      <c r="H109">
        <f>IF(Sheet1!FA109&lt;&gt;"",Sheet1!FA109,"")</f>
        <v>436580</v>
      </c>
      <c r="I109">
        <f>IF(Sheet1!FI109&lt;&gt;"",Sheet1!FI109,"")</f>
        <v>0</v>
      </c>
      <c r="J109">
        <f ca="1">IF(Sheet1!GI109&lt;&gt;"",Sheet1!GI109,"")</f>
        <v>0</v>
      </c>
    </row>
    <row r="110" spans="1:10" x14ac:dyDescent="0.25">
      <c r="A110" t="str">
        <f>IF(Sheet1!B110&lt;&gt;"",Sheet1!B110,"")</f>
        <v>teachers203</v>
      </c>
      <c r="B110" t="str">
        <f>IF(Sheet1!C110&lt;&gt;"",Sheet1!C110,"")</f>
        <v>ARGHA MAITY</v>
      </c>
      <c r="C110" t="str">
        <f>IF(Sheet1!D110&lt;&gt;"",Sheet1!D110,"")</f>
        <v>JHIKIRA MOTIMONI GIRLS PRIMARY SCHOOL</v>
      </c>
      <c r="D110" t="str">
        <f>IF(Sheet1!E110&lt;&gt;"",Sheet1!E110,"")</f>
        <v>WBTPTA</v>
      </c>
      <c r="E110">
        <f>IF(Sheet1!DY110&lt;&gt;"",Sheet1!DY110,"")</f>
        <v>510180</v>
      </c>
      <c r="F110">
        <f>IF(Sheet1!EQ110&lt;&gt;"",Sheet1!EQ110,"")</f>
        <v>28000</v>
      </c>
      <c r="G110">
        <f>IF(Sheet1!EZ110&lt;&gt;"",Sheet1!EZ110,"")</f>
        <v>0</v>
      </c>
      <c r="H110">
        <f>IF(Sheet1!FA110&lt;&gt;"",Sheet1!FA110,"")</f>
        <v>429880</v>
      </c>
      <c r="I110">
        <f>IF(Sheet1!FI110&lt;&gt;"",Sheet1!FI110,"")</f>
        <v>0</v>
      </c>
      <c r="J110">
        <f ca="1">IF(Sheet1!GI110&lt;&gt;"",Sheet1!GI110,"")</f>
        <v>0</v>
      </c>
    </row>
    <row r="111" spans="1:10" x14ac:dyDescent="0.25">
      <c r="A111" t="str">
        <f>IF(Sheet1!B111&lt;&gt;"",Sheet1!B111,"")</f>
        <v>teachers204</v>
      </c>
      <c r="B111" t="str">
        <f>IF(Sheet1!C111&lt;&gt;"",Sheet1!C111,"")</f>
        <v>SWARAJ PANDIT</v>
      </c>
      <c r="C111" t="str">
        <f>IF(Sheet1!D111&lt;&gt;"",Sheet1!D111,"")</f>
        <v>JHIKIRA MOTIMONI GIRLS PRIMARY SCHOOL</v>
      </c>
      <c r="D111" t="str">
        <f>IF(Sheet1!E111&lt;&gt;"",Sheet1!E111,"")</f>
        <v>WBTPTA</v>
      </c>
      <c r="E111">
        <f>IF(Sheet1!DY111&lt;&gt;"",Sheet1!DY111,"")</f>
        <v>478028</v>
      </c>
      <c r="F111">
        <f>IF(Sheet1!EQ111&lt;&gt;"",Sheet1!EQ111,"")</f>
        <v>24000</v>
      </c>
      <c r="G111">
        <f>IF(Sheet1!EZ111&lt;&gt;"",Sheet1!EZ111,"")</f>
        <v>0</v>
      </c>
      <c r="H111">
        <f>IF(Sheet1!FA111&lt;&gt;"",Sheet1!FA111,"")</f>
        <v>402178</v>
      </c>
      <c r="I111">
        <f>IF(Sheet1!FI111&lt;&gt;"",Sheet1!FI111,"")</f>
        <v>0</v>
      </c>
      <c r="J111">
        <f ca="1">IF(Sheet1!GI111&lt;&gt;"",Sheet1!GI111,"")</f>
        <v>0</v>
      </c>
    </row>
    <row r="112" spans="1:10" x14ac:dyDescent="0.25">
      <c r="A112" t="str">
        <f>IF(Sheet1!B112&lt;&gt;"",Sheet1!B112,"")</f>
        <v>teachers205</v>
      </c>
      <c r="B112" t="str">
        <f>IF(Sheet1!C112&lt;&gt;"",Sheet1!C112,"")</f>
        <v>NILIMA CHANDA</v>
      </c>
      <c r="C112" t="str">
        <f>IF(Sheet1!D112&lt;&gt;"",Sheet1!D112,"")</f>
        <v>JHIKIRA MUSLIMPARA PRIMARY SCHOOL</v>
      </c>
      <c r="D112" t="str">
        <f>IF(Sheet1!E112&lt;&gt;"",Sheet1!E112,"")</f>
        <v>ABPTA</v>
      </c>
      <c r="E112">
        <f>IF(Sheet1!DY112&lt;&gt;"",Sheet1!DY112,"")</f>
        <v>782936</v>
      </c>
      <c r="F112">
        <f>IF(Sheet1!EQ112&lt;&gt;"",Sheet1!EQ112,"")</f>
        <v>120720</v>
      </c>
      <c r="G112">
        <f>IF(Sheet1!EZ112&lt;&gt;"",Sheet1!EZ112,"")</f>
        <v>0</v>
      </c>
      <c r="H112">
        <f>IF(Sheet1!FA112&lt;&gt;"",Sheet1!FA112,"")</f>
        <v>609816</v>
      </c>
      <c r="I112">
        <f>IF(Sheet1!FI112&lt;&gt;"",Sheet1!FI112,"")</f>
        <v>35842</v>
      </c>
      <c r="J112">
        <f ca="1">IF(Sheet1!GI112&lt;&gt;"",Sheet1!GI112,"")</f>
        <v>9148</v>
      </c>
    </row>
    <row r="113" spans="1:10" x14ac:dyDescent="0.25">
      <c r="A113" t="str">
        <f>IF(Sheet1!B113&lt;&gt;"",Sheet1!B113,"")</f>
        <v>teachers206</v>
      </c>
      <c r="B113" t="str">
        <f>IF(Sheet1!C113&lt;&gt;"",Sheet1!C113,"")</f>
        <v>SUKANTA DHARA</v>
      </c>
      <c r="C113" t="str">
        <f>IF(Sheet1!D113&lt;&gt;"",Sheet1!D113,"")</f>
        <v>JHIKIRA MUSLIMPARA PRIMARY SCHOOL</v>
      </c>
      <c r="D113" t="str">
        <f>IF(Sheet1!E113&lt;&gt;"",Sheet1!E113,"")</f>
        <v>ABPTA</v>
      </c>
      <c r="E113">
        <f>IF(Sheet1!DY113&lt;&gt;"",Sheet1!DY113,"")</f>
        <v>575016</v>
      </c>
      <c r="F113">
        <f>IF(Sheet1!EQ113&lt;&gt;"",Sheet1!EQ113,"")</f>
        <v>60000</v>
      </c>
      <c r="G113">
        <f>IF(Sheet1!EZ113&lt;&gt;"",Sheet1!EZ113,"")</f>
        <v>0</v>
      </c>
      <c r="H113">
        <f>IF(Sheet1!FA113&lt;&gt;"",Sheet1!FA113,"")</f>
        <v>462616</v>
      </c>
      <c r="I113">
        <f>IF(Sheet1!FI113&lt;&gt;"",Sheet1!FI113,"")</f>
        <v>0</v>
      </c>
      <c r="J113">
        <f ca="1">IF(Sheet1!GI113&lt;&gt;"",Sheet1!GI113,"")</f>
        <v>0</v>
      </c>
    </row>
    <row r="114" spans="1:10" x14ac:dyDescent="0.25">
      <c r="A114" t="str">
        <f>IF(Sheet1!B114&lt;&gt;"",Sheet1!B114,"")</f>
        <v>teachers207</v>
      </c>
      <c r="B114" t="str">
        <f>IF(Sheet1!C114&lt;&gt;"",Sheet1!C114,"")</f>
        <v>SK KUTUBUDDIN</v>
      </c>
      <c r="C114" t="str">
        <f>IF(Sheet1!D114&lt;&gt;"",Sheet1!D114,"")</f>
        <v>JHIKIRA MUSLIMPARA PRIMARY SCHOOL</v>
      </c>
      <c r="D114" t="str">
        <f>IF(Sheet1!E114&lt;&gt;"",Sheet1!E114,"")</f>
        <v>WBTPTA</v>
      </c>
      <c r="E114">
        <f>IF(Sheet1!DY114&lt;&gt;"",Sheet1!DY114,"")</f>
        <v>463152</v>
      </c>
      <c r="F114">
        <f>IF(Sheet1!EQ114&lt;&gt;"",Sheet1!EQ114,"")</f>
        <v>24000</v>
      </c>
      <c r="G114">
        <f>IF(Sheet1!EZ114&lt;&gt;"",Sheet1!EZ114,"")</f>
        <v>0</v>
      </c>
      <c r="H114">
        <f>IF(Sheet1!FA114&lt;&gt;"",Sheet1!FA114,"")</f>
        <v>387352</v>
      </c>
      <c r="I114">
        <f>IF(Sheet1!FI114&lt;&gt;"",Sheet1!FI114,"")</f>
        <v>0</v>
      </c>
      <c r="J114">
        <f ca="1">IF(Sheet1!GI114&lt;&gt;"",Sheet1!GI114,"")</f>
        <v>0</v>
      </c>
    </row>
    <row r="115" spans="1:10" x14ac:dyDescent="0.25">
      <c r="A115" t="str">
        <f>IF(Sheet1!B115&lt;&gt;"",Sheet1!B115,"")</f>
        <v>teachers208</v>
      </c>
      <c r="B115" t="str">
        <f>IF(Sheet1!C115&lt;&gt;"",Sheet1!C115,"")</f>
        <v>TAPASI ACHARYYA</v>
      </c>
      <c r="C115" t="str">
        <f>IF(Sheet1!D115&lt;&gt;"",Sheet1!D115,"")</f>
        <v>JHIKIRA SATISH CHANDRA JR BASIC SCHOOL</v>
      </c>
      <c r="D115" t="str">
        <f>IF(Sheet1!E115&lt;&gt;"",Sheet1!E115,"")</f>
        <v>ABPTA</v>
      </c>
      <c r="E115">
        <f>IF(Sheet1!DY115&lt;&gt;"",Sheet1!DY115,"")</f>
        <v>803272</v>
      </c>
      <c r="F115">
        <f>IF(Sheet1!EQ115&lt;&gt;"",Sheet1!EQ115,"")</f>
        <v>60000</v>
      </c>
      <c r="G115">
        <f>IF(Sheet1!EZ115&lt;&gt;"",Sheet1!EZ115,"")</f>
        <v>0</v>
      </c>
      <c r="H115">
        <f>IF(Sheet1!FA115&lt;&gt;"",Sheet1!FA115,"")</f>
        <v>690872</v>
      </c>
      <c r="I115">
        <f>IF(Sheet1!FI115&lt;&gt;"",Sheet1!FI115,"")</f>
        <v>52701</v>
      </c>
      <c r="J115">
        <f ca="1">IF(Sheet1!GI115&lt;&gt;"",Sheet1!GI115,"")</f>
        <v>23802</v>
      </c>
    </row>
    <row r="116" spans="1:10" x14ac:dyDescent="0.25">
      <c r="A116" t="str">
        <f>IF(Sheet1!B116&lt;&gt;"",Sheet1!B116,"")</f>
        <v>teachers209</v>
      </c>
      <c r="B116" t="str">
        <f>IF(Sheet1!C116&lt;&gt;"",Sheet1!C116,"")</f>
        <v>ROJINA KHATUN</v>
      </c>
      <c r="C116" t="str">
        <f>IF(Sheet1!D116&lt;&gt;"",Sheet1!D116,"")</f>
        <v>JHIKIRA SATISH CHANDRA JR BASIC SCHOOL</v>
      </c>
      <c r="D116" t="str">
        <f>IF(Sheet1!E116&lt;&gt;"",Sheet1!E116,"")</f>
        <v>WBTPTA</v>
      </c>
      <c r="E116">
        <f>IF(Sheet1!DY116&lt;&gt;"",Sheet1!DY116,"")</f>
        <v>506180</v>
      </c>
      <c r="F116">
        <f>IF(Sheet1!EQ116&lt;&gt;"",Sheet1!EQ116,"")</f>
        <v>28000</v>
      </c>
      <c r="G116">
        <f>IF(Sheet1!EZ116&lt;&gt;"",Sheet1!EZ116,"")</f>
        <v>0</v>
      </c>
      <c r="H116">
        <f>IF(Sheet1!FA116&lt;&gt;"",Sheet1!FA116,"")</f>
        <v>425880</v>
      </c>
      <c r="I116">
        <f>IF(Sheet1!FI116&lt;&gt;"",Sheet1!FI116,"")</f>
        <v>0</v>
      </c>
      <c r="J116">
        <f ca="1">IF(Sheet1!GI116&lt;&gt;"",Sheet1!GI116,"")</f>
        <v>0</v>
      </c>
    </row>
    <row r="117" spans="1:10" x14ac:dyDescent="0.25">
      <c r="A117" t="str">
        <f>IF(Sheet1!B117&lt;&gt;"",Sheet1!B117,"")</f>
        <v>teachers210</v>
      </c>
      <c r="B117" t="str">
        <f>IF(Sheet1!C117&lt;&gt;"",Sheet1!C117,"")</f>
        <v>NILADRY SEKHAR KHAN</v>
      </c>
      <c r="C117" t="str">
        <f>IF(Sheet1!D117&lt;&gt;"",Sheet1!D117,"")</f>
        <v>JOYPUR BAKULTALA PRIMARY SCHOOL</v>
      </c>
      <c r="D117" t="str">
        <f>IF(Sheet1!E117&lt;&gt;"",Sheet1!E117,"")</f>
        <v>ABPTA</v>
      </c>
      <c r="E117">
        <f>IF(Sheet1!DY117&lt;&gt;"",Sheet1!DY117,"")</f>
        <v>782936</v>
      </c>
      <c r="F117">
        <f>IF(Sheet1!EQ117&lt;&gt;"",Sheet1!EQ117,"")</f>
        <v>60000</v>
      </c>
      <c r="G117">
        <f>IF(Sheet1!EZ117&lt;&gt;"",Sheet1!EZ117,"")</f>
        <v>0</v>
      </c>
      <c r="H117">
        <f>IF(Sheet1!FA117&lt;&gt;"",Sheet1!FA117,"")</f>
        <v>670536</v>
      </c>
      <c r="I117">
        <f>IF(Sheet1!FI117&lt;&gt;"",Sheet1!FI117,"")</f>
        <v>48471</v>
      </c>
      <c r="J117">
        <f ca="1">IF(Sheet1!GI117&lt;&gt;"",Sheet1!GI117,"")</f>
        <v>9162</v>
      </c>
    </row>
    <row r="118" spans="1:10" x14ac:dyDescent="0.25">
      <c r="A118" t="str">
        <f>IF(Sheet1!B118&lt;&gt;"",Sheet1!B118,"")</f>
        <v>teachers211</v>
      </c>
      <c r="B118" t="str">
        <f>IF(Sheet1!C118&lt;&gt;"",Sheet1!C118,"")</f>
        <v>SUJIT BHATTACHARYAY</v>
      </c>
      <c r="C118" t="str">
        <f>IF(Sheet1!D118&lt;&gt;"",Sheet1!D118,"")</f>
        <v>JOYPUR BAKULTALA PRIMARY SCHOOL</v>
      </c>
      <c r="D118" t="str">
        <f>IF(Sheet1!E118&lt;&gt;"",Sheet1!E118,"")</f>
        <v>WBPTA</v>
      </c>
      <c r="E118">
        <f>IF(Sheet1!DY118&lt;&gt;"",Sheet1!DY118,"")</f>
        <v>587088</v>
      </c>
      <c r="F118">
        <f>IF(Sheet1!EQ118&lt;&gt;"",Sheet1!EQ118,"")</f>
        <v>12000</v>
      </c>
      <c r="G118">
        <f>IF(Sheet1!EZ118&lt;&gt;"",Sheet1!EZ118,"")</f>
        <v>0</v>
      </c>
      <c r="H118">
        <f>IF(Sheet1!FA118&lt;&gt;"",Sheet1!FA118,"")</f>
        <v>523088</v>
      </c>
      <c r="I118">
        <f>IF(Sheet1!FI118&lt;&gt;"",Sheet1!FI118,"")</f>
        <v>17803</v>
      </c>
      <c r="J118">
        <f ca="1">IF(Sheet1!GI118&lt;&gt;"",Sheet1!GI118,"")</f>
        <v>0</v>
      </c>
    </row>
    <row r="119" spans="1:10" x14ac:dyDescent="0.25">
      <c r="A119" t="str">
        <f>IF(Sheet1!B119&lt;&gt;"",Sheet1!B119,"")</f>
        <v>teachers212</v>
      </c>
      <c r="B119" t="str">
        <f>IF(Sheet1!C119&lt;&gt;"",Sheet1!C119,"")</f>
        <v>SRABANI JATI</v>
      </c>
      <c r="C119" t="str">
        <f>IF(Sheet1!D119&lt;&gt;"",Sheet1!D119,"")</f>
        <v>JOYPUR BAKULTALA PRIMARY SCHOOL</v>
      </c>
      <c r="D119" t="str">
        <f>IF(Sheet1!E119&lt;&gt;"",Sheet1!E119,"")</f>
        <v>WBPTA</v>
      </c>
      <c r="E119">
        <f>IF(Sheet1!DY119&lt;&gt;"",Sheet1!DY119,"")</f>
        <v>706284</v>
      </c>
      <c r="F119">
        <f>IF(Sheet1!EQ119&lt;&gt;"",Sheet1!EQ119,"")</f>
        <v>72000</v>
      </c>
      <c r="G119">
        <f>IF(Sheet1!EZ119&lt;&gt;"",Sheet1!EZ119,"")</f>
        <v>0</v>
      </c>
      <c r="H119">
        <f>IF(Sheet1!FA119&lt;&gt;"",Sheet1!FA119,"")</f>
        <v>581884</v>
      </c>
      <c r="I119">
        <f>IF(Sheet1!FI119&lt;&gt;"",Sheet1!FI119,"")</f>
        <v>30032</v>
      </c>
      <c r="J119">
        <f ca="1">IF(Sheet1!GI119&lt;&gt;"",Sheet1!GI119,"")</f>
        <v>0</v>
      </c>
    </row>
    <row r="120" spans="1:10" x14ac:dyDescent="0.25">
      <c r="A120" t="str">
        <f>IF(Sheet1!B120&lt;&gt;"",Sheet1!B120,"")</f>
        <v>teachers213</v>
      </c>
      <c r="B120" t="str">
        <f>IF(Sheet1!C120&lt;&gt;"",Sheet1!C120,"")</f>
        <v>PRASUN MUKHOPADHYAY</v>
      </c>
      <c r="C120" t="str">
        <f>IF(Sheet1!D120&lt;&gt;"",Sheet1!D120,"")</f>
        <v>JOYPUR BAKULTALA PRIMARY SCHOOL</v>
      </c>
      <c r="D120" t="str">
        <f>IF(Sheet1!E120&lt;&gt;"",Sheet1!E120,"")</f>
        <v>WBTPTA</v>
      </c>
      <c r="E120">
        <f>IF(Sheet1!DY120&lt;&gt;"",Sheet1!DY120,"")</f>
        <v>509798</v>
      </c>
      <c r="F120">
        <f>IF(Sheet1!EQ120&lt;&gt;"",Sheet1!EQ120,"")</f>
        <v>60000</v>
      </c>
      <c r="G120">
        <f>IF(Sheet1!EZ120&lt;&gt;"",Sheet1!EZ120,"")</f>
        <v>0</v>
      </c>
      <c r="H120">
        <f>IF(Sheet1!FA120&lt;&gt;"",Sheet1!FA120,"")</f>
        <v>397498</v>
      </c>
      <c r="I120">
        <f>IF(Sheet1!FI120&lt;&gt;"",Sheet1!FI120,"")</f>
        <v>0</v>
      </c>
      <c r="J120">
        <f ca="1">IF(Sheet1!GI120&lt;&gt;"",Sheet1!GI120,"")</f>
        <v>0</v>
      </c>
    </row>
    <row r="121" spans="1:10" x14ac:dyDescent="0.25">
      <c r="A121" t="str">
        <f>IF(Sheet1!B121&lt;&gt;"",Sheet1!B121,"")</f>
        <v>teachers214</v>
      </c>
      <c r="B121" t="str">
        <f>IF(Sheet1!C121&lt;&gt;"",Sheet1!C121,"")</f>
        <v>DEBASRI KOLEY JATI</v>
      </c>
      <c r="C121" t="str">
        <f>IF(Sheet1!D121&lt;&gt;"",Sheet1!D121,"")</f>
        <v>JOYPUR BAKULTALA PRIMARY SCHOOL</v>
      </c>
      <c r="D121" t="str">
        <f>IF(Sheet1!E121&lt;&gt;"",Sheet1!E121,"")</f>
        <v>WBTPTA</v>
      </c>
      <c r="E121">
        <f>IF(Sheet1!DY121&lt;&gt;"",Sheet1!DY121,"")</f>
        <v>515635</v>
      </c>
      <c r="F121">
        <f>IF(Sheet1!EQ121&lt;&gt;"",Sheet1!EQ121,"")</f>
        <v>60000</v>
      </c>
      <c r="G121">
        <f>IF(Sheet1!EZ121&lt;&gt;"",Sheet1!EZ121,"")</f>
        <v>0</v>
      </c>
      <c r="H121">
        <f>IF(Sheet1!FA121&lt;&gt;"",Sheet1!FA121,"")</f>
        <v>403235</v>
      </c>
      <c r="I121">
        <f>IF(Sheet1!FI121&lt;&gt;"",Sheet1!FI121,"")</f>
        <v>0</v>
      </c>
      <c r="J121">
        <f ca="1">IF(Sheet1!GI121&lt;&gt;"",Sheet1!GI121,"")</f>
        <v>0</v>
      </c>
    </row>
    <row r="122" spans="1:10" x14ac:dyDescent="0.25">
      <c r="A122" t="str">
        <f>IF(Sheet1!B122&lt;&gt;"",Sheet1!B122,"")</f>
        <v>teachers215</v>
      </c>
      <c r="B122" t="str">
        <f>IF(Sheet1!C122&lt;&gt;"",Sheet1!C122,"")</f>
        <v>MOUSUMI BISWAS</v>
      </c>
      <c r="C122" t="str">
        <f>IF(Sheet1!D122&lt;&gt;"",Sheet1!D122,"")</f>
        <v>JOYPUR BAKULTALA PRIMARY SCHOOL</v>
      </c>
      <c r="D122" t="str">
        <f>IF(Sheet1!E122&lt;&gt;"",Sheet1!E122,"")</f>
        <v>WBTPTA</v>
      </c>
      <c r="E122">
        <f>IF(Sheet1!DY122&lt;&gt;"",Sheet1!DY122,"")</f>
        <v>409160</v>
      </c>
      <c r="F122">
        <f>IF(Sheet1!EQ122&lt;&gt;"",Sheet1!EQ122,"")</f>
        <v>24000</v>
      </c>
      <c r="G122">
        <f>IF(Sheet1!EZ122&lt;&gt;"",Sheet1!EZ122,"")</f>
        <v>0</v>
      </c>
      <c r="H122">
        <f>IF(Sheet1!FA122&lt;&gt;"",Sheet1!FA122,"")</f>
        <v>333360</v>
      </c>
      <c r="I122">
        <f>IF(Sheet1!FI122&lt;&gt;"",Sheet1!FI122,"")</f>
        <v>0</v>
      </c>
      <c r="J122">
        <f ca="1">IF(Sheet1!GI122&lt;&gt;"",Sheet1!GI122,"")</f>
        <v>0</v>
      </c>
    </row>
    <row r="123" spans="1:10" x14ac:dyDescent="0.25">
      <c r="A123" t="str">
        <f>IF(Sheet1!B123&lt;&gt;"",Sheet1!B123,"")</f>
        <v>teachers216</v>
      </c>
      <c r="B123" t="str">
        <f>IF(Sheet1!C123&lt;&gt;"",Sheet1!C123,"")</f>
        <v>MERAJUDDIN SARKAR</v>
      </c>
      <c r="C123" t="str">
        <f>IF(Sheet1!D123&lt;&gt;"",Sheet1!D123,"")</f>
        <v>JOYPUR BAKULTALA PRIMARY SCHOOL</v>
      </c>
      <c r="D123" t="str">
        <f>IF(Sheet1!E123&lt;&gt;"",Sheet1!E123,"")</f>
        <v>WBTPTA</v>
      </c>
      <c r="E123">
        <f>IF(Sheet1!DY123&lt;&gt;"",Sheet1!DY123,"")</f>
        <v>484028</v>
      </c>
      <c r="F123">
        <f>IF(Sheet1!EQ123&lt;&gt;"",Sheet1!EQ123,"")</f>
        <v>24000</v>
      </c>
      <c r="G123">
        <f>IF(Sheet1!EZ123&lt;&gt;"",Sheet1!EZ123,"")</f>
        <v>0</v>
      </c>
      <c r="H123">
        <f>IF(Sheet1!FA123&lt;&gt;"",Sheet1!FA123,"")</f>
        <v>407828</v>
      </c>
      <c r="I123">
        <f>IF(Sheet1!FI123&lt;&gt;"",Sheet1!FI123,"")</f>
        <v>0</v>
      </c>
      <c r="J123">
        <f ca="1">IF(Sheet1!GI123&lt;&gt;"",Sheet1!GI123,"")</f>
        <v>0</v>
      </c>
    </row>
    <row r="124" spans="1:10" x14ac:dyDescent="0.25">
      <c r="A124" t="str">
        <f>IF(Sheet1!B124&lt;&gt;"",Sheet1!B124,"")</f>
        <v>teachers217</v>
      </c>
      <c r="B124" t="str">
        <f>IF(Sheet1!C124&lt;&gt;"",Sheet1!C124,"")</f>
        <v>FARID MONDAL</v>
      </c>
      <c r="C124" t="str">
        <f>IF(Sheet1!D124&lt;&gt;"",Sheet1!D124,"")</f>
        <v>JOYPUR JOYCHANDI TALA PRIMARY SCHOOL</v>
      </c>
      <c r="D124" t="str">
        <f>IF(Sheet1!E124&lt;&gt;"",Sheet1!E124,"")</f>
        <v>WBTPTA</v>
      </c>
      <c r="E124">
        <f>IF(Sheet1!DY124&lt;&gt;"",Sheet1!DY124,"")</f>
        <v>717084</v>
      </c>
      <c r="F124">
        <f>IF(Sheet1!EQ124&lt;&gt;"",Sheet1!EQ124,"")</f>
        <v>36720</v>
      </c>
      <c r="G124">
        <f>IF(Sheet1!EZ124&lt;&gt;"",Sheet1!EZ124,"")</f>
        <v>0</v>
      </c>
      <c r="H124">
        <f>IF(Sheet1!FA124&lt;&gt;"",Sheet1!FA124,"")</f>
        <v>627964</v>
      </c>
      <c r="I124">
        <f>IF(Sheet1!FI124&lt;&gt;"",Sheet1!FI124,"")</f>
        <v>39617</v>
      </c>
      <c r="J124">
        <f ca="1">IF(Sheet1!GI124&lt;&gt;"",Sheet1!GI124,"")</f>
        <v>0</v>
      </c>
    </row>
    <row r="125" spans="1:10" x14ac:dyDescent="0.25">
      <c r="A125" t="str">
        <f>IF(Sheet1!B125&lt;&gt;"",Sheet1!B125,"")</f>
        <v>teachers218</v>
      </c>
      <c r="B125" t="str">
        <f>IF(Sheet1!C125&lt;&gt;"",Sheet1!C125,"")</f>
        <v>UJJWAL ADHIKARY</v>
      </c>
      <c r="C125" t="str">
        <f>IF(Sheet1!D125&lt;&gt;"",Sheet1!D125,"")</f>
        <v>JOYPUR JOYCHANDI TALA PRIMARY SCHOOL</v>
      </c>
      <c r="D125" t="str">
        <f>IF(Sheet1!E125&lt;&gt;"",Sheet1!E125,"")</f>
        <v>WBTPTA</v>
      </c>
      <c r="E125">
        <f>IF(Sheet1!DY125&lt;&gt;"",Sheet1!DY125,"")</f>
        <v>484028</v>
      </c>
      <c r="F125">
        <f>IF(Sheet1!EQ125&lt;&gt;"",Sheet1!EQ125,"")</f>
        <v>24000</v>
      </c>
      <c r="G125">
        <f>IF(Sheet1!EZ125&lt;&gt;"",Sheet1!EZ125,"")</f>
        <v>0</v>
      </c>
      <c r="H125">
        <f>IF(Sheet1!FA125&lt;&gt;"",Sheet1!FA125,"")</f>
        <v>407828</v>
      </c>
      <c r="I125">
        <f>IF(Sheet1!FI125&lt;&gt;"",Sheet1!FI125,"")</f>
        <v>0</v>
      </c>
      <c r="J125">
        <f ca="1">IF(Sheet1!GI125&lt;&gt;"",Sheet1!GI125,"")</f>
        <v>0</v>
      </c>
    </row>
    <row r="126" spans="1:10" x14ac:dyDescent="0.25">
      <c r="A126" t="str">
        <f>IF(Sheet1!B126&lt;&gt;"",Sheet1!B126,"")</f>
        <v>teachers219</v>
      </c>
      <c r="B126" t="str">
        <f>IF(Sheet1!C126&lt;&gt;"",Sheet1!C126,"")</f>
        <v>SUDIPTA BHANDARI</v>
      </c>
      <c r="C126" t="str">
        <f>IF(Sheet1!D126&lt;&gt;"",Sheet1!D126,"")</f>
        <v>JOYPUR JOYCHANDI TALA PRIMARY SCHOOL</v>
      </c>
      <c r="D126" t="str">
        <f>IF(Sheet1!E126&lt;&gt;"",Sheet1!E126,"")</f>
        <v>WBTPTA</v>
      </c>
      <c r="E126">
        <f>IF(Sheet1!DY126&lt;&gt;"",Sheet1!DY126,"")</f>
        <v>470456</v>
      </c>
      <c r="F126">
        <f>IF(Sheet1!EQ126&lt;&gt;"",Sheet1!EQ126,"")</f>
        <v>24000</v>
      </c>
      <c r="G126">
        <f>IF(Sheet1!EZ126&lt;&gt;"",Sheet1!EZ126,"")</f>
        <v>0</v>
      </c>
      <c r="H126">
        <f>IF(Sheet1!FA126&lt;&gt;"",Sheet1!FA126,"")</f>
        <v>394606</v>
      </c>
      <c r="I126">
        <f>IF(Sheet1!FI126&lt;&gt;"",Sheet1!FI126,"")</f>
        <v>0</v>
      </c>
      <c r="J126">
        <f ca="1">IF(Sheet1!GI126&lt;&gt;"",Sheet1!GI126,"")</f>
        <v>0</v>
      </c>
    </row>
    <row r="127" spans="1:10" x14ac:dyDescent="0.25">
      <c r="A127" t="str">
        <f>IF(Sheet1!B127&lt;&gt;"",Sheet1!B127,"")</f>
        <v>teachers220</v>
      </c>
      <c r="B127" t="str">
        <f>IF(Sheet1!C127&lt;&gt;"",Sheet1!C127,"")</f>
        <v>SK RAJIBUL HAQUE</v>
      </c>
      <c r="C127" t="str">
        <f>IF(Sheet1!D127&lt;&gt;"",Sheet1!D127,"")</f>
        <v>JOYPUR PHAKIRDAS HIGH ATT PRIMARY SCHOOL</v>
      </c>
      <c r="D127" t="str">
        <f>IF(Sheet1!E127&lt;&gt;"",Sheet1!E127,"")</f>
        <v>WBTPTA</v>
      </c>
      <c r="E127">
        <f>IF(Sheet1!DY127&lt;&gt;"",Sheet1!DY127,"")</f>
        <v>510980</v>
      </c>
      <c r="F127">
        <f>IF(Sheet1!EQ127&lt;&gt;"",Sheet1!EQ127,"")</f>
        <v>28000</v>
      </c>
      <c r="G127">
        <f>IF(Sheet1!EZ127&lt;&gt;"",Sheet1!EZ127,"")</f>
        <v>0</v>
      </c>
      <c r="H127">
        <f>IF(Sheet1!FA127&lt;&gt;"",Sheet1!FA127,"")</f>
        <v>430580</v>
      </c>
      <c r="I127">
        <f>IF(Sheet1!FI127&lt;&gt;"",Sheet1!FI127,"")</f>
        <v>0</v>
      </c>
      <c r="J127">
        <f ca="1">IF(Sheet1!GI127&lt;&gt;"",Sheet1!GI127,"")</f>
        <v>0</v>
      </c>
    </row>
    <row r="128" spans="1:10" x14ac:dyDescent="0.25">
      <c r="A128" t="str">
        <f>IF(Sheet1!B128&lt;&gt;"",Sheet1!B128,"")</f>
        <v>teachers221</v>
      </c>
      <c r="B128" t="str">
        <f>IF(Sheet1!C128&lt;&gt;"",Sheet1!C128,"")</f>
        <v>SUBHRADIP POREL</v>
      </c>
      <c r="C128" t="str">
        <f>IF(Sheet1!D128&lt;&gt;"",Sheet1!D128,"")</f>
        <v>JOYPUR PHAKIRDAS HIGH ATT PRIMARY SCHOOL</v>
      </c>
      <c r="D128" t="str">
        <f>IF(Sheet1!E128&lt;&gt;"",Sheet1!E128,"")</f>
        <v>WBTPTA</v>
      </c>
      <c r="E128">
        <f>IF(Sheet1!DY128&lt;&gt;"",Sheet1!DY128,"")</f>
        <v>409160</v>
      </c>
      <c r="F128">
        <f>IF(Sheet1!EQ128&lt;&gt;"",Sheet1!EQ128,"")</f>
        <v>24000</v>
      </c>
      <c r="G128">
        <f>IF(Sheet1!EZ128&lt;&gt;"",Sheet1!EZ128,"")</f>
        <v>0</v>
      </c>
      <c r="H128">
        <f>IF(Sheet1!FA128&lt;&gt;"",Sheet1!FA128,"")</f>
        <v>333360</v>
      </c>
      <c r="I128">
        <f>IF(Sheet1!FI128&lt;&gt;"",Sheet1!FI128,"")</f>
        <v>0</v>
      </c>
      <c r="J128">
        <f ca="1">IF(Sheet1!GI128&lt;&gt;"",Sheet1!GI128,"")</f>
        <v>0</v>
      </c>
    </row>
    <row r="129" spans="1:10" x14ac:dyDescent="0.25">
      <c r="A129" t="str">
        <f>IF(Sheet1!B129&lt;&gt;"",Sheet1!B129,"")</f>
        <v>teachers222</v>
      </c>
      <c r="B129" t="str">
        <f>IF(Sheet1!C129&lt;&gt;"",Sheet1!C129,"")</f>
        <v>PRIYABRATA BANDYOPADHYAY</v>
      </c>
      <c r="C129" t="str">
        <f>IF(Sheet1!D129&lt;&gt;"",Sheet1!D129,"")</f>
        <v>JOYPUR PHAKIRDAS HIGH ATT PRIMARY SCHOOL</v>
      </c>
      <c r="D129" t="str">
        <f>IF(Sheet1!E129&lt;&gt;"",Sheet1!E129,"")</f>
        <v>WBTPTA</v>
      </c>
      <c r="E129">
        <f>IF(Sheet1!DY129&lt;&gt;"",Sheet1!DY129,"")</f>
        <v>406054</v>
      </c>
      <c r="F129">
        <f>IF(Sheet1!EQ129&lt;&gt;"",Sheet1!EQ129,"")</f>
        <v>0</v>
      </c>
      <c r="G129">
        <f>IF(Sheet1!EZ129&lt;&gt;"",Sheet1!EZ129,"")</f>
        <v>0</v>
      </c>
      <c r="H129">
        <f>IF(Sheet1!FA129&lt;&gt;"",Sheet1!FA129,"")</f>
        <v>354404</v>
      </c>
      <c r="I129">
        <f>IF(Sheet1!FI129&lt;&gt;"",Sheet1!FI129,"")</f>
        <v>0</v>
      </c>
      <c r="J129">
        <f ca="1">IF(Sheet1!GI129&lt;&gt;"",Sheet1!GI129,"")</f>
        <v>0</v>
      </c>
    </row>
    <row r="130" spans="1:10" x14ac:dyDescent="0.25">
      <c r="A130" t="str">
        <f>IF(Sheet1!B130&lt;&gt;"",Sheet1!B130,"")</f>
        <v>teachers223</v>
      </c>
      <c r="B130" t="str">
        <f>IF(Sheet1!C130&lt;&gt;"",Sheet1!C130,"")</f>
        <v>SUJIT GUCHHAIT</v>
      </c>
      <c r="C130" t="str">
        <f>IF(Sheet1!D130&lt;&gt;"",Sheet1!D130,"")</f>
        <v>JOYPUR RAJBANSHI PARA PRIMARY SCHOOL</v>
      </c>
      <c r="D130" t="str">
        <f>IF(Sheet1!E130&lt;&gt;"",Sheet1!E130,"")</f>
        <v>ABPTA</v>
      </c>
      <c r="E130">
        <f>IF(Sheet1!DY130&lt;&gt;"",Sheet1!DY130,"")</f>
        <v>782936</v>
      </c>
      <c r="F130">
        <f>IF(Sheet1!EQ130&lt;&gt;"",Sheet1!EQ130,"")</f>
        <v>60000</v>
      </c>
      <c r="G130">
        <f>IF(Sheet1!EZ130&lt;&gt;"",Sheet1!EZ130,"")</f>
        <v>0</v>
      </c>
      <c r="H130">
        <f>IF(Sheet1!FA130&lt;&gt;"",Sheet1!FA130,"")</f>
        <v>670536</v>
      </c>
      <c r="I130">
        <f>IF(Sheet1!FI130&lt;&gt;"",Sheet1!FI130,"")</f>
        <v>48471</v>
      </c>
      <c r="J130">
        <f ca="1">IF(Sheet1!GI130&lt;&gt;"",Sheet1!GI130,"")</f>
        <v>9264</v>
      </c>
    </row>
    <row r="131" spans="1:10" x14ac:dyDescent="0.25">
      <c r="A131" t="str">
        <f>IF(Sheet1!B131&lt;&gt;"",Sheet1!B131,"")</f>
        <v>teachers224</v>
      </c>
      <c r="B131" t="str">
        <f>IF(Sheet1!C131&lt;&gt;"",Sheet1!C131,"")</f>
        <v>RAJASI SAMANTA</v>
      </c>
      <c r="C131" t="str">
        <f>IF(Sheet1!D131&lt;&gt;"",Sheet1!D131,"")</f>
        <v>JOYPUR RAJBANSHI PARA PRIMARY SCHOOL</v>
      </c>
      <c r="D131" t="str">
        <f>IF(Sheet1!E131&lt;&gt;"",Sheet1!E131,"")</f>
        <v>WBTPTA</v>
      </c>
      <c r="E131">
        <f>IF(Sheet1!DY131&lt;&gt;"",Sheet1!DY131,"")</f>
        <v>482528</v>
      </c>
      <c r="F131">
        <f>IF(Sheet1!EQ131&lt;&gt;"",Sheet1!EQ131,"")</f>
        <v>36000</v>
      </c>
      <c r="G131">
        <f>IF(Sheet1!EZ131&lt;&gt;"",Sheet1!EZ131,"")</f>
        <v>0</v>
      </c>
      <c r="H131">
        <f>IF(Sheet1!FA131&lt;&gt;"",Sheet1!FA131,"")</f>
        <v>394328</v>
      </c>
      <c r="I131">
        <f>IF(Sheet1!FI131&lt;&gt;"",Sheet1!FI131,"")</f>
        <v>0</v>
      </c>
      <c r="J131">
        <f ca="1">IF(Sheet1!GI131&lt;&gt;"",Sheet1!GI131,"")</f>
        <v>0</v>
      </c>
    </row>
    <row r="132" spans="1:10" x14ac:dyDescent="0.25">
      <c r="A132" t="str">
        <f>IF(Sheet1!B132&lt;&gt;"",Sheet1!B132,"")</f>
        <v>teachers225</v>
      </c>
      <c r="B132" t="str">
        <f>IF(Sheet1!C132&lt;&gt;"",Sheet1!C132,"")</f>
        <v>MRIDULA CHAKRABARTI</v>
      </c>
      <c r="C132" t="str">
        <f>IF(Sheet1!D132&lt;&gt;"",Sheet1!D132,"")</f>
        <v>JOYPUR SANTRAPARA PRIMARY SCHOOL</v>
      </c>
      <c r="D132" t="str">
        <f>IF(Sheet1!E132&lt;&gt;"",Sheet1!E132,"")</f>
        <v>ABPTA</v>
      </c>
      <c r="E132">
        <f>IF(Sheet1!DY132&lt;&gt;"",Sheet1!DY132,"")</f>
        <v>970944</v>
      </c>
      <c r="F132">
        <f>IF(Sheet1!EQ132&lt;&gt;"",Sheet1!EQ132,"")</f>
        <v>150000</v>
      </c>
      <c r="G132">
        <f>IF(Sheet1!EZ132&lt;&gt;"",Sheet1!EZ132,"")</f>
        <v>0</v>
      </c>
      <c r="H132">
        <f>IF(Sheet1!FA132&lt;&gt;"",Sheet1!FA132,"")</f>
        <v>768544</v>
      </c>
      <c r="I132">
        <f>IF(Sheet1!FI132&lt;&gt;"",Sheet1!FI132,"")</f>
        <v>68857</v>
      </c>
      <c r="J132">
        <f ca="1">IF(Sheet1!GI132&lt;&gt;"",Sheet1!GI132,"")</f>
        <v>41279</v>
      </c>
    </row>
    <row r="133" spans="1:10" x14ac:dyDescent="0.25">
      <c r="A133" t="str">
        <f>IF(Sheet1!B133&lt;&gt;"",Sheet1!B133,"")</f>
        <v>teachers226</v>
      </c>
      <c r="B133" t="str">
        <f>IF(Sheet1!C133&lt;&gt;"",Sheet1!C133,"")</f>
        <v>SK ASIF MURSHED</v>
      </c>
      <c r="C133" t="str">
        <f>IF(Sheet1!D133&lt;&gt;"",Sheet1!D133,"")</f>
        <v>JOYPUR SANTRAPARA PRIMARY SCHOOL</v>
      </c>
      <c r="D133" t="str">
        <f>IF(Sheet1!E133&lt;&gt;"",Sheet1!E133,"")</f>
        <v>WBTPTA</v>
      </c>
      <c r="E133">
        <f>IF(Sheet1!DY133&lt;&gt;"",Sheet1!DY133,"")</f>
        <v>512180</v>
      </c>
      <c r="F133">
        <f>IF(Sheet1!EQ133&lt;&gt;"",Sheet1!EQ133,"")</f>
        <v>28000</v>
      </c>
      <c r="G133">
        <f>IF(Sheet1!EZ133&lt;&gt;"",Sheet1!EZ133,"")</f>
        <v>0</v>
      </c>
      <c r="H133">
        <f>IF(Sheet1!FA133&lt;&gt;"",Sheet1!FA133,"")</f>
        <v>431780</v>
      </c>
      <c r="I133">
        <f>IF(Sheet1!FI133&lt;&gt;"",Sheet1!FI133,"")</f>
        <v>0</v>
      </c>
      <c r="J133">
        <f ca="1">IF(Sheet1!GI133&lt;&gt;"",Sheet1!GI133,"")</f>
        <v>0</v>
      </c>
    </row>
    <row r="134" spans="1:10" x14ac:dyDescent="0.25">
      <c r="A134" t="str">
        <f>IF(Sheet1!B134&lt;&gt;"",Sheet1!B134,"")</f>
        <v>teachers227</v>
      </c>
      <c r="B134" t="str">
        <f>IF(Sheet1!C134&lt;&gt;"",Sheet1!C134,"")</f>
        <v>TANDRA DALUI</v>
      </c>
      <c r="C134" t="str">
        <f>IF(Sheet1!D134&lt;&gt;"",Sheet1!D134,"")</f>
        <v>JOYPUR SURANGAMAYEE GIRLS PRIMARY SCHOOL</v>
      </c>
      <c r="D134" t="str">
        <f>IF(Sheet1!E134&lt;&gt;"",Sheet1!E134,"")</f>
        <v>ABPTA</v>
      </c>
      <c r="E134">
        <f>IF(Sheet1!DY134&lt;&gt;"",Sheet1!DY134,"")</f>
        <v>542140</v>
      </c>
      <c r="F134">
        <f>IF(Sheet1!EQ134&lt;&gt;"",Sheet1!EQ134,"")</f>
        <v>60000</v>
      </c>
      <c r="G134">
        <f>IF(Sheet1!EZ134&lt;&gt;"",Sheet1!EZ134,"")</f>
        <v>0</v>
      </c>
      <c r="H134">
        <f>IF(Sheet1!FA134&lt;&gt;"",Sheet1!FA134,"")</f>
        <v>429740</v>
      </c>
      <c r="I134">
        <f>IF(Sheet1!FI134&lt;&gt;"",Sheet1!FI134,"")</f>
        <v>0</v>
      </c>
      <c r="J134">
        <f ca="1">IF(Sheet1!GI134&lt;&gt;"",Sheet1!GI134,"")</f>
        <v>0</v>
      </c>
    </row>
    <row r="135" spans="1:10" x14ac:dyDescent="0.25">
      <c r="A135" t="str">
        <f>IF(Sheet1!B135&lt;&gt;"",Sheet1!B135,"")</f>
        <v>teachers228</v>
      </c>
      <c r="B135" t="str">
        <f>IF(Sheet1!C135&lt;&gt;"",Sheet1!C135,"")</f>
        <v>NETAI CHAND MAL</v>
      </c>
      <c r="C135" t="str">
        <f>IF(Sheet1!D135&lt;&gt;"",Sheet1!D135,"")</f>
        <v>JOYPUR SURANGAMAYEE GIRLS PRIMARY SCHOOL</v>
      </c>
      <c r="D135" t="str">
        <f>IF(Sheet1!E135&lt;&gt;"",Sheet1!E135,"")</f>
        <v>ABPTA</v>
      </c>
      <c r="E135">
        <f>IF(Sheet1!DY135&lt;&gt;"",Sheet1!DY135,"")</f>
        <v>415160</v>
      </c>
      <c r="F135">
        <f>IF(Sheet1!EQ135&lt;&gt;"",Sheet1!EQ135,"")</f>
        <v>24000</v>
      </c>
      <c r="G135">
        <f>IF(Sheet1!EZ135&lt;&gt;"",Sheet1!EZ135,"")</f>
        <v>0</v>
      </c>
      <c r="H135">
        <f>IF(Sheet1!FA135&lt;&gt;"",Sheet1!FA135,"")</f>
        <v>339360</v>
      </c>
      <c r="I135">
        <f>IF(Sheet1!FI135&lt;&gt;"",Sheet1!FI135,"")</f>
        <v>0</v>
      </c>
      <c r="J135">
        <f ca="1">IF(Sheet1!GI135&lt;&gt;"",Sheet1!GI135,"")</f>
        <v>0</v>
      </c>
    </row>
    <row r="136" spans="1:10" x14ac:dyDescent="0.25">
      <c r="A136" t="str">
        <f>IF(Sheet1!B136&lt;&gt;"",Sheet1!B136,"")</f>
        <v>teachers229</v>
      </c>
      <c r="B136" t="str">
        <f>IF(Sheet1!C136&lt;&gt;"",Sheet1!C136,"")</f>
        <v>RAJESH MAITY</v>
      </c>
      <c r="C136" t="str">
        <f>IF(Sheet1!D136&lt;&gt;"",Sheet1!D136,"")</f>
        <v>JOYPUR SURANGAMAYEE GIRLS PRIMARY SCHOOL</v>
      </c>
      <c r="D136" t="str">
        <f>IF(Sheet1!E136&lt;&gt;"",Sheet1!E136,"")</f>
        <v>WBTPTA</v>
      </c>
      <c r="E136">
        <f>IF(Sheet1!DY136&lt;&gt;"",Sheet1!DY136,"")</f>
        <v>406054</v>
      </c>
      <c r="F136">
        <f>IF(Sheet1!EQ136&lt;&gt;"",Sheet1!EQ136,"")</f>
        <v>2000</v>
      </c>
      <c r="G136">
        <f>IF(Sheet1!EZ136&lt;&gt;"",Sheet1!EZ136,"")</f>
        <v>0</v>
      </c>
      <c r="H136">
        <f>IF(Sheet1!FA136&lt;&gt;"",Sheet1!FA136,"")</f>
        <v>352404</v>
      </c>
      <c r="I136">
        <f>IF(Sheet1!FI136&lt;&gt;"",Sheet1!FI136,"")</f>
        <v>0</v>
      </c>
      <c r="J136">
        <f ca="1">IF(Sheet1!GI136&lt;&gt;"",Sheet1!GI136,"")</f>
        <v>0</v>
      </c>
    </row>
    <row r="137" spans="1:10" x14ac:dyDescent="0.25">
      <c r="A137" t="str">
        <f>IF(Sheet1!B137&lt;&gt;"",Sheet1!B137,"")</f>
        <v>teachers230</v>
      </c>
      <c r="B137" t="str">
        <f>IF(Sheet1!C137&lt;&gt;"",Sheet1!C137,"")</f>
        <v>MRITUNJOY MANNA</v>
      </c>
      <c r="C137" t="str">
        <f>IF(Sheet1!D137&lt;&gt;"",Sheet1!D137,"")</f>
        <v>KALASHDIHI PRIMARY SCHOOL</v>
      </c>
      <c r="D137" t="str">
        <f>IF(Sheet1!E137&lt;&gt;"",Sheet1!E137,"")</f>
        <v>WBTPTA</v>
      </c>
      <c r="E137">
        <f>IF(Sheet1!DY137&lt;&gt;"",Sheet1!DY137,"")</f>
        <v>717084</v>
      </c>
      <c r="F137">
        <f>IF(Sheet1!EQ137&lt;&gt;"",Sheet1!EQ137,"")</f>
        <v>60720</v>
      </c>
      <c r="G137">
        <f>IF(Sheet1!EZ137&lt;&gt;"",Sheet1!EZ137,"")</f>
        <v>50000</v>
      </c>
      <c r="H137">
        <f>IF(Sheet1!FA137&lt;&gt;"",Sheet1!FA137,"")</f>
        <v>556364</v>
      </c>
      <c r="I137">
        <f>IF(Sheet1!FI137&lt;&gt;"",Sheet1!FI137,"")</f>
        <v>24724</v>
      </c>
      <c r="J137">
        <f ca="1">IF(Sheet1!GI137&lt;&gt;"",Sheet1!GI137,"")</f>
        <v>0</v>
      </c>
    </row>
    <row r="138" spans="1:10" x14ac:dyDescent="0.25">
      <c r="A138" t="str">
        <f>IF(Sheet1!B138&lt;&gt;"",Sheet1!B138,"")</f>
        <v>teachers231</v>
      </c>
      <c r="B138" t="str">
        <f>IF(Sheet1!C138&lt;&gt;"",Sheet1!C138,"")</f>
        <v>JULFIKAR ALI SHAH</v>
      </c>
      <c r="C138" t="str">
        <f>IF(Sheet1!D138&lt;&gt;"",Sheet1!D138,"")</f>
        <v>KALASHDIHI PRIMARY SCHOOL</v>
      </c>
      <c r="D138" t="str">
        <f>IF(Sheet1!E138&lt;&gt;"",Sheet1!E138,"")</f>
        <v>WBTPTA</v>
      </c>
      <c r="E138">
        <f>IF(Sheet1!DY138&lt;&gt;"",Sheet1!DY138,"")</f>
        <v>522260</v>
      </c>
      <c r="F138">
        <f>IF(Sheet1!EQ138&lt;&gt;"",Sheet1!EQ138,"")</f>
        <v>36000</v>
      </c>
      <c r="G138">
        <f>IF(Sheet1!EZ138&lt;&gt;"",Sheet1!EZ138,"")</f>
        <v>0</v>
      </c>
      <c r="H138">
        <f>IF(Sheet1!FA138&lt;&gt;"",Sheet1!FA138,"")</f>
        <v>433860</v>
      </c>
      <c r="I138">
        <f>IF(Sheet1!FI138&lt;&gt;"",Sheet1!FI138,"")</f>
        <v>0</v>
      </c>
      <c r="J138">
        <f ca="1">IF(Sheet1!GI138&lt;&gt;"",Sheet1!GI138,"")</f>
        <v>0</v>
      </c>
    </row>
    <row r="139" spans="1:10" x14ac:dyDescent="0.25">
      <c r="A139" t="str">
        <f>IF(Sheet1!B139&lt;&gt;"",Sheet1!B139,"")</f>
        <v>teachers232</v>
      </c>
      <c r="B139" t="str">
        <f>IF(Sheet1!C139&lt;&gt;"",Sheet1!C139,"")</f>
        <v>ATANU MAJI</v>
      </c>
      <c r="C139" t="str">
        <f>IF(Sheet1!D139&lt;&gt;"",Sheet1!D139,"")</f>
        <v>KALASHDIHI PRIMARY SCHOOL</v>
      </c>
      <c r="D139" t="str">
        <f>IF(Sheet1!E139&lt;&gt;"",Sheet1!E139,"")</f>
        <v>WBTPTA</v>
      </c>
      <c r="E139">
        <f>IF(Sheet1!DY139&lt;&gt;"",Sheet1!DY139,"")</f>
        <v>506180</v>
      </c>
      <c r="F139">
        <f>IF(Sheet1!EQ139&lt;&gt;"",Sheet1!EQ139,"")</f>
        <v>36000</v>
      </c>
      <c r="G139">
        <f>IF(Sheet1!EZ139&lt;&gt;"",Sheet1!EZ139,"")</f>
        <v>0</v>
      </c>
      <c r="H139">
        <f>IF(Sheet1!FA139&lt;&gt;"",Sheet1!FA139,"")</f>
        <v>417880</v>
      </c>
      <c r="I139">
        <f>IF(Sheet1!FI139&lt;&gt;"",Sheet1!FI139,"")</f>
        <v>0</v>
      </c>
      <c r="J139">
        <f ca="1">IF(Sheet1!GI139&lt;&gt;"",Sheet1!GI139,"")</f>
        <v>0</v>
      </c>
    </row>
    <row r="140" spans="1:10" x14ac:dyDescent="0.25">
      <c r="A140" t="str">
        <f>IF(Sheet1!B140&lt;&gt;"",Sheet1!B140,"")</f>
        <v>teachers233</v>
      </c>
      <c r="B140" t="str">
        <f>IF(Sheet1!C140&lt;&gt;"",Sheet1!C140,"")</f>
        <v>RUPALI DAS</v>
      </c>
      <c r="C140" t="str">
        <f>IF(Sheet1!D140&lt;&gt;"",Sheet1!D140,"")</f>
        <v>KALASHDIHI PRIMARY SCHOOL</v>
      </c>
      <c r="D140" t="str">
        <f>IF(Sheet1!E140&lt;&gt;"",Sheet1!E140,"")</f>
        <v>WBTPTA</v>
      </c>
      <c r="E140">
        <f>IF(Sheet1!DY140&lt;&gt;"",Sheet1!DY140,"")</f>
        <v>406054</v>
      </c>
      <c r="F140">
        <f>IF(Sheet1!EQ140&lt;&gt;"",Sheet1!EQ140,"")</f>
        <v>2000</v>
      </c>
      <c r="G140">
        <f>IF(Sheet1!EZ140&lt;&gt;"",Sheet1!EZ140,"")</f>
        <v>0</v>
      </c>
      <c r="H140">
        <f>IF(Sheet1!FA140&lt;&gt;"",Sheet1!FA140,"")</f>
        <v>352404</v>
      </c>
      <c r="I140">
        <f>IF(Sheet1!FI140&lt;&gt;"",Sheet1!FI140,"")</f>
        <v>0</v>
      </c>
      <c r="J140">
        <f ca="1">IF(Sheet1!GI140&lt;&gt;"",Sheet1!GI140,"")</f>
        <v>0</v>
      </c>
    </row>
    <row r="141" spans="1:10" x14ac:dyDescent="0.25">
      <c r="A141" t="str">
        <f>IF(Sheet1!B141&lt;&gt;"",Sheet1!B141,"")</f>
        <v>teachers391-12274feb</v>
      </c>
      <c r="B141" t="str">
        <f>IF(Sheet1!C141&lt;&gt;"",Sheet1!C141,"")</f>
        <v>MOONMOON SARKAR</v>
      </c>
      <c r="C141" t="str">
        <f>IF(Sheet1!D141&lt;&gt;"",Sheet1!D141,"")</f>
        <v>KALASHDIHI PRIMARY SCHOOL</v>
      </c>
      <c r="D141" t="str">
        <f>IF(Sheet1!E141&lt;&gt;"",Sheet1!E141,"")</f>
        <v>WBTPTA</v>
      </c>
      <c r="E141">
        <f>IF(Sheet1!DY141&lt;&gt;"",Sheet1!DY141,"")</f>
        <v>145656</v>
      </c>
      <c r="F141">
        <f>IF(Sheet1!EQ141&lt;&gt;"",Sheet1!EQ141,"")</f>
        <v>0</v>
      </c>
      <c r="G141">
        <f>IF(Sheet1!EZ141&lt;&gt;"",Sheet1!EZ141,"")</f>
        <v>0</v>
      </c>
      <c r="H141">
        <f>IF(Sheet1!FA141&lt;&gt;"",Sheet1!FA141,"")</f>
        <v>95056</v>
      </c>
      <c r="I141">
        <f>IF(Sheet1!FI141&lt;&gt;"",Sheet1!FI141,"")</f>
        <v>0</v>
      </c>
      <c r="J141">
        <f ca="1">IF(Sheet1!GI141&lt;&gt;"",Sheet1!GI141,"")</f>
        <v>0</v>
      </c>
    </row>
    <row r="142" spans="1:10" x14ac:dyDescent="0.25">
      <c r="A142" t="str">
        <f>IF(Sheet1!B142&lt;&gt;"",Sheet1!B142,"")</f>
        <v>teachers234</v>
      </c>
      <c r="B142" t="str">
        <f>IF(Sheet1!C142&lt;&gt;"",Sheet1!C142,"")</f>
        <v>SUSMITA DHAWA</v>
      </c>
      <c r="C142" t="str">
        <f>IF(Sheet1!D142&lt;&gt;"",Sheet1!D142,"")</f>
        <v>KALBANSH GAZENDRA PRIMARY SCHOOL</v>
      </c>
      <c r="D142" t="str">
        <f>IF(Sheet1!E142&lt;&gt;"",Sheet1!E142,"")</f>
        <v>WBTPTA</v>
      </c>
      <c r="E142">
        <f>IF(Sheet1!DY142&lt;&gt;"",Sheet1!DY142,"")</f>
        <v>527060</v>
      </c>
      <c r="F142">
        <f>IF(Sheet1!EQ142&lt;&gt;"",Sheet1!EQ142,"")</f>
        <v>84000</v>
      </c>
      <c r="G142">
        <f>IF(Sheet1!EZ142&lt;&gt;"",Sheet1!EZ142,"")</f>
        <v>0</v>
      </c>
      <c r="H142">
        <f>IF(Sheet1!FA142&lt;&gt;"",Sheet1!FA142,"")</f>
        <v>390660</v>
      </c>
      <c r="I142">
        <f>IF(Sheet1!FI142&lt;&gt;"",Sheet1!FI142,"")</f>
        <v>0</v>
      </c>
      <c r="J142">
        <f ca="1">IF(Sheet1!GI142&lt;&gt;"",Sheet1!GI142,"")</f>
        <v>0</v>
      </c>
    </row>
    <row r="143" spans="1:10" x14ac:dyDescent="0.25">
      <c r="A143" t="str">
        <f>IF(Sheet1!B143&lt;&gt;"",Sheet1!B143,"")</f>
        <v>teachers235</v>
      </c>
      <c r="B143" t="str">
        <f>IF(Sheet1!C143&lt;&gt;"",Sheet1!C143,"")</f>
        <v>BABITA DOLUI</v>
      </c>
      <c r="C143" t="str">
        <f>IF(Sheet1!D143&lt;&gt;"",Sheet1!D143,"")</f>
        <v>KALBANSH GAZENDRA PRIMARY SCHOOL</v>
      </c>
      <c r="D143" t="str">
        <f>IF(Sheet1!E143&lt;&gt;"",Sheet1!E143,"")</f>
        <v>WBTPTA</v>
      </c>
      <c r="E143">
        <f>IF(Sheet1!DY143&lt;&gt;"",Sheet1!DY143,"")</f>
        <v>470456</v>
      </c>
      <c r="F143">
        <f>IF(Sheet1!EQ143&lt;&gt;"",Sheet1!EQ143,"")</f>
        <v>24000</v>
      </c>
      <c r="G143">
        <f>IF(Sheet1!EZ143&lt;&gt;"",Sheet1!EZ143,"")</f>
        <v>0</v>
      </c>
      <c r="H143">
        <f>IF(Sheet1!FA143&lt;&gt;"",Sheet1!FA143,"")</f>
        <v>394606</v>
      </c>
      <c r="I143">
        <f>IF(Sheet1!FI143&lt;&gt;"",Sheet1!FI143,"")</f>
        <v>0</v>
      </c>
      <c r="J143">
        <f ca="1">IF(Sheet1!GI143&lt;&gt;"",Sheet1!GI143,"")</f>
        <v>0</v>
      </c>
    </row>
    <row r="144" spans="1:10" x14ac:dyDescent="0.25">
      <c r="A144" t="str">
        <f>IF(Sheet1!B144&lt;&gt;"",Sheet1!B144,"")</f>
        <v>teachers236</v>
      </c>
      <c r="B144" t="str">
        <f>IF(Sheet1!C144&lt;&gt;"",Sheet1!C144,"")</f>
        <v>TANUSHREE PANDIT GHOSH</v>
      </c>
      <c r="C144" t="str">
        <f>IF(Sheet1!D144&lt;&gt;"",Sheet1!D144,"")</f>
        <v>KALBANSH GAZENDRA PRIMARY SCHOOL</v>
      </c>
      <c r="D144" t="str">
        <f>IF(Sheet1!E144&lt;&gt;"",Sheet1!E144,"")</f>
        <v>WBTPTA</v>
      </c>
      <c r="E144">
        <f>IF(Sheet1!DY144&lt;&gt;"",Sheet1!DY144,"")</f>
        <v>400554</v>
      </c>
      <c r="F144">
        <f>IF(Sheet1!EQ144&lt;&gt;"",Sheet1!EQ144,"")</f>
        <v>0</v>
      </c>
      <c r="G144">
        <f>IF(Sheet1!EZ144&lt;&gt;"",Sheet1!EZ144,"")</f>
        <v>0</v>
      </c>
      <c r="H144">
        <f>IF(Sheet1!FA144&lt;&gt;"",Sheet1!FA144,"")</f>
        <v>348904</v>
      </c>
      <c r="I144">
        <f>IF(Sheet1!FI144&lt;&gt;"",Sheet1!FI144,"")</f>
        <v>0</v>
      </c>
      <c r="J144">
        <f ca="1">IF(Sheet1!GI144&lt;&gt;"",Sheet1!GI144,"")</f>
        <v>0</v>
      </c>
    </row>
    <row r="145" spans="1:10" x14ac:dyDescent="0.25">
      <c r="A145" t="str">
        <f>IF(Sheet1!B145&lt;&gt;"",Sheet1!B145,"")</f>
        <v>teachers237</v>
      </c>
      <c r="B145" t="str">
        <f>IF(Sheet1!C145&lt;&gt;"",Sheet1!C145,"")</f>
        <v>TAPAN KUMAR KOLEY</v>
      </c>
      <c r="C145" t="str">
        <f>IF(Sheet1!D145&lt;&gt;"",Sheet1!D145,"")</f>
        <v>KAMARGORIA PRIMARY SCHOOL</v>
      </c>
      <c r="D145" t="str">
        <f>IF(Sheet1!E145&lt;&gt;"",Sheet1!E145,"")</f>
        <v>WBTPTA</v>
      </c>
      <c r="E145">
        <f>IF(Sheet1!DY145&lt;&gt;"",Sheet1!DY145,"")</f>
        <v>738196</v>
      </c>
      <c r="F145">
        <f>IF(Sheet1!EQ145&lt;&gt;"",Sheet1!EQ145,"")</f>
        <v>84000</v>
      </c>
      <c r="G145">
        <f>IF(Sheet1!EZ145&lt;&gt;"",Sheet1!EZ145,"")</f>
        <v>0</v>
      </c>
      <c r="H145">
        <f>IF(Sheet1!FA145&lt;&gt;"",Sheet1!FA145,"")</f>
        <v>601796</v>
      </c>
      <c r="I145">
        <f>IF(Sheet1!FI145&lt;&gt;"",Sheet1!FI145,"")</f>
        <v>34173</v>
      </c>
      <c r="J145">
        <f ca="1">IF(Sheet1!GI145&lt;&gt;"",Sheet1!GI145,"")</f>
        <v>0</v>
      </c>
    </row>
    <row r="146" spans="1:10" x14ac:dyDescent="0.25">
      <c r="A146" t="str">
        <f>IF(Sheet1!B146&lt;&gt;"",Sheet1!B146,"")</f>
        <v>teachers238</v>
      </c>
      <c r="B146" t="str">
        <f>IF(Sheet1!C146&lt;&gt;"",Sheet1!C146,"")</f>
        <v>BABULAL DHARA</v>
      </c>
      <c r="C146" t="str">
        <f>IF(Sheet1!D146&lt;&gt;"",Sheet1!D146,"")</f>
        <v>KAMARGORIA PRIMARY SCHOOL</v>
      </c>
      <c r="D146" t="str">
        <f>IF(Sheet1!E146&lt;&gt;"",Sheet1!E146,"")</f>
        <v>WBTPTA</v>
      </c>
      <c r="E146">
        <f>IF(Sheet1!DY146&lt;&gt;"",Sheet1!DY146,"")</f>
        <v>569016</v>
      </c>
      <c r="F146">
        <f>IF(Sheet1!EQ146&lt;&gt;"",Sheet1!EQ146,"")</f>
        <v>30000</v>
      </c>
      <c r="G146">
        <f>IF(Sheet1!EZ146&lt;&gt;"",Sheet1!EZ146,"")</f>
        <v>50000</v>
      </c>
      <c r="H146">
        <f>IF(Sheet1!FA146&lt;&gt;"",Sheet1!FA146,"")</f>
        <v>439016</v>
      </c>
      <c r="I146">
        <f>IF(Sheet1!FI146&lt;&gt;"",Sheet1!FI146,"")</f>
        <v>0</v>
      </c>
      <c r="J146">
        <f ca="1">IF(Sheet1!GI146&lt;&gt;"",Sheet1!GI146,"")</f>
        <v>0</v>
      </c>
    </row>
    <row r="147" spans="1:10" x14ac:dyDescent="0.25">
      <c r="A147" t="str">
        <f>IF(Sheet1!B147&lt;&gt;"",Sheet1!B147,"")</f>
        <v>teachers239</v>
      </c>
      <c r="B147" t="str">
        <f>IF(Sheet1!C147&lt;&gt;"",Sheet1!C147,"")</f>
        <v>PRALHAD CHAKRABORTY</v>
      </c>
      <c r="C147" t="str">
        <f>IF(Sheet1!D147&lt;&gt;"",Sheet1!D147,"")</f>
        <v>KAMARGORIA PRIMARY SCHOOL</v>
      </c>
      <c r="D147" t="str">
        <f>IF(Sheet1!E147&lt;&gt;"",Sheet1!E147,"")</f>
        <v>WBTPTA</v>
      </c>
      <c r="E147">
        <f>IF(Sheet1!DY147&lt;&gt;"",Sheet1!DY147,"")</f>
        <v>575016</v>
      </c>
      <c r="F147">
        <f>IF(Sheet1!EQ147&lt;&gt;"",Sheet1!EQ147,"")</f>
        <v>30000</v>
      </c>
      <c r="G147">
        <f>IF(Sheet1!EZ147&lt;&gt;"",Sheet1!EZ147,"")</f>
        <v>0</v>
      </c>
      <c r="H147">
        <f>IF(Sheet1!FA147&lt;&gt;"",Sheet1!FA147,"")</f>
        <v>492616</v>
      </c>
      <c r="I147">
        <f>IF(Sheet1!FI147&lt;&gt;"",Sheet1!FI147,"")</f>
        <v>0</v>
      </c>
      <c r="J147">
        <f ca="1">IF(Sheet1!GI147&lt;&gt;"",Sheet1!GI147,"")</f>
        <v>0</v>
      </c>
    </row>
    <row r="148" spans="1:10" x14ac:dyDescent="0.25">
      <c r="A148" t="str">
        <f>IF(Sheet1!B148&lt;&gt;"",Sheet1!B148,"")</f>
        <v>teachers240</v>
      </c>
      <c r="B148" t="str">
        <f>IF(Sheet1!C148&lt;&gt;"",Sheet1!C148,"")</f>
        <v>SAMIR BAG</v>
      </c>
      <c r="C148" t="str">
        <f>IF(Sheet1!D148&lt;&gt;"",Sheet1!D148,"")</f>
        <v>KAMARKHOLA PRIMARY SCHOOL</v>
      </c>
      <c r="D148" t="str">
        <f>IF(Sheet1!E148&lt;&gt;"",Sheet1!E148,"")</f>
        <v>ABPTA</v>
      </c>
      <c r="E148">
        <f>IF(Sheet1!DY148&lt;&gt;"",Sheet1!DY148,"")</f>
        <v>711084</v>
      </c>
      <c r="F148">
        <f>IF(Sheet1!EQ148&lt;&gt;"",Sheet1!EQ148,"")</f>
        <v>36720</v>
      </c>
      <c r="G148">
        <f>IF(Sheet1!EZ148&lt;&gt;"",Sheet1!EZ148,"")</f>
        <v>0</v>
      </c>
      <c r="H148">
        <f>IF(Sheet1!FA148&lt;&gt;"",Sheet1!FA148,"")</f>
        <v>621964</v>
      </c>
      <c r="I148">
        <f>IF(Sheet1!FI148&lt;&gt;"",Sheet1!FI148,"")</f>
        <v>38369</v>
      </c>
      <c r="J148">
        <f ca="1">IF(Sheet1!GI148&lt;&gt;"",Sheet1!GI148,"")</f>
        <v>0</v>
      </c>
    </row>
    <row r="149" spans="1:10" x14ac:dyDescent="0.25">
      <c r="A149" t="str">
        <f>IF(Sheet1!B149&lt;&gt;"",Sheet1!B149,"")</f>
        <v>teachers241</v>
      </c>
      <c r="B149" t="str">
        <f>IF(Sheet1!C149&lt;&gt;"",Sheet1!C149,"")</f>
        <v>KUMARESH SARKAR</v>
      </c>
      <c r="C149" t="str">
        <f>IF(Sheet1!D149&lt;&gt;"",Sheet1!D149,"")</f>
        <v>KAMARKHOLA PRIMARY SCHOOL</v>
      </c>
      <c r="D149" t="str">
        <f>IF(Sheet1!E149&lt;&gt;"",Sheet1!E149,"")</f>
        <v>WBTPTA</v>
      </c>
      <c r="E149">
        <f>IF(Sheet1!DY149&lt;&gt;"",Sheet1!DY149,"")</f>
        <v>415160</v>
      </c>
      <c r="F149">
        <f>IF(Sheet1!EQ149&lt;&gt;"",Sheet1!EQ149,"")</f>
        <v>24000</v>
      </c>
      <c r="G149">
        <f>IF(Sheet1!EZ149&lt;&gt;"",Sheet1!EZ149,"")</f>
        <v>0</v>
      </c>
      <c r="H149">
        <f>IF(Sheet1!FA149&lt;&gt;"",Sheet1!FA149,"")</f>
        <v>339360</v>
      </c>
      <c r="I149">
        <f>IF(Sheet1!FI149&lt;&gt;"",Sheet1!FI149,"")</f>
        <v>0</v>
      </c>
      <c r="J149">
        <f ca="1">IF(Sheet1!GI149&lt;&gt;"",Sheet1!GI149,"")</f>
        <v>0</v>
      </c>
    </row>
    <row r="150" spans="1:10" x14ac:dyDescent="0.25">
      <c r="A150" t="str">
        <f>IF(Sheet1!B150&lt;&gt;"",Sheet1!B150,"")</f>
        <v>teachers242</v>
      </c>
      <c r="B150" t="str">
        <f>IF(Sheet1!C150&lt;&gt;"",Sheet1!C150,"")</f>
        <v>MILAN BISWAS</v>
      </c>
      <c r="C150" t="str">
        <f>IF(Sheet1!D150&lt;&gt;"",Sheet1!D150,"")</f>
        <v>KAMARKHOLA PRIMARY SCHOOL</v>
      </c>
      <c r="D150" t="str">
        <f>IF(Sheet1!E150&lt;&gt;"",Sheet1!E150,"")</f>
        <v>WBTPTA</v>
      </c>
      <c r="E150">
        <f>IF(Sheet1!DY150&lt;&gt;"",Sheet1!DY150,"")</f>
        <v>415160</v>
      </c>
      <c r="F150">
        <f>IF(Sheet1!EQ150&lt;&gt;"",Sheet1!EQ150,"")</f>
        <v>24000</v>
      </c>
      <c r="G150">
        <f>IF(Sheet1!EZ150&lt;&gt;"",Sheet1!EZ150,"")</f>
        <v>0</v>
      </c>
      <c r="H150">
        <f>IF(Sheet1!FA150&lt;&gt;"",Sheet1!FA150,"")</f>
        <v>339360</v>
      </c>
      <c r="I150">
        <f>IF(Sheet1!FI150&lt;&gt;"",Sheet1!FI150,"")</f>
        <v>0</v>
      </c>
      <c r="J150">
        <f ca="1">IF(Sheet1!GI150&lt;&gt;"",Sheet1!GI150,"")</f>
        <v>0</v>
      </c>
    </row>
    <row r="151" spans="1:10" x14ac:dyDescent="0.25">
      <c r="A151" t="str">
        <f>IF(Sheet1!B151&lt;&gt;"",Sheet1!B151,"")</f>
        <v>teachers392-5190daaf</v>
      </c>
      <c r="B151" t="str">
        <f>IF(Sheet1!C151&lt;&gt;"",Sheet1!C151,"")</f>
        <v>MINHAJUDDIN SHIRAJ</v>
      </c>
      <c r="C151" t="str">
        <f>IF(Sheet1!D151&lt;&gt;"",Sheet1!D151,"")</f>
        <v>KAMARKHOLA PRIMARY SCHOOL</v>
      </c>
      <c r="D151" t="str">
        <f>IF(Sheet1!E151&lt;&gt;"",Sheet1!E151,"")</f>
        <v>WBTPTA</v>
      </c>
      <c r="E151">
        <f>IF(Sheet1!DY151&lt;&gt;"",Sheet1!DY151,"")</f>
        <v>145656</v>
      </c>
      <c r="F151">
        <f>IF(Sheet1!EQ151&lt;&gt;"",Sheet1!EQ151,"")</f>
        <v>0</v>
      </c>
      <c r="G151">
        <f>IF(Sheet1!EZ151&lt;&gt;"",Sheet1!EZ151,"")</f>
        <v>0</v>
      </c>
      <c r="H151">
        <f>IF(Sheet1!FA151&lt;&gt;"",Sheet1!FA151,"")</f>
        <v>95056</v>
      </c>
      <c r="I151">
        <f>IF(Sheet1!FI151&lt;&gt;"",Sheet1!FI151,"")</f>
        <v>0</v>
      </c>
      <c r="J151">
        <f ca="1">IF(Sheet1!GI151&lt;&gt;"",Sheet1!GI151,"")</f>
        <v>0</v>
      </c>
    </row>
    <row r="152" spans="1:10" x14ac:dyDescent="0.25">
      <c r="A152" t="str">
        <f>IF(Sheet1!B152&lt;&gt;"",Sheet1!B152,"")</f>
        <v>teachers243</v>
      </c>
      <c r="B152" t="str">
        <f>IF(Sheet1!C152&lt;&gt;"",Sheet1!C152,"")</f>
        <v>TAPAS KUMAR GHOSH</v>
      </c>
      <c r="C152" t="str">
        <f>IF(Sheet1!D152&lt;&gt;"",Sheet1!D152,"")</f>
        <v>KANKROLE PREMOMOYEE PRIMARY SCHOOL</v>
      </c>
      <c r="D152" t="str">
        <f>IF(Sheet1!E152&lt;&gt;"",Sheet1!E152,"")</f>
        <v>WBTPTA</v>
      </c>
      <c r="E152">
        <f>IF(Sheet1!DY152&lt;&gt;"",Sheet1!DY152,"")</f>
        <v>738196</v>
      </c>
      <c r="F152">
        <f>IF(Sheet1!EQ152&lt;&gt;"",Sheet1!EQ152,"")</f>
        <v>84000</v>
      </c>
      <c r="G152">
        <f>IF(Sheet1!EZ152&lt;&gt;"",Sheet1!EZ152,"")</f>
        <v>0</v>
      </c>
      <c r="H152">
        <f>IF(Sheet1!FA152&lt;&gt;"",Sheet1!FA152,"")</f>
        <v>601796</v>
      </c>
      <c r="I152">
        <f>IF(Sheet1!FI152&lt;&gt;"",Sheet1!FI152,"")</f>
        <v>34173</v>
      </c>
      <c r="J152">
        <f ca="1">IF(Sheet1!GI152&lt;&gt;"",Sheet1!GI152,"")</f>
        <v>0</v>
      </c>
    </row>
    <row r="153" spans="1:10" x14ac:dyDescent="0.25">
      <c r="A153" t="str">
        <f>IF(Sheet1!B153&lt;&gt;"",Sheet1!B153,"")</f>
        <v>teachers244</v>
      </c>
      <c r="B153" t="str">
        <f>IF(Sheet1!C153&lt;&gt;"",Sheet1!C153,"")</f>
        <v>MURARIMOHAN MANNA</v>
      </c>
      <c r="C153" t="str">
        <f>IF(Sheet1!D153&lt;&gt;"",Sheet1!D153,"")</f>
        <v>KANKROLE PREMOMOYEE PRIMARY SCHOOL</v>
      </c>
      <c r="D153" t="str">
        <f>IF(Sheet1!E153&lt;&gt;"",Sheet1!E153,"")</f>
        <v>WBTPTA</v>
      </c>
      <c r="E153">
        <f>IF(Sheet1!DY153&lt;&gt;"",Sheet1!DY153,"")</f>
        <v>699784</v>
      </c>
      <c r="F153">
        <f>IF(Sheet1!EQ153&lt;&gt;"",Sheet1!EQ153,"")</f>
        <v>96000</v>
      </c>
      <c r="G153">
        <f>IF(Sheet1!EZ153&lt;&gt;"",Sheet1!EZ153,"")</f>
        <v>0</v>
      </c>
      <c r="H153">
        <f>IF(Sheet1!FA153&lt;&gt;"",Sheet1!FA153,"")</f>
        <v>551384</v>
      </c>
      <c r="I153">
        <f>IF(Sheet1!FI153&lt;&gt;"",Sheet1!FI153,"")</f>
        <v>23688</v>
      </c>
      <c r="J153">
        <f ca="1">IF(Sheet1!GI153&lt;&gt;"",Sheet1!GI153,"")</f>
        <v>0</v>
      </c>
    </row>
    <row r="154" spans="1:10" x14ac:dyDescent="0.25">
      <c r="A154" t="str">
        <f>IF(Sheet1!B154&lt;&gt;"",Sheet1!B154,"")</f>
        <v>teachers245</v>
      </c>
      <c r="B154" t="str">
        <f>IF(Sheet1!C154&lt;&gt;"",Sheet1!C154,"")</f>
        <v>AVIJIT ROY</v>
      </c>
      <c r="C154" t="str">
        <f>IF(Sheet1!D154&lt;&gt;"",Sheet1!D154,"")</f>
        <v>KANKROLE PREMOMOYEE PRIMARY SCHOOL</v>
      </c>
      <c r="D154" t="str">
        <f>IF(Sheet1!E154&lt;&gt;"",Sheet1!E154,"")</f>
        <v>WBTPTA</v>
      </c>
      <c r="E154">
        <f>IF(Sheet1!DY154&lt;&gt;"",Sheet1!DY154,"")</f>
        <v>569016</v>
      </c>
      <c r="F154">
        <f>IF(Sheet1!EQ154&lt;&gt;"",Sheet1!EQ154,"")</f>
        <v>36000</v>
      </c>
      <c r="G154">
        <f>IF(Sheet1!EZ154&lt;&gt;"",Sheet1!EZ154,"")</f>
        <v>0</v>
      </c>
      <c r="H154">
        <f>IF(Sheet1!FA154&lt;&gt;"",Sheet1!FA154,"")</f>
        <v>480616</v>
      </c>
      <c r="I154">
        <f>IF(Sheet1!FI154&lt;&gt;"",Sheet1!FI154,"")</f>
        <v>0</v>
      </c>
      <c r="J154">
        <f ca="1">IF(Sheet1!GI154&lt;&gt;"",Sheet1!GI154,"")</f>
        <v>0</v>
      </c>
    </row>
    <row r="155" spans="1:10" x14ac:dyDescent="0.25">
      <c r="A155" t="str">
        <f>IF(Sheet1!B155&lt;&gt;"",Sheet1!B155,"")</f>
        <v>teachers246</v>
      </c>
      <c r="B155" t="str">
        <f>IF(Sheet1!C155&lt;&gt;"",Sheet1!C155,"")</f>
        <v>CHINMOY KHAN</v>
      </c>
      <c r="C155" t="str">
        <f>IF(Sheet1!D155&lt;&gt;"",Sheet1!D155,"")</f>
        <v>KANKROLE PREMOMOYEE PRIMARY SCHOOL</v>
      </c>
      <c r="D155" t="str">
        <f>IF(Sheet1!E155&lt;&gt;"",Sheet1!E155,"")</f>
        <v>WBTPTA</v>
      </c>
      <c r="E155">
        <f>IF(Sheet1!DY155&lt;&gt;"",Sheet1!DY155,"")</f>
        <v>512180</v>
      </c>
      <c r="F155">
        <f>IF(Sheet1!EQ155&lt;&gt;"",Sheet1!EQ155,"")</f>
        <v>36000</v>
      </c>
      <c r="G155">
        <f>IF(Sheet1!EZ155&lt;&gt;"",Sheet1!EZ155,"")</f>
        <v>0</v>
      </c>
      <c r="H155">
        <f>IF(Sheet1!FA155&lt;&gt;"",Sheet1!FA155,"")</f>
        <v>423780</v>
      </c>
      <c r="I155">
        <f>IF(Sheet1!FI155&lt;&gt;"",Sheet1!FI155,"")</f>
        <v>0</v>
      </c>
      <c r="J155">
        <f ca="1">IF(Sheet1!GI155&lt;&gt;"",Sheet1!GI155,"")</f>
        <v>0</v>
      </c>
    </row>
    <row r="156" spans="1:10" x14ac:dyDescent="0.25">
      <c r="A156" t="str">
        <f>IF(Sheet1!B156&lt;&gt;"",Sheet1!B156,"")</f>
        <v>teachers247</v>
      </c>
      <c r="B156" t="str">
        <f>IF(Sheet1!C156&lt;&gt;"",Sheet1!C156,"")</f>
        <v>PANKAJ KUMAR MONDAL</v>
      </c>
      <c r="C156" t="str">
        <f>IF(Sheet1!D156&lt;&gt;"",Sheet1!D156,"")</f>
        <v>KHAJURDAHA PRIMARY SCHOOL</v>
      </c>
      <c r="D156" t="str">
        <f>IF(Sheet1!E156&lt;&gt;"",Sheet1!E156,"")</f>
        <v>ABPTA</v>
      </c>
      <c r="E156">
        <f>IF(Sheet1!DY156&lt;&gt;"",Sheet1!DY156,"")</f>
        <v>717084</v>
      </c>
      <c r="F156">
        <f>IF(Sheet1!EQ156&lt;&gt;"",Sheet1!EQ156,"")</f>
        <v>96720</v>
      </c>
      <c r="G156">
        <f>IF(Sheet1!EZ156&lt;&gt;"",Sheet1!EZ156,"")</f>
        <v>0</v>
      </c>
      <c r="H156">
        <f>IF(Sheet1!FA156&lt;&gt;"",Sheet1!FA156,"")</f>
        <v>567964</v>
      </c>
      <c r="I156">
        <f>IF(Sheet1!FI156&lt;&gt;"",Sheet1!FI156,"")</f>
        <v>27137</v>
      </c>
      <c r="J156">
        <f ca="1">IF(Sheet1!GI156&lt;&gt;"",Sheet1!GI156,"")</f>
        <v>0</v>
      </c>
    </row>
    <row r="157" spans="1:10" x14ac:dyDescent="0.25">
      <c r="A157" t="str">
        <f>IF(Sheet1!B157&lt;&gt;"",Sheet1!B157,"")</f>
        <v>teachers248</v>
      </c>
      <c r="B157" t="str">
        <f>IF(Sheet1!C157&lt;&gt;"",Sheet1!C157,"")</f>
        <v>TAPASI RAY</v>
      </c>
      <c r="C157" t="str">
        <f>IF(Sheet1!D157&lt;&gt;"",Sheet1!D157,"")</f>
        <v>KHAJURDAHA PRIMARY SCHOOL</v>
      </c>
      <c r="D157" t="str">
        <f>IF(Sheet1!E157&lt;&gt;"",Sheet1!E157,"")</f>
        <v>WBTPTA</v>
      </c>
      <c r="E157">
        <f>IF(Sheet1!DY157&lt;&gt;"",Sheet1!DY157,"")</f>
        <v>522260</v>
      </c>
      <c r="F157">
        <f>IF(Sheet1!EQ157&lt;&gt;"",Sheet1!EQ157,"")</f>
        <v>60000</v>
      </c>
      <c r="G157">
        <f>IF(Sheet1!EZ157&lt;&gt;"",Sheet1!EZ157,"")</f>
        <v>0</v>
      </c>
      <c r="H157">
        <f>IF(Sheet1!FA157&lt;&gt;"",Sheet1!FA157,"")</f>
        <v>409860</v>
      </c>
      <c r="I157">
        <f>IF(Sheet1!FI157&lt;&gt;"",Sheet1!FI157,"")</f>
        <v>0</v>
      </c>
      <c r="J157">
        <f ca="1">IF(Sheet1!GI157&lt;&gt;"",Sheet1!GI157,"")</f>
        <v>0</v>
      </c>
    </row>
    <row r="158" spans="1:10" x14ac:dyDescent="0.25">
      <c r="A158" t="str">
        <f>IF(Sheet1!B158&lt;&gt;"",Sheet1!B158,"")</f>
        <v>teachers249</v>
      </c>
      <c r="B158" t="str">
        <f>IF(Sheet1!C158&lt;&gt;"",Sheet1!C158,"")</f>
        <v>PRASENJIT CHANDRA</v>
      </c>
      <c r="C158" t="str">
        <f>IF(Sheet1!D158&lt;&gt;"",Sheet1!D158,"")</f>
        <v>KHAJURDAHA PRIMARY SCHOOL</v>
      </c>
      <c r="D158" t="str">
        <f>IF(Sheet1!E158&lt;&gt;"",Sheet1!E158,"")</f>
        <v>WBTPTA</v>
      </c>
      <c r="E158">
        <f>IF(Sheet1!DY158&lt;&gt;"",Sheet1!DY158,"")</f>
        <v>516260</v>
      </c>
      <c r="F158">
        <f>IF(Sheet1!EQ158&lt;&gt;"",Sheet1!EQ158,"")</f>
        <v>72000</v>
      </c>
      <c r="G158">
        <f>IF(Sheet1!EZ158&lt;&gt;"",Sheet1!EZ158,"")</f>
        <v>0</v>
      </c>
      <c r="H158">
        <f>IF(Sheet1!FA158&lt;&gt;"",Sheet1!FA158,"")</f>
        <v>391960</v>
      </c>
      <c r="I158">
        <f>IF(Sheet1!FI158&lt;&gt;"",Sheet1!FI158,"")</f>
        <v>0</v>
      </c>
      <c r="J158">
        <f ca="1">IF(Sheet1!GI158&lt;&gt;"",Sheet1!GI158,"")</f>
        <v>0</v>
      </c>
    </row>
    <row r="159" spans="1:10" x14ac:dyDescent="0.25">
      <c r="A159" t="str">
        <f>IF(Sheet1!B159&lt;&gt;"",Sheet1!B159,"")</f>
        <v>teachers250</v>
      </c>
      <c r="B159" t="str">
        <f>IF(Sheet1!C159&lt;&gt;"",Sheet1!C159,"")</f>
        <v>PRADIP KAMILYA</v>
      </c>
      <c r="C159" t="str">
        <f>IF(Sheet1!D159&lt;&gt;"",Sheet1!D159,"")</f>
        <v>KHAJURDAHA PRIMARY SCHOOL</v>
      </c>
      <c r="D159" t="str">
        <f>IF(Sheet1!E159&lt;&gt;"",Sheet1!E159,"")</f>
        <v>WBTPTA</v>
      </c>
      <c r="E159">
        <f>IF(Sheet1!DY159&lt;&gt;"",Sheet1!DY159,"")</f>
        <v>406054</v>
      </c>
      <c r="F159">
        <f>IF(Sheet1!EQ159&lt;&gt;"",Sheet1!EQ159,"")</f>
        <v>2000</v>
      </c>
      <c r="G159">
        <f>IF(Sheet1!EZ159&lt;&gt;"",Sheet1!EZ159,"")</f>
        <v>0</v>
      </c>
      <c r="H159">
        <f>IF(Sheet1!FA159&lt;&gt;"",Sheet1!FA159,"")</f>
        <v>352404</v>
      </c>
      <c r="I159">
        <f>IF(Sheet1!FI159&lt;&gt;"",Sheet1!FI159,"")</f>
        <v>0</v>
      </c>
      <c r="J159">
        <f ca="1">IF(Sheet1!GI159&lt;&gt;"",Sheet1!GI159,"")</f>
        <v>0</v>
      </c>
    </row>
    <row r="160" spans="1:10" x14ac:dyDescent="0.25">
      <c r="A160" t="str">
        <f>IF(Sheet1!B160&lt;&gt;"",Sheet1!B160,"")</f>
        <v>teachers393-b8f65964</v>
      </c>
      <c r="B160" t="str">
        <f>IF(Sheet1!C160&lt;&gt;"",Sheet1!C160,"")</f>
        <v>RAJKUMAR SARKAR</v>
      </c>
      <c r="C160" t="str">
        <f>IF(Sheet1!D160&lt;&gt;"",Sheet1!D160,"")</f>
        <v>KHAJURDAHA PRIMARY SCHOOL</v>
      </c>
      <c r="D160" t="str">
        <f>IF(Sheet1!E160&lt;&gt;"",Sheet1!E160,"")</f>
        <v>WBTPTA</v>
      </c>
      <c r="E160">
        <f>IF(Sheet1!DY160&lt;&gt;"",Sheet1!DY160,"")</f>
        <v>147156</v>
      </c>
      <c r="F160">
        <f>IF(Sheet1!EQ160&lt;&gt;"",Sheet1!EQ160,"")</f>
        <v>0</v>
      </c>
      <c r="G160">
        <f>IF(Sheet1!EZ160&lt;&gt;"",Sheet1!EZ160,"")</f>
        <v>0</v>
      </c>
      <c r="H160">
        <f>IF(Sheet1!FA160&lt;&gt;"",Sheet1!FA160,"")</f>
        <v>96556</v>
      </c>
      <c r="I160">
        <f>IF(Sheet1!FI160&lt;&gt;"",Sheet1!FI160,"")</f>
        <v>0</v>
      </c>
      <c r="J160">
        <f ca="1">IF(Sheet1!GI160&lt;&gt;"",Sheet1!GI160,"")</f>
        <v>0</v>
      </c>
    </row>
    <row r="161" spans="1:10" x14ac:dyDescent="0.25">
      <c r="A161" t="str">
        <f>IF(Sheet1!B161&lt;&gt;"",Sheet1!B161,"")</f>
        <v>teachers251</v>
      </c>
      <c r="B161" t="str">
        <f>IF(Sheet1!C161&lt;&gt;"",Sheet1!C161,"")</f>
        <v>SUDIPTA DAS</v>
      </c>
      <c r="C161" t="str">
        <f>IF(Sheet1!D161&lt;&gt;"",Sheet1!D161,"")</f>
        <v>KHORIOP HIGH ATT PRIMARY SCHOOL</v>
      </c>
      <c r="D161" t="str">
        <f>IF(Sheet1!E161&lt;&gt;"",Sheet1!E161,"")</f>
        <v>ABPTA</v>
      </c>
      <c r="E161">
        <f>IF(Sheet1!DY161&lt;&gt;"",Sheet1!DY161,"")</f>
        <v>782936</v>
      </c>
      <c r="F161">
        <f>IF(Sheet1!EQ161&lt;&gt;"",Sheet1!EQ161,"")</f>
        <v>72720</v>
      </c>
      <c r="G161">
        <f>IF(Sheet1!EZ161&lt;&gt;"",Sheet1!EZ161,"")</f>
        <v>0</v>
      </c>
      <c r="H161">
        <f>IF(Sheet1!FA161&lt;&gt;"",Sheet1!FA161,"")</f>
        <v>657816</v>
      </c>
      <c r="I161">
        <f>IF(Sheet1!FI161&lt;&gt;"",Sheet1!FI161,"")</f>
        <v>45826</v>
      </c>
      <c r="J161">
        <f ca="1">IF(Sheet1!GI161&lt;&gt;"",Sheet1!GI161,"")</f>
        <v>8944</v>
      </c>
    </row>
    <row r="162" spans="1:10" x14ac:dyDescent="0.25">
      <c r="A162" t="str">
        <f>IF(Sheet1!B162&lt;&gt;"",Sheet1!B162,"")</f>
        <v>teachers254</v>
      </c>
      <c r="B162" t="str">
        <f>IF(Sheet1!C162&lt;&gt;"",Sheet1!C162,"")</f>
        <v>SUMANTA PATRA</v>
      </c>
      <c r="C162" t="str">
        <f>IF(Sheet1!D162&lt;&gt;"",Sheet1!D162,"")</f>
        <v>KHORIOP HIGH ATT PRIMARY SCHOOL</v>
      </c>
      <c r="D162" t="str">
        <f>IF(Sheet1!E162&lt;&gt;"",Sheet1!E162,"")</f>
        <v>WBTPTA</v>
      </c>
      <c r="E162">
        <f>IF(Sheet1!DY162&lt;&gt;"",Sheet1!DY162,"")</f>
        <v>522260</v>
      </c>
      <c r="F162">
        <f>IF(Sheet1!EQ162&lt;&gt;"",Sheet1!EQ162,"")</f>
        <v>48000</v>
      </c>
      <c r="G162">
        <f>IF(Sheet1!EZ162&lt;&gt;"",Sheet1!EZ162,"")</f>
        <v>0</v>
      </c>
      <c r="H162">
        <f>IF(Sheet1!FA162&lt;&gt;"",Sheet1!FA162,"")</f>
        <v>421860</v>
      </c>
      <c r="I162">
        <f>IF(Sheet1!FI162&lt;&gt;"",Sheet1!FI162,"")</f>
        <v>0</v>
      </c>
      <c r="J162">
        <f ca="1">IF(Sheet1!GI162&lt;&gt;"",Sheet1!GI162,"")</f>
        <v>0</v>
      </c>
    </row>
    <row r="163" spans="1:10" x14ac:dyDescent="0.25">
      <c r="A163" t="str">
        <f>IF(Sheet1!B163&lt;&gt;"",Sheet1!B163,"")</f>
        <v>teachers253</v>
      </c>
      <c r="B163" t="str">
        <f>IF(Sheet1!C163&lt;&gt;"",Sheet1!C163,"")</f>
        <v>SUBRATA BISWAS</v>
      </c>
      <c r="C163" t="str">
        <f>IF(Sheet1!D163&lt;&gt;"",Sheet1!D163,"")</f>
        <v>KHORIOP HIGH ATT PRIMARY SCHOOL</v>
      </c>
      <c r="D163" t="str">
        <f>IF(Sheet1!E163&lt;&gt;"",Sheet1!E163,"")</f>
        <v>WBTPTA</v>
      </c>
      <c r="E163">
        <f>IF(Sheet1!DY163&lt;&gt;"",Sheet1!DY163,"")</f>
        <v>522260</v>
      </c>
      <c r="F163">
        <f>IF(Sheet1!EQ163&lt;&gt;"",Sheet1!EQ163,"")</f>
        <v>48000</v>
      </c>
      <c r="G163">
        <f>IF(Sheet1!EZ163&lt;&gt;"",Sheet1!EZ163,"")</f>
        <v>0</v>
      </c>
      <c r="H163">
        <f>IF(Sheet1!FA163&lt;&gt;"",Sheet1!FA163,"")</f>
        <v>421860</v>
      </c>
      <c r="I163">
        <f>IF(Sheet1!FI163&lt;&gt;"",Sheet1!FI163,"")</f>
        <v>0</v>
      </c>
      <c r="J163">
        <f ca="1">IF(Sheet1!GI163&lt;&gt;"",Sheet1!GI163,"")</f>
        <v>0</v>
      </c>
    </row>
    <row r="164" spans="1:10" x14ac:dyDescent="0.25">
      <c r="A164" t="str">
        <f>IF(Sheet1!B164&lt;&gt;"",Sheet1!B164,"")</f>
        <v>teachers252</v>
      </c>
      <c r="B164" t="str">
        <f>IF(Sheet1!C164&lt;&gt;"",Sheet1!C164,"")</f>
        <v>ANKITA KOLEY DAS</v>
      </c>
      <c r="C164" t="str">
        <f>IF(Sheet1!D164&lt;&gt;"",Sheet1!D164,"")</f>
        <v>KHORIOP HIGH ATT PRIMARY SCHOOL</v>
      </c>
      <c r="D164" t="str">
        <f>IF(Sheet1!E164&lt;&gt;"",Sheet1!E164,"")</f>
        <v>WBTPTA</v>
      </c>
      <c r="E164">
        <f>IF(Sheet1!DY164&lt;&gt;"",Sheet1!DY164,"")</f>
        <v>522260</v>
      </c>
      <c r="F164">
        <f>IF(Sheet1!EQ164&lt;&gt;"",Sheet1!EQ164,"")</f>
        <v>48000</v>
      </c>
      <c r="G164">
        <f>IF(Sheet1!EZ164&lt;&gt;"",Sheet1!EZ164,"")</f>
        <v>0</v>
      </c>
      <c r="H164">
        <f>IF(Sheet1!FA164&lt;&gt;"",Sheet1!FA164,"")</f>
        <v>421860</v>
      </c>
      <c r="I164">
        <f>IF(Sheet1!FI164&lt;&gt;"",Sheet1!FI164,"")</f>
        <v>0</v>
      </c>
      <c r="J164">
        <f ca="1">IF(Sheet1!GI164&lt;&gt;"",Sheet1!GI164,"")</f>
        <v>0</v>
      </c>
    </row>
    <row r="165" spans="1:10" x14ac:dyDescent="0.25">
      <c r="A165" t="str">
        <f>IF(Sheet1!B165&lt;&gt;"",Sheet1!B165,"")</f>
        <v>teachers256</v>
      </c>
      <c r="B165" t="str">
        <f>IF(Sheet1!C165&lt;&gt;"",Sheet1!C165,"")</f>
        <v>ULLASH JANA</v>
      </c>
      <c r="C165" t="str">
        <f>IF(Sheet1!D165&lt;&gt;"",Sheet1!D165,"")</f>
        <v>KHORIOP HIGH ATT PRIMARY SCHOOL</v>
      </c>
      <c r="D165" t="str">
        <f>IF(Sheet1!E165&lt;&gt;"",Sheet1!E165,"")</f>
        <v>WBTPTA</v>
      </c>
      <c r="E165">
        <f>IF(Sheet1!DY165&lt;&gt;"",Sheet1!DY165,"")</f>
        <v>522260</v>
      </c>
      <c r="F165">
        <f>IF(Sheet1!EQ165&lt;&gt;"",Sheet1!EQ165,"")</f>
        <v>48000</v>
      </c>
      <c r="G165">
        <f>IF(Sheet1!EZ165&lt;&gt;"",Sheet1!EZ165,"")</f>
        <v>0</v>
      </c>
      <c r="H165">
        <f>IF(Sheet1!FA165&lt;&gt;"",Sheet1!FA165,"")</f>
        <v>421860</v>
      </c>
      <c r="I165">
        <f>IF(Sheet1!FI165&lt;&gt;"",Sheet1!FI165,"")</f>
        <v>0</v>
      </c>
      <c r="J165">
        <f ca="1">IF(Sheet1!GI165&lt;&gt;"",Sheet1!GI165,"")</f>
        <v>0</v>
      </c>
    </row>
    <row r="166" spans="1:10" x14ac:dyDescent="0.25">
      <c r="A166" t="str">
        <f>IF(Sheet1!B166&lt;&gt;"",Sheet1!B166,"")</f>
        <v>teachers255</v>
      </c>
      <c r="B166" t="str">
        <f>IF(Sheet1!C166&lt;&gt;"",Sheet1!C166,"")</f>
        <v>RAJESH GOLUI</v>
      </c>
      <c r="C166" t="str">
        <f>IF(Sheet1!D166&lt;&gt;"",Sheet1!D166,"")</f>
        <v>KHORIOP HIGH ATT PRIMARY SCHOOL</v>
      </c>
      <c r="D166" t="str">
        <f>IF(Sheet1!E166&lt;&gt;"",Sheet1!E166,"")</f>
        <v>WBTPTA</v>
      </c>
      <c r="E166">
        <f>IF(Sheet1!DY166&lt;&gt;"",Sheet1!DY166,"")</f>
        <v>512180</v>
      </c>
      <c r="F166">
        <f>IF(Sheet1!EQ166&lt;&gt;"",Sheet1!EQ166,"")</f>
        <v>36000</v>
      </c>
      <c r="G166">
        <f>IF(Sheet1!EZ166&lt;&gt;"",Sheet1!EZ166,"")</f>
        <v>0</v>
      </c>
      <c r="H166">
        <f>IF(Sheet1!FA166&lt;&gt;"",Sheet1!FA166,"")</f>
        <v>423780</v>
      </c>
      <c r="I166">
        <f>IF(Sheet1!FI166&lt;&gt;"",Sheet1!FI166,"")</f>
        <v>0</v>
      </c>
      <c r="J166">
        <f ca="1">IF(Sheet1!GI166&lt;&gt;"",Sheet1!GI166,"")</f>
        <v>0</v>
      </c>
    </row>
    <row r="167" spans="1:10" x14ac:dyDescent="0.25">
      <c r="A167" t="str">
        <f>IF(Sheet1!B167&lt;&gt;"",Sheet1!B167,"")</f>
        <v>teachers257</v>
      </c>
      <c r="B167" t="str">
        <f>IF(Sheet1!C167&lt;&gt;"",Sheet1!C167,"")</f>
        <v>SUJATA MANNA</v>
      </c>
      <c r="C167" t="str">
        <f>IF(Sheet1!D167&lt;&gt;"",Sheet1!D167,"")</f>
        <v>KHOROP SOUTH PRIMARY</v>
      </c>
      <c r="D167" t="str">
        <f>IF(Sheet1!E167&lt;&gt;"",Sheet1!E167,"")</f>
        <v>WBTPTA</v>
      </c>
      <c r="E167">
        <f>IF(Sheet1!DY167&lt;&gt;"",Sheet1!DY167,"")</f>
        <v>711084</v>
      </c>
      <c r="F167">
        <f>IF(Sheet1!EQ167&lt;&gt;"",Sheet1!EQ167,"")</f>
        <v>36000</v>
      </c>
      <c r="G167">
        <f>IF(Sheet1!EZ167&lt;&gt;"",Sheet1!EZ167,"")</f>
        <v>0</v>
      </c>
      <c r="H167">
        <f>IF(Sheet1!FA167&lt;&gt;"",Sheet1!FA167,"")</f>
        <v>622684</v>
      </c>
      <c r="I167">
        <f>IF(Sheet1!FI167&lt;&gt;"",Sheet1!FI167,"")</f>
        <v>38518</v>
      </c>
      <c r="J167">
        <f ca="1">IF(Sheet1!GI167&lt;&gt;"",Sheet1!GI167,"")</f>
        <v>0</v>
      </c>
    </row>
    <row r="168" spans="1:10" x14ac:dyDescent="0.25">
      <c r="A168" t="str">
        <f>IF(Sheet1!B168&lt;&gt;"",Sheet1!B168,"")</f>
        <v>teachers258</v>
      </c>
      <c r="B168" t="str">
        <f>IF(Sheet1!C168&lt;&gt;"",Sheet1!C168,"")</f>
        <v>UDAY BHUINYA</v>
      </c>
      <c r="C168" t="str">
        <f>IF(Sheet1!D168&lt;&gt;"",Sheet1!D168,"")</f>
        <v>KHOROP SOUTH PRIMARY</v>
      </c>
      <c r="D168" t="str">
        <f>IF(Sheet1!E168&lt;&gt;"",Sheet1!E168,"")</f>
        <v>WBTPTA</v>
      </c>
      <c r="E168">
        <f>IF(Sheet1!DY168&lt;&gt;"",Sheet1!DY168,"")</f>
        <v>516260</v>
      </c>
      <c r="F168">
        <f>IF(Sheet1!EQ168&lt;&gt;"",Sheet1!EQ168,"")</f>
        <v>36000</v>
      </c>
      <c r="G168">
        <f>IF(Sheet1!EZ168&lt;&gt;"",Sheet1!EZ168,"")</f>
        <v>0</v>
      </c>
      <c r="H168">
        <f>IF(Sheet1!FA168&lt;&gt;"",Sheet1!FA168,"")</f>
        <v>427960</v>
      </c>
      <c r="I168">
        <f>IF(Sheet1!FI168&lt;&gt;"",Sheet1!FI168,"")</f>
        <v>0</v>
      </c>
      <c r="J168">
        <f ca="1">IF(Sheet1!GI168&lt;&gt;"",Sheet1!GI168,"")</f>
        <v>0</v>
      </c>
    </row>
    <row r="169" spans="1:10" x14ac:dyDescent="0.25">
      <c r="A169" t="str">
        <f>IF(Sheet1!B169&lt;&gt;"",Sheet1!B169,"")</f>
        <v>teachers259</v>
      </c>
      <c r="B169" t="str">
        <f>IF(Sheet1!C169&lt;&gt;"",Sheet1!C169,"")</f>
        <v>SK SAHABUDDIN</v>
      </c>
      <c r="C169" t="str">
        <f>IF(Sheet1!D169&lt;&gt;"",Sheet1!D169,"")</f>
        <v>KHOROP SOUTH PRIMARY</v>
      </c>
      <c r="D169" t="str">
        <f>IF(Sheet1!E169&lt;&gt;"",Sheet1!E169,"")</f>
        <v>WBTPTA</v>
      </c>
      <c r="E169">
        <f>IF(Sheet1!DY169&lt;&gt;"",Sheet1!DY169,"")</f>
        <v>515798</v>
      </c>
      <c r="F169">
        <f>IF(Sheet1!EQ169&lt;&gt;"",Sheet1!EQ169,"")</f>
        <v>36000</v>
      </c>
      <c r="G169">
        <f>IF(Sheet1!EZ169&lt;&gt;"",Sheet1!EZ169,"")</f>
        <v>0</v>
      </c>
      <c r="H169">
        <f>IF(Sheet1!FA169&lt;&gt;"",Sheet1!FA169,"")</f>
        <v>427398</v>
      </c>
      <c r="I169">
        <f>IF(Sheet1!FI169&lt;&gt;"",Sheet1!FI169,"")</f>
        <v>0</v>
      </c>
      <c r="J169">
        <f ca="1">IF(Sheet1!GI169&lt;&gt;"",Sheet1!GI169,"")</f>
        <v>0</v>
      </c>
    </row>
    <row r="170" spans="1:10" x14ac:dyDescent="0.25">
      <c r="A170" t="str">
        <f>IF(Sheet1!B170&lt;&gt;"",Sheet1!B170,"")</f>
        <v>teachers260</v>
      </c>
      <c r="B170" t="str">
        <f>IF(Sheet1!C170&lt;&gt;"",Sheet1!C170,"")</f>
        <v>NIZAM UDDIN SARDAR</v>
      </c>
      <c r="C170" t="str">
        <f>IF(Sheet1!D170&lt;&gt;"",Sheet1!D170,"")</f>
        <v>KHOROP SOUTH PRIMARY</v>
      </c>
      <c r="D170" t="str">
        <f>IF(Sheet1!E170&lt;&gt;"",Sheet1!E170,"")</f>
        <v>WBTPTA</v>
      </c>
      <c r="E170">
        <f>IF(Sheet1!DY170&lt;&gt;"",Sheet1!DY170,"")</f>
        <v>415160</v>
      </c>
      <c r="F170">
        <f>IF(Sheet1!EQ170&lt;&gt;"",Sheet1!EQ170,"")</f>
        <v>24000</v>
      </c>
      <c r="G170">
        <f>IF(Sheet1!EZ170&lt;&gt;"",Sheet1!EZ170,"")</f>
        <v>0</v>
      </c>
      <c r="H170">
        <f>IF(Sheet1!FA170&lt;&gt;"",Sheet1!FA170,"")</f>
        <v>339360</v>
      </c>
      <c r="I170">
        <f>IF(Sheet1!FI170&lt;&gt;"",Sheet1!FI170,"")</f>
        <v>0</v>
      </c>
      <c r="J170">
        <f ca="1">IF(Sheet1!GI170&lt;&gt;"",Sheet1!GI170,"")</f>
        <v>0</v>
      </c>
    </row>
    <row r="171" spans="1:10" x14ac:dyDescent="0.25">
      <c r="A171" t="str">
        <f>IF(Sheet1!B171&lt;&gt;"",Sheet1!B171,"")</f>
        <v>teachers261</v>
      </c>
      <c r="B171" t="str">
        <f>IF(Sheet1!C171&lt;&gt;"",Sheet1!C171,"")</f>
        <v>KHEYALI MALAKAR</v>
      </c>
      <c r="C171" t="str">
        <f>IF(Sheet1!D171&lt;&gt;"",Sheet1!D171,"")</f>
        <v>KHOROP SOUTH PRIMARY</v>
      </c>
      <c r="D171" t="str">
        <f>IF(Sheet1!E171&lt;&gt;"",Sheet1!E171,"")</f>
        <v>WBTPTA</v>
      </c>
      <c r="E171">
        <f>IF(Sheet1!DY171&lt;&gt;"",Sheet1!DY171,"")</f>
        <v>415160</v>
      </c>
      <c r="F171">
        <f>IF(Sheet1!EQ171&lt;&gt;"",Sheet1!EQ171,"")</f>
        <v>24000</v>
      </c>
      <c r="G171">
        <f>IF(Sheet1!EZ171&lt;&gt;"",Sheet1!EZ171,"")</f>
        <v>0</v>
      </c>
      <c r="H171">
        <f>IF(Sheet1!FA171&lt;&gt;"",Sheet1!FA171,"")</f>
        <v>339360</v>
      </c>
      <c r="I171">
        <f>IF(Sheet1!FI171&lt;&gt;"",Sheet1!FI171,"")</f>
        <v>0</v>
      </c>
      <c r="J171">
        <f ca="1">IF(Sheet1!GI171&lt;&gt;"",Sheet1!GI171,"")</f>
        <v>0</v>
      </c>
    </row>
    <row r="172" spans="1:10" x14ac:dyDescent="0.25">
      <c r="A172" t="str">
        <f>IF(Sheet1!B172&lt;&gt;"",Sheet1!B172,"")</f>
        <v>teachers262</v>
      </c>
      <c r="B172" t="str">
        <f>IF(Sheet1!C172&lt;&gt;"",Sheet1!C172,"")</f>
        <v>MUKUL HAZRA</v>
      </c>
      <c r="C172" t="str">
        <f>IF(Sheet1!D172&lt;&gt;"",Sheet1!D172,"")</f>
        <v>KHOROP SOUTH PRIMARY</v>
      </c>
      <c r="D172" t="str">
        <f>IF(Sheet1!E172&lt;&gt;"",Sheet1!E172,"")</f>
        <v>WBTPTA</v>
      </c>
      <c r="E172">
        <f>IF(Sheet1!DY172&lt;&gt;"",Sheet1!DY172,"")</f>
        <v>509798</v>
      </c>
      <c r="F172">
        <f>IF(Sheet1!EQ172&lt;&gt;"",Sheet1!EQ172,"")</f>
        <v>36000</v>
      </c>
      <c r="G172">
        <f>IF(Sheet1!EZ172&lt;&gt;"",Sheet1!EZ172,"")</f>
        <v>0</v>
      </c>
      <c r="H172">
        <f>IF(Sheet1!FA172&lt;&gt;"",Sheet1!FA172,"")</f>
        <v>421498</v>
      </c>
      <c r="I172">
        <f>IF(Sheet1!FI172&lt;&gt;"",Sheet1!FI172,"")</f>
        <v>0</v>
      </c>
      <c r="J172">
        <f ca="1">IF(Sheet1!GI172&lt;&gt;"",Sheet1!GI172,"")</f>
        <v>0</v>
      </c>
    </row>
    <row r="173" spans="1:10" x14ac:dyDescent="0.25">
      <c r="A173" t="str">
        <f>IF(Sheet1!B173&lt;&gt;"",Sheet1!B173,"")</f>
        <v>teachers263</v>
      </c>
      <c r="B173" t="str">
        <f>IF(Sheet1!C173&lt;&gt;"",Sheet1!C173,"")</f>
        <v>SNEHASHIS JANA</v>
      </c>
      <c r="C173" t="str">
        <f>IF(Sheet1!D173&lt;&gt;"",Sheet1!D173,"")</f>
        <v>KUNDULIA TAPASILI PRIMARY SCHOOL</v>
      </c>
      <c r="D173" t="str">
        <f>IF(Sheet1!E173&lt;&gt;"",Sheet1!E173,"")</f>
        <v>WBTPTA</v>
      </c>
      <c r="E173">
        <f>IF(Sheet1!DY173&lt;&gt;"",Sheet1!DY173,"")</f>
        <v>516980</v>
      </c>
      <c r="F173">
        <f>IF(Sheet1!EQ173&lt;&gt;"",Sheet1!EQ173,"")</f>
        <v>28000</v>
      </c>
      <c r="G173">
        <f>IF(Sheet1!EZ173&lt;&gt;"",Sheet1!EZ173,"")</f>
        <v>0</v>
      </c>
      <c r="H173">
        <f>IF(Sheet1!FA173&lt;&gt;"",Sheet1!FA173,"")</f>
        <v>436580</v>
      </c>
      <c r="I173">
        <f>IF(Sheet1!FI173&lt;&gt;"",Sheet1!FI173,"")</f>
        <v>0</v>
      </c>
      <c r="J173">
        <f ca="1">IF(Sheet1!GI173&lt;&gt;"",Sheet1!GI173,"")</f>
        <v>0</v>
      </c>
    </row>
    <row r="174" spans="1:10" x14ac:dyDescent="0.25">
      <c r="A174" t="str">
        <f>IF(Sheet1!B174&lt;&gt;"",Sheet1!B174,"")</f>
        <v>teachers264</v>
      </c>
      <c r="B174" t="str">
        <f>IF(Sheet1!C174&lt;&gt;"",Sheet1!C174,"")</f>
        <v>SUMA SAMANTA</v>
      </c>
      <c r="C174" t="str">
        <f>IF(Sheet1!D174&lt;&gt;"",Sheet1!D174,"")</f>
        <v>KUNDULIA TAPASILI PRIMARY SCHOOL</v>
      </c>
      <c r="D174" t="str">
        <f>IF(Sheet1!E174&lt;&gt;"",Sheet1!E174,"")</f>
        <v>WBTPTA</v>
      </c>
      <c r="E174">
        <f>IF(Sheet1!DY174&lt;&gt;"",Sheet1!DY174,"")</f>
        <v>683948</v>
      </c>
      <c r="F174">
        <f>IF(Sheet1!EQ174&lt;&gt;"",Sheet1!EQ174,"")</f>
        <v>150000</v>
      </c>
      <c r="G174">
        <f>IF(Sheet1!EZ174&lt;&gt;"",Sheet1!EZ174,"")</f>
        <v>0</v>
      </c>
      <c r="H174">
        <f>IF(Sheet1!FA174&lt;&gt;"",Sheet1!FA174,"")</f>
        <v>481548</v>
      </c>
      <c r="I174">
        <f>IF(Sheet1!FI174&lt;&gt;"",Sheet1!FI174,"")</f>
        <v>0</v>
      </c>
      <c r="J174">
        <f ca="1">IF(Sheet1!GI174&lt;&gt;"",Sheet1!GI174,"")</f>
        <v>0</v>
      </c>
    </row>
    <row r="175" spans="1:10" x14ac:dyDescent="0.25">
      <c r="A175" t="str">
        <f>IF(Sheet1!B175&lt;&gt;"",Sheet1!B175,"")</f>
        <v>teachers265</v>
      </c>
      <c r="B175" t="str">
        <f>IF(Sheet1!C175&lt;&gt;"",Sheet1!C175,"")</f>
        <v>BILAS DANDA</v>
      </c>
      <c r="C175" t="str">
        <f>IF(Sheet1!D175&lt;&gt;"",Sheet1!D175,"")</f>
        <v>KUNDULIA TAPASILI PRIMARY SCHOOL</v>
      </c>
      <c r="D175" t="str">
        <f>IF(Sheet1!E175&lt;&gt;"",Sheet1!E175,"")</f>
        <v>WBTPTA</v>
      </c>
      <c r="E175">
        <f>IF(Sheet1!DY175&lt;&gt;"",Sheet1!DY175,"")</f>
        <v>512180</v>
      </c>
      <c r="F175">
        <f>IF(Sheet1!EQ175&lt;&gt;"",Sheet1!EQ175,"")</f>
        <v>28000</v>
      </c>
      <c r="G175">
        <f>IF(Sheet1!EZ175&lt;&gt;"",Sheet1!EZ175,"")</f>
        <v>0</v>
      </c>
      <c r="H175">
        <f>IF(Sheet1!FA175&lt;&gt;"",Sheet1!FA175,"")</f>
        <v>431780</v>
      </c>
      <c r="I175">
        <f>IF(Sheet1!FI175&lt;&gt;"",Sheet1!FI175,"")</f>
        <v>0</v>
      </c>
      <c r="J175">
        <f ca="1">IF(Sheet1!GI175&lt;&gt;"",Sheet1!GI175,"")</f>
        <v>0</v>
      </c>
    </row>
    <row r="176" spans="1:10" x14ac:dyDescent="0.25">
      <c r="A176" t="str">
        <f>IF(Sheet1!B176&lt;&gt;"",Sheet1!B176,"")</f>
        <v>teachers266</v>
      </c>
      <c r="B176" t="str">
        <f>IF(Sheet1!C176&lt;&gt;"",Sheet1!C176,"")</f>
        <v>USUB ALI</v>
      </c>
      <c r="C176" t="str">
        <f>IF(Sheet1!D176&lt;&gt;"",Sheet1!D176,"")</f>
        <v>KUNDULIA TAPASILI PRIMARY SCHOOL</v>
      </c>
      <c r="D176" t="str">
        <f>IF(Sheet1!E176&lt;&gt;"",Sheet1!E176,"")</f>
        <v>WBTPTA</v>
      </c>
      <c r="E176">
        <f>IF(Sheet1!DY176&lt;&gt;"",Sheet1!DY176,"")</f>
        <v>512180</v>
      </c>
      <c r="F176">
        <f>IF(Sheet1!EQ176&lt;&gt;"",Sheet1!EQ176,"")</f>
        <v>28000</v>
      </c>
      <c r="G176">
        <f>IF(Sheet1!EZ176&lt;&gt;"",Sheet1!EZ176,"")</f>
        <v>0</v>
      </c>
      <c r="H176">
        <f>IF(Sheet1!FA176&lt;&gt;"",Sheet1!FA176,"")</f>
        <v>431780</v>
      </c>
      <c r="I176">
        <f>IF(Sheet1!FI176&lt;&gt;"",Sheet1!FI176,"")</f>
        <v>0</v>
      </c>
      <c r="J176">
        <f ca="1">IF(Sheet1!GI176&lt;&gt;"",Sheet1!GI176,"")</f>
        <v>0</v>
      </c>
    </row>
    <row r="177" spans="1:10" x14ac:dyDescent="0.25">
      <c r="A177" t="str">
        <f>IF(Sheet1!B177&lt;&gt;"",Sheet1!B177,"")</f>
        <v>teachers267</v>
      </c>
      <c r="B177" t="str">
        <f>IF(Sheet1!C177&lt;&gt;"",Sheet1!C177,"")</f>
        <v>NIRMALYA DAS</v>
      </c>
      <c r="C177" t="str">
        <f>IF(Sheet1!D177&lt;&gt;"",Sheet1!D177,"")</f>
        <v>MAHAKALPUR MC HIGH ATT PRIMARY SCHOOL</v>
      </c>
      <c r="D177" t="str">
        <f>IF(Sheet1!E177&lt;&gt;"",Sheet1!E177,"")</f>
        <v>WBTPTA</v>
      </c>
      <c r="E177">
        <f>IF(Sheet1!DY177&lt;&gt;"",Sheet1!DY177,"")</f>
        <v>516980</v>
      </c>
      <c r="F177">
        <f>IF(Sheet1!EQ177&lt;&gt;"",Sheet1!EQ177,"")</f>
        <v>36000</v>
      </c>
      <c r="G177">
        <f>IF(Sheet1!EZ177&lt;&gt;"",Sheet1!EZ177,"")</f>
        <v>0</v>
      </c>
      <c r="H177">
        <f>IF(Sheet1!FA177&lt;&gt;"",Sheet1!FA177,"")</f>
        <v>428580</v>
      </c>
      <c r="I177">
        <f>IF(Sheet1!FI177&lt;&gt;"",Sheet1!FI177,"")</f>
        <v>0</v>
      </c>
      <c r="J177">
        <f ca="1">IF(Sheet1!GI177&lt;&gt;"",Sheet1!GI177,"")</f>
        <v>0</v>
      </c>
    </row>
    <row r="178" spans="1:10" x14ac:dyDescent="0.25">
      <c r="A178" t="str">
        <f>IF(Sheet1!B178&lt;&gt;"",Sheet1!B178,"")</f>
        <v>teachers268</v>
      </c>
      <c r="B178" t="str">
        <f>IF(Sheet1!C178&lt;&gt;"",Sheet1!C178,"")</f>
        <v>TANUJ RONG</v>
      </c>
      <c r="C178" t="str">
        <f>IF(Sheet1!D178&lt;&gt;"",Sheet1!D178,"")</f>
        <v>MAHAKALPUR MC HIGH ATT PRIMARY SCHOOL</v>
      </c>
      <c r="D178" t="str">
        <f>IF(Sheet1!E178&lt;&gt;"",Sheet1!E178,"")</f>
        <v>WBTPTA</v>
      </c>
      <c r="E178">
        <f>IF(Sheet1!DY178&lt;&gt;"",Sheet1!DY178,"")</f>
        <v>522260</v>
      </c>
      <c r="F178">
        <f>IF(Sheet1!EQ178&lt;&gt;"",Sheet1!EQ178,"")</f>
        <v>36000</v>
      </c>
      <c r="G178">
        <f>IF(Sheet1!EZ178&lt;&gt;"",Sheet1!EZ178,"")</f>
        <v>0</v>
      </c>
      <c r="H178">
        <f>IF(Sheet1!FA178&lt;&gt;"",Sheet1!FA178,"")</f>
        <v>433860</v>
      </c>
      <c r="I178">
        <f>IF(Sheet1!FI178&lt;&gt;"",Sheet1!FI178,"")</f>
        <v>0</v>
      </c>
      <c r="J178">
        <f ca="1">IF(Sheet1!GI178&lt;&gt;"",Sheet1!GI178,"")</f>
        <v>0</v>
      </c>
    </row>
    <row r="179" spans="1:10" x14ac:dyDescent="0.25">
      <c r="A179" t="str">
        <f>IF(Sheet1!B179&lt;&gt;"",Sheet1!B179,"")</f>
        <v>teachers269</v>
      </c>
      <c r="B179" t="str">
        <f>IF(Sheet1!C179&lt;&gt;"",Sheet1!C179,"")</f>
        <v>SUSANTA PAL</v>
      </c>
      <c r="C179" t="str">
        <f>IF(Sheet1!D179&lt;&gt;"",Sheet1!D179,"")</f>
        <v>MAHAKALPUR MC HIGH ATT PRIMARY SCHOOL</v>
      </c>
      <c r="D179" t="str">
        <f>IF(Sheet1!E179&lt;&gt;"",Sheet1!E179,"")</f>
        <v>WBTPTA</v>
      </c>
      <c r="E179">
        <f>IF(Sheet1!DY179&lt;&gt;"",Sheet1!DY179,"")</f>
        <v>512180</v>
      </c>
      <c r="F179">
        <f>IF(Sheet1!EQ179&lt;&gt;"",Sheet1!EQ179,"")</f>
        <v>36000</v>
      </c>
      <c r="G179">
        <f>IF(Sheet1!EZ179&lt;&gt;"",Sheet1!EZ179,"")</f>
        <v>0</v>
      </c>
      <c r="H179">
        <f>IF(Sheet1!FA179&lt;&gt;"",Sheet1!FA179,"")</f>
        <v>423780</v>
      </c>
      <c r="I179">
        <f>IF(Sheet1!FI179&lt;&gt;"",Sheet1!FI179,"")</f>
        <v>0</v>
      </c>
      <c r="J179">
        <f ca="1">IF(Sheet1!GI179&lt;&gt;"",Sheet1!GI179,"")</f>
        <v>0</v>
      </c>
    </row>
    <row r="180" spans="1:10" x14ac:dyDescent="0.25">
      <c r="A180" t="str">
        <f>IF(Sheet1!B180&lt;&gt;"",Sheet1!B180,"")</f>
        <v>teachers270</v>
      </c>
      <c r="B180" t="str">
        <f>IF(Sheet1!C180&lt;&gt;"",Sheet1!C180,"")</f>
        <v>MOUSUMI ADHIKARY</v>
      </c>
      <c r="C180" t="str">
        <f>IF(Sheet1!D180&lt;&gt;"",Sheet1!D180,"")</f>
        <v>MAHAKALPUR MC HIGH ATT PRIMARY SCHOOL</v>
      </c>
      <c r="D180" t="str">
        <f>IF(Sheet1!E180&lt;&gt;"",Sheet1!E180,"")</f>
        <v>ABPTA</v>
      </c>
      <c r="E180">
        <f>IF(Sheet1!DY180&lt;&gt;"",Sheet1!DY180,"")</f>
        <v>575016</v>
      </c>
      <c r="F180">
        <f>IF(Sheet1!EQ180&lt;&gt;"",Sheet1!EQ180,"")</f>
        <v>84000</v>
      </c>
      <c r="G180">
        <f>IF(Sheet1!EZ180&lt;&gt;"",Sheet1!EZ180,"")</f>
        <v>0</v>
      </c>
      <c r="H180">
        <f>IF(Sheet1!FA180&lt;&gt;"",Sheet1!FA180,"")</f>
        <v>438616</v>
      </c>
      <c r="I180">
        <f>IF(Sheet1!FI180&lt;&gt;"",Sheet1!FI180,"")</f>
        <v>0</v>
      </c>
      <c r="J180">
        <f ca="1">IF(Sheet1!GI180&lt;&gt;"",Sheet1!GI180,"")</f>
        <v>0</v>
      </c>
    </row>
    <row r="181" spans="1:10" x14ac:dyDescent="0.25">
      <c r="A181" t="str">
        <f>IF(Sheet1!B181&lt;&gt;"",Sheet1!B181,"")</f>
        <v>teachers271</v>
      </c>
      <c r="B181" t="str">
        <f>IF(Sheet1!C181&lt;&gt;"",Sheet1!C181,"")</f>
        <v>SOUMEN MAITY</v>
      </c>
      <c r="C181" t="str">
        <f>IF(Sheet1!D181&lt;&gt;"",Sheet1!D181,"")</f>
        <v>MAHAKALPUR MC HIGH ATT PRIMARY SCHOOL</v>
      </c>
      <c r="D181" t="str">
        <f>IF(Sheet1!E181&lt;&gt;"",Sheet1!E181,"")</f>
        <v>WBTPTA</v>
      </c>
      <c r="E181">
        <f>IF(Sheet1!DY181&lt;&gt;"",Sheet1!DY181,"")</f>
        <v>391532</v>
      </c>
      <c r="F181">
        <f>IF(Sheet1!EQ181&lt;&gt;"",Sheet1!EQ181,"")</f>
        <v>16000</v>
      </c>
      <c r="G181">
        <f>IF(Sheet1!EZ181&lt;&gt;"",Sheet1!EZ181,"")</f>
        <v>0</v>
      </c>
      <c r="H181">
        <f>IF(Sheet1!FA181&lt;&gt;"",Sheet1!FA181,"")</f>
        <v>323732</v>
      </c>
      <c r="I181">
        <f>IF(Sheet1!FI181&lt;&gt;"",Sheet1!FI181,"")</f>
        <v>0</v>
      </c>
      <c r="J181">
        <f ca="1">IF(Sheet1!GI181&lt;&gt;"",Sheet1!GI181,"")</f>
        <v>0</v>
      </c>
    </row>
    <row r="182" spans="1:10" x14ac:dyDescent="0.25">
      <c r="A182" t="str">
        <f>IF(Sheet1!B182&lt;&gt;"",Sheet1!B182,"")</f>
        <v>teachers272</v>
      </c>
      <c r="B182" t="str">
        <f>IF(Sheet1!C182&lt;&gt;"",Sheet1!C182,"")</f>
        <v>ARKA CHANDRA</v>
      </c>
      <c r="C182" t="str">
        <f>IF(Sheet1!D182&lt;&gt;"",Sheet1!D182,"")</f>
        <v>MAHAKALPUR MC HIGH ATT PRIMARY SCHOOL</v>
      </c>
      <c r="D182" t="str">
        <f>IF(Sheet1!E182&lt;&gt;"",Sheet1!E182,"")</f>
        <v>WBTPTA</v>
      </c>
      <c r="E182">
        <f>IF(Sheet1!DY182&lt;&gt;"",Sheet1!DY182,"")</f>
        <v>406054</v>
      </c>
      <c r="F182">
        <f>IF(Sheet1!EQ182&lt;&gt;"",Sheet1!EQ182,"")</f>
        <v>2000</v>
      </c>
      <c r="G182">
        <f>IF(Sheet1!EZ182&lt;&gt;"",Sheet1!EZ182,"")</f>
        <v>0</v>
      </c>
      <c r="H182">
        <f>IF(Sheet1!FA182&lt;&gt;"",Sheet1!FA182,"")</f>
        <v>352404</v>
      </c>
      <c r="I182">
        <f>IF(Sheet1!FI182&lt;&gt;"",Sheet1!FI182,"")</f>
        <v>0</v>
      </c>
      <c r="J182">
        <f ca="1">IF(Sheet1!GI182&lt;&gt;"",Sheet1!GI182,"")</f>
        <v>0</v>
      </c>
    </row>
    <row r="183" spans="1:10" x14ac:dyDescent="0.25">
      <c r="A183" t="str">
        <f>IF(Sheet1!B183&lt;&gt;"",Sheet1!B183,"")</f>
        <v>teachers273</v>
      </c>
      <c r="B183" t="str">
        <f>IF(Sheet1!C183&lt;&gt;"",Sheet1!C183,"")</f>
        <v>NIRMAL DAS</v>
      </c>
      <c r="C183" t="str">
        <f>IF(Sheet1!D183&lt;&gt;"",Sheet1!D183,"")</f>
        <v>MAINAN PRIMARY SCHOOL</v>
      </c>
      <c r="D183" t="str">
        <f>IF(Sheet1!E183&lt;&gt;"",Sheet1!E183,"")</f>
        <v>WBTPTA</v>
      </c>
      <c r="E183">
        <f>IF(Sheet1!DY183&lt;&gt;"",Sheet1!DY183,"")</f>
        <v>782936</v>
      </c>
      <c r="F183">
        <f>IF(Sheet1!EQ183&lt;&gt;"",Sheet1!EQ183,"")</f>
        <v>42000</v>
      </c>
      <c r="G183">
        <f>IF(Sheet1!EZ183&lt;&gt;"",Sheet1!EZ183,"")</f>
        <v>0</v>
      </c>
      <c r="H183">
        <f>IF(Sheet1!FA183&lt;&gt;"",Sheet1!FA183,"")</f>
        <v>688536</v>
      </c>
      <c r="I183">
        <f>IF(Sheet1!FI183&lt;&gt;"",Sheet1!FI183,"")</f>
        <v>52215</v>
      </c>
      <c r="J183">
        <f ca="1">IF(Sheet1!GI183&lt;&gt;"",Sheet1!GI183,"")</f>
        <v>8802</v>
      </c>
    </row>
    <row r="184" spans="1:10" x14ac:dyDescent="0.25">
      <c r="A184" t="str">
        <f>IF(Sheet1!B184&lt;&gt;"",Sheet1!B184,"")</f>
        <v>teachers274</v>
      </c>
      <c r="B184" t="str">
        <f>IF(Sheet1!C184&lt;&gt;"",Sheet1!C184,"")</f>
        <v>TAPAS POLLEY</v>
      </c>
      <c r="C184" t="str">
        <f>IF(Sheet1!D184&lt;&gt;"",Sheet1!D184,"")</f>
        <v>MAINAN PRIMARY SCHOOL</v>
      </c>
      <c r="D184" t="str">
        <f>IF(Sheet1!E184&lt;&gt;"",Sheet1!E184,"")</f>
        <v>WBTPTA</v>
      </c>
      <c r="E184">
        <f>IF(Sheet1!DY184&lt;&gt;"",Sheet1!DY184,"")</f>
        <v>706284</v>
      </c>
      <c r="F184">
        <f>IF(Sheet1!EQ184&lt;&gt;"",Sheet1!EQ184,"")</f>
        <v>36000</v>
      </c>
      <c r="G184">
        <f>IF(Sheet1!EZ184&lt;&gt;"",Sheet1!EZ184,"")</f>
        <v>0</v>
      </c>
      <c r="H184">
        <f>IF(Sheet1!FA184&lt;&gt;"",Sheet1!FA184,"")</f>
        <v>617884</v>
      </c>
      <c r="I184">
        <f>IF(Sheet1!FI184&lt;&gt;"",Sheet1!FI184,"")</f>
        <v>37520</v>
      </c>
      <c r="J184">
        <f ca="1">IF(Sheet1!GI184&lt;&gt;"",Sheet1!GI184,"")</f>
        <v>0</v>
      </c>
    </row>
    <row r="185" spans="1:10" x14ac:dyDescent="0.25">
      <c r="A185" t="str">
        <f>IF(Sheet1!B185&lt;&gt;"",Sheet1!B185,"")</f>
        <v>teachers275</v>
      </c>
      <c r="B185" t="str">
        <f>IF(Sheet1!C185&lt;&gt;"",Sheet1!C185,"")</f>
        <v>SANJOY KUMAR BAG</v>
      </c>
      <c r="C185" t="str">
        <f>IF(Sheet1!D185&lt;&gt;"",Sheet1!D185,"")</f>
        <v>MAINAN PRIMARY SCHOOL</v>
      </c>
      <c r="D185" t="str">
        <f>IF(Sheet1!E185&lt;&gt;"",Sheet1!E185,"")</f>
        <v>WBTPTA</v>
      </c>
      <c r="E185">
        <f>IF(Sheet1!DY185&lt;&gt;"",Sheet1!DY185,"")</f>
        <v>712284</v>
      </c>
      <c r="F185">
        <f>IF(Sheet1!EQ185&lt;&gt;"",Sheet1!EQ185,"")</f>
        <v>36000</v>
      </c>
      <c r="G185">
        <f>IF(Sheet1!EZ185&lt;&gt;"",Sheet1!EZ185,"")</f>
        <v>0</v>
      </c>
      <c r="H185">
        <f>IF(Sheet1!FA185&lt;&gt;"",Sheet1!FA185,"")</f>
        <v>623884</v>
      </c>
      <c r="I185">
        <f>IF(Sheet1!FI185&lt;&gt;"",Sheet1!FI185,"")</f>
        <v>38768</v>
      </c>
      <c r="J185">
        <f ca="1">IF(Sheet1!GI185&lt;&gt;"",Sheet1!GI185,"")</f>
        <v>0</v>
      </c>
    </row>
    <row r="186" spans="1:10" x14ac:dyDescent="0.25">
      <c r="A186" t="str">
        <f>IF(Sheet1!B186&lt;&gt;"",Sheet1!B186,"")</f>
        <v>teachers276</v>
      </c>
      <c r="B186" t="str">
        <f>IF(Sheet1!C186&lt;&gt;"",Sheet1!C186,"")</f>
        <v>PRIYANKA DEY</v>
      </c>
      <c r="C186" t="str">
        <f>IF(Sheet1!D186&lt;&gt;"",Sheet1!D186,"")</f>
        <v>MAINAN PRIMARY SCHOOL</v>
      </c>
      <c r="D186" t="str">
        <f>IF(Sheet1!E186&lt;&gt;"",Sheet1!E186,"")</f>
        <v>WBTPTA</v>
      </c>
      <c r="E186">
        <f>IF(Sheet1!DY186&lt;&gt;"",Sheet1!DY186,"")</f>
        <v>515837</v>
      </c>
      <c r="F186">
        <f>IF(Sheet1!EQ186&lt;&gt;"",Sheet1!EQ186,"")</f>
        <v>28000</v>
      </c>
      <c r="G186">
        <f>IF(Sheet1!EZ186&lt;&gt;"",Sheet1!EZ186,"")</f>
        <v>0</v>
      </c>
      <c r="H186">
        <f>IF(Sheet1!FA186&lt;&gt;"",Sheet1!FA186,"")</f>
        <v>435437</v>
      </c>
      <c r="I186">
        <f>IF(Sheet1!FI186&lt;&gt;"",Sheet1!FI186,"")</f>
        <v>0</v>
      </c>
      <c r="J186">
        <f ca="1">IF(Sheet1!GI186&lt;&gt;"",Sheet1!GI186,"")</f>
        <v>0</v>
      </c>
    </row>
    <row r="187" spans="1:10" x14ac:dyDescent="0.25">
      <c r="A187" t="str">
        <f>IF(Sheet1!B187&lt;&gt;"",Sheet1!B187,"")</f>
        <v>teachers277</v>
      </c>
      <c r="B187" t="str">
        <f>IF(Sheet1!C187&lt;&gt;"",Sheet1!C187,"")</f>
        <v>SHAMPA SAU BODHAK</v>
      </c>
      <c r="C187" t="str">
        <f>IF(Sheet1!D187&lt;&gt;"",Sheet1!D187,"")</f>
        <v>MAINAN PRIMARY SCHOOL</v>
      </c>
      <c r="D187" t="str">
        <f>IF(Sheet1!E187&lt;&gt;"",Sheet1!E187,"")</f>
        <v>WBTPTA</v>
      </c>
      <c r="E187">
        <f>IF(Sheet1!DY187&lt;&gt;"",Sheet1!DY187,"")</f>
        <v>506180</v>
      </c>
      <c r="F187">
        <f>IF(Sheet1!EQ187&lt;&gt;"",Sheet1!EQ187,"")</f>
        <v>28000</v>
      </c>
      <c r="G187">
        <f>IF(Sheet1!EZ187&lt;&gt;"",Sheet1!EZ187,"")</f>
        <v>0</v>
      </c>
      <c r="H187">
        <f>IF(Sheet1!FA187&lt;&gt;"",Sheet1!FA187,"")</f>
        <v>425880</v>
      </c>
      <c r="I187">
        <f>IF(Sheet1!FI187&lt;&gt;"",Sheet1!FI187,"")</f>
        <v>0</v>
      </c>
      <c r="J187">
        <f ca="1">IF(Sheet1!GI187&lt;&gt;"",Sheet1!GI187,"")</f>
        <v>0</v>
      </c>
    </row>
    <row r="188" spans="1:10" x14ac:dyDescent="0.25">
      <c r="A188" t="str">
        <f>IF(Sheet1!B188&lt;&gt;"",Sheet1!B188,"")</f>
        <v>teachers278</v>
      </c>
      <c r="B188" t="str">
        <f>IF(Sheet1!C188&lt;&gt;"",Sheet1!C188,"")</f>
        <v>SUMANA PRAMANIK</v>
      </c>
      <c r="C188" t="str">
        <f>IF(Sheet1!D188&lt;&gt;"",Sheet1!D188,"")</f>
        <v>MAINAN PRIMARY SCHOOL</v>
      </c>
      <c r="D188" t="str">
        <f>IF(Sheet1!E188&lt;&gt;"",Sheet1!E188,"")</f>
        <v>WBTPTA</v>
      </c>
      <c r="E188">
        <f>IF(Sheet1!DY188&lt;&gt;"",Sheet1!DY188,"")</f>
        <v>406054</v>
      </c>
      <c r="F188">
        <f>IF(Sheet1!EQ188&lt;&gt;"",Sheet1!EQ188,"")</f>
        <v>2000</v>
      </c>
      <c r="G188">
        <f>IF(Sheet1!EZ188&lt;&gt;"",Sheet1!EZ188,"")</f>
        <v>0</v>
      </c>
      <c r="H188">
        <f>IF(Sheet1!FA188&lt;&gt;"",Sheet1!FA188,"")</f>
        <v>352404</v>
      </c>
      <c r="I188">
        <f>IF(Sheet1!FI188&lt;&gt;"",Sheet1!FI188,"")</f>
        <v>0</v>
      </c>
      <c r="J188">
        <f ca="1">IF(Sheet1!GI188&lt;&gt;"",Sheet1!GI188,"")</f>
        <v>0</v>
      </c>
    </row>
    <row r="189" spans="1:10" x14ac:dyDescent="0.25">
      <c r="A189" t="str">
        <f>IF(Sheet1!B189&lt;&gt;"",Sheet1!B189,"")</f>
        <v>teachers396-680da03e</v>
      </c>
      <c r="B189" t="str">
        <f>IF(Sheet1!C189&lt;&gt;"",Sheet1!C189,"")</f>
        <v>SHEULI PRODHAN</v>
      </c>
      <c r="C189" t="str">
        <f>IF(Sheet1!D189&lt;&gt;"",Sheet1!D189,"")</f>
        <v>MAINAN PRIMARY SCHOOL</v>
      </c>
      <c r="D189" t="str">
        <f>IF(Sheet1!E189&lt;&gt;"",Sheet1!E189,"")</f>
        <v>WBTPTA</v>
      </c>
      <c r="E189">
        <f>IF(Sheet1!DY189&lt;&gt;"",Sheet1!DY189,"")</f>
        <v>0</v>
      </c>
      <c r="F189">
        <f>IF(Sheet1!EQ189&lt;&gt;"",Sheet1!EQ189,"")</f>
        <v>0</v>
      </c>
      <c r="G189">
        <f>IF(Sheet1!EZ189&lt;&gt;"",Sheet1!EZ189,"")</f>
        <v>0</v>
      </c>
      <c r="H189">
        <f>IF(Sheet1!FA189&lt;&gt;"",Sheet1!FA189,"")</f>
        <v>0</v>
      </c>
      <c r="I189">
        <f>IF(Sheet1!FI189&lt;&gt;"",Sheet1!FI189,"")</f>
        <v>0</v>
      </c>
      <c r="J189">
        <f ca="1">IF(Sheet1!GI189&lt;&gt;"",Sheet1!GI189,"")</f>
        <v>0</v>
      </c>
    </row>
    <row r="190" spans="1:10" x14ac:dyDescent="0.25">
      <c r="A190" t="str">
        <f>IF(Sheet1!B190&lt;&gt;"",Sheet1!B190,"")</f>
        <v>teachers279</v>
      </c>
      <c r="B190" t="str">
        <f>IF(Sheet1!C190&lt;&gt;"",Sheet1!C190,"")</f>
        <v>HEMANTA KUMAR SADHUKHAN</v>
      </c>
      <c r="C190" t="str">
        <f>IF(Sheet1!D190&lt;&gt;"",Sheet1!D190,"")</f>
        <v>MANUCHAK ORIENTED PRIMARY SCHOOL</v>
      </c>
      <c r="D190" t="str">
        <f>IF(Sheet1!E190&lt;&gt;"",Sheet1!E190,"")</f>
        <v>WBTPTA</v>
      </c>
      <c r="E190">
        <f>IF(Sheet1!DY190&lt;&gt;"",Sheet1!DY190,"")</f>
        <v>711084</v>
      </c>
      <c r="F190">
        <f>IF(Sheet1!EQ190&lt;&gt;"",Sheet1!EQ190,"")</f>
        <v>48000</v>
      </c>
      <c r="G190">
        <f>IF(Sheet1!EZ190&lt;&gt;"",Sheet1!EZ190,"")</f>
        <v>0</v>
      </c>
      <c r="H190">
        <f>IF(Sheet1!FA190&lt;&gt;"",Sheet1!FA190,"")</f>
        <v>610684</v>
      </c>
      <c r="I190">
        <f>IF(Sheet1!FI190&lt;&gt;"",Sheet1!FI190,"")</f>
        <v>36022</v>
      </c>
      <c r="J190">
        <f ca="1">IF(Sheet1!GI190&lt;&gt;"",Sheet1!GI190,"")</f>
        <v>0</v>
      </c>
    </row>
    <row r="191" spans="1:10" x14ac:dyDescent="0.25">
      <c r="A191" t="str">
        <f>IF(Sheet1!B191&lt;&gt;"",Sheet1!B191,"")</f>
        <v>teachers280</v>
      </c>
      <c r="B191" t="str">
        <f>IF(Sheet1!C191&lt;&gt;"",Sheet1!C191,"")</f>
        <v>SOUVIK SAMANTA</v>
      </c>
      <c r="C191" t="str">
        <f>IF(Sheet1!D191&lt;&gt;"",Sheet1!D191,"")</f>
        <v>MANUCHAK ORIENTED PRIMARY SCHOOL</v>
      </c>
      <c r="D191" t="str">
        <f>IF(Sheet1!E191&lt;&gt;"",Sheet1!E191,"")</f>
        <v>WBTPTA</v>
      </c>
      <c r="E191">
        <f>IF(Sheet1!DY191&lt;&gt;"",Sheet1!DY191,"")</f>
        <v>512180</v>
      </c>
      <c r="F191">
        <f>IF(Sheet1!EQ191&lt;&gt;"",Sheet1!EQ191,"")</f>
        <v>36000</v>
      </c>
      <c r="G191">
        <f>IF(Sheet1!EZ191&lt;&gt;"",Sheet1!EZ191,"")</f>
        <v>0</v>
      </c>
      <c r="H191">
        <f>IF(Sheet1!FA191&lt;&gt;"",Sheet1!FA191,"")</f>
        <v>423780</v>
      </c>
      <c r="I191">
        <f>IF(Sheet1!FI191&lt;&gt;"",Sheet1!FI191,"")</f>
        <v>0</v>
      </c>
      <c r="J191">
        <f ca="1">IF(Sheet1!GI191&lt;&gt;"",Sheet1!GI191,"")</f>
        <v>0</v>
      </c>
    </row>
    <row r="192" spans="1:10" x14ac:dyDescent="0.25">
      <c r="A192" t="str">
        <f>IF(Sheet1!B192&lt;&gt;"",Sheet1!B192,"")</f>
        <v>teachers281</v>
      </c>
      <c r="B192" t="str">
        <f>IF(Sheet1!C192&lt;&gt;"",Sheet1!C192,"")</f>
        <v>HEMANTA MAITY</v>
      </c>
      <c r="C192" t="str">
        <f>IF(Sheet1!D192&lt;&gt;"",Sheet1!D192,"")</f>
        <v>MANUCHAK ORIENTED PRIMARY SCHOOL</v>
      </c>
      <c r="D192" t="str">
        <f>IF(Sheet1!E192&lt;&gt;"",Sheet1!E192,"")</f>
        <v>WBTPTA</v>
      </c>
      <c r="E192">
        <f>IF(Sheet1!DY192&lt;&gt;"",Sheet1!DY192,"")</f>
        <v>433288</v>
      </c>
      <c r="F192">
        <f>IF(Sheet1!EQ192&lt;&gt;"",Sheet1!EQ192,"")</f>
        <v>60000</v>
      </c>
      <c r="G192">
        <f>IF(Sheet1!EZ192&lt;&gt;"",Sheet1!EZ192,"")</f>
        <v>0</v>
      </c>
      <c r="H192">
        <f>IF(Sheet1!FA192&lt;&gt;"",Sheet1!FA192,"")</f>
        <v>321488</v>
      </c>
      <c r="I192">
        <f>IF(Sheet1!FI192&lt;&gt;"",Sheet1!FI192,"")</f>
        <v>0</v>
      </c>
      <c r="J192">
        <f ca="1">IF(Sheet1!GI192&lt;&gt;"",Sheet1!GI192,"")</f>
        <v>0</v>
      </c>
    </row>
    <row r="193" spans="1:10" x14ac:dyDescent="0.25">
      <c r="A193" t="str">
        <f>IF(Sheet1!B193&lt;&gt;"",Sheet1!B193,"")</f>
        <v>teachers282</v>
      </c>
      <c r="B193" t="str">
        <f>IF(Sheet1!C193&lt;&gt;"",Sheet1!C193,"")</f>
        <v>SK GOLAM EAJDANI</v>
      </c>
      <c r="C193" t="str">
        <f>IF(Sheet1!D193&lt;&gt;"",Sheet1!D193,"")</f>
        <v>MENOKA SMRITI VIDYAMANDIR JR BASIC</v>
      </c>
      <c r="D193" t="str">
        <f>IF(Sheet1!E193&lt;&gt;"",Sheet1!E193,"")</f>
        <v>WBTPTA</v>
      </c>
      <c r="E193">
        <f>IF(Sheet1!DY193&lt;&gt;"",Sheet1!DY193,"")</f>
        <v>889004</v>
      </c>
      <c r="F193">
        <f>IF(Sheet1!EQ193&lt;&gt;"",Sheet1!EQ193,"")</f>
        <v>120000</v>
      </c>
      <c r="G193">
        <f>IF(Sheet1!EZ193&lt;&gt;"",Sheet1!EZ193,"")</f>
        <v>50000</v>
      </c>
      <c r="H193">
        <f>IF(Sheet1!FA193&lt;&gt;"",Sheet1!FA193,"")</f>
        <v>669004</v>
      </c>
      <c r="I193">
        <f>IF(Sheet1!FI193&lt;&gt;"",Sheet1!FI193,"")</f>
        <v>48153</v>
      </c>
      <c r="J193">
        <f ca="1">IF(Sheet1!GI193&lt;&gt;"",Sheet1!GI193,"")</f>
        <v>32720</v>
      </c>
    </row>
    <row r="194" spans="1:10" x14ac:dyDescent="0.25">
      <c r="A194" t="str">
        <f>IF(Sheet1!B194&lt;&gt;"",Sheet1!B194,"")</f>
        <v>teachers283</v>
      </c>
      <c r="B194" t="str">
        <f>IF(Sheet1!C194&lt;&gt;"",Sheet1!C194,"")</f>
        <v>SUDIP KUMAR KARAR</v>
      </c>
      <c r="C194" t="str">
        <f>IF(Sheet1!D194&lt;&gt;"",Sheet1!D194,"")</f>
        <v>MENOKA SMRITI VIDYAMANDIR JR BASIC</v>
      </c>
      <c r="D194" t="str">
        <f>IF(Sheet1!E194&lt;&gt;"",Sheet1!E194,"")</f>
        <v>WBTPTA</v>
      </c>
      <c r="E194">
        <f>IF(Sheet1!DY194&lt;&gt;"",Sheet1!DY194,"")</f>
        <v>515798</v>
      </c>
      <c r="F194">
        <f>IF(Sheet1!EQ194&lt;&gt;"",Sheet1!EQ194,"")</f>
        <v>36000</v>
      </c>
      <c r="G194">
        <f>IF(Sheet1!EZ194&lt;&gt;"",Sheet1!EZ194,"")</f>
        <v>0</v>
      </c>
      <c r="H194">
        <f>IF(Sheet1!FA194&lt;&gt;"",Sheet1!FA194,"")</f>
        <v>427398</v>
      </c>
      <c r="I194">
        <f>IF(Sheet1!FI194&lt;&gt;"",Sheet1!FI194,"")</f>
        <v>0</v>
      </c>
      <c r="J194">
        <f ca="1">IF(Sheet1!GI194&lt;&gt;"",Sheet1!GI194,"")</f>
        <v>0</v>
      </c>
    </row>
    <row r="195" spans="1:10" x14ac:dyDescent="0.25">
      <c r="A195" t="str">
        <f>IF(Sheet1!B195&lt;&gt;"",Sheet1!B195,"")</f>
        <v>teachers284</v>
      </c>
      <c r="B195" t="str">
        <f>IF(Sheet1!C195&lt;&gt;"",Sheet1!C195,"")</f>
        <v>SONALI PAUL</v>
      </c>
      <c r="C195" t="str">
        <f>IF(Sheet1!D195&lt;&gt;"",Sheet1!D195,"")</f>
        <v>MENOKA SMRITI VIDYAMANDIR JR BASIC</v>
      </c>
      <c r="D195" t="str">
        <f>IF(Sheet1!E195&lt;&gt;"",Sheet1!E195,"")</f>
        <v>WBTPTA</v>
      </c>
      <c r="E195">
        <f>IF(Sheet1!DY195&lt;&gt;"",Sheet1!DY195,"")</f>
        <v>755516</v>
      </c>
      <c r="F195">
        <f>IF(Sheet1!EQ195&lt;&gt;"",Sheet1!EQ195,"")</f>
        <v>60000</v>
      </c>
      <c r="G195">
        <f>IF(Sheet1!EZ195&lt;&gt;"",Sheet1!EZ195,"")</f>
        <v>0</v>
      </c>
      <c r="H195">
        <f>IF(Sheet1!FA195&lt;&gt;"",Sheet1!FA195,"")</f>
        <v>643116</v>
      </c>
      <c r="I195">
        <f>IF(Sheet1!FI195&lt;&gt;"",Sheet1!FI195,"")</f>
        <v>42768</v>
      </c>
      <c r="J195">
        <f ca="1">IF(Sheet1!GI195&lt;&gt;"",Sheet1!GI195,"")</f>
        <v>0</v>
      </c>
    </row>
    <row r="196" spans="1:10" x14ac:dyDescent="0.25">
      <c r="A196" t="str">
        <f>IF(Sheet1!B196&lt;&gt;"",Sheet1!B196,"")</f>
        <v>teachers285</v>
      </c>
      <c r="B196" t="str">
        <f>IF(Sheet1!C196&lt;&gt;"",Sheet1!C196,"")</f>
        <v>SUSMITA MANDAL</v>
      </c>
      <c r="C196" t="str">
        <f>IF(Sheet1!D196&lt;&gt;"",Sheet1!D196,"")</f>
        <v>MENOKA SMRITI VIDYAMANDIR JR BASIC</v>
      </c>
      <c r="D196" t="str">
        <f>IF(Sheet1!E196&lt;&gt;"",Sheet1!E196,"")</f>
        <v>WBTPTA</v>
      </c>
      <c r="E196">
        <f>IF(Sheet1!DY196&lt;&gt;"",Sheet1!DY196,"")</f>
        <v>512180</v>
      </c>
      <c r="F196">
        <f>IF(Sheet1!EQ196&lt;&gt;"",Sheet1!EQ196,"")</f>
        <v>36000</v>
      </c>
      <c r="G196">
        <f>IF(Sheet1!EZ196&lt;&gt;"",Sheet1!EZ196,"")</f>
        <v>0</v>
      </c>
      <c r="H196">
        <f>IF(Sheet1!FA196&lt;&gt;"",Sheet1!FA196,"")</f>
        <v>423780</v>
      </c>
      <c r="I196">
        <f>IF(Sheet1!FI196&lt;&gt;"",Sheet1!FI196,"")</f>
        <v>0</v>
      </c>
      <c r="J196">
        <f ca="1">IF(Sheet1!GI196&lt;&gt;"",Sheet1!GI196,"")</f>
        <v>0</v>
      </c>
    </row>
    <row r="197" spans="1:10" x14ac:dyDescent="0.25">
      <c r="A197" t="str">
        <f>IF(Sheet1!B197&lt;&gt;"",Sheet1!B197,"")</f>
        <v>teachers286</v>
      </c>
      <c r="B197" t="str">
        <f>IF(Sheet1!C197&lt;&gt;"",Sheet1!C197,"")</f>
        <v>ABHIJIT MAITY</v>
      </c>
      <c r="C197" t="str">
        <f>IF(Sheet1!D197&lt;&gt;"",Sheet1!D197,"")</f>
        <v>MENOKA SMRITI VIDYAMANDIR JR BASIC</v>
      </c>
      <c r="D197" t="str">
        <f>IF(Sheet1!E197&lt;&gt;"",Sheet1!E197,"")</f>
        <v>WBTPTA</v>
      </c>
      <c r="E197">
        <f>IF(Sheet1!DY197&lt;&gt;"",Sheet1!DY197,"")</f>
        <v>512180</v>
      </c>
      <c r="F197">
        <f>IF(Sheet1!EQ197&lt;&gt;"",Sheet1!EQ197,"")</f>
        <v>28000</v>
      </c>
      <c r="G197">
        <f>IF(Sheet1!EZ197&lt;&gt;"",Sheet1!EZ197,"")</f>
        <v>0</v>
      </c>
      <c r="H197">
        <f>IF(Sheet1!FA197&lt;&gt;"",Sheet1!FA197,"")</f>
        <v>431780</v>
      </c>
      <c r="I197">
        <f>IF(Sheet1!FI197&lt;&gt;"",Sheet1!FI197,"")</f>
        <v>0</v>
      </c>
      <c r="J197">
        <f ca="1">IF(Sheet1!GI197&lt;&gt;"",Sheet1!GI197,"")</f>
        <v>0</v>
      </c>
    </row>
    <row r="198" spans="1:10" x14ac:dyDescent="0.25">
      <c r="A198" t="str">
        <f>IF(Sheet1!B198&lt;&gt;"",Sheet1!B198,"")</f>
        <v>teachers287</v>
      </c>
      <c r="B198" t="str">
        <f>IF(Sheet1!C198&lt;&gt;"",Sheet1!C198,"")</f>
        <v>SOUVIK CHAUDHURI</v>
      </c>
      <c r="C198" t="str">
        <f>IF(Sheet1!D198&lt;&gt;"",Sheet1!D198,"")</f>
        <v>MENOKA SMRITI VIDYAMANDIR JR BASIC</v>
      </c>
      <c r="D198" t="str">
        <f>IF(Sheet1!E198&lt;&gt;"",Sheet1!E198,"")</f>
        <v>WBTPTA</v>
      </c>
      <c r="E198">
        <f>IF(Sheet1!DY198&lt;&gt;"",Sheet1!DY198,"")</f>
        <v>512180</v>
      </c>
      <c r="F198">
        <f>IF(Sheet1!EQ198&lt;&gt;"",Sheet1!EQ198,"")</f>
        <v>28000</v>
      </c>
      <c r="G198">
        <f>IF(Sheet1!EZ198&lt;&gt;"",Sheet1!EZ198,"")</f>
        <v>0</v>
      </c>
      <c r="H198">
        <f>IF(Sheet1!FA198&lt;&gt;"",Sheet1!FA198,"")</f>
        <v>431780</v>
      </c>
      <c r="I198">
        <f>IF(Sheet1!FI198&lt;&gt;"",Sheet1!FI198,"")</f>
        <v>0</v>
      </c>
      <c r="J198">
        <f ca="1">IF(Sheet1!GI198&lt;&gt;"",Sheet1!GI198,"")</f>
        <v>0</v>
      </c>
    </row>
    <row r="199" spans="1:10" x14ac:dyDescent="0.25">
      <c r="A199" t="str">
        <f>IF(Sheet1!B199&lt;&gt;"",Sheet1!B199,"")</f>
        <v>teachers288</v>
      </c>
      <c r="B199" t="str">
        <f>IF(Sheet1!C199&lt;&gt;"",Sheet1!C199,"")</f>
        <v>ACHINTYA SAMANTA</v>
      </c>
      <c r="C199" t="str">
        <f>IF(Sheet1!D199&lt;&gt;"",Sheet1!D199,"")</f>
        <v>MENOKA SMRITI VIDYAMANDIR JR BASIC</v>
      </c>
      <c r="D199" t="str">
        <f>IF(Sheet1!E199&lt;&gt;"",Sheet1!E199,"")</f>
        <v>WBTPTA</v>
      </c>
      <c r="E199">
        <f>IF(Sheet1!DY199&lt;&gt;"",Sheet1!DY199,"")</f>
        <v>575016</v>
      </c>
      <c r="F199">
        <f>IF(Sheet1!EQ199&lt;&gt;"",Sheet1!EQ199,"")</f>
        <v>60000</v>
      </c>
      <c r="G199">
        <f>IF(Sheet1!EZ199&lt;&gt;"",Sheet1!EZ199,"")</f>
        <v>50000</v>
      </c>
      <c r="H199">
        <f>IF(Sheet1!FA199&lt;&gt;"",Sheet1!FA199,"")</f>
        <v>415016</v>
      </c>
      <c r="I199">
        <f>IF(Sheet1!FI199&lt;&gt;"",Sheet1!FI199,"")</f>
        <v>0</v>
      </c>
      <c r="J199">
        <f ca="1">IF(Sheet1!GI199&lt;&gt;"",Sheet1!GI199,"")</f>
        <v>0</v>
      </c>
    </row>
    <row r="200" spans="1:10" x14ac:dyDescent="0.25">
      <c r="A200" t="str">
        <f>IF(Sheet1!B200&lt;&gt;"",Sheet1!B200,"")</f>
        <v>teachers289</v>
      </c>
      <c r="B200" t="str">
        <f>IF(Sheet1!C200&lt;&gt;"",Sheet1!C200,"")</f>
        <v>SOMENDRA NATH DAS</v>
      </c>
      <c r="C200" t="str">
        <f>IF(Sheet1!D200&lt;&gt;"",Sheet1!D200,"")</f>
        <v>MENOKA SMRITI VIDYAMANDIR JR BASIC</v>
      </c>
      <c r="D200" t="str">
        <f>IF(Sheet1!E200&lt;&gt;"",Sheet1!E200,"")</f>
        <v>WBTPTA</v>
      </c>
      <c r="E200">
        <f>IF(Sheet1!DY200&lt;&gt;"",Sheet1!DY200,"")</f>
        <v>406054</v>
      </c>
      <c r="F200">
        <f>IF(Sheet1!EQ200&lt;&gt;"",Sheet1!EQ200,"")</f>
        <v>2000</v>
      </c>
      <c r="G200">
        <f>IF(Sheet1!EZ200&lt;&gt;"",Sheet1!EZ200,"")</f>
        <v>0</v>
      </c>
      <c r="H200">
        <f>IF(Sheet1!FA200&lt;&gt;"",Sheet1!FA200,"")</f>
        <v>352404</v>
      </c>
      <c r="I200">
        <f>IF(Sheet1!FI200&lt;&gt;"",Sheet1!FI200,"")</f>
        <v>0</v>
      </c>
      <c r="J200">
        <f ca="1">IF(Sheet1!GI200&lt;&gt;"",Sheet1!GI200,"")</f>
        <v>0</v>
      </c>
    </row>
    <row r="201" spans="1:10" x14ac:dyDescent="0.25">
      <c r="A201" t="str">
        <f>IF(Sheet1!B201&lt;&gt;"",Sheet1!B201,"")</f>
        <v>teachers290</v>
      </c>
      <c r="B201" t="str">
        <f>IF(Sheet1!C201&lt;&gt;"",Sheet1!C201,"")</f>
        <v>DEBABRATA DAS</v>
      </c>
      <c r="C201" t="str">
        <f>IF(Sheet1!D201&lt;&gt;"",Sheet1!D201,"")</f>
        <v>NAKUBAR PRIMARY SCHOOL</v>
      </c>
      <c r="D201" t="str">
        <f>IF(Sheet1!E201&lt;&gt;"",Sheet1!E201,"")</f>
        <v>WBTPTA</v>
      </c>
      <c r="E201">
        <f>IF(Sheet1!DY201&lt;&gt;"",Sheet1!DY201,"")</f>
        <v>516980</v>
      </c>
      <c r="F201">
        <f>IF(Sheet1!EQ201&lt;&gt;"",Sheet1!EQ201,"")</f>
        <v>36000</v>
      </c>
      <c r="G201">
        <f>IF(Sheet1!EZ201&lt;&gt;"",Sheet1!EZ201,"")</f>
        <v>0</v>
      </c>
      <c r="H201">
        <f>IF(Sheet1!FA201&lt;&gt;"",Sheet1!FA201,"")</f>
        <v>428580</v>
      </c>
      <c r="I201">
        <f>IF(Sheet1!FI201&lt;&gt;"",Sheet1!FI201,"")</f>
        <v>0</v>
      </c>
      <c r="J201">
        <f ca="1">IF(Sheet1!GI201&lt;&gt;"",Sheet1!GI201,"")</f>
        <v>0</v>
      </c>
    </row>
    <row r="202" spans="1:10" x14ac:dyDescent="0.25">
      <c r="A202" t="str">
        <f>IF(Sheet1!B202&lt;&gt;"",Sheet1!B202,"")</f>
        <v>teachers291</v>
      </c>
      <c r="B202" t="str">
        <f>IF(Sheet1!C202&lt;&gt;"",Sheet1!C202,"")</f>
        <v>KAMALA KANTA RAUL</v>
      </c>
      <c r="C202" t="str">
        <f>IF(Sheet1!D202&lt;&gt;"",Sheet1!D202,"")</f>
        <v>NAKUBAR PRIMARY SCHOOL</v>
      </c>
      <c r="D202" t="str">
        <f>IF(Sheet1!E202&lt;&gt;"",Sheet1!E202,"")</f>
        <v>WBTPTA</v>
      </c>
      <c r="E202">
        <f>IF(Sheet1!DY202&lt;&gt;"",Sheet1!DY202,"")</f>
        <v>415160</v>
      </c>
      <c r="F202">
        <f>IF(Sheet1!EQ202&lt;&gt;"",Sheet1!EQ202,"")</f>
        <v>24000</v>
      </c>
      <c r="G202">
        <f>IF(Sheet1!EZ202&lt;&gt;"",Sheet1!EZ202,"")</f>
        <v>0</v>
      </c>
      <c r="H202">
        <f>IF(Sheet1!FA202&lt;&gt;"",Sheet1!FA202,"")</f>
        <v>339360</v>
      </c>
      <c r="I202">
        <f>IF(Sheet1!FI202&lt;&gt;"",Sheet1!FI202,"")</f>
        <v>0</v>
      </c>
      <c r="J202">
        <f ca="1">IF(Sheet1!GI202&lt;&gt;"",Sheet1!GI202,"")</f>
        <v>0</v>
      </c>
    </row>
    <row r="203" spans="1:10" x14ac:dyDescent="0.25">
      <c r="A203" t="str">
        <f>IF(Sheet1!B203&lt;&gt;"",Sheet1!B203,"")</f>
        <v>teachers292</v>
      </c>
      <c r="B203" t="str">
        <f>IF(Sheet1!C203&lt;&gt;"",Sheet1!C203,"")</f>
        <v>KARTICK CHANDRA MAITI</v>
      </c>
      <c r="C203" t="str">
        <f>IF(Sheet1!D203&lt;&gt;"",Sheet1!D203,"")</f>
        <v>NISCHINTAPUR PRIMARY SCHOOL</v>
      </c>
      <c r="D203" t="str">
        <f>IF(Sheet1!E203&lt;&gt;"",Sheet1!E203,"")</f>
        <v>ABPTA</v>
      </c>
      <c r="E203">
        <f>IF(Sheet1!DY203&lt;&gt;"",Sheet1!DY203,"")</f>
        <v>782936</v>
      </c>
      <c r="F203">
        <f>IF(Sheet1!EQ203&lt;&gt;"",Sheet1!EQ203,"")</f>
        <v>84000</v>
      </c>
      <c r="G203">
        <f>IF(Sheet1!EZ203&lt;&gt;"",Sheet1!EZ203,"")</f>
        <v>0</v>
      </c>
      <c r="H203">
        <f>IF(Sheet1!FA203&lt;&gt;"",Sheet1!FA203,"")</f>
        <v>646536</v>
      </c>
      <c r="I203">
        <f>IF(Sheet1!FI203&lt;&gt;"",Sheet1!FI203,"")</f>
        <v>43479</v>
      </c>
      <c r="J203">
        <f ca="1">IF(Sheet1!GI203&lt;&gt;"",Sheet1!GI203,"")</f>
        <v>8823</v>
      </c>
    </row>
    <row r="204" spans="1:10" x14ac:dyDescent="0.25">
      <c r="A204" t="str">
        <f>IF(Sheet1!B204&lt;&gt;"",Sheet1!B204,"")</f>
        <v>teachers293</v>
      </c>
      <c r="B204" t="str">
        <f>IF(Sheet1!C204&lt;&gt;"",Sheet1!C204,"")</f>
        <v>DILIP KUMAR DAS</v>
      </c>
      <c r="C204" t="str">
        <f>IF(Sheet1!D204&lt;&gt;"",Sheet1!D204,"")</f>
        <v>NISCHINTAPUR PRIMARY SCHOOL</v>
      </c>
      <c r="D204" t="str">
        <f>IF(Sheet1!E204&lt;&gt;"",Sheet1!E204,"")</f>
        <v>WBTPTA</v>
      </c>
      <c r="E204">
        <f>IF(Sheet1!DY204&lt;&gt;"",Sheet1!DY204,"")</f>
        <v>712284</v>
      </c>
      <c r="F204">
        <f>IF(Sheet1!EQ204&lt;&gt;"",Sheet1!EQ204,"")</f>
        <v>60000</v>
      </c>
      <c r="G204">
        <f>IF(Sheet1!EZ204&lt;&gt;"",Sheet1!EZ204,"")</f>
        <v>0</v>
      </c>
      <c r="H204">
        <f>IF(Sheet1!FA204&lt;&gt;"",Sheet1!FA204,"")</f>
        <v>599884</v>
      </c>
      <c r="I204">
        <f>IF(Sheet1!FI204&lt;&gt;"",Sheet1!FI204,"")</f>
        <v>33776</v>
      </c>
      <c r="J204">
        <f ca="1">IF(Sheet1!GI204&lt;&gt;"",Sheet1!GI204,"")</f>
        <v>0</v>
      </c>
    </row>
    <row r="205" spans="1:10" x14ac:dyDescent="0.25">
      <c r="A205" t="str">
        <f>IF(Sheet1!B205&lt;&gt;"",Sheet1!B205,"")</f>
        <v>teachers294</v>
      </c>
      <c r="B205" t="str">
        <f>IF(Sheet1!C205&lt;&gt;"",Sheet1!C205,"")</f>
        <v>MAUMITA CHAKRABORTY</v>
      </c>
      <c r="C205" t="str">
        <f>IF(Sheet1!D205&lt;&gt;"",Sheet1!D205,"")</f>
        <v>NISCHINTAPUR PRIMARY SCHOOL</v>
      </c>
      <c r="D205" t="str">
        <f>IF(Sheet1!E205&lt;&gt;"",Sheet1!E205,"")</f>
        <v>WBTPTA</v>
      </c>
      <c r="E205">
        <f>IF(Sheet1!DY205&lt;&gt;"",Sheet1!DY205,"")</f>
        <v>512180</v>
      </c>
      <c r="F205">
        <f>IF(Sheet1!EQ205&lt;&gt;"",Sheet1!EQ205,"")</f>
        <v>36000</v>
      </c>
      <c r="G205">
        <f>IF(Sheet1!EZ205&lt;&gt;"",Sheet1!EZ205,"")</f>
        <v>0</v>
      </c>
      <c r="H205">
        <f>IF(Sheet1!FA205&lt;&gt;"",Sheet1!FA205,"")</f>
        <v>423780</v>
      </c>
      <c r="I205">
        <f>IF(Sheet1!FI205&lt;&gt;"",Sheet1!FI205,"")</f>
        <v>0</v>
      </c>
      <c r="J205">
        <f ca="1">IF(Sheet1!GI205&lt;&gt;"",Sheet1!GI205,"")</f>
        <v>0</v>
      </c>
    </row>
    <row r="206" spans="1:10" x14ac:dyDescent="0.25">
      <c r="A206" t="str">
        <f>IF(Sheet1!B206&lt;&gt;"",Sheet1!B206,"")</f>
        <v>teachers295</v>
      </c>
      <c r="B206" t="str">
        <f>IF(Sheet1!C206&lt;&gt;"",Sheet1!C206,"")</f>
        <v>KAJARI BISWAS</v>
      </c>
      <c r="C206" t="str">
        <f>IF(Sheet1!D206&lt;&gt;"",Sheet1!D206,"")</f>
        <v>NISCHINTAPUR PRIMARY SCHOOL</v>
      </c>
      <c r="D206" t="str">
        <f>IF(Sheet1!E206&lt;&gt;"",Sheet1!E206,"")</f>
        <v>WBTPTA</v>
      </c>
      <c r="E206">
        <f>IF(Sheet1!DY206&lt;&gt;"",Sheet1!DY206,"")</f>
        <v>484028</v>
      </c>
      <c r="F206">
        <f>IF(Sheet1!EQ206&lt;&gt;"",Sheet1!EQ206,"")</f>
        <v>24000</v>
      </c>
      <c r="G206">
        <f>IF(Sheet1!EZ206&lt;&gt;"",Sheet1!EZ206,"")</f>
        <v>0</v>
      </c>
      <c r="H206">
        <f>IF(Sheet1!FA206&lt;&gt;"",Sheet1!FA206,"")</f>
        <v>407828</v>
      </c>
      <c r="I206">
        <f>IF(Sheet1!FI206&lt;&gt;"",Sheet1!FI206,"")</f>
        <v>0</v>
      </c>
      <c r="J206">
        <f ca="1">IF(Sheet1!GI206&lt;&gt;"",Sheet1!GI206,"")</f>
        <v>0</v>
      </c>
    </row>
    <row r="207" spans="1:10" x14ac:dyDescent="0.25">
      <c r="A207" t="str">
        <f>IF(Sheet1!B207&lt;&gt;"",Sheet1!B207,"")</f>
        <v>teachers296</v>
      </c>
      <c r="B207" t="str">
        <f>IF(Sheet1!C207&lt;&gt;"",Sheet1!C207,"")</f>
        <v>PALASH KUMAR DALUI</v>
      </c>
      <c r="C207" t="str">
        <f>IF(Sheet1!D207&lt;&gt;"",Sheet1!D207,"")</f>
        <v>NOWPARA GAZIPUR PRIMARY SCHOOL</v>
      </c>
      <c r="D207" t="str">
        <f>IF(Sheet1!E207&lt;&gt;"",Sheet1!E207,"")</f>
        <v>WBPTA</v>
      </c>
      <c r="E207">
        <f>IF(Sheet1!DY207&lt;&gt;"",Sheet1!DY207,"")</f>
        <v>717084</v>
      </c>
      <c r="F207">
        <f>IF(Sheet1!EQ207&lt;&gt;"",Sheet1!EQ207,"")</f>
        <v>36000</v>
      </c>
      <c r="G207">
        <f>IF(Sheet1!EZ207&lt;&gt;"",Sheet1!EZ207,"")</f>
        <v>0</v>
      </c>
      <c r="H207">
        <f>IF(Sheet1!FA207&lt;&gt;"",Sheet1!FA207,"")</f>
        <v>628684</v>
      </c>
      <c r="I207">
        <f>IF(Sheet1!FI207&lt;&gt;"",Sheet1!FI207,"")</f>
        <v>39766</v>
      </c>
      <c r="J207">
        <f ca="1">IF(Sheet1!GI207&lt;&gt;"",Sheet1!GI207,"")</f>
        <v>0</v>
      </c>
    </row>
    <row r="208" spans="1:10" x14ac:dyDescent="0.25">
      <c r="A208" t="str">
        <f>IF(Sheet1!B208&lt;&gt;"",Sheet1!B208,"")</f>
        <v>teachers297</v>
      </c>
      <c r="B208" t="str">
        <f>IF(Sheet1!C208&lt;&gt;"",Sheet1!C208,"")</f>
        <v>DILIP DALUI</v>
      </c>
      <c r="C208" t="str">
        <f>IF(Sheet1!D208&lt;&gt;"",Sheet1!D208,"")</f>
        <v>NOWPARA GAZIPUR PRIMARY SCHOOL</v>
      </c>
      <c r="D208" t="str">
        <f>IF(Sheet1!E208&lt;&gt;"",Sheet1!E208,"")</f>
        <v>WBTPTA</v>
      </c>
      <c r="E208">
        <f>IF(Sheet1!DY208&lt;&gt;"",Sheet1!DY208,"")</f>
        <v>712284</v>
      </c>
      <c r="F208">
        <f>IF(Sheet1!EQ208&lt;&gt;"",Sheet1!EQ208,"")</f>
        <v>36000</v>
      </c>
      <c r="G208">
        <f>IF(Sheet1!EZ208&lt;&gt;"",Sheet1!EZ208,"")</f>
        <v>0</v>
      </c>
      <c r="H208">
        <f>IF(Sheet1!FA208&lt;&gt;"",Sheet1!FA208,"")</f>
        <v>623884</v>
      </c>
      <c r="I208">
        <f>IF(Sheet1!FI208&lt;&gt;"",Sheet1!FI208,"")</f>
        <v>38768</v>
      </c>
      <c r="J208">
        <f ca="1">IF(Sheet1!GI208&lt;&gt;"",Sheet1!GI208,"")</f>
        <v>0</v>
      </c>
    </row>
    <row r="209" spans="1:10" x14ac:dyDescent="0.25">
      <c r="A209" t="str">
        <f>IF(Sheet1!B209&lt;&gt;"",Sheet1!B209,"")</f>
        <v>teachers298</v>
      </c>
      <c r="B209" t="str">
        <f>IF(Sheet1!C209&lt;&gt;"",Sheet1!C209,"")</f>
        <v>SANTI SARKAR</v>
      </c>
      <c r="C209" t="str">
        <f>IF(Sheet1!D209&lt;&gt;"",Sheet1!D209,"")</f>
        <v>NOWPARA GAZIPUR PRIMARY SCHOOL</v>
      </c>
      <c r="D209" t="str">
        <f>IF(Sheet1!E209&lt;&gt;"",Sheet1!E209,"")</f>
        <v>WBTPTA</v>
      </c>
      <c r="E209">
        <f>IF(Sheet1!DY209&lt;&gt;"",Sheet1!DY209,"")</f>
        <v>484028</v>
      </c>
      <c r="F209">
        <f>IF(Sheet1!EQ209&lt;&gt;"",Sheet1!EQ209,"")</f>
        <v>24000</v>
      </c>
      <c r="G209">
        <f>IF(Sheet1!EZ209&lt;&gt;"",Sheet1!EZ209,"")</f>
        <v>0</v>
      </c>
      <c r="H209">
        <f>IF(Sheet1!FA209&lt;&gt;"",Sheet1!FA209,"")</f>
        <v>407828</v>
      </c>
      <c r="I209">
        <f>IF(Sheet1!FI209&lt;&gt;"",Sheet1!FI209,"")</f>
        <v>0</v>
      </c>
      <c r="J209">
        <f ca="1">IF(Sheet1!GI209&lt;&gt;"",Sheet1!GI209,"")</f>
        <v>0</v>
      </c>
    </row>
    <row r="210" spans="1:10" x14ac:dyDescent="0.25">
      <c r="A210" t="str">
        <f>IF(Sheet1!B210&lt;&gt;"",Sheet1!B210,"")</f>
        <v>teachers299</v>
      </c>
      <c r="B210" t="str">
        <f>IF(Sheet1!C210&lt;&gt;"",Sheet1!C210,"")</f>
        <v>SUBIR MANNA</v>
      </c>
      <c r="C210" t="str">
        <f>IF(Sheet1!D210&lt;&gt;"",Sheet1!D210,"")</f>
        <v>NOWPARA JUNIOR BASIC SCHOOL</v>
      </c>
      <c r="D210" t="str">
        <f>IF(Sheet1!E210&lt;&gt;"",Sheet1!E210,"")</f>
        <v>ABPTA</v>
      </c>
      <c r="E210">
        <f>IF(Sheet1!DY210&lt;&gt;"",Sheet1!DY210,"")</f>
        <v>738196</v>
      </c>
      <c r="F210">
        <f>IF(Sheet1!EQ210&lt;&gt;"",Sheet1!EQ210,"")</f>
        <v>48720</v>
      </c>
      <c r="G210">
        <f>IF(Sheet1!EZ210&lt;&gt;"",Sheet1!EZ210,"")</f>
        <v>0</v>
      </c>
      <c r="H210">
        <f>IF(Sheet1!FA210&lt;&gt;"",Sheet1!FA210,"")</f>
        <v>637076</v>
      </c>
      <c r="I210">
        <f>IF(Sheet1!FI210&lt;&gt;"",Sheet1!FI210,"")</f>
        <v>41512</v>
      </c>
      <c r="J210">
        <f ca="1">IF(Sheet1!GI210&lt;&gt;"",Sheet1!GI210,"")</f>
        <v>0</v>
      </c>
    </row>
    <row r="211" spans="1:10" x14ac:dyDescent="0.25">
      <c r="A211" t="str">
        <f>IF(Sheet1!B211&lt;&gt;"",Sheet1!B211,"")</f>
        <v>teachers300</v>
      </c>
      <c r="B211" t="str">
        <f>IF(Sheet1!C211&lt;&gt;"",Sheet1!C211,"")</f>
        <v>PROSENJIT PARAL</v>
      </c>
      <c r="C211" t="str">
        <f>IF(Sheet1!D211&lt;&gt;"",Sheet1!D211,"")</f>
        <v>NOWPARA JUNIOR BASIC SCHOOL</v>
      </c>
      <c r="D211" t="str">
        <f>IF(Sheet1!E211&lt;&gt;"",Sheet1!E211,"")</f>
        <v>WBTPTA</v>
      </c>
      <c r="E211">
        <f>IF(Sheet1!DY211&lt;&gt;"",Sheet1!DY211,"")</f>
        <v>515837</v>
      </c>
      <c r="F211">
        <f>IF(Sheet1!EQ211&lt;&gt;"",Sheet1!EQ211,"")</f>
        <v>28000</v>
      </c>
      <c r="G211">
        <f>IF(Sheet1!EZ211&lt;&gt;"",Sheet1!EZ211,"")</f>
        <v>0</v>
      </c>
      <c r="H211">
        <f>IF(Sheet1!FA211&lt;&gt;"",Sheet1!FA211,"")</f>
        <v>435437</v>
      </c>
      <c r="I211">
        <f>IF(Sheet1!FI211&lt;&gt;"",Sheet1!FI211,"")</f>
        <v>0</v>
      </c>
      <c r="J211">
        <f ca="1">IF(Sheet1!GI211&lt;&gt;"",Sheet1!GI211,"")</f>
        <v>0</v>
      </c>
    </row>
    <row r="212" spans="1:10" x14ac:dyDescent="0.25">
      <c r="A212" t="str">
        <f>IF(Sheet1!B212&lt;&gt;"",Sheet1!B212,"")</f>
        <v>teachers301</v>
      </c>
      <c r="B212" t="str">
        <f>IF(Sheet1!C212&lt;&gt;"",Sheet1!C212,"")</f>
        <v>BIPLAB GHOSH</v>
      </c>
      <c r="C212" t="str">
        <f>IF(Sheet1!D212&lt;&gt;"",Sheet1!D212,"")</f>
        <v>NOWPARA JUNIOR BASIC SCHOOL</v>
      </c>
      <c r="D212" t="str">
        <f>IF(Sheet1!E212&lt;&gt;"",Sheet1!E212,"")</f>
        <v>WBTPTA</v>
      </c>
      <c r="E212">
        <f>IF(Sheet1!DY212&lt;&gt;"",Sheet1!DY212,"")</f>
        <v>515837</v>
      </c>
      <c r="F212">
        <f>IF(Sheet1!EQ212&lt;&gt;"",Sheet1!EQ212,"")</f>
        <v>28000</v>
      </c>
      <c r="G212">
        <f>IF(Sheet1!EZ212&lt;&gt;"",Sheet1!EZ212,"")</f>
        <v>0</v>
      </c>
      <c r="H212">
        <f>IF(Sheet1!FA212&lt;&gt;"",Sheet1!FA212,"")</f>
        <v>435437</v>
      </c>
      <c r="I212">
        <f>IF(Sheet1!FI212&lt;&gt;"",Sheet1!FI212,"")</f>
        <v>0</v>
      </c>
      <c r="J212">
        <f ca="1">IF(Sheet1!GI212&lt;&gt;"",Sheet1!GI212,"")</f>
        <v>0</v>
      </c>
    </row>
    <row r="213" spans="1:10" x14ac:dyDescent="0.25">
      <c r="A213" t="str">
        <f>IF(Sheet1!B213&lt;&gt;"",Sheet1!B213,"")</f>
        <v>teachers302</v>
      </c>
      <c r="B213" t="str">
        <f>IF(Sheet1!C213&lt;&gt;"",Sheet1!C213,"")</f>
        <v>SURAJIT DOLUI</v>
      </c>
      <c r="C213" t="str">
        <f>IF(Sheet1!D213&lt;&gt;"",Sheet1!D213,"")</f>
        <v>NOWPARA JUNIOR BASIC SCHOOL</v>
      </c>
      <c r="D213" t="str">
        <f>IF(Sheet1!E213&lt;&gt;"",Sheet1!E213,"")</f>
        <v>WBTPTA</v>
      </c>
      <c r="E213">
        <f>IF(Sheet1!DY213&lt;&gt;"",Sheet1!DY213,"")</f>
        <v>506180</v>
      </c>
      <c r="F213">
        <f>IF(Sheet1!EQ213&lt;&gt;"",Sheet1!EQ213,"")</f>
        <v>28000</v>
      </c>
      <c r="G213">
        <f>IF(Sheet1!EZ213&lt;&gt;"",Sheet1!EZ213,"")</f>
        <v>0</v>
      </c>
      <c r="H213">
        <f>IF(Sheet1!FA213&lt;&gt;"",Sheet1!FA213,"")</f>
        <v>425880</v>
      </c>
      <c r="I213">
        <f>IF(Sheet1!FI213&lt;&gt;"",Sheet1!FI213,"")</f>
        <v>0</v>
      </c>
      <c r="J213">
        <f ca="1">IF(Sheet1!GI213&lt;&gt;"",Sheet1!GI213,"")</f>
        <v>0</v>
      </c>
    </row>
    <row r="214" spans="1:10" x14ac:dyDescent="0.25">
      <c r="A214" t="str">
        <f>IF(Sheet1!B214&lt;&gt;"",Sheet1!B214,"")</f>
        <v>teachers303</v>
      </c>
      <c r="B214" t="str">
        <f>IF(Sheet1!C214&lt;&gt;"",Sheet1!C214,"")</f>
        <v>SIDDHARTHA MONDAL</v>
      </c>
      <c r="C214" t="str">
        <f>IF(Sheet1!D214&lt;&gt;"",Sheet1!D214,"")</f>
        <v>NOWPARA JUNIOR BASIC SCHOOL</v>
      </c>
      <c r="D214" t="str">
        <f>IF(Sheet1!E214&lt;&gt;"",Sheet1!E214,"")</f>
        <v>WBTPTA</v>
      </c>
      <c r="E214">
        <f>IF(Sheet1!DY214&lt;&gt;"",Sheet1!DY214,"")</f>
        <v>510680</v>
      </c>
      <c r="F214">
        <f>IF(Sheet1!EQ214&lt;&gt;"",Sheet1!EQ214,"")</f>
        <v>48000</v>
      </c>
      <c r="G214">
        <f>IF(Sheet1!EZ214&lt;&gt;"",Sheet1!EZ214,"")</f>
        <v>0</v>
      </c>
      <c r="H214">
        <f>IF(Sheet1!FA214&lt;&gt;"",Sheet1!FA214,"")</f>
        <v>410380</v>
      </c>
      <c r="I214">
        <f>IF(Sheet1!FI214&lt;&gt;"",Sheet1!FI214,"")</f>
        <v>0</v>
      </c>
      <c r="J214">
        <f ca="1">IF(Sheet1!GI214&lt;&gt;"",Sheet1!GI214,"")</f>
        <v>0</v>
      </c>
    </row>
    <row r="215" spans="1:10" x14ac:dyDescent="0.25">
      <c r="A215" t="str">
        <f>IF(Sheet1!B215&lt;&gt;"",Sheet1!B215,"")</f>
        <v>teachers387-8a82d5ab</v>
      </c>
      <c r="B215" t="str">
        <f>IF(Sheet1!C215&lt;&gt;"",Sheet1!C215,"")</f>
        <v>TARUN KUMAR BARUI</v>
      </c>
      <c r="C215" t="str">
        <f>IF(Sheet1!D215&lt;&gt;"",Sheet1!D215,"")</f>
        <v>NOWPARA JUNIOR BASIC SCHOOL</v>
      </c>
      <c r="D215" t="str">
        <f>IF(Sheet1!E215&lt;&gt;"",Sheet1!E215,"")</f>
        <v>WBTPTA</v>
      </c>
      <c r="E215">
        <f>IF(Sheet1!DY215&lt;&gt;"",Sheet1!DY215,"")</f>
        <v>221354</v>
      </c>
      <c r="F215">
        <f>IF(Sheet1!EQ215&lt;&gt;"",Sheet1!EQ215,"")</f>
        <v>0</v>
      </c>
      <c r="G215">
        <f>IF(Sheet1!EZ215&lt;&gt;"",Sheet1!EZ215,"")</f>
        <v>0</v>
      </c>
      <c r="H215">
        <f>IF(Sheet1!FA215&lt;&gt;"",Sheet1!FA215,"")</f>
        <v>170304</v>
      </c>
      <c r="I215">
        <f>IF(Sheet1!FI215&lt;&gt;"",Sheet1!FI215,"")</f>
        <v>0</v>
      </c>
      <c r="J215">
        <f ca="1">IF(Sheet1!GI215&lt;&gt;"",Sheet1!GI215,"")</f>
        <v>0</v>
      </c>
    </row>
    <row r="216" spans="1:10" x14ac:dyDescent="0.25">
      <c r="A216" t="str">
        <f>IF(Sheet1!B216&lt;&gt;"",Sheet1!B216,"")</f>
        <v>teachers304</v>
      </c>
      <c r="B216" t="str">
        <f>IF(Sheet1!C216&lt;&gt;"",Sheet1!C216,"")</f>
        <v>SISIRKANA BERA</v>
      </c>
      <c r="C216" t="str">
        <f>IF(Sheet1!D216&lt;&gt;"",Sheet1!D216,"")</f>
        <v>NUTANGRAM PRIMARY SCHOOL</v>
      </c>
      <c r="D216" t="str">
        <f>IF(Sheet1!E216&lt;&gt;"",Sheet1!E216,"")</f>
        <v>ABPTA</v>
      </c>
      <c r="E216">
        <f>IF(Sheet1!DY216&lt;&gt;"",Sheet1!DY216,"")</f>
        <v>782936</v>
      </c>
      <c r="F216">
        <f>IF(Sheet1!EQ216&lt;&gt;"",Sheet1!EQ216,"")</f>
        <v>120000</v>
      </c>
      <c r="G216">
        <f>IF(Sheet1!EZ216&lt;&gt;"",Sheet1!EZ216,"")</f>
        <v>0</v>
      </c>
      <c r="H216">
        <f>IF(Sheet1!FA216&lt;&gt;"",Sheet1!FA216,"")</f>
        <v>610536</v>
      </c>
      <c r="I216">
        <f>IF(Sheet1!FI216&lt;&gt;"",Sheet1!FI216,"")</f>
        <v>35991</v>
      </c>
      <c r="J216">
        <f ca="1">IF(Sheet1!GI216&lt;&gt;"",Sheet1!GI216,"")</f>
        <v>9058</v>
      </c>
    </row>
    <row r="217" spans="1:10" x14ac:dyDescent="0.25">
      <c r="A217" t="str">
        <f>IF(Sheet1!B217&lt;&gt;"",Sheet1!B217,"")</f>
        <v>teachers305</v>
      </c>
      <c r="B217" t="str">
        <f>IF(Sheet1!C217&lt;&gt;"",Sheet1!C217,"")</f>
        <v>ANUP DAS</v>
      </c>
      <c r="C217" t="str">
        <f>IF(Sheet1!D217&lt;&gt;"",Sheet1!D217,"")</f>
        <v>NUTANGRAM PRIMARY SCHOOL</v>
      </c>
      <c r="D217" t="str">
        <f>IF(Sheet1!E217&lt;&gt;"",Sheet1!E217,"")</f>
        <v>ABPTA</v>
      </c>
      <c r="E217">
        <f>IF(Sheet1!DY217&lt;&gt;"",Sheet1!DY217,"")</f>
        <v>706284</v>
      </c>
      <c r="F217">
        <f>IF(Sheet1!EQ217&lt;&gt;"",Sheet1!EQ217,"")</f>
        <v>36000</v>
      </c>
      <c r="G217">
        <f>IF(Sheet1!EZ217&lt;&gt;"",Sheet1!EZ217,"")</f>
        <v>0</v>
      </c>
      <c r="H217">
        <f>IF(Sheet1!FA217&lt;&gt;"",Sheet1!FA217,"")</f>
        <v>617884</v>
      </c>
      <c r="I217">
        <f>IF(Sheet1!FI217&lt;&gt;"",Sheet1!FI217,"")</f>
        <v>37520</v>
      </c>
      <c r="J217">
        <f ca="1">IF(Sheet1!GI217&lt;&gt;"",Sheet1!GI217,"")</f>
        <v>0</v>
      </c>
    </row>
    <row r="218" spans="1:10" x14ac:dyDescent="0.25">
      <c r="A218" t="str">
        <f>IF(Sheet1!B218&lt;&gt;"",Sheet1!B218,"")</f>
        <v>teachers306</v>
      </c>
      <c r="B218" t="str">
        <f>IF(Sheet1!C218&lt;&gt;"",Sheet1!C218,"")</f>
        <v>KALYANI HAZRA BOR</v>
      </c>
      <c r="C218" t="str">
        <f>IF(Sheet1!D218&lt;&gt;"",Sheet1!D218,"")</f>
        <v>NUTANGRAM PRIMARY SCHOOL</v>
      </c>
      <c r="D218" t="str">
        <f>IF(Sheet1!E218&lt;&gt;"",Sheet1!E218,"")</f>
        <v>ABPTA</v>
      </c>
      <c r="E218">
        <f>IF(Sheet1!DY218&lt;&gt;"",Sheet1!DY218,"")</f>
        <v>749516</v>
      </c>
      <c r="F218">
        <f>IF(Sheet1!EQ218&lt;&gt;"",Sheet1!EQ218,"")</f>
        <v>48720</v>
      </c>
      <c r="G218">
        <f>IF(Sheet1!EZ218&lt;&gt;"",Sheet1!EZ218,"")</f>
        <v>0</v>
      </c>
      <c r="H218">
        <f>IF(Sheet1!FA218&lt;&gt;"",Sheet1!FA218,"")</f>
        <v>648396</v>
      </c>
      <c r="I218">
        <f>IF(Sheet1!FI218&lt;&gt;"",Sheet1!FI218,"")</f>
        <v>43866</v>
      </c>
      <c r="J218">
        <f ca="1">IF(Sheet1!GI218&lt;&gt;"",Sheet1!GI218,"")</f>
        <v>0</v>
      </c>
    </row>
    <row r="219" spans="1:10" x14ac:dyDescent="0.25">
      <c r="A219" t="str">
        <f>IF(Sheet1!B219&lt;&gt;"",Sheet1!B219,"")</f>
        <v>teachers307</v>
      </c>
      <c r="B219" t="str">
        <f>IF(Sheet1!C219&lt;&gt;"",Sheet1!C219,"")</f>
        <v>JHANTU MALLICK</v>
      </c>
      <c r="C219" t="str">
        <f>IF(Sheet1!D219&lt;&gt;"",Sheet1!D219,"")</f>
        <v>NUTANGRAM PRIMARY SCHOOL</v>
      </c>
      <c r="D219" t="str">
        <f>IF(Sheet1!E219&lt;&gt;"",Sheet1!E219,"")</f>
        <v>WBTPTA</v>
      </c>
      <c r="E219">
        <f>IF(Sheet1!DY219&lt;&gt;"",Sheet1!DY219,"")</f>
        <v>506180</v>
      </c>
      <c r="F219">
        <f>IF(Sheet1!EQ219&lt;&gt;"",Sheet1!EQ219,"")</f>
        <v>60000</v>
      </c>
      <c r="G219">
        <f>IF(Sheet1!EZ219&lt;&gt;"",Sheet1!EZ219,"")</f>
        <v>0</v>
      </c>
      <c r="H219">
        <f>IF(Sheet1!FA219&lt;&gt;"",Sheet1!FA219,"")</f>
        <v>393880</v>
      </c>
      <c r="I219">
        <f>IF(Sheet1!FI219&lt;&gt;"",Sheet1!FI219,"")</f>
        <v>0</v>
      </c>
      <c r="J219">
        <f ca="1">IF(Sheet1!GI219&lt;&gt;"",Sheet1!GI219,"")</f>
        <v>0</v>
      </c>
    </row>
    <row r="220" spans="1:10" x14ac:dyDescent="0.25">
      <c r="A220" t="str">
        <f>IF(Sheet1!B220&lt;&gt;"",Sheet1!B220,"")</f>
        <v>teachers308</v>
      </c>
      <c r="B220" t="str">
        <f>IF(Sheet1!C220&lt;&gt;"",Sheet1!C220,"")</f>
        <v>GADADHAR BAR</v>
      </c>
      <c r="C220" t="str">
        <f>IF(Sheet1!D220&lt;&gt;"",Sheet1!D220,"")</f>
        <v>NUTANGRAM PRIMARY SCHOOL</v>
      </c>
      <c r="D220" t="str">
        <f>IF(Sheet1!E220&lt;&gt;"",Sheet1!E220,"")</f>
        <v>WBTPTA</v>
      </c>
      <c r="E220">
        <f>IF(Sheet1!DY220&lt;&gt;"",Sheet1!DY220,"")</f>
        <v>740936</v>
      </c>
      <c r="F220">
        <f>IF(Sheet1!EQ220&lt;&gt;"",Sheet1!EQ220,"")</f>
        <v>120000</v>
      </c>
      <c r="G220">
        <f>IF(Sheet1!EZ220&lt;&gt;"",Sheet1!EZ220,"")</f>
        <v>0</v>
      </c>
      <c r="H220">
        <f>IF(Sheet1!FA220&lt;&gt;"",Sheet1!FA220,"")</f>
        <v>568536</v>
      </c>
      <c r="I220">
        <f>IF(Sheet1!FI220&lt;&gt;"",Sheet1!FI220,"")</f>
        <v>27255</v>
      </c>
      <c r="J220">
        <f ca="1">IF(Sheet1!GI220&lt;&gt;"",Sheet1!GI220,"")</f>
        <v>0</v>
      </c>
    </row>
    <row r="221" spans="1:10" x14ac:dyDescent="0.25">
      <c r="A221" t="str">
        <f>IF(Sheet1!B221&lt;&gt;"",Sheet1!B221,"")</f>
        <v>teachers309</v>
      </c>
      <c r="B221" t="str">
        <f>IF(Sheet1!C221&lt;&gt;"",Sheet1!C221,"")</f>
        <v>SAIKAT MONDAL</v>
      </c>
      <c r="C221" t="str">
        <f>IF(Sheet1!D221&lt;&gt;"",Sheet1!D221,"")</f>
        <v>PAIKBASA PRIMARY SCHOOL</v>
      </c>
      <c r="D221" t="str">
        <f>IF(Sheet1!E221&lt;&gt;"",Sheet1!E221,"")</f>
        <v>WBTPTA</v>
      </c>
      <c r="E221">
        <f>IF(Sheet1!DY221&lt;&gt;"",Sheet1!DY221,"")</f>
        <v>760316</v>
      </c>
      <c r="F221">
        <f>IF(Sheet1!EQ221&lt;&gt;"",Sheet1!EQ221,"")</f>
        <v>60000</v>
      </c>
      <c r="G221">
        <f>IF(Sheet1!EZ221&lt;&gt;"",Sheet1!EZ221,"")</f>
        <v>0</v>
      </c>
      <c r="H221">
        <f>IF(Sheet1!FA221&lt;&gt;"",Sheet1!FA221,"")</f>
        <v>647916</v>
      </c>
      <c r="I221">
        <f>IF(Sheet1!FI221&lt;&gt;"",Sheet1!FI221,"")</f>
        <v>43766</v>
      </c>
      <c r="J221">
        <f ca="1">IF(Sheet1!GI221&lt;&gt;"",Sheet1!GI221,"")</f>
        <v>0</v>
      </c>
    </row>
    <row r="222" spans="1:10" x14ac:dyDescent="0.25">
      <c r="A222" t="str">
        <f>IF(Sheet1!B222&lt;&gt;"",Sheet1!B222,"")</f>
        <v>teachers310</v>
      </c>
      <c r="B222" t="str">
        <f>IF(Sheet1!C222&lt;&gt;"",Sheet1!C222,"")</f>
        <v>PALASH BEJ</v>
      </c>
      <c r="C222" t="str">
        <f>IF(Sheet1!D222&lt;&gt;"",Sheet1!D222,"")</f>
        <v>PAIKBASA PRIMARY SCHOOL</v>
      </c>
      <c r="D222" t="str">
        <f>IF(Sheet1!E222&lt;&gt;"",Sheet1!E222,"")</f>
        <v>WBTPTA</v>
      </c>
      <c r="E222">
        <f>IF(Sheet1!DY222&lt;&gt;"",Sheet1!DY222,"")</f>
        <v>514903</v>
      </c>
      <c r="F222">
        <f>IF(Sheet1!EQ222&lt;&gt;"",Sheet1!EQ222,"")</f>
        <v>60000</v>
      </c>
      <c r="G222">
        <f>IF(Sheet1!EZ222&lt;&gt;"",Sheet1!EZ222,"")</f>
        <v>0</v>
      </c>
      <c r="H222">
        <f>IF(Sheet1!FA222&lt;&gt;"",Sheet1!FA222,"")</f>
        <v>402503</v>
      </c>
      <c r="I222">
        <f>IF(Sheet1!FI222&lt;&gt;"",Sheet1!FI222,"")</f>
        <v>0</v>
      </c>
      <c r="J222">
        <f ca="1">IF(Sheet1!GI222&lt;&gt;"",Sheet1!GI222,"")</f>
        <v>0</v>
      </c>
    </row>
    <row r="223" spans="1:10" x14ac:dyDescent="0.25">
      <c r="A223" t="str">
        <f>IF(Sheet1!B223&lt;&gt;"",Sheet1!B223,"")</f>
        <v>teachers311</v>
      </c>
      <c r="B223" t="str">
        <f>IF(Sheet1!C223&lt;&gt;"",Sheet1!C223,"")</f>
        <v>PALLAB MONDAL</v>
      </c>
      <c r="C223" t="str">
        <f>IF(Sheet1!D223&lt;&gt;"",Sheet1!D223,"")</f>
        <v>PAIKBASA PRIMARY SCHOOL</v>
      </c>
      <c r="D223" t="str">
        <f>IF(Sheet1!E223&lt;&gt;"",Sheet1!E223,"")</f>
        <v>WBTPTA</v>
      </c>
      <c r="E223">
        <f>IF(Sheet1!DY223&lt;&gt;"",Sheet1!DY223,"")</f>
        <v>406054</v>
      </c>
      <c r="F223">
        <f>IF(Sheet1!EQ223&lt;&gt;"",Sheet1!EQ223,"")</f>
        <v>2000</v>
      </c>
      <c r="G223">
        <f>IF(Sheet1!EZ223&lt;&gt;"",Sheet1!EZ223,"")</f>
        <v>0</v>
      </c>
      <c r="H223">
        <f>IF(Sheet1!FA223&lt;&gt;"",Sheet1!FA223,"")</f>
        <v>352404</v>
      </c>
      <c r="I223">
        <f>IF(Sheet1!FI223&lt;&gt;"",Sheet1!FI223,"")</f>
        <v>0</v>
      </c>
      <c r="J223">
        <f ca="1">IF(Sheet1!GI223&lt;&gt;"",Sheet1!GI223,"")</f>
        <v>0</v>
      </c>
    </row>
    <row r="224" spans="1:10" x14ac:dyDescent="0.25">
      <c r="A224" t="str">
        <f>IF(Sheet1!B224&lt;&gt;"",Sheet1!B224,"")</f>
        <v>teachers312</v>
      </c>
      <c r="B224" t="str">
        <f>IF(Sheet1!C224&lt;&gt;"",Sheet1!C224,"")</f>
        <v>AMIYA KUMAR RIT</v>
      </c>
      <c r="C224" t="str">
        <f>IF(Sheet1!D224&lt;&gt;"",Sheet1!D224,"")</f>
        <v>PASCHIM GAZIPUR II PRIMARY SCHOOL</v>
      </c>
      <c r="D224" t="str">
        <f>IF(Sheet1!E224&lt;&gt;"",Sheet1!E224,"")</f>
        <v>WBTPTA</v>
      </c>
      <c r="E224">
        <f>IF(Sheet1!DY224&lt;&gt;"",Sheet1!DY224,"")</f>
        <v>536140</v>
      </c>
      <c r="F224">
        <f>IF(Sheet1!EQ224&lt;&gt;"",Sheet1!EQ224,"")</f>
        <v>60000</v>
      </c>
      <c r="G224">
        <f>IF(Sheet1!EZ224&lt;&gt;"",Sheet1!EZ224,"")</f>
        <v>0</v>
      </c>
      <c r="H224">
        <f>IF(Sheet1!FA224&lt;&gt;"",Sheet1!FA224,"")</f>
        <v>423740</v>
      </c>
      <c r="I224">
        <f>IF(Sheet1!FI224&lt;&gt;"",Sheet1!FI224,"")</f>
        <v>0</v>
      </c>
      <c r="J224">
        <f ca="1">IF(Sheet1!GI224&lt;&gt;"",Sheet1!GI224,"")</f>
        <v>0</v>
      </c>
    </row>
    <row r="225" spans="1:10" x14ac:dyDescent="0.25">
      <c r="A225" t="str">
        <f>IF(Sheet1!B225&lt;&gt;"",Sheet1!B225,"")</f>
        <v>teachers313</v>
      </c>
      <c r="B225" t="str">
        <f>IF(Sheet1!C225&lt;&gt;"",Sheet1!C225,"")</f>
        <v>SUBHANKAR MAITY</v>
      </c>
      <c r="C225" t="str">
        <f>IF(Sheet1!D225&lt;&gt;"",Sheet1!D225,"")</f>
        <v>PASCHIM GAZIPUR II PRIMARY SCHOOL</v>
      </c>
      <c r="D225" t="str">
        <f>IF(Sheet1!E225&lt;&gt;"",Sheet1!E225,"")</f>
        <v>WBTPTA</v>
      </c>
      <c r="E225">
        <f>IF(Sheet1!DY225&lt;&gt;"",Sheet1!DY225,"")</f>
        <v>512180</v>
      </c>
      <c r="F225">
        <f>IF(Sheet1!EQ225&lt;&gt;"",Sheet1!EQ225,"")</f>
        <v>36000</v>
      </c>
      <c r="G225">
        <f>IF(Sheet1!EZ225&lt;&gt;"",Sheet1!EZ225,"")</f>
        <v>0</v>
      </c>
      <c r="H225">
        <f>IF(Sheet1!FA225&lt;&gt;"",Sheet1!FA225,"")</f>
        <v>423780</v>
      </c>
      <c r="I225">
        <f>IF(Sheet1!FI225&lt;&gt;"",Sheet1!FI225,"")</f>
        <v>0</v>
      </c>
      <c r="J225">
        <f ca="1">IF(Sheet1!GI225&lt;&gt;"",Sheet1!GI225,"")</f>
        <v>0</v>
      </c>
    </row>
    <row r="226" spans="1:10" x14ac:dyDescent="0.25">
      <c r="A226" t="str">
        <f>IF(Sheet1!B226&lt;&gt;"",Sheet1!B226,"")</f>
        <v>teachers314</v>
      </c>
      <c r="B226" t="str">
        <f>IF(Sheet1!C226&lt;&gt;"",Sheet1!C226,"")</f>
        <v>PALLABI PURKAIT</v>
      </c>
      <c r="C226" t="str">
        <f>IF(Sheet1!D226&lt;&gt;"",Sheet1!D226,"")</f>
        <v>PASCHIM GAZIPUR II PRIMARY SCHOOL</v>
      </c>
      <c r="D226" t="str">
        <f>IF(Sheet1!E226&lt;&gt;"",Sheet1!E226,"")</f>
        <v>WBTPTA</v>
      </c>
      <c r="E226">
        <f>IF(Sheet1!DY226&lt;&gt;"",Sheet1!DY226,"")</f>
        <v>479528</v>
      </c>
      <c r="F226">
        <f>IF(Sheet1!EQ226&lt;&gt;"",Sheet1!EQ226,"")</f>
        <v>24000</v>
      </c>
      <c r="G226">
        <f>IF(Sheet1!EZ226&lt;&gt;"",Sheet1!EZ226,"")</f>
        <v>0</v>
      </c>
      <c r="H226">
        <f>IF(Sheet1!FA226&lt;&gt;"",Sheet1!FA226,"")</f>
        <v>403528</v>
      </c>
      <c r="I226">
        <f>IF(Sheet1!FI226&lt;&gt;"",Sheet1!FI226,"")</f>
        <v>0</v>
      </c>
      <c r="J226">
        <f ca="1">IF(Sheet1!GI226&lt;&gt;"",Sheet1!GI226,"")</f>
        <v>0</v>
      </c>
    </row>
    <row r="227" spans="1:10" x14ac:dyDescent="0.25">
      <c r="A227" t="str">
        <f>IF(Sheet1!B227&lt;&gt;"",Sheet1!B227,"")</f>
        <v>teachers315</v>
      </c>
      <c r="B227" t="str">
        <f>IF(Sheet1!C227&lt;&gt;"",Sheet1!C227,"")</f>
        <v>MANTU MALICK</v>
      </c>
      <c r="C227" t="str">
        <f>IF(Sheet1!D227&lt;&gt;"",Sheet1!D227,"")</f>
        <v>PASCHIM NOWPARA PRIMARY SCHOOL</v>
      </c>
      <c r="D227" t="str">
        <f>IF(Sheet1!E227&lt;&gt;"",Sheet1!E227,"")</f>
        <v>WBTPTA</v>
      </c>
      <c r="E227">
        <f>IF(Sheet1!DY227&lt;&gt;"",Sheet1!DY227,"")</f>
        <v>520598</v>
      </c>
      <c r="F227">
        <f>IF(Sheet1!EQ227&lt;&gt;"",Sheet1!EQ227,"")</f>
        <v>36000</v>
      </c>
      <c r="G227">
        <f>IF(Sheet1!EZ227&lt;&gt;"",Sheet1!EZ227,"")</f>
        <v>0</v>
      </c>
      <c r="H227">
        <f>IF(Sheet1!FA227&lt;&gt;"",Sheet1!FA227,"")</f>
        <v>432198</v>
      </c>
      <c r="I227">
        <f>IF(Sheet1!FI227&lt;&gt;"",Sheet1!FI227,"")</f>
        <v>0</v>
      </c>
      <c r="J227">
        <f ca="1">IF(Sheet1!GI227&lt;&gt;"",Sheet1!GI227,"")</f>
        <v>0</v>
      </c>
    </row>
    <row r="228" spans="1:10" x14ac:dyDescent="0.25">
      <c r="A228" t="str">
        <f>IF(Sheet1!B228&lt;&gt;"",Sheet1!B228,"")</f>
        <v>teachers316</v>
      </c>
      <c r="B228" t="str">
        <f>IF(Sheet1!C228&lt;&gt;"",Sheet1!C228,"")</f>
        <v>GITA ADHIKARY</v>
      </c>
      <c r="C228" t="str">
        <f>IF(Sheet1!D228&lt;&gt;"",Sheet1!D228,"")</f>
        <v>PASCHIM NOWPARA PRIMARY SCHOOL</v>
      </c>
      <c r="D228" t="str">
        <f>IF(Sheet1!E228&lt;&gt;"",Sheet1!E228,"")</f>
        <v>WBTPTA</v>
      </c>
      <c r="E228">
        <f>IF(Sheet1!DY228&lt;&gt;"",Sheet1!DY228,"")</f>
        <v>525760</v>
      </c>
      <c r="F228">
        <f>IF(Sheet1!EQ228&lt;&gt;"",Sheet1!EQ228,"")</f>
        <v>36000</v>
      </c>
      <c r="G228">
        <f>IF(Sheet1!EZ228&lt;&gt;"",Sheet1!EZ228,"")</f>
        <v>0</v>
      </c>
      <c r="H228">
        <f>IF(Sheet1!FA228&lt;&gt;"",Sheet1!FA228,"")</f>
        <v>437360</v>
      </c>
      <c r="I228">
        <f>IF(Sheet1!FI228&lt;&gt;"",Sheet1!FI228,"")</f>
        <v>0</v>
      </c>
      <c r="J228">
        <f ca="1">IF(Sheet1!GI228&lt;&gt;"",Sheet1!GI228,"")</f>
        <v>0</v>
      </c>
    </row>
    <row r="229" spans="1:10" x14ac:dyDescent="0.25">
      <c r="A229" t="str">
        <f>IF(Sheet1!B229&lt;&gt;"",Sheet1!B229,"")</f>
        <v>teachers317</v>
      </c>
      <c r="B229" t="str">
        <f>IF(Sheet1!C229&lt;&gt;"",Sheet1!C229,"")</f>
        <v>ABHISHEK CHATTERJEE</v>
      </c>
      <c r="C229" t="str">
        <f>IF(Sheet1!D229&lt;&gt;"",Sheet1!D229,"")</f>
        <v>PASCHIM SAURIA PRIMARY SCHOOL</v>
      </c>
      <c r="D229" t="str">
        <f>IF(Sheet1!E229&lt;&gt;"",Sheet1!E229,"")</f>
        <v>WBPTA</v>
      </c>
      <c r="E229">
        <f>IF(Sheet1!DY229&lt;&gt;"",Sheet1!DY229,"")</f>
        <v>518078</v>
      </c>
      <c r="F229">
        <f>IF(Sheet1!EQ229&lt;&gt;"",Sheet1!EQ229,"")</f>
        <v>28000</v>
      </c>
      <c r="G229">
        <f>IF(Sheet1!EZ229&lt;&gt;"",Sheet1!EZ229,"")</f>
        <v>0</v>
      </c>
      <c r="H229">
        <f>IF(Sheet1!FA229&lt;&gt;"",Sheet1!FA229,"")</f>
        <v>437678</v>
      </c>
      <c r="I229">
        <f>IF(Sheet1!FI229&lt;&gt;"",Sheet1!FI229,"")</f>
        <v>0</v>
      </c>
      <c r="J229">
        <f ca="1">IF(Sheet1!GI229&lt;&gt;"",Sheet1!GI229,"")</f>
        <v>0</v>
      </c>
    </row>
    <row r="230" spans="1:10" x14ac:dyDescent="0.25">
      <c r="A230" t="str">
        <f>IF(Sheet1!B230&lt;&gt;"",Sheet1!B230,"")</f>
        <v>teachers318</v>
      </c>
      <c r="B230" t="str">
        <f>IF(Sheet1!C230&lt;&gt;"",Sheet1!C230,"")</f>
        <v>SURAJIT MAJUMDER</v>
      </c>
      <c r="C230" t="str">
        <f>IF(Sheet1!D230&lt;&gt;"",Sheet1!D230,"")</f>
        <v>PASCHIM SAURIA PRIMARY SCHOOL</v>
      </c>
      <c r="D230" t="str">
        <f>IF(Sheet1!E230&lt;&gt;"",Sheet1!E230,"")</f>
        <v>WBTPTA</v>
      </c>
      <c r="E230">
        <f>IF(Sheet1!DY230&lt;&gt;"",Sheet1!DY230,"")</f>
        <v>512180</v>
      </c>
      <c r="F230">
        <f>IF(Sheet1!EQ230&lt;&gt;"",Sheet1!EQ230,"")</f>
        <v>28000</v>
      </c>
      <c r="G230">
        <f>IF(Sheet1!EZ230&lt;&gt;"",Sheet1!EZ230,"")</f>
        <v>0</v>
      </c>
      <c r="H230">
        <f>IF(Sheet1!FA230&lt;&gt;"",Sheet1!FA230,"")</f>
        <v>431780</v>
      </c>
      <c r="I230">
        <f>IF(Sheet1!FI230&lt;&gt;"",Sheet1!FI230,"")</f>
        <v>0</v>
      </c>
      <c r="J230">
        <f ca="1">IF(Sheet1!GI230&lt;&gt;"",Sheet1!GI230,"")</f>
        <v>0</v>
      </c>
    </row>
    <row r="231" spans="1:10" x14ac:dyDescent="0.25">
      <c r="A231" t="str">
        <f>IF(Sheet1!B231&lt;&gt;"",Sheet1!B231,"")</f>
        <v>teachers386-dbc88f20</v>
      </c>
      <c r="B231" t="str">
        <f>IF(Sheet1!C231&lt;&gt;"",Sheet1!C231,"")</f>
        <v>GOPINATH MANNA</v>
      </c>
      <c r="C231" t="str">
        <f>IF(Sheet1!D231&lt;&gt;"",Sheet1!D231,"")</f>
        <v>PASCHIM SAURIA PRIMARY SCHOOL</v>
      </c>
      <c r="D231" t="str">
        <f>IF(Sheet1!E231&lt;&gt;"",Sheet1!E231,"")</f>
        <v>WBTPTA</v>
      </c>
      <c r="E231">
        <f>IF(Sheet1!DY231&lt;&gt;"",Sheet1!DY231,"")</f>
        <v>406054</v>
      </c>
      <c r="F231">
        <f>IF(Sheet1!EQ231&lt;&gt;"",Sheet1!EQ231,"")</f>
        <v>2000</v>
      </c>
      <c r="G231">
        <f>IF(Sheet1!EZ231&lt;&gt;"",Sheet1!EZ231,"")</f>
        <v>0</v>
      </c>
      <c r="H231">
        <f>IF(Sheet1!FA231&lt;&gt;"",Sheet1!FA231,"")</f>
        <v>352404</v>
      </c>
      <c r="I231">
        <f>IF(Sheet1!FI231&lt;&gt;"",Sheet1!FI231,"")</f>
        <v>0</v>
      </c>
      <c r="J231">
        <f ca="1">IF(Sheet1!GI231&lt;&gt;"",Sheet1!GI231,"")</f>
        <v>0</v>
      </c>
    </row>
    <row r="232" spans="1:10" x14ac:dyDescent="0.25">
      <c r="A232" t="str">
        <f>IF(Sheet1!B232&lt;&gt;"",Sheet1!B232,"")</f>
        <v>teachers319</v>
      </c>
      <c r="B232" t="str">
        <f>IF(Sheet1!C232&lt;&gt;"",Sheet1!C232,"")</f>
        <v>BHOLANATH DALUI</v>
      </c>
      <c r="C232" t="str">
        <f>IF(Sheet1!D232&lt;&gt;"",Sheet1!D232,"")</f>
        <v>RANJOYBAR MUZAFFAR AHMED PRIMARY SCHOOL</v>
      </c>
      <c r="D232" t="str">
        <f>IF(Sheet1!E232&lt;&gt;"",Sheet1!E232,"")</f>
        <v>WBTPTA</v>
      </c>
      <c r="E232">
        <f>IF(Sheet1!DY232&lt;&gt;"",Sheet1!DY232,"")</f>
        <v>706284</v>
      </c>
      <c r="F232">
        <f>IF(Sheet1!EQ232&lt;&gt;"",Sheet1!EQ232,"")</f>
        <v>96720</v>
      </c>
      <c r="G232">
        <f>IF(Sheet1!EZ232&lt;&gt;"",Sheet1!EZ232,"")</f>
        <v>0</v>
      </c>
      <c r="H232">
        <f>IF(Sheet1!FA232&lt;&gt;"",Sheet1!FA232,"")</f>
        <v>557164</v>
      </c>
      <c r="I232">
        <f>IF(Sheet1!FI232&lt;&gt;"",Sheet1!FI232,"")</f>
        <v>24890</v>
      </c>
      <c r="J232">
        <f ca="1">IF(Sheet1!GI232&lt;&gt;"",Sheet1!GI232,"")</f>
        <v>0</v>
      </c>
    </row>
    <row r="233" spans="1:10" x14ac:dyDescent="0.25">
      <c r="A233" t="str">
        <f>IF(Sheet1!B233&lt;&gt;"",Sheet1!B233,"")</f>
        <v>teachers320</v>
      </c>
      <c r="B233" t="str">
        <f>IF(Sheet1!C233&lt;&gt;"",Sheet1!C233,"")</f>
        <v>KUNTAL PACHAL</v>
      </c>
      <c r="C233" t="str">
        <f>IF(Sheet1!D233&lt;&gt;"",Sheet1!D233,"")</f>
        <v>RANJOYBAR MUZAFFAR AHMED PRIMARY SCHOOL</v>
      </c>
      <c r="D233" t="str">
        <f>IF(Sheet1!E233&lt;&gt;"",Sheet1!E233,"")</f>
        <v>WBTPTA</v>
      </c>
      <c r="E233">
        <f>IF(Sheet1!DY233&lt;&gt;"",Sheet1!DY233,"")</f>
        <v>522260</v>
      </c>
      <c r="F233">
        <f>IF(Sheet1!EQ233&lt;&gt;"",Sheet1!EQ233,"")</f>
        <v>28000</v>
      </c>
      <c r="G233">
        <f>IF(Sheet1!EZ233&lt;&gt;"",Sheet1!EZ233,"")</f>
        <v>0</v>
      </c>
      <c r="H233">
        <f>IF(Sheet1!FA233&lt;&gt;"",Sheet1!FA233,"")</f>
        <v>441860</v>
      </c>
      <c r="I233">
        <f>IF(Sheet1!FI233&lt;&gt;"",Sheet1!FI233,"")</f>
        <v>0</v>
      </c>
      <c r="J233">
        <f ca="1">IF(Sheet1!GI233&lt;&gt;"",Sheet1!GI233,"")</f>
        <v>0</v>
      </c>
    </row>
    <row r="234" spans="1:10" x14ac:dyDescent="0.25">
      <c r="A234" t="str">
        <f>IF(Sheet1!B234&lt;&gt;"",Sheet1!B234,"")</f>
        <v>teachers321</v>
      </c>
      <c r="B234" t="str">
        <f>IF(Sheet1!C234&lt;&gt;"",Sheet1!C234,"")</f>
        <v>MD RAFIQUL ALAM</v>
      </c>
      <c r="C234" t="str">
        <f>IF(Sheet1!D234&lt;&gt;"",Sheet1!D234,"")</f>
        <v>RANJOYBAR MUZAFFAR AHMED PRIMARY SCHOOL</v>
      </c>
      <c r="D234" t="str">
        <f>IF(Sheet1!E234&lt;&gt;"",Sheet1!E234,"")</f>
        <v>WBTPTA</v>
      </c>
      <c r="E234">
        <f>IF(Sheet1!DY234&lt;&gt;"",Sheet1!DY234,"")</f>
        <v>406054</v>
      </c>
      <c r="F234">
        <f>IF(Sheet1!EQ234&lt;&gt;"",Sheet1!EQ234,"")</f>
        <v>0</v>
      </c>
      <c r="G234">
        <f>IF(Sheet1!EZ234&lt;&gt;"",Sheet1!EZ234,"")</f>
        <v>0</v>
      </c>
      <c r="H234">
        <f>IF(Sheet1!FA234&lt;&gt;"",Sheet1!FA234,"")</f>
        <v>354404</v>
      </c>
      <c r="I234">
        <f>IF(Sheet1!FI234&lt;&gt;"",Sheet1!FI234,"")</f>
        <v>0</v>
      </c>
      <c r="J234">
        <f ca="1">IF(Sheet1!GI234&lt;&gt;"",Sheet1!GI234,"")</f>
        <v>0</v>
      </c>
    </row>
    <row r="235" spans="1:10" x14ac:dyDescent="0.25">
      <c r="A235" t="str">
        <f>IF(Sheet1!B235&lt;&gt;"",Sheet1!B235,"")</f>
        <v>teachers322</v>
      </c>
      <c r="B235" t="str">
        <f>IF(Sheet1!C235&lt;&gt;"",Sheet1!C235,"")</f>
        <v>ARATI PATRA</v>
      </c>
      <c r="C235" t="str">
        <f>IF(Sheet1!D235&lt;&gt;"",Sheet1!D235,"")</f>
        <v>RANJOYBAR PRIMARY SCHOOL</v>
      </c>
      <c r="D235" t="str">
        <f>IF(Sheet1!E235&lt;&gt;"",Sheet1!E235,"")</f>
        <v>WBTPTA</v>
      </c>
      <c r="E235">
        <f>IF(Sheet1!DY235&lt;&gt;"",Sheet1!DY235,"")</f>
        <v>738196</v>
      </c>
      <c r="F235">
        <f>IF(Sheet1!EQ235&lt;&gt;"",Sheet1!EQ235,"")</f>
        <v>72000</v>
      </c>
      <c r="G235">
        <f>IF(Sheet1!EZ235&lt;&gt;"",Sheet1!EZ235,"")</f>
        <v>0</v>
      </c>
      <c r="H235">
        <f>IF(Sheet1!FA235&lt;&gt;"",Sheet1!FA235,"")</f>
        <v>613796</v>
      </c>
      <c r="I235">
        <f>IF(Sheet1!FI235&lt;&gt;"",Sheet1!FI235,"")</f>
        <v>36669</v>
      </c>
      <c r="J235">
        <f ca="1">IF(Sheet1!GI235&lt;&gt;"",Sheet1!GI235,"")</f>
        <v>0</v>
      </c>
    </row>
    <row r="236" spans="1:10" x14ac:dyDescent="0.25">
      <c r="A236" t="str">
        <f>IF(Sheet1!B236&lt;&gt;"",Sheet1!B236,"")</f>
        <v>teachers323</v>
      </c>
      <c r="B236" t="str">
        <f>IF(Sheet1!C236&lt;&gt;"",Sheet1!C236,"")</f>
        <v>BALARAM PAL</v>
      </c>
      <c r="C236" t="str">
        <f>IF(Sheet1!D236&lt;&gt;"",Sheet1!D236,"")</f>
        <v>RANJOYBAR PRIMARY SCHOOL</v>
      </c>
      <c r="D236" t="str">
        <f>IF(Sheet1!E236&lt;&gt;"",Sheet1!E236,"")</f>
        <v>WBTPTA</v>
      </c>
      <c r="E236">
        <f>IF(Sheet1!DY236&lt;&gt;"",Sheet1!DY236,"")</f>
        <v>706284</v>
      </c>
      <c r="F236">
        <f>IF(Sheet1!EQ236&lt;&gt;"",Sheet1!EQ236,"")</f>
        <v>72000</v>
      </c>
      <c r="G236">
        <f>IF(Sheet1!EZ236&lt;&gt;"",Sheet1!EZ236,"")</f>
        <v>0</v>
      </c>
      <c r="H236">
        <f>IF(Sheet1!FA236&lt;&gt;"",Sheet1!FA236,"")</f>
        <v>581884</v>
      </c>
      <c r="I236">
        <f>IF(Sheet1!FI236&lt;&gt;"",Sheet1!FI236,"")</f>
        <v>30032</v>
      </c>
      <c r="J236">
        <f ca="1">IF(Sheet1!GI236&lt;&gt;"",Sheet1!GI236,"")</f>
        <v>0</v>
      </c>
    </row>
    <row r="237" spans="1:10" x14ac:dyDescent="0.25">
      <c r="A237" t="str">
        <f>IF(Sheet1!B237&lt;&gt;"",Sheet1!B237,"")</f>
        <v>teachers324</v>
      </c>
      <c r="B237" t="str">
        <f>IF(Sheet1!C237&lt;&gt;"",Sheet1!C237,"")</f>
        <v>DEBASHIS MAJI</v>
      </c>
      <c r="C237" t="str">
        <f>IF(Sheet1!D237&lt;&gt;"",Sheet1!D237,"")</f>
        <v>RANJOYBAR PRIMARY SCHOOL</v>
      </c>
      <c r="D237" t="str">
        <f>IF(Sheet1!E237&lt;&gt;"",Sheet1!E237,"")</f>
        <v>WBTPTA</v>
      </c>
      <c r="E237">
        <f>IF(Sheet1!DY237&lt;&gt;"",Sheet1!DY237,"")</f>
        <v>512180</v>
      </c>
      <c r="F237">
        <f>IF(Sheet1!EQ237&lt;&gt;"",Sheet1!EQ237,"")</f>
        <v>28000</v>
      </c>
      <c r="G237">
        <f>IF(Sheet1!EZ237&lt;&gt;"",Sheet1!EZ237,"")</f>
        <v>0</v>
      </c>
      <c r="H237">
        <f>IF(Sheet1!FA237&lt;&gt;"",Sheet1!FA237,"")</f>
        <v>431780</v>
      </c>
      <c r="I237">
        <f>IF(Sheet1!FI237&lt;&gt;"",Sheet1!FI237,"")</f>
        <v>0</v>
      </c>
      <c r="J237">
        <f ca="1">IF(Sheet1!GI237&lt;&gt;"",Sheet1!GI237,"")</f>
        <v>0</v>
      </c>
    </row>
    <row r="238" spans="1:10" x14ac:dyDescent="0.25">
      <c r="A238" t="str">
        <f>IF(Sheet1!B238&lt;&gt;"",Sheet1!B238,"")</f>
        <v>teachers325</v>
      </c>
      <c r="B238" t="str">
        <f>IF(Sheet1!C238&lt;&gt;"",Sheet1!C238,"")</f>
        <v>NUR HOSSAIN MALLICK</v>
      </c>
      <c r="C238" t="str">
        <f>IF(Sheet1!D238&lt;&gt;"",Sheet1!D238,"")</f>
        <v>RANJOYBAR PRIMARY SCHOOL</v>
      </c>
      <c r="D238" t="str">
        <f>IF(Sheet1!E238&lt;&gt;"",Sheet1!E238,"")</f>
        <v>WBTPTA</v>
      </c>
      <c r="E238">
        <f>IF(Sheet1!DY238&lt;&gt;"",Sheet1!DY238,"")</f>
        <v>512180</v>
      </c>
      <c r="F238">
        <f>IF(Sheet1!EQ238&lt;&gt;"",Sheet1!EQ238,"")</f>
        <v>28000</v>
      </c>
      <c r="G238">
        <f>IF(Sheet1!EZ238&lt;&gt;"",Sheet1!EZ238,"")</f>
        <v>0</v>
      </c>
      <c r="H238">
        <f>IF(Sheet1!FA238&lt;&gt;"",Sheet1!FA238,"")</f>
        <v>431780</v>
      </c>
      <c r="I238">
        <f>IF(Sheet1!FI238&lt;&gt;"",Sheet1!FI238,"")</f>
        <v>0</v>
      </c>
      <c r="J238">
        <f ca="1">IF(Sheet1!GI238&lt;&gt;"",Sheet1!GI238,"")</f>
        <v>0</v>
      </c>
    </row>
    <row r="239" spans="1:10" x14ac:dyDescent="0.25">
      <c r="A239" t="str">
        <f>IF(Sheet1!B239&lt;&gt;"",Sheet1!B239,"")</f>
        <v>teachers326</v>
      </c>
      <c r="B239" t="str">
        <f>IF(Sheet1!C239&lt;&gt;"",Sheet1!C239,"")</f>
        <v>SATINDRA NATH BERA</v>
      </c>
      <c r="C239" t="str">
        <f>IF(Sheet1!D239&lt;&gt;"",Sheet1!D239,"")</f>
        <v>RANJOYBAR PRIMARY SCHOOL</v>
      </c>
      <c r="D239" t="str">
        <f>IF(Sheet1!E239&lt;&gt;"",Sheet1!E239,"")</f>
        <v>WBTPTA</v>
      </c>
      <c r="E239">
        <f>IF(Sheet1!DY239&lt;&gt;"",Sheet1!DY239,"")</f>
        <v>575016</v>
      </c>
      <c r="F239">
        <f>IF(Sheet1!EQ239&lt;&gt;"",Sheet1!EQ239,"")</f>
        <v>36000</v>
      </c>
      <c r="G239">
        <f>IF(Sheet1!EZ239&lt;&gt;"",Sheet1!EZ239,"")</f>
        <v>0</v>
      </c>
      <c r="H239">
        <f>IF(Sheet1!FA239&lt;&gt;"",Sheet1!FA239,"")</f>
        <v>486616</v>
      </c>
      <c r="I239">
        <f>IF(Sheet1!FI239&lt;&gt;"",Sheet1!FI239,"")</f>
        <v>0</v>
      </c>
      <c r="J239">
        <f ca="1">IF(Sheet1!GI239&lt;&gt;"",Sheet1!GI239,"")</f>
        <v>0</v>
      </c>
    </row>
    <row r="240" spans="1:10" x14ac:dyDescent="0.25">
      <c r="A240" t="str">
        <f>IF(Sheet1!B240&lt;&gt;"",Sheet1!B240,"")</f>
        <v>teachers327</v>
      </c>
      <c r="B240" t="str">
        <f>IF(Sheet1!C240&lt;&gt;"",Sheet1!C240,"")</f>
        <v>PRANAB KUMAR POREY</v>
      </c>
      <c r="C240" t="str">
        <f>IF(Sheet1!D240&lt;&gt;"",Sheet1!D240,"")</f>
        <v>RAUTARA PRIMARY SCHOOL</v>
      </c>
      <c r="D240" t="str">
        <f>IF(Sheet1!E240&lt;&gt;"",Sheet1!E240,"")</f>
        <v>WBTPTA</v>
      </c>
      <c r="E240">
        <f>IF(Sheet1!DY240&lt;&gt;"",Sheet1!DY240,"")</f>
        <v>832232</v>
      </c>
      <c r="F240">
        <f>IF(Sheet1!EQ240&lt;&gt;"",Sheet1!EQ240,"")</f>
        <v>42000</v>
      </c>
      <c r="G240">
        <f>IF(Sheet1!EZ240&lt;&gt;"",Sheet1!EZ240,"")</f>
        <v>0</v>
      </c>
      <c r="H240">
        <f>IF(Sheet1!FA240&lt;&gt;"",Sheet1!FA240,"")</f>
        <v>737832</v>
      </c>
      <c r="I240">
        <f>IF(Sheet1!FI240&lt;&gt;"",Sheet1!FI240,"")</f>
        <v>62469</v>
      </c>
      <c r="J240">
        <f ca="1">IF(Sheet1!GI240&lt;&gt;"",Sheet1!GI240,"")</f>
        <v>26818</v>
      </c>
    </row>
    <row r="241" spans="1:10" x14ac:dyDescent="0.25">
      <c r="A241" t="str">
        <f>IF(Sheet1!B241&lt;&gt;"",Sheet1!B241,"")</f>
        <v>teachers328</v>
      </c>
      <c r="B241" t="str">
        <f>IF(Sheet1!C241&lt;&gt;"",Sheet1!C241,"")</f>
        <v>SUMANA BHANDARI</v>
      </c>
      <c r="C241" t="str">
        <f>IF(Sheet1!D241&lt;&gt;"",Sheet1!D241,"")</f>
        <v>RAUTARA PRIMARY SCHOOL</v>
      </c>
      <c r="D241" t="str">
        <f>IF(Sheet1!E241&lt;&gt;"",Sheet1!E241,"")</f>
        <v>WBTPTA</v>
      </c>
      <c r="E241">
        <f>IF(Sheet1!DY241&lt;&gt;"",Sheet1!DY241,"")</f>
        <v>456884</v>
      </c>
      <c r="F241">
        <f>IF(Sheet1!EQ241&lt;&gt;"",Sheet1!EQ241,"")</f>
        <v>16000</v>
      </c>
      <c r="G241">
        <f>IF(Sheet1!EZ241&lt;&gt;"",Sheet1!EZ241,"")</f>
        <v>0</v>
      </c>
      <c r="H241">
        <f>IF(Sheet1!FA241&lt;&gt;"",Sheet1!FA241,"")</f>
        <v>389084</v>
      </c>
      <c r="I241">
        <f>IF(Sheet1!FI241&lt;&gt;"",Sheet1!FI241,"")</f>
        <v>0</v>
      </c>
      <c r="J241">
        <f ca="1">IF(Sheet1!GI241&lt;&gt;"",Sheet1!GI241,"")</f>
        <v>0</v>
      </c>
    </row>
    <row r="242" spans="1:10" x14ac:dyDescent="0.25">
      <c r="A242" t="str">
        <f>IF(Sheet1!B242&lt;&gt;"",Sheet1!B242,"")</f>
        <v>teachers329</v>
      </c>
      <c r="B242" t="str">
        <f>IF(Sheet1!C242&lt;&gt;"",Sheet1!C242,"")</f>
        <v>MANASI SHOW</v>
      </c>
      <c r="C242" t="str">
        <f>IF(Sheet1!D242&lt;&gt;"",Sheet1!D242,"")</f>
        <v>RAUTARA PRIMARY SCHOOL</v>
      </c>
      <c r="D242" t="str">
        <f>IF(Sheet1!E242&lt;&gt;"",Sheet1!E242,"")</f>
        <v>WBTPTA</v>
      </c>
      <c r="E242">
        <f>IF(Sheet1!DY242&lt;&gt;"",Sheet1!DY242,"")</f>
        <v>400554</v>
      </c>
      <c r="F242">
        <f>IF(Sheet1!EQ242&lt;&gt;"",Sheet1!EQ242,"")</f>
        <v>2000</v>
      </c>
      <c r="G242">
        <f>IF(Sheet1!EZ242&lt;&gt;"",Sheet1!EZ242,"")</f>
        <v>0</v>
      </c>
      <c r="H242">
        <f>IF(Sheet1!FA242&lt;&gt;"",Sheet1!FA242,"")</f>
        <v>346904</v>
      </c>
      <c r="I242">
        <f>IF(Sheet1!FI242&lt;&gt;"",Sheet1!FI242,"")</f>
        <v>0</v>
      </c>
      <c r="J242">
        <f ca="1">IF(Sheet1!GI242&lt;&gt;"",Sheet1!GI242,"")</f>
        <v>0</v>
      </c>
    </row>
    <row r="243" spans="1:10" x14ac:dyDescent="0.25">
      <c r="A243" t="str">
        <f>IF(Sheet1!B243&lt;&gt;"",Sheet1!B243,"")</f>
        <v>teachers330</v>
      </c>
      <c r="B243" t="str">
        <f>IF(Sheet1!C243&lt;&gt;"",Sheet1!C243,"")</f>
        <v>NARAYAN CHANDRA MANNA</v>
      </c>
      <c r="C243" t="str">
        <f>IF(Sheet1!D243&lt;&gt;"",Sheet1!D243,"")</f>
        <v>RAUTARA PRIMARY SCHOOL</v>
      </c>
      <c r="D243" t="str">
        <f>IF(Sheet1!E243&lt;&gt;"",Sheet1!E243,"")</f>
        <v>WBTPTA</v>
      </c>
      <c r="E243">
        <f>IF(Sheet1!DY243&lt;&gt;"",Sheet1!DY243,"")</f>
        <v>406054</v>
      </c>
      <c r="F243">
        <f>IF(Sheet1!EQ243&lt;&gt;"",Sheet1!EQ243,"")</f>
        <v>2000</v>
      </c>
      <c r="G243">
        <f>IF(Sheet1!EZ243&lt;&gt;"",Sheet1!EZ243,"")</f>
        <v>0</v>
      </c>
      <c r="H243">
        <f>IF(Sheet1!FA243&lt;&gt;"",Sheet1!FA243,"")</f>
        <v>352404</v>
      </c>
      <c r="I243">
        <f>IF(Sheet1!FI243&lt;&gt;"",Sheet1!FI243,"")</f>
        <v>0</v>
      </c>
      <c r="J243">
        <f ca="1">IF(Sheet1!GI243&lt;&gt;"",Sheet1!GI243,"")</f>
        <v>0</v>
      </c>
    </row>
    <row r="244" spans="1:10" x14ac:dyDescent="0.25">
      <c r="A244" t="str">
        <f>IF(Sheet1!B244&lt;&gt;"",Sheet1!B244,"")</f>
        <v>teachers331</v>
      </c>
      <c r="B244" t="str">
        <f>IF(Sheet1!C244&lt;&gt;"",Sheet1!C244,"")</f>
        <v>MITHUN CHAKRABORTY</v>
      </c>
      <c r="C244" t="str">
        <f>IF(Sheet1!D244&lt;&gt;"",Sheet1!D244,"")</f>
        <v>SAHARABERIA PRIMARY SCHOOL</v>
      </c>
      <c r="D244" t="str">
        <f>IF(Sheet1!E244&lt;&gt;"",Sheet1!E244,"")</f>
        <v>WBTPTA</v>
      </c>
      <c r="E244">
        <f>IF(Sheet1!DY244&lt;&gt;"",Sheet1!DY244,"")</f>
        <v>579816</v>
      </c>
      <c r="F244">
        <f>IF(Sheet1!EQ244&lt;&gt;"",Sheet1!EQ244,"")</f>
        <v>36000</v>
      </c>
      <c r="G244">
        <f>IF(Sheet1!EZ244&lt;&gt;"",Sheet1!EZ244,"")</f>
        <v>0</v>
      </c>
      <c r="H244">
        <f>IF(Sheet1!FA244&lt;&gt;"",Sheet1!FA244,"")</f>
        <v>491416</v>
      </c>
      <c r="I244">
        <f>IF(Sheet1!FI244&lt;&gt;"",Sheet1!FI244,"")</f>
        <v>0</v>
      </c>
      <c r="J244">
        <f ca="1">IF(Sheet1!GI244&lt;&gt;"",Sheet1!GI244,"")</f>
        <v>0</v>
      </c>
    </row>
    <row r="245" spans="1:10" x14ac:dyDescent="0.25">
      <c r="A245" t="str">
        <f>IF(Sheet1!B245&lt;&gt;"",Sheet1!B245,"")</f>
        <v>teachers332</v>
      </c>
      <c r="B245" t="str">
        <f>IF(Sheet1!C245&lt;&gt;"",Sheet1!C245,"")</f>
        <v>ARUN KUMAR PAL</v>
      </c>
      <c r="C245" t="str">
        <f>IF(Sheet1!D245&lt;&gt;"",Sheet1!D245,"")</f>
        <v>SAHARABERIA PRIMARY SCHOOL</v>
      </c>
      <c r="D245" t="str">
        <f>IF(Sheet1!E245&lt;&gt;"",Sheet1!E245,"")</f>
        <v>WBTPTA</v>
      </c>
      <c r="E245">
        <f>IF(Sheet1!DY245&lt;&gt;"",Sheet1!DY245,"")</f>
        <v>712284</v>
      </c>
      <c r="F245">
        <f>IF(Sheet1!EQ245&lt;&gt;"",Sheet1!EQ245,"")</f>
        <v>36000</v>
      </c>
      <c r="G245">
        <f>IF(Sheet1!EZ245&lt;&gt;"",Sheet1!EZ245,"")</f>
        <v>0</v>
      </c>
      <c r="H245">
        <f>IF(Sheet1!FA245&lt;&gt;"",Sheet1!FA245,"")</f>
        <v>623884</v>
      </c>
      <c r="I245">
        <f>IF(Sheet1!FI245&lt;&gt;"",Sheet1!FI245,"")</f>
        <v>38768</v>
      </c>
      <c r="J245">
        <f ca="1">IF(Sheet1!GI245&lt;&gt;"",Sheet1!GI245,"")</f>
        <v>0</v>
      </c>
    </row>
    <row r="246" spans="1:10" x14ac:dyDescent="0.25">
      <c r="A246" t="str">
        <f>IF(Sheet1!B246&lt;&gt;"",Sheet1!B246,"")</f>
        <v>teachers333</v>
      </c>
      <c r="B246" t="str">
        <f>IF(Sheet1!C246&lt;&gt;"",Sheet1!C246,"")</f>
        <v>SK SARAFUDDEN</v>
      </c>
      <c r="C246" t="str">
        <f>IF(Sheet1!D246&lt;&gt;"",Sheet1!D246,"")</f>
        <v>SAHARABERIA PRIMARY SCHOOL</v>
      </c>
      <c r="D246" t="str">
        <f>IF(Sheet1!E246&lt;&gt;"",Sheet1!E246,"")</f>
        <v>WBTPTA</v>
      </c>
      <c r="E246">
        <f>IF(Sheet1!DY246&lt;&gt;"",Sheet1!DY246,"")</f>
        <v>512180</v>
      </c>
      <c r="F246">
        <f>IF(Sheet1!EQ246&lt;&gt;"",Sheet1!EQ246,"")</f>
        <v>28000</v>
      </c>
      <c r="G246">
        <f>IF(Sheet1!EZ246&lt;&gt;"",Sheet1!EZ246,"")</f>
        <v>0</v>
      </c>
      <c r="H246">
        <f>IF(Sheet1!FA246&lt;&gt;"",Sheet1!FA246,"")</f>
        <v>431780</v>
      </c>
      <c r="I246">
        <f>IF(Sheet1!FI246&lt;&gt;"",Sheet1!FI246,"")</f>
        <v>0</v>
      </c>
      <c r="J246">
        <f ca="1">IF(Sheet1!GI246&lt;&gt;"",Sheet1!GI246,"")</f>
        <v>0</v>
      </c>
    </row>
    <row r="247" spans="1:10" x14ac:dyDescent="0.25">
      <c r="A247" t="str">
        <f>IF(Sheet1!B247&lt;&gt;"",Sheet1!B247,"")</f>
        <v>teachers334</v>
      </c>
      <c r="B247" t="str">
        <f>IF(Sheet1!C247&lt;&gt;"",Sheet1!C247,"")</f>
        <v>DEBDAS MANNA</v>
      </c>
      <c r="C247" t="str">
        <f>IF(Sheet1!D247&lt;&gt;"",Sheet1!D247,"")</f>
        <v>SAHARABERIA PRIMARY SCHOOL</v>
      </c>
      <c r="D247" t="str">
        <f>IF(Sheet1!E247&lt;&gt;"",Sheet1!E247,"")</f>
        <v>WBTPTA</v>
      </c>
      <c r="E247">
        <f>IF(Sheet1!DY247&lt;&gt;"",Sheet1!DY247,"")</f>
        <v>512180</v>
      </c>
      <c r="F247">
        <f>IF(Sheet1!EQ247&lt;&gt;"",Sheet1!EQ247,"")</f>
        <v>28000</v>
      </c>
      <c r="G247">
        <f>IF(Sheet1!EZ247&lt;&gt;"",Sheet1!EZ247,"")</f>
        <v>0</v>
      </c>
      <c r="H247">
        <f>IF(Sheet1!FA247&lt;&gt;"",Sheet1!FA247,"")</f>
        <v>431780</v>
      </c>
      <c r="I247">
        <f>IF(Sheet1!FI247&lt;&gt;"",Sheet1!FI247,"")</f>
        <v>0</v>
      </c>
      <c r="J247">
        <f ca="1">IF(Sheet1!GI247&lt;&gt;"",Sheet1!GI247,"")</f>
        <v>0</v>
      </c>
    </row>
    <row r="248" spans="1:10" x14ac:dyDescent="0.25">
      <c r="A248" t="str">
        <f>IF(Sheet1!B248&lt;&gt;"",Sheet1!B248,"")</f>
        <v>teachers335</v>
      </c>
      <c r="B248" t="str">
        <f>IF(Sheet1!C248&lt;&gt;"",Sheet1!C248,"")</f>
        <v>SUSANTA CHATTERJEE</v>
      </c>
      <c r="C248" t="str">
        <f>IF(Sheet1!D248&lt;&gt;"",Sheet1!D248,"")</f>
        <v>SAHARABERIA PRIMARY SCHOOL</v>
      </c>
      <c r="D248" t="str">
        <f>IF(Sheet1!E248&lt;&gt;"",Sheet1!E248,"")</f>
        <v>WBTPTA</v>
      </c>
      <c r="E248">
        <f>IF(Sheet1!DY248&lt;&gt;"",Sheet1!DY248,"")</f>
        <v>406054</v>
      </c>
      <c r="F248">
        <f>IF(Sheet1!EQ248&lt;&gt;"",Sheet1!EQ248,"")</f>
        <v>2000</v>
      </c>
      <c r="G248">
        <f>IF(Sheet1!EZ248&lt;&gt;"",Sheet1!EZ248,"")</f>
        <v>0</v>
      </c>
      <c r="H248">
        <f>IF(Sheet1!FA248&lt;&gt;"",Sheet1!FA248,"")</f>
        <v>352404</v>
      </c>
      <c r="I248">
        <f>IF(Sheet1!FI248&lt;&gt;"",Sheet1!FI248,"")</f>
        <v>0</v>
      </c>
      <c r="J248">
        <f ca="1">IF(Sheet1!GI248&lt;&gt;"",Sheet1!GI248,"")</f>
        <v>0</v>
      </c>
    </row>
    <row r="249" spans="1:10" x14ac:dyDescent="0.25">
      <c r="A249" t="str">
        <f>IF(Sheet1!B249&lt;&gt;"",Sheet1!B249,"")</f>
        <v>teachers388-9d83883f</v>
      </c>
      <c r="B249" t="str">
        <f>IF(Sheet1!C249&lt;&gt;"",Sheet1!C249,"")</f>
        <v>AVIJIT KARAR</v>
      </c>
      <c r="C249" t="str">
        <f>IF(Sheet1!D249&lt;&gt;"",Sheet1!D249,"")</f>
        <v>SAHARABERIA SUKANTA PRIMARY SCHOOL</v>
      </c>
      <c r="D249" t="str">
        <f>IF(Sheet1!E249&lt;&gt;"",Sheet1!E249,"")</f>
        <v>WBTPTA</v>
      </c>
      <c r="E249">
        <f>IF(Sheet1!DY249&lt;&gt;"",Sheet1!DY249,"")</f>
        <v>738196</v>
      </c>
      <c r="F249">
        <f>IF(Sheet1!EQ249&lt;&gt;"",Sheet1!EQ249,"")</f>
        <v>36000</v>
      </c>
      <c r="G249">
        <f>IF(Sheet1!EZ249&lt;&gt;"",Sheet1!EZ249,"")</f>
        <v>0</v>
      </c>
      <c r="H249">
        <f>IF(Sheet1!FA249&lt;&gt;"",Sheet1!FA249,"")</f>
        <v>649796</v>
      </c>
      <c r="I249">
        <f>IF(Sheet1!FI249&lt;&gt;"",Sheet1!FI249,"")</f>
        <v>44157</v>
      </c>
      <c r="J249">
        <f ca="1">IF(Sheet1!GI249&lt;&gt;"",Sheet1!GI249,"")</f>
        <v>0</v>
      </c>
    </row>
    <row r="250" spans="1:10" x14ac:dyDescent="0.25">
      <c r="A250" t="str">
        <f>IF(Sheet1!B250&lt;&gt;"",Sheet1!B250,"")</f>
        <v>teachers336</v>
      </c>
      <c r="B250" t="str">
        <f>IF(Sheet1!C250&lt;&gt;"",Sheet1!C250,"")</f>
        <v>SANDIP KARAR</v>
      </c>
      <c r="C250" t="str">
        <f>IF(Sheet1!D250&lt;&gt;"",Sheet1!D250,"")</f>
        <v>SAHARABERIA SUKANTA PRIMARY SCHOOL</v>
      </c>
      <c r="D250" t="str">
        <f>IF(Sheet1!E250&lt;&gt;"",Sheet1!E250,"")</f>
        <v>WBTPTA</v>
      </c>
      <c r="E250">
        <f>IF(Sheet1!DY250&lt;&gt;"",Sheet1!DY250,"")</f>
        <v>522260</v>
      </c>
      <c r="F250">
        <f>IF(Sheet1!EQ250&lt;&gt;"",Sheet1!EQ250,"")</f>
        <v>48000</v>
      </c>
      <c r="G250">
        <f>IF(Sheet1!EZ250&lt;&gt;"",Sheet1!EZ250,"")</f>
        <v>0</v>
      </c>
      <c r="H250">
        <f>IF(Sheet1!FA250&lt;&gt;"",Sheet1!FA250,"")</f>
        <v>421860</v>
      </c>
      <c r="I250">
        <f>IF(Sheet1!FI250&lt;&gt;"",Sheet1!FI250,"")</f>
        <v>0</v>
      </c>
      <c r="J250">
        <f ca="1">IF(Sheet1!GI250&lt;&gt;"",Sheet1!GI250,"")</f>
        <v>0</v>
      </c>
    </row>
    <row r="251" spans="1:10" x14ac:dyDescent="0.25">
      <c r="A251" t="str">
        <f>IF(Sheet1!B251&lt;&gt;"",Sheet1!B251,"")</f>
        <v>teachers337</v>
      </c>
      <c r="B251" t="str">
        <f>IF(Sheet1!C251&lt;&gt;"",Sheet1!C251,"")</f>
        <v>KUNAL PACHAL</v>
      </c>
      <c r="C251" t="str">
        <f>IF(Sheet1!D251&lt;&gt;"",Sheet1!D251,"")</f>
        <v>SAHARABERIA SUKANTA PRIMARY SCHOOL</v>
      </c>
      <c r="D251" t="str">
        <f>IF(Sheet1!E251&lt;&gt;"",Sheet1!E251,"")</f>
        <v>WBTPTA</v>
      </c>
      <c r="E251">
        <f>IF(Sheet1!DY251&lt;&gt;"",Sheet1!DY251,"")</f>
        <v>522260</v>
      </c>
      <c r="F251">
        <f>IF(Sheet1!EQ251&lt;&gt;"",Sheet1!EQ251,"")</f>
        <v>28000</v>
      </c>
      <c r="G251">
        <f>IF(Sheet1!EZ251&lt;&gt;"",Sheet1!EZ251,"")</f>
        <v>0</v>
      </c>
      <c r="H251">
        <f>IF(Sheet1!FA251&lt;&gt;"",Sheet1!FA251,"")</f>
        <v>441860</v>
      </c>
      <c r="I251">
        <f>IF(Sheet1!FI251&lt;&gt;"",Sheet1!FI251,"")</f>
        <v>0</v>
      </c>
      <c r="J251">
        <f ca="1">IF(Sheet1!GI251&lt;&gt;"",Sheet1!GI251,"")</f>
        <v>0</v>
      </c>
    </row>
    <row r="252" spans="1:10" x14ac:dyDescent="0.25">
      <c r="A252" t="str">
        <f>IF(Sheet1!B252&lt;&gt;"",Sheet1!B252,"")</f>
        <v>teachers338</v>
      </c>
      <c r="B252" t="str">
        <f>IF(Sheet1!C252&lt;&gt;"",Sheet1!C252,"")</f>
        <v>ABDUL KARIM</v>
      </c>
      <c r="C252" t="str">
        <f>IF(Sheet1!D252&lt;&gt;"",Sheet1!D252,"")</f>
        <v>SAHARABERIA SUKANTA PRIMARY SCHOOL</v>
      </c>
      <c r="D252" t="str">
        <f>IF(Sheet1!E252&lt;&gt;"",Sheet1!E252,"")</f>
        <v>WBTPTA</v>
      </c>
      <c r="E252">
        <f>IF(Sheet1!DY252&lt;&gt;"",Sheet1!DY252,"")</f>
        <v>406054</v>
      </c>
      <c r="F252">
        <f>IF(Sheet1!EQ252&lt;&gt;"",Sheet1!EQ252,"")</f>
        <v>0</v>
      </c>
      <c r="G252">
        <f>IF(Sheet1!EZ252&lt;&gt;"",Sheet1!EZ252,"")</f>
        <v>0</v>
      </c>
      <c r="H252">
        <f>IF(Sheet1!FA252&lt;&gt;"",Sheet1!FA252,"")</f>
        <v>354404</v>
      </c>
      <c r="I252">
        <f>IF(Sheet1!FI252&lt;&gt;"",Sheet1!FI252,"")</f>
        <v>0</v>
      </c>
      <c r="J252">
        <f ca="1">IF(Sheet1!GI252&lt;&gt;"",Sheet1!GI252,"")</f>
        <v>0</v>
      </c>
    </row>
    <row r="253" spans="1:10" x14ac:dyDescent="0.25">
      <c r="A253" t="str">
        <f>IF(Sheet1!B253&lt;&gt;"",Sheet1!B253,"")</f>
        <v>teachers339</v>
      </c>
      <c r="B253" t="str">
        <f>IF(Sheet1!C253&lt;&gt;"",Sheet1!C253,"")</f>
        <v>TAPAS PATRA</v>
      </c>
      <c r="C253" t="str">
        <f>IF(Sheet1!D253&lt;&gt;"",Sheet1!D253,"")</f>
        <v>SANURIA ORIENTED PRIMARY SCHOOL</v>
      </c>
      <c r="D253" t="str">
        <f>IF(Sheet1!E253&lt;&gt;"",Sheet1!E253,"")</f>
        <v>WBTPTA</v>
      </c>
      <c r="E253">
        <f>IF(Sheet1!DY253&lt;&gt;"",Sheet1!DY253,"")</f>
        <v>521060</v>
      </c>
      <c r="F253">
        <f>IF(Sheet1!EQ253&lt;&gt;"",Sheet1!EQ253,"")</f>
        <v>30000</v>
      </c>
      <c r="G253">
        <f>IF(Sheet1!EZ253&lt;&gt;"",Sheet1!EZ253,"")</f>
        <v>0</v>
      </c>
      <c r="H253">
        <f>IF(Sheet1!FA253&lt;&gt;"",Sheet1!FA253,"")</f>
        <v>438660</v>
      </c>
      <c r="I253">
        <f>IF(Sheet1!FI253&lt;&gt;"",Sheet1!FI253,"")</f>
        <v>0</v>
      </c>
      <c r="J253">
        <f ca="1">IF(Sheet1!GI253&lt;&gt;"",Sheet1!GI253,"")</f>
        <v>0</v>
      </c>
    </row>
    <row r="254" spans="1:10" x14ac:dyDescent="0.25">
      <c r="A254" t="str">
        <f>IF(Sheet1!B254&lt;&gt;"",Sheet1!B254,"")</f>
        <v>teachers340</v>
      </c>
      <c r="B254" t="str">
        <f>IF(Sheet1!C254&lt;&gt;"",Sheet1!C254,"")</f>
        <v>TINA GAYEN DOLUI</v>
      </c>
      <c r="C254" t="str">
        <f>IF(Sheet1!D254&lt;&gt;"",Sheet1!D254,"")</f>
        <v>SANURIA ORIENTED PRIMARY SCHOOL</v>
      </c>
      <c r="D254" t="str">
        <f>IF(Sheet1!E254&lt;&gt;"",Sheet1!E254,"")</f>
        <v>WBTPTA</v>
      </c>
      <c r="E254">
        <f>IF(Sheet1!DY254&lt;&gt;"",Sheet1!DY254,"")</f>
        <v>516260</v>
      </c>
      <c r="F254">
        <f>IF(Sheet1!EQ254&lt;&gt;"",Sheet1!EQ254,"")</f>
        <v>60000</v>
      </c>
      <c r="G254">
        <f>IF(Sheet1!EZ254&lt;&gt;"",Sheet1!EZ254,"")</f>
        <v>0</v>
      </c>
      <c r="H254">
        <f>IF(Sheet1!FA254&lt;&gt;"",Sheet1!FA254,"")</f>
        <v>403960</v>
      </c>
      <c r="I254">
        <f>IF(Sheet1!FI254&lt;&gt;"",Sheet1!FI254,"")</f>
        <v>0</v>
      </c>
      <c r="J254">
        <f ca="1">IF(Sheet1!GI254&lt;&gt;"",Sheet1!GI254,"")</f>
        <v>0</v>
      </c>
    </row>
    <row r="255" spans="1:10" x14ac:dyDescent="0.25">
      <c r="A255" t="str">
        <f>IF(Sheet1!B255&lt;&gt;"",Sheet1!B255,"")</f>
        <v>teachers341</v>
      </c>
      <c r="B255" t="str">
        <f>IF(Sheet1!C255&lt;&gt;"",Sheet1!C255,"")</f>
        <v>GAUTAM CHAKRABORTTY</v>
      </c>
      <c r="C255" t="str">
        <f>IF(Sheet1!D255&lt;&gt;"",Sheet1!D255,"")</f>
        <v>SATPOTA PRIMARY SCHOOL</v>
      </c>
      <c r="D255" t="str">
        <f>IF(Sheet1!E255&lt;&gt;"",Sheet1!E255,"")</f>
        <v>WBTPTA</v>
      </c>
      <c r="E255">
        <f>IF(Sheet1!DY255&lt;&gt;"",Sheet1!DY255,"")</f>
        <v>782936</v>
      </c>
      <c r="F255">
        <f>IF(Sheet1!EQ255&lt;&gt;"",Sheet1!EQ255,"")</f>
        <v>60000</v>
      </c>
      <c r="G255">
        <f>IF(Sheet1!EZ255&lt;&gt;"",Sheet1!EZ255,"")</f>
        <v>0</v>
      </c>
      <c r="H255">
        <f>IF(Sheet1!FA255&lt;&gt;"",Sheet1!FA255,"")</f>
        <v>670536</v>
      </c>
      <c r="I255">
        <f>IF(Sheet1!FI255&lt;&gt;"",Sheet1!FI255,"")</f>
        <v>48471</v>
      </c>
      <c r="J255">
        <f ca="1">IF(Sheet1!GI255&lt;&gt;"",Sheet1!GI255,"")</f>
        <v>9077</v>
      </c>
    </row>
    <row r="256" spans="1:10" x14ac:dyDescent="0.25">
      <c r="A256" t="str">
        <f>IF(Sheet1!B256&lt;&gt;"",Sheet1!B256,"")</f>
        <v>teachers342</v>
      </c>
      <c r="B256" t="str">
        <f>IF(Sheet1!C256&lt;&gt;"",Sheet1!C256,"")</f>
        <v>SOURAV SHAW</v>
      </c>
      <c r="C256" t="str">
        <f>IF(Sheet1!D256&lt;&gt;"",Sheet1!D256,"")</f>
        <v>SATPOTA PRIMARY SCHOOL</v>
      </c>
      <c r="D256" t="str">
        <f>IF(Sheet1!E256&lt;&gt;"",Sheet1!E256,"")</f>
        <v>WBTPTA</v>
      </c>
      <c r="E256">
        <f>IF(Sheet1!DY256&lt;&gt;"",Sheet1!DY256,"")</f>
        <v>522260</v>
      </c>
      <c r="F256">
        <f>IF(Sheet1!EQ256&lt;&gt;"",Sheet1!EQ256,"")</f>
        <v>36000</v>
      </c>
      <c r="G256">
        <f>IF(Sheet1!EZ256&lt;&gt;"",Sheet1!EZ256,"")</f>
        <v>0</v>
      </c>
      <c r="H256">
        <f>IF(Sheet1!FA256&lt;&gt;"",Sheet1!FA256,"")</f>
        <v>433860</v>
      </c>
      <c r="I256">
        <f>IF(Sheet1!FI256&lt;&gt;"",Sheet1!FI256,"")</f>
        <v>0</v>
      </c>
      <c r="J256">
        <f ca="1">IF(Sheet1!GI256&lt;&gt;"",Sheet1!GI256,"")</f>
        <v>0</v>
      </c>
    </row>
    <row r="257" spans="1:10" x14ac:dyDescent="0.25">
      <c r="A257" t="str">
        <f>IF(Sheet1!B257&lt;&gt;"",Sheet1!B257,"")</f>
        <v>teachers343</v>
      </c>
      <c r="B257" t="str">
        <f>IF(Sheet1!C257&lt;&gt;"",Sheet1!C257,"")</f>
        <v>PAPIYA SAHU</v>
      </c>
      <c r="C257" t="str">
        <f>IF(Sheet1!D257&lt;&gt;"",Sheet1!D257,"")</f>
        <v>SATPOTA PRIMARY SCHOOL</v>
      </c>
      <c r="D257" t="str">
        <f>IF(Sheet1!E257&lt;&gt;"",Sheet1!E257,"")</f>
        <v>WBTPTA</v>
      </c>
      <c r="E257">
        <f>IF(Sheet1!DY257&lt;&gt;"",Sheet1!DY257,"")</f>
        <v>406054</v>
      </c>
      <c r="F257">
        <f>IF(Sheet1!EQ257&lt;&gt;"",Sheet1!EQ257,"")</f>
        <v>2000</v>
      </c>
      <c r="G257">
        <f>IF(Sheet1!EZ257&lt;&gt;"",Sheet1!EZ257,"")</f>
        <v>0</v>
      </c>
      <c r="H257">
        <f>IF(Sheet1!FA257&lt;&gt;"",Sheet1!FA257,"")</f>
        <v>352404</v>
      </c>
      <c r="I257">
        <f>IF(Sheet1!FI257&lt;&gt;"",Sheet1!FI257,"")</f>
        <v>0</v>
      </c>
      <c r="J257">
        <f ca="1">IF(Sheet1!GI257&lt;&gt;"",Sheet1!GI257,"")</f>
        <v>0</v>
      </c>
    </row>
    <row r="258" spans="1:10" x14ac:dyDescent="0.25">
      <c r="A258" t="str">
        <f>IF(Sheet1!B258&lt;&gt;"",Sheet1!B258,"")</f>
        <v>teachers344</v>
      </c>
      <c r="B258" t="str">
        <f>IF(Sheet1!C258&lt;&gt;"",Sheet1!C258,"")</f>
        <v>DEBOSREE MAITY</v>
      </c>
      <c r="C258" t="str">
        <f>IF(Sheet1!D258&lt;&gt;"",Sheet1!D258,"")</f>
        <v>SEHAGORI PRIMARY SCHOOL</v>
      </c>
      <c r="D258" t="str">
        <f>IF(Sheet1!E258&lt;&gt;"",Sheet1!E258,"")</f>
        <v>WBTPTA</v>
      </c>
      <c r="E258">
        <f>IF(Sheet1!DY258&lt;&gt;"",Sheet1!DY258,"")</f>
        <v>527060</v>
      </c>
      <c r="F258">
        <f>IF(Sheet1!EQ258&lt;&gt;"",Sheet1!EQ258,"")</f>
        <v>36000</v>
      </c>
      <c r="G258">
        <f>IF(Sheet1!EZ258&lt;&gt;"",Sheet1!EZ258,"")</f>
        <v>0</v>
      </c>
      <c r="H258">
        <f>IF(Sheet1!FA258&lt;&gt;"",Sheet1!FA258,"")</f>
        <v>438660</v>
      </c>
      <c r="I258">
        <f>IF(Sheet1!FI258&lt;&gt;"",Sheet1!FI258,"")</f>
        <v>0</v>
      </c>
      <c r="J258">
        <f ca="1">IF(Sheet1!GI258&lt;&gt;"",Sheet1!GI258,"")</f>
        <v>0</v>
      </c>
    </row>
    <row r="259" spans="1:10" x14ac:dyDescent="0.25">
      <c r="A259" t="str">
        <f>IF(Sheet1!B259&lt;&gt;"",Sheet1!B259,"")</f>
        <v>teachers345</v>
      </c>
      <c r="B259" t="str">
        <f>IF(Sheet1!C259&lt;&gt;"",Sheet1!C259,"")</f>
        <v>SANGHAMITRA MAITY</v>
      </c>
      <c r="C259" t="str">
        <f>IF(Sheet1!D259&lt;&gt;"",Sheet1!D259,"")</f>
        <v>SEHAGORI PRIMARY SCHOOL</v>
      </c>
      <c r="D259" t="str">
        <f>IF(Sheet1!E259&lt;&gt;"",Sheet1!E259,"")</f>
        <v>WBTPTA</v>
      </c>
      <c r="E259">
        <f>IF(Sheet1!DY259&lt;&gt;"",Sheet1!DY259,"")</f>
        <v>478028</v>
      </c>
      <c r="F259">
        <f>IF(Sheet1!EQ259&lt;&gt;"",Sheet1!EQ259,"")</f>
        <v>24000</v>
      </c>
      <c r="G259">
        <f>IF(Sheet1!EZ259&lt;&gt;"",Sheet1!EZ259,"")</f>
        <v>0</v>
      </c>
      <c r="H259">
        <f>IF(Sheet1!FA259&lt;&gt;"",Sheet1!FA259,"")</f>
        <v>402178</v>
      </c>
      <c r="I259">
        <f>IF(Sheet1!FI259&lt;&gt;"",Sheet1!FI259,"")</f>
        <v>0</v>
      </c>
      <c r="J259">
        <f ca="1">IF(Sheet1!GI259&lt;&gt;"",Sheet1!GI259,"")</f>
        <v>0</v>
      </c>
    </row>
    <row r="260" spans="1:10" x14ac:dyDescent="0.25">
      <c r="A260" t="str">
        <f>IF(Sheet1!B260&lt;&gt;"",Sheet1!B260,"")</f>
        <v>teachers346</v>
      </c>
      <c r="B260" t="str">
        <f>IF(Sheet1!C260&lt;&gt;"",Sheet1!C260,"")</f>
        <v>LIPIKA MONDAL</v>
      </c>
      <c r="C260" t="str">
        <f>IF(Sheet1!D260&lt;&gt;"",Sheet1!D260,"")</f>
        <v>SEHAGORI PRIMARY SCHOOL</v>
      </c>
      <c r="D260" t="str">
        <f>IF(Sheet1!E260&lt;&gt;"",Sheet1!E260,"")</f>
        <v>WBTPTA</v>
      </c>
      <c r="E260">
        <f>IF(Sheet1!DY260&lt;&gt;"",Sheet1!DY260,"")</f>
        <v>415160</v>
      </c>
      <c r="F260">
        <f>IF(Sheet1!EQ260&lt;&gt;"",Sheet1!EQ260,"")</f>
        <v>24000</v>
      </c>
      <c r="G260">
        <f>IF(Sheet1!EZ260&lt;&gt;"",Sheet1!EZ260,"")</f>
        <v>0</v>
      </c>
      <c r="H260">
        <f>IF(Sheet1!FA260&lt;&gt;"",Sheet1!FA260,"")</f>
        <v>339360</v>
      </c>
      <c r="I260">
        <f>IF(Sheet1!FI260&lt;&gt;"",Sheet1!FI260,"")</f>
        <v>0</v>
      </c>
      <c r="J260">
        <f ca="1">IF(Sheet1!GI260&lt;&gt;"",Sheet1!GI260,"")</f>
        <v>0</v>
      </c>
    </row>
    <row r="261" spans="1:10" x14ac:dyDescent="0.25">
      <c r="A261" t="str">
        <f>IF(Sheet1!B261&lt;&gt;"",Sheet1!B261,"")</f>
        <v>teachers347</v>
      </c>
      <c r="B261" t="str">
        <f>IF(Sheet1!C261&lt;&gt;"",Sheet1!C261,"")</f>
        <v>MINTU MALIK</v>
      </c>
      <c r="C261" t="str">
        <f>IF(Sheet1!D261&lt;&gt;"",Sheet1!D261,"")</f>
        <v>SEHAGORI RAJBANSHIPARA PRIMARY SCHOOL</v>
      </c>
      <c r="D261" t="str">
        <f>IF(Sheet1!E261&lt;&gt;"",Sheet1!E261,"")</f>
        <v>ABPTA</v>
      </c>
      <c r="E261">
        <f>IF(Sheet1!DY261&lt;&gt;"",Sheet1!DY261,"")</f>
        <v>0</v>
      </c>
      <c r="F261">
        <f>IF(Sheet1!EQ261&lt;&gt;"",Sheet1!EQ261,"")</f>
        <v>0</v>
      </c>
      <c r="G261">
        <f>IF(Sheet1!EZ261&lt;&gt;"",Sheet1!EZ261,"")</f>
        <v>0</v>
      </c>
      <c r="H261">
        <f>IF(Sheet1!FA261&lt;&gt;"",Sheet1!FA261,"")</f>
        <v>0</v>
      </c>
      <c r="I261">
        <f>IF(Sheet1!FI261&lt;&gt;"",Sheet1!FI261,"")</f>
        <v>0</v>
      </c>
      <c r="J261">
        <f ca="1">IF(Sheet1!GI261&lt;&gt;"",Sheet1!GI261,"")</f>
        <v>0</v>
      </c>
    </row>
    <row r="262" spans="1:10" x14ac:dyDescent="0.25">
      <c r="A262" t="str">
        <f>IF(Sheet1!B262&lt;&gt;"",Sheet1!B262,"")</f>
        <v>teachers348</v>
      </c>
      <c r="B262" t="str">
        <f>IF(Sheet1!C262&lt;&gt;"",Sheet1!C262,"")</f>
        <v>PAROMITA ROY</v>
      </c>
      <c r="C262" t="str">
        <f>IF(Sheet1!D262&lt;&gt;"",Sheet1!D262,"")</f>
        <v>SEHAGORI RAJBANSHIPARA PRIMARY SCHOOL</v>
      </c>
      <c r="D262" t="str">
        <f>IF(Sheet1!E262&lt;&gt;"",Sheet1!E262,"")</f>
        <v>WBTPTA</v>
      </c>
      <c r="E262">
        <f>IF(Sheet1!DY262&lt;&gt;"",Sheet1!DY262,"")</f>
        <v>409160</v>
      </c>
      <c r="F262">
        <f>IF(Sheet1!EQ262&lt;&gt;"",Sheet1!EQ262,"")</f>
        <v>36000</v>
      </c>
      <c r="G262">
        <f>IF(Sheet1!EZ262&lt;&gt;"",Sheet1!EZ262,"")</f>
        <v>0</v>
      </c>
      <c r="H262">
        <f>IF(Sheet1!FA262&lt;&gt;"",Sheet1!FA262,"")</f>
        <v>321360</v>
      </c>
      <c r="I262">
        <f>IF(Sheet1!FI262&lt;&gt;"",Sheet1!FI262,"")</f>
        <v>0</v>
      </c>
      <c r="J262">
        <f ca="1">IF(Sheet1!GI262&lt;&gt;"",Sheet1!GI262,"")</f>
        <v>0</v>
      </c>
    </row>
    <row r="263" spans="1:10" x14ac:dyDescent="0.25">
      <c r="A263" t="str">
        <f>IF(Sheet1!B263&lt;&gt;"",Sheet1!B263,"")</f>
        <v>teachers349</v>
      </c>
      <c r="B263" t="str">
        <f>IF(Sheet1!C263&lt;&gt;"",Sheet1!C263,"")</f>
        <v>ALAKANANDA PAUL</v>
      </c>
      <c r="C263" t="str">
        <f>IF(Sheet1!D263&lt;&gt;"",Sheet1!D263,"")</f>
        <v>SEHAGORI RAJBANSHIPARA PRIMARY SCHOOL</v>
      </c>
      <c r="D263" t="str">
        <f>IF(Sheet1!E263&lt;&gt;"",Sheet1!E263,"")</f>
        <v>WBTPTA</v>
      </c>
      <c r="E263">
        <f>IF(Sheet1!DY263&lt;&gt;"",Sheet1!DY263,"")</f>
        <v>406054</v>
      </c>
      <c r="F263">
        <f>IF(Sheet1!EQ263&lt;&gt;"",Sheet1!EQ263,"")</f>
        <v>2000</v>
      </c>
      <c r="G263">
        <f>IF(Sheet1!EZ263&lt;&gt;"",Sheet1!EZ263,"")</f>
        <v>0</v>
      </c>
      <c r="H263">
        <f>IF(Sheet1!FA263&lt;&gt;"",Sheet1!FA263,"")</f>
        <v>352404</v>
      </c>
      <c r="I263">
        <f>IF(Sheet1!FI263&lt;&gt;"",Sheet1!FI263,"")</f>
        <v>0</v>
      </c>
      <c r="J263">
        <f ca="1">IF(Sheet1!GI263&lt;&gt;"",Sheet1!GI263,"")</f>
        <v>0</v>
      </c>
    </row>
    <row r="264" spans="1:10" x14ac:dyDescent="0.25">
      <c r="A264" t="str">
        <f>IF(Sheet1!B264&lt;&gt;"",Sheet1!B264,"")</f>
        <v>teachers350</v>
      </c>
      <c r="B264" t="str">
        <f>IF(Sheet1!C264&lt;&gt;"",Sheet1!C264,"")</f>
        <v>PARTHO SARATHI HAZRA</v>
      </c>
      <c r="C264" t="str">
        <f>IF(Sheet1!D264&lt;&gt;"",Sheet1!D264,"")</f>
        <v>SHIBGACHIA PRIMARY SCHOOL</v>
      </c>
      <c r="D264" t="str">
        <f>IF(Sheet1!E264&lt;&gt;"",Sheet1!E264,"")</f>
        <v>WBTPTA</v>
      </c>
      <c r="E264">
        <f>IF(Sheet1!DY264&lt;&gt;"",Sheet1!DY264,"")</f>
        <v>717084</v>
      </c>
      <c r="F264">
        <f>IF(Sheet1!EQ264&lt;&gt;"",Sheet1!EQ264,"")</f>
        <v>48720</v>
      </c>
      <c r="G264">
        <f>IF(Sheet1!EZ264&lt;&gt;"",Sheet1!EZ264,"")</f>
        <v>0</v>
      </c>
      <c r="H264">
        <f>IF(Sheet1!FA264&lt;&gt;"",Sheet1!FA264,"")</f>
        <v>615964</v>
      </c>
      <c r="I264">
        <f>IF(Sheet1!FI264&lt;&gt;"",Sheet1!FI264,"")</f>
        <v>37121</v>
      </c>
      <c r="J264">
        <f ca="1">IF(Sheet1!GI264&lt;&gt;"",Sheet1!GI264,"")</f>
        <v>0</v>
      </c>
    </row>
    <row r="265" spans="1:10" x14ac:dyDescent="0.25">
      <c r="A265" t="str">
        <f>IF(Sheet1!B265&lt;&gt;"",Sheet1!B265,"")</f>
        <v>teachers351</v>
      </c>
      <c r="B265" t="str">
        <f>IF(Sheet1!C265&lt;&gt;"",Sheet1!C265,"")</f>
        <v>SUBRATA DAS</v>
      </c>
      <c r="C265" t="str">
        <f>IF(Sheet1!D265&lt;&gt;"",Sheet1!D265,"")</f>
        <v>SHIBGACHIA PRIMARY SCHOOL</v>
      </c>
      <c r="D265" t="str">
        <f>IF(Sheet1!E265&lt;&gt;"",Sheet1!E265,"")</f>
        <v>WBTPTA</v>
      </c>
      <c r="E265">
        <f>IF(Sheet1!DY265&lt;&gt;"",Sheet1!DY265,"")</f>
        <v>415160</v>
      </c>
      <c r="F265">
        <f>IF(Sheet1!EQ265&lt;&gt;"",Sheet1!EQ265,"")</f>
        <v>24000</v>
      </c>
      <c r="G265">
        <f>IF(Sheet1!EZ265&lt;&gt;"",Sheet1!EZ265,"")</f>
        <v>0</v>
      </c>
      <c r="H265">
        <f>IF(Sheet1!FA265&lt;&gt;"",Sheet1!FA265,"")</f>
        <v>339360</v>
      </c>
      <c r="I265">
        <f>IF(Sheet1!FI265&lt;&gt;"",Sheet1!FI265,"")</f>
        <v>0</v>
      </c>
      <c r="J265">
        <f ca="1">IF(Sheet1!GI265&lt;&gt;"",Sheet1!GI265,"")</f>
        <v>0</v>
      </c>
    </row>
    <row r="266" spans="1:10" x14ac:dyDescent="0.25">
      <c r="A266" t="str">
        <f>IF(Sheet1!B266&lt;&gt;"",Sheet1!B266,"")</f>
        <v>teachers352</v>
      </c>
      <c r="B266" t="str">
        <f>IF(Sheet1!C266&lt;&gt;"",Sheet1!C266,"")</f>
        <v>KAJI SAMIM AKTAR</v>
      </c>
      <c r="C266" t="str">
        <f>IF(Sheet1!D266&lt;&gt;"",Sheet1!D266,"")</f>
        <v>SHIBGACHIA PRIMARY SCHOOL</v>
      </c>
      <c r="D266" t="str">
        <f>IF(Sheet1!E266&lt;&gt;"",Sheet1!E266,"")</f>
        <v>WBTPTA</v>
      </c>
      <c r="E266">
        <f>IF(Sheet1!DY266&lt;&gt;"",Sheet1!DY266,"")</f>
        <v>406054</v>
      </c>
      <c r="F266">
        <f>IF(Sheet1!EQ266&lt;&gt;"",Sheet1!EQ266,"")</f>
        <v>2000</v>
      </c>
      <c r="G266">
        <f>IF(Sheet1!EZ266&lt;&gt;"",Sheet1!EZ266,"")</f>
        <v>0</v>
      </c>
      <c r="H266">
        <f>IF(Sheet1!FA266&lt;&gt;"",Sheet1!FA266,"")</f>
        <v>352404</v>
      </c>
      <c r="I266">
        <f>IF(Sheet1!FI266&lt;&gt;"",Sheet1!FI266,"")</f>
        <v>0</v>
      </c>
      <c r="J266">
        <f ca="1">IF(Sheet1!GI266&lt;&gt;"",Sheet1!GI266,"")</f>
        <v>0</v>
      </c>
    </row>
    <row r="267" spans="1:10" x14ac:dyDescent="0.25">
      <c r="A267" t="str">
        <f>IF(Sheet1!B267&lt;&gt;"",Sheet1!B267,"")</f>
        <v>teachers353</v>
      </c>
      <c r="B267" t="str">
        <f>IF(Sheet1!C267&lt;&gt;"",Sheet1!C267,"")</f>
        <v>SALIL KUMAR CHAKRABORTTY</v>
      </c>
      <c r="C267" t="str">
        <f>IF(Sheet1!D267&lt;&gt;"",Sheet1!D267,"")</f>
        <v>SIBGACHIA HORIZON PRIMARY SCHOOL</v>
      </c>
      <c r="D267" t="str">
        <f>IF(Sheet1!E267&lt;&gt;"",Sheet1!E267,"")</f>
        <v>WBTPTA</v>
      </c>
      <c r="E267">
        <f>IF(Sheet1!DY267&lt;&gt;"",Sheet1!DY267,"")</f>
        <v>732196</v>
      </c>
      <c r="F267">
        <f>IF(Sheet1!EQ267&lt;&gt;"",Sheet1!EQ267,"")</f>
        <v>60720</v>
      </c>
      <c r="G267">
        <f>IF(Sheet1!EZ267&lt;&gt;"",Sheet1!EZ267,"")</f>
        <v>0</v>
      </c>
      <c r="H267">
        <f>IF(Sheet1!FA267&lt;&gt;"",Sheet1!FA267,"")</f>
        <v>619076</v>
      </c>
      <c r="I267">
        <f>IF(Sheet1!FI267&lt;&gt;"",Sheet1!FI267,"")</f>
        <v>37768</v>
      </c>
      <c r="J267">
        <f ca="1">IF(Sheet1!GI267&lt;&gt;"",Sheet1!GI267,"")</f>
        <v>0</v>
      </c>
    </row>
    <row r="268" spans="1:10" x14ac:dyDescent="0.25">
      <c r="A268" t="str">
        <f>IF(Sheet1!B268&lt;&gt;"",Sheet1!B268,"")</f>
        <v>teachers354</v>
      </c>
      <c r="B268" t="str">
        <f>IF(Sheet1!C268&lt;&gt;"",Sheet1!C268,"")</f>
        <v>SANTI KUMAR KARAK</v>
      </c>
      <c r="C268" t="str">
        <f>IF(Sheet1!D268&lt;&gt;"",Sheet1!D268,"")</f>
        <v>SIBGACHIA HORIZON PRIMARY SCHOOL</v>
      </c>
      <c r="D268" t="str">
        <f>IF(Sheet1!E268&lt;&gt;"",Sheet1!E268,"")</f>
        <v>WBTPTA</v>
      </c>
      <c r="E268">
        <f>IF(Sheet1!DY268&lt;&gt;"",Sheet1!DY268,"")</f>
        <v>712284</v>
      </c>
      <c r="F268">
        <f>IF(Sheet1!EQ268&lt;&gt;"",Sheet1!EQ268,"")</f>
        <v>144000</v>
      </c>
      <c r="G268">
        <f>IF(Sheet1!EZ268&lt;&gt;"",Sheet1!EZ268,"")</f>
        <v>0</v>
      </c>
      <c r="H268">
        <f>IF(Sheet1!FA268&lt;&gt;"",Sheet1!FA268,"")</f>
        <v>515884</v>
      </c>
      <c r="I268">
        <f>IF(Sheet1!FI268&lt;&gt;"",Sheet1!FI268,"")</f>
        <v>16304</v>
      </c>
      <c r="J268">
        <f ca="1">IF(Sheet1!GI268&lt;&gt;"",Sheet1!GI268,"")</f>
        <v>0</v>
      </c>
    </row>
    <row r="269" spans="1:10" x14ac:dyDescent="0.25">
      <c r="A269" t="str">
        <f>IF(Sheet1!B269&lt;&gt;"",Sheet1!B269,"")</f>
        <v>teachers355</v>
      </c>
      <c r="B269" t="str">
        <f>IF(Sheet1!C269&lt;&gt;"",Sheet1!C269,"")</f>
        <v>PRASUN HAZRA</v>
      </c>
      <c r="C269" t="str">
        <f>IF(Sheet1!D269&lt;&gt;"",Sheet1!D269,"")</f>
        <v>SOUTH SIBGACHIA PRIMARY SCHOOL</v>
      </c>
      <c r="D269" t="str">
        <f>IF(Sheet1!E269&lt;&gt;"",Sheet1!E269,"")</f>
        <v>ABPTA</v>
      </c>
      <c r="E269">
        <f>IF(Sheet1!DY269&lt;&gt;"",Sheet1!DY269,"")</f>
        <v>782936</v>
      </c>
      <c r="F269">
        <f>IF(Sheet1!EQ269&lt;&gt;"",Sheet1!EQ269,"")</f>
        <v>60720</v>
      </c>
      <c r="G269">
        <f>IF(Sheet1!EZ269&lt;&gt;"",Sheet1!EZ269,"")</f>
        <v>0</v>
      </c>
      <c r="H269">
        <f>IF(Sheet1!FA269&lt;&gt;"",Sheet1!FA269,"")</f>
        <v>669816</v>
      </c>
      <c r="I269">
        <f>IF(Sheet1!FI269&lt;&gt;"",Sheet1!FI269,"")</f>
        <v>48322</v>
      </c>
      <c r="J269">
        <f ca="1">IF(Sheet1!GI269&lt;&gt;"",Sheet1!GI269,"")</f>
        <v>9215</v>
      </c>
    </row>
    <row r="270" spans="1:10" x14ac:dyDescent="0.25">
      <c r="A270" t="str">
        <f>IF(Sheet1!B270&lt;&gt;"",Sheet1!B270,"")</f>
        <v>teachers356</v>
      </c>
      <c r="B270" t="str">
        <f>IF(Sheet1!C270&lt;&gt;"",Sheet1!C270,"")</f>
        <v>SK SABIR HOSSAIN</v>
      </c>
      <c r="C270" t="str">
        <f>IF(Sheet1!D270&lt;&gt;"",Sheet1!D270,"")</f>
        <v>SOUTH SIBGACHIA PRIMARY SCHOOL</v>
      </c>
      <c r="D270" t="str">
        <f>IF(Sheet1!E270&lt;&gt;"",Sheet1!E270,"")</f>
        <v>ABPTA</v>
      </c>
      <c r="E270">
        <f>IF(Sheet1!DY270&lt;&gt;"",Sheet1!DY270,"")</f>
        <v>575016</v>
      </c>
      <c r="F270">
        <f>IF(Sheet1!EQ270&lt;&gt;"",Sheet1!EQ270,"")</f>
        <v>60000</v>
      </c>
      <c r="G270">
        <f>IF(Sheet1!EZ270&lt;&gt;"",Sheet1!EZ270,"")</f>
        <v>0</v>
      </c>
      <c r="H270">
        <f>IF(Sheet1!FA270&lt;&gt;"",Sheet1!FA270,"")</f>
        <v>462616</v>
      </c>
      <c r="I270">
        <f>IF(Sheet1!FI270&lt;&gt;"",Sheet1!FI270,"")</f>
        <v>0</v>
      </c>
      <c r="J270">
        <f ca="1">IF(Sheet1!GI270&lt;&gt;"",Sheet1!GI270,"")</f>
        <v>0</v>
      </c>
    </row>
    <row r="271" spans="1:10" x14ac:dyDescent="0.25">
      <c r="A271" t="str">
        <f>IF(Sheet1!B271&lt;&gt;"",Sheet1!B271,"")</f>
        <v>teachers357</v>
      </c>
      <c r="B271" t="str">
        <f>IF(Sheet1!C271&lt;&gt;"",Sheet1!C271,"")</f>
        <v>KANIKA PANJA</v>
      </c>
      <c r="C271" t="str">
        <f>IF(Sheet1!D271&lt;&gt;"",Sheet1!D271,"")</f>
        <v>TELIBERIA PRIMARY SCHOOL</v>
      </c>
      <c r="D271" t="str">
        <f>IF(Sheet1!E271&lt;&gt;"",Sheet1!E271,"")</f>
        <v>WBTPTA</v>
      </c>
      <c r="E271">
        <f>IF(Sheet1!DY271&lt;&gt;"",Sheet1!DY271,"")</f>
        <v>782936</v>
      </c>
      <c r="F271">
        <f>IF(Sheet1!EQ271&lt;&gt;"",Sheet1!EQ271,"")</f>
        <v>48000</v>
      </c>
      <c r="G271">
        <f>IF(Sheet1!EZ271&lt;&gt;"",Sheet1!EZ271,"")</f>
        <v>0</v>
      </c>
      <c r="H271">
        <f>IF(Sheet1!FA271&lt;&gt;"",Sheet1!FA271,"")</f>
        <v>682536</v>
      </c>
      <c r="I271">
        <f>IF(Sheet1!FI271&lt;&gt;"",Sheet1!FI271,"")</f>
        <v>50967</v>
      </c>
      <c r="J271">
        <f ca="1">IF(Sheet1!GI271&lt;&gt;"",Sheet1!GI271,"")</f>
        <v>8975</v>
      </c>
    </row>
    <row r="272" spans="1:10" x14ac:dyDescent="0.25">
      <c r="A272" t="str">
        <f>IF(Sheet1!B272&lt;&gt;"",Sheet1!B272,"")</f>
        <v>teachers358</v>
      </c>
      <c r="B272" t="str">
        <f>IF(Sheet1!C272&lt;&gt;"",Sheet1!C272,"")</f>
        <v>DEBASHIS MANDAL</v>
      </c>
      <c r="C272" t="str">
        <f>IF(Sheet1!D272&lt;&gt;"",Sheet1!D272,"")</f>
        <v>TELIBERIA PRIMARY SCHOOL</v>
      </c>
      <c r="D272" t="str">
        <f>IF(Sheet1!E272&lt;&gt;"",Sheet1!E272,"")</f>
        <v>WBTPTA</v>
      </c>
      <c r="E272">
        <f>IF(Sheet1!DY272&lt;&gt;"",Sheet1!DY272,"")</f>
        <v>450884</v>
      </c>
      <c r="F272">
        <f>IF(Sheet1!EQ272&lt;&gt;"",Sheet1!EQ272,"")</f>
        <v>8000</v>
      </c>
      <c r="G272">
        <f>IF(Sheet1!EZ272&lt;&gt;"",Sheet1!EZ272,"")</f>
        <v>0</v>
      </c>
      <c r="H272">
        <f>IF(Sheet1!FA272&lt;&gt;"",Sheet1!FA272,"")</f>
        <v>391084</v>
      </c>
      <c r="I272">
        <f>IF(Sheet1!FI272&lt;&gt;"",Sheet1!FI272,"")</f>
        <v>0</v>
      </c>
      <c r="J272">
        <f ca="1">IF(Sheet1!GI272&lt;&gt;"",Sheet1!GI272,"")</f>
        <v>0</v>
      </c>
    </row>
    <row r="273" spans="1:10" x14ac:dyDescent="0.25">
      <c r="A273" t="str">
        <f>IF(Sheet1!B273&lt;&gt;"",Sheet1!B273,"")</f>
        <v>teachers359</v>
      </c>
      <c r="B273" t="str">
        <f>IF(Sheet1!C273&lt;&gt;"",Sheet1!C273,"")</f>
        <v>AMIYA KUMAR KOLEY</v>
      </c>
      <c r="C273" t="str">
        <f>IF(Sheet1!D273&lt;&gt;"",Sheet1!D273,"")</f>
        <v>THALIA HARA CHAND PRIMARY SCHOOL</v>
      </c>
      <c r="D273" t="str">
        <f>IF(Sheet1!E273&lt;&gt;"",Sheet1!E273,"")</f>
        <v>WBTPTA</v>
      </c>
      <c r="E273">
        <f>IF(Sheet1!DY273&lt;&gt;"",Sheet1!DY273,"")</f>
        <v>711084</v>
      </c>
      <c r="F273">
        <f>IF(Sheet1!EQ273&lt;&gt;"",Sheet1!EQ273,"")</f>
        <v>84720</v>
      </c>
      <c r="G273">
        <f>IF(Sheet1!EZ273&lt;&gt;"",Sheet1!EZ273,"")</f>
        <v>0</v>
      </c>
      <c r="H273">
        <f>IF(Sheet1!FA273&lt;&gt;"",Sheet1!FA273,"")</f>
        <v>573964</v>
      </c>
      <c r="I273">
        <f>IF(Sheet1!FI273&lt;&gt;"",Sheet1!FI273,"")</f>
        <v>28385</v>
      </c>
      <c r="J273">
        <f ca="1">IF(Sheet1!GI273&lt;&gt;"",Sheet1!GI273,"")</f>
        <v>0</v>
      </c>
    </row>
    <row r="274" spans="1:10" x14ac:dyDescent="0.25">
      <c r="A274" t="str">
        <f>IF(Sheet1!B274&lt;&gt;"",Sheet1!B274,"")</f>
        <v>teachers360</v>
      </c>
      <c r="B274" t="str">
        <f>IF(Sheet1!C274&lt;&gt;"",Sheet1!C274,"")</f>
        <v>BARNA DATTA</v>
      </c>
      <c r="C274" t="str">
        <f>IF(Sheet1!D274&lt;&gt;"",Sheet1!D274,"")</f>
        <v>THALIA HARA CHAND PRIMARY SCHOOL</v>
      </c>
      <c r="D274" t="str">
        <f>IF(Sheet1!E274&lt;&gt;"",Sheet1!E274,"")</f>
        <v>ABPTA</v>
      </c>
      <c r="E274">
        <f>IF(Sheet1!DY274&lt;&gt;"",Sheet1!DY274,"")</f>
        <v>755516</v>
      </c>
      <c r="F274">
        <f>IF(Sheet1!EQ274&lt;&gt;"",Sheet1!EQ274,"")</f>
        <v>60000</v>
      </c>
      <c r="G274">
        <f>IF(Sheet1!EZ274&lt;&gt;"",Sheet1!EZ274,"")</f>
        <v>0</v>
      </c>
      <c r="H274">
        <f>IF(Sheet1!FA274&lt;&gt;"",Sheet1!FA274,"")</f>
        <v>643116</v>
      </c>
      <c r="I274">
        <f>IF(Sheet1!FI274&lt;&gt;"",Sheet1!FI274,"")</f>
        <v>42768</v>
      </c>
      <c r="J274">
        <f ca="1">IF(Sheet1!GI274&lt;&gt;"",Sheet1!GI274,"")</f>
        <v>0</v>
      </c>
    </row>
    <row r="275" spans="1:10" x14ac:dyDescent="0.25">
      <c r="A275" t="str">
        <f>IF(Sheet1!B275&lt;&gt;"",Sheet1!B275,"")</f>
        <v>teachers361</v>
      </c>
      <c r="B275" t="str">
        <f>IF(Sheet1!C275&lt;&gt;"",Sheet1!C275,"")</f>
        <v>ROSHNIARA MONDAL SK</v>
      </c>
      <c r="C275" t="str">
        <f>IF(Sheet1!D275&lt;&gt;"",Sheet1!D275,"")</f>
        <v>THALIA HARA CHAND PRIMARY SCHOOL</v>
      </c>
      <c r="D275" t="str">
        <f>IF(Sheet1!E275&lt;&gt;"",Sheet1!E275,"")</f>
        <v>WBTPTA</v>
      </c>
      <c r="E275">
        <f>IF(Sheet1!DY275&lt;&gt;"",Sheet1!DY275,"")</f>
        <v>512180</v>
      </c>
      <c r="F275">
        <f>IF(Sheet1!EQ275&lt;&gt;"",Sheet1!EQ275,"")</f>
        <v>60000</v>
      </c>
      <c r="G275">
        <f>IF(Sheet1!EZ275&lt;&gt;"",Sheet1!EZ275,"")</f>
        <v>0</v>
      </c>
      <c r="H275">
        <f>IF(Sheet1!FA275&lt;&gt;"",Sheet1!FA275,"")</f>
        <v>399780</v>
      </c>
      <c r="I275">
        <f>IF(Sheet1!FI275&lt;&gt;"",Sheet1!FI275,"")</f>
        <v>0</v>
      </c>
      <c r="J275">
        <f ca="1">IF(Sheet1!GI275&lt;&gt;"",Sheet1!GI275,"")</f>
        <v>0</v>
      </c>
    </row>
    <row r="276" spans="1:10" x14ac:dyDescent="0.25">
      <c r="A276" t="str">
        <f>IF(Sheet1!B276&lt;&gt;"",Sheet1!B276,"")</f>
        <v>teachers362</v>
      </c>
      <c r="B276" t="str">
        <f>IF(Sheet1!C276&lt;&gt;"",Sheet1!C276,"")</f>
        <v>PROBHAT RANJAN KOLEY</v>
      </c>
      <c r="C276" t="str">
        <f>IF(Sheet1!D276&lt;&gt;"",Sheet1!D276,"")</f>
        <v>THALIA HARA CHAND PRIMARY SCHOOL</v>
      </c>
      <c r="D276" t="str">
        <f>IF(Sheet1!E276&lt;&gt;"",Sheet1!E276,"")</f>
        <v>WBTPTA</v>
      </c>
      <c r="E276">
        <f>IF(Sheet1!DY276&lt;&gt;"",Sheet1!DY276,"")</f>
        <v>512180</v>
      </c>
      <c r="F276">
        <f>IF(Sheet1!EQ276&lt;&gt;"",Sheet1!EQ276,"")</f>
        <v>30000</v>
      </c>
      <c r="G276">
        <f>IF(Sheet1!EZ276&lt;&gt;"",Sheet1!EZ276,"")</f>
        <v>0</v>
      </c>
      <c r="H276">
        <f>IF(Sheet1!FA276&lt;&gt;"",Sheet1!FA276,"")</f>
        <v>429780</v>
      </c>
      <c r="I276">
        <f>IF(Sheet1!FI276&lt;&gt;"",Sheet1!FI276,"")</f>
        <v>0</v>
      </c>
      <c r="J276">
        <f ca="1">IF(Sheet1!GI276&lt;&gt;"",Sheet1!GI276,"")</f>
        <v>0</v>
      </c>
    </row>
    <row r="277" spans="1:10" x14ac:dyDescent="0.25">
      <c r="A277" t="str">
        <f>IF(Sheet1!B277&lt;&gt;"",Sheet1!B277,"")</f>
        <v>teachers363</v>
      </c>
      <c r="B277" t="str">
        <f>IF(Sheet1!C277&lt;&gt;"",Sheet1!C277,"")</f>
        <v>PRIYANKA ROY</v>
      </c>
      <c r="C277" t="str">
        <f>IF(Sheet1!D277&lt;&gt;"",Sheet1!D277,"")</f>
        <v>THALIA HARA CHAND PRIMARY SCHOOL</v>
      </c>
      <c r="D277" t="str">
        <f>IF(Sheet1!E277&lt;&gt;"",Sheet1!E277,"")</f>
        <v>NOT WBTPTA</v>
      </c>
      <c r="E277">
        <f>IF(Sheet1!DY277&lt;&gt;"",Sheet1!DY277,"")</f>
        <v>409160</v>
      </c>
      <c r="F277">
        <f>IF(Sheet1!EQ277&lt;&gt;"",Sheet1!EQ277,"")</f>
        <v>24000</v>
      </c>
      <c r="G277">
        <f>IF(Sheet1!EZ277&lt;&gt;"",Sheet1!EZ277,"")</f>
        <v>0</v>
      </c>
      <c r="H277">
        <f>IF(Sheet1!FA277&lt;&gt;"",Sheet1!FA277,"")</f>
        <v>333360</v>
      </c>
      <c r="I277">
        <f>IF(Sheet1!FI277&lt;&gt;"",Sheet1!FI277,"")</f>
        <v>0</v>
      </c>
      <c r="J277">
        <f ca="1">IF(Sheet1!GI277&lt;&gt;"",Sheet1!GI277,"")</f>
        <v>0</v>
      </c>
    </row>
    <row r="278" spans="1:10" x14ac:dyDescent="0.25">
      <c r="A278" t="str">
        <f>IF(Sheet1!B278&lt;&gt;"",Sheet1!B278,"")</f>
        <v>teachers364</v>
      </c>
      <c r="B278" t="str">
        <f>IF(Sheet1!C278&lt;&gt;"",Sheet1!C278,"")</f>
        <v>RUPA HALDER</v>
      </c>
      <c r="C278" t="str">
        <f>IF(Sheet1!D278&lt;&gt;"",Sheet1!D278,"")</f>
        <v>THALIA HARA CHAND PRIMARY SCHOOL</v>
      </c>
      <c r="D278" t="str">
        <f>IF(Sheet1!E278&lt;&gt;"",Sheet1!E278,"")</f>
        <v>WBTPTA</v>
      </c>
      <c r="E278">
        <f>IF(Sheet1!DY278&lt;&gt;"",Sheet1!DY278,"")</f>
        <v>409160</v>
      </c>
      <c r="F278">
        <f>IF(Sheet1!EQ278&lt;&gt;"",Sheet1!EQ278,"")</f>
        <v>24000</v>
      </c>
      <c r="G278">
        <f>IF(Sheet1!EZ278&lt;&gt;"",Sheet1!EZ278,"")</f>
        <v>0</v>
      </c>
      <c r="H278">
        <f>IF(Sheet1!FA278&lt;&gt;"",Sheet1!FA278,"")</f>
        <v>333360</v>
      </c>
      <c r="I278">
        <f>IF(Sheet1!FI278&lt;&gt;"",Sheet1!FI278,"")</f>
        <v>0</v>
      </c>
      <c r="J278">
        <f ca="1">IF(Sheet1!GI278&lt;&gt;"",Sheet1!GI278,"")</f>
        <v>0</v>
      </c>
    </row>
    <row r="279" spans="1:10" x14ac:dyDescent="0.25">
      <c r="A279" t="str">
        <f>IF(Sheet1!B279&lt;&gt;"",Sheet1!B279,"")</f>
        <v>teachers365</v>
      </c>
      <c r="B279" t="str">
        <f>IF(Sheet1!C279&lt;&gt;"",Sheet1!C279,"")</f>
        <v>HEMANTA KUMAR MISRA</v>
      </c>
      <c r="C279" t="str">
        <f>IF(Sheet1!D279&lt;&gt;"",Sheet1!D279,"")</f>
        <v>THALIA SIBTOLA PRIMARY SCHOOL</v>
      </c>
      <c r="D279" t="str">
        <f>IF(Sheet1!E279&lt;&gt;"",Sheet1!E279,"")</f>
        <v>ABPTA</v>
      </c>
      <c r="E279">
        <f>IF(Sheet1!DY279&lt;&gt;"",Sheet1!DY279,"")</f>
        <v>717084</v>
      </c>
      <c r="F279">
        <f>IF(Sheet1!EQ279&lt;&gt;"",Sheet1!EQ279,"")</f>
        <v>48000</v>
      </c>
      <c r="G279">
        <f>IF(Sheet1!EZ279&lt;&gt;"",Sheet1!EZ279,"")</f>
        <v>0</v>
      </c>
      <c r="H279">
        <f>IF(Sheet1!FA279&lt;&gt;"",Sheet1!FA279,"")</f>
        <v>616684</v>
      </c>
      <c r="I279">
        <f>IF(Sheet1!FI279&lt;&gt;"",Sheet1!FI279,"")</f>
        <v>37270</v>
      </c>
      <c r="J279">
        <f ca="1">IF(Sheet1!GI279&lt;&gt;"",Sheet1!GI279,"")</f>
        <v>0</v>
      </c>
    </row>
    <row r="280" spans="1:10" x14ac:dyDescent="0.25">
      <c r="A280" t="str">
        <f>IF(Sheet1!B280&lt;&gt;"",Sheet1!B280,"")</f>
        <v>teachers366</v>
      </c>
      <c r="B280" t="str">
        <f>IF(Sheet1!C280&lt;&gt;"",Sheet1!C280,"")</f>
        <v>DIBYENDU KOLEY</v>
      </c>
      <c r="C280" t="str">
        <f>IF(Sheet1!D280&lt;&gt;"",Sheet1!D280,"")</f>
        <v>THALIA SIBTOLA PRIMARY SCHOOL</v>
      </c>
      <c r="D280" t="str">
        <f>IF(Sheet1!E280&lt;&gt;"",Sheet1!E280,"")</f>
        <v>WBTPTA</v>
      </c>
      <c r="E280">
        <f>IF(Sheet1!DY280&lt;&gt;"",Sheet1!DY280,"")</f>
        <v>512180</v>
      </c>
      <c r="F280">
        <f>IF(Sheet1!EQ280&lt;&gt;"",Sheet1!EQ280,"")</f>
        <v>28000</v>
      </c>
      <c r="G280">
        <f>IF(Sheet1!EZ280&lt;&gt;"",Sheet1!EZ280,"")</f>
        <v>0</v>
      </c>
      <c r="H280">
        <f>IF(Sheet1!FA280&lt;&gt;"",Sheet1!FA280,"")</f>
        <v>431780</v>
      </c>
      <c r="I280">
        <f>IF(Sheet1!FI280&lt;&gt;"",Sheet1!FI280,"")</f>
        <v>0</v>
      </c>
      <c r="J280">
        <f ca="1">IF(Sheet1!GI280&lt;&gt;"",Sheet1!GI280,"")</f>
        <v>0</v>
      </c>
    </row>
    <row r="281" spans="1:10" x14ac:dyDescent="0.25">
      <c r="A281" t="str">
        <f>IF(Sheet1!B281&lt;&gt;"",Sheet1!B281,"")</f>
        <v>teachers367</v>
      </c>
      <c r="B281" t="str">
        <f>IF(Sheet1!C281&lt;&gt;"",Sheet1!C281,"")</f>
        <v>SARIFUL MOLLAH</v>
      </c>
      <c r="C281" t="str">
        <f>IF(Sheet1!D281&lt;&gt;"",Sheet1!D281,"")</f>
        <v>THALIA SIBTOLA PRIMARY SCHOOL</v>
      </c>
      <c r="D281" t="str">
        <f>IF(Sheet1!E281&lt;&gt;"",Sheet1!E281,"")</f>
        <v>WBTPTA</v>
      </c>
      <c r="E281">
        <f>IF(Sheet1!DY281&lt;&gt;"",Sheet1!DY281,"")</f>
        <v>506180</v>
      </c>
      <c r="F281">
        <f>IF(Sheet1!EQ281&lt;&gt;"",Sheet1!EQ281,"")</f>
        <v>60000</v>
      </c>
      <c r="G281">
        <f>IF(Sheet1!EZ281&lt;&gt;"",Sheet1!EZ281,"")</f>
        <v>0</v>
      </c>
      <c r="H281">
        <f>IF(Sheet1!FA281&lt;&gt;"",Sheet1!FA281,"")</f>
        <v>393880</v>
      </c>
      <c r="I281">
        <f>IF(Sheet1!FI281&lt;&gt;"",Sheet1!FI281,"")</f>
        <v>0</v>
      </c>
      <c r="J281">
        <f ca="1">IF(Sheet1!GI281&lt;&gt;"",Sheet1!GI281,"")</f>
        <v>0</v>
      </c>
    </row>
    <row r="282" spans="1:10" x14ac:dyDescent="0.25">
      <c r="A282" t="str">
        <f>IF(Sheet1!B282&lt;&gt;"",Sheet1!B282,"")</f>
        <v>teachers394-a4f17403</v>
      </c>
      <c r="B282" t="str">
        <f>IF(Sheet1!C282&lt;&gt;"",Sheet1!C282,"")</f>
        <v>JNANSANKAR SINGHA MAHAPATRA</v>
      </c>
      <c r="C282" t="str">
        <f>IF(Sheet1!D282&lt;&gt;"",Sheet1!D282,"")</f>
        <v>THALIA SIBTOLA PRIMARY SCHOOL</v>
      </c>
      <c r="D282" t="str">
        <f>IF(Sheet1!E282&lt;&gt;"",Sheet1!E282,"")</f>
        <v>WBTPTA</v>
      </c>
      <c r="E282">
        <f>IF(Sheet1!DY282&lt;&gt;"",Sheet1!DY282,"")</f>
        <v>145656</v>
      </c>
      <c r="F282">
        <f>IF(Sheet1!EQ282&lt;&gt;"",Sheet1!EQ282,"")</f>
        <v>0</v>
      </c>
      <c r="G282">
        <f>IF(Sheet1!EZ282&lt;&gt;"",Sheet1!EZ282,"")</f>
        <v>0</v>
      </c>
      <c r="H282">
        <f>IF(Sheet1!FA282&lt;&gt;"",Sheet1!FA282,"")</f>
        <v>95056</v>
      </c>
      <c r="I282">
        <f>IF(Sheet1!FI282&lt;&gt;"",Sheet1!FI282,"")</f>
        <v>0</v>
      </c>
      <c r="J282">
        <f ca="1">IF(Sheet1!GI282&lt;&gt;"",Sheet1!GI282,"")</f>
        <v>0</v>
      </c>
    </row>
    <row r="283" spans="1:10" x14ac:dyDescent="0.25">
      <c r="A283" t="str">
        <f>IF(Sheet1!B283&lt;&gt;"",Sheet1!B283,"")</f>
        <v>teachers368</v>
      </c>
      <c r="B283" t="str">
        <f>IF(Sheet1!C283&lt;&gt;"",Sheet1!C283,"")</f>
        <v>MUNMUN CHANDRA</v>
      </c>
      <c r="C283" t="str">
        <f>IF(Sheet1!D283&lt;&gt;"",Sheet1!D283,"")</f>
        <v>UTTAR GAZIPUR PRIMARY SCHOOL</v>
      </c>
      <c r="D283" t="str">
        <f>IF(Sheet1!E283&lt;&gt;"",Sheet1!E283,"")</f>
        <v>WBTPTA</v>
      </c>
      <c r="E283">
        <f>IF(Sheet1!DY283&lt;&gt;"",Sheet1!DY283,"")</f>
        <v>776936</v>
      </c>
      <c r="F283">
        <f>IF(Sheet1!EQ283&lt;&gt;"",Sheet1!EQ283,"")</f>
        <v>48000</v>
      </c>
      <c r="G283">
        <f>IF(Sheet1!EZ283&lt;&gt;"",Sheet1!EZ283,"")</f>
        <v>0</v>
      </c>
      <c r="H283">
        <f>IF(Sheet1!FA283&lt;&gt;"",Sheet1!FA283,"")</f>
        <v>676536</v>
      </c>
      <c r="I283">
        <f>IF(Sheet1!FI283&lt;&gt;"",Sheet1!FI283,"")</f>
        <v>49719</v>
      </c>
      <c r="J283">
        <f ca="1">IF(Sheet1!GI283&lt;&gt;"",Sheet1!GI283,"")</f>
        <v>2817</v>
      </c>
    </row>
    <row r="284" spans="1:10" x14ac:dyDescent="0.25">
      <c r="A284" t="str">
        <f>IF(Sheet1!B284&lt;&gt;"",Sheet1!B284,"")</f>
        <v>teachers369</v>
      </c>
      <c r="B284" t="str">
        <f>IF(Sheet1!C284&lt;&gt;"",Sheet1!C284,"")</f>
        <v>SUPARNA GAYEN</v>
      </c>
      <c r="C284" t="str">
        <f>IF(Sheet1!D284&lt;&gt;"",Sheet1!D284,"")</f>
        <v>UTTAR GAZIPUR PRIMARY SCHOOL</v>
      </c>
      <c r="D284" t="str">
        <f>IF(Sheet1!E284&lt;&gt;"",Sheet1!E284,"")</f>
        <v>WBTPTA</v>
      </c>
      <c r="E284">
        <f>IF(Sheet1!DY284&lt;&gt;"",Sheet1!DY284,"")</f>
        <v>522260</v>
      </c>
      <c r="F284">
        <f>IF(Sheet1!EQ284&lt;&gt;"",Sheet1!EQ284,"")</f>
        <v>36000</v>
      </c>
      <c r="G284">
        <f>IF(Sheet1!EZ284&lt;&gt;"",Sheet1!EZ284,"")</f>
        <v>0</v>
      </c>
      <c r="H284">
        <f>IF(Sheet1!FA284&lt;&gt;"",Sheet1!FA284,"")</f>
        <v>433860</v>
      </c>
      <c r="I284">
        <f>IF(Sheet1!FI284&lt;&gt;"",Sheet1!FI284,"")</f>
        <v>0</v>
      </c>
      <c r="J284">
        <f ca="1">IF(Sheet1!GI284&lt;&gt;"",Sheet1!GI284,"")</f>
        <v>0</v>
      </c>
    </row>
    <row r="285" spans="1:10" x14ac:dyDescent="0.25">
      <c r="A285" t="str">
        <f>IF(Sheet1!B285&lt;&gt;"",Sheet1!B285,"")</f>
        <v>teachers370</v>
      </c>
      <c r="B285" t="str">
        <f>IF(Sheet1!C285&lt;&gt;"",Sheet1!C285,"")</f>
        <v>TANMOY SAHA</v>
      </c>
      <c r="C285" t="str">
        <f>IF(Sheet1!D285&lt;&gt;"",Sheet1!D285,"")</f>
        <v>UTTAR GAZIPUR PRIMARY SCHOOL</v>
      </c>
      <c r="D285" t="str">
        <f>IF(Sheet1!E285&lt;&gt;"",Sheet1!E285,"")</f>
        <v>WBTPTA</v>
      </c>
      <c r="E285">
        <f>IF(Sheet1!DY285&lt;&gt;"",Sheet1!DY285,"")</f>
        <v>522260</v>
      </c>
      <c r="F285">
        <f>IF(Sheet1!EQ285&lt;&gt;"",Sheet1!EQ285,"")</f>
        <v>28000</v>
      </c>
      <c r="G285">
        <f>IF(Sheet1!EZ285&lt;&gt;"",Sheet1!EZ285,"")</f>
        <v>0</v>
      </c>
      <c r="H285">
        <f>IF(Sheet1!FA285&lt;&gt;"",Sheet1!FA285,"")</f>
        <v>441860</v>
      </c>
      <c r="I285">
        <f>IF(Sheet1!FI285&lt;&gt;"",Sheet1!FI285,"")</f>
        <v>0</v>
      </c>
      <c r="J285">
        <f ca="1">IF(Sheet1!GI285&lt;&gt;"",Sheet1!GI285,"")</f>
        <v>0</v>
      </c>
    </row>
    <row r="286" spans="1:10" x14ac:dyDescent="0.25">
      <c r="A286" t="str">
        <f>IF(Sheet1!B286&lt;&gt;"",Sheet1!B286,"")</f>
        <v>teachers371</v>
      </c>
      <c r="B286" t="str">
        <f>IF(Sheet1!C286&lt;&gt;"",Sheet1!C286,"")</f>
        <v>SARAJIT BISWAS</v>
      </c>
      <c r="C286" t="str">
        <f>IF(Sheet1!D286&lt;&gt;"",Sheet1!D286,"")</f>
        <v>UTTAR GAZIPUR PRIMARY SCHOOL</v>
      </c>
      <c r="D286" t="str">
        <f>IF(Sheet1!E286&lt;&gt;"",Sheet1!E286,"")</f>
        <v>WBTPTA</v>
      </c>
      <c r="E286">
        <f>IF(Sheet1!DY286&lt;&gt;"",Sheet1!DY286,"")</f>
        <v>415160</v>
      </c>
      <c r="F286">
        <f>IF(Sheet1!EQ286&lt;&gt;"",Sheet1!EQ286,"")</f>
        <v>24000</v>
      </c>
      <c r="G286">
        <f>IF(Sheet1!EZ286&lt;&gt;"",Sheet1!EZ286,"")</f>
        <v>0</v>
      </c>
      <c r="H286">
        <f>IF(Sheet1!FA286&lt;&gt;"",Sheet1!FA286,"")</f>
        <v>339360</v>
      </c>
      <c r="I286">
        <f>IF(Sheet1!FI286&lt;&gt;"",Sheet1!FI286,"")</f>
        <v>0</v>
      </c>
      <c r="J286">
        <f ca="1">IF(Sheet1!GI286&lt;&gt;"",Sheet1!GI286,"")</f>
        <v>0</v>
      </c>
    </row>
    <row r="287" spans="1:10" x14ac:dyDescent="0.25">
      <c r="A287" t="str">
        <f>IF(Sheet1!B287&lt;&gt;"",Sheet1!B287,"")</f>
        <v>teachers372</v>
      </c>
      <c r="B287" t="str">
        <f>IF(Sheet1!C287&lt;&gt;"",Sheet1!C287,"")</f>
        <v>LAL CHAND SK</v>
      </c>
      <c r="C287" t="str">
        <f>IF(Sheet1!D287&lt;&gt;"",Sheet1!D287,"")</f>
        <v>UTTAR GAZIPUR PRIMARY SCHOOL</v>
      </c>
      <c r="D287" t="str">
        <f>IF(Sheet1!E287&lt;&gt;"",Sheet1!E287,"")</f>
        <v>WBTPTA</v>
      </c>
      <c r="E287">
        <f>IF(Sheet1!DY287&lt;&gt;"",Sheet1!DY287,"")</f>
        <v>478028</v>
      </c>
      <c r="F287">
        <f>IF(Sheet1!EQ287&lt;&gt;"",Sheet1!EQ287,"")</f>
        <v>24000</v>
      </c>
      <c r="G287">
        <f>IF(Sheet1!EZ287&lt;&gt;"",Sheet1!EZ287,"")</f>
        <v>0</v>
      </c>
      <c r="H287">
        <f>IF(Sheet1!FA287&lt;&gt;"",Sheet1!FA287,"")</f>
        <v>402178</v>
      </c>
      <c r="I287">
        <f>IF(Sheet1!FI287&lt;&gt;"",Sheet1!FI287,"")</f>
        <v>0</v>
      </c>
      <c r="J287">
        <f ca="1">IF(Sheet1!GI287&lt;&gt;"",Sheet1!GI287,"")</f>
        <v>0</v>
      </c>
    </row>
    <row r="288" spans="1:10" x14ac:dyDescent="0.25">
      <c r="A288" t="str">
        <f>IF(Sheet1!B288&lt;&gt;"",Sheet1!B288,"")</f>
        <v>teachers373</v>
      </c>
      <c r="B288" t="str">
        <f>IF(Sheet1!C288&lt;&gt;"",Sheet1!C288,"")</f>
        <v>RINA ADAK</v>
      </c>
      <c r="C288" t="str">
        <f>IF(Sheet1!D288&lt;&gt;"",Sheet1!D288,"")</f>
        <v>UTTAR JOYPUR PRIMARY SCHOOL</v>
      </c>
      <c r="D288" t="str">
        <f>IF(Sheet1!E288&lt;&gt;"",Sheet1!E288,"")</f>
        <v>ABPTA</v>
      </c>
      <c r="E288">
        <f>IF(Sheet1!DY288&lt;&gt;"",Sheet1!DY288,"")</f>
        <v>782936</v>
      </c>
      <c r="F288">
        <f>IF(Sheet1!EQ288&lt;&gt;"",Sheet1!EQ288,"")</f>
        <v>120000</v>
      </c>
      <c r="G288">
        <f>IF(Sheet1!EZ288&lt;&gt;"",Sheet1!EZ288,"")</f>
        <v>0</v>
      </c>
      <c r="H288">
        <f>IF(Sheet1!FA288&lt;&gt;"",Sheet1!FA288,"")</f>
        <v>610536</v>
      </c>
      <c r="I288">
        <f>IF(Sheet1!FI288&lt;&gt;"",Sheet1!FI288,"")</f>
        <v>35991</v>
      </c>
      <c r="J288">
        <f ca="1">IF(Sheet1!GI288&lt;&gt;"",Sheet1!GI288,"")</f>
        <v>8987</v>
      </c>
    </row>
    <row r="289" spans="1:10" x14ac:dyDescent="0.25">
      <c r="A289" t="str">
        <f>IF(Sheet1!B289&lt;&gt;"",Sheet1!B289,"")</f>
        <v>teachers374</v>
      </c>
      <c r="B289" t="str">
        <f>IF(Sheet1!C289&lt;&gt;"",Sheet1!C289,"")</f>
        <v>MRINMAY ADHIKARY</v>
      </c>
      <c r="C289" t="str">
        <f>IF(Sheet1!D289&lt;&gt;"",Sheet1!D289,"")</f>
        <v>UTTAR JOYPUR PRIMARY SCHOOL</v>
      </c>
      <c r="D289" t="str">
        <f>IF(Sheet1!E289&lt;&gt;"",Sheet1!E289,"")</f>
        <v>ABPTA</v>
      </c>
      <c r="E289">
        <f>IF(Sheet1!DY289&lt;&gt;"",Sheet1!DY289,"")</f>
        <v>575016</v>
      </c>
      <c r="F289">
        <f>IF(Sheet1!EQ289&lt;&gt;"",Sheet1!EQ289,"")</f>
        <v>60000</v>
      </c>
      <c r="G289">
        <f>IF(Sheet1!EZ289&lt;&gt;"",Sheet1!EZ289,"")</f>
        <v>0</v>
      </c>
      <c r="H289">
        <f>IF(Sheet1!FA289&lt;&gt;"",Sheet1!FA289,"")</f>
        <v>462616</v>
      </c>
      <c r="I289">
        <f>IF(Sheet1!FI289&lt;&gt;"",Sheet1!FI289,"")</f>
        <v>0</v>
      </c>
      <c r="J289">
        <f ca="1">IF(Sheet1!GI289&lt;&gt;"",Sheet1!GI289,"")</f>
        <v>0</v>
      </c>
    </row>
    <row r="290" spans="1:10" x14ac:dyDescent="0.25">
      <c r="A290" t="str">
        <f>IF(Sheet1!B290&lt;&gt;"",Sheet1!B290,"")</f>
        <v>teachers375</v>
      </c>
      <c r="B290" t="str">
        <f>IF(Sheet1!C290&lt;&gt;"",Sheet1!C290,"")</f>
        <v>MADHUMITA DHAL</v>
      </c>
      <c r="C290" t="str">
        <f>IF(Sheet1!D290&lt;&gt;"",Sheet1!D290,"")</f>
        <v>UTTAR JOYPUR PRIMARY SCHOOL</v>
      </c>
      <c r="D290" t="str">
        <f>IF(Sheet1!E290&lt;&gt;"",Sheet1!E290,"")</f>
        <v>WBTPTA</v>
      </c>
      <c r="E290">
        <f>IF(Sheet1!DY290&lt;&gt;"",Sheet1!DY290,"")</f>
        <v>413660</v>
      </c>
      <c r="F290">
        <f>IF(Sheet1!EQ290&lt;&gt;"",Sheet1!EQ290,"")</f>
        <v>24000</v>
      </c>
      <c r="G290">
        <f>IF(Sheet1!EZ290&lt;&gt;"",Sheet1!EZ290,"")</f>
        <v>0</v>
      </c>
      <c r="H290">
        <f>IF(Sheet1!FA290&lt;&gt;"",Sheet1!FA290,"")</f>
        <v>337860</v>
      </c>
      <c r="I290">
        <f>IF(Sheet1!FI290&lt;&gt;"",Sheet1!FI290,"")</f>
        <v>0</v>
      </c>
      <c r="J290">
        <f ca="1">IF(Sheet1!GI290&lt;&gt;"",Sheet1!GI290,"")</f>
        <v>0</v>
      </c>
    </row>
    <row r="291" spans="1:10" x14ac:dyDescent="0.25">
      <c r="A291" t="str">
        <f>IF(Sheet1!B291&lt;&gt;"",Sheet1!B291,"")</f>
        <v>teachers376</v>
      </c>
      <c r="B291" t="str">
        <f>IF(Sheet1!C291&lt;&gt;"",Sheet1!C291,"")</f>
        <v>SAILEN NEBU</v>
      </c>
      <c r="C291" t="str">
        <f>IF(Sheet1!D291&lt;&gt;"",Sheet1!D291,"")</f>
        <v>UTTAR KALBANSH KISHOR MOHAN PRIMARY SCHOOL</v>
      </c>
      <c r="D291" t="str">
        <f>IF(Sheet1!E291&lt;&gt;"",Sheet1!E291,"")</f>
        <v>ABPTA</v>
      </c>
      <c r="E291">
        <f>IF(Sheet1!DY291&lt;&gt;"",Sheet1!DY291,"")</f>
        <v>776936</v>
      </c>
      <c r="F291">
        <f>IF(Sheet1!EQ291&lt;&gt;"",Sheet1!EQ291,"")</f>
        <v>84720</v>
      </c>
      <c r="G291">
        <f>IF(Sheet1!EZ291&lt;&gt;"",Sheet1!EZ291,"")</f>
        <v>0</v>
      </c>
      <c r="H291">
        <f>IF(Sheet1!FA291&lt;&gt;"",Sheet1!FA291,"")</f>
        <v>639816</v>
      </c>
      <c r="I291">
        <f>IF(Sheet1!FI291&lt;&gt;"",Sheet1!FI291,"")</f>
        <v>42082</v>
      </c>
      <c r="J291">
        <f ca="1">IF(Sheet1!GI291&lt;&gt;"",Sheet1!GI291,"")</f>
        <v>2985</v>
      </c>
    </row>
    <row r="292" spans="1:10" x14ac:dyDescent="0.25">
      <c r="A292" t="str">
        <f>IF(Sheet1!B292&lt;&gt;"",Sheet1!B292,"")</f>
        <v>teachers377</v>
      </c>
      <c r="B292" t="str">
        <f>IF(Sheet1!C292&lt;&gt;"",Sheet1!C292,"")</f>
        <v>BISWAJIT SAU</v>
      </c>
      <c r="C292" t="str">
        <f>IF(Sheet1!D292&lt;&gt;"",Sheet1!D292,"")</f>
        <v>UTTAR KALBANSH KISHOR MOHAN PRIMARY SCHOOL</v>
      </c>
      <c r="D292" t="str">
        <f>IF(Sheet1!E292&lt;&gt;"",Sheet1!E292,"")</f>
        <v>WBTPTA</v>
      </c>
      <c r="E292">
        <f>IF(Sheet1!DY292&lt;&gt;"",Sheet1!DY292,"")</f>
        <v>506180</v>
      </c>
      <c r="F292">
        <f>IF(Sheet1!EQ292&lt;&gt;"",Sheet1!EQ292,"")</f>
        <v>28000</v>
      </c>
      <c r="G292">
        <f>IF(Sheet1!EZ292&lt;&gt;"",Sheet1!EZ292,"")</f>
        <v>0</v>
      </c>
      <c r="H292">
        <f>IF(Sheet1!FA292&lt;&gt;"",Sheet1!FA292,"")</f>
        <v>425880</v>
      </c>
      <c r="I292">
        <f>IF(Sheet1!FI292&lt;&gt;"",Sheet1!FI292,"")</f>
        <v>0</v>
      </c>
      <c r="J292">
        <f ca="1">IF(Sheet1!GI292&lt;&gt;"",Sheet1!GI292,"")</f>
        <v>0</v>
      </c>
    </row>
    <row r="293" spans="1:10" x14ac:dyDescent="0.25">
      <c r="A293" t="str">
        <f>IF(Sheet1!B293&lt;&gt;"",Sheet1!B293,"")</f>
        <v>teachers378</v>
      </c>
      <c r="B293" t="str">
        <f>IF(Sheet1!C293&lt;&gt;"",Sheet1!C293,"")</f>
        <v>KAMAL KUMAR DHARA</v>
      </c>
      <c r="C293" t="str">
        <f>IF(Sheet1!D293&lt;&gt;"",Sheet1!D293,"")</f>
        <v>UTTAR KANKROLE PRIMARY SCHOOL</v>
      </c>
      <c r="D293" t="str">
        <f>IF(Sheet1!E293&lt;&gt;"",Sheet1!E293,"")</f>
        <v>WBTPTA</v>
      </c>
      <c r="E293">
        <f>IF(Sheet1!DY293&lt;&gt;"",Sheet1!DY293,"")</f>
        <v>732196</v>
      </c>
      <c r="F293">
        <f>IF(Sheet1!EQ293&lt;&gt;"",Sheet1!EQ293,"")</f>
        <v>120000</v>
      </c>
      <c r="G293">
        <f>IF(Sheet1!EZ293&lt;&gt;"",Sheet1!EZ293,"")</f>
        <v>0</v>
      </c>
      <c r="H293">
        <f>IF(Sheet1!FA293&lt;&gt;"",Sheet1!FA293,"")</f>
        <v>559796</v>
      </c>
      <c r="I293">
        <f>IF(Sheet1!FI293&lt;&gt;"",Sheet1!FI293,"")</f>
        <v>25437</v>
      </c>
      <c r="J293">
        <f ca="1">IF(Sheet1!GI293&lt;&gt;"",Sheet1!GI293,"")</f>
        <v>0</v>
      </c>
    </row>
    <row r="294" spans="1:10" x14ac:dyDescent="0.25">
      <c r="A294" t="str">
        <f>IF(Sheet1!B294&lt;&gt;"",Sheet1!B294,"")</f>
        <v>teachers379</v>
      </c>
      <c r="B294" t="str">
        <f>IF(Sheet1!C294&lt;&gt;"",Sheet1!C294,"")</f>
        <v>DIBYENDU KUMAR ADHIKARY</v>
      </c>
      <c r="C294" t="str">
        <f>IF(Sheet1!D294&lt;&gt;"",Sheet1!D294,"")</f>
        <v>UTTAR KANKROLE PRIMARY SCHOOL</v>
      </c>
      <c r="D294" t="str">
        <f>IF(Sheet1!E294&lt;&gt;"",Sheet1!E294,"")</f>
        <v>WBTPTA</v>
      </c>
      <c r="E294">
        <f>IF(Sheet1!DY294&lt;&gt;"",Sheet1!DY294,"")</f>
        <v>512180</v>
      </c>
      <c r="F294">
        <f>IF(Sheet1!EQ294&lt;&gt;"",Sheet1!EQ294,"")</f>
        <v>36000</v>
      </c>
      <c r="G294">
        <f>IF(Sheet1!EZ294&lt;&gt;"",Sheet1!EZ294,"")</f>
        <v>0</v>
      </c>
      <c r="H294">
        <f>IF(Sheet1!FA294&lt;&gt;"",Sheet1!FA294,"")</f>
        <v>423780</v>
      </c>
      <c r="I294">
        <f>IF(Sheet1!FI294&lt;&gt;"",Sheet1!FI294,"")</f>
        <v>0</v>
      </c>
      <c r="J294">
        <f ca="1">IF(Sheet1!GI294&lt;&gt;"",Sheet1!GI294,"")</f>
        <v>0</v>
      </c>
    </row>
    <row r="295" spans="1:10" x14ac:dyDescent="0.25">
      <c r="A295" t="str">
        <f>IF(Sheet1!B295&lt;&gt;"",Sheet1!B295,"")</f>
        <v>teachers380</v>
      </c>
      <c r="B295" t="str">
        <f>IF(Sheet1!C295&lt;&gt;"",Sheet1!C295,"")</f>
        <v>SANJUKTA HAJRA</v>
      </c>
      <c r="C295" t="str">
        <f>IF(Sheet1!D295&lt;&gt;"",Sheet1!D295,"")</f>
        <v>UTTAR KANKROLE PRIMARY SCHOOL</v>
      </c>
      <c r="D295" t="str">
        <f>IF(Sheet1!E295&lt;&gt;"",Sheet1!E295,"")</f>
        <v>WBTPTA</v>
      </c>
      <c r="E295">
        <f>IF(Sheet1!DY295&lt;&gt;"",Sheet1!DY295,"")</f>
        <v>512180</v>
      </c>
      <c r="F295">
        <f>IF(Sheet1!EQ295&lt;&gt;"",Sheet1!EQ295,"")</f>
        <v>60000</v>
      </c>
      <c r="G295">
        <f>IF(Sheet1!EZ295&lt;&gt;"",Sheet1!EZ295,"")</f>
        <v>0</v>
      </c>
      <c r="H295">
        <f>IF(Sheet1!FA295&lt;&gt;"",Sheet1!FA295,"")</f>
        <v>399780</v>
      </c>
      <c r="I295">
        <f>IF(Sheet1!FI295&lt;&gt;"",Sheet1!FI295,"")</f>
        <v>0</v>
      </c>
      <c r="J295">
        <f ca="1">IF(Sheet1!GI295&lt;&gt;"",Sheet1!GI295,"")</f>
        <v>0</v>
      </c>
    </row>
    <row r="296" spans="1:10" x14ac:dyDescent="0.25">
      <c r="A296" t="str">
        <f>IF(Sheet1!B296&lt;&gt;"",Sheet1!B296,"")</f>
        <v>teachers381</v>
      </c>
      <c r="B296" t="str">
        <f>IF(Sheet1!C296&lt;&gt;"",Sheet1!C296,"")</f>
        <v>SK MAIDUL ISLAM</v>
      </c>
      <c r="C296" t="str">
        <f>IF(Sheet1!D296&lt;&gt;"",Sheet1!D296,"")</f>
        <v>UTTAR SEHAGORI PRIMARY SCHOOL</v>
      </c>
      <c r="D296" t="str">
        <f>IF(Sheet1!E296&lt;&gt;"",Sheet1!E296,"")</f>
        <v>WBTPTA</v>
      </c>
      <c r="E296">
        <f>IF(Sheet1!DY296&lt;&gt;"",Sheet1!DY296,"")</f>
        <v>521060</v>
      </c>
      <c r="F296">
        <f>IF(Sheet1!EQ296&lt;&gt;"",Sheet1!EQ296,"")</f>
        <v>28000</v>
      </c>
      <c r="G296">
        <f>IF(Sheet1!EZ296&lt;&gt;"",Sheet1!EZ296,"")</f>
        <v>0</v>
      </c>
      <c r="H296">
        <f>IF(Sheet1!FA296&lt;&gt;"",Sheet1!FA296,"")</f>
        <v>440660</v>
      </c>
      <c r="I296">
        <f>IF(Sheet1!FI296&lt;&gt;"",Sheet1!FI296,"")</f>
        <v>0</v>
      </c>
      <c r="J296">
        <f ca="1">IF(Sheet1!GI296&lt;&gt;"",Sheet1!GI296,"")</f>
        <v>0</v>
      </c>
    </row>
    <row r="297" spans="1:10" x14ac:dyDescent="0.25">
      <c r="A297" t="str">
        <f>IF(Sheet1!B297&lt;&gt;"",Sheet1!B297,"")</f>
        <v>teachers382</v>
      </c>
      <c r="B297" t="str">
        <f>IF(Sheet1!C297&lt;&gt;"",Sheet1!C297,"")</f>
        <v>MALLIKA GAYEN</v>
      </c>
      <c r="C297" t="str">
        <f>IF(Sheet1!D297&lt;&gt;"",Sheet1!D297,"")</f>
        <v>UTTAR SEHAGORI PRIMARY SCHOOL</v>
      </c>
      <c r="D297" t="str">
        <f>IF(Sheet1!E297&lt;&gt;"",Sheet1!E297,"")</f>
        <v>WBTPTA</v>
      </c>
      <c r="E297">
        <f>IF(Sheet1!DY297&lt;&gt;"",Sheet1!DY297,"")</f>
        <v>522260</v>
      </c>
      <c r="F297">
        <f>IF(Sheet1!EQ297&lt;&gt;"",Sheet1!EQ297,"")</f>
        <v>28000</v>
      </c>
      <c r="G297">
        <f>IF(Sheet1!EZ297&lt;&gt;"",Sheet1!EZ297,"")</f>
        <v>0</v>
      </c>
      <c r="H297">
        <f>IF(Sheet1!FA297&lt;&gt;"",Sheet1!FA297,"")</f>
        <v>441860</v>
      </c>
      <c r="I297">
        <f>IF(Sheet1!FI297&lt;&gt;"",Sheet1!FI297,"")</f>
        <v>0</v>
      </c>
      <c r="J297">
        <f ca="1">IF(Sheet1!GI297&lt;&gt;"",Sheet1!GI297,"")</f>
        <v>0</v>
      </c>
    </row>
    <row r="298" spans="1:10" x14ac:dyDescent="0.25">
      <c r="A298" t="str">
        <f>IF(Sheet1!B298&lt;&gt;"",Sheet1!B298,"")</f>
        <v>teachers383</v>
      </c>
      <c r="B298" t="str">
        <f>IF(Sheet1!C298&lt;&gt;"",Sheet1!C298,"")</f>
        <v>SURASHREE SADHUKHAN SAHA</v>
      </c>
      <c r="C298" t="str">
        <f>IF(Sheet1!D298&lt;&gt;"",Sheet1!D298,"")</f>
        <v>UTTAR SEHAGORI PRIMARY SCHOOL</v>
      </c>
      <c r="D298" t="str">
        <f>IF(Sheet1!E298&lt;&gt;"",Sheet1!E298,"")</f>
        <v>WBTPTA</v>
      </c>
      <c r="E298">
        <f>IF(Sheet1!DY298&lt;&gt;"",Sheet1!DY298,"")</f>
        <v>522260</v>
      </c>
      <c r="F298">
        <f>IF(Sheet1!EQ298&lt;&gt;"",Sheet1!EQ298,"")</f>
        <v>28000</v>
      </c>
      <c r="G298">
        <f>IF(Sheet1!EZ298&lt;&gt;"",Sheet1!EZ298,"")</f>
        <v>0</v>
      </c>
      <c r="H298">
        <f>IF(Sheet1!FA298&lt;&gt;"",Sheet1!FA298,"")</f>
        <v>441860</v>
      </c>
      <c r="I298">
        <f>IF(Sheet1!FI298&lt;&gt;"",Sheet1!FI298,"")</f>
        <v>0</v>
      </c>
      <c r="J298">
        <f ca="1">IF(Sheet1!GI298&lt;&gt;"",Sheet1!GI298,"")</f>
        <v>0</v>
      </c>
    </row>
    <row r="299" spans="1:10" x14ac:dyDescent="0.25">
      <c r="A299" t="str">
        <f>IF(Sheet1!B299&lt;&gt;"",Sheet1!B299,"")</f>
        <v>teachers384</v>
      </c>
      <c r="B299" t="str">
        <f>IF(Sheet1!C299&lt;&gt;"",Sheet1!C299,"")</f>
        <v>ABDUS SALAM MOLLICK</v>
      </c>
      <c r="C299" t="str">
        <f>IF(Sheet1!D299&lt;&gt;"",Sheet1!D299,"")</f>
        <v>UTTAR SEHAGORI PRIMARY SCHOOL</v>
      </c>
      <c r="D299" t="str">
        <f>IF(Sheet1!E299&lt;&gt;"",Sheet1!E299,"")</f>
        <v>WBTPTA</v>
      </c>
      <c r="E299">
        <f>IF(Sheet1!DY299&lt;&gt;"",Sheet1!DY299,"")</f>
        <v>478028</v>
      </c>
      <c r="F299">
        <f>IF(Sheet1!EQ299&lt;&gt;"",Sheet1!EQ299,"")</f>
        <v>24000</v>
      </c>
      <c r="G299">
        <f>IF(Sheet1!EZ299&lt;&gt;"",Sheet1!EZ299,"")</f>
        <v>0</v>
      </c>
      <c r="H299">
        <f>IF(Sheet1!FA299&lt;&gt;"",Sheet1!FA299,"")</f>
        <v>402178</v>
      </c>
      <c r="I299">
        <f>IF(Sheet1!FI299&lt;&gt;"",Sheet1!FI299,"")</f>
        <v>0</v>
      </c>
      <c r="J299">
        <f ca="1">IF(Sheet1!GI299&lt;&gt;"",Sheet1!GI299,"")</f>
        <v>0</v>
      </c>
    </row>
    <row r="300" spans="1:10" x14ac:dyDescent="0.25">
      <c r="A300" t="str">
        <f>IF(Sheet1!B300&lt;&gt;"",Sheet1!B300,"")</f>
        <v/>
      </c>
      <c r="B300" t="str">
        <f>IF(Sheet1!C300&lt;&gt;"",Sheet1!C300,"")</f>
        <v/>
      </c>
      <c r="C300" t="str">
        <f>IF(Sheet1!D300&lt;&gt;"",Sheet1!D300,"")</f>
        <v/>
      </c>
      <c r="D300" t="str">
        <f>IF(Sheet1!E300&lt;&gt;"",Sheet1!E300,"")</f>
        <v/>
      </c>
      <c r="E300" t="str">
        <f>IF(Sheet1!DY300&lt;&gt;"",Sheet1!DY300,"")</f>
        <v/>
      </c>
      <c r="F300" t="str">
        <f>IF(Sheet1!EQ300&lt;&gt;"",Sheet1!EQ300,"")</f>
        <v/>
      </c>
      <c r="G300" t="str">
        <f>IF(Sheet1!EZ300&lt;&gt;"",Sheet1!EZ300,"")</f>
        <v/>
      </c>
      <c r="H300" t="str">
        <f>IF(Sheet1!FA300&lt;&gt;"",Sheet1!FA300,"")</f>
        <v/>
      </c>
      <c r="I300" t="str">
        <f>IF(Sheet1!FI300&lt;&gt;"",Sheet1!FI300,"")</f>
        <v/>
      </c>
      <c r="J300" t="str">
        <f>IF(Sheet1!GI300&lt;&gt;"",Sheet1!GI300,"")</f>
        <v/>
      </c>
    </row>
    <row r="301" spans="1:10" x14ac:dyDescent="0.25">
      <c r="A301" t="str">
        <f>IF(Sheet1!B301&lt;&gt;"",Sheet1!B301,"")</f>
        <v/>
      </c>
      <c r="B301" t="str">
        <f>IF(Sheet1!C301&lt;&gt;"",Sheet1!C301,"")</f>
        <v/>
      </c>
      <c r="C301" t="str">
        <f>IF(Sheet1!D301&lt;&gt;"",Sheet1!D301,"")</f>
        <v/>
      </c>
      <c r="D301" t="str">
        <f>IF(Sheet1!E301&lt;&gt;"",Sheet1!E301,"")</f>
        <v/>
      </c>
      <c r="E301" t="str">
        <f>IF(Sheet1!DY301&lt;&gt;"",Sheet1!DY301,"")</f>
        <v/>
      </c>
      <c r="F301" t="str">
        <f>IF(Sheet1!EQ301&lt;&gt;"",Sheet1!EQ301,"")</f>
        <v/>
      </c>
      <c r="G301" t="str">
        <f>IF(Sheet1!EZ301&lt;&gt;"",Sheet1!EZ301,"")</f>
        <v/>
      </c>
      <c r="H301" t="str">
        <f>IF(Sheet1!FA301&lt;&gt;"",Sheet1!FA301,"")</f>
        <v/>
      </c>
      <c r="I301" t="str">
        <f>IF(Sheet1!FI301&lt;&gt;"",Sheet1!FI301,"")</f>
        <v/>
      </c>
      <c r="J301" t="str">
        <f>IF(Sheet1!GI301&lt;&gt;"",Sheet1!GI301,"")</f>
        <v/>
      </c>
    </row>
    <row r="302" spans="1:10" x14ac:dyDescent="0.25">
      <c r="A302" t="str">
        <f>IF(Sheet1!B302&lt;&gt;"",Sheet1!B302,"")</f>
        <v/>
      </c>
      <c r="B302" t="str">
        <f>IF(Sheet1!C302&lt;&gt;"",Sheet1!C302,"")</f>
        <v/>
      </c>
      <c r="C302" t="str">
        <f>IF(Sheet1!D302&lt;&gt;"",Sheet1!D302,"")</f>
        <v/>
      </c>
      <c r="D302" t="str">
        <f>IF(Sheet1!E302&lt;&gt;"",Sheet1!E302,"")</f>
        <v/>
      </c>
      <c r="E302" t="str">
        <f>IF(Sheet1!DY302&lt;&gt;"",Sheet1!DY302,"")</f>
        <v/>
      </c>
      <c r="F302" t="str">
        <f>IF(Sheet1!EQ302&lt;&gt;"",Sheet1!EQ302,"")</f>
        <v/>
      </c>
      <c r="G302" t="str">
        <f>IF(Sheet1!EZ302&lt;&gt;"",Sheet1!EZ302,"")</f>
        <v/>
      </c>
      <c r="H302" t="str">
        <f>IF(Sheet1!FA302&lt;&gt;"",Sheet1!FA302,"")</f>
        <v/>
      </c>
      <c r="I302" t="str">
        <f>IF(Sheet1!FI302&lt;&gt;"",Sheet1!FI302,"")</f>
        <v/>
      </c>
      <c r="J302" t="str">
        <f>IF(Sheet1!GI302&lt;&gt;"",Sheet1!GI302,"")</f>
        <v/>
      </c>
    </row>
    <row r="303" spans="1:10" x14ac:dyDescent="0.25">
      <c r="A303" t="str">
        <f>IF(Sheet1!B303&lt;&gt;"",Sheet1!B303,"")</f>
        <v/>
      </c>
      <c r="B303" t="str">
        <f>IF(Sheet1!C303&lt;&gt;"",Sheet1!C303,"")</f>
        <v/>
      </c>
      <c r="C303" t="str">
        <f>IF(Sheet1!D303&lt;&gt;"",Sheet1!D303,"")</f>
        <v/>
      </c>
      <c r="D303" t="str">
        <f>IF(Sheet1!E303&lt;&gt;"",Sheet1!E303,"")</f>
        <v/>
      </c>
      <c r="E303" t="str">
        <f>IF(Sheet1!DY303&lt;&gt;"",Sheet1!DY303,"")</f>
        <v/>
      </c>
      <c r="F303" t="str">
        <f>IF(Sheet1!EQ303&lt;&gt;"",Sheet1!EQ303,"")</f>
        <v/>
      </c>
      <c r="G303" t="str">
        <f>IF(Sheet1!EZ303&lt;&gt;"",Sheet1!EZ303,"")</f>
        <v/>
      </c>
      <c r="H303" t="str">
        <f>IF(Sheet1!FA303&lt;&gt;"",Sheet1!FA303,"")</f>
        <v/>
      </c>
      <c r="I303" t="str">
        <f>IF(Sheet1!FI303&lt;&gt;"",Sheet1!FI303,"")</f>
        <v/>
      </c>
      <c r="J303" t="str">
        <f>IF(Sheet1!GI303&lt;&gt;"",Sheet1!GI303,"")</f>
        <v/>
      </c>
    </row>
    <row r="304" spans="1:10" x14ac:dyDescent="0.25">
      <c r="A304" t="str">
        <f>IF(Sheet1!B304&lt;&gt;"",Sheet1!B304,"")</f>
        <v/>
      </c>
      <c r="B304" t="str">
        <f>IF(Sheet1!C304&lt;&gt;"",Sheet1!C304,"")</f>
        <v/>
      </c>
      <c r="C304" t="str">
        <f>IF(Sheet1!D304&lt;&gt;"",Sheet1!D304,"")</f>
        <v/>
      </c>
      <c r="D304" t="str">
        <f>IF(Sheet1!E304&lt;&gt;"",Sheet1!E304,"")</f>
        <v/>
      </c>
      <c r="E304" t="str">
        <f>IF(Sheet1!DY304&lt;&gt;"",Sheet1!DY304,"")</f>
        <v/>
      </c>
      <c r="F304" t="str">
        <f>IF(Sheet1!EQ304&lt;&gt;"",Sheet1!EQ304,"")</f>
        <v/>
      </c>
      <c r="G304" t="str">
        <f>IF(Sheet1!EZ304&lt;&gt;"",Sheet1!EZ304,"")</f>
        <v/>
      </c>
      <c r="H304" t="str">
        <f>IF(Sheet1!FA304&lt;&gt;"",Sheet1!FA304,"")</f>
        <v/>
      </c>
      <c r="I304" t="str">
        <f>IF(Sheet1!FI304&lt;&gt;"",Sheet1!FI304,"")</f>
        <v/>
      </c>
      <c r="J304" t="str">
        <f>IF(Sheet1!GI304&lt;&gt;"",Sheet1!GI304,"")</f>
        <v/>
      </c>
    </row>
    <row r="305" spans="1:10" x14ac:dyDescent="0.25">
      <c r="A305" t="str">
        <f>IF(Sheet1!B305&lt;&gt;"",Sheet1!B305,"")</f>
        <v/>
      </c>
      <c r="B305" t="str">
        <f>IF(Sheet1!C305&lt;&gt;"",Sheet1!C305,"")</f>
        <v/>
      </c>
      <c r="C305" t="str">
        <f>IF(Sheet1!D305&lt;&gt;"",Sheet1!D305,"")</f>
        <v/>
      </c>
      <c r="D305" t="str">
        <f>IF(Sheet1!E305&lt;&gt;"",Sheet1!E305,"")</f>
        <v/>
      </c>
      <c r="E305" t="str">
        <f>IF(Sheet1!DY305&lt;&gt;"",Sheet1!DY305,"")</f>
        <v/>
      </c>
      <c r="F305" t="str">
        <f>IF(Sheet1!EQ305&lt;&gt;"",Sheet1!EQ305,"")</f>
        <v/>
      </c>
      <c r="G305" t="str">
        <f>IF(Sheet1!EZ305&lt;&gt;"",Sheet1!EZ305,"")</f>
        <v/>
      </c>
      <c r="H305" t="str">
        <f>IF(Sheet1!FA305&lt;&gt;"",Sheet1!FA305,"")</f>
        <v/>
      </c>
      <c r="I305" t="str">
        <f>IF(Sheet1!FI305&lt;&gt;"",Sheet1!FI305,"")</f>
        <v/>
      </c>
      <c r="J305" t="str">
        <f>IF(Sheet1!GI305&lt;&gt;"",Sheet1!GI305,"")</f>
        <v/>
      </c>
    </row>
    <row r="306" spans="1:10" x14ac:dyDescent="0.25">
      <c r="A306" t="str">
        <f>IF(Sheet1!B306&lt;&gt;"",Sheet1!B306,"")</f>
        <v/>
      </c>
      <c r="B306" t="str">
        <f>IF(Sheet1!C306&lt;&gt;"",Sheet1!C306,"")</f>
        <v/>
      </c>
      <c r="C306" t="str">
        <f>IF(Sheet1!D306&lt;&gt;"",Sheet1!D306,"")</f>
        <v/>
      </c>
      <c r="D306" t="str">
        <f>IF(Sheet1!E306&lt;&gt;"",Sheet1!E306,"")</f>
        <v/>
      </c>
      <c r="E306" t="str">
        <f>IF(Sheet1!DY306&lt;&gt;"",Sheet1!DY306,"")</f>
        <v/>
      </c>
      <c r="F306" t="str">
        <f>IF(Sheet1!EQ306&lt;&gt;"",Sheet1!EQ306,"")</f>
        <v/>
      </c>
      <c r="G306" t="str">
        <f>IF(Sheet1!EZ306&lt;&gt;"",Sheet1!EZ306,"")</f>
        <v/>
      </c>
      <c r="H306" t="str">
        <f>IF(Sheet1!FA306&lt;&gt;"",Sheet1!FA306,"")</f>
        <v/>
      </c>
      <c r="I306" t="str">
        <f>IF(Sheet1!FI306&lt;&gt;"",Sheet1!FI306,"")</f>
        <v/>
      </c>
      <c r="J306" t="str">
        <f>IF(Sheet1!GI306&lt;&gt;"",Sheet1!GI306,"")</f>
        <v/>
      </c>
    </row>
    <row r="307" spans="1:10" x14ac:dyDescent="0.25">
      <c r="A307" t="str">
        <f>IF(Sheet1!B307&lt;&gt;"",Sheet1!B307,"")</f>
        <v/>
      </c>
      <c r="B307" t="str">
        <f>IF(Sheet1!C307&lt;&gt;"",Sheet1!C307,"")</f>
        <v/>
      </c>
      <c r="C307" t="str">
        <f>IF(Sheet1!D307&lt;&gt;"",Sheet1!D307,"")</f>
        <v/>
      </c>
      <c r="D307" t="str">
        <f>IF(Sheet1!E307&lt;&gt;"",Sheet1!E307,"")</f>
        <v/>
      </c>
      <c r="E307" t="str">
        <f>IF(Sheet1!DY307&lt;&gt;"",Sheet1!DY307,"")</f>
        <v/>
      </c>
      <c r="F307" t="str">
        <f>IF(Sheet1!EQ307&lt;&gt;"",Sheet1!EQ307,"")</f>
        <v/>
      </c>
      <c r="G307" t="str">
        <f>IF(Sheet1!EZ307&lt;&gt;"",Sheet1!EZ307,"")</f>
        <v/>
      </c>
      <c r="H307" t="str">
        <f>IF(Sheet1!FA307&lt;&gt;"",Sheet1!FA307,"")</f>
        <v/>
      </c>
      <c r="I307" t="str">
        <f>IF(Sheet1!FI307&lt;&gt;"",Sheet1!FI307,"")</f>
        <v/>
      </c>
      <c r="J307" t="str">
        <f>IF(Sheet1!GI307&lt;&gt;"",Sheet1!GI307,"")</f>
        <v/>
      </c>
    </row>
    <row r="308" spans="1:10" x14ac:dyDescent="0.25">
      <c r="A308" t="str">
        <f>IF(Sheet1!B308&lt;&gt;"",Sheet1!B308,"")</f>
        <v/>
      </c>
      <c r="B308" t="str">
        <f>IF(Sheet1!C308&lt;&gt;"",Sheet1!C308,"")</f>
        <v/>
      </c>
      <c r="C308" t="str">
        <f>IF(Sheet1!D308&lt;&gt;"",Sheet1!D308,"")</f>
        <v/>
      </c>
      <c r="D308" t="str">
        <f>IF(Sheet1!E308&lt;&gt;"",Sheet1!E308,"")</f>
        <v/>
      </c>
      <c r="E308" t="str">
        <f>IF(Sheet1!DY308&lt;&gt;"",Sheet1!DY308,"")</f>
        <v/>
      </c>
      <c r="F308" t="str">
        <f>IF(Sheet1!EQ308&lt;&gt;"",Sheet1!EQ308,"")</f>
        <v/>
      </c>
      <c r="G308" t="str">
        <f>IF(Sheet1!EZ308&lt;&gt;"",Sheet1!EZ308,"")</f>
        <v/>
      </c>
      <c r="H308" t="str">
        <f>IF(Sheet1!FA308&lt;&gt;"",Sheet1!FA308,"")</f>
        <v/>
      </c>
      <c r="I308" t="str">
        <f>IF(Sheet1!FI308&lt;&gt;"",Sheet1!FI308,"")</f>
        <v/>
      </c>
      <c r="J308" t="str">
        <f>IF(Sheet1!GI308&lt;&gt;"",Sheet1!GI308,"")</f>
        <v/>
      </c>
    </row>
    <row r="309" spans="1:10" x14ac:dyDescent="0.25">
      <c r="A309" t="str">
        <f>IF(Sheet1!B309&lt;&gt;"",Sheet1!B309,"")</f>
        <v/>
      </c>
      <c r="B309" t="str">
        <f>IF(Sheet1!C309&lt;&gt;"",Sheet1!C309,"")</f>
        <v/>
      </c>
      <c r="C309" t="str">
        <f>IF(Sheet1!D309&lt;&gt;"",Sheet1!D309,"")</f>
        <v/>
      </c>
      <c r="D309" t="str">
        <f>IF(Sheet1!E309&lt;&gt;"",Sheet1!E309,"")</f>
        <v/>
      </c>
      <c r="E309" t="str">
        <f>IF(Sheet1!DY309&lt;&gt;"",Sheet1!DY309,"")</f>
        <v/>
      </c>
      <c r="F309" t="str">
        <f>IF(Sheet1!EQ309&lt;&gt;"",Sheet1!EQ309,"")</f>
        <v/>
      </c>
      <c r="G309" t="str">
        <f>IF(Sheet1!EZ309&lt;&gt;"",Sheet1!EZ309,"")</f>
        <v/>
      </c>
      <c r="H309" t="str">
        <f>IF(Sheet1!FA309&lt;&gt;"",Sheet1!FA309,"")</f>
        <v/>
      </c>
      <c r="I309" t="str">
        <f>IF(Sheet1!FI309&lt;&gt;"",Sheet1!FI309,"")</f>
        <v/>
      </c>
      <c r="J309" t="str">
        <f>IF(Sheet1!GI309&lt;&gt;"",Sheet1!GI309,"")</f>
        <v/>
      </c>
    </row>
    <row r="310" spans="1:10" x14ac:dyDescent="0.25">
      <c r="A310" t="str">
        <f>IF(Sheet1!B310&lt;&gt;"",Sheet1!B310,"")</f>
        <v/>
      </c>
      <c r="B310" t="str">
        <f>IF(Sheet1!C310&lt;&gt;"",Sheet1!C310,"")</f>
        <v/>
      </c>
      <c r="C310" t="str">
        <f>IF(Sheet1!D310&lt;&gt;"",Sheet1!D310,"")</f>
        <v/>
      </c>
      <c r="D310" t="str">
        <f>IF(Sheet1!E310&lt;&gt;"",Sheet1!E310,"")</f>
        <v/>
      </c>
      <c r="E310" t="str">
        <f>IF(Sheet1!DY310&lt;&gt;"",Sheet1!DY310,"")</f>
        <v/>
      </c>
      <c r="F310" t="str">
        <f>IF(Sheet1!EQ310&lt;&gt;"",Sheet1!EQ310,"")</f>
        <v/>
      </c>
      <c r="G310" t="str">
        <f>IF(Sheet1!EZ310&lt;&gt;"",Sheet1!EZ310,"")</f>
        <v/>
      </c>
      <c r="H310" t="str">
        <f>IF(Sheet1!FA310&lt;&gt;"",Sheet1!FA310,"")</f>
        <v/>
      </c>
      <c r="I310" t="str">
        <f>IF(Sheet1!FI310&lt;&gt;"",Sheet1!FI310,"")</f>
        <v/>
      </c>
      <c r="J310" t="str">
        <f>IF(Sheet1!GI310&lt;&gt;"",Sheet1!GI310,"")</f>
        <v/>
      </c>
    </row>
    <row r="311" spans="1:10" x14ac:dyDescent="0.25">
      <c r="A311" t="str">
        <f>IF(Sheet1!B311&lt;&gt;"",Sheet1!B311,"")</f>
        <v/>
      </c>
      <c r="B311" t="str">
        <f>IF(Sheet1!C311&lt;&gt;"",Sheet1!C311,"")</f>
        <v/>
      </c>
      <c r="C311" t="str">
        <f>IF(Sheet1!D311&lt;&gt;"",Sheet1!D311,"")</f>
        <v/>
      </c>
      <c r="D311" t="str">
        <f>IF(Sheet1!E311&lt;&gt;"",Sheet1!E311,"")</f>
        <v/>
      </c>
      <c r="E311" t="str">
        <f>IF(Sheet1!DY311&lt;&gt;"",Sheet1!DY311,"")</f>
        <v/>
      </c>
      <c r="F311" t="str">
        <f>IF(Sheet1!EQ311&lt;&gt;"",Sheet1!EQ311,"")</f>
        <v/>
      </c>
      <c r="G311" t="str">
        <f>IF(Sheet1!EZ311&lt;&gt;"",Sheet1!EZ311,"")</f>
        <v/>
      </c>
      <c r="H311" t="str">
        <f>IF(Sheet1!FA311&lt;&gt;"",Sheet1!FA311,"")</f>
        <v/>
      </c>
      <c r="I311" t="str">
        <f>IF(Sheet1!FI311&lt;&gt;"",Sheet1!FI311,"")</f>
        <v/>
      </c>
      <c r="J311" t="str">
        <f>IF(Sheet1!GI311&lt;&gt;"",Sheet1!GI311,"")</f>
        <v/>
      </c>
    </row>
    <row r="312" spans="1:10" x14ac:dyDescent="0.25">
      <c r="A312" t="str">
        <f>IF(Sheet1!B312&lt;&gt;"",Sheet1!B312,"")</f>
        <v/>
      </c>
      <c r="B312" t="str">
        <f>IF(Sheet1!C312&lt;&gt;"",Sheet1!C312,"")</f>
        <v/>
      </c>
      <c r="C312" t="str">
        <f>IF(Sheet1!D312&lt;&gt;"",Sheet1!D312,"")</f>
        <v/>
      </c>
      <c r="D312" t="str">
        <f>IF(Sheet1!E312&lt;&gt;"",Sheet1!E312,"")</f>
        <v/>
      </c>
      <c r="E312" t="str">
        <f>IF(Sheet1!DY312&lt;&gt;"",Sheet1!DY312,"")</f>
        <v/>
      </c>
      <c r="F312" t="str">
        <f>IF(Sheet1!EQ312&lt;&gt;"",Sheet1!EQ312,"")</f>
        <v/>
      </c>
      <c r="G312" t="str">
        <f>IF(Sheet1!EZ312&lt;&gt;"",Sheet1!EZ312,"")</f>
        <v/>
      </c>
      <c r="H312" t="str">
        <f>IF(Sheet1!FA312&lt;&gt;"",Sheet1!FA312,"")</f>
        <v/>
      </c>
      <c r="I312" t="str">
        <f>IF(Sheet1!FI312&lt;&gt;"",Sheet1!FI312,"")</f>
        <v/>
      </c>
      <c r="J312" t="str">
        <f>IF(Sheet1!GI312&lt;&gt;"",Sheet1!GI312,"")</f>
        <v/>
      </c>
    </row>
    <row r="313" spans="1:10" x14ac:dyDescent="0.25">
      <c r="A313" t="str">
        <f>IF(Sheet1!B313&lt;&gt;"",Sheet1!B313,"")</f>
        <v/>
      </c>
      <c r="B313" t="str">
        <f>IF(Sheet1!C313&lt;&gt;"",Sheet1!C313,"")</f>
        <v/>
      </c>
      <c r="C313" t="str">
        <f>IF(Sheet1!D313&lt;&gt;"",Sheet1!D313,"")</f>
        <v/>
      </c>
      <c r="D313" t="str">
        <f>IF(Sheet1!E313&lt;&gt;"",Sheet1!E313,"")</f>
        <v/>
      </c>
      <c r="E313" t="str">
        <f>IF(Sheet1!DY313&lt;&gt;"",Sheet1!DY313,"")</f>
        <v/>
      </c>
      <c r="F313" t="str">
        <f>IF(Sheet1!EQ313&lt;&gt;"",Sheet1!EQ313,"")</f>
        <v/>
      </c>
      <c r="G313" t="str">
        <f>IF(Sheet1!EZ313&lt;&gt;"",Sheet1!EZ313,"")</f>
        <v/>
      </c>
      <c r="H313" t="str">
        <f>IF(Sheet1!FA313&lt;&gt;"",Sheet1!FA313,"")</f>
        <v/>
      </c>
      <c r="I313" t="str">
        <f>IF(Sheet1!FI313&lt;&gt;"",Sheet1!FI313,"")</f>
        <v/>
      </c>
      <c r="J313" t="str">
        <f>IF(Sheet1!GI313&lt;&gt;"",Sheet1!GI313,"")</f>
        <v/>
      </c>
    </row>
    <row r="314" spans="1:10" x14ac:dyDescent="0.25">
      <c r="A314" t="str">
        <f>IF(Sheet1!B314&lt;&gt;"",Sheet1!B314,"")</f>
        <v/>
      </c>
      <c r="B314" t="str">
        <f>IF(Sheet1!C314&lt;&gt;"",Sheet1!C314,"")</f>
        <v/>
      </c>
      <c r="C314" t="str">
        <f>IF(Sheet1!D314&lt;&gt;"",Sheet1!D314,"")</f>
        <v/>
      </c>
      <c r="D314" t="str">
        <f>IF(Sheet1!E314&lt;&gt;"",Sheet1!E314,"")</f>
        <v/>
      </c>
      <c r="E314" t="str">
        <f>IF(Sheet1!DY314&lt;&gt;"",Sheet1!DY314,"")</f>
        <v/>
      </c>
      <c r="F314" t="str">
        <f>IF(Sheet1!EQ314&lt;&gt;"",Sheet1!EQ314,"")</f>
        <v/>
      </c>
      <c r="G314" t="str">
        <f>IF(Sheet1!EZ314&lt;&gt;"",Sheet1!EZ314,"")</f>
        <v/>
      </c>
      <c r="H314" t="str">
        <f>IF(Sheet1!FA314&lt;&gt;"",Sheet1!FA314,"")</f>
        <v/>
      </c>
      <c r="I314" t="str">
        <f>IF(Sheet1!FI314&lt;&gt;"",Sheet1!FI314,"")</f>
        <v/>
      </c>
      <c r="J314" t="str">
        <f>IF(Sheet1!GI314&lt;&gt;"",Sheet1!GI314,"")</f>
        <v/>
      </c>
    </row>
    <row r="315" spans="1:10" x14ac:dyDescent="0.25">
      <c r="A315" t="str">
        <f>IF(Sheet1!B315&lt;&gt;"",Sheet1!B315,"")</f>
        <v/>
      </c>
      <c r="B315" t="str">
        <f>IF(Sheet1!C315&lt;&gt;"",Sheet1!C315,"")</f>
        <v/>
      </c>
      <c r="C315" t="str">
        <f>IF(Sheet1!D315&lt;&gt;"",Sheet1!D315,"")</f>
        <v/>
      </c>
      <c r="D315" t="str">
        <f>IF(Sheet1!E315&lt;&gt;"",Sheet1!E315,"")</f>
        <v/>
      </c>
      <c r="E315" t="str">
        <f>IF(Sheet1!DY315&lt;&gt;"",Sheet1!DY315,"")</f>
        <v/>
      </c>
      <c r="F315" t="str">
        <f>IF(Sheet1!EQ315&lt;&gt;"",Sheet1!EQ315,"")</f>
        <v/>
      </c>
      <c r="G315" t="str">
        <f>IF(Sheet1!EZ315&lt;&gt;"",Sheet1!EZ315,"")</f>
        <v/>
      </c>
      <c r="H315" t="str">
        <f>IF(Sheet1!FA315&lt;&gt;"",Sheet1!FA315,"")</f>
        <v/>
      </c>
      <c r="I315" t="str">
        <f>IF(Sheet1!FI315&lt;&gt;"",Sheet1!FI315,"")</f>
        <v/>
      </c>
      <c r="J315" t="str">
        <f>IF(Sheet1!GI315&lt;&gt;"",Sheet1!GI315,"")</f>
        <v/>
      </c>
    </row>
    <row r="316" spans="1:10" x14ac:dyDescent="0.25">
      <c r="A316" t="str">
        <f>IF(Sheet1!B316&lt;&gt;"",Sheet1!B316,"")</f>
        <v/>
      </c>
      <c r="B316" t="str">
        <f>IF(Sheet1!C316&lt;&gt;"",Sheet1!C316,"")</f>
        <v/>
      </c>
      <c r="C316" t="str">
        <f>IF(Sheet1!D316&lt;&gt;"",Sheet1!D316,"")</f>
        <v/>
      </c>
      <c r="D316" t="str">
        <f>IF(Sheet1!E316&lt;&gt;"",Sheet1!E316,"")</f>
        <v/>
      </c>
      <c r="E316" t="str">
        <f>IF(Sheet1!DY316&lt;&gt;"",Sheet1!DY316,"")</f>
        <v/>
      </c>
      <c r="F316" t="str">
        <f>IF(Sheet1!EQ316&lt;&gt;"",Sheet1!EQ316,"")</f>
        <v/>
      </c>
      <c r="G316" t="str">
        <f>IF(Sheet1!EZ316&lt;&gt;"",Sheet1!EZ316,"")</f>
        <v/>
      </c>
      <c r="H316" t="str">
        <f>IF(Sheet1!FA316&lt;&gt;"",Sheet1!FA316,"")</f>
        <v/>
      </c>
      <c r="I316" t="str">
        <f>IF(Sheet1!FI316&lt;&gt;"",Sheet1!FI316,"")</f>
        <v/>
      </c>
      <c r="J316" t="str">
        <f>IF(Sheet1!GI316&lt;&gt;"",Sheet1!GI316,"")</f>
        <v/>
      </c>
    </row>
    <row r="317" spans="1:10" x14ac:dyDescent="0.25">
      <c r="A317" t="str">
        <f>IF(Sheet1!B317&lt;&gt;"",Sheet1!B317,"")</f>
        <v/>
      </c>
      <c r="B317" t="str">
        <f>IF(Sheet1!C317&lt;&gt;"",Sheet1!C317,"")</f>
        <v/>
      </c>
      <c r="C317" t="str">
        <f>IF(Sheet1!D317&lt;&gt;"",Sheet1!D317,"")</f>
        <v/>
      </c>
      <c r="D317" t="str">
        <f>IF(Sheet1!E317&lt;&gt;"",Sheet1!E317,"")</f>
        <v/>
      </c>
      <c r="E317" t="str">
        <f>IF(Sheet1!DY317&lt;&gt;"",Sheet1!DY317,"")</f>
        <v/>
      </c>
      <c r="F317" t="str">
        <f>IF(Sheet1!EQ317&lt;&gt;"",Sheet1!EQ317,"")</f>
        <v/>
      </c>
      <c r="G317" t="str">
        <f>IF(Sheet1!EZ317&lt;&gt;"",Sheet1!EZ317,"")</f>
        <v/>
      </c>
      <c r="H317" t="str">
        <f>IF(Sheet1!FA317&lt;&gt;"",Sheet1!FA317,"")</f>
        <v/>
      </c>
      <c r="I317" t="str">
        <f>IF(Sheet1!FI317&lt;&gt;"",Sheet1!FI317,"")</f>
        <v/>
      </c>
      <c r="J317" t="str">
        <f>IF(Sheet1!GI317&lt;&gt;"",Sheet1!GI317,"")</f>
        <v/>
      </c>
    </row>
    <row r="318" spans="1:10" x14ac:dyDescent="0.25">
      <c r="A318" t="str">
        <f>IF(Sheet1!B318&lt;&gt;"",Sheet1!B318,"")</f>
        <v/>
      </c>
      <c r="B318" t="str">
        <f>IF(Sheet1!C318&lt;&gt;"",Sheet1!C318,"")</f>
        <v/>
      </c>
      <c r="C318" t="str">
        <f>IF(Sheet1!D318&lt;&gt;"",Sheet1!D318,"")</f>
        <v/>
      </c>
      <c r="D318" t="str">
        <f>IF(Sheet1!E318&lt;&gt;"",Sheet1!E318,"")</f>
        <v/>
      </c>
      <c r="E318" t="str">
        <f>IF(Sheet1!DY318&lt;&gt;"",Sheet1!DY318,"")</f>
        <v/>
      </c>
      <c r="F318" t="str">
        <f>IF(Sheet1!EQ318&lt;&gt;"",Sheet1!EQ318,"")</f>
        <v/>
      </c>
      <c r="G318" t="str">
        <f>IF(Sheet1!EZ318&lt;&gt;"",Sheet1!EZ318,"")</f>
        <v/>
      </c>
      <c r="H318" t="str">
        <f>IF(Sheet1!FA318&lt;&gt;"",Sheet1!FA318,"")</f>
        <v/>
      </c>
      <c r="I318" t="str">
        <f>IF(Sheet1!FI318&lt;&gt;"",Sheet1!FI318,"")</f>
        <v/>
      </c>
      <c r="J318" t="str">
        <f>IF(Sheet1!GI318&lt;&gt;"",Sheet1!GI318,"")</f>
        <v/>
      </c>
    </row>
    <row r="319" spans="1:10" x14ac:dyDescent="0.25">
      <c r="A319" t="str">
        <f>IF(Sheet1!B319&lt;&gt;"",Sheet1!B319,"")</f>
        <v/>
      </c>
      <c r="B319" t="str">
        <f>IF(Sheet1!C319&lt;&gt;"",Sheet1!C319,"")</f>
        <v/>
      </c>
      <c r="C319" t="str">
        <f>IF(Sheet1!D319&lt;&gt;"",Sheet1!D319,"")</f>
        <v/>
      </c>
      <c r="D319" t="str">
        <f>IF(Sheet1!E319&lt;&gt;"",Sheet1!E319,"")</f>
        <v/>
      </c>
      <c r="E319" t="str">
        <f>IF(Sheet1!DY319&lt;&gt;"",Sheet1!DY319,"")</f>
        <v/>
      </c>
      <c r="F319" t="str">
        <f>IF(Sheet1!EQ319&lt;&gt;"",Sheet1!EQ319,"")</f>
        <v/>
      </c>
      <c r="G319" t="str">
        <f>IF(Sheet1!EZ319&lt;&gt;"",Sheet1!EZ319,"")</f>
        <v/>
      </c>
      <c r="H319" t="str">
        <f>IF(Sheet1!FA319&lt;&gt;"",Sheet1!FA319,"")</f>
        <v/>
      </c>
      <c r="I319" t="str">
        <f>IF(Sheet1!FI319&lt;&gt;"",Sheet1!FI319,"")</f>
        <v/>
      </c>
      <c r="J319" t="str">
        <f>IF(Sheet1!GI319&lt;&gt;"",Sheet1!GI319,"")</f>
        <v/>
      </c>
    </row>
    <row r="320" spans="1:10" x14ac:dyDescent="0.25">
      <c r="A320" t="str">
        <f>IF(Sheet1!B320&lt;&gt;"",Sheet1!B320,"")</f>
        <v/>
      </c>
      <c r="B320" t="str">
        <f>IF(Sheet1!C320&lt;&gt;"",Sheet1!C320,"")</f>
        <v/>
      </c>
      <c r="C320" t="str">
        <f>IF(Sheet1!D320&lt;&gt;"",Sheet1!D320,"")</f>
        <v/>
      </c>
      <c r="D320" t="str">
        <f>IF(Sheet1!E320&lt;&gt;"",Sheet1!E320,"")</f>
        <v/>
      </c>
      <c r="E320" t="str">
        <f>IF(Sheet1!DY320&lt;&gt;"",Sheet1!DY320,"")</f>
        <v/>
      </c>
      <c r="F320" t="str">
        <f>IF(Sheet1!EQ320&lt;&gt;"",Sheet1!EQ320,"")</f>
        <v/>
      </c>
      <c r="G320" t="str">
        <f>IF(Sheet1!EZ320&lt;&gt;"",Sheet1!EZ320,"")</f>
        <v/>
      </c>
      <c r="H320" t="str">
        <f>IF(Sheet1!FA320&lt;&gt;"",Sheet1!FA320,"")</f>
        <v/>
      </c>
      <c r="I320" t="str">
        <f>IF(Sheet1!FI320&lt;&gt;"",Sheet1!FI320,"")</f>
        <v/>
      </c>
      <c r="J320" t="str">
        <f>IF(Sheet1!GI320&lt;&gt;"",Sheet1!GI320,"")</f>
        <v/>
      </c>
    </row>
    <row r="321" spans="1:10" x14ac:dyDescent="0.25">
      <c r="A321" t="str">
        <f>IF(Sheet1!B321&lt;&gt;"",Sheet1!B321,"")</f>
        <v/>
      </c>
      <c r="B321" t="str">
        <f>IF(Sheet1!C321&lt;&gt;"",Sheet1!C321,"")</f>
        <v/>
      </c>
      <c r="C321" t="str">
        <f>IF(Sheet1!D321&lt;&gt;"",Sheet1!D321,"")</f>
        <v/>
      </c>
      <c r="D321" t="str">
        <f>IF(Sheet1!E321&lt;&gt;"",Sheet1!E321,"")</f>
        <v/>
      </c>
      <c r="E321" t="str">
        <f>IF(Sheet1!DY321&lt;&gt;"",Sheet1!DY321,"")</f>
        <v/>
      </c>
      <c r="F321" t="str">
        <f>IF(Sheet1!EQ321&lt;&gt;"",Sheet1!EQ321,"")</f>
        <v/>
      </c>
      <c r="G321" t="str">
        <f>IF(Sheet1!EZ321&lt;&gt;"",Sheet1!EZ321,"")</f>
        <v/>
      </c>
      <c r="H321" t="str">
        <f>IF(Sheet1!FA321&lt;&gt;"",Sheet1!FA321,"")</f>
        <v/>
      </c>
      <c r="I321" t="str">
        <f>IF(Sheet1!FI321&lt;&gt;"",Sheet1!FI321,"")</f>
        <v/>
      </c>
      <c r="J321" t="str">
        <f>IF(Sheet1!GI321&lt;&gt;"",Sheet1!GI321,"")</f>
        <v/>
      </c>
    </row>
    <row r="322" spans="1:10" x14ac:dyDescent="0.25">
      <c r="A322" t="str">
        <f>IF(Sheet1!B322&lt;&gt;"",Sheet1!B322,"")</f>
        <v/>
      </c>
      <c r="B322" t="str">
        <f>IF(Sheet1!C322&lt;&gt;"",Sheet1!C322,"")</f>
        <v/>
      </c>
      <c r="C322" t="str">
        <f>IF(Sheet1!D322&lt;&gt;"",Sheet1!D322,"")</f>
        <v/>
      </c>
      <c r="D322" t="str">
        <f>IF(Sheet1!E322&lt;&gt;"",Sheet1!E322,"")</f>
        <v/>
      </c>
      <c r="E322" t="str">
        <f>IF(Sheet1!DY322&lt;&gt;"",Sheet1!DY322,"")</f>
        <v/>
      </c>
      <c r="F322" t="str">
        <f>IF(Sheet1!EQ322&lt;&gt;"",Sheet1!EQ322,"")</f>
        <v/>
      </c>
      <c r="G322" t="str">
        <f>IF(Sheet1!EZ322&lt;&gt;"",Sheet1!EZ322,"")</f>
        <v/>
      </c>
      <c r="H322" t="str">
        <f>IF(Sheet1!FA322&lt;&gt;"",Sheet1!FA322,"")</f>
        <v/>
      </c>
      <c r="I322" t="str">
        <f>IF(Sheet1!FI322&lt;&gt;"",Sheet1!FI322,"")</f>
        <v/>
      </c>
      <c r="J322" t="str">
        <f>IF(Sheet1!GI322&lt;&gt;"",Sheet1!GI322,"")</f>
        <v/>
      </c>
    </row>
    <row r="323" spans="1:10" x14ac:dyDescent="0.25">
      <c r="A323" t="str">
        <f>IF(Sheet1!B323&lt;&gt;"",Sheet1!B323,"")</f>
        <v/>
      </c>
      <c r="B323" t="str">
        <f>IF(Sheet1!C323&lt;&gt;"",Sheet1!C323,"")</f>
        <v/>
      </c>
      <c r="C323" t="str">
        <f>IF(Sheet1!D323&lt;&gt;"",Sheet1!D323,"")</f>
        <v/>
      </c>
      <c r="D323" t="str">
        <f>IF(Sheet1!E323&lt;&gt;"",Sheet1!E323,"")</f>
        <v/>
      </c>
      <c r="E323" t="str">
        <f>IF(Sheet1!DY323&lt;&gt;"",Sheet1!DY323,"")</f>
        <v/>
      </c>
      <c r="F323" t="str">
        <f>IF(Sheet1!EQ323&lt;&gt;"",Sheet1!EQ323,"")</f>
        <v/>
      </c>
      <c r="G323" t="str">
        <f>IF(Sheet1!EZ323&lt;&gt;"",Sheet1!EZ323,"")</f>
        <v/>
      </c>
      <c r="H323" t="str">
        <f>IF(Sheet1!FA323&lt;&gt;"",Sheet1!FA323,"")</f>
        <v/>
      </c>
      <c r="I323" t="str">
        <f>IF(Sheet1!FI323&lt;&gt;"",Sheet1!FI323,"")</f>
        <v/>
      </c>
      <c r="J323" t="str">
        <f>IF(Sheet1!GI323&lt;&gt;"",Sheet1!GI323,"")</f>
        <v/>
      </c>
    </row>
    <row r="324" spans="1:10" x14ac:dyDescent="0.25">
      <c r="A324" t="str">
        <f>IF(Sheet1!B324&lt;&gt;"",Sheet1!B324,"")</f>
        <v/>
      </c>
      <c r="B324" t="str">
        <f>IF(Sheet1!C324&lt;&gt;"",Sheet1!C324,"")</f>
        <v/>
      </c>
      <c r="C324" t="str">
        <f>IF(Sheet1!D324&lt;&gt;"",Sheet1!D324,"")</f>
        <v/>
      </c>
      <c r="D324" t="str">
        <f>IF(Sheet1!E324&lt;&gt;"",Sheet1!E324,"")</f>
        <v/>
      </c>
      <c r="E324" t="str">
        <f>IF(Sheet1!DY324&lt;&gt;"",Sheet1!DY324,"")</f>
        <v/>
      </c>
      <c r="F324" t="str">
        <f>IF(Sheet1!EQ324&lt;&gt;"",Sheet1!EQ324,"")</f>
        <v/>
      </c>
      <c r="G324" t="str">
        <f>IF(Sheet1!EZ324&lt;&gt;"",Sheet1!EZ324,"")</f>
        <v/>
      </c>
      <c r="H324" t="str">
        <f>IF(Sheet1!FA324&lt;&gt;"",Sheet1!FA324,"")</f>
        <v/>
      </c>
      <c r="I324" t="str">
        <f>IF(Sheet1!FI324&lt;&gt;"",Sheet1!FI324,"")</f>
        <v/>
      </c>
      <c r="J324" t="str">
        <f>IF(Sheet1!GI324&lt;&gt;"",Sheet1!GI324,"")</f>
        <v/>
      </c>
    </row>
    <row r="325" spans="1:10" x14ac:dyDescent="0.25">
      <c r="A325" t="str">
        <f>IF(Sheet1!B325&lt;&gt;"",Sheet1!B325,"")</f>
        <v/>
      </c>
      <c r="B325" t="str">
        <f>IF(Sheet1!C325&lt;&gt;"",Sheet1!C325,"")</f>
        <v/>
      </c>
      <c r="C325" t="str">
        <f>IF(Sheet1!D325&lt;&gt;"",Sheet1!D325,"")</f>
        <v/>
      </c>
      <c r="D325" t="str">
        <f>IF(Sheet1!E325&lt;&gt;"",Sheet1!E325,"")</f>
        <v/>
      </c>
      <c r="E325" t="str">
        <f>IF(Sheet1!DY325&lt;&gt;"",Sheet1!DY325,"")</f>
        <v/>
      </c>
      <c r="F325" t="str">
        <f>IF(Sheet1!EQ325&lt;&gt;"",Sheet1!EQ325,"")</f>
        <v/>
      </c>
      <c r="G325" t="str">
        <f>IF(Sheet1!EZ325&lt;&gt;"",Sheet1!EZ325,"")</f>
        <v/>
      </c>
      <c r="H325" t="str">
        <f>IF(Sheet1!FA325&lt;&gt;"",Sheet1!FA325,"")</f>
        <v/>
      </c>
      <c r="I325" t="str">
        <f>IF(Sheet1!FI325&lt;&gt;"",Sheet1!FI325,"")</f>
        <v/>
      </c>
      <c r="J325" t="str">
        <f>IF(Sheet1!GI325&lt;&gt;"",Sheet1!GI325,"")</f>
        <v/>
      </c>
    </row>
    <row r="326" spans="1:10" x14ac:dyDescent="0.25">
      <c r="A326" t="str">
        <f>IF(Sheet1!B326&lt;&gt;"",Sheet1!B326,"")</f>
        <v/>
      </c>
      <c r="B326" t="str">
        <f>IF(Sheet1!C326&lt;&gt;"",Sheet1!C326,"")</f>
        <v/>
      </c>
      <c r="C326" t="str">
        <f>IF(Sheet1!D326&lt;&gt;"",Sheet1!D326,"")</f>
        <v/>
      </c>
      <c r="D326" t="str">
        <f>IF(Sheet1!E326&lt;&gt;"",Sheet1!E326,"")</f>
        <v/>
      </c>
      <c r="E326" t="str">
        <f>IF(Sheet1!DY326&lt;&gt;"",Sheet1!DY326,"")</f>
        <v/>
      </c>
      <c r="F326" t="str">
        <f>IF(Sheet1!EQ326&lt;&gt;"",Sheet1!EQ326,"")</f>
        <v/>
      </c>
      <c r="G326" t="str">
        <f>IF(Sheet1!EZ326&lt;&gt;"",Sheet1!EZ326,"")</f>
        <v/>
      </c>
      <c r="H326" t="str">
        <f>IF(Sheet1!FA326&lt;&gt;"",Sheet1!FA326,"")</f>
        <v/>
      </c>
      <c r="I326" t="str">
        <f>IF(Sheet1!FI326&lt;&gt;"",Sheet1!FI326,"")</f>
        <v/>
      </c>
      <c r="J326" t="str">
        <f>IF(Sheet1!GI326&lt;&gt;"",Sheet1!GI326,"")</f>
        <v/>
      </c>
    </row>
    <row r="327" spans="1:10" x14ac:dyDescent="0.25">
      <c r="A327" t="str">
        <f>IF(Sheet1!B327&lt;&gt;"",Sheet1!B327,"")</f>
        <v/>
      </c>
      <c r="B327" t="str">
        <f>IF(Sheet1!C327&lt;&gt;"",Sheet1!C327,"")</f>
        <v/>
      </c>
      <c r="C327" t="str">
        <f>IF(Sheet1!D327&lt;&gt;"",Sheet1!D327,"")</f>
        <v/>
      </c>
      <c r="D327" t="str">
        <f>IF(Sheet1!E327&lt;&gt;"",Sheet1!E327,"")</f>
        <v/>
      </c>
      <c r="E327" t="str">
        <f>IF(Sheet1!DY327&lt;&gt;"",Sheet1!DY327,"")</f>
        <v/>
      </c>
      <c r="F327" t="str">
        <f>IF(Sheet1!EQ327&lt;&gt;"",Sheet1!EQ327,"")</f>
        <v/>
      </c>
      <c r="G327" t="str">
        <f>IF(Sheet1!EZ327&lt;&gt;"",Sheet1!EZ327,"")</f>
        <v/>
      </c>
      <c r="H327" t="str">
        <f>IF(Sheet1!FA327&lt;&gt;"",Sheet1!FA327,"")</f>
        <v/>
      </c>
      <c r="I327" t="str">
        <f>IF(Sheet1!FI327&lt;&gt;"",Sheet1!FI327,"")</f>
        <v/>
      </c>
      <c r="J327" t="str">
        <f>IF(Sheet1!GI327&lt;&gt;"",Sheet1!GI327,"")</f>
        <v/>
      </c>
    </row>
    <row r="328" spans="1:10" x14ac:dyDescent="0.25">
      <c r="A328" t="str">
        <f>IF(Sheet1!B328&lt;&gt;"",Sheet1!B328,"")</f>
        <v/>
      </c>
      <c r="B328" t="str">
        <f>IF(Sheet1!C328&lt;&gt;"",Sheet1!C328,"")</f>
        <v/>
      </c>
      <c r="C328" t="str">
        <f>IF(Sheet1!D328&lt;&gt;"",Sheet1!D328,"")</f>
        <v/>
      </c>
      <c r="D328" t="str">
        <f>IF(Sheet1!E328&lt;&gt;"",Sheet1!E328,"")</f>
        <v/>
      </c>
      <c r="E328" t="str">
        <f>IF(Sheet1!DY328&lt;&gt;"",Sheet1!DY328,"")</f>
        <v/>
      </c>
      <c r="F328" t="str">
        <f>IF(Sheet1!EQ328&lt;&gt;"",Sheet1!EQ328,"")</f>
        <v/>
      </c>
      <c r="G328" t="str">
        <f>IF(Sheet1!EZ328&lt;&gt;"",Sheet1!EZ328,"")</f>
        <v/>
      </c>
      <c r="H328" t="str">
        <f>IF(Sheet1!FA328&lt;&gt;"",Sheet1!FA328,"")</f>
        <v/>
      </c>
      <c r="I328" t="str">
        <f>IF(Sheet1!FI328&lt;&gt;"",Sheet1!FI328,"")</f>
        <v/>
      </c>
      <c r="J328" t="str">
        <f>IF(Sheet1!GI328&lt;&gt;"",Sheet1!GI328,"")</f>
        <v/>
      </c>
    </row>
    <row r="329" spans="1:10" x14ac:dyDescent="0.25">
      <c r="A329" t="str">
        <f>IF(Sheet1!B329&lt;&gt;"",Sheet1!B329,"")</f>
        <v/>
      </c>
      <c r="B329" t="str">
        <f>IF(Sheet1!C329&lt;&gt;"",Sheet1!C329,"")</f>
        <v/>
      </c>
      <c r="C329" t="str">
        <f>IF(Sheet1!D329&lt;&gt;"",Sheet1!D329,"")</f>
        <v/>
      </c>
      <c r="D329" t="str">
        <f>IF(Sheet1!E329&lt;&gt;"",Sheet1!E329,"")</f>
        <v/>
      </c>
      <c r="E329" t="str">
        <f>IF(Sheet1!DY329&lt;&gt;"",Sheet1!DY329,"")</f>
        <v/>
      </c>
      <c r="F329" t="str">
        <f>IF(Sheet1!EQ329&lt;&gt;"",Sheet1!EQ329,"")</f>
        <v/>
      </c>
      <c r="G329" t="str">
        <f>IF(Sheet1!EZ329&lt;&gt;"",Sheet1!EZ329,"")</f>
        <v/>
      </c>
      <c r="H329" t="str">
        <f>IF(Sheet1!FA329&lt;&gt;"",Sheet1!FA329,"")</f>
        <v/>
      </c>
      <c r="I329" t="str">
        <f>IF(Sheet1!FI329&lt;&gt;"",Sheet1!FI329,"")</f>
        <v/>
      </c>
      <c r="J329" t="str">
        <f>IF(Sheet1!GI329&lt;&gt;"",Sheet1!GI329,"")</f>
        <v/>
      </c>
    </row>
    <row r="330" spans="1:10" x14ac:dyDescent="0.25">
      <c r="A330" t="str">
        <f>IF(Sheet1!B330&lt;&gt;"",Sheet1!B330,"")</f>
        <v/>
      </c>
      <c r="B330" t="str">
        <f>IF(Sheet1!C330&lt;&gt;"",Sheet1!C330,"")</f>
        <v/>
      </c>
      <c r="C330" t="str">
        <f>IF(Sheet1!D330&lt;&gt;"",Sheet1!D330,"")</f>
        <v/>
      </c>
      <c r="D330" t="str">
        <f>IF(Sheet1!E330&lt;&gt;"",Sheet1!E330,"")</f>
        <v/>
      </c>
      <c r="E330" t="str">
        <f>IF(Sheet1!DY330&lt;&gt;"",Sheet1!DY330,"")</f>
        <v/>
      </c>
      <c r="F330" t="str">
        <f>IF(Sheet1!EQ330&lt;&gt;"",Sheet1!EQ330,"")</f>
        <v/>
      </c>
      <c r="G330" t="str">
        <f>IF(Sheet1!EZ330&lt;&gt;"",Sheet1!EZ330,"")</f>
        <v/>
      </c>
      <c r="H330" t="str">
        <f>IF(Sheet1!FA330&lt;&gt;"",Sheet1!FA330,"")</f>
        <v/>
      </c>
      <c r="I330" t="str">
        <f>IF(Sheet1!FI330&lt;&gt;"",Sheet1!FI330,"")</f>
        <v/>
      </c>
      <c r="J330" t="str">
        <f>IF(Sheet1!GI330&lt;&gt;"",Sheet1!GI330,"")</f>
        <v/>
      </c>
    </row>
    <row r="331" spans="1:10" x14ac:dyDescent="0.25">
      <c r="A331" t="str">
        <f>IF(Sheet1!B331&lt;&gt;"",Sheet1!B331,"")</f>
        <v/>
      </c>
      <c r="B331" t="str">
        <f>IF(Sheet1!C331&lt;&gt;"",Sheet1!C331,"")</f>
        <v/>
      </c>
      <c r="C331" t="str">
        <f>IF(Sheet1!D331&lt;&gt;"",Sheet1!D331,"")</f>
        <v/>
      </c>
      <c r="D331" t="str">
        <f>IF(Sheet1!E331&lt;&gt;"",Sheet1!E331,"")</f>
        <v/>
      </c>
      <c r="E331" t="str">
        <f>IF(Sheet1!DY331&lt;&gt;"",Sheet1!DY331,"")</f>
        <v/>
      </c>
      <c r="F331" t="str">
        <f>IF(Sheet1!EQ331&lt;&gt;"",Sheet1!EQ331,"")</f>
        <v/>
      </c>
      <c r="G331" t="str">
        <f>IF(Sheet1!EZ331&lt;&gt;"",Sheet1!EZ331,"")</f>
        <v/>
      </c>
      <c r="H331" t="str">
        <f>IF(Sheet1!FA331&lt;&gt;"",Sheet1!FA331,"")</f>
        <v/>
      </c>
      <c r="I331" t="str">
        <f>IF(Sheet1!FI331&lt;&gt;"",Sheet1!FI331,"")</f>
        <v/>
      </c>
      <c r="J331" t="str">
        <f>IF(Sheet1!GI331&lt;&gt;"",Sheet1!GI331,"")</f>
        <v/>
      </c>
    </row>
    <row r="332" spans="1:10" x14ac:dyDescent="0.25">
      <c r="A332" t="str">
        <f>IF(Sheet1!B332&lt;&gt;"",Sheet1!B332,"")</f>
        <v/>
      </c>
      <c r="B332" t="str">
        <f>IF(Sheet1!C332&lt;&gt;"",Sheet1!C332,"")</f>
        <v/>
      </c>
      <c r="C332" t="str">
        <f>IF(Sheet1!D332&lt;&gt;"",Sheet1!D332,"")</f>
        <v/>
      </c>
      <c r="D332" t="str">
        <f>IF(Sheet1!E332&lt;&gt;"",Sheet1!E332,"")</f>
        <v/>
      </c>
      <c r="E332" t="str">
        <f>IF(Sheet1!DY332&lt;&gt;"",Sheet1!DY332,"")</f>
        <v/>
      </c>
      <c r="F332" t="str">
        <f>IF(Sheet1!EQ332&lt;&gt;"",Sheet1!EQ332,"")</f>
        <v/>
      </c>
      <c r="G332" t="str">
        <f>IF(Sheet1!EZ332&lt;&gt;"",Sheet1!EZ332,"")</f>
        <v/>
      </c>
      <c r="H332" t="str">
        <f>IF(Sheet1!FA332&lt;&gt;"",Sheet1!FA332,"")</f>
        <v/>
      </c>
      <c r="I332" t="str">
        <f>IF(Sheet1!FI332&lt;&gt;"",Sheet1!FI332,"")</f>
        <v/>
      </c>
      <c r="J332" t="str">
        <f>IF(Sheet1!GI332&lt;&gt;"",Sheet1!GI332,"")</f>
        <v/>
      </c>
    </row>
    <row r="333" spans="1:10" x14ac:dyDescent="0.25">
      <c r="A333" t="str">
        <f>IF(Sheet1!B333&lt;&gt;"",Sheet1!B333,"")</f>
        <v/>
      </c>
      <c r="B333" t="str">
        <f>IF(Sheet1!C333&lt;&gt;"",Sheet1!C333,"")</f>
        <v/>
      </c>
      <c r="C333" t="str">
        <f>IF(Sheet1!D333&lt;&gt;"",Sheet1!D333,"")</f>
        <v/>
      </c>
      <c r="D333" t="str">
        <f>IF(Sheet1!E333&lt;&gt;"",Sheet1!E333,"")</f>
        <v/>
      </c>
      <c r="E333" t="str">
        <f>IF(Sheet1!DY333&lt;&gt;"",Sheet1!DY333,"")</f>
        <v/>
      </c>
      <c r="F333" t="str">
        <f>IF(Sheet1!EQ333&lt;&gt;"",Sheet1!EQ333,"")</f>
        <v/>
      </c>
      <c r="G333" t="str">
        <f>IF(Sheet1!EZ333&lt;&gt;"",Sheet1!EZ333,"")</f>
        <v/>
      </c>
      <c r="H333" t="str">
        <f>IF(Sheet1!FA333&lt;&gt;"",Sheet1!FA333,"")</f>
        <v/>
      </c>
      <c r="I333" t="str">
        <f>IF(Sheet1!FI333&lt;&gt;"",Sheet1!FI333,"")</f>
        <v/>
      </c>
      <c r="J333" t="str">
        <f>IF(Sheet1!GI333&lt;&gt;"",Sheet1!GI333,"")</f>
        <v/>
      </c>
    </row>
    <row r="334" spans="1:10" x14ac:dyDescent="0.25">
      <c r="A334" t="str">
        <f>IF(Sheet1!B334&lt;&gt;"",Sheet1!B334,"")</f>
        <v/>
      </c>
      <c r="B334" t="str">
        <f>IF(Sheet1!C334&lt;&gt;"",Sheet1!C334,"")</f>
        <v/>
      </c>
      <c r="C334" t="str">
        <f>IF(Sheet1!D334&lt;&gt;"",Sheet1!D334,"")</f>
        <v/>
      </c>
      <c r="D334" t="str">
        <f>IF(Sheet1!E334&lt;&gt;"",Sheet1!E334,"")</f>
        <v/>
      </c>
      <c r="E334" t="str">
        <f>IF(Sheet1!DY334&lt;&gt;"",Sheet1!DY334,"")</f>
        <v/>
      </c>
      <c r="F334" t="str">
        <f>IF(Sheet1!EQ334&lt;&gt;"",Sheet1!EQ334,"")</f>
        <v/>
      </c>
      <c r="G334" t="str">
        <f>IF(Sheet1!EZ334&lt;&gt;"",Sheet1!EZ334,"")</f>
        <v/>
      </c>
      <c r="H334" t="str">
        <f>IF(Sheet1!FA334&lt;&gt;"",Sheet1!FA334,"")</f>
        <v/>
      </c>
      <c r="I334" t="str">
        <f>IF(Sheet1!FI334&lt;&gt;"",Sheet1!FI334,"")</f>
        <v/>
      </c>
      <c r="J334" t="str">
        <f>IF(Sheet1!GI334&lt;&gt;"",Sheet1!GI334,"")</f>
        <v/>
      </c>
    </row>
    <row r="335" spans="1:10" x14ac:dyDescent="0.25">
      <c r="A335" t="str">
        <f>IF(Sheet1!B335&lt;&gt;"",Sheet1!B335,"")</f>
        <v/>
      </c>
      <c r="B335" t="str">
        <f>IF(Sheet1!C335&lt;&gt;"",Sheet1!C335,"")</f>
        <v/>
      </c>
      <c r="C335" t="str">
        <f>IF(Sheet1!D335&lt;&gt;"",Sheet1!D335,"")</f>
        <v/>
      </c>
      <c r="D335" t="str">
        <f>IF(Sheet1!E335&lt;&gt;"",Sheet1!E335,"")</f>
        <v/>
      </c>
      <c r="E335" t="str">
        <f>IF(Sheet1!DY335&lt;&gt;"",Sheet1!DY335,"")</f>
        <v/>
      </c>
      <c r="F335" t="str">
        <f>IF(Sheet1!EQ335&lt;&gt;"",Sheet1!EQ335,"")</f>
        <v/>
      </c>
      <c r="G335" t="str">
        <f>IF(Sheet1!EZ335&lt;&gt;"",Sheet1!EZ335,"")</f>
        <v/>
      </c>
      <c r="H335" t="str">
        <f>IF(Sheet1!FA335&lt;&gt;"",Sheet1!FA335,"")</f>
        <v/>
      </c>
      <c r="I335" t="str">
        <f>IF(Sheet1!FI335&lt;&gt;"",Sheet1!FI335,"")</f>
        <v/>
      </c>
      <c r="J335" t="str">
        <f>IF(Sheet1!GI335&lt;&gt;"",Sheet1!GI335,"")</f>
        <v/>
      </c>
    </row>
    <row r="336" spans="1:10" x14ac:dyDescent="0.25">
      <c r="A336" t="str">
        <f>IF(Sheet1!B336&lt;&gt;"",Sheet1!B336,"")</f>
        <v/>
      </c>
      <c r="B336" t="str">
        <f>IF(Sheet1!C336&lt;&gt;"",Sheet1!C336,"")</f>
        <v/>
      </c>
      <c r="C336" t="str">
        <f>IF(Sheet1!D336&lt;&gt;"",Sheet1!D336,"")</f>
        <v/>
      </c>
      <c r="D336" t="str">
        <f>IF(Sheet1!E336&lt;&gt;"",Sheet1!E336,"")</f>
        <v/>
      </c>
      <c r="E336" t="str">
        <f>IF(Sheet1!DY336&lt;&gt;"",Sheet1!DY336,"")</f>
        <v/>
      </c>
      <c r="F336" t="str">
        <f>IF(Sheet1!EQ336&lt;&gt;"",Sheet1!EQ336,"")</f>
        <v/>
      </c>
      <c r="G336" t="str">
        <f>IF(Sheet1!EZ336&lt;&gt;"",Sheet1!EZ336,"")</f>
        <v/>
      </c>
      <c r="H336" t="str">
        <f>IF(Sheet1!FA336&lt;&gt;"",Sheet1!FA336,"")</f>
        <v/>
      </c>
      <c r="I336" t="str">
        <f>IF(Sheet1!FI336&lt;&gt;"",Sheet1!FI336,"")</f>
        <v/>
      </c>
      <c r="J336" t="str">
        <f>IF(Sheet1!GI336&lt;&gt;"",Sheet1!GI336,"")</f>
        <v/>
      </c>
    </row>
    <row r="337" spans="1:10" x14ac:dyDescent="0.25">
      <c r="A337" t="str">
        <f>IF(Sheet1!B337&lt;&gt;"",Sheet1!B337,"")</f>
        <v/>
      </c>
      <c r="B337" t="str">
        <f>IF(Sheet1!C337&lt;&gt;"",Sheet1!C337,"")</f>
        <v/>
      </c>
      <c r="C337" t="str">
        <f>IF(Sheet1!D337&lt;&gt;"",Sheet1!D337,"")</f>
        <v/>
      </c>
      <c r="D337" t="str">
        <f>IF(Sheet1!E337&lt;&gt;"",Sheet1!E337,"")</f>
        <v/>
      </c>
      <c r="E337" t="str">
        <f>IF(Sheet1!DY337&lt;&gt;"",Sheet1!DY337,"")</f>
        <v/>
      </c>
      <c r="F337" t="str">
        <f>IF(Sheet1!EQ337&lt;&gt;"",Sheet1!EQ337,"")</f>
        <v/>
      </c>
      <c r="G337" t="str">
        <f>IF(Sheet1!EZ337&lt;&gt;"",Sheet1!EZ337,"")</f>
        <v/>
      </c>
      <c r="H337" t="str">
        <f>IF(Sheet1!FA337&lt;&gt;"",Sheet1!FA337,"")</f>
        <v/>
      </c>
      <c r="I337" t="str">
        <f>IF(Sheet1!FI337&lt;&gt;"",Sheet1!FI337,"")</f>
        <v/>
      </c>
      <c r="J337" t="str">
        <f>IF(Sheet1!GI337&lt;&gt;"",Sheet1!GI337,"")</f>
        <v/>
      </c>
    </row>
    <row r="338" spans="1:10" x14ac:dyDescent="0.25">
      <c r="A338" t="str">
        <f>IF(Sheet1!B338&lt;&gt;"",Sheet1!B338,"")</f>
        <v/>
      </c>
      <c r="B338" t="str">
        <f>IF(Sheet1!C338&lt;&gt;"",Sheet1!C338,"")</f>
        <v/>
      </c>
      <c r="C338" t="str">
        <f>IF(Sheet1!D338&lt;&gt;"",Sheet1!D338,"")</f>
        <v/>
      </c>
      <c r="D338" t="str">
        <f>IF(Sheet1!E338&lt;&gt;"",Sheet1!E338,"")</f>
        <v/>
      </c>
      <c r="E338" t="str">
        <f>IF(Sheet1!DY338&lt;&gt;"",Sheet1!DY338,"")</f>
        <v/>
      </c>
      <c r="F338" t="str">
        <f>IF(Sheet1!EQ338&lt;&gt;"",Sheet1!EQ338,"")</f>
        <v/>
      </c>
      <c r="G338" t="str">
        <f>IF(Sheet1!EZ338&lt;&gt;"",Sheet1!EZ338,"")</f>
        <v/>
      </c>
      <c r="H338" t="str">
        <f>IF(Sheet1!FA338&lt;&gt;"",Sheet1!FA338,"")</f>
        <v/>
      </c>
      <c r="I338" t="str">
        <f>IF(Sheet1!FI338&lt;&gt;"",Sheet1!FI338,"")</f>
        <v/>
      </c>
      <c r="J338" t="str">
        <f>IF(Sheet1!GI338&lt;&gt;"",Sheet1!GI338,"")</f>
        <v/>
      </c>
    </row>
    <row r="339" spans="1:10" x14ac:dyDescent="0.25">
      <c r="A339" t="str">
        <f>IF(Sheet1!B339&lt;&gt;"",Sheet1!B339,"")</f>
        <v/>
      </c>
      <c r="B339" t="str">
        <f>IF(Sheet1!C339&lt;&gt;"",Sheet1!C339,"")</f>
        <v/>
      </c>
      <c r="C339" t="str">
        <f>IF(Sheet1!D339&lt;&gt;"",Sheet1!D339,"")</f>
        <v/>
      </c>
      <c r="D339" t="str">
        <f>IF(Sheet1!E339&lt;&gt;"",Sheet1!E339,"")</f>
        <v/>
      </c>
      <c r="E339" t="str">
        <f>IF(Sheet1!DY339&lt;&gt;"",Sheet1!DY339,"")</f>
        <v/>
      </c>
      <c r="F339" t="str">
        <f>IF(Sheet1!EQ339&lt;&gt;"",Sheet1!EQ339,"")</f>
        <v/>
      </c>
      <c r="G339" t="str">
        <f>IF(Sheet1!EZ339&lt;&gt;"",Sheet1!EZ339,"")</f>
        <v/>
      </c>
      <c r="H339" t="str">
        <f>IF(Sheet1!FA339&lt;&gt;"",Sheet1!FA339,"")</f>
        <v/>
      </c>
      <c r="I339" t="str">
        <f>IF(Sheet1!FI339&lt;&gt;"",Sheet1!FI339,"")</f>
        <v/>
      </c>
      <c r="J339" t="str">
        <f>IF(Sheet1!GI339&lt;&gt;"",Sheet1!GI339,"")</f>
        <v/>
      </c>
    </row>
    <row r="340" spans="1:10" x14ac:dyDescent="0.25">
      <c r="A340" t="str">
        <f>IF(Sheet1!B340&lt;&gt;"",Sheet1!B340,"")</f>
        <v/>
      </c>
      <c r="B340" t="str">
        <f>IF(Sheet1!C340&lt;&gt;"",Sheet1!C340,"")</f>
        <v/>
      </c>
      <c r="C340" t="str">
        <f>IF(Sheet1!D340&lt;&gt;"",Sheet1!D340,"")</f>
        <v/>
      </c>
      <c r="D340" t="str">
        <f>IF(Sheet1!E340&lt;&gt;"",Sheet1!E340,"")</f>
        <v/>
      </c>
      <c r="E340" t="str">
        <f>IF(Sheet1!DY340&lt;&gt;"",Sheet1!DY340,"")</f>
        <v/>
      </c>
      <c r="F340" t="str">
        <f>IF(Sheet1!EQ340&lt;&gt;"",Sheet1!EQ340,"")</f>
        <v/>
      </c>
      <c r="G340" t="str">
        <f>IF(Sheet1!EZ340&lt;&gt;"",Sheet1!EZ340,"")</f>
        <v/>
      </c>
      <c r="H340" t="str">
        <f>IF(Sheet1!FA340&lt;&gt;"",Sheet1!FA340,"")</f>
        <v/>
      </c>
      <c r="I340" t="str">
        <f>IF(Sheet1!FI340&lt;&gt;"",Sheet1!FI340,"")</f>
        <v/>
      </c>
      <c r="J340" t="str">
        <f>IF(Sheet1!GI340&lt;&gt;"",Sheet1!GI340,"")</f>
        <v/>
      </c>
    </row>
    <row r="341" spans="1:10" x14ac:dyDescent="0.25">
      <c r="A341" t="str">
        <f>IF(Sheet1!B341&lt;&gt;"",Sheet1!B341,"")</f>
        <v/>
      </c>
      <c r="B341" t="str">
        <f>IF(Sheet1!C341&lt;&gt;"",Sheet1!C341,"")</f>
        <v/>
      </c>
      <c r="C341" t="str">
        <f>IF(Sheet1!D341&lt;&gt;"",Sheet1!D341,"")</f>
        <v/>
      </c>
      <c r="D341" t="str">
        <f>IF(Sheet1!E341&lt;&gt;"",Sheet1!E341,"")</f>
        <v/>
      </c>
      <c r="E341" t="str">
        <f>IF(Sheet1!DY341&lt;&gt;"",Sheet1!DY341,"")</f>
        <v/>
      </c>
      <c r="F341" t="str">
        <f>IF(Sheet1!EQ341&lt;&gt;"",Sheet1!EQ341,"")</f>
        <v/>
      </c>
      <c r="G341" t="str">
        <f>IF(Sheet1!EZ341&lt;&gt;"",Sheet1!EZ341,"")</f>
        <v/>
      </c>
      <c r="H341" t="str">
        <f>IF(Sheet1!FA341&lt;&gt;"",Sheet1!FA341,"")</f>
        <v/>
      </c>
      <c r="I341" t="str">
        <f>IF(Sheet1!FI341&lt;&gt;"",Sheet1!FI341,"")</f>
        <v/>
      </c>
      <c r="J341" t="str">
        <f>IF(Sheet1!GI341&lt;&gt;"",Sheet1!GI341,"")</f>
        <v/>
      </c>
    </row>
    <row r="342" spans="1:10" x14ac:dyDescent="0.25">
      <c r="A342" t="str">
        <f>IF(Sheet1!B342&lt;&gt;"",Sheet1!B342,"")</f>
        <v/>
      </c>
      <c r="B342" t="str">
        <f>IF(Sheet1!C342&lt;&gt;"",Sheet1!C342,"")</f>
        <v/>
      </c>
      <c r="C342" t="str">
        <f>IF(Sheet1!D342&lt;&gt;"",Sheet1!D342,"")</f>
        <v/>
      </c>
      <c r="D342" t="str">
        <f>IF(Sheet1!E342&lt;&gt;"",Sheet1!E342,"")</f>
        <v/>
      </c>
      <c r="E342" t="str">
        <f>IF(Sheet1!DY342&lt;&gt;"",Sheet1!DY342,"")</f>
        <v/>
      </c>
      <c r="F342" t="str">
        <f>IF(Sheet1!EQ342&lt;&gt;"",Sheet1!EQ342,"")</f>
        <v/>
      </c>
      <c r="G342" t="str">
        <f>IF(Sheet1!EZ342&lt;&gt;"",Sheet1!EZ342,"")</f>
        <v/>
      </c>
      <c r="H342" t="str">
        <f>IF(Sheet1!FA342&lt;&gt;"",Sheet1!FA342,"")</f>
        <v/>
      </c>
      <c r="I342" t="str">
        <f>IF(Sheet1!FI342&lt;&gt;"",Sheet1!FI342,"")</f>
        <v/>
      </c>
      <c r="J342" t="str">
        <f>IF(Sheet1!GI342&lt;&gt;"",Sheet1!GI342,"")</f>
        <v/>
      </c>
    </row>
    <row r="343" spans="1:10" x14ac:dyDescent="0.25">
      <c r="A343" t="str">
        <f>IF(Sheet1!B343&lt;&gt;"",Sheet1!B343,"")</f>
        <v/>
      </c>
      <c r="B343" t="str">
        <f>IF(Sheet1!C343&lt;&gt;"",Sheet1!C343,"")</f>
        <v/>
      </c>
      <c r="C343" t="str">
        <f>IF(Sheet1!D343&lt;&gt;"",Sheet1!D343,"")</f>
        <v/>
      </c>
      <c r="D343" t="str">
        <f>IF(Sheet1!E343&lt;&gt;"",Sheet1!E343,"")</f>
        <v/>
      </c>
      <c r="E343" t="str">
        <f>IF(Sheet1!DY343&lt;&gt;"",Sheet1!DY343,"")</f>
        <v/>
      </c>
      <c r="F343" t="str">
        <f>IF(Sheet1!EQ343&lt;&gt;"",Sheet1!EQ343,"")</f>
        <v/>
      </c>
      <c r="G343" t="str">
        <f>IF(Sheet1!EZ343&lt;&gt;"",Sheet1!EZ343,"")</f>
        <v/>
      </c>
      <c r="H343" t="str">
        <f>IF(Sheet1!FA343&lt;&gt;"",Sheet1!FA343,"")</f>
        <v/>
      </c>
      <c r="I343" t="str">
        <f>IF(Sheet1!FI343&lt;&gt;"",Sheet1!FI343,"")</f>
        <v/>
      </c>
      <c r="J343" t="str">
        <f>IF(Sheet1!GI343&lt;&gt;"",Sheet1!GI343,"")</f>
        <v/>
      </c>
    </row>
    <row r="344" spans="1:10" x14ac:dyDescent="0.25">
      <c r="A344" t="str">
        <f>IF(Sheet1!B344&lt;&gt;"",Sheet1!B344,"")</f>
        <v/>
      </c>
      <c r="B344" t="str">
        <f>IF(Sheet1!C344&lt;&gt;"",Sheet1!C344,"")</f>
        <v/>
      </c>
      <c r="C344" t="str">
        <f>IF(Sheet1!D344&lt;&gt;"",Sheet1!D344,"")</f>
        <v/>
      </c>
      <c r="D344" t="str">
        <f>IF(Sheet1!E344&lt;&gt;"",Sheet1!E344,"")</f>
        <v/>
      </c>
      <c r="E344" t="str">
        <f>IF(Sheet1!DY344&lt;&gt;"",Sheet1!DY344,"")</f>
        <v/>
      </c>
      <c r="F344" t="str">
        <f>IF(Sheet1!EQ344&lt;&gt;"",Sheet1!EQ344,"")</f>
        <v/>
      </c>
      <c r="G344" t="str">
        <f>IF(Sheet1!EZ344&lt;&gt;"",Sheet1!EZ344,"")</f>
        <v/>
      </c>
      <c r="H344" t="str">
        <f>IF(Sheet1!FA344&lt;&gt;"",Sheet1!FA344,"")</f>
        <v/>
      </c>
      <c r="I344" t="str">
        <f>IF(Sheet1!FI344&lt;&gt;"",Sheet1!FI344,"")</f>
        <v/>
      </c>
      <c r="J344" t="str">
        <f>IF(Sheet1!GI344&lt;&gt;"",Sheet1!GI344,"")</f>
        <v/>
      </c>
    </row>
    <row r="345" spans="1:10" x14ac:dyDescent="0.25">
      <c r="A345" t="str">
        <f>IF(Sheet1!B345&lt;&gt;"",Sheet1!B345,"")</f>
        <v/>
      </c>
      <c r="B345" t="str">
        <f>IF(Sheet1!C345&lt;&gt;"",Sheet1!C345,"")</f>
        <v/>
      </c>
      <c r="C345" t="str">
        <f>IF(Sheet1!D345&lt;&gt;"",Sheet1!D345,"")</f>
        <v/>
      </c>
      <c r="D345" t="str">
        <f>IF(Sheet1!E345&lt;&gt;"",Sheet1!E345,"")</f>
        <v/>
      </c>
      <c r="E345" t="str">
        <f>IF(Sheet1!DY345&lt;&gt;"",Sheet1!DY345,"")</f>
        <v/>
      </c>
      <c r="F345" t="str">
        <f>IF(Sheet1!EQ345&lt;&gt;"",Sheet1!EQ345,"")</f>
        <v/>
      </c>
      <c r="G345" t="str">
        <f>IF(Sheet1!EZ345&lt;&gt;"",Sheet1!EZ345,"")</f>
        <v/>
      </c>
      <c r="H345" t="str">
        <f>IF(Sheet1!FA345&lt;&gt;"",Sheet1!FA345,"")</f>
        <v/>
      </c>
      <c r="I345" t="str">
        <f>IF(Sheet1!FI345&lt;&gt;"",Sheet1!FI345,"")</f>
        <v/>
      </c>
      <c r="J345" t="str">
        <f>IF(Sheet1!GI345&lt;&gt;"",Sheet1!GI345,"")</f>
        <v/>
      </c>
    </row>
    <row r="346" spans="1:10" x14ac:dyDescent="0.25">
      <c r="A346" t="str">
        <f>IF(Sheet1!B346&lt;&gt;"",Sheet1!B346,"")</f>
        <v/>
      </c>
      <c r="B346" t="str">
        <f>IF(Sheet1!C346&lt;&gt;"",Sheet1!C346,"")</f>
        <v/>
      </c>
      <c r="C346" t="str">
        <f>IF(Sheet1!D346&lt;&gt;"",Sheet1!D346,"")</f>
        <v/>
      </c>
      <c r="D346" t="str">
        <f>IF(Sheet1!E346&lt;&gt;"",Sheet1!E346,"")</f>
        <v/>
      </c>
      <c r="E346" t="str">
        <f>IF(Sheet1!DY346&lt;&gt;"",Sheet1!DY346,"")</f>
        <v/>
      </c>
      <c r="F346" t="str">
        <f>IF(Sheet1!EQ346&lt;&gt;"",Sheet1!EQ346,"")</f>
        <v/>
      </c>
      <c r="G346" t="str">
        <f>IF(Sheet1!EZ346&lt;&gt;"",Sheet1!EZ346,"")</f>
        <v/>
      </c>
      <c r="H346" t="str">
        <f>IF(Sheet1!FA346&lt;&gt;"",Sheet1!FA346,"")</f>
        <v/>
      </c>
      <c r="I346" t="str">
        <f>IF(Sheet1!FI346&lt;&gt;"",Sheet1!FI346,"")</f>
        <v/>
      </c>
      <c r="J346" t="str">
        <f>IF(Sheet1!GI346&lt;&gt;"",Sheet1!GI346,"")</f>
        <v/>
      </c>
    </row>
    <row r="347" spans="1:10" x14ac:dyDescent="0.25">
      <c r="A347" t="str">
        <f>IF(Sheet1!B347&lt;&gt;"",Sheet1!B347,"")</f>
        <v/>
      </c>
      <c r="B347" t="str">
        <f>IF(Sheet1!C347&lt;&gt;"",Sheet1!C347,"")</f>
        <v/>
      </c>
      <c r="C347" t="str">
        <f>IF(Sheet1!D347&lt;&gt;"",Sheet1!D347,"")</f>
        <v/>
      </c>
      <c r="D347" t="str">
        <f>IF(Sheet1!E347&lt;&gt;"",Sheet1!E347,"")</f>
        <v/>
      </c>
      <c r="E347" t="str">
        <f>IF(Sheet1!DY347&lt;&gt;"",Sheet1!DY347,"")</f>
        <v/>
      </c>
      <c r="F347" t="str">
        <f>IF(Sheet1!EQ347&lt;&gt;"",Sheet1!EQ347,"")</f>
        <v/>
      </c>
      <c r="G347" t="str">
        <f>IF(Sheet1!EZ347&lt;&gt;"",Sheet1!EZ347,"")</f>
        <v/>
      </c>
      <c r="H347" t="str">
        <f>IF(Sheet1!FA347&lt;&gt;"",Sheet1!FA347,"")</f>
        <v/>
      </c>
      <c r="I347" t="str">
        <f>IF(Sheet1!FI347&lt;&gt;"",Sheet1!FI347,"")</f>
        <v/>
      </c>
      <c r="J347" t="str">
        <f>IF(Sheet1!GI347&lt;&gt;"",Sheet1!GI347,"")</f>
        <v/>
      </c>
    </row>
    <row r="348" spans="1:10" x14ac:dyDescent="0.25">
      <c r="A348" t="str">
        <f>IF(Sheet1!B348&lt;&gt;"",Sheet1!B348,"")</f>
        <v/>
      </c>
      <c r="B348" t="str">
        <f>IF(Sheet1!C348&lt;&gt;"",Sheet1!C348,"")</f>
        <v/>
      </c>
      <c r="C348" t="str">
        <f>IF(Sheet1!D348&lt;&gt;"",Sheet1!D348,"")</f>
        <v/>
      </c>
      <c r="D348" t="str">
        <f>IF(Sheet1!E348&lt;&gt;"",Sheet1!E348,"")</f>
        <v/>
      </c>
      <c r="E348" t="str">
        <f>IF(Sheet1!DY348&lt;&gt;"",Sheet1!DY348,"")</f>
        <v/>
      </c>
      <c r="F348" t="str">
        <f>IF(Sheet1!EQ348&lt;&gt;"",Sheet1!EQ348,"")</f>
        <v/>
      </c>
      <c r="G348" t="str">
        <f>IF(Sheet1!EZ348&lt;&gt;"",Sheet1!EZ348,"")</f>
        <v/>
      </c>
      <c r="H348" t="str">
        <f>IF(Sheet1!FA348&lt;&gt;"",Sheet1!FA348,"")</f>
        <v/>
      </c>
      <c r="I348" t="str">
        <f>IF(Sheet1!FI348&lt;&gt;"",Sheet1!FI348,"")</f>
        <v/>
      </c>
      <c r="J348" t="str">
        <f>IF(Sheet1!GI348&lt;&gt;"",Sheet1!GI348,"")</f>
        <v/>
      </c>
    </row>
    <row r="349" spans="1:10" x14ac:dyDescent="0.25">
      <c r="A349" t="str">
        <f>IF(Sheet1!B349&lt;&gt;"",Sheet1!B349,"")</f>
        <v/>
      </c>
      <c r="B349" t="str">
        <f>IF(Sheet1!C349&lt;&gt;"",Sheet1!C349,"")</f>
        <v/>
      </c>
      <c r="C349" t="str">
        <f>IF(Sheet1!D349&lt;&gt;"",Sheet1!D349,"")</f>
        <v/>
      </c>
      <c r="D349" t="str">
        <f>IF(Sheet1!E349&lt;&gt;"",Sheet1!E349,"")</f>
        <v/>
      </c>
      <c r="E349" t="str">
        <f>IF(Sheet1!DY349&lt;&gt;"",Sheet1!DY349,"")</f>
        <v/>
      </c>
      <c r="F349" t="str">
        <f>IF(Sheet1!EQ349&lt;&gt;"",Sheet1!EQ349,"")</f>
        <v/>
      </c>
      <c r="G349" t="str">
        <f>IF(Sheet1!EZ349&lt;&gt;"",Sheet1!EZ349,"")</f>
        <v/>
      </c>
      <c r="H349" t="str">
        <f>IF(Sheet1!FA349&lt;&gt;"",Sheet1!FA349,"")</f>
        <v/>
      </c>
      <c r="I349" t="str">
        <f>IF(Sheet1!FI349&lt;&gt;"",Sheet1!FI349,"")</f>
        <v/>
      </c>
      <c r="J349" t="str">
        <f>IF(Sheet1!GI349&lt;&gt;"",Sheet1!GI349,"")</f>
        <v/>
      </c>
    </row>
    <row r="350" spans="1:10" x14ac:dyDescent="0.25">
      <c r="A350" t="str">
        <f>IF(Sheet1!B350&lt;&gt;"",Sheet1!B350,"")</f>
        <v/>
      </c>
      <c r="B350" t="str">
        <f>IF(Sheet1!C350&lt;&gt;"",Sheet1!C350,"")</f>
        <v/>
      </c>
      <c r="C350" t="str">
        <f>IF(Sheet1!D350&lt;&gt;"",Sheet1!D350,"")</f>
        <v/>
      </c>
      <c r="D350" t="str">
        <f>IF(Sheet1!E350&lt;&gt;"",Sheet1!E350,"")</f>
        <v/>
      </c>
      <c r="E350" t="str">
        <f>IF(Sheet1!DY350&lt;&gt;"",Sheet1!DY350,"")</f>
        <v/>
      </c>
      <c r="F350" t="str">
        <f>IF(Sheet1!EQ350&lt;&gt;"",Sheet1!EQ350,"")</f>
        <v/>
      </c>
      <c r="G350" t="str">
        <f>IF(Sheet1!EZ350&lt;&gt;"",Sheet1!EZ350,"")</f>
        <v/>
      </c>
      <c r="H350" t="str">
        <f>IF(Sheet1!FA350&lt;&gt;"",Sheet1!FA350,"")</f>
        <v/>
      </c>
      <c r="I350" t="str">
        <f>IF(Sheet1!FI350&lt;&gt;"",Sheet1!FI350,"")</f>
        <v/>
      </c>
      <c r="J350" t="str">
        <f>IF(Sheet1!GI350&lt;&gt;"",Sheet1!GI350,"")</f>
        <v/>
      </c>
    </row>
    <row r="351" spans="1:10" x14ac:dyDescent="0.25">
      <c r="A351" t="str">
        <f>IF(Sheet1!B351&lt;&gt;"",Sheet1!B351,"")</f>
        <v/>
      </c>
      <c r="B351" t="str">
        <f>IF(Sheet1!C351&lt;&gt;"",Sheet1!C351,"")</f>
        <v/>
      </c>
      <c r="C351" t="str">
        <f>IF(Sheet1!D351&lt;&gt;"",Sheet1!D351,"")</f>
        <v/>
      </c>
      <c r="D351" t="str">
        <f>IF(Sheet1!E351&lt;&gt;"",Sheet1!E351,"")</f>
        <v/>
      </c>
      <c r="E351" t="str">
        <f>IF(Sheet1!DY351&lt;&gt;"",Sheet1!DY351,"")</f>
        <v/>
      </c>
      <c r="F351" t="str">
        <f>IF(Sheet1!EQ351&lt;&gt;"",Sheet1!EQ351,"")</f>
        <v/>
      </c>
      <c r="G351" t="str">
        <f>IF(Sheet1!EZ351&lt;&gt;"",Sheet1!EZ351,"")</f>
        <v/>
      </c>
      <c r="H351" t="str">
        <f>IF(Sheet1!FA351&lt;&gt;"",Sheet1!FA351,"")</f>
        <v/>
      </c>
      <c r="I351" t="str">
        <f>IF(Sheet1!FI351&lt;&gt;"",Sheet1!FI351,"")</f>
        <v/>
      </c>
      <c r="J351" t="str">
        <f>IF(Sheet1!GI351&lt;&gt;"",Sheet1!GI351,"")</f>
        <v/>
      </c>
    </row>
    <row r="352" spans="1:10" x14ac:dyDescent="0.25">
      <c r="A352" t="str">
        <f>IF(Sheet1!B352&lt;&gt;"",Sheet1!B352,"")</f>
        <v/>
      </c>
      <c r="B352" t="str">
        <f>IF(Sheet1!C352&lt;&gt;"",Sheet1!C352,"")</f>
        <v/>
      </c>
      <c r="C352" t="str">
        <f>IF(Sheet1!D352&lt;&gt;"",Sheet1!D352,"")</f>
        <v/>
      </c>
      <c r="D352" t="str">
        <f>IF(Sheet1!E352&lt;&gt;"",Sheet1!E352,"")</f>
        <v/>
      </c>
      <c r="E352" t="str">
        <f>IF(Sheet1!DY352&lt;&gt;"",Sheet1!DY352,"")</f>
        <v/>
      </c>
      <c r="F352" t="str">
        <f>IF(Sheet1!EQ352&lt;&gt;"",Sheet1!EQ352,"")</f>
        <v/>
      </c>
      <c r="G352" t="str">
        <f>IF(Sheet1!EZ352&lt;&gt;"",Sheet1!EZ352,"")</f>
        <v/>
      </c>
      <c r="H352" t="str">
        <f>IF(Sheet1!FA352&lt;&gt;"",Sheet1!FA352,"")</f>
        <v/>
      </c>
      <c r="I352" t="str">
        <f>IF(Sheet1!FI352&lt;&gt;"",Sheet1!FI352,"")</f>
        <v/>
      </c>
      <c r="J352" t="str">
        <f>IF(Sheet1!GI352&lt;&gt;"",Sheet1!GI352,"")</f>
        <v/>
      </c>
    </row>
    <row r="353" spans="1:10" x14ac:dyDescent="0.25">
      <c r="A353" t="str">
        <f>IF(Sheet1!B353&lt;&gt;"",Sheet1!B353,"")</f>
        <v/>
      </c>
      <c r="B353" t="str">
        <f>IF(Sheet1!C353&lt;&gt;"",Sheet1!C353,"")</f>
        <v/>
      </c>
      <c r="C353" t="str">
        <f>IF(Sheet1!D353&lt;&gt;"",Sheet1!D353,"")</f>
        <v/>
      </c>
      <c r="D353" t="str">
        <f>IF(Sheet1!E353&lt;&gt;"",Sheet1!E353,"")</f>
        <v/>
      </c>
      <c r="E353" t="str">
        <f>IF(Sheet1!DY353&lt;&gt;"",Sheet1!DY353,"")</f>
        <v/>
      </c>
      <c r="F353" t="str">
        <f>IF(Sheet1!EQ353&lt;&gt;"",Sheet1!EQ353,"")</f>
        <v/>
      </c>
      <c r="G353" t="str">
        <f>IF(Sheet1!EZ353&lt;&gt;"",Sheet1!EZ353,"")</f>
        <v/>
      </c>
      <c r="H353" t="str">
        <f>IF(Sheet1!FA353&lt;&gt;"",Sheet1!FA353,"")</f>
        <v/>
      </c>
      <c r="I353" t="str">
        <f>IF(Sheet1!FI353&lt;&gt;"",Sheet1!FI353,"")</f>
        <v/>
      </c>
      <c r="J353" t="str">
        <f>IF(Sheet1!GI353&lt;&gt;"",Sheet1!GI353,"")</f>
        <v/>
      </c>
    </row>
    <row r="354" spans="1:10" x14ac:dyDescent="0.25">
      <c r="A354" t="str">
        <f>IF(Sheet1!B354&lt;&gt;"",Sheet1!B354,"")</f>
        <v/>
      </c>
      <c r="B354" t="str">
        <f>IF(Sheet1!C354&lt;&gt;"",Sheet1!C354,"")</f>
        <v/>
      </c>
      <c r="C354" t="str">
        <f>IF(Sheet1!D354&lt;&gt;"",Sheet1!D354,"")</f>
        <v/>
      </c>
      <c r="D354" t="str">
        <f>IF(Sheet1!E354&lt;&gt;"",Sheet1!E354,"")</f>
        <v/>
      </c>
      <c r="E354" t="str">
        <f>IF(Sheet1!DY354&lt;&gt;"",Sheet1!DY354,"")</f>
        <v/>
      </c>
      <c r="F354" t="str">
        <f>IF(Sheet1!EQ354&lt;&gt;"",Sheet1!EQ354,"")</f>
        <v/>
      </c>
      <c r="G354" t="str">
        <f>IF(Sheet1!EZ354&lt;&gt;"",Sheet1!EZ354,"")</f>
        <v/>
      </c>
      <c r="H354" t="str">
        <f>IF(Sheet1!FA354&lt;&gt;"",Sheet1!FA354,"")</f>
        <v/>
      </c>
      <c r="I354" t="str">
        <f>IF(Sheet1!FI354&lt;&gt;"",Sheet1!FI354,"")</f>
        <v/>
      </c>
      <c r="J354" t="str">
        <f>IF(Sheet1!GI354&lt;&gt;"",Sheet1!GI354,"")</f>
        <v/>
      </c>
    </row>
    <row r="355" spans="1:10" x14ac:dyDescent="0.25">
      <c r="A355" t="str">
        <f>IF(Sheet1!B355&lt;&gt;"",Sheet1!B355,"")</f>
        <v/>
      </c>
      <c r="B355" t="str">
        <f>IF(Sheet1!C355&lt;&gt;"",Sheet1!C355,"")</f>
        <v/>
      </c>
      <c r="C355" t="str">
        <f>IF(Sheet1!D355&lt;&gt;"",Sheet1!D355,"")</f>
        <v/>
      </c>
      <c r="D355" t="str">
        <f>IF(Sheet1!E355&lt;&gt;"",Sheet1!E355,"")</f>
        <v/>
      </c>
      <c r="E355" t="str">
        <f>IF(Sheet1!DY355&lt;&gt;"",Sheet1!DY355,"")</f>
        <v/>
      </c>
      <c r="F355" t="str">
        <f>IF(Sheet1!EQ355&lt;&gt;"",Sheet1!EQ355,"")</f>
        <v/>
      </c>
      <c r="G355" t="str">
        <f>IF(Sheet1!EZ355&lt;&gt;"",Sheet1!EZ355,"")</f>
        <v/>
      </c>
      <c r="H355" t="str">
        <f>IF(Sheet1!FA355&lt;&gt;"",Sheet1!FA355,"")</f>
        <v/>
      </c>
      <c r="I355" t="str">
        <f>IF(Sheet1!FI355&lt;&gt;"",Sheet1!FI355,"")</f>
        <v/>
      </c>
      <c r="J355" t="str">
        <f>IF(Sheet1!GI355&lt;&gt;"",Sheet1!GI355,"")</f>
        <v/>
      </c>
    </row>
    <row r="356" spans="1:10" x14ac:dyDescent="0.25">
      <c r="A356" t="str">
        <f>IF(Sheet1!B356&lt;&gt;"",Sheet1!B356,"")</f>
        <v/>
      </c>
      <c r="B356" t="str">
        <f>IF(Sheet1!C356&lt;&gt;"",Sheet1!C356,"")</f>
        <v/>
      </c>
      <c r="C356" t="str">
        <f>IF(Sheet1!D356&lt;&gt;"",Sheet1!D356,"")</f>
        <v/>
      </c>
      <c r="D356" t="str">
        <f>IF(Sheet1!E356&lt;&gt;"",Sheet1!E356,"")</f>
        <v/>
      </c>
      <c r="E356" t="str">
        <f>IF(Sheet1!DY356&lt;&gt;"",Sheet1!DY356,"")</f>
        <v/>
      </c>
      <c r="F356" t="str">
        <f>IF(Sheet1!EQ356&lt;&gt;"",Sheet1!EQ356,"")</f>
        <v/>
      </c>
      <c r="G356" t="str">
        <f>IF(Sheet1!EZ356&lt;&gt;"",Sheet1!EZ356,"")</f>
        <v/>
      </c>
      <c r="H356" t="str">
        <f>IF(Sheet1!FA356&lt;&gt;"",Sheet1!FA356,"")</f>
        <v/>
      </c>
      <c r="I356" t="str">
        <f>IF(Sheet1!FI356&lt;&gt;"",Sheet1!FI356,"")</f>
        <v/>
      </c>
      <c r="J356" t="str">
        <f>IF(Sheet1!GI356&lt;&gt;"",Sheet1!GI356,"")</f>
        <v/>
      </c>
    </row>
    <row r="357" spans="1:10" x14ac:dyDescent="0.25">
      <c r="A357" t="str">
        <f>IF(Sheet1!B357&lt;&gt;"",Sheet1!B357,"")</f>
        <v/>
      </c>
      <c r="B357" t="str">
        <f>IF(Sheet1!C357&lt;&gt;"",Sheet1!C357,"")</f>
        <v/>
      </c>
      <c r="C357" t="str">
        <f>IF(Sheet1!D357&lt;&gt;"",Sheet1!D357,"")</f>
        <v/>
      </c>
      <c r="D357" t="str">
        <f>IF(Sheet1!E357&lt;&gt;"",Sheet1!E357,"")</f>
        <v/>
      </c>
      <c r="E357" t="str">
        <f>IF(Sheet1!DY357&lt;&gt;"",Sheet1!DY357,"")</f>
        <v/>
      </c>
      <c r="F357" t="str">
        <f>IF(Sheet1!EQ357&lt;&gt;"",Sheet1!EQ357,"")</f>
        <v/>
      </c>
      <c r="G357" t="str">
        <f>IF(Sheet1!EZ357&lt;&gt;"",Sheet1!EZ357,"")</f>
        <v/>
      </c>
      <c r="H357" t="str">
        <f>IF(Sheet1!FA357&lt;&gt;"",Sheet1!FA357,"")</f>
        <v/>
      </c>
      <c r="I357" t="str">
        <f>IF(Sheet1!FI357&lt;&gt;"",Sheet1!FI357,"")</f>
        <v/>
      </c>
      <c r="J357" t="str">
        <f>IF(Sheet1!GI357&lt;&gt;"",Sheet1!GI357,"")</f>
        <v/>
      </c>
    </row>
    <row r="358" spans="1:10" x14ac:dyDescent="0.25">
      <c r="A358" t="str">
        <f>IF(Sheet1!B358&lt;&gt;"",Sheet1!B358,"")</f>
        <v/>
      </c>
      <c r="B358" t="str">
        <f>IF(Sheet1!C358&lt;&gt;"",Sheet1!C358,"")</f>
        <v/>
      </c>
      <c r="C358" t="str">
        <f>IF(Sheet1!D358&lt;&gt;"",Sheet1!D358,"")</f>
        <v/>
      </c>
      <c r="D358" t="str">
        <f>IF(Sheet1!E358&lt;&gt;"",Sheet1!E358,"")</f>
        <v/>
      </c>
      <c r="E358" t="str">
        <f>IF(Sheet1!DY358&lt;&gt;"",Sheet1!DY358,"")</f>
        <v/>
      </c>
      <c r="F358" t="str">
        <f>IF(Sheet1!EQ358&lt;&gt;"",Sheet1!EQ358,"")</f>
        <v/>
      </c>
      <c r="G358" t="str">
        <f>IF(Sheet1!EZ358&lt;&gt;"",Sheet1!EZ358,"")</f>
        <v/>
      </c>
      <c r="H358" t="str">
        <f>IF(Sheet1!FA358&lt;&gt;"",Sheet1!FA358,"")</f>
        <v/>
      </c>
      <c r="I358" t="str">
        <f>IF(Sheet1!FI358&lt;&gt;"",Sheet1!FI358,"")</f>
        <v/>
      </c>
      <c r="J358" t="str">
        <f>IF(Sheet1!GI358&lt;&gt;"",Sheet1!GI358,"")</f>
        <v/>
      </c>
    </row>
    <row r="359" spans="1:10" x14ac:dyDescent="0.25">
      <c r="A359" t="str">
        <f>IF(Sheet1!B359&lt;&gt;"",Sheet1!B359,"")</f>
        <v/>
      </c>
      <c r="B359" t="str">
        <f>IF(Sheet1!C359&lt;&gt;"",Sheet1!C359,"")</f>
        <v/>
      </c>
      <c r="C359" t="str">
        <f>IF(Sheet1!D359&lt;&gt;"",Sheet1!D359,"")</f>
        <v/>
      </c>
      <c r="D359" t="str">
        <f>IF(Sheet1!E359&lt;&gt;"",Sheet1!E359,"")</f>
        <v/>
      </c>
      <c r="E359" t="str">
        <f>IF(Sheet1!DY359&lt;&gt;"",Sheet1!DY359,"")</f>
        <v/>
      </c>
      <c r="F359" t="str">
        <f>IF(Sheet1!EQ359&lt;&gt;"",Sheet1!EQ359,"")</f>
        <v/>
      </c>
      <c r="G359" t="str">
        <f>IF(Sheet1!EZ359&lt;&gt;"",Sheet1!EZ359,"")</f>
        <v/>
      </c>
      <c r="H359" t="str">
        <f>IF(Sheet1!FA359&lt;&gt;"",Sheet1!FA359,"")</f>
        <v/>
      </c>
      <c r="I359" t="str">
        <f>IF(Sheet1!FI359&lt;&gt;"",Sheet1!FI359,"")</f>
        <v/>
      </c>
      <c r="J359" t="str">
        <f>IF(Sheet1!GI359&lt;&gt;"",Sheet1!GI359,"")</f>
        <v/>
      </c>
    </row>
    <row r="360" spans="1:10" x14ac:dyDescent="0.25">
      <c r="A360" t="str">
        <f>IF(Sheet1!B360&lt;&gt;"",Sheet1!B360,"")</f>
        <v/>
      </c>
      <c r="B360" t="str">
        <f>IF(Sheet1!C360&lt;&gt;"",Sheet1!C360,"")</f>
        <v/>
      </c>
      <c r="C360" t="str">
        <f>IF(Sheet1!D360&lt;&gt;"",Sheet1!D360,"")</f>
        <v/>
      </c>
      <c r="D360" t="str">
        <f>IF(Sheet1!E360&lt;&gt;"",Sheet1!E360,"")</f>
        <v/>
      </c>
      <c r="E360" t="str">
        <f>IF(Sheet1!DY360&lt;&gt;"",Sheet1!DY360,"")</f>
        <v/>
      </c>
      <c r="F360" t="str">
        <f>IF(Sheet1!EQ360&lt;&gt;"",Sheet1!EQ360,"")</f>
        <v/>
      </c>
      <c r="G360" t="str">
        <f>IF(Sheet1!EZ360&lt;&gt;"",Sheet1!EZ360,"")</f>
        <v/>
      </c>
      <c r="H360" t="str">
        <f>IF(Sheet1!FA360&lt;&gt;"",Sheet1!FA360,"")</f>
        <v/>
      </c>
      <c r="I360" t="str">
        <f>IF(Sheet1!FI360&lt;&gt;"",Sheet1!FI360,"")</f>
        <v/>
      </c>
      <c r="J360" t="str">
        <f>IF(Sheet1!GI360&lt;&gt;"",Sheet1!GI360,"")</f>
        <v/>
      </c>
    </row>
    <row r="361" spans="1:10" x14ac:dyDescent="0.25">
      <c r="A361" t="str">
        <f>IF(Sheet1!B361&lt;&gt;"",Sheet1!B361,"")</f>
        <v/>
      </c>
      <c r="B361" t="str">
        <f>IF(Sheet1!C361&lt;&gt;"",Sheet1!C361,"")</f>
        <v/>
      </c>
      <c r="C361" t="str">
        <f>IF(Sheet1!D361&lt;&gt;"",Sheet1!D361,"")</f>
        <v/>
      </c>
      <c r="D361" t="str">
        <f>IF(Sheet1!E361&lt;&gt;"",Sheet1!E361,"")</f>
        <v/>
      </c>
      <c r="E361" t="str">
        <f>IF(Sheet1!DY361&lt;&gt;"",Sheet1!DY361,"")</f>
        <v/>
      </c>
      <c r="F361" t="str">
        <f>IF(Sheet1!EQ361&lt;&gt;"",Sheet1!EQ361,"")</f>
        <v/>
      </c>
      <c r="G361" t="str">
        <f>IF(Sheet1!EZ361&lt;&gt;"",Sheet1!EZ361,"")</f>
        <v/>
      </c>
      <c r="H361" t="str">
        <f>IF(Sheet1!FA361&lt;&gt;"",Sheet1!FA361,"")</f>
        <v/>
      </c>
      <c r="I361" t="str">
        <f>IF(Sheet1!FI361&lt;&gt;"",Sheet1!FI361,"")</f>
        <v/>
      </c>
      <c r="J361" t="str">
        <f>IF(Sheet1!GI361&lt;&gt;"",Sheet1!GI361,"")</f>
        <v/>
      </c>
    </row>
    <row r="362" spans="1:10" x14ac:dyDescent="0.25">
      <c r="A362" t="str">
        <f>IF(Sheet1!B362&lt;&gt;"",Sheet1!B362,"")</f>
        <v/>
      </c>
      <c r="B362" t="str">
        <f>IF(Sheet1!C362&lt;&gt;"",Sheet1!C362,"")</f>
        <v/>
      </c>
      <c r="C362" t="str">
        <f>IF(Sheet1!D362&lt;&gt;"",Sheet1!D362,"")</f>
        <v/>
      </c>
      <c r="D362" t="str">
        <f>IF(Sheet1!E362&lt;&gt;"",Sheet1!E362,"")</f>
        <v/>
      </c>
      <c r="E362" t="str">
        <f>IF(Sheet1!DY362&lt;&gt;"",Sheet1!DY362,"")</f>
        <v/>
      </c>
      <c r="F362" t="str">
        <f>IF(Sheet1!EQ362&lt;&gt;"",Sheet1!EQ362,"")</f>
        <v/>
      </c>
      <c r="G362" t="str">
        <f>IF(Sheet1!EZ362&lt;&gt;"",Sheet1!EZ362,"")</f>
        <v/>
      </c>
      <c r="H362" t="str">
        <f>IF(Sheet1!FA362&lt;&gt;"",Sheet1!FA362,"")</f>
        <v/>
      </c>
      <c r="I362" t="str">
        <f>IF(Sheet1!FI362&lt;&gt;"",Sheet1!FI362,"")</f>
        <v/>
      </c>
      <c r="J362" t="str">
        <f>IF(Sheet1!GI362&lt;&gt;"",Sheet1!GI362,"")</f>
        <v/>
      </c>
    </row>
    <row r="363" spans="1:10" x14ac:dyDescent="0.25">
      <c r="A363" t="str">
        <f>IF(Sheet1!B363&lt;&gt;"",Sheet1!B363,"")</f>
        <v/>
      </c>
      <c r="B363" t="str">
        <f>IF(Sheet1!C363&lt;&gt;"",Sheet1!C363,"")</f>
        <v/>
      </c>
      <c r="C363" t="str">
        <f>IF(Sheet1!D363&lt;&gt;"",Sheet1!D363,"")</f>
        <v/>
      </c>
      <c r="D363" t="str">
        <f>IF(Sheet1!E363&lt;&gt;"",Sheet1!E363,"")</f>
        <v/>
      </c>
      <c r="E363" t="str">
        <f>IF(Sheet1!DY363&lt;&gt;"",Sheet1!DY363,"")</f>
        <v/>
      </c>
      <c r="F363" t="str">
        <f>IF(Sheet1!EQ363&lt;&gt;"",Sheet1!EQ363,"")</f>
        <v/>
      </c>
      <c r="G363" t="str">
        <f>IF(Sheet1!EZ363&lt;&gt;"",Sheet1!EZ363,"")</f>
        <v/>
      </c>
      <c r="H363" t="str">
        <f>IF(Sheet1!FA363&lt;&gt;"",Sheet1!FA363,"")</f>
        <v/>
      </c>
      <c r="I363" t="str">
        <f>IF(Sheet1!FI363&lt;&gt;"",Sheet1!FI363,"")</f>
        <v/>
      </c>
      <c r="J363" t="str">
        <f>IF(Sheet1!GI363&lt;&gt;"",Sheet1!GI363,"")</f>
        <v/>
      </c>
    </row>
    <row r="364" spans="1:10" x14ac:dyDescent="0.25">
      <c r="A364" t="str">
        <f>IF(Sheet1!B364&lt;&gt;"",Sheet1!B364,"")</f>
        <v/>
      </c>
      <c r="B364" t="str">
        <f>IF(Sheet1!C364&lt;&gt;"",Sheet1!C364,"")</f>
        <v/>
      </c>
      <c r="C364" t="str">
        <f>IF(Sheet1!D364&lt;&gt;"",Sheet1!D364,"")</f>
        <v/>
      </c>
      <c r="D364" t="str">
        <f>IF(Sheet1!E364&lt;&gt;"",Sheet1!E364,"")</f>
        <v/>
      </c>
      <c r="E364" t="str">
        <f>IF(Sheet1!DY364&lt;&gt;"",Sheet1!DY364,"")</f>
        <v/>
      </c>
      <c r="F364" t="str">
        <f>IF(Sheet1!EQ364&lt;&gt;"",Sheet1!EQ364,"")</f>
        <v/>
      </c>
      <c r="G364" t="str">
        <f>IF(Sheet1!EZ364&lt;&gt;"",Sheet1!EZ364,"")</f>
        <v/>
      </c>
      <c r="H364" t="str">
        <f>IF(Sheet1!FA364&lt;&gt;"",Sheet1!FA364,"")</f>
        <v/>
      </c>
      <c r="I364" t="str">
        <f>IF(Sheet1!FI364&lt;&gt;"",Sheet1!FI364,"")</f>
        <v/>
      </c>
      <c r="J364" t="str">
        <f>IF(Sheet1!GI364&lt;&gt;"",Sheet1!GI364,"")</f>
        <v/>
      </c>
    </row>
    <row r="365" spans="1:10" x14ac:dyDescent="0.25">
      <c r="A365" t="str">
        <f>IF(Sheet1!B365&lt;&gt;"",Sheet1!B365,"")</f>
        <v/>
      </c>
      <c r="B365" t="str">
        <f>IF(Sheet1!C365&lt;&gt;"",Sheet1!C365,"")</f>
        <v/>
      </c>
      <c r="C365" t="str">
        <f>IF(Sheet1!D365&lt;&gt;"",Sheet1!D365,"")</f>
        <v/>
      </c>
      <c r="D365" t="str">
        <f>IF(Sheet1!E365&lt;&gt;"",Sheet1!E365,"")</f>
        <v/>
      </c>
      <c r="E365" t="str">
        <f>IF(Sheet1!DY365&lt;&gt;"",Sheet1!DY365,"")</f>
        <v/>
      </c>
      <c r="F365" t="str">
        <f>IF(Sheet1!EQ365&lt;&gt;"",Sheet1!EQ365,"")</f>
        <v/>
      </c>
      <c r="G365" t="str">
        <f>IF(Sheet1!EZ365&lt;&gt;"",Sheet1!EZ365,"")</f>
        <v/>
      </c>
      <c r="H365" t="str">
        <f>IF(Sheet1!FA365&lt;&gt;"",Sheet1!FA365,"")</f>
        <v/>
      </c>
      <c r="I365" t="str">
        <f>IF(Sheet1!FI365&lt;&gt;"",Sheet1!FI365,"")</f>
        <v/>
      </c>
      <c r="J365" t="str">
        <f>IF(Sheet1!GI365&lt;&gt;"",Sheet1!GI365,"")</f>
        <v/>
      </c>
    </row>
    <row r="366" spans="1:10" x14ac:dyDescent="0.25">
      <c r="A366" t="str">
        <f>IF(Sheet1!B366&lt;&gt;"",Sheet1!B366,"")</f>
        <v/>
      </c>
      <c r="B366" t="str">
        <f>IF(Sheet1!C366&lt;&gt;"",Sheet1!C366,"")</f>
        <v/>
      </c>
      <c r="C366" t="str">
        <f>IF(Sheet1!D366&lt;&gt;"",Sheet1!D366,"")</f>
        <v/>
      </c>
      <c r="D366" t="str">
        <f>IF(Sheet1!E366&lt;&gt;"",Sheet1!E366,"")</f>
        <v/>
      </c>
      <c r="E366" t="str">
        <f>IF(Sheet1!DY366&lt;&gt;"",Sheet1!DY366,"")</f>
        <v/>
      </c>
      <c r="F366" t="str">
        <f>IF(Sheet1!EQ366&lt;&gt;"",Sheet1!EQ366,"")</f>
        <v/>
      </c>
      <c r="G366" t="str">
        <f>IF(Sheet1!EZ366&lt;&gt;"",Sheet1!EZ366,"")</f>
        <v/>
      </c>
      <c r="H366" t="str">
        <f>IF(Sheet1!FA366&lt;&gt;"",Sheet1!FA366,"")</f>
        <v/>
      </c>
      <c r="I366" t="str">
        <f>IF(Sheet1!FI366&lt;&gt;"",Sheet1!FI366,"")</f>
        <v/>
      </c>
      <c r="J366" t="str">
        <f>IF(Sheet1!GI366&lt;&gt;"",Sheet1!GI366,"")</f>
        <v/>
      </c>
    </row>
    <row r="367" spans="1:10" x14ac:dyDescent="0.25">
      <c r="A367" t="str">
        <f>IF(Sheet1!B367&lt;&gt;"",Sheet1!B367,"")</f>
        <v/>
      </c>
      <c r="B367" t="str">
        <f>IF(Sheet1!C367&lt;&gt;"",Sheet1!C367,"")</f>
        <v/>
      </c>
      <c r="C367" t="str">
        <f>IF(Sheet1!D367&lt;&gt;"",Sheet1!D367,"")</f>
        <v/>
      </c>
      <c r="D367" t="str">
        <f>IF(Sheet1!E367&lt;&gt;"",Sheet1!E367,"")</f>
        <v/>
      </c>
      <c r="E367" t="str">
        <f>IF(Sheet1!DY367&lt;&gt;"",Sheet1!DY367,"")</f>
        <v/>
      </c>
      <c r="F367" t="str">
        <f>IF(Sheet1!EQ367&lt;&gt;"",Sheet1!EQ367,"")</f>
        <v/>
      </c>
      <c r="G367" t="str">
        <f>IF(Sheet1!EZ367&lt;&gt;"",Sheet1!EZ367,"")</f>
        <v/>
      </c>
      <c r="H367" t="str">
        <f>IF(Sheet1!FA367&lt;&gt;"",Sheet1!FA367,"")</f>
        <v/>
      </c>
      <c r="I367" t="str">
        <f>IF(Sheet1!FI367&lt;&gt;"",Sheet1!FI367,"")</f>
        <v/>
      </c>
      <c r="J367" t="str">
        <f>IF(Sheet1!GI367&lt;&gt;"",Sheet1!GI367,"")</f>
        <v/>
      </c>
    </row>
    <row r="368" spans="1:10" x14ac:dyDescent="0.25">
      <c r="A368" t="str">
        <f>IF(Sheet1!B368&lt;&gt;"",Sheet1!B368,"")</f>
        <v/>
      </c>
      <c r="B368" t="str">
        <f>IF(Sheet1!C368&lt;&gt;"",Sheet1!C368,"")</f>
        <v/>
      </c>
      <c r="C368" t="str">
        <f>IF(Sheet1!D368&lt;&gt;"",Sheet1!D368,"")</f>
        <v/>
      </c>
      <c r="D368" t="str">
        <f>IF(Sheet1!E368&lt;&gt;"",Sheet1!E368,"")</f>
        <v/>
      </c>
      <c r="E368" t="str">
        <f>IF(Sheet1!DY368&lt;&gt;"",Sheet1!DY368,"")</f>
        <v/>
      </c>
      <c r="F368" t="str">
        <f>IF(Sheet1!EQ368&lt;&gt;"",Sheet1!EQ368,"")</f>
        <v/>
      </c>
      <c r="G368" t="str">
        <f>IF(Sheet1!EZ368&lt;&gt;"",Sheet1!EZ368,"")</f>
        <v/>
      </c>
      <c r="H368" t="str">
        <f>IF(Sheet1!FA368&lt;&gt;"",Sheet1!FA368,"")</f>
        <v/>
      </c>
      <c r="I368" t="str">
        <f>IF(Sheet1!FI368&lt;&gt;"",Sheet1!FI368,"")</f>
        <v/>
      </c>
      <c r="J368" t="str">
        <f>IF(Sheet1!GI368&lt;&gt;"",Sheet1!GI368,"")</f>
        <v/>
      </c>
    </row>
    <row r="369" spans="1:10" x14ac:dyDescent="0.25">
      <c r="A369" t="str">
        <f>IF(Sheet1!B369&lt;&gt;"",Sheet1!B369,"")</f>
        <v/>
      </c>
      <c r="B369" t="str">
        <f>IF(Sheet1!C369&lt;&gt;"",Sheet1!C369,"")</f>
        <v/>
      </c>
      <c r="C369" t="str">
        <f>IF(Sheet1!D369&lt;&gt;"",Sheet1!D369,"")</f>
        <v/>
      </c>
      <c r="D369" t="str">
        <f>IF(Sheet1!E369&lt;&gt;"",Sheet1!E369,"")</f>
        <v/>
      </c>
      <c r="E369" t="str">
        <f>IF(Sheet1!DY369&lt;&gt;"",Sheet1!DY369,"")</f>
        <v/>
      </c>
      <c r="F369" t="str">
        <f>IF(Sheet1!EQ369&lt;&gt;"",Sheet1!EQ369,"")</f>
        <v/>
      </c>
      <c r="G369" t="str">
        <f>IF(Sheet1!EZ369&lt;&gt;"",Sheet1!EZ369,"")</f>
        <v/>
      </c>
      <c r="H369" t="str">
        <f>IF(Sheet1!FA369&lt;&gt;"",Sheet1!FA369,"")</f>
        <v/>
      </c>
      <c r="I369" t="str">
        <f>IF(Sheet1!FI369&lt;&gt;"",Sheet1!FI369,"")</f>
        <v/>
      </c>
      <c r="J369" t="str">
        <f>IF(Sheet1!GI369&lt;&gt;"",Sheet1!GI369,"")</f>
        <v/>
      </c>
    </row>
    <row r="370" spans="1:10" x14ac:dyDescent="0.25">
      <c r="A370" t="str">
        <f>IF(Sheet1!B370&lt;&gt;"",Sheet1!B370,"")</f>
        <v/>
      </c>
      <c r="B370" t="str">
        <f>IF(Sheet1!C370&lt;&gt;"",Sheet1!C370,"")</f>
        <v/>
      </c>
      <c r="C370" t="str">
        <f>IF(Sheet1!D370&lt;&gt;"",Sheet1!D370,"")</f>
        <v/>
      </c>
      <c r="D370" t="str">
        <f>IF(Sheet1!E370&lt;&gt;"",Sheet1!E370,"")</f>
        <v/>
      </c>
      <c r="E370" t="str">
        <f>IF(Sheet1!DY370&lt;&gt;"",Sheet1!DY370,"")</f>
        <v/>
      </c>
      <c r="F370" t="str">
        <f>IF(Sheet1!EQ370&lt;&gt;"",Sheet1!EQ370,"")</f>
        <v/>
      </c>
      <c r="G370" t="str">
        <f>IF(Sheet1!EZ370&lt;&gt;"",Sheet1!EZ370,"")</f>
        <v/>
      </c>
      <c r="H370" t="str">
        <f>IF(Sheet1!FA370&lt;&gt;"",Sheet1!FA370,"")</f>
        <v/>
      </c>
      <c r="I370" t="str">
        <f>IF(Sheet1!FI370&lt;&gt;"",Sheet1!FI370,"")</f>
        <v/>
      </c>
      <c r="J370" t="str">
        <f>IF(Sheet1!GI370&lt;&gt;"",Sheet1!GI370,"")</f>
        <v/>
      </c>
    </row>
    <row r="371" spans="1:10" x14ac:dyDescent="0.25">
      <c r="A371" t="str">
        <f>IF(Sheet1!B371&lt;&gt;"",Sheet1!B371,"")</f>
        <v/>
      </c>
      <c r="B371" t="str">
        <f>IF(Sheet1!C371&lt;&gt;"",Sheet1!C371,"")</f>
        <v/>
      </c>
      <c r="C371" t="str">
        <f>IF(Sheet1!D371&lt;&gt;"",Sheet1!D371,"")</f>
        <v/>
      </c>
      <c r="D371" t="str">
        <f>IF(Sheet1!E371&lt;&gt;"",Sheet1!E371,"")</f>
        <v/>
      </c>
      <c r="E371" t="str">
        <f>IF(Sheet1!DY371&lt;&gt;"",Sheet1!DY371,"")</f>
        <v/>
      </c>
      <c r="F371" t="str">
        <f>IF(Sheet1!EQ371&lt;&gt;"",Sheet1!EQ371,"")</f>
        <v/>
      </c>
      <c r="G371" t="str">
        <f>IF(Sheet1!EZ371&lt;&gt;"",Sheet1!EZ371,"")</f>
        <v/>
      </c>
      <c r="H371" t="str">
        <f>IF(Sheet1!FA371&lt;&gt;"",Sheet1!FA371,"")</f>
        <v/>
      </c>
      <c r="I371" t="str">
        <f>IF(Sheet1!FI371&lt;&gt;"",Sheet1!FI371,"")</f>
        <v/>
      </c>
      <c r="J371" t="str">
        <f>IF(Sheet1!GI371&lt;&gt;"",Sheet1!GI371,"")</f>
        <v/>
      </c>
    </row>
    <row r="372" spans="1:10" x14ac:dyDescent="0.25">
      <c r="A372" t="str">
        <f>IF(Sheet1!B372&lt;&gt;"",Sheet1!B372,"")</f>
        <v/>
      </c>
      <c r="B372" t="str">
        <f>IF(Sheet1!C372&lt;&gt;"",Sheet1!C372,"")</f>
        <v/>
      </c>
      <c r="C372" t="str">
        <f>IF(Sheet1!D372&lt;&gt;"",Sheet1!D372,"")</f>
        <v/>
      </c>
      <c r="D372" t="str">
        <f>IF(Sheet1!E372&lt;&gt;"",Sheet1!E372,"")</f>
        <v/>
      </c>
      <c r="E372" t="str">
        <f>IF(Sheet1!DY372&lt;&gt;"",Sheet1!DY372,"")</f>
        <v/>
      </c>
      <c r="F372" t="str">
        <f>IF(Sheet1!EQ372&lt;&gt;"",Sheet1!EQ372,"")</f>
        <v/>
      </c>
      <c r="G372" t="str">
        <f>IF(Sheet1!EZ372&lt;&gt;"",Sheet1!EZ372,"")</f>
        <v/>
      </c>
      <c r="H372" t="str">
        <f>IF(Sheet1!FA372&lt;&gt;"",Sheet1!FA372,"")</f>
        <v/>
      </c>
      <c r="I372" t="str">
        <f>IF(Sheet1!FI372&lt;&gt;"",Sheet1!FI372,"")</f>
        <v/>
      </c>
      <c r="J372" t="str">
        <f>IF(Sheet1!GI372&lt;&gt;"",Sheet1!GI372,"")</f>
        <v/>
      </c>
    </row>
    <row r="373" spans="1:10" x14ac:dyDescent="0.25">
      <c r="A373" t="str">
        <f>IF(Sheet1!B373&lt;&gt;"",Sheet1!B373,"")</f>
        <v/>
      </c>
      <c r="B373" t="str">
        <f>IF(Sheet1!C373&lt;&gt;"",Sheet1!C373,"")</f>
        <v/>
      </c>
      <c r="C373" t="str">
        <f>IF(Sheet1!D373&lt;&gt;"",Sheet1!D373,"")</f>
        <v/>
      </c>
      <c r="D373" t="str">
        <f>IF(Sheet1!E373&lt;&gt;"",Sheet1!E373,"")</f>
        <v/>
      </c>
      <c r="E373" t="str">
        <f>IF(Sheet1!DY373&lt;&gt;"",Sheet1!DY373,"")</f>
        <v/>
      </c>
      <c r="F373" t="str">
        <f>IF(Sheet1!EQ373&lt;&gt;"",Sheet1!EQ373,"")</f>
        <v/>
      </c>
      <c r="G373" t="str">
        <f>IF(Sheet1!EZ373&lt;&gt;"",Sheet1!EZ373,"")</f>
        <v/>
      </c>
      <c r="H373" t="str">
        <f>IF(Sheet1!FA373&lt;&gt;"",Sheet1!FA373,"")</f>
        <v/>
      </c>
      <c r="I373" t="str">
        <f>IF(Sheet1!FI373&lt;&gt;"",Sheet1!FI373,"")</f>
        <v/>
      </c>
      <c r="J373" t="str">
        <f>IF(Sheet1!GI373&lt;&gt;"",Sheet1!GI373,"")</f>
        <v/>
      </c>
    </row>
    <row r="374" spans="1:10" x14ac:dyDescent="0.25">
      <c r="A374" t="str">
        <f>IF(Sheet1!B374&lt;&gt;"",Sheet1!B374,"")</f>
        <v/>
      </c>
      <c r="B374" t="str">
        <f>IF(Sheet1!C374&lt;&gt;"",Sheet1!C374,"")</f>
        <v/>
      </c>
      <c r="C374" t="str">
        <f>IF(Sheet1!D374&lt;&gt;"",Sheet1!D374,"")</f>
        <v/>
      </c>
      <c r="D374" t="str">
        <f>IF(Sheet1!E374&lt;&gt;"",Sheet1!E374,"")</f>
        <v/>
      </c>
      <c r="E374" t="str">
        <f>IF(Sheet1!DY374&lt;&gt;"",Sheet1!DY374,"")</f>
        <v/>
      </c>
      <c r="F374" t="str">
        <f>IF(Sheet1!EQ374&lt;&gt;"",Sheet1!EQ374,"")</f>
        <v/>
      </c>
      <c r="G374" t="str">
        <f>IF(Sheet1!EZ374&lt;&gt;"",Sheet1!EZ374,"")</f>
        <v/>
      </c>
      <c r="H374" t="str">
        <f>IF(Sheet1!FA374&lt;&gt;"",Sheet1!FA374,"")</f>
        <v/>
      </c>
      <c r="I374" t="str">
        <f>IF(Sheet1!FI374&lt;&gt;"",Sheet1!FI374,"")</f>
        <v/>
      </c>
      <c r="J374" t="str">
        <f>IF(Sheet1!GI374&lt;&gt;"",Sheet1!GI374,"")</f>
        <v/>
      </c>
    </row>
    <row r="375" spans="1:10" x14ac:dyDescent="0.25">
      <c r="A375" t="str">
        <f>IF(Sheet1!B375&lt;&gt;"",Sheet1!B375,"")</f>
        <v/>
      </c>
      <c r="B375" t="str">
        <f>IF(Sheet1!C375&lt;&gt;"",Sheet1!C375,"")</f>
        <v/>
      </c>
      <c r="C375" t="str">
        <f>IF(Sheet1!D375&lt;&gt;"",Sheet1!D375,"")</f>
        <v/>
      </c>
      <c r="D375" t="str">
        <f>IF(Sheet1!E375&lt;&gt;"",Sheet1!E375,"")</f>
        <v/>
      </c>
      <c r="E375" t="str">
        <f>IF(Sheet1!DY375&lt;&gt;"",Sheet1!DY375,"")</f>
        <v/>
      </c>
      <c r="F375" t="str">
        <f>IF(Sheet1!EQ375&lt;&gt;"",Sheet1!EQ375,"")</f>
        <v/>
      </c>
      <c r="G375" t="str">
        <f>IF(Sheet1!EZ375&lt;&gt;"",Sheet1!EZ375,"")</f>
        <v/>
      </c>
      <c r="H375" t="str">
        <f>IF(Sheet1!FA375&lt;&gt;"",Sheet1!FA375,"")</f>
        <v/>
      </c>
      <c r="I375" t="str">
        <f>IF(Sheet1!FI375&lt;&gt;"",Sheet1!FI375,"")</f>
        <v/>
      </c>
      <c r="J375" t="str">
        <f>IF(Sheet1!GI375&lt;&gt;"",Sheet1!GI375,"")</f>
        <v/>
      </c>
    </row>
    <row r="376" spans="1:10" x14ac:dyDescent="0.25">
      <c r="A376" t="str">
        <f>IF(Sheet1!B376&lt;&gt;"",Sheet1!B376,"")</f>
        <v/>
      </c>
      <c r="B376" t="str">
        <f>IF(Sheet1!C376&lt;&gt;"",Sheet1!C376,"")</f>
        <v/>
      </c>
      <c r="C376" t="str">
        <f>IF(Sheet1!D376&lt;&gt;"",Sheet1!D376,"")</f>
        <v/>
      </c>
      <c r="D376" t="str">
        <f>IF(Sheet1!E376&lt;&gt;"",Sheet1!E376,"")</f>
        <v/>
      </c>
      <c r="E376" t="str">
        <f>IF(Sheet1!DY376&lt;&gt;"",Sheet1!DY376,"")</f>
        <v/>
      </c>
      <c r="F376" t="str">
        <f>IF(Sheet1!EQ376&lt;&gt;"",Sheet1!EQ376,"")</f>
        <v/>
      </c>
      <c r="G376" t="str">
        <f>IF(Sheet1!EZ376&lt;&gt;"",Sheet1!EZ376,"")</f>
        <v/>
      </c>
      <c r="H376" t="str">
        <f>IF(Sheet1!FA376&lt;&gt;"",Sheet1!FA376,"")</f>
        <v/>
      </c>
      <c r="I376" t="str">
        <f>IF(Sheet1!FI376&lt;&gt;"",Sheet1!FI376,"")</f>
        <v/>
      </c>
      <c r="J376" t="str">
        <f>IF(Sheet1!GI376&lt;&gt;"",Sheet1!GI376,"")</f>
        <v/>
      </c>
    </row>
    <row r="377" spans="1:10" x14ac:dyDescent="0.25">
      <c r="A377" t="str">
        <f>IF(Sheet1!B377&lt;&gt;"",Sheet1!B377,"")</f>
        <v/>
      </c>
      <c r="B377" t="str">
        <f>IF(Sheet1!C377&lt;&gt;"",Sheet1!C377,"")</f>
        <v/>
      </c>
      <c r="C377" t="str">
        <f>IF(Sheet1!D377&lt;&gt;"",Sheet1!D377,"")</f>
        <v/>
      </c>
      <c r="D377" t="str">
        <f>IF(Sheet1!E377&lt;&gt;"",Sheet1!E377,"")</f>
        <v/>
      </c>
      <c r="E377" t="str">
        <f>IF(Sheet1!DY377&lt;&gt;"",Sheet1!DY377,"")</f>
        <v/>
      </c>
      <c r="F377" t="str">
        <f>IF(Sheet1!EQ377&lt;&gt;"",Sheet1!EQ377,"")</f>
        <v/>
      </c>
      <c r="G377" t="str">
        <f>IF(Sheet1!EZ377&lt;&gt;"",Sheet1!EZ377,"")</f>
        <v/>
      </c>
      <c r="H377" t="str">
        <f>IF(Sheet1!FA377&lt;&gt;"",Sheet1!FA377,"")</f>
        <v/>
      </c>
      <c r="I377" t="str">
        <f>IF(Sheet1!FI377&lt;&gt;"",Sheet1!FI377,"")</f>
        <v/>
      </c>
      <c r="J377" t="str">
        <f>IF(Sheet1!GI377&lt;&gt;"",Sheet1!GI377,"")</f>
        <v/>
      </c>
    </row>
    <row r="378" spans="1:10" x14ac:dyDescent="0.25">
      <c r="A378" t="str">
        <f>IF(Sheet1!B378&lt;&gt;"",Sheet1!B378,"")</f>
        <v/>
      </c>
      <c r="B378" t="str">
        <f>IF(Sheet1!C378&lt;&gt;"",Sheet1!C378,"")</f>
        <v/>
      </c>
      <c r="C378" t="str">
        <f>IF(Sheet1!D378&lt;&gt;"",Sheet1!D378,"")</f>
        <v/>
      </c>
      <c r="D378" t="str">
        <f>IF(Sheet1!E378&lt;&gt;"",Sheet1!E378,"")</f>
        <v/>
      </c>
      <c r="E378" t="str">
        <f>IF(Sheet1!DY378&lt;&gt;"",Sheet1!DY378,"")</f>
        <v/>
      </c>
      <c r="F378" t="str">
        <f>IF(Sheet1!EQ378&lt;&gt;"",Sheet1!EQ378,"")</f>
        <v/>
      </c>
      <c r="G378" t="str">
        <f>IF(Sheet1!EZ378&lt;&gt;"",Sheet1!EZ378,"")</f>
        <v/>
      </c>
      <c r="H378" t="str">
        <f>IF(Sheet1!FA378&lt;&gt;"",Sheet1!FA378,"")</f>
        <v/>
      </c>
      <c r="I378" t="str">
        <f>IF(Sheet1!FI378&lt;&gt;"",Sheet1!FI378,"")</f>
        <v/>
      </c>
      <c r="J378" t="str">
        <f>IF(Sheet1!GI378&lt;&gt;"",Sheet1!GI378,"")</f>
        <v/>
      </c>
    </row>
    <row r="379" spans="1:10" x14ac:dyDescent="0.25">
      <c r="A379" t="str">
        <f>IF(Sheet1!B379&lt;&gt;"",Sheet1!B379,"")</f>
        <v/>
      </c>
      <c r="B379" t="str">
        <f>IF(Sheet1!C379&lt;&gt;"",Sheet1!C379,"")</f>
        <v/>
      </c>
      <c r="C379" t="str">
        <f>IF(Sheet1!D379&lt;&gt;"",Sheet1!D379,"")</f>
        <v/>
      </c>
      <c r="D379" t="str">
        <f>IF(Sheet1!E379&lt;&gt;"",Sheet1!E379,"")</f>
        <v/>
      </c>
      <c r="E379" t="str">
        <f>IF(Sheet1!DY379&lt;&gt;"",Sheet1!DY379,"")</f>
        <v/>
      </c>
      <c r="F379" t="str">
        <f>IF(Sheet1!EQ379&lt;&gt;"",Sheet1!EQ379,"")</f>
        <v/>
      </c>
      <c r="G379" t="str">
        <f>IF(Sheet1!EZ379&lt;&gt;"",Sheet1!EZ379,"")</f>
        <v/>
      </c>
      <c r="H379" t="str">
        <f>IF(Sheet1!FA379&lt;&gt;"",Sheet1!FA379,"")</f>
        <v/>
      </c>
      <c r="I379" t="str">
        <f>IF(Sheet1!FI379&lt;&gt;"",Sheet1!FI379,"")</f>
        <v/>
      </c>
      <c r="J379" t="str">
        <f>IF(Sheet1!GI379&lt;&gt;"",Sheet1!GI379,"")</f>
        <v/>
      </c>
    </row>
    <row r="380" spans="1:10" x14ac:dyDescent="0.25">
      <c r="A380" t="str">
        <f>IF(Sheet1!B380&lt;&gt;"",Sheet1!B380,"")</f>
        <v/>
      </c>
      <c r="B380" t="str">
        <f>IF(Sheet1!C380&lt;&gt;"",Sheet1!C380,"")</f>
        <v/>
      </c>
      <c r="C380" t="str">
        <f>IF(Sheet1!D380&lt;&gt;"",Sheet1!D380,"")</f>
        <v/>
      </c>
      <c r="D380" t="str">
        <f>IF(Sheet1!E380&lt;&gt;"",Sheet1!E380,"")</f>
        <v/>
      </c>
      <c r="E380" t="str">
        <f>IF(Sheet1!DY380&lt;&gt;"",Sheet1!DY380,"")</f>
        <v/>
      </c>
      <c r="F380" t="str">
        <f>IF(Sheet1!EQ380&lt;&gt;"",Sheet1!EQ380,"")</f>
        <v/>
      </c>
      <c r="G380" t="str">
        <f>IF(Sheet1!EZ380&lt;&gt;"",Sheet1!EZ380,"")</f>
        <v/>
      </c>
      <c r="H380" t="str">
        <f>IF(Sheet1!FA380&lt;&gt;"",Sheet1!FA380,"")</f>
        <v/>
      </c>
      <c r="I380" t="str">
        <f>IF(Sheet1!FI380&lt;&gt;"",Sheet1!FI380,"")</f>
        <v/>
      </c>
      <c r="J380" t="str">
        <f>IF(Sheet1!GI380&lt;&gt;"",Sheet1!GI380,"")</f>
        <v/>
      </c>
    </row>
    <row r="381" spans="1:10" x14ac:dyDescent="0.25">
      <c r="A381" t="str">
        <f>IF(Sheet1!B381&lt;&gt;"",Sheet1!B381,"")</f>
        <v/>
      </c>
      <c r="B381" t="str">
        <f>IF(Sheet1!C381&lt;&gt;"",Sheet1!C381,"")</f>
        <v/>
      </c>
      <c r="C381" t="str">
        <f>IF(Sheet1!D381&lt;&gt;"",Sheet1!D381,"")</f>
        <v/>
      </c>
      <c r="D381" t="str">
        <f>IF(Sheet1!E381&lt;&gt;"",Sheet1!E381,"")</f>
        <v/>
      </c>
      <c r="E381" t="str">
        <f>IF(Sheet1!DY381&lt;&gt;"",Sheet1!DY381,"")</f>
        <v/>
      </c>
      <c r="F381" t="str">
        <f>IF(Sheet1!EQ381&lt;&gt;"",Sheet1!EQ381,"")</f>
        <v/>
      </c>
      <c r="G381" t="str">
        <f>IF(Sheet1!EZ381&lt;&gt;"",Sheet1!EZ381,"")</f>
        <v/>
      </c>
      <c r="H381" t="str">
        <f>IF(Sheet1!FA381&lt;&gt;"",Sheet1!FA381,"")</f>
        <v/>
      </c>
      <c r="I381" t="str">
        <f>IF(Sheet1!FI381&lt;&gt;"",Sheet1!FI381,"")</f>
        <v/>
      </c>
      <c r="J381" t="str">
        <f>IF(Sheet1!GI381&lt;&gt;"",Sheet1!GI381,"")</f>
        <v/>
      </c>
    </row>
    <row r="382" spans="1:10" x14ac:dyDescent="0.25">
      <c r="A382" t="str">
        <f>IF(Sheet1!B382&lt;&gt;"",Sheet1!B382,"")</f>
        <v/>
      </c>
      <c r="B382" t="str">
        <f>IF(Sheet1!C382&lt;&gt;"",Sheet1!C382,"")</f>
        <v/>
      </c>
      <c r="C382" t="str">
        <f>IF(Sheet1!D382&lt;&gt;"",Sheet1!D382,"")</f>
        <v/>
      </c>
      <c r="D382" t="str">
        <f>IF(Sheet1!E382&lt;&gt;"",Sheet1!E382,"")</f>
        <v/>
      </c>
      <c r="E382" t="str">
        <f>IF(Sheet1!DY382&lt;&gt;"",Sheet1!DY382,"")</f>
        <v/>
      </c>
      <c r="F382" t="str">
        <f>IF(Sheet1!EQ382&lt;&gt;"",Sheet1!EQ382,"")</f>
        <v/>
      </c>
      <c r="G382" t="str">
        <f>IF(Sheet1!EZ382&lt;&gt;"",Sheet1!EZ382,"")</f>
        <v/>
      </c>
      <c r="H382" t="str">
        <f>IF(Sheet1!FA382&lt;&gt;"",Sheet1!FA382,"")</f>
        <v/>
      </c>
      <c r="I382" t="str">
        <f>IF(Sheet1!FI382&lt;&gt;"",Sheet1!FI382,"")</f>
        <v/>
      </c>
      <c r="J382" t="str">
        <f>IF(Sheet1!GI382&lt;&gt;"",Sheet1!GI382,"")</f>
        <v/>
      </c>
    </row>
    <row r="383" spans="1:10" x14ac:dyDescent="0.25">
      <c r="A383" t="str">
        <f>IF(Sheet1!B383&lt;&gt;"",Sheet1!B383,"")</f>
        <v/>
      </c>
      <c r="B383" t="str">
        <f>IF(Sheet1!C383&lt;&gt;"",Sheet1!C383,"")</f>
        <v/>
      </c>
      <c r="C383" t="str">
        <f>IF(Sheet1!D383&lt;&gt;"",Sheet1!D383,"")</f>
        <v/>
      </c>
      <c r="D383" t="str">
        <f>IF(Sheet1!E383&lt;&gt;"",Sheet1!E383,"")</f>
        <v/>
      </c>
      <c r="E383" t="str">
        <f>IF(Sheet1!DY383&lt;&gt;"",Sheet1!DY383,"")</f>
        <v/>
      </c>
      <c r="F383" t="str">
        <f>IF(Sheet1!EQ383&lt;&gt;"",Sheet1!EQ383,"")</f>
        <v/>
      </c>
      <c r="G383" t="str">
        <f>IF(Sheet1!EZ383&lt;&gt;"",Sheet1!EZ383,"")</f>
        <v/>
      </c>
      <c r="H383" t="str">
        <f>IF(Sheet1!FA383&lt;&gt;"",Sheet1!FA383,"")</f>
        <v/>
      </c>
      <c r="I383" t="str">
        <f>IF(Sheet1!FI383&lt;&gt;"",Sheet1!FI383,"")</f>
        <v/>
      </c>
      <c r="J383" t="str">
        <f>IF(Sheet1!GI383&lt;&gt;"",Sheet1!GI383,"")</f>
        <v/>
      </c>
    </row>
    <row r="384" spans="1:10" x14ac:dyDescent="0.25">
      <c r="A384" t="str">
        <f>IF(Sheet1!B384&lt;&gt;"",Sheet1!B384,"")</f>
        <v/>
      </c>
      <c r="B384" t="str">
        <f>IF(Sheet1!C384&lt;&gt;"",Sheet1!C384,"")</f>
        <v/>
      </c>
      <c r="C384" t="str">
        <f>IF(Sheet1!D384&lt;&gt;"",Sheet1!D384,"")</f>
        <v/>
      </c>
      <c r="D384" t="str">
        <f>IF(Sheet1!E384&lt;&gt;"",Sheet1!E384,"")</f>
        <v/>
      </c>
      <c r="E384" t="str">
        <f>IF(Sheet1!DY384&lt;&gt;"",Sheet1!DY384,"")</f>
        <v/>
      </c>
      <c r="F384" t="str">
        <f>IF(Sheet1!EQ384&lt;&gt;"",Sheet1!EQ384,"")</f>
        <v/>
      </c>
      <c r="G384" t="str">
        <f>IF(Sheet1!EZ384&lt;&gt;"",Sheet1!EZ384,"")</f>
        <v/>
      </c>
      <c r="H384" t="str">
        <f>IF(Sheet1!FA384&lt;&gt;"",Sheet1!FA384,"")</f>
        <v/>
      </c>
      <c r="I384" t="str">
        <f>IF(Sheet1!FI384&lt;&gt;"",Sheet1!FI384,"")</f>
        <v/>
      </c>
      <c r="J384" t="str">
        <f>IF(Sheet1!GI384&lt;&gt;"",Sheet1!GI384,"")</f>
        <v/>
      </c>
    </row>
    <row r="385" spans="1:10" x14ac:dyDescent="0.25">
      <c r="A385" t="str">
        <f>IF(Sheet1!B385&lt;&gt;"",Sheet1!B385,"")</f>
        <v/>
      </c>
      <c r="B385" t="str">
        <f>IF(Sheet1!C385&lt;&gt;"",Sheet1!C385,"")</f>
        <v/>
      </c>
      <c r="C385" t="str">
        <f>IF(Sheet1!D385&lt;&gt;"",Sheet1!D385,"")</f>
        <v/>
      </c>
      <c r="D385" t="str">
        <f>IF(Sheet1!E385&lt;&gt;"",Sheet1!E385,"")</f>
        <v/>
      </c>
      <c r="E385" t="str">
        <f>IF(Sheet1!DY385&lt;&gt;"",Sheet1!DY385,"")</f>
        <v/>
      </c>
      <c r="F385" t="str">
        <f>IF(Sheet1!EQ385&lt;&gt;"",Sheet1!EQ385,"")</f>
        <v/>
      </c>
      <c r="G385" t="str">
        <f>IF(Sheet1!EZ385&lt;&gt;"",Sheet1!EZ385,"")</f>
        <v/>
      </c>
      <c r="H385" t="str">
        <f>IF(Sheet1!FA385&lt;&gt;"",Sheet1!FA385,"")</f>
        <v/>
      </c>
      <c r="I385" t="str">
        <f>IF(Sheet1!FI385&lt;&gt;"",Sheet1!FI385,"")</f>
        <v/>
      </c>
      <c r="J385" t="str">
        <f>IF(Sheet1!GI385&lt;&gt;"",Sheet1!GI385,"")</f>
        <v/>
      </c>
    </row>
    <row r="386" spans="1:10" x14ac:dyDescent="0.25">
      <c r="A386" t="str">
        <f>IF(Sheet1!B386&lt;&gt;"",Sheet1!B386,"")</f>
        <v/>
      </c>
      <c r="B386" t="str">
        <f>IF(Sheet1!C386&lt;&gt;"",Sheet1!C386,"")</f>
        <v/>
      </c>
      <c r="C386" t="str">
        <f>IF(Sheet1!D386&lt;&gt;"",Sheet1!D386,"")</f>
        <v/>
      </c>
      <c r="D386" t="str">
        <f>IF(Sheet1!E386&lt;&gt;"",Sheet1!E386,"")</f>
        <v/>
      </c>
      <c r="E386" t="str">
        <f>IF(Sheet1!DY386&lt;&gt;"",Sheet1!DY386,"")</f>
        <v/>
      </c>
      <c r="F386" t="str">
        <f>IF(Sheet1!EQ386&lt;&gt;"",Sheet1!EQ386,"")</f>
        <v/>
      </c>
      <c r="G386" t="str">
        <f>IF(Sheet1!EZ386&lt;&gt;"",Sheet1!EZ386,"")</f>
        <v/>
      </c>
      <c r="H386" t="str">
        <f>IF(Sheet1!FA386&lt;&gt;"",Sheet1!FA386,"")</f>
        <v/>
      </c>
      <c r="I386" t="str">
        <f>IF(Sheet1!FI386&lt;&gt;"",Sheet1!FI386,"")</f>
        <v/>
      </c>
      <c r="J386" t="str">
        <f>IF(Sheet1!GI386&lt;&gt;"",Sheet1!GI386,"")</f>
        <v/>
      </c>
    </row>
    <row r="387" spans="1:10" x14ac:dyDescent="0.25">
      <c r="A387" t="str">
        <f>IF(Sheet1!B387&lt;&gt;"",Sheet1!B387,"")</f>
        <v/>
      </c>
      <c r="B387" t="str">
        <f>IF(Sheet1!C387&lt;&gt;"",Sheet1!C387,"")</f>
        <v/>
      </c>
      <c r="C387" t="str">
        <f>IF(Sheet1!D387&lt;&gt;"",Sheet1!D387,"")</f>
        <v/>
      </c>
      <c r="D387" t="str">
        <f>IF(Sheet1!E387&lt;&gt;"",Sheet1!E387,"")</f>
        <v/>
      </c>
      <c r="E387" t="str">
        <f>IF(Sheet1!DY387&lt;&gt;"",Sheet1!DY387,"")</f>
        <v/>
      </c>
      <c r="F387" t="str">
        <f>IF(Sheet1!EQ387&lt;&gt;"",Sheet1!EQ387,"")</f>
        <v/>
      </c>
      <c r="G387" t="str">
        <f>IF(Sheet1!EZ387&lt;&gt;"",Sheet1!EZ387,"")</f>
        <v/>
      </c>
      <c r="H387" t="str">
        <f>IF(Sheet1!FA387&lt;&gt;"",Sheet1!FA387,"")</f>
        <v/>
      </c>
      <c r="I387" t="str">
        <f>IF(Sheet1!FI387&lt;&gt;"",Sheet1!FI387,"")</f>
        <v/>
      </c>
      <c r="J387" t="str">
        <f>IF(Sheet1!GI387&lt;&gt;"",Sheet1!GI387,"")</f>
        <v/>
      </c>
    </row>
    <row r="388" spans="1:10" x14ac:dyDescent="0.25">
      <c r="A388" t="str">
        <f>IF(Sheet1!B388&lt;&gt;"",Sheet1!B388,"")</f>
        <v/>
      </c>
      <c r="B388" t="str">
        <f>IF(Sheet1!C388&lt;&gt;"",Sheet1!C388,"")</f>
        <v/>
      </c>
      <c r="C388" t="str">
        <f>IF(Sheet1!D388&lt;&gt;"",Sheet1!D388,"")</f>
        <v/>
      </c>
      <c r="D388" t="str">
        <f>IF(Sheet1!E388&lt;&gt;"",Sheet1!E388,"")</f>
        <v/>
      </c>
      <c r="E388" t="str">
        <f>IF(Sheet1!DY388&lt;&gt;"",Sheet1!DY388,"")</f>
        <v/>
      </c>
      <c r="F388" t="str">
        <f>IF(Sheet1!EQ388&lt;&gt;"",Sheet1!EQ388,"")</f>
        <v/>
      </c>
      <c r="G388" t="str">
        <f>IF(Sheet1!EZ388&lt;&gt;"",Sheet1!EZ388,"")</f>
        <v/>
      </c>
      <c r="H388" t="str">
        <f>IF(Sheet1!FA388&lt;&gt;"",Sheet1!FA388,"")</f>
        <v/>
      </c>
      <c r="I388" t="str">
        <f>IF(Sheet1!FI388&lt;&gt;"",Sheet1!FI388,"")</f>
        <v/>
      </c>
      <c r="J388" t="str">
        <f>IF(Sheet1!GI388&lt;&gt;"",Sheet1!GI388,"")</f>
        <v/>
      </c>
    </row>
    <row r="389" spans="1:10" x14ac:dyDescent="0.25">
      <c r="A389" t="str">
        <f>IF(Sheet1!B389&lt;&gt;"",Sheet1!B389,"")</f>
        <v/>
      </c>
      <c r="B389" t="str">
        <f>IF(Sheet1!C389&lt;&gt;"",Sheet1!C389,"")</f>
        <v/>
      </c>
      <c r="C389" t="str">
        <f>IF(Sheet1!D389&lt;&gt;"",Sheet1!D389,"")</f>
        <v/>
      </c>
      <c r="D389" t="str">
        <f>IF(Sheet1!E389&lt;&gt;"",Sheet1!E389,"")</f>
        <v/>
      </c>
      <c r="E389" t="str">
        <f>IF(Sheet1!DY389&lt;&gt;"",Sheet1!DY389,"")</f>
        <v/>
      </c>
      <c r="F389" t="str">
        <f>IF(Sheet1!EQ389&lt;&gt;"",Sheet1!EQ389,"")</f>
        <v/>
      </c>
      <c r="G389" t="str">
        <f>IF(Sheet1!EZ389&lt;&gt;"",Sheet1!EZ389,"")</f>
        <v/>
      </c>
      <c r="H389" t="str">
        <f>IF(Sheet1!FA389&lt;&gt;"",Sheet1!FA389,"")</f>
        <v/>
      </c>
      <c r="I389" t="str">
        <f>IF(Sheet1!FI389&lt;&gt;"",Sheet1!FI389,"")</f>
        <v/>
      </c>
      <c r="J389" t="str">
        <f>IF(Sheet1!GI389&lt;&gt;"",Sheet1!GI389,"")</f>
        <v/>
      </c>
    </row>
    <row r="390" spans="1:10" x14ac:dyDescent="0.25">
      <c r="A390" t="str">
        <f>IF(Sheet1!B390&lt;&gt;"",Sheet1!B390,"")</f>
        <v/>
      </c>
      <c r="B390" t="str">
        <f>IF(Sheet1!C390&lt;&gt;"",Sheet1!C390,"")</f>
        <v/>
      </c>
      <c r="C390" t="str">
        <f>IF(Sheet1!D390&lt;&gt;"",Sheet1!D390,"")</f>
        <v/>
      </c>
      <c r="D390" t="str">
        <f>IF(Sheet1!E390&lt;&gt;"",Sheet1!E390,"")</f>
        <v/>
      </c>
      <c r="E390" t="str">
        <f>IF(Sheet1!DY390&lt;&gt;"",Sheet1!DY390,"")</f>
        <v/>
      </c>
      <c r="F390" t="str">
        <f>IF(Sheet1!EQ390&lt;&gt;"",Sheet1!EQ390,"")</f>
        <v/>
      </c>
      <c r="G390" t="str">
        <f>IF(Sheet1!EZ390&lt;&gt;"",Sheet1!EZ390,"")</f>
        <v/>
      </c>
      <c r="H390" t="str">
        <f>IF(Sheet1!FA390&lt;&gt;"",Sheet1!FA390,"")</f>
        <v/>
      </c>
      <c r="I390" t="str">
        <f>IF(Sheet1!FI390&lt;&gt;"",Sheet1!FI390,"")</f>
        <v/>
      </c>
      <c r="J390" t="str">
        <f>IF(Sheet1!GI390&lt;&gt;"",Sheet1!GI390,"")</f>
        <v/>
      </c>
    </row>
    <row r="391" spans="1:10" x14ac:dyDescent="0.25">
      <c r="A391" t="str">
        <f>IF(Sheet1!B391&lt;&gt;"",Sheet1!B391,"")</f>
        <v/>
      </c>
      <c r="B391" t="str">
        <f>IF(Sheet1!C391&lt;&gt;"",Sheet1!C391,"")</f>
        <v/>
      </c>
      <c r="C391" t="str">
        <f>IF(Sheet1!D391&lt;&gt;"",Sheet1!D391,"")</f>
        <v/>
      </c>
      <c r="D391" t="str">
        <f>IF(Sheet1!E391&lt;&gt;"",Sheet1!E391,"")</f>
        <v/>
      </c>
      <c r="E391" t="str">
        <f>IF(Sheet1!DY391&lt;&gt;"",Sheet1!DY391,"")</f>
        <v/>
      </c>
      <c r="F391" t="str">
        <f>IF(Sheet1!EQ391&lt;&gt;"",Sheet1!EQ391,"")</f>
        <v/>
      </c>
      <c r="G391" t="str">
        <f>IF(Sheet1!EZ391&lt;&gt;"",Sheet1!EZ391,"")</f>
        <v/>
      </c>
      <c r="H391" t="str">
        <f>IF(Sheet1!FA391&lt;&gt;"",Sheet1!FA391,"")</f>
        <v/>
      </c>
      <c r="I391" t="str">
        <f>IF(Sheet1!FI391&lt;&gt;"",Sheet1!FI391,"")</f>
        <v/>
      </c>
      <c r="J391" t="str">
        <f>IF(Sheet1!GI391&lt;&gt;"",Sheet1!GI391,"")</f>
        <v/>
      </c>
    </row>
    <row r="392" spans="1:10" x14ac:dyDescent="0.25">
      <c r="A392" t="str">
        <f>IF(Sheet1!B392&lt;&gt;"",Sheet1!B392,"")</f>
        <v/>
      </c>
      <c r="B392" t="str">
        <f>IF(Sheet1!C392&lt;&gt;"",Sheet1!C392,"")</f>
        <v/>
      </c>
      <c r="C392" t="str">
        <f>IF(Sheet1!D392&lt;&gt;"",Sheet1!D392,"")</f>
        <v/>
      </c>
      <c r="D392" t="str">
        <f>IF(Sheet1!E392&lt;&gt;"",Sheet1!E392,"")</f>
        <v/>
      </c>
      <c r="E392" t="str">
        <f>IF(Sheet1!DY392&lt;&gt;"",Sheet1!DY392,"")</f>
        <v/>
      </c>
      <c r="F392" t="str">
        <f>IF(Sheet1!EQ392&lt;&gt;"",Sheet1!EQ392,"")</f>
        <v/>
      </c>
      <c r="G392" t="str">
        <f>IF(Sheet1!EZ392&lt;&gt;"",Sheet1!EZ392,"")</f>
        <v/>
      </c>
      <c r="H392" t="str">
        <f>IF(Sheet1!FA392&lt;&gt;"",Sheet1!FA392,"")</f>
        <v/>
      </c>
      <c r="I392" t="str">
        <f>IF(Sheet1!FI392&lt;&gt;"",Sheet1!FI392,"")</f>
        <v/>
      </c>
      <c r="J392" t="str">
        <f>IF(Sheet1!GI392&lt;&gt;"",Sheet1!GI392,"")</f>
        <v/>
      </c>
    </row>
    <row r="393" spans="1:10" x14ac:dyDescent="0.25">
      <c r="A393" t="str">
        <f>IF(Sheet1!B393&lt;&gt;"",Sheet1!B393,"")</f>
        <v/>
      </c>
      <c r="B393" t="str">
        <f>IF(Sheet1!C393&lt;&gt;"",Sheet1!C393,"")</f>
        <v/>
      </c>
      <c r="C393" t="str">
        <f>IF(Sheet1!D393&lt;&gt;"",Sheet1!D393,"")</f>
        <v/>
      </c>
      <c r="D393" t="str">
        <f>IF(Sheet1!E393&lt;&gt;"",Sheet1!E393,"")</f>
        <v/>
      </c>
      <c r="E393" t="str">
        <f>IF(Sheet1!DY393&lt;&gt;"",Sheet1!DY393,"")</f>
        <v/>
      </c>
      <c r="F393" t="str">
        <f>IF(Sheet1!EQ393&lt;&gt;"",Sheet1!EQ393,"")</f>
        <v/>
      </c>
      <c r="G393" t="str">
        <f>IF(Sheet1!EZ393&lt;&gt;"",Sheet1!EZ393,"")</f>
        <v/>
      </c>
      <c r="H393" t="str">
        <f>IF(Sheet1!FA393&lt;&gt;"",Sheet1!FA393,"")</f>
        <v/>
      </c>
      <c r="I393" t="str">
        <f>IF(Sheet1!FI393&lt;&gt;"",Sheet1!FI393,"")</f>
        <v/>
      </c>
      <c r="J393" t="str">
        <f>IF(Sheet1!GI393&lt;&gt;"",Sheet1!GI393,"")</f>
        <v/>
      </c>
    </row>
    <row r="394" spans="1:10" x14ac:dyDescent="0.25">
      <c r="A394" t="str">
        <f>IF(Sheet1!B394&lt;&gt;"",Sheet1!B394,"")</f>
        <v/>
      </c>
      <c r="B394" t="str">
        <f>IF(Sheet1!C394&lt;&gt;"",Sheet1!C394,"")</f>
        <v/>
      </c>
      <c r="C394" t="str">
        <f>IF(Sheet1!D394&lt;&gt;"",Sheet1!D394,"")</f>
        <v/>
      </c>
      <c r="D394" t="str">
        <f>IF(Sheet1!E394&lt;&gt;"",Sheet1!E394,"")</f>
        <v/>
      </c>
      <c r="E394" t="str">
        <f>IF(Sheet1!DY394&lt;&gt;"",Sheet1!DY394,"")</f>
        <v/>
      </c>
      <c r="F394" t="str">
        <f>IF(Sheet1!EQ394&lt;&gt;"",Sheet1!EQ394,"")</f>
        <v/>
      </c>
      <c r="G394" t="str">
        <f>IF(Sheet1!EZ394&lt;&gt;"",Sheet1!EZ394,"")</f>
        <v/>
      </c>
      <c r="H394" t="str">
        <f>IF(Sheet1!FA394&lt;&gt;"",Sheet1!FA394,"")</f>
        <v/>
      </c>
      <c r="I394" t="str">
        <f>IF(Sheet1!FI394&lt;&gt;"",Sheet1!FI394,"")</f>
        <v/>
      </c>
      <c r="J394" t="str">
        <f>IF(Sheet1!GI394&lt;&gt;"",Sheet1!GI394,"")</f>
        <v/>
      </c>
    </row>
    <row r="395" spans="1:10" x14ac:dyDescent="0.25">
      <c r="A395" t="str">
        <f>IF(Sheet1!B395&lt;&gt;"",Sheet1!B395,"")</f>
        <v/>
      </c>
      <c r="B395" t="str">
        <f>IF(Sheet1!C395&lt;&gt;"",Sheet1!C395,"")</f>
        <v/>
      </c>
      <c r="C395" t="str">
        <f>IF(Sheet1!D395&lt;&gt;"",Sheet1!D395,"")</f>
        <v/>
      </c>
      <c r="D395" t="str">
        <f>IF(Sheet1!E395&lt;&gt;"",Sheet1!E395,"")</f>
        <v/>
      </c>
      <c r="E395" t="str">
        <f>IF(Sheet1!DY395&lt;&gt;"",Sheet1!DY395,"")</f>
        <v/>
      </c>
      <c r="F395" t="str">
        <f>IF(Sheet1!EQ395&lt;&gt;"",Sheet1!EQ395,"")</f>
        <v/>
      </c>
      <c r="G395" t="str">
        <f>IF(Sheet1!EZ395&lt;&gt;"",Sheet1!EZ395,"")</f>
        <v/>
      </c>
      <c r="H395" t="str">
        <f>IF(Sheet1!FA395&lt;&gt;"",Sheet1!FA395,"")</f>
        <v/>
      </c>
      <c r="I395" t="str">
        <f>IF(Sheet1!FI395&lt;&gt;"",Sheet1!FI395,"")</f>
        <v/>
      </c>
      <c r="J395" t="str">
        <f>IF(Sheet1!GI395&lt;&gt;"",Sheet1!GI395,"")</f>
        <v/>
      </c>
    </row>
    <row r="396" spans="1:10" x14ac:dyDescent="0.25">
      <c r="A396" t="str">
        <f>IF(Sheet1!B396&lt;&gt;"",Sheet1!B396,"")</f>
        <v/>
      </c>
      <c r="B396" t="str">
        <f>IF(Sheet1!C396&lt;&gt;"",Sheet1!C396,"")</f>
        <v/>
      </c>
      <c r="C396" t="str">
        <f>IF(Sheet1!D396&lt;&gt;"",Sheet1!D396,"")</f>
        <v/>
      </c>
      <c r="D396" t="str">
        <f>IF(Sheet1!E396&lt;&gt;"",Sheet1!E396,"")</f>
        <v/>
      </c>
      <c r="E396" t="str">
        <f>IF(Sheet1!DY396&lt;&gt;"",Sheet1!DY396,"")</f>
        <v/>
      </c>
      <c r="F396" t="str">
        <f>IF(Sheet1!EQ396&lt;&gt;"",Sheet1!EQ396,"")</f>
        <v/>
      </c>
      <c r="G396" t="str">
        <f>IF(Sheet1!EZ396&lt;&gt;"",Sheet1!EZ396,"")</f>
        <v/>
      </c>
      <c r="H396" t="str">
        <f>IF(Sheet1!FA396&lt;&gt;"",Sheet1!FA396,"")</f>
        <v/>
      </c>
      <c r="I396" t="str">
        <f>IF(Sheet1!FI396&lt;&gt;"",Sheet1!FI396,"")</f>
        <v/>
      </c>
      <c r="J396" t="str">
        <f>IF(Sheet1!GI396&lt;&gt;"",Sheet1!GI396,"")</f>
        <v/>
      </c>
    </row>
    <row r="397" spans="1:10" x14ac:dyDescent="0.25">
      <c r="A397" t="str">
        <f>IF(Sheet1!B397&lt;&gt;"",Sheet1!B397,"")</f>
        <v/>
      </c>
      <c r="B397" t="str">
        <f>IF(Sheet1!C397&lt;&gt;"",Sheet1!C397,"")</f>
        <v/>
      </c>
      <c r="C397" t="str">
        <f>IF(Sheet1!D397&lt;&gt;"",Sheet1!D397,"")</f>
        <v/>
      </c>
      <c r="D397" t="str">
        <f>IF(Sheet1!E397&lt;&gt;"",Sheet1!E397,"")</f>
        <v/>
      </c>
      <c r="E397" t="str">
        <f>IF(Sheet1!DY397&lt;&gt;"",Sheet1!DY397,"")</f>
        <v/>
      </c>
      <c r="F397" t="str">
        <f>IF(Sheet1!EQ397&lt;&gt;"",Sheet1!EQ397,"")</f>
        <v/>
      </c>
      <c r="G397" t="str">
        <f>IF(Sheet1!EZ397&lt;&gt;"",Sheet1!EZ397,"")</f>
        <v/>
      </c>
      <c r="H397" t="str">
        <f>IF(Sheet1!FA397&lt;&gt;"",Sheet1!FA397,"")</f>
        <v/>
      </c>
      <c r="I397" t="str">
        <f>IF(Sheet1!FI397&lt;&gt;"",Sheet1!FI397,"")</f>
        <v/>
      </c>
      <c r="J397" t="str">
        <f>IF(Sheet1!GI397&lt;&gt;"",Sheet1!GI397,"")</f>
        <v/>
      </c>
    </row>
    <row r="398" spans="1:10" x14ac:dyDescent="0.25">
      <c r="A398" t="str">
        <f>IF(Sheet1!B398&lt;&gt;"",Sheet1!B398,"")</f>
        <v/>
      </c>
      <c r="B398" t="str">
        <f>IF(Sheet1!C398&lt;&gt;"",Sheet1!C398,"")</f>
        <v/>
      </c>
      <c r="C398" t="str">
        <f>IF(Sheet1!D398&lt;&gt;"",Sheet1!D398,"")</f>
        <v/>
      </c>
      <c r="D398" t="str">
        <f>IF(Sheet1!E398&lt;&gt;"",Sheet1!E398,"")</f>
        <v/>
      </c>
      <c r="E398" t="str">
        <f>IF(Sheet1!DY398&lt;&gt;"",Sheet1!DY398,"")</f>
        <v/>
      </c>
      <c r="F398" t="str">
        <f>IF(Sheet1!EQ398&lt;&gt;"",Sheet1!EQ398,"")</f>
        <v/>
      </c>
      <c r="G398" t="str">
        <f>IF(Sheet1!EZ398&lt;&gt;"",Sheet1!EZ398,"")</f>
        <v/>
      </c>
      <c r="H398" t="str">
        <f>IF(Sheet1!FA398&lt;&gt;"",Sheet1!FA398,"")</f>
        <v/>
      </c>
      <c r="I398" t="str">
        <f>IF(Sheet1!FI398&lt;&gt;"",Sheet1!FI398,"")</f>
        <v/>
      </c>
      <c r="J398" t="str">
        <f>IF(Sheet1!GI398&lt;&gt;"",Sheet1!GI398,"")</f>
        <v/>
      </c>
    </row>
    <row r="399" spans="1:10" x14ac:dyDescent="0.25">
      <c r="A399" t="str">
        <f>IF(Sheet1!B399&lt;&gt;"",Sheet1!B399,"")</f>
        <v/>
      </c>
      <c r="B399" t="str">
        <f>IF(Sheet1!C399&lt;&gt;"",Sheet1!C399,"")</f>
        <v/>
      </c>
      <c r="C399" t="str">
        <f>IF(Sheet1!D399&lt;&gt;"",Sheet1!D399,"")</f>
        <v/>
      </c>
      <c r="D399" t="str">
        <f>IF(Sheet1!E399&lt;&gt;"",Sheet1!E399,"")</f>
        <v/>
      </c>
      <c r="E399" t="str">
        <f>IF(Sheet1!DY399&lt;&gt;"",Sheet1!DY399,"")</f>
        <v/>
      </c>
      <c r="F399" t="str">
        <f>IF(Sheet1!EQ399&lt;&gt;"",Sheet1!EQ399,"")</f>
        <v/>
      </c>
      <c r="G399" t="str">
        <f>IF(Sheet1!EZ399&lt;&gt;"",Sheet1!EZ399,"")</f>
        <v/>
      </c>
      <c r="H399" t="str">
        <f>IF(Sheet1!FA399&lt;&gt;"",Sheet1!FA399,"")</f>
        <v/>
      </c>
      <c r="I399" t="str">
        <f>IF(Sheet1!FI399&lt;&gt;"",Sheet1!FI399,"")</f>
        <v/>
      </c>
      <c r="J399" t="str">
        <f>IF(Sheet1!GI399&lt;&gt;"",Sheet1!GI399,"")</f>
        <v/>
      </c>
    </row>
    <row r="400" spans="1:10" x14ac:dyDescent="0.25">
      <c r="A400" t="str">
        <f>IF(Sheet1!B400&lt;&gt;"",Sheet1!B400,"")</f>
        <v/>
      </c>
      <c r="B400" t="str">
        <f>IF(Sheet1!C400&lt;&gt;"",Sheet1!C400,"")</f>
        <v/>
      </c>
      <c r="C400" t="str">
        <f>IF(Sheet1!D400&lt;&gt;"",Sheet1!D400,"")</f>
        <v/>
      </c>
      <c r="D400" t="str">
        <f>IF(Sheet1!E400&lt;&gt;"",Sheet1!E400,"")</f>
        <v/>
      </c>
      <c r="E400" t="str">
        <f>IF(Sheet1!DY400&lt;&gt;"",Sheet1!DY400,"")</f>
        <v/>
      </c>
      <c r="F400" t="str">
        <f>IF(Sheet1!EQ400&lt;&gt;"",Sheet1!EQ400,"")</f>
        <v/>
      </c>
      <c r="G400" t="str">
        <f>IF(Sheet1!EZ400&lt;&gt;"",Sheet1!EZ400,"")</f>
        <v/>
      </c>
      <c r="H400" t="str">
        <f>IF(Sheet1!FA400&lt;&gt;"",Sheet1!FA400,"")</f>
        <v/>
      </c>
      <c r="I400" t="str">
        <f>IF(Sheet1!FI400&lt;&gt;"",Sheet1!FI400,"")</f>
        <v/>
      </c>
      <c r="J400" t="str">
        <f>IF(Sheet1!GI400&lt;&gt;"",Sheet1!GI400,"")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F6D-321E-473F-A2A3-27002020C3BF}">
  <dimension ref="A1:GI299"/>
  <sheetViews>
    <sheetView topLeftCell="EG1" workbookViewId="0">
      <pane ySplit="1" topLeftCell="A2" activePane="bottomLeft" state="frozen"/>
      <selection pane="bottomLeft" activeCell="EZ1" sqref="EZ1"/>
    </sheetView>
  </sheetViews>
  <sheetFormatPr defaultRowHeight="15" x14ac:dyDescent="0.25"/>
  <cols>
    <col min="1" max="1" width="4.7109375" bestFit="1" customWidth="1"/>
    <col min="2" max="2" width="21" bestFit="1" customWidth="1"/>
    <col min="3" max="3" width="33" bestFit="1" customWidth="1"/>
    <col min="4" max="4" width="48.42578125" bestFit="1" customWidth="1"/>
    <col min="5" max="5" width="13.140625" customWidth="1"/>
    <col min="6" max="6" width="11.42578125" customWidth="1"/>
    <col min="7" max="7" width="8.7109375" customWidth="1"/>
    <col min="8" max="8" width="13.140625" customWidth="1"/>
    <col min="9" max="9" width="11.28515625" customWidth="1"/>
    <col min="10" max="10" width="12.42578125" customWidth="1"/>
    <col min="11" max="11" width="12.85546875" customWidth="1"/>
    <col min="12" max="12" width="11.7109375" customWidth="1"/>
    <col min="13" max="13" width="13.5703125" customWidth="1"/>
    <col min="14" max="14" width="12.140625" customWidth="1"/>
    <col min="15" max="15" width="12.42578125" customWidth="1"/>
    <col min="16" max="16" width="13.28515625" customWidth="1"/>
    <col min="17" max="17" width="15.140625" customWidth="1"/>
    <col min="18" max="18" width="11.7109375" customWidth="1"/>
    <col min="19" max="19" width="9.85546875" customWidth="1"/>
    <col min="20" max="20" width="11" customWidth="1"/>
    <col min="21" max="21" width="11.42578125" customWidth="1"/>
    <col min="22" max="22" width="10.28515625" customWidth="1"/>
    <col min="23" max="23" width="12.140625" customWidth="1"/>
    <col min="24" max="24" width="10.7109375" customWidth="1"/>
    <col min="25" max="25" width="11" customWidth="1"/>
    <col min="26" max="26" width="11.85546875" customWidth="1"/>
    <col min="27" max="27" width="13.7109375" customWidth="1"/>
    <col min="28" max="28" width="11.42578125" customWidth="1"/>
    <col min="29" max="29" width="9.5703125" customWidth="1"/>
    <col min="30" max="30" width="10.7109375" customWidth="1"/>
    <col min="31" max="31" width="11.140625" customWidth="1"/>
    <col min="32" max="32" width="10" customWidth="1"/>
    <col min="33" max="33" width="11.85546875" customWidth="1"/>
    <col min="34" max="34" width="10.42578125" customWidth="1"/>
    <col min="35" max="35" width="10.7109375" customWidth="1"/>
    <col min="36" max="36" width="11.5703125" customWidth="1"/>
    <col min="37" max="37" width="13.42578125" customWidth="1"/>
    <col min="38" max="38" width="11.7109375" customWidth="1"/>
    <col min="39" max="39" width="9.85546875" customWidth="1"/>
    <col min="40" max="40" width="11" customWidth="1"/>
    <col min="41" max="41" width="11.42578125" customWidth="1"/>
    <col min="42" max="42" width="10.28515625" customWidth="1"/>
    <col min="43" max="43" width="12.140625" customWidth="1"/>
    <col min="44" max="44" width="10.7109375" customWidth="1"/>
    <col min="45" max="45" width="11" customWidth="1"/>
    <col min="46" max="46" width="11.85546875" customWidth="1"/>
    <col min="47" max="47" width="13.7109375" customWidth="1"/>
    <col min="48" max="48" width="11" customWidth="1"/>
    <col min="49" max="49" width="9.140625" customWidth="1"/>
    <col min="50" max="50" width="9" customWidth="1"/>
    <col min="51" max="51" width="10.28515625" customWidth="1"/>
    <col min="52" max="52" width="10.7109375" customWidth="1"/>
    <col min="53" max="53" width="9.5703125" customWidth="1"/>
    <col min="54" max="54" width="11.42578125" customWidth="1"/>
    <col min="55" max="55" width="10" customWidth="1"/>
    <col min="56" max="56" width="10.28515625" customWidth="1"/>
    <col min="57" max="57" width="11.140625" customWidth="1"/>
    <col min="58" max="58" width="13" customWidth="1"/>
    <col min="59" max="59" width="13.5703125" customWidth="1"/>
    <col min="60" max="60" width="11.7109375" customWidth="1"/>
    <col min="61" max="61" width="12.85546875" customWidth="1"/>
    <col min="62" max="62" width="13.28515625" customWidth="1"/>
    <col min="63" max="63" width="12.140625" customWidth="1"/>
    <col min="64" max="64" width="14" customWidth="1"/>
    <col min="65" max="65" width="12.5703125" customWidth="1"/>
    <col min="66" max="66" width="12.85546875" customWidth="1"/>
    <col min="67" max="67" width="13.7109375" customWidth="1"/>
    <col min="68" max="68" width="15.7109375" customWidth="1"/>
    <col min="69" max="69" width="17.5703125" customWidth="1"/>
    <col min="70" max="70" width="15.7109375" customWidth="1"/>
    <col min="71" max="71" width="16.85546875" customWidth="1"/>
    <col min="72" max="72" width="17.28515625" customWidth="1"/>
    <col min="73" max="73" width="16.140625" customWidth="1"/>
    <col min="74" max="74" width="18" customWidth="1"/>
    <col min="75" max="75" width="16.5703125" customWidth="1"/>
    <col min="76" max="76" width="16.85546875" customWidth="1"/>
    <col min="77" max="77" width="17.7109375" customWidth="1"/>
    <col min="78" max="78" width="19.7109375" customWidth="1"/>
    <col min="79" max="79" width="14.5703125" customWidth="1"/>
    <col min="80" max="80" width="12.7109375" customWidth="1"/>
    <col min="81" max="81" width="13.85546875" customWidth="1"/>
    <col min="82" max="82" width="14.28515625" customWidth="1"/>
    <col min="83" max="83" width="13.140625" customWidth="1"/>
    <col min="84" max="84" width="15" customWidth="1"/>
    <col min="85" max="85" width="13.5703125" customWidth="1"/>
    <col min="86" max="86" width="13.85546875" customWidth="1"/>
    <col min="87" max="87" width="14.7109375" customWidth="1"/>
    <col min="88" max="88" width="16.7109375" customWidth="1"/>
    <col min="89" max="89" width="17" customWidth="1"/>
    <col min="90" max="90" width="15" customWidth="1"/>
    <col min="91" max="91" width="16.28515625" customWidth="1"/>
    <col min="92" max="92" width="16.7109375" customWidth="1"/>
    <col min="93" max="93" width="15.5703125" customWidth="1"/>
    <col min="94" max="94" width="17.42578125" customWidth="1"/>
    <col min="95" max="95" width="16" customWidth="1"/>
    <col min="96" max="96" width="16.28515625" customWidth="1"/>
    <col min="97" max="97" width="17.140625" customWidth="1"/>
    <col min="98" max="98" width="19" customWidth="1"/>
    <col min="99" max="99" width="16.85546875" customWidth="1"/>
    <col min="100" max="100" width="14.85546875" customWidth="1"/>
    <col min="101" max="101" width="16.140625" customWidth="1"/>
    <col min="102" max="102" width="16.5703125" customWidth="1"/>
    <col min="103" max="103" width="15.42578125" customWidth="1"/>
    <col min="104" max="104" width="17.28515625" customWidth="1"/>
    <col min="105" max="105" width="15.85546875" customWidth="1"/>
    <col min="106" max="106" width="16.140625" customWidth="1"/>
    <col min="107" max="107" width="17" customWidth="1"/>
    <col min="108" max="108" width="18.85546875" customWidth="1"/>
    <col min="109" max="109" width="14.28515625" customWidth="1"/>
    <col min="110" max="110" width="12.42578125" customWidth="1"/>
    <col min="111" max="111" width="13.5703125" customWidth="1"/>
    <col min="112" max="112" width="14" customWidth="1"/>
    <col min="113" max="113" width="12.85546875" customWidth="1"/>
    <col min="114" max="114" width="14.7109375" customWidth="1"/>
    <col min="115" max="115" width="13.28515625" customWidth="1"/>
    <col min="116" max="116" width="13.5703125" customWidth="1"/>
    <col min="117" max="117" width="14.42578125" customWidth="1"/>
    <col min="118" max="118" width="16.42578125" customWidth="1"/>
    <col min="119" max="119" width="15.42578125" bestFit="1" customWidth="1"/>
    <col min="120" max="120" width="13.42578125" bestFit="1" customWidth="1"/>
    <col min="121" max="121" width="14.5703125" bestFit="1" customWidth="1"/>
    <col min="122" max="122" width="15" bestFit="1" customWidth="1"/>
    <col min="123" max="123" width="13.85546875" bestFit="1" customWidth="1"/>
    <col min="124" max="124" width="15.85546875" bestFit="1" customWidth="1"/>
    <col min="125" max="125" width="14.28515625" bestFit="1" customWidth="1"/>
    <col min="126" max="126" width="14.5703125" bestFit="1" customWidth="1"/>
    <col min="127" max="127" width="15.5703125" bestFit="1" customWidth="1"/>
    <col min="128" max="128" width="17.42578125" bestFit="1" customWidth="1"/>
    <col min="129" max="129" width="10.5703125" bestFit="1" customWidth="1"/>
    <col min="130" max="130" width="12.7109375" bestFit="1" customWidth="1"/>
    <col min="131" max="131" width="20.5703125" bestFit="1" customWidth="1"/>
    <col min="132" max="132" width="16.85546875" bestFit="1" customWidth="1"/>
    <col min="133" max="133" width="14.7109375" bestFit="1" customWidth="1"/>
    <col min="134" max="134" width="11.5703125" bestFit="1" customWidth="1"/>
    <col min="135" max="135" width="11.85546875" bestFit="1" customWidth="1"/>
    <col min="136" max="136" width="17.5703125" bestFit="1" customWidth="1"/>
    <col min="137" max="137" width="6" bestFit="1" customWidth="1"/>
    <col min="138" max="138" width="5.140625" bestFit="1" customWidth="1"/>
    <col min="139" max="139" width="6.7109375" bestFit="1" customWidth="1"/>
    <col min="140" max="140" width="6.28515625" bestFit="1" customWidth="1"/>
    <col min="141" max="141" width="6.140625" bestFit="1" customWidth="1"/>
    <col min="142" max="142" width="13.140625" bestFit="1" customWidth="1"/>
    <col min="143" max="143" width="12" bestFit="1" customWidth="1"/>
    <col min="144" max="144" width="10.42578125" bestFit="1" customWidth="1"/>
    <col min="145" max="145" width="12.85546875" bestFit="1" customWidth="1"/>
    <col min="146" max="146" width="11.28515625" bestFit="1" customWidth="1"/>
    <col min="147" max="147" width="10.5703125" bestFit="1" customWidth="1"/>
    <col min="148" max="148" width="20.42578125" bestFit="1" customWidth="1"/>
    <col min="149" max="149" width="12.5703125" bestFit="1" customWidth="1"/>
    <col min="150" max="150" width="17.85546875" bestFit="1" customWidth="1"/>
    <col min="151" max="151" width="20.85546875" bestFit="1" customWidth="1"/>
    <col min="152" max="152" width="16.42578125" bestFit="1" customWidth="1"/>
    <col min="153" max="153" width="9.28515625" bestFit="1" customWidth="1"/>
    <col min="154" max="154" width="10.7109375" bestFit="1" customWidth="1"/>
    <col min="155" max="155" width="14.7109375" bestFit="1" customWidth="1"/>
    <col min="156" max="156" width="11.42578125" bestFit="1" customWidth="1"/>
    <col min="157" max="157" width="16.85546875" bestFit="1" customWidth="1"/>
    <col min="158" max="158" width="20" bestFit="1" customWidth="1"/>
    <col min="159" max="160" width="20.85546875" bestFit="1" customWidth="1"/>
    <col min="161" max="161" width="9.5703125" bestFit="1" customWidth="1"/>
    <col min="162" max="162" width="10.5703125" bestFit="1" customWidth="1"/>
    <col min="163" max="163" width="13.85546875" bestFit="1" customWidth="1"/>
    <col min="164" max="164" width="6" bestFit="1" customWidth="1"/>
    <col min="165" max="165" width="9.5703125" bestFit="1" customWidth="1"/>
    <col min="166" max="166" width="13.7109375" bestFit="1" customWidth="1"/>
    <col min="167" max="167" width="14.85546875" bestFit="1" customWidth="1"/>
    <col min="168" max="168" width="19.5703125" bestFit="1" customWidth="1"/>
    <col min="169" max="169" width="22.42578125" bestFit="1" customWidth="1"/>
    <col min="170" max="170" width="16.7109375" bestFit="1" customWidth="1"/>
    <col min="171" max="171" width="10.140625" bestFit="1" customWidth="1"/>
    <col min="172" max="172" width="13.7109375" bestFit="1" customWidth="1"/>
    <col min="173" max="173" width="10.140625" bestFit="1" customWidth="1"/>
    <col min="174" max="174" width="13.7109375" bestFit="1" customWidth="1"/>
    <col min="175" max="175" width="11.28515625" bestFit="1" customWidth="1"/>
    <col min="176" max="176" width="14.85546875" bestFit="1" customWidth="1"/>
    <col min="177" max="177" width="7" bestFit="1" customWidth="1"/>
    <col min="178" max="178" width="10.140625" bestFit="1" customWidth="1"/>
    <col min="179" max="179" width="7.85546875" bestFit="1" customWidth="1"/>
    <col min="180" max="180" width="11.28515625" bestFit="1" customWidth="1"/>
    <col min="181" max="181" width="14.85546875" bestFit="1" customWidth="1"/>
    <col min="182" max="183" width="7" bestFit="1" customWidth="1"/>
    <col min="184" max="184" width="6" bestFit="1" customWidth="1"/>
    <col min="185" max="185" width="7.7109375" bestFit="1" customWidth="1"/>
    <col min="186" max="186" width="6.140625" bestFit="1" customWidth="1"/>
    <col min="187" max="187" width="6" bestFit="1" customWidth="1"/>
    <col min="188" max="188" width="13.7109375" bestFit="1" customWidth="1"/>
    <col min="189" max="189" width="24.28515625" bestFit="1" customWidth="1"/>
    <col min="190" max="190" width="9" bestFit="1" customWidth="1"/>
    <col min="191" max="191" width="14.85546875" bestFit="1" customWidth="1"/>
  </cols>
  <sheetData>
    <row r="1" spans="1:191" x14ac:dyDescent="0.25">
      <c r="A1" t="s">
        <v>0</v>
      </c>
      <c r="B1" t="s">
        <v>1</v>
      </c>
      <c r="C1" t="s">
        <v>2</v>
      </c>
      <c r="D1" t="s">
        <v>758</v>
      </c>
      <c r="E1" t="s">
        <v>842</v>
      </c>
      <c r="F1" t="s">
        <v>719</v>
      </c>
      <c r="G1" t="s">
        <v>718</v>
      </c>
      <c r="H1" t="s">
        <v>3</v>
      </c>
      <c r="I1" t="s">
        <v>16</v>
      </c>
      <c r="J1" t="s">
        <v>15</v>
      </c>
      <c r="K1" t="s">
        <v>17</v>
      </c>
      <c r="L1" t="s">
        <v>39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4</v>
      </c>
      <c r="S1" t="s">
        <v>23</v>
      </c>
      <c r="T1" t="s">
        <v>24</v>
      </c>
      <c r="U1" t="s">
        <v>25</v>
      </c>
      <c r="V1" t="s">
        <v>40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5</v>
      </c>
      <c r="AC1" t="s">
        <v>31</v>
      </c>
      <c r="AD1" t="s">
        <v>32</v>
      </c>
      <c r="AE1" t="s">
        <v>33</v>
      </c>
      <c r="AF1" t="s">
        <v>41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6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7</v>
      </c>
      <c r="AW1" t="s">
        <v>51</v>
      </c>
      <c r="AX1" t="s">
        <v>720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10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11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12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13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14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723</v>
      </c>
      <c r="EA1" t="s">
        <v>724</v>
      </c>
      <c r="EB1" t="s">
        <v>726</v>
      </c>
      <c r="EC1" t="s">
        <v>744</v>
      </c>
      <c r="ED1" t="s">
        <v>721</v>
      </c>
      <c r="EE1" t="s">
        <v>722</v>
      </c>
      <c r="EF1" t="s">
        <v>725</v>
      </c>
      <c r="EG1" t="s">
        <v>727</v>
      </c>
      <c r="EH1" t="s">
        <v>742</v>
      </c>
      <c r="EI1" t="s">
        <v>728</v>
      </c>
      <c r="EJ1" t="s">
        <v>729</v>
      </c>
      <c r="EK1" t="s">
        <v>730</v>
      </c>
      <c r="EL1" t="s">
        <v>731</v>
      </c>
      <c r="EM1" t="s">
        <v>732</v>
      </c>
      <c r="EN1" t="s">
        <v>733</v>
      </c>
      <c r="EO1" t="s">
        <v>734</v>
      </c>
      <c r="EP1" t="s">
        <v>745</v>
      </c>
      <c r="EQ1" t="s">
        <v>747</v>
      </c>
      <c r="ER1" t="s">
        <v>746</v>
      </c>
      <c r="ES1" t="s">
        <v>735</v>
      </c>
      <c r="ET1" t="s">
        <v>736</v>
      </c>
      <c r="EU1" t="s">
        <v>737</v>
      </c>
      <c r="EV1" t="s">
        <v>738</v>
      </c>
      <c r="EW1" t="s">
        <v>739</v>
      </c>
      <c r="EX1" t="s">
        <v>740</v>
      </c>
      <c r="EY1" t="s">
        <v>741</v>
      </c>
      <c r="EZ1" t="s">
        <v>748</v>
      </c>
      <c r="FA1" t="s">
        <v>749</v>
      </c>
      <c r="FB1" t="s">
        <v>750</v>
      </c>
      <c r="FC1" t="s">
        <v>751</v>
      </c>
      <c r="FD1" t="s">
        <v>752</v>
      </c>
      <c r="FE1" t="s">
        <v>753</v>
      </c>
      <c r="FF1" t="s">
        <v>755</v>
      </c>
      <c r="FG1" t="s">
        <v>754</v>
      </c>
      <c r="FH1" t="s">
        <v>743</v>
      </c>
      <c r="FI1" t="s">
        <v>756</v>
      </c>
      <c r="FJ1" t="s">
        <v>757</v>
      </c>
      <c r="FK1" t="s">
        <v>871</v>
      </c>
      <c r="FL1" t="s">
        <v>870</v>
      </c>
      <c r="FM1" t="s">
        <v>847</v>
      </c>
      <c r="FN1" t="s">
        <v>848</v>
      </c>
      <c r="FO1" t="s">
        <v>849</v>
      </c>
      <c r="FP1" t="s">
        <v>850</v>
      </c>
      <c r="FQ1" t="s">
        <v>851</v>
      </c>
      <c r="FR1" t="s">
        <v>852</v>
      </c>
      <c r="FS1" t="s">
        <v>853</v>
      </c>
      <c r="FT1" t="s">
        <v>854</v>
      </c>
      <c r="FU1" t="s">
        <v>855</v>
      </c>
      <c r="FV1" t="s">
        <v>856</v>
      </c>
      <c r="FW1" t="s">
        <v>857</v>
      </c>
      <c r="FX1" t="s">
        <v>858</v>
      </c>
      <c r="FY1" t="s">
        <v>862</v>
      </c>
      <c r="FZ1" t="s">
        <v>859</v>
      </c>
      <c r="GA1" t="s">
        <v>860</v>
      </c>
      <c r="GB1" t="s">
        <v>861</v>
      </c>
      <c r="GC1" t="s">
        <v>863</v>
      </c>
      <c r="GD1" t="s">
        <v>864</v>
      </c>
      <c r="GE1" t="s">
        <v>865</v>
      </c>
      <c r="GF1" t="s">
        <v>866</v>
      </c>
      <c r="GG1" t="s">
        <v>867</v>
      </c>
      <c r="GH1" t="s">
        <v>868</v>
      </c>
      <c r="GI1" t="s">
        <v>869</v>
      </c>
    </row>
    <row r="2" spans="1:191" x14ac:dyDescent="0.25">
      <c r="A2">
        <f>_xlfn.AGGREGATE(3,5,$B$2:B2)</f>
        <v>1</v>
      </c>
      <c r="B2" t="s">
        <v>124</v>
      </c>
      <c r="C2" t="s">
        <v>125</v>
      </c>
      <c r="D2" t="s">
        <v>759</v>
      </c>
      <c r="E2" t="s">
        <v>843</v>
      </c>
      <c r="F2">
        <v>0</v>
      </c>
      <c r="G2">
        <v>6000</v>
      </c>
      <c r="H2">
        <v>26200</v>
      </c>
      <c r="I2">
        <f>H2*0.1</f>
        <v>2620</v>
      </c>
      <c r="J2">
        <f>H2*0.12</f>
        <v>3144</v>
      </c>
      <c r="K2">
        <v>0</v>
      </c>
      <c r="L2">
        <v>500</v>
      </c>
      <c r="M2">
        <f>SUM(H2:L2)</f>
        <v>32464</v>
      </c>
      <c r="N2">
        <v>2000</v>
      </c>
      <c r="O2">
        <v>0</v>
      </c>
      <c r="P2">
        <f>IF($F2=50000,0,IF(M2&gt;40000,200,IF(M2&gt;25000,150,IF(M2&gt;15000,130,IF(M2&gt;10000,110,0)))))</f>
        <v>150</v>
      </c>
      <c r="Q2">
        <f>M2-N2-O2-P2</f>
        <v>30314</v>
      </c>
      <c r="R2">
        <v>26200</v>
      </c>
      <c r="S2">
        <f>R2*0.1</f>
        <v>2620</v>
      </c>
      <c r="T2">
        <f>R2*0.12</f>
        <v>3144</v>
      </c>
      <c r="U2">
        <v>0</v>
      </c>
      <c r="V2">
        <v>500</v>
      </c>
      <c r="W2">
        <f>SUM(R2:V2)</f>
        <v>32464</v>
      </c>
      <c r="X2">
        <v>2000</v>
      </c>
      <c r="Y2">
        <v>0</v>
      </c>
      <c r="Z2">
        <f>IF($F2=50000,0,IF(W2&gt;40000,200,IF(W2&gt;25000,150,IF(W2&gt;15000,130,IF(W2&gt;10000,110,0)))))</f>
        <v>150</v>
      </c>
      <c r="AA2">
        <f>W2-X2-Y2-Z2</f>
        <v>30314</v>
      </c>
      <c r="AB2">
        <v>26200</v>
      </c>
      <c r="AC2">
        <f>AB2*0.14</f>
        <v>3668.0000000000005</v>
      </c>
      <c r="AD2">
        <f>AB2*0.12</f>
        <v>3144</v>
      </c>
      <c r="AE2">
        <v>0</v>
      </c>
      <c r="AF2">
        <v>500</v>
      </c>
      <c r="AG2">
        <f>SUM(AB2:AF2)</f>
        <v>33512</v>
      </c>
      <c r="AH2">
        <v>2000</v>
      </c>
      <c r="AI2">
        <v>0</v>
      </c>
      <c r="AJ2">
        <f>IF($F2=50000,0,IF(AG2&gt;40000,200,IF(AG2&gt;25000,150,IF(AG2&gt;15000,130,IF(AG2&gt;10000,110,0)))))</f>
        <v>150</v>
      </c>
      <c r="AK2">
        <f>AG2-AH2-AI2-AJ2</f>
        <v>31362</v>
      </c>
      <c r="AL2">
        <v>26200</v>
      </c>
      <c r="AM2">
        <f>AL2*0.14</f>
        <v>3668.0000000000005</v>
      </c>
      <c r="AN2">
        <f>AL2*0.12</f>
        <v>3144</v>
      </c>
      <c r="AO2">
        <v>0</v>
      </c>
      <c r="AP2">
        <v>500</v>
      </c>
      <c r="AQ2">
        <f>SUM(AL2:AP2)</f>
        <v>33512</v>
      </c>
      <c r="AR2">
        <v>2000</v>
      </c>
      <c r="AS2">
        <v>0</v>
      </c>
      <c r="AT2">
        <f>IF($F2=50000,0,IF(AQ2&gt;40000,200,IF(AQ2&gt;25000,150,IF(AQ2&gt;15000,130,IF(AQ2&gt;10000,110,0)))))</f>
        <v>150</v>
      </c>
      <c r="AU2">
        <f>AQ2-AR2-AS2-AT2</f>
        <v>31362</v>
      </c>
      <c r="AV2">
        <v>27000</v>
      </c>
      <c r="AW2">
        <f>AV2*0.14</f>
        <v>3780.0000000000005</v>
      </c>
      <c r="AX2">
        <f>R2*0.04</f>
        <v>1048</v>
      </c>
      <c r="AY2">
        <f>AV2*0.12</f>
        <v>3240</v>
      </c>
      <c r="AZ2">
        <v>0</v>
      </c>
      <c r="BA2">
        <v>500</v>
      </c>
      <c r="BB2">
        <f>SUM(AV2:BA2)</f>
        <v>35568</v>
      </c>
      <c r="BC2">
        <v>2000</v>
      </c>
      <c r="BD2">
        <v>0</v>
      </c>
      <c r="BE2">
        <f>IF($F2=50000,0,IF(BB2&gt;40000,200,IF(BB2&gt;25000,150,IF(BB2&gt;15000,130,IF(BB2&gt;10000,110,0)))))</f>
        <v>150</v>
      </c>
      <c r="BF2">
        <f>BB2-BC2-BD2-BE2</f>
        <v>33418</v>
      </c>
      <c r="BG2">
        <v>27000</v>
      </c>
      <c r="BH2">
        <f>BG2*0.14</f>
        <v>3780.0000000000005</v>
      </c>
      <c r="BI2">
        <f>BG2*0.12</f>
        <v>3240</v>
      </c>
      <c r="BJ2">
        <v>0</v>
      </c>
      <c r="BK2">
        <v>500</v>
      </c>
      <c r="BL2">
        <f>SUM(BG2:BK2)</f>
        <v>34520</v>
      </c>
      <c r="BM2">
        <v>2000</v>
      </c>
      <c r="BN2">
        <v>0</v>
      </c>
      <c r="BO2">
        <f>IF($F2=50000,0,IF(BL2&gt;40000,200,IF(BL2&gt;25000,150,IF(BL2&gt;15000,130,IF(BL2&gt;10000,110,0)))))</f>
        <v>150</v>
      </c>
      <c r="BP2">
        <f>BL2-BM2-BN2-BO2</f>
        <v>32370</v>
      </c>
      <c r="BQ2">
        <v>27000</v>
      </c>
      <c r="BR2">
        <f>BQ2*0.14</f>
        <v>3780.0000000000005</v>
      </c>
      <c r="BS2">
        <f>BQ2*0.12</f>
        <v>3240</v>
      </c>
      <c r="BT2">
        <v>0</v>
      </c>
      <c r="BU2">
        <v>500</v>
      </c>
      <c r="BV2">
        <f>SUM(BQ2:BU2)</f>
        <v>34520</v>
      </c>
      <c r="BW2">
        <v>2000</v>
      </c>
      <c r="BX2">
        <v>0</v>
      </c>
      <c r="BY2">
        <f>IF($F2=50000,0,IF(BV2&gt;40000,200,IF(BV2&gt;25000,150,IF(BV2&gt;15000,130,IF(BV2&gt;10000,110,0)))))</f>
        <v>150</v>
      </c>
      <c r="BZ2">
        <f>BV2-BW2-BX2-BY2</f>
        <v>32370</v>
      </c>
      <c r="CA2">
        <v>27000</v>
      </c>
      <c r="CB2">
        <f>CA2*0.14</f>
        <v>3780.0000000000005</v>
      </c>
      <c r="CC2">
        <f>CA2*0.12</f>
        <v>3240</v>
      </c>
      <c r="CD2">
        <v>0</v>
      </c>
      <c r="CE2">
        <v>500</v>
      </c>
      <c r="CF2">
        <f>SUM(CA2:CE2)</f>
        <v>34520</v>
      </c>
      <c r="CG2">
        <v>2000</v>
      </c>
      <c r="CH2">
        <v>0</v>
      </c>
      <c r="CI2">
        <f>IF($F2=50000,0,IF(CF2&gt;40000,200,IF(CF2&gt;25000,150,IF(CF2&gt;15000,130,IF(CF2&gt;10000,110,0)))))</f>
        <v>150</v>
      </c>
      <c r="CJ2">
        <f>CF2-CG2-CH2-CI2</f>
        <v>32370</v>
      </c>
      <c r="CK2">
        <v>27000</v>
      </c>
      <c r="CL2">
        <f>CK2*0.14</f>
        <v>3780.0000000000005</v>
      </c>
      <c r="CM2">
        <f>CK2*0.12</f>
        <v>3240</v>
      </c>
      <c r="CN2">
        <v>0</v>
      </c>
      <c r="CO2">
        <v>500</v>
      </c>
      <c r="CP2">
        <f>SUM(CK2:CO2)</f>
        <v>34520</v>
      </c>
      <c r="CQ2">
        <v>2000</v>
      </c>
      <c r="CR2">
        <v>0</v>
      </c>
      <c r="CS2">
        <f>IF($F2=50000,0,IF(CP2&gt;40000,200,IF(CP2&gt;25000,150,IF(CP2&gt;15000,130,IF(CP2&gt;10000,110,0)))))</f>
        <v>150</v>
      </c>
      <c r="CT2">
        <f>CP2-CQ2-CR2-CS2</f>
        <v>32370</v>
      </c>
      <c r="CU2">
        <v>27000</v>
      </c>
      <c r="CV2">
        <f>ROUND(CU2*0.14,0)</f>
        <v>3780</v>
      </c>
      <c r="CW2">
        <f>ROUND(CU2*0.12,0)</f>
        <v>3240</v>
      </c>
      <c r="CX2">
        <v>0</v>
      </c>
      <c r="CY2">
        <v>500</v>
      </c>
      <c r="CZ2">
        <f>SUM(CU2:CY2)</f>
        <v>34520</v>
      </c>
      <c r="DA2">
        <v>2000</v>
      </c>
      <c r="DB2">
        <v>0</v>
      </c>
      <c r="DC2">
        <f>IF($F2=50000,0,IF(CZ2&gt;40000,200,IF(CZ2&gt;25000,150,IF(CZ2&gt;15000,130,IF(CZ2&gt;10000,110,0)))))</f>
        <v>150</v>
      </c>
      <c r="DD2">
        <f>CZ2-DA2-DB2-DC2</f>
        <v>32370</v>
      </c>
      <c r="DE2">
        <v>27000</v>
      </c>
      <c r="DF2">
        <f>DE2*0.14</f>
        <v>3780.0000000000005</v>
      </c>
      <c r="DG2">
        <f>DE2*0.12</f>
        <v>3240</v>
      </c>
      <c r="DH2">
        <v>0</v>
      </c>
      <c r="DI2">
        <v>500</v>
      </c>
      <c r="DJ2">
        <f>SUM(DE2:DI2)</f>
        <v>34520</v>
      </c>
      <c r="DK2">
        <v>2000</v>
      </c>
      <c r="DL2">
        <v>0</v>
      </c>
      <c r="DM2">
        <f>IF($F2=50000,0,IF(DJ2&gt;40000,200,IF(DJ2&gt;25000,150,IF(DJ2&gt;15000,130,IF(DJ2&gt;10000,110,0)))))</f>
        <v>150</v>
      </c>
      <c r="DN2">
        <f>DJ2-DK2-DL2-DM2</f>
        <v>32370</v>
      </c>
      <c r="DO2">
        <v>27000</v>
      </c>
      <c r="DP2">
        <f>DO2*0.14</f>
        <v>3780.0000000000005</v>
      </c>
      <c r="DQ2">
        <f>DO2*0.12</f>
        <v>3240</v>
      </c>
      <c r="DR2">
        <v>0</v>
      </c>
      <c r="DS2">
        <v>500</v>
      </c>
      <c r="DT2">
        <f>SUM(DO2:DS2)</f>
        <v>34520</v>
      </c>
      <c r="DU2">
        <v>2000</v>
      </c>
      <c r="DV2">
        <v>0</v>
      </c>
      <c r="DW2">
        <f>IF($F2=50000,0,IF(DT2&gt;40000,200,IF(DT2&gt;25000,150,IF(DT2&gt;15000,130,IF(DT2&gt;10000,110,0)))))</f>
        <v>150</v>
      </c>
      <c r="DX2">
        <f>DT2-DU2-DV2-DW2</f>
        <v>32370</v>
      </c>
      <c r="DY2">
        <f>DT2+DJ2+CZ2+CP2+CF2+BV2+BL2+BB2+AQ2+AG2+W2+M2+G2</f>
        <v>415160</v>
      </c>
      <c r="DZ2">
        <f t="shared" ref="DZ2:DZ65" si="0">DW2+DM2+DC2+CS2+CI2+BY2+BO2+BE2+AT2+AJ2+Z2+P2</f>
        <v>1800</v>
      </c>
      <c r="EA2">
        <f t="shared" ref="EA2:EA65" si="1">IF(DY2&gt;0,50000,0)</f>
        <v>50000</v>
      </c>
      <c r="EB2">
        <v>0</v>
      </c>
      <c r="EC2">
        <f t="shared" ref="EC2:EC65" si="2">DY2-DZ2-EA2</f>
        <v>363360</v>
      </c>
      <c r="ED2">
        <f t="shared" ref="ED2:ED65" si="3">DU2+DK2+DA2+CQ2+CG2+BW2+BM2+BC2+AR2+AH2+X2+N2</f>
        <v>24000</v>
      </c>
      <c r="EE2">
        <f t="shared" ref="EE2:EE65" si="4">DV2+DL2+DB2+CR2+CH2+BX2+BN2+BD2+AS2+AI2+Y2+O2</f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f t="shared" ref="EP2:EP65" si="5">SUM(ED2:EO2)</f>
        <v>24000</v>
      </c>
      <c r="EQ2">
        <f>IF(EP2&gt;=150000,150000,EP2)</f>
        <v>24000</v>
      </c>
      <c r="ER2">
        <f t="shared" ref="ER2:ER65" si="6">EC2-EQ2</f>
        <v>339360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f>SUM(ES2:EY2)+F2</f>
        <v>0</v>
      </c>
      <c r="FA2">
        <f>ER2-EZ2</f>
        <v>339360</v>
      </c>
      <c r="FB2">
        <f>ROUND(IF(FA2&gt;0,IF(FA2&gt;500000,12500,(FA2-250000)*0.05),0),0)</f>
        <v>4468</v>
      </c>
      <c r="FC2">
        <f>IF(ROUND(IF(FA2&gt;0,IF(FA2&gt;1000000,25000,(FA2-500000)*0.2),0),0)&lt;0,0,ROUND(IF(FA2&gt;0,IF(FA2&gt;1000000,25000,(FA2-500000)*0.2),0),0))</f>
        <v>0</v>
      </c>
      <c r="FD2">
        <f>FB2+FC2</f>
        <v>4468</v>
      </c>
      <c r="FE2">
        <f>IF(FD2&lt;12500,0,FD2)</f>
        <v>0</v>
      </c>
      <c r="FF2">
        <f>FE2*0.04</f>
        <v>0</v>
      </c>
      <c r="FG2">
        <f>ROUND(FF2+FE2,0)</f>
        <v>0</v>
      </c>
      <c r="FH2">
        <v>0</v>
      </c>
      <c r="FI2">
        <f>FG2-FH2</f>
        <v>0</v>
      </c>
      <c r="FJ2" t="b">
        <f>IF(DY2&gt;500000,TRUE,FALSE)</f>
        <v>0</v>
      </c>
      <c r="FK2">
        <f ca="1">IF(FJ2,RANDBETWEEN(500,1000),RANDBETWEEN(1000,3000))</f>
        <v>1341</v>
      </c>
      <c r="FL2">
        <f ca="1">DY2+FK2</f>
        <v>416501</v>
      </c>
      <c r="FM2">
        <f>IF(DY2&gt;0,75000,0)</f>
        <v>75000</v>
      </c>
      <c r="FN2">
        <f ca="1">FL2-FM2</f>
        <v>341501</v>
      </c>
      <c r="FO2">
        <f ca="1">IF(FN2&gt;1500000,FN2-1500000,0)</f>
        <v>0</v>
      </c>
      <c r="FP2">
        <f ca="1">FO2*0.3</f>
        <v>0</v>
      </c>
      <c r="FQ2">
        <f ca="1">IF(FN2&gt;1200000,FN2-1200000-FO2,0)</f>
        <v>0</v>
      </c>
      <c r="FR2">
        <f ca="1">FQ2*0.2</f>
        <v>0</v>
      </c>
      <c r="FS2">
        <f ca="1">IF(FN2&gt;1000000,FN2-1000000-F2-FQ2,0)</f>
        <v>0</v>
      </c>
      <c r="FT2">
        <f ca="1">FS2*0.15</f>
        <v>0</v>
      </c>
      <c r="FU2">
        <f ca="1">IF(FN2&gt;700000,FN2-700000-FO2-FQ2-FS2,0)</f>
        <v>0</v>
      </c>
      <c r="FV2">
        <f ca="1">FU2*0.1</f>
        <v>0</v>
      </c>
      <c r="FW2">
        <f ca="1">IF(FN2&gt;300000,FN2-300000-FO2-FQ2-FS2-FU2,0)</f>
        <v>41501</v>
      </c>
      <c r="FX2">
        <f ca="1">FW2*0.05</f>
        <v>2075.0500000000002</v>
      </c>
      <c r="FY2">
        <f ca="1">ROUND(FP2+FR2+FT2+FV2+FX2,0)</f>
        <v>2075</v>
      </c>
      <c r="FZ2">
        <f ca="1">IF(FN2&gt;700000,FN2,0)</f>
        <v>0</v>
      </c>
      <c r="GA2">
        <f ca="1">IF(FN2&gt;700000,FZ2-700000,0)</f>
        <v>0</v>
      </c>
      <c r="GB2">
        <f ca="1">IF(FN2&lt;700001,MIN(FY2,25000),0)</f>
        <v>2075</v>
      </c>
      <c r="GC2">
        <f ca="1">IF(FN2&gt;700000,FY2-GA2,0)</f>
        <v>0</v>
      </c>
      <c r="GD2" t="b">
        <f ca="1">IF(GC2&gt;0,TRUE,FALSE)</f>
        <v>0</v>
      </c>
      <c r="GE2">
        <f ca="1">IF(GD2,GC2,0)</f>
        <v>0</v>
      </c>
      <c r="GF2">
        <f ca="1">GB2+GE2</f>
        <v>2075</v>
      </c>
      <c r="GG2">
        <f ca="1">ROUND(FY2-GF2,0)</f>
        <v>0</v>
      </c>
      <c r="GH2">
        <f ca="1">GG2*0.04</f>
        <v>0</v>
      </c>
      <c r="GI2">
        <f ca="1">ROUNDUP(GG2+GH2,0)</f>
        <v>0</v>
      </c>
    </row>
    <row r="3" spans="1:191" x14ac:dyDescent="0.25">
      <c r="A3">
        <f>_xlfn.AGGREGATE(3,5,$B$2:B3)</f>
        <v>2</v>
      </c>
      <c r="B3" t="s">
        <v>126</v>
      </c>
      <c r="C3" t="s">
        <v>127</v>
      </c>
      <c r="D3" t="s">
        <v>759</v>
      </c>
      <c r="E3" t="s">
        <v>843</v>
      </c>
      <c r="F3">
        <v>0</v>
      </c>
      <c r="G3">
        <v>6000</v>
      </c>
      <c r="H3">
        <v>29800</v>
      </c>
      <c r="I3">
        <f t="shared" ref="I3:I66" si="7">H3*0.1</f>
        <v>2980</v>
      </c>
      <c r="J3">
        <f t="shared" ref="J3:J66" si="8">H3*0.12</f>
        <v>3576</v>
      </c>
      <c r="K3">
        <v>0</v>
      </c>
      <c r="L3">
        <v>0</v>
      </c>
      <c r="M3">
        <f t="shared" ref="M3:M66" si="9">SUM(H3:L3)</f>
        <v>36356</v>
      </c>
      <c r="N3">
        <v>2000</v>
      </c>
      <c r="O3">
        <v>0</v>
      </c>
      <c r="P3">
        <f t="shared" ref="P3:P66" si="10">IF($F3=50000,0,IF(M3&gt;40000,200,IF(M3&gt;25000,150,IF(M3&gt;15000,130,IF(M3&gt;10000,110,0)))))</f>
        <v>150</v>
      </c>
      <c r="Q3">
        <f t="shared" ref="Q3:Q66" si="11">M3-N3-O3-P3</f>
        <v>34206</v>
      </c>
      <c r="R3">
        <v>29800</v>
      </c>
      <c r="S3">
        <f t="shared" ref="S3:S66" si="12">R3*0.1</f>
        <v>2980</v>
      </c>
      <c r="T3">
        <f t="shared" ref="T3:T66" si="13">R3*0.12</f>
        <v>3576</v>
      </c>
      <c r="U3">
        <v>0</v>
      </c>
      <c r="V3">
        <v>0</v>
      </c>
      <c r="W3">
        <f t="shared" ref="W3:W66" si="14">SUM(R3:V3)</f>
        <v>36356</v>
      </c>
      <c r="X3">
        <v>2000</v>
      </c>
      <c r="Y3">
        <v>0</v>
      </c>
      <c r="Z3">
        <f t="shared" ref="Z3:Z66" si="15">IF($F3=50000,0,IF(W3&gt;40000,200,IF(W3&gt;25000,150,IF(W3&gt;15000,130,IF(W3&gt;10000,110,0)))))</f>
        <v>150</v>
      </c>
      <c r="AA3">
        <f t="shared" ref="AA3:AA66" si="16">W3-X3-Y3-Z3</f>
        <v>34206</v>
      </c>
      <c r="AB3">
        <v>29800</v>
      </c>
      <c r="AC3">
        <f t="shared" ref="AC3:AC66" si="17">AB3*0.14</f>
        <v>4172</v>
      </c>
      <c r="AD3">
        <f t="shared" ref="AD3:AD66" si="18">AB3*0.12</f>
        <v>3576</v>
      </c>
      <c r="AE3">
        <v>0</v>
      </c>
      <c r="AF3">
        <v>0</v>
      </c>
      <c r="AG3">
        <f t="shared" ref="AG3:AG66" si="19">SUM(AB3:AF3)</f>
        <v>37548</v>
      </c>
      <c r="AH3">
        <v>2000</v>
      </c>
      <c r="AI3">
        <v>0</v>
      </c>
      <c r="AJ3">
        <f t="shared" ref="AJ3:AJ66" si="20">IF($F3=50000,0,IF(AG3&gt;40000,200,IF(AG3&gt;25000,150,IF(AG3&gt;15000,130,IF(AG3&gt;10000,110,0)))))</f>
        <v>150</v>
      </c>
      <c r="AK3">
        <f t="shared" ref="AK3:AK66" si="21">AG3-AH3-AI3-AJ3</f>
        <v>35398</v>
      </c>
      <c r="AL3">
        <v>29800</v>
      </c>
      <c r="AM3">
        <f t="shared" ref="AM3:AM66" si="22">AL3*0.14</f>
        <v>4172</v>
      </c>
      <c r="AN3">
        <f t="shared" ref="AN3:AN66" si="23">AL3*0.12</f>
        <v>3576</v>
      </c>
      <c r="AO3">
        <v>0</v>
      </c>
      <c r="AP3">
        <v>0</v>
      </c>
      <c r="AQ3">
        <f t="shared" ref="AQ3:AQ66" si="24">SUM(AL3:AP3)</f>
        <v>37548</v>
      </c>
      <c r="AR3">
        <v>2000</v>
      </c>
      <c r="AS3">
        <v>0</v>
      </c>
      <c r="AT3">
        <f t="shared" ref="AT3:AT66" si="25">IF($F3=50000,0,IF(AQ3&gt;40000,200,IF(AQ3&gt;25000,150,IF(AQ3&gt;15000,130,IF(AQ3&gt;10000,110,0)))))</f>
        <v>150</v>
      </c>
      <c r="AU3">
        <f t="shared" ref="AU3:AU66" si="26">AQ3-AR3-AS3-AT3</f>
        <v>35398</v>
      </c>
      <c r="AV3">
        <v>30700</v>
      </c>
      <c r="AW3">
        <f t="shared" ref="AW3:AW66" si="27">AV3*0.14</f>
        <v>4298</v>
      </c>
      <c r="AX3">
        <f t="shared" ref="AX3:AX66" si="28">R3*0.04</f>
        <v>1192</v>
      </c>
      <c r="AY3">
        <f t="shared" ref="AY3:AY66" si="29">AV3*0.12</f>
        <v>3684</v>
      </c>
      <c r="AZ3">
        <v>0</v>
      </c>
      <c r="BA3">
        <v>0</v>
      </c>
      <c r="BB3">
        <f t="shared" ref="BB3:BB66" si="30">SUM(AV3:BA3)</f>
        <v>39874</v>
      </c>
      <c r="BC3">
        <v>2000</v>
      </c>
      <c r="BD3">
        <v>0</v>
      </c>
      <c r="BE3">
        <f t="shared" ref="BE3:BE66" si="31">IF($F3=50000,0,IF(BB3&gt;40000,200,IF(BB3&gt;25000,150,IF(BB3&gt;15000,130,IF(BB3&gt;10000,110,0)))))</f>
        <v>150</v>
      </c>
      <c r="BF3">
        <f t="shared" ref="BF3:BF66" si="32">BB3-BC3-BD3-BE3</f>
        <v>37724</v>
      </c>
      <c r="BG3">
        <v>30700</v>
      </c>
      <c r="BH3">
        <f t="shared" ref="BH3:BH66" si="33">BG3*0.14</f>
        <v>4298</v>
      </c>
      <c r="BI3">
        <f t="shared" ref="BI3:BI66" si="34">BG3*0.12</f>
        <v>3684</v>
      </c>
      <c r="BJ3">
        <v>0</v>
      </c>
      <c r="BK3">
        <v>0</v>
      </c>
      <c r="BL3">
        <f t="shared" ref="BL3:BL66" si="35">SUM(BG3:BK3)</f>
        <v>38682</v>
      </c>
      <c r="BM3">
        <v>2000</v>
      </c>
      <c r="BN3">
        <v>0</v>
      </c>
      <c r="BO3">
        <f t="shared" ref="BO3:BO66" si="36">IF($F3=50000,0,IF(BL3&gt;40000,200,IF(BL3&gt;25000,150,IF(BL3&gt;15000,130,IF(BL3&gt;10000,110,0)))))</f>
        <v>150</v>
      </c>
      <c r="BP3">
        <f t="shared" ref="BP3:BP66" si="37">BL3-BM3-BN3-BO3</f>
        <v>36532</v>
      </c>
      <c r="BQ3">
        <v>30700</v>
      </c>
      <c r="BR3">
        <f t="shared" ref="BR3:BR66" si="38">BQ3*0.14</f>
        <v>4298</v>
      </c>
      <c r="BS3">
        <f t="shared" ref="BS3:BS66" si="39">BQ3*0.12</f>
        <v>3684</v>
      </c>
      <c r="BT3">
        <v>0</v>
      </c>
      <c r="BU3">
        <v>0</v>
      </c>
      <c r="BV3">
        <f t="shared" ref="BV3:BV66" si="40">SUM(BQ3:BU3)</f>
        <v>38682</v>
      </c>
      <c r="BW3">
        <v>2000</v>
      </c>
      <c r="BX3">
        <v>0</v>
      </c>
      <c r="BY3">
        <f t="shared" ref="BY3:BY66" si="41">IF($F3=50000,0,IF(BV3&gt;40000,200,IF(BV3&gt;25000,150,IF(BV3&gt;15000,130,IF(BV3&gt;10000,110,0)))))</f>
        <v>150</v>
      </c>
      <c r="BZ3">
        <f t="shared" ref="BZ3:BZ66" si="42">BV3-BW3-BX3-BY3</f>
        <v>36532</v>
      </c>
      <c r="CA3">
        <v>30700</v>
      </c>
      <c r="CB3">
        <f t="shared" ref="CB3:CB66" si="43">CA3*0.14</f>
        <v>4298</v>
      </c>
      <c r="CC3">
        <f t="shared" ref="CC3:CC66" si="44">CA3*0.12</f>
        <v>3684</v>
      </c>
      <c r="CD3">
        <v>0</v>
      </c>
      <c r="CE3">
        <v>0</v>
      </c>
      <c r="CF3">
        <f t="shared" ref="CF3:CF66" si="45">SUM(CA3:CE3)</f>
        <v>38682</v>
      </c>
      <c r="CG3">
        <v>2000</v>
      </c>
      <c r="CH3">
        <v>0</v>
      </c>
      <c r="CI3">
        <f t="shared" ref="CI3:CI66" si="46">IF($F3=50000,0,IF(CF3&gt;40000,200,IF(CF3&gt;25000,150,IF(CF3&gt;15000,130,IF(CF3&gt;10000,110,0)))))</f>
        <v>150</v>
      </c>
      <c r="CJ3">
        <f t="shared" ref="CJ3:CJ66" si="47">CF3-CG3-CH3-CI3</f>
        <v>36532</v>
      </c>
      <c r="CK3">
        <v>30700</v>
      </c>
      <c r="CL3">
        <f t="shared" ref="CL3:CL66" si="48">CK3*0.14</f>
        <v>4298</v>
      </c>
      <c r="CM3">
        <f t="shared" ref="CM3:CM66" si="49">CK3*0.12</f>
        <v>3684</v>
      </c>
      <c r="CN3">
        <v>0</v>
      </c>
      <c r="CO3">
        <v>0</v>
      </c>
      <c r="CP3">
        <f t="shared" ref="CP3:CP66" si="50">SUM(CK3:CO3)</f>
        <v>38682</v>
      </c>
      <c r="CQ3">
        <v>2000</v>
      </c>
      <c r="CR3">
        <v>0</v>
      </c>
      <c r="CS3">
        <f t="shared" ref="CS3:CS66" si="51">IF($F3=50000,0,IF(CP3&gt;40000,200,IF(CP3&gt;25000,150,IF(CP3&gt;15000,130,IF(CP3&gt;10000,110,0)))))</f>
        <v>150</v>
      </c>
      <c r="CT3">
        <f t="shared" ref="CT3:CT66" si="52">CP3-CQ3-CR3-CS3</f>
        <v>36532</v>
      </c>
      <c r="CU3">
        <v>30700</v>
      </c>
      <c r="CV3">
        <f t="shared" ref="CV3:CV66" si="53">ROUND(CU3*0.14,0)</f>
        <v>4298</v>
      </c>
      <c r="CW3">
        <f t="shared" ref="CW3:CW66" si="54">ROUND(CU3*0.12,0)</f>
        <v>3684</v>
      </c>
      <c r="CX3">
        <v>0</v>
      </c>
      <c r="CY3">
        <v>0</v>
      </c>
      <c r="CZ3">
        <f t="shared" ref="CZ3:CZ66" si="55">SUM(CU3:CY3)</f>
        <v>38682</v>
      </c>
      <c r="DA3">
        <v>2000</v>
      </c>
      <c r="DB3">
        <v>0</v>
      </c>
      <c r="DC3">
        <f t="shared" ref="DC3:DC66" si="56">IF($F3=50000,0,IF(CZ3&gt;40000,200,IF(CZ3&gt;25000,150,IF(CZ3&gt;15000,130,IF(CZ3&gt;10000,110,0)))))</f>
        <v>150</v>
      </c>
      <c r="DD3">
        <f t="shared" ref="DD3:DD66" si="57">CZ3-DA3-DB3-DC3</f>
        <v>36532</v>
      </c>
      <c r="DE3">
        <v>30700</v>
      </c>
      <c r="DF3">
        <f t="shared" ref="DF3:DF66" si="58">DE3*0.14</f>
        <v>4298</v>
      </c>
      <c r="DG3">
        <f t="shared" ref="DG3:DG66" si="59">DE3*0.12</f>
        <v>3684</v>
      </c>
      <c r="DH3">
        <v>0</v>
      </c>
      <c r="DI3">
        <v>0</v>
      </c>
      <c r="DJ3">
        <f t="shared" ref="DJ3:DJ66" si="60">SUM(DE3:DI3)</f>
        <v>38682</v>
      </c>
      <c r="DK3">
        <v>2000</v>
      </c>
      <c r="DL3">
        <v>0</v>
      </c>
      <c r="DM3">
        <f t="shared" ref="DM3:DM66" si="61">IF($F3=50000,0,IF(DJ3&gt;40000,200,IF(DJ3&gt;25000,150,IF(DJ3&gt;15000,130,IF(DJ3&gt;10000,110,0)))))</f>
        <v>150</v>
      </c>
      <c r="DN3">
        <f t="shared" ref="DN3:DN66" si="62">DJ3-DK3-DL3-DM3</f>
        <v>36532</v>
      </c>
      <c r="DO3">
        <v>30700</v>
      </c>
      <c r="DP3">
        <f t="shared" ref="DP3:DP66" si="63">DO3*0.14</f>
        <v>4298</v>
      </c>
      <c r="DQ3">
        <f t="shared" ref="DQ3:DQ66" si="64">DO3*0.12</f>
        <v>3684</v>
      </c>
      <c r="DR3">
        <v>0</v>
      </c>
      <c r="DS3">
        <v>0</v>
      </c>
      <c r="DT3">
        <f t="shared" ref="DT3:DT66" si="65">SUM(DO3:DS3)</f>
        <v>38682</v>
      </c>
      <c r="DU3">
        <v>2000</v>
      </c>
      <c r="DV3">
        <v>0</v>
      </c>
      <c r="DW3">
        <f t="shared" ref="DW3:DW66" si="66">IF($F3=50000,0,IF(DT3&gt;40000,200,IF(DT3&gt;25000,150,IF(DT3&gt;15000,130,IF(DT3&gt;10000,110,0)))))</f>
        <v>150</v>
      </c>
      <c r="DX3">
        <f t="shared" ref="DX3:DX66" si="67">DT3-DU3-DV3-DW3</f>
        <v>36532</v>
      </c>
      <c r="DY3">
        <f t="shared" ref="DY3:DY66" si="68">DT3+DJ3+CZ3+CP3+CF3+BV3+BL3+BB3+AQ3+AG3+W3+M3+G3</f>
        <v>464456</v>
      </c>
      <c r="DZ3">
        <f t="shared" si="0"/>
        <v>1800</v>
      </c>
      <c r="EA3">
        <f t="shared" si="1"/>
        <v>50000</v>
      </c>
      <c r="EB3">
        <v>0</v>
      </c>
      <c r="EC3">
        <f t="shared" si="2"/>
        <v>412656</v>
      </c>
      <c r="ED3">
        <f t="shared" si="3"/>
        <v>24000</v>
      </c>
      <c r="EE3">
        <f t="shared" si="4"/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f t="shared" si="5"/>
        <v>24000</v>
      </c>
      <c r="EQ3">
        <f t="shared" ref="EQ3:EQ66" si="69">IF(EP3&gt;=150000,150000,EP3)</f>
        <v>24000</v>
      </c>
      <c r="ER3">
        <f t="shared" si="6"/>
        <v>388656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f t="shared" ref="EZ3:EZ66" si="70">SUM(ES3:EY3)+F3</f>
        <v>0</v>
      </c>
      <c r="FA3">
        <f t="shared" ref="FA3:FA66" si="71">ER3-EZ3</f>
        <v>388656</v>
      </c>
      <c r="FB3">
        <f t="shared" ref="FB3:FB66" si="72">ROUND(IF(FA3&gt;0,IF(FA3&gt;500000,12500,(FA3-250000)*0.05),0),0)</f>
        <v>6933</v>
      </c>
      <c r="FC3">
        <f t="shared" ref="FC3:FC66" si="73">IF(ROUND(IF(FA3&gt;0,IF(FA3&gt;1000000,25000,(FA3-500000)*0.2),0),0)&lt;0,0,ROUND(IF(FA3&gt;0,IF(FA3&gt;1000000,25000,(FA3-500000)*0.2),0),0))</f>
        <v>0</v>
      </c>
      <c r="FD3">
        <f t="shared" ref="FD3:FD66" si="74">FB3+FC3</f>
        <v>6933</v>
      </c>
      <c r="FE3">
        <f t="shared" ref="FE3:FE66" si="75">IF(FD3&lt;12500,0,FD3)</f>
        <v>0</v>
      </c>
      <c r="FF3">
        <f t="shared" ref="FF3:FF66" si="76">FE3*0.04</f>
        <v>0</v>
      </c>
      <c r="FG3">
        <f t="shared" ref="FG3:FG66" si="77">ROUND(FF3+FE3,0)</f>
        <v>0</v>
      </c>
      <c r="FH3">
        <v>0</v>
      </c>
      <c r="FI3">
        <f t="shared" ref="FI3:FI66" si="78">FG3-FH3</f>
        <v>0</v>
      </c>
      <c r="FJ3" t="b">
        <f t="shared" ref="FJ3:FJ66" si="79">IF(DY3&gt;500000,TRUE,FALSE)</f>
        <v>0</v>
      </c>
      <c r="FK3">
        <f t="shared" ref="FK3:FK66" ca="1" si="80">IF(FJ3,RANDBETWEEN(500,1000),RANDBETWEEN(1000,3000))</f>
        <v>2705</v>
      </c>
      <c r="FL3">
        <f t="shared" ref="FL3:FL66" ca="1" si="81">DY3+FK3</f>
        <v>467161</v>
      </c>
      <c r="FM3">
        <f t="shared" ref="FM3:FM66" si="82">IF(DY3&gt;0,75000,0)</f>
        <v>75000</v>
      </c>
      <c r="FN3">
        <f t="shared" ref="FN3:FN66" ca="1" si="83">FL3-FM3</f>
        <v>392161</v>
      </c>
      <c r="FO3">
        <f t="shared" ref="FO3:FO66" ca="1" si="84">IF(FN3&gt;1500000,FN3-1500000,0)</f>
        <v>0</v>
      </c>
      <c r="FP3">
        <f t="shared" ref="FP3:FP66" ca="1" si="85">FO3*0.3</f>
        <v>0</v>
      </c>
      <c r="FQ3">
        <f t="shared" ref="FQ3:FQ66" ca="1" si="86">IF(FN3&gt;1200000,FN3-1200000-FO3,0)</f>
        <v>0</v>
      </c>
      <c r="FR3">
        <f t="shared" ref="FR3:FR66" ca="1" si="87">FQ3*0.2</f>
        <v>0</v>
      </c>
      <c r="FS3">
        <f t="shared" ref="FS3:FS66" ca="1" si="88">IF(FN3&gt;1000000,FN3-1000000-F3-FQ3,0)</f>
        <v>0</v>
      </c>
      <c r="FT3">
        <f t="shared" ref="FT3:FT66" ca="1" si="89">FS3*0.15</f>
        <v>0</v>
      </c>
      <c r="FU3">
        <f t="shared" ref="FU3:FU66" ca="1" si="90">IF(FN3&gt;700000,FN3-700000-FO3-FQ3-FS3,0)</f>
        <v>0</v>
      </c>
      <c r="FV3">
        <f t="shared" ref="FV3:FV66" ca="1" si="91">FU3*0.1</f>
        <v>0</v>
      </c>
      <c r="FW3">
        <f t="shared" ref="FW3:FW66" ca="1" si="92">IF(FN3&gt;300000,FN3-300000-FO3-FQ3-FS3-FU3,0)</f>
        <v>92161</v>
      </c>
      <c r="FX3">
        <f t="shared" ref="FX3:FX66" ca="1" si="93">FW3*0.05</f>
        <v>4608.05</v>
      </c>
      <c r="FY3">
        <f t="shared" ref="FY3:FY66" ca="1" si="94">ROUND(FP3+FR3+FT3+FV3+FX3,0)</f>
        <v>4608</v>
      </c>
      <c r="FZ3">
        <f t="shared" ref="FZ3:FZ66" ca="1" si="95">IF(FN3&gt;700000,FN3,0)</f>
        <v>0</v>
      </c>
      <c r="GA3">
        <f t="shared" ref="GA3:GA66" ca="1" si="96">IF(FN3&gt;700000,FZ3-700000,0)</f>
        <v>0</v>
      </c>
      <c r="GB3">
        <f t="shared" ref="GB3:GB66" ca="1" si="97">IF(FN3&lt;700001,MIN(FY3,25000),0)</f>
        <v>4608</v>
      </c>
      <c r="GC3">
        <f t="shared" ref="GC3:GC66" ca="1" si="98">IF(FN3&gt;700000,FY3-GA3,0)</f>
        <v>0</v>
      </c>
      <c r="GD3" t="b">
        <f t="shared" ref="GD3:GD66" ca="1" si="99">IF(GC3&gt;0,TRUE,FALSE)</f>
        <v>0</v>
      </c>
      <c r="GE3">
        <f t="shared" ref="GE3:GE66" ca="1" si="100">IF(GD3,GC3,0)</f>
        <v>0</v>
      </c>
      <c r="GF3">
        <f t="shared" ref="GF3:GF66" ca="1" si="101">GB3+GE3</f>
        <v>4608</v>
      </c>
      <c r="GG3">
        <f t="shared" ref="GG3:GG66" ca="1" si="102">ROUND(FY3-GF3,0)</f>
        <v>0</v>
      </c>
      <c r="GH3">
        <f t="shared" ref="GH3:GH66" ca="1" si="103">GG3*0.04</f>
        <v>0</v>
      </c>
      <c r="GI3">
        <f t="shared" ref="GI3:GI66" ca="1" si="104">ROUNDUP(GG3+GH3,0)</f>
        <v>0</v>
      </c>
    </row>
    <row r="4" spans="1:191" x14ac:dyDescent="0.25">
      <c r="A4">
        <f>_xlfn.AGGREGATE(3,5,$B$2:B4)</f>
        <v>3</v>
      </c>
      <c r="B4" t="s">
        <v>128</v>
      </c>
      <c r="C4" t="s">
        <v>129</v>
      </c>
      <c r="D4" t="s">
        <v>760</v>
      </c>
      <c r="E4" t="s">
        <v>843</v>
      </c>
      <c r="F4">
        <v>50000</v>
      </c>
      <c r="G4">
        <v>0</v>
      </c>
      <c r="H4">
        <v>45900</v>
      </c>
      <c r="I4">
        <f t="shared" si="7"/>
        <v>4590</v>
      </c>
      <c r="J4">
        <f t="shared" si="8"/>
        <v>5508</v>
      </c>
      <c r="K4">
        <v>0</v>
      </c>
      <c r="L4">
        <v>500</v>
      </c>
      <c r="M4">
        <f t="shared" si="9"/>
        <v>56498</v>
      </c>
      <c r="N4">
        <v>3000</v>
      </c>
      <c r="O4">
        <v>0</v>
      </c>
      <c r="P4">
        <f t="shared" si="10"/>
        <v>0</v>
      </c>
      <c r="Q4">
        <f t="shared" si="11"/>
        <v>53498</v>
      </c>
      <c r="R4">
        <v>45900</v>
      </c>
      <c r="S4">
        <f t="shared" si="12"/>
        <v>4590</v>
      </c>
      <c r="T4">
        <f t="shared" si="13"/>
        <v>5508</v>
      </c>
      <c r="U4">
        <v>0</v>
      </c>
      <c r="V4">
        <v>500</v>
      </c>
      <c r="W4">
        <f t="shared" si="14"/>
        <v>56498</v>
      </c>
      <c r="X4">
        <v>3000</v>
      </c>
      <c r="Y4">
        <v>0</v>
      </c>
      <c r="Z4">
        <f t="shared" si="15"/>
        <v>0</v>
      </c>
      <c r="AA4">
        <f t="shared" si="16"/>
        <v>53498</v>
      </c>
      <c r="AB4">
        <v>45900</v>
      </c>
      <c r="AC4">
        <f t="shared" si="17"/>
        <v>6426.0000000000009</v>
      </c>
      <c r="AD4">
        <f t="shared" si="18"/>
        <v>5508</v>
      </c>
      <c r="AE4">
        <v>0</v>
      </c>
      <c r="AF4">
        <v>500</v>
      </c>
      <c r="AG4">
        <f t="shared" si="19"/>
        <v>58334</v>
      </c>
      <c r="AH4">
        <v>3000</v>
      </c>
      <c r="AI4">
        <v>0</v>
      </c>
      <c r="AJ4">
        <f t="shared" si="20"/>
        <v>0</v>
      </c>
      <c r="AK4">
        <f t="shared" si="21"/>
        <v>55334</v>
      </c>
      <c r="AL4">
        <v>45900</v>
      </c>
      <c r="AM4">
        <f t="shared" si="22"/>
        <v>6426.0000000000009</v>
      </c>
      <c r="AN4">
        <f t="shared" si="23"/>
        <v>5508</v>
      </c>
      <c r="AO4">
        <v>0</v>
      </c>
      <c r="AP4">
        <v>500</v>
      </c>
      <c r="AQ4">
        <f t="shared" si="24"/>
        <v>58334</v>
      </c>
      <c r="AR4">
        <v>3000</v>
      </c>
      <c r="AS4">
        <v>0</v>
      </c>
      <c r="AT4">
        <f t="shared" si="25"/>
        <v>0</v>
      </c>
      <c r="AU4">
        <f t="shared" si="26"/>
        <v>55334</v>
      </c>
      <c r="AV4">
        <v>47300</v>
      </c>
      <c r="AW4">
        <f t="shared" si="27"/>
        <v>6622.0000000000009</v>
      </c>
      <c r="AX4">
        <f t="shared" si="28"/>
        <v>1836</v>
      </c>
      <c r="AY4">
        <f t="shared" si="29"/>
        <v>5676</v>
      </c>
      <c r="AZ4">
        <v>0</v>
      </c>
      <c r="BA4">
        <v>500</v>
      </c>
      <c r="BB4">
        <f t="shared" si="30"/>
        <v>61934</v>
      </c>
      <c r="BC4">
        <v>3000</v>
      </c>
      <c r="BD4">
        <v>0</v>
      </c>
      <c r="BE4">
        <f t="shared" si="31"/>
        <v>0</v>
      </c>
      <c r="BF4">
        <f t="shared" si="32"/>
        <v>58934</v>
      </c>
      <c r="BG4">
        <v>47300</v>
      </c>
      <c r="BH4">
        <f t="shared" si="33"/>
        <v>6622.0000000000009</v>
      </c>
      <c r="BI4">
        <f t="shared" si="34"/>
        <v>5676</v>
      </c>
      <c r="BJ4">
        <v>0</v>
      </c>
      <c r="BK4">
        <v>500</v>
      </c>
      <c r="BL4">
        <f t="shared" si="35"/>
        <v>60098</v>
      </c>
      <c r="BM4">
        <v>3000</v>
      </c>
      <c r="BN4">
        <v>0</v>
      </c>
      <c r="BO4">
        <f t="shared" si="36"/>
        <v>0</v>
      </c>
      <c r="BP4">
        <f t="shared" si="37"/>
        <v>57098</v>
      </c>
      <c r="BQ4">
        <v>47300</v>
      </c>
      <c r="BR4">
        <f t="shared" si="38"/>
        <v>6622.0000000000009</v>
      </c>
      <c r="BS4">
        <f t="shared" si="39"/>
        <v>5676</v>
      </c>
      <c r="BT4">
        <v>0</v>
      </c>
      <c r="BU4">
        <v>500</v>
      </c>
      <c r="BV4">
        <f t="shared" si="40"/>
        <v>60098</v>
      </c>
      <c r="BW4">
        <v>3000</v>
      </c>
      <c r="BX4">
        <v>0</v>
      </c>
      <c r="BY4">
        <f t="shared" si="41"/>
        <v>0</v>
      </c>
      <c r="BZ4">
        <f t="shared" si="42"/>
        <v>57098</v>
      </c>
      <c r="CA4">
        <v>47300</v>
      </c>
      <c r="CB4">
        <f t="shared" si="43"/>
        <v>6622.0000000000009</v>
      </c>
      <c r="CC4">
        <f t="shared" si="44"/>
        <v>5676</v>
      </c>
      <c r="CD4">
        <v>0</v>
      </c>
      <c r="CE4">
        <v>500</v>
      </c>
      <c r="CF4">
        <f t="shared" si="45"/>
        <v>60098</v>
      </c>
      <c r="CG4">
        <v>3000</v>
      </c>
      <c r="CH4">
        <v>0</v>
      </c>
      <c r="CI4">
        <f t="shared" si="46"/>
        <v>0</v>
      </c>
      <c r="CJ4">
        <f t="shared" si="47"/>
        <v>57098</v>
      </c>
      <c r="CK4">
        <v>47300</v>
      </c>
      <c r="CL4">
        <f t="shared" si="48"/>
        <v>6622.0000000000009</v>
      </c>
      <c r="CM4">
        <f t="shared" si="49"/>
        <v>5676</v>
      </c>
      <c r="CN4">
        <v>0</v>
      </c>
      <c r="CO4">
        <v>500</v>
      </c>
      <c r="CP4">
        <f t="shared" si="50"/>
        <v>60098</v>
      </c>
      <c r="CQ4">
        <v>3000</v>
      </c>
      <c r="CR4">
        <v>0</v>
      </c>
      <c r="CS4">
        <f t="shared" si="51"/>
        <v>0</v>
      </c>
      <c r="CT4">
        <f t="shared" si="52"/>
        <v>57098</v>
      </c>
      <c r="CU4">
        <v>47300</v>
      </c>
      <c r="CV4">
        <f t="shared" si="53"/>
        <v>6622</v>
      </c>
      <c r="CW4">
        <f t="shared" si="54"/>
        <v>5676</v>
      </c>
      <c r="CX4">
        <v>0</v>
      </c>
      <c r="CY4">
        <v>500</v>
      </c>
      <c r="CZ4">
        <f t="shared" si="55"/>
        <v>60098</v>
      </c>
      <c r="DA4">
        <v>3000</v>
      </c>
      <c r="DB4">
        <v>0</v>
      </c>
      <c r="DC4">
        <f t="shared" si="56"/>
        <v>0</v>
      </c>
      <c r="DD4">
        <f t="shared" si="57"/>
        <v>57098</v>
      </c>
      <c r="DE4">
        <v>47300</v>
      </c>
      <c r="DF4">
        <f t="shared" si="58"/>
        <v>6622.0000000000009</v>
      </c>
      <c r="DG4">
        <f t="shared" si="59"/>
        <v>5676</v>
      </c>
      <c r="DH4">
        <v>0</v>
      </c>
      <c r="DI4">
        <v>500</v>
      </c>
      <c r="DJ4">
        <f t="shared" si="60"/>
        <v>60098</v>
      </c>
      <c r="DK4">
        <v>3000</v>
      </c>
      <c r="DL4">
        <v>0</v>
      </c>
      <c r="DM4">
        <f t="shared" si="61"/>
        <v>0</v>
      </c>
      <c r="DN4">
        <f t="shared" si="62"/>
        <v>57098</v>
      </c>
      <c r="DO4">
        <v>47300</v>
      </c>
      <c r="DP4">
        <f t="shared" si="63"/>
        <v>6622.0000000000009</v>
      </c>
      <c r="DQ4">
        <f t="shared" si="64"/>
        <v>5676</v>
      </c>
      <c r="DR4">
        <v>0</v>
      </c>
      <c r="DS4">
        <v>500</v>
      </c>
      <c r="DT4">
        <f t="shared" si="65"/>
        <v>60098</v>
      </c>
      <c r="DU4">
        <v>3000</v>
      </c>
      <c r="DV4">
        <v>0</v>
      </c>
      <c r="DW4">
        <f t="shared" si="66"/>
        <v>0</v>
      </c>
      <c r="DX4">
        <f t="shared" si="67"/>
        <v>57098</v>
      </c>
      <c r="DY4">
        <f t="shared" si="68"/>
        <v>712284</v>
      </c>
      <c r="DZ4">
        <f t="shared" si="0"/>
        <v>0</v>
      </c>
      <c r="EA4">
        <f t="shared" si="1"/>
        <v>50000</v>
      </c>
      <c r="EB4">
        <v>0</v>
      </c>
      <c r="EC4">
        <f t="shared" si="2"/>
        <v>662284</v>
      </c>
      <c r="ED4">
        <f t="shared" si="3"/>
        <v>36000</v>
      </c>
      <c r="EE4">
        <f t="shared" si="4"/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f t="shared" si="5"/>
        <v>36000</v>
      </c>
      <c r="EQ4">
        <f t="shared" si="69"/>
        <v>36000</v>
      </c>
      <c r="ER4">
        <f t="shared" si="6"/>
        <v>626284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f t="shared" si="70"/>
        <v>50000</v>
      </c>
      <c r="FA4">
        <f t="shared" si="71"/>
        <v>576284</v>
      </c>
      <c r="FB4">
        <f t="shared" si="72"/>
        <v>12500</v>
      </c>
      <c r="FC4">
        <f t="shared" si="73"/>
        <v>15257</v>
      </c>
      <c r="FD4">
        <f t="shared" si="74"/>
        <v>27757</v>
      </c>
      <c r="FE4">
        <f t="shared" si="75"/>
        <v>27757</v>
      </c>
      <c r="FF4">
        <f t="shared" si="76"/>
        <v>1110.28</v>
      </c>
      <c r="FG4">
        <f t="shared" si="77"/>
        <v>28867</v>
      </c>
      <c r="FH4">
        <v>0</v>
      </c>
      <c r="FI4">
        <f t="shared" si="78"/>
        <v>28867</v>
      </c>
      <c r="FJ4" t="b">
        <f t="shared" si="79"/>
        <v>1</v>
      </c>
      <c r="FK4">
        <f t="shared" ca="1" si="80"/>
        <v>543</v>
      </c>
      <c r="FL4">
        <f t="shared" ca="1" si="81"/>
        <v>712827</v>
      </c>
      <c r="FM4">
        <f t="shared" si="82"/>
        <v>75000</v>
      </c>
      <c r="FN4">
        <f t="shared" ca="1" si="83"/>
        <v>637827</v>
      </c>
      <c r="FO4">
        <f t="shared" ca="1" si="84"/>
        <v>0</v>
      </c>
      <c r="FP4">
        <f t="shared" ca="1" si="85"/>
        <v>0</v>
      </c>
      <c r="FQ4">
        <f t="shared" ca="1" si="86"/>
        <v>0</v>
      </c>
      <c r="FR4">
        <f t="shared" ca="1" si="87"/>
        <v>0</v>
      </c>
      <c r="FS4">
        <f t="shared" ca="1" si="88"/>
        <v>0</v>
      </c>
      <c r="FT4">
        <f t="shared" ca="1" si="89"/>
        <v>0</v>
      </c>
      <c r="FU4">
        <f t="shared" ca="1" si="90"/>
        <v>0</v>
      </c>
      <c r="FV4">
        <f t="shared" ca="1" si="91"/>
        <v>0</v>
      </c>
      <c r="FW4">
        <f t="shared" ca="1" si="92"/>
        <v>337827</v>
      </c>
      <c r="FX4">
        <f t="shared" ca="1" si="93"/>
        <v>16891.350000000002</v>
      </c>
      <c r="FY4">
        <f t="shared" ca="1" si="94"/>
        <v>16891</v>
      </c>
      <c r="FZ4">
        <f t="shared" ca="1" si="95"/>
        <v>0</v>
      </c>
      <c r="GA4">
        <f t="shared" ca="1" si="96"/>
        <v>0</v>
      </c>
      <c r="GB4">
        <f t="shared" ca="1" si="97"/>
        <v>16891</v>
      </c>
      <c r="GC4">
        <f t="shared" ca="1" si="98"/>
        <v>0</v>
      </c>
      <c r="GD4" t="b">
        <f t="shared" ca="1" si="99"/>
        <v>0</v>
      </c>
      <c r="GE4">
        <f t="shared" ca="1" si="100"/>
        <v>0</v>
      </c>
      <c r="GF4">
        <f t="shared" ca="1" si="101"/>
        <v>16891</v>
      </c>
      <c r="GG4">
        <f t="shared" ca="1" si="102"/>
        <v>0</v>
      </c>
      <c r="GH4">
        <f t="shared" ca="1" si="103"/>
        <v>0</v>
      </c>
      <c r="GI4">
        <f t="shared" ca="1" si="104"/>
        <v>0</v>
      </c>
    </row>
    <row r="5" spans="1:191" x14ac:dyDescent="0.25">
      <c r="A5">
        <f>_xlfn.AGGREGATE(3,5,$B$2:B5)</f>
        <v>4</v>
      </c>
      <c r="B5" t="s">
        <v>130</v>
      </c>
      <c r="C5" t="s">
        <v>131</v>
      </c>
      <c r="D5" t="s">
        <v>760</v>
      </c>
      <c r="E5" t="s">
        <v>843</v>
      </c>
      <c r="F5">
        <v>0</v>
      </c>
      <c r="G5">
        <v>0</v>
      </c>
      <c r="H5">
        <v>24700</v>
      </c>
      <c r="I5">
        <f t="shared" si="7"/>
        <v>2470</v>
      </c>
      <c r="J5">
        <f t="shared" si="8"/>
        <v>2964</v>
      </c>
      <c r="K5">
        <v>0</v>
      </c>
      <c r="L5">
        <v>500</v>
      </c>
      <c r="M5">
        <f t="shared" si="9"/>
        <v>30634</v>
      </c>
      <c r="N5">
        <v>0</v>
      </c>
      <c r="O5">
        <v>0</v>
      </c>
      <c r="P5">
        <f t="shared" si="10"/>
        <v>150</v>
      </c>
      <c r="Q5">
        <f t="shared" si="11"/>
        <v>30484</v>
      </c>
      <c r="R5">
        <v>24700</v>
      </c>
      <c r="S5">
        <f t="shared" si="12"/>
        <v>2470</v>
      </c>
      <c r="T5">
        <f t="shared" si="13"/>
        <v>2964</v>
      </c>
      <c r="U5">
        <v>0</v>
      </c>
      <c r="V5">
        <v>500</v>
      </c>
      <c r="W5">
        <f t="shared" si="14"/>
        <v>30634</v>
      </c>
      <c r="X5">
        <v>0</v>
      </c>
      <c r="Y5">
        <v>0</v>
      </c>
      <c r="Z5">
        <f t="shared" si="15"/>
        <v>150</v>
      </c>
      <c r="AA5">
        <f t="shared" si="16"/>
        <v>30484</v>
      </c>
      <c r="AB5">
        <v>24700</v>
      </c>
      <c r="AC5">
        <f t="shared" si="17"/>
        <v>3458.0000000000005</v>
      </c>
      <c r="AD5">
        <f t="shared" si="18"/>
        <v>2964</v>
      </c>
      <c r="AE5">
        <v>0</v>
      </c>
      <c r="AF5">
        <v>500</v>
      </c>
      <c r="AG5">
        <f t="shared" si="19"/>
        <v>31622</v>
      </c>
      <c r="AH5">
        <v>0</v>
      </c>
      <c r="AI5">
        <v>0</v>
      </c>
      <c r="AJ5">
        <f t="shared" si="20"/>
        <v>150</v>
      </c>
      <c r="AK5">
        <f t="shared" si="21"/>
        <v>31472</v>
      </c>
      <c r="AL5">
        <v>24700</v>
      </c>
      <c r="AM5">
        <f t="shared" si="22"/>
        <v>3458.0000000000005</v>
      </c>
      <c r="AN5">
        <f t="shared" si="23"/>
        <v>2964</v>
      </c>
      <c r="AO5">
        <v>0</v>
      </c>
      <c r="AP5">
        <v>500</v>
      </c>
      <c r="AQ5">
        <f t="shared" si="24"/>
        <v>31622</v>
      </c>
      <c r="AR5">
        <v>0</v>
      </c>
      <c r="AS5">
        <v>0</v>
      </c>
      <c r="AT5">
        <f t="shared" si="25"/>
        <v>150</v>
      </c>
      <c r="AU5">
        <f t="shared" si="26"/>
        <v>31472</v>
      </c>
      <c r="AV5">
        <v>25400</v>
      </c>
      <c r="AW5">
        <f t="shared" si="27"/>
        <v>3556.0000000000005</v>
      </c>
      <c r="AX5">
        <f t="shared" si="28"/>
        <v>988</v>
      </c>
      <c r="AY5">
        <f t="shared" si="29"/>
        <v>3048</v>
      </c>
      <c r="AZ5">
        <v>0</v>
      </c>
      <c r="BA5">
        <v>500</v>
      </c>
      <c r="BB5">
        <f t="shared" si="30"/>
        <v>33492</v>
      </c>
      <c r="BC5">
        <v>0</v>
      </c>
      <c r="BD5">
        <v>0</v>
      </c>
      <c r="BE5">
        <f t="shared" si="31"/>
        <v>150</v>
      </c>
      <c r="BF5">
        <f t="shared" si="32"/>
        <v>33342</v>
      </c>
      <c r="BG5">
        <v>25400</v>
      </c>
      <c r="BH5">
        <f t="shared" si="33"/>
        <v>3556.0000000000005</v>
      </c>
      <c r="BI5">
        <f t="shared" si="34"/>
        <v>3048</v>
      </c>
      <c r="BJ5">
        <v>0</v>
      </c>
      <c r="BK5">
        <v>500</v>
      </c>
      <c r="BL5">
        <f t="shared" si="35"/>
        <v>32504</v>
      </c>
      <c r="BM5">
        <v>0</v>
      </c>
      <c r="BN5">
        <v>0</v>
      </c>
      <c r="BO5">
        <f t="shared" si="36"/>
        <v>150</v>
      </c>
      <c r="BP5">
        <f t="shared" si="37"/>
        <v>32354</v>
      </c>
      <c r="BQ5">
        <v>25400</v>
      </c>
      <c r="BR5">
        <f t="shared" si="38"/>
        <v>3556.0000000000005</v>
      </c>
      <c r="BS5">
        <f t="shared" si="39"/>
        <v>3048</v>
      </c>
      <c r="BT5">
        <v>0</v>
      </c>
      <c r="BU5">
        <v>500</v>
      </c>
      <c r="BV5">
        <f t="shared" si="40"/>
        <v>32504</v>
      </c>
      <c r="BW5">
        <v>0</v>
      </c>
      <c r="BX5">
        <v>0</v>
      </c>
      <c r="BY5">
        <f t="shared" si="41"/>
        <v>150</v>
      </c>
      <c r="BZ5">
        <f t="shared" si="42"/>
        <v>32354</v>
      </c>
      <c r="CA5">
        <v>25400</v>
      </c>
      <c r="CB5">
        <f t="shared" si="43"/>
        <v>3556.0000000000005</v>
      </c>
      <c r="CC5">
        <f t="shared" si="44"/>
        <v>3048</v>
      </c>
      <c r="CD5">
        <v>0</v>
      </c>
      <c r="CE5">
        <v>500</v>
      </c>
      <c r="CF5">
        <f t="shared" si="45"/>
        <v>32504</v>
      </c>
      <c r="CG5">
        <v>0</v>
      </c>
      <c r="CH5">
        <v>0</v>
      </c>
      <c r="CI5">
        <f t="shared" si="46"/>
        <v>150</v>
      </c>
      <c r="CJ5">
        <f t="shared" si="47"/>
        <v>32354</v>
      </c>
      <c r="CK5">
        <v>25400</v>
      </c>
      <c r="CL5">
        <f t="shared" si="48"/>
        <v>3556.0000000000005</v>
      </c>
      <c r="CM5">
        <f t="shared" si="49"/>
        <v>3048</v>
      </c>
      <c r="CN5">
        <v>0</v>
      </c>
      <c r="CO5">
        <v>500</v>
      </c>
      <c r="CP5">
        <f t="shared" si="50"/>
        <v>32504</v>
      </c>
      <c r="CQ5">
        <v>2000</v>
      </c>
      <c r="CR5">
        <v>0</v>
      </c>
      <c r="CS5">
        <f t="shared" si="51"/>
        <v>150</v>
      </c>
      <c r="CT5">
        <f t="shared" si="52"/>
        <v>30354</v>
      </c>
      <c r="CU5">
        <v>25400</v>
      </c>
      <c r="CV5">
        <f t="shared" si="53"/>
        <v>3556</v>
      </c>
      <c r="CW5">
        <f t="shared" si="54"/>
        <v>3048</v>
      </c>
      <c r="CX5">
        <v>0</v>
      </c>
      <c r="CY5">
        <v>500</v>
      </c>
      <c r="CZ5">
        <f t="shared" si="55"/>
        <v>32504</v>
      </c>
      <c r="DA5">
        <v>2000</v>
      </c>
      <c r="DB5">
        <v>0</v>
      </c>
      <c r="DC5">
        <f t="shared" si="56"/>
        <v>150</v>
      </c>
      <c r="DD5">
        <f t="shared" si="57"/>
        <v>30354</v>
      </c>
      <c r="DE5">
        <v>25400</v>
      </c>
      <c r="DF5">
        <f t="shared" si="58"/>
        <v>3556.0000000000005</v>
      </c>
      <c r="DG5">
        <f t="shared" si="59"/>
        <v>3048</v>
      </c>
      <c r="DH5">
        <v>0</v>
      </c>
      <c r="DI5">
        <v>500</v>
      </c>
      <c r="DJ5">
        <f t="shared" si="60"/>
        <v>32504</v>
      </c>
      <c r="DK5">
        <v>2000</v>
      </c>
      <c r="DL5">
        <v>0</v>
      </c>
      <c r="DM5">
        <f t="shared" si="61"/>
        <v>150</v>
      </c>
      <c r="DN5">
        <f t="shared" si="62"/>
        <v>30354</v>
      </c>
      <c r="DO5">
        <v>25400</v>
      </c>
      <c r="DP5">
        <f t="shared" si="63"/>
        <v>3556.0000000000005</v>
      </c>
      <c r="DQ5">
        <f t="shared" si="64"/>
        <v>3048</v>
      </c>
      <c r="DR5">
        <v>0</v>
      </c>
      <c r="DS5">
        <v>500</v>
      </c>
      <c r="DT5">
        <f t="shared" si="65"/>
        <v>32504</v>
      </c>
      <c r="DU5">
        <v>2000</v>
      </c>
      <c r="DV5">
        <v>0</v>
      </c>
      <c r="DW5">
        <f t="shared" si="66"/>
        <v>150</v>
      </c>
      <c r="DX5">
        <f t="shared" si="67"/>
        <v>30354</v>
      </c>
      <c r="DY5">
        <f t="shared" si="68"/>
        <v>385532</v>
      </c>
      <c r="DZ5">
        <f t="shared" si="0"/>
        <v>1800</v>
      </c>
      <c r="EA5">
        <f t="shared" si="1"/>
        <v>50000</v>
      </c>
      <c r="EB5">
        <v>0</v>
      </c>
      <c r="EC5">
        <f t="shared" si="2"/>
        <v>333732</v>
      </c>
      <c r="ED5">
        <f t="shared" si="3"/>
        <v>8000</v>
      </c>
      <c r="EE5">
        <f t="shared" si="4"/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f t="shared" si="5"/>
        <v>8000</v>
      </c>
      <c r="EQ5">
        <f t="shared" si="69"/>
        <v>8000</v>
      </c>
      <c r="ER5">
        <f t="shared" si="6"/>
        <v>325732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f t="shared" si="70"/>
        <v>0</v>
      </c>
      <c r="FA5">
        <f t="shared" si="71"/>
        <v>325732</v>
      </c>
      <c r="FB5">
        <f t="shared" si="72"/>
        <v>3787</v>
      </c>
      <c r="FC5">
        <f t="shared" si="73"/>
        <v>0</v>
      </c>
      <c r="FD5">
        <f t="shared" si="74"/>
        <v>3787</v>
      </c>
      <c r="FE5">
        <f t="shared" si="75"/>
        <v>0</v>
      </c>
      <c r="FF5">
        <f t="shared" si="76"/>
        <v>0</v>
      </c>
      <c r="FG5">
        <f t="shared" si="77"/>
        <v>0</v>
      </c>
      <c r="FH5">
        <v>0</v>
      </c>
      <c r="FI5">
        <f t="shared" si="78"/>
        <v>0</v>
      </c>
      <c r="FJ5" t="b">
        <f t="shared" si="79"/>
        <v>0</v>
      </c>
      <c r="FK5">
        <f t="shared" ca="1" si="80"/>
        <v>1327</v>
      </c>
      <c r="FL5">
        <f t="shared" ca="1" si="81"/>
        <v>386859</v>
      </c>
      <c r="FM5">
        <f t="shared" si="82"/>
        <v>75000</v>
      </c>
      <c r="FN5">
        <f t="shared" ca="1" si="83"/>
        <v>311859</v>
      </c>
      <c r="FO5">
        <f t="shared" ca="1" si="84"/>
        <v>0</v>
      </c>
      <c r="FP5">
        <f t="shared" ca="1" si="85"/>
        <v>0</v>
      </c>
      <c r="FQ5">
        <f t="shared" ca="1" si="86"/>
        <v>0</v>
      </c>
      <c r="FR5">
        <f t="shared" ca="1" si="87"/>
        <v>0</v>
      </c>
      <c r="FS5">
        <f t="shared" ca="1" si="88"/>
        <v>0</v>
      </c>
      <c r="FT5">
        <f t="shared" ca="1" si="89"/>
        <v>0</v>
      </c>
      <c r="FU5">
        <f t="shared" ca="1" si="90"/>
        <v>0</v>
      </c>
      <c r="FV5">
        <f t="shared" ca="1" si="91"/>
        <v>0</v>
      </c>
      <c r="FW5">
        <f t="shared" ca="1" si="92"/>
        <v>11859</v>
      </c>
      <c r="FX5">
        <f t="shared" ca="1" si="93"/>
        <v>592.95000000000005</v>
      </c>
      <c r="FY5">
        <f t="shared" ca="1" si="94"/>
        <v>593</v>
      </c>
      <c r="FZ5">
        <f t="shared" ca="1" si="95"/>
        <v>0</v>
      </c>
      <c r="GA5">
        <f t="shared" ca="1" si="96"/>
        <v>0</v>
      </c>
      <c r="GB5">
        <f t="shared" ca="1" si="97"/>
        <v>593</v>
      </c>
      <c r="GC5">
        <f t="shared" ca="1" si="98"/>
        <v>0</v>
      </c>
      <c r="GD5" t="b">
        <f t="shared" ca="1" si="99"/>
        <v>0</v>
      </c>
      <c r="GE5">
        <f t="shared" ca="1" si="100"/>
        <v>0</v>
      </c>
      <c r="GF5">
        <f t="shared" ca="1" si="101"/>
        <v>593</v>
      </c>
      <c r="GG5">
        <f t="shared" ca="1" si="102"/>
        <v>0</v>
      </c>
      <c r="GH5">
        <f t="shared" ca="1" si="103"/>
        <v>0</v>
      </c>
      <c r="GI5">
        <f t="shared" ca="1" si="104"/>
        <v>0</v>
      </c>
    </row>
    <row r="6" spans="1:191" x14ac:dyDescent="0.25">
      <c r="A6">
        <f>_xlfn.AGGREGATE(3,5,$B$2:B6)</f>
        <v>5</v>
      </c>
      <c r="B6" t="s">
        <v>132</v>
      </c>
      <c r="C6" t="s">
        <v>133</v>
      </c>
      <c r="D6" t="s">
        <v>761</v>
      </c>
      <c r="E6" t="s">
        <v>844</v>
      </c>
      <c r="F6">
        <v>0</v>
      </c>
      <c r="G6">
        <v>6000</v>
      </c>
      <c r="H6">
        <v>32500</v>
      </c>
      <c r="I6">
        <f t="shared" si="7"/>
        <v>3250</v>
      </c>
      <c r="J6">
        <f t="shared" si="8"/>
        <v>3900</v>
      </c>
      <c r="K6">
        <v>400</v>
      </c>
      <c r="L6">
        <v>500</v>
      </c>
      <c r="M6">
        <f t="shared" si="9"/>
        <v>40550</v>
      </c>
      <c r="N6">
        <v>4000</v>
      </c>
      <c r="O6">
        <v>0</v>
      </c>
      <c r="P6">
        <f t="shared" si="10"/>
        <v>200</v>
      </c>
      <c r="Q6">
        <f t="shared" si="11"/>
        <v>36350</v>
      </c>
      <c r="R6">
        <v>32500</v>
      </c>
      <c r="S6">
        <f t="shared" si="12"/>
        <v>3250</v>
      </c>
      <c r="T6">
        <f t="shared" si="13"/>
        <v>3900</v>
      </c>
      <c r="U6">
        <v>400</v>
      </c>
      <c r="V6">
        <v>500</v>
      </c>
      <c r="W6">
        <f t="shared" si="14"/>
        <v>40550</v>
      </c>
      <c r="X6">
        <v>4000</v>
      </c>
      <c r="Y6">
        <v>0</v>
      </c>
      <c r="Z6">
        <f t="shared" si="15"/>
        <v>200</v>
      </c>
      <c r="AA6">
        <f t="shared" si="16"/>
        <v>36350</v>
      </c>
      <c r="AB6">
        <v>32500</v>
      </c>
      <c r="AC6">
        <f t="shared" si="17"/>
        <v>4550</v>
      </c>
      <c r="AD6">
        <f t="shared" si="18"/>
        <v>3900</v>
      </c>
      <c r="AE6">
        <v>400</v>
      </c>
      <c r="AF6">
        <v>500</v>
      </c>
      <c r="AG6">
        <f t="shared" si="19"/>
        <v>41850</v>
      </c>
      <c r="AH6">
        <v>4000</v>
      </c>
      <c r="AI6">
        <v>0</v>
      </c>
      <c r="AJ6">
        <f t="shared" si="20"/>
        <v>200</v>
      </c>
      <c r="AK6">
        <f t="shared" si="21"/>
        <v>37650</v>
      </c>
      <c r="AL6">
        <v>32500</v>
      </c>
      <c r="AM6">
        <f t="shared" si="22"/>
        <v>4550</v>
      </c>
      <c r="AN6">
        <f t="shared" si="23"/>
        <v>3900</v>
      </c>
      <c r="AO6">
        <v>400</v>
      </c>
      <c r="AP6">
        <v>500</v>
      </c>
      <c r="AQ6">
        <f t="shared" si="24"/>
        <v>41850</v>
      </c>
      <c r="AR6">
        <v>4000</v>
      </c>
      <c r="AS6">
        <v>0</v>
      </c>
      <c r="AT6">
        <f t="shared" si="25"/>
        <v>200</v>
      </c>
      <c r="AU6">
        <f t="shared" si="26"/>
        <v>37650</v>
      </c>
      <c r="AV6">
        <v>34500</v>
      </c>
      <c r="AW6">
        <f t="shared" si="27"/>
        <v>4830.0000000000009</v>
      </c>
      <c r="AX6">
        <f t="shared" si="28"/>
        <v>1300</v>
      </c>
      <c r="AY6">
        <f t="shared" si="29"/>
        <v>4140</v>
      </c>
      <c r="AZ6">
        <v>400</v>
      </c>
      <c r="BA6">
        <v>500</v>
      </c>
      <c r="BB6">
        <f t="shared" si="30"/>
        <v>45670</v>
      </c>
      <c r="BC6">
        <v>4000</v>
      </c>
      <c r="BD6">
        <v>0</v>
      </c>
      <c r="BE6">
        <f t="shared" si="31"/>
        <v>200</v>
      </c>
      <c r="BF6">
        <f t="shared" si="32"/>
        <v>41470</v>
      </c>
      <c r="BG6">
        <v>34500</v>
      </c>
      <c r="BH6">
        <f t="shared" si="33"/>
        <v>4830.0000000000009</v>
      </c>
      <c r="BI6">
        <f t="shared" si="34"/>
        <v>4140</v>
      </c>
      <c r="BJ6">
        <v>400</v>
      </c>
      <c r="BK6">
        <v>500</v>
      </c>
      <c r="BL6">
        <f t="shared" si="35"/>
        <v>44370</v>
      </c>
      <c r="BM6">
        <v>4000</v>
      </c>
      <c r="BN6">
        <v>0</v>
      </c>
      <c r="BO6">
        <f t="shared" si="36"/>
        <v>200</v>
      </c>
      <c r="BP6">
        <f t="shared" si="37"/>
        <v>40170</v>
      </c>
      <c r="BQ6">
        <v>34500</v>
      </c>
      <c r="BR6">
        <f t="shared" si="38"/>
        <v>4830.0000000000009</v>
      </c>
      <c r="BS6">
        <f t="shared" si="39"/>
        <v>4140</v>
      </c>
      <c r="BT6">
        <v>400</v>
      </c>
      <c r="BU6">
        <v>500</v>
      </c>
      <c r="BV6">
        <f t="shared" si="40"/>
        <v>44370</v>
      </c>
      <c r="BW6">
        <v>4000</v>
      </c>
      <c r="BX6">
        <v>0</v>
      </c>
      <c r="BY6">
        <f t="shared" si="41"/>
        <v>200</v>
      </c>
      <c r="BZ6">
        <f t="shared" si="42"/>
        <v>40170</v>
      </c>
      <c r="CA6">
        <v>34500</v>
      </c>
      <c r="CB6">
        <f t="shared" si="43"/>
        <v>4830.0000000000009</v>
      </c>
      <c r="CC6">
        <f t="shared" si="44"/>
        <v>4140</v>
      </c>
      <c r="CD6">
        <v>400</v>
      </c>
      <c r="CE6">
        <v>500</v>
      </c>
      <c r="CF6">
        <f t="shared" si="45"/>
        <v>44370</v>
      </c>
      <c r="CG6">
        <v>4000</v>
      </c>
      <c r="CH6">
        <v>0</v>
      </c>
      <c r="CI6">
        <f t="shared" si="46"/>
        <v>200</v>
      </c>
      <c r="CJ6">
        <f t="shared" si="47"/>
        <v>40170</v>
      </c>
      <c r="CK6">
        <v>34500</v>
      </c>
      <c r="CL6">
        <f t="shared" si="48"/>
        <v>4830.0000000000009</v>
      </c>
      <c r="CM6">
        <f t="shared" si="49"/>
        <v>4140</v>
      </c>
      <c r="CN6">
        <v>400</v>
      </c>
      <c r="CO6">
        <v>500</v>
      </c>
      <c r="CP6">
        <f t="shared" si="50"/>
        <v>44370</v>
      </c>
      <c r="CQ6">
        <v>4000</v>
      </c>
      <c r="CR6">
        <v>0</v>
      </c>
      <c r="CS6">
        <f t="shared" si="51"/>
        <v>200</v>
      </c>
      <c r="CT6">
        <f t="shared" si="52"/>
        <v>40170</v>
      </c>
      <c r="CU6">
        <v>34500</v>
      </c>
      <c r="CV6">
        <f t="shared" si="53"/>
        <v>4830</v>
      </c>
      <c r="CW6">
        <f t="shared" si="54"/>
        <v>4140</v>
      </c>
      <c r="CX6">
        <v>400</v>
      </c>
      <c r="CY6">
        <v>500</v>
      </c>
      <c r="CZ6">
        <f t="shared" si="55"/>
        <v>44370</v>
      </c>
      <c r="DA6">
        <v>4000</v>
      </c>
      <c r="DB6">
        <v>0</v>
      </c>
      <c r="DC6">
        <f t="shared" si="56"/>
        <v>200</v>
      </c>
      <c r="DD6">
        <f t="shared" si="57"/>
        <v>40170</v>
      </c>
      <c r="DE6">
        <v>34500</v>
      </c>
      <c r="DF6">
        <f t="shared" si="58"/>
        <v>4830.0000000000009</v>
      </c>
      <c r="DG6">
        <f t="shared" si="59"/>
        <v>4140</v>
      </c>
      <c r="DH6">
        <v>400</v>
      </c>
      <c r="DI6">
        <v>500</v>
      </c>
      <c r="DJ6">
        <f t="shared" si="60"/>
        <v>44370</v>
      </c>
      <c r="DK6">
        <v>4000</v>
      </c>
      <c r="DL6">
        <v>0</v>
      </c>
      <c r="DM6">
        <f t="shared" si="61"/>
        <v>200</v>
      </c>
      <c r="DN6">
        <f t="shared" si="62"/>
        <v>40170</v>
      </c>
      <c r="DO6">
        <v>34500</v>
      </c>
      <c r="DP6">
        <f t="shared" si="63"/>
        <v>4830.0000000000009</v>
      </c>
      <c r="DQ6">
        <f t="shared" si="64"/>
        <v>4140</v>
      </c>
      <c r="DR6">
        <v>400</v>
      </c>
      <c r="DS6">
        <v>500</v>
      </c>
      <c r="DT6">
        <f t="shared" si="65"/>
        <v>44370</v>
      </c>
      <c r="DU6">
        <v>4000</v>
      </c>
      <c r="DV6">
        <v>0</v>
      </c>
      <c r="DW6">
        <f t="shared" si="66"/>
        <v>200</v>
      </c>
      <c r="DX6">
        <f t="shared" si="67"/>
        <v>40170</v>
      </c>
      <c r="DY6">
        <f t="shared" si="68"/>
        <v>527060</v>
      </c>
      <c r="DZ6">
        <f t="shared" si="0"/>
        <v>2400</v>
      </c>
      <c r="EA6">
        <f t="shared" si="1"/>
        <v>50000</v>
      </c>
      <c r="EB6">
        <v>0</v>
      </c>
      <c r="EC6">
        <f t="shared" si="2"/>
        <v>474660</v>
      </c>
      <c r="ED6">
        <f t="shared" si="3"/>
        <v>48000</v>
      </c>
      <c r="EE6">
        <f t="shared" si="4"/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f t="shared" si="5"/>
        <v>48000</v>
      </c>
      <c r="EQ6">
        <f t="shared" si="69"/>
        <v>48000</v>
      </c>
      <c r="ER6">
        <f t="shared" si="6"/>
        <v>426660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f t="shared" si="70"/>
        <v>0</v>
      </c>
      <c r="FA6">
        <f t="shared" si="71"/>
        <v>426660</v>
      </c>
      <c r="FB6">
        <f t="shared" si="72"/>
        <v>8833</v>
      </c>
      <c r="FC6">
        <f t="shared" si="73"/>
        <v>0</v>
      </c>
      <c r="FD6">
        <f t="shared" si="74"/>
        <v>8833</v>
      </c>
      <c r="FE6">
        <f t="shared" si="75"/>
        <v>0</v>
      </c>
      <c r="FF6">
        <f t="shared" si="76"/>
        <v>0</v>
      </c>
      <c r="FG6">
        <f t="shared" si="77"/>
        <v>0</v>
      </c>
      <c r="FH6">
        <v>0</v>
      </c>
      <c r="FI6">
        <f t="shared" si="78"/>
        <v>0</v>
      </c>
      <c r="FJ6" t="b">
        <f t="shared" si="79"/>
        <v>1</v>
      </c>
      <c r="FK6">
        <f t="shared" ca="1" si="80"/>
        <v>925</v>
      </c>
      <c r="FL6">
        <f t="shared" ca="1" si="81"/>
        <v>527985</v>
      </c>
      <c r="FM6">
        <f t="shared" si="82"/>
        <v>75000</v>
      </c>
      <c r="FN6">
        <f t="shared" ca="1" si="83"/>
        <v>452985</v>
      </c>
      <c r="FO6">
        <f t="shared" ca="1" si="84"/>
        <v>0</v>
      </c>
      <c r="FP6">
        <f t="shared" ca="1" si="85"/>
        <v>0</v>
      </c>
      <c r="FQ6">
        <f t="shared" ca="1" si="86"/>
        <v>0</v>
      </c>
      <c r="FR6">
        <f t="shared" ca="1" si="87"/>
        <v>0</v>
      </c>
      <c r="FS6">
        <f t="shared" ca="1" si="88"/>
        <v>0</v>
      </c>
      <c r="FT6">
        <f t="shared" ca="1" si="89"/>
        <v>0</v>
      </c>
      <c r="FU6">
        <f t="shared" ca="1" si="90"/>
        <v>0</v>
      </c>
      <c r="FV6">
        <f t="shared" ca="1" si="91"/>
        <v>0</v>
      </c>
      <c r="FW6">
        <f t="shared" ca="1" si="92"/>
        <v>152985</v>
      </c>
      <c r="FX6">
        <f t="shared" ca="1" si="93"/>
        <v>7649.25</v>
      </c>
      <c r="FY6">
        <f t="shared" ca="1" si="94"/>
        <v>7649</v>
      </c>
      <c r="FZ6">
        <f t="shared" ca="1" si="95"/>
        <v>0</v>
      </c>
      <c r="GA6">
        <f t="shared" ca="1" si="96"/>
        <v>0</v>
      </c>
      <c r="GB6">
        <f t="shared" ca="1" si="97"/>
        <v>7649</v>
      </c>
      <c r="GC6">
        <f t="shared" ca="1" si="98"/>
        <v>0</v>
      </c>
      <c r="GD6" t="b">
        <f t="shared" ca="1" si="99"/>
        <v>0</v>
      </c>
      <c r="GE6">
        <f t="shared" ca="1" si="100"/>
        <v>0</v>
      </c>
      <c r="GF6">
        <f t="shared" ca="1" si="101"/>
        <v>7649</v>
      </c>
      <c r="GG6">
        <f t="shared" ca="1" si="102"/>
        <v>0</v>
      </c>
      <c r="GH6">
        <f t="shared" ca="1" si="103"/>
        <v>0</v>
      </c>
      <c r="GI6">
        <f t="shared" ca="1" si="104"/>
        <v>0</v>
      </c>
    </row>
    <row r="7" spans="1:191" x14ac:dyDescent="0.25">
      <c r="A7">
        <f>_xlfn.AGGREGATE(3,5,$B$2:B7)</f>
        <v>6</v>
      </c>
      <c r="B7" t="s">
        <v>134</v>
      </c>
      <c r="C7" t="s">
        <v>135</v>
      </c>
      <c r="D7" t="s">
        <v>761</v>
      </c>
      <c r="E7" t="s">
        <v>843</v>
      </c>
      <c r="F7">
        <v>0</v>
      </c>
      <c r="G7">
        <v>6000</v>
      </c>
      <c r="H7">
        <v>26200</v>
      </c>
      <c r="I7">
        <f t="shared" si="7"/>
        <v>2620</v>
      </c>
      <c r="J7">
        <f t="shared" si="8"/>
        <v>3144</v>
      </c>
      <c r="K7">
        <v>0</v>
      </c>
      <c r="L7">
        <v>500</v>
      </c>
      <c r="M7">
        <f t="shared" si="9"/>
        <v>32464</v>
      </c>
      <c r="N7">
        <v>2000</v>
      </c>
      <c r="O7">
        <v>0</v>
      </c>
      <c r="P7">
        <f t="shared" si="10"/>
        <v>150</v>
      </c>
      <c r="Q7">
        <f t="shared" si="11"/>
        <v>30314</v>
      </c>
      <c r="R7">
        <v>26200</v>
      </c>
      <c r="S7">
        <f t="shared" si="12"/>
        <v>2620</v>
      </c>
      <c r="T7">
        <f t="shared" si="13"/>
        <v>3144</v>
      </c>
      <c r="U7">
        <v>0</v>
      </c>
      <c r="V7">
        <v>500</v>
      </c>
      <c r="W7">
        <f t="shared" si="14"/>
        <v>32464</v>
      </c>
      <c r="X7">
        <v>2000</v>
      </c>
      <c r="Y7">
        <v>0</v>
      </c>
      <c r="Z7">
        <f t="shared" si="15"/>
        <v>150</v>
      </c>
      <c r="AA7">
        <f t="shared" si="16"/>
        <v>30314</v>
      </c>
      <c r="AB7">
        <v>26200</v>
      </c>
      <c r="AC7">
        <f t="shared" si="17"/>
        <v>3668.0000000000005</v>
      </c>
      <c r="AD7">
        <f t="shared" si="18"/>
        <v>3144</v>
      </c>
      <c r="AE7">
        <v>0</v>
      </c>
      <c r="AF7">
        <v>500</v>
      </c>
      <c r="AG7">
        <f t="shared" si="19"/>
        <v>33512</v>
      </c>
      <c r="AH7">
        <v>2000</v>
      </c>
      <c r="AI7">
        <v>0</v>
      </c>
      <c r="AJ7">
        <f t="shared" si="20"/>
        <v>150</v>
      </c>
      <c r="AK7">
        <f t="shared" si="21"/>
        <v>31362</v>
      </c>
      <c r="AL7">
        <v>26200</v>
      </c>
      <c r="AM7">
        <f t="shared" si="22"/>
        <v>3668.0000000000005</v>
      </c>
      <c r="AN7">
        <f t="shared" si="23"/>
        <v>3144</v>
      </c>
      <c r="AO7">
        <v>0</v>
      </c>
      <c r="AP7">
        <v>500</v>
      </c>
      <c r="AQ7">
        <f t="shared" si="24"/>
        <v>33512</v>
      </c>
      <c r="AR7">
        <v>2000</v>
      </c>
      <c r="AS7">
        <v>0</v>
      </c>
      <c r="AT7">
        <f t="shared" si="25"/>
        <v>150</v>
      </c>
      <c r="AU7">
        <f t="shared" si="26"/>
        <v>31362</v>
      </c>
      <c r="AV7">
        <v>27000</v>
      </c>
      <c r="AW7">
        <f t="shared" si="27"/>
        <v>3780.0000000000005</v>
      </c>
      <c r="AX7">
        <f t="shared" si="28"/>
        <v>1048</v>
      </c>
      <c r="AY7">
        <f t="shared" si="29"/>
        <v>3240</v>
      </c>
      <c r="AZ7">
        <v>0</v>
      </c>
      <c r="BA7">
        <v>500</v>
      </c>
      <c r="BB7">
        <f t="shared" si="30"/>
        <v>35568</v>
      </c>
      <c r="BC7">
        <v>2000</v>
      </c>
      <c r="BD7">
        <v>0</v>
      </c>
      <c r="BE7">
        <f t="shared" si="31"/>
        <v>150</v>
      </c>
      <c r="BF7">
        <f t="shared" si="32"/>
        <v>33418</v>
      </c>
      <c r="BG7">
        <v>27000</v>
      </c>
      <c r="BH7">
        <f t="shared" si="33"/>
        <v>3780.0000000000005</v>
      </c>
      <c r="BI7">
        <f t="shared" si="34"/>
        <v>3240</v>
      </c>
      <c r="BJ7">
        <v>0</v>
      </c>
      <c r="BK7">
        <v>500</v>
      </c>
      <c r="BL7">
        <f t="shared" si="35"/>
        <v>34520</v>
      </c>
      <c r="BM7">
        <v>2000</v>
      </c>
      <c r="BN7">
        <v>0</v>
      </c>
      <c r="BO7">
        <f t="shared" si="36"/>
        <v>150</v>
      </c>
      <c r="BP7">
        <f t="shared" si="37"/>
        <v>32370</v>
      </c>
      <c r="BQ7">
        <v>27000</v>
      </c>
      <c r="BR7">
        <f t="shared" si="38"/>
        <v>3780.0000000000005</v>
      </c>
      <c r="BS7">
        <f t="shared" si="39"/>
        <v>3240</v>
      </c>
      <c r="BT7">
        <v>0</v>
      </c>
      <c r="BU7">
        <v>500</v>
      </c>
      <c r="BV7">
        <f t="shared" si="40"/>
        <v>34520</v>
      </c>
      <c r="BW7">
        <v>2000</v>
      </c>
      <c r="BX7">
        <v>0</v>
      </c>
      <c r="BY7">
        <f t="shared" si="41"/>
        <v>150</v>
      </c>
      <c r="BZ7">
        <f t="shared" si="42"/>
        <v>32370</v>
      </c>
      <c r="CA7">
        <v>27000</v>
      </c>
      <c r="CB7">
        <f t="shared" si="43"/>
        <v>3780.0000000000005</v>
      </c>
      <c r="CC7">
        <f t="shared" si="44"/>
        <v>3240</v>
      </c>
      <c r="CD7">
        <v>0</v>
      </c>
      <c r="CE7">
        <v>500</v>
      </c>
      <c r="CF7">
        <f t="shared" si="45"/>
        <v>34520</v>
      </c>
      <c r="CG7">
        <v>2000</v>
      </c>
      <c r="CH7">
        <v>0</v>
      </c>
      <c r="CI7">
        <f t="shared" si="46"/>
        <v>150</v>
      </c>
      <c r="CJ7">
        <f t="shared" si="47"/>
        <v>32370</v>
      </c>
      <c r="CK7">
        <v>27000</v>
      </c>
      <c r="CL7">
        <f t="shared" si="48"/>
        <v>3780.0000000000005</v>
      </c>
      <c r="CM7">
        <f t="shared" si="49"/>
        <v>3240</v>
      </c>
      <c r="CN7">
        <v>0</v>
      </c>
      <c r="CO7">
        <v>500</v>
      </c>
      <c r="CP7">
        <f t="shared" si="50"/>
        <v>34520</v>
      </c>
      <c r="CQ7">
        <v>2000</v>
      </c>
      <c r="CR7">
        <v>0</v>
      </c>
      <c r="CS7">
        <f t="shared" si="51"/>
        <v>150</v>
      </c>
      <c r="CT7">
        <f t="shared" si="52"/>
        <v>32370</v>
      </c>
      <c r="CU7">
        <v>27000</v>
      </c>
      <c r="CV7">
        <f t="shared" si="53"/>
        <v>3780</v>
      </c>
      <c r="CW7">
        <f t="shared" si="54"/>
        <v>3240</v>
      </c>
      <c r="CX7">
        <v>0</v>
      </c>
      <c r="CY7">
        <v>500</v>
      </c>
      <c r="CZ7">
        <f t="shared" si="55"/>
        <v>34520</v>
      </c>
      <c r="DA7">
        <v>2000</v>
      </c>
      <c r="DB7">
        <v>0</v>
      </c>
      <c r="DC7">
        <f t="shared" si="56"/>
        <v>150</v>
      </c>
      <c r="DD7">
        <f t="shared" si="57"/>
        <v>32370</v>
      </c>
      <c r="DE7">
        <v>27000</v>
      </c>
      <c r="DF7">
        <f t="shared" si="58"/>
        <v>3780.0000000000005</v>
      </c>
      <c r="DG7">
        <f t="shared" si="59"/>
        <v>3240</v>
      </c>
      <c r="DH7">
        <v>0</v>
      </c>
      <c r="DI7">
        <v>500</v>
      </c>
      <c r="DJ7">
        <f t="shared" si="60"/>
        <v>34520</v>
      </c>
      <c r="DK7">
        <v>2000</v>
      </c>
      <c r="DL7">
        <v>0</v>
      </c>
      <c r="DM7">
        <f t="shared" si="61"/>
        <v>150</v>
      </c>
      <c r="DN7">
        <f t="shared" si="62"/>
        <v>32370</v>
      </c>
      <c r="DO7">
        <v>27000</v>
      </c>
      <c r="DP7">
        <f t="shared" si="63"/>
        <v>3780.0000000000005</v>
      </c>
      <c r="DQ7">
        <f t="shared" si="64"/>
        <v>3240</v>
      </c>
      <c r="DR7">
        <v>0</v>
      </c>
      <c r="DS7">
        <v>500</v>
      </c>
      <c r="DT7">
        <f t="shared" si="65"/>
        <v>34520</v>
      </c>
      <c r="DU7">
        <v>2000</v>
      </c>
      <c r="DV7">
        <v>0</v>
      </c>
      <c r="DW7">
        <f t="shared" si="66"/>
        <v>150</v>
      </c>
      <c r="DX7">
        <f t="shared" si="67"/>
        <v>32370</v>
      </c>
      <c r="DY7">
        <f t="shared" si="68"/>
        <v>415160</v>
      </c>
      <c r="DZ7">
        <f t="shared" si="0"/>
        <v>1800</v>
      </c>
      <c r="EA7">
        <f t="shared" si="1"/>
        <v>50000</v>
      </c>
      <c r="EB7">
        <v>0</v>
      </c>
      <c r="EC7">
        <f t="shared" si="2"/>
        <v>363360</v>
      </c>
      <c r="ED7">
        <f t="shared" si="3"/>
        <v>24000</v>
      </c>
      <c r="EE7">
        <f t="shared" si="4"/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f t="shared" si="5"/>
        <v>24000</v>
      </c>
      <c r="EQ7">
        <f t="shared" si="69"/>
        <v>24000</v>
      </c>
      <c r="ER7">
        <f t="shared" si="6"/>
        <v>339360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f t="shared" si="70"/>
        <v>0</v>
      </c>
      <c r="FA7">
        <f t="shared" si="71"/>
        <v>339360</v>
      </c>
      <c r="FB7">
        <f t="shared" si="72"/>
        <v>4468</v>
      </c>
      <c r="FC7">
        <f t="shared" si="73"/>
        <v>0</v>
      </c>
      <c r="FD7">
        <f t="shared" si="74"/>
        <v>4468</v>
      </c>
      <c r="FE7">
        <f t="shared" si="75"/>
        <v>0</v>
      </c>
      <c r="FF7">
        <f t="shared" si="76"/>
        <v>0</v>
      </c>
      <c r="FG7">
        <f t="shared" si="77"/>
        <v>0</v>
      </c>
      <c r="FH7">
        <v>0</v>
      </c>
      <c r="FI7">
        <f t="shared" si="78"/>
        <v>0</v>
      </c>
      <c r="FJ7" t="b">
        <f t="shared" si="79"/>
        <v>0</v>
      </c>
      <c r="FK7">
        <f t="shared" ca="1" si="80"/>
        <v>2295</v>
      </c>
      <c r="FL7">
        <f t="shared" ca="1" si="81"/>
        <v>417455</v>
      </c>
      <c r="FM7">
        <f t="shared" si="82"/>
        <v>75000</v>
      </c>
      <c r="FN7">
        <f t="shared" ca="1" si="83"/>
        <v>342455</v>
      </c>
      <c r="FO7">
        <f t="shared" ca="1" si="84"/>
        <v>0</v>
      </c>
      <c r="FP7">
        <f t="shared" ca="1" si="85"/>
        <v>0</v>
      </c>
      <c r="FQ7">
        <f t="shared" ca="1" si="86"/>
        <v>0</v>
      </c>
      <c r="FR7">
        <f t="shared" ca="1" si="87"/>
        <v>0</v>
      </c>
      <c r="FS7">
        <f t="shared" ca="1" si="88"/>
        <v>0</v>
      </c>
      <c r="FT7">
        <f t="shared" ca="1" si="89"/>
        <v>0</v>
      </c>
      <c r="FU7">
        <f t="shared" ca="1" si="90"/>
        <v>0</v>
      </c>
      <c r="FV7">
        <f t="shared" ca="1" si="91"/>
        <v>0</v>
      </c>
      <c r="FW7">
        <f t="shared" ca="1" si="92"/>
        <v>42455</v>
      </c>
      <c r="FX7">
        <f t="shared" ca="1" si="93"/>
        <v>2122.75</v>
      </c>
      <c r="FY7">
        <f t="shared" ca="1" si="94"/>
        <v>2123</v>
      </c>
      <c r="FZ7">
        <f t="shared" ca="1" si="95"/>
        <v>0</v>
      </c>
      <c r="GA7">
        <f t="shared" ca="1" si="96"/>
        <v>0</v>
      </c>
      <c r="GB7">
        <f t="shared" ca="1" si="97"/>
        <v>2123</v>
      </c>
      <c r="GC7">
        <f t="shared" ca="1" si="98"/>
        <v>0</v>
      </c>
      <c r="GD7" t="b">
        <f t="shared" ca="1" si="99"/>
        <v>0</v>
      </c>
      <c r="GE7">
        <f t="shared" ca="1" si="100"/>
        <v>0</v>
      </c>
      <c r="GF7">
        <f t="shared" ca="1" si="101"/>
        <v>2123</v>
      </c>
      <c r="GG7">
        <f t="shared" ca="1" si="102"/>
        <v>0</v>
      </c>
      <c r="GH7">
        <f t="shared" ca="1" si="103"/>
        <v>0</v>
      </c>
      <c r="GI7">
        <f t="shared" ca="1" si="104"/>
        <v>0</v>
      </c>
    </row>
    <row r="8" spans="1:191" x14ac:dyDescent="0.25">
      <c r="A8">
        <f>_xlfn.AGGREGATE(3,5,$B$2:B8)</f>
        <v>7</v>
      </c>
      <c r="B8" t="s">
        <v>136</v>
      </c>
      <c r="C8" t="s">
        <v>137</v>
      </c>
      <c r="D8" t="s">
        <v>762</v>
      </c>
      <c r="E8" t="s">
        <v>845</v>
      </c>
      <c r="F8">
        <v>0</v>
      </c>
      <c r="G8">
        <v>0</v>
      </c>
      <c r="H8">
        <v>45900</v>
      </c>
      <c r="I8">
        <f t="shared" si="7"/>
        <v>4590</v>
      </c>
      <c r="J8">
        <f t="shared" si="8"/>
        <v>5508</v>
      </c>
      <c r="K8">
        <v>400</v>
      </c>
      <c r="L8">
        <v>500</v>
      </c>
      <c r="M8">
        <f t="shared" si="9"/>
        <v>56898</v>
      </c>
      <c r="N8">
        <v>3000</v>
      </c>
      <c r="O8">
        <v>0</v>
      </c>
      <c r="P8">
        <f t="shared" si="10"/>
        <v>200</v>
      </c>
      <c r="Q8">
        <f t="shared" si="11"/>
        <v>53698</v>
      </c>
      <c r="R8">
        <v>45900</v>
      </c>
      <c r="S8">
        <f t="shared" si="12"/>
        <v>4590</v>
      </c>
      <c r="T8">
        <f t="shared" si="13"/>
        <v>5508</v>
      </c>
      <c r="U8">
        <v>400</v>
      </c>
      <c r="V8">
        <v>500</v>
      </c>
      <c r="W8">
        <f t="shared" si="14"/>
        <v>56898</v>
      </c>
      <c r="X8">
        <v>3000</v>
      </c>
      <c r="Y8">
        <v>0</v>
      </c>
      <c r="Z8">
        <f t="shared" si="15"/>
        <v>200</v>
      </c>
      <c r="AA8">
        <f t="shared" si="16"/>
        <v>53698</v>
      </c>
      <c r="AB8">
        <v>45900</v>
      </c>
      <c r="AC8">
        <f t="shared" si="17"/>
        <v>6426.0000000000009</v>
      </c>
      <c r="AD8">
        <f t="shared" si="18"/>
        <v>5508</v>
      </c>
      <c r="AE8">
        <v>400</v>
      </c>
      <c r="AF8">
        <v>500</v>
      </c>
      <c r="AG8">
        <f t="shared" si="19"/>
        <v>58734</v>
      </c>
      <c r="AH8">
        <v>3000</v>
      </c>
      <c r="AI8">
        <v>0</v>
      </c>
      <c r="AJ8">
        <f t="shared" si="20"/>
        <v>200</v>
      </c>
      <c r="AK8">
        <f t="shared" si="21"/>
        <v>55534</v>
      </c>
      <c r="AL8">
        <v>45900</v>
      </c>
      <c r="AM8">
        <f t="shared" si="22"/>
        <v>6426.0000000000009</v>
      </c>
      <c r="AN8">
        <f t="shared" si="23"/>
        <v>5508</v>
      </c>
      <c r="AO8">
        <v>400</v>
      </c>
      <c r="AP8">
        <v>500</v>
      </c>
      <c r="AQ8">
        <f t="shared" si="24"/>
        <v>58734</v>
      </c>
      <c r="AR8">
        <v>3000</v>
      </c>
      <c r="AS8">
        <v>0</v>
      </c>
      <c r="AT8">
        <f t="shared" si="25"/>
        <v>200</v>
      </c>
      <c r="AU8">
        <f t="shared" si="26"/>
        <v>55534</v>
      </c>
      <c r="AV8">
        <v>47300</v>
      </c>
      <c r="AW8">
        <f t="shared" si="27"/>
        <v>6622.0000000000009</v>
      </c>
      <c r="AX8">
        <f t="shared" si="28"/>
        <v>1836</v>
      </c>
      <c r="AY8">
        <f t="shared" si="29"/>
        <v>5676</v>
      </c>
      <c r="AZ8">
        <v>400</v>
      </c>
      <c r="BA8">
        <v>500</v>
      </c>
      <c r="BB8">
        <f t="shared" si="30"/>
        <v>62334</v>
      </c>
      <c r="BC8">
        <v>3000</v>
      </c>
      <c r="BD8">
        <v>0</v>
      </c>
      <c r="BE8">
        <f t="shared" si="31"/>
        <v>200</v>
      </c>
      <c r="BF8">
        <f t="shared" si="32"/>
        <v>59134</v>
      </c>
      <c r="BG8">
        <v>47300</v>
      </c>
      <c r="BH8">
        <f t="shared" si="33"/>
        <v>6622.0000000000009</v>
      </c>
      <c r="BI8">
        <f t="shared" si="34"/>
        <v>5676</v>
      </c>
      <c r="BJ8">
        <v>400</v>
      </c>
      <c r="BK8">
        <v>500</v>
      </c>
      <c r="BL8">
        <f t="shared" si="35"/>
        <v>60498</v>
      </c>
      <c r="BM8">
        <v>3000</v>
      </c>
      <c r="BN8">
        <v>0</v>
      </c>
      <c r="BO8">
        <f t="shared" si="36"/>
        <v>200</v>
      </c>
      <c r="BP8">
        <f t="shared" si="37"/>
        <v>57298</v>
      </c>
      <c r="BQ8">
        <v>47300</v>
      </c>
      <c r="BR8">
        <f t="shared" si="38"/>
        <v>6622.0000000000009</v>
      </c>
      <c r="BS8">
        <f t="shared" si="39"/>
        <v>5676</v>
      </c>
      <c r="BT8">
        <v>400</v>
      </c>
      <c r="BU8">
        <v>500</v>
      </c>
      <c r="BV8">
        <f t="shared" si="40"/>
        <v>60498</v>
      </c>
      <c r="BW8">
        <v>3000</v>
      </c>
      <c r="BX8">
        <v>0</v>
      </c>
      <c r="BY8">
        <f t="shared" si="41"/>
        <v>200</v>
      </c>
      <c r="BZ8">
        <f t="shared" si="42"/>
        <v>57298</v>
      </c>
      <c r="CA8">
        <v>47300</v>
      </c>
      <c r="CB8">
        <f t="shared" si="43"/>
        <v>6622.0000000000009</v>
      </c>
      <c r="CC8">
        <f t="shared" si="44"/>
        <v>5676</v>
      </c>
      <c r="CD8">
        <v>400</v>
      </c>
      <c r="CE8">
        <v>500</v>
      </c>
      <c r="CF8">
        <f t="shared" si="45"/>
        <v>60498</v>
      </c>
      <c r="CG8">
        <v>3000</v>
      </c>
      <c r="CH8">
        <v>0</v>
      </c>
      <c r="CI8">
        <f t="shared" si="46"/>
        <v>200</v>
      </c>
      <c r="CJ8">
        <f t="shared" si="47"/>
        <v>57298</v>
      </c>
      <c r="CK8">
        <v>47300</v>
      </c>
      <c r="CL8">
        <f t="shared" si="48"/>
        <v>6622.0000000000009</v>
      </c>
      <c r="CM8">
        <f t="shared" si="49"/>
        <v>5676</v>
      </c>
      <c r="CN8">
        <v>400</v>
      </c>
      <c r="CO8">
        <v>500</v>
      </c>
      <c r="CP8">
        <f t="shared" si="50"/>
        <v>60498</v>
      </c>
      <c r="CQ8">
        <v>3000</v>
      </c>
      <c r="CR8">
        <v>0</v>
      </c>
      <c r="CS8">
        <f t="shared" si="51"/>
        <v>200</v>
      </c>
      <c r="CT8">
        <f t="shared" si="52"/>
        <v>57298</v>
      </c>
      <c r="CU8">
        <v>47300</v>
      </c>
      <c r="CV8">
        <f t="shared" si="53"/>
        <v>6622</v>
      </c>
      <c r="CW8">
        <f t="shared" si="54"/>
        <v>5676</v>
      </c>
      <c r="CX8">
        <v>400</v>
      </c>
      <c r="CY8">
        <v>500</v>
      </c>
      <c r="CZ8">
        <f t="shared" si="55"/>
        <v>60498</v>
      </c>
      <c r="DA8">
        <v>3000</v>
      </c>
      <c r="DB8">
        <v>0</v>
      </c>
      <c r="DC8">
        <f t="shared" si="56"/>
        <v>200</v>
      </c>
      <c r="DD8">
        <f t="shared" si="57"/>
        <v>57298</v>
      </c>
      <c r="DE8">
        <v>47300</v>
      </c>
      <c r="DF8">
        <f t="shared" si="58"/>
        <v>6622.0000000000009</v>
      </c>
      <c r="DG8">
        <f t="shared" si="59"/>
        <v>5676</v>
      </c>
      <c r="DH8">
        <v>400</v>
      </c>
      <c r="DI8">
        <v>500</v>
      </c>
      <c r="DJ8">
        <f t="shared" si="60"/>
        <v>60498</v>
      </c>
      <c r="DK8">
        <v>3000</v>
      </c>
      <c r="DL8">
        <v>0</v>
      </c>
      <c r="DM8">
        <f t="shared" si="61"/>
        <v>200</v>
      </c>
      <c r="DN8">
        <f t="shared" si="62"/>
        <v>57298</v>
      </c>
      <c r="DO8">
        <v>47300</v>
      </c>
      <c r="DP8">
        <f t="shared" si="63"/>
        <v>6622.0000000000009</v>
      </c>
      <c r="DQ8">
        <f t="shared" si="64"/>
        <v>5676</v>
      </c>
      <c r="DR8">
        <v>400</v>
      </c>
      <c r="DS8">
        <v>500</v>
      </c>
      <c r="DT8">
        <f t="shared" si="65"/>
        <v>60498</v>
      </c>
      <c r="DU8">
        <v>3000</v>
      </c>
      <c r="DV8">
        <v>0</v>
      </c>
      <c r="DW8">
        <f t="shared" si="66"/>
        <v>200</v>
      </c>
      <c r="DX8">
        <f t="shared" si="67"/>
        <v>57298</v>
      </c>
      <c r="DY8">
        <f t="shared" si="68"/>
        <v>717084</v>
      </c>
      <c r="DZ8">
        <f t="shared" si="0"/>
        <v>2400</v>
      </c>
      <c r="EA8">
        <f t="shared" si="1"/>
        <v>50000</v>
      </c>
      <c r="EB8">
        <v>0</v>
      </c>
      <c r="EC8">
        <f t="shared" si="2"/>
        <v>664684</v>
      </c>
      <c r="ED8">
        <f t="shared" si="3"/>
        <v>36000</v>
      </c>
      <c r="EE8">
        <f t="shared" si="4"/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f t="shared" si="5"/>
        <v>36000</v>
      </c>
      <c r="EQ8">
        <f t="shared" si="69"/>
        <v>36000</v>
      </c>
      <c r="ER8">
        <f t="shared" si="6"/>
        <v>628684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f t="shared" si="70"/>
        <v>0</v>
      </c>
      <c r="FA8">
        <f t="shared" si="71"/>
        <v>628684</v>
      </c>
      <c r="FB8">
        <f t="shared" si="72"/>
        <v>12500</v>
      </c>
      <c r="FC8">
        <f t="shared" si="73"/>
        <v>25737</v>
      </c>
      <c r="FD8">
        <f t="shared" si="74"/>
        <v>38237</v>
      </c>
      <c r="FE8">
        <f t="shared" si="75"/>
        <v>38237</v>
      </c>
      <c r="FF8">
        <f t="shared" si="76"/>
        <v>1529.48</v>
      </c>
      <c r="FG8">
        <f t="shared" si="77"/>
        <v>39766</v>
      </c>
      <c r="FH8">
        <v>0</v>
      </c>
      <c r="FI8">
        <f t="shared" si="78"/>
        <v>39766</v>
      </c>
      <c r="FJ8" t="b">
        <f t="shared" si="79"/>
        <v>1</v>
      </c>
      <c r="FK8">
        <f t="shared" ca="1" si="80"/>
        <v>930</v>
      </c>
      <c r="FL8">
        <f t="shared" ca="1" si="81"/>
        <v>718014</v>
      </c>
      <c r="FM8">
        <f t="shared" si="82"/>
        <v>75000</v>
      </c>
      <c r="FN8">
        <f t="shared" ca="1" si="83"/>
        <v>643014</v>
      </c>
      <c r="FO8">
        <f t="shared" ca="1" si="84"/>
        <v>0</v>
      </c>
      <c r="FP8">
        <f t="shared" ca="1" si="85"/>
        <v>0</v>
      </c>
      <c r="FQ8">
        <f t="shared" ca="1" si="86"/>
        <v>0</v>
      </c>
      <c r="FR8">
        <f t="shared" ca="1" si="87"/>
        <v>0</v>
      </c>
      <c r="FS8">
        <f t="shared" ca="1" si="88"/>
        <v>0</v>
      </c>
      <c r="FT8">
        <f t="shared" ca="1" si="89"/>
        <v>0</v>
      </c>
      <c r="FU8">
        <f t="shared" ca="1" si="90"/>
        <v>0</v>
      </c>
      <c r="FV8">
        <f t="shared" ca="1" si="91"/>
        <v>0</v>
      </c>
      <c r="FW8">
        <f t="shared" ca="1" si="92"/>
        <v>343014</v>
      </c>
      <c r="FX8">
        <f t="shared" ca="1" si="93"/>
        <v>17150.7</v>
      </c>
      <c r="FY8">
        <f t="shared" ca="1" si="94"/>
        <v>17151</v>
      </c>
      <c r="FZ8">
        <f t="shared" ca="1" si="95"/>
        <v>0</v>
      </c>
      <c r="GA8">
        <f t="shared" ca="1" si="96"/>
        <v>0</v>
      </c>
      <c r="GB8">
        <f t="shared" ca="1" si="97"/>
        <v>17151</v>
      </c>
      <c r="GC8">
        <f t="shared" ca="1" si="98"/>
        <v>0</v>
      </c>
      <c r="GD8" t="b">
        <f t="shared" ca="1" si="99"/>
        <v>0</v>
      </c>
      <c r="GE8">
        <f t="shared" ca="1" si="100"/>
        <v>0</v>
      </c>
      <c r="GF8">
        <f t="shared" ca="1" si="101"/>
        <v>17151</v>
      </c>
      <c r="GG8">
        <f t="shared" ca="1" si="102"/>
        <v>0</v>
      </c>
      <c r="GH8">
        <f t="shared" ca="1" si="103"/>
        <v>0</v>
      </c>
      <c r="GI8">
        <f t="shared" ca="1" si="104"/>
        <v>0</v>
      </c>
    </row>
    <row r="9" spans="1:191" x14ac:dyDescent="0.25">
      <c r="A9">
        <f>_xlfn.AGGREGATE(3,5,$B$2:B9)</f>
        <v>8</v>
      </c>
      <c r="B9" t="s">
        <v>138</v>
      </c>
      <c r="C9" t="s">
        <v>139</v>
      </c>
      <c r="D9" t="s">
        <v>762</v>
      </c>
      <c r="E9" t="s">
        <v>843</v>
      </c>
      <c r="F9">
        <v>0</v>
      </c>
      <c r="G9">
        <v>6000</v>
      </c>
      <c r="H9">
        <v>32500</v>
      </c>
      <c r="I9">
        <f t="shared" si="7"/>
        <v>3250</v>
      </c>
      <c r="J9">
        <f t="shared" si="8"/>
        <v>3900</v>
      </c>
      <c r="K9">
        <v>0</v>
      </c>
      <c r="L9">
        <v>500</v>
      </c>
      <c r="M9">
        <f t="shared" si="9"/>
        <v>40150</v>
      </c>
      <c r="N9">
        <v>5000</v>
      </c>
      <c r="O9">
        <v>0</v>
      </c>
      <c r="P9">
        <f t="shared" si="10"/>
        <v>200</v>
      </c>
      <c r="Q9">
        <f t="shared" si="11"/>
        <v>34950</v>
      </c>
      <c r="R9">
        <v>32500</v>
      </c>
      <c r="S9">
        <f t="shared" si="12"/>
        <v>3250</v>
      </c>
      <c r="T9">
        <f t="shared" si="13"/>
        <v>3900</v>
      </c>
      <c r="U9">
        <v>0</v>
      </c>
      <c r="V9">
        <v>500</v>
      </c>
      <c r="W9">
        <f t="shared" si="14"/>
        <v>40150</v>
      </c>
      <c r="X9">
        <v>5000</v>
      </c>
      <c r="Y9">
        <v>0</v>
      </c>
      <c r="Z9">
        <f t="shared" si="15"/>
        <v>200</v>
      </c>
      <c r="AA9">
        <f t="shared" si="16"/>
        <v>34950</v>
      </c>
      <c r="AB9">
        <v>32500</v>
      </c>
      <c r="AC9">
        <f t="shared" si="17"/>
        <v>4550</v>
      </c>
      <c r="AD9">
        <f t="shared" si="18"/>
        <v>3900</v>
      </c>
      <c r="AE9">
        <v>0</v>
      </c>
      <c r="AF9">
        <v>500</v>
      </c>
      <c r="AG9">
        <f t="shared" si="19"/>
        <v>41450</v>
      </c>
      <c r="AH9">
        <v>5000</v>
      </c>
      <c r="AI9">
        <v>0</v>
      </c>
      <c r="AJ9">
        <f t="shared" si="20"/>
        <v>200</v>
      </c>
      <c r="AK9">
        <f t="shared" si="21"/>
        <v>36250</v>
      </c>
      <c r="AL9">
        <v>32500</v>
      </c>
      <c r="AM9">
        <f t="shared" si="22"/>
        <v>4550</v>
      </c>
      <c r="AN9">
        <f t="shared" si="23"/>
        <v>3900</v>
      </c>
      <c r="AO9">
        <v>0</v>
      </c>
      <c r="AP9">
        <v>500</v>
      </c>
      <c r="AQ9">
        <f t="shared" si="24"/>
        <v>41450</v>
      </c>
      <c r="AR9">
        <v>5000</v>
      </c>
      <c r="AS9">
        <v>0</v>
      </c>
      <c r="AT9">
        <f t="shared" si="25"/>
        <v>200</v>
      </c>
      <c r="AU9">
        <f t="shared" si="26"/>
        <v>36250</v>
      </c>
      <c r="AV9">
        <v>34500</v>
      </c>
      <c r="AW9">
        <f t="shared" si="27"/>
        <v>4830.0000000000009</v>
      </c>
      <c r="AX9">
        <f t="shared" si="28"/>
        <v>1300</v>
      </c>
      <c r="AY9">
        <f t="shared" si="29"/>
        <v>4140</v>
      </c>
      <c r="AZ9">
        <v>0</v>
      </c>
      <c r="BA9">
        <v>500</v>
      </c>
      <c r="BB9">
        <f t="shared" si="30"/>
        <v>45270</v>
      </c>
      <c r="BC9">
        <v>5000</v>
      </c>
      <c r="BD9">
        <v>0</v>
      </c>
      <c r="BE9">
        <f t="shared" si="31"/>
        <v>200</v>
      </c>
      <c r="BF9">
        <f t="shared" si="32"/>
        <v>40070</v>
      </c>
      <c r="BG9">
        <v>34500</v>
      </c>
      <c r="BH9">
        <f t="shared" si="33"/>
        <v>4830.0000000000009</v>
      </c>
      <c r="BI9">
        <f t="shared" si="34"/>
        <v>4140</v>
      </c>
      <c r="BJ9">
        <v>0</v>
      </c>
      <c r="BK9">
        <v>500</v>
      </c>
      <c r="BL9">
        <f t="shared" si="35"/>
        <v>43970</v>
      </c>
      <c r="BM9">
        <v>5000</v>
      </c>
      <c r="BN9">
        <v>0</v>
      </c>
      <c r="BO9">
        <f t="shared" si="36"/>
        <v>200</v>
      </c>
      <c r="BP9">
        <f t="shared" si="37"/>
        <v>38770</v>
      </c>
      <c r="BQ9">
        <v>34500</v>
      </c>
      <c r="BR9">
        <f t="shared" si="38"/>
        <v>4830.0000000000009</v>
      </c>
      <c r="BS9">
        <f t="shared" si="39"/>
        <v>4140</v>
      </c>
      <c r="BT9">
        <v>0</v>
      </c>
      <c r="BU9">
        <v>500</v>
      </c>
      <c r="BV9">
        <f t="shared" si="40"/>
        <v>43970</v>
      </c>
      <c r="BW9">
        <v>5000</v>
      </c>
      <c r="BX9">
        <v>0</v>
      </c>
      <c r="BY9">
        <f t="shared" si="41"/>
        <v>200</v>
      </c>
      <c r="BZ9">
        <f t="shared" si="42"/>
        <v>38770</v>
      </c>
      <c r="CA9">
        <v>34500</v>
      </c>
      <c r="CB9">
        <f t="shared" si="43"/>
        <v>4830.0000000000009</v>
      </c>
      <c r="CC9">
        <f t="shared" si="44"/>
        <v>4140</v>
      </c>
      <c r="CD9">
        <v>0</v>
      </c>
      <c r="CE9">
        <v>500</v>
      </c>
      <c r="CF9">
        <f t="shared" si="45"/>
        <v>43970</v>
      </c>
      <c r="CG9">
        <v>5000</v>
      </c>
      <c r="CH9">
        <v>0</v>
      </c>
      <c r="CI9">
        <f t="shared" si="46"/>
        <v>200</v>
      </c>
      <c r="CJ9">
        <f t="shared" si="47"/>
        <v>38770</v>
      </c>
      <c r="CK9">
        <v>34500</v>
      </c>
      <c r="CL9">
        <f t="shared" si="48"/>
        <v>4830.0000000000009</v>
      </c>
      <c r="CM9">
        <f t="shared" si="49"/>
        <v>4140</v>
      </c>
      <c r="CN9">
        <v>0</v>
      </c>
      <c r="CO9">
        <v>500</v>
      </c>
      <c r="CP9">
        <f t="shared" si="50"/>
        <v>43970</v>
      </c>
      <c r="CQ9">
        <v>5000</v>
      </c>
      <c r="CR9">
        <v>0</v>
      </c>
      <c r="CS9">
        <f t="shared" si="51"/>
        <v>200</v>
      </c>
      <c r="CT9">
        <f t="shared" si="52"/>
        <v>38770</v>
      </c>
      <c r="CU9">
        <v>34500</v>
      </c>
      <c r="CV9">
        <f t="shared" si="53"/>
        <v>4830</v>
      </c>
      <c r="CW9">
        <f t="shared" si="54"/>
        <v>4140</v>
      </c>
      <c r="CX9">
        <v>0</v>
      </c>
      <c r="CY9">
        <v>500</v>
      </c>
      <c r="CZ9">
        <f t="shared" si="55"/>
        <v>43970</v>
      </c>
      <c r="DA9">
        <v>5000</v>
      </c>
      <c r="DB9">
        <v>0</v>
      </c>
      <c r="DC9">
        <f t="shared" si="56"/>
        <v>200</v>
      </c>
      <c r="DD9">
        <f t="shared" si="57"/>
        <v>38770</v>
      </c>
      <c r="DE9">
        <v>34500</v>
      </c>
      <c r="DF9">
        <f t="shared" si="58"/>
        <v>4830.0000000000009</v>
      </c>
      <c r="DG9">
        <f t="shared" si="59"/>
        <v>4140</v>
      </c>
      <c r="DH9">
        <v>0</v>
      </c>
      <c r="DI9">
        <v>500</v>
      </c>
      <c r="DJ9">
        <f t="shared" si="60"/>
        <v>43970</v>
      </c>
      <c r="DK9">
        <v>5000</v>
      </c>
      <c r="DL9">
        <v>0</v>
      </c>
      <c r="DM9">
        <f t="shared" si="61"/>
        <v>200</v>
      </c>
      <c r="DN9">
        <f t="shared" si="62"/>
        <v>38770</v>
      </c>
      <c r="DO9">
        <v>34500</v>
      </c>
      <c r="DP9">
        <f t="shared" si="63"/>
        <v>4830.0000000000009</v>
      </c>
      <c r="DQ9">
        <f t="shared" si="64"/>
        <v>4140</v>
      </c>
      <c r="DR9">
        <v>0</v>
      </c>
      <c r="DS9">
        <v>500</v>
      </c>
      <c r="DT9">
        <f t="shared" si="65"/>
        <v>43970</v>
      </c>
      <c r="DU9">
        <v>5000</v>
      </c>
      <c r="DV9">
        <v>0</v>
      </c>
      <c r="DW9">
        <f t="shared" si="66"/>
        <v>200</v>
      </c>
      <c r="DX9">
        <f t="shared" si="67"/>
        <v>38770</v>
      </c>
      <c r="DY9">
        <f t="shared" si="68"/>
        <v>522260</v>
      </c>
      <c r="DZ9">
        <f t="shared" si="0"/>
        <v>2400</v>
      </c>
      <c r="EA9">
        <f t="shared" si="1"/>
        <v>50000</v>
      </c>
      <c r="EB9">
        <v>0</v>
      </c>
      <c r="EC9">
        <f t="shared" si="2"/>
        <v>469860</v>
      </c>
      <c r="ED9">
        <f t="shared" si="3"/>
        <v>60000</v>
      </c>
      <c r="EE9">
        <f t="shared" si="4"/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f t="shared" si="5"/>
        <v>60000</v>
      </c>
      <c r="EQ9">
        <f t="shared" si="69"/>
        <v>60000</v>
      </c>
      <c r="ER9">
        <f t="shared" si="6"/>
        <v>409860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f t="shared" si="70"/>
        <v>0</v>
      </c>
      <c r="FA9">
        <f t="shared" si="71"/>
        <v>409860</v>
      </c>
      <c r="FB9">
        <f t="shared" si="72"/>
        <v>7993</v>
      </c>
      <c r="FC9">
        <f t="shared" si="73"/>
        <v>0</v>
      </c>
      <c r="FD9">
        <f t="shared" si="74"/>
        <v>7993</v>
      </c>
      <c r="FE9">
        <f t="shared" si="75"/>
        <v>0</v>
      </c>
      <c r="FF9">
        <f t="shared" si="76"/>
        <v>0</v>
      </c>
      <c r="FG9">
        <f t="shared" si="77"/>
        <v>0</v>
      </c>
      <c r="FH9">
        <v>0</v>
      </c>
      <c r="FI9">
        <f t="shared" si="78"/>
        <v>0</v>
      </c>
      <c r="FJ9" t="b">
        <f t="shared" si="79"/>
        <v>1</v>
      </c>
      <c r="FK9">
        <f t="shared" ca="1" si="80"/>
        <v>950</v>
      </c>
      <c r="FL9">
        <f t="shared" ca="1" si="81"/>
        <v>523210</v>
      </c>
      <c r="FM9">
        <f t="shared" si="82"/>
        <v>75000</v>
      </c>
      <c r="FN9">
        <f t="shared" ca="1" si="83"/>
        <v>448210</v>
      </c>
      <c r="FO9">
        <f t="shared" ca="1" si="84"/>
        <v>0</v>
      </c>
      <c r="FP9">
        <f t="shared" ca="1" si="85"/>
        <v>0</v>
      </c>
      <c r="FQ9">
        <f t="shared" ca="1" si="86"/>
        <v>0</v>
      </c>
      <c r="FR9">
        <f t="shared" ca="1" si="87"/>
        <v>0</v>
      </c>
      <c r="FS9">
        <f t="shared" ca="1" si="88"/>
        <v>0</v>
      </c>
      <c r="FT9">
        <f t="shared" ca="1" si="89"/>
        <v>0</v>
      </c>
      <c r="FU9">
        <f t="shared" ca="1" si="90"/>
        <v>0</v>
      </c>
      <c r="FV9">
        <f t="shared" ca="1" si="91"/>
        <v>0</v>
      </c>
      <c r="FW9">
        <f t="shared" ca="1" si="92"/>
        <v>148210</v>
      </c>
      <c r="FX9">
        <f t="shared" ca="1" si="93"/>
        <v>7410.5</v>
      </c>
      <c r="FY9">
        <f t="shared" ca="1" si="94"/>
        <v>7411</v>
      </c>
      <c r="FZ9">
        <f t="shared" ca="1" si="95"/>
        <v>0</v>
      </c>
      <c r="GA9">
        <f t="shared" ca="1" si="96"/>
        <v>0</v>
      </c>
      <c r="GB9">
        <f t="shared" ca="1" si="97"/>
        <v>7411</v>
      </c>
      <c r="GC9">
        <f t="shared" ca="1" si="98"/>
        <v>0</v>
      </c>
      <c r="GD9" t="b">
        <f t="shared" ca="1" si="99"/>
        <v>0</v>
      </c>
      <c r="GE9">
        <f t="shared" ca="1" si="100"/>
        <v>0</v>
      </c>
      <c r="GF9">
        <f t="shared" ca="1" si="101"/>
        <v>7411</v>
      </c>
      <c r="GG9">
        <f t="shared" ca="1" si="102"/>
        <v>0</v>
      </c>
      <c r="GH9">
        <f t="shared" ca="1" si="103"/>
        <v>0</v>
      </c>
      <c r="GI9">
        <f t="shared" ca="1" si="104"/>
        <v>0</v>
      </c>
    </row>
    <row r="10" spans="1:191" x14ac:dyDescent="0.25">
      <c r="A10">
        <f>_xlfn.AGGREGATE(3,5,$B$2:B10)</f>
        <v>9</v>
      </c>
      <c r="B10" t="s">
        <v>140</v>
      </c>
      <c r="C10" t="s">
        <v>141</v>
      </c>
      <c r="D10" t="s">
        <v>762</v>
      </c>
      <c r="E10" t="s">
        <v>843</v>
      </c>
      <c r="F10">
        <v>0</v>
      </c>
      <c r="G10">
        <v>6000</v>
      </c>
      <c r="H10">
        <v>26200</v>
      </c>
      <c r="I10">
        <f t="shared" si="7"/>
        <v>2620</v>
      </c>
      <c r="J10">
        <f t="shared" si="8"/>
        <v>3144</v>
      </c>
      <c r="K10">
        <v>0</v>
      </c>
      <c r="L10">
        <v>500</v>
      </c>
      <c r="M10">
        <f t="shared" si="9"/>
        <v>32464</v>
      </c>
      <c r="N10">
        <v>2000</v>
      </c>
      <c r="O10">
        <v>0</v>
      </c>
      <c r="P10">
        <f t="shared" si="10"/>
        <v>150</v>
      </c>
      <c r="Q10">
        <f t="shared" si="11"/>
        <v>30314</v>
      </c>
      <c r="R10">
        <v>26200</v>
      </c>
      <c r="S10">
        <f t="shared" si="12"/>
        <v>2620</v>
      </c>
      <c r="T10">
        <f t="shared" si="13"/>
        <v>3144</v>
      </c>
      <c r="U10">
        <v>0</v>
      </c>
      <c r="V10">
        <v>500</v>
      </c>
      <c r="W10">
        <f t="shared" si="14"/>
        <v>32464</v>
      </c>
      <c r="X10">
        <v>2000</v>
      </c>
      <c r="Y10">
        <v>0</v>
      </c>
      <c r="Z10">
        <f t="shared" si="15"/>
        <v>150</v>
      </c>
      <c r="AA10">
        <f t="shared" si="16"/>
        <v>30314</v>
      </c>
      <c r="AB10">
        <v>26200</v>
      </c>
      <c r="AC10">
        <f t="shared" si="17"/>
        <v>3668.0000000000005</v>
      </c>
      <c r="AD10">
        <f t="shared" si="18"/>
        <v>3144</v>
      </c>
      <c r="AE10">
        <v>0</v>
      </c>
      <c r="AF10">
        <v>500</v>
      </c>
      <c r="AG10">
        <f t="shared" si="19"/>
        <v>33512</v>
      </c>
      <c r="AH10">
        <v>2000</v>
      </c>
      <c r="AI10">
        <v>0</v>
      </c>
      <c r="AJ10">
        <f t="shared" si="20"/>
        <v>150</v>
      </c>
      <c r="AK10">
        <f t="shared" si="21"/>
        <v>31362</v>
      </c>
      <c r="AL10">
        <v>26200</v>
      </c>
      <c r="AM10">
        <f t="shared" si="22"/>
        <v>3668.0000000000005</v>
      </c>
      <c r="AN10">
        <f t="shared" si="23"/>
        <v>3144</v>
      </c>
      <c r="AO10">
        <v>0</v>
      </c>
      <c r="AP10">
        <v>500</v>
      </c>
      <c r="AQ10">
        <f t="shared" si="24"/>
        <v>33512</v>
      </c>
      <c r="AR10">
        <v>2000</v>
      </c>
      <c r="AS10">
        <v>0</v>
      </c>
      <c r="AT10">
        <f t="shared" si="25"/>
        <v>150</v>
      </c>
      <c r="AU10">
        <f t="shared" si="26"/>
        <v>31362</v>
      </c>
      <c r="AV10">
        <v>27000</v>
      </c>
      <c r="AW10">
        <f t="shared" si="27"/>
        <v>3780.0000000000005</v>
      </c>
      <c r="AX10">
        <f t="shared" si="28"/>
        <v>1048</v>
      </c>
      <c r="AY10">
        <f t="shared" si="29"/>
        <v>3240</v>
      </c>
      <c r="AZ10">
        <v>0</v>
      </c>
      <c r="BA10">
        <v>500</v>
      </c>
      <c r="BB10">
        <f t="shared" si="30"/>
        <v>35568</v>
      </c>
      <c r="BC10">
        <v>2000</v>
      </c>
      <c r="BD10">
        <v>0</v>
      </c>
      <c r="BE10">
        <f t="shared" si="31"/>
        <v>150</v>
      </c>
      <c r="BF10">
        <f t="shared" si="32"/>
        <v>33418</v>
      </c>
      <c r="BG10">
        <v>27000</v>
      </c>
      <c r="BH10">
        <f t="shared" si="33"/>
        <v>3780.0000000000005</v>
      </c>
      <c r="BI10">
        <f t="shared" si="34"/>
        <v>3240</v>
      </c>
      <c r="BJ10">
        <v>0</v>
      </c>
      <c r="BK10">
        <v>500</v>
      </c>
      <c r="BL10">
        <f t="shared" si="35"/>
        <v>34520</v>
      </c>
      <c r="BM10">
        <v>2000</v>
      </c>
      <c r="BN10">
        <v>0</v>
      </c>
      <c r="BO10">
        <f t="shared" si="36"/>
        <v>150</v>
      </c>
      <c r="BP10">
        <f t="shared" si="37"/>
        <v>32370</v>
      </c>
      <c r="BQ10">
        <v>27000</v>
      </c>
      <c r="BR10">
        <f t="shared" si="38"/>
        <v>3780.0000000000005</v>
      </c>
      <c r="BS10">
        <f t="shared" si="39"/>
        <v>3240</v>
      </c>
      <c r="BT10">
        <v>0</v>
      </c>
      <c r="BU10">
        <v>500</v>
      </c>
      <c r="BV10">
        <f t="shared" si="40"/>
        <v>34520</v>
      </c>
      <c r="BW10">
        <v>2000</v>
      </c>
      <c r="BX10">
        <v>0</v>
      </c>
      <c r="BY10">
        <f t="shared" si="41"/>
        <v>150</v>
      </c>
      <c r="BZ10">
        <f t="shared" si="42"/>
        <v>32370</v>
      </c>
      <c r="CA10">
        <v>27000</v>
      </c>
      <c r="CB10">
        <f t="shared" si="43"/>
        <v>3780.0000000000005</v>
      </c>
      <c r="CC10">
        <f t="shared" si="44"/>
        <v>3240</v>
      </c>
      <c r="CD10">
        <v>0</v>
      </c>
      <c r="CE10">
        <v>500</v>
      </c>
      <c r="CF10">
        <f t="shared" si="45"/>
        <v>34520</v>
      </c>
      <c r="CG10">
        <v>2000</v>
      </c>
      <c r="CH10">
        <v>0</v>
      </c>
      <c r="CI10">
        <f t="shared" si="46"/>
        <v>150</v>
      </c>
      <c r="CJ10">
        <f t="shared" si="47"/>
        <v>32370</v>
      </c>
      <c r="CK10">
        <v>27000</v>
      </c>
      <c r="CL10">
        <f t="shared" si="48"/>
        <v>3780.0000000000005</v>
      </c>
      <c r="CM10">
        <f t="shared" si="49"/>
        <v>3240</v>
      </c>
      <c r="CN10">
        <v>0</v>
      </c>
      <c r="CO10">
        <v>500</v>
      </c>
      <c r="CP10">
        <f t="shared" si="50"/>
        <v>34520</v>
      </c>
      <c r="CQ10">
        <v>2000</v>
      </c>
      <c r="CR10">
        <v>0</v>
      </c>
      <c r="CS10">
        <f t="shared" si="51"/>
        <v>150</v>
      </c>
      <c r="CT10">
        <f t="shared" si="52"/>
        <v>32370</v>
      </c>
      <c r="CU10">
        <v>27000</v>
      </c>
      <c r="CV10">
        <f t="shared" si="53"/>
        <v>3780</v>
      </c>
      <c r="CW10">
        <f t="shared" si="54"/>
        <v>3240</v>
      </c>
      <c r="CX10">
        <v>0</v>
      </c>
      <c r="CY10">
        <v>500</v>
      </c>
      <c r="CZ10">
        <f t="shared" si="55"/>
        <v>34520</v>
      </c>
      <c r="DA10">
        <v>2000</v>
      </c>
      <c r="DB10">
        <v>0</v>
      </c>
      <c r="DC10">
        <f t="shared" si="56"/>
        <v>150</v>
      </c>
      <c r="DD10">
        <f t="shared" si="57"/>
        <v>32370</v>
      </c>
      <c r="DE10">
        <v>27000</v>
      </c>
      <c r="DF10">
        <f t="shared" si="58"/>
        <v>3780.0000000000005</v>
      </c>
      <c r="DG10">
        <f t="shared" si="59"/>
        <v>3240</v>
      </c>
      <c r="DH10">
        <v>0</v>
      </c>
      <c r="DI10">
        <v>500</v>
      </c>
      <c r="DJ10">
        <f t="shared" si="60"/>
        <v>34520</v>
      </c>
      <c r="DK10">
        <v>2000</v>
      </c>
      <c r="DL10">
        <v>0</v>
      </c>
      <c r="DM10">
        <f t="shared" si="61"/>
        <v>150</v>
      </c>
      <c r="DN10">
        <f t="shared" si="62"/>
        <v>32370</v>
      </c>
      <c r="DO10">
        <v>27000</v>
      </c>
      <c r="DP10">
        <f t="shared" si="63"/>
        <v>3780.0000000000005</v>
      </c>
      <c r="DQ10">
        <f t="shared" si="64"/>
        <v>3240</v>
      </c>
      <c r="DR10">
        <v>0</v>
      </c>
      <c r="DS10">
        <v>500</v>
      </c>
      <c r="DT10">
        <f t="shared" si="65"/>
        <v>34520</v>
      </c>
      <c r="DU10">
        <v>2000</v>
      </c>
      <c r="DV10">
        <v>0</v>
      </c>
      <c r="DW10">
        <f t="shared" si="66"/>
        <v>150</v>
      </c>
      <c r="DX10">
        <f t="shared" si="67"/>
        <v>32370</v>
      </c>
      <c r="DY10">
        <f t="shared" si="68"/>
        <v>415160</v>
      </c>
      <c r="DZ10">
        <f t="shared" si="0"/>
        <v>1800</v>
      </c>
      <c r="EA10">
        <f t="shared" si="1"/>
        <v>50000</v>
      </c>
      <c r="EB10">
        <v>0</v>
      </c>
      <c r="EC10">
        <f t="shared" si="2"/>
        <v>363360</v>
      </c>
      <c r="ED10">
        <f t="shared" si="3"/>
        <v>24000</v>
      </c>
      <c r="EE10">
        <f t="shared" si="4"/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f t="shared" si="5"/>
        <v>24000</v>
      </c>
      <c r="EQ10">
        <f t="shared" si="69"/>
        <v>24000</v>
      </c>
      <c r="ER10">
        <f t="shared" si="6"/>
        <v>339360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f t="shared" si="70"/>
        <v>0</v>
      </c>
      <c r="FA10">
        <f t="shared" si="71"/>
        <v>339360</v>
      </c>
      <c r="FB10">
        <f t="shared" si="72"/>
        <v>4468</v>
      </c>
      <c r="FC10">
        <f t="shared" si="73"/>
        <v>0</v>
      </c>
      <c r="FD10">
        <f t="shared" si="74"/>
        <v>4468</v>
      </c>
      <c r="FE10">
        <f t="shared" si="75"/>
        <v>0</v>
      </c>
      <c r="FF10">
        <f t="shared" si="76"/>
        <v>0</v>
      </c>
      <c r="FG10">
        <f t="shared" si="77"/>
        <v>0</v>
      </c>
      <c r="FH10">
        <v>0</v>
      </c>
      <c r="FI10">
        <f t="shared" si="78"/>
        <v>0</v>
      </c>
      <c r="FJ10" t="b">
        <f t="shared" si="79"/>
        <v>0</v>
      </c>
      <c r="FK10">
        <f t="shared" ca="1" si="80"/>
        <v>2493</v>
      </c>
      <c r="FL10">
        <f t="shared" ca="1" si="81"/>
        <v>417653</v>
      </c>
      <c r="FM10">
        <f t="shared" si="82"/>
        <v>75000</v>
      </c>
      <c r="FN10">
        <f t="shared" ca="1" si="83"/>
        <v>342653</v>
      </c>
      <c r="FO10">
        <f t="shared" ca="1" si="84"/>
        <v>0</v>
      </c>
      <c r="FP10">
        <f t="shared" ca="1" si="85"/>
        <v>0</v>
      </c>
      <c r="FQ10">
        <f t="shared" ca="1" si="86"/>
        <v>0</v>
      </c>
      <c r="FR10">
        <f t="shared" ca="1" si="87"/>
        <v>0</v>
      </c>
      <c r="FS10">
        <f t="shared" ca="1" si="88"/>
        <v>0</v>
      </c>
      <c r="FT10">
        <f t="shared" ca="1" si="89"/>
        <v>0</v>
      </c>
      <c r="FU10">
        <f t="shared" ca="1" si="90"/>
        <v>0</v>
      </c>
      <c r="FV10">
        <f t="shared" ca="1" si="91"/>
        <v>0</v>
      </c>
      <c r="FW10">
        <f t="shared" ca="1" si="92"/>
        <v>42653</v>
      </c>
      <c r="FX10">
        <f t="shared" ca="1" si="93"/>
        <v>2132.65</v>
      </c>
      <c r="FY10">
        <f t="shared" ca="1" si="94"/>
        <v>2133</v>
      </c>
      <c r="FZ10">
        <f t="shared" ca="1" si="95"/>
        <v>0</v>
      </c>
      <c r="GA10">
        <f t="shared" ca="1" si="96"/>
        <v>0</v>
      </c>
      <c r="GB10">
        <f t="shared" ca="1" si="97"/>
        <v>2133</v>
      </c>
      <c r="GC10">
        <f t="shared" ca="1" si="98"/>
        <v>0</v>
      </c>
      <c r="GD10" t="b">
        <f t="shared" ca="1" si="99"/>
        <v>0</v>
      </c>
      <c r="GE10">
        <f t="shared" ca="1" si="100"/>
        <v>0</v>
      </c>
      <c r="GF10">
        <f t="shared" ca="1" si="101"/>
        <v>2133</v>
      </c>
      <c r="GG10">
        <f t="shared" ca="1" si="102"/>
        <v>0</v>
      </c>
      <c r="GH10">
        <f t="shared" ca="1" si="103"/>
        <v>0</v>
      </c>
      <c r="GI10">
        <f t="shared" ca="1" si="104"/>
        <v>0</v>
      </c>
    </row>
    <row r="11" spans="1:191" x14ac:dyDescent="0.25">
      <c r="A11">
        <f>_xlfn.AGGREGATE(3,5,$B$2:B11)</f>
        <v>10</v>
      </c>
      <c r="B11" t="s">
        <v>142</v>
      </c>
      <c r="C11" t="s">
        <v>143</v>
      </c>
      <c r="D11" t="s">
        <v>762</v>
      </c>
      <c r="E11" t="s">
        <v>843</v>
      </c>
      <c r="F11">
        <v>0</v>
      </c>
      <c r="G11">
        <v>0</v>
      </c>
      <c r="H11">
        <v>0</v>
      </c>
      <c r="I11">
        <f t="shared" si="7"/>
        <v>0</v>
      </c>
      <c r="J11">
        <f t="shared" si="8"/>
        <v>0</v>
      </c>
      <c r="K11">
        <v>0</v>
      </c>
      <c r="L11">
        <v>0</v>
      </c>
      <c r="M11">
        <f t="shared" si="9"/>
        <v>0</v>
      </c>
      <c r="N11">
        <v>0</v>
      </c>
      <c r="O11">
        <v>0</v>
      </c>
      <c r="P11">
        <f t="shared" si="10"/>
        <v>0</v>
      </c>
      <c r="Q11">
        <f t="shared" si="11"/>
        <v>0</v>
      </c>
      <c r="R11">
        <v>28900</v>
      </c>
      <c r="S11">
        <f t="shared" si="12"/>
        <v>2890</v>
      </c>
      <c r="T11">
        <f t="shared" si="13"/>
        <v>3468</v>
      </c>
      <c r="U11">
        <v>0</v>
      </c>
      <c r="V11">
        <v>500</v>
      </c>
      <c r="W11">
        <f t="shared" si="14"/>
        <v>35758</v>
      </c>
      <c r="X11">
        <v>0</v>
      </c>
      <c r="Y11">
        <v>0</v>
      </c>
      <c r="Z11">
        <f t="shared" si="15"/>
        <v>150</v>
      </c>
      <c r="AA11">
        <f t="shared" si="16"/>
        <v>35608</v>
      </c>
      <c r="AB11">
        <v>28900</v>
      </c>
      <c r="AC11">
        <f t="shared" si="17"/>
        <v>4046.0000000000005</v>
      </c>
      <c r="AD11">
        <f t="shared" si="18"/>
        <v>3468</v>
      </c>
      <c r="AE11">
        <v>0</v>
      </c>
      <c r="AF11">
        <v>500</v>
      </c>
      <c r="AG11">
        <f t="shared" si="19"/>
        <v>36914</v>
      </c>
      <c r="AH11">
        <v>0</v>
      </c>
      <c r="AI11">
        <v>0</v>
      </c>
      <c r="AJ11">
        <f t="shared" si="20"/>
        <v>150</v>
      </c>
      <c r="AK11">
        <f t="shared" si="21"/>
        <v>36764</v>
      </c>
      <c r="AL11">
        <v>28900</v>
      </c>
      <c r="AM11">
        <f t="shared" si="22"/>
        <v>4046.0000000000005</v>
      </c>
      <c r="AN11">
        <f t="shared" si="23"/>
        <v>3468</v>
      </c>
      <c r="AO11">
        <v>0</v>
      </c>
      <c r="AP11">
        <v>500</v>
      </c>
      <c r="AQ11">
        <f t="shared" si="24"/>
        <v>36914</v>
      </c>
      <c r="AR11">
        <v>0</v>
      </c>
      <c r="AS11">
        <v>0</v>
      </c>
      <c r="AT11">
        <f t="shared" si="25"/>
        <v>150</v>
      </c>
      <c r="AU11">
        <f t="shared" si="26"/>
        <v>36764</v>
      </c>
      <c r="AV11">
        <v>28900</v>
      </c>
      <c r="AW11">
        <f t="shared" si="27"/>
        <v>4046.0000000000005</v>
      </c>
      <c r="AX11">
        <f t="shared" si="28"/>
        <v>1156</v>
      </c>
      <c r="AY11">
        <f t="shared" si="29"/>
        <v>3468</v>
      </c>
      <c r="AZ11">
        <v>0</v>
      </c>
      <c r="BA11">
        <v>500</v>
      </c>
      <c r="BB11">
        <f t="shared" si="30"/>
        <v>38070</v>
      </c>
      <c r="BC11">
        <v>0</v>
      </c>
      <c r="BD11">
        <v>0</v>
      </c>
      <c r="BE11">
        <f t="shared" si="31"/>
        <v>150</v>
      </c>
      <c r="BF11">
        <f t="shared" si="32"/>
        <v>37920</v>
      </c>
      <c r="BG11">
        <v>28900</v>
      </c>
      <c r="BH11">
        <f t="shared" si="33"/>
        <v>4046.0000000000005</v>
      </c>
      <c r="BI11">
        <f t="shared" si="34"/>
        <v>3468</v>
      </c>
      <c r="BJ11">
        <v>0</v>
      </c>
      <c r="BK11">
        <v>500</v>
      </c>
      <c r="BL11">
        <f t="shared" si="35"/>
        <v>36914</v>
      </c>
      <c r="BM11">
        <v>0</v>
      </c>
      <c r="BN11">
        <v>0</v>
      </c>
      <c r="BO11">
        <f t="shared" si="36"/>
        <v>150</v>
      </c>
      <c r="BP11">
        <f t="shared" si="37"/>
        <v>36764</v>
      </c>
      <c r="BQ11">
        <v>28900</v>
      </c>
      <c r="BR11">
        <f t="shared" si="38"/>
        <v>4046.0000000000005</v>
      </c>
      <c r="BS11">
        <f t="shared" si="39"/>
        <v>3468</v>
      </c>
      <c r="BT11">
        <v>0</v>
      </c>
      <c r="BU11">
        <v>500</v>
      </c>
      <c r="BV11">
        <f t="shared" si="40"/>
        <v>36914</v>
      </c>
      <c r="BW11">
        <v>0</v>
      </c>
      <c r="BX11">
        <v>0</v>
      </c>
      <c r="BY11">
        <f t="shared" si="41"/>
        <v>150</v>
      </c>
      <c r="BZ11">
        <f t="shared" si="42"/>
        <v>36764</v>
      </c>
      <c r="CA11">
        <v>28900</v>
      </c>
      <c r="CB11">
        <f t="shared" si="43"/>
        <v>4046.0000000000005</v>
      </c>
      <c r="CC11">
        <f t="shared" si="44"/>
        <v>3468</v>
      </c>
      <c r="CD11">
        <v>0</v>
      </c>
      <c r="CE11">
        <v>500</v>
      </c>
      <c r="CF11">
        <f t="shared" si="45"/>
        <v>36914</v>
      </c>
      <c r="CG11">
        <v>0</v>
      </c>
      <c r="CH11">
        <v>0</v>
      </c>
      <c r="CI11">
        <f t="shared" si="46"/>
        <v>150</v>
      </c>
      <c r="CJ11">
        <f t="shared" si="47"/>
        <v>36764</v>
      </c>
      <c r="CK11">
        <v>28900</v>
      </c>
      <c r="CL11">
        <f t="shared" si="48"/>
        <v>4046.0000000000005</v>
      </c>
      <c r="CM11">
        <f t="shared" si="49"/>
        <v>3468</v>
      </c>
      <c r="CN11">
        <v>0</v>
      </c>
      <c r="CO11">
        <v>500</v>
      </c>
      <c r="CP11">
        <f t="shared" si="50"/>
        <v>36914</v>
      </c>
      <c r="CQ11">
        <v>0</v>
      </c>
      <c r="CR11">
        <v>0</v>
      </c>
      <c r="CS11">
        <f t="shared" si="51"/>
        <v>150</v>
      </c>
      <c r="CT11">
        <f t="shared" si="52"/>
        <v>36764</v>
      </c>
      <c r="CU11">
        <v>28900</v>
      </c>
      <c r="CV11">
        <f t="shared" si="53"/>
        <v>4046</v>
      </c>
      <c r="CW11">
        <f t="shared" si="54"/>
        <v>3468</v>
      </c>
      <c r="CX11">
        <v>0</v>
      </c>
      <c r="CY11">
        <v>500</v>
      </c>
      <c r="CZ11">
        <f t="shared" si="55"/>
        <v>36914</v>
      </c>
      <c r="DA11">
        <v>0</v>
      </c>
      <c r="DB11">
        <v>0</v>
      </c>
      <c r="DC11">
        <f t="shared" si="56"/>
        <v>150</v>
      </c>
      <c r="DD11">
        <f t="shared" si="57"/>
        <v>36764</v>
      </c>
      <c r="DE11">
        <v>28900</v>
      </c>
      <c r="DF11">
        <f t="shared" si="58"/>
        <v>4046.0000000000005</v>
      </c>
      <c r="DG11">
        <f t="shared" si="59"/>
        <v>3468</v>
      </c>
      <c r="DH11">
        <v>0</v>
      </c>
      <c r="DI11">
        <v>500</v>
      </c>
      <c r="DJ11">
        <f t="shared" si="60"/>
        <v>36914</v>
      </c>
      <c r="DK11">
        <v>0</v>
      </c>
      <c r="DL11">
        <v>0</v>
      </c>
      <c r="DM11">
        <f t="shared" si="61"/>
        <v>150</v>
      </c>
      <c r="DN11">
        <f t="shared" si="62"/>
        <v>36764</v>
      </c>
      <c r="DO11">
        <v>28900</v>
      </c>
      <c r="DP11">
        <f t="shared" si="63"/>
        <v>4046.0000000000005</v>
      </c>
      <c r="DQ11">
        <f t="shared" si="64"/>
        <v>3468</v>
      </c>
      <c r="DR11">
        <v>0</v>
      </c>
      <c r="DS11">
        <v>500</v>
      </c>
      <c r="DT11">
        <f t="shared" si="65"/>
        <v>36914</v>
      </c>
      <c r="DU11">
        <v>2000</v>
      </c>
      <c r="DV11">
        <v>0</v>
      </c>
      <c r="DW11">
        <f t="shared" si="66"/>
        <v>150</v>
      </c>
      <c r="DX11">
        <f t="shared" si="67"/>
        <v>34764</v>
      </c>
      <c r="DY11">
        <f t="shared" si="68"/>
        <v>406054</v>
      </c>
      <c r="DZ11">
        <f t="shared" si="0"/>
        <v>1650</v>
      </c>
      <c r="EA11">
        <f t="shared" si="1"/>
        <v>50000</v>
      </c>
      <c r="EB11">
        <v>0</v>
      </c>
      <c r="EC11">
        <f t="shared" si="2"/>
        <v>354404</v>
      </c>
      <c r="ED11">
        <f t="shared" si="3"/>
        <v>2000</v>
      </c>
      <c r="EE11">
        <f t="shared" si="4"/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f t="shared" si="5"/>
        <v>2000</v>
      </c>
      <c r="EQ11">
        <f t="shared" si="69"/>
        <v>2000</v>
      </c>
      <c r="ER11">
        <f t="shared" si="6"/>
        <v>352404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f t="shared" si="70"/>
        <v>0</v>
      </c>
      <c r="FA11">
        <f t="shared" si="71"/>
        <v>352404</v>
      </c>
      <c r="FB11">
        <f t="shared" si="72"/>
        <v>5120</v>
      </c>
      <c r="FC11">
        <f t="shared" si="73"/>
        <v>0</v>
      </c>
      <c r="FD11">
        <f t="shared" si="74"/>
        <v>5120</v>
      </c>
      <c r="FE11">
        <f t="shared" si="75"/>
        <v>0</v>
      </c>
      <c r="FF11">
        <f t="shared" si="76"/>
        <v>0</v>
      </c>
      <c r="FG11">
        <f t="shared" si="77"/>
        <v>0</v>
      </c>
      <c r="FH11">
        <v>0</v>
      </c>
      <c r="FI11">
        <f t="shared" si="78"/>
        <v>0</v>
      </c>
      <c r="FJ11" t="b">
        <f t="shared" si="79"/>
        <v>0</v>
      </c>
      <c r="FK11">
        <f t="shared" ca="1" si="80"/>
        <v>2841</v>
      </c>
      <c r="FL11">
        <f t="shared" ca="1" si="81"/>
        <v>408895</v>
      </c>
      <c r="FM11">
        <f t="shared" si="82"/>
        <v>75000</v>
      </c>
      <c r="FN11">
        <f t="shared" ca="1" si="83"/>
        <v>333895</v>
      </c>
      <c r="FO11">
        <f t="shared" ca="1" si="84"/>
        <v>0</v>
      </c>
      <c r="FP11">
        <f t="shared" ca="1" si="85"/>
        <v>0</v>
      </c>
      <c r="FQ11">
        <f t="shared" ca="1" si="86"/>
        <v>0</v>
      </c>
      <c r="FR11">
        <f t="shared" ca="1" si="87"/>
        <v>0</v>
      </c>
      <c r="FS11">
        <f t="shared" ca="1" si="88"/>
        <v>0</v>
      </c>
      <c r="FT11">
        <f t="shared" ca="1" si="89"/>
        <v>0</v>
      </c>
      <c r="FU11">
        <f t="shared" ca="1" si="90"/>
        <v>0</v>
      </c>
      <c r="FV11">
        <f t="shared" ca="1" si="91"/>
        <v>0</v>
      </c>
      <c r="FW11">
        <f t="shared" ca="1" si="92"/>
        <v>33895</v>
      </c>
      <c r="FX11">
        <f t="shared" ca="1" si="93"/>
        <v>1694.75</v>
      </c>
      <c r="FY11">
        <f t="shared" ca="1" si="94"/>
        <v>1695</v>
      </c>
      <c r="FZ11">
        <f t="shared" ca="1" si="95"/>
        <v>0</v>
      </c>
      <c r="GA11">
        <f t="shared" ca="1" si="96"/>
        <v>0</v>
      </c>
      <c r="GB11">
        <f t="shared" ca="1" si="97"/>
        <v>1695</v>
      </c>
      <c r="GC11">
        <f t="shared" ca="1" si="98"/>
        <v>0</v>
      </c>
      <c r="GD11" t="b">
        <f t="shared" ca="1" si="99"/>
        <v>0</v>
      </c>
      <c r="GE11">
        <f t="shared" ca="1" si="100"/>
        <v>0</v>
      </c>
      <c r="GF11">
        <f t="shared" ca="1" si="101"/>
        <v>1695</v>
      </c>
      <c r="GG11">
        <f t="shared" ca="1" si="102"/>
        <v>0</v>
      </c>
      <c r="GH11">
        <f t="shared" ca="1" si="103"/>
        <v>0</v>
      </c>
      <c r="GI11">
        <f t="shared" ca="1" si="104"/>
        <v>0</v>
      </c>
    </row>
    <row r="12" spans="1:191" x14ac:dyDescent="0.25">
      <c r="A12">
        <f>_xlfn.AGGREGATE(3,5,$B$2:B12)</f>
        <v>11</v>
      </c>
      <c r="B12" t="s">
        <v>144</v>
      </c>
      <c r="C12" t="s">
        <v>145</v>
      </c>
      <c r="D12" t="s">
        <v>763</v>
      </c>
      <c r="E12" t="s">
        <v>843</v>
      </c>
      <c r="F12">
        <v>0</v>
      </c>
      <c r="G12">
        <v>0</v>
      </c>
      <c r="H12">
        <v>45900</v>
      </c>
      <c r="I12">
        <f t="shared" si="7"/>
        <v>4590</v>
      </c>
      <c r="J12">
        <f t="shared" si="8"/>
        <v>5508</v>
      </c>
      <c r="K12">
        <v>400</v>
      </c>
      <c r="L12">
        <v>0</v>
      </c>
      <c r="M12">
        <f t="shared" si="9"/>
        <v>56398</v>
      </c>
      <c r="N12">
        <v>3000</v>
      </c>
      <c r="O12">
        <v>0</v>
      </c>
      <c r="P12">
        <f t="shared" si="10"/>
        <v>200</v>
      </c>
      <c r="Q12">
        <f t="shared" si="11"/>
        <v>53198</v>
      </c>
      <c r="R12">
        <v>45900</v>
      </c>
      <c r="S12">
        <f t="shared" si="12"/>
        <v>4590</v>
      </c>
      <c r="T12">
        <f t="shared" si="13"/>
        <v>5508</v>
      </c>
      <c r="U12">
        <v>400</v>
      </c>
      <c r="V12">
        <v>0</v>
      </c>
      <c r="W12">
        <f t="shared" si="14"/>
        <v>56398</v>
      </c>
      <c r="X12">
        <v>3000</v>
      </c>
      <c r="Y12">
        <v>0</v>
      </c>
      <c r="Z12">
        <f t="shared" si="15"/>
        <v>200</v>
      </c>
      <c r="AA12">
        <f t="shared" si="16"/>
        <v>53198</v>
      </c>
      <c r="AB12">
        <v>45900</v>
      </c>
      <c r="AC12">
        <f t="shared" si="17"/>
        <v>6426.0000000000009</v>
      </c>
      <c r="AD12">
        <f t="shared" si="18"/>
        <v>5508</v>
      </c>
      <c r="AE12">
        <v>400</v>
      </c>
      <c r="AF12">
        <v>0</v>
      </c>
      <c r="AG12">
        <f t="shared" si="19"/>
        <v>58234</v>
      </c>
      <c r="AH12">
        <v>3000</v>
      </c>
      <c r="AI12">
        <v>0</v>
      </c>
      <c r="AJ12">
        <f t="shared" si="20"/>
        <v>200</v>
      </c>
      <c r="AK12">
        <f t="shared" si="21"/>
        <v>55034</v>
      </c>
      <c r="AL12">
        <v>45900</v>
      </c>
      <c r="AM12">
        <f t="shared" si="22"/>
        <v>6426.0000000000009</v>
      </c>
      <c r="AN12">
        <f t="shared" si="23"/>
        <v>5508</v>
      </c>
      <c r="AO12">
        <v>400</v>
      </c>
      <c r="AP12">
        <v>0</v>
      </c>
      <c r="AQ12">
        <f t="shared" si="24"/>
        <v>58234</v>
      </c>
      <c r="AR12">
        <v>3000</v>
      </c>
      <c r="AS12">
        <v>0</v>
      </c>
      <c r="AT12">
        <f t="shared" si="25"/>
        <v>200</v>
      </c>
      <c r="AU12">
        <f t="shared" si="26"/>
        <v>55034</v>
      </c>
      <c r="AV12">
        <v>47300</v>
      </c>
      <c r="AW12">
        <f t="shared" si="27"/>
        <v>6622.0000000000009</v>
      </c>
      <c r="AX12">
        <f t="shared" si="28"/>
        <v>1836</v>
      </c>
      <c r="AY12">
        <f t="shared" si="29"/>
        <v>5676</v>
      </c>
      <c r="AZ12">
        <v>400</v>
      </c>
      <c r="BA12">
        <v>0</v>
      </c>
      <c r="BB12">
        <f t="shared" si="30"/>
        <v>61834</v>
      </c>
      <c r="BC12">
        <v>3000</v>
      </c>
      <c r="BD12">
        <v>0</v>
      </c>
      <c r="BE12">
        <f t="shared" si="31"/>
        <v>200</v>
      </c>
      <c r="BF12">
        <f t="shared" si="32"/>
        <v>58634</v>
      </c>
      <c r="BG12">
        <v>47300</v>
      </c>
      <c r="BH12">
        <f t="shared" si="33"/>
        <v>6622.0000000000009</v>
      </c>
      <c r="BI12">
        <f t="shared" si="34"/>
        <v>5676</v>
      </c>
      <c r="BJ12">
        <v>400</v>
      </c>
      <c r="BK12">
        <v>0</v>
      </c>
      <c r="BL12">
        <f t="shared" si="35"/>
        <v>59998</v>
      </c>
      <c r="BM12">
        <v>3000</v>
      </c>
      <c r="BN12">
        <v>0</v>
      </c>
      <c r="BO12">
        <f t="shared" si="36"/>
        <v>200</v>
      </c>
      <c r="BP12">
        <f t="shared" si="37"/>
        <v>56798</v>
      </c>
      <c r="BQ12">
        <v>47300</v>
      </c>
      <c r="BR12">
        <f t="shared" si="38"/>
        <v>6622.0000000000009</v>
      </c>
      <c r="BS12">
        <f t="shared" si="39"/>
        <v>5676</v>
      </c>
      <c r="BT12">
        <v>400</v>
      </c>
      <c r="BU12">
        <v>0</v>
      </c>
      <c r="BV12">
        <f t="shared" si="40"/>
        <v>59998</v>
      </c>
      <c r="BW12">
        <v>3000</v>
      </c>
      <c r="BX12">
        <v>0</v>
      </c>
      <c r="BY12">
        <f t="shared" si="41"/>
        <v>200</v>
      </c>
      <c r="BZ12">
        <f t="shared" si="42"/>
        <v>56798</v>
      </c>
      <c r="CA12">
        <v>47300</v>
      </c>
      <c r="CB12">
        <f t="shared" si="43"/>
        <v>6622.0000000000009</v>
      </c>
      <c r="CC12">
        <f t="shared" si="44"/>
        <v>5676</v>
      </c>
      <c r="CD12">
        <v>400</v>
      </c>
      <c r="CE12">
        <v>0</v>
      </c>
      <c r="CF12">
        <f t="shared" si="45"/>
        <v>59998</v>
      </c>
      <c r="CG12">
        <v>3000</v>
      </c>
      <c r="CH12">
        <v>0</v>
      </c>
      <c r="CI12">
        <f t="shared" si="46"/>
        <v>200</v>
      </c>
      <c r="CJ12">
        <f t="shared" si="47"/>
        <v>56798</v>
      </c>
      <c r="CK12">
        <v>47300</v>
      </c>
      <c r="CL12">
        <f t="shared" si="48"/>
        <v>6622.0000000000009</v>
      </c>
      <c r="CM12">
        <f t="shared" si="49"/>
        <v>5676</v>
      </c>
      <c r="CN12">
        <v>400</v>
      </c>
      <c r="CO12">
        <v>0</v>
      </c>
      <c r="CP12">
        <f t="shared" si="50"/>
        <v>59998</v>
      </c>
      <c r="CQ12">
        <v>3000</v>
      </c>
      <c r="CR12">
        <v>0</v>
      </c>
      <c r="CS12">
        <f t="shared" si="51"/>
        <v>200</v>
      </c>
      <c r="CT12">
        <f t="shared" si="52"/>
        <v>56798</v>
      </c>
      <c r="CU12">
        <v>47300</v>
      </c>
      <c r="CV12">
        <f t="shared" si="53"/>
        <v>6622</v>
      </c>
      <c r="CW12">
        <f t="shared" si="54"/>
        <v>5676</v>
      </c>
      <c r="CX12">
        <v>400</v>
      </c>
      <c r="CY12">
        <v>0</v>
      </c>
      <c r="CZ12">
        <f t="shared" si="55"/>
        <v>59998</v>
      </c>
      <c r="DA12">
        <v>3000</v>
      </c>
      <c r="DB12">
        <v>0</v>
      </c>
      <c r="DC12">
        <f t="shared" si="56"/>
        <v>200</v>
      </c>
      <c r="DD12">
        <f t="shared" si="57"/>
        <v>56798</v>
      </c>
      <c r="DE12">
        <v>47300</v>
      </c>
      <c r="DF12">
        <f t="shared" si="58"/>
        <v>6622.0000000000009</v>
      </c>
      <c r="DG12">
        <f t="shared" si="59"/>
        <v>5676</v>
      </c>
      <c r="DH12">
        <v>400</v>
      </c>
      <c r="DI12">
        <v>0</v>
      </c>
      <c r="DJ12">
        <f t="shared" si="60"/>
        <v>59998</v>
      </c>
      <c r="DK12">
        <v>3000</v>
      </c>
      <c r="DL12">
        <v>0</v>
      </c>
      <c r="DM12">
        <f t="shared" si="61"/>
        <v>200</v>
      </c>
      <c r="DN12">
        <f t="shared" si="62"/>
        <v>56798</v>
      </c>
      <c r="DO12">
        <v>47300</v>
      </c>
      <c r="DP12">
        <f t="shared" si="63"/>
        <v>6622.0000000000009</v>
      </c>
      <c r="DQ12">
        <f t="shared" si="64"/>
        <v>5676</v>
      </c>
      <c r="DR12">
        <v>400</v>
      </c>
      <c r="DS12">
        <v>0</v>
      </c>
      <c r="DT12">
        <f t="shared" si="65"/>
        <v>59998</v>
      </c>
      <c r="DU12">
        <v>3000</v>
      </c>
      <c r="DV12">
        <v>0</v>
      </c>
      <c r="DW12">
        <f t="shared" si="66"/>
        <v>200</v>
      </c>
      <c r="DX12">
        <f t="shared" si="67"/>
        <v>56798</v>
      </c>
      <c r="DY12">
        <f t="shared" si="68"/>
        <v>711084</v>
      </c>
      <c r="DZ12">
        <f t="shared" si="0"/>
        <v>2400</v>
      </c>
      <c r="EA12">
        <f t="shared" si="1"/>
        <v>50000</v>
      </c>
      <c r="EB12">
        <v>0</v>
      </c>
      <c r="EC12">
        <f t="shared" si="2"/>
        <v>658684</v>
      </c>
      <c r="ED12">
        <f t="shared" si="3"/>
        <v>36000</v>
      </c>
      <c r="EE12">
        <f t="shared" si="4"/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f t="shared" si="5"/>
        <v>36000</v>
      </c>
      <c r="EQ12">
        <f t="shared" si="69"/>
        <v>36000</v>
      </c>
      <c r="ER12">
        <f t="shared" si="6"/>
        <v>622684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f t="shared" si="70"/>
        <v>0</v>
      </c>
      <c r="FA12">
        <f t="shared" si="71"/>
        <v>622684</v>
      </c>
      <c r="FB12">
        <f t="shared" si="72"/>
        <v>12500</v>
      </c>
      <c r="FC12">
        <f t="shared" si="73"/>
        <v>24537</v>
      </c>
      <c r="FD12">
        <f t="shared" si="74"/>
        <v>37037</v>
      </c>
      <c r="FE12">
        <f t="shared" si="75"/>
        <v>37037</v>
      </c>
      <c r="FF12">
        <f t="shared" si="76"/>
        <v>1481.48</v>
      </c>
      <c r="FG12">
        <f t="shared" si="77"/>
        <v>38518</v>
      </c>
      <c r="FH12">
        <v>0</v>
      </c>
      <c r="FI12">
        <f t="shared" si="78"/>
        <v>38518</v>
      </c>
      <c r="FJ12" t="b">
        <f t="shared" si="79"/>
        <v>1</v>
      </c>
      <c r="FK12">
        <f t="shared" ca="1" si="80"/>
        <v>850</v>
      </c>
      <c r="FL12">
        <f t="shared" ca="1" si="81"/>
        <v>711934</v>
      </c>
      <c r="FM12">
        <f t="shared" si="82"/>
        <v>75000</v>
      </c>
      <c r="FN12">
        <f t="shared" ca="1" si="83"/>
        <v>636934</v>
      </c>
      <c r="FO12">
        <f t="shared" ca="1" si="84"/>
        <v>0</v>
      </c>
      <c r="FP12">
        <f t="shared" ca="1" si="85"/>
        <v>0</v>
      </c>
      <c r="FQ12">
        <f t="shared" ca="1" si="86"/>
        <v>0</v>
      </c>
      <c r="FR12">
        <f t="shared" ca="1" si="87"/>
        <v>0</v>
      </c>
      <c r="FS12">
        <f t="shared" ca="1" si="88"/>
        <v>0</v>
      </c>
      <c r="FT12">
        <f t="shared" ca="1" si="89"/>
        <v>0</v>
      </c>
      <c r="FU12">
        <f t="shared" ca="1" si="90"/>
        <v>0</v>
      </c>
      <c r="FV12">
        <f t="shared" ca="1" si="91"/>
        <v>0</v>
      </c>
      <c r="FW12">
        <f t="shared" ca="1" si="92"/>
        <v>336934</v>
      </c>
      <c r="FX12">
        <f t="shared" ca="1" si="93"/>
        <v>16846.7</v>
      </c>
      <c r="FY12">
        <f t="shared" ca="1" si="94"/>
        <v>16847</v>
      </c>
      <c r="FZ12">
        <f t="shared" ca="1" si="95"/>
        <v>0</v>
      </c>
      <c r="GA12">
        <f t="shared" ca="1" si="96"/>
        <v>0</v>
      </c>
      <c r="GB12">
        <f t="shared" ca="1" si="97"/>
        <v>16847</v>
      </c>
      <c r="GC12">
        <f t="shared" ca="1" si="98"/>
        <v>0</v>
      </c>
      <c r="GD12" t="b">
        <f t="shared" ca="1" si="99"/>
        <v>0</v>
      </c>
      <c r="GE12">
        <f t="shared" ca="1" si="100"/>
        <v>0</v>
      </c>
      <c r="GF12">
        <f t="shared" ca="1" si="101"/>
        <v>16847</v>
      </c>
      <c r="GG12">
        <f t="shared" ca="1" si="102"/>
        <v>0</v>
      </c>
      <c r="GH12">
        <f t="shared" ca="1" si="103"/>
        <v>0</v>
      </c>
      <c r="GI12">
        <f t="shared" ca="1" si="104"/>
        <v>0</v>
      </c>
    </row>
    <row r="13" spans="1:191" x14ac:dyDescent="0.25">
      <c r="A13">
        <f>_xlfn.AGGREGATE(3,5,$B$2:B13)</f>
        <v>12</v>
      </c>
      <c r="B13" t="s">
        <v>146</v>
      </c>
      <c r="C13" t="s">
        <v>147</v>
      </c>
      <c r="D13" t="s">
        <v>763</v>
      </c>
      <c r="E13" t="s">
        <v>843</v>
      </c>
      <c r="F13">
        <v>0</v>
      </c>
      <c r="G13">
        <v>6000</v>
      </c>
      <c r="H13">
        <v>26200</v>
      </c>
      <c r="I13">
        <f t="shared" si="7"/>
        <v>2620</v>
      </c>
      <c r="J13">
        <f t="shared" si="8"/>
        <v>3144</v>
      </c>
      <c r="K13">
        <v>0</v>
      </c>
      <c r="L13">
        <v>500</v>
      </c>
      <c r="M13">
        <f t="shared" si="9"/>
        <v>32464</v>
      </c>
      <c r="N13">
        <v>2000</v>
      </c>
      <c r="O13">
        <v>0</v>
      </c>
      <c r="P13">
        <f t="shared" si="10"/>
        <v>150</v>
      </c>
      <c r="Q13">
        <f t="shared" si="11"/>
        <v>30314</v>
      </c>
      <c r="R13">
        <v>26200</v>
      </c>
      <c r="S13">
        <f t="shared" si="12"/>
        <v>2620</v>
      </c>
      <c r="T13">
        <f t="shared" si="13"/>
        <v>3144</v>
      </c>
      <c r="U13">
        <v>0</v>
      </c>
      <c r="V13">
        <v>500</v>
      </c>
      <c r="W13">
        <f t="shared" si="14"/>
        <v>32464</v>
      </c>
      <c r="X13">
        <v>2000</v>
      </c>
      <c r="Y13">
        <v>0</v>
      </c>
      <c r="Z13">
        <f t="shared" si="15"/>
        <v>150</v>
      </c>
      <c r="AA13">
        <f t="shared" si="16"/>
        <v>30314</v>
      </c>
      <c r="AB13">
        <v>26200</v>
      </c>
      <c r="AC13">
        <f t="shared" si="17"/>
        <v>3668.0000000000005</v>
      </c>
      <c r="AD13">
        <f t="shared" si="18"/>
        <v>3144</v>
      </c>
      <c r="AE13">
        <v>0</v>
      </c>
      <c r="AF13">
        <v>500</v>
      </c>
      <c r="AG13">
        <f t="shared" si="19"/>
        <v>33512</v>
      </c>
      <c r="AH13">
        <v>2000</v>
      </c>
      <c r="AI13">
        <v>0</v>
      </c>
      <c r="AJ13">
        <f t="shared" si="20"/>
        <v>150</v>
      </c>
      <c r="AK13">
        <f t="shared" si="21"/>
        <v>31362</v>
      </c>
      <c r="AL13">
        <v>26200</v>
      </c>
      <c r="AM13">
        <f t="shared" si="22"/>
        <v>3668.0000000000005</v>
      </c>
      <c r="AN13">
        <f t="shared" si="23"/>
        <v>3144</v>
      </c>
      <c r="AO13">
        <v>0</v>
      </c>
      <c r="AP13">
        <v>500</v>
      </c>
      <c r="AQ13">
        <f t="shared" si="24"/>
        <v>33512</v>
      </c>
      <c r="AR13">
        <v>2000</v>
      </c>
      <c r="AS13">
        <v>0</v>
      </c>
      <c r="AT13">
        <f t="shared" si="25"/>
        <v>150</v>
      </c>
      <c r="AU13">
        <f t="shared" si="26"/>
        <v>31362</v>
      </c>
      <c r="AV13">
        <v>27000</v>
      </c>
      <c r="AW13">
        <f t="shared" si="27"/>
        <v>3780.0000000000005</v>
      </c>
      <c r="AX13">
        <f t="shared" si="28"/>
        <v>1048</v>
      </c>
      <c r="AY13">
        <f t="shared" si="29"/>
        <v>3240</v>
      </c>
      <c r="AZ13">
        <v>0</v>
      </c>
      <c r="BA13">
        <v>500</v>
      </c>
      <c r="BB13">
        <f t="shared" si="30"/>
        <v>35568</v>
      </c>
      <c r="BC13">
        <v>2000</v>
      </c>
      <c r="BD13">
        <v>0</v>
      </c>
      <c r="BE13">
        <f t="shared" si="31"/>
        <v>150</v>
      </c>
      <c r="BF13">
        <f t="shared" si="32"/>
        <v>33418</v>
      </c>
      <c r="BG13">
        <v>27000</v>
      </c>
      <c r="BH13">
        <f t="shared" si="33"/>
        <v>3780.0000000000005</v>
      </c>
      <c r="BI13">
        <f t="shared" si="34"/>
        <v>3240</v>
      </c>
      <c r="BJ13">
        <v>0</v>
      </c>
      <c r="BK13">
        <v>500</v>
      </c>
      <c r="BL13">
        <f t="shared" si="35"/>
        <v>34520</v>
      </c>
      <c r="BM13">
        <v>2000</v>
      </c>
      <c r="BN13">
        <v>0</v>
      </c>
      <c r="BO13">
        <f t="shared" si="36"/>
        <v>150</v>
      </c>
      <c r="BP13">
        <f t="shared" si="37"/>
        <v>32370</v>
      </c>
      <c r="BQ13">
        <v>27000</v>
      </c>
      <c r="BR13">
        <f t="shared" si="38"/>
        <v>3780.0000000000005</v>
      </c>
      <c r="BS13">
        <f t="shared" si="39"/>
        <v>3240</v>
      </c>
      <c r="BT13">
        <v>0</v>
      </c>
      <c r="BU13">
        <v>500</v>
      </c>
      <c r="BV13">
        <f t="shared" si="40"/>
        <v>34520</v>
      </c>
      <c r="BW13">
        <v>2000</v>
      </c>
      <c r="BX13">
        <v>0</v>
      </c>
      <c r="BY13">
        <f t="shared" si="41"/>
        <v>150</v>
      </c>
      <c r="BZ13">
        <f t="shared" si="42"/>
        <v>32370</v>
      </c>
      <c r="CA13">
        <v>27000</v>
      </c>
      <c r="CB13">
        <f t="shared" si="43"/>
        <v>3780.0000000000005</v>
      </c>
      <c r="CC13">
        <f t="shared" si="44"/>
        <v>3240</v>
      </c>
      <c r="CD13">
        <v>0</v>
      </c>
      <c r="CE13">
        <v>500</v>
      </c>
      <c r="CF13">
        <f t="shared" si="45"/>
        <v>34520</v>
      </c>
      <c r="CG13">
        <v>2000</v>
      </c>
      <c r="CH13">
        <v>0</v>
      </c>
      <c r="CI13">
        <f t="shared" si="46"/>
        <v>150</v>
      </c>
      <c r="CJ13">
        <f t="shared" si="47"/>
        <v>32370</v>
      </c>
      <c r="CK13">
        <v>27000</v>
      </c>
      <c r="CL13">
        <f t="shared" si="48"/>
        <v>3780.0000000000005</v>
      </c>
      <c r="CM13">
        <f t="shared" si="49"/>
        <v>3240</v>
      </c>
      <c r="CN13">
        <v>0</v>
      </c>
      <c r="CO13">
        <v>500</v>
      </c>
      <c r="CP13">
        <f t="shared" si="50"/>
        <v>34520</v>
      </c>
      <c r="CQ13">
        <v>2000</v>
      </c>
      <c r="CR13">
        <v>0</v>
      </c>
      <c r="CS13">
        <f t="shared" si="51"/>
        <v>150</v>
      </c>
      <c r="CT13">
        <f t="shared" si="52"/>
        <v>32370</v>
      </c>
      <c r="CU13">
        <v>27000</v>
      </c>
      <c r="CV13">
        <f t="shared" si="53"/>
        <v>3780</v>
      </c>
      <c r="CW13">
        <f t="shared" si="54"/>
        <v>3240</v>
      </c>
      <c r="CX13">
        <v>0</v>
      </c>
      <c r="CY13">
        <v>500</v>
      </c>
      <c r="CZ13">
        <f t="shared" si="55"/>
        <v>34520</v>
      </c>
      <c r="DA13">
        <v>2000</v>
      </c>
      <c r="DB13">
        <v>0</v>
      </c>
      <c r="DC13">
        <f t="shared" si="56"/>
        <v>150</v>
      </c>
      <c r="DD13">
        <f t="shared" si="57"/>
        <v>32370</v>
      </c>
      <c r="DE13">
        <v>27000</v>
      </c>
      <c r="DF13">
        <f t="shared" si="58"/>
        <v>3780.0000000000005</v>
      </c>
      <c r="DG13">
        <f t="shared" si="59"/>
        <v>3240</v>
      </c>
      <c r="DH13">
        <v>0</v>
      </c>
      <c r="DI13">
        <v>500</v>
      </c>
      <c r="DJ13">
        <f t="shared" si="60"/>
        <v>34520</v>
      </c>
      <c r="DK13">
        <v>2000</v>
      </c>
      <c r="DL13">
        <v>0</v>
      </c>
      <c r="DM13">
        <f t="shared" si="61"/>
        <v>150</v>
      </c>
      <c r="DN13">
        <f t="shared" si="62"/>
        <v>32370</v>
      </c>
      <c r="DO13">
        <v>27000</v>
      </c>
      <c r="DP13">
        <f t="shared" si="63"/>
        <v>3780.0000000000005</v>
      </c>
      <c r="DQ13">
        <f t="shared" si="64"/>
        <v>3240</v>
      </c>
      <c r="DR13">
        <v>0</v>
      </c>
      <c r="DS13">
        <v>500</v>
      </c>
      <c r="DT13">
        <f t="shared" si="65"/>
        <v>34520</v>
      </c>
      <c r="DU13">
        <v>2000</v>
      </c>
      <c r="DV13">
        <v>0</v>
      </c>
      <c r="DW13">
        <f t="shared" si="66"/>
        <v>150</v>
      </c>
      <c r="DX13">
        <f t="shared" si="67"/>
        <v>32370</v>
      </c>
      <c r="DY13">
        <f t="shared" si="68"/>
        <v>415160</v>
      </c>
      <c r="DZ13">
        <f t="shared" si="0"/>
        <v>1800</v>
      </c>
      <c r="EA13">
        <f t="shared" si="1"/>
        <v>50000</v>
      </c>
      <c r="EB13">
        <v>0</v>
      </c>
      <c r="EC13">
        <f t="shared" si="2"/>
        <v>363360</v>
      </c>
      <c r="ED13">
        <f t="shared" si="3"/>
        <v>24000</v>
      </c>
      <c r="EE13">
        <f t="shared" si="4"/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f t="shared" si="5"/>
        <v>24000</v>
      </c>
      <c r="EQ13">
        <f t="shared" si="69"/>
        <v>24000</v>
      </c>
      <c r="ER13">
        <f t="shared" si="6"/>
        <v>339360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f t="shared" si="70"/>
        <v>0</v>
      </c>
      <c r="FA13">
        <f t="shared" si="71"/>
        <v>339360</v>
      </c>
      <c r="FB13">
        <f t="shared" si="72"/>
        <v>4468</v>
      </c>
      <c r="FC13">
        <f t="shared" si="73"/>
        <v>0</v>
      </c>
      <c r="FD13">
        <f t="shared" si="74"/>
        <v>4468</v>
      </c>
      <c r="FE13">
        <f t="shared" si="75"/>
        <v>0</v>
      </c>
      <c r="FF13">
        <f t="shared" si="76"/>
        <v>0</v>
      </c>
      <c r="FG13">
        <f t="shared" si="77"/>
        <v>0</v>
      </c>
      <c r="FH13">
        <v>0</v>
      </c>
      <c r="FI13">
        <f t="shared" si="78"/>
        <v>0</v>
      </c>
      <c r="FJ13" t="b">
        <f t="shared" si="79"/>
        <v>0</v>
      </c>
      <c r="FK13">
        <f t="shared" ca="1" si="80"/>
        <v>2188</v>
      </c>
      <c r="FL13">
        <f t="shared" ca="1" si="81"/>
        <v>417348</v>
      </c>
      <c r="FM13">
        <f t="shared" si="82"/>
        <v>75000</v>
      </c>
      <c r="FN13">
        <f t="shared" ca="1" si="83"/>
        <v>342348</v>
      </c>
      <c r="FO13">
        <f t="shared" ca="1" si="84"/>
        <v>0</v>
      </c>
      <c r="FP13">
        <f t="shared" ca="1" si="85"/>
        <v>0</v>
      </c>
      <c r="FQ13">
        <f t="shared" ca="1" si="86"/>
        <v>0</v>
      </c>
      <c r="FR13">
        <f t="shared" ca="1" si="87"/>
        <v>0</v>
      </c>
      <c r="FS13">
        <f t="shared" ca="1" si="88"/>
        <v>0</v>
      </c>
      <c r="FT13">
        <f t="shared" ca="1" si="89"/>
        <v>0</v>
      </c>
      <c r="FU13">
        <f t="shared" ca="1" si="90"/>
        <v>0</v>
      </c>
      <c r="FV13">
        <f t="shared" ca="1" si="91"/>
        <v>0</v>
      </c>
      <c r="FW13">
        <f t="shared" ca="1" si="92"/>
        <v>42348</v>
      </c>
      <c r="FX13">
        <f t="shared" ca="1" si="93"/>
        <v>2117.4</v>
      </c>
      <c r="FY13">
        <f t="shared" ca="1" si="94"/>
        <v>2117</v>
      </c>
      <c r="FZ13">
        <f t="shared" ca="1" si="95"/>
        <v>0</v>
      </c>
      <c r="GA13">
        <f t="shared" ca="1" si="96"/>
        <v>0</v>
      </c>
      <c r="GB13">
        <f t="shared" ca="1" si="97"/>
        <v>2117</v>
      </c>
      <c r="GC13">
        <f t="shared" ca="1" si="98"/>
        <v>0</v>
      </c>
      <c r="GD13" t="b">
        <f t="shared" ca="1" si="99"/>
        <v>0</v>
      </c>
      <c r="GE13">
        <f t="shared" ca="1" si="100"/>
        <v>0</v>
      </c>
      <c r="GF13">
        <f t="shared" ca="1" si="101"/>
        <v>2117</v>
      </c>
      <c r="GG13">
        <f t="shared" ca="1" si="102"/>
        <v>0</v>
      </c>
      <c r="GH13">
        <f t="shared" ca="1" si="103"/>
        <v>0</v>
      </c>
      <c r="GI13">
        <f t="shared" ca="1" si="104"/>
        <v>0</v>
      </c>
    </row>
    <row r="14" spans="1:191" x14ac:dyDescent="0.25">
      <c r="A14">
        <f>_xlfn.AGGREGATE(3,5,$B$2:B14)</f>
        <v>13</v>
      </c>
      <c r="B14" t="s">
        <v>148</v>
      </c>
      <c r="C14" t="s">
        <v>149</v>
      </c>
      <c r="D14" t="s">
        <v>763</v>
      </c>
      <c r="E14" t="s">
        <v>843</v>
      </c>
      <c r="F14">
        <v>0</v>
      </c>
      <c r="G14">
        <v>0</v>
      </c>
      <c r="H14">
        <v>0</v>
      </c>
      <c r="I14">
        <f t="shared" si="7"/>
        <v>0</v>
      </c>
      <c r="J14">
        <f t="shared" si="8"/>
        <v>0</v>
      </c>
      <c r="K14">
        <v>0</v>
      </c>
      <c r="L14">
        <v>0</v>
      </c>
      <c r="M14">
        <f t="shared" si="9"/>
        <v>0</v>
      </c>
      <c r="N14">
        <v>0</v>
      </c>
      <c r="O14">
        <v>0</v>
      </c>
      <c r="P14">
        <f t="shared" si="10"/>
        <v>0</v>
      </c>
      <c r="Q14">
        <f t="shared" si="11"/>
        <v>0</v>
      </c>
      <c r="R14">
        <v>0</v>
      </c>
      <c r="S14">
        <f t="shared" si="12"/>
        <v>0</v>
      </c>
      <c r="T14">
        <f t="shared" si="13"/>
        <v>0</v>
      </c>
      <c r="U14">
        <v>0</v>
      </c>
      <c r="V14">
        <v>0</v>
      </c>
      <c r="W14">
        <f t="shared" si="14"/>
        <v>0</v>
      </c>
      <c r="X14">
        <v>0</v>
      </c>
      <c r="Y14">
        <v>0</v>
      </c>
      <c r="Z14">
        <f t="shared" si="15"/>
        <v>0</v>
      </c>
      <c r="AA14">
        <f t="shared" si="16"/>
        <v>0</v>
      </c>
      <c r="AB14">
        <v>0</v>
      </c>
      <c r="AC14">
        <f t="shared" si="17"/>
        <v>0</v>
      </c>
      <c r="AD14">
        <f t="shared" si="18"/>
        <v>0</v>
      </c>
      <c r="AE14">
        <v>0</v>
      </c>
      <c r="AF14">
        <v>0</v>
      </c>
      <c r="AG14">
        <f t="shared" si="19"/>
        <v>0</v>
      </c>
      <c r="AH14">
        <v>0</v>
      </c>
      <c r="AI14">
        <v>0</v>
      </c>
      <c r="AJ14">
        <f t="shared" si="20"/>
        <v>0</v>
      </c>
      <c r="AK14">
        <f t="shared" si="21"/>
        <v>0</v>
      </c>
      <c r="AL14">
        <v>0</v>
      </c>
      <c r="AM14">
        <f t="shared" si="22"/>
        <v>0</v>
      </c>
      <c r="AN14">
        <f t="shared" si="23"/>
        <v>0</v>
      </c>
      <c r="AO14">
        <v>0</v>
      </c>
      <c r="AP14">
        <v>0</v>
      </c>
      <c r="AQ14">
        <f t="shared" si="24"/>
        <v>0</v>
      </c>
      <c r="AR14">
        <v>0</v>
      </c>
      <c r="AS14">
        <v>0</v>
      </c>
      <c r="AT14">
        <f t="shared" si="25"/>
        <v>0</v>
      </c>
      <c r="AU14">
        <f t="shared" si="26"/>
        <v>0</v>
      </c>
      <c r="AV14">
        <v>0</v>
      </c>
      <c r="AW14">
        <f t="shared" si="27"/>
        <v>0</v>
      </c>
      <c r="AX14">
        <f t="shared" si="28"/>
        <v>0</v>
      </c>
      <c r="AY14">
        <f t="shared" si="29"/>
        <v>0</v>
      </c>
      <c r="AZ14">
        <v>0</v>
      </c>
      <c r="BA14">
        <v>0</v>
      </c>
      <c r="BB14">
        <f t="shared" si="30"/>
        <v>0</v>
      </c>
      <c r="BC14">
        <v>0</v>
      </c>
      <c r="BD14">
        <v>0</v>
      </c>
      <c r="BE14">
        <f t="shared" si="31"/>
        <v>0</v>
      </c>
      <c r="BF14">
        <f t="shared" si="32"/>
        <v>0</v>
      </c>
      <c r="BG14">
        <v>0</v>
      </c>
      <c r="BH14">
        <f t="shared" si="33"/>
        <v>0</v>
      </c>
      <c r="BI14">
        <f t="shared" si="34"/>
        <v>0</v>
      </c>
      <c r="BJ14">
        <v>0</v>
      </c>
      <c r="BK14">
        <v>0</v>
      </c>
      <c r="BL14">
        <f t="shared" si="35"/>
        <v>0</v>
      </c>
      <c r="BM14">
        <v>0</v>
      </c>
      <c r="BN14">
        <v>0</v>
      </c>
      <c r="BO14">
        <f t="shared" si="36"/>
        <v>0</v>
      </c>
      <c r="BP14">
        <f t="shared" si="37"/>
        <v>0</v>
      </c>
      <c r="BQ14">
        <v>0</v>
      </c>
      <c r="BR14">
        <f t="shared" si="38"/>
        <v>0</v>
      </c>
      <c r="BS14">
        <f t="shared" si="39"/>
        <v>0</v>
      </c>
      <c r="BT14">
        <v>0</v>
      </c>
      <c r="BU14">
        <v>0</v>
      </c>
      <c r="BV14">
        <f t="shared" si="40"/>
        <v>0</v>
      </c>
      <c r="BW14">
        <v>0</v>
      </c>
      <c r="BX14">
        <v>0</v>
      </c>
      <c r="BY14">
        <f t="shared" si="41"/>
        <v>0</v>
      </c>
      <c r="BZ14">
        <f t="shared" si="42"/>
        <v>0</v>
      </c>
      <c r="CA14">
        <v>0</v>
      </c>
      <c r="CB14">
        <f t="shared" si="43"/>
        <v>0</v>
      </c>
      <c r="CC14">
        <f t="shared" si="44"/>
        <v>0</v>
      </c>
      <c r="CD14">
        <v>0</v>
      </c>
      <c r="CE14">
        <v>0</v>
      </c>
      <c r="CF14">
        <f t="shared" si="45"/>
        <v>0</v>
      </c>
      <c r="CG14">
        <v>0</v>
      </c>
      <c r="CH14">
        <v>0</v>
      </c>
      <c r="CI14">
        <f t="shared" si="46"/>
        <v>0</v>
      </c>
      <c r="CJ14">
        <f t="shared" si="47"/>
        <v>0</v>
      </c>
      <c r="CK14">
        <v>28900</v>
      </c>
      <c r="CL14">
        <f t="shared" si="48"/>
        <v>4046.0000000000005</v>
      </c>
      <c r="CM14">
        <f t="shared" si="49"/>
        <v>3468</v>
      </c>
      <c r="CN14">
        <v>0</v>
      </c>
      <c r="CO14">
        <v>500</v>
      </c>
      <c r="CP14">
        <f t="shared" si="50"/>
        <v>36914</v>
      </c>
      <c r="CQ14">
        <v>0</v>
      </c>
      <c r="CR14">
        <v>0</v>
      </c>
      <c r="CS14">
        <f t="shared" si="51"/>
        <v>150</v>
      </c>
      <c r="CT14">
        <f t="shared" si="52"/>
        <v>36764</v>
      </c>
      <c r="CU14">
        <v>28900</v>
      </c>
      <c r="CV14">
        <f t="shared" si="53"/>
        <v>4046</v>
      </c>
      <c r="CW14">
        <f t="shared" si="54"/>
        <v>3468</v>
      </c>
      <c r="CX14">
        <v>0</v>
      </c>
      <c r="CY14">
        <v>500</v>
      </c>
      <c r="CZ14">
        <f t="shared" si="55"/>
        <v>36914</v>
      </c>
      <c r="DA14">
        <v>0</v>
      </c>
      <c r="DB14">
        <v>0</v>
      </c>
      <c r="DC14">
        <f t="shared" si="56"/>
        <v>150</v>
      </c>
      <c r="DD14">
        <f t="shared" si="57"/>
        <v>36764</v>
      </c>
      <c r="DE14">
        <v>28900</v>
      </c>
      <c r="DF14">
        <f t="shared" si="58"/>
        <v>4046.0000000000005</v>
      </c>
      <c r="DG14">
        <f t="shared" si="59"/>
        <v>3468</v>
      </c>
      <c r="DH14">
        <v>0</v>
      </c>
      <c r="DI14">
        <v>500</v>
      </c>
      <c r="DJ14">
        <f t="shared" si="60"/>
        <v>36914</v>
      </c>
      <c r="DK14">
        <v>0</v>
      </c>
      <c r="DL14">
        <v>0</v>
      </c>
      <c r="DM14">
        <f t="shared" si="61"/>
        <v>150</v>
      </c>
      <c r="DN14">
        <f t="shared" si="62"/>
        <v>36764</v>
      </c>
      <c r="DO14">
        <v>28900</v>
      </c>
      <c r="DP14">
        <f t="shared" si="63"/>
        <v>4046.0000000000005</v>
      </c>
      <c r="DQ14">
        <f t="shared" si="64"/>
        <v>3468</v>
      </c>
      <c r="DR14">
        <v>0</v>
      </c>
      <c r="DS14">
        <v>0</v>
      </c>
      <c r="DT14">
        <f t="shared" si="65"/>
        <v>36414</v>
      </c>
      <c r="DU14">
        <v>0</v>
      </c>
      <c r="DV14">
        <v>0</v>
      </c>
      <c r="DW14">
        <f t="shared" si="66"/>
        <v>150</v>
      </c>
      <c r="DX14">
        <f t="shared" si="67"/>
        <v>36264</v>
      </c>
      <c r="DY14">
        <f t="shared" si="68"/>
        <v>147156</v>
      </c>
      <c r="DZ14">
        <f t="shared" si="0"/>
        <v>600</v>
      </c>
      <c r="EA14">
        <f t="shared" si="1"/>
        <v>50000</v>
      </c>
      <c r="EB14">
        <v>0</v>
      </c>
      <c r="EC14">
        <f t="shared" si="2"/>
        <v>96556</v>
      </c>
      <c r="ED14">
        <f t="shared" si="3"/>
        <v>0</v>
      </c>
      <c r="EE14">
        <f t="shared" si="4"/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f t="shared" si="5"/>
        <v>0</v>
      </c>
      <c r="EQ14">
        <f t="shared" si="69"/>
        <v>0</v>
      </c>
      <c r="ER14">
        <f t="shared" si="6"/>
        <v>96556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f t="shared" si="70"/>
        <v>0</v>
      </c>
      <c r="FA14">
        <f t="shared" si="71"/>
        <v>96556</v>
      </c>
      <c r="FB14">
        <f t="shared" si="72"/>
        <v>-7672</v>
      </c>
      <c r="FC14">
        <f t="shared" si="73"/>
        <v>0</v>
      </c>
      <c r="FD14">
        <f t="shared" si="74"/>
        <v>-7672</v>
      </c>
      <c r="FE14">
        <f t="shared" si="75"/>
        <v>0</v>
      </c>
      <c r="FF14">
        <f t="shared" si="76"/>
        <v>0</v>
      </c>
      <c r="FG14">
        <f t="shared" si="77"/>
        <v>0</v>
      </c>
      <c r="FH14">
        <v>0</v>
      </c>
      <c r="FI14">
        <f t="shared" si="78"/>
        <v>0</v>
      </c>
      <c r="FJ14" t="b">
        <f t="shared" si="79"/>
        <v>0</v>
      </c>
      <c r="FK14">
        <f t="shared" ca="1" si="80"/>
        <v>1320</v>
      </c>
      <c r="FL14">
        <f t="shared" ca="1" si="81"/>
        <v>148476</v>
      </c>
      <c r="FM14">
        <f t="shared" si="82"/>
        <v>75000</v>
      </c>
      <c r="FN14">
        <f t="shared" ca="1" si="83"/>
        <v>73476</v>
      </c>
      <c r="FO14">
        <f t="shared" ca="1" si="84"/>
        <v>0</v>
      </c>
      <c r="FP14">
        <f t="shared" ca="1" si="85"/>
        <v>0</v>
      </c>
      <c r="FQ14">
        <f t="shared" ca="1" si="86"/>
        <v>0</v>
      </c>
      <c r="FR14">
        <f t="shared" ca="1" si="87"/>
        <v>0</v>
      </c>
      <c r="FS14">
        <f t="shared" ca="1" si="88"/>
        <v>0</v>
      </c>
      <c r="FT14">
        <f t="shared" ca="1" si="89"/>
        <v>0</v>
      </c>
      <c r="FU14">
        <f t="shared" ca="1" si="90"/>
        <v>0</v>
      </c>
      <c r="FV14">
        <f t="shared" ca="1" si="91"/>
        <v>0</v>
      </c>
      <c r="FW14">
        <f t="shared" ca="1" si="92"/>
        <v>0</v>
      </c>
      <c r="FX14">
        <f t="shared" ca="1" si="93"/>
        <v>0</v>
      </c>
      <c r="FY14">
        <f t="shared" ca="1" si="94"/>
        <v>0</v>
      </c>
      <c r="FZ14">
        <f t="shared" ca="1" si="95"/>
        <v>0</v>
      </c>
      <c r="GA14">
        <f t="shared" ca="1" si="96"/>
        <v>0</v>
      </c>
      <c r="GB14">
        <f t="shared" ca="1" si="97"/>
        <v>0</v>
      </c>
      <c r="GC14">
        <f t="shared" ca="1" si="98"/>
        <v>0</v>
      </c>
      <c r="GD14" t="b">
        <f t="shared" ca="1" si="99"/>
        <v>0</v>
      </c>
      <c r="GE14">
        <f t="shared" ca="1" si="100"/>
        <v>0</v>
      </c>
      <c r="GF14">
        <f t="shared" ca="1" si="101"/>
        <v>0</v>
      </c>
      <c r="GG14">
        <f t="shared" ca="1" si="102"/>
        <v>0</v>
      </c>
      <c r="GH14">
        <f t="shared" ca="1" si="103"/>
        <v>0</v>
      </c>
      <c r="GI14">
        <f t="shared" ca="1" si="104"/>
        <v>0</v>
      </c>
    </row>
    <row r="15" spans="1:191" x14ac:dyDescent="0.25">
      <c r="A15">
        <f>_xlfn.AGGREGATE(3,5,$B$2:B15)</f>
        <v>14</v>
      </c>
      <c r="B15" t="s">
        <v>150</v>
      </c>
      <c r="C15" t="s">
        <v>151</v>
      </c>
      <c r="D15" t="s">
        <v>764</v>
      </c>
      <c r="E15" t="s">
        <v>843</v>
      </c>
      <c r="F15">
        <v>0</v>
      </c>
      <c r="G15">
        <v>6000</v>
      </c>
      <c r="H15">
        <v>30700</v>
      </c>
      <c r="I15">
        <f t="shared" si="7"/>
        <v>3070</v>
      </c>
      <c r="J15">
        <f t="shared" si="8"/>
        <v>3684</v>
      </c>
      <c r="K15">
        <v>0</v>
      </c>
      <c r="L15">
        <v>500</v>
      </c>
      <c r="M15">
        <f t="shared" si="9"/>
        <v>37954</v>
      </c>
      <c r="N15">
        <v>2000</v>
      </c>
      <c r="O15">
        <v>0</v>
      </c>
      <c r="P15">
        <f t="shared" si="10"/>
        <v>150</v>
      </c>
      <c r="Q15">
        <f t="shared" si="11"/>
        <v>35804</v>
      </c>
      <c r="R15">
        <v>30700</v>
      </c>
      <c r="S15">
        <f t="shared" si="12"/>
        <v>3070</v>
      </c>
      <c r="T15">
        <f t="shared" si="13"/>
        <v>3684</v>
      </c>
      <c r="U15">
        <v>0</v>
      </c>
      <c r="V15">
        <v>500</v>
      </c>
      <c r="W15">
        <f t="shared" si="14"/>
        <v>37954</v>
      </c>
      <c r="X15">
        <v>2000</v>
      </c>
      <c r="Y15">
        <v>0</v>
      </c>
      <c r="Z15">
        <f t="shared" si="15"/>
        <v>150</v>
      </c>
      <c r="AA15">
        <f t="shared" si="16"/>
        <v>35804</v>
      </c>
      <c r="AB15">
        <v>30700</v>
      </c>
      <c r="AC15">
        <f t="shared" si="17"/>
        <v>4298</v>
      </c>
      <c r="AD15">
        <f t="shared" si="18"/>
        <v>3684</v>
      </c>
      <c r="AE15">
        <v>0</v>
      </c>
      <c r="AF15">
        <v>500</v>
      </c>
      <c r="AG15">
        <f t="shared" si="19"/>
        <v>39182</v>
      </c>
      <c r="AH15">
        <v>2000</v>
      </c>
      <c r="AI15">
        <v>0</v>
      </c>
      <c r="AJ15">
        <f t="shared" si="20"/>
        <v>150</v>
      </c>
      <c r="AK15">
        <f t="shared" si="21"/>
        <v>37032</v>
      </c>
      <c r="AL15">
        <v>30700</v>
      </c>
      <c r="AM15">
        <f t="shared" si="22"/>
        <v>4298</v>
      </c>
      <c r="AN15">
        <f t="shared" si="23"/>
        <v>3684</v>
      </c>
      <c r="AO15">
        <v>0</v>
      </c>
      <c r="AP15">
        <v>500</v>
      </c>
      <c r="AQ15">
        <f t="shared" si="24"/>
        <v>39182</v>
      </c>
      <c r="AR15">
        <v>2000</v>
      </c>
      <c r="AS15">
        <v>0</v>
      </c>
      <c r="AT15">
        <f t="shared" si="25"/>
        <v>150</v>
      </c>
      <c r="AU15">
        <f t="shared" si="26"/>
        <v>37032</v>
      </c>
      <c r="AV15">
        <v>31600</v>
      </c>
      <c r="AW15">
        <f t="shared" si="27"/>
        <v>4424</v>
      </c>
      <c r="AX15">
        <f t="shared" si="28"/>
        <v>1228</v>
      </c>
      <c r="AY15">
        <f t="shared" si="29"/>
        <v>3792</v>
      </c>
      <c r="AZ15">
        <v>0</v>
      </c>
      <c r="BA15">
        <v>500</v>
      </c>
      <c r="BB15">
        <f t="shared" si="30"/>
        <v>41544</v>
      </c>
      <c r="BC15">
        <v>2000</v>
      </c>
      <c r="BD15">
        <v>0</v>
      </c>
      <c r="BE15">
        <f t="shared" si="31"/>
        <v>200</v>
      </c>
      <c r="BF15">
        <f t="shared" si="32"/>
        <v>39344</v>
      </c>
      <c r="BG15">
        <v>31600</v>
      </c>
      <c r="BH15">
        <f t="shared" si="33"/>
        <v>4424</v>
      </c>
      <c r="BI15">
        <f t="shared" si="34"/>
        <v>3792</v>
      </c>
      <c r="BJ15">
        <v>0</v>
      </c>
      <c r="BK15">
        <v>500</v>
      </c>
      <c r="BL15">
        <f t="shared" si="35"/>
        <v>40316</v>
      </c>
      <c r="BM15">
        <v>2000</v>
      </c>
      <c r="BN15">
        <v>0</v>
      </c>
      <c r="BO15">
        <f t="shared" si="36"/>
        <v>200</v>
      </c>
      <c r="BP15">
        <f t="shared" si="37"/>
        <v>38116</v>
      </c>
      <c r="BQ15">
        <v>31600</v>
      </c>
      <c r="BR15">
        <f t="shared" si="38"/>
        <v>4424</v>
      </c>
      <c r="BS15">
        <f t="shared" si="39"/>
        <v>3792</v>
      </c>
      <c r="BT15">
        <v>0</v>
      </c>
      <c r="BU15">
        <v>500</v>
      </c>
      <c r="BV15">
        <f t="shared" si="40"/>
        <v>40316</v>
      </c>
      <c r="BW15">
        <v>2000</v>
      </c>
      <c r="BX15">
        <v>0</v>
      </c>
      <c r="BY15">
        <f t="shared" si="41"/>
        <v>200</v>
      </c>
      <c r="BZ15">
        <f t="shared" si="42"/>
        <v>38116</v>
      </c>
      <c r="CA15">
        <v>31600</v>
      </c>
      <c r="CB15">
        <f t="shared" si="43"/>
        <v>4424</v>
      </c>
      <c r="CC15">
        <f t="shared" si="44"/>
        <v>3792</v>
      </c>
      <c r="CD15">
        <v>0</v>
      </c>
      <c r="CE15">
        <v>500</v>
      </c>
      <c r="CF15">
        <f t="shared" si="45"/>
        <v>40316</v>
      </c>
      <c r="CG15">
        <v>2000</v>
      </c>
      <c r="CH15">
        <v>0</v>
      </c>
      <c r="CI15">
        <f t="shared" si="46"/>
        <v>200</v>
      </c>
      <c r="CJ15">
        <f t="shared" si="47"/>
        <v>38116</v>
      </c>
      <c r="CK15">
        <v>31600</v>
      </c>
      <c r="CL15">
        <f t="shared" si="48"/>
        <v>4424</v>
      </c>
      <c r="CM15">
        <f t="shared" si="49"/>
        <v>3792</v>
      </c>
      <c r="CN15">
        <v>0</v>
      </c>
      <c r="CO15">
        <v>500</v>
      </c>
      <c r="CP15">
        <f t="shared" si="50"/>
        <v>40316</v>
      </c>
      <c r="CQ15">
        <v>2000</v>
      </c>
      <c r="CR15">
        <v>0</v>
      </c>
      <c r="CS15">
        <f t="shared" si="51"/>
        <v>200</v>
      </c>
      <c r="CT15">
        <f t="shared" si="52"/>
        <v>38116</v>
      </c>
      <c r="CU15">
        <v>31600</v>
      </c>
      <c r="CV15">
        <f t="shared" si="53"/>
        <v>4424</v>
      </c>
      <c r="CW15">
        <f t="shared" si="54"/>
        <v>3792</v>
      </c>
      <c r="CX15">
        <v>0</v>
      </c>
      <c r="CY15">
        <v>500</v>
      </c>
      <c r="CZ15">
        <f t="shared" si="55"/>
        <v>40316</v>
      </c>
      <c r="DA15">
        <v>2000</v>
      </c>
      <c r="DB15">
        <v>0</v>
      </c>
      <c r="DC15">
        <f t="shared" si="56"/>
        <v>200</v>
      </c>
      <c r="DD15">
        <f t="shared" si="57"/>
        <v>38116</v>
      </c>
      <c r="DE15">
        <v>31600</v>
      </c>
      <c r="DF15">
        <f t="shared" si="58"/>
        <v>4424</v>
      </c>
      <c r="DG15">
        <f t="shared" si="59"/>
        <v>3792</v>
      </c>
      <c r="DH15">
        <v>0</v>
      </c>
      <c r="DI15">
        <v>500</v>
      </c>
      <c r="DJ15">
        <f t="shared" si="60"/>
        <v>40316</v>
      </c>
      <c r="DK15">
        <v>2000</v>
      </c>
      <c r="DL15">
        <v>0</v>
      </c>
      <c r="DM15">
        <f t="shared" si="61"/>
        <v>200</v>
      </c>
      <c r="DN15">
        <f t="shared" si="62"/>
        <v>38116</v>
      </c>
      <c r="DO15">
        <v>31600</v>
      </c>
      <c r="DP15">
        <f t="shared" si="63"/>
        <v>4424</v>
      </c>
      <c r="DQ15">
        <f t="shared" si="64"/>
        <v>3792</v>
      </c>
      <c r="DR15">
        <v>0</v>
      </c>
      <c r="DS15">
        <v>500</v>
      </c>
      <c r="DT15">
        <f t="shared" si="65"/>
        <v>40316</v>
      </c>
      <c r="DU15">
        <v>2000</v>
      </c>
      <c r="DV15">
        <v>0</v>
      </c>
      <c r="DW15">
        <f t="shared" si="66"/>
        <v>200</v>
      </c>
      <c r="DX15">
        <f t="shared" si="67"/>
        <v>38116</v>
      </c>
      <c r="DY15">
        <f t="shared" si="68"/>
        <v>484028</v>
      </c>
      <c r="DZ15">
        <f t="shared" si="0"/>
        <v>2200</v>
      </c>
      <c r="EA15">
        <f t="shared" si="1"/>
        <v>50000</v>
      </c>
      <c r="EB15">
        <v>0</v>
      </c>
      <c r="EC15">
        <f t="shared" si="2"/>
        <v>431828</v>
      </c>
      <c r="ED15">
        <f t="shared" si="3"/>
        <v>24000</v>
      </c>
      <c r="EE15">
        <f t="shared" si="4"/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f t="shared" si="5"/>
        <v>24000</v>
      </c>
      <c r="EQ15">
        <f t="shared" si="69"/>
        <v>24000</v>
      </c>
      <c r="ER15">
        <f t="shared" si="6"/>
        <v>407828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f t="shared" si="70"/>
        <v>0</v>
      </c>
      <c r="FA15">
        <f t="shared" si="71"/>
        <v>407828</v>
      </c>
      <c r="FB15">
        <f t="shared" si="72"/>
        <v>7891</v>
      </c>
      <c r="FC15">
        <f t="shared" si="73"/>
        <v>0</v>
      </c>
      <c r="FD15">
        <f t="shared" si="74"/>
        <v>7891</v>
      </c>
      <c r="FE15">
        <f t="shared" si="75"/>
        <v>0</v>
      </c>
      <c r="FF15">
        <f t="shared" si="76"/>
        <v>0</v>
      </c>
      <c r="FG15">
        <f t="shared" si="77"/>
        <v>0</v>
      </c>
      <c r="FH15">
        <v>0</v>
      </c>
      <c r="FI15">
        <f t="shared" si="78"/>
        <v>0</v>
      </c>
      <c r="FJ15" t="b">
        <f t="shared" si="79"/>
        <v>0</v>
      </c>
      <c r="FK15">
        <f t="shared" ca="1" si="80"/>
        <v>1435</v>
      </c>
      <c r="FL15">
        <f t="shared" ca="1" si="81"/>
        <v>485463</v>
      </c>
      <c r="FM15">
        <f t="shared" si="82"/>
        <v>75000</v>
      </c>
      <c r="FN15">
        <f t="shared" ca="1" si="83"/>
        <v>410463</v>
      </c>
      <c r="FO15">
        <f t="shared" ca="1" si="84"/>
        <v>0</v>
      </c>
      <c r="FP15">
        <f t="shared" ca="1" si="85"/>
        <v>0</v>
      </c>
      <c r="FQ15">
        <f t="shared" ca="1" si="86"/>
        <v>0</v>
      </c>
      <c r="FR15">
        <f t="shared" ca="1" si="87"/>
        <v>0</v>
      </c>
      <c r="FS15">
        <f t="shared" ca="1" si="88"/>
        <v>0</v>
      </c>
      <c r="FT15">
        <f t="shared" ca="1" si="89"/>
        <v>0</v>
      </c>
      <c r="FU15">
        <f t="shared" ca="1" si="90"/>
        <v>0</v>
      </c>
      <c r="FV15">
        <f t="shared" ca="1" si="91"/>
        <v>0</v>
      </c>
      <c r="FW15">
        <f t="shared" ca="1" si="92"/>
        <v>110463</v>
      </c>
      <c r="FX15">
        <f t="shared" ca="1" si="93"/>
        <v>5523.1500000000005</v>
      </c>
      <c r="FY15">
        <f t="shared" ca="1" si="94"/>
        <v>5523</v>
      </c>
      <c r="FZ15">
        <f t="shared" ca="1" si="95"/>
        <v>0</v>
      </c>
      <c r="GA15">
        <f t="shared" ca="1" si="96"/>
        <v>0</v>
      </c>
      <c r="GB15">
        <f t="shared" ca="1" si="97"/>
        <v>5523</v>
      </c>
      <c r="GC15">
        <f t="shared" ca="1" si="98"/>
        <v>0</v>
      </c>
      <c r="GD15" t="b">
        <f t="shared" ca="1" si="99"/>
        <v>0</v>
      </c>
      <c r="GE15">
        <f t="shared" ca="1" si="100"/>
        <v>0</v>
      </c>
      <c r="GF15">
        <f t="shared" ca="1" si="101"/>
        <v>5523</v>
      </c>
      <c r="GG15">
        <f t="shared" ca="1" si="102"/>
        <v>0</v>
      </c>
      <c r="GH15">
        <f t="shared" ca="1" si="103"/>
        <v>0</v>
      </c>
      <c r="GI15">
        <f t="shared" ca="1" si="104"/>
        <v>0</v>
      </c>
    </row>
    <row r="16" spans="1:191" x14ac:dyDescent="0.25">
      <c r="A16">
        <f>_xlfn.AGGREGATE(3,5,$B$2:B16)</f>
        <v>15</v>
      </c>
      <c r="B16" t="s">
        <v>152</v>
      </c>
      <c r="C16" t="s">
        <v>153</v>
      </c>
      <c r="D16" t="s">
        <v>764</v>
      </c>
      <c r="E16" t="s">
        <v>843</v>
      </c>
      <c r="F16">
        <v>0</v>
      </c>
      <c r="G16">
        <v>6000</v>
      </c>
      <c r="H16">
        <v>30700</v>
      </c>
      <c r="I16">
        <f t="shared" si="7"/>
        <v>3070</v>
      </c>
      <c r="J16">
        <f t="shared" si="8"/>
        <v>3684</v>
      </c>
      <c r="K16">
        <v>0</v>
      </c>
      <c r="L16">
        <v>500</v>
      </c>
      <c r="M16">
        <f t="shared" si="9"/>
        <v>37954</v>
      </c>
      <c r="N16">
        <v>2000</v>
      </c>
      <c r="O16">
        <v>0</v>
      </c>
      <c r="P16">
        <f t="shared" si="10"/>
        <v>150</v>
      </c>
      <c r="Q16">
        <f t="shared" si="11"/>
        <v>35804</v>
      </c>
      <c r="R16">
        <v>30700</v>
      </c>
      <c r="S16">
        <f t="shared" si="12"/>
        <v>3070</v>
      </c>
      <c r="T16">
        <f t="shared" si="13"/>
        <v>3684</v>
      </c>
      <c r="U16">
        <v>0</v>
      </c>
      <c r="V16">
        <v>500</v>
      </c>
      <c r="W16">
        <f t="shared" si="14"/>
        <v>37954</v>
      </c>
      <c r="X16">
        <v>2000</v>
      </c>
      <c r="Y16">
        <v>0</v>
      </c>
      <c r="Z16">
        <f t="shared" si="15"/>
        <v>150</v>
      </c>
      <c r="AA16">
        <f t="shared" si="16"/>
        <v>35804</v>
      </c>
      <c r="AB16">
        <v>30700</v>
      </c>
      <c r="AC16">
        <f t="shared" si="17"/>
        <v>4298</v>
      </c>
      <c r="AD16">
        <f t="shared" si="18"/>
        <v>3684</v>
      </c>
      <c r="AE16">
        <v>0</v>
      </c>
      <c r="AF16">
        <v>500</v>
      </c>
      <c r="AG16">
        <f t="shared" si="19"/>
        <v>39182</v>
      </c>
      <c r="AH16">
        <v>2000</v>
      </c>
      <c r="AI16">
        <v>0</v>
      </c>
      <c r="AJ16">
        <f t="shared" si="20"/>
        <v>150</v>
      </c>
      <c r="AK16">
        <f t="shared" si="21"/>
        <v>37032</v>
      </c>
      <c r="AL16">
        <v>30700</v>
      </c>
      <c r="AM16">
        <f t="shared" si="22"/>
        <v>4298</v>
      </c>
      <c r="AN16">
        <f t="shared" si="23"/>
        <v>3684</v>
      </c>
      <c r="AO16">
        <v>0</v>
      </c>
      <c r="AP16">
        <v>500</v>
      </c>
      <c r="AQ16">
        <f t="shared" si="24"/>
        <v>39182</v>
      </c>
      <c r="AR16">
        <v>2000</v>
      </c>
      <c r="AS16">
        <v>0</v>
      </c>
      <c r="AT16">
        <f t="shared" si="25"/>
        <v>150</v>
      </c>
      <c r="AU16">
        <f t="shared" si="26"/>
        <v>37032</v>
      </c>
      <c r="AV16">
        <v>31600</v>
      </c>
      <c r="AW16">
        <f t="shared" si="27"/>
        <v>4424</v>
      </c>
      <c r="AX16">
        <f t="shared" si="28"/>
        <v>1228</v>
      </c>
      <c r="AY16">
        <f t="shared" si="29"/>
        <v>3792</v>
      </c>
      <c r="AZ16">
        <v>0</v>
      </c>
      <c r="BA16">
        <v>500</v>
      </c>
      <c r="BB16">
        <f t="shared" si="30"/>
        <v>41544</v>
      </c>
      <c r="BC16">
        <v>2000</v>
      </c>
      <c r="BD16">
        <v>0</v>
      </c>
      <c r="BE16">
        <f t="shared" si="31"/>
        <v>200</v>
      </c>
      <c r="BF16">
        <f t="shared" si="32"/>
        <v>39344</v>
      </c>
      <c r="BG16">
        <v>31600</v>
      </c>
      <c r="BH16">
        <f t="shared" si="33"/>
        <v>4424</v>
      </c>
      <c r="BI16">
        <f t="shared" si="34"/>
        <v>3792</v>
      </c>
      <c r="BJ16">
        <v>0</v>
      </c>
      <c r="BK16">
        <v>500</v>
      </c>
      <c r="BL16">
        <f t="shared" si="35"/>
        <v>40316</v>
      </c>
      <c r="BM16">
        <v>2000</v>
      </c>
      <c r="BN16">
        <v>0</v>
      </c>
      <c r="BO16">
        <f t="shared" si="36"/>
        <v>200</v>
      </c>
      <c r="BP16">
        <f t="shared" si="37"/>
        <v>38116</v>
      </c>
      <c r="BQ16">
        <v>31600</v>
      </c>
      <c r="BR16">
        <f t="shared" si="38"/>
        <v>4424</v>
      </c>
      <c r="BS16">
        <f t="shared" si="39"/>
        <v>3792</v>
      </c>
      <c r="BT16">
        <v>0</v>
      </c>
      <c r="BU16">
        <v>500</v>
      </c>
      <c r="BV16">
        <f t="shared" si="40"/>
        <v>40316</v>
      </c>
      <c r="BW16">
        <v>2000</v>
      </c>
      <c r="BX16">
        <v>0</v>
      </c>
      <c r="BY16">
        <f t="shared" si="41"/>
        <v>200</v>
      </c>
      <c r="BZ16">
        <f t="shared" si="42"/>
        <v>38116</v>
      </c>
      <c r="CA16">
        <v>31600</v>
      </c>
      <c r="CB16">
        <f t="shared" si="43"/>
        <v>4424</v>
      </c>
      <c r="CC16">
        <f t="shared" si="44"/>
        <v>3792</v>
      </c>
      <c r="CD16">
        <v>0</v>
      </c>
      <c r="CE16">
        <v>500</v>
      </c>
      <c r="CF16">
        <f t="shared" si="45"/>
        <v>40316</v>
      </c>
      <c r="CG16">
        <v>2000</v>
      </c>
      <c r="CH16">
        <v>0</v>
      </c>
      <c r="CI16">
        <f t="shared" si="46"/>
        <v>200</v>
      </c>
      <c r="CJ16">
        <f t="shared" si="47"/>
        <v>38116</v>
      </c>
      <c r="CK16">
        <v>31600</v>
      </c>
      <c r="CL16">
        <f t="shared" si="48"/>
        <v>4424</v>
      </c>
      <c r="CM16">
        <f t="shared" si="49"/>
        <v>3792</v>
      </c>
      <c r="CN16">
        <v>0</v>
      </c>
      <c r="CO16">
        <v>500</v>
      </c>
      <c r="CP16">
        <f t="shared" si="50"/>
        <v>40316</v>
      </c>
      <c r="CQ16">
        <v>2000</v>
      </c>
      <c r="CR16">
        <v>0</v>
      </c>
      <c r="CS16">
        <f t="shared" si="51"/>
        <v>200</v>
      </c>
      <c r="CT16">
        <f t="shared" si="52"/>
        <v>38116</v>
      </c>
      <c r="CU16">
        <v>31600</v>
      </c>
      <c r="CV16">
        <f t="shared" si="53"/>
        <v>4424</v>
      </c>
      <c r="CW16">
        <f t="shared" si="54"/>
        <v>3792</v>
      </c>
      <c r="CX16">
        <v>0</v>
      </c>
      <c r="CY16">
        <v>500</v>
      </c>
      <c r="CZ16">
        <f t="shared" si="55"/>
        <v>40316</v>
      </c>
      <c r="DA16">
        <v>2000</v>
      </c>
      <c r="DB16">
        <v>0</v>
      </c>
      <c r="DC16">
        <f t="shared" si="56"/>
        <v>200</v>
      </c>
      <c r="DD16">
        <f t="shared" si="57"/>
        <v>38116</v>
      </c>
      <c r="DE16">
        <v>31600</v>
      </c>
      <c r="DF16">
        <f t="shared" si="58"/>
        <v>4424</v>
      </c>
      <c r="DG16">
        <f t="shared" si="59"/>
        <v>3792</v>
      </c>
      <c r="DH16">
        <v>0</v>
      </c>
      <c r="DI16">
        <v>500</v>
      </c>
      <c r="DJ16">
        <f t="shared" si="60"/>
        <v>40316</v>
      </c>
      <c r="DK16">
        <v>2000</v>
      </c>
      <c r="DL16">
        <v>0</v>
      </c>
      <c r="DM16">
        <f t="shared" si="61"/>
        <v>200</v>
      </c>
      <c r="DN16">
        <f t="shared" si="62"/>
        <v>38116</v>
      </c>
      <c r="DO16">
        <v>31600</v>
      </c>
      <c r="DP16">
        <f t="shared" si="63"/>
        <v>4424</v>
      </c>
      <c r="DQ16">
        <f t="shared" si="64"/>
        <v>3792</v>
      </c>
      <c r="DR16">
        <v>0</v>
      </c>
      <c r="DS16">
        <v>500</v>
      </c>
      <c r="DT16">
        <f t="shared" si="65"/>
        <v>40316</v>
      </c>
      <c r="DU16">
        <v>2000</v>
      </c>
      <c r="DV16">
        <v>0</v>
      </c>
      <c r="DW16">
        <f t="shared" si="66"/>
        <v>200</v>
      </c>
      <c r="DX16">
        <f t="shared" si="67"/>
        <v>38116</v>
      </c>
      <c r="DY16">
        <f t="shared" si="68"/>
        <v>484028</v>
      </c>
      <c r="DZ16">
        <f t="shared" si="0"/>
        <v>2200</v>
      </c>
      <c r="EA16">
        <f t="shared" si="1"/>
        <v>50000</v>
      </c>
      <c r="EB16">
        <v>0</v>
      </c>
      <c r="EC16">
        <f t="shared" si="2"/>
        <v>431828</v>
      </c>
      <c r="ED16">
        <f t="shared" si="3"/>
        <v>24000</v>
      </c>
      <c r="EE16">
        <f t="shared" si="4"/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f t="shared" si="5"/>
        <v>24000</v>
      </c>
      <c r="EQ16">
        <f t="shared" si="69"/>
        <v>24000</v>
      </c>
      <c r="ER16">
        <f t="shared" si="6"/>
        <v>407828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f t="shared" si="70"/>
        <v>0</v>
      </c>
      <c r="FA16">
        <f t="shared" si="71"/>
        <v>407828</v>
      </c>
      <c r="FB16">
        <f t="shared" si="72"/>
        <v>7891</v>
      </c>
      <c r="FC16">
        <f t="shared" si="73"/>
        <v>0</v>
      </c>
      <c r="FD16">
        <f t="shared" si="74"/>
        <v>7891</v>
      </c>
      <c r="FE16">
        <f t="shared" si="75"/>
        <v>0</v>
      </c>
      <c r="FF16">
        <f t="shared" si="76"/>
        <v>0</v>
      </c>
      <c r="FG16">
        <f t="shared" si="77"/>
        <v>0</v>
      </c>
      <c r="FH16">
        <v>0</v>
      </c>
      <c r="FI16">
        <f t="shared" si="78"/>
        <v>0</v>
      </c>
      <c r="FJ16" t="b">
        <f t="shared" si="79"/>
        <v>0</v>
      </c>
      <c r="FK16">
        <f t="shared" ca="1" si="80"/>
        <v>2903</v>
      </c>
      <c r="FL16">
        <f t="shared" ca="1" si="81"/>
        <v>486931</v>
      </c>
      <c r="FM16">
        <f t="shared" si="82"/>
        <v>75000</v>
      </c>
      <c r="FN16">
        <f t="shared" ca="1" si="83"/>
        <v>411931</v>
      </c>
      <c r="FO16">
        <f t="shared" ca="1" si="84"/>
        <v>0</v>
      </c>
      <c r="FP16">
        <f t="shared" ca="1" si="85"/>
        <v>0</v>
      </c>
      <c r="FQ16">
        <f t="shared" ca="1" si="86"/>
        <v>0</v>
      </c>
      <c r="FR16">
        <f t="shared" ca="1" si="87"/>
        <v>0</v>
      </c>
      <c r="FS16">
        <f t="shared" ca="1" si="88"/>
        <v>0</v>
      </c>
      <c r="FT16">
        <f t="shared" ca="1" si="89"/>
        <v>0</v>
      </c>
      <c r="FU16">
        <f t="shared" ca="1" si="90"/>
        <v>0</v>
      </c>
      <c r="FV16">
        <f t="shared" ca="1" si="91"/>
        <v>0</v>
      </c>
      <c r="FW16">
        <f t="shared" ca="1" si="92"/>
        <v>111931</v>
      </c>
      <c r="FX16">
        <f t="shared" ca="1" si="93"/>
        <v>5596.55</v>
      </c>
      <c r="FY16">
        <f t="shared" ca="1" si="94"/>
        <v>5597</v>
      </c>
      <c r="FZ16">
        <f t="shared" ca="1" si="95"/>
        <v>0</v>
      </c>
      <c r="GA16">
        <f t="shared" ca="1" si="96"/>
        <v>0</v>
      </c>
      <c r="GB16">
        <f t="shared" ca="1" si="97"/>
        <v>5597</v>
      </c>
      <c r="GC16">
        <f t="shared" ca="1" si="98"/>
        <v>0</v>
      </c>
      <c r="GD16" t="b">
        <f t="shared" ca="1" si="99"/>
        <v>0</v>
      </c>
      <c r="GE16">
        <f t="shared" ca="1" si="100"/>
        <v>0</v>
      </c>
      <c r="GF16">
        <f t="shared" ca="1" si="101"/>
        <v>5597</v>
      </c>
      <c r="GG16">
        <f t="shared" ca="1" si="102"/>
        <v>0</v>
      </c>
      <c r="GH16">
        <f t="shared" ca="1" si="103"/>
        <v>0</v>
      </c>
      <c r="GI16">
        <f t="shared" ca="1" si="104"/>
        <v>0</v>
      </c>
    </row>
    <row r="17" spans="1:191" x14ac:dyDescent="0.25">
      <c r="A17">
        <f>_xlfn.AGGREGATE(3,5,$B$2:B17)</f>
        <v>16</v>
      </c>
      <c r="B17" t="s">
        <v>154</v>
      </c>
      <c r="C17" t="s">
        <v>155</v>
      </c>
      <c r="D17" t="s">
        <v>764</v>
      </c>
      <c r="E17" t="s">
        <v>843</v>
      </c>
      <c r="F17">
        <v>0</v>
      </c>
      <c r="G17">
        <v>0</v>
      </c>
      <c r="H17">
        <v>0</v>
      </c>
      <c r="I17">
        <f t="shared" si="7"/>
        <v>0</v>
      </c>
      <c r="J17">
        <f t="shared" si="8"/>
        <v>0</v>
      </c>
      <c r="K17">
        <v>0</v>
      </c>
      <c r="L17">
        <v>0</v>
      </c>
      <c r="M17">
        <f t="shared" si="9"/>
        <v>0</v>
      </c>
      <c r="N17">
        <v>0</v>
      </c>
      <c r="O17">
        <v>0</v>
      </c>
      <c r="P17">
        <f t="shared" si="10"/>
        <v>0</v>
      </c>
      <c r="Q17">
        <f t="shared" si="11"/>
        <v>0</v>
      </c>
      <c r="R17">
        <v>28900</v>
      </c>
      <c r="S17">
        <f t="shared" si="12"/>
        <v>2890</v>
      </c>
      <c r="T17">
        <f t="shared" si="13"/>
        <v>3468</v>
      </c>
      <c r="U17">
        <v>0</v>
      </c>
      <c r="V17">
        <v>500</v>
      </c>
      <c r="W17">
        <f t="shared" si="14"/>
        <v>35758</v>
      </c>
      <c r="X17">
        <v>0</v>
      </c>
      <c r="Y17">
        <v>0</v>
      </c>
      <c r="Z17">
        <f t="shared" si="15"/>
        <v>150</v>
      </c>
      <c r="AA17">
        <f t="shared" si="16"/>
        <v>35608</v>
      </c>
      <c r="AB17">
        <v>28900</v>
      </c>
      <c r="AC17">
        <f t="shared" si="17"/>
        <v>4046.0000000000005</v>
      </c>
      <c r="AD17">
        <f t="shared" si="18"/>
        <v>3468</v>
      </c>
      <c r="AE17">
        <v>0</v>
      </c>
      <c r="AF17">
        <v>500</v>
      </c>
      <c r="AG17">
        <f t="shared" si="19"/>
        <v>36914</v>
      </c>
      <c r="AH17">
        <v>0</v>
      </c>
      <c r="AI17">
        <v>0</v>
      </c>
      <c r="AJ17">
        <f t="shared" si="20"/>
        <v>150</v>
      </c>
      <c r="AK17">
        <f t="shared" si="21"/>
        <v>36764</v>
      </c>
      <c r="AL17">
        <v>28900</v>
      </c>
      <c r="AM17">
        <f t="shared" si="22"/>
        <v>4046.0000000000005</v>
      </c>
      <c r="AN17">
        <f t="shared" si="23"/>
        <v>3468</v>
      </c>
      <c r="AO17">
        <v>0</v>
      </c>
      <c r="AP17">
        <v>500</v>
      </c>
      <c r="AQ17">
        <f t="shared" si="24"/>
        <v>36914</v>
      </c>
      <c r="AR17">
        <v>0</v>
      </c>
      <c r="AS17">
        <v>0</v>
      </c>
      <c r="AT17">
        <f t="shared" si="25"/>
        <v>150</v>
      </c>
      <c r="AU17">
        <f t="shared" si="26"/>
        <v>36764</v>
      </c>
      <c r="AV17">
        <v>28900</v>
      </c>
      <c r="AW17">
        <f t="shared" si="27"/>
        <v>4046.0000000000005</v>
      </c>
      <c r="AX17">
        <f t="shared" si="28"/>
        <v>1156</v>
      </c>
      <c r="AY17">
        <f t="shared" si="29"/>
        <v>3468</v>
      </c>
      <c r="AZ17">
        <v>0</v>
      </c>
      <c r="BA17">
        <v>500</v>
      </c>
      <c r="BB17">
        <f t="shared" si="30"/>
        <v>38070</v>
      </c>
      <c r="BC17">
        <v>0</v>
      </c>
      <c r="BD17">
        <v>0</v>
      </c>
      <c r="BE17">
        <f t="shared" si="31"/>
        <v>150</v>
      </c>
      <c r="BF17">
        <f t="shared" si="32"/>
        <v>37920</v>
      </c>
      <c r="BG17">
        <v>28900</v>
      </c>
      <c r="BH17">
        <f t="shared" si="33"/>
        <v>4046.0000000000005</v>
      </c>
      <c r="BI17">
        <f t="shared" si="34"/>
        <v>3468</v>
      </c>
      <c r="BJ17">
        <v>0</v>
      </c>
      <c r="BK17">
        <v>500</v>
      </c>
      <c r="BL17">
        <f t="shared" si="35"/>
        <v>36914</v>
      </c>
      <c r="BM17">
        <v>0</v>
      </c>
      <c r="BN17">
        <v>0</v>
      </c>
      <c r="BO17">
        <f t="shared" si="36"/>
        <v>150</v>
      </c>
      <c r="BP17">
        <f t="shared" si="37"/>
        <v>36764</v>
      </c>
      <c r="BQ17">
        <v>28900</v>
      </c>
      <c r="BR17">
        <f t="shared" si="38"/>
        <v>4046.0000000000005</v>
      </c>
      <c r="BS17">
        <f t="shared" si="39"/>
        <v>3468</v>
      </c>
      <c r="BT17">
        <v>0</v>
      </c>
      <c r="BU17">
        <v>500</v>
      </c>
      <c r="BV17">
        <f t="shared" si="40"/>
        <v>36914</v>
      </c>
      <c r="BW17">
        <v>0</v>
      </c>
      <c r="BX17">
        <v>0</v>
      </c>
      <c r="BY17">
        <f t="shared" si="41"/>
        <v>150</v>
      </c>
      <c r="BZ17">
        <f t="shared" si="42"/>
        <v>36764</v>
      </c>
      <c r="CA17">
        <v>28900</v>
      </c>
      <c r="CB17">
        <f t="shared" si="43"/>
        <v>4046.0000000000005</v>
      </c>
      <c r="CC17">
        <f t="shared" si="44"/>
        <v>3468</v>
      </c>
      <c r="CD17">
        <v>0</v>
      </c>
      <c r="CE17">
        <v>500</v>
      </c>
      <c r="CF17">
        <f t="shared" si="45"/>
        <v>36914</v>
      </c>
      <c r="CG17">
        <v>0</v>
      </c>
      <c r="CH17">
        <v>0</v>
      </c>
      <c r="CI17">
        <f t="shared" si="46"/>
        <v>150</v>
      </c>
      <c r="CJ17">
        <f t="shared" si="47"/>
        <v>36764</v>
      </c>
      <c r="CK17">
        <v>28900</v>
      </c>
      <c r="CL17">
        <f t="shared" si="48"/>
        <v>4046.0000000000005</v>
      </c>
      <c r="CM17">
        <f t="shared" si="49"/>
        <v>3468</v>
      </c>
      <c r="CN17">
        <v>0</v>
      </c>
      <c r="CO17">
        <v>500</v>
      </c>
      <c r="CP17">
        <f t="shared" si="50"/>
        <v>36914</v>
      </c>
      <c r="CQ17">
        <v>0</v>
      </c>
      <c r="CR17">
        <v>0</v>
      </c>
      <c r="CS17">
        <f t="shared" si="51"/>
        <v>150</v>
      </c>
      <c r="CT17">
        <f t="shared" si="52"/>
        <v>36764</v>
      </c>
      <c r="CU17">
        <v>28900</v>
      </c>
      <c r="CV17">
        <f t="shared" si="53"/>
        <v>4046</v>
      </c>
      <c r="CW17">
        <f t="shared" si="54"/>
        <v>3468</v>
      </c>
      <c r="CX17">
        <v>0</v>
      </c>
      <c r="CY17">
        <v>500</v>
      </c>
      <c r="CZ17">
        <f t="shared" si="55"/>
        <v>36914</v>
      </c>
      <c r="DA17">
        <v>0</v>
      </c>
      <c r="DB17">
        <v>0</v>
      </c>
      <c r="DC17">
        <f t="shared" si="56"/>
        <v>150</v>
      </c>
      <c r="DD17">
        <f t="shared" si="57"/>
        <v>36764</v>
      </c>
      <c r="DE17">
        <v>28900</v>
      </c>
      <c r="DF17">
        <f t="shared" si="58"/>
        <v>4046.0000000000005</v>
      </c>
      <c r="DG17">
        <f t="shared" si="59"/>
        <v>3468</v>
      </c>
      <c r="DH17">
        <v>0</v>
      </c>
      <c r="DI17">
        <v>500</v>
      </c>
      <c r="DJ17">
        <f t="shared" si="60"/>
        <v>36914</v>
      </c>
      <c r="DK17">
        <v>0</v>
      </c>
      <c r="DL17">
        <v>0</v>
      </c>
      <c r="DM17">
        <f t="shared" si="61"/>
        <v>150</v>
      </c>
      <c r="DN17">
        <f t="shared" si="62"/>
        <v>36764</v>
      </c>
      <c r="DO17">
        <v>28900</v>
      </c>
      <c r="DP17">
        <f t="shared" si="63"/>
        <v>4046.0000000000005</v>
      </c>
      <c r="DQ17">
        <f t="shared" si="64"/>
        <v>3468</v>
      </c>
      <c r="DR17">
        <v>0</v>
      </c>
      <c r="DS17">
        <v>500</v>
      </c>
      <c r="DT17">
        <f t="shared" si="65"/>
        <v>36914</v>
      </c>
      <c r="DU17">
        <v>2000</v>
      </c>
      <c r="DV17">
        <v>0</v>
      </c>
      <c r="DW17">
        <f t="shared" si="66"/>
        <v>150</v>
      </c>
      <c r="DX17">
        <f t="shared" si="67"/>
        <v>34764</v>
      </c>
      <c r="DY17">
        <f t="shared" si="68"/>
        <v>406054</v>
      </c>
      <c r="DZ17">
        <f t="shared" si="0"/>
        <v>1650</v>
      </c>
      <c r="EA17">
        <f t="shared" si="1"/>
        <v>50000</v>
      </c>
      <c r="EB17">
        <v>0</v>
      </c>
      <c r="EC17">
        <f t="shared" si="2"/>
        <v>354404</v>
      </c>
      <c r="ED17">
        <f t="shared" si="3"/>
        <v>2000</v>
      </c>
      <c r="EE17">
        <f t="shared" si="4"/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f t="shared" si="5"/>
        <v>2000</v>
      </c>
      <c r="EQ17">
        <f t="shared" si="69"/>
        <v>2000</v>
      </c>
      <c r="ER17">
        <f t="shared" si="6"/>
        <v>352404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f t="shared" si="70"/>
        <v>0</v>
      </c>
      <c r="FA17">
        <f t="shared" si="71"/>
        <v>352404</v>
      </c>
      <c r="FB17">
        <f t="shared" si="72"/>
        <v>5120</v>
      </c>
      <c r="FC17">
        <f t="shared" si="73"/>
        <v>0</v>
      </c>
      <c r="FD17">
        <f t="shared" si="74"/>
        <v>5120</v>
      </c>
      <c r="FE17">
        <f t="shared" si="75"/>
        <v>0</v>
      </c>
      <c r="FF17">
        <f t="shared" si="76"/>
        <v>0</v>
      </c>
      <c r="FG17">
        <f t="shared" si="77"/>
        <v>0</v>
      </c>
      <c r="FH17">
        <v>0</v>
      </c>
      <c r="FI17">
        <f t="shared" si="78"/>
        <v>0</v>
      </c>
      <c r="FJ17" t="b">
        <f t="shared" si="79"/>
        <v>0</v>
      </c>
      <c r="FK17">
        <f t="shared" ca="1" si="80"/>
        <v>2677</v>
      </c>
      <c r="FL17">
        <f t="shared" ca="1" si="81"/>
        <v>408731</v>
      </c>
      <c r="FM17">
        <f t="shared" si="82"/>
        <v>75000</v>
      </c>
      <c r="FN17">
        <f t="shared" ca="1" si="83"/>
        <v>333731</v>
      </c>
      <c r="FO17">
        <f t="shared" ca="1" si="84"/>
        <v>0</v>
      </c>
      <c r="FP17">
        <f t="shared" ca="1" si="85"/>
        <v>0</v>
      </c>
      <c r="FQ17">
        <f t="shared" ca="1" si="86"/>
        <v>0</v>
      </c>
      <c r="FR17">
        <f t="shared" ca="1" si="87"/>
        <v>0</v>
      </c>
      <c r="FS17">
        <f t="shared" ca="1" si="88"/>
        <v>0</v>
      </c>
      <c r="FT17">
        <f t="shared" ca="1" si="89"/>
        <v>0</v>
      </c>
      <c r="FU17">
        <f t="shared" ca="1" si="90"/>
        <v>0</v>
      </c>
      <c r="FV17">
        <f t="shared" ca="1" si="91"/>
        <v>0</v>
      </c>
      <c r="FW17">
        <f t="shared" ca="1" si="92"/>
        <v>33731</v>
      </c>
      <c r="FX17">
        <f t="shared" ca="1" si="93"/>
        <v>1686.5500000000002</v>
      </c>
      <c r="FY17">
        <f t="shared" ca="1" si="94"/>
        <v>1687</v>
      </c>
      <c r="FZ17">
        <f t="shared" ca="1" si="95"/>
        <v>0</v>
      </c>
      <c r="GA17">
        <f t="shared" ca="1" si="96"/>
        <v>0</v>
      </c>
      <c r="GB17">
        <f t="shared" ca="1" si="97"/>
        <v>1687</v>
      </c>
      <c r="GC17">
        <f t="shared" ca="1" si="98"/>
        <v>0</v>
      </c>
      <c r="GD17" t="b">
        <f t="shared" ca="1" si="99"/>
        <v>0</v>
      </c>
      <c r="GE17">
        <f t="shared" ca="1" si="100"/>
        <v>0</v>
      </c>
      <c r="GF17">
        <f t="shared" ca="1" si="101"/>
        <v>1687</v>
      </c>
      <c r="GG17">
        <f t="shared" ca="1" si="102"/>
        <v>0</v>
      </c>
      <c r="GH17">
        <f t="shared" ca="1" si="103"/>
        <v>0</v>
      </c>
      <c r="GI17">
        <f t="shared" ca="1" si="104"/>
        <v>0</v>
      </c>
    </row>
    <row r="18" spans="1:191" x14ac:dyDescent="0.25">
      <c r="A18">
        <f>_xlfn.AGGREGATE(3,5,$B$2:B18)</f>
        <v>17</v>
      </c>
      <c r="B18" t="s">
        <v>156</v>
      </c>
      <c r="C18" t="s">
        <v>157</v>
      </c>
      <c r="D18" t="s">
        <v>765</v>
      </c>
      <c r="E18" t="s">
        <v>843</v>
      </c>
      <c r="F18">
        <v>0</v>
      </c>
      <c r="G18">
        <v>0</v>
      </c>
      <c r="H18">
        <v>50200</v>
      </c>
      <c r="I18">
        <f t="shared" si="7"/>
        <v>5020</v>
      </c>
      <c r="J18">
        <f t="shared" si="8"/>
        <v>6024</v>
      </c>
      <c r="K18">
        <v>400</v>
      </c>
      <c r="L18">
        <v>500</v>
      </c>
      <c r="M18">
        <f t="shared" si="9"/>
        <v>62144</v>
      </c>
      <c r="N18">
        <v>5000</v>
      </c>
      <c r="O18">
        <v>60</v>
      </c>
      <c r="P18">
        <f t="shared" si="10"/>
        <v>200</v>
      </c>
      <c r="Q18">
        <f t="shared" si="11"/>
        <v>56884</v>
      </c>
      <c r="R18">
        <v>50200</v>
      </c>
      <c r="S18">
        <f t="shared" si="12"/>
        <v>5020</v>
      </c>
      <c r="T18">
        <f t="shared" si="13"/>
        <v>6024</v>
      </c>
      <c r="U18">
        <v>400</v>
      </c>
      <c r="V18">
        <v>500</v>
      </c>
      <c r="W18">
        <f t="shared" si="14"/>
        <v>62144</v>
      </c>
      <c r="X18">
        <v>5000</v>
      </c>
      <c r="Y18">
        <v>60</v>
      </c>
      <c r="Z18">
        <f t="shared" si="15"/>
        <v>200</v>
      </c>
      <c r="AA18">
        <f t="shared" si="16"/>
        <v>56884</v>
      </c>
      <c r="AB18">
        <v>50200</v>
      </c>
      <c r="AC18">
        <f t="shared" si="17"/>
        <v>7028.0000000000009</v>
      </c>
      <c r="AD18">
        <f t="shared" si="18"/>
        <v>6024</v>
      </c>
      <c r="AE18">
        <v>400</v>
      </c>
      <c r="AF18">
        <v>500</v>
      </c>
      <c r="AG18">
        <f t="shared" si="19"/>
        <v>64152</v>
      </c>
      <c r="AH18">
        <v>5000</v>
      </c>
      <c r="AI18">
        <v>60</v>
      </c>
      <c r="AJ18">
        <f t="shared" si="20"/>
        <v>200</v>
      </c>
      <c r="AK18">
        <f t="shared" si="21"/>
        <v>58892</v>
      </c>
      <c r="AL18">
        <v>50200</v>
      </c>
      <c r="AM18">
        <f t="shared" si="22"/>
        <v>7028.0000000000009</v>
      </c>
      <c r="AN18">
        <f t="shared" si="23"/>
        <v>6024</v>
      </c>
      <c r="AO18">
        <v>400</v>
      </c>
      <c r="AP18">
        <v>500</v>
      </c>
      <c r="AQ18">
        <f t="shared" si="24"/>
        <v>64152</v>
      </c>
      <c r="AR18">
        <v>5000</v>
      </c>
      <c r="AS18">
        <v>60</v>
      </c>
      <c r="AT18">
        <f t="shared" si="25"/>
        <v>200</v>
      </c>
      <c r="AU18">
        <f t="shared" si="26"/>
        <v>58892</v>
      </c>
      <c r="AV18">
        <v>51700</v>
      </c>
      <c r="AW18">
        <f t="shared" si="27"/>
        <v>7238.0000000000009</v>
      </c>
      <c r="AX18">
        <f t="shared" si="28"/>
        <v>2008</v>
      </c>
      <c r="AY18">
        <f t="shared" si="29"/>
        <v>6204</v>
      </c>
      <c r="AZ18">
        <v>400</v>
      </c>
      <c r="BA18">
        <v>500</v>
      </c>
      <c r="BB18">
        <f t="shared" si="30"/>
        <v>68050</v>
      </c>
      <c r="BC18">
        <v>5000</v>
      </c>
      <c r="BD18">
        <v>60</v>
      </c>
      <c r="BE18">
        <f t="shared" si="31"/>
        <v>200</v>
      </c>
      <c r="BF18">
        <f t="shared" si="32"/>
        <v>62790</v>
      </c>
      <c r="BG18">
        <v>51700</v>
      </c>
      <c r="BH18">
        <f t="shared" si="33"/>
        <v>7238.0000000000009</v>
      </c>
      <c r="BI18">
        <f t="shared" si="34"/>
        <v>6204</v>
      </c>
      <c r="BJ18">
        <v>400</v>
      </c>
      <c r="BK18">
        <v>500</v>
      </c>
      <c r="BL18">
        <f t="shared" si="35"/>
        <v>66042</v>
      </c>
      <c r="BM18">
        <v>5000</v>
      </c>
      <c r="BN18">
        <v>60</v>
      </c>
      <c r="BO18">
        <f t="shared" si="36"/>
        <v>200</v>
      </c>
      <c r="BP18">
        <f t="shared" si="37"/>
        <v>60782</v>
      </c>
      <c r="BQ18">
        <v>51700</v>
      </c>
      <c r="BR18">
        <f t="shared" si="38"/>
        <v>7238.0000000000009</v>
      </c>
      <c r="BS18">
        <f t="shared" si="39"/>
        <v>6204</v>
      </c>
      <c r="BT18">
        <v>400</v>
      </c>
      <c r="BU18">
        <v>500</v>
      </c>
      <c r="BV18">
        <f t="shared" si="40"/>
        <v>66042</v>
      </c>
      <c r="BW18">
        <v>5000</v>
      </c>
      <c r="BX18">
        <v>60</v>
      </c>
      <c r="BY18">
        <f t="shared" si="41"/>
        <v>200</v>
      </c>
      <c r="BZ18">
        <f t="shared" si="42"/>
        <v>60782</v>
      </c>
      <c r="CA18">
        <v>51700</v>
      </c>
      <c r="CB18">
        <f t="shared" si="43"/>
        <v>7238.0000000000009</v>
      </c>
      <c r="CC18">
        <f t="shared" si="44"/>
        <v>6204</v>
      </c>
      <c r="CD18">
        <v>400</v>
      </c>
      <c r="CE18">
        <v>500</v>
      </c>
      <c r="CF18">
        <f t="shared" si="45"/>
        <v>66042</v>
      </c>
      <c r="CG18">
        <v>5000</v>
      </c>
      <c r="CH18">
        <v>60</v>
      </c>
      <c r="CI18">
        <f t="shared" si="46"/>
        <v>200</v>
      </c>
      <c r="CJ18">
        <f t="shared" si="47"/>
        <v>60782</v>
      </c>
      <c r="CK18">
        <v>51700</v>
      </c>
      <c r="CL18">
        <f t="shared" si="48"/>
        <v>7238.0000000000009</v>
      </c>
      <c r="CM18">
        <f t="shared" si="49"/>
        <v>6204</v>
      </c>
      <c r="CN18">
        <v>400</v>
      </c>
      <c r="CO18">
        <v>500</v>
      </c>
      <c r="CP18">
        <f t="shared" si="50"/>
        <v>66042</v>
      </c>
      <c r="CQ18">
        <v>5000</v>
      </c>
      <c r="CR18">
        <v>60</v>
      </c>
      <c r="CS18">
        <f t="shared" si="51"/>
        <v>200</v>
      </c>
      <c r="CT18">
        <f t="shared" si="52"/>
        <v>60782</v>
      </c>
      <c r="CU18">
        <v>51700</v>
      </c>
      <c r="CV18">
        <f t="shared" si="53"/>
        <v>7238</v>
      </c>
      <c r="CW18">
        <f t="shared" si="54"/>
        <v>6204</v>
      </c>
      <c r="CX18">
        <v>400</v>
      </c>
      <c r="CY18">
        <v>500</v>
      </c>
      <c r="CZ18">
        <f t="shared" si="55"/>
        <v>66042</v>
      </c>
      <c r="DA18">
        <v>5000</v>
      </c>
      <c r="DB18">
        <v>60</v>
      </c>
      <c r="DC18">
        <f t="shared" si="56"/>
        <v>200</v>
      </c>
      <c r="DD18">
        <f t="shared" si="57"/>
        <v>60782</v>
      </c>
      <c r="DE18">
        <v>51700</v>
      </c>
      <c r="DF18">
        <f t="shared" si="58"/>
        <v>7238.0000000000009</v>
      </c>
      <c r="DG18">
        <f t="shared" si="59"/>
        <v>6204</v>
      </c>
      <c r="DH18">
        <v>400</v>
      </c>
      <c r="DI18">
        <v>500</v>
      </c>
      <c r="DJ18">
        <f t="shared" si="60"/>
        <v>66042</v>
      </c>
      <c r="DK18">
        <v>5000</v>
      </c>
      <c r="DL18">
        <v>60</v>
      </c>
      <c r="DM18">
        <f t="shared" si="61"/>
        <v>200</v>
      </c>
      <c r="DN18">
        <f t="shared" si="62"/>
        <v>60782</v>
      </c>
      <c r="DO18">
        <v>51700</v>
      </c>
      <c r="DP18">
        <f t="shared" si="63"/>
        <v>7238.0000000000009</v>
      </c>
      <c r="DQ18">
        <f t="shared" si="64"/>
        <v>6204</v>
      </c>
      <c r="DR18">
        <v>400</v>
      </c>
      <c r="DS18">
        <v>500</v>
      </c>
      <c r="DT18">
        <f t="shared" si="65"/>
        <v>66042</v>
      </c>
      <c r="DU18">
        <v>5000</v>
      </c>
      <c r="DV18">
        <v>60</v>
      </c>
      <c r="DW18">
        <f t="shared" si="66"/>
        <v>200</v>
      </c>
      <c r="DX18">
        <f t="shared" si="67"/>
        <v>60782</v>
      </c>
      <c r="DY18">
        <f t="shared" si="68"/>
        <v>782936</v>
      </c>
      <c r="DZ18">
        <f t="shared" si="0"/>
        <v>2400</v>
      </c>
      <c r="EA18">
        <f t="shared" si="1"/>
        <v>50000</v>
      </c>
      <c r="EB18">
        <v>0</v>
      </c>
      <c r="EC18">
        <f t="shared" si="2"/>
        <v>730536</v>
      </c>
      <c r="ED18">
        <f t="shared" si="3"/>
        <v>60000</v>
      </c>
      <c r="EE18">
        <f t="shared" si="4"/>
        <v>720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f t="shared" si="5"/>
        <v>60720</v>
      </c>
      <c r="EQ18">
        <f t="shared" si="69"/>
        <v>60720</v>
      </c>
      <c r="ER18">
        <f t="shared" si="6"/>
        <v>669816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f t="shared" si="70"/>
        <v>0</v>
      </c>
      <c r="FA18">
        <f t="shared" si="71"/>
        <v>669816</v>
      </c>
      <c r="FB18">
        <f t="shared" si="72"/>
        <v>12500</v>
      </c>
      <c r="FC18">
        <f t="shared" si="73"/>
        <v>33963</v>
      </c>
      <c r="FD18">
        <f t="shared" si="74"/>
        <v>46463</v>
      </c>
      <c r="FE18">
        <f t="shared" si="75"/>
        <v>46463</v>
      </c>
      <c r="FF18">
        <f t="shared" si="76"/>
        <v>1858.52</v>
      </c>
      <c r="FG18">
        <f t="shared" si="77"/>
        <v>48322</v>
      </c>
      <c r="FH18">
        <v>0</v>
      </c>
      <c r="FI18">
        <f t="shared" si="78"/>
        <v>48322</v>
      </c>
      <c r="FJ18" t="b">
        <f t="shared" si="79"/>
        <v>1</v>
      </c>
      <c r="FK18">
        <f t="shared" ca="1" si="80"/>
        <v>537</v>
      </c>
      <c r="FL18">
        <f t="shared" ca="1" si="81"/>
        <v>783473</v>
      </c>
      <c r="FM18">
        <f t="shared" si="82"/>
        <v>75000</v>
      </c>
      <c r="FN18">
        <f t="shared" ca="1" si="83"/>
        <v>708473</v>
      </c>
      <c r="FO18">
        <f t="shared" ca="1" si="84"/>
        <v>0</v>
      </c>
      <c r="FP18">
        <f t="shared" ca="1" si="85"/>
        <v>0</v>
      </c>
      <c r="FQ18">
        <f t="shared" ca="1" si="86"/>
        <v>0</v>
      </c>
      <c r="FR18">
        <f t="shared" ca="1" si="87"/>
        <v>0</v>
      </c>
      <c r="FS18">
        <f t="shared" ca="1" si="88"/>
        <v>0</v>
      </c>
      <c r="FT18">
        <f t="shared" ca="1" si="89"/>
        <v>0</v>
      </c>
      <c r="FU18">
        <f t="shared" ca="1" si="90"/>
        <v>8473</v>
      </c>
      <c r="FV18">
        <f t="shared" ca="1" si="91"/>
        <v>847.30000000000007</v>
      </c>
      <c r="FW18">
        <f t="shared" ca="1" si="92"/>
        <v>400000</v>
      </c>
      <c r="FX18">
        <f t="shared" ca="1" si="93"/>
        <v>20000</v>
      </c>
      <c r="FY18">
        <f t="shared" ca="1" si="94"/>
        <v>20847</v>
      </c>
      <c r="FZ18">
        <f t="shared" ca="1" si="95"/>
        <v>708473</v>
      </c>
      <c r="GA18">
        <f t="shared" ca="1" si="96"/>
        <v>8473</v>
      </c>
      <c r="GB18">
        <f t="shared" ca="1" si="97"/>
        <v>0</v>
      </c>
      <c r="GC18">
        <f t="shared" ca="1" si="98"/>
        <v>12374</v>
      </c>
      <c r="GD18" t="b">
        <f t="shared" ca="1" si="99"/>
        <v>1</v>
      </c>
      <c r="GE18">
        <f t="shared" ca="1" si="100"/>
        <v>12374</v>
      </c>
      <c r="GF18">
        <f t="shared" ca="1" si="101"/>
        <v>12374</v>
      </c>
      <c r="GG18">
        <f t="shared" ca="1" si="102"/>
        <v>8473</v>
      </c>
      <c r="GH18">
        <f t="shared" ca="1" si="103"/>
        <v>338.92</v>
      </c>
      <c r="GI18">
        <f t="shared" ca="1" si="104"/>
        <v>8812</v>
      </c>
    </row>
    <row r="19" spans="1:191" x14ac:dyDescent="0.25">
      <c r="A19">
        <f>_xlfn.AGGREGATE(3,5,$B$2:B19)</f>
        <v>18</v>
      </c>
      <c r="B19" t="s">
        <v>158</v>
      </c>
      <c r="C19" t="s">
        <v>159</v>
      </c>
      <c r="D19" t="s">
        <v>765</v>
      </c>
      <c r="E19" t="s">
        <v>843</v>
      </c>
      <c r="F19">
        <v>0</v>
      </c>
      <c r="G19">
        <v>6000</v>
      </c>
      <c r="H19">
        <v>32500</v>
      </c>
      <c r="I19">
        <f t="shared" si="7"/>
        <v>3250</v>
      </c>
      <c r="J19">
        <f t="shared" si="8"/>
        <v>3900</v>
      </c>
      <c r="K19">
        <v>0</v>
      </c>
      <c r="L19">
        <v>500</v>
      </c>
      <c r="M19">
        <f t="shared" si="9"/>
        <v>40150</v>
      </c>
      <c r="N19">
        <v>5000</v>
      </c>
      <c r="O19">
        <v>0</v>
      </c>
      <c r="P19">
        <f t="shared" si="10"/>
        <v>200</v>
      </c>
      <c r="Q19">
        <f t="shared" si="11"/>
        <v>34950</v>
      </c>
      <c r="R19">
        <v>32500</v>
      </c>
      <c r="S19">
        <f t="shared" si="12"/>
        <v>3250</v>
      </c>
      <c r="T19">
        <f t="shared" si="13"/>
        <v>3900</v>
      </c>
      <c r="U19">
        <v>0</v>
      </c>
      <c r="V19">
        <v>500</v>
      </c>
      <c r="W19">
        <f t="shared" si="14"/>
        <v>40150</v>
      </c>
      <c r="X19">
        <v>5000</v>
      </c>
      <c r="Y19">
        <v>0</v>
      </c>
      <c r="Z19">
        <f t="shared" si="15"/>
        <v>200</v>
      </c>
      <c r="AA19">
        <f t="shared" si="16"/>
        <v>34950</v>
      </c>
      <c r="AB19">
        <v>32500</v>
      </c>
      <c r="AC19">
        <f t="shared" si="17"/>
        <v>4550</v>
      </c>
      <c r="AD19">
        <f t="shared" si="18"/>
        <v>3900</v>
      </c>
      <c r="AE19">
        <v>0</v>
      </c>
      <c r="AF19">
        <v>500</v>
      </c>
      <c r="AG19">
        <f t="shared" si="19"/>
        <v>41450</v>
      </c>
      <c r="AH19">
        <v>5000</v>
      </c>
      <c r="AI19">
        <v>0</v>
      </c>
      <c r="AJ19">
        <f t="shared" si="20"/>
        <v>200</v>
      </c>
      <c r="AK19">
        <f t="shared" si="21"/>
        <v>36250</v>
      </c>
      <c r="AL19">
        <v>32500</v>
      </c>
      <c r="AM19">
        <f t="shared" si="22"/>
        <v>4550</v>
      </c>
      <c r="AN19">
        <f t="shared" si="23"/>
        <v>3900</v>
      </c>
      <c r="AO19">
        <v>0</v>
      </c>
      <c r="AP19">
        <v>500</v>
      </c>
      <c r="AQ19">
        <f t="shared" si="24"/>
        <v>41450</v>
      </c>
      <c r="AR19">
        <v>5000</v>
      </c>
      <c r="AS19">
        <v>0</v>
      </c>
      <c r="AT19">
        <f t="shared" si="25"/>
        <v>200</v>
      </c>
      <c r="AU19">
        <f t="shared" si="26"/>
        <v>36250</v>
      </c>
      <c r="AV19">
        <v>33500</v>
      </c>
      <c r="AW19">
        <f t="shared" si="27"/>
        <v>4690</v>
      </c>
      <c r="AX19">
        <f t="shared" si="28"/>
        <v>1300</v>
      </c>
      <c r="AY19">
        <f t="shared" si="29"/>
        <v>4020</v>
      </c>
      <c r="AZ19">
        <v>0</v>
      </c>
      <c r="BA19">
        <v>500</v>
      </c>
      <c r="BB19">
        <f t="shared" si="30"/>
        <v>44010</v>
      </c>
      <c r="BC19">
        <v>5000</v>
      </c>
      <c r="BD19">
        <v>0</v>
      </c>
      <c r="BE19">
        <f t="shared" si="31"/>
        <v>200</v>
      </c>
      <c r="BF19">
        <f t="shared" si="32"/>
        <v>38810</v>
      </c>
      <c r="BG19">
        <v>33500</v>
      </c>
      <c r="BH19">
        <f t="shared" si="33"/>
        <v>4690</v>
      </c>
      <c r="BI19">
        <f t="shared" si="34"/>
        <v>4020</v>
      </c>
      <c r="BJ19">
        <v>0</v>
      </c>
      <c r="BK19">
        <v>500</v>
      </c>
      <c r="BL19">
        <f t="shared" si="35"/>
        <v>42710</v>
      </c>
      <c r="BM19">
        <v>5000</v>
      </c>
      <c r="BN19">
        <v>0</v>
      </c>
      <c r="BO19">
        <f t="shared" si="36"/>
        <v>200</v>
      </c>
      <c r="BP19">
        <f t="shared" si="37"/>
        <v>37510</v>
      </c>
      <c r="BQ19">
        <v>33500</v>
      </c>
      <c r="BR19">
        <f t="shared" si="38"/>
        <v>4690</v>
      </c>
      <c r="BS19">
        <f t="shared" si="39"/>
        <v>4020</v>
      </c>
      <c r="BT19">
        <v>0</v>
      </c>
      <c r="BU19">
        <v>500</v>
      </c>
      <c r="BV19">
        <f t="shared" si="40"/>
        <v>42710</v>
      </c>
      <c r="BW19">
        <v>5000</v>
      </c>
      <c r="BX19">
        <v>0</v>
      </c>
      <c r="BY19">
        <f t="shared" si="41"/>
        <v>200</v>
      </c>
      <c r="BZ19">
        <f t="shared" si="42"/>
        <v>37510</v>
      </c>
      <c r="CA19">
        <v>33500</v>
      </c>
      <c r="CB19">
        <f t="shared" si="43"/>
        <v>4690</v>
      </c>
      <c r="CC19">
        <f t="shared" si="44"/>
        <v>4020</v>
      </c>
      <c r="CD19">
        <v>0</v>
      </c>
      <c r="CE19">
        <v>500</v>
      </c>
      <c r="CF19">
        <f t="shared" si="45"/>
        <v>42710</v>
      </c>
      <c r="CG19">
        <v>5000</v>
      </c>
      <c r="CH19">
        <v>0</v>
      </c>
      <c r="CI19">
        <f t="shared" si="46"/>
        <v>200</v>
      </c>
      <c r="CJ19">
        <f t="shared" si="47"/>
        <v>37510</v>
      </c>
      <c r="CK19">
        <v>33500</v>
      </c>
      <c r="CL19">
        <f t="shared" si="48"/>
        <v>4690</v>
      </c>
      <c r="CM19">
        <f t="shared" si="49"/>
        <v>4020</v>
      </c>
      <c r="CN19">
        <v>0</v>
      </c>
      <c r="CO19">
        <v>500</v>
      </c>
      <c r="CP19">
        <f t="shared" si="50"/>
        <v>42710</v>
      </c>
      <c r="CQ19">
        <v>5000</v>
      </c>
      <c r="CR19">
        <v>0</v>
      </c>
      <c r="CS19">
        <f t="shared" si="51"/>
        <v>200</v>
      </c>
      <c r="CT19">
        <f t="shared" si="52"/>
        <v>37510</v>
      </c>
      <c r="CU19">
        <v>33500</v>
      </c>
      <c r="CV19">
        <f t="shared" si="53"/>
        <v>4690</v>
      </c>
      <c r="CW19">
        <f t="shared" si="54"/>
        <v>4020</v>
      </c>
      <c r="CX19">
        <v>0</v>
      </c>
      <c r="CY19">
        <v>500</v>
      </c>
      <c r="CZ19">
        <f t="shared" si="55"/>
        <v>42710</v>
      </c>
      <c r="DA19">
        <v>5000</v>
      </c>
      <c r="DB19">
        <v>0</v>
      </c>
      <c r="DC19">
        <f t="shared" si="56"/>
        <v>200</v>
      </c>
      <c r="DD19">
        <f t="shared" si="57"/>
        <v>37510</v>
      </c>
      <c r="DE19">
        <v>33500</v>
      </c>
      <c r="DF19">
        <f t="shared" si="58"/>
        <v>4690</v>
      </c>
      <c r="DG19">
        <f t="shared" si="59"/>
        <v>4020</v>
      </c>
      <c r="DH19">
        <v>0</v>
      </c>
      <c r="DI19">
        <v>500</v>
      </c>
      <c r="DJ19">
        <f t="shared" si="60"/>
        <v>42710</v>
      </c>
      <c r="DK19">
        <v>5000</v>
      </c>
      <c r="DL19">
        <v>0</v>
      </c>
      <c r="DM19">
        <f t="shared" si="61"/>
        <v>200</v>
      </c>
      <c r="DN19">
        <f t="shared" si="62"/>
        <v>37510</v>
      </c>
      <c r="DO19">
        <v>33500</v>
      </c>
      <c r="DP19">
        <f t="shared" si="63"/>
        <v>4690</v>
      </c>
      <c r="DQ19">
        <f t="shared" si="64"/>
        <v>4020</v>
      </c>
      <c r="DR19">
        <v>0</v>
      </c>
      <c r="DS19">
        <v>500</v>
      </c>
      <c r="DT19">
        <f t="shared" si="65"/>
        <v>42710</v>
      </c>
      <c r="DU19">
        <v>5000</v>
      </c>
      <c r="DV19">
        <v>0</v>
      </c>
      <c r="DW19">
        <f t="shared" si="66"/>
        <v>200</v>
      </c>
      <c r="DX19">
        <f t="shared" si="67"/>
        <v>37510</v>
      </c>
      <c r="DY19">
        <f t="shared" si="68"/>
        <v>512180</v>
      </c>
      <c r="DZ19">
        <f t="shared" si="0"/>
        <v>2400</v>
      </c>
      <c r="EA19">
        <f t="shared" si="1"/>
        <v>50000</v>
      </c>
      <c r="EB19">
        <v>0</v>
      </c>
      <c r="EC19">
        <f t="shared" si="2"/>
        <v>459780</v>
      </c>
      <c r="ED19">
        <f t="shared" si="3"/>
        <v>60000</v>
      </c>
      <c r="EE19">
        <f t="shared" si="4"/>
        <v>0</v>
      </c>
      <c r="EF19">
        <v>0</v>
      </c>
      <c r="EG19">
        <v>60000</v>
      </c>
      <c r="EH19">
        <v>0</v>
      </c>
      <c r="EI19">
        <v>0</v>
      </c>
      <c r="EJ19">
        <v>24000</v>
      </c>
      <c r="EK19">
        <v>0</v>
      </c>
      <c r="EL19">
        <v>0</v>
      </c>
      <c r="EM19">
        <v>0</v>
      </c>
      <c r="EN19">
        <v>150000</v>
      </c>
      <c r="EO19">
        <v>0</v>
      </c>
      <c r="EP19">
        <f t="shared" si="5"/>
        <v>294000</v>
      </c>
      <c r="EQ19">
        <f t="shared" si="69"/>
        <v>150000</v>
      </c>
      <c r="ER19">
        <f t="shared" si="6"/>
        <v>309780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f t="shared" si="70"/>
        <v>0</v>
      </c>
      <c r="FA19">
        <f t="shared" si="71"/>
        <v>309780</v>
      </c>
      <c r="FB19">
        <f t="shared" si="72"/>
        <v>2989</v>
      </c>
      <c r="FC19">
        <f t="shared" si="73"/>
        <v>0</v>
      </c>
      <c r="FD19">
        <f t="shared" si="74"/>
        <v>2989</v>
      </c>
      <c r="FE19">
        <f t="shared" si="75"/>
        <v>0</v>
      </c>
      <c r="FF19">
        <f t="shared" si="76"/>
        <v>0</v>
      </c>
      <c r="FG19">
        <f t="shared" si="77"/>
        <v>0</v>
      </c>
      <c r="FH19">
        <v>0</v>
      </c>
      <c r="FI19">
        <f t="shared" si="78"/>
        <v>0</v>
      </c>
      <c r="FJ19" t="b">
        <f t="shared" si="79"/>
        <v>1</v>
      </c>
      <c r="FK19">
        <f t="shared" ca="1" si="80"/>
        <v>855</v>
      </c>
      <c r="FL19">
        <f t="shared" ca="1" si="81"/>
        <v>513035</v>
      </c>
      <c r="FM19">
        <f t="shared" si="82"/>
        <v>75000</v>
      </c>
      <c r="FN19">
        <f t="shared" ca="1" si="83"/>
        <v>438035</v>
      </c>
      <c r="FO19">
        <f t="shared" ca="1" si="84"/>
        <v>0</v>
      </c>
      <c r="FP19">
        <f t="shared" ca="1" si="85"/>
        <v>0</v>
      </c>
      <c r="FQ19">
        <f t="shared" ca="1" si="86"/>
        <v>0</v>
      </c>
      <c r="FR19">
        <f t="shared" ca="1" si="87"/>
        <v>0</v>
      </c>
      <c r="FS19">
        <f t="shared" ca="1" si="88"/>
        <v>0</v>
      </c>
      <c r="FT19">
        <f t="shared" ca="1" si="89"/>
        <v>0</v>
      </c>
      <c r="FU19">
        <f t="shared" ca="1" si="90"/>
        <v>0</v>
      </c>
      <c r="FV19">
        <f t="shared" ca="1" si="91"/>
        <v>0</v>
      </c>
      <c r="FW19">
        <f t="shared" ca="1" si="92"/>
        <v>138035</v>
      </c>
      <c r="FX19">
        <f t="shared" ca="1" si="93"/>
        <v>6901.75</v>
      </c>
      <c r="FY19">
        <f t="shared" ca="1" si="94"/>
        <v>6902</v>
      </c>
      <c r="FZ19">
        <f t="shared" ca="1" si="95"/>
        <v>0</v>
      </c>
      <c r="GA19">
        <f t="shared" ca="1" si="96"/>
        <v>0</v>
      </c>
      <c r="GB19">
        <f t="shared" ca="1" si="97"/>
        <v>6902</v>
      </c>
      <c r="GC19">
        <f t="shared" ca="1" si="98"/>
        <v>0</v>
      </c>
      <c r="GD19" t="b">
        <f t="shared" ca="1" si="99"/>
        <v>0</v>
      </c>
      <c r="GE19">
        <f t="shared" ca="1" si="100"/>
        <v>0</v>
      </c>
      <c r="GF19">
        <f t="shared" ca="1" si="101"/>
        <v>6902</v>
      </c>
      <c r="GG19">
        <f t="shared" ca="1" si="102"/>
        <v>0</v>
      </c>
      <c r="GH19">
        <f t="shared" ca="1" si="103"/>
        <v>0</v>
      </c>
      <c r="GI19">
        <f t="shared" ca="1" si="104"/>
        <v>0</v>
      </c>
    </row>
    <row r="20" spans="1:191" x14ac:dyDescent="0.25">
      <c r="A20">
        <f>_xlfn.AGGREGATE(3,5,$B$2:B20)</f>
        <v>19</v>
      </c>
      <c r="B20" t="s">
        <v>160</v>
      </c>
      <c r="C20" t="s">
        <v>161</v>
      </c>
      <c r="D20" t="s">
        <v>765</v>
      </c>
      <c r="E20" t="s">
        <v>843</v>
      </c>
      <c r="F20">
        <v>0</v>
      </c>
      <c r="G20">
        <v>0</v>
      </c>
      <c r="H20">
        <v>0</v>
      </c>
      <c r="I20">
        <f t="shared" si="7"/>
        <v>0</v>
      </c>
      <c r="J20">
        <f t="shared" si="8"/>
        <v>0</v>
      </c>
      <c r="K20">
        <v>0</v>
      </c>
      <c r="L20">
        <v>0</v>
      </c>
      <c r="M20">
        <f t="shared" si="9"/>
        <v>0</v>
      </c>
      <c r="N20">
        <v>0</v>
      </c>
      <c r="O20">
        <v>0</v>
      </c>
      <c r="P20">
        <f t="shared" si="10"/>
        <v>0</v>
      </c>
      <c r="Q20">
        <f t="shared" si="11"/>
        <v>0</v>
      </c>
      <c r="R20">
        <v>28900</v>
      </c>
      <c r="S20">
        <f t="shared" si="12"/>
        <v>2890</v>
      </c>
      <c r="T20">
        <f t="shared" si="13"/>
        <v>3468</v>
      </c>
      <c r="U20">
        <v>0</v>
      </c>
      <c r="V20">
        <v>500</v>
      </c>
      <c r="W20">
        <f t="shared" si="14"/>
        <v>35758</v>
      </c>
      <c r="X20">
        <v>0</v>
      </c>
      <c r="Y20">
        <v>0</v>
      </c>
      <c r="Z20">
        <f t="shared" si="15"/>
        <v>150</v>
      </c>
      <c r="AA20">
        <f t="shared" si="16"/>
        <v>35608</v>
      </c>
      <c r="AB20">
        <v>28900</v>
      </c>
      <c r="AC20">
        <f t="shared" si="17"/>
        <v>4046.0000000000005</v>
      </c>
      <c r="AD20">
        <f t="shared" si="18"/>
        <v>3468</v>
      </c>
      <c r="AE20">
        <v>0</v>
      </c>
      <c r="AF20">
        <v>500</v>
      </c>
      <c r="AG20">
        <f t="shared" si="19"/>
        <v>36914</v>
      </c>
      <c r="AH20">
        <v>0</v>
      </c>
      <c r="AI20">
        <v>0</v>
      </c>
      <c r="AJ20">
        <f t="shared" si="20"/>
        <v>150</v>
      </c>
      <c r="AK20">
        <f t="shared" si="21"/>
        <v>36764</v>
      </c>
      <c r="AL20">
        <v>28900</v>
      </c>
      <c r="AM20">
        <f t="shared" si="22"/>
        <v>4046.0000000000005</v>
      </c>
      <c r="AN20">
        <f t="shared" si="23"/>
        <v>3468</v>
      </c>
      <c r="AO20">
        <v>0</v>
      </c>
      <c r="AP20">
        <v>500</v>
      </c>
      <c r="AQ20">
        <f t="shared" si="24"/>
        <v>36914</v>
      </c>
      <c r="AR20">
        <v>0</v>
      </c>
      <c r="AS20">
        <v>0</v>
      </c>
      <c r="AT20">
        <f t="shared" si="25"/>
        <v>150</v>
      </c>
      <c r="AU20">
        <f t="shared" si="26"/>
        <v>36764</v>
      </c>
      <c r="AV20">
        <v>28900</v>
      </c>
      <c r="AW20">
        <f t="shared" si="27"/>
        <v>4046.0000000000005</v>
      </c>
      <c r="AX20">
        <f t="shared" si="28"/>
        <v>1156</v>
      </c>
      <c r="AY20">
        <f t="shared" si="29"/>
        <v>3468</v>
      </c>
      <c r="AZ20">
        <v>0</v>
      </c>
      <c r="BA20">
        <v>500</v>
      </c>
      <c r="BB20">
        <f t="shared" si="30"/>
        <v>38070</v>
      </c>
      <c r="BC20">
        <v>0</v>
      </c>
      <c r="BD20">
        <v>0</v>
      </c>
      <c r="BE20">
        <f t="shared" si="31"/>
        <v>150</v>
      </c>
      <c r="BF20">
        <f t="shared" si="32"/>
        <v>37920</v>
      </c>
      <c r="BG20">
        <v>28900</v>
      </c>
      <c r="BH20">
        <f t="shared" si="33"/>
        <v>4046.0000000000005</v>
      </c>
      <c r="BI20">
        <f t="shared" si="34"/>
        <v>3468</v>
      </c>
      <c r="BJ20">
        <v>0</v>
      </c>
      <c r="BK20">
        <v>500</v>
      </c>
      <c r="BL20">
        <f t="shared" si="35"/>
        <v>36914</v>
      </c>
      <c r="BM20">
        <v>0</v>
      </c>
      <c r="BN20">
        <v>0</v>
      </c>
      <c r="BO20">
        <f t="shared" si="36"/>
        <v>150</v>
      </c>
      <c r="BP20">
        <f t="shared" si="37"/>
        <v>36764</v>
      </c>
      <c r="BQ20">
        <v>28900</v>
      </c>
      <c r="BR20">
        <f t="shared" si="38"/>
        <v>4046.0000000000005</v>
      </c>
      <c r="BS20">
        <f t="shared" si="39"/>
        <v>3468</v>
      </c>
      <c r="BT20">
        <v>0</v>
      </c>
      <c r="BU20">
        <v>500</v>
      </c>
      <c r="BV20">
        <f t="shared" si="40"/>
        <v>36914</v>
      </c>
      <c r="BW20">
        <v>0</v>
      </c>
      <c r="BX20">
        <v>0</v>
      </c>
      <c r="BY20">
        <f t="shared" si="41"/>
        <v>150</v>
      </c>
      <c r="BZ20">
        <f t="shared" si="42"/>
        <v>36764</v>
      </c>
      <c r="CA20">
        <v>28900</v>
      </c>
      <c r="CB20">
        <f t="shared" si="43"/>
        <v>4046.0000000000005</v>
      </c>
      <c r="CC20">
        <f t="shared" si="44"/>
        <v>3468</v>
      </c>
      <c r="CD20">
        <v>0</v>
      </c>
      <c r="CE20">
        <v>500</v>
      </c>
      <c r="CF20">
        <f t="shared" si="45"/>
        <v>36914</v>
      </c>
      <c r="CG20">
        <v>0</v>
      </c>
      <c r="CH20">
        <v>0</v>
      </c>
      <c r="CI20">
        <f t="shared" si="46"/>
        <v>150</v>
      </c>
      <c r="CJ20">
        <f t="shared" si="47"/>
        <v>36764</v>
      </c>
      <c r="CK20">
        <v>28900</v>
      </c>
      <c r="CL20">
        <f t="shared" si="48"/>
        <v>4046.0000000000005</v>
      </c>
      <c r="CM20">
        <f t="shared" si="49"/>
        <v>3468</v>
      </c>
      <c r="CN20">
        <v>0</v>
      </c>
      <c r="CO20">
        <v>500</v>
      </c>
      <c r="CP20">
        <f t="shared" si="50"/>
        <v>36914</v>
      </c>
      <c r="CQ20">
        <v>0</v>
      </c>
      <c r="CR20">
        <v>0</v>
      </c>
      <c r="CS20">
        <f t="shared" si="51"/>
        <v>150</v>
      </c>
      <c r="CT20">
        <f t="shared" si="52"/>
        <v>36764</v>
      </c>
      <c r="CU20">
        <v>28900</v>
      </c>
      <c r="CV20">
        <f t="shared" si="53"/>
        <v>4046</v>
      </c>
      <c r="CW20">
        <f t="shared" si="54"/>
        <v>3468</v>
      </c>
      <c r="CX20">
        <v>0</v>
      </c>
      <c r="CY20">
        <v>500</v>
      </c>
      <c r="CZ20">
        <f t="shared" si="55"/>
        <v>36914</v>
      </c>
      <c r="DA20">
        <v>0</v>
      </c>
      <c r="DB20">
        <v>0</v>
      </c>
      <c r="DC20">
        <f t="shared" si="56"/>
        <v>150</v>
      </c>
      <c r="DD20">
        <f t="shared" si="57"/>
        <v>36764</v>
      </c>
      <c r="DE20">
        <v>28900</v>
      </c>
      <c r="DF20">
        <f t="shared" si="58"/>
        <v>4046.0000000000005</v>
      </c>
      <c r="DG20">
        <f t="shared" si="59"/>
        <v>3468</v>
      </c>
      <c r="DH20">
        <v>0</v>
      </c>
      <c r="DI20">
        <v>500</v>
      </c>
      <c r="DJ20">
        <f t="shared" si="60"/>
        <v>36914</v>
      </c>
      <c r="DK20">
        <v>0</v>
      </c>
      <c r="DL20">
        <v>0</v>
      </c>
      <c r="DM20">
        <f t="shared" si="61"/>
        <v>150</v>
      </c>
      <c r="DN20">
        <f t="shared" si="62"/>
        <v>36764</v>
      </c>
      <c r="DO20">
        <v>28900</v>
      </c>
      <c r="DP20">
        <f t="shared" si="63"/>
        <v>4046.0000000000005</v>
      </c>
      <c r="DQ20">
        <f t="shared" si="64"/>
        <v>3468</v>
      </c>
      <c r="DR20">
        <v>0</v>
      </c>
      <c r="DS20">
        <v>500</v>
      </c>
      <c r="DT20">
        <f t="shared" si="65"/>
        <v>36914</v>
      </c>
      <c r="DU20">
        <v>2000</v>
      </c>
      <c r="DV20">
        <v>0</v>
      </c>
      <c r="DW20">
        <f t="shared" si="66"/>
        <v>150</v>
      </c>
      <c r="DX20">
        <f t="shared" si="67"/>
        <v>34764</v>
      </c>
      <c r="DY20">
        <f t="shared" si="68"/>
        <v>406054</v>
      </c>
      <c r="DZ20">
        <f t="shared" si="0"/>
        <v>1650</v>
      </c>
      <c r="EA20">
        <f t="shared" si="1"/>
        <v>50000</v>
      </c>
      <c r="EB20">
        <v>0</v>
      </c>
      <c r="EC20">
        <f t="shared" si="2"/>
        <v>354404</v>
      </c>
      <c r="ED20">
        <f t="shared" si="3"/>
        <v>2000</v>
      </c>
      <c r="EE20">
        <f t="shared" si="4"/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f t="shared" si="5"/>
        <v>2000</v>
      </c>
      <c r="EQ20">
        <f t="shared" si="69"/>
        <v>2000</v>
      </c>
      <c r="ER20">
        <f t="shared" si="6"/>
        <v>352404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f t="shared" si="70"/>
        <v>0</v>
      </c>
      <c r="FA20">
        <f t="shared" si="71"/>
        <v>352404</v>
      </c>
      <c r="FB20">
        <f t="shared" si="72"/>
        <v>5120</v>
      </c>
      <c r="FC20">
        <f t="shared" si="73"/>
        <v>0</v>
      </c>
      <c r="FD20">
        <f t="shared" si="74"/>
        <v>5120</v>
      </c>
      <c r="FE20">
        <f t="shared" si="75"/>
        <v>0</v>
      </c>
      <c r="FF20">
        <f t="shared" si="76"/>
        <v>0</v>
      </c>
      <c r="FG20">
        <f t="shared" si="77"/>
        <v>0</v>
      </c>
      <c r="FH20">
        <v>0</v>
      </c>
      <c r="FI20">
        <f t="shared" si="78"/>
        <v>0</v>
      </c>
      <c r="FJ20" t="b">
        <f t="shared" si="79"/>
        <v>0</v>
      </c>
      <c r="FK20">
        <f t="shared" ca="1" si="80"/>
        <v>1407</v>
      </c>
      <c r="FL20">
        <f t="shared" ca="1" si="81"/>
        <v>407461</v>
      </c>
      <c r="FM20">
        <f t="shared" si="82"/>
        <v>75000</v>
      </c>
      <c r="FN20">
        <f t="shared" ca="1" si="83"/>
        <v>332461</v>
      </c>
      <c r="FO20">
        <f t="shared" ca="1" si="84"/>
        <v>0</v>
      </c>
      <c r="FP20">
        <f t="shared" ca="1" si="85"/>
        <v>0</v>
      </c>
      <c r="FQ20">
        <f t="shared" ca="1" si="86"/>
        <v>0</v>
      </c>
      <c r="FR20">
        <f t="shared" ca="1" si="87"/>
        <v>0</v>
      </c>
      <c r="FS20">
        <f t="shared" ca="1" si="88"/>
        <v>0</v>
      </c>
      <c r="FT20">
        <f t="shared" ca="1" si="89"/>
        <v>0</v>
      </c>
      <c r="FU20">
        <f t="shared" ca="1" si="90"/>
        <v>0</v>
      </c>
      <c r="FV20">
        <f t="shared" ca="1" si="91"/>
        <v>0</v>
      </c>
      <c r="FW20">
        <f t="shared" ca="1" si="92"/>
        <v>32461</v>
      </c>
      <c r="FX20">
        <f t="shared" ca="1" si="93"/>
        <v>1623.0500000000002</v>
      </c>
      <c r="FY20">
        <f t="shared" ca="1" si="94"/>
        <v>1623</v>
      </c>
      <c r="FZ20">
        <f t="shared" ca="1" si="95"/>
        <v>0</v>
      </c>
      <c r="GA20">
        <f t="shared" ca="1" si="96"/>
        <v>0</v>
      </c>
      <c r="GB20">
        <f t="shared" ca="1" si="97"/>
        <v>1623</v>
      </c>
      <c r="GC20">
        <f t="shared" ca="1" si="98"/>
        <v>0</v>
      </c>
      <c r="GD20" t="b">
        <f t="shared" ca="1" si="99"/>
        <v>0</v>
      </c>
      <c r="GE20">
        <f t="shared" ca="1" si="100"/>
        <v>0</v>
      </c>
      <c r="GF20">
        <f t="shared" ca="1" si="101"/>
        <v>1623</v>
      </c>
      <c r="GG20">
        <f t="shared" ca="1" si="102"/>
        <v>0</v>
      </c>
      <c r="GH20">
        <f t="shared" ca="1" si="103"/>
        <v>0</v>
      </c>
      <c r="GI20">
        <f t="shared" ca="1" si="104"/>
        <v>0</v>
      </c>
    </row>
    <row r="21" spans="1:191" x14ac:dyDescent="0.25">
      <c r="A21">
        <f>_xlfn.AGGREGATE(3,5,$B$2:B21)</f>
        <v>20</v>
      </c>
      <c r="B21" t="s">
        <v>162</v>
      </c>
      <c r="C21" t="s">
        <v>163</v>
      </c>
      <c r="D21" t="s">
        <v>766</v>
      </c>
      <c r="E21" t="s">
        <v>844</v>
      </c>
      <c r="F21">
        <v>0</v>
      </c>
      <c r="G21">
        <v>0</v>
      </c>
      <c r="H21">
        <v>55400</v>
      </c>
      <c r="I21">
        <f t="shared" si="7"/>
        <v>5540</v>
      </c>
      <c r="J21">
        <f t="shared" si="8"/>
        <v>6648</v>
      </c>
      <c r="K21">
        <v>400</v>
      </c>
      <c r="L21">
        <v>0</v>
      </c>
      <c r="M21">
        <f t="shared" si="9"/>
        <v>67988</v>
      </c>
      <c r="N21">
        <v>6000</v>
      </c>
      <c r="O21">
        <v>0</v>
      </c>
      <c r="P21">
        <f t="shared" si="10"/>
        <v>200</v>
      </c>
      <c r="Q21">
        <f t="shared" si="11"/>
        <v>61788</v>
      </c>
      <c r="R21">
        <v>55400</v>
      </c>
      <c r="S21">
        <f t="shared" si="12"/>
        <v>5540</v>
      </c>
      <c r="T21">
        <f t="shared" si="13"/>
        <v>6648</v>
      </c>
      <c r="U21">
        <v>400</v>
      </c>
      <c r="V21">
        <v>0</v>
      </c>
      <c r="W21">
        <f t="shared" si="14"/>
        <v>67988</v>
      </c>
      <c r="X21">
        <v>6000</v>
      </c>
      <c r="Y21">
        <v>0</v>
      </c>
      <c r="Z21">
        <f t="shared" si="15"/>
        <v>200</v>
      </c>
      <c r="AA21">
        <f t="shared" si="16"/>
        <v>61788</v>
      </c>
      <c r="AB21">
        <v>55400</v>
      </c>
      <c r="AC21">
        <f t="shared" si="17"/>
        <v>7756.0000000000009</v>
      </c>
      <c r="AD21">
        <f t="shared" si="18"/>
        <v>6648</v>
      </c>
      <c r="AE21">
        <v>400</v>
      </c>
      <c r="AF21">
        <v>0</v>
      </c>
      <c r="AG21">
        <f t="shared" si="19"/>
        <v>70204</v>
      </c>
      <c r="AH21">
        <v>6000</v>
      </c>
      <c r="AI21">
        <v>0</v>
      </c>
      <c r="AJ21">
        <f t="shared" si="20"/>
        <v>200</v>
      </c>
      <c r="AK21">
        <f t="shared" si="21"/>
        <v>64004</v>
      </c>
      <c r="AL21">
        <v>55400</v>
      </c>
      <c r="AM21">
        <f t="shared" si="22"/>
        <v>7756.0000000000009</v>
      </c>
      <c r="AN21">
        <f t="shared" si="23"/>
        <v>6648</v>
      </c>
      <c r="AO21">
        <v>400</v>
      </c>
      <c r="AP21">
        <v>0</v>
      </c>
      <c r="AQ21">
        <f t="shared" si="24"/>
        <v>70204</v>
      </c>
      <c r="AR21">
        <v>6000</v>
      </c>
      <c r="AS21">
        <v>0</v>
      </c>
      <c r="AT21">
        <f t="shared" si="25"/>
        <v>200</v>
      </c>
      <c r="AU21">
        <f t="shared" si="26"/>
        <v>64004</v>
      </c>
      <c r="AV21">
        <v>57100</v>
      </c>
      <c r="AW21">
        <f t="shared" si="27"/>
        <v>7994.0000000000009</v>
      </c>
      <c r="AX21">
        <f t="shared" si="28"/>
        <v>2216</v>
      </c>
      <c r="AY21">
        <f t="shared" si="29"/>
        <v>6852</v>
      </c>
      <c r="AZ21">
        <v>400</v>
      </c>
      <c r="BA21">
        <v>0</v>
      </c>
      <c r="BB21">
        <f t="shared" si="30"/>
        <v>74562</v>
      </c>
      <c r="BC21">
        <v>0</v>
      </c>
      <c r="BD21">
        <v>0</v>
      </c>
      <c r="BE21">
        <f t="shared" si="31"/>
        <v>200</v>
      </c>
      <c r="BF21">
        <f t="shared" si="32"/>
        <v>74362</v>
      </c>
      <c r="BG21">
        <v>57100</v>
      </c>
      <c r="BH21">
        <f t="shared" si="33"/>
        <v>7994.0000000000009</v>
      </c>
      <c r="BI21">
        <f t="shared" si="34"/>
        <v>6852</v>
      </c>
      <c r="BJ21">
        <v>400</v>
      </c>
      <c r="BK21">
        <v>0</v>
      </c>
      <c r="BL21">
        <f t="shared" si="35"/>
        <v>72346</v>
      </c>
      <c r="BM21">
        <v>0</v>
      </c>
      <c r="BN21">
        <v>0</v>
      </c>
      <c r="BO21">
        <f t="shared" si="36"/>
        <v>200</v>
      </c>
      <c r="BP21">
        <f t="shared" si="37"/>
        <v>72146</v>
      </c>
      <c r="BQ21">
        <v>57100</v>
      </c>
      <c r="BR21">
        <f t="shared" si="38"/>
        <v>7994.0000000000009</v>
      </c>
      <c r="BS21">
        <f t="shared" si="39"/>
        <v>6852</v>
      </c>
      <c r="BT21">
        <v>400</v>
      </c>
      <c r="BU21">
        <v>0</v>
      </c>
      <c r="BV21">
        <f t="shared" si="40"/>
        <v>72346</v>
      </c>
      <c r="BW21">
        <v>0</v>
      </c>
      <c r="BX21">
        <v>0</v>
      </c>
      <c r="BY21">
        <f t="shared" si="41"/>
        <v>200</v>
      </c>
      <c r="BZ21">
        <f t="shared" si="42"/>
        <v>72146</v>
      </c>
      <c r="CA21">
        <v>57100</v>
      </c>
      <c r="CB21">
        <f t="shared" si="43"/>
        <v>7994.0000000000009</v>
      </c>
      <c r="CC21">
        <f t="shared" si="44"/>
        <v>6852</v>
      </c>
      <c r="CD21">
        <v>400</v>
      </c>
      <c r="CE21">
        <v>0</v>
      </c>
      <c r="CF21">
        <f t="shared" si="45"/>
        <v>72346</v>
      </c>
      <c r="CG21">
        <v>0</v>
      </c>
      <c r="CH21">
        <v>0</v>
      </c>
      <c r="CI21">
        <f t="shared" si="46"/>
        <v>200</v>
      </c>
      <c r="CJ21">
        <f t="shared" si="47"/>
        <v>72146</v>
      </c>
      <c r="CK21">
        <v>57100</v>
      </c>
      <c r="CL21">
        <f t="shared" si="48"/>
        <v>7994.0000000000009</v>
      </c>
      <c r="CM21">
        <f t="shared" si="49"/>
        <v>6852</v>
      </c>
      <c r="CN21">
        <v>400</v>
      </c>
      <c r="CO21">
        <v>0</v>
      </c>
      <c r="CP21">
        <f t="shared" si="50"/>
        <v>72346</v>
      </c>
      <c r="CQ21">
        <v>0</v>
      </c>
      <c r="CR21">
        <v>0</v>
      </c>
      <c r="CS21">
        <f t="shared" si="51"/>
        <v>200</v>
      </c>
      <c r="CT21">
        <f t="shared" si="52"/>
        <v>72146</v>
      </c>
      <c r="CU21">
        <v>57100</v>
      </c>
      <c r="CV21">
        <f t="shared" si="53"/>
        <v>7994</v>
      </c>
      <c r="CW21">
        <f t="shared" si="54"/>
        <v>6852</v>
      </c>
      <c r="CX21">
        <v>400</v>
      </c>
      <c r="CY21">
        <v>0</v>
      </c>
      <c r="CZ21">
        <f t="shared" si="55"/>
        <v>72346</v>
      </c>
      <c r="DA21">
        <v>0</v>
      </c>
      <c r="DB21">
        <v>0</v>
      </c>
      <c r="DC21">
        <f t="shared" si="56"/>
        <v>200</v>
      </c>
      <c r="DD21">
        <f t="shared" si="57"/>
        <v>72146</v>
      </c>
      <c r="DE21">
        <v>57100</v>
      </c>
      <c r="DF21">
        <f t="shared" si="58"/>
        <v>7994.0000000000009</v>
      </c>
      <c r="DG21">
        <f t="shared" si="59"/>
        <v>6852</v>
      </c>
      <c r="DH21">
        <v>400</v>
      </c>
      <c r="DI21">
        <v>0</v>
      </c>
      <c r="DJ21">
        <f t="shared" si="60"/>
        <v>72346</v>
      </c>
      <c r="DK21">
        <v>0</v>
      </c>
      <c r="DL21">
        <v>0</v>
      </c>
      <c r="DM21">
        <f t="shared" si="61"/>
        <v>200</v>
      </c>
      <c r="DN21">
        <f t="shared" si="62"/>
        <v>72146</v>
      </c>
      <c r="DO21">
        <v>0</v>
      </c>
      <c r="DP21">
        <f t="shared" si="63"/>
        <v>0</v>
      </c>
      <c r="DQ21">
        <f t="shared" si="64"/>
        <v>0</v>
      </c>
      <c r="DR21">
        <v>0</v>
      </c>
      <c r="DS21">
        <v>0</v>
      </c>
      <c r="DT21">
        <f t="shared" si="65"/>
        <v>0</v>
      </c>
      <c r="DU21">
        <v>0</v>
      </c>
      <c r="DV21">
        <v>0</v>
      </c>
      <c r="DW21">
        <f t="shared" si="66"/>
        <v>0</v>
      </c>
      <c r="DX21">
        <f t="shared" si="67"/>
        <v>0</v>
      </c>
      <c r="DY21">
        <f t="shared" si="68"/>
        <v>785022</v>
      </c>
      <c r="DZ21">
        <f t="shared" si="0"/>
        <v>2200</v>
      </c>
      <c r="EA21">
        <f t="shared" si="1"/>
        <v>50000</v>
      </c>
      <c r="EB21">
        <v>0</v>
      </c>
      <c r="EC21">
        <f t="shared" si="2"/>
        <v>732822</v>
      </c>
      <c r="ED21">
        <f t="shared" si="3"/>
        <v>24000</v>
      </c>
      <c r="EE21">
        <f t="shared" si="4"/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f t="shared" si="5"/>
        <v>24000</v>
      </c>
      <c r="EQ21">
        <f t="shared" si="69"/>
        <v>24000</v>
      </c>
      <c r="ER21">
        <f t="shared" si="6"/>
        <v>708822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f t="shared" si="70"/>
        <v>0</v>
      </c>
      <c r="FA21">
        <f t="shared" si="71"/>
        <v>708822</v>
      </c>
      <c r="FB21">
        <f t="shared" si="72"/>
        <v>12500</v>
      </c>
      <c r="FC21">
        <f t="shared" si="73"/>
        <v>41764</v>
      </c>
      <c r="FD21">
        <f t="shared" si="74"/>
        <v>54264</v>
      </c>
      <c r="FE21">
        <f t="shared" si="75"/>
        <v>54264</v>
      </c>
      <c r="FF21">
        <f t="shared" si="76"/>
        <v>2170.56</v>
      </c>
      <c r="FG21">
        <f t="shared" si="77"/>
        <v>56435</v>
      </c>
      <c r="FH21">
        <v>0</v>
      </c>
      <c r="FI21">
        <f t="shared" si="78"/>
        <v>56435</v>
      </c>
      <c r="FJ21" t="b">
        <f t="shared" si="79"/>
        <v>1</v>
      </c>
      <c r="FK21">
        <f t="shared" ca="1" si="80"/>
        <v>949</v>
      </c>
      <c r="FL21">
        <f t="shared" ca="1" si="81"/>
        <v>785971</v>
      </c>
      <c r="FM21">
        <f t="shared" si="82"/>
        <v>75000</v>
      </c>
      <c r="FN21">
        <f t="shared" ca="1" si="83"/>
        <v>710971</v>
      </c>
      <c r="FO21">
        <f t="shared" ca="1" si="84"/>
        <v>0</v>
      </c>
      <c r="FP21">
        <f t="shared" ca="1" si="85"/>
        <v>0</v>
      </c>
      <c r="FQ21">
        <f t="shared" ca="1" si="86"/>
        <v>0</v>
      </c>
      <c r="FR21">
        <f t="shared" ca="1" si="87"/>
        <v>0</v>
      </c>
      <c r="FS21">
        <f t="shared" ca="1" si="88"/>
        <v>0</v>
      </c>
      <c r="FT21">
        <f t="shared" ca="1" si="89"/>
        <v>0</v>
      </c>
      <c r="FU21">
        <f t="shared" ca="1" si="90"/>
        <v>10971</v>
      </c>
      <c r="FV21">
        <f t="shared" ca="1" si="91"/>
        <v>1097.1000000000001</v>
      </c>
      <c r="FW21">
        <f t="shared" ca="1" si="92"/>
        <v>400000</v>
      </c>
      <c r="FX21">
        <f t="shared" ca="1" si="93"/>
        <v>20000</v>
      </c>
      <c r="FY21">
        <f t="shared" ca="1" si="94"/>
        <v>21097</v>
      </c>
      <c r="FZ21">
        <f t="shared" ca="1" si="95"/>
        <v>710971</v>
      </c>
      <c r="GA21">
        <f t="shared" ca="1" si="96"/>
        <v>10971</v>
      </c>
      <c r="GB21">
        <f t="shared" ca="1" si="97"/>
        <v>0</v>
      </c>
      <c r="GC21">
        <f t="shared" ca="1" si="98"/>
        <v>10126</v>
      </c>
      <c r="GD21" t="b">
        <f t="shared" ca="1" si="99"/>
        <v>1</v>
      </c>
      <c r="GE21">
        <f t="shared" ca="1" si="100"/>
        <v>10126</v>
      </c>
      <c r="GF21">
        <f t="shared" ca="1" si="101"/>
        <v>10126</v>
      </c>
      <c r="GG21">
        <f t="shared" ca="1" si="102"/>
        <v>10971</v>
      </c>
      <c r="GH21">
        <f t="shared" ca="1" si="103"/>
        <v>438.84000000000003</v>
      </c>
      <c r="GI21">
        <f t="shared" ca="1" si="104"/>
        <v>11410</v>
      </c>
    </row>
    <row r="22" spans="1:191" x14ac:dyDescent="0.25">
      <c r="A22">
        <f>_xlfn.AGGREGATE(3,5,$B$2:B22)</f>
        <v>21</v>
      </c>
      <c r="B22" t="s">
        <v>164</v>
      </c>
      <c r="C22" t="s">
        <v>165</v>
      </c>
      <c r="D22" t="s">
        <v>766</v>
      </c>
      <c r="E22" t="s">
        <v>844</v>
      </c>
      <c r="F22">
        <v>0</v>
      </c>
      <c r="G22">
        <v>0</v>
      </c>
      <c r="H22">
        <v>48700</v>
      </c>
      <c r="I22">
        <f t="shared" si="7"/>
        <v>4870</v>
      </c>
      <c r="J22">
        <f t="shared" si="8"/>
        <v>5844</v>
      </c>
      <c r="K22">
        <v>0</v>
      </c>
      <c r="L22">
        <v>0</v>
      </c>
      <c r="M22">
        <f t="shared" si="9"/>
        <v>59414</v>
      </c>
      <c r="N22">
        <v>5000</v>
      </c>
      <c r="O22">
        <v>60</v>
      </c>
      <c r="P22">
        <f t="shared" si="10"/>
        <v>200</v>
      </c>
      <c r="Q22">
        <f t="shared" si="11"/>
        <v>54154</v>
      </c>
      <c r="R22">
        <v>48700</v>
      </c>
      <c r="S22">
        <f t="shared" si="12"/>
        <v>4870</v>
      </c>
      <c r="T22">
        <f t="shared" si="13"/>
        <v>5844</v>
      </c>
      <c r="U22">
        <v>0</v>
      </c>
      <c r="V22">
        <v>0</v>
      </c>
      <c r="W22">
        <f t="shared" si="14"/>
        <v>59414</v>
      </c>
      <c r="X22">
        <v>5000</v>
      </c>
      <c r="Y22">
        <v>60</v>
      </c>
      <c r="Z22">
        <f t="shared" si="15"/>
        <v>200</v>
      </c>
      <c r="AA22">
        <f t="shared" si="16"/>
        <v>54154</v>
      </c>
      <c r="AB22">
        <v>48700</v>
      </c>
      <c r="AC22">
        <f t="shared" si="17"/>
        <v>6818.0000000000009</v>
      </c>
      <c r="AD22">
        <f t="shared" si="18"/>
        <v>5844</v>
      </c>
      <c r="AE22">
        <v>0</v>
      </c>
      <c r="AF22">
        <v>0</v>
      </c>
      <c r="AG22">
        <f t="shared" si="19"/>
        <v>61362</v>
      </c>
      <c r="AH22">
        <v>5000</v>
      </c>
      <c r="AI22">
        <v>60</v>
      </c>
      <c r="AJ22">
        <f t="shared" si="20"/>
        <v>200</v>
      </c>
      <c r="AK22">
        <f t="shared" si="21"/>
        <v>56102</v>
      </c>
      <c r="AL22">
        <v>48700</v>
      </c>
      <c r="AM22">
        <f t="shared" si="22"/>
        <v>6818.0000000000009</v>
      </c>
      <c r="AN22">
        <f t="shared" si="23"/>
        <v>5844</v>
      </c>
      <c r="AO22">
        <v>0</v>
      </c>
      <c r="AP22">
        <v>0</v>
      </c>
      <c r="AQ22">
        <f t="shared" si="24"/>
        <v>61362</v>
      </c>
      <c r="AR22">
        <v>5000</v>
      </c>
      <c r="AS22">
        <v>60</v>
      </c>
      <c r="AT22">
        <f t="shared" si="25"/>
        <v>200</v>
      </c>
      <c r="AU22">
        <f t="shared" si="26"/>
        <v>56102</v>
      </c>
      <c r="AV22">
        <v>50200</v>
      </c>
      <c r="AW22">
        <f t="shared" si="27"/>
        <v>7028.0000000000009</v>
      </c>
      <c r="AX22">
        <f t="shared" si="28"/>
        <v>1948</v>
      </c>
      <c r="AY22">
        <f t="shared" si="29"/>
        <v>6024</v>
      </c>
      <c r="AZ22">
        <v>0</v>
      </c>
      <c r="BA22">
        <v>0</v>
      </c>
      <c r="BB22">
        <f t="shared" si="30"/>
        <v>65200</v>
      </c>
      <c r="BC22">
        <v>0</v>
      </c>
      <c r="BD22">
        <v>60</v>
      </c>
      <c r="BE22">
        <f t="shared" si="31"/>
        <v>200</v>
      </c>
      <c r="BF22">
        <f t="shared" si="32"/>
        <v>64940</v>
      </c>
      <c r="BG22">
        <v>50200</v>
      </c>
      <c r="BH22">
        <f t="shared" si="33"/>
        <v>7028.0000000000009</v>
      </c>
      <c r="BI22">
        <f t="shared" si="34"/>
        <v>6024</v>
      </c>
      <c r="BJ22">
        <v>0</v>
      </c>
      <c r="BK22">
        <v>0</v>
      </c>
      <c r="BL22">
        <f t="shared" si="35"/>
        <v>63252</v>
      </c>
      <c r="BM22">
        <v>0</v>
      </c>
      <c r="BN22">
        <v>60</v>
      </c>
      <c r="BO22">
        <f t="shared" si="36"/>
        <v>200</v>
      </c>
      <c r="BP22">
        <f t="shared" si="37"/>
        <v>62992</v>
      </c>
      <c r="BQ22">
        <v>50200</v>
      </c>
      <c r="BR22">
        <f t="shared" si="38"/>
        <v>7028.0000000000009</v>
      </c>
      <c r="BS22">
        <f t="shared" si="39"/>
        <v>6024</v>
      </c>
      <c r="BT22">
        <v>0</v>
      </c>
      <c r="BU22">
        <v>0</v>
      </c>
      <c r="BV22">
        <f t="shared" si="40"/>
        <v>63252</v>
      </c>
      <c r="BW22">
        <v>0</v>
      </c>
      <c r="BX22">
        <v>60</v>
      </c>
      <c r="BY22">
        <f t="shared" si="41"/>
        <v>200</v>
      </c>
      <c r="BZ22">
        <f t="shared" si="42"/>
        <v>62992</v>
      </c>
      <c r="CA22">
        <v>50200</v>
      </c>
      <c r="CB22">
        <f t="shared" si="43"/>
        <v>7028.0000000000009</v>
      </c>
      <c r="CC22">
        <f t="shared" si="44"/>
        <v>6024</v>
      </c>
      <c r="CD22">
        <v>0</v>
      </c>
      <c r="CE22">
        <v>0</v>
      </c>
      <c r="CF22">
        <f t="shared" si="45"/>
        <v>63252</v>
      </c>
      <c r="CG22">
        <v>0</v>
      </c>
      <c r="CH22">
        <v>60</v>
      </c>
      <c r="CI22">
        <f t="shared" si="46"/>
        <v>200</v>
      </c>
      <c r="CJ22">
        <f t="shared" si="47"/>
        <v>62992</v>
      </c>
      <c r="CK22">
        <v>50200</v>
      </c>
      <c r="CL22">
        <f t="shared" si="48"/>
        <v>7028.0000000000009</v>
      </c>
      <c r="CM22">
        <f t="shared" si="49"/>
        <v>6024</v>
      </c>
      <c r="CN22">
        <v>0</v>
      </c>
      <c r="CO22">
        <v>0</v>
      </c>
      <c r="CP22">
        <f t="shared" si="50"/>
        <v>63252</v>
      </c>
      <c r="CQ22">
        <v>0</v>
      </c>
      <c r="CR22">
        <v>60</v>
      </c>
      <c r="CS22">
        <f t="shared" si="51"/>
        <v>200</v>
      </c>
      <c r="CT22">
        <f t="shared" si="52"/>
        <v>62992</v>
      </c>
      <c r="CU22">
        <v>50200</v>
      </c>
      <c r="CV22">
        <f t="shared" si="53"/>
        <v>7028</v>
      </c>
      <c r="CW22">
        <f t="shared" si="54"/>
        <v>6024</v>
      </c>
      <c r="CX22">
        <v>0</v>
      </c>
      <c r="CY22">
        <v>0</v>
      </c>
      <c r="CZ22">
        <f t="shared" si="55"/>
        <v>63252</v>
      </c>
      <c r="DA22">
        <v>0</v>
      </c>
      <c r="DB22">
        <v>60</v>
      </c>
      <c r="DC22">
        <f t="shared" si="56"/>
        <v>200</v>
      </c>
      <c r="DD22">
        <f t="shared" si="57"/>
        <v>62992</v>
      </c>
      <c r="DE22">
        <v>50200</v>
      </c>
      <c r="DF22">
        <f t="shared" si="58"/>
        <v>7028.0000000000009</v>
      </c>
      <c r="DG22">
        <f t="shared" si="59"/>
        <v>6024</v>
      </c>
      <c r="DH22">
        <v>0</v>
      </c>
      <c r="DI22">
        <v>0</v>
      </c>
      <c r="DJ22">
        <f t="shared" si="60"/>
        <v>63252</v>
      </c>
      <c r="DK22">
        <v>0</v>
      </c>
      <c r="DL22">
        <v>60</v>
      </c>
      <c r="DM22">
        <f t="shared" si="61"/>
        <v>200</v>
      </c>
      <c r="DN22">
        <f t="shared" si="62"/>
        <v>62992</v>
      </c>
      <c r="DO22">
        <v>0</v>
      </c>
      <c r="DP22">
        <f t="shared" si="63"/>
        <v>0</v>
      </c>
      <c r="DQ22">
        <f t="shared" si="64"/>
        <v>0</v>
      </c>
      <c r="DR22">
        <v>0</v>
      </c>
      <c r="DS22">
        <v>0</v>
      </c>
      <c r="DT22">
        <f t="shared" si="65"/>
        <v>0</v>
      </c>
      <c r="DU22">
        <v>0</v>
      </c>
      <c r="DV22">
        <v>0</v>
      </c>
      <c r="DW22">
        <f t="shared" si="66"/>
        <v>0</v>
      </c>
      <c r="DX22">
        <f t="shared" si="67"/>
        <v>0</v>
      </c>
      <c r="DY22">
        <f t="shared" si="68"/>
        <v>686264</v>
      </c>
      <c r="DZ22">
        <f t="shared" si="0"/>
        <v>2200</v>
      </c>
      <c r="EA22">
        <f t="shared" si="1"/>
        <v>50000</v>
      </c>
      <c r="EB22">
        <v>0</v>
      </c>
      <c r="EC22">
        <f t="shared" si="2"/>
        <v>634064</v>
      </c>
      <c r="ED22">
        <f t="shared" si="3"/>
        <v>20000</v>
      </c>
      <c r="EE22">
        <f t="shared" si="4"/>
        <v>660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f t="shared" si="5"/>
        <v>20660</v>
      </c>
      <c r="EQ22">
        <f t="shared" si="69"/>
        <v>20660</v>
      </c>
      <c r="ER22">
        <f t="shared" si="6"/>
        <v>613404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f t="shared" si="70"/>
        <v>0</v>
      </c>
      <c r="FA22">
        <f t="shared" si="71"/>
        <v>613404</v>
      </c>
      <c r="FB22">
        <f t="shared" si="72"/>
        <v>12500</v>
      </c>
      <c r="FC22">
        <f t="shared" si="73"/>
        <v>22681</v>
      </c>
      <c r="FD22">
        <f t="shared" si="74"/>
        <v>35181</v>
      </c>
      <c r="FE22">
        <f t="shared" si="75"/>
        <v>35181</v>
      </c>
      <c r="FF22">
        <f t="shared" si="76"/>
        <v>1407.24</v>
      </c>
      <c r="FG22">
        <f t="shared" si="77"/>
        <v>36588</v>
      </c>
      <c r="FH22">
        <v>0</v>
      </c>
      <c r="FI22">
        <f t="shared" si="78"/>
        <v>36588</v>
      </c>
      <c r="FJ22" t="b">
        <f t="shared" si="79"/>
        <v>1</v>
      </c>
      <c r="FK22">
        <f t="shared" ca="1" si="80"/>
        <v>508</v>
      </c>
      <c r="FL22">
        <f t="shared" ca="1" si="81"/>
        <v>686772</v>
      </c>
      <c r="FM22">
        <f t="shared" si="82"/>
        <v>75000</v>
      </c>
      <c r="FN22">
        <f t="shared" ca="1" si="83"/>
        <v>611772</v>
      </c>
      <c r="FO22">
        <f t="shared" ca="1" si="84"/>
        <v>0</v>
      </c>
      <c r="FP22">
        <f t="shared" ca="1" si="85"/>
        <v>0</v>
      </c>
      <c r="FQ22">
        <f t="shared" ca="1" si="86"/>
        <v>0</v>
      </c>
      <c r="FR22">
        <f t="shared" ca="1" si="87"/>
        <v>0</v>
      </c>
      <c r="FS22">
        <f t="shared" ca="1" si="88"/>
        <v>0</v>
      </c>
      <c r="FT22">
        <f t="shared" ca="1" si="89"/>
        <v>0</v>
      </c>
      <c r="FU22">
        <f t="shared" ca="1" si="90"/>
        <v>0</v>
      </c>
      <c r="FV22">
        <f t="shared" ca="1" si="91"/>
        <v>0</v>
      </c>
      <c r="FW22">
        <f t="shared" ca="1" si="92"/>
        <v>311772</v>
      </c>
      <c r="FX22">
        <f t="shared" ca="1" si="93"/>
        <v>15588.6</v>
      </c>
      <c r="FY22">
        <f t="shared" ca="1" si="94"/>
        <v>15589</v>
      </c>
      <c r="FZ22">
        <f t="shared" ca="1" si="95"/>
        <v>0</v>
      </c>
      <c r="GA22">
        <f t="shared" ca="1" si="96"/>
        <v>0</v>
      </c>
      <c r="GB22">
        <f t="shared" ca="1" si="97"/>
        <v>15589</v>
      </c>
      <c r="GC22">
        <f t="shared" ca="1" si="98"/>
        <v>0</v>
      </c>
      <c r="GD22" t="b">
        <f t="shared" ca="1" si="99"/>
        <v>0</v>
      </c>
      <c r="GE22">
        <f t="shared" ca="1" si="100"/>
        <v>0</v>
      </c>
      <c r="GF22">
        <f t="shared" ca="1" si="101"/>
        <v>15589</v>
      </c>
      <c r="GG22">
        <f t="shared" ca="1" si="102"/>
        <v>0</v>
      </c>
      <c r="GH22">
        <f t="shared" ca="1" si="103"/>
        <v>0</v>
      </c>
      <c r="GI22">
        <f t="shared" ca="1" si="104"/>
        <v>0</v>
      </c>
    </row>
    <row r="23" spans="1:191" x14ac:dyDescent="0.25">
      <c r="A23">
        <f>_xlfn.AGGREGATE(3,5,$B$2:B23)</f>
        <v>22</v>
      </c>
      <c r="B23" t="s">
        <v>166</v>
      </c>
      <c r="C23" t="s">
        <v>167</v>
      </c>
      <c r="D23" t="s">
        <v>766</v>
      </c>
      <c r="E23" t="s">
        <v>843</v>
      </c>
      <c r="F23">
        <v>0</v>
      </c>
      <c r="G23">
        <v>0</v>
      </c>
      <c r="H23">
        <v>47400</v>
      </c>
      <c r="I23">
        <f t="shared" si="7"/>
        <v>4740</v>
      </c>
      <c r="J23">
        <f t="shared" si="8"/>
        <v>5688</v>
      </c>
      <c r="K23">
        <v>0</v>
      </c>
      <c r="L23">
        <v>0</v>
      </c>
      <c r="M23">
        <f t="shared" si="9"/>
        <v>57828</v>
      </c>
      <c r="N23">
        <v>4000</v>
      </c>
      <c r="O23">
        <v>0</v>
      </c>
      <c r="P23">
        <f t="shared" si="10"/>
        <v>200</v>
      </c>
      <c r="Q23">
        <f t="shared" si="11"/>
        <v>53628</v>
      </c>
      <c r="R23">
        <v>47400</v>
      </c>
      <c r="S23">
        <f t="shared" si="12"/>
        <v>4740</v>
      </c>
      <c r="T23">
        <f t="shared" si="13"/>
        <v>5688</v>
      </c>
      <c r="U23">
        <v>0</v>
      </c>
      <c r="V23">
        <v>0</v>
      </c>
      <c r="W23">
        <f t="shared" si="14"/>
        <v>57828</v>
      </c>
      <c r="X23">
        <v>4000</v>
      </c>
      <c r="Y23">
        <v>0</v>
      </c>
      <c r="Z23">
        <f t="shared" si="15"/>
        <v>200</v>
      </c>
      <c r="AA23">
        <f t="shared" si="16"/>
        <v>53628</v>
      </c>
      <c r="AB23">
        <v>47400</v>
      </c>
      <c r="AC23">
        <f t="shared" si="17"/>
        <v>6636.0000000000009</v>
      </c>
      <c r="AD23">
        <f t="shared" si="18"/>
        <v>5688</v>
      </c>
      <c r="AE23">
        <v>0</v>
      </c>
      <c r="AF23">
        <v>0</v>
      </c>
      <c r="AG23">
        <f t="shared" si="19"/>
        <v>59724</v>
      </c>
      <c r="AH23">
        <v>4000</v>
      </c>
      <c r="AI23">
        <v>0</v>
      </c>
      <c r="AJ23">
        <f t="shared" si="20"/>
        <v>200</v>
      </c>
      <c r="AK23">
        <f t="shared" si="21"/>
        <v>55524</v>
      </c>
      <c r="AL23">
        <v>47400</v>
      </c>
      <c r="AM23">
        <f t="shared" si="22"/>
        <v>6636.0000000000009</v>
      </c>
      <c r="AN23">
        <f t="shared" si="23"/>
        <v>5688</v>
      </c>
      <c r="AO23">
        <v>0</v>
      </c>
      <c r="AP23">
        <v>0</v>
      </c>
      <c r="AQ23">
        <f t="shared" si="24"/>
        <v>59724</v>
      </c>
      <c r="AR23">
        <v>4000</v>
      </c>
      <c r="AS23">
        <v>0</v>
      </c>
      <c r="AT23">
        <f t="shared" si="25"/>
        <v>200</v>
      </c>
      <c r="AU23">
        <f t="shared" si="26"/>
        <v>55524</v>
      </c>
      <c r="AV23">
        <v>48800</v>
      </c>
      <c r="AW23">
        <f t="shared" si="27"/>
        <v>6832.0000000000009</v>
      </c>
      <c r="AX23">
        <f t="shared" si="28"/>
        <v>1896</v>
      </c>
      <c r="AY23">
        <f t="shared" si="29"/>
        <v>5856</v>
      </c>
      <c r="AZ23">
        <v>0</v>
      </c>
      <c r="BA23">
        <v>0</v>
      </c>
      <c r="BB23">
        <f t="shared" si="30"/>
        <v>63384</v>
      </c>
      <c r="BC23">
        <v>4000</v>
      </c>
      <c r="BD23">
        <v>0</v>
      </c>
      <c r="BE23">
        <f t="shared" si="31"/>
        <v>200</v>
      </c>
      <c r="BF23">
        <f t="shared" si="32"/>
        <v>59184</v>
      </c>
      <c r="BG23">
        <v>48800</v>
      </c>
      <c r="BH23">
        <f t="shared" si="33"/>
        <v>6832.0000000000009</v>
      </c>
      <c r="BI23">
        <f t="shared" si="34"/>
        <v>5856</v>
      </c>
      <c r="BJ23">
        <v>0</v>
      </c>
      <c r="BK23">
        <v>0</v>
      </c>
      <c r="BL23">
        <f t="shared" si="35"/>
        <v>61488</v>
      </c>
      <c r="BM23">
        <v>4000</v>
      </c>
      <c r="BN23">
        <v>0</v>
      </c>
      <c r="BO23">
        <f t="shared" si="36"/>
        <v>200</v>
      </c>
      <c r="BP23">
        <f t="shared" si="37"/>
        <v>57288</v>
      </c>
      <c r="BQ23">
        <v>48800</v>
      </c>
      <c r="BR23">
        <f t="shared" si="38"/>
        <v>6832.0000000000009</v>
      </c>
      <c r="BS23">
        <f t="shared" si="39"/>
        <v>5856</v>
      </c>
      <c r="BT23">
        <v>0</v>
      </c>
      <c r="BU23">
        <v>0</v>
      </c>
      <c r="BV23">
        <f t="shared" si="40"/>
        <v>61488</v>
      </c>
      <c r="BW23">
        <v>4000</v>
      </c>
      <c r="BX23">
        <v>0</v>
      </c>
      <c r="BY23">
        <f t="shared" si="41"/>
        <v>200</v>
      </c>
      <c r="BZ23">
        <f t="shared" si="42"/>
        <v>57288</v>
      </c>
      <c r="CA23">
        <v>48800</v>
      </c>
      <c r="CB23">
        <f t="shared" si="43"/>
        <v>6832.0000000000009</v>
      </c>
      <c r="CC23">
        <f t="shared" si="44"/>
        <v>5856</v>
      </c>
      <c r="CD23">
        <v>0</v>
      </c>
      <c r="CE23">
        <v>0</v>
      </c>
      <c r="CF23">
        <f t="shared" si="45"/>
        <v>61488</v>
      </c>
      <c r="CG23">
        <v>4000</v>
      </c>
      <c r="CH23">
        <v>0</v>
      </c>
      <c r="CI23">
        <f t="shared" si="46"/>
        <v>200</v>
      </c>
      <c r="CJ23">
        <f t="shared" si="47"/>
        <v>57288</v>
      </c>
      <c r="CK23">
        <v>48800</v>
      </c>
      <c r="CL23">
        <f t="shared" si="48"/>
        <v>6832.0000000000009</v>
      </c>
      <c r="CM23">
        <f t="shared" si="49"/>
        <v>5856</v>
      </c>
      <c r="CN23">
        <v>0</v>
      </c>
      <c r="CO23">
        <v>0</v>
      </c>
      <c r="CP23">
        <f t="shared" si="50"/>
        <v>61488</v>
      </c>
      <c r="CQ23">
        <v>4000</v>
      </c>
      <c r="CR23">
        <v>0</v>
      </c>
      <c r="CS23">
        <f t="shared" si="51"/>
        <v>200</v>
      </c>
      <c r="CT23">
        <f t="shared" si="52"/>
        <v>57288</v>
      </c>
      <c r="CU23">
        <v>48800</v>
      </c>
      <c r="CV23">
        <f t="shared" si="53"/>
        <v>6832</v>
      </c>
      <c r="CW23">
        <f t="shared" si="54"/>
        <v>5856</v>
      </c>
      <c r="CX23">
        <v>0</v>
      </c>
      <c r="CY23">
        <v>0</v>
      </c>
      <c r="CZ23">
        <f t="shared" si="55"/>
        <v>61488</v>
      </c>
      <c r="DA23">
        <v>4000</v>
      </c>
      <c r="DB23">
        <v>0</v>
      </c>
      <c r="DC23">
        <f t="shared" si="56"/>
        <v>200</v>
      </c>
      <c r="DD23">
        <f t="shared" si="57"/>
        <v>57288</v>
      </c>
      <c r="DE23">
        <v>48800</v>
      </c>
      <c r="DF23">
        <f t="shared" si="58"/>
        <v>6832.0000000000009</v>
      </c>
      <c r="DG23">
        <f t="shared" si="59"/>
        <v>5856</v>
      </c>
      <c r="DH23">
        <v>0</v>
      </c>
      <c r="DI23">
        <v>0</v>
      </c>
      <c r="DJ23">
        <f t="shared" si="60"/>
        <v>61488</v>
      </c>
      <c r="DK23">
        <v>4000</v>
      </c>
      <c r="DL23">
        <v>0</v>
      </c>
      <c r="DM23">
        <f t="shared" si="61"/>
        <v>200</v>
      </c>
      <c r="DN23">
        <f t="shared" si="62"/>
        <v>57288</v>
      </c>
      <c r="DO23">
        <v>48800</v>
      </c>
      <c r="DP23">
        <f t="shared" si="63"/>
        <v>6832.0000000000009</v>
      </c>
      <c r="DQ23">
        <f t="shared" si="64"/>
        <v>5856</v>
      </c>
      <c r="DR23">
        <v>0</v>
      </c>
      <c r="DS23">
        <v>0</v>
      </c>
      <c r="DT23">
        <f t="shared" si="65"/>
        <v>61488</v>
      </c>
      <c r="DU23">
        <v>4000</v>
      </c>
      <c r="DV23">
        <v>0</v>
      </c>
      <c r="DW23">
        <f t="shared" si="66"/>
        <v>200</v>
      </c>
      <c r="DX23">
        <f t="shared" si="67"/>
        <v>57288</v>
      </c>
      <c r="DY23">
        <f t="shared" si="68"/>
        <v>728904</v>
      </c>
      <c r="DZ23">
        <f t="shared" si="0"/>
        <v>2400</v>
      </c>
      <c r="EA23">
        <f t="shared" si="1"/>
        <v>50000</v>
      </c>
      <c r="EB23">
        <v>0</v>
      </c>
      <c r="EC23">
        <f t="shared" si="2"/>
        <v>676504</v>
      </c>
      <c r="ED23">
        <f t="shared" si="3"/>
        <v>48000</v>
      </c>
      <c r="EE23">
        <f t="shared" si="4"/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f t="shared" si="5"/>
        <v>48000</v>
      </c>
      <c r="EQ23">
        <f t="shared" si="69"/>
        <v>48000</v>
      </c>
      <c r="ER23">
        <f t="shared" si="6"/>
        <v>628504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f t="shared" si="70"/>
        <v>0</v>
      </c>
      <c r="FA23">
        <f t="shared" si="71"/>
        <v>628504</v>
      </c>
      <c r="FB23">
        <f t="shared" si="72"/>
        <v>12500</v>
      </c>
      <c r="FC23">
        <f t="shared" si="73"/>
        <v>25701</v>
      </c>
      <c r="FD23">
        <f t="shared" si="74"/>
        <v>38201</v>
      </c>
      <c r="FE23">
        <f t="shared" si="75"/>
        <v>38201</v>
      </c>
      <c r="FF23">
        <f t="shared" si="76"/>
        <v>1528.04</v>
      </c>
      <c r="FG23">
        <f t="shared" si="77"/>
        <v>39729</v>
      </c>
      <c r="FH23">
        <v>0</v>
      </c>
      <c r="FI23">
        <f t="shared" si="78"/>
        <v>39729</v>
      </c>
      <c r="FJ23" t="b">
        <f t="shared" si="79"/>
        <v>1</v>
      </c>
      <c r="FK23">
        <f t="shared" ca="1" si="80"/>
        <v>974</v>
      </c>
      <c r="FL23">
        <f t="shared" ca="1" si="81"/>
        <v>729878</v>
      </c>
      <c r="FM23">
        <f t="shared" si="82"/>
        <v>75000</v>
      </c>
      <c r="FN23">
        <f t="shared" ca="1" si="83"/>
        <v>654878</v>
      </c>
      <c r="FO23">
        <f t="shared" ca="1" si="84"/>
        <v>0</v>
      </c>
      <c r="FP23">
        <f t="shared" ca="1" si="85"/>
        <v>0</v>
      </c>
      <c r="FQ23">
        <f t="shared" ca="1" si="86"/>
        <v>0</v>
      </c>
      <c r="FR23">
        <f t="shared" ca="1" si="87"/>
        <v>0</v>
      </c>
      <c r="FS23">
        <f t="shared" ca="1" si="88"/>
        <v>0</v>
      </c>
      <c r="FT23">
        <f t="shared" ca="1" si="89"/>
        <v>0</v>
      </c>
      <c r="FU23">
        <f t="shared" ca="1" si="90"/>
        <v>0</v>
      </c>
      <c r="FV23">
        <f t="shared" ca="1" si="91"/>
        <v>0</v>
      </c>
      <c r="FW23">
        <f t="shared" ca="1" si="92"/>
        <v>354878</v>
      </c>
      <c r="FX23">
        <f t="shared" ca="1" si="93"/>
        <v>17743.900000000001</v>
      </c>
      <c r="FY23">
        <f t="shared" ca="1" si="94"/>
        <v>17744</v>
      </c>
      <c r="FZ23">
        <f t="shared" ca="1" si="95"/>
        <v>0</v>
      </c>
      <c r="GA23">
        <f t="shared" ca="1" si="96"/>
        <v>0</v>
      </c>
      <c r="GB23">
        <f t="shared" ca="1" si="97"/>
        <v>17744</v>
      </c>
      <c r="GC23">
        <f t="shared" ca="1" si="98"/>
        <v>0</v>
      </c>
      <c r="GD23" t="b">
        <f t="shared" ca="1" si="99"/>
        <v>0</v>
      </c>
      <c r="GE23">
        <f t="shared" ca="1" si="100"/>
        <v>0</v>
      </c>
      <c r="GF23">
        <f t="shared" ca="1" si="101"/>
        <v>17744</v>
      </c>
      <c r="GG23">
        <f t="shared" ca="1" si="102"/>
        <v>0</v>
      </c>
      <c r="GH23">
        <f t="shared" ca="1" si="103"/>
        <v>0</v>
      </c>
      <c r="GI23">
        <f t="shared" ca="1" si="104"/>
        <v>0</v>
      </c>
    </row>
    <row r="24" spans="1:191" x14ac:dyDescent="0.25">
      <c r="A24">
        <f>_xlfn.AGGREGATE(3,5,$B$2:B24)</f>
        <v>23</v>
      </c>
      <c r="B24" t="s">
        <v>168</v>
      </c>
      <c r="C24" t="s">
        <v>169</v>
      </c>
      <c r="D24" t="s">
        <v>766</v>
      </c>
      <c r="E24" t="s">
        <v>844</v>
      </c>
      <c r="F24">
        <v>0</v>
      </c>
      <c r="G24">
        <v>6000</v>
      </c>
      <c r="H24">
        <v>36600</v>
      </c>
      <c r="I24">
        <f t="shared" si="7"/>
        <v>3660</v>
      </c>
      <c r="J24">
        <f t="shared" si="8"/>
        <v>4392</v>
      </c>
      <c r="K24">
        <v>0</v>
      </c>
      <c r="L24">
        <v>500</v>
      </c>
      <c r="M24">
        <f t="shared" si="9"/>
        <v>45152</v>
      </c>
      <c r="N24">
        <v>2500</v>
      </c>
      <c r="O24">
        <v>0</v>
      </c>
      <c r="P24">
        <f t="shared" si="10"/>
        <v>200</v>
      </c>
      <c r="Q24">
        <f t="shared" si="11"/>
        <v>42452</v>
      </c>
      <c r="R24">
        <v>36600</v>
      </c>
      <c r="S24">
        <f t="shared" si="12"/>
        <v>3660</v>
      </c>
      <c r="T24">
        <f t="shared" si="13"/>
        <v>4392</v>
      </c>
      <c r="U24">
        <v>0</v>
      </c>
      <c r="V24">
        <v>500</v>
      </c>
      <c r="W24">
        <f t="shared" si="14"/>
        <v>45152</v>
      </c>
      <c r="X24">
        <v>2500</v>
      </c>
      <c r="Y24">
        <v>0</v>
      </c>
      <c r="Z24">
        <f t="shared" si="15"/>
        <v>200</v>
      </c>
      <c r="AA24">
        <f t="shared" si="16"/>
        <v>42452</v>
      </c>
      <c r="AB24">
        <v>36600</v>
      </c>
      <c r="AC24">
        <f t="shared" si="17"/>
        <v>5124.0000000000009</v>
      </c>
      <c r="AD24">
        <f t="shared" si="18"/>
        <v>4392</v>
      </c>
      <c r="AE24">
        <v>0</v>
      </c>
      <c r="AF24">
        <v>500</v>
      </c>
      <c r="AG24">
        <f t="shared" si="19"/>
        <v>46616</v>
      </c>
      <c r="AH24">
        <v>2500</v>
      </c>
      <c r="AI24">
        <v>0</v>
      </c>
      <c r="AJ24">
        <f t="shared" si="20"/>
        <v>200</v>
      </c>
      <c r="AK24">
        <f t="shared" si="21"/>
        <v>43916</v>
      </c>
      <c r="AL24">
        <v>36600</v>
      </c>
      <c r="AM24">
        <f t="shared" si="22"/>
        <v>5124.0000000000009</v>
      </c>
      <c r="AN24">
        <f t="shared" si="23"/>
        <v>4392</v>
      </c>
      <c r="AO24">
        <v>0</v>
      </c>
      <c r="AP24">
        <v>500</v>
      </c>
      <c r="AQ24">
        <f t="shared" si="24"/>
        <v>46616</v>
      </c>
      <c r="AR24">
        <v>2500</v>
      </c>
      <c r="AS24">
        <v>0</v>
      </c>
      <c r="AT24">
        <f t="shared" si="25"/>
        <v>200</v>
      </c>
      <c r="AU24">
        <f t="shared" si="26"/>
        <v>43916</v>
      </c>
      <c r="AV24">
        <v>37700</v>
      </c>
      <c r="AW24">
        <f t="shared" si="27"/>
        <v>5278.0000000000009</v>
      </c>
      <c r="AX24">
        <f t="shared" si="28"/>
        <v>1464</v>
      </c>
      <c r="AY24">
        <f t="shared" si="29"/>
        <v>4524</v>
      </c>
      <c r="AZ24">
        <v>0</v>
      </c>
      <c r="BA24">
        <v>500</v>
      </c>
      <c r="BB24">
        <f t="shared" si="30"/>
        <v>49466</v>
      </c>
      <c r="BC24">
        <v>2500</v>
      </c>
      <c r="BD24">
        <v>0</v>
      </c>
      <c r="BE24">
        <f t="shared" si="31"/>
        <v>200</v>
      </c>
      <c r="BF24">
        <f t="shared" si="32"/>
        <v>46766</v>
      </c>
      <c r="BG24">
        <v>37700</v>
      </c>
      <c r="BH24">
        <f t="shared" si="33"/>
        <v>5278.0000000000009</v>
      </c>
      <c r="BI24">
        <f t="shared" si="34"/>
        <v>4524</v>
      </c>
      <c r="BJ24">
        <v>0</v>
      </c>
      <c r="BK24">
        <v>500</v>
      </c>
      <c r="BL24">
        <f t="shared" si="35"/>
        <v>48002</v>
      </c>
      <c r="BM24">
        <v>2500</v>
      </c>
      <c r="BN24">
        <v>0</v>
      </c>
      <c r="BO24">
        <f t="shared" si="36"/>
        <v>200</v>
      </c>
      <c r="BP24">
        <f t="shared" si="37"/>
        <v>45302</v>
      </c>
      <c r="BQ24">
        <v>37700</v>
      </c>
      <c r="BR24">
        <f t="shared" si="38"/>
        <v>5278.0000000000009</v>
      </c>
      <c r="BS24">
        <f t="shared" si="39"/>
        <v>4524</v>
      </c>
      <c r="BT24">
        <v>0</v>
      </c>
      <c r="BU24">
        <v>500</v>
      </c>
      <c r="BV24">
        <f t="shared" si="40"/>
        <v>48002</v>
      </c>
      <c r="BW24">
        <v>2500</v>
      </c>
      <c r="BX24">
        <v>0</v>
      </c>
      <c r="BY24">
        <f t="shared" si="41"/>
        <v>200</v>
      </c>
      <c r="BZ24">
        <f t="shared" si="42"/>
        <v>45302</v>
      </c>
      <c r="CA24">
        <v>37700</v>
      </c>
      <c r="CB24">
        <f t="shared" si="43"/>
        <v>5278.0000000000009</v>
      </c>
      <c r="CC24">
        <f t="shared" si="44"/>
        <v>4524</v>
      </c>
      <c r="CD24">
        <v>0</v>
      </c>
      <c r="CE24">
        <v>500</v>
      </c>
      <c r="CF24">
        <f t="shared" si="45"/>
        <v>48002</v>
      </c>
      <c r="CG24">
        <v>2500</v>
      </c>
      <c r="CH24">
        <v>0</v>
      </c>
      <c r="CI24">
        <f t="shared" si="46"/>
        <v>200</v>
      </c>
      <c r="CJ24">
        <f t="shared" si="47"/>
        <v>45302</v>
      </c>
      <c r="CK24">
        <v>37700</v>
      </c>
      <c r="CL24">
        <f t="shared" si="48"/>
        <v>5278.0000000000009</v>
      </c>
      <c r="CM24">
        <f t="shared" si="49"/>
        <v>4524</v>
      </c>
      <c r="CN24">
        <v>0</v>
      </c>
      <c r="CO24">
        <v>500</v>
      </c>
      <c r="CP24">
        <f t="shared" si="50"/>
        <v>48002</v>
      </c>
      <c r="CQ24">
        <v>2500</v>
      </c>
      <c r="CR24">
        <v>0</v>
      </c>
      <c r="CS24">
        <f t="shared" si="51"/>
        <v>200</v>
      </c>
      <c r="CT24">
        <f t="shared" si="52"/>
        <v>45302</v>
      </c>
      <c r="CU24">
        <v>37700</v>
      </c>
      <c r="CV24">
        <f t="shared" si="53"/>
        <v>5278</v>
      </c>
      <c r="CW24">
        <f t="shared" si="54"/>
        <v>4524</v>
      </c>
      <c r="CX24">
        <v>0</v>
      </c>
      <c r="CY24">
        <v>500</v>
      </c>
      <c r="CZ24">
        <f t="shared" si="55"/>
        <v>48002</v>
      </c>
      <c r="DA24">
        <v>2500</v>
      </c>
      <c r="DB24">
        <v>0</v>
      </c>
      <c r="DC24">
        <f t="shared" si="56"/>
        <v>200</v>
      </c>
      <c r="DD24">
        <f t="shared" si="57"/>
        <v>45302</v>
      </c>
      <c r="DE24">
        <v>37700</v>
      </c>
      <c r="DF24">
        <f t="shared" si="58"/>
        <v>5278.0000000000009</v>
      </c>
      <c r="DG24">
        <f t="shared" si="59"/>
        <v>4524</v>
      </c>
      <c r="DH24">
        <v>0</v>
      </c>
      <c r="DI24">
        <v>500</v>
      </c>
      <c r="DJ24">
        <f t="shared" si="60"/>
        <v>48002</v>
      </c>
      <c r="DK24">
        <v>2500</v>
      </c>
      <c r="DL24">
        <v>0</v>
      </c>
      <c r="DM24">
        <f t="shared" si="61"/>
        <v>200</v>
      </c>
      <c r="DN24">
        <f t="shared" si="62"/>
        <v>45302</v>
      </c>
      <c r="DO24">
        <v>37700</v>
      </c>
      <c r="DP24">
        <f t="shared" si="63"/>
        <v>5278.0000000000009</v>
      </c>
      <c r="DQ24">
        <f t="shared" si="64"/>
        <v>4524</v>
      </c>
      <c r="DR24">
        <v>0</v>
      </c>
      <c r="DS24">
        <v>500</v>
      </c>
      <c r="DT24">
        <f t="shared" si="65"/>
        <v>48002</v>
      </c>
      <c r="DU24">
        <v>2500</v>
      </c>
      <c r="DV24">
        <v>0</v>
      </c>
      <c r="DW24">
        <f t="shared" si="66"/>
        <v>200</v>
      </c>
      <c r="DX24">
        <f t="shared" si="67"/>
        <v>45302</v>
      </c>
      <c r="DY24">
        <f t="shared" si="68"/>
        <v>575016</v>
      </c>
      <c r="DZ24">
        <f t="shared" si="0"/>
        <v>2400</v>
      </c>
      <c r="EA24">
        <f t="shared" si="1"/>
        <v>50000</v>
      </c>
      <c r="EB24">
        <v>0</v>
      </c>
      <c r="EC24">
        <f t="shared" si="2"/>
        <v>522616</v>
      </c>
      <c r="ED24">
        <f t="shared" si="3"/>
        <v>30000</v>
      </c>
      <c r="EE24">
        <f t="shared" si="4"/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f t="shared" si="5"/>
        <v>30000</v>
      </c>
      <c r="EQ24">
        <f t="shared" si="69"/>
        <v>30000</v>
      </c>
      <c r="ER24">
        <f t="shared" si="6"/>
        <v>492616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f t="shared" si="70"/>
        <v>0</v>
      </c>
      <c r="FA24">
        <f t="shared" si="71"/>
        <v>492616</v>
      </c>
      <c r="FB24">
        <f t="shared" si="72"/>
        <v>12131</v>
      </c>
      <c r="FC24">
        <f t="shared" si="73"/>
        <v>0</v>
      </c>
      <c r="FD24">
        <f t="shared" si="74"/>
        <v>12131</v>
      </c>
      <c r="FE24">
        <f t="shared" si="75"/>
        <v>0</v>
      </c>
      <c r="FF24">
        <f t="shared" si="76"/>
        <v>0</v>
      </c>
      <c r="FG24">
        <f t="shared" si="77"/>
        <v>0</v>
      </c>
      <c r="FH24">
        <v>0</v>
      </c>
      <c r="FI24">
        <f t="shared" si="78"/>
        <v>0</v>
      </c>
      <c r="FJ24" t="b">
        <f t="shared" si="79"/>
        <v>1</v>
      </c>
      <c r="FK24">
        <f t="shared" ca="1" si="80"/>
        <v>557</v>
      </c>
      <c r="FL24">
        <f t="shared" ca="1" si="81"/>
        <v>575573</v>
      </c>
      <c r="FM24">
        <f t="shared" si="82"/>
        <v>75000</v>
      </c>
      <c r="FN24">
        <f t="shared" ca="1" si="83"/>
        <v>500573</v>
      </c>
      <c r="FO24">
        <f t="shared" ca="1" si="84"/>
        <v>0</v>
      </c>
      <c r="FP24">
        <f t="shared" ca="1" si="85"/>
        <v>0</v>
      </c>
      <c r="FQ24">
        <f t="shared" ca="1" si="86"/>
        <v>0</v>
      </c>
      <c r="FR24">
        <f t="shared" ca="1" si="87"/>
        <v>0</v>
      </c>
      <c r="FS24">
        <f t="shared" ca="1" si="88"/>
        <v>0</v>
      </c>
      <c r="FT24">
        <f t="shared" ca="1" si="89"/>
        <v>0</v>
      </c>
      <c r="FU24">
        <f t="shared" ca="1" si="90"/>
        <v>0</v>
      </c>
      <c r="FV24">
        <f t="shared" ca="1" si="91"/>
        <v>0</v>
      </c>
      <c r="FW24">
        <f t="shared" ca="1" si="92"/>
        <v>200573</v>
      </c>
      <c r="FX24">
        <f t="shared" ca="1" si="93"/>
        <v>10028.650000000001</v>
      </c>
      <c r="FY24">
        <f t="shared" ca="1" si="94"/>
        <v>10029</v>
      </c>
      <c r="FZ24">
        <f t="shared" ca="1" si="95"/>
        <v>0</v>
      </c>
      <c r="GA24">
        <f t="shared" ca="1" si="96"/>
        <v>0</v>
      </c>
      <c r="GB24">
        <f t="shared" ca="1" si="97"/>
        <v>10029</v>
      </c>
      <c r="GC24">
        <f t="shared" ca="1" si="98"/>
        <v>0</v>
      </c>
      <c r="GD24" t="b">
        <f t="shared" ca="1" si="99"/>
        <v>0</v>
      </c>
      <c r="GE24">
        <f t="shared" ca="1" si="100"/>
        <v>0</v>
      </c>
      <c r="GF24">
        <f t="shared" ca="1" si="101"/>
        <v>10029</v>
      </c>
      <c r="GG24">
        <f t="shared" ca="1" si="102"/>
        <v>0</v>
      </c>
      <c r="GH24">
        <f t="shared" ca="1" si="103"/>
        <v>0</v>
      </c>
      <c r="GI24">
        <f t="shared" ca="1" si="104"/>
        <v>0</v>
      </c>
    </row>
    <row r="25" spans="1:191" x14ac:dyDescent="0.25">
      <c r="A25">
        <f>_xlfn.AGGREGATE(3,5,$B$2:B25)</f>
        <v>24</v>
      </c>
      <c r="B25" t="s">
        <v>170</v>
      </c>
      <c r="C25" t="s">
        <v>171</v>
      </c>
      <c r="D25" t="s">
        <v>766</v>
      </c>
      <c r="E25" t="s">
        <v>843</v>
      </c>
      <c r="F25">
        <v>0</v>
      </c>
      <c r="G25">
        <v>0</v>
      </c>
      <c r="H25">
        <v>0</v>
      </c>
      <c r="I25">
        <f t="shared" si="7"/>
        <v>0</v>
      </c>
      <c r="J25">
        <f t="shared" si="8"/>
        <v>0</v>
      </c>
      <c r="K25">
        <v>0</v>
      </c>
      <c r="L25">
        <v>0</v>
      </c>
      <c r="M25">
        <f t="shared" si="9"/>
        <v>0</v>
      </c>
      <c r="N25">
        <v>0</v>
      </c>
      <c r="O25">
        <v>0</v>
      </c>
      <c r="P25">
        <f t="shared" si="10"/>
        <v>0</v>
      </c>
      <c r="Q25">
        <f t="shared" si="11"/>
        <v>0</v>
      </c>
      <c r="R25">
        <v>28900</v>
      </c>
      <c r="S25">
        <f t="shared" si="12"/>
        <v>2890</v>
      </c>
      <c r="T25">
        <f t="shared" si="13"/>
        <v>3468</v>
      </c>
      <c r="U25">
        <v>0</v>
      </c>
      <c r="V25">
        <v>500</v>
      </c>
      <c r="W25">
        <f t="shared" si="14"/>
        <v>35758</v>
      </c>
      <c r="X25">
        <v>0</v>
      </c>
      <c r="Y25">
        <v>0</v>
      </c>
      <c r="Z25">
        <f t="shared" si="15"/>
        <v>150</v>
      </c>
      <c r="AA25">
        <f t="shared" si="16"/>
        <v>35608</v>
      </c>
      <c r="AB25">
        <v>28900</v>
      </c>
      <c r="AC25">
        <f t="shared" si="17"/>
        <v>4046.0000000000005</v>
      </c>
      <c r="AD25">
        <f t="shared" si="18"/>
        <v>3468</v>
      </c>
      <c r="AE25">
        <v>0</v>
      </c>
      <c r="AF25">
        <v>500</v>
      </c>
      <c r="AG25">
        <f t="shared" si="19"/>
        <v>36914</v>
      </c>
      <c r="AH25">
        <v>0</v>
      </c>
      <c r="AI25">
        <v>0</v>
      </c>
      <c r="AJ25">
        <f t="shared" si="20"/>
        <v>150</v>
      </c>
      <c r="AK25">
        <f t="shared" si="21"/>
        <v>36764</v>
      </c>
      <c r="AL25">
        <v>28900</v>
      </c>
      <c r="AM25">
        <f t="shared" si="22"/>
        <v>4046.0000000000005</v>
      </c>
      <c r="AN25">
        <f t="shared" si="23"/>
        <v>3468</v>
      </c>
      <c r="AO25">
        <v>0</v>
      </c>
      <c r="AP25">
        <v>500</v>
      </c>
      <c r="AQ25">
        <f t="shared" si="24"/>
        <v>36914</v>
      </c>
      <c r="AR25">
        <v>0</v>
      </c>
      <c r="AS25">
        <v>0</v>
      </c>
      <c r="AT25">
        <f t="shared" si="25"/>
        <v>150</v>
      </c>
      <c r="AU25">
        <f t="shared" si="26"/>
        <v>36764</v>
      </c>
      <c r="AV25">
        <v>28900</v>
      </c>
      <c r="AW25">
        <f t="shared" si="27"/>
        <v>4046.0000000000005</v>
      </c>
      <c r="AX25">
        <f t="shared" si="28"/>
        <v>1156</v>
      </c>
      <c r="AY25">
        <f t="shared" si="29"/>
        <v>3468</v>
      </c>
      <c r="AZ25">
        <v>0</v>
      </c>
      <c r="BA25">
        <v>500</v>
      </c>
      <c r="BB25">
        <f t="shared" si="30"/>
        <v>38070</v>
      </c>
      <c r="BC25">
        <v>0</v>
      </c>
      <c r="BD25">
        <v>0</v>
      </c>
      <c r="BE25">
        <f t="shared" si="31"/>
        <v>150</v>
      </c>
      <c r="BF25">
        <f t="shared" si="32"/>
        <v>37920</v>
      </c>
      <c r="BG25">
        <v>28900</v>
      </c>
      <c r="BH25">
        <f t="shared" si="33"/>
        <v>4046.0000000000005</v>
      </c>
      <c r="BI25">
        <f t="shared" si="34"/>
        <v>3468</v>
      </c>
      <c r="BJ25">
        <v>0</v>
      </c>
      <c r="BK25">
        <v>500</v>
      </c>
      <c r="BL25">
        <f t="shared" si="35"/>
        <v>36914</v>
      </c>
      <c r="BM25">
        <v>0</v>
      </c>
      <c r="BN25">
        <v>0</v>
      </c>
      <c r="BO25">
        <f t="shared" si="36"/>
        <v>150</v>
      </c>
      <c r="BP25">
        <f t="shared" si="37"/>
        <v>36764</v>
      </c>
      <c r="BQ25">
        <v>28900</v>
      </c>
      <c r="BR25">
        <f t="shared" si="38"/>
        <v>4046.0000000000005</v>
      </c>
      <c r="BS25">
        <f t="shared" si="39"/>
        <v>3468</v>
      </c>
      <c r="BT25">
        <v>0</v>
      </c>
      <c r="BU25">
        <v>500</v>
      </c>
      <c r="BV25">
        <f t="shared" si="40"/>
        <v>36914</v>
      </c>
      <c r="BW25">
        <v>0</v>
      </c>
      <c r="BX25">
        <v>0</v>
      </c>
      <c r="BY25">
        <f t="shared" si="41"/>
        <v>150</v>
      </c>
      <c r="BZ25">
        <f t="shared" si="42"/>
        <v>36764</v>
      </c>
      <c r="CA25">
        <v>28900</v>
      </c>
      <c r="CB25">
        <f t="shared" si="43"/>
        <v>4046.0000000000005</v>
      </c>
      <c r="CC25">
        <f t="shared" si="44"/>
        <v>3468</v>
      </c>
      <c r="CD25">
        <v>0</v>
      </c>
      <c r="CE25">
        <v>500</v>
      </c>
      <c r="CF25">
        <f t="shared" si="45"/>
        <v>36914</v>
      </c>
      <c r="CG25">
        <v>0</v>
      </c>
      <c r="CH25">
        <v>0</v>
      </c>
      <c r="CI25">
        <f t="shared" si="46"/>
        <v>150</v>
      </c>
      <c r="CJ25">
        <f t="shared" si="47"/>
        <v>36764</v>
      </c>
      <c r="CK25">
        <v>28900</v>
      </c>
      <c r="CL25">
        <f t="shared" si="48"/>
        <v>4046.0000000000005</v>
      </c>
      <c r="CM25">
        <f t="shared" si="49"/>
        <v>3468</v>
      </c>
      <c r="CN25">
        <v>0</v>
      </c>
      <c r="CO25">
        <v>500</v>
      </c>
      <c r="CP25">
        <f t="shared" si="50"/>
        <v>36914</v>
      </c>
      <c r="CQ25">
        <v>0</v>
      </c>
      <c r="CR25">
        <v>0</v>
      </c>
      <c r="CS25">
        <f t="shared" si="51"/>
        <v>150</v>
      </c>
      <c r="CT25">
        <f t="shared" si="52"/>
        <v>36764</v>
      </c>
      <c r="CU25">
        <v>28900</v>
      </c>
      <c r="CV25">
        <f t="shared" si="53"/>
        <v>4046</v>
      </c>
      <c r="CW25">
        <f t="shared" si="54"/>
        <v>3468</v>
      </c>
      <c r="CX25">
        <v>0</v>
      </c>
      <c r="CY25">
        <v>500</v>
      </c>
      <c r="CZ25">
        <f t="shared" si="55"/>
        <v>36914</v>
      </c>
      <c r="DA25">
        <v>0</v>
      </c>
      <c r="DB25">
        <v>0</v>
      </c>
      <c r="DC25">
        <f t="shared" si="56"/>
        <v>150</v>
      </c>
      <c r="DD25">
        <f t="shared" si="57"/>
        <v>36764</v>
      </c>
      <c r="DE25">
        <v>28900</v>
      </c>
      <c r="DF25">
        <f t="shared" si="58"/>
        <v>4046.0000000000005</v>
      </c>
      <c r="DG25">
        <f t="shared" si="59"/>
        <v>3468</v>
      </c>
      <c r="DH25">
        <v>0</v>
      </c>
      <c r="DI25">
        <v>500</v>
      </c>
      <c r="DJ25">
        <f t="shared" si="60"/>
        <v>36914</v>
      </c>
      <c r="DK25">
        <v>0</v>
      </c>
      <c r="DL25">
        <v>0</v>
      </c>
      <c r="DM25">
        <f t="shared" si="61"/>
        <v>150</v>
      </c>
      <c r="DN25">
        <f t="shared" si="62"/>
        <v>36764</v>
      </c>
      <c r="DO25">
        <v>28900</v>
      </c>
      <c r="DP25">
        <f t="shared" si="63"/>
        <v>4046.0000000000005</v>
      </c>
      <c r="DQ25">
        <f t="shared" si="64"/>
        <v>3468</v>
      </c>
      <c r="DR25">
        <v>0</v>
      </c>
      <c r="DS25">
        <v>500</v>
      </c>
      <c r="DT25">
        <f t="shared" si="65"/>
        <v>36914</v>
      </c>
      <c r="DU25">
        <v>2000</v>
      </c>
      <c r="DV25">
        <v>0</v>
      </c>
      <c r="DW25">
        <f t="shared" si="66"/>
        <v>150</v>
      </c>
      <c r="DX25">
        <f t="shared" si="67"/>
        <v>34764</v>
      </c>
      <c r="DY25">
        <f t="shared" si="68"/>
        <v>406054</v>
      </c>
      <c r="DZ25">
        <f t="shared" si="0"/>
        <v>1650</v>
      </c>
      <c r="EA25">
        <f t="shared" si="1"/>
        <v>50000</v>
      </c>
      <c r="EB25">
        <v>0</v>
      </c>
      <c r="EC25">
        <f t="shared" si="2"/>
        <v>354404</v>
      </c>
      <c r="ED25">
        <f t="shared" si="3"/>
        <v>2000</v>
      </c>
      <c r="EE25">
        <f t="shared" si="4"/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f t="shared" si="5"/>
        <v>2000</v>
      </c>
      <c r="EQ25">
        <f t="shared" si="69"/>
        <v>2000</v>
      </c>
      <c r="ER25">
        <f t="shared" si="6"/>
        <v>352404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f t="shared" si="70"/>
        <v>0</v>
      </c>
      <c r="FA25">
        <f t="shared" si="71"/>
        <v>352404</v>
      </c>
      <c r="FB25">
        <f t="shared" si="72"/>
        <v>5120</v>
      </c>
      <c r="FC25">
        <f t="shared" si="73"/>
        <v>0</v>
      </c>
      <c r="FD25">
        <f t="shared" si="74"/>
        <v>5120</v>
      </c>
      <c r="FE25">
        <f t="shared" si="75"/>
        <v>0</v>
      </c>
      <c r="FF25">
        <f t="shared" si="76"/>
        <v>0</v>
      </c>
      <c r="FG25">
        <f t="shared" si="77"/>
        <v>0</v>
      </c>
      <c r="FH25">
        <v>0</v>
      </c>
      <c r="FI25">
        <f t="shared" si="78"/>
        <v>0</v>
      </c>
      <c r="FJ25" t="b">
        <f t="shared" si="79"/>
        <v>0</v>
      </c>
      <c r="FK25">
        <f t="shared" ca="1" si="80"/>
        <v>1956</v>
      </c>
      <c r="FL25">
        <f t="shared" ca="1" si="81"/>
        <v>408010</v>
      </c>
      <c r="FM25">
        <f t="shared" si="82"/>
        <v>75000</v>
      </c>
      <c r="FN25">
        <f t="shared" ca="1" si="83"/>
        <v>333010</v>
      </c>
      <c r="FO25">
        <f t="shared" ca="1" si="84"/>
        <v>0</v>
      </c>
      <c r="FP25">
        <f t="shared" ca="1" si="85"/>
        <v>0</v>
      </c>
      <c r="FQ25">
        <f t="shared" ca="1" si="86"/>
        <v>0</v>
      </c>
      <c r="FR25">
        <f t="shared" ca="1" si="87"/>
        <v>0</v>
      </c>
      <c r="FS25">
        <f t="shared" ca="1" si="88"/>
        <v>0</v>
      </c>
      <c r="FT25">
        <f t="shared" ca="1" si="89"/>
        <v>0</v>
      </c>
      <c r="FU25">
        <f t="shared" ca="1" si="90"/>
        <v>0</v>
      </c>
      <c r="FV25">
        <f t="shared" ca="1" si="91"/>
        <v>0</v>
      </c>
      <c r="FW25">
        <f t="shared" ca="1" si="92"/>
        <v>33010</v>
      </c>
      <c r="FX25">
        <f t="shared" ca="1" si="93"/>
        <v>1650.5</v>
      </c>
      <c r="FY25">
        <f t="shared" ca="1" si="94"/>
        <v>1651</v>
      </c>
      <c r="FZ25">
        <f t="shared" ca="1" si="95"/>
        <v>0</v>
      </c>
      <c r="GA25">
        <f t="shared" ca="1" si="96"/>
        <v>0</v>
      </c>
      <c r="GB25">
        <f t="shared" ca="1" si="97"/>
        <v>1651</v>
      </c>
      <c r="GC25">
        <f t="shared" ca="1" si="98"/>
        <v>0</v>
      </c>
      <c r="GD25" t="b">
        <f t="shared" ca="1" si="99"/>
        <v>0</v>
      </c>
      <c r="GE25">
        <f t="shared" ca="1" si="100"/>
        <v>0</v>
      </c>
      <c r="GF25">
        <f t="shared" ca="1" si="101"/>
        <v>1651</v>
      </c>
      <c r="GG25">
        <f t="shared" ca="1" si="102"/>
        <v>0</v>
      </c>
      <c r="GH25">
        <f t="shared" ca="1" si="103"/>
        <v>0</v>
      </c>
      <c r="GI25">
        <f t="shared" ca="1" si="104"/>
        <v>0</v>
      </c>
    </row>
    <row r="26" spans="1:191" x14ac:dyDescent="0.25">
      <c r="A26">
        <f>_xlfn.AGGREGATE(3,5,$B$2:B26)</f>
        <v>25</v>
      </c>
      <c r="B26" t="s">
        <v>172</v>
      </c>
      <c r="C26" t="s">
        <v>173</v>
      </c>
      <c r="D26" t="s">
        <v>767</v>
      </c>
      <c r="E26" t="s">
        <v>844</v>
      </c>
      <c r="F26">
        <v>0</v>
      </c>
      <c r="G26">
        <v>0</v>
      </c>
      <c r="H26">
        <v>50200</v>
      </c>
      <c r="I26">
        <f t="shared" si="7"/>
        <v>5020</v>
      </c>
      <c r="J26">
        <f t="shared" si="8"/>
        <v>6024</v>
      </c>
      <c r="K26">
        <v>400</v>
      </c>
      <c r="L26">
        <v>500</v>
      </c>
      <c r="M26">
        <f t="shared" si="9"/>
        <v>62144</v>
      </c>
      <c r="N26">
        <v>5000</v>
      </c>
      <c r="O26">
        <v>60</v>
      </c>
      <c r="P26">
        <f t="shared" si="10"/>
        <v>200</v>
      </c>
      <c r="Q26">
        <f t="shared" si="11"/>
        <v>56884</v>
      </c>
      <c r="R26">
        <v>50200</v>
      </c>
      <c r="S26">
        <f t="shared" si="12"/>
        <v>5020</v>
      </c>
      <c r="T26">
        <f t="shared" si="13"/>
        <v>6024</v>
      </c>
      <c r="U26">
        <v>400</v>
      </c>
      <c r="V26">
        <v>500</v>
      </c>
      <c r="W26">
        <f t="shared" si="14"/>
        <v>62144</v>
      </c>
      <c r="X26">
        <v>5000</v>
      </c>
      <c r="Y26">
        <v>60</v>
      </c>
      <c r="Z26">
        <f t="shared" si="15"/>
        <v>200</v>
      </c>
      <c r="AA26">
        <f t="shared" si="16"/>
        <v>56884</v>
      </c>
      <c r="AB26">
        <v>50200</v>
      </c>
      <c r="AC26">
        <f t="shared" si="17"/>
        <v>7028.0000000000009</v>
      </c>
      <c r="AD26">
        <f t="shared" si="18"/>
        <v>6024</v>
      </c>
      <c r="AE26">
        <v>400</v>
      </c>
      <c r="AF26">
        <v>500</v>
      </c>
      <c r="AG26">
        <f t="shared" si="19"/>
        <v>64152</v>
      </c>
      <c r="AH26">
        <v>5000</v>
      </c>
      <c r="AI26">
        <v>60</v>
      </c>
      <c r="AJ26">
        <f t="shared" si="20"/>
        <v>200</v>
      </c>
      <c r="AK26">
        <f t="shared" si="21"/>
        <v>58892</v>
      </c>
      <c r="AL26">
        <v>50200</v>
      </c>
      <c r="AM26">
        <f t="shared" si="22"/>
        <v>7028.0000000000009</v>
      </c>
      <c r="AN26">
        <f t="shared" si="23"/>
        <v>6024</v>
      </c>
      <c r="AO26">
        <v>400</v>
      </c>
      <c r="AP26">
        <v>500</v>
      </c>
      <c r="AQ26">
        <f t="shared" si="24"/>
        <v>64152</v>
      </c>
      <c r="AR26">
        <v>5000</v>
      </c>
      <c r="AS26">
        <v>60</v>
      </c>
      <c r="AT26">
        <f t="shared" si="25"/>
        <v>200</v>
      </c>
      <c r="AU26">
        <f t="shared" si="26"/>
        <v>58892</v>
      </c>
      <c r="AV26">
        <v>51700</v>
      </c>
      <c r="AW26">
        <f t="shared" si="27"/>
        <v>7238.0000000000009</v>
      </c>
      <c r="AX26">
        <f t="shared" si="28"/>
        <v>2008</v>
      </c>
      <c r="AY26">
        <f t="shared" si="29"/>
        <v>6204</v>
      </c>
      <c r="AZ26">
        <v>400</v>
      </c>
      <c r="BA26">
        <v>500</v>
      </c>
      <c r="BB26">
        <f t="shared" si="30"/>
        <v>68050</v>
      </c>
      <c r="BC26">
        <v>5000</v>
      </c>
      <c r="BD26">
        <v>60</v>
      </c>
      <c r="BE26">
        <f t="shared" si="31"/>
        <v>200</v>
      </c>
      <c r="BF26">
        <f t="shared" si="32"/>
        <v>62790</v>
      </c>
      <c r="BG26">
        <v>51700</v>
      </c>
      <c r="BH26">
        <f t="shared" si="33"/>
        <v>7238.0000000000009</v>
      </c>
      <c r="BI26">
        <f t="shared" si="34"/>
        <v>6204</v>
      </c>
      <c r="BJ26">
        <v>400</v>
      </c>
      <c r="BK26">
        <v>500</v>
      </c>
      <c r="BL26">
        <f t="shared" si="35"/>
        <v>66042</v>
      </c>
      <c r="BM26">
        <v>5000</v>
      </c>
      <c r="BN26">
        <v>60</v>
      </c>
      <c r="BO26">
        <f t="shared" si="36"/>
        <v>200</v>
      </c>
      <c r="BP26">
        <f t="shared" si="37"/>
        <v>60782</v>
      </c>
      <c r="BQ26">
        <v>51700</v>
      </c>
      <c r="BR26">
        <f t="shared" si="38"/>
        <v>7238.0000000000009</v>
      </c>
      <c r="BS26">
        <f t="shared" si="39"/>
        <v>6204</v>
      </c>
      <c r="BT26">
        <v>400</v>
      </c>
      <c r="BU26">
        <v>500</v>
      </c>
      <c r="BV26">
        <f t="shared" si="40"/>
        <v>66042</v>
      </c>
      <c r="BW26">
        <v>5000</v>
      </c>
      <c r="BX26">
        <v>60</v>
      </c>
      <c r="BY26">
        <f t="shared" si="41"/>
        <v>200</v>
      </c>
      <c r="BZ26">
        <f t="shared" si="42"/>
        <v>60782</v>
      </c>
      <c r="CA26">
        <v>51700</v>
      </c>
      <c r="CB26">
        <f t="shared" si="43"/>
        <v>7238.0000000000009</v>
      </c>
      <c r="CC26">
        <f t="shared" si="44"/>
        <v>6204</v>
      </c>
      <c r="CD26">
        <v>400</v>
      </c>
      <c r="CE26">
        <v>500</v>
      </c>
      <c r="CF26">
        <f t="shared" si="45"/>
        <v>66042</v>
      </c>
      <c r="CG26">
        <v>5000</v>
      </c>
      <c r="CH26">
        <v>60</v>
      </c>
      <c r="CI26">
        <f t="shared" si="46"/>
        <v>200</v>
      </c>
      <c r="CJ26">
        <f t="shared" si="47"/>
        <v>60782</v>
      </c>
      <c r="CK26">
        <v>51700</v>
      </c>
      <c r="CL26">
        <f t="shared" si="48"/>
        <v>7238.0000000000009</v>
      </c>
      <c r="CM26">
        <f t="shared" si="49"/>
        <v>6204</v>
      </c>
      <c r="CN26">
        <v>400</v>
      </c>
      <c r="CO26">
        <v>500</v>
      </c>
      <c r="CP26">
        <f t="shared" si="50"/>
        <v>66042</v>
      </c>
      <c r="CQ26">
        <v>5000</v>
      </c>
      <c r="CR26">
        <v>60</v>
      </c>
      <c r="CS26">
        <f t="shared" si="51"/>
        <v>200</v>
      </c>
      <c r="CT26">
        <f t="shared" si="52"/>
        <v>60782</v>
      </c>
      <c r="CU26">
        <v>51700</v>
      </c>
      <c r="CV26">
        <f t="shared" si="53"/>
        <v>7238</v>
      </c>
      <c r="CW26">
        <f t="shared" si="54"/>
        <v>6204</v>
      </c>
      <c r="CX26">
        <v>400</v>
      </c>
      <c r="CY26">
        <v>500</v>
      </c>
      <c r="CZ26">
        <f t="shared" si="55"/>
        <v>66042</v>
      </c>
      <c r="DA26">
        <v>5000</v>
      </c>
      <c r="DB26">
        <v>60</v>
      </c>
      <c r="DC26">
        <f t="shared" si="56"/>
        <v>200</v>
      </c>
      <c r="DD26">
        <f t="shared" si="57"/>
        <v>60782</v>
      </c>
      <c r="DE26">
        <v>51700</v>
      </c>
      <c r="DF26">
        <f t="shared" si="58"/>
        <v>7238.0000000000009</v>
      </c>
      <c r="DG26">
        <f t="shared" si="59"/>
        <v>6204</v>
      </c>
      <c r="DH26">
        <v>400</v>
      </c>
      <c r="DI26">
        <v>500</v>
      </c>
      <c r="DJ26">
        <f t="shared" si="60"/>
        <v>66042</v>
      </c>
      <c r="DK26">
        <v>5000</v>
      </c>
      <c r="DL26">
        <v>60</v>
      </c>
      <c r="DM26">
        <f t="shared" si="61"/>
        <v>200</v>
      </c>
      <c r="DN26">
        <f t="shared" si="62"/>
        <v>60782</v>
      </c>
      <c r="DO26">
        <v>51700</v>
      </c>
      <c r="DP26">
        <f t="shared" si="63"/>
        <v>7238.0000000000009</v>
      </c>
      <c r="DQ26">
        <f t="shared" si="64"/>
        <v>6204</v>
      </c>
      <c r="DR26">
        <v>400</v>
      </c>
      <c r="DS26">
        <v>500</v>
      </c>
      <c r="DT26">
        <f t="shared" si="65"/>
        <v>66042</v>
      </c>
      <c r="DU26">
        <v>5000</v>
      </c>
      <c r="DV26">
        <v>60</v>
      </c>
      <c r="DW26">
        <f t="shared" si="66"/>
        <v>200</v>
      </c>
      <c r="DX26">
        <f t="shared" si="67"/>
        <v>60782</v>
      </c>
      <c r="DY26">
        <f t="shared" si="68"/>
        <v>782936</v>
      </c>
      <c r="DZ26">
        <f t="shared" si="0"/>
        <v>2400</v>
      </c>
      <c r="EA26">
        <f t="shared" si="1"/>
        <v>50000</v>
      </c>
      <c r="EB26">
        <v>0</v>
      </c>
      <c r="EC26">
        <f t="shared" si="2"/>
        <v>730536</v>
      </c>
      <c r="ED26">
        <f t="shared" si="3"/>
        <v>60000</v>
      </c>
      <c r="EE26">
        <f t="shared" si="4"/>
        <v>720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f t="shared" si="5"/>
        <v>60720</v>
      </c>
      <c r="EQ26">
        <f t="shared" si="69"/>
        <v>60720</v>
      </c>
      <c r="ER26">
        <f t="shared" si="6"/>
        <v>669816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f t="shared" si="70"/>
        <v>0</v>
      </c>
      <c r="FA26">
        <f t="shared" si="71"/>
        <v>669816</v>
      </c>
      <c r="FB26">
        <f t="shared" si="72"/>
        <v>12500</v>
      </c>
      <c r="FC26">
        <f t="shared" si="73"/>
        <v>33963</v>
      </c>
      <c r="FD26">
        <f t="shared" si="74"/>
        <v>46463</v>
      </c>
      <c r="FE26">
        <f t="shared" si="75"/>
        <v>46463</v>
      </c>
      <c r="FF26">
        <f t="shared" si="76"/>
        <v>1858.52</v>
      </c>
      <c r="FG26">
        <f t="shared" si="77"/>
        <v>48322</v>
      </c>
      <c r="FH26">
        <v>0</v>
      </c>
      <c r="FI26">
        <f t="shared" si="78"/>
        <v>48322</v>
      </c>
      <c r="FJ26" t="b">
        <f t="shared" si="79"/>
        <v>1</v>
      </c>
      <c r="FK26">
        <f t="shared" ca="1" si="80"/>
        <v>735</v>
      </c>
      <c r="FL26">
        <f t="shared" ca="1" si="81"/>
        <v>783671</v>
      </c>
      <c r="FM26">
        <f t="shared" si="82"/>
        <v>75000</v>
      </c>
      <c r="FN26">
        <f t="shared" ca="1" si="83"/>
        <v>708671</v>
      </c>
      <c r="FO26">
        <f t="shared" ca="1" si="84"/>
        <v>0</v>
      </c>
      <c r="FP26">
        <f t="shared" ca="1" si="85"/>
        <v>0</v>
      </c>
      <c r="FQ26">
        <f t="shared" ca="1" si="86"/>
        <v>0</v>
      </c>
      <c r="FR26">
        <f t="shared" ca="1" si="87"/>
        <v>0</v>
      </c>
      <c r="FS26">
        <f t="shared" ca="1" si="88"/>
        <v>0</v>
      </c>
      <c r="FT26">
        <f t="shared" ca="1" si="89"/>
        <v>0</v>
      </c>
      <c r="FU26">
        <f t="shared" ca="1" si="90"/>
        <v>8671</v>
      </c>
      <c r="FV26">
        <f t="shared" ca="1" si="91"/>
        <v>867.1</v>
      </c>
      <c r="FW26">
        <f t="shared" ca="1" si="92"/>
        <v>400000</v>
      </c>
      <c r="FX26">
        <f t="shared" ca="1" si="93"/>
        <v>20000</v>
      </c>
      <c r="FY26">
        <f t="shared" ca="1" si="94"/>
        <v>20867</v>
      </c>
      <c r="FZ26">
        <f t="shared" ca="1" si="95"/>
        <v>708671</v>
      </c>
      <c r="GA26">
        <f t="shared" ca="1" si="96"/>
        <v>8671</v>
      </c>
      <c r="GB26">
        <f t="shared" ca="1" si="97"/>
        <v>0</v>
      </c>
      <c r="GC26">
        <f t="shared" ca="1" si="98"/>
        <v>12196</v>
      </c>
      <c r="GD26" t="b">
        <f t="shared" ca="1" si="99"/>
        <v>1</v>
      </c>
      <c r="GE26">
        <f t="shared" ca="1" si="100"/>
        <v>12196</v>
      </c>
      <c r="GF26">
        <f t="shared" ca="1" si="101"/>
        <v>12196</v>
      </c>
      <c r="GG26">
        <f t="shared" ca="1" si="102"/>
        <v>8671</v>
      </c>
      <c r="GH26">
        <f t="shared" ca="1" si="103"/>
        <v>346.84000000000003</v>
      </c>
      <c r="GI26">
        <f t="shared" ca="1" si="104"/>
        <v>9018</v>
      </c>
    </row>
    <row r="27" spans="1:191" x14ac:dyDescent="0.25">
      <c r="A27">
        <f>_xlfn.AGGREGATE(3,5,$B$2:B27)</f>
        <v>26</v>
      </c>
      <c r="B27" t="s">
        <v>174</v>
      </c>
      <c r="C27" t="s">
        <v>175</v>
      </c>
      <c r="D27" t="s">
        <v>767</v>
      </c>
      <c r="E27" t="s">
        <v>843</v>
      </c>
      <c r="F27">
        <v>0</v>
      </c>
      <c r="G27">
        <v>6000</v>
      </c>
      <c r="H27">
        <v>32500</v>
      </c>
      <c r="I27">
        <f t="shared" si="7"/>
        <v>3250</v>
      </c>
      <c r="J27">
        <f t="shared" si="8"/>
        <v>3900</v>
      </c>
      <c r="K27">
        <v>0</v>
      </c>
      <c r="L27">
        <v>500</v>
      </c>
      <c r="M27">
        <f t="shared" si="9"/>
        <v>40150</v>
      </c>
      <c r="N27">
        <v>3000</v>
      </c>
      <c r="O27">
        <v>0</v>
      </c>
      <c r="P27">
        <f t="shared" si="10"/>
        <v>200</v>
      </c>
      <c r="Q27">
        <f t="shared" si="11"/>
        <v>36950</v>
      </c>
      <c r="R27">
        <v>32500</v>
      </c>
      <c r="S27">
        <f t="shared" si="12"/>
        <v>3250</v>
      </c>
      <c r="T27">
        <f t="shared" si="13"/>
        <v>3900</v>
      </c>
      <c r="U27">
        <v>0</v>
      </c>
      <c r="V27">
        <v>500</v>
      </c>
      <c r="W27">
        <f t="shared" si="14"/>
        <v>40150</v>
      </c>
      <c r="X27">
        <v>3000</v>
      </c>
      <c r="Y27">
        <v>0</v>
      </c>
      <c r="Z27">
        <f t="shared" si="15"/>
        <v>200</v>
      </c>
      <c r="AA27">
        <f t="shared" si="16"/>
        <v>36950</v>
      </c>
      <c r="AB27">
        <v>32500</v>
      </c>
      <c r="AC27">
        <f t="shared" si="17"/>
        <v>4550</v>
      </c>
      <c r="AD27">
        <f t="shared" si="18"/>
        <v>3900</v>
      </c>
      <c r="AE27">
        <v>0</v>
      </c>
      <c r="AF27">
        <v>500</v>
      </c>
      <c r="AG27">
        <f t="shared" si="19"/>
        <v>41450</v>
      </c>
      <c r="AH27">
        <v>3000</v>
      </c>
      <c r="AI27">
        <v>0</v>
      </c>
      <c r="AJ27">
        <f t="shared" si="20"/>
        <v>200</v>
      </c>
      <c r="AK27">
        <f t="shared" si="21"/>
        <v>38250</v>
      </c>
      <c r="AL27">
        <v>32500</v>
      </c>
      <c r="AM27">
        <f t="shared" si="22"/>
        <v>4550</v>
      </c>
      <c r="AN27">
        <f t="shared" si="23"/>
        <v>3900</v>
      </c>
      <c r="AO27">
        <v>0</v>
      </c>
      <c r="AP27">
        <v>500</v>
      </c>
      <c r="AQ27">
        <f t="shared" si="24"/>
        <v>41450</v>
      </c>
      <c r="AR27">
        <v>3000</v>
      </c>
      <c r="AS27">
        <v>0</v>
      </c>
      <c r="AT27">
        <f t="shared" si="25"/>
        <v>200</v>
      </c>
      <c r="AU27">
        <f t="shared" si="26"/>
        <v>38250</v>
      </c>
      <c r="AV27">
        <v>34500</v>
      </c>
      <c r="AW27">
        <f t="shared" si="27"/>
        <v>4830.0000000000009</v>
      </c>
      <c r="AX27">
        <f t="shared" si="28"/>
        <v>1300</v>
      </c>
      <c r="AY27">
        <f t="shared" si="29"/>
        <v>4140</v>
      </c>
      <c r="AZ27">
        <v>0</v>
      </c>
      <c r="BA27">
        <v>500</v>
      </c>
      <c r="BB27">
        <f t="shared" si="30"/>
        <v>45270</v>
      </c>
      <c r="BC27">
        <v>3000</v>
      </c>
      <c r="BD27">
        <v>0</v>
      </c>
      <c r="BE27">
        <f t="shared" si="31"/>
        <v>200</v>
      </c>
      <c r="BF27">
        <f t="shared" si="32"/>
        <v>42070</v>
      </c>
      <c r="BG27">
        <v>34500</v>
      </c>
      <c r="BH27">
        <f t="shared" si="33"/>
        <v>4830.0000000000009</v>
      </c>
      <c r="BI27">
        <f t="shared" si="34"/>
        <v>4140</v>
      </c>
      <c r="BJ27">
        <v>0</v>
      </c>
      <c r="BK27">
        <v>500</v>
      </c>
      <c r="BL27">
        <f t="shared" si="35"/>
        <v>43970</v>
      </c>
      <c r="BM27">
        <v>3000</v>
      </c>
      <c r="BN27">
        <v>0</v>
      </c>
      <c r="BO27">
        <f t="shared" si="36"/>
        <v>200</v>
      </c>
      <c r="BP27">
        <f t="shared" si="37"/>
        <v>40770</v>
      </c>
      <c r="BQ27">
        <v>34500</v>
      </c>
      <c r="BR27">
        <f t="shared" si="38"/>
        <v>4830.0000000000009</v>
      </c>
      <c r="BS27">
        <f t="shared" si="39"/>
        <v>4140</v>
      </c>
      <c r="BT27">
        <v>0</v>
      </c>
      <c r="BU27">
        <v>500</v>
      </c>
      <c r="BV27">
        <f t="shared" si="40"/>
        <v>43970</v>
      </c>
      <c r="BW27">
        <v>3000</v>
      </c>
      <c r="BX27">
        <v>0</v>
      </c>
      <c r="BY27">
        <f t="shared" si="41"/>
        <v>200</v>
      </c>
      <c r="BZ27">
        <f t="shared" si="42"/>
        <v>40770</v>
      </c>
      <c r="CA27">
        <v>34500</v>
      </c>
      <c r="CB27">
        <f t="shared" si="43"/>
        <v>4830.0000000000009</v>
      </c>
      <c r="CC27">
        <f t="shared" si="44"/>
        <v>4140</v>
      </c>
      <c r="CD27">
        <v>0</v>
      </c>
      <c r="CE27">
        <v>500</v>
      </c>
      <c r="CF27">
        <f t="shared" si="45"/>
        <v>43970</v>
      </c>
      <c r="CG27">
        <v>3000</v>
      </c>
      <c r="CH27">
        <v>0</v>
      </c>
      <c r="CI27">
        <f t="shared" si="46"/>
        <v>200</v>
      </c>
      <c r="CJ27">
        <f t="shared" si="47"/>
        <v>40770</v>
      </c>
      <c r="CK27">
        <v>34500</v>
      </c>
      <c r="CL27">
        <f t="shared" si="48"/>
        <v>4830.0000000000009</v>
      </c>
      <c r="CM27">
        <f t="shared" si="49"/>
        <v>4140</v>
      </c>
      <c r="CN27">
        <v>0</v>
      </c>
      <c r="CO27">
        <v>500</v>
      </c>
      <c r="CP27">
        <f t="shared" si="50"/>
        <v>43970</v>
      </c>
      <c r="CQ27">
        <v>3000</v>
      </c>
      <c r="CR27">
        <v>0</v>
      </c>
      <c r="CS27">
        <f t="shared" si="51"/>
        <v>200</v>
      </c>
      <c r="CT27">
        <f t="shared" si="52"/>
        <v>40770</v>
      </c>
      <c r="CU27">
        <v>34500</v>
      </c>
      <c r="CV27">
        <f t="shared" si="53"/>
        <v>4830</v>
      </c>
      <c r="CW27">
        <f t="shared" si="54"/>
        <v>4140</v>
      </c>
      <c r="CX27">
        <v>0</v>
      </c>
      <c r="CY27">
        <v>500</v>
      </c>
      <c r="CZ27">
        <f t="shared" si="55"/>
        <v>43970</v>
      </c>
      <c r="DA27">
        <v>3000</v>
      </c>
      <c r="DB27">
        <v>0</v>
      </c>
      <c r="DC27">
        <f t="shared" si="56"/>
        <v>200</v>
      </c>
      <c r="DD27">
        <f t="shared" si="57"/>
        <v>40770</v>
      </c>
      <c r="DE27">
        <v>34500</v>
      </c>
      <c r="DF27">
        <f t="shared" si="58"/>
        <v>4830.0000000000009</v>
      </c>
      <c r="DG27">
        <f t="shared" si="59"/>
        <v>4140</v>
      </c>
      <c r="DH27">
        <v>0</v>
      </c>
      <c r="DI27">
        <v>500</v>
      </c>
      <c r="DJ27">
        <f t="shared" si="60"/>
        <v>43970</v>
      </c>
      <c r="DK27">
        <v>3000</v>
      </c>
      <c r="DL27">
        <v>0</v>
      </c>
      <c r="DM27">
        <f t="shared" si="61"/>
        <v>200</v>
      </c>
      <c r="DN27">
        <f t="shared" si="62"/>
        <v>40770</v>
      </c>
      <c r="DO27">
        <v>34500</v>
      </c>
      <c r="DP27">
        <f t="shared" si="63"/>
        <v>4830.0000000000009</v>
      </c>
      <c r="DQ27">
        <f t="shared" si="64"/>
        <v>4140</v>
      </c>
      <c r="DR27">
        <v>0</v>
      </c>
      <c r="DS27">
        <v>500</v>
      </c>
      <c r="DT27">
        <f t="shared" si="65"/>
        <v>43970</v>
      </c>
      <c r="DU27">
        <v>3000</v>
      </c>
      <c r="DV27">
        <v>0</v>
      </c>
      <c r="DW27">
        <f t="shared" si="66"/>
        <v>200</v>
      </c>
      <c r="DX27">
        <f t="shared" si="67"/>
        <v>40770</v>
      </c>
      <c r="DY27">
        <f t="shared" si="68"/>
        <v>522260</v>
      </c>
      <c r="DZ27">
        <f t="shared" si="0"/>
        <v>2400</v>
      </c>
      <c r="EA27">
        <f t="shared" si="1"/>
        <v>50000</v>
      </c>
      <c r="EB27">
        <v>0</v>
      </c>
      <c r="EC27">
        <f t="shared" si="2"/>
        <v>469860</v>
      </c>
      <c r="ED27">
        <f t="shared" si="3"/>
        <v>36000</v>
      </c>
      <c r="EE27">
        <f t="shared" si="4"/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f t="shared" si="5"/>
        <v>36000</v>
      </c>
      <c r="EQ27">
        <f t="shared" si="69"/>
        <v>36000</v>
      </c>
      <c r="ER27">
        <f t="shared" si="6"/>
        <v>433860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f t="shared" si="70"/>
        <v>0</v>
      </c>
      <c r="FA27">
        <f t="shared" si="71"/>
        <v>433860</v>
      </c>
      <c r="FB27">
        <f t="shared" si="72"/>
        <v>9193</v>
      </c>
      <c r="FC27">
        <f t="shared" si="73"/>
        <v>0</v>
      </c>
      <c r="FD27">
        <f t="shared" si="74"/>
        <v>9193</v>
      </c>
      <c r="FE27">
        <f t="shared" si="75"/>
        <v>0</v>
      </c>
      <c r="FF27">
        <f t="shared" si="76"/>
        <v>0</v>
      </c>
      <c r="FG27">
        <f t="shared" si="77"/>
        <v>0</v>
      </c>
      <c r="FH27">
        <v>0</v>
      </c>
      <c r="FI27">
        <f t="shared" si="78"/>
        <v>0</v>
      </c>
      <c r="FJ27" t="b">
        <f t="shared" si="79"/>
        <v>1</v>
      </c>
      <c r="FK27">
        <f t="shared" ca="1" si="80"/>
        <v>705</v>
      </c>
      <c r="FL27">
        <f t="shared" ca="1" si="81"/>
        <v>522965</v>
      </c>
      <c r="FM27">
        <f t="shared" si="82"/>
        <v>75000</v>
      </c>
      <c r="FN27">
        <f t="shared" ca="1" si="83"/>
        <v>447965</v>
      </c>
      <c r="FO27">
        <f t="shared" ca="1" si="84"/>
        <v>0</v>
      </c>
      <c r="FP27">
        <f t="shared" ca="1" si="85"/>
        <v>0</v>
      </c>
      <c r="FQ27">
        <f t="shared" ca="1" si="86"/>
        <v>0</v>
      </c>
      <c r="FR27">
        <f t="shared" ca="1" si="87"/>
        <v>0</v>
      </c>
      <c r="FS27">
        <f t="shared" ca="1" si="88"/>
        <v>0</v>
      </c>
      <c r="FT27">
        <f t="shared" ca="1" si="89"/>
        <v>0</v>
      </c>
      <c r="FU27">
        <f t="shared" ca="1" si="90"/>
        <v>0</v>
      </c>
      <c r="FV27">
        <f t="shared" ca="1" si="91"/>
        <v>0</v>
      </c>
      <c r="FW27">
        <f t="shared" ca="1" si="92"/>
        <v>147965</v>
      </c>
      <c r="FX27">
        <f t="shared" ca="1" si="93"/>
        <v>7398.25</v>
      </c>
      <c r="FY27">
        <f t="shared" ca="1" si="94"/>
        <v>7398</v>
      </c>
      <c r="FZ27">
        <f t="shared" ca="1" si="95"/>
        <v>0</v>
      </c>
      <c r="GA27">
        <f t="shared" ca="1" si="96"/>
        <v>0</v>
      </c>
      <c r="GB27">
        <f t="shared" ca="1" si="97"/>
        <v>7398</v>
      </c>
      <c r="GC27">
        <f t="shared" ca="1" si="98"/>
        <v>0</v>
      </c>
      <c r="GD27" t="b">
        <f t="shared" ca="1" si="99"/>
        <v>0</v>
      </c>
      <c r="GE27">
        <f t="shared" ca="1" si="100"/>
        <v>0</v>
      </c>
      <c r="GF27">
        <f t="shared" ca="1" si="101"/>
        <v>7398</v>
      </c>
      <c r="GG27">
        <f t="shared" ca="1" si="102"/>
        <v>0</v>
      </c>
      <c r="GH27">
        <f t="shared" ca="1" si="103"/>
        <v>0</v>
      </c>
      <c r="GI27">
        <f t="shared" ca="1" si="104"/>
        <v>0</v>
      </c>
    </row>
    <row r="28" spans="1:191" x14ac:dyDescent="0.25">
      <c r="A28">
        <f>_xlfn.AGGREGATE(3,5,$B$2:B28)</f>
        <v>27</v>
      </c>
      <c r="B28" t="s">
        <v>176</v>
      </c>
      <c r="C28" t="s">
        <v>177</v>
      </c>
      <c r="D28" t="s">
        <v>767</v>
      </c>
      <c r="E28" t="s">
        <v>843</v>
      </c>
      <c r="F28">
        <v>0</v>
      </c>
      <c r="G28">
        <v>6000</v>
      </c>
      <c r="H28">
        <v>32500</v>
      </c>
      <c r="I28">
        <f t="shared" si="7"/>
        <v>3250</v>
      </c>
      <c r="J28">
        <f t="shared" si="8"/>
        <v>3900</v>
      </c>
      <c r="K28">
        <v>0</v>
      </c>
      <c r="L28">
        <v>500</v>
      </c>
      <c r="M28">
        <f t="shared" si="9"/>
        <v>40150</v>
      </c>
      <c r="N28">
        <v>2500</v>
      </c>
      <c r="O28">
        <v>0</v>
      </c>
      <c r="P28">
        <f t="shared" si="10"/>
        <v>200</v>
      </c>
      <c r="Q28">
        <f t="shared" si="11"/>
        <v>37450</v>
      </c>
      <c r="R28">
        <v>32500</v>
      </c>
      <c r="S28">
        <f t="shared" si="12"/>
        <v>3250</v>
      </c>
      <c r="T28">
        <f t="shared" si="13"/>
        <v>3900</v>
      </c>
      <c r="U28">
        <v>0</v>
      </c>
      <c r="V28">
        <v>500</v>
      </c>
      <c r="W28">
        <f t="shared" si="14"/>
        <v>40150</v>
      </c>
      <c r="X28">
        <v>2500</v>
      </c>
      <c r="Y28">
        <v>0</v>
      </c>
      <c r="Z28">
        <f t="shared" si="15"/>
        <v>200</v>
      </c>
      <c r="AA28">
        <f t="shared" si="16"/>
        <v>37450</v>
      </c>
      <c r="AB28">
        <v>32500</v>
      </c>
      <c r="AC28">
        <f t="shared" si="17"/>
        <v>4550</v>
      </c>
      <c r="AD28">
        <f t="shared" si="18"/>
        <v>3900</v>
      </c>
      <c r="AE28">
        <v>0</v>
      </c>
      <c r="AF28">
        <v>500</v>
      </c>
      <c r="AG28">
        <f t="shared" si="19"/>
        <v>41450</v>
      </c>
      <c r="AH28">
        <v>2500</v>
      </c>
      <c r="AI28">
        <v>0</v>
      </c>
      <c r="AJ28">
        <f t="shared" si="20"/>
        <v>200</v>
      </c>
      <c r="AK28">
        <f t="shared" si="21"/>
        <v>38750</v>
      </c>
      <c r="AL28">
        <v>32500</v>
      </c>
      <c r="AM28">
        <f t="shared" si="22"/>
        <v>4550</v>
      </c>
      <c r="AN28">
        <f t="shared" si="23"/>
        <v>3900</v>
      </c>
      <c r="AO28">
        <v>0</v>
      </c>
      <c r="AP28">
        <v>500</v>
      </c>
      <c r="AQ28">
        <f t="shared" si="24"/>
        <v>41450</v>
      </c>
      <c r="AR28">
        <v>2500</v>
      </c>
      <c r="AS28">
        <v>0</v>
      </c>
      <c r="AT28">
        <f t="shared" si="25"/>
        <v>200</v>
      </c>
      <c r="AU28">
        <f t="shared" si="26"/>
        <v>38750</v>
      </c>
      <c r="AV28">
        <v>33500</v>
      </c>
      <c r="AW28">
        <f t="shared" si="27"/>
        <v>4690</v>
      </c>
      <c r="AX28">
        <f t="shared" si="28"/>
        <v>1300</v>
      </c>
      <c r="AY28">
        <f t="shared" si="29"/>
        <v>4020</v>
      </c>
      <c r="AZ28">
        <v>0</v>
      </c>
      <c r="BA28">
        <v>500</v>
      </c>
      <c r="BB28">
        <f t="shared" si="30"/>
        <v>44010</v>
      </c>
      <c r="BC28">
        <v>2500</v>
      </c>
      <c r="BD28">
        <v>0</v>
      </c>
      <c r="BE28">
        <f t="shared" si="31"/>
        <v>200</v>
      </c>
      <c r="BF28">
        <f t="shared" si="32"/>
        <v>41310</v>
      </c>
      <c r="BG28">
        <v>33500</v>
      </c>
      <c r="BH28">
        <f t="shared" si="33"/>
        <v>4690</v>
      </c>
      <c r="BI28">
        <f t="shared" si="34"/>
        <v>4020</v>
      </c>
      <c r="BJ28">
        <v>0</v>
      </c>
      <c r="BK28">
        <v>500</v>
      </c>
      <c r="BL28">
        <f t="shared" si="35"/>
        <v>42710</v>
      </c>
      <c r="BM28">
        <v>2500</v>
      </c>
      <c r="BN28">
        <v>0</v>
      </c>
      <c r="BO28">
        <f t="shared" si="36"/>
        <v>200</v>
      </c>
      <c r="BP28">
        <f t="shared" si="37"/>
        <v>40010</v>
      </c>
      <c r="BQ28">
        <v>33500</v>
      </c>
      <c r="BR28">
        <f t="shared" si="38"/>
        <v>4690</v>
      </c>
      <c r="BS28">
        <f t="shared" si="39"/>
        <v>4020</v>
      </c>
      <c r="BT28">
        <v>0</v>
      </c>
      <c r="BU28">
        <v>500</v>
      </c>
      <c r="BV28">
        <f t="shared" si="40"/>
        <v>42710</v>
      </c>
      <c r="BW28">
        <v>2500</v>
      </c>
      <c r="BX28">
        <v>0</v>
      </c>
      <c r="BY28">
        <f t="shared" si="41"/>
        <v>200</v>
      </c>
      <c r="BZ28">
        <f t="shared" si="42"/>
        <v>40010</v>
      </c>
      <c r="CA28">
        <v>33500</v>
      </c>
      <c r="CB28">
        <f t="shared" si="43"/>
        <v>4690</v>
      </c>
      <c r="CC28">
        <f t="shared" si="44"/>
        <v>4020</v>
      </c>
      <c r="CD28">
        <v>0</v>
      </c>
      <c r="CE28">
        <v>500</v>
      </c>
      <c r="CF28">
        <f t="shared" si="45"/>
        <v>42710</v>
      </c>
      <c r="CG28">
        <v>2500</v>
      </c>
      <c r="CH28">
        <v>0</v>
      </c>
      <c r="CI28">
        <f t="shared" si="46"/>
        <v>200</v>
      </c>
      <c r="CJ28">
        <f t="shared" si="47"/>
        <v>40010</v>
      </c>
      <c r="CK28">
        <v>33500</v>
      </c>
      <c r="CL28">
        <f t="shared" si="48"/>
        <v>4690</v>
      </c>
      <c r="CM28">
        <f t="shared" si="49"/>
        <v>4020</v>
      </c>
      <c r="CN28">
        <v>0</v>
      </c>
      <c r="CO28">
        <v>500</v>
      </c>
      <c r="CP28">
        <f t="shared" si="50"/>
        <v>42710</v>
      </c>
      <c r="CQ28">
        <v>2500</v>
      </c>
      <c r="CR28">
        <v>0</v>
      </c>
      <c r="CS28">
        <f t="shared" si="51"/>
        <v>200</v>
      </c>
      <c r="CT28">
        <f t="shared" si="52"/>
        <v>40010</v>
      </c>
      <c r="CU28">
        <v>34403</v>
      </c>
      <c r="CV28">
        <f t="shared" si="53"/>
        <v>4816</v>
      </c>
      <c r="CW28">
        <f t="shared" si="54"/>
        <v>4128</v>
      </c>
      <c r="CX28">
        <v>0</v>
      </c>
      <c r="CY28">
        <v>500</v>
      </c>
      <c r="CZ28">
        <f t="shared" si="55"/>
        <v>43847</v>
      </c>
      <c r="DA28">
        <v>2500</v>
      </c>
      <c r="DB28">
        <v>0</v>
      </c>
      <c r="DC28">
        <f t="shared" si="56"/>
        <v>200</v>
      </c>
      <c r="DD28">
        <f t="shared" si="57"/>
        <v>41147</v>
      </c>
      <c r="DE28">
        <v>34500</v>
      </c>
      <c r="DF28">
        <f t="shared" si="58"/>
        <v>4830.0000000000009</v>
      </c>
      <c r="DG28">
        <f t="shared" si="59"/>
        <v>4140</v>
      </c>
      <c r="DH28">
        <v>0</v>
      </c>
      <c r="DI28">
        <v>500</v>
      </c>
      <c r="DJ28">
        <f t="shared" si="60"/>
        <v>43970</v>
      </c>
      <c r="DK28">
        <v>2500</v>
      </c>
      <c r="DL28">
        <v>0</v>
      </c>
      <c r="DM28">
        <f t="shared" si="61"/>
        <v>200</v>
      </c>
      <c r="DN28">
        <f t="shared" si="62"/>
        <v>41270</v>
      </c>
      <c r="DO28">
        <v>34500</v>
      </c>
      <c r="DP28">
        <f t="shared" si="63"/>
        <v>4830.0000000000009</v>
      </c>
      <c r="DQ28">
        <f t="shared" si="64"/>
        <v>4140</v>
      </c>
      <c r="DR28">
        <v>0</v>
      </c>
      <c r="DS28">
        <v>500</v>
      </c>
      <c r="DT28">
        <f t="shared" si="65"/>
        <v>43970</v>
      </c>
      <c r="DU28">
        <v>2500</v>
      </c>
      <c r="DV28">
        <v>0</v>
      </c>
      <c r="DW28">
        <f t="shared" si="66"/>
        <v>200</v>
      </c>
      <c r="DX28">
        <f t="shared" si="67"/>
        <v>41270</v>
      </c>
      <c r="DY28">
        <f t="shared" si="68"/>
        <v>515837</v>
      </c>
      <c r="DZ28">
        <f t="shared" si="0"/>
        <v>2400</v>
      </c>
      <c r="EA28">
        <f t="shared" si="1"/>
        <v>50000</v>
      </c>
      <c r="EB28">
        <v>0</v>
      </c>
      <c r="EC28">
        <f t="shared" si="2"/>
        <v>463437</v>
      </c>
      <c r="ED28">
        <f t="shared" si="3"/>
        <v>30000</v>
      </c>
      <c r="EE28">
        <f t="shared" si="4"/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f t="shared" si="5"/>
        <v>30000</v>
      </c>
      <c r="EQ28">
        <f t="shared" si="69"/>
        <v>30000</v>
      </c>
      <c r="ER28">
        <f t="shared" si="6"/>
        <v>433437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f t="shared" si="70"/>
        <v>0</v>
      </c>
      <c r="FA28">
        <f t="shared" si="71"/>
        <v>433437</v>
      </c>
      <c r="FB28">
        <f t="shared" si="72"/>
        <v>9172</v>
      </c>
      <c r="FC28">
        <f t="shared" si="73"/>
        <v>0</v>
      </c>
      <c r="FD28">
        <f t="shared" si="74"/>
        <v>9172</v>
      </c>
      <c r="FE28">
        <f t="shared" si="75"/>
        <v>0</v>
      </c>
      <c r="FF28">
        <f t="shared" si="76"/>
        <v>0</v>
      </c>
      <c r="FG28">
        <f t="shared" si="77"/>
        <v>0</v>
      </c>
      <c r="FH28">
        <v>0</v>
      </c>
      <c r="FI28">
        <f t="shared" si="78"/>
        <v>0</v>
      </c>
      <c r="FJ28" t="b">
        <f t="shared" si="79"/>
        <v>1</v>
      </c>
      <c r="FK28">
        <f t="shared" ca="1" si="80"/>
        <v>660</v>
      </c>
      <c r="FL28">
        <f t="shared" ca="1" si="81"/>
        <v>516497</v>
      </c>
      <c r="FM28">
        <f t="shared" si="82"/>
        <v>75000</v>
      </c>
      <c r="FN28">
        <f t="shared" ca="1" si="83"/>
        <v>441497</v>
      </c>
      <c r="FO28">
        <f t="shared" ca="1" si="84"/>
        <v>0</v>
      </c>
      <c r="FP28">
        <f t="shared" ca="1" si="85"/>
        <v>0</v>
      </c>
      <c r="FQ28">
        <f t="shared" ca="1" si="86"/>
        <v>0</v>
      </c>
      <c r="FR28">
        <f t="shared" ca="1" si="87"/>
        <v>0</v>
      </c>
      <c r="FS28">
        <f t="shared" ca="1" si="88"/>
        <v>0</v>
      </c>
      <c r="FT28">
        <f t="shared" ca="1" si="89"/>
        <v>0</v>
      </c>
      <c r="FU28">
        <f t="shared" ca="1" si="90"/>
        <v>0</v>
      </c>
      <c r="FV28">
        <f t="shared" ca="1" si="91"/>
        <v>0</v>
      </c>
      <c r="FW28">
        <f t="shared" ca="1" si="92"/>
        <v>141497</v>
      </c>
      <c r="FX28">
        <f t="shared" ca="1" si="93"/>
        <v>7074.85</v>
      </c>
      <c r="FY28">
        <f t="shared" ca="1" si="94"/>
        <v>7075</v>
      </c>
      <c r="FZ28">
        <f t="shared" ca="1" si="95"/>
        <v>0</v>
      </c>
      <c r="GA28">
        <f t="shared" ca="1" si="96"/>
        <v>0</v>
      </c>
      <c r="GB28">
        <f t="shared" ca="1" si="97"/>
        <v>7075</v>
      </c>
      <c r="GC28">
        <f t="shared" ca="1" si="98"/>
        <v>0</v>
      </c>
      <c r="GD28" t="b">
        <f t="shared" ca="1" si="99"/>
        <v>0</v>
      </c>
      <c r="GE28">
        <f t="shared" ca="1" si="100"/>
        <v>0</v>
      </c>
      <c r="GF28">
        <f t="shared" ca="1" si="101"/>
        <v>7075</v>
      </c>
      <c r="GG28">
        <f t="shared" ca="1" si="102"/>
        <v>0</v>
      </c>
      <c r="GH28">
        <f t="shared" ca="1" si="103"/>
        <v>0</v>
      </c>
      <c r="GI28">
        <f t="shared" ca="1" si="104"/>
        <v>0</v>
      </c>
    </row>
    <row r="29" spans="1:191" x14ac:dyDescent="0.25">
      <c r="A29">
        <f>_xlfn.AGGREGATE(3,5,$B$2:B29)</f>
        <v>28</v>
      </c>
      <c r="B29" t="s">
        <v>178</v>
      </c>
      <c r="C29" t="s">
        <v>179</v>
      </c>
      <c r="D29" t="s">
        <v>768</v>
      </c>
      <c r="E29" t="s">
        <v>844</v>
      </c>
      <c r="F29">
        <v>0</v>
      </c>
      <c r="G29">
        <v>0</v>
      </c>
      <c r="H29">
        <v>50200</v>
      </c>
      <c r="I29">
        <f t="shared" si="7"/>
        <v>5020</v>
      </c>
      <c r="J29">
        <f t="shared" si="8"/>
        <v>6024</v>
      </c>
      <c r="K29">
        <v>400</v>
      </c>
      <c r="L29">
        <v>500</v>
      </c>
      <c r="M29">
        <f t="shared" si="9"/>
        <v>62144</v>
      </c>
      <c r="N29">
        <v>10000</v>
      </c>
      <c r="O29">
        <v>0</v>
      </c>
      <c r="P29">
        <f t="shared" si="10"/>
        <v>200</v>
      </c>
      <c r="Q29">
        <f t="shared" si="11"/>
        <v>51944</v>
      </c>
      <c r="R29">
        <v>50200</v>
      </c>
      <c r="S29">
        <f t="shared" si="12"/>
        <v>5020</v>
      </c>
      <c r="T29">
        <f t="shared" si="13"/>
        <v>6024</v>
      </c>
      <c r="U29">
        <v>400</v>
      </c>
      <c r="V29">
        <v>500</v>
      </c>
      <c r="W29">
        <f t="shared" si="14"/>
        <v>62144</v>
      </c>
      <c r="X29">
        <v>10000</v>
      </c>
      <c r="Y29">
        <v>0</v>
      </c>
      <c r="Z29">
        <f t="shared" si="15"/>
        <v>200</v>
      </c>
      <c r="AA29">
        <f t="shared" si="16"/>
        <v>51944</v>
      </c>
      <c r="AB29">
        <v>50200</v>
      </c>
      <c r="AC29">
        <f t="shared" si="17"/>
        <v>7028.0000000000009</v>
      </c>
      <c r="AD29">
        <f t="shared" si="18"/>
        <v>6024</v>
      </c>
      <c r="AE29">
        <v>400</v>
      </c>
      <c r="AF29">
        <v>500</v>
      </c>
      <c r="AG29">
        <f t="shared" si="19"/>
        <v>64152</v>
      </c>
      <c r="AH29">
        <v>10000</v>
      </c>
      <c r="AI29">
        <v>0</v>
      </c>
      <c r="AJ29">
        <f t="shared" si="20"/>
        <v>200</v>
      </c>
      <c r="AK29">
        <f t="shared" si="21"/>
        <v>53952</v>
      </c>
      <c r="AL29">
        <v>50200</v>
      </c>
      <c r="AM29">
        <f t="shared" si="22"/>
        <v>7028.0000000000009</v>
      </c>
      <c r="AN29">
        <f t="shared" si="23"/>
        <v>6024</v>
      </c>
      <c r="AO29">
        <v>400</v>
      </c>
      <c r="AP29">
        <v>500</v>
      </c>
      <c r="AQ29">
        <f t="shared" si="24"/>
        <v>64152</v>
      </c>
      <c r="AR29">
        <v>10000</v>
      </c>
      <c r="AS29">
        <v>0</v>
      </c>
      <c r="AT29">
        <f t="shared" si="25"/>
        <v>200</v>
      </c>
      <c r="AU29">
        <f t="shared" si="26"/>
        <v>53952</v>
      </c>
      <c r="AV29">
        <v>51700</v>
      </c>
      <c r="AW29">
        <f t="shared" si="27"/>
        <v>7238.0000000000009</v>
      </c>
      <c r="AX29">
        <f t="shared" si="28"/>
        <v>2008</v>
      </c>
      <c r="AY29">
        <f t="shared" si="29"/>
        <v>6204</v>
      </c>
      <c r="AZ29">
        <v>400</v>
      </c>
      <c r="BA29">
        <v>500</v>
      </c>
      <c r="BB29">
        <f t="shared" si="30"/>
        <v>68050</v>
      </c>
      <c r="BC29">
        <v>10000</v>
      </c>
      <c r="BD29">
        <v>0</v>
      </c>
      <c r="BE29">
        <f t="shared" si="31"/>
        <v>200</v>
      </c>
      <c r="BF29">
        <f t="shared" si="32"/>
        <v>57850</v>
      </c>
      <c r="BG29">
        <v>51700</v>
      </c>
      <c r="BH29">
        <f t="shared" si="33"/>
        <v>7238.0000000000009</v>
      </c>
      <c r="BI29">
        <f t="shared" si="34"/>
        <v>6204</v>
      </c>
      <c r="BJ29">
        <v>400</v>
      </c>
      <c r="BK29">
        <v>500</v>
      </c>
      <c r="BL29">
        <f t="shared" si="35"/>
        <v>66042</v>
      </c>
      <c r="BM29">
        <v>10000</v>
      </c>
      <c r="BN29">
        <v>0</v>
      </c>
      <c r="BO29">
        <f t="shared" si="36"/>
        <v>200</v>
      </c>
      <c r="BP29">
        <f t="shared" si="37"/>
        <v>55842</v>
      </c>
      <c r="BQ29">
        <v>51700</v>
      </c>
      <c r="BR29">
        <f t="shared" si="38"/>
        <v>7238.0000000000009</v>
      </c>
      <c r="BS29">
        <f t="shared" si="39"/>
        <v>6204</v>
      </c>
      <c r="BT29">
        <v>400</v>
      </c>
      <c r="BU29">
        <v>500</v>
      </c>
      <c r="BV29">
        <f t="shared" si="40"/>
        <v>66042</v>
      </c>
      <c r="BW29">
        <v>10000</v>
      </c>
      <c r="BX29">
        <v>0</v>
      </c>
      <c r="BY29">
        <f t="shared" si="41"/>
        <v>200</v>
      </c>
      <c r="BZ29">
        <f t="shared" si="42"/>
        <v>55842</v>
      </c>
      <c r="CA29">
        <v>51700</v>
      </c>
      <c r="CB29">
        <f t="shared" si="43"/>
        <v>7238.0000000000009</v>
      </c>
      <c r="CC29">
        <f t="shared" si="44"/>
        <v>6204</v>
      </c>
      <c r="CD29">
        <v>400</v>
      </c>
      <c r="CE29">
        <v>500</v>
      </c>
      <c r="CF29">
        <f t="shared" si="45"/>
        <v>66042</v>
      </c>
      <c r="CG29">
        <v>10000</v>
      </c>
      <c r="CH29">
        <v>0</v>
      </c>
      <c r="CI29">
        <f t="shared" si="46"/>
        <v>200</v>
      </c>
      <c r="CJ29">
        <f t="shared" si="47"/>
        <v>55842</v>
      </c>
      <c r="CK29">
        <v>51700</v>
      </c>
      <c r="CL29">
        <f t="shared" si="48"/>
        <v>7238.0000000000009</v>
      </c>
      <c r="CM29">
        <f t="shared" si="49"/>
        <v>6204</v>
      </c>
      <c r="CN29">
        <v>400</v>
      </c>
      <c r="CO29">
        <v>500</v>
      </c>
      <c r="CP29">
        <f t="shared" si="50"/>
        <v>66042</v>
      </c>
      <c r="CQ29">
        <v>10000</v>
      </c>
      <c r="CR29">
        <v>0</v>
      </c>
      <c r="CS29">
        <f t="shared" si="51"/>
        <v>200</v>
      </c>
      <c r="CT29">
        <f t="shared" si="52"/>
        <v>55842</v>
      </c>
      <c r="CU29">
        <v>51700</v>
      </c>
      <c r="CV29">
        <f t="shared" si="53"/>
        <v>7238</v>
      </c>
      <c r="CW29">
        <f t="shared" si="54"/>
        <v>6204</v>
      </c>
      <c r="CX29">
        <v>400</v>
      </c>
      <c r="CY29">
        <v>500</v>
      </c>
      <c r="CZ29">
        <f t="shared" si="55"/>
        <v>66042</v>
      </c>
      <c r="DA29">
        <v>10000</v>
      </c>
      <c r="DB29">
        <v>0</v>
      </c>
      <c r="DC29">
        <f t="shared" si="56"/>
        <v>200</v>
      </c>
      <c r="DD29">
        <f t="shared" si="57"/>
        <v>55842</v>
      </c>
      <c r="DE29">
        <v>51700</v>
      </c>
      <c r="DF29">
        <f t="shared" si="58"/>
        <v>7238.0000000000009</v>
      </c>
      <c r="DG29">
        <f t="shared" si="59"/>
        <v>6204</v>
      </c>
      <c r="DH29">
        <v>400</v>
      </c>
      <c r="DI29">
        <v>500</v>
      </c>
      <c r="DJ29">
        <f t="shared" si="60"/>
        <v>66042</v>
      </c>
      <c r="DK29">
        <v>10000</v>
      </c>
      <c r="DL29">
        <v>0</v>
      </c>
      <c r="DM29">
        <f t="shared" si="61"/>
        <v>200</v>
      </c>
      <c r="DN29">
        <f t="shared" si="62"/>
        <v>55842</v>
      </c>
      <c r="DO29">
        <v>51700</v>
      </c>
      <c r="DP29">
        <f t="shared" si="63"/>
        <v>7238.0000000000009</v>
      </c>
      <c r="DQ29">
        <f t="shared" si="64"/>
        <v>6204</v>
      </c>
      <c r="DR29">
        <v>400</v>
      </c>
      <c r="DS29">
        <v>500</v>
      </c>
      <c r="DT29">
        <f t="shared" si="65"/>
        <v>66042</v>
      </c>
      <c r="DU29">
        <v>10000</v>
      </c>
      <c r="DV29">
        <v>0</v>
      </c>
      <c r="DW29">
        <f t="shared" si="66"/>
        <v>200</v>
      </c>
      <c r="DX29">
        <f t="shared" si="67"/>
        <v>55842</v>
      </c>
      <c r="DY29">
        <f t="shared" si="68"/>
        <v>782936</v>
      </c>
      <c r="DZ29">
        <f t="shared" si="0"/>
        <v>2400</v>
      </c>
      <c r="EA29">
        <f t="shared" si="1"/>
        <v>50000</v>
      </c>
      <c r="EB29">
        <v>0</v>
      </c>
      <c r="EC29">
        <f t="shared" si="2"/>
        <v>730536</v>
      </c>
      <c r="ED29">
        <f t="shared" si="3"/>
        <v>120000</v>
      </c>
      <c r="EE29">
        <f t="shared" si="4"/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f t="shared" si="5"/>
        <v>120000</v>
      </c>
      <c r="EQ29">
        <f t="shared" si="69"/>
        <v>120000</v>
      </c>
      <c r="ER29">
        <f t="shared" si="6"/>
        <v>610536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f t="shared" si="70"/>
        <v>0</v>
      </c>
      <c r="FA29">
        <f t="shared" si="71"/>
        <v>610536</v>
      </c>
      <c r="FB29">
        <f t="shared" si="72"/>
        <v>12500</v>
      </c>
      <c r="FC29">
        <f t="shared" si="73"/>
        <v>22107</v>
      </c>
      <c r="FD29">
        <f t="shared" si="74"/>
        <v>34607</v>
      </c>
      <c r="FE29">
        <f t="shared" si="75"/>
        <v>34607</v>
      </c>
      <c r="FF29">
        <f t="shared" si="76"/>
        <v>1384.28</v>
      </c>
      <c r="FG29">
        <f t="shared" si="77"/>
        <v>35991</v>
      </c>
      <c r="FH29">
        <v>0</v>
      </c>
      <c r="FI29">
        <f t="shared" si="78"/>
        <v>35991</v>
      </c>
      <c r="FJ29" t="b">
        <f t="shared" si="79"/>
        <v>1</v>
      </c>
      <c r="FK29">
        <f t="shared" ca="1" si="80"/>
        <v>512</v>
      </c>
      <c r="FL29">
        <f t="shared" ca="1" si="81"/>
        <v>783448</v>
      </c>
      <c r="FM29">
        <f t="shared" si="82"/>
        <v>75000</v>
      </c>
      <c r="FN29">
        <f t="shared" ca="1" si="83"/>
        <v>708448</v>
      </c>
      <c r="FO29">
        <f t="shared" ca="1" si="84"/>
        <v>0</v>
      </c>
      <c r="FP29">
        <f t="shared" ca="1" si="85"/>
        <v>0</v>
      </c>
      <c r="FQ29">
        <f t="shared" ca="1" si="86"/>
        <v>0</v>
      </c>
      <c r="FR29">
        <f t="shared" ca="1" si="87"/>
        <v>0</v>
      </c>
      <c r="FS29">
        <f t="shared" ca="1" si="88"/>
        <v>0</v>
      </c>
      <c r="FT29">
        <f t="shared" ca="1" si="89"/>
        <v>0</v>
      </c>
      <c r="FU29">
        <f t="shared" ca="1" si="90"/>
        <v>8448</v>
      </c>
      <c r="FV29">
        <f t="shared" ca="1" si="91"/>
        <v>844.80000000000007</v>
      </c>
      <c r="FW29">
        <f t="shared" ca="1" si="92"/>
        <v>400000</v>
      </c>
      <c r="FX29">
        <f t="shared" ca="1" si="93"/>
        <v>20000</v>
      </c>
      <c r="FY29">
        <f t="shared" ca="1" si="94"/>
        <v>20845</v>
      </c>
      <c r="FZ29">
        <f t="shared" ca="1" si="95"/>
        <v>708448</v>
      </c>
      <c r="GA29">
        <f t="shared" ca="1" si="96"/>
        <v>8448</v>
      </c>
      <c r="GB29">
        <f t="shared" ca="1" si="97"/>
        <v>0</v>
      </c>
      <c r="GC29">
        <f t="shared" ca="1" si="98"/>
        <v>12397</v>
      </c>
      <c r="GD29" t="b">
        <f t="shared" ca="1" si="99"/>
        <v>1</v>
      </c>
      <c r="GE29">
        <f t="shared" ca="1" si="100"/>
        <v>12397</v>
      </c>
      <c r="GF29">
        <f t="shared" ca="1" si="101"/>
        <v>12397</v>
      </c>
      <c r="GG29">
        <f t="shared" ca="1" si="102"/>
        <v>8448</v>
      </c>
      <c r="GH29">
        <f t="shared" ca="1" si="103"/>
        <v>337.92</v>
      </c>
      <c r="GI29">
        <f t="shared" ca="1" si="104"/>
        <v>8786</v>
      </c>
    </row>
    <row r="30" spans="1:191" x14ac:dyDescent="0.25">
      <c r="A30">
        <f>_xlfn.AGGREGATE(3,5,$B$2:B30)</f>
        <v>29</v>
      </c>
      <c r="B30" t="s">
        <v>180</v>
      </c>
      <c r="C30" t="s">
        <v>181</v>
      </c>
      <c r="D30" t="s">
        <v>768</v>
      </c>
      <c r="E30" t="s">
        <v>844</v>
      </c>
      <c r="F30">
        <v>0</v>
      </c>
      <c r="G30">
        <v>6000</v>
      </c>
      <c r="H30">
        <v>26200</v>
      </c>
      <c r="I30">
        <f t="shared" si="7"/>
        <v>2620</v>
      </c>
      <c r="J30">
        <f t="shared" si="8"/>
        <v>3144</v>
      </c>
      <c r="K30">
        <v>0</v>
      </c>
      <c r="L30">
        <v>500</v>
      </c>
      <c r="M30">
        <f t="shared" si="9"/>
        <v>32464</v>
      </c>
      <c r="N30">
        <v>3000</v>
      </c>
      <c r="O30">
        <v>0</v>
      </c>
      <c r="P30">
        <f t="shared" si="10"/>
        <v>150</v>
      </c>
      <c r="Q30">
        <f t="shared" si="11"/>
        <v>29314</v>
      </c>
      <c r="R30">
        <v>26200</v>
      </c>
      <c r="S30">
        <f t="shared" si="12"/>
        <v>2620</v>
      </c>
      <c r="T30">
        <f t="shared" si="13"/>
        <v>3144</v>
      </c>
      <c r="U30">
        <v>0</v>
      </c>
      <c r="V30">
        <v>500</v>
      </c>
      <c r="W30">
        <f t="shared" si="14"/>
        <v>32464</v>
      </c>
      <c r="X30">
        <v>3000</v>
      </c>
      <c r="Y30">
        <v>0</v>
      </c>
      <c r="Z30">
        <f t="shared" si="15"/>
        <v>150</v>
      </c>
      <c r="AA30">
        <f t="shared" si="16"/>
        <v>29314</v>
      </c>
      <c r="AB30">
        <v>26200</v>
      </c>
      <c r="AC30">
        <f t="shared" si="17"/>
        <v>3668.0000000000005</v>
      </c>
      <c r="AD30">
        <f t="shared" si="18"/>
        <v>3144</v>
      </c>
      <c r="AE30">
        <v>0</v>
      </c>
      <c r="AF30">
        <v>500</v>
      </c>
      <c r="AG30">
        <f t="shared" si="19"/>
        <v>33512</v>
      </c>
      <c r="AH30">
        <v>3000</v>
      </c>
      <c r="AI30">
        <v>0</v>
      </c>
      <c r="AJ30">
        <f t="shared" si="20"/>
        <v>150</v>
      </c>
      <c r="AK30">
        <f t="shared" si="21"/>
        <v>30362</v>
      </c>
      <c r="AL30">
        <v>26200</v>
      </c>
      <c r="AM30">
        <f t="shared" si="22"/>
        <v>3668.0000000000005</v>
      </c>
      <c r="AN30">
        <f t="shared" si="23"/>
        <v>3144</v>
      </c>
      <c r="AO30">
        <v>0</v>
      </c>
      <c r="AP30">
        <v>500</v>
      </c>
      <c r="AQ30">
        <f t="shared" si="24"/>
        <v>33512</v>
      </c>
      <c r="AR30">
        <v>3000</v>
      </c>
      <c r="AS30">
        <v>0</v>
      </c>
      <c r="AT30">
        <f t="shared" si="25"/>
        <v>150</v>
      </c>
      <c r="AU30">
        <f t="shared" si="26"/>
        <v>30362</v>
      </c>
      <c r="AV30">
        <v>27000</v>
      </c>
      <c r="AW30">
        <f t="shared" si="27"/>
        <v>3780.0000000000005</v>
      </c>
      <c r="AX30">
        <f t="shared" si="28"/>
        <v>1048</v>
      </c>
      <c r="AY30">
        <f t="shared" si="29"/>
        <v>3240</v>
      </c>
      <c r="AZ30">
        <v>0</v>
      </c>
      <c r="BA30">
        <v>500</v>
      </c>
      <c r="BB30">
        <f t="shared" si="30"/>
        <v>35568</v>
      </c>
      <c r="BC30">
        <v>3000</v>
      </c>
      <c r="BD30">
        <v>0</v>
      </c>
      <c r="BE30">
        <f t="shared" si="31"/>
        <v>150</v>
      </c>
      <c r="BF30">
        <f t="shared" si="32"/>
        <v>32418</v>
      </c>
      <c r="BG30">
        <v>27000</v>
      </c>
      <c r="BH30">
        <f t="shared" si="33"/>
        <v>3780.0000000000005</v>
      </c>
      <c r="BI30">
        <f t="shared" si="34"/>
        <v>3240</v>
      </c>
      <c r="BJ30">
        <v>0</v>
      </c>
      <c r="BK30">
        <v>500</v>
      </c>
      <c r="BL30">
        <f t="shared" si="35"/>
        <v>34520</v>
      </c>
      <c r="BM30">
        <v>3000</v>
      </c>
      <c r="BN30">
        <v>0</v>
      </c>
      <c r="BO30">
        <f t="shared" si="36"/>
        <v>150</v>
      </c>
      <c r="BP30">
        <f t="shared" si="37"/>
        <v>31370</v>
      </c>
      <c r="BQ30">
        <v>27000</v>
      </c>
      <c r="BR30">
        <f t="shared" si="38"/>
        <v>3780.0000000000005</v>
      </c>
      <c r="BS30">
        <f t="shared" si="39"/>
        <v>3240</v>
      </c>
      <c r="BT30">
        <v>0</v>
      </c>
      <c r="BU30">
        <v>500</v>
      </c>
      <c r="BV30">
        <f t="shared" si="40"/>
        <v>34520</v>
      </c>
      <c r="BW30">
        <v>3000</v>
      </c>
      <c r="BX30">
        <v>0</v>
      </c>
      <c r="BY30">
        <f t="shared" si="41"/>
        <v>150</v>
      </c>
      <c r="BZ30">
        <f t="shared" si="42"/>
        <v>31370</v>
      </c>
      <c r="CA30">
        <v>27000</v>
      </c>
      <c r="CB30">
        <f t="shared" si="43"/>
        <v>3780.0000000000005</v>
      </c>
      <c r="CC30">
        <f t="shared" si="44"/>
        <v>3240</v>
      </c>
      <c r="CD30">
        <v>0</v>
      </c>
      <c r="CE30">
        <v>500</v>
      </c>
      <c r="CF30">
        <f t="shared" si="45"/>
        <v>34520</v>
      </c>
      <c r="CG30">
        <v>3000</v>
      </c>
      <c r="CH30">
        <v>0</v>
      </c>
      <c r="CI30">
        <f t="shared" si="46"/>
        <v>150</v>
      </c>
      <c r="CJ30">
        <f t="shared" si="47"/>
        <v>31370</v>
      </c>
      <c r="CK30">
        <v>27000</v>
      </c>
      <c r="CL30">
        <f t="shared" si="48"/>
        <v>3780.0000000000005</v>
      </c>
      <c r="CM30">
        <f t="shared" si="49"/>
        <v>3240</v>
      </c>
      <c r="CN30">
        <v>0</v>
      </c>
      <c r="CO30">
        <v>500</v>
      </c>
      <c r="CP30">
        <f t="shared" si="50"/>
        <v>34520</v>
      </c>
      <c r="CQ30">
        <v>3000</v>
      </c>
      <c r="CR30">
        <v>0</v>
      </c>
      <c r="CS30">
        <f t="shared" si="51"/>
        <v>150</v>
      </c>
      <c r="CT30">
        <f t="shared" si="52"/>
        <v>31370</v>
      </c>
      <c r="CU30">
        <v>27000</v>
      </c>
      <c r="CV30">
        <f t="shared" si="53"/>
        <v>3780</v>
      </c>
      <c r="CW30">
        <f t="shared" si="54"/>
        <v>3240</v>
      </c>
      <c r="CX30">
        <v>0</v>
      </c>
      <c r="CY30">
        <v>500</v>
      </c>
      <c r="CZ30">
        <f t="shared" si="55"/>
        <v>34520</v>
      </c>
      <c r="DA30">
        <v>3000</v>
      </c>
      <c r="DB30">
        <v>0</v>
      </c>
      <c r="DC30">
        <f t="shared" si="56"/>
        <v>150</v>
      </c>
      <c r="DD30">
        <f t="shared" si="57"/>
        <v>31370</v>
      </c>
      <c r="DE30">
        <v>27000</v>
      </c>
      <c r="DF30">
        <f t="shared" si="58"/>
        <v>3780.0000000000005</v>
      </c>
      <c r="DG30">
        <f t="shared" si="59"/>
        <v>3240</v>
      </c>
      <c r="DH30">
        <v>0</v>
      </c>
      <c r="DI30">
        <v>500</v>
      </c>
      <c r="DJ30">
        <f t="shared" si="60"/>
        <v>34520</v>
      </c>
      <c r="DK30">
        <v>3000</v>
      </c>
      <c r="DL30">
        <v>0</v>
      </c>
      <c r="DM30">
        <f t="shared" si="61"/>
        <v>150</v>
      </c>
      <c r="DN30">
        <f t="shared" si="62"/>
        <v>31370</v>
      </c>
      <c r="DO30">
        <v>27000</v>
      </c>
      <c r="DP30">
        <f t="shared" si="63"/>
        <v>3780.0000000000005</v>
      </c>
      <c r="DQ30">
        <f t="shared" si="64"/>
        <v>3240</v>
      </c>
      <c r="DR30">
        <v>0</v>
      </c>
      <c r="DS30">
        <v>500</v>
      </c>
      <c r="DT30">
        <f t="shared" si="65"/>
        <v>34520</v>
      </c>
      <c r="DU30">
        <v>3000</v>
      </c>
      <c r="DV30">
        <v>0</v>
      </c>
      <c r="DW30">
        <f t="shared" si="66"/>
        <v>150</v>
      </c>
      <c r="DX30">
        <f t="shared" si="67"/>
        <v>31370</v>
      </c>
      <c r="DY30">
        <f t="shared" si="68"/>
        <v>415160</v>
      </c>
      <c r="DZ30">
        <f t="shared" si="0"/>
        <v>1800</v>
      </c>
      <c r="EA30">
        <f t="shared" si="1"/>
        <v>50000</v>
      </c>
      <c r="EB30">
        <v>0</v>
      </c>
      <c r="EC30">
        <f t="shared" si="2"/>
        <v>363360</v>
      </c>
      <c r="ED30">
        <f t="shared" si="3"/>
        <v>36000</v>
      </c>
      <c r="EE30">
        <f t="shared" si="4"/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f t="shared" si="5"/>
        <v>36000</v>
      </c>
      <c r="EQ30">
        <f t="shared" si="69"/>
        <v>36000</v>
      </c>
      <c r="ER30">
        <f t="shared" si="6"/>
        <v>327360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f t="shared" si="70"/>
        <v>0</v>
      </c>
      <c r="FA30">
        <f t="shared" si="71"/>
        <v>327360</v>
      </c>
      <c r="FB30">
        <f t="shared" si="72"/>
        <v>3868</v>
      </c>
      <c r="FC30">
        <f t="shared" si="73"/>
        <v>0</v>
      </c>
      <c r="FD30">
        <f t="shared" si="74"/>
        <v>3868</v>
      </c>
      <c r="FE30">
        <f t="shared" si="75"/>
        <v>0</v>
      </c>
      <c r="FF30">
        <f t="shared" si="76"/>
        <v>0</v>
      </c>
      <c r="FG30">
        <f t="shared" si="77"/>
        <v>0</v>
      </c>
      <c r="FH30">
        <v>0</v>
      </c>
      <c r="FI30">
        <f t="shared" si="78"/>
        <v>0</v>
      </c>
      <c r="FJ30" t="b">
        <f t="shared" si="79"/>
        <v>0</v>
      </c>
      <c r="FK30">
        <f t="shared" ca="1" si="80"/>
        <v>1106</v>
      </c>
      <c r="FL30">
        <f t="shared" ca="1" si="81"/>
        <v>416266</v>
      </c>
      <c r="FM30">
        <f t="shared" si="82"/>
        <v>75000</v>
      </c>
      <c r="FN30">
        <f t="shared" ca="1" si="83"/>
        <v>341266</v>
      </c>
      <c r="FO30">
        <f t="shared" ca="1" si="84"/>
        <v>0</v>
      </c>
      <c r="FP30">
        <f t="shared" ca="1" si="85"/>
        <v>0</v>
      </c>
      <c r="FQ30">
        <f t="shared" ca="1" si="86"/>
        <v>0</v>
      </c>
      <c r="FR30">
        <f t="shared" ca="1" si="87"/>
        <v>0</v>
      </c>
      <c r="FS30">
        <f t="shared" ca="1" si="88"/>
        <v>0</v>
      </c>
      <c r="FT30">
        <f t="shared" ca="1" si="89"/>
        <v>0</v>
      </c>
      <c r="FU30">
        <f t="shared" ca="1" si="90"/>
        <v>0</v>
      </c>
      <c r="FV30">
        <f t="shared" ca="1" si="91"/>
        <v>0</v>
      </c>
      <c r="FW30">
        <f t="shared" ca="1" si="92"/>
        <v>41266</v>
      </c>
      <c r="FX30">
        <f t="shared" ca="1" si="93"/>
        <v>2063.3000000000002</v>
      </c>
      <c r="FY30">
        <f t="shared" ca="1" si="94"/>
        <v>2063</v>
      </c>
      <c r="FZ30">
        <f t="shared" ca="1" si="95"/>
        <v>0</v>
      </c>
      <c r="GA30">
        <f t="shared" ca="1" si="96"/>
        <v>0</v>
      </c>
      <c r="GB30">
        <f t="shared" ca="1" si="97"/>
        <v>2063</v>
      </c>
      <c r="GC30">
        <f t="shared" ca="1" si="98"/>
        <v>0</v>
      </c>
      <c r="GD30" t="b">
        <f t="shared" ca="1" si="99"/>
        <v>0</v>
      </c>
      <c r="GE30">
        <f t="shared" ca="1" si="100"/>
        <v>0</v>
      </c>
      <c r="GF30">
        <f t="shared" ca="1" si="101"/>
        <v>2063</v>
      </c>
      <c r="GG30">
        <f t="shared" ca="1" si="102"/>
        <v>0</v>
      </c>
      <c r="GH30">
        <f t="shared" ca="1" si="103"/>
        <v>0</v>
      </c>
      <c r="GI30">
        <f t="shared" ca="1" si="104"/>
        <v>0</v>
      </c>
    </row>
    <row r="31" spans="1:191" x14ac:dyDescent="0.25">
      <c r="A31">
        <f>_xlfn.AGGREGATE(3,5,$B$2:B31)</f>
        <v>30</v>
      </c>
      <c r="B31" t="s">
        <v>182</v>
      </c>
      <c r="C31" t="s">
        <v>183</v>
      </c>
      <c r="D31" t="s">
        <v>769</v>
      </c>
      <c r="E31" t="s">
        <v>844</v>
      </c>
      <c r="F31">
        <v>0</v>
      </c>
      <c r="G31">
        <v>0</v>
      </c>
      <c r="H31">
        <v>50200</v>
      </c>
      <c r="I31">
        <f t="shared" si="7"/>
        <v>5020</v>
      </c>
      <c r="J31">
        <f t="shared" si="8"/>
        <v>6024</v>
      </c>
      <c r="K31">
        <v>400</v>
      </c>
      <c r="L31">
        <v>500</v>
      </c>
      <c r="M31">
        <f t="shared" si="9"/>
        <v>62144</v>
      </c>
      <c r="N31">
        <v>4000</v>
      </c>
      <c r="O31">
        <v>60</v>
      </c>
      <c r="P31">
        <f t="shared" si="10"/>
        <v>200</v>
      </c>
      <c r="Q31">
        <f t="shared" si="11"/>
        <v>57884</v>
      </c>
      <c r="R31">
        <v>50200</v>
      </c>
      <c r="S31">
        <f t="shared" si="12"/>
        <v>5020</v>
      </c>
      <c r="T31">
        <f t="shared" si="13"/>
        <v>6024</v>
      </c>
      <c r="U31">
        <v>400</v>
      </c>
      <c r="V31">
        <v>500</v>
      </c>
      <c r="W31">
        <f t="shared" si="14"/>
        <v>62144</v>
      </c>
      <c r="X31">
        <v>4000</v>
      </c>
      <c r="Y31">
        <v>60</v>
      </c>
      <c r="Z31">
        <f t="shared" si="15"/>
        <v>200</v>
      </c>
      <c r="AA31">
        <f t="shared" si="16"/>
        <v>57884</v>
      </c>
      <c r="AB31">
        <v>50200</v>
      </c>
      <c r="AC31">
        <f t="shared" si="17"/>
        <v>7028.0000000000009</v>
      </c>
      <c r="AD31">
        <f t="shared" si="18"/>
        <v>6024</v>
      </c>
      <c r="AE31">
        <v>400</v>
      </c>
      <c r="AF31">
        <v>500</v>
      </c>
      <c r="AG31">
        <f t="shared" si="19"/>
        <v>64152</v>
      </c>
      <c r="AH31">
        <v>4000</v>
      </c>
      <c r="AI31">
        <v>60</v>
      </c>
      <c r="AJ31">
        <f t="shared" si="20"/>
        <v>200</v>
      </c>
      <c r="AK31">
        <f t="shared" si="21"/>
        <v>59892</v>
      </c>
      <c r="AL31">
        <v>50200</v>
      </c>
      <c r="AM31">
        <f t="shared" si="22"/>
        <v>7028.0000000000009</v>
      </c>
      <c r="AN31">
        <f t="shared" si="23"/>
        <v>6024</v>
      </c>
      <c r="AO31">
        <v>400</v>
      </c>
      <c r="AP31">
        <v>500</v>
      </c>
      <c r="AQ31">
        <f t="shared" si="24"/>
        <v>64152</v>
      </c>
      <c r="AR31">
        <v>4000</v>
      </c>
      <c r="AS31">
        <v>60</v>
      </c>
      <c r="AT31">
        <f t="shared" si="25"/>
        <v>200</v>
      </c>
      <c r="AU31">
        <f t="shared" si="26"/>
        <v>59892</v>
      </c>
      <c r="AV31">
        <v>51700</v>
      </c>
      <c r="AW31">
        <f t="shared" si="27"/>
        <v>7238.0000000000009</v>
      </c>
      <c r="AX31">
        <f t="shared" si="28"/>
        <v>2008</v>
      </c>
      <c r="AY31">
        <f t="shared" si="29"/>
        <v>6204</v>
      </c>
      <c r="AZ31">
        <v>400</v>
      </c>
      <c r="BA31">
        <v>500</v>
      </c>
      <c r="BB31">
        <f t="shared" si="30"/>
        <v>68050</v>
      </c>
      <c r="BC31">
        <v>4000</v>
      </c>
      <c r="BD31">
        <v>60</v>
      </c>
      <c r="BE31">
        <f t="shared" si="31"/>
        <v>200</v>
      </c>
      <c r="BF31">
        <f t="shared" si="32"/>
        <v>63790</v>
      </c>
      <c r="BG31">
        <v>51700</v>
      </c>
      <c r="BH31">
        <f t="shared" si="33"/>
        <v>7238.0000000000009</v>
      </c>
      <c r="BI31">
        <f t="shared" si="34"/>
        <v>6204</v>
      </c>
      <c r="BJ31">
        <v>400</v>
      </c>
      <c r="BK31">
        <v>500</v>
      </c>
      <c r="BL31">
        <f t="shared" si="35"/>
        <v>66042</v>
      </c>
      <c r="BM31">
        <v>4000</v>
      </c>
      <c r="BN31">
        <v>60</v>
      </c>
      <c r="BO31">
        <f t="shared" si="36"/>
        <v>200</v>
      </c>
      <c r="BP31">
        <f t="shared" si="37"/>
        <v>61782</v>
      </c>
      <c r="BQ31">
        <v>51700</v>
      </c>
      <c r="BR31">
        <f t="shared" si="38"/>
        <v>7238.0000000000009</v>
      </c>
      <c r="BS31">
        <f t="shared" si="39"/>
        <v>6204</v>
      </c>
      <c r="BT31">
        <v>400</v>
      </c>
      <c r="BU31">
        <v>500</v>
      </c>
      <c r="BV31">
        <f t="shared" si="40"/>
        <v>66042</v>
      </c>
      <c r="BW31">
        <v>4000</v>
      </c>
      <c r="BX31">
        <v>60</v>
      </c>
      <c r="BY31">
        <f t="shared" si="41"/>
        <v>200</v>
      </c>
      <c r="BZ31">
        <f t="shared" si="42"/>
        <v>61782</v>
      </c>
      <c r="CA31">
        <v>51700</v>
      </c>
      <c r="CB31">
        <f t="shared" si="43"/>
        <v>7238.0000000000009</v>
      </c>
      <c r="CC31">
        <f t="shared" si="44"/>
        <v>6204</v>
      </c>
      <c r="CD31">
        <v>400</v>
      </c>
      <c r="CE31">
        <v>500</v>
      </c>
      <c r="CF31">
        <f t="shared" si="45"/>
        <v>66042</v>
      </c>
      <c r="CG31">
        <v>4000</v>
      </c>
      <c r="CH31">
        <v>60</v>
      </c>
      <c r="CI31">
        <f t="shared" si="46"/>
        <v>200</v>
      </c>
      <c r="CJ31">
        <f t="shared" si="47"/>
        <v>61782</v>
      </c>
      <c r="CK31">
        <v>51700</v>
      </c>
      <c r="CL31">
        <f t="shared" si="48"/>
        <v>7238.0000000000009</v>
      </c>
      <c r="CM31">
        <f t="shared" si="49"/>
        <v>6204</v>
      </c>
      <c r="CN31">
        <v>400</v>
      </c>
      <c r="CO31">
        <v>500</v>
      </c>
      <c r="CP31">
        <f t="shared" si="50"/>
        <v>66042</v>
      </c>
      <c r="CQ31">
        <v>4000</v>
      </c>
      <c r="CR31">
        <v>60</v>
      </c>
      <c r="CS31">
        <f t="shared" si="51"/>
        <v>200</v>
      </c>
      <c r="CT31">
        <f t="shared" si="52"/>
        <v>61782</v>
      </c>
      <c r="CU31">
        <v>51700</v>
      </c>
      <c r="CV31">
        <f t="shared" si="53"/>
        <v>7238</v>
      </c>
      <c r="CW31">
        <f t="shared" si="54"/>
        <v>6204</v>
      </c>
      <c r="CX31">
        <v>400</v>
      </c>
      <c r="CY31">
        <v>500</v>
      </c>
      <c r="CZ31">
        <f t="shared" si="55"/>
        <v>66042</v>
      </c>
      <c r="DA31">
        <v>4000</v>
      </c>
      <c r="DB31">
        <v>60</v>
      </c>
      <c r="DC31">
        <f t="shared" si="56"/>
        <v>200</v>
      </c>
      <c r="DD31">
        <f t="shared" si="57"/>
        <v>61782</v>
      </c>
      <c r="DE31">
        <v>51700</v>
      </c>
      <c r="DF31">
        <f t="shared" si="58"/>
        <v>7238.0000000000009</v>
      </c>
      <c r="DG31">
        <f t="shared" si="59"/>
        <v>6204</v>
      </c>
      <c r="DH31">
        <v>400</v>
      </c>
      <c r="DI31">
        <v>500</v>
      </c>
      <c r="DJ31">
        <f t="shared" si="60"/>
        <v>66042</v>
      </c>
      <c r="DK31">
        <v>4000</v>
      </c>
      <c r="DL31">
        <v>60</v>
      </c>
      <c r="DM31">
        <f t="shared" si="61"/>
        <v>200</v>
      </c>
      <c r="DN31">
        <f t="shared" si="62"/>
        <v>61782</v>
      </c>
      <c r="DO31">
        <v>51700</v>
      </c>
      <c r="DP31">
        <f t="shared" si="63"/>
        <v>7238.0000000000009</v>
      </c>
      <c r="DQ31">
        <f t="shared" si="64"/>
        <v>6204</v>
      </c>
      <c r="DR31">
        <v>400</v>
      </c>
      <c r="DS31">
        <v>500</v>
      </c>
      <c r="DT31">
        <f t="shared" si="65"/>
        <v>66042</v>
      </c>
      <c r="DU31">
        <v>4000</v>
      </c>
      <c r="DV31">
        <v>60</v>
      </c>
      <c r="DW31">
        <f t="shared" si="66"/>
        <v>200</v>
      </c>
      <c r="DX31">
        <f t="shared" si="67"/>
        <v>61782</v>
      </c>
      <c r="DY31">
        <f t="shared" si="68"/>
        <v>782936</v>
      </c>
      <c r="DZ31">
        <f t="shared" si="0"/>
        <v>2400</v>
      </c>
      <c r="EA31">
        <f t="shared" si="1"/>
        <v>50000</v>
      </c>
      <c r="EB31">
        <v>0</v>
      </c>
      <c r="EC31">
        <f t="shared" si="2"/>
        <v>730536</v>
      </c>
      <c r="ED31">
        <f t="shared" si="3"/>
        <v>48000</v>
      </c>
      <c r="EE31">
        <f t="shared" si="4"/>
        <v>720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f t="shared" si="5"/>
        <v>48720</v>
      </c>
      <c r="EQ31">
        <f t="shared" si="69"/>
        <v>48720</v>
      </c>
      <c r="ER31">
        <f t="shared" si="6"/>
        <v>681816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f t="shared" si="70"/>
        <v>0</v>
      </c>
      <c r="FA31">
        <f t="shared" si="71"/>
        <v>681816</v>
      </c>
      <c r="FB31">
        <f t="shared" si="72"/>
        <v>12500</v>
      </c>
      <c r="FC31">
        <f t="shared" si="73"/>
        <v>36363</v>
      </c>
      <c r="FD31">
        <f t="shared" si="74"/>
        <v>48863</v>
      </c>
      <c r="FE31">
        <f t="shared" si="75"/>
        <v>48863</v>
      </c>
      <c r="FF31">
        <f t="shared" si="76"/>
        <v>1954.52</v>
      </c>
      <c r="FG31">
        <f t="shared" si="77"/>
        <v>50818</v>
      </c>
      <c r="FH31">
        <v>0</v>
      </c>
      <c r="FI31">
        <f t="shared" si="78"/>
        <v>50818</v>
      </c>
      <c r="FJ31" t="b">
        <f t="shared" si="79"/>
        <v>1</v>
      </c>
      <c r="FK31">
        <f t="shared" ca="1" si="80"/>
        <v>957</v>
      </c>
      <c r="FL31">
        <f t="shared" ca="1" si="81"/>
        <v>783893</v>
      </c>
      <c r="FM31">
        <f t="shared" si="82"/>
        <v>75000</v>
      </c>
      <c r="FN31">
        <f t="shared" ca="1" si="83"/>
        <v>708893</v>
      </c>
      <c r="FO31">
        <f t="shared" ca="1" si="84"/>
        <v>0</v>
      </c>
      <c r="FP31">
        <f t="shared" ca="1" si="85"/>
        <v>0</v>
      </c>
      <c r="FQ31">
        <f t="shared" ca="1" si="86"/>
        <v>0</v>
      </c>
      <c r="FR31">
        <f t="shared" ca="1" si="87"/>
        <v>0</v>
      </c>
      <c r="FS31">
        <f t="shared" ca="1" si="88"/>
        <v>0</v>
      </c>
      <c r="FT31">
        <f t="shared" ca="1" si="89"/>
        <v>0</v>
      </c>
      <c r="FU31">
        <f t="shared" ca="1" si="90"/>
        <v>8893</v>
      </c>
      <c r="FV31">
        <f t="shared" ca="1" si="91"/>
        <v>889.30000000000007</v>
      </c>
      <c r="FW31">
        <f t="shared" ca="1" si="92"/>
        <v>400000</v>
      </c>
      <c r="FX31">
        <f t="shared" ca="1" si="93"/>
        <v>20000</v>
      </c>
      <c r="FY31">
        <f t="shared" ca="1" si="94"/>
        <v>20889</v>
      </c>
      <c r="FZ31">
        <f t="shared" ca="1" si="95"/>
        <v>708893</v>
      </c>
      <c r="GA31">
        <f t="shared" ca="1" si="96"/>
        <v>8893</v>
      </c>
      <c r="GB31">
        <f t="shared" ca="1" si="97"/>
        <v>0</v>
      </c>
      <c r="GC31">
        <f t="shared" ca="1" si="98"/>
        <v>11996</v>
      </c>
      <c r="GD31" t="b">
        <f t="shared" ca="1" si="99"/>
        <v>1</v>
      </c>
      <c r="GE31">
        <f t="shared" ca="1" si="100"/>
        <v>11996</v>
      </c>
      <c r="GF31">
        <f t="shared" ca="1" si="101"/>
        <v>11996</v>
      </c>
      <c r="GG31">
        <f t="shared" ca="1" si="102"/>
        <v>8893</v>
      </c>
      <c r="GH31">
        <f t="shared" ca="1" si="103"/>
        <v>355.72</v>
      </c>
      <c r="GI31">
        <f t="shared" ca="1" si="104"/>
        <v>9249</v>
      </c>
    </row>
    <row r="32" spans="1:191" x14ac:dyDescent="0.25">
      <c r="A32">
        <f>_xlfn.AGGREGATE(3,5,$B$2:B32)</f>
        <v>31</v>
      </c>
      <c r="B32" t="s">
        <v>184</v>
      </c>
      <c r="C32" t="s">
        <v>185</v>
      </c>
      <c r="D32" t="s">
        <v>769</v>
      </c>
      <c r="E32" t="s">
        <v>843</v>
      </c>
      <c r="F32">
        <v>0</v>
      </c>
      <c r="G32">
        <v>0</v>
      </c>
      <c r="H32">
        <v>0</v>
      </c>
      <c r="I32">
        <f t="shared" si="7"/>
        <v>0</v>
      </c>
      <c r="J32">
        <f t="shared" si="8"/>
        <v>0</v>
      </c>
      <c r="K32">
        <v>0</v>
      </c>
      <c r="L32">
        <v>0</v>
      </c>
      <c r="M32">
        <f t="shared" si="9"/>
        <v>0</v>
      </c>
      <c r="N32">
        <v>0</v>
      </c>
      <c r="O32">
        <v>0</v>
      </c>
      <c r="P32">
        <f t="shared" si="10"/>
        <v>0</v>
      </c>
      <c r="Q32">
        <f t="shared" si="11"/>
        <v>0</v>
      </c>
      <c r="R32">
        <v>28900</v>
      </c>
      <c r="S32">
        <f t="shared" si="12"/>
        <v>2890</v>
      </c>
      <c r="T32">
        <f t="shared" si="13"/>
        <v>3468</v>
      </c>
      <c r="U32">
        <v>0</v>
      </c>
      <c r="V32">
        <v>500</v>
      </c>
      <c r="W32">
        <f t="shared" si="14"/>
        <v>35758</v>
      </c>
      <c r="X32">
        <v>0</v>
      </c>
      <c r="Y32">
        <v>0</v>
      </c>
      <c r="Z32">
        <f t="shared" si="15"/>
        <v>150</v>
      </c>
      <c r="AA32">
        <f t="shared" si="16"/>
        <v>35608</v>
      </c>
      <c r="AB32">
        <v>28900</v>
      </c>
      <c r="AC32">
        <f t="shared" si="17"/>
        <v>4046.0000000000005</v>
      </c>
      <c r="AD32">
        <f t="shared" si="18"/>
        <v>3468</v>
      </c>
      <c r="AE32">
        <v>0</v>
      </c>
      <c r="AF32">
        <v>500</v>
      </c>
      <c r="AG32">
        <f t="shared" si="19"/>
        <v>36914</v>
      </c>
      <c r="AH32">
        <v>0</v>
      </c>
      <c r="AI32">
        <v>0</v>
      </c>
      <c r="AJ32">
        <f t="shared" si="20"/>
        <v>150</v>
      </c>
      <c r="AK32">
        <f t="shared" si="21"/>
        <v>36764</v>
      </c>
      <c r="AL32">
        <v>28900</v>
      </c>
      <c r="AM32">
        <f t="shared" si="22"/>
        <v>4046.0000000000005</v>
      </c>
      <c r="AN32">
        <f t="shared" si="23"/>
        <v>3468</v>
      </c>
      <c r="AO32">
        <v>0</v>
      </c>
      <c r="AP32">
        <v>500</v>
      </c>
      <c r="AQ32">
        <f t="shared" si="24"/>
        <v>36914</v>
      </c>
      <c r="AR32">
        <v>0</v>
      </c>
      <c r="AS32">
        <v>0</v>
      </c>
      <c r="AT32">
        <f t="shared" si="25"/>
        <v>150</v>
      </c>
      <c r="AU32">
        <f t="shared" si="26"/>
        <v>36764</v>
      </c>
      <c r="AV32">
        <v>28900</v>
      </c>
      <c r="AW32">
        <f t="shared" si="27"/>
        <v>4046.0000000000005</v>
      </c>
      <c r="AX32">
        <f t="shared" si="28"/>
        <v>1156</v>
      </c>
      <c r="AY32">
        <f t="shared" si="29"/>
        <v>3468</v>
      </c>
      <c r="AZ32">
        <v>0</v>
      </c>
      <c r="BA32">
        <v>500</v>
      </c>
      <c r="BB32">
        <f t="shared" si="30"/>
        <v>38070</v>
      </c>
      <c r="BC32">
        <v>0</v>
      </c>
      <c r="BD32">
        <v>0</v>
      </c>
      <c r="BE32">
        <f t="shared" si="31"/>
        <v>150</v>
      </c>
      <c r="BF32">
        <f t="shared" si="32"/>
        <v>37920</v>
      </c>
      <c r="BG32">
        <v>28900</v>
      </c>
      <c r="BH32">
        <f t="shared" si="33"/>
        <v>4046.0000000000005</v>
      </c>
      <c r="BI32">
        <f t="shared" si="34"/>
        <v>3468</v>
      </c>
      <c r="BJ32">
        <v>0</v>
      </c>
      <c r="BK32">
        <v>500</v>
      </c>
      <c r="BL32">
        <f t="shared" si="35"/>
        <v>36914</v>
      </c>
      <c r="BM32">
        <v>0</v>
      </c>
      <c r="BN32">
        <v>0</v>
      </c>
      <c r="BO32">
        <f t="shared" si="36"/>
        <v>150</v>
      </c>
      <c r="BP32">
        <f t="shared" si="37"/>
        <v>36764</v>
      </c>
      <c r="BQ32">
        <v>28900</v>
      </c>
      <c r="BR32">
        <f t="shared" si="38"/>
        <v>4046.0000000000005</v>
      </c>
      <c r="BS32">
        <f t="shared" si="39"/>
        <v>3468</v>
      </c>
      <c r="BT32">
        <v>0</v>
      </c>
      <c r="BU32">
        <v>500</v>
      </c>
      <c r="BV32">
        <f t="shared" si="40"/>
        <v>36914</v>
      </c>
      <c r="BW32">
        <v>0</v>
      </c>
      <c r="BX32">
        <v>0</v>
      </c>
      <c r="BY32">
        <f t="shared" si="41"/>
        <v>150</v>
      </c>
      <c r="BZ32">
        <f t="shared" si="42"/>
        <v>36764</v>
      </c>
      <c r="CA32">
        <v>28900</v>
      </c>
      <c r="CB32">
        <f t="shared" si="43"/>
        <v>4046.0000000000005</v>
      </c>
      <c r="CC32">
        <f t="shared" si="44"/>
        <v>3468</v>
      </c>
      <c r="CD32">
        <v>0</v>
      </c>
      <c r="CE32">
        <v>500</v>
      </c>
      <c r="CF32">
        <f t="shared" si="45"/>
        <v>36914</v>
      </c>
      <c r="CG32">
        <v>0</v>
      </c>
      <c r="CH32">
        <v>0</v>
      </c>
      <c r="CI32">
        <f t="shared" si="46"/>
        <v>150</v>
      </c>
      <c r="CJ32">
        <f t="shared" si="47"/>
        <v>36764</v>
      </c>
      <c r="CK32">
        <v>28900</v>
      </c>
      <c r="CL32">
        <f t="shared" si="48"/>
        <v>4046.0000000000005</v>
      </c>
      <c r="CM32">
        <f t="shared" si="49"/>
        <v>3468</v>
      </c>
      <c r="CN32">
        <v>0</v>
      </c>
      <c r="CO32">
        <v>500</v>
      </c>
      <c r="CP32">
        <f t="shared" si="50"/>
        <v>36914</v>
      </c>
      <c r="CQ32">
        <v>0</v>
      </c>
      <c r="CR32">
        <v>0</v>
      </c>
      <c r="CS32">
        <f t="shared" si="51"/>
        <v>150</v>
      </c>
      <c r="CT32">
        <f t="shared" si="52"/>
        <v>36764</v>
      </c>
      <c r="CU32">
        <v>28900</v>
      </c>
      <c r="CV32">
        <f t="shared" si="53"/>
        <v>4046</v>
      </c>
      <c r="CW32">
        <f t="shared" si="54"/>
        <v>3468</v>
      </c>
      <c r="CX32">
        <v>0</v>
      </c>
      <c r="CY32">
        <v>500</v>
      </c>
      <c r="CZ32">
        <f t="shared" si="55"/>
        <v>36914</v>
      </c>
      <c r="DA32">
        <v>0</v>
      </c>
      <c r="DB32">
        <v>0</v>
      </c>
      <c r="DC32">
        <f t="shared" si="56"/>
        <v>150</v>
      </c>
      <c r="DD32">
        <f t="shared" si="57"/>
        <v>36764</v>
      </c>
      <c r="DE32">
        <v>28900</v>
      </c>
      <c r="DF32">
        <f t="shared" si="58"/>
        <v>4046.0000000000005</v>
      </c>
      <c r="DG32">
        <f t="shared" si="59"/>
        <v>3468</v>
      </c>
      <c r="DH32">
        <v>0</v>
      </c>
      <c r="DI32">
        <v>500</v>
      </c>
      <c r="DJ32">
        <f t="shared" si="60"/>
        <v>36914</v>
      </c>
      <c r="DK32">
        <v>0</v>
      </c>
      <c r="DL32">
        <v>0</v>
      </c>
      <c r="DM32">
        <f t="shared" si="61"/>
        <v>150</v>
      </c>
      <c r="DN32">
        <f t="shared" si="62"/>
        <v>36764</v>
      </c>
      <c r="DO32">
        <v>28900</v>
      </c>
      <c r="DP32">
        <f t="shared" si="63"/>
        <v>4046.0000000000005</v>
      </c>
      <c r="DQ32">
        <f t="shared" si="64"/>
        <v>3468</v>
      </c>
      <c r="DR32">
        <v>0</v>
      </c>
      <c r="DS32">
        <v>500</v>
      </c>
      <c r="DT32">
        <f t="shared" si="65"/>
        <v>36914</v>
      </c>
      <c r="DU32">
        <v>2000</v>
      </c>
      <c r="DV32">
        <v>0</v>
      </c>
      <c r="DW32">
        <f t="shared" si="66"/>
        <v>150</v>
      </c>
      <c r="DX32">
        <f t="shared" si="67"/>
        <v>34764</v>
      </c>
      <c r="DY32">
        <f t="shared" si="68"/>
        <v>406054</v>
      </c>
      <c r="DZ32">
        <f t="shared" si="0"/>
        <v>1650</v>
      </c>
      <c r="EA32">
        <f t="shared" si="1"/>
        <v>50000</v>
      </c>
      <c r="EB32">
        <v>0</v>
      </c>
      <c r="EC32">
        <f t="shared" si="2"/>
        <v>354404</v>
      </c>
      <c r="ED32">
        <f t="shared" si="3"/>
        <v>2000</v>
      </c>
      <c r="EE32">
        <f t="shared" si="4"/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f t="shared" si="5"/>
        <v>2000</v>
      </c>
      <c r="EQ32">
        <f t="shared" si="69"/>
        <v>2000</v>
      </c>
      <c r="ER32">
        <f t="shared" si="6"/>
        <v>352404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f t="shared" si="70"/>
        <v>0</v>
      </c>
      <c r="FA32">
        <f t="shared" si="71"/>
        <v>352404</v>
      </c>
      <c r="FB32">
        <f t="shared" si="72"/>
        <v>5120</v>
      </c>
      <c r="FC32">
        <f t="shared" si="73"/>
        <v>0</v>
      </c>
      <c r="FD32">
        <f t="shared" si="74"/>
        <v>5120</v>
      </c>
      <c r="FE32">
        <f t="shared" si="75"/>
        <v>0</v>
      </c>
      <c r="FF32">
        <f t="shared" si="76"/>
        <v>0</v>
      </c>
      <c r="FG32">
        <f t="shared" si="77"/>
        <v>0</v>
      </c>
      <c r="FH32">
        <v>0</v>
      </c>
      <c r="FI32">
        <f t="shared" si="78"/>
        <v>0</v>
      </c>
      <c r="FJ32" t="b">
        <f t="shared" si="79"/>
        <v>0</v>
      </c>
      <c r="FK32">
        <f t="shared" ca="1" si="80"/>
        <v>2826</v>
      </c>
      <c r="FL32">
        <f t="shared" ca="1" si="81"/>
        <v>408880</v>
      </c>
      <c r="FM32">
        <f t="shared" si="82"/>
        <v>75000</v>
      </c>
      <c r="FN32">
        <f t="shared" ca="1" si="83"/>
        <v>333880</v>
      </c>
      <c r="FO32">
        <f t="shared" ca="1" si="84"/>
        <v>0</v>
      </c>
      <c r="FP32">
        <f t="shared" ca="1" si="85"/>
        <v>0</v>
      </c>
      <c r="FQ32">
        <f t="shared" ca="1" si="86"/>
        <v>0</v>
      </c>
      <c r="FR32">
        <f t="shared" ca="1" si="87"/>
        <v>0</v>
      </c>
      <c r="FS32">
        <f t="shared" ca="1" si="88"/>
        <v>0</v>
      </c>
      <c r="FT32">
        <f t="shared" ca="1" si="89"/>
        <v>0</v>
      </c>
      <c r="FU32">
        <f t="shared" ca="1" si="90"/>
        <v>0</v>
      </c>
      <c r="FV32">
        <f t="shared" ca="1" si="91"/>
        <v>0</v>
      </c>
      <c r="FW32">
        <f t="shared" ca="1" si="92"/>
        <v>33880</v>
      </c>
      <c r="FX32">
        <f t="shared" ca="1" si="93"/>
        <v>1694</v>
      </c>
      <c r="FY32">
        <f t="shared" ca="1" si="94"/>
        <v>1694</v>
      </c>
      <c r="FZ32">
        <f t="shared" ca="1" si="95"/>
        <v>0</v>
      </c>
      <c r="GA32">
        <f t="shared" ca="1" si="96"/>
        <v>0</v>
      </c>
      <c r="GB32">
        <f t="shared" ca="1" si="97"/>
        <v>1694</v>
      </c>
      <c r="GC32">
        <f t="shared" ca="1" si="98"/>
        <v>0</v>
      </c>
      <c r="GD32" t="b">
        <f t="shared" ca="1" si="99"/>
        <v>0</v>
      </c>
      <c r="GE32">
        <f t="shared" ca="1" si="100"/>
        <v>0</v>
      </c>
      <c r="GF32">
        <f t="shared" ca="1" si="101"/>
        <v>1694</v>
      </c>
      <c r="GG32">
        <f t="shared" ca="1" si="102"/>
        <v>0</v>
      </c>
      <c r="GH32">
        <f t="shared" ca="1" si="103"/>
        <v>0</v>
      </c>
      <c r="GI32">
        <f t="shared" ca="1" si="104"/>
        <v>0</v>
      </c>
    </row>
    <row r="33" spans="1:191" x14ac:dyDescent="0.25">
      <c r="A33">
        <f>_xlfn.AGGREGATE(3,5,$B$2:B33)</f>
        <v>32</v>
      </c>
      <c r="B33" t="s">
        <v>186</v>
      </c>
      <c r="C33" t="s">
        <v>187</v>
      </c>
      <c r="D33" t="s">
        <v>770</v>
      </c>
      <c r="E33" t="s">
        <v>844</v>
      </c>
      <c r="F33">
        <v>0</v>
      </c>
      <c r="G33">
        <v>0</v>
      </c>
      <c r="H33">
        <v>50200</v>
      </c>
      <c r="I33">
        <f t="shared" si="7"/>
        <v>5020</v>
      </c>
      <c r="J33">
        <f t="shared" si="8"/>
        <v>6024</v>
      </c>
      <c r="K33">
        <v>400</v>
      </c>
      <c r="L33">
        <v>0</v>
      </c>
      <c r="M33">
        <f t="shared" si="9"/>
        <v>61644</v>
      </c>
      <c r="N33">
        <v>4000</v>
      </c>
      <c r="O33">
        <v>60</v>
      </c>
      <c r="P33">
        <f t="shared" si="10"/>
        <v>200</v>
      </c>
      <c r="Q33">
        <f t="shared" si="11"/>
        <v>57384</v>
      </c>
      <c r="R33">
        <v>50200</v>
      </c>
      <c r="S33">
        <f t="shared" si="12"/>
        <v>5020</v>
      </c>
      <c r="T33">
        <f t="shared" si="13"/>
        <v>6024</v>
      </c>
      <c r="U33">
        <v>400</v>
      </c>
      <c r="V33">
        <v>0</v>
      </c>
      <c r="W33">
        <f t="shared" si="14"/>
        <v>61644</v>
      </c>
      <c r="X33">
        <v>4000</v>
      </c>
      <c r="Y33">
        <v>60</v>
      </c>
      <c r="Z33">
        <f t="shared" si="15"/>
        <v>200</v>
      </c>
      <c r="AA33">
        <f t="shared" si="16"/>
        <v>57384</v>
      </c>
      <c r="AB33">
        <v>50200</v>
      </c>
      <c r="AC33">
        <f t="shared" si="17"/>
        <v>7028.0000000000009</v>
      </c>
      <c r="AD33">
        <f t="shared" si="18"/>
        <v>6024</v>
      </c>
      <c r="AE33">
        <v>400</v>
      </c>
      <c r="AF33">
        <v>0</v>
      </c>
      <c r="AG33">
        <f t="shared" si="19"/>
        <v>63652</v>
      </c>
      <c r="AH33">
        <v>4000</v>
      </c>
      <c r="AI33">
        <v>60</v>
      </c>
      <c r="AJ33">
        <f t="shared" si="20"/>
        <v>200</v>
      </c>
      <c r="AK33">
        <f t="shared" si="21"/>
        <v>59392</v>
      </c>
      <c r="AL33">
        <v>50200</v>
      </c>
      <c r="AM33">
        <f t="shared" si="22"/>
        <v>7028.0000000000009</v>
      </c>
      <c r="AN33">
        <f t="shared" si="23"/>
        <v>6024</v>
      </c>
      <c r="AO33">
        <v>400</v>
      </c>
      <c r="AP33">
        <v>0</v>
      </c>
      <c r="AQ33">
        <f t="shared" si="24"/>
        <v>63652</v>
      </c>
      <c r="AR33">
        <v>4000</v>
      </c>
      <c r="AS33">
        <v>60</v>
      </c>
      <c r="AT33">
        <f t="shared" si="25"/>
        <v>200</v>
      </c>
      <c r="AU33">
        <f t="shared" si="26"/>
        <v>59392</v>
      </c>
      <c r="AV33">
        <v>51700</v>
      </c>
      <c r="AW33">
        <f t="shared" si="27"/>
        <v>7238.0000000000009</v>
      </c>
      <c r="AX33">
        <f t="shared" si="28"/>
        <v>2008</v>
      </c>
      <c r="AY33">
        <f t="shared" si="29"/>
        <v>6204</v>
      </c>
      <c r="AZ33">
        <v>400</v>
      </c>
      <c r="BA33">
        <v>0</v>
      </c>
      <c r="BB33">
        <f t="shared" si="30"/>
        <v>67550</v>
      </c>
      <c r="BC33">
        <v>4000</v>
      </c>
      <c r="BD33">
        <v>60</v>
      </c>
      <c r="BE33">
        <f t="shared" si="31"/>
        <v>200</v>
      </c>
      <c r="BF33">
        <f t="shared" si="32"/>
        <v>63290</v>
      </c>
      <c r="BG33">
        <v>51700</v>
      </c>
      <c r="BH33">
        <f t="shared" si="33"/>
        <v>7238.0000000000009</v>
      </c>
      <c r="BI33">
        <f t="shared" si="34"/>
        <v>6204</v>
      </c>
      <c r="BJ33">
        <v>400</v>
      </c>
      <c r="BK33">
        <v>0</v>
      </c>
      <c r="BL33">
        <f t="shared" si="35"/>
        <v>65542</v>
      </c>
      <c r="BM33">
        <v>4000</v>
      </c>
      <c r="BN33">
        <v>60</v>
      </c>
      <c r="BO33">
        <f t="shared" si="36"/>
        <v>200</v>
      </c>
      <c r="BP33">
        <f t="shared" si="37"/>
        <v>61282</v>
      </c>
      <c r="BQ33">
        <v>51700</v>
      </c>
      <c r="BR33">
        <f t="shared" si="38"/>
        <v>7238.0000000000009</v>
      </c>
      <c r="BS33">
        <f t="shared" si="39"/>
        <v>6204</v>
      </c>
      <c r="BT33">
        <v>400</v>
      </c>
      <c r="BU33">
        <v>0</v>
      </c>
      <c r="BV33">
        <f t="shared" si="40"/>
        <v>65542</v>
      </c>
      <c r="BW33">
        <v>4000</v>
      </c>
      <c r="BX33">
        <v>60</v>
      </c>
      <c r="BY33">
        <f t="shared" si="41"/>
        <v>200</v>
      </c>
      <c r="BZ33">
        <f t="shared" si="42"/>
        <v>61282</v>
      </c>
      <c r="CA33">
        <v>51700</v>
      </c>
      <c r="CB33">
        <f t="shared" si="43"/>
        <v>7238.0000000000009</v>
      </c>
      <c r="CC33">
        <f t="shared" si="44"/>
        <v>6204</v>
      </c>
      <c r="CD33">
        <v>400</v>
      </c>
      <c r="CE33">
        <v>0</v>
      </c>
      <c r="CF33">
        <f t="shared" si="45"/>
        <v>65542</v>
      </c>
      <c r="CG33">
        <v>4000</v>
      </c>
      <c r="CH33">
        <v>60</v>
      </c>
      <c r="CI33">
        <f t="shared" si="46"/>
        <v>200</v>
      </c>
      <c r="CJ33">
        <f t="shared" si="47"/>
        <v>61282</v>
      </c>
      <c r="CK33">
        <v>51700</v>
      </c>
      <c r="CL33">
        <f t="shared" si="48"/>
        <v>7238.0000000000009</v>
      </c>
      <c r="CM33">
        <f t="shared" si="49"/>
        <v>6204</v>
      </c>
      <c r="CN33">
        <v>400</v>
      </c>
      <c r="CO33">
        <v>0</v>
      </c>
      <c r="CP33">
        <f t="shared" si="50"/>
        <v>65542</v>
      </c>
      <c r="CQ33">
        <v>4000</v>
      </c>
      <c r="CR33">
        <v>60</v>
      </c>
      <c r="CS33">
        <f t="shared" si="51"/>
        <v>200</v>
      </c>
      <c r="CT33">
        <f t="shared" si="52"/>
        <v>61282</v>
      </c>
      <c r="CU33">
        <v>51700</v>
      </c>
      <c r="CV33">
        <f t="shared" si="53"/>
        <v>7238</v>
      </c>
      <c r="CW33">
        <f t="shared" si="54"/>
        <v>6204</v>
      </c>
      <c r="CX33">
        <v>400</v>
      </c>
      <c r="CY33">
        <v>0</v>
      </c>
      <c r="CZ33">
        <f t="shared" si="55"/>
        <v>65542</v>
      </c>
      <c r="DA33">
        <v>4000</v>
      </c>
      <c r="DB33">
        <v>60</v>
      </c>
      <c r="DC33">
        <f t="shared" si="56"/>
        <v>200</v>
      </c>
      <c r="DD33">
        <f t="shared" si="57"/>
        <v>61282</v>
      </c>
      <c r="DE33">
        <v>51700</v>
      </c>
      <c r="DF33">
        <f t="shared" si="58"/>
        <v>7238.0000000000009</v>
      </c>
      <c r="DG33">
        <f t="shared" si="59"/>
        <v>6204</v>
      </c>
      <c r="DH33">
        <v>400</v>
      </c>
      <c r="DI33">
        <v>0</v>
      </c>
      <c r="DJ33">
        <f t="shared" si="60"/>
        <v>65542</v>
      </c>
      <c r="DK33">
        <v>4000</v>
      </c>
      <c r="DL33">
        <v>60</v>
      </c>
      <c r="DM33">
        <f t="shared" si="61"/>
        <v>200</v>
      </c>
      <c r="DN33">
        <f t="shared" si="62"/>
        <v>61282</v>
      </c>
      <c r="DO33">
        <v>51700</v>
      </c>
      <c r="DP33">
        <f t="shared" si="63"/>
        <v>7238.0000000000009</v>
      </c>
      <c r="DQ33">
        <f t="shared" si="64"/>
        <v>6204</v>
      </c>
      <c r="DR33">
        <v>400</v>
      </c>
      <c r="DS33">
        <v>0</v>
      </c>
      <c r="DT33">
        <f t="shared" si="65"/>
        <v>65542</v>
      </c>
      <c r="DU33">
        <v>4000</v>
      </c>
      <c r="DV33">
        <v>60</v>
      </c>
      <c r="DW33">
        <f t="shared" si="66"/>
        <v>200</v>
      </c>
      <c r="DX33">
        <f t="shared" si="67"/>
        <v>61282</v>
      </c>
      <c r="DY33">
        <f t="shared" si="68"/>
        <v>776936</v>
      </c>
      <c r="DZ33">
        <f t="shared" si="0"/>
        <v>2400</v>
      </c>
      <c r="EA33">
        <f t="shared" si="1"/>
        <v>50000</v>
      </c>
      <c r="EB33">
        <v>0</v>
      </c>
      <c r="EC33">
        <f t="shared" si="2"/>
        <v>724536</v>
      </c>
      <c r="ED33">
        <f t="shared" si="3"/>
        <v>48000</v>
      </c>
      <c r="EE33">
        <f t="shared" si="4"/>
        <v>720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f t="shared" si="5"/>
        <v>48720</v>
      </c>
      <c r="EQ33">
        <f t="shared" si="69"/>
        <v>48720</v>
      </c>
      <c r="ER33">
        <f t="shared" si="6"/>
        <v>675816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f t="shared" si="70"/>
        <v>0</v>
      </c>
      <c r="FA33">
        <f t="shared" si="71"/>
        <v>675816</v>
      </c>
      <c r="FB33">
        <f t="shared" si="72"/>
        <v>12500</v>
      </c>
      <c r="FC33">
        <f t="shared" si="73"/>
        <v>35163</v>
      </c>
      <c r="FD33">
        <f t="shared" si="74"/>
        <v>47663</v>
      </c>
      <c r="FE33">
        <f t="shared" si="75"/>
        <v>47663</v>
      </c>
      <c r="FF33">
        <f t="shared" si="76"/>
        <v>1906.52</v>
      </c>
      <c r="FG33">
        <f t="shared" si="77"/>
        <v>49570</v>
      </c>
      <c r="FH33">
        <v>0</v>
      </c>
      <c r="FI33">
        <f t="shared" si="78"/>
        <v>49570</v>
      </c>
      <c r="FJ33" t="b">
        <f t="shared" si="79"/>
        <v>1</v>
      </c>
      <c r="FK33">
        <f t="shared" ca="1" si="80"/>
        <v>767</v>
      </c>
      <c r="FL33">
        <f t="shared" ca="1" si="81"/>
        <v>777703</v>
      </c>
      <c r="FM33">
        <f t="shared" si="82"/>
        <v>75000</v>
      </c>
      <c r="FN33">
        <f t="shared" ca="1" si="83"/>
        <v>702703</v>
      </c>
      <c r="FO33">
        <f t="shared" ca="1" si="84"/>
        <v>0</v>
      </c>
      <c r="FP33">
        <f t="shared" ca="1" si="85"/>
        <v>0</v>
      </c>
      <c r="FQ33">
        <f t="shared" ca="1" si="86"/>
        <v>0</v>
      </c>
      <c r="FR33">
        <f t="shared" ca="1" si="87"/>
        <v>0</v>
      </c>
      <c r="FS33">
        <f t="shared" ca="1" si="88"/>
        <v>0</v>
      </c>
      <c r="FT33">
        <f t="shared" ca="1" si="89"/>
        <v>0</v>
      </c>
      <c r="FU33">
        <f t="shared" ca="1" si="90"/>
        <v>2703</v>
      </c>
      <c r="FV33">
        <f t="shared" ca="1" si="91"/>
        <v>270.3</v>
      </c>
      <c r="FW33">
        <f t="shared" ca="1" si="92"/>
        <v>400000</v>
      </c>
      <c r="FX33">
        <f t="shared" ca="1" si="93"/>
        <v>20000</v>
      </c>
      <c r="FY33">
        <f t="shared" ca="1" si="94"/>
        <v>20270</v>
      </c>
      <c r="FZ33">
        <f t="shared" ca="1" si="95"/>
        <v>702703</v>
      </c>
      <c r="GA33">
        <f t="shared" ca="1" si="96"/>
        <v>2703</v>
      </c>
      <c r="GB33">
        <f t="shared" ca="1" si="97"/>
        <v>0</v>
      </c>
      <c r="GC33">
        <f t="shared" ca="1" si="98"/>
        <v>17567</v>
      </c>
      <c r="GD33" t="b">
        <f t="shared" ca="1" si="99"/>
        <v>1</v>
      </c>
      <c r="GE33">
        <f t="shared" ca="1" si="100"/>
        <v>17567</v>
      </c>
      <c r="GF33">
        <f t="shared" ca="1" si="101"/>
        <v>17567</v>
      </c>
      <c r="GG33">
        <f t="shared" ca="1" si="102"/>
        <v>2703</v>
      </c>
      <c r="GH33">
        <f t="shared" ca="1" si="103"/>
        <v>108.12</v>
      </c>
      <c r="GI33">
        <f t="shared" ca="1" si="104"/>
        <v>2812</v>
      </c>
    </row>
    <row r="34" spans="1:191" x14ac:dyDescent="0.25">
      <c r="A34">
        <f>_xlfn.AGGREGATE(3,5,$B$2:B34)</f>
        <v>33</v>
      </c>
      <c r="B34" t="s">
        <v>188</v>
      </c>
      <c r="C34" t="s">
        <v>189</v>
      </c>
      <c r="D34" t="s">
        <v>770</v>
      </c>
      <c r="E34" t="s">
        <v>844</v>
      </c>
      <c r="F34">
        <v>0</v>
      </c>
      <c r="G34">
        <v>6000</v>
      </c>
      <c r="H34">
        <v>32500</v>
      </c>
      <c r="I34">
        <f t="shared" si="7"/>
        <v>3250</v>
      </c>
      <c r="J34">
        <f t="shared" si="8"/>
        <v>3900</v>
      </c>
      <c r="K34">
        <v>0</v>
      </c>
      <c r="L34">
        <v>500</v>
      </c>
      <c r="M34">
        <f t="shared" si="9"/>
        <v>40150</v>
      </c>
      <c r="N34">
        <v>3000</v>
      </c>
      <c r="O34">
        <v>0</v>
      </c>
      <c r="P34">
        <f t="shared" si="10"/>
        <v>200</v>
      </c>
      <c r="Q34">
        <f t="shared" si="11"/>
        <v>36950</v>
      </c>
      <c r="R34">
        <v>32500</v>
      </c>
      <c r="S34">
        <f t="shared" si="12"/>
        <v>3250</v>
      </c>
      <c r="T34">
        <f t="shared" si="13"/>
        <v>3900</v>
      </c>
      <c r="U34">
        <v>0</v>
      </c>
      <c r="V34">
        <v>500</v>
      </c>
      <c r="W34">
        <f t="shared" si="14"/>
        <v>40150</v>
      </c>
      <c r="X34">
        <v>3000</v>
      </c>
      <c r="Y34">
        <v>0</v>
      </c>
      <c r="Z34">
        <f t="shared" si="15"/>
        <v>200</v>
      </c>
      <c r="AA34">
        <f t="shared" si="16"/>
        <v>36950</v>
      </c>
      <c r="AB34">
        <v>32500</v>
      </c>
      <c r="AC34">
        <f t="shared" si="17"/>
        <v>4550</v>
      </c>
      <c r="AD34">
        <f t="shared" si="18"/>
        <v>3900</v>
      </c>
      <c r="AE34">
        <v>0</v>
      </c>
      <c r="AF34">
        <v>500</v>
      </c>
      <c r="AG34">
        <f t="shared" si="19"/>
        <v>41450</v>
      </c>
      <c r="AH34">
        <v>3000</v>
      </c>
      <c r="AI34">
        <v>0</v>
      </c>
      <c r="AJ34">
        <f t="shared" si="20"/>
        <v>200</v>
      </c>
      <c r="AK34">
        <f t="shared" si="21"/>
        <v>38250</v>
      </c>
      <c r="AL34">
        <v>32500</v>
      </c>
      <c r="AM34">
        <f t="shared" si="22"/>
        <v>4550</v>
      </c>
      <c r="AN34">
        <f t="shared" si="23"/>
        <v>3900</v>
      </c>
      <c r="AO34">
        <v>0</v>
      </c>
      <c r="AP34">
        <v>500</v>
      </c>
      <c r="AQ34">
        <f t="shared" si="24"/>
        <v>41450</v>
      </c>
      <c r="AR34">
        <v>3000</v>
      </c>
      <c r="AS34">
        <v>0</v>
      </c>
      <c r="AT34">
        <f t="shared" si="25"/>
        <v>200</v>
      </c>
      <c r="AU34">
        <f t="shared" si="26"/>
        <v>38250</v>
      </c>
      <c r="AV34">
        <v>33500</v>
      </c>
      <c r="AW34">
        <f t="shared" si="27"/>
        <v>4690</v>
      </c>
      <c r="AX34">
        <f t="shared" si="28"/>
        <v>1300</v>
      </c>
      <c r="AY34">
        <f t="shared" si="29"/>
        <v>4020</v>
      </c>
      <c r="AZ34">
        <v>0</v>
      </c>
      <c r="BA34">
        <v>500</v>
      </c>
      <c r="BB34">
        <f t="shared" si="30"/>
        <v>44010</v>
      </c>
      <c r="BC34">
        <v>3000</v>
      </c>
      <c r="BD34">
        <v>0</v>
      </c>
      <c r="BE34">
        <f t="shared" si="31"/>
        <v>200</v>
      </c>
      <c r="BF34">
        <f t="shared" si="32"/>
        <v>40810</v>
      </c>
      <c r="BG34">
        <v>33500</v>
      </c>
      <c r="BH34">
        <f t="shared" si="33"/>
        <v>4690</v>
      </c>
      <c r="BI34">
        <f t="shared" si="34"/>
        <v>4020</v>
      </c>
      <c r="BJ34">
        <v>0</v>
      </c>
      <c r="BK34">
        <v>500</v>
      </c>
      <c r="BL34">
        <f t="shared" si="35"/>
        <v>42710</v>
      </c>
      <c r="BM34">
        <v>3000</v>
      </c>
      <c r="BN34">
        <v>0</v>
      </c>
      <c r="BO34">
        <f t="shared" si="36"/>
        <v>200</v>
      </c>
      <c r="BP34">
        <f t="shared" si="37"/>
        <v>39510</v>
      </c>
      <c r="BQ34">
        <v>33500</v>
      </c>
      <c r="BR34">
        <f t="shared" si="38"/>
        <v>4690</v>
      </c>
      <c r="BS34">
        <f t="shared" si="39"/>
        <v>4020</v>
      </c>
      <c r="BT34">
        <v>0</v>
      </c>
      <c r="BU34">
        <v>500</v>
      </c>
      <c r="BV34">
        <f t="shared" si="40"/>
        <v>42710</v>
      </c>
      <c r="BW34">
        <v>3000</v>
      </c>
      <c r="BX34">
        <v>0</v>
      </c>
      <c r="BY34">
        <f t="shared" si="41"/>
        <v>200</v>
      </c>
      <c r="BZ34">
        <f t="shared" si="42"/>
        <v>39510</v>
      </c>
      <c r="CA34">
        <v>33500</v>
      </c>
      <c r="CB34">
        <f t="shared" si="43"/>
        <v>4690</v>
      </c>
      <c r="CC34">
        <f t="shared" si="44"/>
        <v>4020</v>
      </c>
      <c r="CD34">
        <v>0</v>
      </c>
      <c r="CE34">
        <v>500</v>
      </c>
      <c r="CF34">
        <f t="shared" si="45"/>
        <v>42710</v>
      </c>
      <c r="CG34">
        <v>3000</v>
      </c>
      <c r="CH34">
        <v>0</v>
      </c>
      <c r="CI34">
        <f t="shared" si="46"/>
        <v>200</v>
      </c>
      <c r="CJ34">
        <f t="shared" si="47"/>
        <v>39510</v>
      </c>
      <c r="CK34">
        <v>33500</v>
      </c>
      <c r="CL34">
        <f t="shared" si="48"/>
        <v>4690</v>
      </c>
      <c r="CM34">
        <f t="shared" si="49"/>
        <v>4020</v>
      </c>
      <c r="CN34">
        <v>0</v>
      </c>
      <c r="CO34">
        <v>500</v>
      </c>
      <c r="CP34">
        <f t="shared" si="50"/>
        <v>42710</v>
      </c>
      <c r="CQ34">
        <v>3000</v>
      </c>
      <c r="CR34">
        <v>0</v>
      </c>
      <c r="CS34">
        <f t="shared" si="51"/>
        <v>200</v>
      </c>
      <c r="CT34">
        <f t="shared" si="52"/>
        <v>39510</v>
      </c>
      <c r="CU34">
        <v>33500</v>
      </c>
      <c r="CV34">
        <f t="shared" si="53"/>
        <v>4690</v>
      </c>
      <c r="CW34">
        <f t="shared" si="54"/>
        <v>4020</v>
      </c>
      <c r="CX34">
        <v>0</v>
      </c>
      <c r="CY34">
        <v>500</v>
      </c>
      <c r="CZ34">
        <f t="shared" si="55"/>
        <v>42710</v>
      </c>
      <c r="DA34">
        <v>3000</v>
      </c>
      <c r="DB34">
        <v>0</v>
      </c>
      <c r="DC34">
        <f t="shared" si="56"/>
        <v>200</v>
      </c>
      <c r="DD34">
        <f t="shared" si="57"/>
        <v>39510</v>
      </c>
      <c r="DE34">
        <v>33500</v>
      </c>
      <c r="DF34">
        <f t="shared" si="58"/>
        <v>4690</v>
      </c>
      <c r="DG34">
        <f t="shared" si="59"/>
        <v>4020</v>
      </c>
      <c r="DH34">
        <v>0</v>
      </c>
      <c r="DI34">
        <v>500</v>
      </c>
      <c r="DJ34">
        <f t="shared" si="60"/>
        <v>42710</v>
      </c>
      <c r="DK34">
        <v>3000</v>
      </c>
      <c r="DL34">
        <v>0</v>
      </c>
      <c r="DM34">
        <f t="shared" si="61"/>
        <v>200</v>
      </c>
      <c r="DN34">
        <f t="shared" si="62"/>
        <v>39510</v>
      </c>
      <c r="DO34">
        <v>33500</v>
      </c>
      <c r="DP34">
        <f t="shared" si="63"/>
        <v>4690</v>
      </c>
      <c r="DQ34">
        <f t="shared" si="64"/>
        <v>4020</v>
      </c>
      <c r="DR34">
        <v>0</v>
      </c>
      <c r="DS34">
        <v>500</v>
      </c>
      <c r="DT34">
        <f t="shared" si="65"/>
        <v>42710</v>
      </c>
      <c r="DU34">
        <v>3000</v>
      </c>
      <c r="DV34">
        <v>0</v>
      </c>
      <c r="DW34">
        <f t="shared" si="66"/>
        <v>200</v>
      </c>
      <c r="DX34">
        <f t="shared" si="67"/>
        <v>39510</v>
      </c>
      <c r="DY34">
        <f t="shared" si="68"/>
        <v>512180</v>
      </c>
      <c r="DZ34">
        <f t="shared" si="0"/>
        <v>2400</v>
      </c>
      <c r="EA34">
        <f t="shared" si="1"/>
        <v>50000</v>
      </c>
      <c r="EB34">
        <v>0</v>
      </c>
      <c r="EC34">
        <f t="shared" si="2"/>
        <v>459780</v>
      </c>
      <c r="ED34">
        <f t="shared" si="3"/>
        <v>36000</v>
      </c>
      <c r="EE34">
        <f t="shared" si="4"/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f t="shared" si="5"/>
        <v>36000</v>
      </c>
      <c r="EQ34">
        <f t="shared" si="69"/>
        <v>36000</v>
      </c>
      <c r="ER34">
        <f t="shared" si="6"/>
        <v>423780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f t="shared" si="70"/>
        <v>0</v>
      </c>
      <c r="FA34">
        <f t="shared" si="71"/>
        <v>423780</v>
      </c>
      <c r="FB34">
        <f t="shared" si="72"/>
        <v>8689</v>
      </c>
      <c r="FC34">
        <f t="shared" si="73"/>
        <v>0</v>
      </c>
      <c r="FD34">
        <f t="shared" si="74"/>
        <v>8689</v>
      </c>
      <c r="FE34">
        <f t="shared" si="75"/>
        <v>0</v>
      </c>
      <c r="FF34">
        <f t="shared" si="76"/>
        <v>0</v>
      </c>
      <c r="FG34">
        <f t="shared" si="77"/>
        <v>0</v>
      </c>
      <c r="FH34">
        <v>0</v>
      </c>
      <c r="FI34">
        <f t="shared" si="78"/>
        <v>0</v>
      </c>
      <c r="FJ34" t="b">
        <f t="shared" si="79"/>
        <v>1</v>
      </c>
      <c r="FK34">
        <f t="shared" ca="1" si="80"/>
        <v>850</v>
      </c>
      <c r="FL34">
        <f t="shared" ca="1" si="81"/>
        <v>513030</v>
      </c>
      <c r="FM34">
        <f t="shared" si="82"/>
        <v>75000</v>
      </c>
      <c r="FN34">
        <f t="shared" ca="1" si="83"/>
        <v>438030</v>
      </c>
      <c r="FO34">
        <f t="shared" ca="1" si="84"/>
        <v>0</v>
      </c>
      <c r="FP34">
        <f t="shared" ca="1" si="85"/>
        <v>0</v>
      </c>
      <c r="FQ34">
        <f t="shared" ca="1" si="86"/>
        <v>0</v>
      </c>
      <c r="FR34">
        <f t="shared" ca="1" si="87"/>
        <v>0</v>
      </c>
      <c r="FS34">
        <f t="shared" ca="1" si="88"/>
        <v>0</v>
      </c>
      <c r="FT34">
        <f t="shared" ca="1" si="89"/>
        <v>0</v>
      </c>
      <c r="FU34">
        <f t="shared" ca="1" si="90"/>
        <v>0</v>
      </c>
      <c r="FV34">
        <f t="shared" ca="1" si="91"/>
        <v>0</v>
      </c>
      <c r="FW34">
        <f t="shared" ca="1" si="92"/>
        <v>138030</v>
      </c>
      <c r="FX34">
        <f t="shared" ca="1" si="93"/>
        <v>6901.5</v>
      </c>
      <c r="FY34">
        <f t="shared" ca="1" si="94"/>
        <v>6902</v>
      </c>
      <c r="FZ34">
        <f t="shared" ca="1" si="95"/>
        <v>0</v>
      </c>
      <c r="GA34">
        <f t="shared" ca="1" si="96"/>
        <v>0</v>
      </c>
      <c r="GB34">
        <f t="shared" ca="1" si="97"/>
        <v>6902</v>
      </c>
      <c r="GC34">
        <f t="shared" ca="1" si="98"/>
        <v>0</v>
      </c>
      <c r="GD34" t="b">
        <f t="shared" ca="1" si="99"/>
        <v>0</v>
      </c>
      <c r="GE34">
        <f t="shared" ca="1" si="100"/>
        <v>0</v>
      </c>
      <c r="GF34">
        <f t="shared" ca="1" si="101"/>
        <v>6902</v>
      </c>
      <c r="GG34">
        <f t="shared" ca="1" si="102"/>
        <v>0</v>
      </c>
      <c r="GH34">
        <f t="shared" ca="1" si="103"/>
        <v>0</v>
      </c>
      <c r="GI34">
        <f t="shared" ca="1" si="104"/>
        <v>0</v>
      </c>
    </row>
    <row r="35" spans="1:191" x14ac:dyDescent="0.25">
      <c r="A35">
        <f>_xlfn.AGGREGATE(3,5,$B$2:B35)</f>
        <v>34</v>
      </c>
      <c r="B35" t="s">
        <v>190</v>
      </c>
      <c r="C35" t="s">
        <v>191</v>
      </c>
      <c r="D35" t="s">
        <v>770</v>
      </c>
      <c r="E35" t="s">
        <v>844</v>
      </c>
      <c r="F35">
        <v>0</v>
      </c>
      <c r="G35">
        <v>6000</v>
      </c>
      <c r="H35">
        <v>30700</v>
      </c>
      <c r="I35">
        <f t="shared" si="7"/>
        <v>3070</v>
      </c>
      <c r="J35">
        <f t="shared" si="8"/>
        <v>3684</v>
      </c>
      <c r="K35">
        <v>0</v>
      </c>
      <c r="L35">
        <v>0</v>
      </c>
      <c r="M35">
        <f t="shared" si="9"/>
        <v>37454</v>
      </c>
      <c r="N35">
        <v>2000</v>
      </c>
      <c r="O35">
        <v>0</v>
      </c>
      <c r="P35">
        <f t="shared" si="10"/>
        <v>150</v>
      </c>
      <c r="Q35">
        <f t="shared" si="11"/>
        <v>35304</v>
      </c>
      <c r="R35">
        <v>30700</v>
      </c>
      <c r="S35">
        <f t="shared" si="12"/>
        <v>3070</v>
      </c>
      <c r="T35">
        <f t="shared" si="13"/>
        <v>3684</v>
      </c>
      <c r="U35">
        <v>0</v>
      </c>
      <c r="V35">
        <v>0</v>
      </c>
      <c r="W35">
        <f t="shared" si="14"/>
        <v>37454</v>
      </c>
      <c r="X35">
        <v>2000</v>
      </c>
      <c r="Y35">
        <v>0</v>
      </c>
      <c r="Z35">
        <f t="shared" si="15"/>
        <v>150</v>
      </c>
      <c r="AA35">
        <f t="shared" si="16"/>
        <v>35304</v>
      </c>
      <c r="AB35">
        <v>0</v>
      </c>
      <c r="AC35">
        <f t="shared" si="17"/>
        <v>0</v>
      </c>
      <c r="AD35">
        <f t="shared" si="18"/>
        <v>0</v>
      </c>
      <c r="AE35">
        <v>0</v>
      </c>
      <c r="AF35">
        <v>0</v>
      </c>
      <c r="AG35">
        <f t="shared" si="19"/>
        <v>0</v>
      </c>
      <c r="AH35">
        <v>0</v>
      </c>
      <c r="AI35">
        <v>0</v>
      </c>
      <c r="AJ35">
        <f t="shared" si="20"/>
        <v>0</v>
      </c>
      <c r="AK35">
        <f t="shared" si="21"/>
        <v>0</v>
      </c>
      <c r="AL35">
        <v>30700</v>
      </c>
      <c r="AM35">
        <f t="shared" si="22"/>
        <v>4298</v>
      </c>
      <c r="AN35">
        <f t="shared" si="23"/>
        <v>3684</v>
      </c>
      <c r="AO35">
        <v>0</v>
      </c>
      <c r="AP35">
        <v>0</v>
      </c>
      <c r="AQ35">
        <f t="shared" si="24"/>
        <v>38682</v>
      </c>
      <c r="AR35">
        <v>2000</v>
      </c>
      <c r="AS35">
        <v>0</v>
      </c>
      <c r="AT35">
        <f t="shared" si="25"/>
        <v>150</v>
      </c>
      <c r="AU35">
        <f t="shared" si="26"/>
        <v>36532</v>
      </c>
      <c r="AV35">
        <v>31600</v>
      </c>
      <c r="AW35">
        <f t="shared" si="27"/>
        <v>4424</v>
      </c>
      <c r="AX35">
        <f t="shared" si="28"/>
        <v>1228</v>
      </c>
      <c r="AY35">
        <f t="shared" si="29"/>
        <v>3792</v>
      </c>
      <c r="AZ35">
        <v>0</v>
      </c>
      <c r="BA35">
        <v>0</v>
      </c>
      <c r="BB35">
        <f t="shared" si="30"/>
        <v>41044</v>
      </c>
      <c r="BC35">
        <v>2000</v>
      </c>
      <c r="BD35">
        <v>0</v>
      </c>
      <c r="BE35">
        <f t="shared" si="31"/>
        <v>200</v>
      </c>
      <c r="BF35">
        <f t="shared" si="32"/>
        <v>38844</v>
      </c>
      <c r="BG35">
        <v>31600</v>
      </c>
      <c r="BH35">
        <f t="shared" si="33"/>
        <v>4424</v>
      </c>
      <c r="BI35">
        <f t="shared" si="34"/>
        <v>3792</v>
      </c>
      <c r="BJ35">
        <v>0</v>
      </c>
      <c r="BK35">
        <v>0</v>
      </c>
      <c r="BL35">
        <f t="shared" si="35"/>
        <v>39816</v>
      </c>
      <c r="BM35">
        <v>2000</v>
      </c>
      <c r="BN35">
        <v>0</v>
      </c>
      <c r="BO35">
        <f t="shared" si="36"/>
        <v>150</v>
      </c>
      <c r="BP35">
        <f t="shared" si="37"/>
        <v>37666</v>
      </c>
      <c r="BQ35">
        <v>31600</v>
      </c>
      <c r="BR35">
        <f t="shared" si="38"/>
        <v>4424</v>
      </c>
      <c r="BS35">
        <f t="shared" si="39"/>
        <v>3792</v>
      </c>
      <c r="BT35">
        <v>0</v>
      </c>
      <c r="BU35">
        <v>0</v>
      </c>
      <c r="BV35">
        <f t="shared" si="40"/>
        <v>39816</v>
      </c>
      <c r="BW35">
        <v>2000</v>
      </c>
      <c r="BX35">
        <v>0</v>
      </c>
      <c r="BY35">
        <f t="shared" si="41"/>
        <v>150</v>
      </c>
      <c r="BZ35">
        <f t="shared" si="42"/>
        <v>37666</v>
      </c>
      <c r="CA35">
        <v>31600</v>
      </c>
      <c r="CB35">
        <f t="shared" si="43"/>
        <v>4424</v>
      </c>
      <c r="CC35">
        <f t="shared" si="44"/>
        <v>3792</v>
      </c>
      <c r="CD35">
        <v>0</v>
      </c>
      <c r="CE35">
        <v>0</v>
      </c>
      <c r="CF35">
        <f t="shared" si="45"/>
        <v>39816</v>
      </c>
      <c r="CG35">
        <v>2000</v>
      </c>
      <c r="CH35">
        <v>0</v>
      </c>
      <c r="CI35">
        <f t="shared" si="46"/>
        <v>150</v>
      </c>
      <c r="CJ35">
        <f t="shared" si="47"/>
        <v>37666</v>
      </c>
      <c r="CK35">
        <v>31600</v>
      </c>
      <c r="CL35">
        <f t="shared" si="48"/>
        <v>4424</v>
      </c>
      <c r="CM35">
        <f t="shared" si="49"/>
        <v>3792</v>
      </c>
      <c r="CN35">
        <v>0</v>
      </c>
      <c r="CO35">
        <v>0</v>
      </c>
      <c r="CP35">
        <f t="shared" si="50"/>
        <v>39816</v>
      </c>
      <c r="CQ35">
        <v>2000</v>
      </c>
      <c r="CR35">
        <v>0</v>
      </c>
      <c r="CS35">
        <f t="shared" si="51"/>
        <v>150</v>
      </c>
      <c r="CT35">
        <f t="shared" si="52"/>
        <v>37666</v>
      </c>
      <c r="CU35">
        <v>31600</v>
      </c>
      <c r="CV35">
        <f t="shared" si="53"/>
        <v>4424</v>
      </c>
      <c r="CW35">
        <f t="shared" si="54"/>
        <v>3792</v>
      </c>
      <c r="CX35">
        <v>0</v>
      </c>
      <c r="CY35">
        <v>0</v>
      </c>
      <c r="CZ35">
        <f t="shared" si="55"/>
        <v>39816</v>
      </c>
      <c r="DA35">
        <v>2000</v>
      </c>
      <c r="DB35">
        <v>0</v>
      </c>
      <c r="DC35">
        <f t="shared" si="56"/>
        <v>150</v>
      </c>
      <c r="DD35">
        <f t="shared" si="57"/>
        <v>37666</v>
      </c>
      <c r="DE35">
        <v>31600</v>
      </c>
      <c r="DF35">
        <f t="shared" si="58"/>
        <v>4424</v>
      </c>
      <c r="DG35">
        <f t="shared" si="59"/>
        <v>3792</v>
      </c>
      <c r="DH35">
        <v>0</v>
      </c>
      <c r="DI35">
        <v>0</v>
      </c>
      <c r="DJ35">
        <f t="shared" si="60"/>
        <v>39816</v>
      </c>
      <c r="DK35">
        <v>2000</v>
      </c>
      <c r="DL35">
        <v>0</v>
      </c>
      <c r="DM35">
        <f t="shared" si="61"/>
        <v>150</v>
      </c>
      <c r="DN35">
        <f t="shared" si="62"/>
        <v>37666</v>
      </c>
      <c r="DO35">
        <v>31600</v>
      </c>
      <c r="DP35">
        <f t="shared" si="63"/>
        <v>4424</v>
      </c>
      <c r="DQ35">
        <f t="shared" si="64"/>
        <v>3792</v>
      </c>
      <c r="DR35">
        <v>0</v>
      </c>
      <c r="DS35">
        <v>0</v>
      </c>
      <c r="DT35">
        <f t="shared" si="65"/>
        <v>39816</v>
      </c>
      <c r="DU35">
        <v>2000</v>
      </c>
      <c r="DV35">
        <v>0</v>
      </c>
      <c r="DW35">
        <f t="shared" si="66"/>
        <v>150</v>
      </c>
      <c r="DX35">
        <f t="shared" si="67"/>
        <v>37666</v>
      </c>
      <c r="DY35">
        <f t="shared" si="68"/>
        <v>439346</v>
      </c>
      <c r="DZ35">
        <f t="shared" si="0"/>
        <v>1700</v>
      </c>
      <c r="EA35">
        <f t="shared" si="1"/>
        <v>50000</v>
      </c>
      <c r="EB35">
        <v>0</v>
      </c>
      <c r="EC35">
        <f t="shared" si="2"/>
        <v>387646</v>
      </c>
      <c r="ED35">
        <f t="shared" si="3"/>
        <v>22000</v>
      </c>
      <c r="EE35">
        <f t="shared" si="4"/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f t="shared" si="5"/>
        <v>22000</v>
      </c>
      <c r="EQ35">
        <f t="shared" si="69"/>
        <v>22000</v>
      </c>
      <c r="ER35">
        <f t="shared" si="6"/>
        <v>365646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f t="shared" si="70"/>
        <v>0</v>
      </c>
      <c r="FA35">
        <f t="shared" si="71"/>
        <v>365646</v>
      </c>
      <c r="FB35">
        <f t="shared" si="72"/>
        <v>5782</v>
      </c>
      <c r="FC35">
        <f t="shared" si="73"/>
        <v>0</v>
      </c>
      <c r="FD35">
        <f t="shared" si="74"/>
        <v>5782</v>
      </c>
      <c r="FE35">
        <f t="shared" si="75"/>
        <v>0</v>
      </c>
      <c r="FF35">
        <f t="shared" si="76"/>
        <v>0</v>
      </c>
      <c r="FG35">
        <f t="shared" si="77"/>
        <v>0</v>
      </c>
      <c r="FH35">
        <v>0</v>
      </c>
      <c r="FI35">
        <f t="shared" si="78"/>
        <v>0</v>
      </c>
      <c r="FJ35" t="b">
        <f t="shared" si="79"/>
        <v>0</v>
      </c>
      <c r="FK35">
        <f t="shared" ca="1" si="80"/>
        <v>1209</v>
      </c>
      <c r="FL35">
        <f t="shared" ca="1" si="81"/>
        <v>440555</v>
      </c>
      <c r="FM35">
        <f t="shared" si="82"/>
        <v>75000</v>
      </c>
      <c r="FN35">
        <f t="shared" ca="1" si="83"/>
        <v>365555</v>
      </c>
      <c r="FO35">
        <f t="shared" ca="1" si="84"/>
        <v>0</v>
      </c>
      <c r="FP35">
        <f t="shared" ca="1" si="85"/>
        <v>0</v>
      </c>
      <c r="FQ35">
        <f t="shared" ca="1" si="86"/>
        <v>0</v>
      </c>
      <c r="FR35">
        <f t="shared" ca="1" si="87"/>
        <v>0</v>
      </c>
      <c r="FS35">
        <f t="shared" ca="1" si="88"/>
        <v>0</v>
      </c>
      <c r="FT35">
        <f t="shared" ca="1" si="89"/>
        <v>0</v>
      </c>
      <c r="FU35">
        <f t="shared" ca="1" si="90"/>
        <v>0</v>
      </c>
      <c r="FV35">
        <f t="shared" ca="1" si="91"/>
        <v>0</v>
      </c>
      <c r="FW35">
        <f t="shared" ca="1" si="92"/>
        <v>65555</v>
      </c>
      <c r="FX35">
        <f t="shared" ca="1" si="93"/>
        <v>3277.75</v>
      </c>
      <c r="FY35">
        <f t="shared" ca="1" si="94"/>
        <v>3278</v>
      </c>
      <c r="FZ35">
        <f t="shared" ca="1" si="95"/>
        <v>0</v>
      </c>
      <c r="GA35">
        <f t="shared" ca="1" si="96"/>
        <v>0</v>
      </c>
      <c r="GB35">
        <f t="shared" ca="1" si="97"/>
        <v>3278</v>
      </c>
      <c r="GC35">
        <f t="shared" ca="1" si="98"/>
        <v>0</v>
      </c>
      <c r="GD35" t="b">
        <f t="shared" ca="1" si="99"/>
        <v>0</v>
      </c>
      <c r="GE35">
        <f t="shared" ca="1" si="100"/>
        <v>0</v>
      </c>
      <c r="GF35">
        <f t="shared" ca="1" si="101"/>
        <v>3278</v>
      </c>
      <c r="GG35">
        <f t="shared" ca="1" si="102"/>
        <v>0</v>
      </c>
      <c r="GH35">
        <f t="shared" ca="1" si="103"/>
        <v>0</v>
      </c>
      <c r="GI35">
        <f t="shared" ca="1" si="104"/>
        <v>0</v>
      </c>
    </row>
    <row r="36" spans="1:191" x14ac:dyDescent="0.25">
      <c r="A36">
        <f>_xlfn.AGGREGATE(3,5,$B$2:B36)</f>
        <v>35</v>
      </c>
      <c r="B36" t="s">
        <v>192</v>
      </c>
      <c r="C36" t="s">
        <v>193</v>
      </c>
      <c r="D36" t="s">
        <v>770</v>
      </c>
      <c r="E36" t="s">
        <v>844</v>
      </c>
      <c r="F36">
        <v>0</v>
      </c>
      <c r="G36">
        <v>0</v>
      </c>
      <c r="H36">
        <v>0</v>
      </c>
      <c r="I36">
        <f t="shared" si="7"/>
        <v>0</v>
      </c>
      <c r="J36">
        <f t="shared" si="8"/>
        <v>0</v>
      </c>
      <c r="K36">
        <v>0</v>
      </c>
      <c r="L36">
        <v>0</v>
      </c>
      <c r="M36">
        <f t="shared" si="9"/>
        <v>0</v>
      </c>
      <c r="N36">
        <v>0</v>
      </c>
      <c r="O36">
        <v>0</v>
      </c>
      <c r="P36">
        <f t="shared" si="10"/>
        <v>0</v>
      </c>
      <c r="Q36">
        <f t="shared" si="11"/>
        <v>0</v>
      </c>
      <c r="R36">
        <v>28900</v>
      </c>
      <c r="S36">
        <f t="shared" si="12"/>
        <v>2890</v>
      </c>
      <c r="T36">
        <f t="shared" si="13"/>
        <v>3468</v>
      </c>
      <c r="U36">
        <v>0</v>
      </c>
      <c r="V36">
        <v>500</v>
      </c>
      <c r="W36">
        <f t="shared" si="14"/>
        <v>35758</v>
      </c>
      <c r="X36">
        <v>0</v>
      </c>
      <c r="Y36">
        <v>0</v>
      </c>
      <c r="Z36">
        <f t="shared" si="15"/>
        <v>150</v>
      </c>
      <c r="AA36">
        <f t="shared" si="16"/>
        <v>35608</v>
      </c>
      <c r="AB36">
        <v>28900</v>
      </c>
      <c r="AC36">
        <f t="shared" si="17"/>
        <v>4046.0000000000005</v>
      </c>
      <c r="AD36">
        <f t="shared" si="18"/>
        <v>3468</v>
      </c>
      <c r="AE36">
        <v>0</v>
      </c>
      <c r="AF36">
        <v>500</v>
      </c>
      <c r="AG36">
        <f t="shared" si="19"/>
        <v>36914</v>
      </c>
      <c r="AH36">
        <v>0</v>
      </c>
      <c r="AI36">
        <v>0</v>
      </c>
      <c r="AJ36">
        <f t="shared" si="20"/>
        <v>150</v>
      </c>
      <c r="AK36">
        <f t="shared" si="21"/>
        <v>36764</v>
      </c>
      <c r="AL36">
        <v>28900</v>
      </c>
      <c r="AM36">
        <f t="shared" si="22"/>
        <v>4046.0000000000005</v>
      </c>
      <c r="AN36">
        <f t="shared" si="23"/>
        <v>3468</v>
      </c>
      <c r="AO36">
        <v>0</v>
      </c>
      <c r="AP36">
        <v>500</v>
      </c>
      <c r="AQ36">
        <f t="shared" si="24"/>
        <v>36914</v>
      </c>
      <c r="AR36">
        <v>0</v>
      </c>
      <c r="AS36">
        <v>0</v>
      </c>
      <c r="AT36">
        <f t="shared" si="25"/>
        <v>150</v>
      </c>
      <c r="AU36">
        <f t="shared" si="26"/>
        <v>36764</v>
      </c>
      <c r="AV36">
        <v>28900</v>
      </c>
      <c r="AW36">
        <f t="shared" si="27"/>
        <v>4046.0000000000005</v>
      </c>
      <c r="AX36">
        <f t="shared" si="28"/>
        <v>1156</v>
      </c>
      <c r="AY36">
        <f t="shared" si="29"/>
        <v>3468</v>
      </c>
      <c r="AZ36">
        <v>0</v>
      </c>
      <c r="BA36">
        <v>500</v>
      </c>
      <c r="BB36">
        <f t="shared" si="30"/>
        <v>38070</v>
      </c>
      <c r="BC36">
        <v>0</v>
      </c>
      <c r="BD36">
        <v>0</v>
      </c>
      <c r="BE36">
        <f t="shared" si="31"/>
        <v>150</v>
      </c>
      <c r="BF36">
        <f t="shared" si="32"/>
        <v>37920</v>
      </c>
      <c r="BG36">
        <v>28900</v>
      </c>
      <c r="BH36">
        <f t="shared" si="33"/>
        <v>4046.0000000000005</v>
      </c>
      <c r="BI36">
        <f t="shared" si="34"/>
        <v>3468</v>
      </c>
      <c r="BJ36">
        <v>0</v>
      </c>
      <c r="BK36">
        <v>500</v>
      </c>
      <c r="BL36">
        <f t="shared" si="35"/>
        <v>36914</v>
      </c>
      <c r="BM36">
        <v>0</v>
      </c>
      <c r="BN36">
        <v>0</v>
      </c>
      <c r="BO36">
        <f t="shared" si="36"/>
        <v>150</v>
      </c>
      <c r="BP36">
        <f t="shared" si="37"/>
        <v>36764</v>
      </c>
      <c r="BQ36">
        <v>28900</v>
      </c>
      <c r="BR36">
        <f t="shared" si="38"/>
        <v>4046.0000000000005</v>
      </c>
      <c r="BS36">
        <f t="shared" si="39"/>
        <v>3468</v>
      </c>
      <c r="BT36">
        <v>0</v>
      </c>
      <c r="BU36">
        <v>500</v>
      </c>
      <c r="BV36">
        <f t="shared" si="40"/>
        <v>36914</v>
      </c>
      <c r="BW36">
        <v>0</v>
      </c>
      <c r="BX36">
        <v>0</v>
      </c>
      <c r="BY36">
        <f t="shared" si="41"/>
        <v>150</v>
      </c>
      <c r="BZ36">
        <f t="shared" si="42"/>
        <v>36764</v>
      </c>
      <c r="CA36">
        <v>28900</v>
      </c>
      <c r="CB36">
        <f t="shared" si="43"/>
        <v>4046.0000000000005</v>
      </c>
      <c r="CC36">
        <f t="shared" si="44"/>
        <v>3468</v>
      </c>
      <c r="CD36">
        <v>0</v>
      </c>
      <c r="CE36">
        <v>500</v>
      </c>
      <c r="CF36">
        <f t="shared" si="45"/>
        <v>36914</v>
      </c>
      <c r="CG36">
        <v>0</v>
      </c>
      <c r="CH36">
        <v>0</v>
      </c>
      <c r="CI36">
        <f t="shared" si="46"/>
        <v>150</v>
      </c>
      <c r="CJ36">
        <f t="shared" si="47"/>
        <v>36764</v>
      </c>
      <c r="CK36">
        <v>28900</v>
      </c>
      <c r="CL36">
        <f t="shared" si="48"/>
        <v>4046.0000000000005</v>
      </c>
      <c r="CM36">
        <f t="shared" si="49"/>
        <v>3468</v>
      </c>
      <c r="CN36">
        <v>0</v>
      </c>
      <c r="CO36">
        <v>500</v>
      </c>
      <c r="CP36">
        <f t="shared" si="50"/>
        <v>36914</v>
      </c>
      <c r="CQ36">
        <v>0</v>
      </c>
      <c r="CR36">
        <v>0</v>
      </c>
      <c r="CS36">
        <f t="shared" si="51"/>
        <v>150</v>
      </c>
      <c r="CT36">
        <f t="shared" si="52"/>
        <v>36764</v>
      </c>
      <c r="CU36">
        <v>28900</v>
      </c>
      <c r="CV36">
        <f t="shared" si="53"/>
        <v>4046</v>
      </c>
      <c r="CW36">
        <f t="shared" si="54"/>
        <v>3468</v>
      </c>
      <c r="CX36">
        <v>0</v>
      </c>
      <c r="CY36">
        <v>500</v>
      </c>
      <c r="CZ36">
        <f t="shared" si="55"/>
        <v>36914</v>
      </c>
      <c r="DA36">
        <v>0</v>
      </c>
      <c r="DB36">
        <v>0</v>
      </c>
      <c r="DC36">
        <f t="shared" si="56"/>
        <v>150</v>
      </c>
      <c r="DD36">
        <f t="shared" si="57"/>
        <v>36764</v>
      </c>
      <c r="DE36">
        <v>28900</v>
      </c>
      <c r="DF36">
        <f t="shared" si="58"/>
        <v>4046.0000000000005</v>
      </c>
      <c r="DG36">
        <f t="shared" si="59"/>
        <v>3468</v>
      </c>
      <c r="DH36">
        <v>0</v>
      </c>
      <c r="DI36">
        <v>500</v>
      </c>
      <c r="DJ36">
        <f t="shared" si="60"/>
        <v>36914</v>
      </c>
      <c r="DK36">
        <v>0</v>
      </c>
      <c r="DL36">
        <v>0</v>
      </c>
      <c r="DM36">
        <f t="shared" si="61"/>
        <v>150</v>
      </c>
      <c r="DN36">
        <f t="shared" si="62"/>
        <v>36764</v>
      </c>
      <c r="DO36">
        <v>28900</v>
      </c>
      <c r="DP36">
        <f t="shared" si="63"/>
        <v>4046.0000000000005</v>
      </c>
      <c r="DQ36">
        <f t="shared" si="64"/>
        <v>3468</v>
      </c>
      <c r="DR36">
        <v>0</v>
      </c>
      <c r="DS36">
        <v>500</v>
      </c>
      <c r="DT36">
        <f t="shared" si="65"/>
        <v>36914</v>
      </c>
      <c r="DU36">
        <v>0</v>
      </c>
      <c r="DV36">
        <v>0</v>
      </c>
      <c r="DW36">
        <f t="shared" si="66"/>
        <v>150</v>
      </c>
      <c r="DX36">
        <f t="shared" si="67"/>
        <v>36764</v>
      </c>
      <c r="DY36">
        <f t="shared" si="68"/>
        <v>406054</v>
      </c>
      <c r="DZ36">
        <f t="shared" si="0"/>
        <v>1650</v>
      </c>
      <c r="EA36">
        <f t="shared" si="1"/>
        <v>50000</v>
      </c>
      <c r="EB36">
        <v>0</v>
      </c>
      <c r="EC36">
        <f t="shared" si="2"/>
        <v>354404</v>
      </c>
      <c r="ED36">
        <f t="shared" si="3"/>
        <v>0</v>
      </c>
      <c r="EE36">
        <f t="shared" si="4"/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f t="shared" si="5"/>
        <v>0</v>
      </c>
      <c r="EQ36">
        <f t="shared" si="69"/>
        <v>0</v>
      </c>
      <c r="ER36">
        <f t="shared" si="6"/>
        <v>354404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f t="shared" si="70"/>
        <v>0</v>
      </c>
      <c r="FA36">
        <f t="shared" si="71"/>
        <v>354404</v>
      </c>
      <c r="FB36">
        <f t="shared" si="72"/>
        <v>5220</v>
      </c>
      <c r="FC36">
        <f t="shared" si="73"/>
        <v>0</v>
      </c>
      <c r="FD36">
        <f t="shared" si="74"/>
        <v>5220</v>
      </c>
      <c r="FE36">
        <f t="shared" si="75"/>
        <v>0</v>
      </c>
      <c r="FF36">
        <f t="shared" si="76"/>
        <v>0</v>
      </c>
      <c r="FG36">
        <f t="shared" si="77"/>
        <v>0</v>
      </c>
      <c r="FH36">
        <v>0</v>
      </c>
      <c r="FI36">
        <f t="shared" si="78"/>
        <v>0</v>
      </c>
      <c r="FJ36" t="b">
        <f t="shared" si="79"/>
        <v>0</v>
      </c>
      <c r="FK36">
        <f t="shared" ca="1" si="80"/>
        <v>2661</v>
      </c>
      <c r="FL36">
        <f t="shared" ca="1" si="81"/>
        <v>408715</v>
      </c>
      <c r="FM36">
        <f t="shared" si="82"/>
        <v>75000</v>
      </c>
      <c r="FN36">
        <f t="shared" ca="1" si="83"/>
        <v>333715</v>
      </c>
      <c r="FO36">
        <f t="shared" ca="1" si="84"/>
        <v>0</v>
      </c>
      <c r="FP36">
        <f t="shared" ca="1" si="85"/>
        <v>0</v>
      </c>
      <c r="FQ36">
        <f t="shared" ca="1" si="86"/>
        <v>0</v>
      </c>
      <c r="FR36">
        <f t="shared" ca="1" si="87"/>
        <v>0</v>
      </c>
      <c r="FS36">
        <f t="shared" ca="1" si="88"/>
        <v>0</v>
      </c>
      <c r="FT36">
        <f t="shared" ca="1" si="89"/>
        <v>0</v>
      </c>
      <c r="FU36">
        <f t="shared" ca="1" si="90"/>
        <v>0</v>
      </c>
      <c r="FV36">
        <f t="shared" ca="1" si="91"/>
        <v>0</v>
      </c>
      <c r="FW36">
        <f t="shared" ca="1" si="92"/>
        <v>33715</v>
      </c>
      <c r="FX36">
        <f t="shared" ca="1" si="93"/>
        <v>1685.75</v>
      </c>
      <c r="FY36">
        <f t="shared" ca="1" si="94"/>
        <v>1686</v>
      </c>
      <c r="FZ36">
        <f t="shared" ca="1" si="95"/>
        <v>0</v>
      </c>
      <c r="GA36">
        <f t="shared" ca="1" si="96"/>
        <v>0</v>
      </c>
      <c r="GB36">
        <f t="shared" ca="1" si="97"/>
        <v>1686</v>
      </c>
      <c r="GC36">
        <f t="shared" ca="1" si="98"/>
        <v>0</v>
      </c>
      <c r="GD36" t="b">
        <f t="shared" ca="1" si="99"/>
        <v>0</v>
      </c>
      <c r="GE36">
        <f t="shared" ca="1" si="100"/>
        <v>0</v>
      </c>
      <c r="GF36">
        <f t="shared" ca="1" si="101"/>
        <v>1686</v>
      </c>
      <c r="GG36">
        <f t="shared" ca="1" si="102"/>
        <v>0</v>
      </c>
      <c r="GH36">
        <f t="shared" ca="1" si="103"/>
        <v>0</v>
      </c>
      <c r="GI36">
        <f t="shared" ca="1" si="104"/>
        <v>0</v>
      </c>
    </row>
    <row r="37" spans="1:191" x14ac:dyDescent="0.25">
      <c r="A37">
        <f>_xlfn.AGGREGATE(3,5,$B$2:B37)</f>
        <v>36</v>
      </c>
      <c r="B37" t="s">
        <v>194</v>
      </c>
      <c r="C37" t="s">
        <v>195</v>
      </c>
      <c r="D37" t="s">
        <v>771</v>
      </c>
      <c r="E37" t="s">
        <v>844</v>
      </c>
      <c r="F37">
        <v>0</v>
      </c>
      <c r="G37">
        <v>0</v>
      </c>
      <c r="H37">
        <v>50200</v>
      </c>
      <c r="I37">
        <f t="shared" si="7"/>
        <v>5020</v>
      </c>
      <c r="J37">
        <f t="shared" si="8"/>
        <v>6024</v>
      </c>
      <c r="K37">
        <v>400</v>
      </c>
      <c r="L37">
        <v>500</v>
      </c>
      <c r="M37">
        <f t="shared" si="9"/>
        <v>62144</v>
      </c>
      <c r="N37">
        <v>10000</v>
      </c>
      <c r="O37">
        <v>60</v>
      </c>
      <c r="P37">
        <f t="shared" si="10"/>
        <v>200</v>
      </c>
      <c r="Q37">
        <f t="shared" si="11"/>
        <v>51884</v>
      </c>
      <c r="R37">
        <v>50200</v>
      </c>
      <c r="S37">
        <f t="shared" si="12"/>
        <v>5020</v>
      </c>
      <c r="T37">
        <f t="shared" si="13"/>
        <v>6024</v>
      </c>
      <c r="U37">
        <v>400</v>
      </c>
      <c r="V37">
        <v>500</v>
      </c>
      <c r="W37">
        <f t="shared" si="14"/>
        <v>62144</v>
      </c>
      <c r="X37">
        <v>10000</v>
      </c>
      <c r="Y37">
        <v>60</v>
      </c>
      <c r="Z37">
        <f t="shared" si="15"/>
        <v>200</v>
      </c>
      <c r="AA37">
        <f t="shared" si="16"/>
        <v>51884</v>
      </c>
      <c r="AB37">
        <v>50200</v>
      </c>
      <c r="AC37">
        <f t="shared" si="17"/>
        <v>7028.0000000000009</v>
      </c>
      <c r="AD37">
        <f t="shared" si="18"/>
        <v>6024</v>
      </c>
      <c r="AE37">
        <v>400</v>
      </c>
      <c r="AF37">
        <v>500</v>
      </c>
      <c r="AG37">
        <f t="shared" si="19"/>
        <v>64152</v>
      </c>
      <c r="AH37">
        <v>10000</v>
      </c>
      <c r="AI37">
        <v>60</v>
      </c>
      <c r="AJ37">
        <f t="shared" si="20"/>
        <v>200</v>
      </c>
      <c r="AK37">
        <f t="shared" si="21"/>
        <v>53892</v>
      </c>
      <c r="AL37">
        <v>50200</v>
      </c>
      <c r="AM37">
        <f t="shared" si="22"/>
        <v>7028.0000000000009</v>
      </c>
      <c r="AN37">
        <f t="shared" si="23"/>
        <v>6024</v>
      </c>
      <c r="AO37">
        <v>400</v>
      </c>
      <c r="AP37">
        <v>500</v>
      </c>
      <c r="AQ37">
        <f t="shared" si="24"/>
        <v>64152</v>
      </c>
      <c r="AR37">
        <v>10000</v>
      </c>
      <c r="AS37">
        <v>60</v>
      </c>
      <c r="AT37">
        <f t="shared" si="25"/>
        <v>200</v>
      </c>
      <c r="AU37">
        <f t="shared" si="26"/>
        <v>53892</v>
      </c>
      <c r="AV37">
        <v>51700</v>
      </c>
      <c r="AW37">
        <f t="shared" si="27"/>
        <v>7238.0000000000009</v>
      </c>
      <c r="AX37">
        <f t="shared" si="28"/>
        <v>2008</v>
      </c>
      <c r="AY37">
        <f t="shared" si="29"/>
        <v>6204</v>
      </c>
      <c r="AZ37">
        <v>400</v>
      </c>
      <c r="BA37">
        <v>500</v>
      </c>
      <c r="BB37">
        <f t="shared" si="30"/>
        <v>68050</v>
      </c>
      <c r="BC37">
        <v>10000</v>
      </c>
      <c r="BD37">
        <v>60</v>
      </c>
      <c r="BE37">
        <f t="shared" si="31"/>
        <v>200</v>
      </c>
      <c r="BF37">
        <f t="shared" si="32"/>
        <v>57790</v>
      </c>
      <c r="BG37">
        <v>51700</v>
      </c>
      <c r="BH37">
        <f t="shared" si="33"/>
        <v>7238.0000000000009</v>
      </c>
      <c r="BI37">
        <f t="shared" si="34"/>
        <v>6204</v>
      </c>
      <c r="BJ37">
        <v>400</v>
      </c>
      <c r="BK37">
        <v>500</v>
      </c>
      <c r="BL37">
        <f t="shared" si="35"/>
        <v>66042</v>
      </c>
      <c r="BM37">
        <v>10000</v>
      </c>
      <c r="BN37">
        <v>60</v>
      </c>
      <c r="BO37">
        <f t="shared" si="36"/>
        <v>200</v>
      </c>
      <c r="BP37">
        <f t="shared" si="37"/>
        <v>55782</v>
      </c>
      <c r="BQ37">
        <v>51700</v>
      </c>
      <c r="BR37">
        <f t="shared" si="38"/>
        <v>7238.0000000000009</v>
      </c>
      <c r="BS37">
        <f t="shared" si="39"/>
        <v>6204</v>
      </c>
      <c r="BT37">
        <v>400</v>
      </c>
      <c r="BU37">
        <v>500</v>
      </c>
      <c r="BV37">
        <f t="shared" si="40"/>
        <v>66042</v>
      </c>
      <c r="BW37">
        <v>10000</v>
      </c>
      <c r="BX37">
        <v>60</v>
      </c>
      <c r="BY37">
        <f t="shared" si="41"/>
        <v>200</v>
      </c>
      <c r="BZ37">
        <f t="shared" si="42"/>
        <v>55782</v>
      </c>
      <c r="CA37">
        <v>51700</v>
      </c>
      <c r="CB37">
        <f t="shared" si="43"/>
        <v>7238.0000000000009</v>
      </c>
      <c r="CC37">
        <f t="shared" si="44"/>
        <v>6204</v>
      </c>
      <c r="CD37">
        <v>400</v>
      </c>
      <c r="CE37">
        <v>500</v>
      </c>
      <c r="CF37">
        <f t="shared" si="45"/>
        <v>66042</v>
      </c>
      <c r="CG37">
        <v>10000</v>
      </c>
      <c r="CH37">
        <v>60</v>
      </c>
      <c r="CI37">
        <f t="shared" si="46"/>
        <v>200</v>
      </c>
      <c r="CJ37">
        <f t="shared" si="47"/>
        <v>55782</v>
      </c>
      <c r="CK37">
        <v>51700</v>
      </c>
      <c r="CL37">
        <f t="shared" si="48"/>
        <v>7238.0000000000009</v>
      </c>
      <c r="CM37">
        <f t="shared" si="49"/>
        <v>6204</v>
      </c>
      <c r="CN37">
        <v>400</v>
      </c>
      <c r="CO37">
        <v>500</v>
      </c>
      <c r="CP37">
        <f t="shared" si="50"/>
        <v>66042</v>
      </c>
      <c r="CQ37">
        <v>10000</v>
      </c>
      <c r="CR37">
        <v>60</v>
      </c>
      <c r="CS37">
        <f t="shared" si="51"/>
        <v>200</v>
      </c>
      <c r="CT37">
        <f t="shared" si="52"/>
        <v>55782</v>
      </c>
      <c r="CU37">
        <v>51700</v>
      </c>
      <c r="CV37">
        <f t="shared" si="53"/>
        <v>7238</v>
      </c>
      <c r="CW37">
        <f t="shared" si="54"/>
        <v>6204</v>
      </c>
      <c r="CX37">
        <v>400</v>
      </c>
      <c r="CY37">
        <v>500</v>
      </c>
      <c r="CZ37">
        <f t="shared" si="55"/>
        <v>66042</v>
      </c>
      <c r="DA37">
        <v>10000</v>
      </c>
      <c r="DB37">
        <v>60</v>
      </c>
      <c r="DC37">
        <f t="shared" si="56"/>
        <v>200</v>
      </c>
      <c r="DD37">
        <f t="shared" si="57"/>
        <v>55782</v>
      </c>
      <c r="DE37">
        <v>51700</v>
      </c>
      <c r="DF37">
        <f t="shared" si="58"/>
        <v>7238.0000000000009</v>
      </c>
      <c r="DG37">
        <f t="shared" si="59"/>
        <v>6204</v>
      </c>
      <c r="DH37">
        <v>400</v>
      </c>
      <c r="DI37">
        <v>500</v>
      </c>
      <c r="DJ37">
        <f t="shared" si="60"/>
        <v>66042</v>
      </c>
      <c r="DK37">
        <v>10000</v>
      </c>
      <c r="DL37">
        <v>60</v>
      </c>
      <c r="DM37">
        <f t="shared" si="61"/>
        <v>200</v>
      </c>
      <c r="DN37">
        <f t="shared" si="62"/>
        <v>55782</v>
      </c>
      <c r="DO37">
        <v>51700</v>
      </c>
      <c r="DP37">
        <f t="shared" si="63"/>
        <v>7238.0000000000009</v>
      </c>
      <c r="DQ37">
        <f t="shared" si="64"/>
        <v>6204</v>
      </c>
      <c r="DR37">
        <v>400</v>
      </c>
      <c r="DS37">
        <v>500</v>
      </c>
      <c r="DT37">
        <f t="shared" si="65"/>
        <v>66042</v>
      </c>
      <c r="DU37">
        <v>10000</v>
      </c>
      <c r="DV37">
        <v>60</v>
      </c>
      <c r="DW37">
        <f t="shared" si="66"/>
        <v>200</v>
      </c>
      <c r="DX37">
        <f t="shared" si="67"/>
        <v>55782</v>
      </c>
      <c r="DY37">
        <f t="shared" si="68"/>
        <v>782936</v>
      </c>
      <c r="DZ37">
        <f t="shared" si="0"/>
        <v>2400</v>
      </c>
      <c r="EA37">
        <f t="shared" si="1"/>
        <v>50000</v>
      </c>
      <c r="EB37">
        <v>0</v>
      </c>
      <c r="EC37">
        <f t="shared" si="2"/>
        <v>730536</v>
      </c>
      <c r="ED37">
        <f t="shared" si="3"/>
        <v>120000</v>
      </c>
      <c r="EE37">
        <f t="shared" si="4"/>
        <v>720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f t="shared" si="5"/>
        <v>120720</v>
      </c>
      <c r="EQ37">
        <f t="shared" si="69"/>
        <v>120720</v>
      </c>
      <c r="ER37">
        <f t="shared" si="6"/>
        <v>609816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f t="shared" si="70"/>
        <v>0</v>
      </c>
      <c r="FA37">
        <f t="shared" si="71"/>
        <v>609816</v>
      </c>
      <c r="FB37">
        <f t="shared" si="72"/>
        <v>12500</v>
      </c>
      <c r="FC37">
        <f t="shared" si="73"/>
        <v>21963</v>
      </c>
      <c r="FD37">
        <f t="shared" si="74"/>
        <v>34463</v>
      </c>
      <c r="FE37">
        <f t="shared" si="75"/>
        <v>34463</v>
      </c>
      <c r="FF37">
        <f t="shared" si="76"/>
        <v>1378.52</v>
      </c>
      <c r="FG37">
        <f t="shared" si="77"/>
        <v>35842</v>
      </c>
      <c r="FH37">
        <v>0</v>
      </c>
      <c r="FI37">
        <f t="shared" si="78"/>
        <v>35842</v>
      </c>
      <c r="FJ37" t="b">
        <f t="shared" si="79"/>
        <v>1</v>
      </c>
      <c r="FK37">
        <f t="shared" ca="1" si="80"/>
        <v>867</v>
      </c>
      <c r="FL37">
        <f t="shared" ca="1" si="81"/>
        <v>783803</v>
      </c>
      <c r="FM37">
        <f t="shared" si="82"/>
        <v>75000</v>
      </c>
      <c r="FN37">
        <f t="shared" ca="1" si="83"/>
        <v>708803</v>
      </c>
      <c r="FO37">
        <f t="shared" ca="1" si="84"/>
        <v>0</v>
      </c>
      <c r="FP37">
        <f t="shared" ca="1" si="85"/>
        <v>0</v>
      </c>
      <c r="FQ37">
        <f t="shared" ca="1" si="86"/>
        <v>0</v>
      </c>
      <c r="FR37">
        <f t="shared" ca="1" si="87"/>
        <v>0</v>
      </c>
      <c r="FS37">
        <f t="shared" ca="1" si="88"/>
        <v>0</v>
      </c>
      <c r="FT37">
        <f t="shared" ca="1" si="89"/>
        <v>0</v>
      </c>
      <c r="FU37">
        <f t="shared" ca="1" si="90"/>
        <v>8803</v>
      </c>
      <c r="FV37">
        <f t="shared" ca="1" si="91"/>
        <v>880.30000000000007</v>
      </c>
      <c r="FW37">
        <f t="shared" ca="1" si="92"/>
        <v>400000</v>
      </c>
      <c r="FX37">
        <f t="shared" ca="1" si="93"/>
        <v>20000</v>
      </c>
      <c r="FY37">
        <f t="shared" ca="1" si="94"/>
        <v>20880</v>
      </c>
      <c r="FZ37">
        <f t="shared" ca="1" si="95"/>
        <v>708803</v>
      </c>
      <c r="GA37">
        <f t="shared" ca="1" si="96"/>
        <v>8803</v>
      </c>
      <c r="GB37">
        <f t="shared" ca="1" si="97"/>
        <v>0</v>
      </c>
      <c r="GC37">
        <f t="shared" ca="1" si="98"/>
        <v>12077</v>
      </c>
      <c r="GD37" t="b">
        <f t="shared" ca="1" si="99"/>
        <v>1</v>
      </c>
      <c r="GE37">
        <f t="shared" ca="1" si="100"/>
        <v>12077</v>
      </c>
      <c r="GF37">
        <f t="shared" ca="1" si="101"/>
        <v>12077</v>
      </c>
      <c r="GG37">
        <f t="shared" ca="1" si="102"/>
        <v>8803</v>
      </c>
      <c r="GH37">
        <f t="shared" ca="1" si="103"/>
        <v>352.12</v>
      </c>
      <c r="GI37">
        <f t="shared" ca="1" si="104"/>
        <v>9156</v>
      </c>
    </row>
    <row r="38" spans="1:191" x14ac:dyDescent="0.25">
      <c r="A38">
        <f>_xlfn.AGGREGATE(3,5,$B$2:B38)</f>
        <v>37</v>
      </c>
      <c r="B38" t="s">
        <v>196</v>
      </c>
      <c r="C38" t="s">
        <v>197</v>
      </c>
      <c r="D38" t="s">
        <v>771</v>
      </c>
      <c r="E38" t="s">
        <v>843</v>
      </c>
      <c r="F38">
        <v>0</v>
      </c>
      <c r="G38">
        <v>0</v>
      </c>
      <c r="H38">
        <v>24700</v>
      </c>
      <c r="I38">
        <f t="shared" si="7"/>
        <v>2470</v>
      </c>
      <c r="J38">
        <f t="shared" si="8"/>
        <v>2964</v>
      </c>
      <c r="K38">
        <v>0</v>
      </c>
      <c r="L38">
        <v>500</v>
      </c>
      <c r="M38">
        <f t="shared" si="9"/>
        <v>30634</v>
      </c>
      <c r="N38">
        <v>0</v>
      </c>
      <c r="O38">
        <v>0</v>
      </c>
      <c r="P38">
        <f t="shared" si="10"/>
        <v>150</v>
      </c>
      <c r="Q38">
        <f t="shared" si="11"/>
        <v>30484</v>
      </c>
      <c r="R38">
        <v>24700</v>
      </c>
      <c r="S38">
        <f t="shared" si="12"/>
        <v>2470</v>
      </c>
      <c r="T38">
        <f t="shared" si="13"/>
        <v>2964</v>
      </c>
      <c r="U38">
        <v>0</v>
      </c>
      <c r="V38">
        <v>0</v>
      </c>
      <c r="W38">
        <f t="shared" si="14"/>
        <v>30134</v>
      </c>
      <c r="X38">
        <v>0</v>
      </c>
      <c r="Y38">
        <v>0</v>
      </c>
      <c r="Z38">
        <f t="shared" si="15"/>
        <v>150</v>
      </c>
      <c r="AA38">
        <f t="shared" si="16"/>
        <v>29984</v>
      </c>
      <c r="AB38">
        <v>24700</v>
      </c>
      <c r="AC38">
        <f t="shared" si="17"/>
        <v>3458.0000000000005</v>
      </c>
      <c r="AD38">
        <f t="shared" si="18"/>
        <v>2964</v>
      </c>
      <c r="AE38">
        <v>0</v>
      </c>
      <c r="AF38">
        <v>0</v>
      </c>
      <c r="AG38">
        <f t="shared" si="19"/>
        <v>31122</v>
      </c>
      <c r="AH38">
        <v>0</v>
      </c>
      <c r="AI38">
        <v>0</v>
      </c>
      <c r="AJ38">
        <f t="shared" si="20"/>
        <v>150</v>
      </c>
      <c r="AK38">
        <f t="shared" si="21"/>
        <v>30972</v>
      </c>
      <c r="AL38">
        <v>24700</v>
      </c>
      <c r="AM38">
        <f t="shared" si="22"/>
        <v>3458.0000000000005</v>
      </c>
      <c r="AN38">
        <f t="shared" si="23"/>
        <v>2964</v>
      </c>
      <c r="AO38">
        <v>0</v>
      </c>
      <c r="AP38">
        <v>0</v>
      </c>
      <c r="AQ38">
        <f t="shared" si="24"/>
        <v>31122</v>
      </c>
      <c r="AR38">
        <v>0</v>
      </c>
      <c r="AS38">
        <v>0</v>
      </c>
      <c r="AT38">
        <f t="shared" si="25"/>
        <v>150</v>
      </c>
      <c r="AU38">
        <f t="shared" si="26"/>
        <v>30972</v>
      </c>
      <c r="AV38">
        <v>25400</v>
      </c>
      <c r="AW38">
        <f t="shared" si="27"/>
        <v>3556.0000000000005</v>
      </c>
      <c r="AX38">
        <f t="shared" si="28"/>
        <v>988</v>
      </c>
      <c r="AY38">
        <f t="shared" si="29"/>
        <v>3048</v>
      </c>
      <c r="AZ38">
        <v>0</v>
      </c>
      <c r="BA38">
        <v>0</v>
      </c>
      <c r="BB38">
        <f t="shared" si="30"/>
        <v>32992</v>
      </c>
      <c r="BC38">
        <v>0</v>
      </c>
      <c r="BD38">
        <v>0</v>
      </c>
      <c r="BE38">
        <f t="shared" si="31"/>
        <v>150</v>
      </c>
      <c r="BF38">
        <f t="shared" si="32"/>
        <v>32842</v>
      </c>
      <c r="BG38">
        <v>25400</v>
      </c>
      <c r="BH38">
        <f t="shared" si="33"/>
        <v>3556.0000000000005</v>
      </c>
      <c r="BI38">
        <f t="shared" si="34"/>
        <v>3048</v>
      </c>
      <c r="BJ38">
        <v>0</v>
      </c>
      <c r="BK38">
        <v>0</v>
      </c>
      <c r="BL38">
        <f t="shared" si="35"/>
        <v>32004</v>
      </c>
      <c r="BM38">
        <v>0</v>
      </c>
      <c r="BN38">
        <v>0</v>
      </c>
      <c r="BO38">
        <f t="shared" si="36"/>
        <v>150</v>
      </c>
      <c r="BP38">
        <f t="shared" si="37"/>
        <v>31854</v>
      </c>
      <c r="BQ38">
        <v>25400</v>
      </c>
      <c r="BR38">
        <f t="shared" si="38"/>
        <v>3556.0000000000005</v>
      </c>
      <c r="BS38">
        <f t="shared" si="39"/>
        <v>3048</v>
      </c>
      <c r="BT38">
        <v>0</v>
      </c>
      <c r="BU38">
        <v>0</v>
      </c>
      <c r="BV38">
        <f t="shared" si="40"/>
        <v>32004</v>
      </c>
      <c r="BW38">
        <v>0</v>
      </c>
      <c r="BX38">
        <v>0</v>
      </c>
      <c r="BY38">
        <f t="shared" si="41"/>
        <v>150</v>
      </c>
      <c r="BZ38">
        <f t="shared" si="42"/>
        <v>31854</v>
      </c>
      <c r="CA38">
        <v>25400</v>
      </c>
      <c r="CB38">
        <f t="shared" si="43"/>
        <v>3556.0000000000005</v>
      </c>
      <c r="CC38">
        <f t="shared" si="44"/>
        <v>3048</v>
      </c>
      <c r="CD38">
        <v>0</v>
      </c>
      <c r="CE38">
        <v>0</v>
      </c>
      <c r="CF38">
        <f t="shared" si="45"/>
        <v>32004</v>
      </c>
      <c r="CG38">
        <v>0</v>
      </c>
      <c r="CH38">
        <v>0</v>
      </c>
      <c r="CI38">
        <f t="shared" si="46"/>
        <v>150</v>
      </c>
      <c r="CJ38">
        <f t="shared" si="47"/>
        <v>31854</v>
      </c>
      <c r="CK38">
        <v>25400</v>
      </c>
      <c r="CL38">
        <f t="shared" si="48"/>
        <v>3556.0000000000005</v>
      </c>
      <c r="CM38">
        <f t="shared" si="49"/>
        <v>3048</v>
      </c>
      <c r="CN38">
        <v>0</v>
      </c>
      <c r="CO38">
        <v>0</v>
      </c>
      <c r="CP38">
        <f t="shared" si="50"/>
        <v>32004</v>
      </c>
      <c r="CQ38">
        <v>2000</v>
      </c>
      <c r="CR38">
        <v>0</v>
      </c>
      <c r="CS38">
        <f t="shared" si="51"/>
        <v>150</v>
      </c>
      <c r="CT38">
        <f t="shared" si="52"/>
        <v>29854</v>
      </c>
      <c r="CU38">
        <v>25400</v>
      </c>
      <c r="CV38">
        <f t="shared" si="53"/>
        <v>3556</v>
      </c>
      <c r="CW38">
        <f t="shared" si="54"/>
        <v>3048</v>
      </c>
      <c r="CX38">
        <v>0</v>
      </c>
      <c r="CY38">
        <v>0</v>
      </c>
      <c r="CZ38">
        <f t="shared" si="55"/>
        <v>32004</v>
      </c>
      <c r="DA38">
        <v>2000</v>
      </c>
      <c r="DB38">
        <v>0</v>
      </c>
      <c r="DC38">
        <f t="shared" si="56"/>
        <v>150</v>
      </c>
      <c r="DD38">
        <f t="shared" si="57"/>
        <v>29854</v>
      </c>
      <c r="DE38">
        <v>25400</v>
      </c>
      <c r="DF38">
        <f t="shared" si="58"/>
        <v>3556.0000000000005</v>
      </c>
      <c r="DG38">
        <f t="shared" si="59"/>
        <v>3048</v>
      </c>
      <c r="DH38">
        <v>0</v>
      </c>
      <c r="DI38">
        <v>0</v>
      </c>
      <c r="DJ38">
        <f t="shared" si="60"/>
        <v>32004</v>
      </c>
      <c r="DK38">
        <v>2000</v>
      </c>
      <c r="DL38">
        <v>0</v>
      </c>
      <c r="DM38">
        <f t="shared" si="61"/>
        <v>150</v>
      </c>
      <c r="DN38">
        <f t="shared" si="62"/>
        <v>29854</v>
      </c>
      <c r="DO38">
        <v>25400</v>
      </c>
      <c r="DP38">
        <f t="shared" si="63"/>
        <v>3556.0000000000005</v>
      </c>
      <c r="DQ38">
        <f t="shared" si="64"/>
        <v>3048</v>
      </c>
      <c r="DR38">
        <v>0</v>
      </c>
      <c r="DS38">
        <v>0</v>
      </c>
      <c r="DT38">
        <f t="shared" si="65"/>
        <v>32004</v>
      </c>
      <c r="DU38">
        <v>2000</v>
      </c>
      <c r="DV38">
        <v>0</v>
      </c>
      <c r="DW38">
        <f t="shared" si="66"/>
        <v>150</v>
      </c>
      <c r="DX38">
        <f t="shared" si="67"/>
        <v>29854</v>
      </c>
      <c r="DY38">
        <f t="shared" si="68"/>
        <v>380032</v>
      </c>
      <c r="DZ38">
        <f t="shared" si="0"/>
        <v>1800</v>
      </c>
      <c r="EA38">
        <f t="shared" si="1"/>
        <v>50000</v>
      </c>
      <c r="EB38">
        <v>0</v>
      </c>
      <c r="EC38">
        <f t="shared" si="2"/>
        <v>328232</v>
      </c>
      <c r="ED38">
        <f t="shared" si="3"/>
        <v>8000</v>
      </c>
      <c r="EE38">
        <f t="shared" si="4"/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f t="shared" si="5"/>
        <v>8000</v>
      </c>
      <c r="EQ38">
        <f t="shared" si="69"/>
        <v>8000</v>
      </c>
      <c r="ER38">
        <f t="shared" si="6"/>
        <v>320232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f t="shared" si="70"/>
        <v>0</v>
      </c>
      <c r="FA38">
        <f t="shared" si="71"/>
        <v>320232</v>
      </c>
      <c r="FB38">
        <f t="shared" si="72"/>
        <v>3512</v>
      </c>
      <c r="FC38">
        <f t="shared" si="73"/>
        <v>0</v>
      </c>
      <c r="FD38">
        <f t="shared" si="74"/>
        <v>3512</v>
      </c>
      <c r="FE38">
        <f t="shared" si="75"/>
        <v>0</v>
      </c>
      <c r="FF38">
        <f t="shared" si="76"/>
        <v>0</v>
      </c>
      <c r="FG38">
        <f t="shared" si="77"/>
        <v>0</v>
      </c>
      <c r="FH38">
        <v>0</v>
      </c>
      <c r="FI38">
        <f t="shared" si="78"/>
        <v>0</v>
      </c>
      <c r="FJ38" t="b">
        <f t="shared" si="79"/>
        <v>0</v>
      </c>
      <c r="FK38">
        <f t="shared" ca="1" si="80"/>
        <v>1432</v>
      </c>
      <c r="FL38">
        <f t="shared" ca="1" si="81"/>
        <v>381464</v>
      </c>
      <c r="FM38">
        <f t="shared" si="82"/>
        <v>75000</v>
      </c>
      <c r="FN38">
        <f t="shared" ca="1" si="83"/>
        <v>306464</v>
      </c>
      <c r="FO38">
        <f t="shared" ca="1" si="84"/>
        <v>0</v>
      </c>
      <c r="FP38">
        <f t="shared" ca="1" si="85"/>
        <v>0</v>
      </c>
      <c r="FQ38">
        <f t="shared" ca="1" si="86"/>
        <v>0</v>
      </c>
      <c r="FR38">
        <f t="shared" ca="1" si="87"/>
        <v>0</v>
      </c>
      <c r="FS38">
        <f t="shared" ca="1" si="88"/>
        <v>0</v>
      </c>
      <c r="FT38">
        <f t="shared" ca="1" si="89"/>
        <v>0</v>
      </c>
      <c r="FU38">
        <f t="shared" ca="1" si="90"/>
        <v>0</v>
      </c>
      <c r="FV38">
        <f t="shared" ca="1" si="91"/>
        <v>0</v>
      </c>
      <c r="FW38">
        <f t="shared" ca="1" si="92"/>
        <v>6464</v>
      </c>
      <c r="FX38">
        <f t="shared" ca="1" si="93"/>
        <v>323.20000000000005</v>
      </c>
      <c r="FY38">
        <f t="shared" ca="1" si="94"/>
        <v>323</v>
      </c>
      <c r="FZ38">
        <f t="shared" ca="1" si="95"/>
        <v>0</v>
      </c>
      <c r="GA38">
        <f t="shared" ca="1" si="96"/>
        <v>0</v>
      </c>
      <c r="GB38">
        <f t="shared" ca="1" si="97"/>
        <v>323</v>
      </c>
      <c r="GC38">
        <f t="shared" ca="1" si="98"/>
        <v>0</v>
      </c>
      <c r="GD38" t="b">
        <f t="shared" ca="1" si="99"/>
        <v>0</v>
      </c>
      <c r="GE38">
        <f t="shared" ca="1" si="100"/>
        <v>0</v>
      </c>
      <c r="GF38">
        <f t="shared" ca="1" si="101"/>
        <v>323</v>
      </c>
      <c r="GG38">
        <f t="shared" ca="1" si="102"/>
        <v>0</v>
      </c>
      <c r="GH38">
        <f t="shared" ca="1" si="103"/>
        <v>0</v>
      </c>
      <c r="GI38">
        <f t="shared" ca="1" si="104"/>
        <v>0</v>
      </c>
    </row>
    <row r="39" spans="1:191" x14ac:dyDescent="0.25">
      <c r="A39">
        <f>_xlfn.AGGREGATE(3,5,$B$2:B39)</f>
        <v>38</v>
      </c>
      <c r="B39" t="s">
        <v>198</v>
      </c>
      <c r="C39" t="s">
        <v>199</v>
      </c>
      <c r="D39" t="s">
        <v>771</v>
      </c>
      <c r="E39" t="s">
        <v>843</v>
      </c>
      <c r="F39">
        <v>0</v>
      </c>
      <c r="G39">
        <v>0</v>
      </c>
      <c r="H39">
        <v>0</v>
      </c>
      <c r="I39">
        <f t="shared" si="7"/>
        <v>0</v>
      </c>
      <c r="J39">
        <f t="shared" si="8"/>
        <v>0</v>
      </c>
      <c r="K39">
        <v>0</v>
      </c>
      <c r="L39">
        <v>0</v>
      </c>
      <c r="M39">
        <f t="shared" si="9"/>
        <v>0</v>
      </c>
      <c r="N39">
        <v>0</v>
      </c>
      <c r="O39">
        <v>0</v>
      </c>
      <c r="P39">
        <f t="shared" si="10"/>
        <v>0</v>
      </c>
      <c r="Q39">
        <f t="shared" si="11"/>
        <v>0</v>
      </c>
      <c r="R39">
        <v>0</v>
      </c>
      <c r="S39">
        <f t="shared" si="12"/>
        <v>0</v>
      </c>
      <c r="T39">
        <f t="shared" si="13"/>
        <v>0</v>
      </c>
      <c r="U39">
        <v>0</v>
      </c>
      <c r="V39">
        <v>0</v>
      </c>
      <c r="W39">
        <f t="shared" si="14"/>
        <v>0</v>
      </c>
      <c r="X39">
        <v>0</v>
      </c>
      <c r="Y39">
        <v>0</v>
      </c>
      <c r="Z39">
        <f t="shared" si="15"/>
        <v>0</v>
      </c>
      <c r="AA39">
        <f t="shared" si="16"/>
        <v>0</v>
      </c>
      <c r="AB39">
        <v>0</v>
      </c>
      <c r="AC39">
        <f t="shared" si="17"/>
        <v>0</v>
      </c>
      <c r="AD39">
        <f t="shared" si="18"/>
        <v>0</v>
      </c>
      <c r="AE39">
        <v>0</v>
      </c>
      <c r="AF39">
        <v>0</v>
      </c>
      <c r="AG39">
        <f t="shared" si="19"/>
        <v>0</v>
      </c>
      <c r="AH39">
        <v>0</v>
      </c>
      <c r="AI39">
        <v>0</v>
      </c>
      <c r="AJ39">
        <f t="shared" si="20"/>
        <v>0</v>
      </c>
      <c r="AK39">
        <f t="shared" si="21"/>
        <v>0</v>
      </c>
      <c r="AL39">
        <v>0</v>
      </c>
      <c r="AM39">
        <f t="shared" si="22"/>
        <v>0</v>
      </c>
      <c r="AN39">
        <f t="shared" si="23"/>
        <v>0</v>
      </c>
      <c r="AO39">
        <v>0</v>
      </c>
      <c r="AP39">
        <v>0</v>
      </c>
      <c r="AQ39">
        <f t="shared" si="24"/>
        <v>0</v>
      </c>
      <c r="AR39">
        <v>0</v>
      </c>
      <c r="AS39">
        <v>0</v>
      </c>
      <c r="AT39">
        <f t="shared" si="25"/>
        <v>0</v>
      </c>
      <c r="AU39">
        <f t="shared" si="26"/>
        <v>0</v>
      </c>
      <c r="AV39">
        <v>0</v>
      </c>
      <c r="AW39">
        <f t="shared" si="27"/>
        <v>0</v>
      </c>
      <c r="AX39">
        <f t="shared" si="28"/>
        <v>0</v>
      </c>
      <c r="AY39">
        <f t="shared" si="29"/>
        <v>0</v>
      </c>
      <c r="AZ39">
        <v>0</v>
      </c>
      <c r="BA39">
        <v>0</v>
      </c>
      <c r="BB39">
        <f t="shared" si="30"/>
        <v>0</v>
      </c>
      <c r="BC39">
        <v>0</v>
      </c>
      <c r="BD39">
        <v>0</v>
      </c>
      <c r="BE39">
        <f t="shared" si="31"/>
        <v>0</v>
      </c>
      <c r="BF39">
        <f t="shared" si="32"/>
        <v>0</v>
      </c>
      <c r="BG39">
        <v>0</v>
      </c>
      <c r="BH39">
        <f t="shared" si="33"/>
        <v>0</v>
      </c>
      <c r="BI39">
        <f t="shared" si="34"/>
        <v>0</v>
      </c>
      <c r="BJ39">
        <v>0</v>
      </c>
      <c r="BK39">
        <v>0</v>
      </c>
      <c r="BL39">
        <f t="shared" si="35"/>
        <v>0</v>
      </c>
      <c r="BM39">
        <v>0</v>
      </c>
      <c r="BN39">
        <v>0</v>
      </c>
      <c r="BO39">
        <f t="shared" si="36"/>
        <v>0</v>
      </c>
      <c r="BP39">
        <f t="shared" si="37"/>
        <v>0</v>
      </c>
      <c r="BQ39">
        <v>0</v>
      </c>
      <c r="BR39">
        <f t="shared" si="38"/>
        <v>0</v>
      </c>
      <c r="BS39">
        <f t="shared" si="39"/>
        <v>0</v>
      </c>
      <c r="BT39">
        <v>0</v>
      </c>
      <c r="BU39">
        <v>0</v>
      </c>
      <c r="BV39">
        <f t="shared" si="40"/>
        <v>0</v>
      </c>
      <c r="BW39">
        <v>0</v>
      </c>
      <c r="BX39">
        <v>0</v>
      </c>
      <c r="BY39">
        <f t="shared" si="41"/>
        <v>0</v>
      </c>
      <c r="BZ39">
        <f t="shared" si="42"/>
        <v>0</v>
      </c>
      <c r="CA39">
        <v>0</v>
      </c>
      <c r="CB39">
        <f t="shared" si="43"/>
        <v>0</v>
      </c>
      <c r="CC39">
        <f t="shared" si="44"/>
        <v>0</v>
      </c>
      <c r="CD39">
        <v>0</v>
      </c>
      <c r="CE39">
        <v>0</v>
      </c>
      <c r="CF39">
        <f t="shared" si="45"/>
        <v>0</v>
      </c>
      <c r="CG39">
        <v>0</v>
      </c>
      <c r="CH39">
        <v>0</v>
      </c>
      <c r="CI39">
        <f t="shared" si="46"/>
        <v>0</v>
      </c>
      <c r="CJ39">
        <f t="shared" si="47"/>
        <v>0</v>
      </c>
      <c r="CK39">
        <v>28900</v>
      </c>
      <c r="CL39">
        <f t="shared" si="48"/>
        <v>4046.0000000000005</v>
      </c>
      <c r="CM39">
        <f t="shared" si="49"/>
        <v>3468</v>
      </c>
      <c r="CN39">
        <v>0</v>
      </c>
      <c r="CO39">
        <v>500</v>
      </c>
      <c r="CP39">
        <f t="shared" si="50"/>
        <v>36914</v>
      </c>
      <c r="CQ39">
        <v>0</v>
      </c>
      <c r="CR39">
        <v>0</v>
      </c>
      <c r="CS39">
        <f t="shared" si="51"/>
        <v>150</v>
      </c>
      <c r="CT39">
        <f t="shared" si="52"/>
        <v>36764</v>
      </c>
      <c r="CU39">
        <v>28900</v>
      </c>
      <c r="CV39">
        <f t="shared" si="53"/>
        <v>4046</v>
      </c>
      <c r="CW39">
        <f t="shared" si="54"/>
        <v>3468</v>
      </c>
      <c r="CX39">
        <v>0</v>
      </c>
      <c r="CY39">
        <v>500</v>
      </c>
      <c r="CZ39">
        <f t="shared" si="55"/>
        <v>36914</v>
      </c>
      <c r="DA39">
        <v>0</v>
      </c>
      <c r="DB39">
        <v>0</v>
      </c>
      <c r="DC39">
        <f t="shared" si="56"/>
        <v>150</v>
      </c>
      <c r="DD39">
        <f t="shared" si="57"/>
        <v>36764</v>
      </c>
      <c r="DE39">
        <v>28900</v>
      </c>
      <c r="DF39">
        <f t="shared" si="58"/>
        <v>4046.0000000000005</v>
      </c>
      <c r="DG39">
        <f t="shared" si="59"/>
        <v>3468</v>
      </c>
      <c r="DH39">
        <v>0</v>
      </c>
      <c r="DI39">
        <v>500</v>
      </c>
      <c r="DJ39">
        <f t="shared" si="60"/>
        <v>36914</v>
      </c>
      <c r="DK39">
        <v>0</v>
      </c>
      <c r="DL39">
        <v>0</v>
      </c>
      <c r="DM39">
        <f t="shared" si="61"/>
        <v>150</v>
      </c>
      <c r="DN39">
        <f t="shared" si="62"/>
        <v>36764</v>
      </c>
      <c r="DO39">
        <v>28900</v>
      </c>
      <c r="DP39">
        <f t="shared" si="63"/>
        <v>4046.0000000000005</v>
      </c>
      <c r="DQ39">
        <f t="shared" si="64"/>
        <v>3468</v>
      </c>
      <c r="DR39">
        <v>0</v>
      </c>
      <c r="DS39">
        <v>0</v>
      </c>
      <c r="DT39">
        <f t="shared" si="65"/>
        <v>36414</v>
      </c>
      <c r="DU39">
        <v>0</v>
      </c>
      <c r="DV39">
        <v>0</v>
      </c>
      <c r="DW39">
        <f t="shared" si="66"/>
        <v>150</v>
      </c>
      <c r="DX39">
        <f t="shared" si="67"/>
        <v>36264</v>
      </c>
      <c r="DY39">
        <f t="shared" si="68"/>
        <v>147156</v>
      </c>
      <c r="DZ39">
        <f t="shared" si="0"/>
        <v>600</v>
      </c>
      <c r="EA39">
        <f t="shared" si="1"/>
        <v>50000</v>
      </c>
      <c r="EB39">
        <v>0</v>
      </c>
      <c r="EC39">
        <f t="shared" si="2"/>
        <v>96556</v>
      </c>
      <c r="ED39">
        <f t="shared" si="3"/>
        <v>0</v>
      </c>
      <c r="EE39">
        <f t="shared" si="4"/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f t="shared" si="5"/>
        <v>0</v>
      </c>
      <c r="EQ39">
        <f t="shared" si="69"/>
        <v>0</v>
      </c>
      <c r="ER39">
        <f t="shared" si="6"/>
        <v>96556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f t="shared" si="70"/>
        <v>0</v>
      </c>
      <c r="FA39">
        <f t="shared" si="71"/>
        <v>96556</v>
      </c>
      <c r="FB39">
        <f t="shared" si="72"/>
        <v>-7672</v>
      </c>
      <c r="FC39">
        <f t="shared" si="73"/>
        <v>0</v>
      </c>
      <c r="FD39">
        <f t="shared" si="74"/>
        <v>-7672</v>
      </c>
      <c r="FE39">
        <f t="shared" si="75"/>
        <v>0</v>
      </c>
      <c r="FF39">
        <f t="shared" si="76"/>
        <v>0</v>
      </c>
      <c r="FG39">
        <f t="shared" si="77"/>
        <v>0</v>
      </c>
      <c r="FH39">
        <v>0</v>
      </c>
      <c r="FI39">
        <f t="shared" si="78"/>
        <v>0</v>
      </c>
      <c r="FJ39" t="b">
        <f t="shared" si="79"/>
        <v>0</v>
      </c>
      <c r="FK39">
        <f t="shared" ca="1" si="80"/>
        <v>1815</v>
      </c>
      <c r="FL39">
        <f t="shared" ca="1" si="81"/>
        <v>148971</v>
      </c>
      <c r="FM39">
        <f t="shared" si="82"/>
        <v>75000</v>
      </c>
      <c r="FN39">
        <f t="shared" ca="1" si="83"/>
        <v>73971</v>
      </c>
      <c r="FO39">
        <f t="shared" ca="1" si="84"/>
        <v>0</v>
      </c>
      <c r="FP39">
        <f t="shared" ca="1" si="85"/>
        <v>0</v>
      </c>
      <c r="FQ39">
        <f t="shared" ca="1" si="86"/>
        <v>0</v>
      </c>
      <c r="FR39">
        <f t="shared" ca="1" si="87"/>
        <v>0</v>
      </c>
      <c r="FS39">
        <f t="shared" ca="1" si="88"/>
        <v>0</v>
      </c>
      <c r="FT39">
        <f t="shared" ca="1" si="89"/>
        <v>0</v>
      </c>
      <c r="FU39">
        <f t="shared" ca="1" si="90"/>
        <v>0</v>
      </c>
      <c r="FV39">
        <f t="shared" ca="1" si="91"/>
        <v>0</v>
      </c>
      <c r="FW39">
        <f t="shared" ca="1" si="92"/>
        <v>0</v>
      </c>
      <c r="FX39">
        <f t="shared" ca="1" si="93"/>
        <v>0</v>
      </c>
      <c r="FY39">
        <f t="shared" ca="1" si="94"/>
        <v>0</v>
      </c>
      <c r="FZ39">
        <f t="shared" ca="1" si="95"/>
        <v>0</v>
      </c>
      <c r="GA39">
        <f t="shared" ca="1" si="96"/>
        <v>0</v>
      </c>
      <c r="GB39">
        <f t="shared" ca="1" si="97"/>
        <v>0</v>
      </c>
      <c r="GC39">
        <f t="shared" ca="1" si="98"/>
        <v>0</v>
      </c>
      <c r="GD39" t="b">
        <f t="shared" ca="1" si="99"/>
        <v>0</v>
      </c>
      <c r="GE39">
        <f t="shared" ca="1" si="100"/>
        <v>0</v>
      </c>
      <c r="GF39">
        <f t="shared" ca="1" si="101"/>
        <v>0</v>
      </c>
      <c r="GG39">
        <f t="shared" ca="1" si="102"/>
        <v>0</v>
      </c>
      <c r="GH39">
        <f t="shared" ca="1" si="103"/>
        <v>0</v>
      </c>
      <c r="GI39">
        <f t="shared" ca="1" si="104"/>
        <v>0</v>
      </c>
    </row>
    <row r="40" spans="1:191" x14ac:dyDescent="0.25">
      <c r="A40">
        <f>_xlfn.AGGREGATE(3,5,$B$2:B40)</f>
        <v>39</v>
      </c>
      <c r="B40" t="s">
        <v>200</v>
      </c>
      <c r="C40" t="s">
        <v>201</v>
      </c>
      <c r="D40" t="s">
        <v>772</v>
      </c>
      <c r="E40" t="s">
        <v>845</v>
      </c>
      <c r="F40">
        <v>0</v>
      </c>
      <c r="G40">
        <v>0</v>
      </c>
      <c r="H40">
        <v>53800</v>
      </c>
      <c r="I40">
        <f t="shared" si="7"/>
        <v>5380</v>
      </c>
      <c r="J40">
        <f t="shared" si="8"/>
        <v>6456</v>
      </c>
      <c r="K40">
        <v>400</v>
      </c>
      <c r="L40">
        <v>500</v>
      </c>
      <c r="M40">
        <f t="shared" si="9"/>
        <v>66536</v>
      </c>
      <c r="N40">
        <v>5000</v>
      </c>
      <c r="O40">
        <v>0</v>
      </c>
      <c r="P40">
        <f t="shared" si="10"/>
        <v>200</v>
      </c>
      <c r="Q40">
        <f t="shared" si="11"/>
        <v>61336</v>
      </c>
      <c r="R40">
        <v>53800</v>
      </c>
      <c r="S40">
        <f t="shared" si="12"/>
        <v>5380</v>
      </c>
      <c r="T40">
        <f t="shared" si="13"/>
        <v>6456</v>
      </c>
      <c r="U40">
        <v>400</v>
      </c>
      <c r="V40">
        <v>500</v>
      </c>
      <c r="W40">
        <f t="shared" si="14"/>
        <v>66536</v>
      </c>
      <c r="X40">
        <v>5000</v>
      </c>
      <c r="Y40">
        <v>0</v>
      </c>
      <c r="Z40">
        <f t="shared" si="15"/>
        <v>200</v>
      </c>
      <c r="AA40">
        <f t="shared" si="16"/>
        <v>61336</v>
      </c>
      <c r="AB40">
        <v>53800</v>
      </c>
      <c r="AC40">
        <f t="shared" si="17"/>
        <v>7532.0000000000009</v>
      </c>
      <c r="AD40">
        <f t="shared" si="18"/>
        <v>6456</v>
      </c>
      <c r="AE40">
        <v>400</v>
      </c>
      <c r="AF40">
        <v>500</v>
      </c>
      <c r="AG40">
        <f t="shared" si="19"/>
        <v>68688</v>
      </c>
      <c r="AH40">
        <v>5000</v>
      </c>
      <c r="AI40">
        <v>0</v>
      </c>
      <c r="AJ40">
        <f t="shared" si="20"/>
        <v>200</v>
      </c>
      <c r="AK40">
        <f t="shared" si="21"/>
        <v>63488</v>
      </c>
      <c r="AL40">
        <v>53800</v>
      </c>
      <c r="AM40">
        <f t="shared" si="22"/>
        <v>7532.0000000000009</v>
      </c>
      <c r="AN40">
        <f t="shared" si="23"/>
        <v>6456</v>
      </c>
      <c r="AO40">
        <v>400</v>
      </c>
      <c r="AP40">
        <v>500</v>
      </c>
      <c r="AQ40">
        <f t="shared" si="24"/>
        <v>68688</v>
      </c>
      <c r="AR40">
        <v>5000</v>
      </c>
      <c r="AS40">
        <v>0</v>
      </c>
      <c r="AT40">
        <f t="shared" si="25"/>
        <v>200</v>
      </c>
      <c r="AU40">
        <f t="shared" si="26"/>
        <v>63488</v>
      </c>
      <c r="AV40">
        <v>55400</v>
      </c>
      <c r="AW40">
        <f t="shared" si="27"/>
        <v>7756.0000000000009</v>
      </c>
      <c r="AX40">
        <f t="shared" si="28"/>
        <v>2152</v>
      </c>
      <c r="AY40">
        <f t="shared" si="29"/>
        <v>6648</v>
      </c>
      <c r="AZ40">
        <v>400</v>
      </c>
      <c r="BA40">
        <v>500</v>
      </c>
      <c r="BB40">
        <f t="shared" si="30"/>
        <v>72856</v>
      </c>
      <c r="BC40">
        <v>5000</v>
      </c>
      <c r="BD40">
        <v>0</v>
      </c>
      <c r="BE40">
        <f t="shared" si="31"/>
        <v>200</v>
      </c>
      <c r="BF40">
        <f t="shared" si="32"/>
        <v>67656</v>
      </c>
      <c r="BG40">
        <v>55400</v>
      </c>
      <c r="BH40">
        <f t="shared" si="33"/>
        <v>7756.0000000000009</v>
      </c>
      <c r="BI40">
        <f t="shared" si="34"/>
        <v>6648</v>
      </c>
      <c r="BJ40">
        <v>400</v>
      </c>
      <c r="BK40">
        <v>500</v>
      </c>
      <c r="BL40">
        <f t="shared" si="35"/>
        <v>70704</v>
      </c>
      <c r="BM40">
        <v>5000</v>
      </c>
      <c r="BN40">
        <v>0</v>
      </c>
      <c r="BO40">
        <f t="shared" si="36"/>
        <v>200</v>
      </c>
      <c r="BP40">
        <f t="shared" si="37"/>
        <v>65504</v>
      </c>
      <c r="BQ40">
        <v>55400</v>
      </c>
      <c r="BR40">
        <f t="shared" si="38"/>
        <v>7756.0000000000009</v>
      </c>
      <c r="BS40">
        <f t="shared" si="39"/>
        <v>6648</v>
      </c>
      <c r="BT40">
        <v>400</v>
      </c>
      <c r="BU40">
        <v>500</v>
      </c>
      <c r="BV40">
        <f t="shared" si="40"/>
        <v>70704</v>
      </c>
      <c r="BW40">
        <v>5000</v>
      </c>
      <c r="BX40">
        <v>0</v>
      </c>
      <c r="BY40">
        <f t="shared" si="41"/>
        <v>200</v>
      </c>
      <c r="BZ40">
        <f t="shared" si="42"/>
        <v>65504</v>
      </c>
      <c r="CA40">
        <v>55400</v>
      </c>
      <c r="CB40">
        <f t="shared" si="43"/>
        <v>7756.0000000000009</v>
      </c>
      <c r="CC40">
        <f t="shared" si="44"/>
        <v>6648</v>
      </c>
      <c r="CD40">
        <v>400</v>
      </c>
      <c r="CE40">
        <v>500</v>
      </c>
      <c r="CF40">
        <f t="shared" si="45"/>
        <v>70704</v>
      </c>
      <c r="CG40">
        <v>5000</v>
      </c>
      <c r="CH40">
        <v>0</v>
      </c>
      <c r="CI40">
        <f t="shared" si="46"/>
        <v>200</v>
      </c>
      <c r="CJ40">
        <f t="shared" si="47"/>
        <v>65504</v>
      </c>
      <c r="CK40">
        <v>55400</v>
      </c>
      <c r="CL40">
        <f t="shared" si="48"/>
        <v>7756.0000000000009</v>
      </c>
      <c r="CM40">
        <f t="shared" si="49"/>
        <v>6648</v>
      </c>
      <c r="CN40">
        <v>400</v>
      </c>
      <c r="CO40">
        <v>500</v>
      </c>
      <c r="CP40">
        <f t="shared" si="50"/>
        <v>70704</v>
      </c>
      <c r="CQ40">
        <v>5000</v>
      </c>
      <c r="CR40">
        <v>0</v>
      </c>
      <c r="CS40">
        <f t="shared" si="51"/>
        <v>200</v>
      </c>
      <c r="CT40">
        <f t="shared" si="52"/>
        <v>65504</v>
      </c>
      <c r="CU40">
        <v>55400</v>
      </c>
      <c r="CV40">
        <f t="shared" si="53"/>
        <v>7756</v>
      </c>
      <c r="CW40">
        <f t="shared" si="54"/>
        <v>6648</v>
      </c>
      <c r="CX40">
        <v>400</v>
      </c>
      <c r="CY40">
        <v>500</v>
      </c>
      <c r="CZ40">
        <f t="shared" si="55"/>
        <v>70704</v>
      </c>
      <c r="DA40">
        <v>5000</v>
      </c>
      <c r="DB40">
        <v>0</v>
      </c>
      <c r="DC40">
        <f t="shared" si="56"/>
        <v>200</v>
      </c>
      <c r="DD40">
        <f t="shared" si="57"/>
        <v>65504</v>
      </c>
      <c r="DE40">
        <v>55400</v>
      </c>
      <c r="DF40">
        <f t="shared" si="58"/>
        <v>7756.0000000000009</v>
      </c>
      <c r="DG40">
        <f t="shared" si="59"/>
        <v>6648</v>
      </c>
      <c r="DH40">
        <v>400</v>
      </c>
      <c r="DI40">
        <v>500</v>
      </c>
      <c r="DJ40">
        <f t="shared" si="60"/>
        <v>70704</v>
      </c>
      <c r="DK40">
        <v>5000</v>
      </c>
      <c r="DL40">
        <v>0</v>
      </c>
      <c r="DM40">
        <f t="shared" si="61"/>
        <v>200</v>
      </c>
      <c r="DN40">
        <f t="shared" si="62"/>
        <v>65504</v>
      </c>
      <c r="DO40">
        <v>55400</v>
      </c>
      <c r="DP40">
        <f t="shared" si="63"/>
        <v>7756.0000000000009</v>
      </c>
      <c r="DQ40">
        <f t="shared" si="64"/>
        <v>6648</v>
      </c>
      <c r="DR40">
        <v>400</v>
      </c>
      <c r="DS40">
        <v>500</v>
      </c>
      <c r="DT40">
        <f t="shared" si="65"/>
        <v>70704</v>
      </c>
      <c r="DU40">
        <v>5000</v>
      </c>
      <c r="DV40">
        <v>0</v>
      </c>
      <c r="DW40">
        <f t="shared" si="66"/>
        <v>200</v>
      </c>
      <c r="DX40">
        <f t="shared" si="67"/>
        <v>65504</v>
      </c>
      <c r="DY40">
        <f t="shared" si="68"/>
        <v>838232</v>
      </c>
      <c r="DZ40">
        <f t="shared" si="0"/>
        <v>2400</v>
      </c>
      <c r="EA40">
        <f t="shared" si="1"/>
        <v>50000</v>
      </c>
      <c r="EB40">
        <v>0</v>
      </c>
      <c r="EC40">
        <f t="shared" si="2"/>
        <v>785832</v>
      </c>
      <c r="ED40">
        <f t="shared" si="3"/>
        <v>60000</v>
      </c>
      <c r="EE40">
        <f t="shared" si="4"/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f t="shared" si="5"/>
        <v>60000</v>
      </c>
      <c r="EQ40">
        <f t="shared" si="69"/>
        <v>60000</v>
      </c>
      <c r="ER40">
        <f t="shared" si="6"/>
        <v>725832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f t="shared" si="70"/>
        <v>0</v>
      </c>
      <c r="FA40">
        <f t="shared" si="71"/>
        <v>725832</v>
      </c>
      <c r="FB40">
        <f t="shared" si="72"/>
        <v>12500</v>
      </c>
      <c r="FC40">
        <f t="shared" si="73"/>
        <v>45166</v>
      </c>
      <c r="FD40">
        <f t="shared" si="74"/>
        <v>57666</v>
      </c>
      <c r="FE40">
        <f t="shared" si="75"/>
        <v>57666</v>
      </c>
      <c r="FF40">
        <f t="shared" si="76"/>
        <v>2306.64</v>
      </c>
      <c r="FG40">
        <f t="shared" si="77"/>
        <v>59973</v>
      </c>
      <c r="FH40">
        <v>0</v>
      </c>
      <c r="FI40">
        <f t="shared" si="78"/>
        <v>59973</v>
      </c>
      <c r="FJ40" t="b">
        <f t="shared" si="79"/>
        <v>1</v>
      </c>
      <c r="FK40">
        <f t="shared" ca="1" si="80"/>
        <v>943</v>
      </c>
      <c r="FL40">
        <f t="shared" ca="1" si="81"/>
        <v>839175</v>
      </c>
      <c r="FM40">
        <f t="shared" si="82"/>
        <v>75000</v>
      </c>
      <c r="FN40">
        <f t="shared" ca="1" si="83"/>
        <v>764175</v>
      </c>
      <c r="FO40">
        <f t="shared" ca="1" si="84"/>
        <v>0</v>
      </c>
      <c r="FP40">
        <f t="shared" ca="1" si="85"/>
        <v>0</v>
      </c>
      <c r="FQ40">
        <f t="shared" ca="1" si="86"/>
        <v>0</v>
      </c>
      <c r="FR40">
        <f t="shared" ca="1" si="87"/>
        <v>0</v>
      </c>
      <c r="FS40">
        <f t="shared" ca="1" si="88"/>
        <v>0</v>
      </c>
      <c r="FT40">
        <f t="shared" ca="1" si="89"/>
        <v>0</v>
      </c>
      <c r="FU40">
        <f t="shared" ca="1" si="90"/>
        <v>64175</v>
      </c>
      <c r="FV40">
        <f t="shared" ca="1" si="91"/>
        <v>6417.5</v>
      </c>
      <c r="FW40">
        <f t="shared" ca="1" si="92"/>
        <v>400000</v>
      </c>
      <c r="FX40">
        <f t="shared" ca="1" si="93"/>
        <v>20000</v>
      </c>
      <c r="FY40">
        <f t="shared" ca="1" si="94"/>
        <v>26418</v>
      </c>
      <c r="FZ40">
        <f t="shared" ca="1" si="95"/>
        <v>764175</v>
      </c>
      <c r="GA40">
        <f t="shared" ca="1" si="96"/>
        <v>64175</v>
      </c>
      <c r="GB40">
        <f t="shared" ca="1" si="97"/>
        <v>0</v>
      </c>
      <c r="GC40">
        <f t="shared" ca="1" si="98"/>
        <v>-37757</v>
      </c>
      <c r="GD40" t="b">
        <f t="shared" ca="1" si="99"/>
        <v>0</v>
      </c>
      <c r="GE40">
        <f t="shared" ca="1" si="100"/>
        <v>0</v>
      </c>
      <c r="GF40">
        <f t="shared" ca="1" si="101"/>
        <v>0</v>
      </c>
      <c r="GG40">
        <f t="shared" ca="1" si="102"/>
        <v>26418</v>
      </c>
      <c r="GH40">
        <f t="shared" ca="1" si="103"/>
        <v>1056.72</v>
      </c>
      <c r="GI40">
        <f t="shared" ca="1" si="104"/>
        <v>27475</v>
      </c>
    </row>
    <row r="41" spans="1:191" x14ac:dyDescent="0.25">
      <c r="A41">
        <f>_xlfn.AGGREGATE(3,5,$B$2:B41)</f>
        <v>40</v>
      </c>
      <c r="B41" t="s">
        <v>202</v>
      </c>
      <c r="C41" t="s">
        <v>203</v>
      </c>
      <c r="D41" t="s">
        <v>772</v>
      </c>
      <c r="E41" t="s">
        <v>843</v>
      </c>
      <c r="F41">
        <v>0</v>
      </c>
      <c r="G41">
        <v>0</v>
      </c>
      <c r="H41">
        <v>0</v>
      </c>
      <c r="I41">
        <f t="shared" si="7"/>
        <v>0</v>
      </c>
      <c r="J41">
        <f t="shared" si="8"/>
        <v>0</v>
      </c>
      <c r="K41">
        <v>0</v>
      </c>
      <c r="L41">
        <v>0</v>
      </c>
      <c r="M41">
        <f t="shared" si="9"/>
        <v>0</v>
      </c>
      <c r="N41">
        <v>0</v>
      </c>
      <c r="O41">
        <v>0</v>
      </c>
      <c r="P41">
        <f t="shared" si="10"/>
        <v>0</v>
      </c>
      <c r="Q41">
        <f t="shared" si="11"/>
        <v>0</v>
      </c>
      <c r="R41">
        <v>28900</v>
      </c>
      <c r="S41">
        <f t="shared" si="12"/>
        <v>2890</v>
      </c>
      <c r="T41">
        <f t="shared" si="13"/>
        <v>3468</v>
      </c>
      <c r="U41">
        <v>0</v>
      </c>
      <c r="V41">
        <v>500</v>
      </c>
      <c r="W41">
        <f t="shared" si="14"/>
        <v>35758</v>
      </c>
      <c r="X41">
        <v>0</v>
      </c>
      <c r="Y41">
        <v>0</v>
      </c>
      <c r="Z41">
        <f t="shared" si="15"/>
        <v>150</v>
      </c>
      <c r="AA41">
        <f t="shared" si="16"/>
        <v>35608</v>
      </c>
      <c r="AB41">
        <v>28900</v>
      </c>
      <c r="AC41">
        <f t="shared" si="17"/>
        <v>4046.0000000000005</v>
      </c>
      <c r="AD41">
        <f t="shared" si="18"/>
        <v>3468</v>
      </c>
      <c r="AE41">
        <v>0</v>
      </c>
      <c r="AF41">
        <v>500</v>
      </c>
      <c r="AG41">
        <f t="shared" si="19"/>
        <v>36914</v>
      </c>
      <c r="AH41">
        <v>0</v>
      </c>
      <c r="AI41">
        <v>0</v>
      </c>
      <c r="AJ41">
        <f t="shared" si="20"/>
        <v>150</v>
      </c>
      <c r="AK41">
        <f t="shared" si="21"/>
        <v>36764</v>
      </c>
      <c r="AL41">
        <v>28900</v>
      </c>
      <c r="AM41">
        <f t="shared" si="22"/>
        <v>4046.0000000000005</v>
      </c>
      <c r="AN41">
        <f t="shared" si="23"/>
        <v>3468</v>
      </c>
      <c r="AO41">
        <v>0</v>
      </c>
      <c r="AP41">
        <v>500</v>
      </c>
      <c r="AQ41">
        <f t="shared" si="24"/>
        <v>36914</v>
      </c>
      <c r="AR41">
        <v>0</v>
      </c>
      <c r="AS41">
        <v>0</v>
      </c>
      <c r="AT41">
        <f t="shared" si="25"/>
        <v>150</v>
      </c>
      <c r="AU41">
        <f t="shared" si="26"/>
        <v>36764</v>
      </c>
      <c r="AV41">
        <v>28900</v>
      </c>
      <c r="AW41">
        <f t="shared" si="27"/>
        <v>4046.0000000000005</v>
      </c>
      <c r="AX41">
        <f t="shared" si="28"/>
        <v>1156</v>
      </c>
      <c r="AY41">
        <f t="shared" si="29"/>
        <v>3468</v>
      </c>
      <c r="AZ41">
        <v>0</v>
      </c>
      <c r="BA41">
        <v>500</v>
      </c>
      <c r="BB41">
        <f t="shared" si="30"/>
        <v>38070</v>
      </c>
      <c r="BC41">
        <v>0</v>
      </c>
      <c r="BD41">
        <v>0</v>
      </c>
      <c r="BE41">
        <f t="shared" si="31"/>
        <v>150</v>
      </c>
      <c r="BF41">
        <f t="shared" si="32"/>
        <v>37920</v>
      </c>
      <c r="BG41">
        <v>28900</v>
      </c>
      <c r="BH41">
        <f t="shared" si="33"/>
        <v>4046.0000000000005</v>
      </c>
      <c r="BI41">
        <f t="shared" si="34"/>
        <v>3468</v>
      </c>
      <c r="BJ41">
        <v>0</v>
      </c>
      <c r="BK41">
        <v>500</v>
      </c>
      <c r="BL41">
        <f t="shared" si="35"/>
        <v>36914</v>
      </c>
      <c r="BM41">
        <v>0</v>
      </c>
      <c r="BN41">
        <v>0</v>
      </c>
      <c r="BO41">
        <f t="shared" si="36"/>
        <v>150</v>
      </c>
      <c r="BP41">
        <f t="shared" si="37"/>
        <v>36764</v>
      </c>
      <c r="BQ41">
        <v>28900</v>
      </c>
      <c r="BR41">
        <f t="shared" si="38"/>
        <v>4046.0000000000005</v>
      </c>
      <c r="BS41">
        <f t="shared" si="39"/>
        <v>3468</v>
      </c>
      <c r="BT41">
        <v>0</v>
      </c>
      <c r="BU41">
        <v>500</v>
      </c>
      <c r="BV41">
        <f t="shared" si="40"/>
        <v>36914</v>
      </c>
      <c r="BW41">
        <v>0</v>
      </c>
      <c r="BX41">
        <v>0</v>
      </c>
      <c r="BY41">
        <f t="shared" si="41"/>
        <v>150</v>
      </c>
      <c r="BZ41">
        <f t="shared" si="42"/>
        <v>36764</v>
      </c>
      <c r="CA41">
        <v>28900</v>
      </c>
      <c r="CB41">
        <f t="shared" si="43"/>
        <v>4046.0000000000005</v>
      </c>
      <c r="CC41">
        <f t="shared" si="44"/>
        <v>3468</v>
      </c>
      <c r="CD41">
        <v>0</v>
      </c>
      <c r="CE41">
        <v>500</v>
      </c>
      <c r="CF41">
        <f t="shared" si="45"/>
        <v>36914</v>
      </c>
      <c r="CG41">
        <v>0</v>
      </c>
      <c r="CH41">
        <v>0</v>
      </c>
      <c r="CI41">
        <f t="shared" si="46"/>
        <v>150</v>
      </c>
      <c r="CJ41">
        <f t="shared" si="47"/>
        <v>36764</v>
      </c>
      <c r="CK41">
        <v>28900</v>
      </c>
      <c r="CL41">
        <f t="shared" si="48"/>
        <v>4046.0000000000005</v>
      </c>
      <c r="CM41">
        <f t="shared" si="49"/>
        <v>3468</v>
      </c>
      <c r="CN41">
        <v>0</v>
      </c>
      <c r="CO41">
        <v>500</v>
      </c>
      <c r="CP41">
        <f t="shared" si="50"/>
        <v>36914</v>
      </c>
      <c r="CQ41">
        <v>0</v>
      </c>
      <c r="CR41">
        <v>0</v>
      </c>
      <c r="CS41">
        <f t="shared" si="51"/>
        <v>150</v>
      </c>
      <c r="CT41">
        <f t="shared" si="52"/>
        <v>36764</v>
      </c>
      <c r="CU41">
        <v>28900</v>
      </c>
      <c r="CV41">
        <f t="shared" si="53"/>
        <v>4046</v>
      </c>
      <c r="CW41">
        <f t="shared" si="54"/>
        <v>3468</v>
      </c>
      <c r="CX41">
        <v>0</v>
      </c>
      <c r="CY41">
        <v>500</v>
      </c>
      <c r="CZ41">
        <f t="shared" si="55"/>
        <v>36914</v>
      </c>
      <c r="DA41">
        <v>0</v>
      </c>
      <c r="DB41">
        <v>0</v>
      </c>
      <c r="DC41">
        <f t="shared" si="56"/>
        <v>150</v>
      </c>
      <c r="DD41">
        <f t="shared" si="57"/>
        <v>36764</v>
      </c>
      <c r="DE41">
        <v>28900</v>
      </c>
      <c r="DF41">
        <f t="shared" si="58"/>
        <v>4046.0000000000005</v>
      </c>
      <c r="DG41">
        <f t="shared" si="59"/>
        <v>3468</v>
      </c>
      <c r="DH41">
        <v>0</v>
      </c>
      <c r="DI41">
        <v>500</v>
      </c>
      <c r="DJ41">
        <f t="shared" si="60"/>
        <v>36914</v>
      </c>
      <c r="DK41">
        <v>0</v>
      </c>
      <c r="DL41">
        <v>0</v>
      </c>
      <c r="DM41">
        <f t="shared" si="61"/>
        <v>150</v>
      </c>
      <c r="DN41">
        <f t="shared" si="62"/>
        <v>36764</v>
      </c>
      <c r="DO41">
        <v>28900</v>
      </c>
      <c r="DP41">
        <f t="shared" si="63"/>
        <v>4046.0000000000005</v>
      </c>
      <c r="DQ41">
        <f t="shared" si="64"/>
        <v>3468</v>
      </c>
      <c r="DR41">
        <v>0</v>
      </c>
      <c r="DS41">
        <v>500</v>
      </c>
      <c r="DT41">
        <f t="shared" si="65"/>
        <v>36914</v>
      </c>
      <c r="DU41">
        <v>0</v>
      </c>
      <c r="DV41">
        <v>0</v>
      </c>
      <c r="DW41">
        <f t="shared" si="66"/>
        <v>150</v>
      </c>
      <c r="DX41">
        <f t="shared" si="67"/>
        <v>36764</v>
      </c>
      <c r="DY41">
        <f t="shared" si="68"/>
        <v>406054</v>
      </c>
      <c r="DZ41">
        <f t="shared" si="0"/>
        <v>1650</v>
      </c>
      <c r="EA41">
        <f t="shared" si="1"/>
        <v>50000</v>
      </c>
      <c r="EB41">
        <v>0</v>
      </c>
      <c r="EC41">
        <f t="shared" si="2"/>
        <v>354404</v>
      </c>
      <c r="ED41">
        <f t="shared" si="3"/>
        <v>0</v>
      </c>
      <c r="EE41">
        <f t="shared" si="4"/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f t="shared" si="5"/>
        <v>0</v>
      </c>
      <c r="EQ41">
        <f t="shared" si="69"/>
        <v>0</v>
      </c>
      <c r="ER41">
        <f t="shared" si="6"/>
        <v>354404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f t="shared" si="70"/>
        <v>0</v>
      </c>
      <c r="FA41">
        <f t="shared" si="71"/>
        <v>354404</v>
      </c>
      <c r="FB41">
        <f t="shared" si="72"/>
        <v>5220</v>
      </c>
      <c r="FC41">
        <f t="shared" si="73"/>
        <v>0</v>
      </c>
      <c r="FD41">
        <f t="shared" si="74"/>
        <v>5220</v>
      </c>
      <c r="FE41">
        <f t="shared" si="75"/>
        <v>0</v>
      </c>
      <c r="FF41">
        <f t="shared" si="76"/>
        <v>0</v>
      </c>
      <c r="FG41">
        <f t="shared" si="77"/>
        <v>0</v>
      </c>
      <c r="FH41">
        <v>0</v>
      </c>
      <c r="FI41">
        <f t="shared" si="78"/>
        <v>0</v>
      </c>
      <c r="FJ41" t="b">
        <f t="shared" si="79"/>
        <v>0</v>
      </c>
      <c r="FK41">
        <f t="shared" ca="1" si="80"/>
        <v>2973</v>
      </c>
      <c r="FL41">
        <f t="shared" ca="1" si="81"/>
        <v>409027</v>
      </c>
      <c r="FM41">
        <f t="shared" si="82"/>
        <v>75000</v>
      </c>
      <c r="FN41">
        <f t="shared" ca="1" si="83"/>
        <v>334027</v>
      </c>
      <c r="FO41">
        <f t="shared" ca="1" si="84"/>
        <v>0</v>
      </c>
      <c r="FP41">
        <f t="shared" ca="1" si="85"/>
        <v>0</v>
      </c>
      <c r="FQ41">
        <f t="shared" ca="1" si="86"/>
        <v>0</v>
      </c>
      <c r="FR41">
        <f t="shared" ca="1" si="87"/>
        <v>0</v>
      </c>
      <c r="FS41">
        <f t="shared" ca="1" si="88"/>
        <v>0</v>
      </c>
      <c r="FT41">
        <f t="shared" ca="1" si="89"/>
        <v>0</v>
      </c>
      <c r="FU41">
        <f t="shared" ca="1" si="90"/>
        <v>0</v>
      </c>
      <c r="FV41">
        <f t="shared" ca="1" si="91"/>
        <v>0</v>
      </c>
      <c r="FW41">
        <f t="shared" ca="1" si="92"/>
        <v>34027</v>
      </c>
      <c r="FX41">
        <f t="shared" ca="1" si="93"/>
        <v>1701.3500000000001</v>
      </c>
      <c r="FY41">
        <f t="shared" ca="1" si="94"/>
        <v>1701</v>
      </c>
      <c r="FZ41">
        <f t="shared" ca="1" si="95"/>
        <v>0</v>
      </c>
      <c r="GA41">
        <f t="shared" ca="1" si="96"/>
        <v>0</v>
      </c>
      <c r="GB41">
        <f t="shared" ca="1" si="97"/>
        <v>1701</v>
      </c>
      <c r="GC41">
        <f t="shared" ca="1" si="98"/>
        <v>0</v>
      </c>
      <c r="GD41" t="b">
        <f t="shared" ca="1" si="99"/>
        <v>0</v>
      </c>
      <c r="GE41">
        <f t="shared" ca="1" si="100"/>
        <v>0</v>
      </c>
      <c r="GF41">
        <f t="shared" ca="1" si="101"/>
        <v>1701</v>
      </c>
      <c r="GG41">
        <f t="shared" ca="1" si="102"/>
        <v>0</v>
      </c>
      <c r="GH41">
        <f t="shared" ca="1" si="103"/>
        <v>0</v>
      </c>
      <c r="GI41">
        <f t="shared" ca="1" si="104"/>
        <v>0</v>
      </c>
    </row>
    <row r="42" spans="1:191" x14ac:dyDescent="0.25">
      <c r="A42">
        <f>_xlfn.AGGREGATE(3,5,$B$2:B42)</f>
        <v>41</v>
      </c>
      <c r="B42" t="s">
        <v>204</v>
      </c>
      <c r="C42" t="s">
        <v>205</v>
      </c>
      <c r="D42" t="s">
        <v>772</v>
      </c>
      <c r="E42" t="s">
        <v>843</v>
      </c>
      <c r="F42">
        <v>0</v>
      </c>
      <c r="G42">
        <v>0</v>
      </c>
      <c r="H42">
        <v>0</v>
      </c>
      <c r="I42">
        <f t="shared" si="7"/>
        <v>0</v>
      </c>
      <c r="J42">
        <f t="shared" si="8"/>
        <v>0</v>
      </c>
      <c r="K42">
        <v>0</v>
      </c>
      <c r="L42">
        <v>0</v>
      </c>
      <c r="M42">
        <f t="shared" si="9"/>
        <v>0</v>
      </c>
      <c r="N42">
        <v>0</v>
      </c>
      <c r="O42">
        <v>0</v>
      </c>
      <c r="P42">
        <f t="shared" si="10"/>
        <v>0</v>
      </c>
      <c r="Q42">
        <f t="shared" si="11"/>
        <v>0</v>
      </c>
      <c r="R42">
        <v>0</v>
      </c>
      <c r="S42">
        <f t="shared" si="12"/>
        <v>0</v>
      </c>
      <c r="T42">
        <f t="shared" si="13"/>
        <v>0</v>
      </c>
      <c r="U42">
        <v>0</v>
      </c>
      <c r="V42">
        <v>0</v>
      </c>
      <c r="W42">
        <f t="shared" si="14"/>
        <v>0</v>
      </c>
      <c r="X42">
        <v>0</v>
      </c>
      <c r="Y42">
        <v>0</v>
      </c>
      <c r="Z42">
        <f t="shared" si="15"/>
        <v>0</v>
      </c>
      <c r="AA42">
        <f t="shared" si="16"/>
        <v>0</v>
      </c>
      <c r="AB42">
        <v>0</v>
      </c>
      <c r="AC42">
        <f t="shared" si="17"/>
        <v>0</v>
      </c>
      <c r="AD42">
        <f t="shared" si="18"/>
        <v>0</v>
      </c>
      <c r="AE42">
        <v>0</v>
      </c>
      <c r="AF42">
        <v>0</v>
      </c>
      <c r="AG42">
        <f t="shared" si="19"/>
        <v>0</v>
      </c>
      <c r="AH42">
        <v>0</v>
      </c>
      <c r="AI42">
        <v>0</v>
      </c>
      <c r="AJ42">
        <f t="shared" si="20"/>
        <v>0</v>
      </c>
      <c r="AK42">
        <f t="shared" si="21"/>
        <v>0</v>
      </c>
      <c r="AL42">
        <v>0</v>
      </c>
      <c r="AM42">
        <f t="shared" si="22"/>
        <v>0</v>
      </c>
      <c r="AN42">
        <f t="shared" si="23"/>
        <v>0</v>
      </c>
      <c r="AO42">
        <v>0</v>
      </c>
      <c r="AP42">
        <v>0</v>
      </c>
      <c r="AQ42">
        <f t="shared" si="24"/>
        <v>0</v>
      </c>
      <c r="AR42">
        <v>0</v>
      </c>
      <c r="AS42">
        <v>0</v>
      </c>
      <c r="AT42">
        <f t="shared" si="25"/>
        <v>0</v>
      </c>
      <c r="AU42">
        <f t="shared" si="26"/>
        <v>0</v>
      </c>
      <c r="AV42">
        <v>0</v>
      </c>
      <c r="AW42">
        <f t="shared" si="27"/>
        <v>0</v>
      </c>
      <c r="AX42">
        <f t="shared" si="28"/>
        <v>0</v>
      </c>
      <c r="AY42">
        <f t="shared" si="29"/>
        <v>0</v>
      </c>
      <c r="AZ42">
        <v>0</v>
      </c>
      <c r="BA42">
        <v>0</v>
      </c>
      <c r="BB42">
        <f t="shared" si="30"/>
        <v>0</v>
      </c>
      <c r="BC42">
        <v>0</v>
      </c>
      <c r="BD42">
        <v>0</v>
      </c>
      <c r="BE42">
        <f t="shared" si="31"/>
        <v>0</v>
      </c>
      <c r="BF42">
        <f t="shared" si="32"/>
        <v>0</v>
      </c>
      <c r="BG42">
        <v>0</v>
      </c>
      <c r="BH42">
        <f t="shared" si="33"/>
        <v>0</v>
      </c>
      <c r="BI42">
        <f t="shared" si="34"/>
        <v>0</v>
      </c>
      <c r="BJ42">
        <v>0</v>
      </c>
      <c r="BK42">
        <v>0</v>
      </c>
      <c r="BL42">
        <f t="shared" si="35"/>
        <v>0</v>
      </c>
      <c r="BM42">
        <v>0</v>
      </c>
      <c r="BN42">
        <v>0</v>
      </c>
      <c r="BO42">
        <f t="shared" si="36"/>
        <v>0</v>
      </c>
      <c r="BP42">
        <f t="shared" si="37"/>
        <v>0</v>
      </c>
      <c r="BQ42">
        <v>0</v>
      </c>
      <c r="BR42">
        <f t="shared" si="38"/>
        <v>0</v>
      </c>
      <c r="BS42">
        <f t="shared" si="39"/>
        <v>0</v>
      </c>
      <c r="BT42">
        <v>0</v>
      </c>
      <c r="BU42">
        <v>0</v>
      </c>
      <c r="BV42">
        <f t="shared" si="40"/>
        <v>0</v>
      </c>
      <c r="BW42">
        <v>0</v>
      </c>
      <c r="BX42">
        <v>0</v>
      </c>
      <c r="BY42">
        <f t="shared" si="41"/>
        <v>0</v>
      </c>
      <c r="BZ42">
        <f t="shared" si="42"/>
        <v>0</v>
      </c>
      <c r="CA42">
        <v>0</v>
      </c>
      <c r="CB42">
        <f t="shared" si="43"/>
        <v>0</v>
      </c>
      <c r="CC42">
        <f t="shared" si="44"/>
        <v>0</v>
      </c>
      <c r="CD42">
        <v>0</v>
      </c>
      <c r="CE42">
        <v>0</v>
      </c>
      <c r="CF42">
        <f t="shared" si="45"/>
        <v>0</v>
      </c>
      <c r="CG42">
        <v>0</v>
      </c>
      <c r="CH42">
        <v>0</v>
      </c>
      <c r="CI42">
        <f t="shared" si="46"/>
        <v>0</v>
      </c>
      <c r="CJ42">
        <f t="shared" si="47"/>
        <v>0</v>
      </c>
      <c r="CK42">
        <v>0</v>
      </c>
      <c r="CL42">
        <f t="shared" si="48"/>
        <v>0</v>
      </c>
      <c r="CM42">
        <f t="shared" si="49"/>
        <v>0</v>
      </c>
      <c r="CN42">
        <v>0</v>
      </c>
      <c r="CO42">
        <v>0</v>
      </c>
      <c r="CP42">
        <f t="shared" si="50"/>
        <v>0</v>
      </c>
      <c r="CQ42">
        <v>0</v>
      </c>
      <c r="CR42">
        <v>0</v>
      </c>
      <c r="CS42">
        <f t="shared" si="51"/>
        <v>0</v>
      </c>
      <c r="CT42">
        <f t="shared" si="52"/>
        <v>0</v>
      </c>
      <c r="CU42">
        <v>0</v>
      </c>
      <c r="CV42">
        <f t="shared" si="53"/>
        <v>0</v>
      </c>
      <c r="CW42">
        <f t="shared" si="54"/>
        <v>0</v>
      </c>
      <c r="CX42">
        <v>0</v>
      </c>
      <c r="CY42">
        <v>0</v>
      </c>
      <c r="CZ42">
        <f t="shared" si="55"/>
        <v>0</v>
      </c>
      <c r="DA42">
        <v>0</v>
      </c>
      <c r="DB42">
        <v>0</v>
      </c>
      <c r="DC42">
        <f t="shared" si="56"/>
        <v>0</v>
      </c>
      <c r="DD42">
        <f t="shared" si="57"/>
        <v>0</v>
      </c>
      <c r="DE42">
        <v>0</v>
      </c>
      <c r="DF42">
        <f t="shared" si="58"/>
        <v>0</v>
      </c>
      <c r="DG42">
        <f t="shared" si="59"/>
        <v>0</v>
      </c>
      <c r="DH42">
        <v>0</v>
      </c>
      <c r="DI42">
        <v>0</v>
      </c>
      <c r="DJ42">
        <f t="shared" si="60"/>
        <v>0</v>
      </c>
      <c r="DK42">
        <v>0</v>
      </c>
      <c r="DL42">
        <v>0</v>
      </c>
      <c r="DM42">
        <f t="shared" si="61"/>
        <v>0</v>
      </c>
      <c r="DN42">
        <f t="shared" si="62"/>
        <v>0</v>
      </c>
      <c r="DO42">
        <v>0</v>
      </c>
      <c r="DP42">
        <f t="shared" si="63"/>
        <v>0</v>
      </c>
      <c r="DQ42">
        <f t="shared" si="64"/>
        <v>0</v>
      </c>
      <c r="DR42">
        <v>0</v>
      </c>
      <c r="DS42">
        <v>0</v>
      </c>
      <c r="DT42">
        <f t="shared" si="65"/>
        <v>0</v>
      </c>
      <c r="DU42">
        <v>0</v>
      </c>
      <c r="DV42">
        <v>0</v>
      </c>
      <c r="DW42">
        <f t="shared" si="66"/>
        <v>0</v>
      </c>
      <c r="DX42">
        <f t="shared" si="67"/>
        <v>0</v>
      </c>
      <c r="DY42">
        <f t="shared" si="68"/>
        <v>0</v>
      </c>
      <c r="DZ42">
        <f t="shared" si="0"/>
        <v>0</v>
      </c>
      <c r="EA42">
        <f t="shared" si="1"/>
        <v>0</v>
      </c>
      <c r="EB42">
        <v>0</v>
      </c>
      <c r="EC42">
        <f t="shared" si="2"/>
        <v>0</v>
      </c>
      <c r="ED42">
        <f t="shared" si="3"/>
        <v>0</v>
      </c>
      <c r="EE42">
        <f t="shared" si="4"/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f t="shared" si="5"/>
        <v>0</v>
      </c>
      <c r="EQ42">
        <f t="shared" si="69"/>
        <v>0</v>
      </c>
      <c r="ER42">
        <f t="shared" si="6"/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f t="shared" si="70"/>
        <v>0</v>
      </c>
      <c r="FA42">
        <f t="shared" si="71"/>
        <v>0</v>
      </c>
      <c r="FB42">
        <f t="shared" si="72"/>
        <v>0</v>
      </c>
      <c r="FC42">
        <f t="shared" si="73"/>
        <v>0</v>
      </c>
      <c r="FD42">
        <f t="shared" si="74"/>
        <v>0</v>
      </c>
      <c r="FE42">
        <f t="shared" si="75"/>
        <v>0</v>
      </c>
      <c r="FF42">
        <f t="shared" si="76"/>
        <v>0</v>
      </c>
      <c r="FG42">
        <f t="shared" si="77"/>
        <v>0</v>
      </c>
      <c r="FH42">
        <v>0</v>
      </c>
      <c r="FI42">
        <f t="shared" si="78"/>
        <v>0</v>
      </c>
      <c r="FJ42" t="b">
        <f t="shared" si="79"/>
        <v>0</v>
      </c>
      <c r="FK42">
        <f t="shared" ca="1" si="80"/>
        <v>2104</v>
      </c>
      <c r="FL42">
        <f t="shared" ca="1" si="81"/>
        <v>2104</v>
      </c>
      <c r="FM42">
        <f t="shared" si="82"/>
        <v>0</v>
      </c>
      <c r="FN42">
        <f t="shared" ca="1" si="83"/>
        <v>2104</v>
      </c>
      <c r="FO42">
        <f t="shared" ca="1" si="84"/>
        <v>0</v>
      </c>
      <c r="FP42">
        <f t="shared" ca="1" si="85"/>
        <v>0</v>
      </c>
      <c r="FQ42">
        <f t="shared" ca="1" si="86"/>
        <v>0</v>
      </c>
      <c r="FR42">
        <f t="shared" ca="1" si="87"/>
        <v>0</v>
      </c>
      <c r="FS42">
        <f t="shared" ca="1" si="88"/>
        <v>0</v>
      </c>
      <c r="FT42">
        <f t="shared" ca="1" si="89"/>
        <v>0</v>
      </c>
      <c r="FU42">
        <f t="shared" ca="1" si="90"/>
        <v>0</v>
      </c>
      <c r="FV42">
        <f t="shared" ca="1" si="91"/>
        <v>0</v>
      </c>
      <c r="FW42">
        <f t="shared" ca="1" si="92"/>
        <v>0</v>
      </c>
      <c r="FX42">
        <f t="shared" ca="1" si="93"/>
        <v>0</v>
      </c>
      <c r="FY42">
        <f t="shared" ca="1" si="94"/>
        <v>0</v>
      </c>
      <c r="FZ42">
        <f t="shared" ca="1" si="95"/>
        <v>0</v>
      </c>
      <c r="GA42">
        <f t="shared" ca="1" si="96"/>
        <v>0</v>
      </c>
      <c r="GB42">
        <f t="shared" ca="1" si="97"/>
        <v>0</v>
      </c>
      <c r="GC42">
        <f t="shared" ca="1" si="98"/>
        <v>0</v>
      </c>
      <c r="GD42" t="b">
        <f t="shared" ca="1" si="99"/>
        <v>0</v>
      </c>
      <c r="GE42">
        <f t="shared" ca="1" si="100"/>
        <v>0</v>
      </c>
      <c r="GF42">
        <f t="shared" ca="1" si="101"/>
        <v>0</v>
      </c>
      <c r="GG42">
        <f t="shared" ca="1" si="102"/>
        <v>0</v>
      </c>
      <c r="GH42">
        <f t="shared" ca="1" si="103"/>
        <v>0</v>
      </c>
      <c r="GI42">
        <f t="shared" ca="1" si="104"/>
        <v>0</v>
      </c>
    </row>
    <row r="43" spans="1:191" x14ac:dyDescent="0.25">
      <c r="A43">
        <f>_xlfn.AGGREGATE(3,5,$B$2:B43)</f>
        <v>42</v>
      </c>
      <c r="B43" t="s">
        <v>206</v>
      </c>
      <c r="C43" t="s">
        <v>207</v>
      </c>
      <c r="D43" t="s">
        <v>773</v>
      </c>
      <c r="E43" t="s">
        <v>844</v>
      </c>
      <c r="F43">
        <v>0</v>
      </c>
      <c r="G43">
        <v>0</v>
      </c>
      <c r="H43">
        <v>45900</v>
      </c>
      <c r="I43">
        <f t="shared" si="7"/>
        <v>4590</v>
      </c>
      <c r="J43">
        <f t="shared" si="8"/>
        <v>5508</v>
      </c>
      <c r="K43">
        <v>400</v>
      </c>
      <c r="L43">
        <v>500</v>
      </c>
      <c r="M43">
        <f t="shared" si="9"/>
        <v>56898</v>
      </c>
      <c r="N43">
        <v>3000</v>
      </c>
      <c r="O43">
        <v>60</v>
      </c>
      <c r="P43">
        <f t="shared" si="10"/>
        <v>200</v>
      </c>
      <c r="Q43">
        <f t="shared" si="11"/>
        <v>53638</v>
      </c>
      <c r="R43">
        <v>45900</v>
      </c>
      <c r="S43">
        <f t="shared" si="12"/>
        <v>4590</v>
      </c>
      <c r="T43">
        <f t="shared" si="13"/>
        <v>5508</v>
      </c>
      <c r="U43">
        <v>400</v>
      </c>
      <c r="V43">
        <v>500</v>
      </c>
      <c r="W43">
        <f t="shared" si="14"/>
        <v>56898</v>
      </c>
      <c r="X43">
        <v>3000</v>
      </c>
      <c r="Y43">
        <v>60</v>
      </c>
      <c r="Z43">
        <f t="shared" si="15"/>
        <v>200</v>
      </c>
      <c r="AA43">
        <f t="shared" si="16"/>
        <v>53638</v>
      </c>
      <c r="AB43">
        <v>45900</v>
      </c>
      <c r="AC43">
        <f t="shared" si="17"/>
        <v>6426.0000000000009</v>
      </c>
      <c r="AD43">
        <f t="shared" si="18"/>
        <v>5508</v>
      </c>
      <c r="AE43">
        <v>400</v>
      </c>
      <c r="AF43">
        <v>500</v>
      </c>
      <c r="AG43">
        <f t="shared" si="19"/>
        <v>58734</v>
      </c>
      <c r="AH43">
        <v>3000</v>
      </c>
      <c r="AI43">
        <v>60</v>
      </c>
      <c r="AJ43">
        <f t="shared" si="20"/>
        <v>200</v>
      </c>
      <c r="AK43">
        <f t="shared" si="21"/>
        <v>55474</v>
      </c>
      <c r="AL43">
        <v>45900</v>
      </c>
      <c r="AM43">
        <f t="shared" si="22"/>
        <v>6426.0000000000009</v>
      </c>
      <c r="AN43">
        <f t="shared" si="23"/>
        <v>5508</v>
      </c>
      <c r="AO43">
        <v>400</v>
      </c>
      <c r="AP43">
        <v>500</v>
      </c>
      <c r="AQ43">
        <f t="shared" si="24"/>
        <v>58734</v>
      </c>
      <c r="AR43">
        <v>3000</v>
      </c>
      <c r="AS43">
        <v>60</v>
      </c>
      <c r="AT43">
        <f t="shared" si="25"/>
        <v>200</v>
      </c>
      <c r="AU43">
        <f t="shared" si="26"/>
        <v>55474</v>
      </c>
      <c r="AV43">
        <v>47300</v>
      </c>
      <c r="AW43">
        <f t="shared" si="27"/>
        <v>6622.0000000000009</v>
      </c>
      <c r="AX43">
        <f t="shared" si="28"/>
        <v>1836</v>
      </c>
      <c r="AY43">
        <f t="shared" si="29"/>
        <v>5676</v>
      </c>
      <c r="AZ43">
        <v>400</v>
      </c>
      <c r="BA43">
        <v>500</v>
      </c>
      <c r="BB43">
        <f t="shared" si="30"/>
        <v>62334</v>
      </c>
      <c r="BC43">
        <v>3000</v>
      </c>
      <c r="BD43">
        <v>60</v>
      </c>
      <c r="BE43">
        <f t="shared" si="31"/>
        <v>200</v>
      </c>
      <c r="BF43">
        <f t="shared" si="32"/>
        <v>59074</v>
      </c>
      <c r="BG43">
        <v>47300</v>
      </c>
      <c r="BH43">
        <f t="shared" si="33"/>
        <v>6622.0000000000009</v>
      </c>
      <c r="BI43">
        <f t="shared" si="34"/>
        <v>5676</v>
      </c>
      <c r="BJ43">
        <v>400</v>
      </c>
      <c r="BK43">
        <v>500</v>
      </c>
      <c r="BL43">
        <f t="shared" si="35"/>
        <v>60498</v>
      </c>
      <c r="BM43">
        <v>3000</v>
      </c>
      <c r="BN43">
        <v>60</v>
      </c>
      <c r="BO43">
        <f t="shared" si="36"/>
        <v>200</v>
      </c>
      <c r="BP43">
        <f t="shared" si="37"/>
        <v>57238</v>
      </c>
      <c r="BQ43">
        <v>47300</v>
      </c>
      <c r="BR43">
        <f t="shared" si="38"/>
        <v>6622.0000000000009</v>
      </c>
      <c r="BS43">
        <f t="shared" si="39"/>
        <v>5676</v>
      </c>
      <c r="BT43">
        <v>400</v>
      </c>
      <c r="BU43">
        <v>500</v>
      </c>
      <c r="BV43">
        <f t="shared" si="40"/>
        <v>60498</v>
      </c>
      <c r="BW43">
        <v>3000</v>
      </c>
      <c r="BX43">
        <v>60</v>
      </c>
      <c r="BY43">
        <f t="shared" si="41"/>
        <v>200</v>
      </c>
      <c r="BZ43">
        <f t="shared" si="42"/>
        <v>57238</v>
      </c>
      <c r="CA43">
        <v>47300</v>
      </c>
      <c r="CB43">
        <f t="shared" si="43"/>
        <v>6622.0000000000009</v>
      </c>
      <c r="CC43">
        <f t="shared" si="44"/>
        <v>5676</v>
      </c>
      <c r="CD43">
        <v>400</v>
      </c>
      <c r="CE43">
        <v>500</v>
      </c>
      <c r="CF43">
        <f t="shared" si="45"/>
        <v>60498</v>
      </c>
      <c r="CG43">
        <v>3000</v>
      </c>
      <c r="CH43">
        <v>60</v>
      </c>
      <c r="CI43">
        <f t="shared" si="46"/>
        <v>200</v>
      </c>
      <c r="CJ43">
        <f t="shared" si="47"/>
        <v>57238</v>
      </c>
      <c r="CK43">
        <v>47300</v>
      </c>
      <c r="CL43">
        <f t="shared" si="48"/>
        <v>6622.0000000000009</v>
      </c>
      <c r="CM43">
        <f t="shared" si="49"/>
        <v>5676</v>
      </c>
      <c r="CN43">
        <v>400</v>
      </c>
      <c r="CO43">
        <v>500</v>
      </c>
      <c r="CP43">
        <f t="shared" si="50"/>
        <v>60498</v>
      </c>
      <c r="CQ43">
        <v>3000</v>
      </c>
      <c r="CR43">
        <v>60</v>
      </c>
      <c r="CS43">
        <f t="shared" si="51"/>
        <v>200</v>
      </c>
      <c r="CT43">
        <f t="shared" si="52"/>
        <v>57238</v>
      </c>
      <c r="CU43">
        <v>47300</v>
      </c>
      <c r="CV43">
        <f t="shared" si="53"/>
        <v>6622</v>
      </c>
      <c r="CW43">
        <f t="shared" si="54"/>
        <v>5676</v>
      </c>
      <c r="CX43">
        <v>400</v>
      </c>
      <c r="CY43">
        <v>500</v>
      </c>
      <c r="CZ43">
        <f t="shared" si="55"/>
        <v>60498</v>
      </c>
      <c r="DA43">
        <v>3000</v>
      </c>
      <c r="DB43">
        <v>60</v>
      </c>
      <c r="DC43">
        <f t="shared" si="56"/>
        <v>200</v>
      </c>
      <c r="DD43">
        <f t="shared" si="57"/>
        <v>57238</v>
      </c>
      <c r="DE43">
        <v>47300</v>
      </c>
      <c r="DF43">
        <f t="shared" si="58"/>
        <v>6622.0000000000009</v>
      </c>
      <c r="DG43">
        <f t="shared" si="59"/>
        <v>5676</v>
      </c>
      <c r="DH43">
        <v>400</v>
      </c>
      <c r="DI43">
        <v>500</v>
      </c>
      <c r="DJ43">
        <f t="shared" si="60"/>
        <v>60498</v>
      </c>
      <c r="DK43">
        <v>3000</v>
      </c>
      <c r="DL43">
        <v>60</v>
      </c>
      <c r="DM43">
        <f t="shared" si="61"/>
        <v>200</v>
      </c>
      <c r="DN43">
        <f t="shared" si="62"/>
        <v>57238</v>
      </c>
      <c r="DO43">
        <v>47300</v>
      </c>
      <c r="DP43">
        <f t="shared" si="63"/>
        <v>6622.0000000000009</v>
      </c>
      <c r="DQ43">
        <f t="shared" si="64"/>
        <v>5676</v>
      </c>
      <c r="DR43">
        <v>400</v>
      </c>
      <c r="DS43">
        <v>500</v>
      </c>
      <c r="DT43">
        <f t="shared" si="65"/>
        <v>60498</v>
      </c>
      <c r="DU43">
        <v>3000</v>
      </c>
      <c r="DV43">
        <v>60</v>
      </c>
      <c r="DW43">
        <f t="shared" si="66"/>
        <v>200</v>
      </c>
      <c r="DX43">
        <f t="shared" si="67"/>
        <v>57238</v>
      </c>
      <c r="DY43">
        <f t="shared" si="68"/>
        <v>717084</v>
      </c>
      <c r="DZ43">
        <f t="shared" si="0"/>
        <v>2400</v>
      </c>
      <c r="EA43">
        <f t="shared" si="1"/>
        <v>50000</v>
      </c>
      <c r="EB43">
        <v>0</v>
      </c>
      <c r="EC43">
        <f t="shared" si="2"/>
        <v>664684</v>
      </c>
      <c r="ED43">
        <f t="shared" si="3"/>
        <v>36000</v>
      </c>
      <c r="EE43">
        <f t="shared" si="4"/>
        <v>720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f t="shared" si="5"/>
        <v>36720</v>
      </c>
      <c r="EQ43">
        <f t="shared" si="69"/>
        <v>36720</v>
      </c>
      <c r="ER43">
        <f t="shared" si="6"/>
        <v>627964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f t="shared" si="70"/>
        <v>0</v>
      </c>
      <c r="FA43">
        <f t="shared" si="71"/>
        <v>627964</v>
      </c>
      <c r="FB43">
        <f t="shared" si="72"/>
        <v>12500</v>
      </c>
      <c r="FC43">
        <f t="shared" si="73"/>
        <v>25593</v>
      </c>
      <c r="FD43">
        <f t="shared" si="74"/>
        <v>38093</v>
      </c>
      <c r="FE43">
        <f t="shared" si="75"/>
        <v>38093</v>
      </c>
      <c r="FF43">
        <f t="shared" si="76"/>
        <v>1523.72</v>
      </c>
      <c r="FG43">
        <f t="shared" si="77"/>
        <v>39617</v>
      </c>
      <c r="FH43">
        <v>0</v>
      </c>
      <c r="FI43">
        <f t="shared" si="78"/>
        <v>39617</v>
      </c>
      <c r="FJ43" t="b">
        <f t="shared" si="79"/>
        <v>1</v>
      </c>
      <c r="FK43">
        <f t="shared" ca="1" si="80"/>
        <v>859</v>
      </c>
      <c r="FL43">
        <f t="shared" ca="1" si="81"/>
        <v>717943</v>
      </c>
      <c r="FM43">
        <f t="shared" si="82"/>
        <v>75000</v>
      </c>
      <c r="FN43">
        <f t="shared" ca="1" si="83"/>
        <v>642943</v>
      </c>
      <c r="FO43">
        <f t="shared" ca="1" si="84"/>
        <v>0</v>
      </c>
      <c r="FP43">
        <f t="shared" ca="1" si="85"/>
        <v>0</v>
      </c>
      <c r="FQ43">
        <f t="shared" ca="1" si="86"/>
        <v>0</v>
      </c>
      <c r="FR43">
        <f t="shared" ca="1" si="87"/>
        <v>0</v>
      </c>
      <c r="FS43">
        <f t="shared" ca="1" si="88"/>
        <v>0</v>
      </c>
      <c r="FT43">
        <f t="shared" ca="1" si="89"/>
        <v>0</v>
      </c>
      <c r="FU43">
        <f t="shared" ca="1" si="90"/>
        <v>0</v>
      </c>
      <c r="FV43">
        <f t="shared" ca="1" si="91"/>
        <v>0</v>
      </c>
      <c r="FW43">
        <f t="shared" ca="1" si="92"/>
        <v>342943</v>
      </c>
      <c r="FX43">
        <f t="shared" ca="1" si="93"/>
        <v>17147.150000000001</v>
      </c>
      <c r="FY43">
        <f t="shared" ca="1" si="94"/>
        <v>17147</v>
      </c>
      <c r="FZ43">
        <f t="shared" ca="1" si="95"/>
        <v>0</v>
      </c>
      <c r="GA43">
        <f t="shared" ca="1" si="96"/>
        <v>0</v>
      </c>
      <c r="GB43">
        <f t="shared" ca="1" si="97"/>
        <v>17147</v>
      </c>
      <c r="GC43">
        <f t="shared" ca="1" si="98"/>
        <v>0</v>
      </c>
      <c r="GD43" t="b">
        <f t="shared" ca="1" si="99"/>
        <v>0</v>
      </c>
      <c r="GE43">
        <f t="shared" ca="1" si="100"/>
        <v>0</v>
      </c>
      <c r="GF43">
        <f t="shared" ca="1" si="101"/>
        <v>17147</v>
      </c>
      <c r="GG43">
        <f t="shared" ca="1" si="102"/>
        <v>0</v>
      </c>
      <c r="GH43">
        <f t="shared" ca="1" si="103"/>
        <v>0</v>
      </c>
      <c r="GI43">
        <f t="shared" ca="1" si="104"/>
        <v>0</v>
      </c>
    </row>
    <row r="44" spans="1:191" x14ac:dyDescent="0.25">
      <c r="A44">
        <f>_xlfn.AGGREGATE(3,5,$B$2:B44)</f>
        <v>43</v>
      </c>
      <c r="B44" t="s">
        <v>208</v>
      </c>
      <c r="C44" t="s">
        <v>209</v>
      </c>
      <c r="D44" t="s">
        <v>773</v>
      </c>
      <c r="E44" t="s">
        <v>844</v>
      </c>
      <c r="F44">
        <v>0</v>
      </c>
      <c r="G44">
        <v>6000</v>
      </c>
      <c r="H44">
        <v>32500</v>
      </c>
      <c r="I44">
        <f t="shared" si="7"/>
        <v>3250</v>
      </c>
      <c r="J44">
        <f t="shared" si="8"/>
        <v>3900</v>
      </c>
      <c r="K44">
        <v>0</v>
      </c>
      <c r="L44">
        <v>0</v>
      </c>
      <c r="M44">
        <f t="shared" si="9"/>
        <v>39650</v>
      </c>
      <c r="N44">
        <v>2000</v>
      </c>
      <c r="O44">
        <v>0</v>
      </c>
      <c r="P44">
        <f t="shared" si="10"/>
        <v>150</v>
      </c>
      <c r="Q44">
        <f t="shared" si="11"/>
        <v>37500</v>
      </c>
      <c r="R44">
        <v>32500</v>
      </c>
      <c r="S44">
        <f t="shared" si="12"/>
        <v>3250</v>
      </c>
      <c r="T44">
        <f t="shared" si="13"/>
        <v>3900</v>
      </c>
      <c r="U44">
        <v>0</v>
      </c>
      <c r="V44">
        <v>0</v>
      </c>
      <c r="W44">
        <f t="shared" si="14"/>
        <v>39650</v>
      </c>
      <c r="X44">
        <v>2000</v>
      </c>
      <c r="Y44">
        <v>0</v>
      </c>
      <c r="Z44">
        <f t="shared" si="15"/>
        <v>150</v>
      </c>
      <c r="AA44">
        <f t="shared" si="16"/>
        <v>37500</v>
      </c>
      <c r="AB44">
        <v>32500</v>
      </c>
      <c r="AC44">
        <f t="shared" si="17"/>
        <v>4550</v>
      </c>
      <c r="AD44">
        <f t="shared" si="18"/>
        <v>3900</v>
      </c>
      <c r="AE44">
        <v>0</v>
      </c>
      <c r="AF44">
        <v>0</v>
      </c>
      <c r="AG44">
        <f t="shared" si="19"/>
        <v>40950</v>
      </c>
      <c r="AH44">
        <v>2000</v>
      </c>
      <c r="AI44">
        <v>0</v>
      </c>
      <c r="AJ44">
        <f t="shared" si="20"/>
        <v>200</v>
      </c>
      <c r="AK44">
        <f t="shared" si="21"/>
        <v>38750</v>
      </c>
      <c r="AL44">
        <v>32500</v>
      </c>
      <c r="AM44">
        <f t="shared" si="22"/>
        <v>4550</v>
      </c>
      <c r="AN44">
        <f t="shared" si="23"/>
        <v>3900</v>
      </c>
      <c r="AO44">
        <v>0</v>
      </c>
      <c r="AP44">
        <v>0</v>
      </c>
      <c r="AQ44">
        <f t="shared" si="24"/>
        <v>40950</v>
      </c>
      <c r="AR44">
        <v>2000</v>
      </c>
      <c r="AS44">
        <v>0</v>
      </c>
      <c r="AT44">
        <f t="shared" si="25"/>
        <v>200</v>
      </c>
      <c r="AU44">
        <f t="shared" si="26"/>
        <v>38750</v>
      </c>
      <c r="AV44">
        <v>33500</v>
      </c>
      <c r="AW44">
        <f t="shared" si="27"/>
        <v>4690</v>
      </c>
      <c r="AX44">
        <f t="shared" si="28"/>
        <v>1300</v>
      </c>
      <c r="AY44">
        <f t="shared" si="29"/>
        <v>4020</v>
      </c>
      <c r="AZ44">
        <v>0</v>
      </c>
      <c r="BA44">
        <v>0</v>
      </c>
      <c r="BB44">
        <f t="shared" si="30"/>
        <v>43510</v>
      </c>
      <c r="BC44">
        <v>2500</v>
      </c>
      <c r="BD44">
        <v>0</v>
      </c>
      <c r="BE44">
        <f t="shared" si="31"/>
        <v>200</v>
      </c>
      <c r="BF44">
        <f t="shared" si="32"/>
        <v>40810</v>
      </c>
      <c r="BG44">
        <v>33500</v>
      </c>
      <c r="BH44">
        <f t="shared" si="33"/>
        <v>4690</v>
      </c>
      <c r="BI44">
        <f t="shared" si="34"/>
        <v>4020</v>
      </c>
      <c r="BJ44">
        <v>0</v>
      </c>
      <c r="BK44">
        <v>0</v>
      </c>
      <c r="BL44">
        <f t="shared" si="35"/>
        <v>42210</v>
      </c>
      <c r="BM44">
        <v>2500</v>
      </c>
      <c r="BN44">
        <v>0</v>
      </c>
      <c r="BO44">
        <f t="shared" si="36"/>
        <v>200</v>
      </c>
      <c r="BP44">
        <f t="shared" si="37"/>
        <v>39510</v>
      </c>
      <c r="BQ44">
        <v>33500</v>
      </c>
      <c r="BR44">
        <f t="shared" si="38"/>
        <v>4690</v>
      </c>
      <c r="BS44">
        <f t="shared" si="39"/>
        <v>4020</v>
      </c>
      <c r="BT44">
        <v>0</v>
      </c>
      <c r="BU44">
        <v>0</v>
      </c>
      <c r="BV44">
        <f t="shared" si="40"/>
        <v>42210</v>
      </c>
      <c r="BW44">
        <v>2500</v>
      </c>
      <c r="BX44">
        <v>0</v>
      </c>
      <c r="BY44">
        <f t="shared" si="41"/>
        <v>200</v>
      </c>
      <c r="BZ44">
        <f t="shared" si="42"/>
        <v>39510</v>
      </c>
      <c r="CA44">
        <v>33500</v>
      </c>
      <c r="CB44">
        <f t="shared" si="43"/>
        <v>4690</v>
      </c>
      <c r="CC44">
        <f t="shared" si="44"/>
        <v>4020</v>
      </c>
      <c r="CD44">
        <v>0</v>
      </c>
      <c r="CE44">
        <v>0</v>
      </c>
      <c r="CF44">
        <f t="shared" si="45"/>
        <v>42210</v>
      </c>
      <c r="CG44">
        <v>2500</v>
      </c>
      <c r="CH44">
        <v>0</v>
      </c>
      <c r="CI44">
        <f t="shared" si="46"/>
        <v>200</v>
      </c>
      <c r="CJ44">
        <f t="shared" si="47"/>
        <v>39510</v>
      </c>
      <c r="CK44">
        <v>33500</v>
      </c>
      <c r="CL44">
        <f t="shared" si="48"/>
        <v>4690</v>
      </c>
      <c r="CM44">
        <f t="shared" si="49"/>
        <v>4020</v>
      </c>
      <c r="CN44">
        <v>0</v>
      </c>
      <c r="CO44">
        <v>0</v>
      </c>
      <c r="CP44">
        <f t="shared" si="50"/>
        <v>42210</v>
      </c>
      <c r="CQ44">
        <v>2500</v>
      </c>
      <c r="CR44">
        <v>0</v>
      </c>
      <c r="CS44">
        <f t="shared" si="51"/>
        <v>200</v>
      </c>
      <c r="CT44">
        <f t="shared" si="52"/>
        <v>39510</v>
      </c>
      <c r="CU44">
        <v>33500</v>
      </c>
      <c r="CV44">
        <f t="shared" si="53"/>
        <v>4690</v>
      </c>
      <c r="CW44">
        <f t="shared" si="54"/>
        <v>4020</v>
      </c>
      <c r="CX44">
        <v>0</v>
      </c>
      <c r="CY44">
        <v>0</v>
      </c>
      <c r="CZ44">
        <f t="shared" si="55"/>
        <v>42210</v>
      </c>
      <c r="DA44">
        <v>2500</v>
      </c>
      <c r="DB44">
        <v>0</v>
      </c>
      <c r="DC44">
        <f t="shared" si="56"/>
        <v>200</v>
      </c>
      <c r="DD44">
        <f t="shared" si="57"/>
        <v>39510</v>
      </c>
      <c r="DE44">
        <v>33500</v>
      </c>
      <c r="DF44">
        <f t="shared" si="58"/>
        <v>4690</v>
      </c>
      <c r="DG44">
        <f t="shared" si="59"/>
        <v>4020</v>
      </c>
      <c r="DH44">
        <v>0</v>
      </c>
      <c r="DI44">
        <v>0</v>
      </c>
      <c r="DJ44">
        <f t="shared" si="60"/>
        <v>42210</v>
      </c>
      <c r="DK44">
        <v>2500</v>
      </c>
      <c r="DL44">
        <v>0</v>
      </c>
      <c r="DM44">
        <f t="shared" si="61"/>
        <v>200</v>
      </c>
      <c r="DN44">
        <f t="shared" si="62"/>
        <v>39510</v>
      </c>
      <c r="DO44">
        <v>33500</v>
      </c>
      <c r="DP44">
        <f t="shared" si="63"/>
        <v>4690</v>
      </c>
      <c r="DQ44">
        <f t="shared" si="64"/>
        <v>4020</v>
      </c>
      <c r="DR44">
        <v>0</v>
      </c>
      <c r="DS44">
        <v>0</v>
      </c>
      <c r="DT44">
        <f t="shared" si="65"/>
        <v>42210</v>
      </c>
      <c r="DU44">
        <v>2500</v>
      </c>
      <c r="DV44">
        <v>0</v>
      </c>
      <c r="DW44">
        <f t="shared" si="66"/>
        <v>200</v>
      </c>
      <c r="DX44">
        <f t="shared" si="67"/>
        <v>39510</v>
      </c>
      <c r="DY44">
        <f t="shared" si="68"/>
        <v>506180</v>
      </c>
      <c r="DZ44">
        <f t="shared" si="0"/>
        <v>2300</v>
      </c>
      <c r="EA44">
        <f t="shared" si="1"/>
        <v>50000</v>
      </c>
      <c r="EB44">
        <v>0</v>
      </c>
      <c r="EC44">
        <f t="shared" si="2"/>
        <v>453880</v>
      </c>
      <c r="ED44">
        <f t="shared" si="3"/>
        <v>28000</v>
      </c>
      <c r="EE44">
        <f t="shared" si="4"/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f t="shared" si="5"/>
        <v>28000</v>
      </c>
      <c r="EQ44">
        <f t="shared" si="69"/>
        <v>28000</v>
      </c>
      <c r="ER44">
        <f t="shared" si="6"/>
        <v>425880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f t="shared" si="70"/>
        <v>0</v>
      </c>
      <c r="FA44">
        <f t="shared" si="71"/>
        <v>425880</v>
      </c>
      <c r="FB44">
        <f t="shared" si="72"/>
        <v>8794</v>
      </c>
      <c r="FC44">
        <f t="shared" si="73"/>
        <v>0</v>
      </c>
      <c r="FD44">
        <f t="shared" si="74"/>
        <v>8794</v>
      </c>
      <c r="FE44">
        <f t="shared" si="75"/>
        <v>0</v>
      </c>
      <c r="FF44">
        <f t="shared" si="76"/>
        <v>0</v>
      </c>
      <c r="FG44">
        <f t="shared" si="77"/>
        <v>0</v>
      </c>
      <c r="FH44">
        <v>0</v>
      </c>
      <c r="FI44">
        <f t="shared" si="78"/>
        <v>0</v>
      </c>
      <c r="FJ44" t="b">
        <f t="shared" si="79"/>
        <v>1</v>
      </c>
      <c r="FK44">
        <f t="shared" ca="1" si="80"/>
        <v>690</v>
      </c>
      <c r="FL44">
        <f t="shared" ca="1" si="81"/>
        <v>506870</v>
      </c>
      <c r="FM44">
        <f t="shared" si="82"/>
        <v>75000</v>
      </c>
      <c r="FN44">
        <f t="shared" ca="1" si="83"/>
        <v>431870</v>
      </c>
      <c r="FO44">
        <f t="shared" ca="1" si="84"/>
        <v>0</v>
      </c>
      <c r="FP44">
        <f t="shared" ca="1" si="85"/>
        <v>0</v>
      </c>
      <c r="FQ44">
        <f t="shared" ca="1" si="86"/>
        <v>0</v>
      </c>
      <c r="FR44">
        <f t="shared" ca="1" si="87"/>
        <v>0</v>
      </c>
      <c r="FS44">
        <f t="shared" ca="1" si="88"/>
        <v>0</v>
      </c>
      <c r="FT44">
        <f t="shared" ca="1" si="89"/>
        <v>0</v>
      </c>
      <c r="FU44">
        <f t="shared" ca="1" si="90"/>
        <v>0</v>
      </c>
      <c r="FV44">
        <f t="shared" ca="1" si="91"/>
        <v>0</v>
      </c>
      <c r="FW44">
        <f t="shared" ca="1" si="92"/>
        <v>131870</v>
      </c>
      <c r="FX44">
        <f t="shared" ca="1" si="93"/>
        <v>6593.5</v>
      </c>
      <c r="FY44">
        <f t="shared" ca="1" si="94"/>
        <v>6594</v>
      </c>
      <c r="FZ44">
        <f t="shared" ca="1" si="95"/>
        <v>0</v>
      </c>
      <c r="GA44">
        <f t="shared" ca="1" si="96"/>
        <v>0</v>
      </c>
      <c r="GB44">
        <f t="shared" ca="1" si="97"/>
        <v>6594</v>
      </c>
      <c r="GC44">
        <f t="shared" ca="1" si="98"/>
        <v>0</v>
      </c>
      <c r="GD44" t="b">
        <f t="shared" ca="1" si="99"/>
        <v>0</v>
      </c>
      <c r="GE44">
        <f t="shared" ca="1" si="100"/>
        <v>0</v>
      </c>
      <c r="GF44">
        <f t="shared" ca="1" si="101"/>
        <v>6594</v>
      </c>
      <c r="GG44">
        <f t="shared" ca="1" si="102"/>
        <v>0</v>
      </c>
      <c r="GH44">
        <f t="shared" ca="1" si="103"/>
        <v>0</v>
      </c>
      <c r="GI44">
        <f t="shared" ca="1" si="104"/>
        <v>0</v>
      </c>
    </row>
    <row r="45" spans="1:191" x14ac:dyDescent="0.25">
      <c r="A45">
        <f>_xlfn.AGGREGATE(3,5,$B$2:B45)</f>
        <v>44</v>
      </c>
      <c r="B45" t="s">
        <v>210</v>
      </c>
      <c r="C45" t="s">
        <v>211</v>
      </c>
      <c r="D45" t="s">
        <v>773</v>
      </c>
      <c r="E45" t="s">
        <v>843</v>
      </c>
      <c r="F45">
        <v>0</v>
      </c>
      <c r="G45">
        <v>6000</v>
      </c>
      <c r="H45">
        <v>29800</v>
      </c>
      <c r="I45">
        <f t="shared" si="7"/>
        <v>2980</v>
      </c>
      <c r="J45">
        <f t="shared" si="8"/>
        <v>3576</v>
      </c>
      <c r="K45">
        <v>0</v>
      </c>
      <c r="L45">
        <v>500</v>
      </c>
      <c r="M45">
        <f t="shared" si="9"/>
        <v>36856</v>
      </c>
      <c r="N45">
        <v>2000</v>
      </c>
      <c r="O45">
        <v>0</v>
      </c>
      <c r="P45">
        <f t="shared" si="10"/>
        <v>150</v>
      </c>
      <c r="Q45">
        <f t="shared" si="11"/>
        <v>34706</v>
      </c>
      <c r="R45">
        <v>29800</v>
      </c>
      <c r="S45">
        <f t="shared" si="12"/>
        <v>2980</v>
      </c>
      <c r="T45">
        <f t="shared" si="13"/>
        <v>3576</v>
      </c>
      <c r="U45">
        <v>0</v>
      </c>
      <c r="V45">
        <v>500</v>
      </c>
      <c r="W45">
        <f t="shared" si="14"/>
        <v>36856</v>
      </c>
      <c r="X45">
        <v>2000</v>
      </c>
      <c r="Y45">
        <v>0</v>
      </c>
      <c r="Z45">
        <f t="shared" si="15"/>
        <v>150</v>
      </c>
      <c r="AA45">
        <f t="shared" si="16"/>
        <v>34706</v>
      </c>
      <c r="AB45">
        <v>29800</v>
      </c>
      <c r="AC45">
        <f t="shared" si="17"/>
        <v>4172</v>
      </c>
      <c r="AD45">
        <f t="shared" si="18"/>
        <v>3576</v>
      </c>
      <c r="AE45">
        <v>0</v>
      </c>
      <c r="AF45">
        <v>500</v>
      </c>
      <c r="AG45">
        <f t="shared" si="19"/>
        <v>38048</v>
      </c>
      <c r="AH45">
        <v>2000</v>
      </c>
      <c r="AI45">
        <v>0</v>
      </c>
      <c r="AJ45">
        <f t="shared" si="20"/>
        <v>150</v>
      </c>
      <c r="AK45">
        <f t="shared" si="21"/>
        <v>35898</v>
      </c>
      <c r="AL45">
        <v>29800</v>
      </c>
      <c r="AM45">
        <f t="shared" si="22"/>
        <v>4172</v>
      </c>
      <c r="AN45">
        <f t="shared" si="23"/>
        <v>3576</v>
      </c>
      <c r="AO45">
        <v>0</v>
      </c>
      <c r="AP45">
        <v>500</v>
      </c>
      <c r="AQ45">
        <f t="shared" si="24"/>
        <v>38048</v>
      </c>
      <c r="AR45">
        <v>2000</v>
      </c>
      <c r="AS45">
        <v>0</v>
      </c>
      <c r="AT45">
        <f t="shared" si="25"/>
        <v>150</v>
      </c>
      <c r="AU45">
        <f t="shared" si="26"/>
        <v>35898</v>
      </c>
      <c r="AV45">
        <v>30700</v>
      </c>
      <c r="AW45">
        <f t="shared" si="27"/>
        <v>4298</v>
      </c>
      <c r="AX45">
        <f t="shared" si="28"/>
        <v>1192</v>
      </c>
      <c r="AY45">
        <f t="shared" si="29"/>
        <v>3684</v>
      </c>
      <c r="AZ45">
        <v>0</v>
      </c>
      <c r="BA45">
        <v>500</v>
      </c>
      <c r="BB45">
        <f t="shared" si="30"/>
        <v>40374</v>
      </c>
      <c r="BC45">
        <v>2000</v>
      </c>
      <c r="BD45">
        <v>0</v>
      </c>
      <c r="BE45">
        <f t="shared" si="31"/>
        <v>200</v>
      </c>
      <c r="BF45">
        <f t="shared" si="32"/>
        <v>38174</v>
      </c>
      <c r="BG45">
        <v>30700</v>
      </c>
      <c r="BH45">
        <f t="shared" si="33"/>
        <v>4298</v>
      </c>
      <c r="BI45">
        <f t="shared" si="34"/>
        <v>3684</v>
      </c>
      <c r="BJ45">
        <v>0</v>
      </c>
      <c r="BK45">
        <v>500</v>
      </c>
      <c r="BL45">
        <f t="shared" si="35"/>
        <v>39182</v>
      </c>
      <c r="BM45">
        <v>2000</v>
      </c>
      <c r="BN45">
        <v>0</v>
      </c>
      <c r="BO45">
        <f t="shared" si="36"/>
        <v>150</v>
      </c>
      <c r="BP45">
        <f t="shared" si="37"/>
        <v>37032</v>
      </c>
      <c r="BQ45">
        <v>30700</v>
      </c>
      <c r="BR45">
        <f t="shared" si="38"/>
        <v>4298</v>
      </c>
      <c r="BS45">
        <f t="shared" si="39"/>
        <v>3684</v>
      </c>
      <c r="BT45">
        <v>0</v>
      </c>
      <c r="BU45">
        <v>500</v>
      </c>
      <c r="BV45">
        <f t="shared" si="40"/>
        <v>39182</v>
      </c>
      <c r="BW45">
        <v>2000</v>
      </c>
      <c r="BX45">
        <v>0</v>
      </c>
      <c r="BY45">
        <f t="shared" si="41"/>
        <v>150</v>
      </c>
      <c r="BZ45">
        <f t="shared" si="42"/>
        <v>37032</v>
      </c>
      <c r="CA45">
        <v>30700</v>
      </c>
      <c r="CB45">
        <f t="shared" si="43"/>
        <v>4298</v>
      </c>
      <c r="CC45">
        <f t="shared" si="44"/>
        <v>3684</v>
      </c>
      <c r="CD45">
        <v>0</v>
      </c>
      <c r="CE45">
        <v>500</v>
      </c>
      <c r="CF45">
        <f t="shared" si="45"/>
        <v>39182</v>
      </c>
      <c r="CG45">
        <v>2000</v>
      </c>
      <c r="CH45">
        <v>0</v>
      </c>
      <c r="CI45">
        <f t="shared" si="46"/>
        <v>150</v>
      </c>
      <c r="CJ45">
        <f t="shared" si="47"/>
        <v>37032</v>
      </c>
      <c r="CK45">
        <v>30700</v>
      </c>
      <c r="CL45">
        <f t="shared" si="48"/>
        <v>4298</v>
      </c>
      <c r="CM45">
        <f t="shared" si="49"/>
        <v>3684</v>
      </c>
      <c r="CN45">
        <v>0</v>
      </c>
      <c r="CO45">
        <v>500</v>
      </c>
      <c r="CP45">
        <f t="shared" si="50"/>
        <v>39182</v>
      </c>
      <c r="CQ45">
        <v>2000</v>
      </c>
      <c r="CR45">
        <v>0</v>
      </c>
      <c r="CS45">
        <f t="shared" si="51"/>
        <v>150</v>
      </c>
      <c r="CT45">
        <f t="shared" si="52"/>
        <v>37032</v>
      </c>
      <c r="CU45">
        <v>30700</v>
      </c>
      <c r="CV45">
        <f t="shared" si="53"/>
        <v>4298</v>
      </c>
      <c r="CW45">
        <f t="shared" si="54"/>
        <v>3684</v>
      </c>
      <c r="CX45">
        <v>0</v>
      </c>
      <c r="CY45">
        <v>500</v>
      </c>
      <c r="CZ45">
        <f t="shared" si="55"/>
        <v>39182</v>
      </c>
      <c r="DA45">
        <v>2000</v>
      </c>
      <c r="DB45">
        <v>0</v>
      </c>
      <c r="DC45">
        <f t="shared" si="56"/>
        <v>150</v>
      </c>
      <c r="DD45">
        <f t="shared" si="57"/>
        <v>37032</v>
      </c>
      <c r="DE45">
        <v>30700</v>
      </c>
      <c r="DF45">
        <f t="shared" si="58"/>
        <v>4298</v>
      </c>
      <c r="DG45">
        <f t="shared" si="59"/>
        <v>3684</v>
      </c>
      <c r="DH45">
        <v>0</v>
      </c>
      <c r="DI45">
        <v>500</v>
      </c>
      <c r="DJ45">
        <f t="shared" si="60"/>
        <v>39182</v>
      </c>
      <c r="DK45">
        <v>2000</v>
      </c>
      <c r="DL45">
        <v>0</v>
      </c>
      <c r="DM45">
        <f t="shared" si="61"/>
        <v>150</v>
      </c>
      <c r="DN45">
        <f t="shared" si="62"/>
        <v>37032</v>
      </c>
      <c r="DO45">
        <v>30700</v>
      </c>
      <c r="DP45">
        <f t="shared" si="63"/>
        <v>4298</v>
      </c>
      <c r="DQ45">
        <f t="shared" si="64"/>
        <v>3684</v>
      </c>
      <c r="DR45">
        <v>0</v>
      </c>
      <c r="DS45">
        <v>500</v>
      </c>
      <c r="DT45">
        <f t="shared" si="65"/>
        <v>39182</v>
      </c>
      <c r="DU45">
        <v>2000</v>
      </c>
      <c r="DV45">
        <v>0</v>
      </c>
      <c r="DW45">
        <f t="shared" si="66"/>
        <v>150</v>
      </c>
      <c r="DX45">
        <f t="shared" si="67"/>
        <v>37032</v>
      </c>
      <c r="DY45">
        <f t="shared" si="68"/>
        <v>470456</v>
      </c>
      <c r="DZ45">
        <f t="shared" si="0"/>
        <v>1850</v>
      </c>
      <c r="EA45">
        <f t="shared" si="1"/>
        <v>50000</v>
      </c>
      <c r="EB45">
        <v>0</v>
      </c>
      <c r="EC45">
        <f t="shared" si="2"/>
        <v>418606</v>
      </c>
      <c r="ED45">
        <f t="shared" si="3"/>
        <v>24000</v>
      </c>
      <c r="EE45">
        <f t="shared" si="4"/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f t="shared" si="5"/>
        <v>24000</v>
      </c>
      <c r="EQ45">
        <f t="shared" si="69"/>
        <v>24000</v>
      </c>
      <c r="ER45">
        <f t="shared" si="6"/>
        <v>394606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f t="shared" si="70"/>
        <v>0</v>
      </c>
      <c r="FA45">
        <f t="shared" si="71"/>
        <v>394606</v>
      </c>
      <c r="FB45">
        <f t="shared" si="72"/>
        <v>7230</v>
      </c>
      <c r="FC45">
        <f t="shared" si="73"/>
        <v>0</v>
      </c>
      <c r="FD45">
        <f t="shared" si="74"/>
        <v>7230</v>
      </c>
      <c r="FE45">
        <f t="shared" si="75"/>
        <v>0</v>
      </c>
      <c r="FF45">
        <f t="shared" si="76"/>
        <v>0</v>
      </c>
      <c r="FG45">
        <f t="shared" si="77"/>
        <v>0</v>
      </c>
      <c r="FH45">
        <v>0</v>
      </c>
      <c r="FI45">
        <f t="shared" si="78"/>
        <v>0</v>
      </c>
      <c r="FJ45" t="b">
        <f t="shared" si="79"/>
        <v>0</v>
      </c>
      <c r="FK45">
        <f t="shared" ca="1" si="80"/>
        <v>2937</v>
      </c>
      <c r="FL45">
        <f t="shared" ca="1" si="81"/>
        <v>473393</v>
      </c>
      <c r="FM45">
        <f t="shared" si="82"/>
        <v>75000</v>
      </c>
      <c r="FN45">
        <f t="shared" ca="1" si="83"/>
        <v>398393</v>
      </c>
      <c r="FO45">
        <f t="shared" ca="1" si="84"/>
        <v>0</v>
      </c>
      <c r="FP45">
        <f t="shared" ca="1" si="85"/>
        <v>0</v>
      </c>
      <c r="FQ45">
        <f t="shared" ca="1" si="86"/>
        <v>0</v>
      </c>
      <c r="FR45">
        <f t="shared" ca="1" si="87"/>
        <v>0</v>
      </c>
      <c r="FS45">
        <f t="shared" ca="1" si="88"/>
        <v>0</v>
      </c>
      <c r="FT45">
        <f t="shared" ca="1" si="89"/>
        <v>0</v>
      </c>
      <c r="FU45">
        <f t="shared" ca="1" si="90"/>
        <v>0</v>
      </c>
      <c r="FV45">
        <f t="shared" ca="1" si="91"/>
        <v>0</v>
      </c>
      <c r="FW45">
        <f t="shared" ca="1" si="92"/>
        <v>98393</v>
      </c>
      <c r="FX45">
        <f t="shared" ca="1" si="93"/>
        <v>4919.6500000000005</v>
      </c>
      <c r="FY45">
        <f t="shared" ca="1" si="94"/>
        <v>4920</v>
      </c>
      <c r="FZ45">
        <f t="shared" ca="1" si="95"/>
        <v>0</v>
      </c>
      <c r="GA45">
        <f t="shared" ca="1" si="96"/>
        <v>0</v>
      </c>
      <c r="GB45">
        <f t="shared" ca="1" si="97"/>
        <v>4920</v>
      </c>
      <c r="GC45">
        <f t="shared" ca="1" si="98"/>
        <v>0</v>
      </c>
      <c r="GD45" t="b">
        <f t="shared" ca="1" si="99"/>
        <v>0</v>
      </c>
      <c r="GE45">
        <f t="shared" ca="1" si="100"/>
        <v>0</v>
      </c>
      <c r="GF45">
        <f t="shared" ca="1" si="101"/>
        <v>4920</v>
      </c>
      <c r="GG45">
        <f t="shared" ca="1" si="102"/>
        <v>0</v>
      </c>
      <c r="GH45">
        <f t="shared" ca="1" si="103"/>
        <v>0</v>
      </c>
      <c r="GI45">
        <f t="shared" ca="1" si="104"/>
        <v>0</v>
      </c>
    </row>
    <row r="46" spans="1:191" x14ac:dyDescent="0.25">
      <c r="A46">
        <f>_xlfn.AGGREGATE(3,5,$B$2:B46)</f>
        <v>45</v>
      </c>
      <c r="B46" t="s">
        <v>212</v>
      </c>
      <c r="C46" t="s">
        <v>213</v>
      </c>
      <c r="D46" t="s">
        <v>774</v>
      </c>
      <c r="E46" t="s">
        <v>843</v>
      </c>
      <c r="F46">
        <v>0</v>
      </c>
      <c r="G46">
        <v>0</v>
      </c>
      <c r="H46">
        <v>47300</v>
      </c>
      <c r="I46">
        <f t="shared" si="7"/>
        <v>4730</v>
      </c>
      <c r="J46">
        <f t="shared" si="8"/>
        <v>5676</v>
      </c>
      <c r="K46">
        <v>400</v>
      </c>
      <c r="L46">
        <v>0</v>
      </c>
      <c r="M46">
        <f t="shared" si="9"/>
        <v>58106</v>
      </c>
      <c r="N46">
        <v>7000</v>
      </c>
      <c r="O46">
        <v>0</v>
      </c>
      <c r="P46">
        <f t="shared" si="10"/>
        <v>200</v>
      </c>
      <c r="Q46">
        <f t="shared" si="11"/>
        <v>50906</v>
      </c>
      <c r="R46">
        <v>47300</v>
      </c>
      <c r="S46">
        <f t="shared" si="12"/>
        <v>4730</v>
      </c>
      <c r="T46">
        <f t="shared" si="13"/>
        <v>5676</v>
      </c>
      <c r="U46">
        <v>400</v>
      </c>
      <c r="V46">
        <v>0</v>
      </c>
      <c r="W46">
        <f t="shared" si="14"/>
        <v>58106</v>
      </c>
      <c r="X46">
        <v>7000</v>
      </c>
      <c r="Y46">
        <v>0</v>
      </c>
      <c r="Z46">
        <f t="shared" si="15"/>
        <v>200</v>
      </c>
      <c r="AA46">
        <f t="shared" si="16"/>
        <v>50906</v>
      </c>
      <c r="AB46">
        <v>47300</v>
      </c>
      <c r="AC46">
        <f t="shared" si="17"/>
        <v>6622.0000000000009</v>
      </c>
      <c r="AD46">
        <f t="shared" si="18"/>
        <v>5676</v>
      </c>
      <c r="AE46">
        <v>400</v>
      </c>
      <c r="AF46">
        <v>0</v>
      </c>
      <c r="AG46">
        <f t="shared" si="19"/>
        <v>59998</v>
      </c>
      <c r="AH46">
        <v>7000</v>
      </c>
      <c r="AI46">
        <v>0</v>
      </c>
      <c r="AJ46">
        <f t="shared" si="20"/>
        <v>200</v>
      </c>
      <c r="AK46">
        <f t="shared" si="21"/>
        <v>52798</v>
      </c>
      <c r="AL46">
        <v>47300</v>
      </c>
      <c r="AM46">
        <f t="shared" si="22"/>
        <v>6622.0000000000009</v>
      </c>
      <c r="AN46">
        <f t="shared" si="23"/>
        <v>5676</v>
      </c>
      <c r="AO46">
        <v>400</v>
      </c>
      <c r="AP46">
        <v>0</v>
      </c>
      <c r="AQ46">
        <f t="shared" si="24"/>
        <v>59998</v>
      </c>
      <c r="AR46">
        <v>7000</v>
      </c>
      <c r="AS46">
        <v>0</v>
      </c>
      <c r="AT46">
        <f t="shared" si="25"/>
        <v>200</v>
      </c>
      <c r="AU46">
        <f t="shared" si="26"/>
        <v>52798</v>
      </c>
      <c r="AV46">
        <v>48700</v>
      </c>
      <c r="AW46">
        <f t="shared" si="27"/>
        <v>6818.0000000000009</v>
      </c>
      <c r="AX46">
        <f t="shared" si="28"/>
        <v>1892</v>
      </c>
      <c r="AY46">
        <f t="shared" si="29"/>
        <v>5844</v>
      </c>
      <c r="AZ46">
        <v>400</v>
      </c>
      <c r="BA46">
        <v>0</v>
      </c>
      <c r="BB46">
        <f t="shared" si="30"/>
        <v>63654</v>
      </c>
      <c r="BC46">
        <v>7000</v>
      </c>
      <c r="BD46">
        <v>0</v>
      </c>
      <c r="BE46">
        <f t="shared" si="31"/>
        <v>200</v>
      </c>
      <c r="BF46">
        <f t="shared" si="32"/>
        <v>56454</v>
      </c>
      <c r="BG46">
        <v>48700</v>
      </c>
      <c r="BH46">
        <f t="shared" si="33"/>
        <v>6818.0000000000009</v>
      </c>
      <c r="BI46">
        <f t="shared" si="34"/>
        <v>5844</v>
      </c>
      <c r="BJ46">
        <v>400</v>
      </c>
      <c r="BK46">
        <v>0</v>
      </c>
      <c r="BL46">
        <f t="shared" si="35"/>
        <v>61762</v>
      </c>
      <c r="BM46">
        <v>7000</v>
      </c>
      <c r="BN46">
        <v>0</v>
      </c>
      <c r="BO46">
        <f t="shared" si="36"/>
        <v>200</v>
      </c>
      <c r="BP46">
        <f t="shared" si="37"/>
        <v>54562</v>
      </c>
      <c r="BQ46">
        <v>48700</v>
      </c>
      <c r="BR46">
        <f t="shared" si="38"/>
        <v>6818.0000000000009</v>
      </c>
      <c r="BS46">
        <f t="shared" si="39"/>
        <v>5844</v>
      </c>
      <c r="BT46">
        <v>400</v>
      </c>
      <c r="BU46">
        <v>0</v>
      </c>
      <c r="BV46">
        <f t="shared" si="40"/>
        <v>61762</v>
      </c>
      <c r="BW46">
        <v>7000</v>
      </c>
      <c r="BX46">
        <v>0</v>
      </c>
      <c r="BY46">
        <f t="shared" si="41"/>
        <v>200</v>
      </c>
      <c r="BZ46">
        <f t="shared" si="42"/>
        <v>54562</v>
      </c>
      <c r="CA46">
        <v>48700</v>
      </c>
      <c r="CB46">
        <f t="shared" si="43"/>
        <v>6818.0000000000009</v>
      </c>
      <c r="CC46">
        <f t="shared" si="44"/>
        <v>5844</v>
      </c>
      <c r="CD46">
        <v>400</v>
      </c>
      <c r="CE46">
        <v>0</v>
      </c>
      <c r="CF46">
        <f t="shared" si="45"/>
        <v>61762</v>
      </c>
      <c r="CG46">
        <v>7000</v>
      </c>
      <c r="CH46">
        <v>0</v>
      </c>
      <c r="CI46">
        <f t="shared" si="46"/>
        <v>200</v>
      </c>
      <c r="CJ46">
        <f t="shared" si="47"/>
        <v>54562</v>
      </c>
      <c r="CK46">
        <v>48700</v>
      </c>
      <c r="CL46">
        <f t="shared" si="48"/>
        <v>6818.0000000000009</v>
      </c>
      <c r="CM46">
        <f t="shared" si="49"/>
        <v>5844</v>
      </c>
      <c r="CN46">
        <v>400</v>
      </c>
      <c r="CO46">
        <v>0</v>
      </c>
      <c r="CP46">
        <f t="shared" si="50"/>
        <v>61762</v>
      </c>
      <c r="CQ46">
        <v>7000</v>
      </c>
      <c r="CR46">
        <v>0</v>
      </c>
      <c r="CS46">
        <f t="shared" si="51"/>
        <v>200</v>
      </c>
      <c r="CT46">
        <f t="shared" si="52"/>
        <v>54562</v>
      </c>
      <c r="CU46">
        <v>48700</v>
      </c>
      <c r="CV46">
        <f t="shared" si="53"/>
        <v>6818</v>
      </c>
      <c r="CW46">
        <f t="shared" si="54"/>
        <v>5844</v>
      </c>
      <c r="CX46">
        <v>400</v>
      </c>
      <c r="CY46">
        <v>0</v>
      </c>
      <c r="CZ46">
        <f t="shared" si="55"/>
        <v>61762</v>
      </c>
      <c r="DA46">
        <v>7000</v>
      </c>
      <c r="DB46">
        <v>0</v>
      </c>
      <c r="DC46">
        <f t="shared" si="56"/>
        <v>200</v>
      </c>
      <c r="DD46">
        <f t="shared" si="57"/>
        <v>54562</v>
      </c>
      <c r="DE46">
        <v>48700</v>
      </c>
      <c r="DF46">
        <f t="shared" si="58"/>
        <v>6818.0000000000009</v>
      </c>
      <c r="DG46">
        <f t="shared" si="59"/>
        <v>5844</v>
      </c>
      <c r="DH46">
        <v>400</v>
      </c>
      <c r="DI46">
        <v>0</v>
      </c>
      <c r="DJ46">
        <f t="shared" si="60"/>
        <v>61762</v>
      </c>
      <c r="DK46">
        <v>7000</v>
      </c>
      <c r="DL46">
        <v>0</v>
      </c>
      <c r="DM46">
        <f t="shared" si="61"/>
        <v>200</v>
      </c>
      <c r="DN46">
        <f t="shared" si="62"/>
        <v>54562</v>
      </c>
      <c r="DO46">
        <v>48700</v>
      </c>
      <c r="DP46">
        <f t="shared" si="63"/>
        <v>6818.0000000000009</v>
      </c>
      <c r="DQ46">
        <f t="shared" si="64"/>
        <v>5844</v>
      </c>
      <c r="DR46">
        <v>400</v>
      </c>
      <c r="DS46">
        <v>0</v>
      </c>
      <c r="DT46">
        <f t="shared" si="65"/>
        <v>61762</v>
      </c>
      <c r="DU46">
        <v>7000</v>
      </c>
      <c r="DV46">
        <v>0</v>
      </c>
      <c r="DW46">
        <f t="shared" si="66"/>
        <v>200</v>
      </c>
      <c r="DX46">
        <f t="shared" si="67"/>
        <v>54562</v>
      </c>
      <c r="DY46">
        <f t="shared" si="68"/>
        <v>732196</v>
      </c>
      <c r="DZ46">
        <f t="shared" si="0"/>
        <v>2400</v>
      </c>
      <c r="EA46">
        <f t="shared" si="1"/>
        <v>50000</v>
      </c>
      <c r="EB46">
        <v>0</v>
      </c>
      <c r="EC46">
        <f t="shared" si="2"/>
        <v>679796</v>
      </c>
      <c r="ED46">
        <f t="shared" si="3"/>
        <v>84000</v>
      </c>
      <c r="EE46">
        <f t="shared" si="4"/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f t="shared" si="5"/>
        <v>84000</v>
      </c>
      <c r="EQ46">
        <f t="shared" si="69"/>
        <v>84000</v>
      </c>
      <c r="ER46">
        <f t="shared" si="6"/>
        <v>595796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f t="shared" si="70"/>
        <v>0</v>
      </c>
      <c r="FA46">
        <f t="shared" si="71"/>
        <v>595796</v>
      </c>
      <c r="FB46">
        <f t="shared" si="72"/>
        <v>12500</v>
      </c>
      <c r="FC46">
        <f t="shared" si="73"/>
        <v>19159</v>
      </c>
      <c r="FD46">
        <f t="shared" si="74"/>
        <v>31659</v>
      </c>
      <c r="FE46">
        <f t="shared" si="75"/>
        <v>31659</v>
      </c>
      <c r="FF46">
        <f t="shared" si="76"/>
        <v>1266.3600000000001</v>
      </c>
      <c r="FG46">
        <f t="shared" si="77"/>
        <v>32925</v>
      </c>
      <c r="FH46">
        <v>0</v>
      </c>
      <c r="FI46">
        <f t="shared" si="78"/>
        <v>32925</v>
      </c>
      <c r="FJ46" t="b">
        <f t="shared" si="79"/>
        <v>1</v>
      </c>
      <c r="FK46">
        <f t="shared" ca="1" si="80"/>
        <v>933</v>
      </c>
      <c r="FL46">
        <f t="shared" ca="1" si="81"/>
        <v>733129</v>
      </c>
      <c r="FM46">
        <f t="shared" si="82"/>
        <v>75000</v>
      </c>
      <c r="FN46">
        <f t="shared" ca="1" si="83"/>
        <v>658129</v>
      </c>
      <c r="FO46">
        <f t="shared" ca="1" si="84"/>
        <v>0</v>
      </c>
      <c r="FP46">
        <f t="shared" ca="1" si="85"/>
        <v>0</v>
      </c>
      <c r="FQ46">
        <f t="shared" ca="1" si="86"/>
        <v>0</v>
      </c>
      <c r="FR46">
        <f t="shared" ca="1" si="87"/>
        <v>0</v>
      </c>
      <c r="FS46">
        <f t="shared" ca="1" si="88"/>
        <v>0</v>
      </c>
      <c r="FT46">
        <f t="shared" ca="1" si="89"/>
        <v>0</v>
      </c>
      <c r="FU46">
        <f t="shared" ca="1" si="90"/>
        <v>0</v>
      </c>
      <c r="FV46">
        <f t="shared" ca="1" si="91"/>
        <v>0</v>
      </c>
      <c r="FW46">
        <f t="shared" ca="1" si="92"/>
        <v>358129</v>
      </c>
      <c r="FX46">
        <f t="shared" ca="1" si="93"/>
        <v>17906.45</v>
      </c>
      <c r="FY46">
        <f t="shared" ca="1" si="94"/>
        <v>17906</v>
      </c>
      <c r="FZ46">
        <f t="shared" ca="1" si="95"/>
        <v>0</v>
      </c>
      <c r="GA46">
        <f t="shared" ca="1" si="96"/>
        <v>0</v>
      </c>
      <c r="GB46">
        <f t="shared" ca="1" si="97"/>
        <v>17906</v>
      </c>
      <c r="GC46">
        <f t="shared" ca="1" si="98"/>
        <v>0</v>
      </c>
      <c r="GD46" t="b">
        <f t="shared" ca="1" si="99"/>
        <v>0</v>
      </c>
      <c r="GE46">
        <f t="shared" ca="1" si="100"/>
        <v>0</v>
      </c>
      <c r="GF46">
        <f t="shared" ca="1" si="101"/>
        <v>17906</v>
      </c>
      <c r="GG46">
        <f t="shared" ca="1" si="102"/>
        <v>0</v>
      </c>
      <c r="GH46">
        <f t="shared" ca="1" si="103"/>
        <v>0</v>
      </c>
      <c r="GI46">
        <f t="shared" ca="1" si="104"/>
        <v>0</v>
      </c>
    </row>
    <row r="47" spans="1:191" x14ac:dyDescent="0.25">
      <c r="A47">
        <f>_xlfn.AGGREGATE(3,5,$B$2:B47)</f>
        <v>46</v>
      </c>
      <c r="B47" t="s">
        <v>214</v>
      </c>
      <c r="C47" t="s">
        <v>215</v>
      </c>
      <c r="D47" t="s">
        <v>774</v>
      </c>
      <c r="E47" t="s">
        <v>843</v>
      </c>
      <c r="F47">
        <v>0</v>
      </c>
      <c r="G47">
        <v>6000</v>
      </c>
      <c r="H47">
        <v>32500</v>
      </c>
      <c r="I47">
        <f t="shared" si="7"/>
        <v>3250</v>
      </c>
      <c r="J47">
        <f t="shared" si="8"/>
        <v>3900</v>
      </c>
      <c r="K47">
        <v>0</v>
      </c>
      <c r="L47">
        <v>500</v>
      </c>
      <c r="M47">
        <f t="shared" si="9"/>
        <v>40150</v>
      </c>
      <c r="N47">
        <v>5000</v>
      </c>
      <c r="O47">
        <v>0</v>
      </c>
      <c r="P47">
        <f t="shared" si="10"/>
        <v>200</v>
      </c>
      <c r="Q47">
        <f t="shared" si="11"/>
        <v>34950</v>
      </c>
      <c r="R47">
        <v>32500</v>
      </c>
      <c r="S47">
        <f t="shared" si="12"/>
        <v>3250</v>
      </c>
      <c r="T47">
        <f t="shared" si="13"/>
        <v>3900</v>
      </c>
      <c r="U47">
        <v>0</v>
      </c>
      <c r="V47">
        <v>500</v>
      </c>
      <c r="W47">
        <f t="shared" si="14"/>
        <v>40150</v>
      </c>
      <c r="X47">
        <v>5000</v>
      </c>
      <c r="Y47">
        <v>0</v>
      </c>
      <c r="Z47">
        <f t="shared" si="15"/>
        <v>200</v>
      </c>
      <c r="AA47">
        <f t="shared" si="16"/>
        <v>34950</v>
      </c>
      <c r="AB47">
        <v>32500</v>
      </c>
      <c r="AC47">
        <f t="shared" si="17"/>
        <v>4550</v>
      </c>
      <c r="AD47">
        <f t="shared" si="18"/>
        <v>3900</v>
      </c>
      <c r="AE47">
        <v>0</v>
      </c>
      <c r="AF47">
        <v>500</v>
      </c>
      <c r="AG47">
        <f t="shared" si="19"/>
        <v>41450</v>
      </c>
      <c r="AH47">
        <v>5000</v>
      </c>
      <c r="AI47">
        <v>0</v>
      </c>
      <c r="AJ47">
        <f t="shared" si="20"/>
        <v>200</v>
      </c>
      <c r="AK47">
        <f t="shared" si="21"/>
        <v>36250</v>
      </c>
      <c r="AL47">
        <v>32500</v>
      </c>
      <c r="AM47">
        <f t="shared" si="22"/>
        <v>4550</v>
      </c>
      <c r="AN47">
        <f t="shared" si="23"/>
        <v>3900</v>
      </c>
      <c r="AO47">
        <v>0</v>
      </c>
      <c r="AP47">
        <v>500</v>
      </c>
      <c r="AQ47">
        <f t="shared" si="24"/>
        <v>41450</v>
      </c>
      <c r="AR47">
        <v>5000</v>
      </c>
      <c r="AS47">
        <v>0</v>
      </c>
      <c r="AT47">
        <f t="shared" si="25"/>
        <v>200</v>
      </c>
      <c r="AU47">
        <f t="shared" si="26"/>
        <v>36250</v>
      </c>
      <c r="AV47">
        <v>34500</v>
      </c>
      <c r="AW47">
        <f t="shared" si="27"/>
        <v>4830.0000000000009</v>
      </c>
      <c r="AX47">
        <f t="shared" si="28"/>
        <v>1300</v>
      </c>
      <c r="AY47">
        <f t="shared" si="29"/>
        <v>4140</v>
      </c>
      <c r="AZ47">
        <v>0</v>
      </c>
      <c r="BA47">
        <v>500</v>
      </c>
      <c r="BB47">
        <f t="shared" si="30"/>
        <v>45270</v>
      </c>
      <c r="BC47">
        <v>5000</v>
      </c>
      <c r="BD47">
        <v>0</v>
      </c>
      <c r="BE47">
        <f t="shared" si="31"/>
        <v>200</v>
      </c>
      <c r="BF47">
        <f t="shared" si="32"/>
        <v>40070</v>
      </c>
      <c r="BG47">
        <v>34500</v>
      </c>
      <c r="BH47">
        <f t="shared" si="33"/>
        <v>4830.0000000000009</v>
      </c>
      <c r="BI47">
        <f t="shared" si="34"/>
        <v>4140</v>
      </c>
      <c r="BJ47">
        <v>0</v>
      </c>
      <c r="BK47">
        <v>500</v>
      </c>
      <c r="BL47">
        <f t="shared" si="35"/>
        <v>43970</v>
      </c>
      <c r="BM47">
        <v>5000</v>
      </c>
      <c r="BN47">
        <v>0</v>
      </c>
      <c r="BO47">
        <f t="shared" si="36"/>
        <v>200</v>
      </c>
      <c r="BP47">
        <f t="shared" si="37"/>
        <v>38770</v>
      </c>
      <c r="BQ47">
        <v>34500</v>
      </c>
      <c r="BR47">
        <f t="shared" si="38"/>
        <v>4830.0000000000009</v>
      </c>
      <c r="BS47">
        <f t="shared" si="39"/>
        <v>4140</v>
      </c>
      <c r="BT47">
        <v>0</v>
      </c>
      <c r="BU47">
        <v>500</v>
      </c>
      <c r="BV47">
        <f t="shared" si="40"/>
        <v>43970</v>
      </c>
      <c r="BW47">
        <v>5000</v>
      </c>
      <c r="BX47">
        <v>0</v>
      </c>
      <c r="BY47">
        <f t="shared" si="41"/>
        <v>200</v>
      </c>
      <c r="BZ47">
        <f t="shared" si="42"/>
        <v>38770</v>
      </c>
      <c r="CA47">
        <v>34500</v>
      </c>
      <c r="CB47">
        <f t="shared" si="43"/>
        <v>4830.0000000000009</v>
      </c>
      <c r="CC47">
        <f t="shared" si="44"/>
        <v>4140</v>
      </c>
      <c r="CD47">
        <v>0</v>
      </c>
      <c r="CE47">
        <v>500</v>
      </c>
      <c r="CF47">
        <f t="shared" si="45"/>
        <v>43970</v>
      </c>
      <c r="CG47">
        <v>5000</v>
      </c>
      <c r="CH47">
        <v>0</v>
      </c>
      <c r="CI47">
        <f t="shared" si="46"/>
        <v>200</v>
      </c>
      <c r="CJ47">
        <f t="shared" si="47"/>
        <v>38770</v>
      </c>
      <c r="CK47">
        <v>34500</v>
      </c>
      <c r="CL47">
        <f t="shared" si="48"/>
        <v>4830.0000000000009</v>
      </c>
      <c r="CM47">
        <f t="shared" si="49"/>
        <v>4140</v>
      </c>
      <c r="CN47">
        <v>0</v>
      </c>
      <c r="CO47">
        <v>500</v>
      </c>
      <c r="CP47">
        <f t="shared" si="50"/>
        <v>43970</v>
      </c>
      <c r="CQ47">
        <v>5000</v>
      </c>
      <c r="CR47">
        <v>0</v>
      </c>
      <c r="CS47">
        <f t="shared" si="51"/>
        <v>200</v>
      </c>
      <c r="CT47">
        <f t="shared" si="52"/>
        <v>38770</v>
      </c>
      <c r="CU47">
        <v>34500</v>
      </c>
      <c r="CV47">
        <f t="shared" si="53"/>
        <v>4830</v>
      </c>
      <c r="CW47">
        <f t="shared" si="54"/>
        <v>4140</v>
      </c>
      <c r="CX47">
        <v>0</v>
      </c>
      <c r="CY47">
        <v>500</v>
      </c>
      <c r="CZ47">
        <f t="shared" si="55"/>
        <v>43970</v>
      </c>
      <c r="DA47">
        <v>5000</v>
      </c>
      <c r="DB47">
        <v>0</v>
      </c>
      <c r="DC47">
        <f t="shared" si="56"/>
        <v>200</v>
      </c>
      <c r="DD47">
        <f t="shared" si="57"/>
        <v>38770</v>
      </c>
      <c r="DE47">
        <v>34500</v>
      </c>
      <c r="DF47">
        <f t="shared" si="58"/>
        <v>4830.0000000000009</v>
      </c>
      <c r="DG47">
        <f t="shared" si="59"/>
        <v>4140</v>
      </c>
      <c r="DH47">
        <v>0</v>
      </c>
      <c r="DI47">
        <v>500</v>
      </c>
      <c r="DJ47">
        <f t="shared" si="60"/>
        <v>43970</v>
      </c>
      <c r="DK47">
        <v>5000</v>
      </c>
      <c r="DL47">
        <v>0</v>
      </c>
      <c r="DM47">
        <f t="shared" si="61"/>
        <v>200</v>
      </c>
      <c r="DN47">
        <f t="shared" si="62"/>
        <v>38770</v>
      </c>
      <c r="DO47">
        <v>34500</v>
      </c>
      <c r="DP47">
        <f t="shared" si="63"/>
        <v>4830.0000000000009</v>
      </c>
      <c r="DQ47">
        <f t="shared" si="64"/>
        <v>4140</v>
      </c>
      <c r="DR47">
        <v>0</v>
      </c>
      <c r="DS47">
        <v>500</v>
      </c>
      <c r="DT47">
        <f t="shared" si="65"/>
        <v>43970</v>
      </c>
      <c r="DU47">
        <v>5000</v>
      </c>
      <c r="DV47">
        <v>0</v>
      </c>
      <c r="DW47">
        <f t="shared" si="66"/>
        <v>200</v>
      </c>
      <c r="DX47">
        <f t="shared" si="67"/>
        <v>38770</v>
      </c>
      <c r="DY47">
        <f t="shared" si="68"/>
        <v>522260</v>
      </c>
      <c r="DZ47">
        <f t="shared" si="0"/>
        <v>2400</v>
      </c>
      <c r="EA47">
        <f t="shared" si="1"/>
        <v>50000</v>
      </c>
      <c r="EB47">
        <v>0</v>
      </c>
      <c r="EC47">
        <f t="shared" si="2"/>
        <v>469860</v>
      </c>
      <c r="ED47">
        <f t="shared" si="3"/>
        <v>60000</v>
      </c>
      <c r="EE47">
        <f t="shared" si="4"/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f t="shared" si="5"/>
        <v>60000</v>
      </c>
      <c r="EQ47">
        <f t="shared" si="69"/>
        <v>60000</v>
      </c>
      <c r="ER47">
        <f t="shared" si="6"/>
        <v>409860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f t="shared" si="70"/>
        <v>0</v>
      </c>
      <c r="FA47">
        <f t="shared" si="71"/>
        <v>409860</v>
      </c>
      <c r="FB47">
        <f t="shared" si="72"/>
        <v>7993</v>
      </c>
      <c r="FC47">
        <f t="shared" si="73"/>
        <v>0</v>
      </c>
      <c r="FD47">
        <f t="shared" si="74"/>
        <v>7993</v>
      </c>
      <c r="FE47">
        <f t="shared" si="75"/>
        <v>0</v>
      </c>
      <c r="FF47">
        <f t="shared" si="76"/>
        <v>0</v>
      </c>
      <c r="FG47">
        <f t="shared" si="77"/>
        <v>0</v>
      </c>
      <c r="FH47">
        <v>0</v>
      </c>
      <c r="FI47">
        <f t="shared" si="78"/>
        <v>0</v>
      </c>
      <c r="FJ47" t="b">
        <f t="shared" si="79"/>
        <v>1</v>
      </c>
      <c r="FK47">
        <f t="shared" ca="1" si="80"/>
        <v>501</v>
      </c>
      <c r="FL47">
        <f t="shared" ca="1" si="81"/>
        <v>522761</v>
      </c>
      <c r="FM47">
        <f t="shared" si="82"/>
        <v>75000</v>
      </c>
      <c r="FN47">
        <f t="shared" ca="1" si="83"/>
        <v>447761</v>
      </c>
      <c r="FO47">
        <f t="shared" ca="1" si="84"/>
        <v>0</v>
      </c>
      <c r="FP47">
        <f t="shared" ca="1" si="85"/>
        <v>0</v>
      </c>
      <c r="FQ47">
        <f t="shared" ca="1" si="86"/>
        <v>0</v>
      </c>
      <c r="FR47">
        <f t="shared" ca="1" si="87"/>
        <v>0</v>
      </c>
      <c r="FS47">
        <f t="shared" ca="1" si="88"/>
        <v>0</v>
      </c>
      <c r="FT47">
        <f t="shared" ca="1" si="89"/>
        <v>0</v>
      </c>
      <c r="FU47">
        <f t="shared" ca="1" si="90"/>
        <v>0</v>
      </c>
      <c r="FV47">
        <f t="shared" ca="1" si="91"/>
        <v>0</v>
      </c>
      <c r="FW47">
        <f t="shared" ca="1" si="92"/>
        <v>147761</v>
      </c>
      <c r="FX47">
        <f t="shared" ca="1" si="93"/>
        <v>7388.05</v>
      </c>
      <c r="FY47">
        <f t="shared" ca="1" si="94"/>
        <v>7388</v>
      </c>
      <c r="FZ47">
        <f t="shared" ca="1" si="95"/>
        <v>0</v>
      </c>
      <c r="GA47">
        <f t="shared" ca="1" si="96"/>
        <v>0</v>
      </c>
      <c r="GB47">
        <f t="shared" ca="1" si="97"/>
        <v>7388</v>
      </c>
      <c r="GC47">
        <f t="shared" ca="1" si="98"/>
        <v>0</v>
      </c>
      <c r="GD47" t="b">
        <f t="shared" ca="1" si="99"/>
        <v>0</v>
      </c>
      <c r="GE47">
        <f t="shared" ca="1" si="100"/>
        <v>0</v>
      </c>
      <c r="GF47">
        <f t="shared" ca="1" si="101"/>
        <v>7388</v>
      </c>
      <c r="GG47">
        <f t="shared" ca="1" si="102"/>
        <v>0</v>
      </c>
      <c r="GH47">
        <f t="shared" ca="1" si="103"/>
        <v>0</v>
      </c>
      <c r="GI47">
        <f t="shared" ca="1" si="104"/>
        <v>0</v>
      </c>
    </row>
    <row r="48" spans="1:191" x14ac:dyDescent="0.25">
      <c r="A48">
        <f>_xlfn.AGGREGATE(3,5,$B$2:B48)</f>
        <v>47</v>
      </c>
      <c r="B48" t="s">
        <v>216</v>
      </c>
      <c r="C48" t="s">
        <v>217</v>
      </c>
      <c r="D48" t="s">
        <v>774</v>
      </c>
      <c r="E48" t="s">
        <v>843</v>
      </c>
      <c r="F48">
        <v>0</v>
      </c>
      <c r="G48">
        <v>6000</v>
      </c>
      <c r="H48">
        <v>32500</v>
      </c>
      <c r="I48">
        <f t="shared" si="7"/>
        <v>3250</v>
      </c>
      <c r="J48">
        <f t="shared" si="8"/>
        <v>3900</v>
      </c>
      <c r="K48">
        <v>0</v>
      </c>
      <c r="L48">
        <v>500</v>
      </c>
      <c r="M48">
        <f t="shared" si="9"/>
        <v>40150</v>
      </c>
      <c r="N48">
        <v>8000</v>
      </c>
      <c r="O48">
        <v>0</v>
      </c>
      <c r="P48">
        <f t="shared" si="10"/>
        <v>200</v>
      </c>
      <c r="Q48">
        <f t="shared" si="11"/>
        <v>31950</v>
      </c>
      <c r="R48">
        <v>32500</v>
      </c>
      <c r="S48">
        <f t="shared" si="12"/>
        <v>3250</v>
      </c>
      <c r="T48">
        <f t="shared" si="13"/>
        <v>3900</v>
      </c>
      <c r="U48">
        <v>0</v>
      </c>
      <c r="V48">
        <v>500</v>
      </c>
      <c r="W48">
        <f t="shared" si="14"/>
        <v>40150</v>
      </c>
      <c r="X48">
        <v>8000</v>
      </c>
      <c r="Y48">
        <v>0</v>
      </c>
      <c r="Z48">
        <f t="shared" si="15"/>
        <v>200</v>
      </c>
      <c r="AA48">
        <f t="shared" si="16"/>
        <v>31950</v>
      </c>
      <c r="AB48">
        <v>32500</v>
      </c>
      <c r="AC48">
        <f t="shared" si="17"/>
        <v>4550</v>
      </c>
      <c r="AD48">
        <f t="shared" si="18"/>
        <v>3900</v>
      </c>
      <c r="AE48">
        <v>0</v>
      </c>
      <c r="AF48">
        <v>500</v>
      </c>
      <c r="AG48">
        <f t="shared" si="19"/>
        <v>41450</v>
      </c>
      <c r="AH48">
        <v>8000</v>
      </c>
      <c r="AI48">
        <v>0</v>
      </c>
      <c r="AJ48">
        <f t="shared" si="20"/>
        <v>200</v>
      </c>
      <c r="AK48">
        <f t="shared" si="21"/>
        <v>33250</v>
      </c>
      <c r="AL48">
        <v>32500</v>
      </c>
      <c r="AM48">
        <f t="shared" si="22"/>
        <v>4550</v>
      </c>
      <c r="AN48">
        <f t="shared" si="23"/>
        <v>3900</v>
      </c>
      <c r="AO48">
        <v>0</v>
      </c>
      <c r="AP48">
        <v>500</v>
      </c>
      <c r="AQ48">
        <f t="shared" si="24"/>
        <v>41450</v>
      </c>
      <c r="AR48">
        <v>8000</v>
      </c>
      <c r="AS48">
        <v>0</v>
      </c>
      <c r="AT48">
        <f t="shared" si="25"/>
        <v>200</v>
      </c>
      <c r="AU48">
        <f t="shared" si="26"/>
        <v>33250</v>
      </c>
      <c r="AV48">
        <v>34500</v>
      </c>
      <c r="AW48">
        <f t="shared" si="27"/>
        <v>4830.0000000000009</v>
      </c>
      <c r="AX48">
        <f t="shared" si="28"/>
        <v>1300</v>
      </c>
      <c r="AY48">
        <f t="shared" si="29"/>
        <v>4140</v>
      </c>
      <c r="AZ48">
        <v>0</v>
      </c>
      <c r="BA48">
        <v>500</v>
      </c>
      <c r="BB48">
        <f t="shared" si="30"/>
        <v>45270</v>
      </c>
      <c r="BC48">
        <v>8000</v>
      </c>
      <c r="BD48">
        <v>0</v>
      </c>
      <c r="BE48">
        <f t="shared" si="31"/>
        <v>200</v>
      </c>
      <c r="BF48">
        <f t="shared" si="32"/>
        <v>37070</v>
      </c>
      <c r="BG48">
        <v>34500</v>
      </c>
      <c r="BH48">
        <f t="shared" si="33"/>
        <v>4830.0000000000009</v>
      </c>
      <c r="BI48">
        <f t="shared" si="34"/>
        <v>4140</v>
      </c>
      <c r="BJ48">
        <v>0</v>
      </c>
      <c r="BK48">
        <v>500</v>
      </c>
      <c r="BL48">
        <f t="shared" si="35"/>
        <v>43970</v>
      </c>
      <c r="BM48">
        <v>8000</v>
      </c>
      <c r="BN48">
        <v>0</v>
      </c>
      <c r="BO48">
        <f t="shared" si="36"/>
        <v>200</v>
      </c>
      <c r="BP48">
        <f t="shared" si="37"/>
        <v>35770</v>
      </c>
      <c r="BQ48">
        <v>34500</v>
      </c>
      <c r="BR48">
        <f t="shared" si="38"/>
        <v>4830.0000000000009</v>
      </c>
      <c r="BS48">
        <f t="shared" si="39"/>
        <v>4140</v>
      </c>
      <c r="BT48">
        <v>0</v>
      </c>
      <c r="BU48">
        <v>500</v>
      </c>
      <c r="BV48">
        <f t="shared" si="40"/>
        <v>43970</v>
      </c>
      <c r="BW48">
        <v>8000</v>
      </c>
      <c r="BX48">
        <v>0</v>
      </c>
      <c r="BY48">
        <f t="shared" si="41"/>
        <v>200</v>
      </c>
      <c r="BZ48">
        <f t="shared" si="42"/>
        <v>35770</v>
      </c>
      <c r="CA48">
        <v>34500</v>
      </c>
      <c r="CB48">
        <f t="shared" si="43"/>
        <v>4830.0000000000009</v>
      </c>
      <c r="CC48">
        <f t="shared" si="44"/>
        <v>4140</v>
      </c>
      <c r="CD48">
        <v>0</v>
      </c>
      <c r="CE48">
        <v>500</v>
      </c>
      <c r="CF48">
        <f t="shared" si="45"/>
        <v>43970</v>
      </c>
      <c r="CG48">
        <v>8000</v>
      </c>
      <c r="CH48">
        <v>0</v>
      </c>
      <c r="CI48">
        <f t="shared" si="46"/>
        <v>200</v>
      </c>
      <c r="CJ48">
        <f t="shared" si="47"/>
        <v>35770</v>
      </c>
      <c r="CK48">
        <v>34500</v>
      </c>
      <c r="CL48">
        <f t="shared" si="48"/>
        <v>4830.0000000000009</v>
      </c>
      <c r="CM48">
        <f t="shared" si="49"/>
        <v>4140</v>
      </c>
      <c r="CN48">
        <v>0</v>
      </c>
      <c r="CO48">
        <v>500</v>
      </c>
      <c r="CP48">
        <f t="shared" si="50"/>
        <v>43970</v>
      </c>
      <c r="CQ48">
        <v>8000</v>
      </c>
      <c r="CR48">
        <v>0</v>
      </c>
      <c r="CS48">
        <f t="shared" si="51"/>
        <v>200</v>
      </c>
      <c r="CT48">
        <f t="shared" si="52"/>
        <v>35770</v>
      </c>
      <c r="CU48">
        <v>34500</v>
      </c>
      <c r="CV48">
        <f t="shared" si="53"/>
        <v>4830</v>
      </c>
      <c r="CW48">
        <f t="shared" si="54"/>
        <v>4140</v>
      </c>
      <c r="CX48">
        <v>0</v>
      </c>
      <c r="CY48">
        <v>500</v>
      </c>
      <c r="CZ48">
        <f t="shared" si="55"/>
        <v>43970</v>
      </c>
      <c r="DA48">
        <v>8000</v>
      </c>
      <c r="DB48">
        <v>0</v>
      </c>
      <c r="DC48">
        <f t="shared" si="56"/>
        <v>200</v>
      </c>
      <c r="DD48">
        <f t="shared" si="57"/>
        <v>35770</v>
      </c>
      <c r="DE48">
        <v>34500</v>
      </c>
      <c r="DF48">
        <f t="shared" si="58"/>
        <v>4830.0000000000009</v>
      </c>
      <c r="DG48">
        <f t="shared" si="59"/>
        <v>4140</v>
      </c>
      <c r="DH48">
        <v>0</v>
      </c>
      <c r="DI48">
        <v>500</v>
      </c>
      <c r="DJ48">
        <f t="shared" si="60"/>
        <v>43970</v>
      </c>
      <c r="DK48">
        <v>8000</v>
      </c>
      <c r="DL48">
        <v>0</v>
      </c>
      <c r="DM48">
        <f t="shared" si="61"/>
        <v>200</v>
      </c>
      <c r="DN48">
        <f t="shared" si="62"/>
        <v>35770</v>
      </c>
      <c r="DO48">
        <v>34500</v>
      </c>
      <c r="DP48">
        <f t="shared" si="63"/>
        <v>4830.0000000000009</v>
      </c>
      <c r="DQ48">
        <f t="shared" si="64"/>
        <v>4140</v>
      </c>
      <c r="DR48">
        <v>0</v>
      </c>
      <c r="DS48">
        <v>500</v>
      </c>
      <c r="DT48">
        <f t="shared" si="65"/>
        <v>43970</v>
      </c>
      <c r="DU48">
        <v>8000</v>
      </c>
      <c r="DV48">
        <v>0</v>
      </c>
      <c r="DW48">
        <f t="shared" si="66"/>
        <v>200</v>
      </c>
      <c r="DX48">
        <f t="shared" si="67"/>
        <v>35770</v>
      </c>
      <c r="DY48">
        <f t="shared" si="68"/>
        <v>522260</v>
      </c>
      <c r="DZ48">
        <f t="shared" si="0"/>
        <v>2400</v>
      </c>
      <c r="EA48">
        <f t="shared" si="1"/>
        <v>50000</v>
      </c>
      <c r="EB48">
        <v>0</v>
      </c>
      <c r="EC48">
        <f t="shared" si="2"/>
        <v>469860</v>
      </c>
      <c r="ED48">
        <f t="shared" si="3"/>
        <v>96000</v>
      </c>
      <c r="EE48">
        <f t="shared" si="4"/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f t="shared" si="5"/>
        <v>96000</v>
      </c>
      <c r="EQ48">
        <f t="shared" si="69"/>
        <v>96000</v>
      </c>
      <c r="ER48">
        <f t="shared" si="6"/>
        <v>373860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f t="shared" si="70"/>
        <v>0</v>
      </c>
      <c r="FA48">
        <f t="shared" si="71"/>
        <v>373860</v>
      </c>
      <c r="FB48">
        <f t="shared" si="72"/>
        <v>6193</v>
      </c>
      <c r="FC48">
        <f t="shared" si="73"/>
        <v>0</v>
      </c>
      <c r="FD48">
        <f t="shared" si="74"/>
        <v>6193</v>
      </c>
      <c r="FE48">
        <f t="shared" si="75"/>
        <v>0</v>
      </c>
      <c r="FF48">
        <f t="shared" si="76"/>
        <v>0</v>
      </c>
      <c r="FG48">
        <f t="shared" si="77"/>
        <v>0</v>
      </c>
      <c r="FH48">
        <v>0</v>
      </c>
      <c r="FI48">
        <f t="shared" si="78"/>
        <v>0</v>
      </c>
      <c r="FJ48" t="b">
        <f t="shared" si="79"/>
        <v>1</v>
      </c>
      <c r="FK48">
        <f t="shared" ca="1" si="80"/>
        <v>517</v>
      </c>
      <c r="FL48">
        <f t="shared" ca="1" si="81"/>
        <v>522777</v>
      </c>
      <c r="FM48">
        <f t="shared" si="82"/>
        <v>75000</v>
      </c>
      <c r="FN48">
        <f t="shared" ca="1" si="83"/>
        <v>447777</v>
      </c>
      <c r="FO48">
        <f t="shared" ca="1" si="84"/>
        <v>0</v>
      </c>
      <c r="FP48">
        <f t="shared" ca="1" si="85"/>
        <v>0</v>
      </c>
      <c r="FQ48">
        <f t="shared" ca="1" si="86"/>
        <v>0</v>
      </c>
      <c r="FR48">
        <f t="shared" ca="1" si="87"/>
        <v>0</v>
      </c>
      <c r="FS48">
        <f t="shared" ca="1" si="88"/>
        <v>0</v>
      </c>
      <c r="FT48">
        <f t="shared" ca="1" si="89"/>
        <v>0</v>
      </c>
      <c r="FU48">
        <f t="shared" ca="1" si="90"/>
        <v>0</v>
      </c>
      <c r="FV48">
        <f t="shared" ca="1" si="91"/>
        <v>0</v>
      </c>
      <c r="FW48">
        <f t="shared" ca="1" si="92"/>
        <v>147777</v>
      </c>
      <c r="FX48">
        <f t="shared" ca="1" si="93"/>
        <v>7388.85</v>
      </c>
      <c r="FY48">
        <f t="shared" ca="1" si="94"/>
        <v>7389</v>
      </c>
      <c r="FZ48">
        <f t="shared" ca="1" si="95"/>
        <v>0</v>
      </c>
      <c r="GA48">
        <f t="shared" ca="1" si="96"/>
        <v>0</v>
      </c>
      <c r="GB48">
        <f t="shared" ca="1" si="97"/>
        <v>7389</v>
      </c>
      <c r="GC48">
        <f t="shared" ca="1" si="98"/>
        <v>0</v>
      </c>
      <c r="GD48" t="b">
        <f t="shared" ca="1" si="99"/>
        <v>0</v>
      </c>
      <c r="GE48">
        <f t="shared" ca="1" si="100"/>
        <v>0</v>
      </c>
      <c r="GF48">
        <f t="shared" ca="1" si="101"/>
        <v>7389</v>
      </c>
      <c r="GG48">
        <f t="shared" ca="1" si="102"/>
        <v>0</v>
      </c>
      <c r="GH48">
        <f t="shared" ca="1" si="103"/>
        <v>0</v>
      </c>
      <c r="GI48">
        <f t="shared" ca="1" si="104"/>
        <v>0</v>
      </c>
    </row>
    <row r="49" spans="1:191" x14ac:dyDescent="0.25">
      <c r="A49">
        <f>_xlfn.AGGREGATE(3,5,$B$2:B49)</f>
        <v>48</v>
      </c>
      <c r="B49" t="s">
        <v>218</v>
      </c>
      <c r="C49" t="s">
        <v>219</v>
      </c>
      <c r="D49" t="s">
        <v>774</v>
      </c>
      <c r="E49" t="s">
        <v>843</v>
      </c>
      <c r="F49">
        <v>0</v>
      </c>
      <c r="G49">
        <v>6000</v>
      </c>
      <c r="H49">
        <v>32500</v>
      </c>
      <c r="I49">
        <f t="shared" si="7"/>
        <v>3250</v>
      </c>
      <c r="J49">
        <f t="shared" si="8"/>
        <v>3900</v>
      </c>
      <c r="K49">
        <v>0</v>
      </c>
      <c r="L49">
        <v>500</v>
      </c>
      <c r="M49">
        <f t="shared" si="9"/>
        <v>40150</v>
      </c>
      <c r="N49">
        <v>5000</v>
      </c>
      <c r="O49">
        <v>0</v>
      </c>
      <c r="P49">
        <f t="shared" si="10"/>
        <v>200</v>
      </c>
      <c r="Q49">
        <f t="shared" si="11"/>
        <v>34950</v>
      </c>
      <c r="R49">
        <v>32500</v>
      </c>
      <c r="S49">
        <f t="shared" si="12"/>
        <v>3250</v>
      </c>
      <c r="T49">
        <f t="shared" si="13"/>
        <v>3900</v>
      </c>
      <c r="U49">
        <v>0</v>
      </c>
      <c r="V49">
        <v>500</v>
      </c>
      <c r="W49">
        <f t="shared" si="14"/>
        <v>40150</v>
      </c>
      <c r="X49">
        <v>5000</v>
      </c>
      <c r="Y49">
        <v>0</v>
      </c>
      <c r="Z49">
        <f t="shared" si="15"/>
        <v>200</v>
      </c>
      <c r="AA49">
        <f t="shared" si="16"/>
        <v>34950</v>
      </c>
      <c r="AB49">
        <v>32500</v>
      </c>
      <c r="AC49">
        <f t="shared" si="17"/>
        <v>4550</v>
      </c>
      <c r="AD49">
        <f t="shared" si="18"/>
        <v>3900</v>
      </c>
      <c r="AE49">
        <v>0</v>
      </c>
      <c r="AF49">
        <v>500</v>
      </c>
      <c r="AG49">
        <f t="shared" si="19"/>
        <v>41450</v>
      </c>
      <c r="AH49">
        <v>5000</v>
      </c>
      <c r="AI49">
        <v>0</v>
      </c>
      <c r="AJ49">
        <f t="shared" si="20"/>
        <v>200</v>
      </c>
      <c r="AK49">
        <f t="shared" si="21"/>
        <v>36250</v>
      </c>
      <c r="AL49">
        <v>32500</v>
      </c>
      <c r="AM49">
        <f t="shared" si="22"/>
        <v>4550</v>
      </c>
      <c r="AN49">
        <f t="shared" si="23"/>
        <v>3900</v>
      </c>
      <c r="AO49">
        <v>0</v>
      </c>
      <c r="AP49">
        <v>500</v>
      </c>
      <c r="AQ49">
        <f t="shared" si="24"/>
        <v>41450</v>
      </c>
      <c r="AR49">
        <v>5000</v>
      </c>
      <c r="AS49">
        <v>0</v>
      </c>
      <c r="AT49">
        <f t="shared" si="25"/>
        <v>200</v>
      </c>
      <c r="AU49">
        <f t="shared" si="26"/>
        <v>36250</v>
      </c>
      <c r="AV49">
        <v>33500</v>
      </c>
      <c r="AW49">
        <f t="shared" si="27"/>
        <v>4690</v>
      </c>
      <c r="AX49">
        <f t="shared" si="28"/>
        <v>1300</v>
      </c>
      <c r="AY49">
        <f t="shared" si="29"/>
        <v>4020</v>
      </c>
      <c r="AZ49">
        <v>0</v>
      </c>
      <c r="BA49">
        <v>500</v>
      </c>
      <c r="BB49">
        <f t="shared" si="30"/>
        <v>44010</v>
      </c>
      <c r="BC49">
        <v>5000</v>
      </c>
      <c r="BD49">
        <v>0</v>
      </c>
      <c r="BE49">
        <f t="shared" si="31"/>
        <v>200</v>
      </c>
      <c r="BF49">
        <f t="shared" si="32"/>
        <v>38810</v>
      </c>
      <c r="BG49">
        <v>33500</v>
      </c>
      <c r="BH49">
        <f t="shared" si="33"/>
        <v>4690</v>
      </c>
      <c r="BI49">
        <f t="shared" si="34"/>
        <v>4020</v>
      </c>
      <c r="BJ49">
        <v>0</v>
      </c>
      <c r="BK49">
        <v>500</v>
      </c>
      <c r="BL49">
        <f t="shared" si="35"/>
        <v>42710</v>
      </c>
      <c r="BM49">
        <v>5000</v>
      </c>
      <c r="BN49">
        <v>0</v>
      </c>
      <c r="BO49">
        <f t="shared" si="36"/>
        <v>200</v>
      </c>
      <c r="BP49">
        <f t="shared" si="37"/>
        <v>37510</v>
      </c>
      <c r="BQ49">
        <v>33500</v>
      </c>
      <c r="BR49">
        <f t="shared" si="38"/>
        <v>4690</v>
      </c>
      <c r="BS49">
        <f t="shared" si="39"/>
        <v>4020</v>
      </c>
      <c r="BT49">
        <v>0</v>
      </c>
      <c r="BU49">
        <v>500</v>
      </c>
      <c r="BV49">
        <f t="shared" si="40"/>
        <v>42710</v>
      </c>
      <c r="BW49">
        <v>5000</v>
      </c>
      <c r="BX49">
        <v>0</v>
      </c>
      <c r="BY49">
        <f t="shared" si="41"/>
        <v>200</v>
      </c>
      <c r="BZ49">
        <f t="shared" si="42"/>
        <v>37510</v>
      </c>
      <c r="CA49">
        <v>33500</v>
      </c>
      <c r="CB49">
        <f t="shared" si="43"/>
        <v>4690</v>
      </c>
      <c r="CC49">
        <f t="shared" si="44"/>
        <v>4020</v>
      </c>
      <c r="CD49">
        <v>0</v>
      </c>
      <c r="CE49">
        <v>500</v>
      </c>
      <c r="CF49">
        <f t="shared" si="45"/>
        <v>42710</v>
      </c>
      <c r="CG49">
        <v>5000</v>
      </c>
      <c r="CH49">
        <v>0</v>
      </c>
      <c r="CI49">
        <f t="shared" si="46"/>
        <v>200</v>
      </c>
      <c r="CJ49">
        <f t="shared" si="47"/>
        <v>37510</v>
      </c>
      <c r="CK49">
        <v>33500</v>
      </c>
      <c r="CL49">
        <f t="shared" si="48"/>
        <v>4690</v>
      </c>
      <c r="CM49">
        <f t="shared" si="49"/>
        <v>4020</v>
      </c>
      <c r="CN49">
        <v>0</v>
      </c>
      <c r="CO49">
        <v>500</v>
      </c>
      <c r="CP49">
        <f t="shared" si="50"/>
        <v>42710</v>
      </c>
      <c r="CQ49">
        <v>5000</v>
      </c>
      <c r="CR49">
        <v>0</v>
      </c>
      <c r="CS49">
        <f t="shared" si="51"/>
        <v>200</v>
      </c>
      <c r="CT49">
        <f t="shared" si="52"/>
        <v>37510</v>
      </c>
      <c r="CU49">
        <v>34339</v>
      </c>
      <c r="CV49">
        <f t="shared" si="53"/>
        <v>4807</v>
      </c>
      <c r="CW49">
        <f t="shared" si="54"/>
        <v>4121</v>
      </c>
      <c r="CX49">
        <v>0</v>
      </c>
      <c r="CY49">
        <v>500</v>
      </c>
      <c r="CZ49">
        <f t="shared" si="55"/>
        <v>43767</v>
      </c>
      <c r="DA49">
        <v>5000</v>
      </c>
      <c r="DB49">
        <v>0</v>
      </c>
      <c r="DC49">
        <f t="shared" si="56"/>
        <v>200</v>
      </c>
      <c r="DD49">
        <f t="shared" si="57"/>
        <v>38567</v>
      </c>
      <c r="DE49">
        <v>34500</v>
      </c>
      <c r="DF49">
        <f t="shared" si="58"/>
        <v>4830.0000000000009</v>
      </c>
      <c r="DG49">
        <f t="shared" si="59"/>
        <v>4140</v>
      </c>
      <c r="DH49">
        <v>0</v>
      </c>
      <c r="DI49">
        <v>500</v>
      </c>
      <c r="DJ49">
        <f t="shared" si="60"/>
        <v>43970</v>
      </c>
      <c r="DK49">
        <v>5000</v>
      </c>
      <c r="DL49">
        <v>0</v>
      </c>
      <c r="DM49">
        <f t="shared" si="61"/>
        <v>200</v>
      </c>
      <c r="DN49">
        <f t="shared" si="62"/>
        <v>38770</v>
      </c>
      <c r="DO49">
        <v>34500</v>
      </c>
      <c r="DP49">
        <f t="shared" si="63"/>
        <v>4830.0000000000009</v>
      </c>
      <c r="DQ49">
        <f t="shared" si="64"/>
        <v>4140</v>
      </c>
      <c r="DR49">
        <v>0</v>
      </c>
      <c r="DS49">
        <v>500</v>
      </c>
      <c r="DT49">
        <f t="shared" si="65"/>
        <v>43970</v>
      </c>
      <c r="DU49">
        <v>5000</v>
      </c>
      <c r="DV49">
        <v>0</v>
      </c>
      <c r="DW49">
        <f t="shared" si="66"/>
        <v>200</v>
      </c>
      <c r="DX49">
        <f t="shared" si="67"/>
        <v>38770</v>
      </c>
      <c r="DY49">
        <f t="shared" si="68"/>
        <v>515757</v>
      </c>
      <c r="DZ49">
        <f t="shared" si="0"/>
        <v>2400</v>
      </c>
      <c r="EA49">
        <f t="shared" si="1"/>
        <v>50000</v>
      </c>
      <c r="EB49">
        <v>0</v>
      </c>
      <c r="EC49">
        <f t="shared" si="2"/>
        <v>463357</v>
      </c>
      <c r="ED49">
        <f t="shared" si="3"/>
        <v>60000</v>
      </c>
      <c r="EE49">
        <f t="shared" si="4"/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f t="shared" si="5"/>
        <v>60000</v>
      </c>
      <c r="EQ49">
        <f t="shared" si="69"/>
        <v>60000</v>
      </c>
      <c r="ER49">
        <f t="shared" si="6"/>
        <v>403357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f t="shared" si="70"/>
        <v>0</v>
      </c>
      <c r="FA49">
        <f t="shared" si="71"/>
        <v>403357</v>
      </c>
      <c r="FB49">
        <f t="shared" si="72"/>
        <v>7668</v>
      </c>
      <c r="FC49">
        <f t="shared" si="73"/>
        <v>0</v>
      </c>
      <c r="FD49">
        <f t="shared" si="74"/>
        <v>7668</v>
      </c>
      <c r="FE49">
        <f t="shared" si="75"/>
        <v>0</v>
      </c>
      <c r="FF49">
        <f t="shared" si="76"/>
        <v>0</v>
      </c>
      <c r="FG49">
        <f t="shared" si="77"/>
        <v>0</v>
      </c>
      <c r="FH49">
        <v>0</v>
      </c>
      <c r="FI49">
        <f t="shared" si="78"/>
        <v>0</v>
      </c>
      <c r="FJ49" t="b">
        <f t="shared" si="79"/>
        <v>1</v>
      </c>
      <c r="FK49">
        <f t="shared" ca="1" si="80"/>
        <v>754</v>
      </c>
      <c r="FL49">
        <f t="shared" ca="1" si="81"/>
        <v>516511</v>
      </c>
      <c r="FM49">
        <f t="shared" si="82"/>
        <v>75000</v>
      </c>
      <c r="FN49">
        <f t="shared" ca="1" si="83"/>
        <v>441511</v>
      </c>
      <c r="FO49">
        <f t="shared" ca="1" si="84"/>
        <v>0</v>
      </c>
      <c r="FP49">
        <f t="shared" ca="1" si="85"/>
        <v>0</v>
      </c>
      <c r="FQ49">
        <f t="shared" ca="1" si="86"/>
        <v>0</v>
      </c>
      <c r="FR49">
        <f t="shared" ca="1" si="87"/>
        <v>0</v>
      </c>
      <c r="FS49">
        <f t="shared" ca="1" si="88"/>
        <v>0</v>
      </c>
      <c r="FT49">
        <f t="shared" ca="1" si="89"/>
        <v>0</v>
      </c>
      <c r="FU49">
        <f t="shared" ca="1" si="90"/>
        <v>0</v>
      </c>
      <c r="FV49">
        <f t="shared" ca="1" si="91"/>
        <v>0</v>
      </c>
      <c r="FW49">
        <f t="shared" ca="1" si="92"/>
        <v>141511</v>
      </c>
      <c r="FX49">
        <f t="shared" ca="1" si="93"/>
        <v>7075.55</v>
      </c>
      <c r="FY49">
        <f t="shared" ca="1" si="94"/>
        <v>7076</v>
      </c>
      <c r="FZ49">
        <f t="shared" ca="1" si="95"/>
        <v>0</v>
      </c>
      <c r="GA49">
        <f t="shared" ca="1" si="96"/>
        <v>0</v>
      </c>
      <c r="GB49">
        <f t="shared" ca="1" si="97"/>
        <v>7076</v>
      </c>
      <c r="GC49">
        <f t="shared" ca="1" si="98"/>
        <v>0</v>
      </c>
      <c r="GD49" t="b">
        <f t="shared" ca="1" si="99"/>
        <v>0</v>
      </c>
      <c r="GE49">
        <f t="shared" ca="1" si="100"/>
        <v>0</v>
      </c>
      <c r="GF49">
        <f t="shared" ca="1" si="101"/>
        <v>7076</v>
      </c>
      <c r="GG49">
        <f t="shared" ca="1" si="102"/>
        <v>0</v>
      </c>
      <c r="GH49">
        <f t="shared" ca="1" si="103"/>
        <v>0</v>
      </c>
      <c r="GI49">
        <f t="shared" ca="1" si="104"/>
        <v>0</v>
      </c>
    </row>
    <row r="50" spans="1:191" x14ac:dyDescent="0.25">
      <c r="A50">
        <f>_xlfn.AGGREGATE(3,5,$B$2:B50)</f>
        <v>49</v>
      </c>
      <c r="B50" t="s">
        <v>220</v>
      </c>
      <c r="C50" t="s">
        <v>221</v>
      </c>
      <c r="D50" t="s">
        <v>775</v>
      </c>
      <c r="E50" t="s">
        <v>843</v>
      </c>
      <c r="F50">
        <v>0</v>
      </c>
      <c r="G50">
        <v>0</v>
      </c>
      <c r="H50">
        <v>47300</v>
      </c>
      <c r="I50">
        <f t="shared" si="7"/>
        <v>4730</v>
      </c>
      <c r="J50">
        <f t="shared" si="8"/>
        <v>5676</v>
      </c>
      <c r="K50">
        <v>400</v>
      </c>
      <c r="L50">
        <v>500</v>
      </c>
      <c r="M50">
        <f t="shared" si="9"/>
        <v>58606</v>
      </c>
      <c r="N50">
        <v>5000</v>
      </c>
      <c r="O50">
        <v>0</v>
      </c>
      <c r="P50">
        <f t="shared" si="10"/>
        <v>200</v>
      </c>
      <c r="Q50">
        <f t="shared" si="11"/>
        <v>53406</v>
      </c>
      <c r="R50">
        <v>47300</v>
      </c>
      <c r="S50">
        <f t="shared" si="12"/>
        <v>4730</v>
      </c>
      <c r="T50">
        <f t="shared" si="13"/>
        <v>5676</v>
      </c>
      <c r="U50">
        <v>400</v>
      </c>
      <c r="V50">
        <v>500</v>
      </c>
      <c r="W50">
        <f t="shared" si="14"/>
        <v>58606</v>
      </c>
      <c r="X50">
        <v>5000</v>
      </c>
      <c r="Y50">
        <v>0</v>
      </c>
      <c r="Z50">
        <f t="shared" si="15"/>
        <v>200</v>
      </c>
      <c r="AA50">
        <f t="shared" si="16"/>
        <v>53406</v>
      </c>
      <c r="AB50">
        <v>47300</v>
      </c>
      <c r="AC50">
        <f t="shared" si="17"/>
        <v>6622.0000000000009</v>
      </c>
      <c r="AD50">
        <f t="shared" si="18"/>
        <v>5676</v>
      </c>
      <c r="AE50">
        <v>400</v>
      </c>
      <c r="AF50">
        <v>500</v>
      </c>
      <c r="AG50">
        <f t="shared" si="19"/>
        <v>60498</v>
      </c>
      <c r="AH50">
        <v>5000</v>
      </c>
      <c r="AI50">
        <v>0</v>
      </c>
      <c r="AJ50">
        <f t="shared" si="20"/>
        <v>200</v>
      </c>
      <c r="AK50">
        <f t="shared" si="21"/>
        <v>55298</v>
      </c>
      <c r="AL50">
        <v>47300</v>
      </c>
      <c r="AM50">
        <f t="shared" si="22"/>
        <v>6622.0000000000009</v>
      </c>
      <c r="AN50">
        <f t="shared" si="23"/>
        <v>5676</v>
      </c>
      <c r="AO50">
        <v>400</v>
      </c>
      <c r="AP50">
        <v>500</v>
      </c>
      <c r="AQ50">
        <f t="shared" si="24"/>
        <v>60498</v>
      </c>
      <c r="AR50">
        <v>5000</v>
      </c>
      <c r="AS50">
        <v>0</v>
      </c>
      <c r="AT50">
        <f t="shared" si="25"/>
        <v>200</v>
      </c>
      <c r="AU50">
        <f t="shared" si="26"/>
        <v>55298</v>
      </c>
      <c r="AV50">
        <v>48700</v>
      </c>
      <c r="AW50">
        <f t="shared" si="27"/>
        <v>6818.0000000000009</v>
      </c>
      <c r="AX50">
        <f t="shared" si="28"/>
        <v>1892</v>
      </c>
      <c r="AY50">
        <f t="shared" si="29"/>
        <v>5844</v>
      </c>
      <c r="AZ50">
        <v>400</v>
      </c>
      <c r="BA50">
        <v>500</v>
      </c>
      <c r="BB50">
        <f t="shared" si="30"/>
        <v>64154</v>
      </c>
      <c r="BC50">
        <v>5000</v>
      </c>
      <c r="BD50">
        <v>0</v>
      </c>
      <c r="BE50">
        <f t="shared" si="31"/>
        <v>200</v>
      </c>
      <c r="BF50">
        <f t="shared" si="32"/>
        <v>58954</v>
      </c>
      <c r="BG50">
        <v>48700</v>
      </c>
      <c r="BH50">
        <f t="shared" si="33"/>
        <v>6818.0000000000009</v>
      </c>
      <c r="BI50">
        <f t="shared" si="34"/>
        <v>5844</v>
      </c>
      <c r="BJ50">
        <v>400</v>
      </c>
      <c r="BK50">
        <v>500</v>
      </c>
      <c r="BL50">
        <f t="shared" si="35"/>
        <v>62262</v>
      </c>
      <c r="BM50">
        <v>5000</v>
      </c>
      <c r="BN50">
        <v>0</v>
      </c>
      <c r="BO50">
        <f t="shared" si="36"/>
        <v>200</v>
      </c>
      <c r="BP50">
        <f t="shared" si="37"/>
        <v>57062</v>
      </c>
      <c r="BQ50">
        <v>48700</v>
      </c>
      <c r="BR50">
        <f t="shared" si="38"/>
        <v>6818.0000000000009</v>
      </c>
      <c r="BS50">
        <f t="shared" si="39"/>
        <v>5844</v>
      </c>
      <c r="BT50">
        <v>400</v>
      </c>
      <c r="BU50">
        <v>500</v>
      </c>
      <c r="BV50">
        <f t="shared" si="40"/>
        <v>62262</v>
      </c>
      <c r="BW50">
        <v>5000</v>
      </c>
      <c r="BX50">
        <v>0</v>
      </c>
      <c r="BY50">
        <f t="shared" si="41"/>
        <v>200</v>
      </c>
      <c r="BZ50">
        <f t="shared" si="42"/>
        <v>57062</v>
      </c>
      <c r="CA50">
        <v>48700</v>
      </c>
      <c r="CB50">
        <f t="shared" si="43"/>
        <v>6818.0000000000009</v>
      </c>
      <c r="CC50">
        <f t="shared" si="44"/>
        <v>5844</v>
      </c>
      <c r="CD50">
        <v>400</v>
      </c>
      <c r="CE50">
        <v>500</v>
      </c>
      <c r="CF50">
        <f t="shared" si="45"/>
        <v>62262</v>
      </c>
      <c r="CG50">
        <v>5000</v>
      </c>
      <c r="CH50">
        <v>0</v>
      </c>
      <c r="CI50">
        <f t="shared" si="46"/>
        <v>200</v>
      </c>
      <c r="CJ50">
        <f t="shared" si="47"/>
        <v>57062</v>
      </c>
      <c r="CK50">
        <v>48700</v>
      </c>
      <c r="CL50">
        <f t="shared" si="48"/>
        <v>6818.0000000000009</v>
      </c>
      <c r="CM50">
        <f t="shared" si="49"/>
        <v>5844</v>
      </c>
      <c r="CN50">
        <v>400</v>
      </c>
      <c r="CO50">
        <v>500</v>
      </c>
      <c r="CP50">
        <f t="shared" si="50"/>
        <v>62262</v>
      </c>
      <c r="CQ50">
        <v>5000</v>
      </c>
      <c r="CR50">
        <v>0</v>
      </c>
      <c r="CS50">
        <f t="shared" si="51"/>
        <v>200</v>
      </c>
      <c r="CT50">
        <f t="shared" si="52"/>
        <v>57062</v>
      </c>
      <c r="CU50">
        <v>48700</v>
      </c>
      <c r="CV50">
        <f t="shared" si="53"/>
        <v>6818</v>
      </c>
      <c r="CW50">
        <f t="shared" si="54"/>
        <v>5844</v>
      </c>
      <c r="CX50">
        <v>400</v>
      </c>
      <c r="CY50">
        <v>500</v>
      </c>
      <c r="CZ50">
        <f t="shared" si="55"/>
        <v>62262</v>
      </c>
      <c r="DA50">
        <v>5000</v>
      </c>
      <c r="DB50">
        <v>0</v>
      </c>
      <c r="DC50">
        <f t="shared" si="56"/>
        <v>200</v>
      </c>
      <c r="DD50">
        <f t="shared" si="57"/>
        <v>57062</v>
      </c>
      <c r="DE50">
        <v>48700</v>
      </c>
      <c r="DF50">
        <f t="shared" si="58"/>
        <v>6818.0000000000009</v>
      </c>
      <c r="DG50">
        <f t="shared" si="59"/>
        <v>5844</v>
      </c>
      <c r="DH50">
        <v>400</v>
      </c>
      <c r="DI50">
        <v>500</v>
      </c>
      <c r="DJ50">
        <f t="shared" si="60"/>
        <v>62262</v>
      </c>
      <c r="DK50">
        <v>5000</v>
      </c>
      <c r="DL50">
        <v>0</v>
      </c>
      <c r="DM50">
        <f t="shared" si="61"/>
        <v>200</v>
      </c>
      <c r="DN50">
        <f t="shared" si="62"/>
        <v>57062</v>
      </c>
      <c r="DO50">
        <v>48700</v>
      </c>
      <c r="DP50">
        <f t="shared" si="63"/>
        <v>6818.0000000000009</v>
      </c>
      <c r="DQ50">
        <f t="shared" si="64"/>
        <v>5844</v>
      </c>
      <c r="DR50">
        <v>400</v>
      </c>
      <c r="DS50">
        <v>500</v>
      </c>
      <c r="DT50">
        <f t="shared" si="65"/>
        <v>62262</v>
      </c>
      <c r="DU50">
        <v>5000</v>
      </c>
      <c r="DV50">
        <v>0</v>
      </c>
      <c r="DW50">
        <f t="shared" si="66"/>
        <v>200</v>
      </c>
      <c r="DX50">
        <f t="shared" si="67"/>
        <v>57062</v>
      </c>
      <c r="DY50">
        <f t="shared" si="68"/>
        <v>738196</v>
      </c>
      <c r="DZ50">
        <f t="shared" si="0"/>
        <v>2400</v>
      </c>
      <c r="EA50">
        <f t="shared" si="1"/>
        <v>50000</v>
      </c>
      <c r="EB50">
        <v>0</v>
      </c>
      <c r="EC50">
        <f t="shared" si="2"/>
        <v>685796</v>
      </c>
      <c r="ED50">
        <f t="shared" si="3"/>
        <v>60000</v>
      </c>
      <c r="EE50">
        <f t="shared" si="4"/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f t="shared" si="5"/>
        <v>60000</v>
      </c>
      <c r="EQ50">
        <f t="shared" si="69"/>
        <v>60000</v>
      </c>
      <c r="ER50">
        <f t="shared" si="6"/>
        <v>625796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f t="shared" si="70"/>
        <v>0</v>
      </c>
      <c r="FA50">
        <f t="shared" si="71"/>
        <v>625796</v>
      </c>
      <c r="FB50">
        <f t="shared" si="72"/>
        <v>12500</v>
      </c>
      <c r="FC50">
        <f t="shared" si="73"/>
        <v>25159</v>
      </c>
      <c r="FD50">
        <f t="shared" si="74"/>
        <v>37659</v>
      </c>
      <c r="FE50">
        <f t="shared" si="75"/>
        <v>37659</v>
      </c>
      <c r="FF50">
        <f t="shared" si="76"/>
        <v>1506.3600000000001</v>
      </c>
      <c r="FG50">
        <f t="shared" si="77"/>
        <v>39165</v>
      </c>
      <c r="FH50">
        <v>0</v>
      </c>
      <c r="FI50">
        <f t="shared" si="78"/>
        <v>39165</v>
      </c>
      <c r="FJ50" t="b">
        <f t="shared" si="79"/>
        <v>1</v>
      </c>
      <c r="FK50">
        <f t="shared" ca="1" si="80"/>
        <v>956</v>
      </c>
      <c r="FL50">
        <f t="shared" ca="1" si="81"/>
        <v>739152</v>
      </c>
      <c r="FM50">
        <f t="shared" si="82"/>
        <v>75000</v>
      </c>
      <c r="FN50">
        <f t="shared" ca="1" si="83"/>
        <v>664152</v>
      </c>
      <c r="FO50">
        <f t="shared" ca="1" si="84"/>
        <v>0</v>
      </c>
      <c r="FP50">
        <f t="shared" ca="1" si="85"/>
        <v>0</v>
      </c>
      <c r="FQ50">
        <f t="shared" ca="1" si="86"/>
        <v>0</v>
      </c>
      <c r="FR50">
        <f t="shared" ca="1" si="87"/>
        <v>0</v>
      </c>
      <c r="FS50">
        <f t="shared" ca="1" si="88"/>
        <v>0</v>
      </c>
      <c r="FT50">
        <f t="shared" ca="1" si="89"/>
        <v>0</v>
      </c>
      <c r="FU50">
        <f t="shared" ca="1" si="90"/>
        <v>0</v>
      </c>
      <c r="FV50">
        <f t="shared" ca="1" si="91"/>
        <v>0</v>
      </c>
      <c r="FW50">
        <f t="shared" ca="1" si="92"/>
        <v>364152</v>
      </c>
      <c r="FX50">
        <f t="shared" ca="1" si="93"/>
        <v>18207.600000000002</v>
      </c>
      <c r="FY50">
        <f t="shared" ca="1" si="94"/>
        <v>18208</v>
      </c>
      <c r="FZ50">
        <f t="shared" ca="1" si="95"/>
        <v>0</v>
      </c>
      <c r="GA50">
        <f t="shared" ca="1" si="96"/>
        <v>0</v>
      </c>
      <c r="GB50">
        <f t="shared" ca="1" si="97"/>
        <v>18208</v>
      </c>
      <c r="GC50">
        <f t="shared" ca="1" si="98"/>
        <v>0</v>
      </c>
      <c r="GD50" t="b">
        <f t="shared" ca="1" si="99"/>
        <v>0</v>
      </c>
      <c r="GE50">
        <f t="shared" ca="1" si="100"/>
        <v>0</v>
      </c>
      <c r="GF50">
        <f t="shared" ca="1" si="101"/>
        <v>18208</v>
      </c>
      <c r="GG50">
        <f t="shared" ca="1" si="102"/>
        <v>0</v>
      </c>
      <c r="GH50">
        <f t="shared" ca="1" si="103"/>
        <v>0</v>
      </c>
      <c r="GI50">
        <f t="shared" ca="1" si="104"/>
        <v>0</v>
      </c>
    </row>
    <row r="51" spans="1:191" x14ac:dyDescent="0.25">
      <c r="A51">
        <f>_xlfn.AGGREGATE(3,5,$B$2:B51)</f>
        <v>50</v>
      </c>
      <c r="B51" t="s">
        <v>222</v>
      </c>
      <c r="C51" t="s">
        <v>223</v>
      </c>
      <c r="D51" t="s">
        <v>775</v>
      </c>
      <c r="E51" t="s">
        <v>843</v>
      </c>
      <c r="F51">
        <v>0</v>
      </c>
      <c r="G51">
        <v>6000</v>
      </c>
      <c r="H51">
        <v>32500</v>
      </c>
      <c r="I51">
        <f t="shared" si="7"/>
        <v>3250</v>
      </c>
      <c r="J51">
        <f t="shared" si="8"/>
        <v>3900</v>
      </c>
      <c r="K51">
        <v>0</v>
      </c>
      <c r="L51">
        <v>500</v>
      </c>
      <c r="M51">
        <f t="shared" si="9"/>
        <v>40150</v>
      </c>
      <c r="N51">
        <v>6000</v>
      </c>
      <c r="O51">
        <v>0</v>
      </c>
      <c r="P51">
        <f t="shared" si="10"/>
        <v>200</v>
      </c>
      <c r="Q51">
        <f t="shared" si="11"/>
        <v>33950</v>
      </c>
      <c r="R51">
        <v>32500</v>
      </c>
      <c r="S51">
        <f t="shared" si="12"/>
        <v>3250</v>
      </c>
      <c r="T51">
        <f t="shared" si="13"/>
        <v>3900</v>
      </c>
      <c r="U51">
        <v>0</v>
      </c>
      <c r="V51">
        <v>500</v>
      </c>
      <c r="W51">
        <f t="shared" si="14"/>
        <v>40150</v>
      </c>
      <c r="X51">
        <v>6000</v>
      </c>
      <c r="Y51">
        <v>0</v>
      </c>
      <c r="Z51">
        <f t="shared" si="15"/>
        <v>200</v>
      </c>
      <c r="AA51">
        <f t="shared" si="16"/>
        <v>33950</v>
      </c>
      <c r="AB51">
        <v>32500</v>
      </c>
      <c r="AC51">
        <f t="shared" si="17"/>
        <v>4550</v>
      </c>
      <c r="AD51">
        <f t="shared" si="18"/>
        <v>3900</v>
      </c>
      <c r="AE51">
        <v>0</v>
      </c>
      <c r="AF51">
        <v>500</v>
      </c>
      <c r="AG51">
        <f t="shared" si="19"/>
        <v>41450</v>
      </c>
      <c r="AH51">
        <v>6000</v>
      </c>
      <c r="AI51">
        <v>0</v>
      </c>
      <c r="AJ51">
        <f t="shared" si="20"/>
        <v>200</v>
      </c>
      <c r="AK51">
        <f t="shared" si="21"/>
        <v>35250</v>
      </c>
      <c r="AL51">
        <v>32500</v>
      </c>
      <c r="AM51">
        <f t="shared" si="22"/>
        <v>4550</v>
      </c>
      <c r="AN51">
        <f t="shared" si="23"/>
        <v>3900</v>
      </c>
      <c r="AO51">
        <v>0</v>
      </c>
      <c r="AP51">
        <v>500</v>
      </c>
      <c r="AQ51">
        <f t="shared" si="24"/>
        <v>41450</v>
      </c>
      <c r="AR51">
        <v>6000</v>
      </c>
      <c r="AS51">
        <v>0</v>
      </c>
      <c r="AT51">
        <f t="shared" si="25"/>
        <v>200</v>
      </c>
      <c r="AU51">
        <f t="shared" si="26"/>
        <v>35250</v>
      </c>
      <c r="AV51">
        <v>33500</v>
      </c>
      <c r="AW51">
        <f t="shared" si="27"/>
        <v>4690</v>
      </c>
      <c r="AX51">
        <f t="shared" si="28"/>
        <v>1300</v>
      </c>
      <c r="AY51">
        <f t="shared" si="29"/>
        <v>4020</v>
      </c>
      <c r="AZ51">
        <v>0</v>
      </c>
      <c r="BA51">
        <v>500</v>
      </c>
      <c r="BB51">
        <f t="shared" si="30"/>
        <v>44010</v>
      </c>
      <c r="BC51">
        <v>6000</v>
      </c>
      <c r="BD51">
        <v>0</v>
      </c>
      <c r="BE51">
        <f t="shared" si="31"/>
        <v>200</v>
      </c>
      <c r="BF51">
        <f t="shared" si="32"/>
        <v>37810</v>
      </c>
      <c r="BG51">
        <v>33500</v>
      </c>
      <c r="BH51">
        <f t="shared" si="33"/>
        <v>4690</v>
      </c>
      <c r="BI51">
        <f t="shared" si="34"/>
        <v>4020</v>
      </c>
      <c r="BJ51">
        <v>0</v>
      </c>
      <c r="BK51">
        <v>500</v>
      </c>
      <c r="BL51">
        <f t="shared" si="35"/>
        <v>42710</v>
      </c>
      <c r="BM51">
        <v>6000</v>
      </c>
      <c r="BN51">
        <v>0</v>
      </c>
      <c r="BO51">
        <f t="shared" si="36"/>
        <v>200</v>
      </c>
      <c r="BP51">
        <f t="shared" si="37"/>
        <v>36510</v>
      </c>
      <c r="BQ51">
        <v>33500</v>
      </c>
      <c r="BR51">
        <f t="shared" si="38"/>
        <v>4690</v>
      </c>
      <c r="BS51">
        <f t="shared" si="39"/>
        <v>4020</v>
      </c>
      <c r="BT51">
        <v>0</v>
      </c>
      <c r="BU51">
        <v>500</v>
      </c>
      <c r="BV51">
        <f t="shared" si="40"/>
        <v>42710</v>
      </c>
      <c r="BW51">
        <v>6000</v>
      </c>
      <c r="BX51">
        <v>0</v>
      </c>
      <c r="BY51">
        <f t="shared" si="41"/>
        <v>200</v>
      </c>
      <c r="BZ51">
        <f t="shared" si="42"/>
        <v>36510</v>
      </c>
      <c r="CA51">
        <v>33500</v>
      </c>
      <c r="CB51">
        <f t="shared" si="43"/>
        <v>4690</v>
      </c>
      <c r="CC51">
        <f t="shared" si="44"/>
        <v>4020</v>
      </c>
      <c r="CD51">
        <v>0</v>
      </c>
      <c r="CE51">
        <v>500</v>
      </c>
      <c r="CF51">
        <f t="shared" si="45"/>
        <v>42710</v>
      </c>
      <c r="CG51">
        <v>6000</v>
      </c>
      <c r="CH51">
        <v>0</v>
      </c>
      <c r="CI51">
        <f t="shared" si="46"/>
        <v>200</v>
      </c>
      <c r="CJ51">
        <f t="shared" si="47"/>
        <v>36510</v>
      </c>
      <c r="CK51">
        <v>33500</v>
      </c>
      <c r="CL51">
        <f t="shared" si="48"/>
        <v>4690</v>
      </c>
      <c r="CM51">
        <f t="shared" si="49"/>
        <v>4020</v>
      </c>
      <c r="CN51">
        <v>0</v>
      </c>
      <c r="CO51">
        <v>500</v>
      </c>
      <c r="CP51">
        <f t="shared" si="50"/>
        <v>42710</v>
      </c>
      <c r="CQ51">
        <v>6000</v>
      </c>
      <c r="CR51">
        <v>0</v>
      </c>
      <c r="CS51">
        <f t="shared" si="51"/>
        <v>200</v>
      </c>
      <c r="CT51">
        <f t="shared" si="52"/>
        <v>36510</v>
      </c>
      <c r="CU51">
        <v>33500</v>
      </c>
      <c r="CV51">
        <f t="shared" si="53"/>
        <v>4690</v>
      </c>
      <c r="CW51">
        <f t="shared" si="54"/>
        <v>4020</v>
      </c>
      <c r="CX51">
        <v>0</v>
      </c>
      <c r="CY51">
        <v>500</v>
      </c>
      <c r="CZ51">
        <f t="shared" si="55"/>
        <v>42710</v>
      </c>
      <c r="DA51">
        <v>6000</v>
      </c>
      <c r="DB51">
        <v>0</v>
      </c>
      <c r="DC51">
        <f t="shared" si="56"/>
        <v>200</v>
      </c>
      <c r="DD51">
        <f t="shared" si="57"/>
        <v>36510</v>
      </c>
      <c r="DE51">
        <v>33500</v>
      </c>
      <c r="DF51">
        <f t="shared" si="58"/>
        <v>4690</v>
      </c>
      <c r="DG51">
        <f t="shared" si="59"/>
        <v>4020</v>
      </c>
      <c r="DH51">
        <v>0</v>
      </c>
      <c r="DI51">
        <v>500</v>
      </c>
      <c r="DJ51">
        <f t="shared" si="60"/>
        <v>42710</v>
      </c>
      <c r="DK51">
        <v>6000</v>
      </c>
      <c r="DL51">
        <v>0</v>
      </c>
      <c r="DM51">
        <f t="shared" si="61"/>
        <v>200</v>
      </c>
      <c r="DN51">
        <f t="shared" si="62"/>
        <v>36510</v>
      </c>
      <c r="DO51">
        <v>33500</v>
      </c>
      <c r="DP51">
        <f t="shared" si="63"/>
        <v>4690</v>
      </c>
      <c r="DQ51">
        <f t="shared" si="64"/>
        <v>4020</v>
      </c>
      <c r="DR51">
        <v>0</v>
      </c>
      <c r="DS51">
        <v>500</v>
      </c>
      <c r="DT51">
        <f t="shared" si="65"/>
        <v>42710</v>
      </c>
      <c r="DU51">
        <v>6000</v>
      </c>
      <c r="DV51">
        <v>0</v>
      </c>
      <c r="DW51">
        <f t="shared" si="66"/>
        <v>200</v>
      </c>
      <c r="DX51">
        <f t="shared" si="67"/>
        <v>36510</v>
      </c>
      <c r="DY51">
        <f t="shared" si="68"/>
        <v>512180</v>
      </c>
      <c r="DZ51">
        <f t="shared" si="0"/>
        <v>2400</v>
      </c>
      <c r="EA51">
        <f t="shared" si="1"/>
        <v>50000</v>
      </c>
      <c r="EB51">
        <v>0</v>
      </c>
      <c r="EC51">
        <f t="shared" si="2"/>
        <v>459780</v>
      </c>
      <c r="ED51">
        <f t="shared" si="3"/>
        <v>72000</v>
      </c>
      <c r="EE51">
        <f t="shared" si="4"/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f t="shared" si="5"/>
        <v>72000</v>
      </c>
      <c r="EQ51">
        <f t="shared" si="69"/>
        <v>72000</v>
      </c>
      <c r="ER51">
        <f t="shared" si="6"/>
        <v>387780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f t="shared" si="70"/>
        <v>0</v>
      </c>
      <c r="FA51">
        <f t="shared" si="71"/>
        <v>387780</v>
      </c>
      <c r="FB51">
        <f t="shared" si="72"/>
        <v>6889</v>
      </c>
      <c r="FC51">
        <f t="shared" si="73"/>
        <v>0</v>
      </c>
      <c r="FD51">
        <f t="shared" si="74"/>
        <v>6889</v>
      </c>
      <c r="FE51">
        <f t="shared" si="75"/>
        <v>0</v>
      </c>
      <c r="FF51">
        <f t="shared" si="76"/>
        <v>0</v>
      </c>
      <c r="FG51">
        <f t="shared" si="77"/>
        <v>0</v>
      </c>
      <c r="FH51">
        <v>0</v>
      </c>
      <c r="FI51">
        <f t="shared" si="78"/>
        <v>0</v>
      </c>
      <c r="FJ51" t="b">
        <f t="shared" si="79"/>
        <v>1</v>
      </c>
      <c r="FK51">
        <f t="shared" ca="1" si="80"/>
        <v>872</v>
      </c>
      <c r="FL51">
        <f t="shared" ca="1" si="81"/>
        <v>513052</v>
      </c>
      <c r="FM51">
        <f t="shared" si="82"/>
        <v>75000</v>
      </c>
      <c r="FN51">
        <f t="shared" ca="1" si="83"/>
        <v>438052</v>
      </c>
      <c r="FO51">
        <f t="shared" ca="1" si="84"/>
        <v>0</v>
      </c>
      <c r="FP51">
        <f t="shared" ca="1" si="85"/>
        <v>0</v>
      </c>
      <c r="FQ51">
        <f t="shared" ca="1" si="86"/>
        <v>0</v>
      </c>
      <c r="FR51">
        <f t="shared" ca="1" si="87"/>
        <v>0</v>
      </c>
      <c r="FS51">
        <f t="shared" ca="1" si="88"/>
        <v>0</v>
      </c>
      <c r="FT51">
        <f t="shared" ca="1" si="89"/>
        <v>0</v>
      </c>
      <c r="FU51">
        <f t="shared" ca="1" si="90"/>
        <v>0</v>
      </c>
      <c r="FV51">
        <f t="shared" ca="1" si="91"/>
        <v>0</v>
      </c>
      <c r="FW51">
        <f t="shared" ca="1" si="92"/>
        <v>138052</v>
      </c>
      <c r="FX51">
        <f t="shared" ca="1" si="93"/>
        <v>6902.6</v>
      </c>
      <c r="FY51">
        <f t="shared" ca="1" si="94"/>
        <v>6903</v>
      </c>
      <c r="FZ51">
        <f t="shared" ca="1" si="95"/>
        <v>0</v>
      </c>
      <c r="GA51">
        <f t="shared" ca="1" si="96"/>
        <v>0</v>
      </c>
      <c r="GB51">
        <f t="shared" ca="1" si="97"/>
        <v>6903</v>
      </c>
      <c r="GC51">
        <f t="shared" ca="1" si="98"/>
        <v>0</v>
      </c>
      <c r="GD51" t="b">
        <f t="shared" ca="1" si="99"/>
        <v>0</v>
      </c>
      <c r="GE51">
        <f t="shared" ca="1" si="100"/>
        <v>0</v>
      </c>
      <c r="GF51">
        <f t="shared" ca="1" si="101"/>
        <v>6903</v>
      </c>
      <c r="GG51">
        <f t="shared" ca="1" si="102"/>
        <v>0</v>
      </c>
      <c r="GH51">
        <f t="shared" ca="1" si="103"/>
        <v>0</v>
      </c>
      <c r="GI51">
        <f t="shared" ca="1" si="104"/>
        <v>0</v>
      </c>
    </row>
    <row r="52" spans="1:191" x14ac:dyDescent="0.25">
      <c r="A52">
        <f>_xlfn.AGGREGATE(3,5,$B$2:B52)</f>
        <v>51</v>
      </c>
      <c r="B52" t="s">
        <v>224</v>
      </c>
      <c r="C52" t="s">
        <v>225</v>
      </c>
      <c r="D52" t="s">
        <v>775</v>
      </c>
      <c r="E52" t="s">
        <v>843</v>
      </c>
      <c r="F52">
        <v>0</v>
      </c>
      <c r="G52">
        <v>6000</v>
      </c>
      <c r="H52">
        <v>32500</v>
      </c>
      <c r="I52">
        <f t="shared" si="7"/>
        <v>3250</v>
      </c>
      <c r="J52">
        <f t="shared" si="8"/>
        <v>3900</v>
      </c>
      <c r="K52">
        <v>0</v>
      </c>
      <c r="L52">
        <v>0</v>
      </c>
      <c r="M52">
        <f t="shared" si="9"/>
        <v>39650</v>
      </c>
      <c r="N52">
        <v>2000</v>
      </c>
      <c r="O52">
        <v>0</v>
      </c>
      <c r="P52">
        <f t="shared" si="10"/>
        <v>150</v>
      </c>
      <c r="Q52">
        <f t="shared" si="11"/>
        <v>37500</v>
      </c>
      <c r="R52">
        <v>32500</v>
      </c>
      <c r="S52">
        <f t="shared" si="12"/>
        <v>3250</v>
      </c>
      <c r="T52">
        <f t="shared" si="13"/>
        <v>3900</v>
      </c>
      <c r="U52">
        <v>0</v>
      </c>
      <c r="V52">
        <v>0</v>
      </c>
      <c r="W52">
        <f t="shared" si="14"/>
        <v>39650</v>
      </c>
      <c r="X52">
        <v>2000</v>
      </c>
      <c r="Y52">
        <v>0</v>
      </c>
      <c r="Z52">
        <f t="shared" si="15"/>
        <v>150</v>
      </c>
      <c r="AA52">
        <f t="shared" si="16"/>
        <v>37500</v>
      </c>
      <c r="AB52">
        <v>32500</v>
      </c>
      <c r="AC52">
        <f t="shared" si="17"/>
        <v>4550</v>
      </c>
      <c r="AD52">
        <f t="shared" si="18"/>
        <v>3900</v>
      </c>
      <c r="AE52">
        <v>0</v>
      </c>
      <c r="AF52">
        <v>0</v>
      </c>
      <c r="AG52">
        <f t="shared" si="19"/>
        <v>40950</v>
      </c>
      <c r="AH52">
        <v>2000</v>
      </c>
      <c r="AI52">
        <v>0</v>
      </c>
      <c r="AJ52">
        <f t="shared" si="20"/>
        <v>200</v>
      </c>
      <c r="AK52">
        <f t="shared" si="21"/>
        <v>38750</v>
      </c>
      <c r="AL52">
        <v>32500</v>
      </c>
      <c r="AM52">
        <f t="shared" si="22"/>
        <v>4550</v>
      </c>
      <c r="AN52">
        <f t="shared" si="23"/>
        <v>3900</v>
      </c>
      <c r="AO52">
        <v>0</v>
      </c>
      <c r="AP52">
        <v>0</v>
      </c>
      <c r="AQ52">
        <f t="shared" si="24"/>
        <v>40950</v>
      </c>
      <c r="AR52">
        <v>2000</v>
      </c>
      <c r="AS52">
        <v>0</v>
      </c>
      <c r="AT52">
        <f t="shared" si="25"/>
        <v>200</v>
      </c>
      <c r="AU52">
        <f t="shared" si="26"/>
        <v>38750</v>
      </c>
      <c r="AV52">
        <v>33500</v>
      </c>
      <c r="AW52">
        <f t="shared" si="27"/>
        <v>4690</v>
      </c>
      <c r="AX52">
        <f t="shared" si="28"/>
        <v>1300</v>
      </c>
      <c r="AY52">
        <f t="shared" si="29"/>
        <v>4020</v>
      </c>
      <c r="AZ52">
        <v>0</v>
      </c>
      <c r="BA52">
        <v>0</v>
      </c>
      <c r="BB52">
        <f t="shared" si="30"/>
        <v>43510</v>
      </c>
      <c r="BC52">
        <v>2500</v>
      </c>
      <c r="BD52">
        <v>0</v>
      </c>
      <c r="BE52">
        <f t="shared" si="31"/>
        <v>200</v>
      </c>
      <c r="BF52">
        <f t="shared" si="32"/>
        <v>40810</v>
      </c>
      <c r="BG52">
        <v>33500</v>
      </c>
      <c r="BH52">
        <f t="shared" si="33"/>
        <v>4690</v>
      </c>
      <c r="BI52">
        <f t="shared" si="34"/>
        <v>4020</v>
      </c>
      <c r="BJ52">
        <v>0</v>
      </c>
      <c r="BK52">
        <v>0</v>
      </c>
      <c r="BL52">
        <f t="shared" si="35"/>
        <v>42210</v>
      </c>
      <c r="BM52">
        <v>2500</v>
      </c>
      <c r="BN52">
        <v>0</v>
      </c>
      <c r="BO52">
        <f t="shared" si="36"/>
        <v>200</v>
      </c>
      <c r="BP52">
        <f t="shared" si="37"/>
        <v>39510</v>
      </c>
      <c r="BQ52">
        <v>33500</v>
      </c>
      <c r="BR52">
        <f t="shared" si="38"/>
        <v>4690</v>
      </c>
      <c r="BS52">
        <f t="shared" si="39"/>
        <v>4020</v>
      </c>
      <c r="BT52">
        <v>0</v>
      </c>
      <c r="BU52">
        <v>0</v>
      </c>
      <c r="BV52">
        <f t="shared" si="40"/>
        <v>42210</v>
      </c>
      <c r="BW52">
        <v>2500</v>
      </c>
      <c r="BX52">
        <v>0</v>
      </c>
      <c r="BY52">
        <f t="shared" si="41"/>
        <v>200</v>
      </c>
      <c r="BZ52">
        <f t="shared" si="42"/>
        <v>39510</v>
      </c>
      <c r="CA52">
        <v>33500</v>
      </c>
      <c r="CB52">
        <f t="shared" si="43"/>
        <v>4690</v>
      </c>
      <c r="CC52">
        <f t="shared" si="44"/>
        <v>4020</v>
      </c>
      <c r="CD52">
        <v>0</v>
      </c>
      <c r="CE52">
        <v>0</v>
      </c>
      <c r="CF52">
        <f t="shared" si="45"/>
        <v>42210</v>
      </c>
      <c r="CG52">
        <v>2500</v>
      </c>
      <c r="CH52">
        <v>0</v>
      </c>
      <c r="CI52">
        <f t="shared" si="46"/>
        <v>200</v>
      </c>
      <c r="CJ52">
        <f t="shared" si="47"/>
        <v>39510</v>
      </c>
      <c r="CK52">
        <v>33500</v>
      </c>
      <c r="CL52">
        <f t="shared" si="48"/>
        <v>4690</v>
      </c>
      <c r="CM52">
        <f t="shared" si="49"/>
        <v>4020</v>
      </c>
      <c r="CN52">
        <v>0</v>
      </c>
      <c r="CO52">
        <v>0</v>
      </c>
      <c r="CP52">
        <f t="shared" si="50"/>
        <v>42210</v>
      </c>
      <c r="CQ52">
        <v>2500</v>
      </c>
      <c r="CR52">
        <v>0</v>
      </c>
      <c r="CS52">
        <f t="shared" si="51"/>
        <v>200</v>
      </c>
      <c r="CT52">
        <f t="shared" si="52"/>
        <v>39510</v>
      </c>
      <c r="CU52">
        <v>33500</v>
      </c>
      <c r="CV52">
        <f t="shared" si="53"/>
        <v>4690</v>
      </c>
      <c r="CW52">
        <f t="shared" si="54"/>
        <v>4020</v>
      </c>
      <c r="CX52">
        <v>0</v>
      </c>
      <c r="CY52">
        <v>0</v>
      </c>
      <c r="CZ52">
        <f t="shared" si="55"/>
        <v>42210</v>
      </c>
      <c r="DA52">
        <v>2500</v>
      </c>
      <c r="DB52">
        <v>0</v>
      </c>
      <c r="DC52">
        <f t="shared" si="56"/>
        <v>200</v>
      </c>
      <c r="DD52">
        <f t="shared" si="57"/>
        <v>39510</v>
      </c>
      <c r="DE52">
        <v>33500</v>
      </c>
      <c r="DF52">
        <f t="shared" si="58"/>
        <v>4690</v>
      </c>
      <c r="DG52">
        <f t="shared" si="59"/>
        <v>4020</v>
      </c>
      <c r="DH52">
        <v>0</v>
      </c>
      <c r="DI52">
        <v>0</v>
      </c>
      <c r="DJ52">
        <f t="shared" si="60"/>
        <v>42210</v>
      </c>
      <c r="DK52">
        <v>2500</v>
      </c>
      <c r="DL52">
        <v>0</v>
      </c>
      <c r="DM52">
        <f t="shared" si="61"/>
        <v>200</v>
      </c>
      <c r="DN52">
        <f t="shared" si="62"/>
        <v>39510</v>
      </c>
      <c r="DO52">
        <v>33500</v>
      </c>
      <c r="DP52">
        <f t="shared" si="63"/>
        <v>4690</v>
      </c>
      <c r="DQ52">
        <f t="shared" si="64"/>
        <v>4020</v>
      </c>
      <c r="DR52">
        <v>0</v>
      </c>
      <c r="DS52">
        <v>0</v>
      </c>
      <c r="DT52">
        <f t="shared" si="65"/>
        <v>42210</v>
      </c>
      <c r="DU52">
        <v>2500</v>
      </c>
      <c r="DV52">
        <v>0</v>
      </c>
      <c r="DW52">
        <f t="shared" si="66"/>
        <v>200</v>
      </c>
      <c r="DX52">
        <f t="shared" si="67"/>
        <v>39510</v>
      </c>
      <c r="DY52">
        <f t="shared" si="68"/>
        <v>506180</v>
      </c>
      <c r="DZ52">
        <f t="shared" si="0"/>
        <v>2300</v>
      </c>
      <c r="EA52">
        <f t="shared" si="1"/>
        <v>50000</v>
      </c>
      <c r="EB52">
        <v>0</v>
      </c>
      <c r="EC52">
        <f t="shared" si="2"/>
        <v>453880</v>
      </c>
      <c r="ED52">
        <f t="shared" si="3"/>
        <v>28000</v>
      </c>
      <c r="EE52">
        <f t="shared" si="4"/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f t="shared" si="5"/>
        <v>28000</v>
      </c>
      <c r="EQ52">
        <f t="shared" si="69"/>
        <v>28000</v>
      </c>
      <c r="ER52">
        <f t="shared" si="6"/>
        <v>425880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f t="shared" si="70"/>
        <v>0</v>
      </c>
      <c r="FA52">
        <f t="shared" si="71"/>
        <v>425880</v>
      </c>
      <c r="FB52">
        <f t="shared" si="72"/>
        <v>8794</v>
      </c>
      <c r="FC52">
        <f t="shared" si="73"/>
        <v>0</v>
      </c>
      <c r="FD52">
        <f t="shared" si="74"/>
        <v>8794</v>
      </c>
      <c r="FE52">
        <f t="shared" si="75"/>
        <v>0</v>
      </c>
      <c r="FF52">
        <f t="shared" si="76"/>
        <v>0</v>
      </c>
      <c r="FG52">
        <f t="shared" si="77"/>
        <v>0</v>
      </c>
      <c r="FH52">
        <v>0</v>
      </c>
      <c r="FI52">
        <f t="shared" si="78"/>
        <v>0</v>
      </c>
      <c r="FJ52" t="b">
        <f t="shared" si="79"/>
        <v>1</v>
      </c>
      <c r="FK52">
        <f t="shared" ca="1" si="80"/>
        <v>748</v>
      </c>
      <c r="FL52">
        <f t="shared" ca="1" si="81"/>
        <v>506928</v>
      </c>
      <c r="FM52">
        <f t="shared" si="82"/>
        <v>75000</v>
      </c>
      <c r="FN52">
        <f t="shared" ca="1" si="83"/>
        <v>431928</v>
      </c>
      <c r="FO52">
        <f t="shared" ca="1" si="84"/>
        <v>0</v>
      </c>
      <c r="FP52">
        <f t="shared" ca="1" si="85"/>
        <v>0</v>
      </c>
      <c r="FQ52">
        <f t="shared" ca="1" si="86"/>
        <v>0</v>
      </c>
      <c r="FR52">
        <f t="shared" ca="1" si="87"/>
        <v>0</v>
      </c>
      <c r="FS52">
        <f t="shared" ca="1" si="88"/>
        <v>0</v>
      </c>
      <c r="FT52">
        <f t="shared" ca="1" si="89"/>
        <v>0</v>
      </c>
      <c r="FU52">
        <f t="shared" ca="1" si="90"/>
        <v>0</v>
      </c>
      <c r="FV52">
        <f t="shared" ca="1" si="91"/>
        <v>0</v>
      </c>
      <c r="FW52">
        <f t="shared" ca="1" si="92"/>
        <v>131928</v>
      </c>
      <c r="FX52">
        <f t="shared" ca="1" si="93"/>
        <v>6596.4000000000005</v>
      </c>
      <c r="FY52">
        <f t="shared" ca="1" si="94"/>
        <v>6596</v>
      </c>
      <c r="FZ52">
        <f t="shared" ca="1" si="95"/>
        <v>0</v>
      </c>
      <c r="GA52">
        <f t="shared" ca="1" si="96"/>
        <v>0</v>
      </c>
      <c r="GB52">
        <f t="shared" ca="1" si="97"/>
        <v>6596</v>
      </c>
      <c r="GC52">
        <f t="shared" ca="1" si="98"/>
        <v>0</v>
      </c>
      <c r="GD52" t="b">
        <f t="shared" ca="1" si="99"/>
        <v>0</v>
      </c>
      <c r="GE52">
        <f t="shared" ca="1" si="100"/>
        <v>0</v>
      </c>
      <c r="GF52">
        <f t="shared" ca="1" si="101"/>
        <v>6596</v>
      </c>
      <c r="GG52">
        <f t="shared" ca="1" si="102"/>
        <v>0</v>
      </c>
      <c r="GH52">
        <f t="shared" ca="1" si="103"/>
        <v>0</v>
      </c>
      <c r="GI52">
        <f t="shared" ca="1" si="104"/>
        <v>0</v>
      </c>
    </row>
    <row r="53" spans="1:191" x14ac:dyDescent="0.25">
      <c r="A53">
        <f>_xlfn.AGGREGATE(3,5,$B$2:B53)</f>
        <v>52</v>
      </c>
      <c r="B53" t="s">
        <v>226</v>
      </c>
      <c r="C53" t="s">
        <v>227</v>
      </c>
      <c r="D53" t="s">
        <v>776</v>
      </c>
      <c r="E53" t="s">
        <v>843</v>
      </c>
      <c r="F53">
        <v>0</v>
      </c>
      <c r="G53">
        <v>6000</v>
      </c>
      <c r="H53">
        <v>32500</v>
      </c>
      <c r="I53">
        <f t="shared" si="7"/>
        <v>3250</v>
      </c>
      <c r="J53">
        <f t="shared" si="8"/>
        <v>3900</v>
      </c>
      <c r="K53">
        <v>400</v>
      </c>
      <c r="L53">
        <v>500</v>
      </c>
      <c r="M53">
        <f t="shared" si="9"/>
        <v>40550</v>
      </c>
      <c r="N53">
        <v>3000</v>
      </c>
      <c r="O53">
        <v>0</v>
      </c>
      <c r="P53">
        <f t="shared" si="10"/>
        <v>200</v>
      </c>
      <c r="Q53">
        <f t="shared" si="11"/>
        <v>37350</v>
      </c>
      <c r="R53">
        <v>32500</v>
      </c>
      <c r="S53">
        <f t="shared" si="12"/>
        <v>3250</v>
      </c>
      <c r="T53">
        <f t="shared" si="13"/>
        <v>3900</v>
      </c>
      <c r="U53">
        <v>400</v>
      </c>
      <c r="V53">
        <v>500</v>
      </c>
      <c r="W53">
        <f t="shared" si="14"/>
        <v>40550</v>
      </c>
      <c r="X53">
        <v>3000</v>
      </c>
      <c r="Y53">
        <v>0</v>
      </c>
      <c r="Z53">
        <f t="shared" si="15"/>
        <v>200</v>
      </c>
      <c r="AA53">
        <f t="shared" si="16"/>
        <v>37350</v>
      </c>
      <c r="AB53">
        <v>32500</v>
      </c>
      <c r="AC53">
        <f t="shared" si="17"/>
        <v>4550</v>
      </c>
      <c r="AD53">
        <f t="shared" si="18"/>
        <v>3900</v>
      </c>
      <c r="AE53">
        <v>400</v>
      </c>
      <c r="AF53">
        <v>500</v>
      </c>
      <c r="AG53">
        <f t="shared" si="19"/>
        <v>41850</v>
      </c>
      <c r="AH53">
        <v>3000</v>
      </c>
      <c r="AI53">
        <v>0</v>
      </c>
      <c r="AJ53">
        <f t="shared" si="20"/>
        <v>200</v>
      </c>
      <c r="AK53">
        <f t="shared" si="21"/>
        <v>38650</v>
      </c>
      <c r="AL53">
        <v>32500</v>
      </c>
      <c r="AM53">
        <f t="shared" si="22"/>
        <v>4550</v>
      </c>
      <c r="AN53">
        <f t="shared" si="23"/>
        <v>3900</v>
      </c>
      <c r="AO53">
        <v>400</v>
      </c>
      <c r="AP53">
        <v>500</v>
      </c>
      <c r="AQ53">
        <f t="shared" si="24"/>
        <v>41850</v>
      </c>
      <c r="AR53">
        <v>3000</v>
      </c>
      <c r="AS53">
        <v>0</v>
      </c>
      <c r="AT53">
        <f t="shared" si="25"/>
        <v>200</v>
      </c>
      <c r="AU53">
        <f t="shared" si="26"/>
        <v>38650</v>
      </c>
      <c r="AV53">
        <v>34500</v>
      </c>
      <c r="AW53">
        <f t="shared" si="27"/>
        <v>4830.0000000000009</v>
      </c>
      <c r="AX53">
        <f t="shared" si="28"/>
        <v>1300</v>
      </c>
      <c r="AY53">
        <f t="shared" si="29"/>
        <v>4140</v>
      </c>
      <c r="AZ53">
        <v>400</v>
      </c>
      <c r="BA53">
        <v>500</v>
      </c>
      <c r="BB53">
        <f t="shared" si="30"/>
        <v>45670</v>
      </c>
      <c r="BC53">
        <v>3000</v>
      </c>
      <c r="BD53">
        <v>0</v>
      </c>
      <c r="BE53">
        <f t="shared" si="31"/>
        <v>200</v>
      </c>
      <c r="BF53">
        <f t="shared" si="32"/>
        <v>42470</v>
      </c>
      <c r="BG53">
        <v>34500</v>
      </c>
      <c r="BH53">
        <f t="shared" si="33"/>
        <v>4830.0000000000009</v>
      </c>
      <c r="BI53">
        <f t="shared" si="34"/>
        <v>4140</v>
      </c>
      <c r="BJ53">
        <v>400</v>
      </c>
      <c r="BK53">
        <v>500</v>
      </c>
      <c r="BL53">
        <f t="shared" si="35"/>
        <v>44370</v>
      </c>
      <c r="BM53">
        <v>3000</v>
      </c>
      <c r="BN53">
        <v>0</v>
      </c>
      <c r="BO53">
        <f t="shared" si="36"/>
        <v>200</v>
      </c>
      <c r="BP53">
        <f t="shared" si="37"/>
        <v>41170</v>
      </c>
      <c r="BQ53">
        <v>34500</v>
      </c>
      <c r="BR53">
        <f t="shared" si="38"/>
        <v>4830.0000000000009</v>
      </c>
      <c r="BS53">
        <f t="shared" si="39"/>
        <v>4140</v>
      </c>
      <c r="BT53">
        <v>400</v>
      </c>
      <c r="BU53">
        <v>500</v>
      </c>
      <c r="BV53">
        <f t="shared" si="40"/>
        <v>44370</v>
      </c>
      <c r="BW53">
        <v>3000</v>
      </c>
      <c r="BX53">
        <v>0</v>
      </c>
      <c r="BY53">
        <f t="shared" si="41"/>
        <v>200</v>
      </c>
      <c r="BZ53">
        <f t="shared" si="42"/>
        <v>41170</v>
      </c>
      <c r="CA53">
        <v>34500</v>
      </c>
      <c r="CB53">
        <f t="shared" si="43"/>
        <v>4830.0000000000009</v>
      </c>
      <c r="CC53">
        <f t="shared" si="44"/>
        <v>4140</v>
      </c>
      <c r="CD53">
        <v>400</v>
      </c>
      <c r="CE53">
        <v>500</v>
      </c>
      <c r="CF53">
        <f t="shared" si="45"/>
        <v>44370</v>
      </c>
      <c r="CG53">
        <v>3000</v>
      </c>
      <c r="CH53">
        <v>0</v>
      </c>
      <c r="CI53">
        <f t="shared" si="46"/>
        <v>200</v>
      </c>
      <c r="CJ53">
        <f t="shared" si="47"/>
        <v>41170</v>
      </c>
      <c r="CK53">
        <v>34500</v>
      </c>
      <c r="CL53">
        <f t="shared" si="48"/>
        <v>4830.0000000000009</v>
      </c>
      <c r="CM53">
        <f t="shared" si="49"/>
        <v>4140</v>
      </c>
      <c r="CN53">
        <v>400</v>
      </c>
      <c r="CO53">
        <v>500</v>
      </c>
      <c r="CP53">
        <f t="shared" si="50"/>
        <v>44370</v>
      </c>
      <c r="CQ53">
        <v>3000</v>
      </c>
      <c r="CR53">
        <v>0</v>
      </c>
      <c r="CS53">
        <f t="shared" si="51"/>
        <v>200</v>
      </c>
      <c r="CT53">
        <f t="shared" si="52"/>
        <v>41170</v>
      </c>
      <c r="CU53">
        <v>34500</v>
      </c>
      <c r="CV53">
        <f t="shared" si="53"/>
        <v>4830</v>
      </c>
      <c r="CW53">
        <f t="shared" si="54"/>
        <v>4140</v>
      </c>
      <c r="CX53">
        <v>400</v>
      </c>
      <c r="CY53">
        <v>500</v>
      </c>
      <c r="CZ53">
        <f t="shared" si="55"/>
        <v>44370</v>
      </c>
      <c r="DA53">
        <v>3000</v>
      </c>
      <c r="DB53">
        <v>0</v>
      </c>
      <c r="DC53">
        <f t="shared" si="56"/>
        <v>200</v>
      </c>
      <c r="DD53">
        <f t="shared" si="57"/>
        <v>41170</v>
      </c>
      <c r="DE53">
        <v>34500</v>
      </c>
      <c r="DF53">
        <f t="shared" si="58"/>
        <v>4830.0000000000009</v>
      </c>
      <c r="DG53">
        <f t="shared" si="59"/>
        <v>4140</v>
      </c>
      <c r="DH53">
        <v>400</v>
      </c>
      <c r="DI53">
        <v>500</v>
      </c>
      <c r="DJ53">
        <f t="shared" si="60"/>
        <v>44370</v>
      </c>
      <c r="DK53">
        <v>3000</v>
      </c>
      <c r="DL53">
        <v>0</v>
      </c>
      <c r="DM53">
        <f t="shared" si="61"/>
        <v>200</v>
      </c>
      <c r="DN53">
        <f t="shared" si="62"/>
        <v>41170</v>
      </c>
      <c r="DO53">
        <v>34500</v>
      </c>
      <c r="DP53">
        <f t="shared" si="63"/>
        <v>4830.0000000000009</v>
      </c>
      <c r="DQ53">
        <f t="shared" si="64"/>
        <v>4140</v>
      </c>
      <c r="DR53">
        <v>400</v>
      </c>
      <c r="DS53">
        <v>500</v>
      </c>
      <c r="DT53">
        <f t="shared" si="65"/>
        <v>44370</v>
      </c>
      <c r="DU53">
        <v>3000</v>
      </c>
      <c r="DV53">
        <v>0</v>
      </c>
      <c r="DW53">
        <f t="shared" si="66"/>
        <v>200</v>
      </c>
      <c r="DX53">
        <f t="shared" si="67"/>
        <v>41170</v>
      </c>
      <c r="DY53">
        <f t="shared" si="68"/>
        <v>527060</v>
      </c>
      <c r="DZ53">
        <f t="shared" si="0"/>
        <v>2400</v>
      </c>
      <c r="EA53">
        <f t="shared" si="1"/>
        <v>50000</v>
      </c>
      <c r="EB53">
        <v>0</v>
      </c>
      <c r="EC53">
        <f t="shared" si="2"/>
        <v>474660</v>
      </c>
      <c r="ED53">
        <f t="shared" si="3"/>
        <v>36000</v>
      </c>
      <c r="EE53">
        <f t="shared" si="4"/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f t="shared" si="5"/>
        <v>36000</v>
      </c>
      <c r="EQ53">
        <f t="shared" si="69"/>
        <v>36000</v>
      </c>
      <c r="ER53">
        <f t="shared" si="6"/>
        <v>438660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f t="shared" si="70"/>
        <v>0</v>
      </c>
      <c r="FA53">
        <f t="shared" si="71"/>
        <v>438660</v>
      </c>
      <c r="FB53">
        <f t="shared" si="72"/>
        <v>9433</v>
      </c>
      <c r="FC53">
        <f t="shared" si="73"/>
        <v>0</v>
      </c>
      <c r="FD53">
        <f t="shared" si="74"/>
        <v>9433</v>
      </c>
      <c r="FE53">
        <f t="shared" si="75"/>
        <v>0</v>
      </c>
      <c r="FF53">
        <f t="shared" si="76"/>
        <v>0</v>
      </c>
      <c r="FG53">
        <f t="shared" si="77"/>
        <v>0</v>
      </c>
      <c r="FH53">
        <v>0</v>
      </c>
      <c r="FI53">
        <f t="shared" si="78"/>
        <v>0</v>
      </c>
      <c r="FJ53" t="b">
        <f t="shared" si="79"/>
        <v>1</v>
      </c>
      <c r="FK53">
        <f t="shared" ca="1" si="80"/>
        <v>606</v>
      </c>
      <c r="FL53">
        <f t="shared" ca="1" si="81"/>
        <v>527666</v>
      </c>
      <c r="FM53">
        <f t="shared" si="82"/>
        <v>75000</v>
      </c>
      <c r="FN53">
        <f t="shared" ca="1" si="83"/>
        <v>452666</v>
      </c>
      <c r="FO53">
        <f t="shared" ca="1" si="84"/>
        <v>0</v>
      </c>
      <c r="FP53">
        <f t="shared" ca="1" si="85"/>
        <v>0</v>
      </c>
      <c r="FQ53">
        <f t="shared" ca="1" si="86"/>
        <v>0</v>
      </c>
      <c r="FR53">
        <f t="shared" ca="1" si="87"/>
        <v>0</v>
      </c>
      <c r="FS53">
        <f t="shared" ca="1" si="88"/>
        <v>0</v>
      </c>
      <c r="FT53">
        <f t="shared" ca="1" si="89"/>
        <v>0</v>
      </c>
      <c r="FU53">
        <f t="shared" ca="1" si="90"/>
        <v>0</v>
      </c>
      <c r="FV53">
        <f t="shared" ca="1" si="91"/>
        <v>0</v>
      </c>
      <c r="FW53">
        <f t="shared" ca="1" si="92"/>
        <v>152666</v>
      </c>
      <c r="FX53">
        <f t="shared" ca="1" si="93"/>
        <v>7633.3</v>
      </c>
      <c r="FY53">
        <f t="shared" ca="1" si="94"/>
        <v>7633</v>
      </c>
      <c r="FZ53">
        <f t="shared" ca="1" si="95"/>
        <v>0</v>
      </c>
      <c r="GA53">
        <f t="shared" ca="1" si="96"/>
        <v>0</v>
      </c>
      <c r="GB53">
        <f t="shared" ca="1" si="97"/>
        <v>7633</v>
      </c>
      <c r="GC53">
        <f t="shared" ca="1" si="98"/>
        <v>0</v>
      </c>
      <c r="GD53" t="b">
        <f t="shared" ca="1" si="99"/>
        <v>0</v>
      </c>
      <c r="GE53">
        <f t="shared" ca="1" si="100"/>
        <v>0</v>
      </c>
      <c r="GF53">
        <f t="shared" ca="1" si="101"/>
        <v>7633</v>
      </c>
      <c r="GG53">
        <f t="shared" ca="1" si="102"/>
        <v>0</v>
      </c>
      <c r="GH53">
        <f t="shared" ca="1" si="103"/>
        <v>0</v>
      </c>
      <c r="GI53">
        <f t="shared" ca="1" si="104"/>
        <v>0</v>
      </c>
    </row>
    <row r="54" spans="1:191" x14ac:dyDescent="0.25">
      <c r="A54">
        <f>_xlfn.AGGREGATE(3,5,$B$2:B54)</f>
        <v>53</v>
      </c>
      <c r="B54" t="s">
        <v>228</v>
      </c>
      <c r="C54" t="s">
        <v>229</v>
      </c>
      <c r="D54" t="s">
        <v>776</v>
      </c>
      <c r="E54" t="s">
        <v>843</v>
      </c>
      <c r="F54">
        <v>0</v>
      </c>
      <c r="G54">
        <v>6000</v>
      </c>
      <c r="H54">
        <v>32500</v>
      </c>
      <c r="I54">
        <f t="shared" si="7"/>
        <v>3250</v>
      </c>
      <c r="J54">
        <f t="shared" si="8"/>
        <v>3900</v>
      </c>
      <c r="K54">
        <v>0</v>
      </c>
      <c r="L54">
        <v>500</v>
      </c>
      <c r="M54">
        <f t="shared" si="9"/>
        <v>40150</v>
      </c>
      <c r="N54">
        <v>2000</v>
      </c>
      <c r="O54">
        <v>0</v>
      </c>
      <c r="P54">
        <f t="shared" si="10"/>
        <v>200</v>
      </c>
      <c r="Q54">
        <f t="shared" si="11"/>
        <v>37950</v>
      </c>
      <c r="R54">
        <v>32500</v>
      </c>
      <c r="S54">
        <f t="shared" si="12"/>
        <v>3250</v>
      </c>
      <c r="T54">
        <f t="shared" si="13"/>
        <v>3900</v>
      </c>
      <c r="U54">
        <v>0</v>
      </c>
      <c r="V54">
        <v>500</v>
      </c>
      <c r="W54">
        <f t="shared" si="14"/>
        <v>40150</v>
      </c>
      <c r="X54">
        <v>2000</v>
      </c>
      <c r="Y54">
        <v>0</v>
      </c>
      <c r="Z54">
        <f t="shared" si="15"/>
        <v>200</v>
      </c>
      <c r="AA54">
        <f t="shared" si="16"/>
        <v>37950</v>
      </c>
      <c r="AB54">
        <v>32500</v>
      </c>
      <c r="AC54">
        <f t="shared" si="17"/>
        <v>4550</v>
      </c>
      <c r="AD54">
        <f t="shared" si="18"/>
        <v>3900</v>
      </c>
      <c r="AE54">
        <v>0</v>
      </c>
      <c r="AF54">
        <v>500</v>
      </c>
      <c r="AG54">
        <f t="shared" si="19"/>
        <v>41450</v>
      </c>
      <c r="AH54">
        <v>2000</v>
      </c>
      <c r="AI54">
        <v>0</v>
      </c>
      <c r="AJ54">
        <f t="shared" si="20"/>
        <v>200</v>
      </c>
      <c r="AK54">
        <f t="shared" si="21"/>
        <v>39250</v>
      </c>
      <c r="AL54">
        <v>32500</v>
      </c>
      <c r="AM54">
        <f t="shared" si="22"/>
        <v>4550</v>
      </c>
      <c r="AN54">
        <f t="shared" si="23"/>
        <v>3900</v>
      </c>
      <c r="AO54">
        <v>0</v>
      </c>
      <c r="AP54">
        <v>500</v>
      </c>
      <c r="AQ54">
        <f t="shared" si="24"/>
        <v>41450</v>
      </c>
      <c r="AR54">
        <v>2000</v>
      </c>
      <c r="AS54">
        <v>0</v>
      </c>
      <c r="AT54">
        <f t="shared" si="25"/>
        <v>200</v>
      </c>
      <c r="AU54">
        <f t="shared" si="26"/>
        <v>39250</v>
      </c>
      <c r="AV54">
        <v>34500</v>
      </c>
      <c r="AW54">
        <f t="shared" si="27"/>
        <v>4830.0000000000009</v>
      </c>
      <c r="AX54">
        <f t="shared" si="28"/>
        <v>1300</v>
      </c>
      <c r="AY54">
        <f t="shared" si="29"/>
        <v>4140</v>
      </c>
      <c r="AZ54">
        <v>0</v>
      </c>
      <c r="BA54">
        <v>500</v>
      </c>
      <c r="BB54">
        <f t="shared" si="30"/>
        <v>45270</v>
      </c>
      <c r="BC54">
        <v>2500</v>
      </c>
      <c r="BD54">
        <v>0</v>
      </c>
      <c r="BE54">
        <f t="shared" si="31"/>
        <v>200</v>
      </c>
      <c r="BF54">
        <f t="shared" si="32"/>
        <v>42570</v>
      </c>
      <c r="BG54">
        <v>34500</v>
      </c>
      <c r="BH54">
        <f t="shared" si="33"/>
        <v>4830.0000000000009</v>
      </c>
      <c r="BI54">
        <f t="shared" si="34"/>
        <v>4140</v>
      </c>
      <c r="BJ54">
        <v>0</v>
      </c>
      <c r="BK54">
        <v>500</v>
      </c>
      <c r="BL54">
        <f t="shared" si="35"/>
        <v>43970</v>
      </c>
      <c r="BM54">
        <v>2500</v>
      </c>
      <c r="BN54">
        <v>0</v>
      </c>
      <c r="BO54">
        <f t="shared" si="36"/>
        <v>200</v>
      </c>
      <c r="BP54">
        <f t="shared" si="37"/>
        <v>41270</v>
      </c>
      <c r="BQ54">
        <v>34500</v>
      </c>
      <c r="BR54">
        <f t="shared" si="38"/>
        <v>4830.0000000000009</v>
      </c>
      <c r="BS54">
        <f t="shared" si="39"/>
        <v>4140</v>
      </c>
      <c r="BT54">
        <v>0</v>
      </c>
      <c r="BU54">
        <v>500</v>
      </c>
      <c r="BV54">
        <f t="shared" si="40"/>
        <v>43970</v>
      </c>
      <c r="BW54">
        <v>2500</v>
      </c>
      <c r="BX54">
        <v>0</v>
      </c>
      <c r="BY54">
        <f t="shared" si="41"/>
        <v>200</v>
      </c>
      <c r="BZ54">
        <f t="shared" si="42"/>
        <v>41270</v>
      </c>
      <c r="CA54">
        <v>34500</v>
      </c>
      <c r="CB54">
        <f t="shared" si="43"/>
        <v>4830.0000000000009</v>
      </c>
      <c r="CC54">
        <f t="shared" si="44"/>
        <v>4140</v>
      </c>
      <c r="CD54">
        <v>0</v>
      </c>
      <c r="CE54">
        <v>500</v>
      </c>
      <c r="CF54">
        <f t="shared" si="45"/>
        <v>43970</v>
      </c>
      <c r="CG54">
        <v>2500</v>
      </c>
      <c r="CH54">
        <v>0</v>
      </c>
      <c r="CI54">
        <f t="shared" si="46"/>
        <v>200</v>
      </c>
      <c r="CJ54">
        <f t="shared" si="47"/>
        <v>41270</v>
      </c>
      <c r="CK54">
        <v>34500</v>
      </c>
      <c r="CL54">
        <f t="shared" si="48"/>
        <v>4830.0000000000009</v>
      </c>
      <c r="CM54">
        <f t="shared" si="49"/>
        <v>4140</v>
      </c>
      <c r="CN54">
        <v>0</v>
      </c>
      <c r="CO54">
        <v>500</v>
      </c>
      <c r="CP54">
        <f t="shared" si="50"/>
        <v>43970</v>
      </c>
      <c r="CQ54">
        <v>2500</v>
      </c>
      <c r="CR54">
        <v>0</v>
      </c>
      <c r="CS54">
        <f t="shared" si="51"/>
        <v>200</v>
      </c>
      <c r="CT54">
        <f t="shared" si="52"/>
        <v>41270</v>
      </c>
      <c r="CU54">
        <v>34500</v>
      </c>
      <c r="CV54">
        <f t="shared" si="53"/>
        <v>4830</v>
      </c>
      <c r="CW54">
        <f t="shared" si="54"/>
        <v>4140</v>
      </c>
      <c r="CX54">
        <v>0</v>
      </c>
      <c r="CY54">
        <v>500</v>
      </c>
      <c r="CZ54">
        <f t="shared" si="55"/>
        <v>43970</v>
      </c>
      <c r="DA54">
        <v>2500</v>
      </c>
      <c r="DB54">
        <v>0</v>
      </c>
      <c r="DC54">
        <f t="shared" si="56"/>
        <v>200</v>
      </c>
      <c r="DD54">
        <f t="shared" si="57"/>
        <v>41270</v>
      </c>
      <c r="DE54">
        <v>34500</v>
      </c>
      <c r="DF54">
        <f t="shared" si="58"/>
        <v>4830.0000000000009</v>
      </c>
      <c r="DG54">
        <f t="shared" si="59"/>
        <v>4140</v>
      </c>
      <c r="DH54">
        <v>0</v>
      </c>
      <c r="DI54">
        <v>500</v>
      </c>
      <c r="DJ54">
        <f t="shared" si="60"/>
        <v>43970</v>
      </c>
      <c r="DK54">
        <v>2500</v>
      </c>
      <c r="DL54">
        <v>0</v>
      </c>
      <c r="DM54">
        <f t="shared" si="61"/>
        <v>200</v>
      </c>
      <c r="DN54">
        <f t="shared" si="62"/>
        <v>41270</v>
      </c>
      <c r="DO54">
        <v>34500</v>
      </c>
      <c r="DP54">
        <f t="shared" si="63"/>
        <v>4830.0000000000009</v>
      </c>
      <c r="DQ54">
        <f t="shared" si="64"/>
        <v>4140</v>
      </c>
      <c r="DR54">
        <v>0</v>
      </c>
      <c r="DS54">
        <v>500</v>
      </c>
      <c r="DT54">
        <f t="shared" si="65"/>
        <v>43970</v>
      </c>
      <c r="DU54">
        <v>2500</v>
      </c>
      <c r="DV54">
        <v>0</v>
      </c>
      <c r="DW54">
        <f t="shared" si="66"/>
        <v>200</v>
      </c>
      <c r="DX54">
        <f t="shared" si="67"/>
        <v>41270</v>
      </c>
      <c r="DY54">
        <f t="shared" si="68"/>
        <v>522260</v>
      </c>
      <c r="DZ54">
        <f t="shared" si="0"/>
        <v>2400</v>
      </c>
      <c r="EA54">
        <f t="shared" si="1"/>
        <v>50000</v>
      </c>
      <c r="EB54">
        <v>0</v>
      </c>
      <c r="EC54">
        <f t="shared" si="2"/>
        <v>469860</v>
      </c>
      <c r="ED54">
        <f t="shared" si="3"/>
        <v>28000</v>
      </c>
      <c r="EE54">
        <f t="shared" si="4"/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f t="shared" si="5"/>
        <v>28000</v>
      </c>
      <c r="EQ54">
        <f t="shared" si="69"/>
        <v>28000</v>
      </c>
      <c r="ER54">
        <f t="shared" si="6"/>
        <v>441860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f t="shared" si="70"/>
        <v>0</v>
      </c>
      <c r="FA54">
        <f t="shared" si="71"/>
        <v>441860</v>
      </c>
      <c r="FB54">
        <f t="shared" si="72"/>
        <v>9593</v>
      </c>
      <c r="FC54">
        <f t="shared" si="73"/>
        <v>0</v>
      </c>
      <c r="FD54">
        <f t="shared" si="74"/>
        <v>9593</v>
      </c>
      <c r="FE54">
        <f t="shared" si="75"/>
        <v>0</v>
      </c>
      <c r="FF54">
        <f t="shared" si="76"/>
        <v>0</v>
      </c>
      <c r="FG54">
        <f t="shared" si="77"/>
        <v>0</v>
      </c>
      <c r="FH54">
        <v>0</v>
      </c>
      <c r="FI54">
        <f t="shared" si="78"/>
        <v>0</v>
      </c>
      <c r="FJ54" t="b">
        <f t="shared" si="79"/>
        <v>1</v>
      </c>
      <c r="FK54">
        <f t="shared" ca="1" si="80"/>
        <v>929</v>
      </c>
      <c r="FL54">
        <f t="shared" ca="1" si="81"/>
        <v>523189</v>
      </c>
      <c r="FM54">
        <f t="shared" si="82"/>
        <v>75000</v>
      </c>
      <c r="FN54">
        <f t="shared" ca="1" si="83"/>
        <v>448189</v>
      </c>
      <c r="FO54">
        <f t="shared" ca="1" si="84"/>
        <v>0</v>
      </c>
      <c r="FP54">
        <f t="shared" ca="1" si="85"/>
        <v>0</v>
      </c>
      <c r="FQ54">
        <f t="shared" ca="1" si="86"/>
        <v>0</v>
      </c>
      <c r="FR54">
        <f t="shared" ca="1" si="87"/>
        <v>0</v>
      </c>
      <c r="FS54">
        <f t="shared" ca="1" si="88"/>
        <v>0</v>
      </c>
      <c r="FT54">
        <f t="shared" ca="1" si="89"/>
        <v>0</v>
      </c>
      <c r="FU54">
        <f t="shared" ca="1" si="90"/>
        <v>0</v>
      </c>
      <c r="FV54">
        <f t="shared" ca="1" si="91"/>
        <v>0</v>
      </c>
      <c r="FW54">
        <f t="shared" ca="1" si="92"/>
        <v>148189</v>
      </c>
      <c r="FX54">
        <f t="shared" ca="1" si="93"/>
        <v>7409.4500000000007</v>
      </c>
      <c r="FY54">
        <f t="shared" ca="1" si="94"/>
        <v>7409</v>
      </c>
      <c r="FZ54">
        <f t="shared" ca="1" si="95"/>
        <v>0</v>
      </c>
      <c r="GA54">
        <f t="shared" ca="1" si="96"/>
        <v>0</v>
      </c>
      <c r="GB54">
        <f t="shared" ca="1" si="97"/>
        <v>7409</v>
      </c>
      <c r="GC54">
        <f t="shared" ca="1" si="98"/>
        <v>0</v>
      </c>
      <c r="GD54" t="b">
        <f t="shared" ca="1" si="99"/>
        <v>0</v>
      </c>
      <c r="GE54">
        <f t="shared" ca="1" si="100"/>
        <v>0</v>
      </c>
      <c r="GF54">
        <f t="shared" ca="1" si="101"/>
        <v>7409</v>
      </c>
      <c r="GG54">
        <f t="shared" ca="1" si="102"/>
        <v>0</v>
      </c>
      <c r="GH54">
        <f t="shared" ca="1" si="103"/>
        <v>0</v>
      </c>
      <c r="GI54">
        <f t="shared" ca="1" si="104"/>
        <v>0</v>
      </c>
    </row>
    <row r="55" spans="1:191" x14ac:dyDescent="0.25">
      <c r="A55">
        <f>_xlfn.AGGREGATE(3,5,$B$2:B55)</f>
        <v>54</v>
      </c>
      <c r="B55" t="s">
        <v>230</v>
      </c>
      <c r="C55" t="s">
        <v>231</v>
      </c>
      <c r="D55" t="s">
        <v>776</v>
      </c>
      <c r="E55" t="s">
        <v>844</v>
      </c>
      <c r="F55">
        <v>0</v>
      </c>
      <c r="G55">
        <v>6000</v>
      </c>
      <c r="H55">
        <v>32500</v>
      </c>
      <c r="I55">
        <f t="shared" si="7"/>
        <v>3250</v>
      </c>
      <c r="J55">
        <f t="shared" si="8"/>
        <v>3900</v>
      </c>
      <c r="K55">
        <v>0</v>
      </c>
      <c r="L55">
        <v>500</v>
      </c>
      <c r="M55">
        <f t="shared" si="9"/>
        <v>40150</v>
      </c>
      <c r="N55">
        <v>2000</v>
      </c>
      <c r="O55">
        <v>0</v>
      </c>
      <c r="P55">
        <f t="shared" si="10"/>
        <v>200</v>
      </c>
      <c r="Q55">
        <f t="shared" si="11"/>
        <v>37950</v>
      </c>
      <c r="R55">
        <v>32500</v>
      </c>
      <c r="S55">
        <f t="shared" si="12"/>
        <v>3250</v>
      </c>
      <c r="T55">
        <f t="shared" si="13"/>
        <v>3900</v>
      </c>
      <c r="U55">
        <v>0</v>
      </c>
      <c r="V55">
        <v>500</v>
      </c>
      <c r="W55">
        <f t="shared" si="14"/>
        <v>40150</v>
      </c>
      <c r="X55">
        <v>2000</v>
      </c>
      <c r="Y55">
        <v>0</v>
      </c>
      <c r="Z55">
        <f t="shared" si="15"/>
        <v>200</v>
      </c>
      <c r="AA55">
        <f t="shared" si="16"/>
        <v>37950</v>
      </c>
      <c r="AB55">
        <v>32500</v>
      </c>
      <c r="AC55">
        <f t="shared" si="17"/>
        <v>4550</v>
      </c>
      <c r="AD55">
        <f t="shared" si="18"/>
        <v>3900</v>
      </c>
      <c r="AE55">
        <v>0</v>
      </c>
      <c r="AF55">
        <v>500</v>
      </c>
      <c r="AG55">
        <f t="shared" si="19"/>
        <v>41450</v>
      </c>
      <c r="AH55">
        <v>2000</v>
      </c>
      <c r="AI55">
        <v>0</v>
      </c>
      <c r="AJ55">
        <f t="shared" si="20"/>
        <v>200</v>
      </c>
      <c r="AK55">
        <f t="shared" si="21"/>
        <v>39250</v>
      </c>
      <c r="AL55">
        <v>32500</v>
      </c>
      <c r="AM55">
        <f t="shared" si="22"/>
        <v>4550</v>
      </c>
      <c r="AN55">
        <f t="shared" si="23"/>
        <v>3900</v>
      </c>
      <c r="AO55">
        <v>0</v>
      </c>
      <c r="AP55">
        <v>500</v>
      </c>
      <c r="AQ55">
        <f t="shared" si="24"/>
        <v>41450</v>
      </c>
      <c r="AR55">
        <v>2000</v>
      </c>
      <c r="AS55">
        <v>0</v>
      </c>
      <c r="AT55">
        <f t="shared" si="25"/>
        <v>200</v>
      </c>
      <c r="AU55">
        <f t="shared" si="26"/>
        <v>39250</v>
      </c>
      <c r="AV55">
        <v>33500</v>
      </c>
      <c r="AW55">
        <f t="shared" si="27"/>
        <v>4690</v>
      </c>
      <c r="AX55">
        <f t="shared" si="28"/>
        <v>1300</v>
      </c>
      <c r="AY55">
        <f t="shared" si="29"/>
        <v>4020</v>
      </c>
      <c r="AZ55">
        <v>0</v>
      </c>
      <c r="BA55">
        <v>500</v>
      </c>
      <c r="BB55">
        <f t="shared" si="30"/>
        <v>44010</v>
      </c>
      <c r="BC55">
        <v>2500</v>
      </c>
      <c r="BD55">
        <v>0</v>
      </c>
      <c r="BE55">
        <f t="shared" si="31"/>
        <v>200</v>
      </c>
      <c r="BF55">
        <f t="shared" si="32"/>
        <v>41310</v>
      </c>
      <c r="BG55">
        <v>33500</v>
      </c>
      <c r="BH55">
        <f t="shared" si="33"/>
        <v>4690</v>
      </c>
      <c r="BI55">
        <f t="shared" si="34"/>
        <v>4020</v>
      </c>
      <c r="BJ55">
        <v>0</v>
      </c>
      <c r="BK55">
        <v>500</v>
      </c>
      <c r="BL55">
        <f t="shared" si="35"/>
        <v>42710</v>
      </c>
      <c r="BM55">
        <v>2500</v>
      </c>
      <c r="BN55">
        <v>0</v>
      </c>
      <c r="BO55">
        <f t="shared" si="36"/>
        <v>200</v>
      </c>
      <c r="BP55">
        <f t="shared" si="37"/>
        <v>40010</v>
      </c>
      <c r="BQ55">
        <v>33500</v>
      </c>
      <c r="BR55">
        <f t="shared" si="38"/>
        <v>4690</v>
      </c>
      <c r="BS55">
        <f t="shared" si="39"/>
        <v>4020</v>
      </c>
      <c r="BT55">
        <v>0</v>
      </c>
      <c r="BU55">
        <v>500</v>
      </c>
      <c r="BV55">
        <f t="shared" si="40"/>
        <v>42710</v>
      </c>
      <c r="BW55">
        <v>2500</v>
      </c>
      <c r="BX55">
        <v>0</v>
      </c>
      <c r="BY55">
        <f t="shared" si="41"/>
        <v>200</v>
      </c>
      <c r="BZ55">
        <f t="shared" si="42"/>
        <v>40010</v>
      </c>
      <c r="CA55">
        <v>33500</v>
      </c>
      <c r="CB55">
        <f t="shared" si="43"/>
        <v>4690</v>
      </c>
      <c r="CC55">
        <f t="shared" si="44"/>
        <v>4020</v>
      </c>
      <c r="CD55">
        <v>0</v>
      </c>
      <c r="CE55">
        <v>500</v>
      </c>
      <c r="CF55">
        <f t="shared" si="45"/>
        <v>42710</v>
      </c>
      <c r="CG55">
        <v>2500</v>
      </c>
      <c r="CH55">
        <v>0</v>
      </c>
      <c r="CI55">
        <f t="shared" si="46"/>
        <v>200</v>
      </c>
      <c r="CJ55">
        <f t="shared" si="47"/>
        <v>40010</v>
      </c>
      <c r="CK55">
        <v>33500</v>
      </c>
      <c r="CL55">
        <f t="shared" si="48"/>
        <v>4690</v>
      </c>
      <c r="CM55">
        <f t="shared" si="49"/>
        <v>4020</v>
      </c>
      <c r="CN55">
        <v>0</v>
      </c>
      <c r="CO55">
        <v>500</v>
      </c>
      <c r="CP55">
        <f t="shared" si="50"/>
        <v>42710</v>
      </c>
      <c r="CQ55">
        <v>2500</v>
      </c>
      <c r="CR55">
        <v>0</v>
      </c>
      <c r="CS55">
        <f t="shared" si="51"/>
        <v>200</v>
      </c>
      <c r="CT55">
        <f t="shared" si="52"/>
        <v>40010</v>
      </c>
      <c r="CU55">
        <v>33500</v>
      </c>
      <c r="CV55">
        <f t="shared" si="53"/>
        <v>4690</v>
      </c>
      <c r="CW55">
        <f t="shared" si="54"/>
        <v>4020</v>
      </c>
      <c r="CX55">
        <v>0</v>
      </c>
      <c r="CY55">
        <v>500</v>
      </c>
      <c r="CZ55">
        <f t="shared" si="55"/>
        <v>42710</v>
      </c>
      <c r="DA55">
        <v>2500</v>
      </c>
      <c r="DB55">
        <v>0</v>
      </c>
      <c r="DC55">
        <f t="shared" si="56"/>
        <v>200</v>
      </c>
      <c r="DD55">
        <f t="shared" si="57"/>
        <v>40010</v>
      </c>
      <c r="DE55">
        <v>33500</v>
      </c>
      <c r="DF55">
        <f t="shared" si="58"/>
        <v>4690</v>
      </c>
      <c r="DG55">
        <f t="shared" si="59"/>
        <v>4020</v>
      </c>
      <c r="DH55">
        <v>0</v>
      </c>
      <c r="DI55">
        <v>500</v>
      </c>
      <c r="DJ55">
        <f t="shared" si="60"/>
        <v>42710</v>
      </c>
      <c r="DK55">
        <v>2500</v>
      </c>
      <c r="DL55">
        <v>0</v>
      </c>
      <c r="DM55">
        <f t="shared" si="61"/>
        <v>200</v>
      </c>
      <c r="DN55">
        <f t="shared" si="62"/>
        <v>40010</v>
      </c>
      <c r="DO55">
        <v>33500</v>
      </c>
      <c r="DP55">
        <f t="shared" si="63"/>
        <v>4690</v>
      </c>
      <c r="DQ55">
        <f t="shared" si="64"/>
        <v>4020</v>
      </c>
      <c r="DR55">
        <v>0</v>
      </c>
      <c r="DS55">
        <v>500</v>
      </c>
      <c r="DT55">
        <f t="shared" si="65"/>
        <v>42710</v>
      </c>
      <c r="DU55">
        <v>2500</v>
      </c>
      <c r="DV55">
        <v>0</v>
      </c>
      <c r="DW55">
        <f t="shared" si="66"/>
        <v>200</v>
      </c>
      <c r="DX55">
        <f t="shared" si="67"/>
        <v>40010</v>
      </c>
      <c r="DY55">
        <f t="shared" si="68"/>
        <v>512180</v>
      </c>
      <c r="DZ55">
        <f t="shared" si="0"/>
        <v>2400</v>
      </c>
      <c r="EA55">
        <f t="shared" si="1"/>
        <v>50000</v>
      </c>
      <c r="EB55">
        <v>0</v>
      </c>
      <c r="EC55">
        <f t="shared" si="2"/>
        <v>459780</v>
      </c>
      <c r="ED55">
        <f t="shared" si="3"/>
        <v>28000</v>
      </c>
      <c r="EE55">
        <f t="shared" si="4"/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f t="shared" si="5"/>
        <v>28000</v>
      </c>
      <c r="EQ55">
        <f t="shared" si="69"/>
        <v>28000</v>
      </c>
      <c r="ER55">
        <f t="shared" si="6"/>
        <v>431780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f t="shared" si="70"/>
        <v>0</v>
      </c>
      <c r="FA55">
        <f t="shared" si="71"/>
        <v>431780</v>
      </c>
      <c r="FB55">
        <f t="shared" si="72"/>
        <v>9089</v>
      </c>
      <c r="FC55">
        <f t="shared" si="73"/>
        <v>0</v>
      </c>
      <c r="FD55">
        <f t="shared" si="74"/>
        <v>9089</v>
      </c>
      <c r="FE55">
        <f t="shared" si="75"/>
        <v>0</v>
      </c>
      <c r="FF55">
        <f t="shared" si="76"/>
        <v>0</v>
      </c>
      <c r="FG55">
        <f t="shared" si="77"/>
        <v>0</v>
      </c>
      <c r="FH55">
        <v>0</v>
      </c>
      <c r="FI55">
        <f t="shared" si="78"/>
        <v>0</v>
      </c>
      <c r="FJ55" t="b">
        <f t="shared" si="79"/>
        <v>1</v>
      </c>
      <c r="FK55">
        <f t="shared" ca="1" si="80"/>
        <v>563</v>
      </c>
      <c r="FL55">
        <f t="shared" ca="1" si="81"/>
        <v>512743</v>
      </c>
      <c r="FM55">
        <f t="shared" si="82"/>
        <v>75000</v>
      </c>
      <c r="FN55">
        <f t="shared" ca="1" si="83"/>
        <v>437743</v>
      </c>
      <c r="FO55">
        <f t="shared" ca="1" si="84"/>
        <v>0</v>
      </c>
      <c r="FP55">
        <f t="shared" ca="1" si="85"/>
        <v>0</v>
      </c>
      <c r="FQ55">
        <f t="shared" ca="1" si="86"/>
        <v>0</v>
      </c>
      <c r="FR55">
        <f t="shared" ca="1" si="87"/>
        <v>0</v>
      </c>
      <c r="FS55">
        <f t="shared" ca="1" si="88"/>
        <v>0</v>
      </c>
      <c r="FT55">
        <f t="shared" ca="1" si="89"/>
        <v>0</v>
      </c>
      <c r="FU55">
        <f t="shared" ca="1" si="90"/>
        <v>0</v>
      </c>
      <c r="FV55">
        <f t="shared" ca="1" si="91"/>
        <v>0</v>
      </c>
      <c r="FW55">
        <f t="shared" ca="1" si="92"/>
        <v>137743</v>
      </c>
      <c r="FX55">
        <f t="shared" ca="1" si="93"/>
        <v>6887.1500000000005</v>
      </c>
      <c r="FY55">
        <f t="shared" ca="1" si="94"/>
        <v>6887</v>
      </c>
      <c r="FZ55">
        <f t="shared" ca="1" si="95"/>
        <v>0</v>
      </c>
      <c r="GA55">
        <f t="shared" ca="1" si="96"/>
        <v>0</v>
      </c>
      <c r="GB55">
        <f t="shared" ca="1" si="97"/>
        <v>6887</v>
      </c>
      <c r="GC55">
        <f t="shared" ca="1" si="98"/>
        <v>0</v>
      </c>
      <c r="GD55" t="b">
        <f t="shared" ca="1" si="99"/>
        <v>0</v>
      </c>
      <c r="GE55">
        <f t="shared" ca="1" si="100"/>
        <v>0</v>
      </c>
      <c r="GF55">
        <f t="shared" ca="1" si="101"/>
        <v>6887</v>
      </c>
      <c r="GG55">
        <f t="shared" ca="1" si="102"/>
        <v>0</v>
      </c>
      <c r="GH55">
        <f t="shared" ca="1" si="103"/>
        <v>0</v>
      </c>
      <c r="GI55">
        <f t="shared" ca="1" si="104"/>
        <v>0</v>
      </c>
    </row>
    <row r="56" spans="1:191" x14ac:dyDescent="0.25">
      <c r="A56">
        <f>_xlfn.AGGREGATE(3,5,$B$2:B56)</f>
        <v>55</v>
      </c>
      <c r="B56" t="s">
        <v>232</v>
      </c>
      <c r="C56" t="s">
        <v>233</v>
      </c>
      <c r="D56" t="s">
        <v>776</v>
      </c>
      <c r="E56" t="s">
        <v>843</v>
      </c>
      <c r="F56">
        <v>0</v>
      </c>
      <c r="G56">
        <v>6000</v>
      </c>
      <c r="H56">
        <v>26200</v>
      </c>
      <c r="I56">
        <f t="shared" si="7"/>
        <v>2620</v>
      </c>
      <c r="J56">
        <f t="shared" si="8"/>
        <v>3144</v>
      </c>
      <c r="K56">
        <v>0</v>
      </c>
      <c r="L56">
        <v>0</v>
      </c>
      <c r="M56">
        <f t="shared" si="9"/>
        <v>31964</v>
      </c>
      <c r="N56">
        <v>2000</v>
      </c>
      <c r="O56">
        <v>0</v>
      </c>
      <c r="P56">
        <f t="shared" si="10"/>
        <v>150</v>
      </c>
      <c r="Q56">
        <f t="shared" si="11"/>
        <v>29814</v>
      </c>
      <c r="R56">
        <v>26200</v>
      </c>
      <c r="S56">
        <f t="shared" si="12"/>
        <v>2620</v>
      </c>
      <c r="T56">
        <f t="shared" si="13"/>
        <v>3144</v>
      </c>
      <c r="U56">
        <v>0</v>
      </c>
      <c r="V56">
        <v>0</v>
      </c>
      <c r="W56">
        <f t="shared" si="14"/>
        <v>31964</v>
      </c>
      <c r="X56">
        <v>2000</v>
      </c>
      <c r="Y56">
        <v>0</v>
      </c>
      <c r="Z56">
        <f t="shared" si="15"/>
        <v>150</v>
      </c>
      <c r="AA56">
        <f t="shared" si="16"/>
        <v>29814</v>
      </c>
      <c r="AB56">
        <v>26200</v>
      </c>
      <c r="AC56">
        <f t="shared" si="17"/>
        <v>3668.0000000000005</v>
      </c>
      <c r="AD56">
        <f t="shared" si="18"/>
        <v>3144</v>
      </c>
      <c r="AE56">
        <v>0</v>
      </c>
      <c r="AF56">
        <v>0</v>
      </c>
      <c r="AG56">
        <f t="shared" si="19"/>
        <v>33012</v>
      </c>
      <c r="AH56">
        <v>2000</v>
      </c>
      <c r="AI56">
        <v>0</v>
      </c>
      <c r="AJ56">
        <f t="shared" si="20"/>
        <v>150</v>
      </c>
      <c r="AK56">
        <f t="shared" si="21"/>
        <v>30862</v>
      </c>
      <c r="AL56">
        <v>26200</v>
      </c>
      <c r="AM56">
        <f t="shared" si="22"/>
        <v>3668.0000000000005</v>
      </c>
      <c r="AN56">
        <f t="shared" si="23"/>
        <v>3144</v>
      </c>
      <c r="AO56">
        <v>0</v>
      </c>
      <c r="AP56">
        <v>0</v>
      </c>
      <c r="AQ56">
        <f t="shared" si="24"/>
        <v>33012</v>
      </c>
      <c r="AR56">
        <v>2000</v>
      </c>
      <c r="AS56">
        <v>0</v>
      </c>
      <c r="AT56">
        <f t="shared" si="25"/>
        <v>150</v>
      </c>
      <c r="AU56">
        <f t="shared" si="26"/>
        <v>30862</v>
      </c>
      <c r="AV56">
        <v>27000</v>
      </c>
      <c r="AW56">
        <f t="shared" si="27"/>
        <v>3780.0000000000005</v>
      </c>
      <c r="AX56">
        <f t="shared" si="28"/>
        <v>1048</v>
      </c>
      <c r="AY56">
        <f t="shared" si="29"/>
        <v>3240</v>
      </c>
      <c r="AZ56">
        <v>0</v>
      </c>
      <c r="BA56">
        <v>0</v>
      </c>
      <c r="BB56">
        <f t="shared" si="30"/>
        <v>35068</v>
      </c>
      <c r="BC56">
        <v>2000</v>
      </c>
      <c r="BD56">
        <v>0</v>
      </c>
      <c r="BE56">
        <f t="shared" si="31"/>
        <v>150</v>
      </c>
      <c r="BF56">
        <f t="shared" si="32"/>
        <v>32918</v>
      </c>
      <c r="BG56">
        <v>27000</v>
      </c>
      <c r="BH56">
        <f t="shared" si="33"/>
        <v>3780.0000000000005</v>
      </c>
      <c r="BI56">
        <f t="shared" si="34"/>
        <v>3240</v>
      </c>
      <c r="BJ56">
        <v>0</v>
      </c>
      <c r="BK56">
        <v>0</v>
      </c>
      <c r="BL56">
        <f t="shared" si="35"/>
        <v>34020</v>
      </c>
      <c r="BM56">
        <v>2000</v>
      </c>
      <c r="BN56">
        <v>0</v>
      </c>
      <c r="BO56">
        <f t="shared" si="36"/>
        <v>150</v>
      </c>
      <c r="BP56">
        <f t="shared" si="37"/>
        <v>31870</v>
      </c>
      <c r="BQ56">
        <v>27000</v>
      </c>
      <c r="BR56">
        <f t="shared" si="38"/>
        <v>3780.0000000000005</v>
      </c>
      <c r="BS56">
        <f t="shared" si="39"/>
        <v>3240</v>
      </c>
      <c r="BT56">
        <v>0</v>
      </c>
      <c r="BU56">
        <v>0</v>
      </c>
      <c r="BV56">
        <f t="shared" si="40"/>
        <v>34020</v>
      </c>
      <c r="BW56">
        <v>2000</v>
      </c>
      <c r="BX56">
        <v>0</v>
      </c>
      <c r="BY56">
        <f t="shared" si="41"/>
        <v>150</v>
      </c>
      <c r="BZ56">
        <f t="shared" si="42"/>
        <v>31870</v>
      </c>
      <c r="CA56">
        <v>27000</v>
      </c>
      <c r="CB56">
        <f t="shared" si="43"/>
        <v>3780.0000000000005</v>
      </c>
      <c r="CC56">
        <f t="shared" si="44"/>
        <v>3240</v>
      </c>
      <c r="CD56">
        <v>0</v>
      </c>
      <c r="CE56">
        <v>0</v>
      </c>
      <c r="CF56">
        <f t="shared" si="45"/>
        <v>34020</v>
      </c>
      <c r="CG56">
        <v>2000</v>
      </c>
      <c r="CH56">
        <v>0</v>
      </c>
      <c r="CI56">
        <f t="shared" si="46"/>
        <v>150</v>
      </c>
      <c r="CJ56">
        <f t="shared" si="47"/>
        <v>31870</v>
      </c>
      <c r="CK56">
        <v>27000</v>
      </c>
      <c r="CL56">
        <f t="shared" si="48"/>
        <v>3780.0000000000005</v>
      </c>
      <c r="CM56">
        <f t="shared" si="49"/>
        <v>3240</v>
      </c>
      <c r="CN56">
        <v>0</v>
      </c>
      <c r="CO56">
        <v>0</v>
      </c>
      <c r="CP56">
        <f t="shared" si="50"/>
        <v>34020</v>
      </c>
      <c r="CQ56">
        <v>2000</v>
      </c>
      <c r="CR56">
        <v>0</v>
      </c>
      <c r="CS56">
        <f t="shared" si="51"/>
        <v>150</v>
      </c>
      <c r="CT56">
        <f t="shared" si="52"/>
        <v>31870</v>
      </c>
      <c r="CU56">
        <v>27000</v>
      </c>
      <c r="CV56">
        <f t="shared" si="53"/>
        <v>3780</v>
      </c>
      <c r="CW56">
        <f t="shared" si="54"/>
        <v>3240</v>
      </c>
      <c r="CX56">
        <v>0</v>
      </c>
      <c r="CY56">
        <v>0</v>
      </c>
      <c r="CZ56">
        <f t="shared" si="55"/>
        <v>34020</v>
      </c>
      <c r="DA56">
        <v>2000</v>
      </c>
      <c r="DB56">
        <v>0</v>
      </c>
      <c r="DC56">
        <f t="shared" si="56"/>
        <v>150</v>
      </c>
      <c r="DD56">
        <f t="shared" si="57"/>
        <v>31870</v>
      </c>
      <c r="DE56">
        <v>27000</v>
      </c>
      <c r="DF56">
        <f t="shared" si="58"/>
        <v>3780.0000000000005</v>
      </c>
      <c r="DG56">
        <f t="shared" si="59"/>
        <v>3240</v>
      </c>
      <c r="DH56">
        <v>0</v>
      </c>
      <c r="DI56">
        <v>0</v>
      </c>
      <c r="DJ56">
        <f t="shared" si="60"/>
        <v>34020</v>
      </c>
      <c r="DK56">
        <v>2000</v>
      </c>
      <c r="DL56">
        <v>0</v>
      </c>
      <c r="DM56">
        <f t="shared" si="61"/>
        <v>150</v>
      </c>
      <c r="DN56">
        <f t="shared" si="62"/>
        <v>31870</v>
      </c>
      <c r="DO56">
        <v>27000</v>
      </c>
      <c r="DP56">
        <f t="shared" si="63"/>
        <v>3780.0000000000005</v>
      </c>
      <c r="DQ56">
        <f t="shared" si="64"/>
        <v>3240</v>
      </c>
      <c r="DR56">
        <v>0</v>
      </c>
      <c r="DS56">
        <v>0</v>
      </c>
      <c r="DT56">
        <f t="shared" si="65"/>
        <v>34020</v>
      </c>
      <c r="DU56">
        <v>2000</v>
      </c>
      <c r="DV56">
        <v>0</v>
      </c>
      <c r="DW56">
        <f t="shared" si="66"/>
        <v>150</v>
      </c>
      <c r="DX56">
        <f t="shared" si="67"/>
        <v>31870</v>
      </c>
      <c r="DY56">
        <f t="shared" si="68"/>
        <v>409160</v>
      </c>
      <c r="DZ56">
        <f t="shared" si="0"/>
        <v>1800</v>
      </c>
      <c r="EA56">
        <f t="shared" si="1"/>
        <v>50000</v>
      </c>
      <c r="EB56">
        <v>0</v>
      </c>
      <c r="EC56">
        <f t="shared" si="2"/>
        <v>357360</v>
      </c>
      <c r="ED56">
        <f t="shared" si="3"/>
        <v>24000</v>
      </c>
      <c r="EE56">
        <f t="shared" si="4"/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f t="shared" si="5"/>
        <v>24000</v>
      </c>
      <c r="EQ56">
        <f t="shared" si="69"/>
        <v>24000</v>
      </c>
      <c r="ER56">
        <f t="shared" si="6"/>
        <v>333360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f t="shared" si="70"/>
        <v>0</v>
      </c>
      <c r="FA56">
        <f t="shared" si="71"/>
        <v>333360</v>
      </c>
      <c r="FB56">
        <f t="shared" si="72"/>
        <v>4168</v>
      </c>
      <c r="FC56">
        <f t="shared" si="73"/>
        <v>0</v>
      </c>
      <c r="FD56">
        <f t="shared" si="74"/>
        <v>4168</v>
      </c>
      <c r="FE56">
        <f t="shared" si="75"/>
        <v>0</v>
      </c>
      <c r="FF56">
        <f t="shared" si="76"/>
        <v>0</v>
      </c>
      <c r="FG56">
        <f t="shared" si="77"/>
        <v>0</v>
      </c>
      <c r="FH56">
        <v>0</v>
      </c>
      <c r="FI56">
        <f t="shared" si="78"/>
        <v>0</v>
      </c>
      <c r="FJ56" t="b">
        <f t="shared" si="79"/>
        <v>0</v>
      </c>
      <c r="FK56">
        <f t="shared" ca="1" si="80"/>
        <v>1606</v>
      </c>
      <c r="FL56">
        <f t="shared" ca="1" si="81"/>
        <v>410766</v>
      </c>
      <c r="FM56">
        <f t="shared" si="82"/>
        <v>75000</v>
      </c>
      <c r="FN56">
        <f t="shared" ca="1" si="83"/>
        <v>335766</v>
      </c>
      <c r="FO56">
        <f t="shared" ca="1" si="84"/>
        <v>0</v>
      </c>
      <c r="FP56">
        <f t="shared" ca="1" si="85"/>
        <v>0</v>
      </c>
      <c r="FQ56">
        <f t="shared" ca="1" si="86"/>
        <v>0</v>
      </c>
      <c r="FR56">
        <f t="shared" ca="1" si="87"/>
        <v>0</v>
      </c>
      <c r="FS56">
        <f t="shared" ca="1" si="88"/>
        <v>0</v>
      </c>
      <c r="FT56">
        <f t="shared" ca="1" si="89"/>
        <v>0</v>
      </c>
      <c r="FU56">
        <f t="shared" ca="1" si="90"/>
        <v>0</v>
      </c>
      <c r="FV56">
        <f t="shared" ca="1" si="91"/>
        <v>0</v>
      </c>
      <c r="FW56">
        <f t="shared" ca="1" si="92"/>
        <v>35766</v>
      </c>
      <c r="FX56">
        <f t="shared" ca="1" si="93"/>
        <v>1788.3000000000002</v>
      </c>
      <c r="FY56">
        <f t="shared" ca="1" si="94"/>
        <v>1788</v>
      </c>
      <c r="FZ56">
        <f t="shared" ca="1" si="95"/>
        <v>0</v>
      </c>
      <c r="GA56">
        <f t="shared" ca="1" si="96"/>
        <v>0</v>
      </c>
      <c r="GB56">
        <f t="shared" ca="1" si="97"/>
        <v>1788</v>
      </c>
      <c r="GC56">
        <f t="shared" ca="1" si="98"/>
        <v>0</v>
      </c>
      <c r="GD56" t="b">
        <f t="shared" ca="1" si="99"/>
        <v>0</v>
      </c>
      <c r="GE56">
        <f t="shared" ca="1" si="100"/>
        <v>0</v>
      </c>
      <c r="GF56">
        <f t="shared" ca="1" si="101"/>
        <v>1788</v>
      </c>
      <c r="GG56">
        <f t="shared" ca="1" si="102"/>
        <v>0</v>
      </c>
      <c r="GH56">
        <f t="shared" ca="1" si="103"/>
        <v>0</v>
      </c>
      <c r="GI56">
        <f t="shared" ca="1" si="104"/>
        <v>0</v>
      </c>
    </row>
    <row r="57" spans="1:191" x14ac:dyDescent="0.25">
      <c r="A57">
        <f>_xlfn.AGGREGATE(3,5,$B$2:B57)</f>
        <v>56</v>
      </c>
      <c r="B57" t="s">
        <v>234</v>
      </c>
      <c r="C57" t="s">
        <v>235</v>
      </c>
      <c r="D57" t="s">
        <v>776</v>
      </c>
      <c r="E57" t="s">
        <v>843</v>
      </c>
      <c r="F57">
        <v>0</v>
      </c>
      <c r="G57">
        <v>6000</v>
      </c>
      <c r="H57">
        <v>32500</v>
      </c>
      <c r="I57">
        <f t="shared" si="7"/>
        <v>3250</v>
      </c>
      <c r="J57">
        <f t="shared" si="8"/>
        <v>3900</v>
      </c>
      <c r="K57">
        <v>0</v>
      </c>
      <c r="L57">
        <v>500</v>
      </c>
      <c r="M57">
        <f t="shared" si="9"/>
        <v>40150</v>
      </c>
      <c r="N57">
        <v>2000</v>
      </c>
      <c r="O57">
        <v>0</v>
      </c>
      <c r="P57">
        <f t="shared" si="10"/>
        <v>200</v>
      </c>
      <c r="Q57">
        <f t="shared" si="11"/>
        <v>37950</v>
      </c>
      <c r="R57">
        <v>32500</v>
      </c>
      <c r="S57">
        <f t="shared" si="12"/>
        <v>3250</v>
      </c>
      <c r="T57">
        <f t="shared" si="13"/>
        <v>3900</v>
      </c>
      <c r="U57">
        <v>0</v>
      </c>
      <c r="V57">
        <v>500</v>
      </c>
      <c r="W57">
        <f t="shared" si="14"/>
        <v>40150</v>
      </c>
      <c r="X57">
        <v>2000</v>
      </c>
      <c r="Y57">
        <v>0</v>
      </c>
      <c r="Z57">
        <f t="shared" si="15"/>
        <v>200</v>
      </c>
      <c r="AA57">
        <f t="shared" si="16"/>
        <v>37950</v>
      </c>
      <c r="AB57">
        <v>32500</v>
      </c>
      <c r="AC57">
        <f t="shared" si="17"/>
        <v>4550</v>
      </c>
      <c r="AD57">
        <f t="shared" si="18"/>
        <v>3900</v>
      </c>
      <c r="AE57">
        <v>0</v>
      </c>
      <c r="AF57">
        <v>500</v>
      </c>
      <c r="AG57">
        <f t="shared" si="19"/>
        <v>41450</v>
      </c>
      <c r="AH57">
        <v>2000</v>
      </c>
      <c r="AI57">
        <v>0</v>
      </c>
      <c r="AJ57">
        <f t="shared" si="20"/>
        <v>200</v>
      </c>
      <c r="AK57">
        <f t="shared" si="21"/>
        <v>39250</v>
      </c>
      <c r="AL57">
        <v>32500</v>
      </c>
      <c r="AM57">
        <f t="shared" si="22"/>
        <v>4550</v>
      </c>
      <c r="AN57">
        <f t="shared" si="23"/>
        <v>3900</v>
      </c>
      <c r="AO57">
        <v>0</v>
      </c>
      <c r="AP57">
        <v>500</v>
      </c>
      <c r="AQ57">
        <f t="shared" si="24"/>
        <v>41450</v>
      </c>
      <c r="AR57">
        <v>2000</v>
      </c>
      <c r="AS57">
        <v>0</v>
      </c>
      <c r="AT57">
        <f t="shared" si="25"/>
        <v>200</v>
      </c>
      <c r="AU57">
        <f t="shared" si="26"/>
        <v>39250</v>
      </c>
      <c r="AV57">
        <v>33500</v>
      </c>
      <c r="AW57">
        <f t="shared" si="27"/>
        <v>4690</v>
      </c>
      <c r="AX57">
        <f t="shared" si="28"/>
        <v>1300</v>
      </c>
      <c r="AY57">
        <f t="shared" si="29"/>
        <v>4020</v>
      </c>
      <c r="AZ57">
        <v>0</v>
      </c>
      <c r="BA57">
        <v>500</v>
      </c>
      <c r="BB57">
        <f t="shared" si="30"/>
        <v>44010</v>
      </c>
      <c r="BC57">
        <v>2500</v>
      </c>
      <c r="BD57">
        <v>0</v>
      </c>
      <c r="BE57">
        <f t="shared" si="31"/>
        <v>200</v>
      </c>
      <c r="BF57">
        <f t="shared" si="32"/>
        <v>41310</v>
      </c>
      <c r="BG57">
        <v>33500</v>
      </c>
      <c r="BH57">
        <f t="shared" si="33"/>
        <v>4690</v>
      </c>
      <c r="BI57">
        <f t="shared" si="34"/>
        <v>4020</v>
      </c>
      <c r="BJ57">
        <v>0</v>
      </c>
      <c r="BK57">
        <v>500</v>
      </c>
      <c r="BL57">
        <f t="shared" si="35"/>
        <v>42710</v>
      </c>
      <c r="BM57">
        <v>2500</v>
      </c>
      <c r="BN57">
        <v>0</v>
      </c>
      <c r="BO57">
        <f t="shared" si="36"/>
        <v>200</v>
      </c>
      <c r="BP57">
        <f t="shared" si="37"/>
        <v>40010</v>
      </c>
      <c r="BQ57">
        <v>33500</v>
      </c>
      <c r="BR57">
        <f t="shared" si="38"/>
        <v>4690</v>
      </c>
      <c r="BS57">
        <f t="shared" si="39"/>
        <v>4020</v>
      </c>
      <c r="BT57">
        <v>0</v>
      </c>
      <c r="BU57">
        <v>500</v>
      </c>
      <c r="BV57">
        <f t="shared" si="40"/>
        <v>42710</v>
      </c>
      <c r="BW57">
        <v>2500</v>
      </c>
      <c r="BX57">
        <v>0</v>
      </c>
      <c r="BY57">
        <f t="shared" si="41"/>
        <v>200</v>
      </c>
      <c r="BZ57">
        <f t="shared" si="42"/>
        <v>40010</v>
      </c>
      <c r="CA57">
        <v>33500</v>
      </c>
      <c r="CB57">
        <f t="shared" si="43"/>
        <v>4690</v>
      </c>
      <c r="CC57">
        <f t="shared" si="44"/>
        <v>4020</v>
      </c>
      <c r="CD57">
        <v>0</v>
      </c>
      <c r="CE57">
        <v>500</v>
      </c>
      <c r="CF57">
        <f t="shared" si="45"/>
        <v>42710</v>
      </c>
      <c r="CG57">
        <v>2500</v>
      </c>
      <c r="CH57">
        <v>0</v>
      </c>
      <c r="CI57">
        <f t="shared" si="46"/>
        <v>200</v>
      </c>
      <c r="CJ57">
        <f t="shared" si="47"/>
        <v>40010</v>
      </c>
      <c r="CK57">
        <v>33500</v>
      </c>
      <c r="CL57">
        <f t="shared" si="48"/>
        <v>4690</v>
      </c>
      <c r="CM57">
        <f t="shared" si="49"/>
        <v>4020</v>
      </c>
      <c r="CN57">
        <v>0</v>
      </c>
      <c r="CO57">
        <v>500</v>
      </c>
      <c r="CP57">
        <f t="shared" si="50"/>
        <v>42710</v>
      </c>
      <c r="CQ57">
        <v>2500</v>
      </c>
      <c r="CR57">
        <v>0</v>
      </c>
      <c r="CS57">
        <f t="shared" si="51"/>
        <v>200</v>
      </c>
      <c r="CT57">
        <f t="shared" si="52"/>
        <v>40010</v>
      </c>
      <c r="CU57">
        <v>33500</v>
      </c>
      <c r="CV57">
        <f t="shared" si="53"/>
        <v>4690</v>
      </c>
      <c r="CW57">
        <f t="shared" si="54"/>
        <v>4020</v>
      </c>
      <c r="CX57">
        <v>0</v>
      </c>
      <c r="CY57">
        <v>500</v>
      </c>
      <c r="CZ57">
        <f t="shared" si="55"/>
        <v>42710</v>
      </c>
      <c r="DA57">
        <v>2500</v>
      </c>
      <c r="DB57">
        <v>0</v>
      </c>
      <c r="DC57">
        <f t="shared" si="56"/>
        <v>200</v>
      </c>
      <c r="DD57">
        <f t="shared" si="57"/>
        <v>40010</v>
      </c>
      <c r="DE57">
        <v>33500</v>
      </c>
      <c r="DF57">
        <f t="shared" si="58"/>
        <v>4690</v>
      </c>
      <c r="DG57">
        <f t="shared" si="59"/>
        <v>4020</v>
      </c>
      <c r="DH57">
        <v>0</v>
      </c>
      <c r="DI57">
        <v>500</v>
      </c>
      <c r="DJ57">
        <f t="shared" si="60"/>
        <v>42710</v>
      </c>
      <c r="DK57">
        <v>2500</v>
      </c>
      <c r="DL57">
        <v>0</v>
      </c>
      <c r="DM57">
        <f t="shared" si="61"/>
        <v>200</v>
      </c>
      <c r="DN57">
        <f t="shared" si="62"/>
        <v>40010</v>
      </c>
      <c r="DO57">
        <v>33500</v>
      </c>
      <c r="DP57">
        <f t="shared" si="63"/>
        <v>4690</v>
      </c>
      <c r="DQ57">
        <f t="shared" si="64"/>
        <v>4020</v>
      </c>
      <c r="DR57">
        <v>0</v>
      </c>
      <c r="DS57">
        <v>500</v>
      </c>
      <c r="DT57">
        <f t="shared" si="65"/>
        <v>42710</v>
      </c>
      <c r="DU57">
        <v>2500</v>
      </c>
      <c r="DV57">
        <v>0</v>
      </c>
      <c r="DW57">
        <f t="shared" si="66"/>
        <v>200</v>
      </c>
      <c r="DX57">
        <f t="shared" si="67"/>
        <v>40010</v>
      </c>
      <c r="DY57">
        <f t="shared" si="68"/>
        <v>512180</v>
      </c>
      <c r="DZ57">
        <f t="shared" si="0"/>
        <v>2400</v>
      </c>
      <c r="EA57">
        <f t="shared" si="1"/>
        <v>50000</v>
      </c>
      <c r="EB57">
        <v>0</v>
      </c>
      <c r="EC57">
        <f t="shared" si="2"/>
        <v>459780</v>
      </c>
      <c r="ED57">
        <f t="shared" si="3"/>
        <v>28000</v>
      </c>
      <c r="EE57">
        <f t="shared" si="4"/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f t="shared" si="5"/>
        <v>28000</v>
      </c>
      <c r="EQ57">
        <f t="shared" si="69"/>
        <v>28000</v>
      </c>
      <c r="ER57">
        <f t="shared" si="6"/>
        <v>431780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f t="shared" si="70"/>
        <v>0</v>
      </c>
      <c r="FA57">
        <f t="shared" si="71"/>
        <v>431780</v>
      </c>
      <c r="FB57">
        <f t="shared" si="72"/>
        <v>9089</v>
      </c>
      <c r="FC57">
        <f t="shared" si="73"/>
        <v>0</v>
      </c>
      <c r="FD57">
        <f t="shared" si="74"/>
        <v>9089</v>
      </c>
      <c r="FE57">
        <f t="shared" si="75"/>
        <v>0</v>
      </c>
      <c r="FF57">
        <f t="shared" si="76"/>
        <v>0</v>
      </c>
      <c r="FG57">
        <f t="shared" si="77"/>
        <v>0</v>
      </c>
      <c r="FH57">
        <v>0</v>
      </c>
      <c r="FI57">
        <f t="shared" si="78"/>
        <v>0</v>
      </c>
      <c r="FJ57" t="b">
        <f t="shared" si="79"/>
        <v>1</v>
      </c>
      <c r="FK57">
        <f t="shared" ca="1" si="80"/>
        <v>716</v>
      </c>
      <c r="FL57">
        <f t="shared" ca="1" si="81"/>
        <v>512896</v>
      </c>
      <c r="FM57">
        <f t="shared" si="82"/>
        <v>75000</v>
      </c>
      <c r="FN57">
        <f t="shared" ca="1" si="83"/>
        <v>437896</v>
      </c>
      <c r="FO57">
        <f t="shared" ca="1" si="84"/>
        <v>0</v>
      </c>
      <c r="FP57">
        <f t="shared" ca="1" si="85"/>
        <v>0</v>
      </c>
      <c r="FQ57">
        <f t="shared" ca="1" si="86"/>
        <v>0</v>
      </c>
      <c r="FR57">
        <f t="shared" ca="1" si="87"/>
        <v>0</v>
      </c>
      <c r="FS57">
        <f t="shared" ca="1" si="88"/>
        <v>0</v>
      </c>
      <c r="FT57">
        <f t="shared" ca="1" si="89"/>
        <v>0</v>
      </c>
      <c r="FU57">
        <f t="shared" ca="1" si="90"/>
        <v>0</v>
      </c>
      <c r="FV57">
        <f t="shared" ca="1" si="91"/>
        <v>0</v>
      </c>
      <c r="FW57">
        <f t="shared" ca="1" si="92"/>
        <v>137896</v>
      </c>
      <c r="FX57">
        <f t="shared" ca="1" si="93"/>
        <v>6894.8</v>
      </c>
      <c r="FY57">
        <f t="shared" ca="1" si="94"/>
        <v>6895</v>
      </c>
      <c r="FZ57">
        <f t="shared" ca="1" si="95"/>
        <v>0</v>
      </c>
      <c r="GA57">
        <f t="shared" ca="1" si="96"/>
        <v>0</v>
      </c>
      <c r="GB57">
        <f t="shared" ca="1" si="97"/>
        <v>6895</v>
      </c>
      <c r="GC57">
        <f t="shared" ca="1" si="98"/>
        <v>0</v>
      </c>
      <c r="GD57" t="b">
        <f t="shared" ca="1" si="99"/>
        <v>0</v>
      </c>
      <c r="GE57">
        <f t="shared" ca="1" si="100"/>
        <v>0</v>
      </c>
      <c r="GF57">
        <f t="shared" ca="1" si="101"/>
        <v>6895</v>
      </c>
      <c r="GG57">
        <f t="shared" ca="1" si="102"/>
        <v>0</v>
      </c>
      <c r="GH57">
        <f t="shared" ca="1" si="103"/>
        <v>0</v>
      </c>
      <c r="GI57">
        <f t="shared" ca="1" si="104"/>
        <v>0</v>
      </c>
    </row>
    <row r="58" spans="1:191" x14ac:dyDescent="0.25">
      <c r="A58">
        <f>_xlfn.AGGREGATE(3,5,$B$2:B58)</f>
        <v>57</v>
      </c>
      <c r="B58" t="s">
        <v>236</v>
      </c>
      <c r="C58" t="s">
        <v>237</v>
      </c>
      <c r="D58" t="s">
        <v>777</v>
      </c>
      <c r="E58" t="s">
        <v>844</v>
      </c>
      <c r="F58">
        <v>0</v>
      </c>
      <c r="G58">
        <v>6000</v>
      </c>
      <c r="H58">
        <v>36600</v>
      </c>
      <c r="I58">
        <f t="shared" si="7"/>
        <v>3660</v>
      </c>
      <c r="J58">
        <f t="shared" si="8"/>
        <v>4392</v>
      </c>
      <c r="K58">
        <v>400</v>
      </c>
      <c r="L58">
        <v>500</v>
      </c>
      <c r="M58">
        <f t="shared" si="9"/>
        <v>45552</v>
      </c>
      <c r="N58">
        <v>3000</v>
      </c>
      <c r="O58">
        <v>0</v>
      </c>
      <c r="P58">
        <f t="shared" si="10"/>
        <v>200</v>
      </c>
      <c r="Q58">
        <f t="shared" si="11"/>
        <v>42352</v>
      </c>
      <c r="R58">
        <v>36600</v>
      </c>
      <c r="S58">
        <f t="shared" si="12"/>
        <v>3660</v>
      </c>
      <c r="T58">
        <f t="shared" si="13"/>
        <v>4392</v>
      </c>
      <c r="U58">
        <v>400</v>
      </c>
      <c r="V58">
        <v>500</v>
      </c>
      <c r="W58">
        <f t="shared" si="14"/>
        <v>45552</v>
      </c>
      <c r="X58">
        <v>3000</v>
      </c>
      <c r="Y58">
        <v>0</v>
      </c>
      <c r="Z58">
        <f t="shared" si="15"/>
        <v>200</v>
      </c>
      <c r="AA58">
        <f t="shared" si="16"/>
        <v>42352</v>
      </c>
      <c r="AB58">
        <v>36600</v>
      </c>
      <c r="AC58">
        <f t="shared" si="17"/>
        <v>5124.0000000000009</v>
      </c>
      <c r="AD58">
        <f t="shared" si="18"/>
        <v>4392</v>
      </c>
      <c r="AE58">
        <v>400</v>
      </c>
      <c r="AF58">
        <v>500</v>
      </c>
      <c r="AG58">
        <f t="shared" si="19"/>
        <v>47016</v>
      </c>
      <c r="AH58">
        <v>3000</v>
      </c>
      <c r="AI58">
        <v>0</v>
      </c>
      <c r="AJ58">
        <f t="shared" si="20"/>
        <v>200</v>
      </c>
      <c r="AK58">
        <f t="shared" si="21"/>
        <v>43816</v>
      </c>
      <c r="AL58">
        <v>36600</v>
      </c>
      <c r="AM58">
        <f t="shared" si="22"/>
        <v>5124.0000000000009</v>
      </c>
      <c r="AN58">
        <f t="shared" si="23"/>
        <v>4392</v>
      </c>
      <c r="AO58">
        <v>400</v>
      </c>
      <c r="AP58">
        <v>500</v>
      </c>
      <c r="AQ58">
        <f t="shared" si="24"/>
        <v>47016</v>
      </c>
      <c r="AR58">
        <v>3000</v>
      </c>
      <c r="AS58">
        <v>0</v>
      </c>
      <c r="AT58">
        <f t="shared" si="25"/>
        <v>200</v>
      </c>
      <c r="AU58">
        <f t="shared" si="26"/>
        <v>43816</v>
      </c>
      <c r="AV58">
        <v>37700</v>
      </c>
      <c r="AW58">
        <f t="shared" si="27"/>
        <v>5278.0000000000009</v>
      </c>
      <c r="AX58">
        <f t="shared" si="28"/>
        <v>1464</v>
      </c>
      <c r="AY58">
        <f t="shared" si="29"/>
        <v>4524</v>
      </c>
      <c r="AZ58">
        <v>400</v>
      </c>
      <c r="BA58">
        <v>500</v>
      </c>
      <c r="BB58">
        <f t="shared" si="30"/>
        <v>49866</v>
      </c>
      <c r="BC58">
        <v>3000</v>
      </c>
      <c r="BD58">
        <v>0</v>
      </c>
      <c r="BE58">
        <f t="shared" si="31"/>
        <v>200</v>
      </c>
      <c r="BF58">
        <f t="shared" si="32"/>
        <v>46666</v>
      </c>
      <c r="BG58">
        <v>37700</v>
      </c>
      <c r="BH58">
        <f t="shared" si="33"/>
        <v>5278.0000000000009</v>
      </c>
      <c r="BI58">
        <f t="shared" si="34"/>
        <v>4524</v>
      </c>
      <c r="BJ58">
        <v>400</v>
      </c>
      <c r="BK58">
        <v>500</v>
      </c>
      <c r="BL58">
        <f t="shared" si="35"/>
        <v>48402</v>
      </c>
      <c r="BM58">
        <v>3000</v>
      </c>
      <c r="BN58">
        <v>0</v>
      </c>
      <c r="BO58">
        <f t="shared" si="36"/>
        <v>200</v>
      </c>
      <c r="BP58">
        <f t="shared" si="37"/>
        <v>45202</v>
      </c>
      <c r="BQ58">
        <v>37700</v>
      </c>
      <c r="BR58">
        <f t="shared" si="38"/>
        <v>5278.0000000000009</v>
      </c>
      <c r="BS58">
        <f t="shared" si="39"/>
        <v>4524</v>
      </c>
      <c r="BT58">
        <v>400</v>
      </c>
      <c r="BU58">
        <v>500</v>
      </c>
      <c r="BV58">
        <f t="shared" si="40"/>
        <v>48402</v>
      </c>
      <c r="BW58">
        <v>3000</v>
      </c>
      <c r="BX58">
        <v>0</v>
      </c>
      <c r="BY58">
        <f t="shared" si="41"/>
        <v>200</v>
      </c>
      <c r="BZ58">
        <f t="shared" si="42"/>
        <v>45202</v>
      </c>
      <c r="CA58">
        <v>37700</v>
      </c>
      <c r="CB58">
        <f t="shared" si="43"/>
        <v>5278.0000000000009</v>
      </c>
      <c r="CC58">
        <f t="shared" si="44"/>
        <v>4524</v>
      </c>
      <c r="CD58">
        <v>400</v>
      </c>
      <c r="CE58">
        <v>500</v>
      </c>
      <c r="CF58">
        <f t="shared" si="45"/>
        <v>48402</v>
      </c>
      <c r="CG58">
        <v>3000</v>
      </c>
      <c r="CH58">
        <v>0</v>
      </c>
      <c r="CI58">
        <f t="shared" si="46"/>
        <v>200</v>
      </c>
      <c r="CJ58">
        <f t="shared" si="47"/>
        <v>45202</v>
      </c>
      <c r="CK58">
        <v>37700</v>
      </c>
      <c r="CL58">
        <f t="shared" si="48"/>
        <v>5278.0000000000009</v>
      </c>
      <c r="CM58">
        <f t="shared" si="49"/>
        <v>4524</v>
      </c>
      <c r="CN58">
        <v>400</v>
      </c>
      <c r="CO58">
        <v>500</v>
      </c>
      <c r="CP58">
        <f t="shared" si="50"/>
        <v>48402</v>
      </c>
      <c r="CQ58">
        <v>3000</v>
      </c>
      <c r="CR58">
        <v>0</v>
      </c>
      <c r="CS58">
        <f t="shared" si="51"/>
        <v>200</v>
      </c>
      <c r="CT58">
        <f t="shared" si="52"/>
        <v>45202</v>
      </c>
      <c r="CU58">
        <v>37700</v>
      </c>
      <c r="CV58">
        <f t="shared" si="53"/>
        <v>5278</v>
      </c>
      <c r="CW58">
        <f t="shared" si="54"/>
        <v>4524</v>
      </c>
      <c r="CX58">
        <v>400</v>
      </c>
      <c r="CY58">
        <v>500</v>
      </c>
      <c r="CZ58">
        <f t="shared" si="55"/>
        <v>48402</v>
      </c>
      <c r="DA58">
        <v>3000</v>
      </c>
      <c r="DB58">
        <v>0</v>
      </c>
      <c r="DC58">
        <f t="shared" si="56"/>
        <v>200</v>
      </c>
      <c r="DD58">
        <f t="shared" si="57"/>
        <v>45202</v>
      </c>
      <c r="DE58">
        <v>37700</v>
      </c>
      <c r="DF58">
        <f t="shared" si="58"/>
        <v>5278.0000000000009</v>
      </c>
      <c r="DG58">
        <f t="shared" si="59"/>
        <v>4524</v>
      </c>
      <c r="DH58">
        <v>400</v>
      </c>
      <c r="DI58">
        <v>500</v>
      </c>
      <c r="DJ58">
        <f t="shared" si="60"/>
        <v>48402</v>
      </c>
      <c r="DK58">
        <v>3000</v>
      </c>
      <c r="DL58">
        <v>0</v>
      </c>
      <c r="DM58">
        <f t="shared" si="61"/>
        <v>200</v>
      </c>
      <c r="DN58">
        <f t="shared" si="62"/>
        <v>45202</v>
      </c>
      <c r="DO58">
        <v>37700</v>
      </c>
      <c r="DP58">
        <f t="shared" si="63"/>
        <v>5278.0000000000009</v>
      </c>
      <c r="DQ58">
        <f t="shared" si="64"/>
        <v>4524</v>
      </c>
      <c r="DR58">
        <v>400</v>
      </c>
      <c r="DS58">
        <v>500</v>
      </c>
      <c r="DT58">
        <f t="shared" si="65"/>
        <v>48402</v>
      </c>
      <c r="DU58">
        <v>3000</v>
      </c>
      <c r="DV58">
        <v>0</v>
      </c>
      <c r="DW58">
        <f t="shared" si="66"/>
        <v>200</v>
      </c>
      <c r="DX58">
        <f t="shared" si="67"/>
        <v>45202</v>
      </c>
      <c r="DY58">
        <f t="shared" si="68"/>
        <v>579816</v>
      </c>
      <c r="DZ58">
        <f t="shared" si="0"/>
        <v>2400</v>
      </c>
      <c r="EA58">
        <f t="shared" si="1"/>
        <v>50000</v>
      </c>
      <c r="EB58">
        <v>0</v>
      </c>
      <c r="EC58">
        <f t="shared" si="2"/>
        <v>527416</v>
      </c>
      <c r="ED58">
        <f t="shared" si="3"/>
        <v>36000</v>
      </c>
      <c r="EE58">
        <f t="shared" si="4"/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f t="shared" si="5"/>
        <v>36000</v>
      </c>
      <c r="EQ58">
        <f t="shared" si="69"/>
        <v>36000</v>
      </c>
      <c r="ER58">
        <f t="shared" si="6"/>
        <v>491416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f t="shared" si="70"/>
        <v>0</v>
      </c>
      <c r="FA58">
        <f t="shared" si="71"/>
        <v>491416</v>
      </c>
      <c r="FB58">
        <f t="shared" si="72"/>
        <v>12071</v>
      </c>
      <c r="FC58">
        <f t="shared" si="73"/>
        <v>0</v>
      </c>
      <c r="FD58">
        <f t="shared" si="74"/>
        <v>12071</v>
      </c>
      <c r="FE58">
        <f t="shared" si="75"/>
        <v>0</v>
      </c>
      <c r="FF58">
        <f t="shared" si="76"/>
        <v>0</v>
      </c>
      <c r="FG58">
        <f t="shared" si="77"/>
        <v>0</v>
      </c>
      <c r="FH58">
        <v>0</v>
      </c>
      <c r="FI58">
        <f t="shared" si="78"/>
        <v>0</v>
      </c>
      <c r="FJ58" t="b">
        <f t="shared" si="79"/>
        <v>1</v>
      </c>
      <c r="FK58">
        <f t="shared" ca="1" si="80"/>
        <v>581</v>
      </c>
      <c r="FL58">
        <f t="shared" ca="1" si="81"/>
        <v>580397</v>
      </c>
      <c r="FM58">
        <f t="shared" si="82"/>
        <v>75000</v>
      </c>
      <c r="FN58">
        <f t="shared" ca="1" si="83"/>
        <v>505397</v>
      </c>
      <c r="FO58">
        <f t="shared" ca="1" si="84"/>
        <v>0</v>
      </c>
      <c r="FP58">
        <f t="shared" ca="1" si="85"/>
        <v>0</v>
      </c>
      <c r="FQ58">
        <f t="shared" ca="1" si="86"/>
        <v>0</v>
      </c>
      <c r="FR58">
        <f t="shared" ca="1" si="87"/>
        <v>0</v>
      </c>
      <c r="FS58">
        <f t="shared" ca="1" si="88"/>
        <v>0</v>
      </c>
      <c r="FT58">
        <f t="shared" ca="1" si="89"/>
        <v>0</v>
      </c>
      <c r="FU58">
        <f t="shared" ca="1" si="90"/>
        <v>0</v>
      </c>
      <c r="FV58">
        <f t="shared" ca="1" si="91"/>
        <v>0</v>
      </c>
      <c r="FW58">
        <f t="shared" ca="1" si="92"/>
        <v>205397</v>
      </c>
      <c r="FX58">
        <f t="shared" ca="1" si="93"/>
        <v>10269.85</v>
      </c>
      <c r="FY58">
        <f t="shared" ca="1" si="94"/>
        <v>10270</v>
      </c>
      <c r="FZ58">
        <f t="shared" ca="1" si="95"/>
        <v>0</v>
      </c>
      <c r="GA58">
        <f t="shared" ca="1" si="96"/>
        <v>0</v>
      </c>
      <c r="GB58">
        <f t="shared" ca="1" si="97"/>
        <v>10270</v>
      </c>
      <c r="GC58">
        <f t="shared" ca="1" si="98"/>
        <v>0</v>
      </c>
      <c r="GD58" t="b">
        <f t="shared" ca="1" si="99"/>
        <v>0</v>
      </c>
      <c r="GE58">
        <f t="shared" ca="1" si="100"/>
        <v>0</v>
      </c>
      <c r="GF58">
        <f t="shared" ca="1" si="101"/>
        <v>10270</v>
      </c>
      <c r="GG58">
        <f t="shared" ca="1" si="102"/>
        <v>0</v>
      </c>
      <c r="GH58">
        <f t="shared" ca="1" si="103"/>
        <v>0</v>
      </c>
      <c r="GI58">
        <f t="shared" ca="1" si="104"/>
        <v>0</v>
      </c>
    </row>
    <row r="59" spans="1:191" x14ac:dyDescent="0.25">
      <c r="A59">
        <f>_xlfn.AGGREGATE(3,5,$B$2:B59)</f>
        <v>58</v>
      </c>
      <c r="B59" t="s">
        <v>238</v>
      </c>
      <c r="C59" t="s">
        <v>239</v>
      </c>
      <c r="D59" t="s">
        <v>777</v>
      </c>
      <c r="E59" t="s">
        <v>843</v>
      </c>
      <c r="F59">
        <v>0</v>
      </c>
      <c r="G59">
        <v>6000</v>
      </c>
      <c r="H59">
        <v>32500</v>
      </c>
      <c r="I59">
        <f t="shared" si="7"/>
        <v>3250</v>
      </c>
      <c r="J59">
        <f t="shared" si="8"/>
        <v>3900</v>
      </c>
      <c r="K59">
        <v>0</v>
      </c>
      <c r="L59">
        <v>500</v>
      </c>
      <c r="M59">
        <f t="shared" si="9"/>
        <v>40150</v>
      </c>
      <c r="N59">
        <v>2000</v>
      </c>
      <c r="O59">
        <v>0</v>
      </c>
      <c r="P59">
        <f t="shared" si="10"/>
        <v>200</v>
      </c>
      <c r="Q59">
        <f t="shared" si="11"/>
        <v>37950</v>
      </c>
      <c r="R59">
        <v>32500</v>
      </c>
      <c r="S59">
        <f t="shared" si="12"/>
        <v>3250</v>
      </c>
      <c r="T59">
        <f t="shared" si="13"/>
        <v>3900</v>
      </c>
      <c r="U59">
        <v>0</v>
      </c>
      <c r="V59">
        <v>500</v>
      </c>
      <c r="W59">
        <f t="shared" si="14"/>
        <v>40150</v>
      </c>
      <c r="X59">
        <v>2000</v>
      </c>
      <c r="Y59">
        <v>0</v>
      </c>
      <c r="Z59">
        <f t="shared" si="15"/>
        <v>200</v>
      </c>
      <c r="AA59">
        <f t="shared" si="16"/>
        <v>37950</v>
      </c>
      <c r="AB59">
        <v>32500</v>
      </c>
      <c r="AC59">
        <f t="shared" si="17"/>
        <v>4550</v>
      </c>
      <c r="AD59">
        <f t="shared" si="18"/>
        <v>3900</v>
      </c>
      <c r="AE59">
        <v>0</v>
      </c>
      <c r="AF59">
        <v>500</v>
      </c>
      <c r="AG59">
        <f t="shared" si="19"/>
        <v>41450</v>
      </c>
      <c r="AH59">
        <v>2000</v>
      </c>
      <c r="AI59">
        <v>0</v>
      </c>
      <c r="AJ59">
        <f t="shared" si="20"/>
        <v>200</v>
      </c>
      <c r="AK59">
        <f t="shared" si="21"/>
        <v>39250</v>
      </c>
      <c r="AL59">
        <v>32500</v>
      </c>
      <c r="AM59">
        <f t="shared" si="22"/>
        <v>4550</v>
      </c>
      <c r="AN59">
        <f t="shared" si="23"/>
        <v>3900</v>
      </c>
      <c r="AO59">
        <v>0</v>
      </c>
      <c r="AP59">
        <v>500</v>
      </c>
      <c r="AQ59">
        <f t="shared" si="24"/>
        <v>41450</v>
      </c>
      <c r="AR59">
        <v>2000</v>
      </c>
      <c r="AS59">
        <v>0</v>
      </c>
      <c r="AT59">
        <f t="shared" si="25"/>
        <v>200</v>
      </c>
      <c r="AU59">
        <f t="shared" si="26"/>
        <v>39250</v>
      </c>
      <c r="AV59">
        <v>33500</v>
      </c>
      <c r="AW59">
        <f t="shared" si="27"/>
        <v>4690</v>
      </c>
      <c r="AX59">
        <f t="shared" si="28"/>
        <v>1300</v>
      </c>
      <c r="AY59">
        <f t="shared" si="29"/>
        <v>4020</v>
      </c>
      <c r="AZ59">
        <v>0</v>
      </c>
      <c r="BA59">
        <v>500</v>
      </c>
      <c r="BB59">
        <f t="shared" si="30"/>
        <v>44010</v>
      </c>
      <c r="BC59">
        <v>2500</v>
      </c>
      <c r="BD59">
        <v>0</v>
      </c>
      <c r="BE59">
        <f t="shared" si="31"/>
        <v>200</v>
      </c>
      <c r="BF59">
        <f t="shared" si="32"/>
        <v>41310</v>
      </c>
      <c r="BG59">
        <v>33500</v>
      </c>
      <c r="BH59">
        <f t="shared" si="33"/>
        <v>4690</v>
      </c>
      <c r="BI59">
        <f t="shared" si="34"/>
        <v>4020</v>
      </c>
      <c r="BJ59">
        <v>0</v>
      </c>
      <c r="BK59">
        <v>500</v>
      </c>
      <c r="BL59">
        <f t="shared" si="35"/>
        <v>42710</v>
      </c>
      <c r="BM59">
        <v>2500</v>
      </c>
      <c r="BN59">
        <v>0</v>
      </c>
      <c r="BO59">
        <f t="shared" si="36"/>
        <v>200</v>
      </c>
      <c r="BP59">
        <f t="shared" si="37"/>
        <v>40010</v>
      </c>
      <c r="BQ59">
        <v>33500</v>
      </c>
      <c r="BR59">
        <f t="shared" si="38"/>
        <v>4690</v>
      </c>
      <c r="BS59">
        <f t="shared" si="39"/>
        <v>4020</v>
      </c>
      <c r="BT59">
        <v>0</v>
      </c>
      <c r="BU59">
        <v>500</v>
      </c>
      <c r="BV59">
        <f t="shared" si="40"/>
        <v>42710</v>
      </c>
      <c r="BW59">
        <v>2500</v>
      </c>
      <c r="BX59">
        <v>0</v>
      </c>
      <c r="BY59">
        <f t="shared" si="41"/>
        <v>200</v>
      </c>
      <c r="BZ59">
        <f t="shared" si="42"/>
        <v>40010</v>
      </c>
      <c r="CA59">
        <v>33500</v>
      </c>
      <c r="CB59">
        <f t="shared" si="43"/>
        <v>4690</v>
      </c>
      <c r="CC59">
        <f t="shared" si="44"/>
        <v>4020</v>
      </c>
      <c r="CD59">
        <v>0</v>
      </c>
      <c r="CE59">
        <v>500</v>
      </c>
      <c r="CF59">
        <f t="shared" si="45"/>
        <v>42710</v>
      </c>
      <c r="CG59">
        <v>2500</v>
      </c>
      <c r="CH59">
        <v>0</v>
      </c>
      <c r="CI59">
        <f t="shared" si="46"/>
        <v>200</v>
      </c>
      <c r="CJ59">
        <f t="shared" si="47"/>
        <v>40010</v>
      </c>
      <c r="CK59">
        <v>33500</v>
      </c>
      <c r="CL59">
        <f t="shared" si="48"/>
        <v>4690</v>
      </c>
      <c r="CM59">
        <f t="shared" si="49"/>
        <v>4020</v>
      </c>
      <c r="CN59">
        <v>0</v>
      </c>
      <c r="CO59">
        <v>500</v>
      </c>
      <c r="CP59">
        <f t="shared" si="50"/>
        <v>42710</v>
      </c>
      <c r="CQ59">
        <v>2500</v>
      </c>
      <c r="CR59">
        <v>0</v>
      </c>
      <c r="CS59">
        <f t="shared" si="51"/>
        <v>200</v>
      </c>
      <c r="CT59">
        <f t="shared" si="52"/>
        <v>40010</v>
      </c>
      <c r="CU59">
        <v>33500</v>
      </c>
      <c r="CV59">
        <f t="shared" si="53"/>
        <v>4690</v>
      </c>
      <c r="CW59">
        <f t="shared" si="54"/>
        <v>4020</v>
      </c>
      <c r="CX59">
        <v>0</v>
      </c>
      <c r="CY59">
        <v>500</v>
      </c>
      <c r="CZ59">
        <f t="shared" si="55"/>
        <v>42710</v>
      </c>
      <c r="DA59">
        <v>2500</v>
      </c>
      <c r="DB59">
        <v>0</v>
      </c>
      <c r="DC59">
        <f t="shared" si="56"/>
        <v>200</v>
      </c>
      <c r="DD59">
        <f t="shared" si="57"/>
        <v>40010</v>
      </c>
      <c r="DE59">
        <v>33500</v>
      </c>
      <c r="DF59">
        <f t="shared" si="58"/>
        <v>4690</v>
      </c>
      <c r="DG59">
        <f t="shared" si="59"/>
        <v>4020</v>
      </c>
      <c r="DH59">
        <v>0</v>
      </c>
      <c r="DI59">
        <v>500</v>
      </c>
      <c r="DJ59">
        <f t="shared" si="60"/>
        <v>42710</v>
      </c>
      <c r="DK59">
        <v>2500</v>
      </c>
      <c r="DL59">
        <v>0</v>
      </c>
      <c r="DM59">
        <f t="shared" si="61"/>
        <v>200</v>
      </c>
      <c r="DN59">
        <f t="shared" si="62"/>
        <v>40010</v>
      </c>
      <c r="DO59">
        <v>33500</v>
      </c>
      <c r="DP59">
        <f t="shared" si="63"/>
        <v>4690</v>
      </c>
      <c r="DQ59">
        <f t="shared" si="64"/>
        <v>4020</v>
      </c>
      <c r="DR59">
        <v>0</v>
      </c>
      <c r="DS59">
        <v>500</v>
      </c>
      <c r="DT59">
        <f t="shared" si="65"/>
        <v>42710</v>
      </c>
      <c r="DU59">
        <v>2500</v>
      </c>
      <c r="DV59">
        <v>0</v>
      </c>
      <c r="DW59">
        <f t="shared" si="66"/>
        <v>200</v>
      </c>
      <c r="DX59">
        <f t="shared" si="67"/>
        <v>40010</v>
      </c>
      <c r="DY59">
        <f t="shared" si="68"/>
        <v>512180</v>
      </c>
      <c r="DZ59">
        <f t="shared" si="0"/>
        <v>2400</v>
      </c>
      <c r="EA59">
        <f t="shared" si="1"/>
        <v>50000</v>
      </c>
      <c r="EB59">
        <v>0</v>
      </c>
      <c r="EC59">
        <f t="shared" si="2"/>
        <v>459780</v>
      </c>
      <c r="ED59">
        <f t="shared" si="3"/>
        <v>28000</v>
      </c>
      <c r="EE59">
        <f t="shared" si="4"/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f t="shared" si="5"/>
        <v>28000</v>
      </c>
      <c r="EQ59">
        <f t="shared" si="69"/>
        <v>28000</v>
      </c>
      <c r="ER59">
        <f t="shared" si="6"/>
        <v>431780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f t="shared" si="70"/>
        <v>0</v>
      </c>
      <c r="FA59">
        <f t="shared" si="71"/>
        <v>431780</v>
      </c>
      <c r="FB59">
        <f t="shared" si="72"/>
        <v>9089</v>
      </c>
      <c r="FC59">
        <f t="shared" si="73"/>
        <v>0</v>
      </c>
      <c r="FD59">
        <f t="shared" si="74"/>
        <v>9089</v>
      </c>
      <c r="FE59">
        <f t="shared" si="75"/>
        <v>0</v>
      </c>
      <c r="FF59">
        <f t="shared" si="76"/>
        <v>0</v>
      </c>
      <c r="FG59">
        <f t="shared" si="77"/>
        <v>0</v>
      </c>
      <c r="FH59">
        <v>0</v>
      </c>
      <c r="FI59">
        <f t="shared" si="78"/>
        <v>0</v>
      </c>
      <c r="FJ59" t="b">
        <f t="shared" si="79"/>
        <v>1</v>
      </c>
      <c r="FK59">
        <f t="shared" ca="1" si="80"/>
        <v>517</v>
      </c>
      <c r="FL59">
        <f t="shared" ca="1" si="81"/>
        <v>512697</v>
      </c>
      <c r="FM59">
        <f t="shared" si="82"/>
        <v>75000</v>
      </c>
      <c r="FN59">
        <f t="shared" ca="1" si="83"/>
        <v>437697</v>
      </c>
      <c r="FO59">
        <f t="shared" ca="1" si="84"/>
        <v>0</v>
      </c>
      <c r="FP59">
        <f t="shared" ca="1" si="85"/>
        <v>0</v>
      </c>
      <c r="FQ59">
        <f t="shared" ca="1" si="86"/>
        <v>0</v>
      </c>
      <c r="FR59">
        <f t="shared" ca="1" si="87"/>
        <v>0</v>
      </c>
      <c r="FS59">
        <f t="shared" ca="1" si="88"/>
        <v>0</v>
      </c>
      <c r="FT59">
        <f t="shared" ca="1" si="89"/>
        <v>0</v>
      </c>
      <c r="FU59">
        <f t="shared" ca="1" si="90"/>
        <v>0</v>
      </c>
      <c r="FV59">
        <f t="shared" ca="1" si="91"/>
        <v>0</v>
      </c>
      <c r="FW59">
        <f t="shared" ca="1" si="92"/>
        <v>137697</v>
      </c>
      <c r="FX59">
        <f t="shared" ca="1" si="93"/>
        <v>6884.85</v>
      </c>
      <c r="FY59">
        <f t="shared" ca="1" si="94"/>
        <v>6885</v>
      </c>
      <c r="FZ59">
        <f t="shared" ca="1" si="95"/>
        <v>0</v>
      </c>
      <c r="GA59">
        <f t="shared" ca="1" si="96"/>
        <v>0</v>
      </c>
      <c r="GB59">
        <f t="shared" ca="1" si="97"/>
        <v>6885</v>
      </c>
      <c r="GC59">
        <f t="shared" ca="1" si="98"/>
        <v>0</v>
      </c>
      <c r="GD59" t="b">
        <f t="shared" ca="1" si="99"/>
        <v>0</v>
      </c>
      <c r="GE59">
        <f t="shared" ca="1" si="100"/>
        <v>0</v>
      </c>
      <c r="GF59">
        <f t="shared" ca="1" si="101"/>
        <v>6885</v>
      </c>
      <c r="GG59">
        <f t="shared" ca="1" si="102"/>
        <v>0</v>
      </c>
      <c r="GH59">
        <f t="shared" ca="1" si="103"/>
        <v>0</v>
      </c>
      <c r="GI59">
        <f t="shared" ca="1" si="104"/>
        <v>0</v>
      </c>
    </row>
    <row r="60" spans="1:191" x14ac:dyDescent="0.25">
      <c r="A60">
        <f>_xlfn.AGGREGATE(3,5,$B$2:B60)</f>
        <v>59</v>
      </c>
      <c r="B60" t="s">
        <v>240</v>
      </c>
      <c r="C60" t="s">
        <v>241</v>
      </c>
      <c r="D60" t="s">
        <v>777</v>
      </c>
      <c r="E60" t="s">
        <v>843</v>
      </c>
      <c r="F60">
        <v>0</v>
      </c>
      <c r="G60">
        <v>6000</v>
      </c>
      <c r="H60">
        <v>32500</v>
      </c>
      <c r="I60">
        <f t="shared" si="7"/>
        <v>3250</v>
      </c>
      <c r="J60">
        <f t="shared" si="8"/>
        <v>3900</v>
      </c>
      <c r="K60">
        <v>0</v>
      </c>
      <c r="L60">
        <v>500</v>
      </c>
      <c r="M60">
        <f t="shared" si="9"/>
        <v>40150</v>
      </c>
      <c r="N60">
        <v>2000</v>
      </c>
      <c r="O60">
        <v>0</v>
      </c>
      <c r="P60">
        <f t="shared" si="10"/>
        <v>200</v>
      </c>
      <c r="Q60">
        <f t="shared" si="11"/>
        <v>37950</v>
      </c>
      <c r="R60">
        <v>32500</v>
      </c>
      <c r="S60">
        <f t="shared" si="12"/>
        <v>3250</v>
      </c>
      <c r="T60">
        <f t="shared" si="13"/>
        <v>3900</v>
      </c>
      <c r="U60">
        <v>0</v>
      </c>
      <c r="V60">
        <v>500</v>
      </c>
      <c r="W60">
        <f t="shared" si="14"/>
        <v>40150</v>
      </c>
      <c r="X60">
        <v>2000</v>
      </c>
      <c r="Y60">
        <v>0</v>
      </c>
      <c r="Z60">
        <f t="shared" si="15"/>
        <v>200</v>
      </c>
      <c r="AA60">
        <f t="shared" si="16"/>
        <v>37950</v>
      </c>
      <c r="AB60">
        <v>32500</v>
      </c>
      <c r="AC60">
        <f t="shared" si="17"/>
        <v>4550</v>
      </c>
      <c r="AD60">
        <f t="shared" si="18"/>
        <v>3900</v>
      </c>
      <c r="AE60">
        <v>0</v>
      </c>
      <c r="AF60">
        <v>500</v>
      </c>
      <c r="AG60">
        <f t="shared" si="19"/>
        <v>41450</v>
      </c>
      <c r="AH60">
        <v>2000</v>
      </c>
      <c r="AI60">
        <v>0</v>
      </c>
      <c r="AJ60">
        <f t="shared" si="20"/>
        <v>200</v>
      </c>
      <c r="AK60">
        <f t="shared" si="21"/>
        <v>39250</v>
      </c>
      <c r="AL60">
        <v>32500</v>
      </c>
      <c r="AM60">
        <f t="shared" si="22"/>
        <v>4550</v>
      </c>
      <c r="AN60">
        <f t="shared" si="23"/>
        <v>3900</v>
      </c>
      <c r="AO60">
        <v>0</v>
      </c>
      <c r="AP60">
        <v>500</v>
      </c>
      <c r="AQ60">
        <f t="shared" si="24"/>
        <v>41450</v>
      </c>
      <c r="AR60">
        <v>2000</v>
      </c>
      <c r="AS60">
        <v>0</v>
      </c>
      <c r="AT60">
        <f t="shared" si="25"/>
        <v>200</v>
      </c>
      <c r="AU60">
        <f t="shared" si="26"/>
        <v>39250</v>
      </c>
      <c r="AV60">
        <v>33500</v>
      </c>
      <c r="AW60">
        <f t="shared" si="27"/>
        <v>4690</v>
      </c>
      <c r="AX60">
        <f t="shared" si="28"/>
        <v>1300</v>
      </c>
      <c r="AY60">
        <f t="shared" si="29"/>
        <v>4020</v>
      </c>
      <c r="AZ60">
        <v>0</v>
      </c>
      <c r="BA60">
        <v>500</v>
      </c>
      <c r="BB60">
        <f t="shared" si="30"/>
        <v>44010</v>
      </c>
      <c r="BC60">
        <v>2500</v>
      </c>
      <c r="BD60">
        <v>0</v>
      </c>
      <c r="BE60">
        <f t="shared" si="31"/>
        <v>200</v>
      </c>
      <c r="BF60">
        <f t="shared" si="32"/>
        <v>41310</v>
      </c>
      <c r="BG60">
        <v>33500</v>
      </c>
      <c r="BH60">
        <f t="shared" si="33"/>
        <v>4690</v>
      </c>
      <c r="BI60">
        <f t="shared" si="34"/>
        <v>4020</v>
      </c>
      <c r="BJ60">
        <v>0</v>
      </c>
      <c r="BK60">
        <v>500</v>
      </c>
      <c r="BL60">
        <f t="shared" si="35"/>
        <v>42710</v>
      </c>
      <c r="BM60">
        <v>2500</v>
      </c>
      <c r="BN60">
        <v>0</v>
      </c>
      <c r="BO60">
        <f t="shared" si="36"/>
        <v>200</v>
      </c>
      <c r="BP60">
        <f t="shared" si="37"/>
        <v>40010</v>
      </c>
      <c r="BQ60">
        <v>33500</v>
      </c>
      <c r="BR60">
        <f t="shared" si="38"/>
        <v>4690</v>
      </c>
      <c r="BS60">
        <f t="shared" si="39"/>
        <v>4020</v>
      </c>
      <c r="BT60">
        <v>0</v>
      </c>
      <c r="BU60">
        <v>500</v>
      </c>
      <c r="BV60">
        <f t="shared" si="40"/>
        <v>42710</v>
      </c>
      <c r="BW60">
        <v>2500</v>
      </c>
      <c r="BX60">
        <v>0</v>
      </c>
      <c r="BY60">
        <f t="shared" si="41"/>
        <v>200</v>
      </c>
      <c r="BZ60">
        <f t="shared" si="42"/>
        <v>40010</v>
      </c>
      <c r="CA60">
        <v>33500</v>
      </c>
      <c r="CB60">
        <f t="shared" si="43"/>
        <v>4690</v>
      </c>
      <c r="CC60">
        <f t="shared" si="44"/>
        <v>4020</v>
      </c>
      <c r="CD60">
        <v>0</v>
      </c>
      <c r="CE60">
        <v>500</v>
      </c>
      <c r="CF60">
        <f t="shared" si="45"/>
        <v>42710</v>
      </c>
      <c r="CG60">
        <v>2500</v>
      </c>
      <c r="CH60">
        <v>0</v>
      </c>
      <c r="CI60">
        <f t="shared" si="46"/>
        <v>200</v>
      </c>
      <c r="CJ60">
        <f t="shared" si="47"/>
        <v>40010</v>
      </c>
      <c r="CK60">
        <v>33500</v>
      </c>
      <c r="CL60">
        <f t="shared" si="48"/>
        <v>4690</v>
      </c>
      <c r="CM60">
        <f t="shared" si="49"/>
        <v>4020</v>
      </c>
      <c r="CN60">
        <v>0</v>
      </c>
      <c r="CO60">
        <v>500</v>
      </c>
      <c r="CP60">
        <f t="shared" si="50"/>
        <v>42710</v>
      </c>
      <c r="CQ60">
        <v>2500</v>
      </c>
      <c r="CR60">
        <v>0</v>
      </c>
      <c r="CS60">
        <f t="shared" si="51"/>
        <v>200</v>
      </c>
      <c r="CT60">
        <f t="shared" si="52"/>
        <v>40010</v>
      </c>
      <c r="CU60">
        <v>33500</v>
      </c>
      <c r="CV60">
        <f t="shared" si="53"/>
        <v>4690</v>
      </c>
      <c r="CW60">
        <f t="shared" si="54"/>
        <v>4020</v>
      </c>
      <c r="CX60">
        <v>0</v>
      </c>
      <c r="CY60">
        <v>500</v>
      </c>
      <c r="CZ60">
        <f t="shared" si="55"/>
        <v>42710</v>
      </c>
      <c r="DA60">
        <v>2500</v>
      </c>
      <c r="DB60">
        <v>0</v>
      </c>
      <c r="DC60">
        <f t="shared" si="56"/>
        <v>200</v>
      </c>
      <c r="DD60">
        <f t="shared" si="57"/>
        <v>40010</v>
      </c>
      <c r="DE60">
        <v>33500</v>
      </c>
      <c r="DF60">
        <f t="shared" si="58"/>
        <v>4690</v>
      </c>
      <c r="DG60">
        <f t="shared" si="59"/>
        <v>4020</v>
      </c>
      <c r="DH60">
        <v>0</v>
      </c>
      <c r="DI60">
        <v>500</v>
      </c>
      <c r="DJ60">
        <f t="shared" si="60"/>
        <v>42710</v>
      </c>
      <c r="DK60">
        <v>2500</v>
      </c>
      <c r="DL60">
        <v>0</v>
      </c>
      <c r="DM60">
        <f t="shared" si="61"/>
        <v>200</v>
      </c>
      <c r="DN60">
        <f t="shared" si="62"/>
        <v>40010</v>
      </c>
      <c r="DO60">
        <v>33500</v>
      </c>
      <c r="DP60">
        <f t="shared" si="63"/>
        <v>4690</v>
      </c>
      <c r="DQ60">
        <f t="shared" si="64"/>
        <v>4020</v>
      </c>
      <c r="DR60">
        <v>0</v>
      </c>
      <c r="DS60">
        <v>500</v>
      </c>
      <c r="DT60">
        <f t="shared" si="65"/>
        <v>42710</v>
      </c>
      <c r="DU60">
        <v>2500</v>
      </c>
      <c r="DV60">
        <v>0</v>
      </c>
      <c r="DW60">
        <f t="shared" si="66"/>
        <v>200</v>
      </c>
      <c r="DX60">
        <f t="shared" si="67"/>
        <v>40010</v>
      </c>
      <c r="DY60">
        <f t="shared" si="68"/>
        <v>512180</v>
      </c>
      <c r="DZ60">
        <f t="shared" si="0"/>
        <v>2400</v>
      </c>
      <c r="EA60">
        <f t="shared" si="1"/>
        <v>50000</v>
      </c>
      <c r="EB60">
        <v>0</v>
      </c>
      <c r="EC60">
        <f t="shared" si="2"/>
        <v>459780</v>
      </c>
      <c r="ED60">
        <f t="shared" si="3"/>
        <v>28000</v>
      </c>
      <c r="EE60">
        <f t="shared" si="4"/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f t="shared" si="5"/>
        <v>28000</v>
      </c>
      <c r="EQ60">
        <f t="shared" si="69"/>
        <v>28000</v>
      </c>
      <c r="ER60">
        <f t="shared" si="6"/>
        <v>431780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f t="shared" si="70"/>
        <v>0</v>
      </c>
      <c r="FA60">
        <f t="shared" si="71"/>
        <v>431780</v>
      </c>
      <c r="FB60">
        <f t="shared" si="72"/>
        <v>9089</v>
      </c>
      <c r="FC60">
        <f t="shared" si="73"/>
        <v>0</v>
      </c>
      <c r="FD60">
        <f t="shared" si="74"/>
        <v>9089</v>
      </c>
      <c r="FE60">
        <f t="shared" si="75"/>
        <v>0</v>
      </c>
      <c r="FF60">
        <f t="shared" si="76"/>
        <v>0</v>
      </c>
      <c r="FG60">
        <f t="shared" si="77"/>
        <v>0</v>
      </c>
      <c r="FH60">
        <v>0</v>
      </c>
      <c r="FI60">
        <f t="shared" si="78"/>
        <v>0</v>
      </c>
      <c r="FJ60" t="b">
        <f t="shared" si="79"/>
        <v>1</v>
      </c>
      <c r="FK60">
        <f t="shared" ca="1" si="80"/>
        <v>817</v>
      </c>
      <c r="FL60">
        <f t="shared" ca="1" si="81"/>
        <v>512997</v>
      </c>
      <c r="FM60">
        <f t="shared" si="82"/>
        <v>75000</v>
      </c>
      <c r="FN60">
        <f t="shared" ca="1" si="83"/>
        <v>437997</v>
      </c>
      <c r="FO60">
        <f t="shared" ca="1" si="84"/>
        <v>0</v>
      </c>
      <c r="FP60">
        <f t="shared" ca="1" si="85"/>
        <v>0</v>
      </c>
      <c r="FQ60">
        <f t="shared" ca="1" si="86"/>
        <v>0</v>
      </c>
      <c r="FR60">
        <f t="shared" ca="1" si="87"/>
        <v>0</v>
      </c>
      <c r="FS60">
        <f t="shared" ca="1" si="88"/>
        <v>0</v>
      </c>
      <c r="FT60">
        <f t="shared" ca="1" si="89"/>
        <v>0</v>
      </c>
      <c r="FU60">
        <f t="shared" ca="1" si="90"/>
        <v>0</v>
      </c>
      <c r="FV60">
        <f t="shared" ca="1" si="91"/>
        <v>0</v>
      </c>
      <c r="FW60">
        <f t="shared" ca="1" si="92"/>
        <v>137997</v>
      </c>
      <c r="FX60">
        <f t="shared" ca="1" si="93"/>
        <v>6899.85</v>
      </c>
      <c r="FY60">
        <f t="shared" ca="1" si="94"/>
        <v>6900</v>
      </c>
      <c r="FZ60">
        <f t="shared" ca="1" si="95"/>
        <v>0</v>
      </c>
      <c r="GA60">
        <f t="shared" ca="1" si="96"/>
        <v>0</v>
      </c>
      <c r="GB60">
        <f t="shared" ca="1" si="97"/>
        <v>6900</v>
      </c>
      <c r="GC60">
        <f t="shared" ca="1" si="98"/>
        <v>0</v>
      </c>
      <c r="GD60" t="b">
        <f t="shared" ca="1" si="99"/>
        <v>0</v>
      </c>
      <c r="GE60">
        <f t="shared" ca="1" si="100"/>
        <v>0</v>
      </c>
      <c r="GF60">
        <f t="shared" ca="1" si="101"/>
        <v>6900</v>
      </c>
      <c r="GG60">
        <f t="shared" ca="1" si="102"/>
        <v>0</v>
      </c>
      <c r="GH60">
        <f t="shared" ca="1" si="103"/>
        <v>0</v>
      </c>
      <c r="GI60">
        <f t="shared" ca="1" si="104"/>
        <v>0</v>
      </c>
    </row>
    <row r="61" spans="1:191" x14ac:dyDescent="0.25">
      <c r="A61">
        <f>_xlfn.AGGREGATE(3,5,$B$2:B61)</f>
        <v>60</v>
      </c>
      <c r="B61" t="s">
        <v>242</v>
      </c>
      <c r="C61" t="s">
        <v>243</v>
      </c>
      <c r="D61" t="s">
        <v>777</v>
      </c>
      <c r="E61" t="s">
        <v>843</v>
      </c>
      <c r="F61">
        <v>50000</v>
      </c>
      <c r="G61">
        <v>6000</v>
      </c>
      <c r="H61">
        <v>26200</v>
      </c>
      <c r="I61">
        <f t="shared" si="7"/>
        <v>2620</v>
      </c>
      <c r="J61">
        <f t="shared" si="8"/>
        <v>3144</v>
      </c>
      <c r="K61">
        <v>0</v>
      </c>
      <c r="L61">
        <v>500</v>
      </c>
      <c r="M61">
        <f t="shared" si="9"/>
        <v>32464</v>
      </c>
      <c r="N61">
        <v>2000</v>
      </c>
      <c r="O61">
        <v>0</v>
      </c>
      <c r="P61">
        <f t="shared" si="10"/>
        <v>0</v>
      </c>
      <c r="Q61">
        <f t="shared" si="11"/>
        <v>30464</v>
      </c>
      <c r="R61">
        <v>26200</v>
      </c>
      <c r="S61">
        <f t="shared" si="12"/>
        <v>2620</v>
      </c>
      <c r="T61">
        <f t="shared" si="13"/>
        <v>3144</v>
      </c>
      <c r="U61">
        <v>0</v>
      </c>
      <c r="V61">
        <v>500</v>
      </c>
      <c r="W61">
        <f t="shared" si="14"/>
        <v>32464</v>
      </c>
      <c r="X61">
        <v>2000</v>
      </c>
      <c r="Y61">
        <v>0</v>
      </c>
      <c r="Z61">
        <f t="shared" si="15"/>
        <v>0</v>
      </c>
      <c r="AA61">
        <f t="shared" si="16"/>
        <v>30464</v>
      </c>
      <c r="AB61">
        <v>26200</v>
      </c>
      <c r="AC61">
        <f t="shared" si="17"/>
        <v>3668.0000000000005</v>
      </c>
      <c r="AD61">
        <f t="shared" si="18"/>
        <v>3144</v>
      </c>
      <c r="AE61">
        <v>0</v>
      </c>
      <c r="AF61">
        <v>500</v>
      </c>
      <c r="AG61">
        <f t="shared" si="19"/>
        <v>33512</v>
      </c>
      <c r="AH61">
        <v>2000</v>
      </c>
      <c r="AI61">
        <v>0</v>
      </c>
      <c r="AJ61">
        <f t="shared" si="20"/>
        <v>0</v>
      </c>
      <c r="AK61">
        <f t="shared" si="21"/>
        <v>31512</v>
      </c>
      <c r="AL61">
        <v>26200</v>
      </c>
      <c r="AM61">
        <f t="shared" si="22"/>
        <v>3668.0000000000005</v>
      </c>
      <c r="AN61">
        <f t="shared" si="23"/>
        <v>3144</v>
      </c>
      <c r="AO61">
        <v>0</v>
      </c>
      <c r="AP61">
        <v>500</v>
      </c>
      <c r="AQ61">
        <f t="shared" si="24"/>
        <v>33512</v>
      </c>
      <c r="AR61">
        <v>2000</v>
      </c>
      <c r="AS61">
        <v>0</v>
      </c>
      <c r="AT61">
        <f t="shared" si="25"/>
        <v>0</v>
      </c>
      <c r="AU61">
        <f t="shared" si="26"/>
        <v>31512</v>
      </c>
      <c r="AV61">
        <v>27000</v>
      </c>
      <c r="AW61">
        <f t="shared" si="27"/>
        <v>3780.0000000000005</v>
      </c>
      <c r="AX61">
        <f t="shared" si="28"/>
        <v>1048</v>
      </c>
      <c r="AY61">
        <f t="shared" si="29"/>
        <v>3240</v>
      </c>
      <c r="AZ61">
        <v>0</v>
      </c>
      <c r="BA61">
        <v>500</v>
      </c>
      <c r="BB61">
        <f t="shared" si="30"/>
        <v>35568</v>
      </c>
      <c r="BC61">
        <v>2000</v>
      </c>
      <c r="BD61">
        <v>0</v>
      </c>
      <c r="BE61">
        <f t="shared" si="31"/>
        <v>0</v>
      </c>
      <c r="BF61">
        <f t="shared" si="32"/>
        <v>33568</v>
      </c>
      <c r="BG61">
        <v>27000</v>
      </c>
      <c r="BH61">
        <f t="shared" si="33"/>
        <v>3780.0000000000005</v>
      </c>
      <c r="BI61">
        <f t="shared" si="34"/>
        <v>3240</v>
      </c>
      <c r="BJ61">
        <v>0</v>
      </c>
      <c r="BK61">
        <v>500</v>
      </c>
      <c r="BL61">
        <f t="shared" si="35"/>
        <v>34520</v>
      </c>
      <c r="BM61">
        <v>2000</v>
      </c>
      <c r="BN61">
        <v>0</v>
      </c>
      <c r="BO61">
        <f t="shared" si="36"/>
        <v>0</v>
      </c>
      <c r="BP61">
        <f t="shared" si="37"/>
        <v>32520</v>
      </c>
      <c r="BQ61">
        <v>27000</v>
      </c>
      <c r="BR61">
        <f t="shared" si="38"/>
        <v>3780.0000000000005</v>
      </c>
      <c r="BS61">
        <f t="shared" si="39"/>
        <v>3240</v>
      </c>
      <c r="BT61">
        <v>0</v>
      </c>
      <c r="BU61">
        <v>500</v>
      </c>
      <c r="BV61">
        <f t="shared" si="40"/>
        <v>34520</v>
      </c>
      <c r="BW61">
        <v>2000</v>
      </c>
      <c r="BX61">
        <v>0</v>
      </c>
      <c r="BY61">
        <f t="shared" si="41"/>
        <v>0</v>
      </c>
      <c r="BZ61">
        <f t="shared" si="42"/>
        <v>32520</v>
      </c>
      <c r="CA61">
        <v>27000</v>
      </c>
      <c r="CB61">
        <f t="shared" si="43"/>
        <v>3780.0000000000005</v>
      </c>
      <c r="CC61">
        <f t="shared" si="44"/>
        <v>3240</v>
      </c>
      <c r="CD61">
        <v>0</v>
      </c>
      <c r="CE61">
        <v>500</v>
      </c>
      <c r="CF61">
        <f t="shared" si="45"/>
        <v>34520</v>
      </c>
      <c r="CG61">
        <v>2000</v>
      </c>
      <c r="CH61">
        <v>0</v>
      </c>
      <c r="CI61">
        <f t="shared" si="46"/>
        <v>0</v>
      </c>
      <c r="CJ61">
        <f t="shared" si="47"/>
        <v>32520</v>
      </c>
      <c r="CK61">
        <v>27000</v>
      </c>
      <c r="CL61">
        <f t="shared" si="48"/>
        <v>3780.0000000000005</v>
      </c>
      <c r="CM61">
        <f t="shared" si="49"/>
        <v>3240</v>
      </c>
      <c r="CN61">
        <v>0</v>
      </c>
      <c r="CO61">
        <v>500</v>
      </c>
      <c r="CP61">
        <f t="shared" si="50"/>
        <v>34520</v>
      </c>
      <c r="CQ61">
        <v>2000</v>
      </c>
      <c r="CR61">
        <v>0</v>
      </c>
      <c r="CS61">
        <f t="shared" si="51"/>
        <v>0</v>
      </c>
      <c r="CT61">
        <f t="shared" si="52"/>
        <v>32520</v>
      </c>
      <c r="CU61">
        <v>27000</v>
      </c>
      <c r="CV61">
        <f t="shared" si="53"/>
        <v>3780</v>
      </c>
      <c r="CW61">
        <f t="shared" si="54"/>
        <v>3240</v>
      </c>
      <c r="CX61">
        <v>0</v>
      </c>
      <c r="CY61">
        <v>500</v>
      </c>
      <c r="CZ61">
        <f t="shared" si="55"/>
        <v>34520</v>
      </c>
      <c r="DA61">
        <v>2000</v>
      </c>
      <c r="DB61">
        <v>0</v>
      </c>
      <c r="DC61">
        <f t="shared" si="56"/>
        <v>0</v>
      </c>
      <c r="DD61">
        <f t="shared" si="57"/>
        <v>32520</v>
      </c>
      <c r="DE61">
        <v>27000</v>
      </c>
      <c r="DF61">
        <f t="shared" si="58"/>
        <v>3780.0000000000005</v>
      </c>
      <c r="DG61">
        <f t="shared" si="59"/>
        <v>3240</v>
      </c>
      <c r="DH61">
        <v>0</v>
      </c>
      <c r="DI61">
        <v>500</v>
      </c>
      <c r="DJ61">
        <f t="shared" si="60"/>
        <v>34520</v>
      </c>
      <c r="DK61">
        <v>2000</v>
      </c>
      <c r="DL61">
        <v>0</v>
      </c>
      <c r="DM61">
        <f t="shared" si="61"/>
        <v>0</v>
      </c>
      <c r="DN61">
        <f t="shared" si="62"/>
        <v>32520</v>
      </c>
      <c r="DO61">
        <v>27000</v>
      </c>
      <c r="DP61">
        <f t="shared" si="63"/>
        <v>3780.0000000000005</v>
      </c>
      <c r="DQ61">
        <f t="shared" si="64"/>
        <v>3240</v>
      </c>
      <c r="DR61">
        <v>0</v>
      </c>
      <c r="DS61">
        <v>500</v>
      </c>
      <c r="DT61">
        <f t="shared" si="65"/>
        <v>34520</v>
      </c>
      <c r="DU61">
        <v>2000</v>
      </c>
      <c r="DV61">
        <v>0</v>
      </c>
      <c r="DW61">
        <f t="shared" si="66"/>
        <v>0</v>
      </c>
      <c r="DX61">
        <f t="shared" si="67"/>
        <v>32520</v>
      </c>
      <c r="DY61">
        <f t="shared" si="68"/>
        <v>415160</v>
      </c>
      <c r="DZ61">
        <f t="shared" si="0"/>
        <v>0</v>
      </c>
      <c r="EA61">
        <f t="shared" si="1"/>
        <v>50000</v>
      </c>
      <c r="EB61">
        <v>0</v>
      </c>
      <c r="EC61">
        <f t="shared" si="2"/>
        <v>365160</v>
      </c>
      <c r="ED61">
        <f t="shared" si="3"/>
        <v>24000</v>
      </c>
      <c r="EE61">
        <f t="shared" si="4"/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f t="shared" si="5"/>
        <v>24000</v>
      </c>
      <c r="EQ61">
        <f t="shared" si="69"/>
        <v>24000</v>
      </c>
      <c r="ER61">
        <f t="shared" si="6"/>
        <v>341160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f t="shared" si="70"/>
        <v>50000</v>
      </c>
      <c r="FA61">
        <f t="shared" si="71"/>
        <v>291160</v>
      </c>
      <c r="FB61">
        <f t="shared" si="72"/>
        <v>2058</v>
      </c>
      <c r="FC61">
        <f t="shared" si="73"/>
        <v>0</v>
      </c>
      <c r="FD61">
        <f t="shared" si="74"/>
        <v>2058</v>
      </c>
      <c r="FE61">
        <f t="shared" si="75"/>
        <v>0</v>
      </c>
      <c r="FF61">
        <f t="shared" si="76"/>
        <v>0</v>
      </c>
      <c r="FG61">
        <f t="shared" si="77"/>
        <v>0</v>
      </c>
      <c r="FH61">
        <v>0</v>
      </c>
      <c r="FI61">
        <f t="shared" si="78"/>
        <v>0</v>
      </c>
      <c r="FJ61" t="b">
        <f t="shared" si="79"/>
        <v>0</v>
      </c>
      <c r="FK61">
        <f t="shared" ca="1" si="80"/>
        <v>2565</v>
      </c>
      <c r="FL61">
        <f t="shared" ca="1" si="81"/>
        <v>417725</v>
      </c>
      <c r="FM61">
        <f t="shared" si="82"/>
        <v>75000</v>
      </c>
      <c r="FN61">
        <f t="shared" ca="1" si="83"/>
        <v>342725</v>
      </c>
      <c r="FO61">
        <f t="shared" ca="1" si="84"/>
        <v>0</v>
      </c>
      <c r="FP61">
        <f t="shared" ca="1" si="85"/>
        <v>0</v>
      </c>
      <c r="FQ61">
        <f t="shared" ca="1" si="86"/>
        <v>0</v>
      </c>
      <c r="FR61">
        <f t="shared" ca="1" si="87"/>
        <v>0</v>
      </c>
      <c r="FS61">
        <f t="shared" ca="1" si="88"/>
        <v>0</v>
      </c>
      <c r="FT61">
        <f t="shared" ca="1" si="89"/>
        <v>0</v>
      </c>
      <c r="FU61">
        <f t="shared" ca="1" si="90"/>
        <v>0</v>
      </c>
      <c r="FV61">
        <f t="shared" ca="1" si="91"/>
        <v>0</v>
      </c>
      <c r="FW61">
        <f t="shared" ca="1" si="92"/>
        <v>42725</v>
      </c>
      <c r="FX61">
        <f t="shared" ca="1" si="93"/>
        <v>2136.25</v>
      </c>
      <c r="FY61">
        <f t="shared" ca="1" si="94"/>
        <v>2136</v>
      </c>
      <c r="FZ61">
        <f t="shared" ca="1" si="95"/>
        <v>0</v>
      </c>
      <c r="GA61">
        <f t="shared" ca="1" si="96"/>
        <v>0</v>
      </c>
      <c r="GB61">
        <f t="shared" ca="1" si="97"/>
        <v>2136</v>
      </c>
      <c r="GC61">
        <f t="shared" ca="1" si="98"/>
        <v>0</v>
      </c>
      <c r="GD61" t="b">
        <f t="shared" ca="1" si="99"/>
        <v>0</v>
      </c>
      <c r="GE61">
        <f t="shared" ca="1" si="100"/>
        <v>0</v>
      </c>
      <c r="GF61">
        <f t="shared" ca="1" si="101"/>
        <v>2136</v>
      </c>
      <c r="GG61">
        <f t="shared" ca="1" si="102"/>
        <v>0</v>
      </c>
      <c r="GH61">
        <f t="shared" ca="1" si="103"/>
        <v>0</v>
      </c>
      <c r="GI61">
        <f t="shared" ca="1" si="104"/>
        <v>0</v>
      </c>
    </row>
    <row r="62" spans="1:191" x14ac:dyDescent="0.25">
      <c r="A62">
        <f>_xlfn.AGGREGATE(3,5,$B$2:B62)</f>
        <v>61</v>
      </c>
      <c r="B62" t="s">
        <v>244</v>
      </c>
      <c r="C62" t="s">
        <v>245</v>
      </c>
      <c r="D62" t="s">
        <v>778</v>
      </c>
      <c r="E62" t="s">
        <v>843</v>
      </c>
      <c r="F62">
        <v>0</v>
      </c>
      <c r="G62">
        <v>6000</v>
      </c>
      <c r="H62">
        <v>32500</v>
      </c>
      <c r="I62">
        <f t="shared" si="7"/>
        <v>3250</v>
      </c>
      <c r="J62">
        <f t="shared" si="8"/>
        <v>3900</v>
      </c>
      <c r="K62">
        <v>400</v>
      </c>
      <c r="L62">
        <v>500</v>
      </c>
      <c r="M62">
        <f t="shared" si="9"/>
        <v>40550</v>
      </c>
      <c r="N62">
        <v>4000</v>
      </c>
      <c r="O62">
        <v>0</v>
      </c>
      <c r="P62">
        <f t="shared" si="10"/>
        <v>200</v>
      </c>
      <c r="Q62">
        <f t="shared" si="11"/>
        <v>36350</v>
      </c>
      <c r="R62">
        <v>32500</v>
      </c>
      <c r="S62">
        <f t="shared" si="12"/>
        <v>3250</v>
      </c>
      <c r="T62">
        <f t="shared" si="13"/>
        <v>3900</v>
      </c>
      <c r="U62">
        <v>400</v>
      </c>
      <c r="V62">
        <v>500</v>
      </c>
      <c r="W62">
        <f t="shared" si="14"/>
        <v>40550</v>
      </c>
      <c r="X62">
        <v>4000</v>
      </c>
      <c r="Y62">
        <v>0</v>
      </c>
      <c r="Z62">
        <f t="shared" si="15"/>
        <v>200</v>
      </c>
      <c r="AA62">
        <f t="shared" si="16"/>
        <v>36350</v>
      </c>
      <c r="AB62">
        <v>32500</v>
      </c>
      <c r="AC62">
        <f t="shared" si="17"/>
        <v>4550</v>
      </c>
      <c r="AD62">
        <f t="shared" si="18"/>
        <v>3900</v>
      </c>
      <c r="AE62">
        <v>400</v>
      </c>
      <c r="AF62">
        <v>500</v>
      </c>
      <c r="AG62">
        <f t="shared" si="19"/>
        <v>41850</v>
      </c>
      <c r="AH62">
        <v>4000</v>
      </c>
      <c r="AI62">
        <v>0</v>
      </c>
      <c r="AJ62">
        <f t="shared" si="20"/>
        <v>200</v>
      </c>
      <c r="AK62">
        <f t="shared" si="21"/>
        <v>37650</v>
      </c>
      <c r="AL62">
        <v>32500</v>
      </c>
      <c r="AM62">
        <f t="shared" si="22"/>
        <v>4550</v>
      </c>
      <c r="AN62">
        <f t="shared" si="23"/>
        <v>3900</v>
      </c>
      <c r="AO62">
        <v>400</v>
      </c>
      <c r="AP62">
        <v>500</v>
      </c>
      <c r="AQ62">
        <f t="shared" si="24"/>
        <v>41850</v>
      </c>
      <c r="AR62">
        <v>4000</v>
      </c>
      <c r="AS62">
        <v>0</v>
      </c>
      <c r="AT62">
        <f t="shared" si="25"/>
        <v>200</v>
      </c>
      <c r="AU62">
        <f t="shared" si="26"/>
        <v>37650</v>
      </c>
      <c r="AV62">
        <v>33500</v>
      </c>
      <c r="AW62">
        <f t="shared" si="27"/>
        <v>4690</v>
      </c>
      <c r="AX62">
        <f t="shared" si="28"/>
        <v>1300</v>
      </c>
      <c r="AY62">
        <f t="shared" si="29"/>
        <v>4020</v>
      </c>
      <c r="AZ62">
        <v>400</v>
      </c>
      <c r="BA62">
        <v>500</v>
      </c>
      <c r="BB62">
        <f t="shared" si="30"/>
        <v>44410</v>
      </c>
      <c r="BC62">
        <v>4000</v>
      </c>
      <c r="BD62">
        <v>0</v>
      </c>
      <c r="BE62">
        <f t="shared" si="31"/>
        <v>200</v>
      </c>
      <c r="BF62">
        <f t="shared" si="32"/>
        <v>40210</v>
      </c>
      <c r="BG62">
        <v>33500</v>
      </c>
      <c r="BH62">
        <f t="shared" si="33"/>
        <v>4690</v>
      </c>
      <c r="BI62">
        <f t="shared" si="34"/>
        <v>4020</v>
      </c>
      <c r="BJ62">
        <v>400</v>
      </c>
      <c r="BK62">
        <v>500</v>
      </c>
      <c r="BL62">
        <f t="shared" si="35"/>
        <v>43110</v>
      </c>
      <c r="BM62">
        <v>4000</v>
      </c>
      <c r="BN62">
        <v>0</v>
      </c>
      <c r="BO62">
        <f t="shared" si="36"/>
        <v>200</v>
      </c>
      <c r="BP62">
        <f t="shared" si="37"/>
        <v>38910</v>
      </c>
      <c r="BQ62">
        <v>33500</v>
      </c>
      <c r="BR62">
        <f t="shared" si="38"/>
        <v>4690</v>
      </c>
      <c r="BS62">
        <f t="shared" si="39"/>
        <v>4020</v>
      </c>
      <c r="BT62">
        <v>400</v>
      </c>
      <c r="BU62">
        <v>500</v>
      </c>
      <c r="BV62">
        <f t="shared" si="40"/>
        <v>43110</v>
      </c>
      <c r="BW62">
        <v>4000</v>
      </c>
      <c r="BX62">
        <v>0</v>
      </c>
      <c r="BY62">
        <f t="shared" si="41"/>
        <v>200</v>
      </c>
      <c r="BZ62">
        <f t="shared" si="42"/>
        <v>38910</v>
      </c>
      <c r="CA62">
        <v>33500</v>
      </c>
      <c r="CB62">
        <f t="shared" si="43"/>
        <v>4690</v>
      </c>
      <c r="CC62">
        <f t="shared" si="44"/>
        <v>4020</v>
      </c>
      <c r="CD62">
        <v>400</v>
      </c>
      <c r="CE62">
        <v>500</v>
      </c>
      <c r="CF62">
        <f t="shared" si="45"/>
        <v>43110</v>
      </c>
      <c r="CG62">
        <v>4000</v>
      </c>
      <c r="CH62">
        <v>0</v>
      </c>
      <c r="CI62">
        <f t="shared" si="46"/>
        <v>200</v>
      </c>
      <c r="CJ62">
        <f t="shared" si="47"/>
        <v>38910</v>
      </c>
      <c r="CK62">
        <v>33500</v>
      </c>
      <c r="CL62">
        <f t="shared" si="48"/>
        <v>4690</v>
      </c>
      <c r="CM62">
        <f t="shared" si="49"/>
        <v>4020</v>
      </c>
      <c r="CN62">
        <v>400</v>
      </c>
      <c r="CO62">
        <v>500</v>
      </c>
      <c r="CP62">
        <f t="shared" si="50"/>
        <v>43110</v>
      </c>
      <c r="CQ62">
        <v>4000</v>
      </c>
      <c r="CR62">
        <v>0</v>
      </c>
      <c r="CS62">
        <f t="shared" si="51"/>
        <v>200</v>
      </c>
      <c r="CT62">
        <f t="shared" si="52"/>
        <v>38910</v>
      </c>
      <c r="CU62">
        <v>34339</v>
      </c>
      <c r="CV62">
        <f t="shared" si="53"/>
        <v>4807</v>
      </c>
      <c r="CW62">
        <f t="shared" si="54"/>
        <v>4121</v>
      </c>
      <c r="CX62">
        <v>400</v>
      </c>
      <c r="CY62">
        <v>500</v>
      </c>
      <c r="CZ62">
        <f t="shared" si="55"/>
        <v>44167</v>
      </c>
      <c r="DA62">
        <v>4000</v>
      </c>
      <c r="DB62">
        <v>0</v>
      </c>
      <c r="DC62">
        <f t="shared" si="56"/>
        <v>200</v>
      </c>
      <c r="DD62">
        <f t="shared" si="57"/>
        <v>39967</v>
      </c>
      <c r="DE62">
        <v>34500</v>
      </c>
      <c r="DF62">
        <f t="shared" si="58"/>
        <v>4830.0000000000009</v>
      </c>
      <c r="DG62">
        <f t="shared" si="59"/>
        <v>4140</v>
      </c>
      <c r="DH62">
        <v>400</v>
      </c>
      <c r="DI62">
        <v>500</v>
      </c>
      <c r="DJ62">
        <f t="shared" si="60"/>
        <v>44370</v>
      </c>
      <c r="DK62">
        <v>4000</v>
      </c>
      <c r="DL62">
        <v>0</v>
      </c>
      <c r="DM62">
        <f t="shared" si="61"/>
        <v>200</v>
      </c>
      <c r="DN62">
        <f t="shared" si="62"/>
        <v>40170</v>
      </c>
      <c r="DO62">
        <v>34500</v>
      </c>
      <c r="DP62">
        <f t="shared" si="63"/>
        <v>4830.0000000000009</v>
      </c>
      <c r="DQ62">
        <f t="shared" si="64"/>
        <v>4140</v>
      </c>
      <c r="DR62">
        <v>400</v>
      </c>
      <c r="DS62">
        <v>500</v>
      </c>
      <c r="DT62">
        <f t="shared" si="65"/>
        <v>44370</v>
      </c>
      <c r="DU62">
        <v>4000</v>
      </c>
      <c r="DV62">
        <v>0</v>
      </c>
      <c r="DW62">
        <f t="shared" si="66"/>
        <v>200</v>
      </c>
      <c r="DX62">
        <f t="shared" si="67"/>
        <v>40170</v>
      </c>
      <c r="DY62">
        <f t="shared" si="68"/>
        <v>520557</v>
      </c>
      <c r="DZ62">
        <f t="shared" si="0"/>
        <v>2400</v>
      </c>
      <c r="EA62">
        <f t="shared" si="1"/>
        <v>50000</v>
      </c>
      <c r="EB62">
        <v>0</v>
      </c>
      <c r="EC62">
        <f t="shared" si="2"/>
        <v>468157</v>
      </c>
      <c r="ED62">
        <f t="shared" si="3"/>
        <v>48000</v>
      </c>
      <c r="EE62">
        <f t="shared" si="4"/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f t="shared" si="5"/>
        <v>48000</v>
      </c>
      <c r="EQ62">
        <f t="shared" si="69"/>
        <v>48000</v>
      </c>
      <c r="ER62">
        <f t="shared" si="6"/>
        <v>420157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f t="shared" si="70"/>
        <v>0</v>
      </c>
      <c r="FA62">
        <f t="shared" si="71"/>
        <v>420157</v>
      </c>
      <c r="FB62">
        <f t="shared" si="72"/>
        <v>8508</v>
      </c>
      <c r="FC62">
        <f t="shared" si="73"/>
        <v>0</v>
      </c>
      <c r="FD62">
        <f t="shared" si="74"/>
        <v>8508</v>
      </c>
      <c r="FE62">
        <f t="shared" si="75"/>
        <v>0</v>
      </c>
      <c r="FF62">
        <f t="shared" si="76"/>
        <v>0</v>
      </c>
      <c r="FG62">
        <f t="shared" si="77"/>
        <v>0</v>
      </c>
      <c r="FH62">
        <v>0</v>
      </c>
      <c r="FI62">
        <f t="shared" si="78"/>
        <v>0</v>
      </c>
      <c r="FJ62" t="b">
        <f t="shared" si="79"/>
        <v>1</v>
      </c>
      <c r="FK62">
        <f t="shared" ca="1" si="80"/>
        <v>618</v>
      </c>
      <c r="FL62">
        <f t="shared" ca="1" si="81"/>
        <v>521175</v>
      </c>
      <c r="FM62">
        <f t="shared" si="82"/>
        <v>75000</v>
      </c>
      <c r="FN62">
        <f t="shared" ca="1" si="83"/>
        <v>446175</v>
      </c>
      <c r="FO62">
        <f t="shared" ca="1" si="84"/>
        <v>0</v>
      </c>
      <c r="FP62">
        <f t="shared" ca="1" si="85"/>
        <v>0</v>
      </c>
      <c r="FQ62">
        <f t="shared" ca="1" si="86"/>
        <v>0</v>
      </c>
      <c r="FR62">
        <f t="shared" ca="1" si="87"/>
        <v>0</v>
      </c>
      <c r="FS62">
        <f t="shared" ca="1" si="88"/>
        <v>0</v>
      </c>
      <c r="FT62">
        <f t="shared" ca="1" si="89"/>
        <v>0</v>
      </c>
      <c r="FU62">
        <f t="shared" ca="1" si="90"/>
        <v>0</v>
      </c>
      <c r="FV62">
        <f t="shared" ca="1" si="91"/>
        <v>0</v>
      </c>
      <c r="FW62">
        <f t="shared" ca="1" si="92"/>
        <v>146175</v>
      </c>
      <c r="FX62">
        <f t="shared" ca="1" si="93"/>
        <v>7308.75</v>
      </c>
      <c r="FY62">
        <f t="shared" ca="1" si="94"/>
        <v>7309</v>
      </c>
      <c r="FZ62">
        <f t="shared" ca="1" si="95"/>
        <v>0</v>
      </c>
      <c r="GA62">
        <f t="shared" ca="1" si="96"/>
        <v>0</v>
      </c>
      <c r="GB62">
        <f t="shared" ca="1" si="97"/>
        <v>7309</v>
      </c>
      <c r="GC62">
        <f t="shared" ca="1" si="98"/>
        <v>0</v>
      </c>
      <c r="GD62" t="b">
        <f t="shared" ca="1" si="99"/>
        <v>0</v>
      </c>
      <c r="GE62">
        <f t="shared" ca="1" si="100"/>
        <v>0</v>
      </c>
      <c r="GF62">
        <f t="shared" ca="1" si="101"/>
        <v>7309</v>
      </c>
      <c r="GG62">
        <f t="shared" ca="1" si="102"/>
        <v>0</v>
      </c>
      <c r="GH62">
        <f t="shared" ca="1" si="103"/>
        <v>0</v>
      </c>
      <c r="GI62">
        <f t="shared" ca="1" si="104"/>
        <v>0</v>
      </c>
    </row>
    <row r="63" spans="1:191" x14ac:dyDescent="0.25">
      <c r="A63">
        <f>_xlfn.AGGREGATE(3,5,$B$2:B63)</f>
        <v>62</v>
      </c>
      <c r="B63" t="s">
        <v>246</v>
      </c>
      <c r="C63" t="s">
        <v>247</v>
      </c>
      <c r="D63" t="s">
        <v>778</v>
      </c>
      <c r="E63" t="s">
        <v>844</v>
      </c>
      <c r="F63">
        <v>0</v>
      </c>
      <c r="G63">
        <v>6000</v>
      </c>
      <c r="H63">
        <v>32500</v>
      </c>
      <c r="I63">
        <f t="shared" si="7"/>
        <v>3250</v>
      </c>
      <c r="J63">
        <f t="shared" si="8"/>
        <v>3900</v>
      </c>
      <c r="K63">
        <v>0</v>
      </c>
      <c r="L63">
        <v>500</v>
      </c>
      <c r="M63">
        <f t="shared" si="9"/>
        <v>40150</v>
      </c>
      <c r="N63">
        <v>2000</v>
      </c>
      <c r="O63">
        <v>0</v>
      </c>
      <c r="P63">
        <f t="shared" si="10"/>
        <v>200</v>
      </c>
      <c r="Q63">
        <f t="shared" si="11"/>
        <v>37950</v>
      </c>
      <c r="R63">
        <v>32500</v>
      </c>
      <c r="S63">
        <f t="shared" si="12"/>
        <v>3250</v>
      </c>
      <c r="T63">
        <f t="shared" si="13"/>
        <v>3900</v>
      </c>
      <c r="U63">
        <v>0</v>
      </c>
      <c r="V63">
        <v>500</v>
      </c>
      <c r="W63">
        <f t="shared" si="14"/>
        <v>40150</v>
      </c>
      <c r="X63">
        <v>2000</v>
      </c>
      <c r="Y63">
        <v>0</v>
      </c>
      <c r="Z63">
        <f t="shared" si="15"/>
        <v>200</v>
      </c>
      <c r="AA63">
        <f t="shared" si="16"/>
        <v>37950</v>
      </c>
      <c r="AB63">
        <v>32500</v>
      </c>
      <c r="AC63">
        <f t="shared" si="17"/>
        <v>4550</v>
      </c>
      <c r="AD63">
        <f t="shared" si="18"/>
        <v>3900</v>
      </c>
      <c r="AE63">
        <v>0</v>
      </c>
      <c r="AF63">
        <v>500</v>
      </c>
      <c r="AG63">
        <f t="shared" si="19"/>
        <v>41450</v>
      </c>
      <c r="AH63">
        <v>2000</v>
      </c>
      <c r="AI63">
        <v>0</v>
      </c>
      <c r="AJ63">
        <f t="shared" si="20"/>
        <v>200</v>
      </c>
      <c r="AK63">
        <f t="shared" si="21"/>
        <v>39250</v>
      </c>
      <c r="AL63">
        <v>32500</v>
      </c>
      <c r="AM63">
        <f t="shared" si="22"/>
        <v>4550</v>
      </c>
      <c r="AN63">
        <f t="shared" si="23"/>
        <v>3900</v>
      </c>
      <c r="AO63">
        <v>0</v>
      </c>
      <c r="AP63">
        <v>500</v>
      </c>
      <c r="AQ63">
        <f t="shared" si="24"/>
        <v>41450</v>
      </c>
      <c r="AR63">
        <v>2000</v>
      </c>
      <c r="AS63">
        <v>0</v>
      </c>
      <c r="AT63">
        <f t="shared" si="25"/>
        <v>200</v>
      </c>
      <c r="AU63">
        <f t="shared" si="26"/>
        <v>39250</v>
      </c>
      <c r="AV63">
        <v>33500</v>
      </c>
      <c r="AW63">
        <f t="shared" si="27"/>
        <v>4690</v>
      </c>
      <c r="AX63">
        <f t="shared" si="28"/>
        <v>1300</v>
      </c>
      <c r="AY63">
        <f t="shared" si="29"/>
        <v>4020</v>
      </c>
      <c r="AZ63">
        <v>0</v>
      </c>
      <c r="BA63">
        <v>500</v>
      </c>
      <c r="BB63">
        <f t="shared" si="30"/>
        <v>44010</v>
      </c>
      <c r="BC63">
        <v>2500</v>
      </c>
      <c r="BD63">
        <v>0</v>
      </c>
      <c r="BE63">
        <f t="shared" si="31"/>
        <v>200</v>
      </c>
      <c r="BF63">
        <f t="shared" si="32"/>
        <v>41310</v>
      </c>
      <c r="BG63">
        <v>33500</v>
      </c>
      <c r="BH63">
        <f t="shared" si="33"/>
        <v>4690</v>
      </c>
      <c r="BI63">
        <f t="shared" si="34"/>
        <v>4020</v>
      </c>
      <c r="BJ63">
        <v>0</v>
      </c>
      <c r="BK63">
        <v>500</v>
      </c>
      <c r="BL63">
        <f t="shared" si="35"/>
        <v>42710</v>
      </c>
      <c r="BM63">
        <v>2500</v>
      </c>
      <c r="BN63">
        <v>0</v>
      </c>
      <c r="BO63">
        <f t="shared" si="36"/>
        <v>200</v>
      </c>
      <c r="BP63">
        <f t="shared" si="37"/>
        <v>40010</v>
      </c>
      <c r="BQ63">
        <v>33500</v>
      </c>
      <c r="BR63">
        <f t="shared" si="38"/>
        <v>4690</v>
      </c>
      <c r="BS63">
        <f t="shared" si="39"/>
        <v>4020</v>
      </c>
      <c r="BT63">
        <v>0</v>
      </c>
      <c r="BU63">
        <v>500</v>
      </c>
      <c r="BV63">
        <f t="shared" si="40"/>
        <v>42710</v>
      </c>
      <c r="BW63">
        <v>2500</v>
      </c>
      <c r="BX63">
        <v>0</v>
      </c>
      <c r="BY63">
        <f t="shared" si="41"/>
        <v>200</v>
      </c>
      <c r="BZ63">
        <f t="shared" si="42"/>
        <v>40010</v>
      </c>
      <c r="CA63">
        <v>33500</v>
      </c>
      <c r="CB63">
        <f t="shared" si="43"/>
        <v>4690</v>
      </c>
      <c r="CC63">
        <f t="shared" si="44"/>
        <v>4020</v>
      </c>
      <c r="CD63">
        <v>0</v>
      </c>
      <c r="CE63">
        <v>500</v>
      </c>
      <c r="CF63">
        <f t="shared" si="45"/>
        <v>42710</v>
      </c>
      <c r="CG63">
        <v>2500</v>
      </c>
      <c r="CH63">
        <v>0</v>
      </c>
      <c r="CI63">
        <f t="shared" si="46"/>
        <v>200</v>
      </c>
      <c r="CJ63">
        <f t="shared" si="47"/>
        <v>40010</v>
      </c>
      <c r="CK63">
        <v>33500</v>
      </c>
      <c r="CL63">
        <f t="shared" si="48"/>
        <v>4690</v>
      </c>
      <c r="CM63">
        <f t="shared" si="49"/>
        <v>4020</v>
      </c>
      <c r="CN63">
        <v>0</v>
      </c>
      <c r="CO63">
        <v>500</v>
      </c>
      <c r="CP63">
        <f t="shared" si="50"/>
        <v>42710</v>
      </c>
      <c r="CQ63">
        <v>2500</v>
      </c>
      <c r="CR63">
        <v>0</v>
      </c>
      <c r="CS63">
        <f t="shared" si="51"/>
        <v>200</v>
      </c>
      <c r="CT63">
        <f t="shared" si="52"/>
        <v>40010</v>
      </c>
      <c r="CU63">
        <v>33500</v>
      </c>
      <c r="CV63">
        <f t="shared" si="53"/>
        <v>4690</v>
      </c>
      <c r="CW63">
        <f t="shared" si="54"/>
        <v>4020</v>
      </c>
      <c r="CX63">
        <v>0</v>
      </c>
      <c r="CY63">
        <v>500</v>
      </c>
      <c r="CZ63">
        <f t="shared" si="55"/>
        <v>42710</v>
      </c>
      <c r="DA63">
        <v>2500</v>
      </c>
      <c r="DB63">
        <v>0</v>
      </c>
      <c r="DC63">
        <f t="shared" si="56"/>
        <v>200</v>
      </c>
      <c r="DD63">
        <f t="shared" si="57"/>
        <v>40010</v>
      </c>
      <c r="DE63">
        <v>33500</v>
      </c>
      <c r="DF63">
        <f t="shared" si="58"/>
        <v>4690</v>
      </c>
      <c r="DG63">
        <f t="shared" si="59"/>
        <v>4020</v>
      </c>
      <c r="DH63">
        <v>0</v>
      </c>
      <c r="DI63">
        <v>500</v>
      </c>
      <c r="DJ63">
        <f t="shared" si="60"/>
        <v>42710</v>
      </c>
      <c r="DK63">
        <v>2500</v>
      </c>
      <c r="DL63">
        <v>0</v>
      </c>
      <c r="DM63">
        <f t="shared" si="61"/>
        <v>200</v>
      </c>
      <c r="DN63">
        <f t="shared" si="62"/>
        <v>40010</v>
      </c>
      <c r="DO63">
        <v>33500</v>
      </c>
      <c r="DP63">
        <f t="shared" si="63"/>
        <v>4690</v>
      </c>
      <c r="DQ63">
        <f t="shared" si="64"/>
        <v>4020</v>
      </c>
      <c r="DR63">
        <v>0</v>
      </c>
      <c r="DS63">
        <v>500</v>
      </c>
      <c r="DT63">
        <f t="shared" si="65"/>
        <v>42710</v>
      </c>
      <c r="DU63">
        <v>2500</v>
      </c>
      <c r="DV63">
        <v>0</v>
      </c>
      <c r="DW63">
        <f t="shared" si="66"/>
        <v>200</v>
      </c>
      <c r="DX63">
        <f t="shared" si="67"/>
        <v>40010</v>
      </c>
      <c r="DY63">
        <f t="shared" si="68"/>
        <v>512180</v>
      </c>
      <c r="DZ63">
        <f t="shared" si="0"/>
        <v>2400</v>
      </c>
      <c r="EA63">
        <f t="shared" si="1"/>
        <v>50000</v>
      </c>
      <c r="EB63">
        <v>0</v>
      </c>
      <c r="EC63">
        <f t="shared" si="2"/>
        <v>459780</v>
      </c>
      <c r="ED63">
        <f t="shared" si="3"/>
        <v>28000</v>
      </c>
      <c r="EE63">
        <f t="shared" si="4"/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f t="shared" si="5"/>
        <v>28000</v>
      </c>
      <c r="EQ63">
        <f t="shared" si="69"/>
        <v>28000</v>
      </c>
      <c r="ER63">
        <f t="shared" si="6"/>
        <v>431780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f t="shared" si="70"/>
        <v>0</v>
      </c>
      <c r="FA63">
        <f t="shared" si="71"/>
        <v>431780</v>
      </c>
      <c r="FB63">
        <f t="shared" si="72"/>
        <v>9089</v>
      </c>
      <c r="FC63">
        <f t="shared" si="73"/>
        <v>0</v>
      </c>
      <c r="FD63">
        <f t="shared" si="74"/>
        <v>9089</v>
      </c>
      <c r="FE63">
        <f t="shared" si="75"/>
        <v>0</v>
      </c>
      <c r="FF63">
        <f t="shared" si="76"/>
        <v>0</v>
      </c>
      <c r="FG63">
        <f t="shared" si="77"/>
        <v>0</v>
      </c>
      <c r="FH63">
        <v>0</v>
      </c>
      <c r="FI63">
        <f t="shared" si="78"/>
        <v>0</v>
      </c>
      <c r="FJ63" t="b">
        <f t="shared" si="79"/>
        <v>1</v>
      </c>
      <c r="FK63">
        <f t="shared" ca="1" si="80"/>
        <v>724</v>
      </c>
      <c r="FL63">
        <f t="shared" ca="1" si="81"/>
        <v>512904</v>
      </c>
      <c r="FM63">
        <f t="shared" si="82"/>
        <v>75000</v>
      </c>
      <c r="FN63">
        <f t="shared" ca="1" si="83"/>
        <v>437904</v>
      </c>
      <c r="FO63">
        <f t="shared" ca="1" si="84"/>
        <v>0</v>
      </c>
      <c r="FP63">
        <f t="shared" ca="1" si="85"/>
        <v>0</v>
      </c>
      <c r="FQ63">
        <f t="shared" ca="1" si="86"/>
        <v>0</v>
      </c>
      <c r="FR63">
        <f t="shared" ca="1" si="87"/>
        <v>0</v>
      </c>
      <c r="FS63">
        <f t="shared" ca="1" si="88"/>
        <v>0</v>
      </c>
      <c r="FT63">
        <f t="shared" ca="1" si="89"/>
        <v>0</v>
      </c>
      <c r="FU63">
        <f t="shared" ca="1" si="90"/>
        <v>0</v>
      </c>
      <c r="FV63">
        <f t="shared" ca="1" si="91"/>
        <v>0</v>
      </c>
      <c r="FW63">
        <f t="shared" ca="1" si="92"/>
        <v>137904</v>
      </c>
      <c r="FX63">
        <f t="shared" ca="1" si="93"/>
        <v>6895.2000000000007</v>
      </c>
      <c r="FY63">
        <f t="shared" ca="1" si="94"/>
        <v>6895</v>
      </c>
      <c r="FZ63">
        <f t="shared" ca="1" si="95"/>
        <v>0</v>
      </c>
      <c r="GA63">
        <f t="shared" ca="1" si="96"/>
        <v>0</v>
      </c>
      <c r="GB63">
        <f t="shared" ca="1" si="97"/>
        <v>6895</v>
      </c>
      <c r="GC63">
        <f t="shared" ca="1" si="98"/>
        <v>0</v>
      </c>
      <c r="GD63" t="b">
        <f t="shared" ca="1" si="99"/>
        <v>0</v>
      </c>
      <c r="GE63">
        <f t="shared" ca="1" si="100"/>
        <v>0</v>
      </c>
      <c r="GF63">
        <f t="shared" ca="1" si="101"/>
        <v>6895</v>
      </c>
      <c r="GG63">
        <f t="shared" ca="1" si="102"/>
        <v>0</v>
      </c>
      <c r="GH63">
        <f t="shared" ca="1" si="103"/>
        <v>0</v>
      </c>
      <c r="GI63">
        <f t="shared" ca="1" si="104"/>
        <v>0</v>
      </c>
    </row>
    <row r="64" spans="1:191" x14ac:dyDescent="0.25">
      <c r="A64">
        <f>_xlfn.AGGREGATE(3,5,$B$2:B64)</f>
        <v>63</v>
      </c>
      <c r="B64" t="s">
        <v>248</v>
      </c>
      <c r="C64" t="s">
        <v>249</v>
      </c>
      <c r="D64" t="s">
        <v>778</v>
      </c>
      <c r="E64" t="s">
        <v>843</v>
      </c>
      <c r="F64">
        <v>0</v>
      </c>
      <c r="G64">
        <v>6000</v>
      </c>
      <c r="H64">
        <v>32500</v>
      </c>
      <c r="I64">
        <f t="shared" si="7"/>
        <v>3250</v>
      </c>
      <c r="J64">
        <f t="shared" si="8"/>
        <v>3900</v>
      </c>
      <c r="K64">
        <v>0</v>
      </c>
      <c r="L64">
        <v>0</v>
      </c>
      <c r="M64">
        <f t="shared" si="9"/>
        <v>39650</v>
      </c>
      <c r="N64">
        <v>2000</v>
      </c>
      <c r="O64">
        <v>0</v>
      </c>
      <c r="P64">
        <f t="shared" si="10"/>
        <v>150</v>
      </c>
      <c r="Q64">
        <f t="shared" si="11"/>
        <v>37500</v>
      </c>
      <c r="R64">
        <v>32500</v>
      </c>
      <c r="S64">
        <f t="shared" si="12"/>
        <v>3250</v>
      </c>
      <c r="T64">
        <f t="shared" si="13"/>
        <v>3900</v>
      </c>
      <c r="U64">
        <v>0</v>
      </c>
      <c r="V64">
        <v>0</v>
      </c>
      <c r="W64">
        <f t="shared" si="14"/>
        <v>39650</v>
      </c>
      <c r="X64">
        <v>2000</v>
      </c>
      <c r="Y64">
        <v>0</v>
      </c>
      <c r="Z64">
        <f t="shared" si="15"/>
        <v>150</v>
      </c>
      <c r="AA64">
        <f t="shared" si="16"/>
        <v>37500</v>
      </c>
      <c r="AB64">
        <v>32500</v>
      </c>
      <c r="AC64">
        <f t="shared" si="17"/>
        <v>4550</v>
      </c>
      <c r="AD64">
        <f t="shared" si="18"/>
        <v>3900</v>
      </c>
      <c r="AE64">
        <v>0</v>
      </c>
      <c r="AF64">
        <v>0</v>
      </c>
      <c r="AG64">
        <f t="shared" si="19"/>
        <v>40950</v>
      </c>
      <c r="AH64">
        <v>2000</v>
      </c>
      <c r="AI64">
        <v>0</v>
      </c>
      <c r="AJ64">
        <f t="shared" si="20"/>
        <v>200</v>
      </c>
      <c r="AK64">
        <f t="shared" si="21"/>
        <v>38750</v>
      </c>
      <c r="AL64">
        <v>32500</v>
      </c>
      <c r="AM64">
        <f t="shared" si="22"/>
        <v>4550</v>
      </c>
      <c r="AN64">
        <f t="shared" si="23"/>
        <v>3900</v>
      </c>
      <c r="AO64">
        <v>0</v>
      </c>
      <c r="AP64">
        <v>0</v>
      </c>
      <c r="AQ64">
        <f t="shared" si="24"/>
        <v>40950</v>
      </c>
      <c r="AR64">
        <v>2000</v>
      </c>
      <c r="AS64">
        <v>0</v>
      </c>
      <c r="AT64">
        <f t="shared" si="25"/>
        <v>200</v>
      </c>
      <c r="AU64">
        <f t="shared" si="26"/>
        <v>38750</v>
      </c>
      <c r="AV64">
        <v>33500</v>
      </c>
      <c r="AW64">
        <f t="shared" si="27"/>
        <v>4690</v>
      </c>
      <c r="AX64">
        <f t="shared" si="28"/>
        <v>1300</v>
      </c>
      <c r="AY64">
        <f t="shared" si="29"/>
        <v>4020</v>
      </c>
      <c r="AZ64">
        <v>0</v>
      </c>
      <c r="BA64">
        <v>0</v>
      </c>
      <c r="BB64">
        <f t="shared" si="30"/>
        <v>43510</v>
      </c>
      <c r="BC64">
        <v>2500</v>
      </c>
      <c r="BD64">
        <v>0</v>
      </c>
      <c r="BE64">
        <f t="shared" si="31"/>
        <v>200</v>
      </c>
      <c r="BF64">
        <f t="shared" si="32"/>
        <v>40810</v>
      </c>
      <c r="BG64">
        <v>33500</v>
      </c>
      <c r="BH64">
        <f t="shared" si="33"/>
        <v>4690</v>
      </c>
      <c r="BI64">
        <f t="shared" si="34"/>
        <v>4020</v>
      </c>
      <c r="BJ64">
        <v>0</v>
      </c>
      <c r="BK64">
        <v>0</v>
      </c>
      <c r="BL64">
        <f t="shared" si="35"/>
        <v>42210</v>
      </c>
      <c r="BM64">
        <v>2500</v>
      </c>
      <c r="BN64">
        <v>0</v>
      </c>
      <c r="BO64">
        <f t="shared" si="36"/>
        <v>200</v>
      </c>
      <c r="BP64">
        <f t="shared" si="37"/>
        <v>39510</v>
      </c>
      <c r="BQ64">
        <v>33500</v>
      </c>
      <c r="BR64">
        <f t="shared" si="38"/>
        <v>4690</v>
      </c>
      <c r="BS64">
        <f t="shared" si="39"/>
        <v>4020</v>
      </c>
      <c r="BT64">
        <v>0</v>
      </c>
      <c r="BU64">
        <v>0</v>
      </c>
      <c r="BV64">
        <f t="shared" si="40"/>
        <v>42210</v>
      </c>
      <c r="BW64">
        <v>2500</v>
      </c>
      <c r="BX64">
        <v>0</v>
      </c>
      <c r="BY64">
        <f t="shared" si="41"/>
        <v>200</v>
      </c>
      <c r="BZ64">
        <f t="shared" si="42"/>
        <v>39510</v>
      </c>
      <c r="CA64">
        <v>33500</v>
      </c>
      <c r="CB64">
        <f t="shared" si="43"/>
        <v>4690</v>
      </c>
      <c r="CC64">
        <f t="shared" si="44"/>
        <v>4020</v>
      </c>
      <c r="CD64">
        <v>0</v>
      </c>
      <c r="CE64">
        <v>0</v>
      </c>
      <c r="CF64">
        <f t="shared" si="45"/>
        <v>42210</v>
      </c>
      <c r="CG64">
        <v>2500</v>
      </c>
      <c r="CH64">
        <v>0</v>
      </c>
      <c r="CI64">
        <f t="shared" si="46"/>
        <v>200</v>
      </c>
      <c r="CJ64">
        <f t="shared" si="47"/>
        <v>39510</v>
      </c>
      <c r="CK64">
        <v>33500</v>
      </c>
      <c r="CL64">
        <f t="shared" si="48"/>
        <v>4690</v>
      </c>
      <c r="CM64">
        <f t="shared" si="49"/>
        <v>4020</v>
      </c>
      <c r="CN64">
        <v>0</v>
      </c>
      <c r="CO64">
        <v>0</v>
      </c>
      <c r="CP64">
        <f t="shared" si="50"/>
        <v>42210</v>
      </c>
      <c r="CQ64">
        <v>2500</v>
      </c>
      <c r="CR64">
        <v>0</v>
      </c>
      <c r="CS64">
        <f t="shared" si="51"/>
        <v>200</v>
      </c>
      <c r="CT64">
        <f t="shared" si="52"/>
        <v>39510</v>
      </c>
      <c r="CU64">
        <v>33500</v>
      </c>
      <c r="CV64">
        <f t="shared" si="53"/>
        <v>4690</v>
      </c>
      <c r="CW64">
        <f t="shared" si="54"/>
        <v>4020</v>
      </c>
      <c r="CX64">
        <v>0</v>
      </c>
      <c r="CY64">
        <v>0</v>
      </c>
      <c r="CZ64">
        <f t="shared" si="55"/>
        <v>42210</v>
      </c>
      <c r="DA64">
        <v>2500</v>
      </c>
      <c r="DB64">
        <v>0</v>
      </c>
      <c r="DC64">
        <f t="shared" si="56"/>
        <v>200</v>
      </c>
      <c r="DD64">
        <f t="shared" si="57"/>
        <v>39510</v>
      </c>
      <c r="DE64">
        <v>33500</v>
      </c>
      <c r="DF64">
        <f t="shared" si="58"/>
        <v>4690</v>
      </c>
      <c r="DG64">
        <f t="shared" si="59"/>
        <v>4020</v>
      </c>
      <c r="DH64">
        <v>0</v>
      </c>
      <c r="DI64">
        <v>0</v>
      </c>
      <c r="DJ64">
        <f t="shared" si="60"/>
        <v>42210</v>
      </c>
      <c r="DK64">
        <v>2500</v>
      </c>
      <c r="DL64">
        <v>0</v>
      </c>
      <c r="DM64">
        <f t="shared" si="61"/>
        <v>200</v>
      </c>
      <c r="DN64">
        <f t="shared" si="62"/>
        <v>39510</v>
      </c>
      <c r="DO64">
        <v>33500</v>
      </c>
      <c r="DP64">
        <f t="shared" si="63"/>
        <v>4690</v>
      </c>
      <c r="DQ64">
        <f t="shared" si="64"/>
        <v>4020</v>
      </c>
      <c r="DR64">
        <v>0</v>
      </c>
      <c r="DS64">
        <v>0</v>
      </c>
      <c r="DT64">
        <f t="shared" si="65"/>
        <v>42210</v>
      </c>
      <c r="DU64">
        <v>2500</v>
      </c>
      <c r="DV64">
        <v>0</v>
      </c>
      <c r="DW64">
        <f t="shared" si="66"/>
        <v>200</v>
      </c>
      <c r="DX64">
        <f t="shared" si="67"/>
        <v>39510</v>
      </c>
      <c r="DY64">
        <f t="shared" si="68"/>
        <v>506180</v>
      </c>
      <c r="DZ64">
        <f t="shared" si="0"/>
        <v>2300</v>
      </c>
      <c r="EA64">
        <f t="shared" si="1"/>
        <v>50000</v>
      </c>
      <c r="EB64">
        <v>0</v>
      </c>
      <c r="EC64">
        <f t="shared" si="2"/>
        <v>453880</v>
      </c>
      <c r="ED64">
        <f t="shared" si="3"/>
        <v>28000</v>
      </c>
      <c r="EE64">
        <f t="shared" si="4"/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f t="shared" si="5"/>
        <v>28000</v>
      </c>
      <c r="EQ64">
        <f t="shared" si="69"/>
        <v>28000</v>
      </c>
      <c r="ER64">
        <f t="shared" si="6"/>
        <v>425880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f t="shared" si="70"/>
        <v>0</v>
      </c>
      <c r="FA64">
        <f t="shared" si="71"/>
        <v>425880</v>
      </c>
      <c r="FB64">
        <f t="shared" si="72"/>
        <v>8794</v>
      </c>
      <c r="FC64">
        <f t="shared" si="73"/>
        <v>0</v>
      </c>
      <c r="FD64">
        <f t="shared" si="74"/>
        <v>8794</v>
      </c>
      <c r="FE64">
        <f t="shared" si="75"/>
        <v>0</v>
      </c>
      <c r="FF64">
        <f t="shared" si="76"/>
        <v>0</v>
      </c>
      <c r="FG64">
        <f t="shared" si="77"/>
        <v>0</v>
      </c>
      <c r="FH64">
        <v>0</v>
      </c>
      <c r="FI64">
        <f t="shared" si="78"/>
        <v>0</v>
      </c>
      <c r="FJ64" t="b">
        <f t="shared" si="79"/>
        <v>1</v>
      </c>
      <c r="FK64">
        <f t="shared" ca="1" si="80"/>
        <v>923</v>
      </c>
      <c r="FL64">
        <f t="shared" ca="1" si="81"/>
        <v>507103</v>
      </c>
      <c r="FM64">
        <f t="shared" si="82"/>
        <v>75000</v>
      </c>
      <c r="FN64">
        <f t="shared" ca="1" si="83"/>
        <v>432103</v>
      </c>
      <c r="FO64">
        <f t="shared" ca="1" si="84"/>
        <v>0</v>
      </c>
      <c r="FP64">
        <f t="shared" ca="1" si="85"/>
        <v>0</v>
      </c>
      <c r="FQ64">
        <f t="shared" ca="1" si="86"/>
        <v>0</v>
      </c>
      <c r="FR64">
        <f t="shared" ca="1" si="87"/>
        <v>0</v>
      </c>
      <c r="FS64">
        <f t="shared" ca="1" si="88"/>
        <v>0</v>
      </c>
      <c r="FT64">
        <f t="shared" ca="1" si="89"/>
        <v>0</v>
      </c>
      <c r="FU64">
        <f t="shared" ca="1" si="90"/>
        <v>0</v>
      </c>
      <c r="FV64">
        <f t="shared" ca="1" si="91"/>
        <v>0</v>
      </c>
      <c r="FW64">
        <f t="shared" ca="1" si="92"/>
        <v>132103</v>
      </c>
      <c r="FX64">
        <f t="shared" ca="1" si="93"/>
        <v>6605.1500000000005</v>
      </c>
      <c r="FY64">
        <f t="shared" ca="1" si="94"/>
        <v>6605</v>
      </c>
      <c r="FZ64">
        <f t="shared" ca="1" si="95"/>
        <v>0</v>
      </c>
      <c r="GA64">
        <f t="shared" ca="1" si="96"/>
        <v>0</v>
      </c>
      <c r="GB64">
        <f t="shared" ca="1" si="97"/>
        <v>6605</v>
      </c>
      <c r="GC64">
        <f t="shared" ca="1" si="98"/>
        <v>0</v>
      </c>
      <c r="GD64" t="b">
        <f t="shared" ca="1" si="99"/>
        <v>0</v>
      </c>
      <c r="GE64">
        <f t="shared" ca="1" si="100"/>
        <v>0</v>
      </c>
      <c r="GF64">
        <f t="shared" ca="1" si="101"/>
        <v>6605</v>
      </c>
      <c r="GG64">
        <f t="shared" ca="1" si="102"/>
        <v>0</v>
      </c>
      <c r="GH64">
        <f t="shared" ca="1" si="103"/>
        <v>0</v>
      </c>
      <c r="GI64">
        <f t="shared" ca="1" si="104"/>
        <v>0</v>
      </c>
    </row>
    <row r="65" spans="1:191" x14ac:dyDescent="0.25">
      <c r="A65">
        <f>_xlfn.AGGREGATE(3,5,$B$2:B65)</f>
        <v>64</v>
      </c>
      <c r="B65" t="s">
        <v>250</v>
      </c>
      <c r="C65" t="s">
        <v>251</v>
      </c>
      <c r="D65" t="s">
        <v>778</v>
      </c>
      <c r="E65" t="s">
        <v>844</v>
      </c>
      <c r="F65">
        <v>0</v>
      </c>
      <c r="G65">
        <v>6000</v>
      </c>
      <c r="H65">
        <v>32500</v>
      </c>
      <c r="I65">
        <f t="shared" si="7"/>
        <v>3250</v>
      </c>
      <c r="J65">
        <f t="shared" si="8"/>
        <v>3900</v>
      </c>
      <c r="K65">
        <v>0</v>
      </c>
      <c r="L65">
        <v>0</v>
      </c>
      <c r="M65">
        <f t="shared" si="9"/>
        <v>39650</v>
      </c>
      <c r="N65">
        <v>2000</v>
      </c>
      <c r="O65">
        <v>0</v>
      </c>
      <c r="P65">
        <f t="shared" si="10"/>
        <v>150</v>
      </c>
      <c r="Q65">
        <f t="shared" si="11"/>
        <v>37500</v>
      </c>
      <c r="R65">
        <v>32500</v>
      </c>
      <c r="S65">
        <f t="shared" si="12"/>
        <v>3250</v>
      </c>
      <c r="T65">
        <f t="shared" si="13"/>
        <v>3900</v>
      </c>
      <c r="U65">
        <v>0</v>
      </c>
      <c r="V65">
        <v>0</v>
      </c>
      <c r="W65">
        <f t="shared" si="14"/>
        <v>39650</v>
      </c>
      <c r="X65">
        <v>2000</v>
      </c>
      <c r="Y65">
        <v>0</v>
      </c>
      <c r="Z65">
        <f t="shared" si="15"/>
        <v>150</v>
      </c>
      <c r="AA65">
        <f t="shared" si="16"/>
        <v>37500</v>
      </c>
      <c r="AB65">
        <v>32500</v>
      </c>
      <c r="AC65">
        <f t="shared" si="17"/>
        <v>4550</v>
      </c>
      <c r="AD65">
        <f t="shared" si="18"/>
        <v>3900</v>
      </c>
      <c r="AE65">
        <v>0</v>
      </c>
      <c r="AF65">
        <v>0</v>
      </c>
      <c r="AG65">
        <f t="shared" si="19"/>
        <v>40950</v>
      </c>
      <c r="AH65">
        <v>2000</v>
      </c>
      <c r="AI65">
        <v>0</v>
      </c>
      <c r="AJ65">
        <f t="shared" si="20"/>
        <v>200</v>
      </c>
      <c r="AK65">
        <f t="shared" si="21"/>
        <v>38750</v>
      </c>
      <c r="AL65">
        <v>32500</v>
      </c>
      <c r="AM65">
        <f t="shared" si="22"/>
        <v>4550</v>
      </c>
      <c r="AN65">
        <f t="shared" si="23"/>
        <v>3900</v>
      </c>
      <c r="AO65">
        <v>0</v>
      </c>
      <c r="AP65">
        <v>0</v>
      </c>
      <c r="AQ65">
        <f t="shared" si="24"/>
        <v>40950</v>
      </c>
      <c r="AR65">
        <v>2000</v>
      </c>
      <c r="AS65">
        <v>0</v>
      </c>
      <c r="AT65">
        <f t="shared" si="25"/>
        <v>200</v>
      </c>
      <c r="AU65">
        <f t="shared" si="26"/>
        <v>38750</v>
      </c>
      <c r="AV65">
        <v>33500</v>
      </c>
      <c r="AW65">
        <f t="shared" si="27"/>
        <v>4690</v>
      </c>
      <c r="AX65">
        <f t="shared" si="28"/>
        <v>1300</v>
      </c>
      <c r="AY65">
        <f t="shared" si="29"/>
        <v>4020</v>
      </c>
      <c r="AZ65">
        <v>0</v>
      </c>
      <c r="BA65">
        <v>0</v>
      </c>
      <c r="BB65">
        <f t="shared" si="30"/>
        <v>43510</v>
      </c>
      <c r="BC65">
        <v>2500</v>
      </c>
      <c r="BD65">
        <v>0</v>
      </c>
      <c r="BE65">
        <f t="shared" si="31"/>
        <v>200</v>
      </c>
      <c r="BF65">
        <f t="shared" si="32"/>
        <v>40810</v>
      </c>
      <c r="BG65">
        <v>33500</v>
      </c>
      <c r="BH65">
        <f t="shared" si="33"/>
        <v>4690</v>
      </c>
      <c r="BI65">
        <f t="shared" si="34"/>
        <v>4020</v>
      </c>
      <c r="BJ65">
        <v>0</v>
      </c>
      <c r="BK65">
        <v>0</v>
      </c>
      <c r="BL65">
        <f t="shared" si="35"/>
        <v>42210</v>
      </c>
      <c r="BM65">
        <v>2500</v>
      </c>
      <c r="BN65">
        <v>0</v>
      </c>
      <c r="BO65">
        <f t="shared" si="36"/>
        <v>200</v>
      </c>
      <c r="BP65">
        <f t="shared" si="37"/>
        <v>39510</v>
      </c>
      <c r="BQ65">
        <v>33500</v>
      </c>
      <c r="BR65">
        <f t="shared" si="38"/>
        <v>4690</v>
      </c>
      <c r="BS65">
        <f t="shared" si="39"/>
        <v>4020</v>
      </c>
      <c r="BT65">
        <v>0</v>
      </c>
      <c r="BU65">
        <v>0</v>
      </c>
      <c r="BV65">
        <f t="shared" si="40"/>
        <v>42210</v>
      </c>
      <c r="BW65">
        <v>2500</v>
      </c>
      <c r="BX65">
        <v>0</v>
      </c>
      <c r="BY65">
        <f t="shared" si="41"/>
        <v>200</v>
      </c>
      <c r="BZ65">
        <f t="shared" si="42"/>
        <v>39510</v>
      </c>
      <c r="CA65">
        <v>33500</v>
      </c>
      <c r="CB65">
        <f t="shared" si="43"/>
        <v>4690</v>
      </c>
      <c r="CC65">
        <f t="shared" si="44"/>
        <v>4020</v>
      </c>
      <c r="CD65">
        <v>0</v>
      </c>
      <c r="CE65">
        <v>0</v>
      </c>
      <c r="CF65">
        <f t="shared" si="45"/>
        <v>42210</v>
      </c>
      <c r="CG65">
        <v>2500</v>
      </c>
      <c r="CH65">
        <v>0</v>
      </c>
      <c r="CI65">
        <f t="shared" si="46"/>
        <v>200</v>
      </c>
      <c r="CJ65">
        <f t="shared" si="47"/>
        <v>39510</v>
      </c>
      <c r="CK65">
        <v>33500</v>
      </c>
      <c r="CL65">
        <f t="shared" si="48"/>
        <v>4690</v>
      </c>
      <c r="CM65">
        <f t="shared" si="49"/>
        <v>4020</v>
      </c>
      <c r="CN65">
        <v>0</v>
      </c>
      <c r="CO65">
        <v>0</v>
      </c>
      <c r="CP65">
        <f t="shared" si="50"/>
        <v>42210</v>
      </c>
      <c r="CQ65">
        <v>2500</v>
      </c>
      <c r="CR65">
        <v>0</v>
      </c>
      <c r="CS65">
        <f t="shared" si="51"/>
        <v>200</v>
      </c>
      <c r="CT65">
        <f t="shared" si="52"/>
        <v>39510</v>
      </c>
      <c r="CU65">
        <v>33500</v>
      </c>
      <c r="CV65">
        <f t="shared" si="53"/>
        <v>4690</v>
      </c>
      <c r="CW65">
        <f t="shared" si="54"/>
        <v>4020</v>
      </c>
      <c r="CX65">
        <v>0</v>
      </c>
      <c r="CY65">
        <v>0</v>
      </c>
      <c r="CZ65">
        <f t="shared" si="55"/>
        <v>42210</v>
      </c>
      <c r="DA65">
        <v>2500</v>
      </c>
      <c r="DB65">
        <v>0</v>
      </c>
      <c r="DC65">
        <f t="shared" si="56"/>
        <v>200</v>
      </c>
      <c r="DD65">
        <f t="shared" si="57"/>
        <v>39510</v>
      </c>
      <c r="DE65">
        <v>33500</v>
      </c>
      <c r="DF65">
        <f t="shared" si="58"/>
        <v>4690</v>
      </c>
      <c r="DG65">
        <f t="shared" si="59"/>
        <v>4020</v>
      </c>
      <c r="DH65">
        <v>0</v>
      </c>
      <c r="DI65">
        <v>0</v>
      </c>
      <c r="DJ65">
        <f t="shared" si="60"/>
        <v>42210</v>
      </c>
      <c r="DK65">
        <v>2500</v>
      </c>
      <c r="DL65">
        <v>0</v>
      </c>
      <c r="DM65">
        <f t="shared" si="61"/>
        <v>200</v>
      </c>
      <c r="DN65">
        <f t="shared" si="62"/>
        <v>39510</v>
      </c>
      <c r="DO65">
        <v>33500</v>
      </c>
      <c r="DP65">
        <f t="shared" si="63"/>
        <v>4690</v>
      </c>
      <c r="DQ65">
        <f t="shared" si="64"/>
        <v>4020</v>
      </c>
      <c r="DR65">
        <v>0</v>
      </c>
      <c r="DS65">
        <v>0</v>
      </c>
      <c r="DT65">
        <f t="shared" si="65"/>
        <v>42210</v>
      </c>
      <c r="DU65">
        <v>2500</v>
      </c>
      <c r="DV65">
        <v>0</v>
      </c>
      <c r="DW65">
        <f t="shared" si="66"/>
        <v>200</v>
      </c>
      <c r="DX65">
        <f t="shared" si="67"/>
        <v>39510</v>
      </c>
      <c r="DY65">
        <f t="shared" si="68"/>
        <v>506180</v>
      </c>
      <c r="DZ65">
        <f t="shared" si="0"/>
        <v>2300</v>
      </c>
      <c r="EA65">
        <f t="shared" si="1"/>
        <v>50000</v>
      </c>
      <c r="EB65">
        <v>0</v>
      </c>
      <c r="EC65">
        <f t="shared" si="2"/>
        <v>453880</v>
      </c>
      <c r="ED65">
        <f t="shared" si="3"/>
        <v>28000</v>
      </c>
      <c r="EE65">
        <f t="shared" si="4"/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f t="shared" si="5"/>
        <v>28000</v>
      </c>
      <c r="EQ65">
        <f t="shared" si="69"/>
        <v>28000</v>
      </c>
      <c r="ER65">
        <f t="shared" si="6"/>
        <v>425880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f t="shared" si="70"/>
        <v>0</v>
      </c>
      <c r="FA65">
        <f t="shared" si="71"/>
        <v>425880</v>
      </c>
      <c r="FB65">
        <f t="shared" si="72"/>
        <v>8794</v>
      </c>
      <c r="FC65">
        <f t="shared" si="73"/>
        <v>0</v>
      </c>
      <c r="FD65">
        <f t="shared" si="74"/>
        <v>8794</v>
      </c>
      <c r="FE65">
        <f t="shared" si="75"/>
        <v>0</v>
      </c>
      <c r="FF65">
        <f t="shared" si="76"/>
        <v>0</v>
      </c>
      <c r="FG65">
        <f t="shared" si="77"/>
        <v>0</v>
      </c>
      <c r="FH65">
        <v>0</v>
      </c>
      <c r="FI65">
        <f t="shared" si="78"/>
        <v>0</v>
      </c>
      <c r="FJ65" t="b">
        <f t="shared" si="79"/>
        <v>1</v>
      </c>
      <c r="FK65">
        <f t="shared" ca="1" si="80"/>
        <v>645</v>
      </c>
      <c r="FL65">
        <f t="shared" ca="1" si="81"/>
        <v>506825</v>
      </c>
      <c r="FM65">
        <f t="shared" si="82"/>
        <v>75000</v>
      </c>
      <c r="FN65">
        <f t="shared" ca="1" si="83"/>
        <v>431825</v>
      </c>
      <c r="FO65">
        <f t="shared" ca="1" si="84"/>
        <v>0</v>
      </c>
      <c r="FP65">
        <f t="shared" ca="1" si="85"/>
        <v>0</v>
      </c>
      <c r="FQ65">
        <f t="shared" ca="1" si="86"/>
        <v>0</v>
      </c>
      <c r="FR65">
        <f t="shared" ca="1" si="87"/>
        <v>0</v>
      </c>
      <c r="FS65">
        <f t="shared" ca="1" si="88"/>
        <v>0</v>
      </c>
      <c r="FT65">
        <f t="shared" ca="1" si="89"/>
        <v>0</v>
      </c>
      <c r="FU65">
        <f t="shared" ca="1" si="90"/>
        <v>0</v>
      </c>
      <c r="FV65">
        <f t="shared" ca="1" si="91"/>
        <v>0</v>
      </c>
      <c r="FW65">
        <f t="shared" ca="1" si="92"/>
        <v>131825</v>
      </c>
      <c r="FX65">
        <f t="shared" ca="1" si="93"/>
        <v>6591.25</v>
      </c>
      <c r="FY65">
        <f t="shared" ca="1" si="94"/>
        <v>6591</v>
      </c>
      <c r="FZ65">
        <f t="shared" ca="1" si="95"/>
        <v>0</v>
      </c>
      <c r="GA65">
        <f t="shared" ca="1" si="96"/>
        <v>0</v>
      </c>
      <c r="GB65">
        <f t="shared" ca="1" si="97"/>
        <v>6591</v>
      </c>
      <c r="GC65">
        <f t="shared" ca="1" si="98"/>
        <v>0</v>
      </c>
      <c r="GD65" t="b">
        <f t="shared" ca="1" si="99"/>
        <v>0</v>
      </c>
      <c r="GE65">
        <f t="shared" ca="1" si="100"/>
        <v>0</v>
      </c>
      <c r="GF65">
        <f t="shared" ca="1" si="101"/>
        <v>6591</v>
      </c>
      <c r="GG65">
        <f t="shared" ca="1" si="102"/>
        <v>0</v>
      </c>
      <c r="GH65">
        <f t="shared" ca="1" si="103"/>
        <v>0</v>
      </c>
      <c r="GI65">
        <f t="shared" ca="1" si="104"/>
        <v>0</v>
      </c>
    </row>
    <row r="66" spans="1:191" x14ac:dyDescent="0.25">
      <c r="A66">
        <f>_xlfn.AGGREGATE(3,5,$B$2:B66)</f>
        <v>65</v>
      </c>
      <c r="B66" t="s">
        <v>252</v>
      </c>
      <c r="C66" t="s">
        <v>253</v>
      </c>
      <c r="D66" t="s">
        <v>778</v>
      </c>
      <c r="E66" t="s">
        <v>843</v>
      </c>
      <c r="F66">
        <v>0</v>
      </c>
      <c r="G66">
        <v>6000</v>
      </c>
      <c r="H66">
        <v>26200</v>
      </c>
      <c r="I66">
        <f t="shared" si="7"/>
        <v>2620</v>
      </c>
      <c r="J66">
        <f t="shared" si="8"/>
        <v>3144</v>
      </c>
      <c r="K66">
        <v>0</v>
      </c>
      <c r="L66">
        <v>500</v>
      </c>
      <c r="M66">
        <f t="shared" si="9"/>
        <v>32464</v>
      </c>
      <c r="N66">
        <v>2000</v>
      </c>
      <c r="O66">
        <v>0</v>
      </c>
      <c r="P66">
        <f t="shared" si="10"/>
        <v>150</v>
      </c>
      <c r="Q66">
        <f t="shared" si="11"/>
        <v>30314</v>
      </c>
      <c r="R66">
        <v>26200</v>
      </c>
      <c r="S66">
        <f t="shared" si="12"/>
        <v>2620</v>
      </c>
      <c r="T66">
        <f t="shared" si="13"/>
        <v>3144</v>
      </c>
      <c r="U66">
        <v>0</v>
      </c>
      <c r="V66">
        <v>500</v>
      </c>
      <c r="W66">
        <f t="shared" si="14"/>
        <v>32464</v>
      </c>
      <c r="X66">
        <v>2000</v>
      </c>
      <c r="Y66">
        <v>0</v>
      </c>
      <c r="Z66">
        <f t="shared" si="15"/>
        <v>150</v>
      </c>
      <c r="AA66">
        <f t="shared" si="16"/>
        <v>30314</v>
      </c>
      <c r="AB66">
        <v>26200</v>
      </c>
      <c r="AC66">
        <f t="shared" si="17"/>
        <v>3668.0000000000005</v>
      </c>
      <c r="AD66">
        <f t="shared" si="18"/>
        <v>3144</v>
      </c>
      <c r="AE66">
        <v>0</v>
      </c>
      <c r="AF66">
        <v>500</v>
      </c>
      <c r="AG66">
        <f t="shared" si="19"/>
        <v>33512</v>
      </c>
      <c r="AH66">
        <v>2000</v>
      </c>
      <c r="AI66">
        <v>0</v>
      </c>
      <c r="AJ66">
        <f t="shared" si="20"/>
        <v>150</v>
      </c>
      <c r="AK66">
        <f t="shared" si="21"/>
        <v>31362</v>
      </c>
      <c r="AL66">
        <v>26200</v>
      </c>
      <c r="AM66">
        <f t="shared" si="22"/>
        <v>3668.0000000000005</v>
      </c>
      <c r="AN66">
        <f t="shared" si="23"/>
        <v>3144</v>
      </c>
      <c r="AO66">
        <v>0</v>
      </c>
      <c r="AP66">
        <v>500</v>
      </c>
      <c r="AQ66">
        <f t="shared" si="24"/>
        <v>33512</v>
      </c>
      <c r="AR66">
        <v>2000</v>
      </c>
      <c r="AS66">
        <v>0</v>
      </c>
      <c r="AT66">
        <f t="shared" si="25"/>
        <v>150</v>
      </c>
      <c r="AU66">
        <f t="shared" si="26"/>
        <v>31362</v>
      </c>
      <c r="AV66">
        <v>27000</v>
      </c>
      <c r="AW66">
        <f t="shared" si="27"/>
        <v>3780.0000000000005</v>
      </c>
      <c r="AX66">
        <f t="shared" si="28"/>
        <v>1048</v>
      </c>
      <c r="AY66">
        <f t="shared" si="29"/>
        <v>3240</v>
      </c>
      <c r="AZ66">
        <v>0</v>
      </c>
      <c r="BA66">
        <v>500</v>
      </c>
      <c r="BB66">
        <f t="shared" si="30"/>
        <v>35568</v>
      </c>
      <c r="BC66">
        <v>2000</v>
      </c>
      <c r="BD66">
        <v>0</v>
      </c>
      <c r="BE66">
        <f t="shared" si="31"/>
        <v>150</v>
      </c>
      <c r="BF66">
        <f t="shared" si="32"/>
        <v>33418</v>
      </c>
      <c r="BG66">
        <v>27000</v>
      </c>
      <c r="BH66">
        <f t="shared" si="33"/>
        <v>3780.0000000000005</v>
      </c>
      <c r="BI66">
        <f t="shared" si="34"/>
        <v>3240</v>
      </c>
      <c r="BJ66">
        <v>0</v>
      </c>
      <c r="BK66">
        <v>500</v>
      </c>
      <c r="BL66">
        <f t="shared" si="35"/>
        <v>34520</v>
      </c>
      <c r="BM66">
        <v>2000</v>
      </c>
      <c r="BN66">
        <v>0</v>
      </c>
      <c r="BO66">
        <f t="shared" si="36"/>
        <v>150</v>
      </c>
      <c r="BP66">
        <f t="shared" si="37"/>
        <v>32370</v>
      </c>
      <c r="BQ66">
        <v>27000</v>
      </c>
      <c r="BR66">
        <f t="shared" si="38"/>
        <v>3780.0000000000005</v>
      </c>
      <c r="BS66">
        <f t="shared" si="39"/>
        <v>3240</v>
      </c>
      <c r="BT66">
        <v>0</v>
      </c>
      <c r="BU66">
        <v>500</v>
      </c>
      <c r="BV66">
        <f t="shared" si="40"/>
        <v>34520</v>
      </c>
      <c r="BW66">
        <v>2000</v>
      </c>
      <c r="BX66">
        <v>0</v>
      </c>
      <c r="BY66">
        <f t="shared" si="41"/>
        <v>150</v>
      </c>
      <c r="BZ66">
        <f t="shared" si="42"/>
        <v>32370</v>
      </c>
      <c r="CA66">
        <v>27000</v>
      </c>
      <c r="CB66">
        <f t="shared" si="43"/>
        <v>3780.0000000000005</v>
      </c>
      <c r="CC66">
        <f t="shared" si="44"/>
        <v>3240</v>
      </c>
      <c r="CD66">
        <v>0</v>
      </c>
      <c r="CE66">
        <v>500</v>
      </c>
      <c r="CF66">
        <f t="shared" si="45"/>
        <v>34520</v>
      </c>
      <c r="CG66">
        <v>2000</v>
      </c>
      <c r="CH66">
        <v>0</v>
      </c>
      <c r="CI66">
        <f t="shared" si="46"/>
        <v>150</v>
      </c>
      <c r="CJ66">
        <f t="shared" si="47"/>
        <v>32370</v>
      </c>
      <c r="CK66">
        <v>27000</v>
      </c>
      <c r="CL66">
        <f t="shared" si="48"/>
        <v>3780.0000000000005</v>
      </c>
      <c r="CM66">
        <f t="shared" si="49"/>
        <v>3240</v>
      </c>
      <c r="CN66">
        <v>0</v>
      </c>
      <c r="CO66">
        <v>500</v>
      </c>
      <c r="CP66">
        <f t="shared" si="50"/>
        <v>34520</v>
      </c>
      <c r="CQ66">
        <v>2000</v>
      </c>
      <c r="CR66">
        <v>0</v>
      </c>
      <c r="CS66">
        <f t="shared" si="51"/>
        <v>150</v>
      </c>
      <c r="CT66">
        <f t="shared" si="52"/>
        <v>32370</v>
      </c>
      <c r="CU66">
        <v>27000</v>
      </c>
      <c r="CV66">
        <f t="shared" si="53"/>
        <v>3780</v>
      </c>
      <c r="CW66">
        <f t="shared" si="54"/>
        <v>3240</v>
      </c>
      <c r="CX66">
        <v>0</v>
      </c>
      <c r="CY66">
        <v>500</v>
      </c>
      <c r="CZ66">
        <f t="shared" si="55"/>
        <v>34520</v>
      </c>
      <c r="DA66">
        <v>2000</v>
      </c>
      <c r="DB66">
        <v>0</v>
      </c>
      <c r="DC66">
        <f t="shared" si="56"/>
        <v>150</v>
      </c>
      <c r="DD66">
        <f t="shared" si="57"/>
        <v>32370</v>
      </c>
      <c r="DE66">
        <v>27000</v>
      </c>
      <c r="DF66">
        <f t="shared" si="58"/>
        <v>3780.0000000000005</v>
      </c>
      <c r="DG66">
        <f t="shared" si="59"/>
        <v>3240</v>
      </c>
      <c r="DH66">
        <v>0</v>
      </c>
      <c r="DI66">
        <v>500</v>
      </c>
      <c r="DJ66">
        <f t="shared" si="60"/>
        <v>34520</v>
      </c>
      <c r="DK66">
        <v>2000</v>
      </c>
      <c r="DL66">
        <v>0</v>
      </c>
      <c r="DM66">
        <f t="shared" si="61"/>
        <v>150</v>
      </c>
      <c r="DN66">
        <f t="shared" si="62"/>
        <v>32370</v>
      </c>
      <c r="DO66">
        <v>27000</v>
      </c>
      <c r="DP66">
        <f t="shared" si="63"/>
        <v>3780.0000000000005</v>
      </c>
      <c r="DQ66">
        <f t="shared" si="64"/>
        <v>3240</v>
      </c>
      <c r="DR66">
        <v>0</v>
      </c>
      <c r="DS66">
        <v>500</v>
      </c>
      <c r="DT66">
        <f t="shared" si="65"/>
        <v>34520</v>
      </c>
      <c r="DU66">
        <v>2000</v>
      </c>
      <c r="DV66">
        <v>0</v>
      </c>
      <c r="DW66">
        <f t="shared" si="66"/>
        <v>150</v>
      </c>
      <c r="DX66">
        <f t="shared" si="67"/>
        <v>32370</v>
      </c>
      <c r="DY66">
        <f t="shared" si="68"/>
        <v>415160</v>
      </c>
      <c r="DZ66">
        <f t="shared" ref="DZ66:DZ129" si="105">DW66+DM66+DC66+CS66+CI66+BY66+BO66+BE66+AT66+AJ66+Z66+P66</f>
        <v>1800</v>
      </c>
      <c r="EA66">
        <f t="shared" ref="EA66:EA129" si="106">IF(DY66&gt;0,50000,0)</f>
        <v>50000</v>
      </c>
      <c r="EB66">
        <v>0</v>
      </c>
      <c r="EC66">
        <f t="shared" ref="EC66:EC129" si="107">DY66-DZ66-EA66</f>
        <v>363360</v>
      </c>
      <c r="ED66">
        <f t="shared" ref="ED66:ED129" si="108">DU66+DK66+DA66+CQ66+CG66+BW66+BM66+BC66+AR66+AH66+X66+N66</f>
        <v>24000</v>
      </c>
      <c r="EE66">
        <f t="shared" ref="EE66:EE129" si="109">DV66+DL66+DB66+CR66+CH66+BX66+BN66+BD66+AS66+AI66+Y66+O66</f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f t="shared" ref="EP66:EP129" si="110">SUM(ED66:EO66)</f>
        <v>24000</v>
      </c>
      <c r="EQ66">
        <f t="shared" si="69"/>
        <v>24000</v>
      </c>
      <c r="ER66">
        <f t="shared" ref="ER66:ER129" si="111">EC66-EQ66</f>
        <v>339360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f t="shared" si="70"/>
        <v>0</v>
      </c>
      <c r="FA66">
        <f t="shared" si="71"/>
        <v>339360</v>
      </c>
      <c r="FB66">
        <f t="shared" si="72"/>
        <v>4468</v>
      </c>
      <c r="FC66">
        <f t="shared" si="73"/>
        <v>0</v>
      </c>
      <c r="FD66">
        <f t="shared" si="74"/>
        <v>4468</v>
      </c>
      <c r="FE66">
        <f t="shared" si="75"/>
        <v>0</v>
      </c>
      <c r="FF66">
        <f t="shared" si="76"/>
        <v>0</v>
      </c>
      <c r="FG66">
        <f t="shared" si="77"/>
        <v>0</v>
      </c>
      <c r="FH66">
        <v>0</v>
      </c>
      <c r="FI66">
        <f t="shared" si="78"/>
        <v>0</v>
      </c>
      <c r="FJ66" t="b">
        <f t="shared" si="79"/>
        <v>0</v>
      </c>
      <c r="FK66">
        <f t="shared" ca="1" si="80"/>
        <v>2414</v>
      </c>
      <c r="FL66">
        <f t="shared" ca="1" si="81"/>
        <v>417574</v>
      </c>
      <c r="FM66">
        <f t="shared" si="82"/>
        <v>75000</v>
      </c>
      <c r="FN66">
        <f t="shared" ca="1" si="83"/>
        <v>342574</v>
      </c>
      <c r="FO66">
        <f t="shared" ca="1" si="84"/>
        <v>0</v>
      </c>
      <c r="FP66">
        <f t="shared" ca="1" si="85"/>
        <v>0</v>
      </c>
      <c r="FQ66">
        <f t="shared" ca="1" si="86"/>
        <v>0</v>
      </c>
      <c r="FR66">
        <f t="shared" ca="1" si="87"/>
        <v>0</v>
      </c>
      <c r="FS66">
        <f t="shared" ca="1" si="88"/>
        <v>0</v>
      </c>
      <c r="FT66">
        <f t="shared" ca="1" si="89"/>
        <v>0</v>
      </c>
      <c r="FU66">
        <f t="shared" ca="1" si="90"/>
        <v>0</v>
      </c>
      <c r="FV66">
        <f t="shared" ca="1" si="91"/>
        <v>0</v>
      </c>
      <c r="FW66">
        <f t="shared" ca="1" si="92"/>
        <v>42574</v>
      </c>
      <c r="FX66">
        <f t="shared" ca="1" si="93"/>
        <v>2128.7000000000003</v>
      </c>
      <c r="FY66">
        <f t="shared" ca="1" si="94"/>
        <v>2129</v>
      </c>
      <c r="FZ66">
        <f t="shared" ca="1" si="95"/>
        <v>0</v>
      </c>
      <c r="GA66">
        <f t="shared" ca="1" si="96"/>
        <v>0</v>
      </c>
      <c r="GB66">
        <f t="shared" ca="1" si="97"/>
        <v>2129</v>
      </c>
      <c r="GC66">
        <f t="shared" ca="1" si="98"/>
        <v>0</v>
      </c>
      <c r="GD66" t="b">
        <f t="shared" ca="1" si="99"/>
        <v>0</v>
      </c>
      <c r="GE66">
        <f t="shared" ca="1" si="100"/>
        <v>0</v>
      </c>
      <c r="GF66">
        <f t="shared" ca="1" si="101"/>
        <v>2129</v>
      </c>
      <c r="GG66">
        <f t="shared" ca="1" si="102"/>
        <v>0</v>
      </c>
      <c r="GH66">
        <f t="shared" ca="1" si="103"/>
        <v>0</v>
      </c>
      <c r="GI66">
        <f t="shared" ca="1" si="104"/>
        <v>0</v>
      </c>
    </row>
    <row r="67" spans="1:191" x14ac:dyDescent="0.25">
      <c r="A67">
        <f>_xlfn.AGGREGATE(3,5,$B$2:B67)</f>
        <v>66</v>
      </c>
      <c r="B67" t="s">
        <v>254</v>
      </c>
      <c r="C67" t="s">
        <v>255</v>
      </c>
      <c r="D67" t="s">
        <v>778</v>
      </c>
      <c r="E67" t="s">
        <v>846</v>
      </c>
      <c r="F67">
        <v>0</v>
      </c>
      <c r="G67">
        <v>6000</v>
      </c>
      <c r="H67">
        <v>29800</v>
      </c>
      <c r="I67">
        <f t="shared" ref="I67:I130" si="112">H67*0.1</f>
        <v>2980</v>
      </c>
      <c r="J67">
        <f t="shared" ref="J67:J130" si="113">H67*0.12</f>
        <v>3576</v>
      </c>
      <c r="K67">
        <v>0</v>
      </c>
      <c r="L67">
        <v>500</v>
      </c>
      <c r="M67">
        <f t="shared" ref="M67:M130" si="114">SUM(H67:L67)</f>
        <v>36856</v>
      </c>
      <c r="N67">
        <v>2000</v>
      </c>
      <c r="O67">
        <v>0</v>
      </c>
      <c r="P67">
        <f t="shared" ref="P67:P130" si="115">IF($F67=50000,0,IF(M67&gt;40000,200,IF(M67&gt;25000,150,IF(M67&gt;15000,130,IF(M67&gt;10000,110,0)))))</f>
        <v>150</v>
      </c>
      <c r="Q67">
        <f t="shared" ref="Q67:Q130" si="116">M67-N67-O67-P67</f>
        <v>34706</v>
      </c>
      <c r="R67">
        <v>29800</v>
      </c>
      <c r="S67">
        <f t="shared" ref="S67:S130" si="117">R67*0.1</f>
        <v>2980</v>
      </c>
      <c r="T67">
        <f t="shared" ref="T67:T130" si="118">R67*0.12</f>
        <v>3576</v>
      </c>
      <c r="U67">
        <v>0</v>
      </c>
      <c r="V67">
        <v>500</v>
      </c>
      <c r="W67">
        <f t="shared" ref="W67:W130" si="119">SUM(R67:V67)</f>
        <v>36856</v>
      </c>
      <c r="X67">
        <v>2000</v>
      </c>
      <c r="Y67">
        <v>0</v>
      </c>
      <c r="Z67">
        <f t="shared" ref="Z67:Z130" si="120">IF($F67=50000,0,IF(W67&gt;40000,200,IF(W67&gt;25000,150,IF(W67&gt;15000,130,IF(W67&gt;10000,110,0)))))</f>
        <v>150</v>
      </c>
      <c r="AA67">
        <f t="shared" ref="AA67:AA130" si="121">W67-X67-Y67-Z67</f>
        <v>34706</v>
      </c>
      <c r="AB67">
        <v>29800</v>
      </c>
      <c r="AC67">
        <f t="shared" ref="AC67:AC130" si="122">AB67*0.14</f>
        <v>4172</v>
      </c>
      <c r="AD67">
        <f t="shared" ref="AD67:AD130" si="123">AB67*0.12</f>
        <v>3576</v>
      </c>
      <c r="AE67">
        <v>0</v>
      </c>
      <c r="AF67">
        <v>500</v>
      </c>
      <c r="AG67">
        <f t="shared" ref="AG67:AG130" si="124">SUM(AB67:AF67)</f>
        <v>38048</v>
      </c>
      <c r="AH67">
        <v>2000</v>
      </c>
      <c r="AI67">
        <v>0</v>
      </c>
      <c r="AJ67">
        <f t="shared" ref="AJ67:AJ130" si="125">IF($F67=50000,0,IF(AG67&gt;40000,200,IF(AG67&gt;25000,150,IF(AG67&gt;15000,130,IF(AG67&gt;10000,110,0)))))</f>
        <v>150</v>
      </c>
      <c r="AK67">
        <f t="shared" ref="AK67:AK130" si="126">AG67-AH67-AI67-AJ67</f>
        <v>35898</v>
      </c>
      <c r="AL67">
        <v>29800</v>
      </c>
      <c r="AM67">
        <f t="shared" ref="AM67:AM130" si="127">AL67*0.14</f>
        <v>4172</v>
      </c>
      <c r="AN67">
        <f t="shared" ref="AN67:AN130" si="128">AL67*0.12</f>
        <v>3576</v>
      </c>
      <c r="AO67">
        <v>0</v>
      </c>
      <c r="AP67">
        <v>500</v>
      </c>
      <c r="AQ67">
        <f t="shared" ref="AQ67:AQ130" si="129">SUM(AL67:AP67)</f>
        <v>38048</v>
      </c>
      <c r="AR67">
        <v>2000</v>
      </c>
      <c r="AS67">
        <v>0</v>
      </c>
      <c r="AT67">
        <f t="shared" ref="AT67:AT130" si="130">IF($F67=50000,0,IF(AQ67&gt;40000,200,IF(AQ67&gt;25000,150,IF(AQ67&gt;15000,130,IF(AQ67&gt;10000,110,0)))))</f>
        <v>150</v>
      </c>
      <c r="AU67">
        <f t="shared" ref="AU67:AU130" si="131">AQ67-AR67-AS67-AT67</f>
        <v>35898</v>
      </c>
      <c r="AV67">
        <v>30700</v>
      </c>
      <c r="AW67">
        <f t="shared" ref="AW67:AW130" si="132">AV67*0.14</f>
        <v>4298</v>
      </c>
      <c r="AX67">
        <f t="shared" ref="AX67:AX130" si="133">R67*0.04</f>
        <v>1192</v>
      </c>
      <c r="AY67">
        <f t="shared" ref="AY67:AY130" si="134">AV67*0.12</f>
        <v>3684</v>
      </c>
      <c r="AZ67">
        <v>0</v>
      </c>
      <c r="BA67">
        <v>500</v>
      </c>
      <c r="BB67">
        <f t="shared" ref="BB67:BB130" si="135">SUM(AV67:BA67)</f>
        <v>40374</v>
      </c>
      <c r="BC67">
        <v>2000</v>
      </c>
      <c r="BD67">
        <v>0</v>
      </c>
      <c r="BE67">
        <f t="shared" ref="BE67:BE130" si="136">IF($F67=50000,0,IF(BB67&gt;40000,200,IF(BB67&gt;25000,150,IF(BB67&gt;15000,130,IF(BB67&gt;10000,110,0)))))</f>
        <v>200</v>
      </c>
      <c r="BF67">
        <f t="shared" ref="BF67:BF130" si="137">BB67-BC67-BD67-BE67</f>
        <v>38174</v>
      </c>
      <c r="BG67">
        <v>30700</v>
      </c>
      <c r="BH67">
        <f t="shared" ref="BH67:BH130" si="138">BG67*0.14</f>
        <v>4298</v>
      </c>
      <c r="BI67">
        <f t="shared" ref="BI67:BI130" si="139">BG67*0.12</f>
        <v>3684</v>
      </c>
      <c r="BJ67">
        <v>0</v>
      </c>
      <c r="BK67">
        <v>500</v>
      </c>
      <c r="BL67">
        <f t="shared" ref="BL67:BL130" si="140">SUM(BG67:BK67)</f>
        <v>39182</v>
      </c>
      <c r="BM67">
        <v>2000</v>
      </c>
      <c r="BN67">
        <v>0</v>
      </c>
      <c r="BO67">
        <f t="shared" ref="BO67:BO130" si="141">IF($F67=50000,0,IF(BL67&gt;40000,200,IF(BL67&gt;25000,150,IF(BL67&gt;15000,130,IF(BL67&gt;10000,110,0)))))</f>
        <v>150</v>
      </c>
      <c r="BP67">
        <f t="shared" ref="BP67:BP130" si="142">BL67-BM67-BN67-BO67</f>
        <v>37032</v>
      </c>
      <c r="BQ67">
        <v>30700</v>
      </c>
      <c r="BR67">
        <f t="shared" ref="BR67:BR130" si="143">BQ67*0.14</f>
        <v>4298</v>
      </c>
      <c r="BS67">
        <f t="shared" ref="BS67:BS130" si="144">BQ67*0.12</f>
        <v>3684</v>
      </c>
      <c r="BT67">
        <v>0</v>
      </c>
      <c r="BU67">
        <v>500</v>
      </c>
      <c r="BV67">
        <f t="shared" ref="BV67:BV130" si="145">SUM(BQ67:BU67)</f>
        <v>39182</v>
      </c>
      <c r="BW67">
        <v>2000</v>
      </c>
      <c r="BX67">
        <v>0</v>
      </c>
      <c r="BY67">
        <f t="shared" ref="BY67:BY130" si="146">IF($F67=50000,0,IF(BV67&gt;40000,200,IF(BV67&gt;25000,150,IF(BV67&gt;15000,130,IF(BV67&gt;10000,110,0)))))</f>
        <v>150</v>
      </c>
      <c r="BZ67">
        <f t="shared" ref="BZ67:BZ130" si="147">BV67-BW67-BX67-BY67</f>
        <v>37032</v>
      </c>
      <c r="CA67">
        <v>30700</v>
      </c>
      <c r="CB67">
        <f t="shared" ref="CB67:CB130" si="148">CA67*0.14</f>
        <v>4298</v>
      </c>
      <c r="CC67">
        <f t="shared" ref="CC67:CC130" si="149">CA67*0.12</f>
        <v>3684</v>
      </c>
      <c r="CD67">
        <v>0</v>
      </c>
      <c r="CE67">
        <v>500</v>
      </c>
      <c r="CF67">
        <f t="shared" ref="CF67:CF130" si="150">SUM(CA67:CE67)</f>
        <v>39182</v>
      </c>
      <c r="CG67">
        <v>2000</v>
      </c>
      <c r="CH67">
        <v>0</v>
      </c>
      <c r="CI67">
        <f t="shared" ref="CI67:CI130" si="151">IF($F67=50000,0,IF(CF67&gt;40000,200,IF(CF67&gt;25000,150,IF(CF67&gt;15000,130,IF(CF67&gt;10000,110,0)))))</f>
        <v>150</v>
      </c>
      <c r="CJ67">
        <f t="shared" ref="CJ67:CJ130" si="152">CF67-CG67-CH67-CI67</f>
        <v>37032</v>
      </c>
      <c r="CK67">
        <v>30700</v>
      </c>
      <c r="CL67">
        <f t="shared" ref="CL67:CL130" si="153">CK67*0.14</f>
        <v>4298</v>
      </c>
      <c r="CM67">
        <f t="shared" ref="CM67:CM130" si="154">CK67*0.12</f>
        <v>3684</v>
      </c>
      <c r="CN67">
        <v>0</v>
      </c>
      <c r="CO67">
        <v>500</v>
      </c>
      <c r="CP67">
        <f t="shared" ref="CP67:CP130" si="155">SUM(CK67:CO67)</f>
        <v>39182</v>
      </c>
      <c r="CQ67">
        <v>2000</v>
      </c>
      <c r="CR67">
        <v>0</v>
      </c>
      <c r="CS67">
        <f t="shared" ref="CS67:CS130" si="156">IF($F67=50000,0,IF(CP67&gt;40000,200,IF(CP67&gt;25000,150,IF(CP67&gt;15000,130,IF(CP67&gt;10000,110,0)))))</f>
        <v>150</v>
      </c>
      <c r="CT67">
        <f t="shared" ref="CT67:CT130" si="157">CP67-CQ67-CR67-CS67</f>
        <v>37032</v>
      </c>
      <c r="CU67">
        <v>30700</v>
      </c>
      <c r="CV67">
        <f t="shared" ref="CV67:CV130" si="158">ROUND(CU67*0.14,0)</f>
        <v>4298</v>
      </c>
      <c r="CW67">
        <f t="shared" ref="CW67:CW130" si="159">ROUND(CU67*0.12,0)</f>
        <v>3684</v>
      </c>
      <c r="CX67">
        <v>0</v>
      </c>
      <c r="CY67">
        <v>500</v>
      </c>
      <c r="CZ67">
        <f t="shared" ref="CZ67:CZ130" si="160">SUM(CU67:CY67)</f>
        <v>39182</v>
      </c>
      <c r="DA67">
        <v>2000</v>
      </c>
      <c r="DB67">
        <v>0</v>
      </c>
      <c r="DC67">
        <f t="shared" ref="DC67:DC130" si="161">IF($F67=50000,0,IF(CZ67&gt;40000,200,IF(CZ67&gt;25000,150,IF(CZ67&gt;15000,130,IF(CZ67&gt;10000,110,0)))))</f>
        <v>150</v>
      </c>
      <c r="DD67">
        <f t="shared" ref="DD67:DD130" si="162">CZ67-DA67-DB67-DC67</f>
        <v>37032</v>
      </c>
      <c r="DE67">
        <v>30700</v>
      </c>
      <c r="DF67">
        <f t="shared" ref="DF67:DF130" si="163">DE67*0.14</f>
        <v>4298</v>
      </c>
      <c r="DG67">
        <f t="shared" ref="DG67:DG130" si="164">DE67*0.12</f>
        <v>3684</v>
      </c>
      <c r="DH67">
        <v>0</v>
      </c>
      <c r="DI67">
        <v>500</v>
      </c>
      <c r="DJ67">
        <f t="shared" ref="DJ67:DJ130" si="165">SUM(DE67:DI67)</f>
        <v>39182</v>
      </c>
      <c r="DK67">
        <v>2000</v>
      </c>
      <c r="DL67">
        <v>0</v>
      </c>
      <c r="DM67">
        <f t="shared" ref="DM67:DM130" si="166">IF($F67=50000,0,IF(DJ67&gt;40000,200,IF(DJ67&gt;25000,150,IF(DJ67&gt;15000,130,IF(DJ67&gt;10000,110,0)))))</f>
        <v>150</v>
      </c>
      <c r="DN67">
        <f t="shared" ref="DN67:DN130" si="167">DJ67-DK67-DL67-DM67</f>
        <v>37032</v>
      </c>
      <c r="DO67">
        <v>30700</v>
      </c>
      <c r="DP67">
        <f t="shared" ref="DP67:DP130" si="168">DO67*0.14</f>
        <v>4298</v>
      </c>
      <c r="DQ67">
        <f t="shared" ref="DQ67:DQ130" si="169">DO67*0.12</f>
        <v>3684</v>
      </c>
      <c r="DR67">
        <v>0</v>
      </c>
      <c r="DS67">
        <v>500</v>
      </c>
      <c r="DT67">
        <f t="shared" ref="DT67:DT130" si="170">SUM(DO67:DS67)</f>
        <v>39182</v>
      </c>
      <c r="DU67">
        <v>2000</v>
      </c>
      <c r="DV67">
        <v>0</v>
      </c>
      <c r="DW67">
        <f t="shared" ref="DW67:DW130" si="171">IF($F67=50000,0,IF(DT67&gt;40000,200,IF(DT67&gt;25000,150,IF(DT67&gt;15000,130,IF(DT67&gt;10000,110,0)))))</f>
        <v>150</v>
      </c>
      <c r="DX67">
        <f t="shared" ref="DX67:DX130" si="172">DT67-DU67-DV67-DW67</f>
        <v>37032</v>
      </c>
      <c r="DY67">
        <f t="shared" ref="DY67:DY130" si="173">DT67+DJ67+CZ67+CP67+CF67+BV67+BL67+BB67+AQ67+AG67+W67+M67+G67</f>
        <v>470456</v>
      </c>
      <c r="DZ67">
        <f t="shared" si="105"/>
        <v>1850</v>
      </c>
      <c r="EA67">
        <f t="shared" si="106"/>
        <v>50000</v>
      </c>
      <c r="EB67">
        <v>0</v>
      </c>
      <c r="EC67">
        <f t="shared" si="107"/>
        <v>418606</v>
      </c>
      <c r="ED67">
        <f t="shared" si="108"/>
        <v>24000</v>
      </c>
      <c r="EE67">
        <f t="shared" si="109"/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f t="shared" si="110"/>
        <v>24000</v>
      </c>
      <c r="EQ67">
        <f t="shared" ref="EQ67:EQ130" si="174">IF(EP67&gt;=150000,150000,EP67)</f>
        <v>24000</v>
      </c>
      <c r="ER67">
        <f t="shared" si="111"/>
        <v>394606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f t="shared" ref="EZ67:EZ130" si="175">SUM(ES67:EY67)+F67</f>
        <v>0</v>
      </c>
      <c r="FA67">
        <f t="shared" ref="FA67:FA130" si="176">ER67-EZ67</f>
        <v>394606</v>
      </c>
      <c r="FB67">
        <f t="shared" ref="FB67:FB130" si="177">ROUND(IF(FA67&gt;0,IF(FA67&gt;500000,12500,(FA67-250000)*0.05),0),0)</f>
        <v>7230</v>
      </c>
      <c r="FC67">
        <f t="shared" ref="FC67:FC130" si="178">IF(ROUND(IF(FA67&gt;0,IF(FA67&gt;1000000,25000,(FA67-500000)*0.2),0),0)&lt;0,0,ROUND(IF(FA67&gt;0,IF(FA67&gt;1000000,25000,(FA67-500000)*0.2),0),0))</f>
        <v>0</v>
      </c>
      <c r="FD67">
        <f t="shared" ref="FD67:FD130" si="179">FB67+FC67</f>
        <v>7230</v>
      </c>
      <c r="FE67">
        <f t="shared" ref="FE67:FE130" si="180">IF(FD67&lt;12500,0,FD67)</f>
        <v>0</v>
      </c>
      <c r="FF67">
        <f t="shared" ref="FF67:FF130" si="181">FE67*0.04</f>
        <v>0</v>
      </c>
      <c r="FG67">
        <f t="shared" ref="FG67:FG130" si="182">ROUND(FF67+FE67,0)</f>
        <v>0</v>
      </c>
      <c r="FH67">
        <v>0</v>
      </c>
      <c r="FI67">
        <f t="shared" ref="FI67:FI130" si="183">FG67-FH67</f>
        <v>0</v>
      </c>
      <c r="FJ67" t="b">
        <f t="shared" ref="FJ67:FJ130" si="184">IF(DY67&gt;500000,TRUE,FALSE)</f>
        <v>0</v>
      </c>
      <c r="FK67">
        <f t="shared" ref="FK67:FK130" ca="1" si="185">IF(FJ67,RANDBETWEEN(500,1000),RANDBETWEEN(1000,3000))</f>
        <v>2664</v>
      </c>
      <c r="FL67">
        <f t="shared" ref="FL67:FL130" ca="1" si="186">DY67+FK67</f>
        <v>473120</v>
      </c>
      <c r="FM67">
        <f t="shared" ref="FM67:FM130" si="187">IF(DY67&gt;0,75000,0)</f>
        <v>75000</v>
      </c>
      <c r="FN67">
        <f t="shared" ref="FN67:FN130" ca="1" si="188">FL67-FM67</f>
        <v>398120</v>
      </c>
      <c r="FO67">
        <f t="shared" ref="FO67:FO130" ca="1" si="189">IF(FN67&gt;1500000,FN67-1500000,0)</f>
        <v>0</v>
      </c>
      <c r="FP67">
        <f t="shared" ref="FP67:FP130" ca="1" si="190">FO67*0.3</f>
        <v>0</v>
      </c>
      <c r="FQ67">
        <f t="shared" ref="FQ67:FQ130" ca="1" si="191">IF(FN67&gt;1200000,FN67-1200000-FO67,0)</f>
        <v>0</v>
      </c>
      <c r="FR67">
        <f t="shared" ref="FR67:FR130" ca="1" si="192">FQ67*0.2</f>
        <v>0</v>
      </c>
      <c r="FS67">
        <f t="shared" ref="FS67:FS130" ca="1" si="193">IF(FN67&gt;1000000,FN67-1000000-F67-FQ67,0)</f>
        <v>0</v>
      </c>
      <c r="FT67">
        <f t="shared" ref="FT67:FT130" ca="1" si="194">FS67*0.15</f>
        <v>0</v>
      </c>
      <c r="FU67">
        <f t="shared" ref="FU67:FU130" ca="1" si="195">IF(FN67&gt;700000,FN67-700000-FO67-FQ67-FS67,0)</f>
        <v>0</v>
      </c>
      <c r="FV67">
        <f t="shared" ref="FV67:FV130" ca="1" si="196">FU67*0.1</f>
        <v>0</v>
      </c>
      <c r="FW67">
        <f t="shared" ref="FW67:FW130" ca="1" si="197">IF(FN67&gt;300000,FN67-300000-FO67-FQ67-FS67-FU67,0)</f>
        <v>98120</v>
      </c>
      <c r="FX67">
        <f t="shared" ref="FX67:FX130" ca="1" si="198">FW67*0.05</f>
        <v>4906</v>
      </c>
      <c r="FY67">
        <f t="shared" ref="FY67:FY130" ca="1" si="199">ROUND(FP67+FR67+FT67+FV67+FX67,0)</f>
        <v>4906</v>
      </c>
      <c r="FZ67">
        <f t="shared" ref="FZ67:FZ130" ca="1" si="200">IF(FN67&gt;700000,FN67,0)</f>
        <v>0</v>
      </c>
      <c r="GA67">
        <f t="shared" ref="GA67:GA130" ca="1" si="201">IF(FN67&gt;700000,FZ67-700000,0)</f>
        <v>0</v>
      </c>
      <c r="GB67">
        <f t="shared" ref="GB67:GB130" ca="1" si="202">IF(FN67&lt;700001,MIN(FY67,25000),0)</f>
        <v>4906</v>
      </c>
      <c r="GC67">
        <f t="shared" ref="GC67:GC130" ca="1" si="203">IF(FN67&gt;700000,FY67-GA67,0)</f>
        <v>0</v>
      </c>
      <c r="GD67" t="b">
        <f t="shared" ref="GD67:GD130" ca="1" si="204">IF(GC67&gt;0,TRUE,FALSE)</f>
        <v>0</v>
      </c>
      <c r="GE67">
        <f t="shared" ref="GE67:GE130" ca="1" si="205">IF(GD67,GC67,0)</f>
        <v>0</v>
      </c>
      <c r="GF67">
        <f t="shared" ref="GF67:GF130" ca="1" si="206">GB67+GE67</f>
        <v>4906</v>
      </c>
      <c r="GG67">
        <f t="shared" ref="GG67:GG130" ca="1" si="207">ROUND(FY67-GF67,0)</f>
        <v>0</v>
      </c>
      <c r="GH67">
        <f t="shared" ref="GH67:GH130" ca="1" si="208">GG67*0.04</f>
        <v>0</v>
      </c>
      <c r="GI67">
        <f t="shared" ref="GI67:GI130" ca="1" si="209">ROUNDUP(GG67+GH67,0)</f>
        <v>0</v>
      </c>
    </row>
    <row r="68" spans="1:191" x14ac:dyDescent="0.25">
      <c r="A68">
        <f>_xlfn.AGGREGATE(3,5,$B$2:B68)</f>
        <v>67</v>
      </c>
      <c r="B68" t="s">
        <v>256</v>
      </c>
      <c r="C68" t="s">
        <v>257</v>
      </c>
      <c r="D68" t="s">
        <v>778</v>
      </c>
      <c r="E68" t="s">
        <v>843</v>
      </c>
      <c r="F68">
        <v>0</v>
      </c>
      <c r="G68">
        <v>0</v>
      </c>
      <c r="H68">
        <v>0</v>
      </c>
      <c r="I68">
        <f t="shared" si="112"/>
        <v>0</v>
      </c>
      <c r="J68">
        <f t="shared" si="113"/>
        <v>0</v>
      </c>
      <c r="K68">
        <v>0</v>
      </c>
      <c r="L68">
        <v>0</v>
      </c>
      <c r="M68">
        <f t="shared" si="114"/>
        <v>0</v>
      </c>
      <c r="N68">
        <v>0</v>
      </c>
      <c r="O68">
        <v>0</v>
      </c>
      <c r="P68">
        <f t="shared" si="115"/>
        <v>0</v>
      </c>
      <c r="Q68">
        <f t="shared" si="116"/>
        <v>0</v>
      </c>
      <c r="R68">
        <v>28900</v>
      </c>
      <c r="S68">
        <f t="shared" si="117"/>
        <v>2890</v>
      </c>
      <c r="T68">
        <f t="shared" si="118"/>
        <v>3468</v>
      </c>
      <c r="U68">
        <v>0</v>
      </c>
      <c r="V68">
        <v>500</v>
      </c>
      <c r="W68">
        <f t="shared" si="119"/>
        <v>35758</v>
      </c>
      <c r="X68">
        <v>0</v>
      </c>
      <c r="Y68">
        <v>0</v>
      </c>
      <c r="Z68">
        <f t="shared" si="120"/>
        <v>150</v>
      </c>
      <c r="AA68">
        <f t="shared" si="121"/>
        <v>35608</v>
      </c>
      <c r="AB68">
        <v>28900</v>
      </c>
      <c r="AC68">
        <f t="shared" si="122"/>
        <v>4046.0000000000005</v>
      </c>
      <c r="AD68">
        <f t="shared" si="123"/>
        <v>3468</v>
      </c>
      <c r="AE68">
        <v>0</v>
      </c>
      <c r="AF68">
        <v>500</v>
      </c>
      <c r="AG68">
        <f t="shared" si="124"/>
        <v>36914</v>
      </c>
      <c r="AH68">
        <v>0</v>
      </c>
      <c r="AI68">
        <v>0</v>
      </c>
      <c r="AJ68">
        <f t="shared" si="125"/>
        <v>150</v>
      </c>
      <c r="AK68">
        <f t="shared" si="126"/>
        <v>36764</v>
      </c>
      <c r="AL68">
        <v>28900</v>
      </c>
      <c r="AM68">
        <f t="shared" si="127"/>
        <v>4046.0000000000005</v>
      </c>
      <c r="AN68">
        <f t="shared" si="128"/>
        <v>3468</v>
      </c>
      <c r="AO68">
        <v>0</v>
      </c>
      <c r="AP68">
        <v>500</v>
      </c>
      <c r="AQ68">
        <f t="shared" si="129"/>
        <v>36914</v>
      </c>
      <c r="AR68">
        <v>0</v>
      </c>
      <c r="AS68">
        <v>0</v>
      </c>
      <c r="AT68">
        <f t="shared" si="130"/>
        <v>150</v>
      </c>
      <c r="AU68">
        <f t="shared" si="131"/>
        <v>36764</v>
      </c>
      <c r="AV68">
        <v>28900</v>
      </c>
      <c r="AW68">
        <f t="shared" si="132"/>
        <v>4046.0000000000005</v>
      </c>
      <c r="AX68">
        <f t="shared" si="133"/>
        <v>1156</v>
      </c>
      <c r="AY68">
        <f t="shared" si="134"/>
        <v>3468</v>
      </c>
      <c r="AZ68">
        <v>0</v>
      </c>
      <c r="BA68">
        <v>500</v>
      </c>
      <c r="BB68">
        <f t="shared" si="135"/>
        <v>38070</v>
      </c>
      <c r="BC68">
        <v>0</v>
      </c>
      <c r="BD68">
        <v>0</v>
      </c>
      <c r="BE68">
        <f t="shared" si="136"/>
        <v>150</v>
      </c>
      <c r="BF68">
        <f t="shared" si="137"/>
        <v>37920</v>
      </c>
      <c r="BG68">
        <v>28900</v>
      </c>
      <c r="BH68">
        <f t="shared" si="138"/>
        <v>4046.0000000000005</v>
      </c>
      <c r="BI68">
        <f t="shared" si="139"/>
        <v>3468</v>
      </c>
      <c r="BJ68">
        <v>0</v>
      </c>
      <c r="BK68">
        <v>500</v>
      </c>
      <c r="BL68">
        <f t="shared" si="140"/>
        <v>36914</v>
      </c>
      <c r="BM68">
        <v>0</v>
      </c>
      <c r="BN68">
        <v>0</v>
      </c>
      <c r="BO68">
        <f t="shared" si="141"/>
        <v>150</v>
      </c>
      <c r="BP68">
        <f t="shared" si="142"/>
        <v>36764</v>
      </c>
      <c r="BQ68">
        <v>28900</v>
      </c>
      <c r="BR68">
        <f t="shared" si="143"/>
        <v>4046.0000000000005</v>
      </c>
      <c r="BS68">
        <f t="shared" si="144"/>
        <v>3468</v>
      </c>
      <c r="BT68">
        <v>0</v>
      </c>
      <c r="BU68">
        <v>500</v>
      </c>
      <c r="BV68">
        <f t="shared" si="145"/>
        <v>36914</v>
      </c>
      <c r="BW68">
        <v>0</v>
      </c>
      <c r="BX68">
        <v>0</v>
      </c>
      <c r="BY68">
        <f t="shared" si="146"/>
        <v>150</v>
      </c>
      <c r="BZ68">
        <f t="shared" si="147"/>
        <v>36764</v>
      </c>
      <c r="CA68">
        <v>28900</v>
      </c>
      <c r="CB68">
        <f t="shared" si="148"/>
        <v>4046.0000000000005</v>
      </c>
      <c r="CC68">
        <f t="shared" si="149"/>
        <v>3468</v>
      </c>
      <c r="CD68">
        <v>0</v>
      </c>
      <c r="CE68">
        <v>500</v>
      </c>
      <c r="CF68">
        <f t="shared" si="150"/>
        <v>36914</v>
      </c>
      <c r="CG68">
        <v>0</v>
      </c>
      <c r="CH68">
        <v>0</v>
      </c>
      <c r="CI68">
        <f t="shared" si="151"/>
        <v>150</v>
      </c>
      <c r="CJ68">
        <f t="shared" si="152"/>
        <v>36764</v>
      </c>
      <c r="CK68">
        <v>28900</v>
      </c>
      <c r="CL68">
        <f t="shared" si="153"/>
        <v>4046.0000000000005</v>
      </c>
      <c r="CM68">
        <f t="shared" si="154"/>
        <v>3468</v>
      </c>
      <c r="CN68">
        <v>0</v>
      </c>
      <c r="CO68">
        <v>500</v>
      </c>
      <c r="CP68">
        <f t="shared" si="155"/>
        <v>36914</v>
      </c>
      <c r="CQ68">
        <v>0</v>
      </c>
      <c r="CR68">
        <v>0</v>
      </c>
      <c r="CS68">
        <f t="shared" si="156"/>
        <v>150</v>
      </c>
      <c r="CT68">
        <f t="shared" si="157"/>
        <v>36764</v>
      </c>
      <c r="CU68">
        <v>28900</v>
      </c>
      <c r="CV68">
        <f t="shared" si="158"/>
        <v>4046</v>
      </c>
      <c r="CW68">
        <f t="shared" si="159"/>
        <v>3468</v>
      </c>
      <c r="CX68">
        <v>0</v>
      </c>
      <c r="CY68">
        <v>500</v>
      </c>
      <c r="CZ68">
        <f t="shared" si="160"/>
        <v>36914</v>
      </c>
      <c r="DA68">
        <v>0</v>
      </c>
      <c r="DB68">
        <v>0</v>
      </c>
      <c r="DC68">
        <f t="shared" si="161"/>
        <v>150</v>
      </c>
      <c r="DD68">
        <f t="shared" si="162"/>
        <v>36764</v>
      </c>
      <c r="DE68">
        <v>28900</v>
      </c>
      <c r="DF68">
        <f t="shared" si="163"/>
        <v>4046.0000000000005</v>
      </c>
      <c r="DG68">
        <f t="shared" si="164"/>
        <v>3468</v>
      </c>
      <c r="DH68">
        <v>0</v>
      </c>
      <c r="DI68">
        <v>500</v>
      </c>
      <c r="DJ68">
        <f t="shared" si="165"/>
        <v>36914</v>
      </c>
      <c r="DK68">
        <v>0</v>
      </c>
      <c r="DL68">
        <v>0</v>
      </c>
      <c r="DM68">
        <f t="shared" si="166"/>
        <v>150</v>
      </c>
      <c r="DN68">
        <f t="shared" si="167"/>
        <v>36764</v>
      </c>
      <c r="DO68">
        <v>28900</v>
      </c>
      <c r="DP68">
        <f t="shared" si="168"/>
        <v>4046.0000000000005</v>
      </c>
      <c r="DQ68">
        <f t="shared" si="169"/>
        <v>3468</v>
      </c>
      <c r="DR68">
        <v>0</v>
      </c>
      <c r="DS68">
        <v>500</v>
      </c>
      <c r="DT68">
        <f t="shared" si="170"/>
        <v>36914</v>
      </c>
      <c r="DU68">
        <v>0</v>
      </c>
      <c r="DV68">
        <v>0</v>
      </c>
      <c r="DW68">
        <f t="shared" si="171"/>
        <v>150</v>
      </c>
      <c r="DX68">
        <f t="shared" si="172"/>
        <v>36764</v>
      </c>
      <c r="DY68">
        <f t="shared" si="173"/>
        <v>406054</v>
      </c>
      <c r="DZ68">
        <f t="shared" si="105"/>
        <v>1650</v>
      </c>
      <c r="EA68">
        <f t="shared" si="106"/>
        <v>50000</v>
      </c>
      <c r="EB68">
        <v>0</v>
      </c>
      <c r="EC68">
        <f t="shared" si="107"/>
        <v>354404</v>
      </c>
      <c r="ED68">
        <f t="shared" si="108"/>
        <v>0</v>
      </c>
      <c r="EE68">
        <f t="shared" si="109"/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f t="shared" si="110"/>
        <v>0</v>
      </c>
      <c r="EQ68">
        <f t="shared" si="174"/>
        <v>0</v>
      </c>
      <c r="ER68">
        <f t="shared" si="111"/>
        <v>354404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f t="shared" si="175"/>
        <v>0</v>
      </c>
      <c r="FA68">
        <f t="shared" si="176"/>
        <v>354404</v>
      </c>
      <c r="FB68">
        <f t="shared" si="177"/>
        <v>5220</v>
      </c>
      <c r="FC68">
        <f t="shared" si="178"/>
        <v>0</v>
      </c>
      <c r="FD68">
        <f t="shared" si="179"/>
        <v>5220</v>
      </c>
      <c r="FE68">
        <f t="shared" si="180"/>
        <v>0</v>
      </c>
      <c r="FF68">
        <f t="shared" si="181"/>
        <v>0</v>
      </c>
      <c r="FG68">
        <f t="shared" si="182"/>
        <v>0</v>
      </c>
      <c r="FH68">
        <v>0</v>
      </c>
      <c r="FI68">
        <f t="shared" si="183"/>
        <v>0</v>
      </c>
      <c r="FJ68" t="b">
        <f t="shared" si="184"/>
        <v>0</v>
      </c>
      <c r="FK68">
        <f t="shared" ca="1" si="185"/>
        <v>1702</v>
      </c>
      <c r="FL68">
        <f t="shared" ca="1" si="186"/>
        <v>407756</v>
      </c>
      <c r="FM68">
        <f t="shared" si="187"/>
        <v>75000</v>
      </c>
      <c r="FN68">
        <f t="shared" ca="1" si="188"/>
        <v>332756</v>
      </c>
      <c r="FO68">
        <f t="shared" ca="1" si="189"/>
        <v>0</v>
      </c>
      <c r="FP68">
        <f t="shared" ca="1" si="190"/>
        <v>0</v>
      </c>
      <c r="FQ68">
        <f t="shared" ca="1" si="191"/>
        <v>0</v>
      </c>
      <c r="FR68">
        <f t="shared" ca="1" si="192"/>
        <v>0</v>
      </c>
      <c r="FS68">
        <f t="shared" ca="1" si="193"/>
        <v>0</v>
      </c>
      <c r="FT68">
        <f t="shared" ca="1" si="194"/>
        <v>0</v>
      </c>
      <c r="FU68">
        <f t="shared" ca="1" si="195"/>
        <v>0</v>
      </c>
      <c r="FV68">
        <f t="shared" ca="1" si="196"/>
        <v>0</v>
      </c>
      <c r="FW68">
        <f t="shared" ca="1" si="197"/>
        <v>32756</v>
      </c>
      <c r="FX68">
        <f t="shared" ca="1" si="198"/>
        <v>1637.8000000000002</v>
      </c>
      <c r="FY68">
        <f t="shared" ca="1" si="199"/>
        <v>1638</v>
      </c>
      <c r="FZ68">
        <f t="shared" ca="1" si="200"/>
        <v>0</v>
      </c>
      <c r="GA68">
        <f t="shared" ca="1" si="201"/>
        <v>0</v>
      </c>
      <c r="GB68">
        <f t="shared" ca="1" si="202"/>
        <v>1638</v>
      </c>
      <c r="GC68">
        <f t="shared" ca="1" si="203"/>
        <v>0</v>
      </c>
      <c r="GD68" t="b">
        <f t="shared" ca="1" si="204"/>
        <v>0</v>
      </c>
      <c r="GE68">
        <f t="shared" ca="1" si="205"/>
        <v>0</v>
      </c>
      <c r="GF68">
        <f t="shared" ca="1" si="206"/>
        <v>1638</v>
      </c>
      <c r="GG68">
        <f t="shared" ca="1" si="207"/>
        <v>0</v>
      </c>
      <c r="GH68">
        <f t="shared" ca="1" si="208"/>
        <v>0</v>
      </c>
      <c r="GI68">
        <f t="shared" ca="1" si="209"/>
        <v>0</v>
      </c>
    </row>
    <row r="69" spans="1:191" x14ac:dyDescent="0.25">
      <c r="A69">
        <f>_xlfn.AGGREGATE(3,5,$B$2:B69)</f>
        <v>68</v>
      </c>
      <c r="B69" t="s">
        <v>258</v>
      </c>
      <c r="C69" t="s">
        <v>259</v>
      </c>
      <c r="D69" t="s">
        <v>779</v>
      </c>
      <c r="E69" t="s">
        <v>843</v>
      </c>
      <c r="F69">
        <v>0</v>
      </c>
      <c r="G69">
        <v>0</v>
      </c>
      <c r="H69">
        <v>50200</v>
      </c>
      <c r="I69">
        <f t="shared" si="112"/>
        <v>5020</v>
      </c>
      <c r="J69">
        <f t="shared" si="113"/>
        <v>6024</v>
      </c>
      <c r="K69">
        <v>400</v>
      </c>
      <c r="L69">
        <v>500</v>
      </c>
      <c r="M69">
        <f t="shared" si="114"/>
        <v>62144</v>
      </c>
      <c r="N69">
        <v>10000</v>
      </c>
      <c r="O69">
        <v>60</v>
      </c>
      <c r="P69">
        <f t="shared" si="115"/>
        <v>200</v>
      </c>
      <c r="Q69">
        <f t="shared" si="116"/>
        <v>51884</v>
      </c>
      <c r="R69">
        <v>50200</v>
      </c>
      <c r="S69">
        <f t="shared" si="117"/>
        <v>5020</v>
      </c>
      <c r="T69">
        <f t="shared" si="118"/>
        <v>6024</v>
      </c>
      <c r="U69">
        <v>400</v>
      </c>
      <c r="V69">
        <v>500</v>
      </c>
      <c r="W69">
        <f t="shared" si="119"/>
        <v>62144</v>
      </c>
      <c r="X69">
        <v>10000</v>
      </c>
      <c r="Y69">
        <v>60</v>
      </c>
      <c r="Z69">
        <f t="shared" si="120"/>
        <v>200</v>
      </c>
      <c r="AA69">
        <f t="shared" si="121"/>
        <v>51884</v>
      </c>
      <c r="AB69">
        <v>50200</v>
      </c>
      <c r="AC69">
        <f t="shared" si="122"/>
        <v>7028.0000000000009</v>
      </c>
      <c r="AD69">
        <f t="shared" si="123"/>
        <v>6024</v>
      </c>
      <c r="AE69">
        <v>400</v>
      </c>
      <c r="AF69">
        <v>500</v>
      </c>
      <c r="AG69">
        <f t="shared" si="124"/>
        <v>64152</v>
      </c>
      <c r="AH69">
        <v>10000</v>
      </c>
      <c r="AI69">
        <v>60</v>
      </c>
      <c r="AJ69">
        <f t="shared" si="125"/>
        <v>200</v>
      </c>
      <c r="AK69">
        <f t="shared" si="126"/>
        <v>53892</v>
      </c>
      <c r="AL69">
        <v>50200</v>
      </c>
      <c r="AM69">
        <f t="shared" si="127"/>
        <v>7028.0000000000009</v>
      </c>
      <c r="AN69">
        <f t="shared" si="128"/>
        <v>6024</v>
      </c>
      <c r="AO69">
        <v>400</v>
      </c>
      <c r="AP69">
        <v>500</v>
      </c>
      <c r="AQ69">
        <f t="shared" si="129"/>
        <v>64152</v>
      </c>
      <c r="AR69">
        <v>10000</v>
      </c>
      <c r="AS69">
        <v>60</v>
      </c>
      <c r="AT69">
        <f t="shared" si="130"/>
        <v>200</v>
      </c>
      <c r="AU69">
        <f t="shared" si="131"/>
        <v>53892</v>
      </c>
      <c r="AV69">
        <v>51700</v>
      </c>
      <c r="AW69">
        <f t="shared" si="132"/>
        <v>7238.0000000000009</v>
      </c>
      <c r="AX69">
        <f t="shared" si="133"/>
        <v>2008</v>
      </c>
      <c r="AY69">
        <f t="shared" si="134"/>
        <v>6204</v>
      </c>
      <c r="AZ69">
        <v>400</v>
      </c>
      <c r="BA69">
        <v>500</v>
      </c>
      <c r="BB69">
        <f t="shared" si="135"/>
        <v>68050</v>
      </c>
      <c r="BC69">
        <v>10000</v>
      </c>
      <c r="BD69">
        <v>60</v>
      </c>
      <c r="BE69">
        <f t="shared" si="136"/>
        <v>200</v>
      </c>
      <c r="BF69">
        <f t="shared" si="137"/>
        <v>57790</v>
      </c>
      <c r="BG69">
        <v>51700</v>
      </c>
      <c r="BH69">
        <f t="shared" si="138"/>
        <v>7238.0000000000009</v>
      </c>
      <c r="BI69">
        <f t="shared" si="139"/>
        <v>6204</v>
      </c>
      <c r="BJ69">
        <v>400</v>
      </c>
      <c r="BK69">
        <v>500</v>
      </c>
      <c r="BL69">
        <f t="shared" si="140"/>
        <v>66042</v>
      </c>
      <c r="BM69">
        <v>10000</v>
      </c>
      <c r="BN69">
        <v>60</v>
      </c>
      <c r="BO69">
        <f t="shared" si="141"/>
        <v>200</v>
      </c>
      <c r="BP69">
        <f t="shared" si="142"/>
        <v>55782</v>
      </c>
      <c r="BQ69">
        <v>51700</v>
      </c>
      <c r="BR69">
        <f t="shared" si="143"/>
        <v>7238.0000000000009</v>
      </c>
      <c r="BS69">
        <f t="shared" si="144"/>
        <v>6204</v>
      </c>
      <c r="BT69">
        <v>400</v>
      </c>
      <c r="BU69">
        <v>500</v>
      </c>
      <c r="BV69">
        <f t="shared" si="145"/>
        <v>66042</v>
      </c>
      <c r="BW69">
        <v>10000</v>
      </c>
      <c r="BX69">
        <v>60</v>
      </c>
      <c r="BY69">
        <f t="shared" si="146"/>
        <v>200</v>
      </c>
      <c r="BZ69">
        <f t="shared" si="147"/>
        <v>55782</v>
      </c>
      <c r="CA69">
        <v>51700</v>
      </c>
      <c r="CB69">
        <f t="shared" si="148"/>
        <v>7238.0000000000009</v>
      </c>
      <c r="CC69">
        <f t="shared" si="149"/>
        <v>6204</v>
      </c>
      <c r="CD69">
        <v>400</v>
      </c>
      <c r="CE69">
        <v>500</v>
      </c>
      <c r="CF69">
        <f t="shared" si="150"/>
        <v>66042</v>
      </c>
      <c r="CG69">
        <v>10000</v>
      </c>
      <c r="CH69">
        <v>60</v>
      </c>
      <c r="CI69">
        <f t="shared" si="151"/>
        <v>200</v>
      </c>
      <c r="CJ69">
        <f t="shared" si="152"/>
        <v>55782</v>
      </c>
      <c r="CK69">
        <v>51700</v>
      </c>
      <c r="CL69">
        <f t="shared" si="153"/>
        <v>7238.0000000000009</v>
      </c>
      <c r="CM69">
        <f t="shared" si="154"/>
        <v>6204</v>
      </c>
      <c r="CN69">
        <v>400</v>
      </c>
      <c r="CO69">
        <v>500</v>
      </c>
      <c r="CP69">
        <f t="shared" si="155"/>
        <v>66042</v>
      </c>
      <c r="CQ69">
        <v>10000</v>
      </c>
      <c r="CR69">
        <v>60</v>
      </c>
      <c r="CS69">
        <f t="shared" si="156"/>
        <v>200</v>
      </c>
      <c r="CT69">
        <f t="shared" si="157"/>
        <v>55782</v>
      </c>
      <c r="CU69">
        <v>51700</v>
      </c>
      <c r="CV69">
        <f t="shared" si="158"/>
        <v>7238</v>
      </c>
      <c r="CW69">
        <f t="shared" si="159"/>
        <v>6204</v>
      </c>
      <c r="CX69">
        <v>400</v>
      </c>
      <c r="CY69">
        <v>500</v>
      </c>
      <c r="CZ69">
        <f t="shared" si="160"/>
        <v>66042</v>
      </c>
      <c r="DA69">
        <v>10000</v>
      </c>
      <c r="DB69">
        <v>60</v>
      </c>
      <c r="DC69">
        <f t="shared" si="161"/>
        <v>200</v>
      </c>
      <c r="DD69">
        <f t="shared" si="162"/>
        <v>55782</v>
      </c>
      <c r="DE69">
        <v>51700</v>
      </c>
      <c r="DF69">
        <f t="shared" si="163"/>
        <v>7238.0000000000009</v>
      </c>
      <c r="DG69">
        <f t="shared" si="164"/>
        <v>6204</v>
      </c>
      <c r="DH69">
        <v>400</v>
      </c>
      <c r="DI69">
        <v>500</v>
      </c>
      <c r="DJ69">
        <f t="shared" si="165"/>
        <v>66042</v>
      </c>
      <c r="DK69">
        <v>10000</v>
      </c>
      <c r="DL69">
        <v>60</v>
      </c>
      <c r="DM69">
        <f t="shared" si="166"/>
        <v>200</v>
      </c>
      <c r="DN69">
        <f t="shared" si="167"/>
        <v>55782</v>
      </c>
      <c r="DO69">
        <v>51700</v>
      </c>
      <c r="DP69">
        <f t="shared" si="168"/>
        <v>7238.0000000000009</v>
      </c>
      <c r="DQ69">
        <f t="shared" si="169"/>
        <v>6204</v>
      </c>
      <c r="DR69">
        <v>400</v>
      </c>
      <c r="DS69">
        <v>500</v>
      </c>
      <c r="DT69">
        <f t="shared" si="170"/>
        <v>66042</v>
      </c>
      <c r="DU69">
        <v>10000</v>
      </c>
      <c r="DV69">
        <v>60</v>
      </c>
      <c r="DW69">
        <f t="shared" si="171"/>
        <v>200</v>
      </c>
      <c r="DX69">
        <f t="shared" si="172"/>
        <v>55782</v>
      </c>
      <c r="DY69">
        <f t="shared" si="173"/>
        <v>782936</v>
      </c>
      <c r="DZ69">
        <f t="shared" si="105"/>
        <v>2400</v>
      </c>
      <c r="EA69">
        <f t="shared" si="106"/>
        <v>50000</v>
      </c>
      <c r="EB69">
        <v>0</v>
      </c>
      <c r="EC69">
        <f t="shared" si="107"/>
        <v>730536</v>
      </c>
      <c r="ED69">
        <f t="shared" si="108"/>
        <v>120000</v>
      </c>
      <c r="EE69">
        <f t="shared" si="109"/>
        <v>720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f t="shared" si="110"/>
        <v>120720</v>
      </c>
      <c r="EQ69">
        <f t="shared" si="174"/>
        <v>120720</v>
      </c>
      <c r="ER69">
        <f t="shared" si="111"/>
        <v>609816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f t="shared" si="175"/>
        <v>0</v>
      </c>
      <c r="FA69">
        <f t="shared" si="176"/>
        <v>609816</v>
      </c>
      <c r="FB69">
        <f t="shared" si="177"/>
        <v>12500</v>
      </c>
      <c r="FC69">
        <f t="shared" si="178"/>
        <v>21963</v>
      </c>
      <c r="FD69">
        <f t="shared" si="179"/>
        <v>34463</v>
      </c>
      <c r="FE69">
        <f t="shared" si="180"/>
        <v>34463</v>
      </c>
      <c r="FF69">
        <f t="shared" si="181"/>
        <v>1378.52</v>
      </c>
      <c r="FG69">
        <f t="shared" si="182"/>
        <v>35842</v>
      </c>
      <c r="FH69">
        <v>0</v>
      </c>
      <c r="FI69">
        <f t="shared" si="183"/>
        <v>35842</v>
      </c>
      <c r="FJ69" t="b">
        <f t="shared" si="184"/>
        <v>1</v>
      </c>
      <c r="FK69">
        <f t="shared" ca="1" si="185"/>
        <v>674</v>
      </c>
      <c r="FL69">
        <f t="shared" ca="1" si="186"/>
        <v>783610</v>
      </c>
      <c r="FM69">
        <f t="shared" si="187"/>
        <v>75000</v>
      </c>
      <c r="FN69">
        <f t="shared" ca="1" si="188"/>
        <v>708610</v>
      </c>
      <c r="FO69">
        <f t="shared" ca="1" si="189"/>
        <v>0</v>
      </c>
      <c r="FP69">
        <f t="shared" ca="1" si="190"/>
        <v>0</v>
      </c>
      <c r="FQ69">
        <f t="shared" ca="1" si="191"/>
        <v>0</v>
      </c>
      <c r="FR69">
        <f t="shared" ca="1" si="192"/>
        <v>0</v>
      </c>
      <c r="FS69">
        <f t="shared" ca="1" si="193"/>
        <v>0</v>
      </c>
      <c r="FT69">
        <f t="shared" ca="1" si="194"/>
        <v>0</v>
      </c>
      <c r="FU69">
        <f t="shared" ca="1" si="195"/>
        <v>8610</v>
      </c>
      <c r="FV69">
        <f t="shared" ca="1" si="196"/>
        <v>861</v>
      </c>
      <c r="FW69">
        <f t="shared" ca="1" si="197"/>
        <v>400000</v>
      </c>
      <c r="FX69">
        <f t="shared" ca="1" si="198"/>
        <v>20000</v>
      </c>
      <c r="FY69">
        <f t="shared" ca="1" si="199"/>
        <v>20861</v>
      </c>
      <c r="FZ69">
        <f t="shared" ca="1" si="200"/>
        <v>708610</v>
      </c>
      <c r="GA69">
        <f t="shared" ca="1" si="201"/>
        <v>8610</v>
      </c>
      <c r="GB69">
        <f t="shared" ca="1" si="202"/>
        <v>0</v>
      </c>
      <c r="GC69">
        <f t="shared" ca="1" si="203"/>
        <v>12251</v>
      </c>
      <c r="GD69" t="b">
        <f t="shared" ca="1" si="204"/>
        <v>1</v>
      </c>
      <c r="GE69">
        <f t="shared" ca="1" si="205"/>
        <v>12251</v>
      </c>
      <c r="GF69">
        <f t="shared" ca="1" si="206"/>
        <v>12251</v>
      </c>
      <c r="GG69">
        <f t="shared" ca="1" si="207"/>
        <v>8610</v>
      </c>
      <c r="GH69">
        <f t="shared" ca="1" si="208"/>
        <v>344.40000000000003</v>
      </c>
      <c r="GI69">
        <f t="shared" ca="1" si="209"/>
        <v>8955</v>
      </c>
    </row>
    <row r="70" spans="1:191" x14ac:dyDescent="0.25">
      <c r="A70">
        <f>_xlfn.AGGREGATE(3,5,$B$2:B70)</f>
        <v>69</v>
      </c>
      <c r="B70" t="s">
        <v>260</v>
      </c>
      <c r="C70" t="s">
        <v>261</v>
      </c>
      <c r="D70" t="s">
        <v>779</v>
      </c>
      <c r="E70" t="s">
        <v>844</v>
      </c>
      <c r="F70">
        <v>0</v>
      </c>
      <c r="G70">
        <v>6000</v>
      </c>
      <c r="H70">
        <v>36600</v>
      </c>
      <c r="I70">
        <f t="shared" si="112"/>
        <v>3660</v>
      </c>
      <c r="J70">
        <f t="shared" si="113"/>
        <v>4392</v>
      </c>
      <c r="K70">
        <v>0</v>
      </c>
      <c r="L70">
        <v>500</v>
      </c>
      <c r="M70">
        <f t="shared" si="114"/>
        <v>45152</v>
      </c>
      <c r="N70">
        <v>4000</v>
      </c>
      <c r="O70">
        <v>0</v>
      </c>
      <c r="P70">
        <f t="shared" si="115"/>
        <v>200</v>
      </c>
      <c r="Q70">
        <f t="shared" si="116"/>
        <v>40952</v>
      </c>
      <c r="R70">
        <v>36600</v>
      </c>
      <c r="S70">
        <f t="shared" si="117"/>
        <v>3660</v>
      </c>
      <c r="T70">
        <f t="shared" si="118"/>
        <v>4392</v>
      </c>
      <c r="U70">
        <v>0</v>
      </c>
      <c r="V70">
        <v>500</v>
      </c>
      <c r="W70">
        <f t="shared" si="119"/>
        <v>45152</v>
      </c>
      <c r="X70">
        <v>4000</v>
      </c>
      <c r="Y70">
        <v>0</v>
      </c>
      <c r="Z70">
        <f t="shared" si="120"/>
        <v>200</v>
      </c>
      <c r="AA70">
        <f t="shared" si="121"/>
        <v>40952</v>
      </c>
      <c r="AB70">
        <v>36600</v>
      </c>
      <c r="AC70">
        <f t="shared" si="122"/>
        <v>5124.0000000000009</v>
      </c>
      <c r="AD70">
        <f t="shared" si="123"/>
        <v>4392</v>
      </c>
      <c r="AE70">
        <v>0</v>
      </c>
      <c r="AF70">
        <v>500</v>
      </c>
      <c r="AG70">
        <f t="shared" si="124"/>
        <v>46616</v>
      </c>
      <c r="AH70">
        <v>4000</v>
      </c>
      <c r="AI70">
        <v>0</v>
      </c>
      <c r="AJ70">
        <f t="shared" si="125"/>
        <v>200</v>
      </c>
      <c r="AK70">
        <f t="shared" si="126"/>
        <v>42416</v>
      </c>
      <c r="AL70">
        <v>36600</v>
      </c>
      <c r="AM70">
        <f t="shared" si="127"/>
        <v>5124.0000000000009</v>
      </c>
      <c r="AN70">
        <f t="shared" si="128"/>
        <v>4392</v>
      </c>
      <c r="AO70">
        <v>0</v>
      </c>
      <c r="AP70">
        <v>500</v>
      </c>
      <c r="AQ70">
        <f t="shared" si="129"/>
        <v>46616</v>
      </c>
      <c r="AR70">
        <v>4000</v>
      </c>
      <c r="AS70">
        <v>0</v>
      </c>
      <c r="AT70">
        <f t="shared" si="130"/>
        <v>200</v>
      </c>
      <c r="AU70">
        <f t="shared" si="131"/>
        <v>42416</v>
      </c>
      <c r="AV70">
        <v>37700</v>
      </c>
      <c r="AW70">
        <f t="shared" si="132"/>
        <v>5278.0000000000009</v>
      </c>
      <c r="AX70">
        <f t="shared" si="133"/>
        <v>1464</v>
      </c>
      <c r="AY70">
        <f t="shared" si="134"/>
        <v>4524</v>
      </c>
      <c r="AZ70">
        <v>0</v>
      </c>
      <c r="BA70">
        <v>500</v>
      </c>
      <c r="BB70">
        <f t="shared" si="135"/>
        <v>49466</v>
      </c>
      <c r="BC70">
        <v>4000</v>
      </c>
      <c r="BD70">
        <v>0</v>
      </c>
      <c r="BE70">
        <f t="shared" si="136"/>
        <v>200</v>
      </c>
      <c r="BF70">
        <f t="shared" si="137"/>
        <v>45266</v>
      </c>
      <c r="BG70">
        <v>37700</v>
      </c>
      <c r="BH70">
        <f t="shared" si="138"/>
        <v>5278.0000000000009</v>
      </c>
      <c r="BI70">
        <f t="shared" si="139"/>
        <v>4524</v>
      </c>
      <c r="BJ70">
        <v>0</v>
      </c>
      <c r="BK70">
        <v>500</v>
      </c>
      <c r="BL70">
        <f t="shared" si="140"/>
        <v>48002</v>
      </c>
      <c r="BM70">
        <v>4000</v>
      </c>
      <c r="BN70">
        <v>0</v>
      </c>
      <c r="BO70">
        <f t="shared" si="141"/>
        <v>200</v>
      </c>
      <c r="BP70">
        <f t="shared" si="142"/>
        <v>43802</v>
      </c>
      <c r="BQ70">
        <v>37700</v>
      </c>
      <c r="BR70">
        <f t="shared" si="143"/>
        <v>5278.0000000000009</v>
      </c>
      <c r="BS70">
        <f t="shared" si="144"/>
        <v>4524</v>
      </c>
      <c r="BT70">
        <v>0</v>
      </c>
      <c r="BU70">
        <v>500</v>
      </c>
      <c r="BV70">
        <f t="shared" si="145"/>
        <v>48002</v>
      </c>
      <c r="BW70">
        <v>4000</v>
      </c>
      <c r="BX70">
        <v>0</v>
      </c>
      <c r="BY70">
        <f t="shared" si="146"/>
        <v>200</v>
      </c>
      <c r="BZ70">
        <f t="shared" si="147"/>
        <v>43802</v>
      </c>
      <c r="CA70">
        <v>37700</v>
      </c>
      <c r="CB70">
        <f t="shared" si="148"/>
        <v>5278.0000000000009</v>
      </c>
      <c r="CC70">
        <f t="shared" si="149"/>
        <v>4524</v>
      </c>
      <c r="CD70">
        <v>0</v>
      </c>
      <c r="CE70">
        <v>500</v>
      </c>
      <c r="CF70">
        <f t="shared" si="150"/>
        <v>48002</v>
      </c>
      <c r="CG70">
        <v>4000</v>
      </c>
      <c r="CH70">
        <v>0</v>
      </c>
      <c r="CI70">
        <f t="shared" si="151"/>
        <v>200</v>
      </c>
      <c r="CJ70">
        <f t="shared" si="152"/>
        <v>43802</v>
      </c>
      <c r="CK70">
        <v>37700</v>
      </c>
      <c r="CL70">
        <f t="shared" si="153"/>
        <v>5278.0000000000009</v>
      </c>
      <c r="CM70">
        <f t="shared" si="154"/>
        <v>4524</v>
      </c>
      <c r="CN70">
        <v>0</v>
      </c>
      <c r="CO70">
        <v>500</v>
      </c>
      <c r="CP70">
        <f t="shared" si="155"/>
        <v>48002</v>
      </c>
      <c r="CQ70">
        <v>4000</v>
      </c>
      <c r="CR70">
        <v>0</v>
      </c>
      <c r="CS70">
        <f t="shared" si="156"/>
        <v>200</v>
      </c>
      <c r="CT70">
        <f t="shared" si="157"/>
        <v>43802</v>
      </c>
      <c r="CU70">
        <v>37700</v>
      </c>
      <c r="CV70">
        <f t="shared" si="158"/>
        <v>5278</v>
      </c>
      <c r="CW70">
        <f t="shared" si="159"/>
        <v>4524</v>
      </c>
      <c r="CX70">
        <v>0</v>
      </c>
      <c r="CY70">
        <v>500</v>
      </c>
      <c r="CZ70">
        <f t="shared" si="160"/>
        <v>48002</v>
      </c>
      <c r="DA70">
        <v>4000</v>
      </c>
      <c r="DB70">
        <v>0</v>
      </c>
      <c r="DC70">
        <f t="shared" si="161"/>
        <v>200</v>
      </c>
      <c r="DD70">
        <f t="shared" si="162"/>
        <v>43802</v>
      </c>
      <c r="DE70">
        <v>37700</v>
      </c>
      <c r="DF70">
        <f t="shared" si="163"/>
        <v>5278.0000000000009</v>
      </c>
      <c r="DG70">
        <f t="shared" si="164"/>
        <v>4524</v>
      </c>
      <c r="DH70">
        <v>0</v>
      </c>
      <c r="DI70">
        <v>500</v>
      </c>
      <c r="DJ70">
        <f t="shared" si="165"/>
        <v>48002</v>
      </c>
      <c r="DK70">
        <v>4000</v>
      </c>
      <c r="DL70">
        <v>0</v>
      </c>
      <c r="DM70">
        <f t="shared" si="166"/>
        <v>200</v>
      </c>
      <c r="DN70">
        <f t="shared" si="167"/>
        <v>43802</v>
      </c>
      <c r="DO70">
        <v>37700</v>
      </c>
      <c r="DP70">
        <f t="shared" si="168"/>
        <v>5278.0000000000009</v>
      </c>
      <c r="DQ70">
        <f t="shared" si="169"/>
        <v>4524</v>
      </c>
      <c r="DR70">
        <v>0</v>
      </c>
      <c r="DS70">
        <v>500</v>
      </c>
      <c r="DT70">
        <f t="shared" si="170"/>
        <v>48002</v>
      </c>
      <c r="DU70">
        <v>4000</v>
      </c>
      <c r="DV70">
        <v>0</v>
      </c>
      <c r="DW70">
        <f t="shared" si="171"/>
        <v>200</v>
      </c>
      <c r="DX70">
        <f t="shared" si="172"/>
        <v>43802</v>
      </c>
      <c r="DY70">
        <f t="shared" si="173"/>
        <v>575016</v>
      </c>
      <c r="DZ70">
        <f t="shared" si="105"/>
        <v>2400</v>
      </c>
      <c r="EA70">
        <f t="shared" si="106"/>
        <v>50000</v>
      </c>
      <c r="EB70">
        <v>0</v>
      </c>
      <c r="EC70">
        <f t="shared" si="107"/>
        <v>522616</v>
      </c>
      <c r="ED70">
        <f t="shared" si="108"/>
        <v>48000</v>
      </c>
      <c r="EE70">
        <f t="shared" si="109"/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f t="shared" si="110"/>
        <v>48000</v>
      </c>
      <c r="EQ70">
        <f t="shared" si="174"/>
        <v>48000</v>
      </c>
      <c r="ER70">
        <f t="shared" si="111"/>
        <v>474616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f t="shared" si="175"/>
        <v>0</v>
      </c>
      <c r="FA70">
        <f t="shared" si="176"/>
        <v>474616</v>
      </c>
      <c r="FB70">
        <f t="shared" si="177"/>
        <v>11231</v>
      </c>
      <c r="FC70">
        <f t="shared" si="178"/>
        <v>0</v>
      </c>
      <c r="FD70">
        <f t="shared" si="179"/>
        <v>11231</v>
      </c>
      <c r="FE70">
        <f t="shared" si="180"/>
        <v>0</v>
      </c>
      <c r="FF70">
        <f t="shared" si="181"/>
        <v>0</v>
      </c>
      <c r="FG70">
        <f t="shared" si="182"/>
        <v>0</v>
      </c>
      <c r="FH70">
        <v>0</v>
      </c>
      <c r="FI70">
        <f t="shared" si="183"/>
        <v>0</v>
      </c>
      <c r="FJ70" t="b">
        <f t="shared" si="184"/>
        <v>1</v>
      </c>
      <c r="FK70">
        <f t="shared" ca="1" si="185"/>
        <v>679</v>
      </c>
      <c r="FL70">
        <f t="shared" ca="1" si="186"/>
        <v>575695</v>
      </c>
      <c r="FM70">
        <f t="shared" si="187"/>
        <v>75000</v>
      </c>
      <c r="FN70">
        <f t="shared" ca="1" si="188"/>
        <v>500695</v>
      </c>
      <c r="FO70">
        <f t="shared" ca="1" si="189"/>
        <v>0</v>
      </c>
      <c r="FP70">
        <f t="shared" ca="1" si="190"/>
        <v>0</v>
      </c>
      <c r="FQ70">
        <f t="shared" ca="1" si="191"/>
        <v>0</v>
      </c>
      <c r="FR70">
        <f t="shared" ca="1" si="192"/>
        <v>0</v>
      </c>
      <c r="FS70">
        <f t="shared" ca="1" si="193"/>
        <v>0</v>
      </c>
      <c r="FT70">
        <f t="shared" ca="1" si="194"/>
        <v>0</v>
      </c>
      <c r="FU70">
        <f t="shared" ca="1" si="195"/>
        <v>0</v>
      </c>
      <c r="FV70">
        <f t="shared" ca="1" si="196"/>
        <v>0</v>
      </c>
      <c r="FW70">
        <f t="shared" ca="1" si="197"/>
        <v>200695</v>
      </c>
      <c r="FX70">
        <f t="shared" ca="1" si="198"/>
        <v>10034.75</v>
      </c>
      <c r="FY70">
        <f t="shared" ca="1" si="199"/>
        <v>10035</v>
      </c>
      <c r="FZ70">
        <f t="shared" ca="1" si="200"/>
        <v>0</v>
      </c>
      <c r="GA70">
        <f t="shared" ca="1" si="201"/>
        <v>0</v>
      </c>
      <c r="GB70">
        <f t="shared" ca="1" si="202"/>
        <v>10035</v>
      </c>
      <c r="GC70">
        <f t="shared" ca="1" si="203"/>
        <v>0</v>
      </c>
      <c r="GD70" t="b">
        <f t="shared" ca="1" si="204"/>
        <v>0</v>
      </c>
      <c r="GE70">
        <f t="shared" ca="1" si="205"/>
        <v>0</v>
      </c>
      <c r="GF70">
        <f t="shared" ca="1" si="206"/>
        <v>10035</v>
      </c>
      <c r="GG70">
        <f t="shared" ca="1" si="207"/>
        <v>0</v>
      </c>
      <c r="GH70">
        <f t="shared" ca="1" si="208"/>
        <v>0</v>
      </c>
      <c r="GI70">
        <f t="shared" ca="1" si="209"/>
        <v>0</v>
      </c>
    </row>
    <row r="71" spans="1:191" x14ac:dyDescent="0.25">
      <c r="A71">
        <f>_xlfn.AGGREGATE(3,5,$B$2:B71)</f>
        <v>70</v>
      </c>
      <c r="B71" t="s">
        <v>262</v>
      </c>
      <c r="C71" t="s">
        <v>263</v>
      </c>
      <c r="D71" t="s">
        <v>780</v>
      </c>
      <c r="E71" t="s">
        <v>844</v>
      </c>
      <c r="F71">
        <v>0</v>
      </c>
      <c r="G71">
        <v>0</v>
      </c>
      <c r="H71">
        <v>50200</v>
      </c>
      <c r="I71">
        <f t="shared" si="112"/>
        <v>5020</v>
      </c>
      <c r="J71">
        <f t="shared" si="113"/>
        <v>6024</v>
      </c>
      <c r="K71">
        <v>400</v>
      </c>
      <c r="L71">
        <v>500</v>
      </c>
      <c r="M71">
        <f t="shared" si="114"/>
        <v>62144</v>
      </c>
      <c r="N71">
        <v>4000</v>
      </c>
      <c r="O71">
        <v>0</v>
      </c>
      <c r="P71">
        <f t="shared" si="115"/>
        <v>200</v>
      </c>
      <c r="Q71">
        <f t="shared" si="116"/>
        <v>57944</v>
      </c>
      <c r="R71">
        <v>50200</v>
      </c>
      <c r="S71">
        <f t="shared" si="117"/>
        <v>5020</v>
      </c>
      <c r="T71">
        <f t="shared" si="118"/>
        <v>6024</v>
      </c>
      <c r="U71">
        <v>400</v>
      </c>
      <c r="V71">
        <v>500</v>
      </c>
      <c r="W71">
        <f t="shared" si="119"/>
        <v>62144</v>
      </c>
      <c r="X71">
        <v>4000</v>
      </c>
      <c r="Y71">
        <v>0</v>
      </c>
      <c r="Z71">
        <f t="shared" si="120"/>
        <v>200</v>
      </c>
      <c r="AA71">
        <f t="shared" si="121"/>
        <v>57944</v>
      </c>
      <c r="AB71">
        <v>50200</v>
      </c>
      <c r="AC71">
        <f t="shared" si="122"/>
        <v>7028.0000000000009</v>
      </c>
      <c r="AD71">
        <f t="shared" si="123"/>
        <v>6024</v>
      </c>
      <c r="AE71">
        <v>400</v>
      </c>
      <c r="AF71">
        <v>500</v>
      </c>
      <c r="AG71">
        <f t="shared" si="124"/>
        <v>64152</v>
      </c>
      <c r="AH71">
        <v>4000</v>
      </c>
      <c r="AI71">
        <v>0</v>
      </c>
      <c r="AJ71">
        <f t="shared" si="125"/>
        <v>200</v>
      </c>
      <c r="AK71">
        <f t="shared" si="126"/>
        <v>59952</v>
      </c>
      <c r="AL71">
        <v>50200</v>
      </c>
      <c r="AM71">
        <f t="shared" si="127"/>
        <v>7028.0000000000009</v>
      </c>
      <c r="AN71">
        <f t="shared" si="128"/>
        <v>6024</v>
      </c>
      <c r="AO71">
        <v>400</v>
      </c>
      <c r="AP71">
        <v>500</v>
      </c>
      <c r="AQ71">
        <f t="shared" si="129"/>
        <v>64152</v>
      </c>
      <c r="AR71">
        <v>4000</v>
      </c>
      <c r="AS71">
        <v>0</v>
      </c>
      <c r="AT71">
        <f t="shared" si="130"/>
        <v>200</v>
      </c>
      <c r="AU71">
        <f t="shared" si="131"/>
        <v>59952</v>
      </c>
      <c r="AV71">
        <v>51700</v>
      </c>
      <c r="AW71">
        <f t="shared" si="132"/>
        <v>7238.0000000000009</v>
      </c>
      <c r="AX71">
        <f t="shared" si="133"/>
        <v>2008</v>
      </c>
      <c r="AY71">
        <f t="shared" si="134"/>
        <v>6204</v>
      </c>
      <c r="AZ71">
        <v>400</v>
      </c>
      <c r="BA71">
        <v>500</v>
      </c>
      <c r="BB71">
        <f t="shared" si="135"/>
        <v>68050</v>
      </c>
      <c r="BC71">
        <v>4000</v>
      </c>
      <c r="BD71">
        <v>0</v>
      </c>
      <c r="BE71">
        <f t="shared" si="136"/>
        <v>200</v>
      </c>
      <c r="BF71">
        <f t="shared" si="137"/>
        <v>63850</v>
      </c>
      <c r="BG71">
        <v>51700</v>
      </c>
      <c r="BH71">
        <f t="shared" si="138"/>
        <v>7238.0000000000009</v>
      </c>
      <c r="BI71">
        <f t="shared" si="139"/>
        <v>6204</v>
      </c>
      <c r="BJ71">
        <v>400</v>
      </c>
      <c r="BK71">
        <v>500</v>
      </c>
      <c r="BL71">
        <f t="shared" si="140"/>
        <v>66042</v>
      </c>
      <c r="BM71">
        <v>4000</v>
      </c>
      <c r="BN71">
        <v>0</v>
      </c>
      <c r="BO71">
        <f t="shared" si="141"/>
        <v>200</v>
      </c>
      <c r="BP71">
        <f t="shared" si="142"/>
        <v>61842</v>
      </c>
      <c r="BQ71">
        <v>51700</v>
      </c>
      <c r="BR71">
        <f t="shared" si="143"/>
        <v>7238.0000000000009</v>
      </c>
      <c r="BS71">
        <f t="shared" si="144"/>
        <v>6204</v>
      </c>
      <c r="BT71">
        <v>400</v>
      </c>
      <c r="BU71">
        <v>500</v>
      </c>
      <c r="BV71">
        <f t="shared" si="145"/>
        <v>66042</v>
      </c>
      <c r="BW71">
        <v>4000</v>
      </c>
      <c r="BX71">
        <v>0</v>
      </c>
      <c r="BY71">
        <f t="shared" si="146"/>
        <v>200</v>
      </c>
      <c r="BZ71">
        <f t="shared" si="147"/>
        <v>61842</v>
      </c>
      <c r="CA71">
        <v>51700</v>
      </c>
      <c r="CB71">
        <f t="shared" si="148"/>
        <v>7238.0000000000009</v>
      </c>
      <c r="CC71">
        <f t="shared" si="149"/>
        <v>6204</v>
      </c>
      <c r="CD71">
        <v>400</v>
      </c>
      <c r="CE71">
        <v>500</v>
      </c>
      <c r="CF71">
        <f t="shared" si="150"/>
        <v>66042</v>
      </c>
      <c r="CG71">
        <v>4000</v>
      </c>
      <c r="CH71">
        <v>0</v>
      </c>
      <c r="CI71">
        <f t="shared" si="151"/>
        <v>200</v>
      </c>
      <c r="CJ71">
        <f t="shared" si="152"/>
        <v>61842</v>
      </c>
      <c r="CK71">
        <v>51700</v>
      </c>
      <c r="CL71">
        <f t="shared" si="153"/>
        <v>7238.0000000000009</v>
      </c>
      <c r="CM71">
        <f t="shared" si="154"/>
        <v>6204</v>
      </c>
      <c r="CN71">
        <v>400</v>
      </c>
      <c r="CO71">
        <v>500</v>
      </c>
      <c r="CP71">
        <f t="shared" si="155"/>
        <v>66042</v>
      </c>
      <c r="CQ71">
        <v>4000</v>
      </c>
      <c r="CR71">
        <v>0</v>
      </c>
      <c r="CS71">
        <f t="shared" si="156"/>
        <v>200</v>
      </c>
      <c r="CT71">
        <f t="shared" si="157"/>
        <v>61842</v>
      </c>
      <c r="CU71">
        <v>51700</v>
      </c>
      <c r="CV71">
        <f t="shared" si="158"/>
        <v>7238</v>
      </c>
      <c r="CW71">
        <f t="shared" si="159"/>
        <v>6204</v>
      </c>
      <c r="CX71">
        <v>400</v>
      </c>
      <c r="CY71">
        <v>500</v>
      </c>
      <c r="CZ71">
        <f t="shared" si="160"/>
        <v>66042</v>
      </c>
      <c r="DA71">
        <v>4000</v>
      </c>
      <c r="DB71">
        <v>0</v>
      </c>
      <c r="DC71">
        <f t="shared" si="161"/>
        <v>200</v>
      </c>
      <c r="DD71">
        <f t="shared" si="162"/>
        <v>61842</v>
      </c>
      <c r="DE71">
        <v>51700</v>
      </c>
      <c r="DF71">
        <f t="shared" si="163"/>
        <v>7238.0000000000009</v>
      </c>
      <c r="DG71">
        <f t="shared" si="164"/>
        <v>6204</v>
      </c>
      <c r="DH71">
        <v>400</v>
      </c>
      <c r="DI71">
        <v>500</v>
      </c>
      <c r="DJ71">
        <f t="shared" si="165"/>
        <v>66042</v>
      </c>
      <c r="DK71">
        <v>4000</v>
      </c>
      <c r="DL71">
        <v>0</v>
      </c>
      <c r="DM71">
        <f t="shared" si="166"/>
        <v>200</v>
      </c>
      <c r="DN71">
        <f t="shared" si="167"/>
        <v>61842</v>
      </c>
      <c r="DO71">
        <v>51700</v>
      </c>
      <c r="DP71">
        <f t="shared" si="168"/>
        <v>7238.0000000000009</v>
      </c>
      <c r="DQ71">
        <f t="shared" si="169"/>
        <v>6204</v>
      </c>
      <c r="DR71">
        <v>400</v>
      </c>
      <c r="DS71">
        <v>500</v>
      </c>
      <c r="DT71">
        <f t="shared" si="170"/>
        <v>66042</v>
      </c>
      <c r="DU71">
        <v>4000</v>
      </c>
      <c r="DV71">
        <v>0</v>
      </c>
      <c r="DW71">
        <f t="shared" si="171"/>
        <v>200</v>
      </c>
      <c r="DX71">
        <f t="shared" si="172"/>
        <v>61842</v>
      </c>
      <c r="DY71">
        <f t="shared" si="173"/>
        <v>782936</v>
      </c>
      <c r="DZ71">
        <f t="shared" si="105"/>
        <v>2400</v>
      </c>
      <c r="EA71">
        <f t="shared" si="106"/>
        <v>50000</v>
      </c>
      <c r="EB71">
        <v>0</v>
      </c>
      <c r="EC71">
        <f t="shared" si="107"/>
        <v>730536</v>
      </c>
      <c r="ED71">
        <f t="shared" si="108"/>
        <v>48000</v>
      </c>
      <c r="EE71">
        <f t="shared" si="109"/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f t="shared" si="110"/>
        <v>48000</v>
      </c>
      <c r="EQ71">
        <f t="shared" si="174"/>
        <v>48000</v>
      </c>
      <c r="ER71">
        <f t="shared" si="111"/>
        <v>682536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f t="shared" si="175"/>
        <v>0</v>
      </c>
      <c r="FA71">
        <f t="shared" si="176"/>
        <v>682536</v>
      </c>
      <c r="FB71">
        <f t="shared" si="177"/>
        <v>12500</v>
      </c>
      <c r="FC71">
        <f t="shared" si="178"/>
        <v>36507</v>
      </c>
      <c r="FD71">
        <f t="shared" si="179"/>
        <v>49007</v>
      </c>
      <c r="FE71">
        <f t="shared" si="180"/>
        <v>49007</v>
      </c>
      <c r="FF71">
        <f t="shared" si="181"/>
        <v>1960.28</v>
      </c>
      <c r="FG71">
        <f t="shared" si="182"/>
        <v>50967</v>
      </c>
      <c r="FH71">
        <v>0</v>
      </c>
      <c r="FI71">
        <f t="shared" si="183"/>
        <v>50967</v>
      </c>
      <c r="FJ71" t="b">
        <f t="shared" si="184"/>
        <v>1</v>
      </c>
      <c r="FK71">
        <f t="shared" ca="1" si="185"/>
        <v>665</v>
      </c>
      <c r="FL71">
        <f t="shared" ca="1" si="186"/>
        <v>783601</v>
      </c>
      <c r="FM71">
        <f t="shared" si="187"/>
        <v>75000</v>
      </c>
      <c r="FN71">
        <f t="shared" ca="1" si="188"/>
        <v>708601</v>
      </c>
      <c r="FO71">
        <f t="shared" ca="1" si="189"/>
        <v>0</v>
      </c>
      <c r="FP71">
        <f t="shared" ca="1" si="190"/>
        <v>0</v>
      </c>
      <c r="FQ71">
        <f t="shared" ca="1" si="191"/>
        <v>0</v>
      </c>
      <c r="FR71">
        <f t="shared" ca="1" si="192"/>
        <v>0</v>
      </c>
      <c r="FS71">
        <f t="shared" ca="1" si="193"/>
        <v>0</v>
      </c>
      <c r="FT71">
        <f t="shared" ca="1" si="194"/>
        <v>0</v>
      </c>
      <c r="FU71">
        <f t="shared" ca="1" si="195"/>
        <v>8601</v>
      </c>
      <c r="FV71">
        <f t="shared" ca="1" si="196"/>
        <v>860.1</v>
      </c>
      <c r="FW71">
        <f t="shared" ca="1" si="197"/>
        <v>400000</v>
      </c>
      <c r="FX71">
        <f t="shared" ca="1" si="198"/>
        <v>20000</v>
      </c>
      <c r="FY71">
        <f t="shared" ca="1" si="199"/>
        <v>20860</v>
      </c>
      <c r="FZ71">
        <f t="shared" ca="1" si="200"/>
        <v>708601</v>
      </c>
      <c r="GA71">
        <f t="shared" ca="1" si="201"/>
        <v>8601</v>
      </c>
      <c r="GB71">
        <f t="shared" ca="1" si="202"/>
        <v>0</v>
      </c>
      <c r="GC71">
        <f t="shared" ca="1" si="203"/>
        <v>12259</v>
      </c>
      <c r="GD71" t="b">
        <f t="shared" ca="1" si="204"/>
        <v>1</v>
      </c>
      <c r="GE71">
        <f t="shared" ca="1" si="205"/>
        <v>12259</v>
      </c>
      <c r="GF71">
        <f t="shared" ca="1" si="206"/>
        <v>12259</v>
      </c>
      <c r="GG71">
        <f t="shared" ca="1" si="207"/>
        <v>8601</v>
      </c>
      <c r="GH71">
        <f t="shared" ca="1" si="208"/>
        <v>344.04</v>
      </c>
      <c r="GI71">
        <f t="shared" ca="1" si="209"/>
        <v>8946</v>
      </c>
    </row>
    <row r="72" spans="1:191" x14ac:dyDescent="0.25">
      <c r="A72">
        <f>_xlfn.AGGREGATE(3,5,$B$2:B72)</f>
        <v>71</v>
      </c>
      <c r="B72" t="s">
        <v>264</v>
      </c>
      <c r="C72" t="s">
        <v>265</v>
      </c>
      <c r="D72" t="s">
        <v>780</v>
      </c>
      <c r="E72" t="s">
        <v>843</v>
      </c>
      <c r="F72">
        <v>0</v>
      </c>
      <c r="G72">
        <v>6000</v>
      </c>
      <c r="H72">
        <v>32500</v>
      </c>
      <c r="I72">
        <f t="shared" si="112"/>
        <v>3250</v>
      </c>
      <c r="J72">
        <f t="shared" si="113"/>
        <v>3900</v>
      </c>
      <c r="K72">
        <v>0</v>
      </c>
      <c r="L72">
        <v>500</v>
      </c>
      <c r="M72">
        <f t="shared" si="114"/>
        <v>40150</v>
      </c>
      <c r="N72">
        <v>2000</v>
      </c>
      <c r="O72">
        <v>0</v>
      </c>
      <c r="P72">
        <f t="shared" si="115"/>
        <v>200</v>
      </c>
      <c r="Q72">
        <f t="shared" si="116"/>
        <v>37950</v>
      </c>
      <c r="R72">
        <v>32500</v>
      </c>
      <c r="S72">
        <f t="shared" si="117"/>
        <v>3250</v>
      </c>
      <c r="T72">
        <f t="shared" si="118"/>
        <v>3900</v>
      </c>
      <c r="U72">
        <v>0</v>
      </c>
      <c r="V72">
        <v>500</v>
      </c>
      <c r="W72">
        <f t="shared" si="119"/>
        <v>40150</v>
      </c>
      <c r="X72">
        <v>2000</v>
      </c>
      <c r="Y72">
        <v>0</v>
      </c>
      <c r="Z72">
        <f t="shared" si="120"/>
        <v>200</v>
      </c>
      <c r="AA72">
        <f t="shared" si="121"/>
        <v>37950</v>
      </c>
      <c r="AB72">
        <v>32500</v>
      </c>
      <c r="AC72">
        <f t="shared" si="122"/>
        <v>4550</v>
      </c>
      <c r="AD72">
        <f t="shared" si="123"/>
        <v>3900</v>
      </c>
      <c r="AE72">
        <v>0</v>
      </c>
      <c r="AF72">
        <v>500</v>
      </c>
      <c r="AG72">
        <f t="shared" si="124"/>
        <v>41450</v>
      </c>
      <c r="AH72">
        <v>2000</v>
      </c>
      <c r="AI72">
        <v>0</v>
      </c>
      <c r="AJ72">
        <f t="shared" si="125"/>
        <v>200</v>
      </c>
      <c r="AK72">
        <f t="shared" si="126"/>
        <v>39250</v>
      </c>
      <c r="AL72">
        <v>32500</v>
      </c>
      <c r="AM72">
        <f t="shared" si="127"/>
        <v>4550</v>
      </c>
      <c r="AN72">
        <f t="shared" si="128"/>
        <v>3900</v>
      </c>
      <c r="AO72">
        <v>0</v>
      </c>
      <c r="AP72">
        <v>500</v>
      </c>
      <c r="AQ72">
        <f t="shared" si="129"/>
        <v>41450</v>
      </c>
      <c r="AR72">
        <v>2000</v>
      </c>
      <c r="AS72">
        <v>0</v>
      </c>
      <c r="AT72">
        <f t="shared" si="130"/>
        <v>200</v>
      </c>
      <c r="AU72">
        <f t="shared" si="131"/>
        <v>39250</v>
      </c>
      <c r="AV72">
        <v>33500</v>
      </c>
      <c r="AW72">
        <f t="shared" si="132"/>
        <v>4690</v>
      </c>
      <c r="AX72">
        <f t="shared" si="133"/>
        <v>1300</v>
      </c>
      <c r="AY72">
        <f t="shared" si="134"/>
        <v>4020</v>
      </c>
      <c r="AZ72">
        <v>0</v>
      </c>
      <c r="BA72">
        <v>500</v>
      </c>
      <c r="BB72">
        <f t="shared" si="135"/>
        <v>44010</v>
      </c>
      <c r="BC72">
        <v>2500</v>
      </c>
      <c r="BD72">
        <v>0</v>
      </c>
      <c r="BE72">
        <f t="shared" si="136"/>
        <v>200</v>
      </c>
      <c r="BF72">
        <f t="shared" si="137"/>
        <v>41310</v>
      </c>
      <c r="BG72">
        <v>33500</v>
      </c>
      <c r="BH72">
        <f t="shared" si="138"/>
        <v>4690</v>
      </c>
      <c r="BI72">
        <f t="shared" si="139"/>
        <v>4020</v>
      </c>
      <c r="BJ72">
        <v>0</v>
      </c>
      <c r="BK72">
        <v>500</v>
      </c>
      <c r="BL72">
        <f t="shared" si="140"/>
        <v>42710</v>
      </c>
      <c r="BM72">
        <v>2500</v>
      </c>
      <c r="BN72">
        <v>0</v>
      </c>
      <c r="BO72">
        <f t="shared" si="141"/>
        <v>200</v>
      </c>
      <c r="BP72">
        <f t="shared" si="142"/>
        <v>40010</v>
      </c>
      <c r="BQ72">
        <v>33500</v>
      </c>
      <c r="BR72">
        <f t="shared" si="143"/>
        <v>4690</v>
      </c>
      <c r="BS72">
        <f t="shared" si="144"/>
        <v>4020</v>
      </c>
      <c r="BT72">
        <v>0</v>
      </c>
      <c r="BU72">
        <v>500</v>
      </c>
      <c r="BV72">
        <f t="shared" si="145"/>
        <v>42710</v>
      </c>
      <c r="BW72">
        <v>2500</v>
      </c>
      <c r="BX72">
        <v>0</v>
      </c>
      <c r="BY72">
        <f t="shared" si="146"/>
        <v>200</v>
      </c>
      <c r="BZ72">
        <f t="shared" si="147"/>
        <v>40010</v>
      </c>
      <c r="CA72">
        <v>33500</v>
      </c>
      <c r="CB72">
        <f t="shared" si="148"/>
        <v>4690</v>
      </c>
      <c r="CC72">
        <f t="shared" si="149"/>
        <v>4020</v>
      </c>
      <c r="CD72">
        <v>0</v>
      </c>
      <c r="CE72">
        <v>500</v>
      </c>
      <c r="CF72">
        <f t="shared" si="150"/>
        <v>42710</v>
      </c>
      <c r="CG72">
        <v>2500</v>
      </c>
      <c r="CH72">
        <v>0</v>
      </c>
      <c r="CI72">
        <f t="shared" si="151"/>
        <v>200</v>
      </c>
      <c r="CJ72">
        <f t="shared" si="152"/>
        <v>40010</v>
      </c>
      <c r="CK72">
        <v>33500</v>
      </c>
      <c r="CL72">
        <f t="shared" si="153"/>
        <v>4690</v>
      </c>
      <c r="CM72">
        <f t="shared" si="154"/>
        <v>4020</v>
      </c>
      <c r="CN72">
        <v>0</v>
      </c>
      <c r="CO72">
        <v>500</v>
      </c>
      <c r="CP72">
        <f t="shared" si="155"/>
        <v>42710</v>
      </c>
      <c r="CQ72">
        <v>2500</v>
      </c>
      <c r="CR72">
        <v>0</v>
      </c>
      <c r="CS72">
        <f t="shared" si="156"/>
        <v>200</v>
      </c>
      <c r="CT72">
        <f t="shared" si="157"/>
        <v>40010</v>
      </c>
      <c r="CU72">
        <v>33597</v>
      </c>
      <c r="CV72">
        <f t="shared" si="158"/>
        <v>4704</v>
      </c>
      <c r="CW72">
        <f t="shared" si="159"/>
        <v>4032</v>
      </c>
      <c r="CX72">
        <v>0</v>
      </c>
      <c r="CY72">
        <v>500</v>
      </c>
      <c r="CZ72">
        <f t="shared" si="160"/>
        <v>42833</v>
      </c>
      <c r="DA72">
        <v>2500</v>
      </c>
      <c r="DB72">
        <v>0</v>
      </c>
      <c r="DC72">
        <f t="shared" si="161"/>
        <v>200</v>
      </c>
      <c r="DD72">
        <f t="shared" si="162"/>
        <v>40133</v>
      </c>
      <c r="DE72">
        <v>34500</v>
      </c>
      <c r="DF72">
        <f t="shared" si="163"/>
        <v>4830.0000000000009</v>
      </c>
      <c r="DG72">
        <f t="shared" si="164"/>
        <v>4140</v>
      </c>
      <c r="DH72">
        <v>0</v>
      </c>
      <c r="DI72">
        <v>500</v>
      </c>
      <c r="DJ72">
        <f t="shared" si="165"/>
        <v>43970</v>
      </c>
      <c r="DK72">
        <v>2500</v>
      </c>
      <c r="DL72">
        <v>0</v>
      </c>
      <c r="DM72">
        <f t="shared" si="166"/>
        <v>200</v>
      </c>
      <c r="DN72">
        <f t="shared" si="167"/>
        <v>41270</v>
      </c>
      <c r="DO72">
        <v>34500</v>
      </c>
      <c r="DP72">
        <f t="shared" si="168"/>
        <v>4830.0000000000009</v>
      </c>
      <c r="DQ72">
        <f t="shared" si="169"/>
        <v>4140</v>
      </c>
      <c r="DR72">
        <v>0</v>
      </c>
      <c r="DS72">
        <v>500</v>
      </c>
      <c r="DT72">
        <f t="shared" si="170"/>
        <v>43970</v>
      </c>
      <c r="DU72">
        <v>2500</v>
      </c>
      <c r="DV72">
        <v>0</v>
      </c>
      <c r="DW72">
        <f t="shared" si="171"/>
        <v>200</v>
      </c>
      <c r="DX72">
        <f t="shared" si="172"/>
        <v>41270</v>
      </c>
      <c r="DY72">
        <f t="shared" si="173"/>
        <v>514823</v>
      </c>
      <c r="DZ72">
        <f t="shared" si="105"/>
        <v>2400</v>
      </c>
      <c r="EA72">
        <f t="shared" si="106"/>
        <v>50000</v>
      </c>
      <c r="EB72">
        <v>0</v>
      </c>
      <c r="EC72">
        <f t="shared" si="107"/>
        <v>462423</v>
      </c>
      <c r="ED72">
        <f t="shared" si="108"/>
        <v>28000</v>
      </c>
      <c r="EE72">
        <f t="shared" si="109"/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f t="shared" si="110"/>
        <v>28000</v>
      </c>
      <c r="EQ72">
        <f t="shared" si="174"/>
        <v>28000</v>
      </c>
      <c r="ER72">
        <f t="shared" si="111"/>
        <v>434423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f t="shared" si="175"/>
        <v>0</v>
      </c>
      <c r="FA72">
        <f t="shared" si="176"/>
        <v>434423</v>
      </c>
      <c r="FB72">
        <f t="shared" si="177"/>
        <v>9221</v>
      </c>
      <c r="FC72">
        <f t="shared" si="178"/>
        <v>0</v>
      </c>
      <c r="FD72">
        <f t="shared" si="179"/>
        <v>9221</v>
      </c>
      <c r="FE72">
        <f t="shared" si="180"/>
        <v>0</v>
      </c>
      <c r="FF72">
        <f t="shared" si="181"/>
        <v>0</v>
      </c>
      <c r="FG72">
        <f t="shared" si="182"/>
        <v>0</v>
      </c>
      <c r="FH72">
        <v>0</v>
      </c>
      <c r="FI72">
        <f t="shared" si="183"/>
        <v>0</v>
      </c>
      <c r="FJ72" t="b">
        <f t="shared" si="184"/>
        <v>1</v>
      </c>
      <c r="FK72">
        <f t="shared" ca="1" si="185"/>
        <v>866</v>
      </c>
      <c r="FL72">
        <f t="shared" ca="1" si="186"/>
        <v>515689</v>
      </c>
      <c r="FM72">
        <f t="shared" si="187"/>
        <v>75000</v>
      </c>
      <c r="FN72">
        <f t="shared" ca="1" si="188"/>
        <v>440689</v>
      </c>
      <c r="FO72">
        <f t="shared" ca="1" si="189"/>
        <v>0</v>
      </c>
      <c r="FP72">
        <f t="shared" ca="1" si="190"/>
        <v>0</v>
      </c>
      <c r="FQ72">
        <f t="shared" ca="1" si="191"/>
        <v>0</v>
      </c>
      <c r="FR72">
        <f t="shared" ca="1" si="192"/>
        <v>0</v>
      </c>
      <c r="FS72">
        <f t="shared" ca="1" si="193"/>
        <v>0</v>
      </c>
      <c r="FT72">
        <f t="shared" ca="1" si="194"/>
        <v>0</v>
      </c>
      <c r="FU72">
        <f t="shared" ca="1" si="195"/>
        <v>0</v>
      </c>
      <c r="FV72">
        <f t="shared" ca="1" si="196"/>
        <v>0</v>
      </c>
      <c r="FW72">
        <f t="shared" ca="1" si="197"/>
        <v>140689</v>
      </c>
      <c r="FX72">
        <f t="shared" ca="1" si="198"/>
        <v>7034.4500000000007</v>
      </c>
      <c r="FY72">
        <f t="shared" ca="1" si="199"/>
        <v>7034</v>
      </c>
      <c r="FZ72">
        <f t="shared" ca="1" si="200"/>
        <v>0</v>
      </c>
      <c r="GA72">
        <f t="shared" ca="1" si="201"/>
        <v>0</v>
      </c>
      <c r="GB72">
        <f t="shared" ca="1" si="202"/>
        <v>7034</v>
      </c>
      <c r="GC72">
        <f t="shared" ca="1" si="203"/>
        <v>0</v>
      </c>
      <c r="GD72" t="b">
        <f t="shared" ca="1" si="204"/>
        <v>0</v>
      </c>
      <c r="GE72">
        <f t="shared" ca="1" si="205"/>
        <v>0</v>
      </c>
      <c r="GF72">
        <f t="shared" ca="1" si="206"/>
        <v>7034</v>
      </c>
      <c r="GG72">
        <f t="shared" ca="1" si="207"/>
        <v>0</v>
      </c>
      <c r="GH72">
        <f t="shared" ca="1" si="208"/>
        <v>0</v>
      </c>
      <c r="GI72">
        <f t="shared" ca="1" si="209"/>
        <v>0</v>
      </c>
    </row>
    <row r="73" spans="1:191" x14ac:dyDescent="0.25">
      <c r="A73">
        <f>_xlfn.AGGREGATE(3,5,$B$2:B73)</f>
        <v>72</v>
      </c>
      <c r="B73" t="s">
        <v>266</v>
      </c>
      <c r="C73" t="s">
        <v>267</v>
      </c>
      <c r="D73" t="s">
        <v>780</v>
      </c>
      <c r="E73" t="s">
        <v>843</v>
      </c>
      <c r="F73">
        <v>0</v>
      </c>
      <c r="G73">
        <v>6000</v>
      </c>
      <c r="H73">
        <v>32500</v>
      </c>
      <c r="I73">
        <f t="shared" si="112"/>
        <v>3250</v>
      </c>
      <c r="J73">
        <f t="shared" si="113"/>
        <v>3900</v>
      </c>
      <c r="K73">
        <v>0</v>
      </c>
      <c r="L73">
        <v>500</v>
      </c>
      <c r="M73">
        <f t="shared" si="114"/>
        <v>40150</v>
      </c>
      <c r="N73">
        <v>2000</v>
      </c>
      <c r="O73">
        <v>0</v>
      </c>
      <c r="P73">
        <f t="shared" si="115"/>
        <v>200</v>
      </c>
      <c r="Q73">
        <f t="shared" si="116"/>
        <v>37950</v>
      </c>
      <c r="R73">
        <v>32500</v>
      </c>
      <c r="S73">
        <f t="shared" si="117"/>
        <v>3250</v>
      </c>
      <c r="T73">
        <f t="shared" si="118"/>
        <v>3900</v>
      </c>
      <c r="U73">
        <v>0</v>
      </c>
      <c r="V73">
        <v>500</v>
      </c>
      <c r="W73">
        <f t="shared" si="119"/>
        <v>40150</v>
      </c>
      <c r="X73">
        <v>2000</v>
      </c>
      <c r="Y73">
        <v>0</v>
      </c>
      <c r="Z73">
        <f t="shared" si="120"/>
        <v>200</v>
      </c>
      <c r="AA73">
        <f t="shared" si="121"/>
        <v>37950</v>
      </c>
      <c r="AB73">
        <v>32500</v>
      </c>
      <c r="AC73">
        <f t="shared" si="122"/>
        <v>4550</v>
      </c>
      <c r="AD73">
        <f t="shared" si="123"/>
        <v>3900</v>
      </c>
      <c r="AE73">
        <v>0</v>
      </c>
      <c r="AF73">
        <v>500</v>
      </c>
      <c r="AG73">
        <f t="shared" si="124"/>
        <v>41450</v>
      </c>
      <c r="AH73">
        <v>2000</v>
      </c>
      <c r="AI73">
        <v>0</v>
      </c>
      <c r="AJ73">
        <f t="shared" si="125"/>
        <v>200</v>
      </c>
      <c r="AK73">
        <f t="shared" si="126"/>
        <v>39250</v>
      </c>
      <c r="AL73">
        <v>32500</v>
      </c>
      <c r="AM73">
        <f t="shared" si="127"/>
        <v>4550</v>
      </c>
      <c r="AN73">
        <f t="shared" si="128"/>
        <v>3900</v>
      </c>
      <c r="AO73">
        <v>0</v>
      </c>
      <c r="AP73">
        <v>500</v>
      </c>
      <c r="AQ73">
        <f t="shared" si="129"/>
        <v>41450</v>
      </c>
      <c r="AR73">
        <v>2000</v>
      </c>
      <c r="AS73">
        <v>0</v>
      </c>
      <c r="AT73">
        <f t="shared" si="130"/>
        <v>200</v>
      </c>
      <c r="AU73">
        <f t="shared" si="131"/>
        <v>39250</v>
      </c>
      <c r="AV73">
        <v>33500</v>
      </c>
      <c r="AW73">
        <f t="shared" si="132"/>
        <v>4690</v>
      </c>
      <c r="AX73">
        <f t="shared" si="133"/>
        <v>1300</v>
      </c>
      <c r="AY73">
        <f t="shared" si="134"/>
        <v>4020</v>
      </c>
      <c r="AZ73">
        <v>0</v>
      </c>
      <c r="BA73">
        <v>500</v>
      </c>
      <c r="BB73">
        <f t="shared" si="135"/>
        <v>44010</v>
      </c>
      <c r="BC73">
        <v>2500</v>
      </c>
      <c r="BD73">
        <v>0</v>
      </c>
      <c r="BE73">
        <f t="shared" si="136"/>
        <v>200</v>
      </c>
      <c r="BF73">
        <f t="shared" si="137"/>
        <v>41310</v>
      </c>
      <c r="BG73">
        <v>33500</v>
      </c>
      <c r="BH73">
        <f t="shared" si="138"/>
        <v>4690</v>
      </c>
      <c r="BI73">
        <f t="shared" si="139"/>
        <v>4020</v>
      </c>
      <c r="BJ73">
        <v>0</v>
      </c>
      <c r="BK73">
        <v>500</v>
      </c>
      <c r="BL73">
        <f t="shared" si="140"/>
        <v>42710</v>
      </c>
      <c r="BM73">
        <v>2500</v>
      </c>
      <c r="BN73">
        <v>0</v>
      </c>
      <c r="BO73">
        <f t="shared" si="141"/>
        <v>200</v>
      </c>
      <c r="BP73">
        <f t="shared" si="142"/>
        <v>40010</v>
      </c>
      <c r="BQ73">
        <v>33500</v>
      </c>
      <c r="BR73">
        <f t="shared" si="143"/>
        <v>4690</v>
      </c>
      <c r="BS73">
        <f t="shared" si="144"/>
        <v>4020</v>
      </c>
      <c r="BT73">
        <v>0</v>
      </c>
      <c r="BU73">
        <v>500</v>
      </c>
      <c r="BV73">
        <f t="shared" si="145"/>
        <v>42710</v>
      </c>
      <c r="BW73">
        <v>2500</v>
      </c>
      <c r="BX73">
        <v>0</v>
      </c>
      <c r="BY73">
        <f t="shared" si="146"/>
        <v>200</v>
      </c>
      <c r="BZ73">
        <f t="shared" si="147"/>
        <v>40010</v>
      </c>
      <c r="CA73">
        <v>33500</v>
      </c>
      <c r="CB73">
        <f t="shared" si="148"/>
        <v>4690</v>
      </c>
      <c r="CC73">
        <f t="shared" si="149"/>
        <v>4020</v>
      </c>
      <c r="CD73">
        <v>0</v>
      </c>
      <c r="CE73">
        <v>500</v>
      </c>
      <c r="CF73">
        <f t="shared" si="150"/>
        <v>42710</v>
      </c>
      <c r="CG73">
        <v>2500</v>
      </c>
      <c r="CH73">
        <v>0</v>
      </c>
      <c r="CI73">
        <f t="shared" si="151"/>
        <v>200</v>
      </c>
      <c r="CJ73">
        <f t="shared" si="152"/>
        <v>40010</v>
      </c>
      <c r="CK73">
        <v>33500</v>
      </c>
      <c r="CL73">
        <f t="shared" si="153"/>
        <v>4690</v>
      </c>
      <c r="CM73">
        <f t="shared" si="154"/>
        <v>4020</v>
      </c>
      <c r="CN73">
        <v>0</v>
      </c>
      <c r="CO73">
        <v>500</v>
      </c>
      <c r="CP73">
        <f t="shared" si="155"/>
        <v>42710</v>
      </c>
      <c r="CQ73">
        <v>2500</v>
      </c>
      <c r="CR73">
        <v>0</v>
      </c>
      <c r="CS73">
        <f t="shared" si="156"/>
        <v>200</v>
      </c>
      <c r="CT73">
        <f t="shared" si="157"/>
        <v>40010</v>
      </c>
      <c r="CU73">
        <v>33500</v>
      </c>
      <c r="CV73">
        <f t="shared" si="158"/>
        <v>4690</v>
      </c>
      <c r="CW73">
        <f t="shared" si="159"/>
        <v>4020</v>
      </c>
      <c r="CX73">
        <v>0</v>
      </c>
      <c r="CY73">
        <v>500</v>
      </c>
      <c r="CZ73">
        <f t="shared" si="160"/>
        <v>42710</v>
      </c>
      <c r="DA73">
        <v>2500</v>
      </c>
      <c r="DB73">
        <v>0</v>
      </c>
      <c r="DC73">
        <f t="shared" si="161"/>
        <v>200</v>
      </c>
      <c r="DD73">
        <f t="shared" si="162"/>
        <v>40010</v>
      </c>
      <c r="DE73">
        <v>33500</v>
      </c>
      <c r="DF73">
        <f t="shared" si="163"/>
        <v>4690</v>
      </c>
      <c r="DG73">
        <f t="shared" si="164"/>
        <v>4020</v>
      </c>
      <c r="DH73">
        <v>0</v>
      </c>
      <c r="DI73">
        <v>500</v>
      </c>
      <c r="DJ73">
        <f t="shared" si="165"/>
        <v>42710</v>
      </c>
      <c r="DK73">
        <v>2500</v>
      </c>
      <c r="DL73">
        <v>0</v>
      </c>
      <c r="DM73">
        <f t="shared" si="166"/>
        <v>200</v>
      </c>
      <c r="DN73">
        <f t="shared" si="167"/>
        <v>40010</v>
      </c>
      <c r="DO73">
        <v>33500</v>
      </c>
      <c r="DP73">
        <f t="shared" si="168"/>
        <v>4690</v>
      </c>
      <c r="DQ73">
        <f t="shared" si="169"/>
        <v>4020</v>
      </c>
      <c r="DR73">
        <v>0</v>
      </c>
      <c r="DS73">
        <v>500</v>
      </c>
      <c r="DT73">
        <f t="shared" si="170"/>
        <v>42710</v>
      </c>
      <c r="DU73">
        <v>2500</v>
      </c>
      <c r="DV73">
        <v>0</v>
      </c>
      <c r="DW73">
        <f t="shared" si="171"/>
        <v>200</v>
      </c>
      <c r="DX73">
        <f t="shared" si="172"/>
        <v>40010</v>
      </c>
      <c r="DY73">
        <f t="shared" si="173"/>
        <v>512180</v>
      </c>
      <c r="DZ73">
        <f t="shared" si="105"/>
        <v>2400</v>
      </c>
      <c r="EA73">
        <f t="shared" si="106"/>
        <v>50000</v>
      </c>
      <c r="EB73">
        <v>0</v>
      </c>
      <c r="EC73">
        <f t="shared" si="107"/>
        <v>459780</v>
      </c>
      <c r="ED73">
        <f t="shared" si="108"/>
        <v>28000</v>
      </c>
      <c r="EE73">
        <f t="shared" si="109"/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f t="shared" si="110"/>
        <v>28000</v>
      </c>
      <c r="EQ73">
        <f t="shared" si="174"/>
        <v>28000</v>
      </c>
      <c r="ER73">
        <f t="shared" si="111"/>
        <v>431780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f t="shared" si="175"/>
        <v>0</v>
      </c>
      <c r="FA73">
        <f t="shared" si="176"/>
        <v>431780</v>
      </c>
      <c r="FB73">
        <f t="shared" si="177"/>
        <v>9089</v>
      </c>
      <c r="FC73">
        <f t="shared" si="178"/>
        <v>0</v>
      </c>
      <c r="FD73">
        <f t="shared" si="179"/>
        <v>9089</v>
      </c>
      <c r="FE73">
        <f t="shared" si="180"/>
        <v>0</v>
      </c>
      <c r="FF73">
        <f t="shared" si="181"/>
        <v>0</v>
      </c>
      <c r="FG73">
        <f t="shared" si="182"/>
        <v>0</v>
      </c>
      <c r="FH73">
        <v>0</v>
      </c>
      <c r="FI73">
        <f t="shared" si="183"/>
        <v>0</v>
      </c>
      <c r="FJ73" t="b">
        <f t="shared" si="184"/>
        <v>1</v>
      </c>
      <c r="FK73">
        <f t="shared" ca="1" si="185"/>
        <v>533</v>
      </c>
      <c r="FL73">
        <f t="shared" ca="1" si="186"/>
        <v>512713</v>
      </c>
      <c r="FM73">
        <f t="shared" si="187"/>
        <v>75000</v>
      </c>
      <c r="FN73">
        <f t="shared" ca="1" si="188"/>
        <v>437713</v>
      </c>
      <c r="FO73">
        <f t="shared" ca="1" si="189"/>
        <v>0</v>
      </c>
      <c r="FP73">
        <f t="shared" ca="1" si="190"/>
        <v>0</v>
      </c>
      <c r="FQ73">
        <f t="shared" ca="1" si="191"/>
        <v>0</v>
      </c>
      <c r="FR73">
        <f t="shared" ca="1" si="192"/>
        <v>0</v>
      </c>
      <c r="FS73">
        <f t="shared" ca="1" si="193"/>
        <v>0</v>
      </c>
      <c r="FT73">
        <f t="shared" ca="1" si="194"/>
        <v>0</v>
      </c>
      <c r="FU73">
        <f t="shared" ca="1" si="195"/>
        <v>0</v>
      </c>
      <c r="FV73">
        <f t="shared" ca="1" si="196"/>
        <v>0</v>
      </c>
      <c r="FW73">
        <f t="shared" ca="1" si="197"/>
        <v>137713</v>
      </c>
      <c r="FX73">
        <f t="shared" ca="1" si="198"/>
        <v>6885.6500000000005</v>
      </c>
      <c r="FY73">
        <f t="shared" ca="1" si="199"/>
        <v>6886</v>
      </c>
      <c r="FZ73">
        <f t="shared" ca="1" si="200"/>
        <v>0</v>
      </c>
      <c r="GA73">
        <f t="shared" ca="1" si="201"/>
        <v>0</v>
      </c>
      <c r="GB73">
        <f t="shared" ca="1" si="202"/>
        <v>6886</v>
      </c>
      <c r="GC73">
        <f t="shared" ca="1" si="203"/>
        <v>0</v>
      </c>
      <c r="GD73" t="b">
        <f t="shared" ca="1" si="204"/>
        <v>0</v>
      </c>
      <c r="GE73">
        <f t="shared" ca="1" si="205"/>
        <v>0</v>
      </c>
      <c r="GF73">
        <f t="shared" ca="1" si="206"/>
        <v>6886</v>
      </c>
      <c r="GG73">
        <f t="shared" ca="1" si="207"/>
        <v>0</v>
      </c>
      <c r="GH73">
        <f t="shared" ca="1" si="208"/>
        <v>0</v>
      </c>
      <c r="GI73">
        <f t="shared" ca="1" si="209"/>
        <v>0</v>
      </c>
    </row>
    <row r="74" spans="1:191" x14ac:dyDescent="0.25">
      <c r="A74">
        <f>_xlfn.AGGREGATE(3,5,$B$2:B74)</f>
        <v>73</v>
      </c>
      <c r="B74" t="s">
        <v>268</v>
      </c>
      <c r="C74" t="s">
        <v>269</v>
      </c>
      <c r="D74" t="s">
        <v>781</v>
      </c>
      <c r="E74" t="s">
        <v>844</v>
      </c>
      <c r="F74">
        <v>0</v>
      </c>
      <c r="G74">
        <v>0</v>
      </c>
      <c r="H74">
        <v>47300</v>
      </c>
      <c r="I74">
        <f t="shared" si="112"/>
        <v>4730</v>
      </c>
      <c r="J74">
        <f t="shared" si="113"/>
        <v>5676</v>
      </c>
      <c r="K74">
        <v>400</v>
      </c>
      <c r="L74">
        <v>500</v>
      </c>
      <c r="M74">
        <f t="shared" si="114"/>
        <v>58606</v>
      </c>
      <c r="N74">
        <v>6000</v>
      </c>
      <c r="O74">
        <v>0</v>
      </c>
      <c r="P74">
        <f t="shared" si="115"/>
        <v>200</v>
      </c>
      <c r="Q74">
        <f t="shared" si="116"/>
        <v>52406</v>
      </c>
      <c r="R74">
        <v>47300</v>
      </c>
      <c r="S74">
        <f t="shared" si="117"/>
        <v>4730</v>
      </c>
      <c r="T74">
        <f t="shared" si="118"/>
        <v>5676</v>
      </c>
      <c r="U74">
        <v>400</v>
      </c>
      <c r="V74">
        <v>500</v>
      </c>
      <c r="W74">
        <f t="shared" si="119"/>
        <v>58606</v>
      </c>
      <c r="X74">
        <v>6000</v>
      </c>
      <c r="Y74">
        <v>0</v>
      </c>
      <c r="Z74">
        <f t="shared" si="120"/>
        <v>200</v>
      </c>
      <c r="AA74">
        <f t="shared" si="121"/>
        <v>52406</v>
      </c>
      <c r="AB74">
        <v>47300</v>
      </c>
      <c r="AC74">
        <f t="shared" si="122"/>
        <v>6622.0000000000009</v>
      </c>
      <c r="AD74">
        <f t="shared" si="123"/>
        <v>5676</v>
      </c>
      <c r="AE74">
        <v>400</v>
      </c>
      <c r="AF74">
        <v>500</v>
      </c>
      <c r="AG74">
        <f t="shared" si="124"/>
        <v>60498</v>
      </c>
      <c r="AH74">
        <v>6000</v>
      </c>
      <c r="AI74">
        <v>0</v>
      </c>
      <c r="AJ74">
        <f t="shared" si="125"/>
        <v>200</v>
      </c>
      <c r="AK74">
        <f t="shared" si="126"/>
        <v>54298</v>
      </c>
      <c r="AL74">
        <v>47300</v>
      </c>
      <c r="AM74">
        <f t="shared" si="127"/>
        <v>6622.0000000000009</v>
      </c>
      <c r="AN74">
        <f t="shared" si="128"/>
        <v>5676</v>
      </c>
      <c r="AO74">
        <v>400</v>
      </c>
      <c r="AP74">
        <v>500</v>
      </c>
      <c r="AQ74">
        <f t="shared" si="129"/>
        <v>60498</v>
      </c>
      <c r="AR74">
        <v>6000</v>
      </c>
      <c r="AS74">
        <v>0</v>
      </c>
      <c r="AT74">
        <f t="shared" si="130"/>
        <v>200</v>
      </c>
      <c r="AU74">
        <f t="shared" si="131"/>
        <v>54298</v>
      </c>
      <c r="AV74">
        <v>48700</v>
      </c>
      <c r="AW74">
        <f t="shared" si="132"/>
        <v>6818.0000000000009</v>
      </c>
      <c r="AX74">
        <f t="shared" si="133"/>
        <v>1892</v>
      </c>
      <c r="AY74">
        <f t="shared" si="134"/>
        <v>5844</v>
      </c>
      <c r="AZ74">
        <v>400</v>
      </c>
      <c r="BA74">
        <v>500</v>
      </c>
      <c r="BB74">
        <f t="shared" si="135"/>
        <v>64154</v>
      </c>
      <c r="BC74">
        <v>6000</v>
      </c>
      <c r="BD74">
        <v>0</v>
      </c>
      <c r="BE74">
        <f t="shared" si="136"/>
        <v>200</v>
      </c>
      <c r="BF74">
        <f t="shared" si="137"/>
        <v>57954</v>
      </c>
      <c r="BG74">
        <v>48700</v>
      </c>
      <c r="BH74">
        <f t="shared" si="138"/>
        <v>6818.0000000000009</v>
      </c>
      <c r="BI74">
        <f t="shared" si="139"/>
        <v>5844</v>
      </c>
      <c r="BJ74">
        <v>400</v>
      </c>
      <c r="BK74">
        <v>500</v>
      </c>
      <c r="BL74">
        <f t="shared" si="140"/>
        <v>62262</v>
      </c>
      <c r="BM74">
        <v>6000</v>
      </c>
      <c r="BN74">
        <v>0</v>
      </c>
      <c r="BO74">
        <f t="shared" si="141"/>
        <v>200</v>
      </c>
      <c r="BP74">
        <f t="shared" si="142"/>
        <v>56062</v>
      </c>
      <c r="BQ74">
        <v>48700</v>
      </c>
      <c r="BR74">
        <f t="shared" si="143"/>
        <v>6818.0000000000009</v>
      </c>
      <c r="BS74">
        <f t="shared" si="144"/>
        <v>5844</v>
      </c>
      <c r="BT74">
        <v>400</v>
      </c>
      <c r="BU74">
        <v>500</v>
      </c>
      <c r="BV74">
        <f t="shared" si="145"/>
        <v>62262</v>
      </c>
      <c r="BW74">
        <v>6000</v>
      </c>
      <c r="BX74">
        <v>0</v>
      </c>
      <c r="BY74">
        <f t="shared" si="146"/>
        <v>200</v>
      </c>
      <c r="BZ74">
        <f t="shared" si="147"/>
        <v>56062</v>
      </c>
      <c r="CA74">
        <v>48700</v>
      </c>
      <c r="CB74">
        <f t="shared" si="148"/>
        <v>6818.0000000000009</v>
      </c>
      <c r="CC74">
        <f t="shared" si="149"/>
        <v>5844</v>
      </c>
      <c r="CD74">
        <v>400</v>
      </c>
      <c r="CE74">
        <v>500</v>
      </c>
      <c r="CF74">
        <f t="shared" si="150"/>
        <v>62262</v>
      </c>
      <c r="CG74">
        <v>6000</v>
      </c>
      <c r="CH74">
        <v>0</v>
      </c>
      <c r="CI74">
        <f t="shared" si="151"/>
        <v>200</v>
      </c>
      <c r="CJ74">
        <f t="shared" si="152"/>
        <v>56062</v>
      </c>
      <c r="CK74">
        <v>48700</v>
      </c>
      <c r="CL74">
        <f t="shared" si="153"/>
        <v>6818.0000000000009</v>
      </c>
      <c r="CM74">
        <f t="shared" si="154"/>
        <v>5844</v>
      </c>
      <c r="CN74">
        <v>400</v>
      </c>
      <c r="CO74">
        <v>500</v>
      </c>
      <c r="CP74">
        <f t="shared" si="155"/>
        <v>62262</v>
      </c>
      <c r="CQ74">
        <v>6000</v>
      </c>
      <c r="CR74">
        <v>0</v>
      </c>
      <c r="CS74">
        <f t="shared" si="156"/>
        <v>200</v>
      </c>
      <c r="CT74">
        <f t="shared" si="157"/>
        <v>56062</v>
      </c>
      <c r="CU74">
        <v>48700</v>
      </c>
      <c r="CV74">
        <f t="shared" si="158"/>
        <v>6818</v>
      </c>
      <c r="CW74">
        <f t="shared" si="159"/>
        <v>5844</v>
      </c>
      <c r="CX74">
        <v>400</v>
      </c>
      <c r="CY74">
        <v>500</v>
      </c>
      <c r="CZ74">
        <f t="shared" si="160"/>
        <v>62262</v>
      </c>
      <c r="DA74">
        <v>6000</v>
      </c>
      <c r="DB74">
        <v>0</v>
      </c>
      <c r="DC74">
        <f t="shared" si="161"/>
        <v>200</v>
      </c>
      <c r="DD74">
        <f t="shared" si="162"/>
        <v>56062</v>
      </c>
      <c r="DE74">
        <v>48700</v>
      </c>
      <c r="DF74">
        <f t="shared" si="163"/>
        <v>6818.0000000000009</v>
      </c>
      <c r="DG74">
        <f t="shared" si="164"/>
        <v>5844</v>
      </c>
      <c r="DH74">
        <v>400</v>
      </c>
      <c r="DI74">
        <v>500</v>
      </c>
      <c r="DJ74">
        <f t="shared" si="165"/>
        <v>62262</v>
      </c>
      <c r="DK74">
        <v>6000</v>
      </c>
      <c r="DL74">
        <v>0</v>
      </c>
      <c r="DM74">
        <f t="shared" si="166"/>
        <v>200</v>
      </c>
      <c r="DN74">
        <f t="shared" si="167"/>
        <v>56062</v>
      </c>
      <c r="DO74">
        <v>48700</v>
      </c>
      <c r="DP74">
        <f t="shared" si="168"/>
        <v>6818.0000000000009</v>
      </c>
      <c r="DQ74">
        <f t="shared" si="169"/>
        <v>5844</v>
      </c>
      <c r="DR74">
        <v>400</v>
      </c>
      <c r="DS74">
        <v>500</v>
      </c>
      <c r="DT74">
        <f t="shared" si="170"/>
        <v>62262</v>
      </c>
      <c r="DU74">
        <v>6000</v>
      </c>
      <c r="DV74">
        <v>0</v>
      </c>
      <c r="DW74">
        <f t="shared" si="171"/>
        <v>200</v>
      </c>
      <c r="DX74">
        <f t="shared" si="172"/>
        <v>56062</v>
      </c>
      <c r="DY74">
        <f t="shared" si="173"/>
        <v>738196</v>
      </c>
      <c r="DZ74">
        <f t="shared" si="105"/>
        <v>2400</v>
      </c>
      <c r="EA74">
        <f t="shared" si="106"/>
        <v>50000</v>
      </c>
      <c r="EB74">
        <v>0</v>
      </c>
      <c r="EC74">
        <f t="shared" si="107"/>
        <v>685796</v>
      </c>
      <c r="ED74">
        <f t="shared" si="108"/>
        <v>72000</v>
      </c>
      <c r="EE74">
        <f t="shared" si="109"/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f t="shared" si="110"/>
        <v>72000</v>
      </c>
      <c r="EQ74">
        <f t="shared" si="174"/>
        <v>72000</v>
      </c>
      <c r="ER74">
        <f t="shared" si="111"/>
        <v>613796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f t="shared" si="175"/>
        <v>0</v>
      </c>
      <c r="FA74">
        <f t="shared" si="176"/>
        <v>613796</v>
      </c>
      <c r="FB74">
        <f t="shared" si="177"/>
        <v>12500</v>
      </c>
      <c r="FC74">
        <f t="shared" si="178"/>
        <v>22759</v>
      </c>
      <c r="FD74">
        <f t="shared" si="179"/>
        <v>35259</v>
      </c>
      <c r="FE74">
        <f t="shared" si="180"/>
        <v>35259</v>
      </c>
      <c r="FF74">
        <f t="shared" si="181"/>
        <v>1410.3600000000001</v>
      </c>
      <c r="FG74">
        <f t="shared" si="182"/>
        <v>36669</v>
      </c>
      <c r="FH74">
        <v>0</v>
      </c>
      <c r="FI74">
        <f t="shared" si="183"/>
        <v>36669</v>
      </c>
      <c r="FJ74" t="b">
        <f t="shared" si="184"/>
        <v>1</v>
      </c>
      <c r="FK74">
        <f t="shared" ca="1" si="185"/>
        <v>721</v>
      </c>
      <c r="FL74">
        <f t="shared" ca="1" si="186"/>
        <v>738917</v>
      </c>
      <c r="FM74">
        <f t="shared" si="187"/>
        <v>75000</v>
      </c>
      <c r="FN74">
        <f t="shared" ca="1" si="188"/>
        <v>663917</v>
      </c>
      <c r="FO74">
        <f t="shared" ca="1" si="189"/>
        <v>0</v>
      </c>
      <c r="FP74">
        <f t="shared" ca="1" si="190"/>
        <v>0</v>
      </c>
      <c r="FQ74">
        <f t="shared" ca="1" si="191"/>
        <v>0</v>
      </c>
      <c r="FR74">
        <f t="shared" ca="1" si="192"/>
        <v>0</v>
      </c>
      <c r="FS74">
        <f t="shared" ca="1" si="193"/>
        <v>0</v>
      </c>
      <c r="FT74">
        <f t="shared" ca="1" si="194"/>
        <v>0</v>
      </c>
      <c r="FU74">
        <f t="shared" ca="1" si="195"/>
        <v>0</v>
      </c>
      <c r="FV74">
        <f t="shared" ca="1" si="196"/>
        <v>0</v>
      </c>
      <c r="FW74">
        <f t="shared" ca="1" si="197"/>
        <v>363917</v>
      </c>
      <c r="FX74">
        <f t="shared" ca="1" si="198"/>
        <v>18195.850000000002</v>
      </c>
      <c r="FY74">
        <f t="shared" ca="1" si="199"/>
        <v>18196</v>
      </c>
      <c r="FZ74">
        <f t="shared" ca="1" si="200"/>
        <v>0</v>
      </c>
      <c r="GA74">
        <f t="shared" ca="1" si="201"/>
        <v>0</v>
      </c>
      <c r="GB74">
        <f t="shared" ca="1" si="202"/>
        <v>18196</v>
      </c>
      <c r="GC74">
        <f t="shared" ca="1" si="203"/>
        <v>0</v>
      </c>
      <c r="GD74" t="b">
        <f t="shared" ca="1" si="204"/>
        <v>0</v>
      </c>
      <c r="GE74">
        <f t="shared" ca="1" si="205"/>
        <v>0</v>
      </c>
      <c r="GF74">
        <f t="shared" ca="1" si="206"/>
        <v>18196</v>
      </c>
      <c r="GG74">
        <f t="shared" ca="1" si="207"/>
        <v>0</v>
      </c>
      <c r="GH74">
        <f t="shared" ca="1" si="208"/>
        <v>0</v>
      </c>
      <c r="GI74">
        <f t="shared" ca="1" si="209"/>
        <v>0</v>
      </c>
    </row>
    <row r="75" spans="1:191" x14ac:dyDescent="0.25">
      <c r="A75">
        <f>_xlfn.AGGREGATE(3,5,$B$2:B75)</f>
        <v>74</v>
      </c>
      <c r="B75" t="s">
        <v>270</v>
      </c>
      <c r="C75" t="s">
        <v>271</v>
      </c>
      <c r="D75" t="s">
        <v>781</v>
      </c>
      <c r="E75" t="s">
        <v>843</v>
      </c>
      <c r="F75">
        <v>0</v>
      </c>
      <c r="G75">
        <v>0</v>
      </c>
      <c r="H75">
        <v>45900</v>
      </c>
      <c r="I75">
        <f t="shared" si="112"/>
        <v>4590</v>
      </c>
      <c r="J75">
        <f t="shared" si="113"/>
        <v>5508</v>
      </c>
      <c r="K75">
        <v>0</v>
      </c>
      <c r="L75">
        <v>0</v>
      </c>
      <c r="M75">
        <f t="shared" si="114"/>
        <v>55998</v>
      </c>
      <c r="N75">
        <v>3000</v>
      </c>
      <c r="O75">
        <v>0</v>
      </c>
      <c r="P75">
        <f t="shared" si="115"/>
        <v>200</v>
      </c>
      <c r="Q75">
        <f t="shared" si="116"/>
        <v>52798</v>
      </c>
      <c r="R75">
        <v>45900</v>
      </c>
      <c r="S75">
        <f t="shared" si="117"/>
        <v>4590</v>
      </c>
      <c r="T75">
        <f t="shared" si="118"/>
        <v>5508</v>
      </c>
      <c r="U75">
        <v>0</v>
      </c>
      <c r="V75">
        <v>0</v>
      </c>
      <c r="W75">
        <f t="shared" si="119"/>
        <v>55998</v>
      </c>
      <c r="X75">
        <v>3000</v>
      </c>
      <c r="Y75">
        <v>0</v>
      </c>
      <c r="Z75">
        <f t="shared" si="120"/>
        <v>200</v>
      </c>
      <c r="AA75">
        <f t="shared" si="121"/>
        <v>52798</v>
      </c>
      <c r="AB75">
        <v>45900</v>
      </c>
      <c r="AC75">
        <f t="shared" si="122"/>
        <v>6426.0000000000009</v>
      </c>
      <c r="AD75">
        <f t="shared" si="123"/>
        <v>5508</v>
      </c>
      <c r="AE75">
        <v>0</v>
      </c>
      <c r="AF75">
        <v>0</v>
      </c>
      <c r="AG75">
        <f t="shared" si="124"/>
        <v>57834</v>
      </c>
      <c r="AH75">
        <v>3000</v>
      </c>
      <c r="AI75">
        <v>0</v>
      </c>
      <c r="AJ75">
        <f t="shared" si="125"/>
        <v>200</v>
      </c>
      <c r="AK75">
        <f t="shared" si="126"/>
        <v>54634</v>
      </c>
      <c r="AL75">
        <v>45900</v>
      </c>
      <c r="AM75">
        <f t="shared" si="127"/>
        <v>6426.0000000000009</v>
      </c>
      <c r="AN75">
        <f t="shared" si="128"/>
        <v>5508</v>
      </c>
      <c r="AO75">
        <v>0</v>
      </c>
      <c r="AP75">
        <v>0</v>
      </c>
      <c r="AQ75">
        <f t="shared" si="129"/>
        <v>57834</v>
      </c>
      <c r="AR75">
        <v>3000</v>
      </c>
      <c r="AS75">
        <v>0</v>
      </c>
      <c r="AT75">
        <f t="shared" si="130"/>
        <v>200</v>
      </c>
      <c r="AU75">
        <f t="shared" si="131"/>
        <v>54634</v>
      </c>
      <c r="AV75">
        <v>47300</v>
      </c>
      <c r="AW75">
        <f t="shared" si="132"/>
        <v>6622.0000000000009</v>
      </c>
      <c r="AX75">
        <f t="shared" si="133"/>
        <v>1836</v>
      </c>
      <c r="AY75">
        <f t="shared" si="134"/>
        <v>5676</v>
      </c>
      <c r="AZ75">
        <v>0</v>
      </c>
      <c r="BA75">
        <v>0</v>
      </c>
      <c r="BB75">
        <f t="shared" si="135"/>
        <v>61434</v>
      </c>
      <c r="BC75">
        <v>3000</v>
      </c>
      <c r="BD75">
        <v>0</v>
      </c>
      <c r="BE75">
        <f t="shared" si="136"/>
        <v>200</v>
      </c>
      <c r="BF75">
        <f t="shared" si="137"/>
        <v>58234</v>
      </c>
      <c r="BG75">
        <v>47300</v>
      </c>
      <c r="BH75">
        <f t="shared" si="138"/>
        <v>6622.0000000000009</v>
      </c>
      <c r="BI75">
        <f t="shared" si="139"/>
        <v>5676</v>
      </c>
      <c r="BJ75">
        <v>0</v>
      </c>
      <c r="BK75">
        <v>0</v>
      </c>
      <c r="BL75">
        <f t="shared" si="140"/>
        <v>59598</v>
      </c>
      <c r="BM75">
        <v>3000</v>
      </c>
      <c r="BN75">
        <v>0</v>
      </c>
      <c r="BO75">
        <f t="shared" si="141"/>
        <v>200</v>
      </c>
      <c r="BP75">
        <f t="shared" si="142"/>
        <v>56398</v>
      </c>
      <c r="BQ75">
        <v>47300</v>
      </c>
      <c r="BR75">
        <f t="shared" si="143"/>
        <v>6622.0000000000009</v>
      </c>
      <c r="BS75">
        <f t="shared" si="144"/>
        <v>5676</v>
      </c>
      <c r="BT75">
        <v>0</v>
      </c>
      <c r="BU75">
        <v>0</v>
      </c>
      <c r="BV75">
        <f t="shared" si="145"/>
        <v>59598</v>
      </c>
      <c r="BW75">
        <v>3000</v>
      </c>
      <c r="BX75">
        <v>0</v>
      </c>
      <c r="BY75">
        <f t="shared" si="146"/>
        <v>200</v>
      </c>
      <c r="BZ75">
        <f t="shared" si="147"/>
        <v>56398</v>
      </c>
      <c r="CA75">
        <v>47300</v>
      </c>
      <c r="CB75">
        <f t="shared" si="148"/>
        <v>6622.0000000000009</v>
      </c>
      <c r="CC75">
        <f t="shared" si="149"/>
        <v>5676</v>
      </c>
      <c r="CD75">
        <v>0</v>
      </c>
      <c r="CE75">
        <v>0</v>
      </c>
      <c r="CF75">
        <f t="shared" si="150"/>
        <v>59598</v>
      </c>
      <c r="CG75">
        <v>3000</v>
      </c>
      <c r="CH75">
        <v>0</v>
      </c>
      <c r="CI75">
        <f t="shared" si="151"/>
        <v>200</v>
      </c>
      <c r="CJ75">
        <f t="shared" si="152"/>
        <v>56398</v>
      </c>
      <c r="CK75">
        <v>47300</v>
      </c>
      <c r="CL75">
        <f t="shared" si="153"/>
        <v>6622.0000000000009</v>
      </c>
      <c r="CM75">
        <f t="shared" si="154"/>
        <v>5676</v>
      </c>
      <c r="CN75">
        <v>0</v>
      </c>
      <c r="CO75">
        <v>0</v>
      </c>
      <c r="CP75">
        <f t="shared" si="155"/>
        <v>59598</v>
      </c>
      <c r="CQ75">
        <v>3000</v>
      </c>
      <c r="CR75">
        <v>0</v>
      </c>
      <c r="CS75">
        <f t="shared" si="156"/>
        <v>200</v>
      </c>
      <c r="CT75">
        <f t="shared" si="157"/>
        <v>56398</v>
      </c>
      <c r="CU75">
        <v>47300</v>
      </c>
      <c r="CV75">
        <f t="shared" si="158"/>
        <v>6622</v>
      </c>
      <c r="CW75">
        <f t="shared" si="159"/>
        <v>5676</v>
      </c>
      <c r="CX75">
        <v>0</v>
      </c>
      <c r="CY75">
        <v>0</v>
      </c>
      <c r="CZ75">
        <f t="shared" si="160"/>
        <v>59598</v>
      </c>
      <c r="DA75">
        <v>3000</v>
      </c>
      <c r="DB75">
        <v>0</v>
      </c>
      <c r="DC75">
        <f t="shared" si="161"/>
        <v>200</v>
      </c>
      <c r="DD75">
        <f t="shared" si="162"/>
        <v>56398</v>
      </c>
      <c r="DE75">
        <v>47300</v>
      </c>
      <c r="DF75">
        <f t="shared" si="163"/>
        <v>6622.0000000000009</v>
      </c>
      <c r="DG75">
        <f t="shared" si="164"/>
        <v>5676</v>
      </c>
      <c r="DH75">
        <v>0</v>
      </c>
      <c r="DI75">
        <v>0</v>
      </c>
      <c r="DJ75">
        <f t="shared" si="165"/>
        <v>59598</v>
      </c>
      <c r="DK75">
        <v>3000</v>
      </c>
      <c r="DL75">
        <v>0</v>
      </c>
      <c r="DM75">
        <f t="shared" si="166"/>
        <v>200</v>
      </c>
      <c r="DN75">
        <f t="shared" si="167"/>
        <v>56398</v>
      </c>
      <c r="DO75">
        <v>47300</v>
      </c>
      <c r="DP75">
        <f t="shared" si="168"/>
        <v>6622.0000000000009</v>
      </c>
      <c r="DQ75">
        <f t="shared" si="169"/>
        <v>5676</v>
      </c>
      <c r="DR75">
        <v>0</v>
      </c>
      <c r="DS75">
        <v>0</v>
      </c>
      <c r="DT75">
        <f t="shared" si="170"/>
        <v>59598</v>
      </c>
      <c r="DU75">
        <v>3000</v>
      </c>
      <c r="DV75">
        <v>0</v>
      </c>
      <c r="DW75">
        <f t="shared" si="171"/>
        <v>200</v>
      </c>
      <c r="DX75">
        <f t="shared" si="172"/>
        <v>56398</v>
      </c>
      <c r="DY75">
        <f t="shared" si="173"/>
        <v>706284</v>
      </c>
      <c r="DZ75">
        <f t="shared" si="105"/>
        <v>2400</v>
      </c>
      <c r="EA75">
        <f t="shared" si="106"/>
        <v>50000</v>
      </c>
      <c r="EB75">
        <v>0</v>
      </c>
      <c r="EC75">
        <f t="shared" si="107"/>
        <v>653884</v>
      </c>
      <c r="ED75">
        <f t="shared" si="108"/>
        <v>36000</v>
      </c>
      <c r="EE75">
        <f t="shared" si="109"/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f t="shared" si="110"/>
        <v>36000</v>
      </c>
      <c r="EQ75">
        <f t="shared" si="174"/>
        <v>36000</v>
      </c>
      <c r="ER75">
        <f t="shared" si="111"/>
        <v>617884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f t="shared" si="175"/>
        <v>0</v>
      </c>
      <c r="FA75">
        <f t="shared" si="176"/>
        <v>617884</v>
      </c>
      <c r="FB75">
        <f t="shared" si="177"/>
        <v>12500</v>
      </c>
      <c r="FC75">
        <f t="shared" si="178"/>
        <v>23577</v>
      </c>
      <c r="FD75">
        <f t="shared" si="179"/>
        <v>36077</v>
      </c>
      <c r="FE75">
        <f t="shared" si="180"/>
        <v>36077</v>
      </c>
      <c r="FF75">
        <f t="shared" si="181"/>
        <v>1443.08</v>
      </c>
      <c r="FG75">
        <f t="shared" si="182"/>
        <v>37520</v>
      </c>
      <c r="FH75">
        <v>0</v>
      </c>
      <c r="FI75">
        <f t="shared" si="183"/>
        <v>37520</v>
      </c>
      <c r="FJ75" t="b">
        <f t="shared" si="184"/>
        <v>1</v>
      </c>
      <c r="FK75">
        <f t="shared" ca="1" si="185"/>
        <v>696</v>
      </c>
      <c r="FL75">
        <f t="shared" ca="1" si="186"/>
        <v>706980</v>
      </c>
      <c r="FM75">
        <f t="shared" si="187"/>
        <v>75000</v>
      </c>
      <c r="FN75">
        <f t="shared" ca="1" si="188"/>
        <v>631980</v>
      </c>
      <c r="FO75">
        <f t="shared" ca="1" si="189"/>
        <v>0</v>
      </c>
      <c r="FP75">
        <f t="shared" ca="1" si="190"/>
        <v>0</v>
      </c>
      <c r="FQ75">
        <f t="shared" ca="1" si="191"/>
        <v>0</v>
      </c>
      <c r="FR75">
        <f t="shared" ca="1" si="192"/>
        <v>0</v>
      </c>
      <c r="FS75">
        <f t="shared" ca="1" si="193"/>
        <v>0</v>
      </c>
      <c r="FT75">
        <f t="shared" ca="1" si="194"/>
        <v>0</v>
      </c>
      <c r="FU75">
        <f t="shared" ca="1" si="195"/>
        <v>0</v>
      </c>
      <c r="FV75">
        <f t="shared" ca="1" si="196"/>
        <v>0</v>
      </c>
      <c r="FW75">
        <f t="shared" ca="1" si="197"/>
        <v>331980</v>
      </c>
      <c r="FX75">
        <f t="shared" ca="1" si="198"/>
        <v>16599</v>
      </c>
      <c r="FY75">
        <f t="shared" ca="1" si="199"/>
        <v>16599</v>
      </c>
      <c r="FZ75">
        <f t="shared" ca="1" si="200"/>
        <v>0</v>
      </c>
      <c r="GA75">
        <f t="shared" ca="1" si="201"/>
        <v>0</v>
      </c>
      <c r="GB75">
        <f t="shared" ca="1" si="202"/>
        <v>16599</v>
      </c>
      <c r="GC75">
        <f t="shared" ca="1" si="203"/>
        <v>0</v>
      </c>
      <c r="GD75" t="b">
        <f t="shared" ca="1" si="204"/>
        <v>0</v>
      </c>
      <c r="GE75">
        <f t="shared" ca="1" si="205"/>
        <v>0</v>
      </c>
      <c r="GF75">
        <f t="shared" ca="1" si="206"/>
        <v>16599</v>
      </c>
      <c r="GG75">
        <f t="shared" ca="1" si="207"/>
        <v>0</v>
      </c>
      <c r="GH75">
        <f t="shared" ca="1" si="208"/>
        <v>0</v>
      </c>
      <c r="GI75">
        <f t="shared" ca="1" si="209"/>
        <v>0</v>
      </c>
    </row>
    <row r="76" spans="1:191" x14ac:dyDescent="0.25">
      <c r="A76">
        <f>_xlfn.AGGREGATE(3,5,$B$2:B76)</f>
        <v>75</v>
      </c>
      <c r="B76" t="s">
        <v>272</v>
      </c>
      <c r="C76" t="s">
        <v>273</v>
      </c>
      <c r="D76" t="s">
        <v>781</v>
      </c>
      <c r="E76" t="s">
        <v>843</v>
      </c>
      <c r="F76">
        <v>0</v>
      </c>
      <c r="G76">
        <v>0</v>
      </c>
      <c r="H76">
        <v>0</v>
      </c>
      <c r="I76">
        <f t="shared" si="112"/>
        <v>0</v>
      </c>
      <c r="J76">
        <f t="shared" si="113"/>
        <v>0</v>
      </c>
      <c r="K76">
        <v>0</v>
      </c>
      <c r="L76">
        <v>0</v>
      </c>
      <c r="M76">
        <f t="shared" si="114"/>
        <v>0</v>
      </c>
      <c r="N76">
        <v>0</v>
      </c>
      <c r="O76">
        <v>0</v>
      </c>
      <c r="P76">
        <f t="shared" si="115"/>
        <v>0</v>
      </c>
      <c r="Q76">
        <f t="shared" si="116"/>
        <v>0</v>
      </c>
      <c r="R76">
        <v>0</v>
      </c>
      <c r="S76">
        <f t="shared" si="117"/>
        <v>0</v>
      </c>
      <c r="T76">
        <f t="shared" si="118"/>
        <v>0</v>
      </c>
      <c r="U76">
        <v>0</v>
      </c>
      <c r="V76">
        <v>0</v>
      </c>
      <c r="W76">
        <f t="shared" si="119"/>
        <v>0</v>
      </c>
      <c r="X76">
        <v>0</v>
      </c>
      <c r="Y76">
        <v>0</v>
      </c>
      <c r="Z76">
        <f t="shared" si="120"/>
        <v>0</v>
      </c>
      <c r="AA76">
        <f t="shared" si="121"/>
        <v>0</v>
      </c>
      <c r="AB76">
        <v>0</v>
      </c>
      <c r="AC76">
        <f t="shared" si="122"/>
        <v>0</v>
      </c>
      <c r="AD76">
        <f t="shared" si="123"/>
        <v>0</v>
      </c>
      <c r="AE76">
        <v>0</v>
      </c>
      <c r="AF76">
        <v>0</v>
      </c>
      <c r="AG76">
        <f t="shared" si="124"/>
        <v>0</v>
      </c>
      <c r="AH76">
        <v>0</v>
      </c>
      <c r="AI76">
        <v>0</v>
      </c>
      <c r="AJ76">
        <f t="shared" si="125"/>
        <v>0</v>
      </c>
      <c r="AK76">
        <f t="shared" si="126"/>
        <v>0</v>
      </c>
      <c r="AL76">
        <v>0</v>
      </c>
      <c r="AM76">
        <f t="shared" si="127"/>
        <v>0</v>
      </c>
      <c r="AN76">
        <f t="shared" si="128"/>
        <v>0</v>
      </c>
      <c r="AO76">
        <v>0</v>
      </c>
      <c r="AP76">
        <v>0</v>
      </c>
      <c r="AQ76">
        <f t="shared" si="129"/>
        <v>0</v>
      </c>
      <c r="AR76">
        <v>0</v>
      </c>
      <c r="AS76">
        <v>0</v>
      </c>
      <c r="AT76">
        <f t="shared" si="130"/>
        <v>0</v>
      </c>
      <c r="AU76">
        <f t="shared" si="131"/>
        <v>0</v>
      </c>
      <c r="AV76">
        <v>0</v>
      </c>
      <c r="AW76">
        <f t="shared" si="132"/>
        <v>0</v>
      </c>
      <c r="AX76">
        <f t="shared" si="133"/>
        <v>0</v>
      </c>
      <c r="AY76">
        <f t="shared" si="134"/>
        <v>0</v>
      </c>
      <c r="AZ76">
        <v>0</v>
      </c>
      <c r="BA76">
        <v>0</v>
      </c>
      <c r="BB76">
        <f t="shared" si="135"/>
        <v>0</v>
      </c>
      <c r="BC76">
        <v>0</v>
      </c>
      <c r="BD76">
        <v>0</v>
      </c>
      <c r="BE76">
        <f t="shared" si="136"/>
        <v>0</v>
      </c>
      <c r="BF76">
        <f t="shared" si="137"/>
        <v>0</v>
      </c>
      <c r="BG76">
        <v>0</v>
      </c>
      <c r="BH76">
        <f t="shared" si="138"/>
        <v>0</v>
      </c>
      <c r="BI76">
        <f t="shared" si="139"/>
        <v>0</v>
      </c>
      <c r="BJ76">
        <v>0</v>
      </c>
      <c r="BK76">
        <v>0</v>
      </c>
      <c r="BL76">
        <f t="shared" si="140"/>
        <v>0</v>
      </c>
      <c r="BM76">
        <v>0</v>
      </c>
      <c r="BN76">
        <v>0</v>
      </c>
      <c r="BO76">
        <f t="shared" si="141"/>
        <v>0</v>
      </c>
      <c r="BP76">
        <f t="shared" si="142"/>
        <v>0</v>
      </c>
      <c r="BQ76">
        <v>0</v>
      </c>
      <c r="BR76">
        <f t="shared" si="143"/>
        <v>0</v>
      </c>
      <c r="BS76">
        <f t="shared" si="144"/>
        <v>0</v>
      </c>
      <c r="BT76">
        <v>0</v>
      </c>
      <c r="BU76">
        <v>0</v>
      </c>
      <c r="BV76">
        <f t="shared" si="145"/>
        <v>0</v>
      </c>
      <c r="BW76">
        <v>0</v>
      </c>
      <c r="BX76">
        <v>0</v>
      </c>
      <c r="BY76">
        <f t="shared" si="146"/>
        <v>0</v>
      </c>
      <c r="BZ76">
        <f t="shared" si="147"/>
        <v>0</v>
      </c>
      <c r="CA76">
        <v>0</v>
      </c>
      <c r="CB76">
        <f t="shared" si="148"/>
        <v>0</v>
      </c>
      <c r="CC76">
        <f t="shared" si="149"/>
        <v>0</v>
      </c>
      <c r="CD76">
        <v>0</v>
      </c>
      <c r="CE76">
        <v>0</v>
      </c>
      <c r="CF76">
        <f t="shared" si="150"/>
        <v>0</v>
      </c>
      <c r="CG76">
        <v>0</v>
      </c>
      <c r="CH76">
        <v>0</v>
      </c>
      <c r="CI76">
        <f t="shared" si="151"/>
        <v>0</v>
      </c>
      <c r="CJ76">
        <f t="shared" si="152"/>
        <v>0</v>
      </c>
      <c r="CK76">
        <v>28900</v>
      </c>
      <c r="CL76">
        <f t="shared" si="153"/>
        <v>4046.0000000000005</v>
      </c>
      <c r="CM76">
        <f t="shared" si="154"/>
        <v>3468</v>
      </c>
      <c r="CN76">
        <v>0</v>
      </c>
      <c r="CO76">
        <v>500</v>
      </c>
      <c r="CP76">
        <f t="shared" si="155"/>
        <v>36914</v>
      </c>
      <c r="CQ76">
        <v>0</v>
      </c>
      <c r="CR76">
        <v>0</v>
      </c>
      <c r="CS76">
        <f t="shared" si="156"/>
        <v>150</v>
      </c>
      <c r="CT76">
        <f t="shared" si="157"/>
        <v>36764</v>
      </c>
      <c r="CU76">
        <v>28900</v>
      </c>
      <c r="CV76">
        <f t="shared" si="158"/>
        <v>4046</v>
      </c>
      <c r="CW76">
        <f t="shared" si="159"/>
        <v>3468</v>
      </c>
      <c r="CX76">
        <v>0</v>
      </c>
      <c r="CY76">
        <v>500</v>
      </c>
      <c r="CZ76">
        <f t="shared" si="160"/>
        <v>36914</v>
      </c>
      <c r="DA76">
        <v>0</v>
      </c>
      <c r="DB76">
        <v>0</v>
      </c>
      <c r="DC76">
        <f t="shared" si="161"/>
        <v>150</v>
      </c>
      <c r="DD76">
        <f t="shared" si="162"/>
        <v>36764</v>
      </c>
      <c r="DE76">
        <v>28900</v>
      </c>
      <c r="DF76">
        <f t="shared" si="163"/>
        <v>4046.0000000000005</v>
      </c>
      <c r="DG76">
        <f t="shared" si="164"/>
        <v>3468</v>
      </c>
      <c r="DH76">
        <v>0</v>
      </c>
      <c r="DI76">
        <v>500</v>
      </c>
      <c r="DJ76">
        <f t="shared" si="165"/>
        <v>36914</v>
      </c>
      <c r="DK76">
        <v>0</v>
      </c>
      <c r="DL76">
        <v>0</v>
      </c>
      <c r="DM76">
        <f t="shared" si="166"/>
        <v>150</v>
      </c>
      <c r="DN76">
        <f t="shared" si="167"/>
        <v>36764</v>
      </c>
      <c r="DO76">
        <v>28900</v>
      </c>
      <c r="DP76">
        <f t="shared" si="168"/>
        <v>4046.0000000000005</v>
      </c>
      <c r="DQ76">
        <f t="shared" si="169"/>
        <v>3468</v>
      </c>
      <c r="DR76">
        <v>0</v>
      </c>
      <c r="DS76">
        <v>0</v>
      </c>
      <c r="DT76">
        <f t="shared" si="170"/>
        <v>36414</v>
      </c>
      <c r="DU76">
        <v>0</v>
      </c>
      <c r="DV76">
        <v>0</v>
      </c>
      <c r="DW76">
        <f t="shared" si="171"/>
        <v>150</v>
      </c>
      <c r="DX76">
        <f t="shared" si="172"/>
        <v>36264</v>
      </c>
      <c r="DY76">
        <f t="shared" si="173"/>
        <v>147156</v>
      </c>
      <c r="DZ76">
        <f t="shared" si="105"/>
        <v>600</v>
      </c>
      <c r="EA76">
        <f t="shared" si="106"/>
        <v>50000</v>
      </c>
      <c r="EB76">
        <v>0</v>
      </c>
      <c r="EC76">
        <f t="shared" si="107"/>
        <v>96556</v>
      </c>
      <c r="ED76">
        <f t="shared" si="108"/>
        <v>0</v>
      </c>
      <c r="EE76">
        <f t="shared" si="109"/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f t="shared" si="110"/>
        <v>0</v>
      </c>
      <c r="EQ76">
        <f t="shared" si="174"/>
        <v>0</v>
      </c>
      <c r="ER76">
        <f t="shared" si="111"/>
        <v>96556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f t="shared" si="175"/>
        <v>0</v>
      </c>
      <c r="FA76">
        <f t="shared" si="176"/>
        <v>96556</v>
      </c>
      <c r="FB76">
        <f t="shared" si="177"/>
        <v>-7672</v>
      </c>
      <c r="FC76">
        <f t="shared" si="178"/>
        <v>0</v>
      </c>
      <c r="FD76">
        <f t="shared" si="179"/>
        <v>-7672</v>
      </c>
      <c r="FE76">
        <f t="shared" si="180"/>
        <v>0</v>
      </c>
      <c r="FF76">
        <f t="shared" si="181"/>
        <v>0</v>
      </c>
      <c r="FG76">
        <f t="shared" si="182"/>
        <v>0</v>
      </c>
      <c r="FH76">
        <v>0</v>
      </c>
      <c r="FI76">
        <f t="shared" si="183"/>
        <v>0</v>
      </c>
      <c r="FJ76" t="b">
        <f t="shared" si="184"/>
        <v>0</v>
      </c>
      <c r="FK76">
        <f t="shared" ca="1" si="185"/>
        <v>1658</v>
      </c>
      <c r="FL76">
        <f t="shared" ca="1" si="186"/>
        <v>148814</v>
      </c>
      <c r="FM76">
        <f t="shared" si="187"/>
        <v>75000</v>
      </c>
      <c r="FN76">
        <f t="shared" ca="1" si="188"/>
        <v>73814</v>
      </c>
      <c r="FO76">
        <f t="shared" ca="1" si="189"/>
        <v>0</v>
      </c>
      <c r="FP76">
        <f t="shared" ca="1" si="190"/>
        <v>0</v>
      </c>
      <c r="FQ76">
        <f t="shared" ca="1" si="191"/>
        <v>0</v>
      </c>
      <c r="FR76">
        <f t="shared" ca="1" si="192"/>
        <v>0</v>
      </c>
      <c r="FS76">
        <f t="shared" ca="1" si="193"/>
        <v>0</v>
      </c>
      <c r="FT76">
        <f t="shared" ca="1" si="194"/>
        <v>0</v>
      </c>
      <c r="FU76">
        <f t="shared" ca="1" si="195"/>
        <v>0</v>
      </c>
      <c r="FV76">
        <f t="shared" ca="1" si="196"/>
        <v>0</v>
      </c>
      <c r="FW76">
        <f t="shared" ca="1" si="197"/>
        <v>0</v>
      </c>
      <c r="FX76">
        <f t="shared" ca="1" si="198"/>
        <v>0</v>
      </c>
      <c r="FY76">
        <f t="shared" ca="1" si="199"/>
        <v>0</v>
      </c>
      <c r="FZ76">
        <f t="shared" ca="1" si="200"/>
        <v>0</v>
      </c>
      <c r="GA76">
        <f t="shared" ca="1" si="201"/>
        <v>0</v>
      </c>
      <c r="GB76">
        <f t="shared" ca="1" si="202"/>
        <v>0</v>
      </c>
      <c r="GC76">
        <f t="shared" ca="1" si="203"/>
        <v>0</v>
      </c>
      <c r="GD76" t="b">
        <f t="shared" ca="1" si="204"/>
        <v>0</v>
      </c>
      <c r="GE76">
        <f t="shared" ca="1" si="205"/>
        <v>0</v>
      </c>
      <c r="GF76">
        <f t="shared" ca="1" si="206"/>
        <v>0</v>
      </c>
      <c r="GG76">
        <f t="shared" ca="1" si="207"/>
        <v>0</v>
      </c>
      <c r="GH76">
        <f t="shared" ca="1" si="208"/>
        <v>0</v>
      </c>
      <c r="GI76">
        <f t="shared" ca="1" si="209"/>
        <v>0</v>
      </c>
    </row>
    <row r="77" spans="1:191" x14ac:dyDescent="0.25">
      <c r="A77">
        <f>_xlfn.AGGREGATE(3,5,$B$2:B77)</f>
        <v>76</v>
      </c>
      <c r="B77" t="s">
        <v>274</v>
      </c>
      <c r="C77" t="s">
        <v>275</v>
      </c>
      <c r="D77" t="s">
        <v>782</v>
      </c>
      <c r="E77" t="s">
        <v>845</v>
      </c>
      <c r="F77">
        <v>0</v>
      </c>
      <c r="G77">
        <v>6000</v>
      </c>
      <c r="H77">
        <v>32500</v>
      </c>
      <c r="I77">
        <f t="shared" si="112"/>
        <v>3250</v>
      </c>
      <c r="J77">
        <f t="shared" si="113"/>
        <v>3900</v>
      </c>
      <c r="K77">
        <v>400</v>
      </c>
      <c r="L77">
        <v>500</v>
      </c>
      <c r="M77">
        <f t="shared" si="114"/>
        <v>40550</v>
      </c>
      <c r="N77">
        <v>3000</v>
      </c>
      <c r="O77">
        <v>0</v>
      </c>
      <c r="P77">
        <f t="shared" si="115"/>
        <v>200</v>
      </c>
      <c r="Q77">
        <f t="shared" si="116"/>
        <v>37350</v>
      </c>
      <c r="R77">
        <v>32500</v>
      </c>
      <c r="S77">
        <f t="shared" si="117"/>
        <v>3250</v>
      </c>
      <c r="T77">
        <f t="shared" si="118"/>
        <v>3900</v>
      </c>
      <c r="U77">
        <v>400</v>
      </c>
      <c r="V77">
        <v>500</v>
      </c>
      <c r="W77">
        <f t="shared" si="119"/>
        <v>40550</v>
      </c>
      <c r="X77">
        <v>3000</v>
      </c>
      <c r="Y77">
        <v>0</v>
      </c>
      <c r="Z77">
        <f t="shared" si="120"/>
        <v>200</v>
      </c>
      <c r="AA77">
        <f t="shared" si="121"/>
        <v>37350</v>
      </c>
      <c r="AB77">
        <v>32500</v>
      </c>
      <c r="AC77">
        <f t="shared" si="122"/>
        <v>4550</v>
      </c>
      <c r="AD77">
        <f t="shared" si="123"/>
        <v>3900</v>
      </c>
      <c r="AE77">
        <v>400</v>
      </c>
      <c r="AF77">
        <v>500</v>
      </c>
      <c r="AG77">
        <f t="shared" si="124"/>
        <v>41850</v>
      </c>
      <c r="AH77">
        <v>3000</v>
      </c>
      <c r="AI77">
        <v>0</v>
      </c>
      <c r="AJ77">
        <f t="shared" si="125"/>
        <v>200</v>
      </c>
      <c r="AK77">
        <f t="shared" si="126"/>
        <v>38650</v>
      </c>
      <c r="AL77">
        <v>32500</v>
      </c>
      <c r="AM77">
        <f t="shared" si="127"/>
        <v>4550</v>
      </c>
      <c r="AN77">
        <f t="shared" si="128"/>
        <v>3900</v>
      </c>
      <c r="AO77">
        <v>400</v>
      </c>
      <c r="AP77">
        <v>500</v>
      </c>
      <c r="AQ77">
        <f t="shared" si="129"/>
        <v>41850</v>
      </c>
      <c r="AR77">
        <v>3000</v>
      </c>
      <c r="AS77">
        <v>0</v>
      </c>
      <c r="AT77">
        <f t="shared" si="130"/>
        <v>200</v>
      </c>
      <c r="AU77">
        <f t="shared" si="131"/>
        <v>38650</v>
      </c>
      <c r="AV77">
        <v>33500</v>
      </c>
      <c r="AW77">
        <f t="shared" si="132"/>
        <v>4690</v>
      </c>
      <c r="AX77">
        <f t="shared" si="133"/>
        <v>1300</v>
      </c>
      <c r="AY77">
        <f t="shared" si="134"/>
        <v>4020</v>
      </c>
      <c r="AZ77">
        <v>400</v>
      </c>
      <c r="BA77">
        <v>500</v>
      </c>
      <c r="BB77">
        <f t="shared" si="135"/>
        <v>44410</v>
      </c>
      <c r="BC77">
        <v>3000</v>
      </c>
      <c r="BD77">
        <v>0</v>
      </c>
      <c r="BE77">
        <f t="shared" si="136"/>
        <v>200</v>
      </c>
      <c r="BF77">
        <f t="shared" si="137"/>
        <v>41210</v>
      </c>
      <c r="BG77">
        <v>33500</v>
      </c>
      <c r="BH77">
        <f t="shared" si="138"/>
        <v>4690</v>
      </c>
      <c r="BI77">
        <f t="shared" si="139"/>
        <v>4020</v>
      </c>
      <c r="BJ77">
        <v>400</v>
      </c>
      <c r="BK77">
        <v>500</v>
      </c>
      <c r="BL77">
        <f t="shared" si="140"/>
        <v>43110</v>
      </c>
      <c r="BM77">
        <v>3000</v>
      </c>
      <c r="BN77">
        <v>0</v>
      </c>
      <c r="BO77">
        <f t="shared" si="141"/>
        <v>200</v>
      </c>
      <c r="BP77">
        <f t="shared" si="142"/>
        <v>39910</v>
      </c>
      <c r="BQ77">
        <v>33500</v>
      </c>
      <c r="BR77">
        <f t="shared" si="143"/>
        <v>4690</v>
      </c>
      <c r="BS77">
        <f t="shared" si="144"/>
        <v>4020</v>
      </c>
      <c r="BT77">
        <v>400</v>
      </c>
      <c r="BU77">
        <v>500</v>
      </c>
      <c r="BV77">
        <f t="shared" si="145"/>
        <v>43110</v>
      </c>
      <c r="BW77">
        <v>3000</v>
      </c>
      <c r="BX77">
        <v>0</v>
      </c>
      <c r="BY77">
        <f t="shared" si="146"/>
        <v>200</v>
      </c>
      <c r="BZ77">
        <f t="shared" si="147"/>
        <v>39910</v>
      </c>
      <c r="CA77">
        <v>33500</v>
      </c>
      <c r="CB77">
        <f t="shared" si="148"/>
        <v>4690</v>
      </c>
      <c r="CC77">
        <f t="shared" si="149"/>
        <v>4020</v>
      </c>
      <c r="CD77">
        <v>400</v>
      </c>
      <c r="CE77">
        <v>500</v>
      </c>
      <c r="CF77">
        <f t="shared" si="150"/>
        <v>43110</v>
      </c>
      <c r="CG77">
        <v>3000</v>
      </c>
      <c r="CH77">
        <v>0</v>
      </c>
      <c r="CI77">
        <f t="shared" si="151"/>
        <v>200</v>
      </c>
      <c r="CJ77">
        <f t="shared" si="152"/>
        <v>39910</v>
      </c>
      <c r="CK77">
        <v>33500</v>
      </c>
      <c r="CL77">
        <f t="shared" si="153"/>
        <v>4690</v>
      </c>
      <c r="CM77">
        <f t="shared" si="154"/>
        <v>4020</v>
      </c>
      <c r="CN77">
        <v>400</v>
      </c>
      <c r="CO77">
        <v>500</v>
      </c>
      <c r="CP77">
        <f t="shared" si="155"/>
        <v>43110</v>
      </c>
      <c r="CQ77">
        <v>3000</v>
      </c>
      <c r="CR77">
        <v>0</v>
      </c>
      <c r="CS77">
        <f t="shared" si="156"/>
        <v>200</v>
      </c>
      <c r="CT77">
        <f t="shared" si="157"/>
        <v>39910</v>
      </c>
      <c r="CU77">
        <v>33500</v>
      </c>
      <c r="CV77">
        <f t="shared" si="158"/>
        <v>4690</v>
      </c>
      <c r="CW77">
        <f t="shared" si="159"/>
        <v>4020</v>
      </c>
      <c r="CX77">
        <v>400</v>
      </c>
      <c r="CY77">
        <v>500</v>
      </c>
      <c r="CZ77">
        <f t="shared" si="160"/>
        <v>43110</v>
      </c>
      <c r="DA77">
        <v>3000</v>
      </c>
      <c r="DB77">
        <v>0</v>
      </c>
      <c r="DC77">
        <f t="shared" si="161"/>
        <v>200</v>
      </c>
      <c r="DD77">
        <f t="shared" si="162"/>
        <v>39910</v>
      </c>
      <c r="DE77">
        <v>33500</v>
      </c>
      <c r="DF77">
        <f t="shared" si="163"/>
        <v>4690</v>
      </c>
      <c r="DG77">
        <f t="shared" si="164"/>
        <v>4020</v>
      </c>
      <c r="DH77">
        <v>400</v>
      </c>
      <c r="DI77">
        <v>500</v>
      </c>
      <c r="DJ77">
        <f t="shared" si="165"/>
        <v>43110</v>
      </c>
      <c r="DK77">
        <v>3000</v>
      </c>
      <c r="DL77">
        <v>0</v>
      </c>
      <c r="DM77">
        <f t="shared" si="166"/>
        <v>200</v>
      </c>
      <c r="DN77">
        <f t="shared" si="167"/>
        <v>39910</v>
      </c>
      <c r="DO77">
        <v>33500</v>
      </c>
      <c r="DP77">
        <f t="shared" si="168"/>
        <v>4690</v>
      </c>
      <c r="DQ77">
        <f t="shared" si="169"/>
        <v>4020</v>
      </c>
      <c r="DR77">
        <v>400</v>
      </c>
      <c r="DS77">
        <v>500</v>
      </c>
      <c r="DT77">
        <f t="shared" si="170"/>
        <v>43110</v>
      </c>
      <c r="DU77">
        <v>3000</v>
      </c>
      <c r="DV77">
        <v>0</v>
      </c>
      <c r="DW77">
        <f t="shared" si="171"/>
        <v>200</v>
      </c>
      <c r="DX77">
        <f t="shared" si="172"/>
        <v>39910</v>
      </c>
      <c r="DY77">
        <f t="shared" si="173"/>
        <v>516980</v>
      </c>
      <c r="DZ77">
        <f t="shared" si="105"/>
        <v>2400</v>
      </c>
      <c r="EA77">
        <f t="shared" si="106"/>
        <v>50000</v>
      </c>
      <c r="EB77">
        <v>0</v>
      </c>
      <c r="EC77">
        <f t="shared" si="107"/>
        <v>464580</v>
      </c>
      <c r="ED77">
        <f t="shared" si="108"/>
        <v>36000</v>
      </c>
      <c r="EE77">
        <f t="shared" si="109"/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f t="shared" si="110"/>
        <v>36000</v>
      </c>
      <c r="EQ77">
        <f t="shared" si="174"/>
        <v>36000</v>
      </c>
      <c r="ER77">
        <f t="shared" si="111"/>
        <v>428580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f t="shared" si="175"/>
        <v>0</v>
      </c>
      <c r="FA77">
        <f t="shared" si="176"/>
        <v>428580</v>
      </c>
      <c r="FB77">
        <f t="shared" si="177"/>
        <v>8929</v>
      </c>
      <c r="FC77">
        <f t="shared" si="178"/>
        <v>0</v>
      </c>
      <c r="FD77">
        <f t="shared" si="179"/>
        <v>8929</v>
      </c>
      <c r="FE77">
        <f t="shared" si="180"/>
        <v>0</v>
      </c>
      <c r="FF77">
        <f t="shared" si="181"/>
        <v>0</v>
      </c>
      <c r="FG77">
        <f t="shared" si="182"/>
        <v>0</v>
      </c>
      <c r="FH77">
        <v>0</v>
      </c>
      <c r="FI77">
        <f t="shared" si="183"/>
        <v>0</v>
      </c>
      <c r="FJ77" t="b">
        <f t="shared" si="184"/>
        <v>1</v>
      </c>
      <c r="FK77">
        <f t="shared" ca="1" si="185"/>
        <v>508</v>
      </c>
      <c r="FL77">
        <f t="shared" ca="1" si="186"/>
        <v>517488</v>
      </c>
      <c r="FM77">
        <f t="shared" si="187"/>
        <v>75000</v>
      </c>
      <c r="FN77">
        <f t="shared" ca="1" si="188"/>
        <v>442488</v>
      </c>
      <c r="FO77">
        <f t="shared" ca="1" si="189"/>
        <v>0</v>
      </c>
      <c r="FP77">
        <f t="shared" ca="1" si="190"/>
        <v>0</v>
      </c>
      <c r="FQ77">
        <f t="shared" ca="1" si="191"/>
        <v>0</v>
      </c>
      <c r="FR77">
        <f t="shared" ca="1" si="192"/>
        <v>0</v>
      </c>
      <c r="FS77">
        <f t="shared" ca="1" si="193"/>
        <v>0</v>
      </c>
      <c r="FT77">
        <f t="shared" ca="1" si="194"/>
        <v>0</v>
      </c>
      <c r="FU77">
        <f t="shared" ca="1" si="195"/>
        <v>0</v>
      </c>
      <c r="FV77">
        <f t="shared" ca="1" si="196"/>
        <v>0</v>
      </c>
      <c r="FW77">
        <f t="shared" ca="1" si="197"/>
        <v>142488</v>
      </c>
      <c r="FX77">
        <f t="shared" ca="1" si="198"/>
        <v>7124.4000000000005</v>
      </c>
      <c r="FY77">
        <f t="shared" ca="1" si="199"/>
        <v>7124</v>
      </c>
      <c r="FZ77">
        <f t="shared" ca="1" si="200"/>
        <v>0</v>
      </c>
      <c r="GA77">
        <f t="shared" ca="1" si="201"/>
        <v>0</v>
      </c>
      <c r="GB77">
        <f t="shared" ca="1" si="202"/>
        <v>7124</v>
      </c>
      <c r="GC77">
        <f t="shared" ca="1" si="203"/>
        <v>0</v>
      </c>
      <c r="GD77" t="b">
        <f t="shared" ca="1" si="204"/>
        <v>0</v>
      </c>
      <c r="GE77">
        <f t="shared" ca="1" si="205"/>
        <v>0</v>
      </c>
      <c r="GF77">
        <f t="shared" ca="1" si="206"/>
        <v>7124</v>
      </c>
      <c r="GG77">
        <f t="shared" ca="1" si="207"/>
        <v>0</v>
      </c>
      <c r="GH77">
        <f t="shared" ca="1" si="208"/>
        <v>0</v>
      </c>
      <c r="GI77">
        <f t="shared" ca="1" si="209"/>
        <v>0</v>
      </c>
    </row>
    <row r="78" spans="1:191" x14ac:dyDescent="0.25">
      <c r="A78">
        <f>_xlfn.AGGREGATE(3,5,$B$2:B78)</f>
        <v>77</v>
      </c>
      <c r="B78" t="s">
        <v>276</v>
      </c>
      <c r="C78" t="s">
        <v>277</v>
      </c>
      <c r="D78" t="s">
        <v>782</v>
      </c>
      <c r="E78" t="s">
        <v>843</v>
      </c>
      <c r="F78">
        <v>0</v>
      </c>
      <c r="G78">
        <v>6000</v>
      </c>
      <c r="H78">
        <v>32500</v>
      </c>
      <c r="I78">
        <f t="shared" si="112"/>
        <v>3250</v>
      </c>
      <c r="J78">
        <f t="shared" si="113"/>
        <v>3900</v>
      </c>
      <c r="K78">
        <v>0</v>
      </c>
      <c r="L78">
        <v>500</v>
      </c>
      <c r="M78">
        <f t="shared" si="114"/>
        <v>40150</v>
      </c>
      <c r="N78">
        <v>2000</v>
      </c>
      <c r="O78">
        <v>0</v>
      </c>
      <c r="P78">
        <f t="shared" si="115"/>
        <v>200</v>
      </c>
      <c r="Q78">
        <f t="shared" si="116"/>
        <v>37950</v>
      </c>
      <c r="R78">
        <v>32500</v>
      </c>
      <c r="S78">
        <f t="shared" si="117"/>
        <v>3250</v>
      </c>
      <c r="T78">
        <f t="shared" si="118"/>
        <v>3900</v>
      </c>
      <c r="U78">
        <v>0</v>
      </c>
      <c r="V78">
        <v>500</v>
      </c>
      <c r="W78">
        <f t="shared" si="119"/>
        <v>40150</v>
      </c>
      <c r="X78">
        <v>2000</v>
      </c>
      <c r="Y78">
        <v>0</v>
      </c>
      <c r="Z78">
        <f t="shared" si="120"/>
        <v>200</v>
      </c>
      <c r="AA78">
        <f t="shared" si="121"/>
        <v>37950</v>
      </c>
      <c r="AB78">
        <v>32500</v>
      </c>
      <c r="AC78">
        <f t="shared" si="122"/>
        <v>4550</v>
      </c>
      <c r="AD78">
        <f t="shared" si="123"/>
        <v>3900</v>
      </c>
      <c r="AE78">
        <v>0</v>
      </c>
      <c r="AF78">
        <v>500</v>
      </c>
      <c r="AG78">
        <f t="shared" si="124"/>
        <v>41450</v>
      </c>
      <c r="AH78">
        <v>2000</v>
      </c>
      <c r="AI78">
        <v>0</v>
      </c>
      <c r="AJ78">
        <f t="shared" si="125"/>
        <v>200</v>
      </c>
      <c r="AK78">
        <f t="shared" si="126"/>
        <v>39250</v>
      </c>
      <c r="AL78">
        <v>32500</v>
      </c>
      <c r="AM78">
        <f t="shared" si="127"/>
        <v>4550</v>
      </c>
      <c r="AN78">
        <f t="shared" si="128"/>
        <v>3900</v>
      </c>
      <c r="AO78">
        <v>0</v>
      </c>
      <c r="AP78">
        <v>500</v>
      </c>
      <c r="AQ78">
        <f t="shared" si="129"/>
        <v>41450</v>
      </c>
      <c r="AR78">
        <v>2000</v>
      </c>
      <c r="AS78">
        <v>0</v>
      </c>
      <c r="AT78">
        <f t="shared" si="130"/>
        <v>200</v>
      </c>
      <c r="AU78">
        <f t="shared" si="131"/>
        <v>39250</v>
      </c>
      <c r="AV78">
        <v>33500</v>
      </c>
      <c r="AW78">
        <f t="shared" si="132"/>
        <v>4690</v>
      </c>
      <c r="AX78">
        <f t="shared" si="133"/>
        <v>1300</v>
      </c>
      <c r="AY78">
        <f t="shared" si="134"/>
        <v>4020</v>
      </c>
      <c r="AZ78">
        <v>0</v>
      </c>
      <c r="BA78">
        <v>500</v>
      </c>
      <c r="BB78">
        <f t="shared" si="135"/>
        <v>44010</v>
      </c>
      <c r="BC78">
        <v>2500</v>
      </c>
      <c r="BD78">
        <v>0</v>
      </c>
      <c r="BE78">
        <f t="shared" si="136"/>
        <v>200</v>
      </c>
      <c r="BF78">
        <f t="shared" si="137"/>
        <v>41310</v>
      </c>
      <c r="BG78">
        <v>33500</v>
      </c>
      <c r="BH78">
        <f t="shared" si="138"/>
        <v>4690</v>
      </c>
      <c r="BI78">
        <f t="shared" si="139"/>
        <v>4020</v>
      </c>
      <c r="BJ78">
        <v>0</v>
      </c>
      <c r="BK78">
        <v>500</v>
      </c>
      <c r="BL78">
        <f t="shared" si="140"/>
        <v>42710</v>
      </c>
      <c r="BM78">
        <v>2500</v>
      </c>
      <c r="BN78">
        <v>0</v>
      </c>
      <c r="BO78">
        <f t="shared" si="141"/>
        <v>200</v>
      </c>
      <c r="BP78">
        <f t="shared" si="142"/>
        <v>40010</v>
      </c>
      <c r="BQ78">
        <v>33500</v>
      </c>
      <c r="BR78">
        <f t="shared" si="143"/>
        <v>4690</v>
      </c>
      <c r="BS78">
        <f t="shared" si="144"/>
        <v>4020</v>
      </c>
      <c r="BT78">
        <v>0</v>
      </c>
      <c r="BU78">
        <v>500</v>
      </c>
      <c r="BV78">
        <f t="shared" si="145"/>
        <v>42710</v>
      </c>
      <c r="BW78">
        <v>2500</v>
      </c>
      <c r="BX78">
        <v>0</v>
      </c>
      <c r="BY78">
        <f t="shared" si="146"/>
        <v>200</v>
      </c>
      <c r="BZ78">
        <f t="shared" si="147"/>
        <v>40010</v>
      </c>
      <c r="CA78">
        <v>33500</v>
      </c>
      <c r="CB78">
        <f t="shared" si="148"/>
        <v>4690</v>
      </c>
      <c r="CC78">
        <f t="shared" si="149"/>
        <v>4020</v>
      </c>
      <c r="CD78">
        <v>0</v>
      </c>
      <c r="CE78">
        <v>500</v>
      </c>
      <c r="CF78">
        <f t="shared" si="150"/>
        <v>42710</v>
      </c>
      <c r="CG78">
        <v>2500</v>
      </c>
      <c r="CH78">
        <v>0</v>
      </c>
      <c r="CI78">
        <f t="shared" si="151"/>
        <v>200</v>
      </c>
      <c r="CJ78">
        <f t="shared" si="152"/>
        <v>40010</v>
      </c>
      <c r="CK78">
        <v>33500</v>
      </c>
      <c r="CL78">
        <f t="shared" si="153"/>
        <v>4690</v>
      </c>
      <c r="CM78">
        <f t="shared" si="154"/>
        <v>4020</v>
      </c>
      <c r="CN78">
        <v>0</v>
      </c>
      <c r="CO78">
        <v>500</v>
      </c>
      <c r="CP78">
        <f t="shared" si="155"/>
        <v>42710</v>
      </c>
      <c r="CQ78">
        <v>2500</v>
      </c>
      <c r="CR78">
        <v>0</v>
      </c>
      <c r="CS78">
        <f t="shared" si="156"/>
        <v>200</v>
      </c>
      <c r="CT78">
        <f t="shared" si="157"/>
        <v>40010</v>
      </c>
      <c r="CU78">
        <v>34371</v>
      </c>
      <c r="CV78">
        <f t="shared" si="158"/>
        <v>4812</v>
      </c>
      <c r="CW78">
        <f t="shared" si="159"/>
        <v>4125</v>
      </c>
      <c r="CX78">
        <v>0</v>
      </c>
      <c r="CY78">
        <v>500</v>
      </c>
      <c r="CZ78">
        <f t="shared" si="160"/>
        <v>43808</v>
      </c>
      <c r="DA78">
        <v>2500</v>
      </c>
      <c r="DB78">
        <v>0</v>
      </c>
      <c r="DC78">
        <f t="shared" si="161"/>
        <v>200</v>
      </c>
      <c r="DD78">
        <f t="shared" si="162"/>
        <v>41108</v>
      </c>
      <c r="DE78">
        <v>34500</v>
      </c>
      <c r="DF78">
        <f t="shared" si="163"/>
        <v>4830.0000000000009</v>
      </c>
      <c r="DG78">
        <f t="shared" si="164"/>
        <v>4140</v>
      </c>
      <c r="DH78">
        <v>0</v>
      </c>
      <c r="DI78">
        <v>500</v>
      </c>
      <c r="DJ78">
        <f t="shared" si="165"/>
        <v>43970</v>
      </c>
      <c r="DK78">
        <v>2500</v>
      </c>
      <c r="DL78">
        <v>0</v>
      </c>
      <c r="DM78">
        <f t="shared" si="166"/>
        <v>200</v>
      </c>
      <c r="DN78">
        <f t="shared" si="167"/>
        <v>41270</v>
      </c>
      <c r="DO78">
        <v>34500</v>
      </c>
      <c r="DP78">
        <f t="shared" si="168"/>
        <v>4830.0000000000009</v>
      </c>
      <c r="DQ78">
        <f t="shared" si="169"/>
        <v>4140</v>
      </c>
      <c r="DR78">
        <v>0</v>
      </c>
      <c r="DS78">
        <v>500</v>
      </c>
      <c r="DT78">
        <f t="shared" si="170"/>
        <v>43970</v>
      </c>
      <c r="DU78">
        <v>2500</v>
      </c>
      <c r="DV78">
        <v>0</v>
      </c>
      <c r="DW78">
        <f t="shared" si="171"/>
        <v>200</v>
      </c>
      <c r="DX78">
        <f t="shared" si="172"/>
        <v>41270</v>
      </c>
      <c r="DY78">
        <f t="shared" si="173"/>
        <v>515798</v>
      </c>
      <c r="DZ78">
        <f t="shared" si="105"/>
        <v>2400</v>
      </c>
      <c r="EA78">
        <f t="shared" si="106"/>
        <v>50000</v>
      </c>
      <c r="EB78">
        <v>0</v>
      </c>
      <c r="EC78">
        <f t="shared" si="107"/>
        <v>463398</v>
      </c>
      <c r="ED78">
        <f t="shared" si="108"/>
        <v>28000</v>
      </c>
      <c r="EE78">
        <f t="shared" si="109"/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f t="shared" si="110"/>
        <v>28000</v>
      </c>
      <c r="EQ78">
        <f t="shared" si="174"/>
        <v>28000</v>
      </c>
      <c r="ER78">
        <f t="shared" si="111"/>
        <v>435398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f t="shared" si="175"/>
        <v>0</v>
      </c>
      <c r="FA78">
        <f t="shared" si="176"/>
        <v>435398</v>
      </c>
      <c r="FB78">
        <f t="shared" si="177"/>
        <v>9270</v>
      </c>
      <c r="FC78">
        <f t="shared" si="178"/>
        <v>0</v>
      </c>
      <c r="FD78">
        <f t="shared" si="179"/>
        <v>9270</v>
      </c>
      <c r="FE78">
        <f t="shared" si="180"/>
        <v>0</v>
      </c>
      <c r="FF78">
        <f t="shared" si="181"/>
        <v>0</v>
      </c>
      <c r="FG78">
        <f t="shared" si="182"/>
        <v>0</v>
      </c>
      <c r="FH78">
        <v>0</v>
      </c>
      <c r="FI78">
        <f t="shared" si="183"/>
        <v>0</v>
      </c>
      <c r="FJ78" t="b">
        <f t="shared" si="184"/>
        <v>1</v>
      </c>
      <c r="FK78">
        <f t="shared" ca="1" si="185"/>
        <v>779</v>
      </c>
      <c r="FL78">
        <f t="shared" ca="1" si="186"/>
        <v>516577</v>
      </c>
      <c r="FM78">
        <f t="shared" si="187"/>
        <v>75000</v>
      </c>
      <c r="FN78">
        <f t="shared" ca="1" si="188"/>
        <v>441577</v>
      </c>
      <c r="FO78">
        <f t="shared" ca="1" si="189"/>
        <v>0</v>
      </c>
      <c r="FP78">
        <f t="shared" ca="1" si="190"/>
        <v>0</v>
      </c>
      <c r="FQ78">
        <f t="shared" ca="1" si="191"/>
        <v>0</v>
      </c>
      <c r="FR78">
        <f t="shared" ca="1" si="192"/>
        <v>0</v>
      </c>
      <c r="FS78">
        <f t="shared" ca="1" si="193"/>
        <v>0</v>
      </c>
      <c r="FT78">
        <f t="shared" ca="1" si="194"/>
        <v>0</v>
      </c>
      <c r="FU78">
        <f t="shared" ca="1" si="195"/>
        <v>0</v>
      </c>
      <c r="FV78">
        <f t="shared" ca="1" si="196"/>
        <v>0</v>
      </c>
      <c r="FW78">
        <f t="shared" ca="1" si="197"/>
        <v>141577</v>
      </c>
      <c r="FX78">
        <f t="shared" ca="1" si="198"/>
        <v>7078.85</v>
      </c>
      <c r="FY78">
        <f t="shared" ca="1" si="199"/>
        <v>7079</v>
      </c>
      <c r="FZ78">
        <f t="shared" ca="1" si="200"/>
        <v>0</v>
      </c>
      <c r="GA78">
        <f t="shared" ca="1" si="201"/>
        <v>0</v>
      </c>
      <c r="GB78">
        <f t="shared" ca="1" si="202"/>
        <v>7079</v>
      </c>
      <c r="GC78">
        <f t="shared" ca="1" si="203"/>
        <v>0</v>
      </c>
      <c r="GD78" t="b">
        <f t="shared" ca="1" si="204"/>
        <v>0</v>
      </c>
      <c r="GE78">
        <f t="shared" ca="1" si="205"/>
        <v>0</v>
      </c>
      <c r="GF78">
        <f t="shared" ca="1" si="206"/>
        <v>7079</v>
      </c>
      <c r="GG78">
        <f t="shared" ca="1" si="207"/>
        <v>0</v>
      </c>
      <c r="GH78">
        <f t="shared" ca="1" si="208"/>
        <v>0</v>
      </c>
      <c r="GI78">
        <f t="shared" ca="1" si="209"/>
        <v>0</v>
      </c>
    </row>
    <row r="79" spans="1:191" x14ac:dyDescent="0.25">
      <c r="A79">
        <f>_xlfn.AGGREGATE(3,5,$B$2:B79)</f>
        <v>78</v>
      </c>
      <c r="B79" t="s">
        <v>278</v>
      </c>
      <c r="C79" t="s">
        <v>279</v>
      </c>
      <c r="D79" t="s">
        <v>782</v>
      </c>
      <c r="E79" t="s">
        <v>843</v>
      </c>
      <c r="F79">
        <v>0</v>
      </c>
      <c r="G79">
        <v>6000</v>
      </c>
      <c r="H79">
        <v>26200</v>
      </c>
      <c r="I79">
        <f t="shared" si="112"/>
        <v>2620</v>
      </c>
      <c r="J79">
        <f t="shared" si="113"/>
        <v>3144</v>
      </c>
      <c r="K79">
        <v>0</v>
      </c>
      <c r="L79">
        <v>500</v>
      </c>
      <c r="M79">
        <f t="shared" si="114"/>
        <v>32464</v>
      </c>
      <c r="N79">
        <v>2000</v>
      </c>
      <c r="O79">
        <v>0</v>
      </c>
      <c r="P79">
        <f t="shared" si="115"/>
        <v>150</v>
      </c>
      <c r="Q79">
        <f t="shared" si="116"/>
        <v>30314</v>
      </c>
      <c r="R79">
        <v>26200</v>
      </c>
      <c r="S79">
        <f t="shared" si="117"/>
        <v>2620</v>
      </c>
      <c r="T79">
        <f t="shared" si="118"/>
        <v>3144</v>
      </c>
      <c r="U79">
        <v>0</v>
      </c>
      <c r="V79">
        <v>500</v>
      </c>
      <c r="W79">
        <f t="shared" si="119"/>
        <v>32464</v>
      </c>
      <c r="X79">
        <v>2000</v>
      </c>
      <c r="Y79">
        <v>0</v>
      </c>
      <c r="Z79">
        <f t="shared" si="120"/>
        <v>150</v>
      </c>
      <c r="AA79">
        <f t="shared" si="121"/>
        <v>30314</v>
      </c>
      <c r="AB79">
        <v>26200</v>
      </c>
      <c r="AC79">
        <f t="shared" si="122"/>
        <v>3668.0000000000005</v>
      </c>
      <c r="AD79">
        <f t="shared" si="123"/>
        <v>3144</v>
      </c>
      <c r="AE79">
        <v>0</v>
      </c>
      <c r="AF79">
        <v>500</v>
      </c>
      <c r="AG79">
        <f t="shared" si="124"/>
        <v>33512</v>
      </c>
      <c r="AH79">
        <v>2000</v>
      </c>
      <c r="AI79">
        <v>0</v>
      </c>
      <c r="AJ79">
        <f t="shared" si="125"/>
        <v>150</v>
      </c>
      <c r="AK79">
        <f t="shared" si="126"/>
        <v>31362</v>
      </c>
      <c r="AL79">
        <v>26200</v>
      </c>
      <c r="AM79">
        <f t="shared" si="127"/>
        <v>3668.0000000000005</v>
      </c>
      <c r="AN79">
        <f t="shared" si="128"/>
        <v>3144</v>
      </c>
      <c r="AO79">
        <v>0</v>
      </c>
      <c r="AP79">
        <v>500</v>
      </c>
      <c r="AQ79">
        <f t="shared" si="129"/>
        <v>33512</v>
      </c>
      <c r="AR79">
        <v>2000</v>
      </c>
      <c r="AS79">
        <v>0</v>
      </c>
      <c r="AT79">
        <f t="shared" si="130"/>
        <v>150</v>
      </c>
      <c r="AU79">
        <f t="shared" si="131"/>
        <v>31362</v>
      </c>
      <c r="AV79">
        <v>27000</v>
      </c>
      <c r="AW79">
        <f t="shared" si="132"/>
        <v>3780.0000000000005</v>
      </c>
      <c r="AX79">
        <f t="shared" si="133"/>
        <v>1048</v>
      </c>
      <c r="AY79">
        <f t="shared" si="134"/>
        <v>3240</v>
      </c>
      <c r="AZ79">
        <v>0</v>
      </c>
      <c r="BA79">
        <v>500</v>
      </c>
      <c r="BB79">
        <f t="shared" si="135"/>
        <v>35568</v>
      </c>
      <c r="BC79">
        <v>2000</v>
      </c>
      <c r="BD79">
        <v>0</v>
      </c>
      <c r="BE79">
        <f t="shared" si="136"/>
        <v>150</v>
      </c>
      <c r="BF79">
        <f t="shared" si="137"/>
        <v>33418</v>
      </c>
      <c r="BG79">
        <v>27000</v>
      </c>
      <c r="BH79">
        <f t="shared" si="138"/>
        <v>3780.0000000000005</v>
      </c>
      <c r="BI79">
        <f t="shared" si="139"/>
        <v>3240</v>
      </c>
      <c r="BJ79">
        <v>0</v>
      </c>
      <c r="BK79">
        <v>500</v>
      </c>
      <c r="BL79">
        <f t="shared" si="140"/>
        <v>34520</v>
      </c>
      <c r="BM79">
        <v>2000</v>
      </c>
      <c r="BN79">
        <v>0</v>
      </c>
      <c r="BO79">
        <f t="shared" si="141"/>
        <v>150</v>
      </c>
      <c r="BP79">
        <f t="shared" si="142"/>
        <v>32370</v>
      </c>
      <c r="BQ79">
        <v>27000</v>
      </c>
      <c r="BR79">
        <f t="shared" si="143"/>
        <v>3780.0000000000005</v>
      </c>
      <c r="BS79">
        <f t="shared" si="144"/>
        <v>3240</v>
      </c>
      <c r="BT79">
        <v>0</v>
      </c>
      <c r="BU79">
        <v>500</v>
      </c>
      <c r="BV79">
        <f t="shared" si="145"/>
        <v>34520</v>
      </c>
      <c r="BW79">
        <v>2000</v>
      </c>
      <c r="BX79">
        <v>0</v>
      </c>
      <c r="BY79">
        <f t="shared" si="146"/>
        <v>150</v>
      </c>
      <c r="BZ79">
        <f t="shared" si="147"/>
        <v>32370</v>
      </c>
      <c r="CA79">
        <v>27000</v>
      </c>
      <c r="CB79">
        <f t="shared" si="148"/>
        <v>3780.0000000000005</v>
      </c>
      <c r="CC79">
        <f t="shared" si="149"/>
        <v>3240</v>
      </c>
      <c r="CD79">
        <v>0</v>
      </c>
      <c r="CE79">
        <v>500</v>
      </c>
      <c r="CF79">
        <f t="shared" si="150"/>
        <v>34520</v>
      </c>
      <c r="CG79">
        <v>2000</v>
      </c>
      <c r="CH79">
        <v>0</v>
      </c>
      <c r="CI79">
        <f t="shared" si="151"/>
        <v>150</v>
      </c>
      <c r="CJ79">
        <f t="shared" si="152"/>
        <v>32370</v>
      </c>
      <c r="CK79">
        <v>27000</v>
      </c>
      <c r="CL79">
        <f t="shared" si="153"/>
        <v>3780.0000000000005</v>
      </c>
      <c r="CM79">
        <f t="shared" si="154"/>
        <v>3240</v>
      </c>
      <c r="CN79">
        <v>0</v>
      </c>
      <c r="CO79">
        <v>500</v>
      </c>
      <c r="CP79">
        <f t="shared" si="155"/>
        <v>34520</v>
      </c>
      <c r="CQ79">
        <v>2000</v>
      </c>
      <c r="CR79">
        <v>0</v>
      </c>
      <c r="CS79">
        <f t="shared" si="156"/>
        <v>150</v>
      </c>
      <c r="CT79">
        <f t="shared" si="157"/>
        <v>32370</v>
      </c>
      <c r="CU79">
        <v>27000</v>
      </c>
      <c r="CV79">
        <f t="shared" si="158"/>
        <v>3780</v>
      </c>
      <c r="CW79">
        <f t="shared" si="159"/>
        <v>3240</v>
      </c>
      <c r="CX79">
        <v>0</v>
      </c>
      <c r="CY79">
        <v>500</v>
      </c>
      <c r="CZ79">
        <f t="shared" si="160"/>
        <v>34520</v>
      </c>
      <c r="DA79">
        <v>2000</v>
      </c>
      <c r="DB79">
        <v>0</v>
      </c>
      <c r="DC79">
        <f t="shared" si="161"/>
        <v>150</v>
      </c>
      <c r="DD79">
        <f t="shared" si="162"/>
        <v>32370</v>
      </c>
      <c r="DE79">
        <v>27000</v>
      </c>
      <c r="DF79">
        <f t="shared" si="163"/>
        <v>3780.0000000000005</v>
      </c>
      <c r="DG79">
        <f t="shared" si="164"/>
        <v>3240</v>
      </c>
      <c r="DH79">
        <v>0</v>
      </c>
      <c r="DI79">
        <v>500</v>
      </c>
      <c r="DJ79">
        <f t="shared" si="165"/>
        <v>34520</v>
      </c>
      <c r="DK79">
        <v>2000</v>
      </c>
      <c r="DL79">
        <v>0</v>
      </c>
      <c r="DM79">
        <f t="shared" si="166"/>
        <v>150</v>
      </c>
      <c r="DN79">
        <f t="shared" si="167"/>
        <v>32370</v>
      </c>
      <c r="DO79">
        <v>27000</v>
      </c>
      <c r="DP79">
        <f t="shared" si="168"/>
        <v>3780.0000000000005</v>
      </c>
      <c r="DQ79">
        <f t="shared" si="169"/>
        <v>3240</v>
      </c>
      <c r="DR79">
        <v>0</v>
      </c>
      <c r="DS79">
        <v>500</v>
      </c>
      <c r="DT79">
        <f t="shared" si="170"/>
        <v>34520</v>
      </c>
      <c r="DU79">
        <v>2000</v>
      </c>
      <c r="DV79">
        <v>0</v>
      </c>
      <c r="DW79">
        <f t="shared" si="171"/>
        <v>150</v>
      </c>
      <c r="DX79">
        <f t="shared" si="172"/>
        <v>32370</v>
      </c>
      <c r="DY79">
        <f t="shared" si="173"/>
        <v>415160</v>
      </c>
      <c r="DZ79">
        <f t="shared" si="105"/>
        <v>1800</v>
      </c>
      <c r="EA79">
        <f t="shared" si="106"/>
        <v>50000</v>
      </c>
      <c r="EB79">
        <v>0</v>
      </c>
      <c r="EC79">
        <f t="shared" si="107"/>
        <v>363360</v>
      </c>
      <c r="ED79">
        <f t="shared" si="108"/>
        <v>24000</v>
      </c>
      <c r="EE79">
        <f t="shared" si="109"/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f t="shared" si="110"/>
        <v>24000</v>
      </c>
      <c r="EQ79">
        <f t="shared" si="174"/>
        <v>24000</v>
      </c>
      <c r="ER79">
        <f t="shared" si="111"/>
        <v>339360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f t="shared" si="175"/>
        <v>0</v>
      </c>
      <c r="FA79">
        <f t="shared" si="176"/>
        <v>339360</v>
      </c>
      <c r="FB79">
        <f t="shared" si="177"/>
        <v>4468</v>
      </c>
      <c r="FC79">
        <f t="shared" si="178"/>
        <v>0</v>
      </c>
      <c r="FD79">
        <f t="shared" si="179"/>
        <v>4468</v>
      </c>
      <c r="FE79">
        <f t="shared" si="180"/>
        <v>0</v>
      </c>
      <c r="FF79">
        <f t="shared" si="181"/>
        <v>0</v>
      </c>
      <c r="FG79">
        <f t="shared" si="182"/>
        <v>0</v>
      </c>
      <c r="FH79">
        <v>0</v>
      </c>
      <c r="FI79">
        <f t="shared" si="183"/>
        <v>0</v>
      </c>
      <c r="FJ79" t="b">
        <f t="shared" si="184"/>
        <v>0</v>
      </c>
      <c r="FK79">
        <f t="shared" ca="1" si="185"/>
        <v>2658</v>
      </c>
      <c r="FL79">
        <f t="shared" ca="1" si="186"/>
        <v>417818</v>
      </c>
      <c r="FM79">
        <f t="shared" si="187"/>
        <v>75000</v>
      </c>
      <c r="FN79">
        <f t="shared" ca="1" si="188"/>
        <v>342818</v>
      </c>
      <c r="FO79">
        <f t="shared" ca="1" si="189"/>
        <v>0</v>
      </c>
      <c r="FP79">
        <f t="shared" ca="1" si="190"/>
        <v>0</v>
      </c>
      <c r="FQ79">
        <f t="shared" ca="1" si="191"/>
        <v>0</v>
      </c>
      <c r="FR79">
        <f t="shared" ca="1" si="192"/>
        <v>0</v>
      </c>
      <c r="FS79">
        <f t="shared" ca="1" si="193"/>
        <v>0</v>
      </c>
      <c r="FT79">
        <f t="shared" ca="1" si="194"/>
        <v>0</v>
      </c>
      <c r="FU79">
        <f t="shared" ca="1" si="195"/>
        <v>0</v>
      </c>
      <c r="FV79">
        <f t="shared" ca="1" si="196"/>
        <v>0</v>
      </c>
      <c r="FW79">
        <f t="shared" ca="1" si="197"/>
        <v>42818</v>
      </c>
      <c r="FX79">
        <f t="shared" ca="1" si="198"/>
        <v>2140.9</v>
      </c>
      <c r="FY79">
        <f t="shared" ca="1" si="199"/>
        <v>2141</v>
      </c>
      <c r="FZ79">
        <f t="shared" ca="1" si="200"/>
        <v>0</v>
      </c>
      <c r="GA79">
        <f t="shared" ca="1" si="201"/>
        <v>0</v>
      </c>
      <c r="GB79">
        <f t="shared" ca="1" si="202"/>
        <v>2141</v>
      </c>
      <c r="GC79">
        <f t="shared" ca="1" si="203"/>
        <v>0</v>
      </c>
      <c r="GD79" t="b">
        <f t="shared" ca="1" si="204"/>
        <v>0</v>
      </c>
      <c r="GE79">
        <f t="shared" ca="1" si="205"/>
        <v>0</v>
      </c>
      <c r="GF79">
        <f t="shared" ca="1" si="206"/>
        <v>2141</v>
      </c>
      <c r="GG79">
        <f t="shared" ca="1" si="207"/>
        <v>0</v>
      </c>
      <c r="GH79">
        <f t="shared" ca="1" si="208"/>
        <v>0</v>
      </c>
      <c r="GI79">
        <f t="shared" ca="1" si="209"/>
        <v>0</v>
      </c>
    </row>
    <row r="80" spans="1:191" x14ac:dyDescent="0.25">
      <c r="A80">
        <f>_xlfn.AGGREGATE(3,5,$B$2:B80)</f>
        <v>79</v>
      </c>
      <c r="B80" t="s">
        <v>280</v>
      </c>
      <c r="C80" t="s">
        <v>281</v>
      </c>
      <c r="D80" t="s">
        <v>782</v>
      </c>
      <c r="E80" t="s">
        <v>843</v>
      </c>
      <c r="F80">
        <v>0</v>
      </c>
      <c r="G80">
        <v>6000</v>
      </c>
      <c r="H80">
        <v>26200</v>
      </c>
      <c r="I80">
        <f t="shared" si="112"/>
        <v>2620</v>
      </c>
      <c r="J80">
        <f t="shared" si="113"/>
        <v>3144</v>
      </c>
      <c r="K80">
        <v>0</v>
      </c>
      <c r="L80">
        <v>500</v>
      </c>
      <c r="M80">
        <f t="shared" si="114"/>
        <v>32464</v>
      </c>
      <c r="N80">
        <v>2000</v>
      </c>
      <c r="O80">
        <v>0</v>
      </c>
      <c r="P80">
        <f t="shared" si="115"/>
        <v>150</v>
      </c>
      <c r="Q80">
        <f t="shared" si="116"/>
        <v>30314</v>
      </c>
      <c r="R80">
        <v>26200</v>
      </c>
      <c r="S80">
        <f t="shared" si="117"/>
        <v>2620</v>
      </c>
      <c r="T80">
        <f t="shared" si="118"/>
        <v>3144</v>
      </c>
      <c r="U80">
        <v>0</v>
      </c>
      <c r="V80">
        <v>500</v>
      </c>
      <c r="W80">
        <f t="shared" si="119"/>
        <v>32464</v>
      </c>
      <c r="X80">
        <v>2000</v>
      </c>
      <c r="Y80">
        <v>0</v>
      </c>
      <c r="Z80">
        <f t="shared" si="120"/>
        <v>150</v>
      </c>
      <c r="AA80">
        <f t="shared" si="121"/>
        <v>30314</v>
      </c>
      <c r="AB80">
        <v>26200</v>
      </c>
      <c r="AC80">
        <f t="shared" si="122"/>
        <v>3668.0000000000005</v>
      </c>
      <c r="AD80">
        <f t="shared" si="123"/>
        <v>3144</v>
      </c>
      <c r="AE80">
        <v>0</v>
      </c>
      <c r="AF80">
        <v>500</v>
      </c>
      <c r="AG80">
        <f t="shared" si="124"/>
        <v>33512</v>
      </c>
      <c r="AH80">
        <v>2000</v>
      </c>
      <c r="AI80">
        <v>0</v>
      </c>
      <c r="AJ80">
        <f t="shared" si="125"/>
        <v>150</v>
      </c>
      <c r="AK80">
        <f t="shared" si="126"/>
        <v>31362</v>
      </c>
      <c r="AL80">
        <v>26200</v>
      </c>
      <c r="AM80">
        <f t="shared" si="127"/>
        <v>3668.0000000000005</v>
      </c>
      <c r="AN80">
        <f t="shared" si="128"/>
        <v>3144</v>
      </c>
      <c r="AO80">
        <v>0</v>
      </c>
      <c r="AP80">
        <v>500</v>
      </c>
      <c r="AQ80">
        <f t="shared" si="129"/>
        <v>33512</v>
      </c>
      <c r="AR80">
        <v>2000</v>
      </c>
      <c r="AS80">
        <v>0</v>
      </c>
      <c r="AT80">
        <f t="shared" si="130"/>
        <v>150</v>
      </c>
      <c r="AU80">
        <f t="shared" si="131"/>
        <v>31362</v>
      </c>
      <c r="AV80">
        <v>27000</v>
      </c>
      <c r="AW80">
        <f t="shared" si="132"/>
        <v>3780.0000000000005</v>
      </c>
      <c r="AX80">
        <f t="shared" si="133"/>
        <v>1048</v>
      </c>
      <c r="AY80">
        <f t="shared" si="134"/>
        <v>3240</v>
      </c>
      <c r="AZ80">
        <v>0</v>
      </c>
      <c r="BA80">
        <v>500</v>
      </c>
      <c r="BB80">
        <f t="shared" si="135"/>
        <v>35568</v>
      </c>
      <c r="BC80">
        <v>2000</v>
      </c>
      <c r="BD80">
        <v>0</v>
      </c>
      <c r="BE80">
        <f t="shared" si="136"/>
        <v>150</v>
      </c>
      <c r="BF80">
        <f t="shared" si="137"/>
        <v>33418</v>
      </c>
      <c r="BG80">
        <v>27000</v>
      </c>
      <c r="BH80">
        <f t="shared" si="138"/>
        <v>3780.0000000000005</v>
      </c>
      <c r="BI80">
        <f t="shared" si="139"/>
        <v>3240</v>
      </c>
      <c r="BJ80">
        <v>0</v>
      </c>
      <c r="BK80">
        <v>500</v>
      </c>
      <c r="BL80">
        <f t="shared" si="140"/>
        <v>34520</v>
      </c>
      <c r="BM80">
        <v>2000</v>
      </c>
      <c r="BN80">
        <v>0</v>
      </c>
      <c r="BO80">
        <f t="shared" si="141"/>
        <v>150</v>
      </c>
      <c r="BP80">
        <f t="shared" si="142"/>
        <v>32370</v>
      </c>
      <c r="BQ80">
        <v>27000</v>
      </c>
      <c r="BR80">
        <f t="shared" si="143"/>
        <v>3780.0000000000005</v>
      </c>
      <c r="BS80">
        <f t="shared" si="144"/>
        <v>3240</v>
      </c>
      <c r="BT80">
        <v>0</v>
      </c>
      <c r="BU80">
        <v>500</v>
      </c>
      <c r="BV80">
        <f t="shared" si="145"/>
        <v>34520</v>
      </c>
      <c r="BW80">
        <v>2000</v>
      </c>
      <c r="BX80">
        <v>0</v>
      </c>
      <c r="BY80">
        <f t="shared" si="146"/>
        <v>150</v>
      </c>
      <c r="BZ80">
        <f t="shared" si="147"/>
        <v>32370</v>
      </c>
      <c r="CA80">
        <v>27000</v>
      </c>
      <c r="CB80">
        <f t="shared" si="148"/>
        <v>3780.0000000000005</v>
      </c>
      <c r="CC80">
        <f t="shared" si="149"/>
        <v>3240</v>
      </c>
      <c r="CD80">
        <v>0</v>
      </c>
      <c r="CE80">
        <v>500</v>
      </c>
      <c r="CF80">
        <f t="shared" si="150"/>
        <v>34520</v>
      </c>
      <c r="CG80">
        <v>2000</v>
      </c>
      <c r="CH80">
        <v>0</v>
      </c>
      <c r="CI80">
        <f t="shared" si="151"/>
        <v>150</v>
      </c>
      <c r="CJ80">
        <f t="shared" si="152"/>
        <v>32370</v>
      </c>
      <c r="CK80">
        <v>27000</v>
      </c>
      <c r="CL80">
        <f t="shared" si="153"/>
        <v>3780.0000000000005</v>
      </c>
      <c r="CM80">
        <f t="shared" si="154"/>
        <v>3240</v>
      </c>
      <c r="CN80">
        <v>0</v>
      </c>
      <c r="CO80">
        <v>500</v>
      </c>
      <c r="CP80">
        <f t="shared" si="155"/>
        <v>34520</v>
      </c>
      <c r="CQ80">
        <v>2000</v>
      </c>
      <c r="CR80">
        <v>0</v>
      </c>
      <c r="CS80">
        <f t="shared" si="156"/>
        <v>150</v>
      </c>
      <c r="CT80">
        <f t="shared" si="157"/>
        <v>32370</v>
      </c>
      <c r="CU80">
        <v>27000</v>
      </c>
      <c r="CV80">
        <f t="shared" si="158"/>
        <v>3780</v>
      </c>
      <c r="CW80">
        <f t="shared" si="159"/>
        <v>3240</v>
      </c>
      <c r="CX80">
        <v>0</v>
      </c>
      <c r="CY80">
        <v>500</v>
      </c>
      <c r="CZ80">
        <f t="shared" si="160"/>
        <v>34520</v>
      </c>
      <c r="DA80">
        <v>2000</v>
      </c>
      <c r="DB80">
        <v>0</v>
      </c>
      <c r="DC80">
        <f t="shared" si="161"/>
        <v>150</v>
      </c>
      <c r="DD80">
        <f t="shared" si="162"/>
        <v>32370</v>
      </c>
      <c r="DE80">
        <v>27000</v>
      </c>
      <c r="DF80">
        <f t="shared" si="163"/>
        <v>3780.0000000000005</v>
      </c>
      <c r="DG80">
        <f t="shared" si="164"/>
        <v>3240</v>
      </c>
      <c r="DH80">
        <v>0</v>
      </c>
      <c r="DI80">
        <v>500</v>
      </c>
      <c r="DJ80">
        <f t="shared" si="165"/>
        <v>34520</v>
      </c>
      <c r="DK80">
        <v>2000</v>
      </c>
      <c r="DL80">
        <v>0</v>
      </c>
      <c r="DM80">
        <f t="shared" si="166"/>
        <v>150</v>
      </c>
      <c r="DN80">
        <f t="shared" si="167"/>
        <v>32370</v>
      </c>
      <c r="DO80">
        <v>27000</v>
      </c>
      <c r="DP80">
        <f t="shared" si="168"/>
        <v>3780.0000000000005</v>
      </c>
      <c r="DQ80">
        <f t="shared" si="169"/>
        <v>3240</v>
      </c>
      <c r="DR80">
        <v>0</v>
      </c>
      <c r="DS80">
        <v>500</v>
      </c>
      <c r="DT80">
        <f t="shared" si="170"/>
        <v>34520</v>
      </c>
      <c r="DU80">
        <v>2000</v>
      </c>
      <c r="DV80">
        <v>0</v>
      </c>
      <c r="DW80">
        <f t="shared" si="171"/>
        <v>150</v>
      </c>
      <c r="DX80">
        <f t="shared" si="172"/>
        <v>32370</v>
      </c>
      <c r="DY80">
        <f t="shared" si="173"/>
        <v>415160</v>
      </c>
      <c r="DZ80">
        <f t="shared" si="105"/>
        <v>1800</v>
      </c>
      <c r="EA80">
        <f t="shared" si="106"/>
        <v>50000</v>
      </c>
      <c r="EB80">
        <v>0</v>
      </c>
      <c r="EC80">
        <f t="shared" si="107"/>
        <v>363360</v>
      </c>
      <c r="ED80">
        <f t="shared" si="108"/>
        <v>24000</v>
      </c>
      <c r="EE80">
        <f t="shared" si="109"/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f t="shared" si="110"/>
        <v>24000</v>
      </c>
      <c r="EQ80">
        <f t="shared" si="174"/>
        <v>24000</v>
      </c>
      <c r="ER80">
        <f t="shared" si="111"/>
        <v>339360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f t="shared" si="175"/>
        <v>0</v>
      </c>
      <c r="FA80">
        <f t="shared" si="176"/>
        <v>339360</v>
      </c>
      <c r="FB80">
        <f t="shared" si="177"/>
        <v>4468</v>
      </c>
      <c r="FC80">
        <f t="shared" si="178"/>
        <v>0</v>
      </c>
      <c r="FD80">
        <f t="shared" si="179"/>
        <v>4468</v>
      </c>
      <c r="FE80">
        <f t="shared" si="180"/>
        <v>0</v>
      </c>
      <c r="FF80">
        <f t="shared" si="181"/>
        <v>0</v>
      </c>
      <c r="FG80">
        <f t="shared" si="182"/>
        <v>0</v>
      </c>
      <c r="FH80">
        <v>0</v>
      </c>
      <c r="FI80">
        <f t="shared" si="183"/>
        <v>0</v>
      </c>
      <c r="FJ80" t="b">
        <f t="shared" si="184"/>
        <v>0</v>
      </c>
      <c r="FK80">
        <f t="shared" ca="1" si="185"/>
        <v>1811</v>
      </c>
      <c r="FL80">
        <f t="shared" ca="1" si="186"/>
        <v>416971</v>
      </c>
      <c r="FM80">
        <f t="shared" si="187"/>
        <v>75000</v>
      </c>
      <c r="FN80">
        <f t="shared" ca="1" si="188"/>
        <v>341971</v>
      </c>
      <c r="FO80">
        <f t="shared" ca="1" si="189"/>
        <v>0</v>
      </c>
      <c r="FP80">
        <f t="shared" ca="1" si="190"/>
        <v>0</v>
      </c>
      <c r="FQ80">
        <f t="shared" ca="1" si="191"/>
        <v>0</v>
      </c>
      <c r="FR80">
        <f t="shared" ca="1" si="192"/>
        <v>0</v>
      </c>
      <c r="FS80">
        <f t="shared" ca="1" si="193"/>
        <v>0</v>
      </c>
      <c r="FT80">
        <f t="shared" ca="1" si="194"/>
        <v>0</v>
      </c>
      <c r="FU80">
        <f t="shared" ca="1" si="195"/>
        <v>0</v>
      </c>
      <c r="FV80">
        <f t="shared" ca="1" si="196"/>
        <v>0</v>
      </c>
      <c r="FW80">
        <f t="shared" ca="1" si="197"/>
        <v>41971</v>
      </c>
      <c r="FX80">
        <f t="shared" ca="1" si="198"/>
        <v>2098.5500000000002</v>
      </c>
      <c r="FY80">
        <f t="shared" ca="1" si="199"/>
        <v>2099</v>
      </c>
      <c r="FZ80">
        <f t="shared" ca="1" si="200"/>
        <v>0</v>
      </c>
      <c r="GA80">
        <f t="shared" ca="1" si="201"/>
        <v>0</v>
      </c>
      <c r="GB80">
        <f t="shared" ca="1" si="202"/>
        <v>2099</v>
      </c>
      <c r="GC80">
        <f t="shared" ca="1" si="203"/>
        <v>0</v>
      </c>
      <c r="GD80" t="b">
        <f t="shared" ca="1" si="204"/>
        <v>0</v>
      </c>
      <c r="GE80">
        <f t="shared" ca="1" si="205"/>
        <v>0</v>
      </c>
      <c r="GF80">
        <f t="shared" ca="1" si="206"/>
        <v>2099</v>
      </c>
      <c r="GG80">
        <f t="shared" ca="1" si="207"/>
        <v>0</v>
      </c>
      <c r="GH80">
        <f t="shared" ca="1" si="208"/>
        <v>0</v>
      </c>
      <c r="GI80">
        <f t="shared" ca="1" si="209"/>
        <v>0</v>
      </c>
    </row>
    <row r="81" spans="1:191" x14ac:dyDescent="0.25">
      <c r="A81">
        <f>_xlfn.AGGREGATE(3,5,$B$2:B81)</f>
        <v>80</v>
      </c>
      <c r="B81" t="s">
        <v>282</v>
      </c>
      <c r="C81" t="s">
        <v>283</v>
      </c>
      <c r="D81" t="s">
        <v>782</v>
      </c>
      <c r="E81" t="s">
        <v>843</v>
      </c>
      <c r="F81">
        <v>0</v>
      </c>
      <c r="G81">
        <v>0</v>
      </c>
      <c r="H81">
        <v>0</v>
      </c>
      <c r="I81">
        <f t="shared" si="112"/>
        <v>0</v>
      </c>
      <c r="J81">
        <f t="shared" si="113"/>
        <v>0</v>
      </c>
      <c r="K81">
        <v>0</v>
      </c>
      <c r="L81">
        <v>0</v>
      </c>
      <c r="M81">
        <f t="shared" si="114"/>
        <v>0</v>
      </c>
      <c r="N81">
        <v>0</v>
      </c>
      <c r="O81">
        <v>0</v>
      </c>
      <c r="P81">
        <f t="shared" si="115"/>
        <v>0</v>
      </c>
      <c r="Q81">
        <f t="shared" si="116"/>
        <v>0</v>
      </c>
      <c r="R81">
        <v>28900</v>
      </c>
      <c r="S81">
        <f t="shared" si="117"/>
        <v>2890</v>
      </c>
      <c r="T81">
        <f t="shared" si="118"/>
        <v>3468</v>
      </c>
      <c r="U81">
        <v>0</v>
      </c>
      <c r="V81">
        <v>0</v>
      </c>
      <c r="W81">
        <f t="shared" si="119"/>
        <v>35258</v>
      </c>
      <c r="X81">
        <v>0</v>
      </c>
      <c r="Y81">
        <v>0</v>
      </c>
      <c r="Z81">
        <f t="shared" si="120"/>
        <v>150</v>
      </c>
      <c r="AA81">
        <f t="shared" si="121"/>
        <v>35108</v>
      </c>
      <c r="AB81">
        <v>28900</v>
      </c>
      <c r="AC81">
        <f t="shared" si="122"/>
        <v>4046.0000000000005</v>
      </c>
      <c r="AD81">
        <f t="shared" si="123"/>
        <v>3468</v>
      </c>
      <c r="AE81">
        <v>0</v>
      </c>
      <c r="AF81">
        <v>0</v>
      </c>
      <c r="AG81">
        <f t="shared" si="124"/>
        <v>36414</v>
      </c>
      <c r="AH81">
        <v>0</v>
      </c>
      <c r="AI81">
        <v>0</v>
      </c>
      <c r="AJ81">
        <f t="shared" si="125"/>
        <v>150</v>
      </c>
      <c r="AK81">
        <f t="shared" si="126"/>
        <v>36264</v>
      </c>
      <c r="AL81">
        <v>28900</v>
      </c>
      <c r="AM81">
        <f t="shared" si="127"/>
        <v>4046.0000000000005</v>
      </c>
      <c r="AN81">
        <f t="shared" si="128"/>
        <v>3468</v>
      </c>
      <c r="AO81">
        <v>0</v>
      </c>
      <c r="AP81">
        <v>0</v>
      </c>
      <c r="AQ81">
        <f t="shared" si="129"/>
        <v>36414</v>
      </c>
      <c r="AR81">
        <v>0</v>
      </c>
      <c r="AS81">
        <v>0</v>
      </c>
      <c r="AT81">
        <f t="shared" si="130"/>
        <v>150</v>
      </c>
      <c r="AU81">
        <f t="shared" si="131"/>
        <v>36264</v>
      </c>
      <c r="AV81">
        <v>28900</v>
      </c>
      <c r="AW81">
        <f t="shared" si="132"/>
        <v>4046.0000000000005</v>
      </c>
      <c r="AX81">
        <f t="shared" si="133"/>
        <v>1156</v>
      </c>
      <c r="AY81">
        <f t="shared" si="134"/>
        <v>3468</v>
      </c>
      <c r="AZ81">
        <v>0</v>
      </c>
      <c r="BA81">
        <v>0</v>
      </c>
      <c r="BB81">
        <f t="shared" si="135"/>
        <v>37570</v>
      </c>
      <c r="BC81">
        <v>0</v>
      </c>
      <c r="BD81">
        <v>0</v>
      </c>
      <c r="BE81">
        <f t="shared" si="136"/>
        <v>150</v>
      </c>
      <c r="BF81">
        <f t="shared" si="137"/>
        <v>37420</v>
      </c>
      <c r="BG81">
        <v>28900</v>
      </c>
      <c r="BH81">
        <f t="shared" si="138"/>
        <v>4046.0000000000005</v>
      </c>
      <c r="BI81">
        <f t="shared" si="139"/>
        <v>3468</v>
      </c>
      <c r="BJ81">
        <v>0</v>
      </c>
      <c r="BK81">
        <v>0</v>
      </c>
      <c r="BL81">
        <f t="shared" si="140"/>
        <v>36414</v>
      </c>
      <c r="BM81">
        <v>0</v>
      </c>
      <c r="BN81">
        <v>0</v>
      </c>
      <c r="BO81">
        <f t="shared" si="141"/>
        <v>150</v>
      </c>
      <c r="BP81">
        <f t="shared" si="142"/>
        <v>36264</v>
      </c>
      <c r="BQ81">
        <v>28900</v>
      </c>
      <c r="BR81">
        <f t="shared" si="143"/>
        <v>4046.0000000000005</v>
      </c>
      <c r="BS81">
        <f t="shared" si="144"/>
        <v>3468</v>
      </c>
      <c r="BT81">
        <v>0</v>
      </c>
      <c r="BU81">
        <v>0</v>
      </c>
      <c r="BV81">
        <f t="shared" si="145"/>
        <v>36414</v>
      </c>
      <c r="BW81">
        <v>0</v>
      </c>
      <c r="BX81">
        <v>0</v>
      </c>
      <c r="BY81">
        <f t="shared" si="146"/>
        <v>150</v>
      </c>
      <c r="BZ81">
        <f t="shared" si="147"/>
        <v>36264</v>
      </c>
      <c r="CA81">
        <v>28900</v>
      </c>
      <c r="CB81">
        <f t="shared" si="148"/>
        <v>4046.0000000000005</v>
      </c>
      <c r="CC81">
        <f t="shared" si="149"/>
        <v>3468</v>
      </c>
      <c r="CD81">
        <v>0</v>
      </c>
      <c r="CE81">
        <v>0</v>
      </c>
      <c r="CF81">
        <f t="shared" si="150"/>
        <v>36414</v>
      </c>
      <c r="CG81">
        <v>0</v>
      </c>
      <c r="CH81">
        <v>0</v>
      </c>
      <c r="CI81">
        <f t="shared" si="151"/>
        <v>150</v>
      </c>
      <c r="CJ81">
        <f t="shared" si="152"/>
        <v>36264</v>
      </c>
      <c r="CK81">
        <v>28900</v>
      </c>
      <c r="CL81">
        <f t="shared" si="153"/>
        <v>4046.0000000000005</v>
      </c>
      <c r="CM81">
        <f t="shared" si="154"/>
        <v>3468</v>
      </c>
      <c r="CN81">
        <v>0</v>
      </c>
      <c r="CO81">
        <v>0</v>
      </c>
      <c r="CP81">
        <f t="shared" si="155"/>
        <v>36414</v>
      </c>
      <c r="CQ81">
        <v>0</v>
      </c>
      <c r="CR81">
        <v>0</v>
      </c>
      <c r="CS81">
        <f t="shared" si="156"/>
        <v>150</v>
      </c>
      <c r="CT81">
        <f t="shared" si="157"/>
        <v>36264</v>
      </c>
      <c r="CU81">
        <v>28900</v>
      </c>
      <c r="CV81">
        <f t="shared" si="158"/>
        <v>4046</v>
      </c>
      <c r="CW81">
        <f t="shared" si="159"/>
        <v>3468</v>
      </c>
      <c r="CX81">
        <v>0</v>
      </c>
      <c r="CY81">
        <v>0</v>
      </c>
      <c r="CZ81">
        <f t="shared" si="160"/>
        <v>36414</v>
      </c>
      <c r="DA81">
        <v>0</v>
      </c>
      <c r="DB81">
        <v>0</v>
      </c>
      <c r="DC81">
        <f t="shared" si="161"/>
        <v>150</v>
      </c>
      <c r="DD81">
        <f t="shared" si="162"/>
        <v>36264</v>
      </c>
      <c r="DE81">
        <v>28900</v>
      </c>
      <c r="DF81">
        <f t="shared" si="163"/>
        <v>4046.0000000000005</v>
      </c>
      <c r="DG81">
        <f t="shared" si="164"/>
        <v>3468</v>
      </c>
      <c r="DH81">
        <v>0</v>
      </c>
      <c r="DI81">
        <v>0</v>
      </c>
      <c r="DJ81">
        <f t="shared" si="165"/>
        <v>36414</v>
      </c>
      <c r="DK81">
        <v>0</v>
      </c>
      <c r="DL81">
        <v>0</v>
      </c>
      <c r="DM81">
        <f t="shared" si="166"/>
        <v>150</v>
      </c>
      <c r="DN81">
        <f t="shared" si="167"/>
        <v>36264</v>
      </c>
      <c r="DO81">
        <v>28900</v>
      </c>
      <c r="DP81">
        <f t="shared" si="168"/>
        <v>4046.0000000000005</v>
      </c>
      <c r="DQ81">
        <f t="shared" si="169"/>
        <v>3468</v>
      </c>
      <c r="DR81">
        <v>0</v>
      </c>
      <c r="DS81">
        <v>0</v>
      </c>
      <c r="DT81">
        <f t="shared" si="170"/>
        <v>36414</v>
      </c>
      <c r="DU81">
        <v>2000</v>
      </c>
      <c r="DV81">
        <v>0</v>
      </c>
      <c r="DW81">
        <f t="shared" si="171"/>
        <v>150</v>
      </c>
      <c r="DX81">
        <f t="shared" si="172"/>
        <v>34264</v>
      </c>
      <c r="DY81">
        <f t="shared" si="173"/>
        <v>400554</v>
      </c>
      <c r="DZ81">
        <f t="shared" si="105"/>
        <v>1650</v>
      </c>
      <c r="EA81">
        <f t="shared" si="106"/>
        <v>50000</v>
      </c>
      <c r="EB81">
        <v>0</v>
      </c>
      <c r="EC81">
        <f t="shared" si="107"/>
        <v>348904</v>
      </c>
      <c r="ED81">
        <f t="shared" si="108"/>
        <v>2000</v>
      </c>
      <c r="EE81">
        <f t="shared" si="109"/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f t="shared" si="110"/>
        <v>2000</v>
      </c>
      <c r="EQ81">
        <f t="shared" si="174"/>
        <v>2000</v>
      </c>
      <c r="ER81">
        <f t="shared" si="111"/>
        <v>346904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f t="shared" si="175"/>
        <v>0</v>
      </c>
      <c r="FA81">
        <f t="shared" si="176"/>
        <v>346904</v>
      </c>
      <c r="FB81">
        <f t="shared" si="177"/>
        <v>4845</v>
      </c>
      <c r="FC81">
        <f t="shared" si="178"/>
        <v>0</v>
      </c>
      <c r="FD81">
        <f t="shared" si="179"/>
        <v>4845</v>
      </c>
      <c r="FE81">
        <f t="shared" si="180"/>
        <v>0</v>
      </c>
      <c r="FF81">
        <f t="shared" si="181"/>
        <v>0</v>
      </c>
      <c r="FG81">
        <f t="shared" si="182"/>
        <v>0</v>
      </c>
      <c r="FH81">
        <v>0</v>
      </c>
      <c r="FI81">
        <f t="shared" si="183"/>
        <v>0</v>
      </c>
      <c r="FJ81" t="b">
        <f t="shared" si="184"/>
        <v>0</v>
      </c>
      <c r="FK81">
        <f t="shared" ca="1" si="185"/>
        <v>2245</v>
      </c>
      <c r="FL81">
        <f t="shared" ca="1" si="186"/>
        <v>402799</v>
      </c>
      <c r="FM81">
        <f t="shared" si="187"/>
        <v>75000</v>
      </c>
      <c r="FN81">
        <f t="shared" ca="1" si="188"/>
        <v>327799</v>
      </c>
      <c r="FO81">
        <f t="shared" ca="1" si="189"/>
        <v>0</v>
      </c>
      <c r="FP81">
        <f t="shared" ca="1" si="190"/>
        <v>0</v>
      </c>
      <c r="FQ81">
        <f t="shared" ca="1" si="191"/>
        <v>0</v>
      </c>
      <c r="FR81">
        <f t="shared" ca="1" si="192"/>
        <v>0</v>
      </c>
      <c r="FS81">
        <f t="shared" ca="1" si="193"/>
        <v>0</v>
      </c>
      <c r="FT81">
        <f t="shared" ca="1" si="194"/>
        <v>0</v>
      </c>
      <c r="FU81">
        <f t="shared" ca="1" si="195"/>
        <v>0</v>
      </c>
      <c r="FV81">
        <f t="shared" ca="1" si="196"/>
        <v>0</v>
      </c>
      <c r="FW81">
        <f t="shared" ca="1" si="197"/>
        <v>27799</v>
      </c>
      <c r="FX81">
        <f t="shared" ca="1" si="198"/>
        <v>1389.95</v>
      </c>
      <c r="FY81">
        <f t="shared" ca="1" si="199"/>
        <v>1390</v>
      </c>
      <c r="FZ81">
        <f t="shared" ca="1" si="200"/>
        <v>0</v>
      </c>
      <c r="GA81">
        <f t="shared" ca="1" si="201"/>
        <v>0</v>
      </c>
      <c r="GB81">
        <f t="shared" ca="1" si="202"/>
        <v>1390</v>
      </c>
      <c r="GC81">
        <f t="shared" ca="1" si="203"/>
        <v>0</v>
      </c>
      <c r="GD81" t="b">
        <f t="shared" ca="1" si="204"/>
        <v>0</v>
      </c>
      <c r="GE81">
        <f t="shared" ca="1" si="205"/>
        <v>0</v>
      </c>
      <c r="GF81">
        <f t="shared" ca="1" si="206"/>
        <v>1390</v>
      </c>
      <c r="GG81">
        <f t="shared" ca="1" si="207"/>
        <v>0</v>
      </c>
      <c r="GH81">
        <f t="shared" ca="1" si="208"/>
        <v>0</v>
      </c>
      <c r="GI81">
        <f t="shared" ca="1" si="209"/>
        <v>0</v>
      </c>
    </row>
    <row r="82" spans="1:191" x14ac:dyDescent="0.25">
      <c r="A82">
        <f>_xlfn.AGGREGATE(3,5,$B$2:B82)</f>
        <v>81</v>
      </c>
      <c r="B82" t="s">
        <v>284</v>
      </c>
      <c r="C82" t="s">
        <v>285</v>
      </c>
      <c r="D82" t="s">
        <v>783</v>
      </c>
      <c r="E82" t="s">
        <v>843</v>
      </c>
      <c r="F82">
        <v>0</v>
      </c>
      <c r="G82">
        <v>6000</v>
      </c>
      <c r="H82">
        <v>32500</v>
      </c>
      <c r="I82">
        <f t="shared" si="112"/>
        <v>3250</v>
      </c>
      <c r="J82">
        <f t="shared" si="113"/>
        <v>3900</v>
      </c>
      <c r="K82">
        <v>400</v>
      </c>
      <c r="L82">
        <v>500</v>
      </c>
      <c r="M82">
        <f t="shared" si="114"/>
        <v>40550</v>
      </c>
      <c r="N82">
        <v>2000</v>
      </c>
      <c r="O82">
        <v>0</v>
      </c>
      <c r="P82">
        <f t="shared" si="115"/>
        <v>200</v>
      </c>
      <c r="Q82">
        <f t="shared" si="116"/>
        <v>38350</v>
      </c>
      <c r="R82">
        <v>32500</v>
      </c>
      <c r="S82">
        <f t="shared" si="117"/>
        <v>3250</v>
      </c>
      <c r="T82">
        <f t="shared" si="118"/>
        <v>3900</v>
      </c>
      <c r="U82">
        <v>400</v>
      </c>
      <c r="V82">
        <v>500</v>
      </c>
      <c r="W82">
        <f t="shared" si="119"/>
        <v>40550</v>
      </c>
      <c r="X82">
        <v>2000</v>
      </c>
      <c r="Y82">
        <v>0</v>
      </c>
      <c r="Z82">
        <f t="shared" si="120"/>
        <v>200</v>
      </c>
      <c r="AA82">
        <f t="shared" si="121"/>
        <v>38350</v>
      </c>
      <c r="AB82">
        <v>32500</v>
      </c>
      <c r="AC82">
        <f t="shared" si="122"/>
        <v>4550</v>
      </c>
      <c r="AD82">
        <f t="shared" si="123"/>
        <v>3900</v>
      </c>
      <c r="AE82">
        <v>400</v>
      </c>
      <c r="AF82">
        <v>500</v>
      </c>
      <c r="AG82">
        <f t="shared" si="124"/>
        <v>41850</v>
      </c>
      <c r="AH82">
        <v>2000</v>
      </c>
      <c r="AI82">
        <v>0</v>
      </c>
      <c r="AJ82">
        <f t="shared" si="125"/>
        <v>200</v>
      </c>
      <c r="AK82">
        <f t="shared" si="126"/>
        <v>39650</v>
      </c>
      <c r="AL82">
        <v>32500</v>
      </c>
      <c r="AM82">
        <f t="shared" si="127"/>
        <v>4550</v>
      </c>
      <c r="AN82">
        <f t="shared" si="128"/>
        <v>3900</v>
      </c>
      <c r="AO82">
        <v>400</v>
      </c>
      <c r="AP82">
        <v>500</v>
      </c>
      <c r="AQ82">
        <f t="shared" si="129"/>
        <v>41850</v>
      </c>
      <c r="AR82">
        <v>2000</v>
      </c>
      <c r="AS82">
        <v>0</v>
      </c>
      <c r="AT82">
        <f t="shared" si="130"/>
        <v>200</v>
      </c>
      <c r="AU82">
        <f t="shared" si="131"/>
        <v>39650</v>
      </c>
      <c r="AV82">
        <v>33500</v>
      </c>
      <c r="AW82">
        <f t="shared" si="132"/>
        <v>4690</v>
      </c>
      <c r="AX82">
        <f t="shared" si="133"/>
        <v>1300</v>
      </c>
      <c r="AY82">
        <f t="shared" si="134"/>
        <v>4020</v>
      </c>
      <c r="AZ82">
        <v>400</v>
      </c>
      <c r="BA82">
        <v>500</v>
      </c>
      <c r="BB82">
        <f t="shared" si="135"/>
        <v>44410</v>
      </c>
      <c r="BC82">
        <v>2500</v>
      </c>
      <c r="BD82">
        <v>0</v>
      </c>
      <c r="BE82">
        <f t="shared" si="136"/>
        <v>200</v>
      </c>
      <c r="BF82">
        <f t="shared" si="137"/>
        <v>41710</v>
      </c>
      <c r="BG82">
        <v>33500</v>
      </c>
      <c r="BH82">
        <f t="shared" si="138"/>
        <v>4690</v>
      </c>
      <c r="BI82">
        <f t="shared" si="139"/>
        <v>4020</v>
      </c>
      <c r="BJ82">
        <v>400</v>
      </c>
      <c r="BK82">
        <v>500</v>
      </c>
      <c r="BL82">
        <f t="shared" si="140"/>
        <v>43110</v>
      </c>
      <c r="BM82">
        <v>2500</v>
      </c>
      <c r="BN82">
        <v>0</v>
      </c>
      <c r="BO82">
        <f t="shared" si="141"/>
        <v>200</v>
      </c>
      <c r="BP82">
        <f t="shared" si="142"/>
        <v>40410</v>
      </c>
      <c r="BQ82">
        <v>33500</v>
      </c>
      <c r="BR82">
        <f t="shared" si="143"/>
        <v>4690</v>
      </c>
      <c r="BS82">
        <f t="shared" si="144"/>
        <v>4020</v>
      </c>
      <c r="BT82">
        <v>400</v>
      </c>
      <c r="BU82">
        <v>500</v>
      </c>
      <c r="BV82">
        <f t="shared" si="145"/>
        <v>43110</v>
      </c>
      <c r="BW82">
        <v>2500</v>
      </c>
      <c r="BX82">
        <v>0</v>
      </c>
      <c r="BY82">
        <f t="shared" si="146"/>
        <v>200</v>
      </c>
      <c r="BZ82">
        <f t="shared" si="147"/>
        <v>40410</v>
      </c>
      <c r="CA82">
        <v>33500</v>
      </c>
      <c r="CB82">
        <f t="shared" si="148"/>
        <v>4690</v>
      </c>
      <c r="CC82">
        <f t="shared" si="149"/>
        <v>4020</v>
      </c>
      <c r="CD82">
        <v>400</v>
      </c>
      <c r="CE82">
        <v>500</v>
      </c>
      <c r="CF82">
        <f t="shared" si="150"/>
        <v>43110</v>
      </c>
      <c r="CG82">
        <v>2500</v>
      </c>
      <c r="CH82">
        <v>0</v>
      </c>
      <c r="CI82">
        <f t="shared" si="151"/>
        <v>200</v>
      </c>
      <c r="CJ82">
        <f t="shared" si="152"/>
        <v>40410</v>
      </c>
      <c r="CK82">
        <v>33500</v>
      </c>
      <c r="CL82">
        <f t="shared" si="153"/>
        <v>4690</v>
      </c>
      <c r="CM82">
        <f t="shared" si="154"/>
        <v>4020</v>
      </c>
      <c r="CN82">
        <v>400</v>
      </c>
      <c r="CO82">
        <v>500</v>
      </c>
      <c r="CP82">
        <f t="shared" si="155"/>
        <v>43110</v>
      </c>
      <c r="CQ82">
        <v>2500</v>
      </c>
      <c r="CR82">
        <v>0</v>
      </c>
      <c r="CS82">
        <f t="shared" si="156"/>
        <v>200</v>
      </c>
      <c r="CT82">
        <f t="shared" si="157"/>
        <v>40410</v>
      </c>
      <c r="CU82">
        <v>33500</v>
      </c>
      <c r="CV82">
        <f t="shared" si="158"/>
        <v>4690</v>
      </c>
      <c r="CW82">
        <f t="shared" si="159"/>
        <v>4020</v>
      </c>
      <c r="CX82">
        <v>400</v>
      </c>
      <c r="CY82">
        <v>500</v>
      </c>
      <c r="CZ82">
        <f t="shared" si="160"/>
        <v>43110</v>
      </c>
      <c r="DA82">
        <v>2500</v>
      </c>
      <c r="DB82">
        <v>0</v>
      </c>
      <c r="DC82">
        <f t="shared" si="161"/>
        <v>200</v>
      </c>
      <c r="DD82">
        <f t="shared" si="162"/>
        <v>40410</v>
      </c>
      <c r="DE82">
        <v>33500</v>
      </c>
      <c r="DF82">
        <f t="shared" si="163"/>
        <v>4690</v>
      </c>
      <c r="DG82">
        <f t="shared" si="164"/>
        <v>4020</v>
      </c>
      <c r="DH82">
        <v>400</v>
      </c>
      <c r="DI82">
        <v>500</v>
      </c>
      <c r="DJ82">
        <f t="shared" si="165"/>
        <v>43110</v>
      </c>
      <c r="DK82">
        <v>2500</v>
      </c>
      <c r="DL82">
        <v>0</v>
      </c>
      <c r="DM82">
        <f t="shared" si="166"/>
        <v>200</v>
      </c>
      <c r="DN82">
        <f t="shared" si="167"/>
        <v>40410</v>
      </c>
      <c r="DO82">
        <v>33500</v>
      </c>
      <c r="DP82">
        <f t="shared" si="168"/>
        <v>4690</v>
      </c>
      <c r="DQ82">
        <f t="shared" si="169"/>
        <v>4020</v>
      </c>
      <c r="DR82">
        <v>400</v>
      </c>
      <c r="DS82">
        <v>500</v>
      </c>
      <c r="DT82">
        <f t="shared" si="170"/>
        <v>43110</v>
      </c>
      <c r="DU82">
        <v>2500</v>
      </c>
      <c r="DV82">
        <v>0</v>
      </c>
      <c r="DW82">
        <f t="shared" si="171"/>
        <v>200</v>
      </c>
      <c r="DX82">
        <f t="shared" si="172"/>
        <v>40410</v>
      </c>
      <c r="DY82">
        <f t="shared" si="173"/>
        <v>516980</v>
      </c>
      <c r="DZ82">
        <f t="shared" si="105"/>
        <v>2400</v>
      </c>
      <c r="EA82">
        <f t="shared" si="106"/>
        <v>50000</v>
      </c>
      <c r="EB82">
        <v>0</v>
      </c>
      <c r="EC82">
        <f t="shared" si="107"/>
        <v>464580</v>
      </c>
      <c r="ED82">
        <f t="shared" si="108"/>
        <v>28000</v>
      </c>
      <c r="EE82">
        <f t="shared" si="109"/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f t="shared" si="110"/>
        <v>28000</v>
      </c>
      <c r="EQ82">
        <f t="shared" si="174"/>
        <v>28000</v>
      </c>
      <c r="ER82">
        <f t="shared" si="111"/>
        <v>436580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f t="shared" si="175"/>
        <v>0</v>
      </c>
      <c r="FA82">
        <f t="shared" si="176"/>
        <v>436580</v>
      </c>
      <c r="FB82">
        <f t="shared" si="177"/>
        <v>9329</v>
      </c>
      <c r="FC82">
        <f t="shared" si="178"/>
        <v>0</v>
      </c>
      <c r="FD82">
        <f t="shared" si="179"/>
        <v>9329</v>
      </c>
      <c r="FE82">
        <f t="shared" si="180"/>
        <v>0</v>
      </c>
      <c r="FF82">
        <f t="shared" si="181"/>
        <v>0</v>
      </c>
      <c r="FG82">
        <f t="shared" si="182"/>
        <v>0</v>
      </c>
      <c r="FH82">
        <v>0</v>
      </c>
      <c r="FI82">
        <f t="shared" si="183"/>
        <v>0</v>
      </c>
      <c r="FJ82" t="b">
        <f t="shared" si="184"/>
        <v>1</v>
      </c>
      <c r="FK82">
        <f t="shared" ca="1" si="185"/>
        <v>658</v>
      </c>
      <c r="FL82">
        <f t="shared" ca="1" si="186"/>
        <v>517638</v>
      </c>
      <c r="FM82">
        <f t="shared" si="187"/>
        <v>75000</v>
      </c>
      <c r="FN82">
        <f t="shared" ca="1" si="188"/>
        <v>442638</v>
      </c>
      <c r="FO82">
        <f t="shared" ca="1" si="189"/>
        <v>0</v>
      </c>
      <c r="FP82">
        <f t="shared" ca="1" si="190"/>
        <v>0</v>
      </c>
      <c r="FQ82">
        <f t="shared" ca="1" si="191"/>
        <v>0</v>
      </c>
      <c r="FR82">
        <f t="shared" ca="1" si="192"/>
        <v>0</v>
      </c>
      <c r="FS82">
        <f t="shared" ca="1" si="193"/>
        <v>0</v>
      </c>
      <c r="FT82">
        <f t="shared" ca="1" si="194"/>
        <v>0</v>
      </c>
      <c r="FU82">
        <f t="shared" ca="1" si="195"/>
        <v>0</v>
      </c>
      <c r="FV82">
        <f t="shared" ca="1" si="196"/>
        <v>0</v>
      </c>
      <c r="FW82">
        <f t="shared" ca="1" si="197"/>
        <v>142638</v>
      </c>
      <c r="FX82">
        <f t="shared" ca="1" si="198"/>
        <v>7131.9000000000005</v>
      </c>
      <c r="FY82">
        <f t="shared" ca="1" si="199"/>
        <v>7132</v>
      </c>
      <c r="FZ82">
        <f t="shared" ca="1" si="200"/>
        <v>0</v>
      </c>
      <c r="GA82">
        <f t="shared" ca="1" si="201"/>
        <v>0</v>
      </c>
      <c r="GB82">
        <f t="shared" ca="1" si="202"/>
        <v>7132</v>
      </c>
      <c r="GC82">
        <f t="shared" ca="1" si="203"/>
        <v>0</v>
      </c>
      <c r="GD82" t="b">
        <f t="shared" ca="1" si="204"/>
        <v>0</v>
      </c>
      <c r="GE82">
        <f t="shared" ca="1" si="205"/>
        <v>0</v>
      </c>
      <c r="GF82">
        <f t="shared" ca="1" si="206"/>
        <v>7132</v>
      </c>
      <c r="GG82">
        <f t="shared" ca="1" si="207"/>
        <v>0</v>
      </c>
      <c r="GH82">
        <f t="shared" ca="1" si="208"/>
        <v>0</v>
      </c>
      <c r="GI82">
        <f t="shared" ca="1" si="209"/>
        <v>0</v>
      </c>
    </row>
    <row r="83" spans="1:191" x14ac:dyDescent="0.25">
      <c r="A83">
        <f>_xlfn.AGGREGATE(3,5,$B$2:B83)</f>
        <v>82</v>
      </c>
      <c r="B83" t="s">
        <v>286</v>
      </c>
      <c r="C83" t="s">
        <v>287</v>
      </c>
      <c r="D83" t="s">
        <v>783</v>
      </c>
      <c r="E83" t="s">
        <v>843</v>
      </c>
      <c r="F83">
        <v>0</v>
      </c>
      <c r="G83">
        <v>6000</v>
      </c>
      <c r="H83">
        <v>32500</v>
      </c>
      <c r="I83">
        <f t="shared" si="112"/>
        <v>3250</v>
      </c>
      <c r="J83">
        <f t="shared" si="113"/>
        <v>3900</v>
      </c>
      <c r="K83">
        <v>0</v>
      </c>
      <c r="L83">
        <v>0</v>
      </c>
      <c r="M83">
        <f t="shared" si="114"/>
        <v>39650</v>
      </c>
      <c r="N83">
        <v>2000</v>
      </c>
      <c r="O83">
        <v>0</v>
      </c>
      <c r="P83">
        <f t="shared" si="115"/>
        <v>150</v>
      </c>
      <c r="Q83">
        <f t="shared" si="116"/>
        <v>37500</v>
      </c>
      <c r="R83">
        <v>32500</v>
      </c>
      <c r="S83">
        <f t="shared" si="117"/>
        <v>3250</v>
      </c>
      <c r="T83">
        <f t="shared" si="118"/>
        <v>3900</v>
      </c>
      <c r="U83">
        <v>0</v>
      </c>
      <c r="V83">
        <v>0</v>
      </c>
      <c r="W83">
        <f t="shared" si="119"/>
        <v>39650</v>
      </c>
      <c r="X83">
        <v>2000</v>
      </c>
      <c r="Y83">
        <v>0</v>
      </c>
      <c r="Z83">
        <f t="shared" si="120"/>
        <v>150</v>
      </c>
      <c r="AA83">
        <f t="shared" si="121"/>
        <v>37500</v>
      </c>
      <c r="AB83">
        <v>32500</v>
      </c>
      <c r="AC83">
        <f t="shared" si="122"/>
        <v>4550</v>
      </c>
      <c r="AD83">
        <f t="shared" si="123"/>
        <v>3900</v>
      </c>
      <c r="AE83">
        <v>0</v>
      </c>
      <c r="AF83">
        <v>0</v>
      </c>
      <c r="AG83">
        <f t="shared" si="124"/>
        <v>40950</v>
      </c>
      <c r="AH83">
        <v>2000</v>
      </c>
      <c r="AI83">
        <v>0</v>
      </c>
      <c r="AJ83">
        <f t="shared" si="125"/>
        <v>200</v>
      </c>
      <c r="AK83">
        <f t="shared" si="126"/>
        <v>38750</v>
      </c>
      <c r="AL83">
        <v>32500</v>
      </c>
      <c r="AM83">
        <f t="shared" si="127"/>
        <v>4550</v>
      </c>
      <c r="AN83">
        <f t="shared" si="128"/>
        <v>3900</v>
      </c>
      <c r="AO83">
        <v>0</v>
      </c>
      <c r="AP83">
        <v>0</v>
      </c>
      <c r="AQ83">
        <f t="shared" si="129"/>
        <v>40950</v>
      </c>
      <c r="AR83">
        <v>2000</v>
      </c>
      <c r="AS83">
        <v>0</v>
      </c>
      <c r="AT83">
        <f t="shared" si="130"/>
        <v>200</v>
      </c>
      <c r="AU83">
        <f t="shared" si="131"/>
        <v>38750</v>
      </c>
      <c r="AV83">
        <v>33500</v>
      </c>
      <c r="AW83">
        <f t="shared" si="132"/>
        <v>4690</v>
      </c>
      <c r="AX83">
        <f t="shared" si="133"/>
        <v>1300</v>
      </c>
      <c r="AY83">
        <f t="shared" si="134"/>
        <v>4020</v>
      </c>
      <c r="AZ83">
        <v>0</v>
      </c>
      <c r="BA83">
        <v>0</v>
      </c>
      <c r="BB83">
        <f t="shared" si="135"/>
        <v>43510</v>
      </c>
      <c r="BC83">
        <v>2500</v>
      </c>
      <c r="BD83">
        <v>0</v>
      </c>
      <c r="BE83">
        <f t="shared" si="136"/>
        <v>200</v>
      </c>
      <c r="BF83">
        <f t="shared" si="137"/>
        <v>40810</v>
      </c>
      <c r="BG83">
        <v>33500</v>
      </c>
      <c r="BH83">
        <f t="shared" si="138"/>
        <v>4690</v>
      </c>
      <c r="BI83">
        <f t="shared" si="139"/>
        <v>4020</v>
      </c>
      <c r="BJ83">
        <v>0</v>
      </c>
      <c r="BK83">
        <v>0</v>
      </c>
      <c r="BL83">
        <f t="shared" si="140"/>
        <v>42210</v>
      </c>
      <c r="BM83">
        <v>2500</v>
      </c>
      <c r="BN83">
        <v>0</v>
      </c>
      <c r="BO83">
        <f t="shared" si="141"/>
        <v>200</v>
      </c>
      <c r="BP83">
        <f t="shared" si="142"/>
        <v>39510</v>
      </c>
      <c r="BQ83">
        <v>33500</v>
      </c>
      <c r="BR83">
        <f t="shared" si="143"/>
        <v>4690</v>
      </c>
      <c r="BS83">
        <f t="shared" si="144"/>
        <v>4020</v>
      </c>
      <c r="BT83">
        <v>0</v>
      </c>
      <c r="BU83">
        <v>0</v>
      </c>
      <c r="BV83">
        <f t="shared" si="145"/>
        <v>42210</v>
      </c>
      <c r="BW83">
        <v>2500</v>
      </c>
      <c r="BX83">
        <v>0</v>
      </c>
      <c r="BY83">
        <f t="shared" si="146"/>
        <v>200</v>
      </c>
      <c r="BZ83">
        <f t="shared" si="147"/>
        <v>39510</v>
      </c>
      <c r="CA83">
        <v>33500</v>
      </c>
      <c r="CB83">
        <f t="shared" si="148"/>
        <v>4690</v>
      </c>
      <c r="CC83">
        <f t="shared" si="149"/>
        <v>4020</v>
      </c>
      <c r="CD83">
        <v>0</v>
      </c>
      <c r="CE83">
        <v>0</v>
      </c>
      <c r="CF83">
        <f t="shared" si="150"/>
        <v>42210</v>
      </c>
      <c r="CG83">
        <v>2500</v>
      </c>
      <c r="CH83">
        <v>0</v>
      </c>
      <c r="CI83">
        <f t="shared" si="151"/>
        <v>200</v>
      </c>
      <c r="CJ83">
        <f t="shared" si="152"/>
        <v>39510</v>
      </c>
      <c r="CK83">
        <v>33500</v>
      </c>
      <c r="CL83">
        <f t="shared" si="153"/>
        <v>4690</v>
      </c>
      <c r="CM83">
        <f t="shared" si="154"/>
        <v>4020</v>
      </c>
      <c r="CN83">
        <v>0</v>
      </c>
      <c r="CO83">
        <v>0</v>
      </c>
      <c r="CP83">
        <f t="shared" si="155"/>
        <v>42210</v>
      </c>
      <c r="CQ83">
        <v>2500</v>
      </c>
      <c r="CR83">
        <v>0</v>
      </c>
      <c r="CS83">
        <f t="shared" si="156"/>
        <v>200</v>
      </c>
      <c r="CT83">
        <f t="shared" si="157"/>
        <v>39510</v>
      </c>
      <c r="CU83">
        <v>33500</v>
      </c>
      <c r="CV83">
        <f t="shared" si="158"/>
        <v>4690</v>
      </c>
      <c r="CW83">
        <f t="shared" si="159"/>
        <v>4020</v>
      </c>
      <c r="CX83">
        <v>0</v>
      </c>
      <c r="CY83">
        <v>0</v>
      </c>
      <c r="CZ83">
        <f t="shared" si="160"/>
        <v>42210</v>
      </c>
      <c r="DA83">
        <v>2500</v>
      </c>
      <c r="DB83">
        <v>0</v>
      </c>
      <c r="DC83">
        <f t="shared" si="161"/>
        <v>200</v>
      </c>
      <c r="DD83">
        <f t="shared" si="162"/>
        <v>39510</v>
      </c>
      <c r="DE83">
        <v>33500</v>
      </c>
      <c r="DF83">
        <f t="shared" si="163"/>
        <v>4690</v>
      </c>
      <c r="DG83">
        <f t="shared" si="164"/>
        <v>4020</v>
      </c>
      <c r="DH83">
        <v>0</v>
      </c>
      <c r="DI83">
        <v>0</v>
      </c>
      <c r="DJ83">
        <f t="shared" si="165"/>
        <v>42210</v>
      </c>
      <c r="DK83">
        <v>2500</v>
      </c>
      <c r="DL83">
        <v>0</v>
      </c>
      <c r="DM83">
        <f t="shared" si="166"/>
        <v>200</v>
      </c>
      <c r="DN83">
        <f t="shared" si="167"/>
        <v>39510</v>
      </c>
      <c r="DO83">
        <v>33500</v>
      </c>
      <c r="DP83">
        <f t="shared" si="168"/>
        <v>4690</v>
      </c>
      <c r="DQ83">
        <f t="shared" si="169"/>
        <v>4020</v>
      </c>
      <c r="DR83">
        <v>0</v>
      </c>
      <c r="DS83">
        <v>0</v>
      </c>
      <c r="DT83">
        <f t="shared" si="170"/>
        <v>42210</v>
      </c>
      <c r="DU83">
        <v>2500</v>
      </c>
      <c r="DV83">
        <v>0</v>
      </c>
      <c r="DW83">
        <f t="shared" si="171"/>
        <v>200</v>
      </c>
      <c r="DX83">
        <f t="shared" si="172"/>
        <v>39510</v>
      </c>
      <c r="DY83">
        <f t="shared" si="173"/>
        <v>506180</v>
      </c>
      <c r="DZ83">
        <f t="shared" si="105"/>
        <v>2300</v>
      </c>
      <c r="EA83">
        <f t="shared" si="106"/>
        <v>50000</v>
      </c>
      <c r="EB83">
        <v>0</v>
      </c>
      <c r="EC83">
        <f t="shared" si="107"/>
        <v>453880</v>
      </c>
      <c r="ED83">
        <f t="shared" si="108"/>
        <v>28000</v>
      </c>
      <c r="EE83">
        <f t="shared" si="109"/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f t="shared" si="110"/>
        <v>28000</v>
      </c>
      <c r="EQ83">
        <f t="shared" si="174"/>
        <v>28000</v>
      </c>
      <c r="ER83">
        <f t="shared" si="111"/>
        <v>425880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f t="shared" si="175"/>
        <v>0</v>
      </c>
      <c r="FA83">
        <f t="shared" si="176"/>
        <v>425880</v>
      </c>
      <c r="FB83">
        <f t="shared" si="177"/>
        <v>8794</v>
      </c>
      <c r="FC83">
        <f t="shared" si="178"/>
        <v>0</v>
      </c>
      <c r="FD83">
        <f t="shared" si="179"/>
        <v>8794</v>
      </c>
      <c r="FE83">
        <f t="shared" si="180"/>
        <v>0</v>
      </c>
      <c r="FF83">
        <f t="shared" si="181"/>
        <v>0</v>
      </c>
      <c r="FG83">
        <f t="shared" si="182"/>
        <v>0</v>
      </c>
      <c r="FH83">
        <v>0</v>
      </c>
      <c r="FI83">
        <f t="shared" si="183"/>
        <v>0</v>
      </c>
      <c r="FJ83" t="b">
        <f t="shared" si="184"/>
        <v>1</v>
      </c>
      <c r="FK83">
        <f t="shared" ca="1" si="185"/>
        <v>771</v>
      </c>
      <c r="FL83">
        <f t="shared" ca="1" si="186"/>
        <v>506951</v>
      </c>
      <c r="FM83">
        <f t="shared" si="187"/>
        <v>75000</v>
      </c>
      <c r="FN83">
        <f t="shared" ca="1" si="188"/>
        <v>431951</v>
      </c>
      <c r="FO83">
        <f t="shared" ca="1" si="189"/>
        <v>0</v>
      </c>
      <c r="FP83">
        <f t="shared" ca="1" si="190"/>
        <v>0</v>
      </c>
      <c r="FQ83">
        <f t="shared" ca="1" si="191"/>
        <v>0</v>
      </c>
      <c r="FR83">
        <f t="shared" ca="1" si="192"/>
        <v>0</v>
      </c>
      <c r="FS83">
        <f t="shared" ca="1" si="193"/>
        <v>0</v>
      </c>
      <c r="FT83">
        <f t="shared" ca="1" si="194"/>
        <v>0</v>
      </c>
      <c r="FU83">
        <f t="shared" ca="1" si="195"/>
        <v>0</v>
      </c>
      <c r="FV83">
        <f t="shared" ca="1" si="196"/>
        <v>0</v>
      </c>
      <c r="FW83">
        <f t="shared" ca="1" si="197"/>
        <v>131951</v>
      </c>
      <c r="FX83">
        <f t="shared" ca="1" si="198"/>
        <v>6597.55</v>
      </c>
      <c r="FY83">
        <f t="shared" ca="1" si="199"/>
        <v>6598</v>
      </c>
      <c r="FZ83">
        <f t="shared" ca="1" si="200"/>
        <v>0</v>
      </c>
      <c r="GA83">
        <f t="shared" ca="1" si="201"/>
        <v>0</v>
      </c>
      <c r="GB83">
        <f t="shared" ca="1" si="202"/>
        <v>6598</v>
      </c>
      <c r="GC83">
        <f t="shared" ca="1" si="203"/>
        <v>0</v>
      </c>
      <c r="GD83" t="b">
        <f t="shared" ca="1" si="204"/>
        <v>0</v>
      </c>
      <c r="GE83">
        <f t="shared" ca="1" si="205"/>
        <v>0</v>
      </c>
      <c r="GF83">
        <f t="shared" ca="1" si="206"/>
        <v>6598</v>
      </c>
      <c r="GG83">
        <f t="shared" ca="1" si="207"/>
        <v>0</v>
      </c>
      <c r="GH83">
        <f t="shared" ca="1" si="208"/>
        <v>0</v>
      </c>
      <c r="GI83">
        <f t="shared" ca="1" si="209"/>
        <v>0</v>
      </c>
    </row>
    <row r="84" spans="1:191" x14ac:dyDescent="0.25">
      <c r="A84">
        <f>_xlfn.AGGREGATE(3,5,$B$2:B84)</f>
        <v>83</v>
      </c>
      <c r="B84" t="s">
        <v>288</v>
      </c>
      <c r="C84" t="s">
        <v>289</v>
      </c>
      <c r="D84" t="s">
        <v>784</v>
      </c>
      <c r="E84" t="s">
        <v>843</v>
      </c>
      <c r="F84">
        <v>0</v>
      </c>
      <c r="G84">
        <v>6000</v>
      </c>
      <c r="H84">
        <v>32500</v>
      </c>
      <c r="I84">
        <f t="shared" si="112"/>
        <v>3250</v>
      </c>
      <c r="J84">
        <f t="shared" si="113"/>
        <v>3900</v>
      </c>
      <c r="K84">
        <v>400</v>
      </c>
      <c r="L84">
        <v>0</v>
      </c>
      <c r="M84">
        <f t="shared" si="114"/>
        <v>40050</v>
      </c>
      <c r="N84">
        <v>3000</v>
      </c>
      <c r="O84">
        <v>0</v>
      </c>
      <c r="P84">
        <f t="shared" si="115"/>
        <v>200</v>
      </c>
      <c r="Q84">
        <f t="shared" si="116"/>
        <v>36850</v>
      </c>
      <c r="R84">
        <v>32500</v>
      </c>
      <c r="S84">
        <f t="shared" si="117"/>
        <v>3250</v>
      </c>
      <c r="T84">
        <f t="shared" si="118"/>
        <v>3900</v>
      </c>
      <c r="U84">
        <v>400</v>
      </c>
      <c r="V84">
        <v>0</v>
      </c>
      <c r="W84">
        <f t="shared" si="119"/>
        <v>40050</v>
      </c>
      <c r="X84">
        <v>3000</v>
      </c>
      <c r="Y84">
        <v>0</v>
      </c>
      <c r="Z84">
        <f t="shared" si="120"/>
        <v>200</v>
      </c>
      <c r="AA84">
        <f t="shared" si="121"/>
        <v>36850</v>
      </c>
      <c r="AB84">
        <v>32500</v>
      </c>
      <c r="AC84">
        <f t="shared" si="122"/>
        <v>4550</v>
      </c>
      <c r="AD84">
        <f t="shared" si="123"/>
        <v>3900</v>
      </c>
      <c r="AE84">
        <v>400</v>
      </c>
      <c r="AF84">
        <v>0</v>
      </c>
      <c r="AG84">
        <f t="shared" si="124"/>
        <v>41350</v>
      </c>
      <c r="AH84">
        <v>3000</v>
      </c>
      <c r="AI84">
        <v>0</v>
      </c>
      <c r="AJ84">
        <f t="shared" si="125"/>
        <v>200</v>
      </c>
      <c r="AK84">
        <f t="shared" si="126"/>
        <v>38150</v>
      </c>
      <c r="AL84">
        <v>32500</v>
      </c>
      <c r="AM84">
        <f t="shared" si="127"/>
        <v>4550</v>
      </c>
      <c r="AN84">
        <f t="shared" si="128"/>
        <v>3900</v>
      </c>
      <c r="AO84">
        <v>400</v>
      </c>
      <c r="AP84">
        <v>0</v>
      </c>
      <c r="AQ84">
        <f t="shared" si="129"/>
        <v>41350</v>
      </c>
      <c r="AR84">
        <v>3000</v>
      </c>
      <c r="AS84">
        <v>0</v>
      </c>
      <c r="AT84">
        <f t="shared" si="130"/>
        <v>200</v>
      </c>
      <c r="AU84">
        <f t="shared" si="131"/>
        <v>38150</v>
      </c>
      <c r="AV84">
        <v>33500</v>
      </c>
      <c r="AW84">
        <f t="shared" si="132"/>
        <v>4690</v>
      </c>
      <c r="AX84">
        <f t="shared" si="133"/>
        <v>1300</v>
      </c>
      <c r="AY84">
        <f t="shared" si="134"/>
        <v>4020</v>
      </c>
      <c r="AZ84">
        <v>400</v>
      </c>
      <c r="BA84">
        <v>0</v>
      </c>
      <c r="BB84">
        <f t="shared" si="135"/>
        <v>43910</v>
      </c>
      <c r="BC84">
        <v>3000</v>
      </c>
      <c r="BD84">
        <v>0</v>
      </c>
      <c r="BE84">
        <f t="shared" si="136"/>
        <v>200</v>
      </c>
      <c r="BF84">
        <f t="shared" si="137"/>
        <v>40710</v>
      </c>
      <c r="BG84">
        <v>33500</v>
      </c>
      <c r="BH84">
        <f t="shared" si="138"/>
        <v>4690</v>
      </c>
      <c r="BI84">
        <f t="shared" si="139"/>
        <v>4020</v>
      </c>
      <c r="BJ84">
        <v>400</v>
      </c>
      <c r="BK84">
        <v>0</v>
      </c>
      <c r="BL84">
        <f t="shared" si="140"/>
        <v>42610</v>
      </c>
      <c r="BM84">
        <v>3000</v>
      </c>
      <c r="BN84">
        <v>0</v>
      </c>
      <c r="BO84">
        <f t="shared" si="141"/>
        <v>200</v>
      </c>
      <c r="BP84">
        <f t="shared" si="142"/>
        <v>39410</v>
      </c>
      <c r="BQ84">
        <v>33500</v>
      </c>
      <c r="BR84">
        <f t="shared" si="143"/>
        <v>4690</v>
      </c>
      <c r="BS84">
        <f t="shared" si="144"/>
        <v>4020</v>
      </c>
      <c r="BT84">
        <v>400</v>
      </c>
      <c r="BU84">
        <v>0</v>
      </c>
      <c r="BV84">
        <f t="shared" si="145"/>
        <v>42610</v>
      </c>
      <c r="BW84">
        <v>3000</v>
      </c>
      <c r="BX84">
        <v>0</v>
      </c>
      <c r="BY84">
        <f t="shared" si="146"/>
        <v>200</v>
      </c>
      <c r="BZ84">
        <f t="shared" si="147"/>
        <v>39410</v>
      </c>
      <c r="CA84">
        <v>33500</v>
      </c>
      <c r="CB84">
        <f t="shared" si="148"/>
        <v>4690</v>
      </c>
      <c r="CC84">
        <f t="shared" si="149"/>
        <v>4020</v>
      </c>
      <c r="CD84">
        <v>400</v>
      </c>
      <c r="CE84">
        <v>0</v>
      </c>
      <c r="CF84">
        <f t="shared" si="150"/>
        <v>42610</v>
      </c>
      <c r="CG84">
        <v>3000</v>
      </c>
      <c r="CH84">
        <v>0</v>
      </c>
      <c r="CI84">
        <f t="shared" si="151"/>
        <v>200</v>
      </c>
      <c r="CJ84">
        <f t="shared" si="152"/>
        <v>39410</v>
      </c>
      <c r="CK84">
        <v>33500</v>
      </c>
      <c r="CL84">
        <f t="shared" si="153"/>
        <v>4690</v>
      </c>
      <c r="CM84">
        <f t="shared" si="154"/>
        <v>4020</v>
      </c>
      <c r="CN84">
        <v>400</v>
      </c>
      <c r="CO84">
        <v>0</v>
      </c>
      <c r="CP84">
        <f t="shared" si="155"/>
        <v>42610</v>
      </c>
      <c r="CQ84">
        <v>3000</v>
      </c>
      <c r="CR84">
        <v>0</v>
      </c>
      <c r="CS84">
        <f t="shared" si="156"/>
        <v>200</v>
      </c>
      <c r="CT84">
        <f t="shared" si="157"/>
        <v>39410</v>
      </c>
      <c r="CU84">
        <v>33500</v>
      </c>
      <c r="CV84">
        <f t="shared" si="158"/>
        <v>4690</v>
      </c>
      <c r="CW84">
        <f t="shared" si="159"/>
        <v>4020</v>
      </c>
      <c r="CX84">
        <v>400</v>
      </c>
      <c r="CY84">
        <v>0</v>
      </c>
      <c r="CZ84">
        <f t="shared" si="160"/>
        <v>42610</v>
      </c>
      <c r="DA84">
        <v>3000</v>
      </c>
      <c r="DB84">
        <v>0</v>
      </c>
      <c r="DC84">
        <f t="shared" si="161"/>
        <v>200</v>
      </c>
      <c r="DD84">
        <f t="shared" si="162"/>
        <v>39410</v>
      </c>
      <c r="DE84">
        <v>33500</v>
      </c>
      <c r="DF84">
        <f t="shared" si="163"/>
        <v>4690</v>
      </c>
      <c r="DG84">
        <f t="shared" si="164"/>
        <v>4020</v>
      </c>
      <c r="DH84">
        <v>400</v>
      </c>
      <c r="DI84">
        <v>0</v>
      </c>
      <c r="DJ84">
        <f t="shared" si="165"/>
        <v>42610</v>
      </c>
      <c r="DK84">
        <v>3000</v>
      </c>
      <c r="DL84">
        <v>0</v>
      </c>
      <c r="DM84">
        <f t="shared" si="166"/>
        <v>200</v>
      </c>
      <c r="DN84">
        <f t="shared" si="167"/>
        <v>39410</v>
      </c>
      <c r="DO84">
        <v>33500</v>
      </c>
      <c r="DP84">
        <f t="shared" si="168"/>
        <v>4690</v>
      </c>
      <c r="DQ84">
        <f t="shared" si="169"/>
        <v>4020</v>
      </c>
      <c r="DR84">
        <v>400</v>
      </c>
      <c r="DS84">
        <v>0</v>
      </c>
      <c r="DT84">
        <f t="shared" si="170"/>
        <v>42610</v>
      </c>
      <c r="DU84">
        <v>3000</v>
      </c>
      <c r="DV84">
        <v>0</v>
      </c>
      <c r="DW84">
        <f t="shared" si="171"/>
        <v>200</v>
      </c>
      <c r="DX84">
        <f t="shared" si="172"/>
        <v>39410</v>
      </c>
      <c r="DY84">
        <f t="shared" si="173"/>
        <v>510980</v>
      </c>
      <c r="DZ84">
        <f t="shared" si="105"/>
        <v>2400</v>
      </c>
      <c r="EA84">
        <f t="shared" si="106"/>
        <v>50000</v>
      </c>
      <c r="EB84">
        <v>0</v>
      </c>
      <c r="EC84">
        <f t="shared" si="107"/>
        <v>458580</v>
      </c>
      <c r="ED84">
        <f t="shared" si="108"/>
        <v>36000</v>
      </c>
      <c r="EE84">
        <f t="shared" si="109"/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f t="shared" si="110"/>
        <v>36000</v>
      </c>
      <c r="EQ84">
        <f t="shared" si="174"/>
        <v>36000</v>
      </c>
      <c r="ER84">
        <f t="shared" si="111"/>
        <v>422580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f t="shared" si="175"/>
        <v>0</v>
      </c>
      <c r="FA84">
        <f t="shared" si="176"/>
        <v>422580</v>
      </c>
      <c r="FB84">
        <f t="shared" si="177"/>
        <v>8629</v>
      </c>
      <c r="FC84">
        <f t="shared" si="178"/>
        <v>0</v>
      </c>
      <c r="FD84">
        <f t="shared" si="179"/>
        <v>8629</v>
      </c>
      <c r="FE84">
        <f t="shared" si="180"/>
        <v>0</v>
      </c>
      <c r="FF84">
        <f t="shared" si="181"/>
        <v>0</v>
      </c>
      <c r="FG84">
        <f t="shared" si="182"/>
        <v>0</v>
      </c>
      <c r="FH84">
        <v>0</v>
      </c>
      <c r="FI84">
        <f t="shared" si="183"/>
        <v>0</v>
      </c>
      <c r="FJ84" t="b">
        <f t="shared" si="184"/>
        <v>1</v>
      </c>
      <c r="FK84">
        <f t="shared" ca="1" si="185"/>
        <v>672</v>
      </c>
      <c r="FL84">
        <f t="shared" ca="1" si="186"/>
        <v>511652</v>
      </c>
      <c r="FM84">
        <f t="shared" si="187"/>
        <v>75000</v>
      </c>
      <c r="FN84">
        <f t="shared" ca="1" si="188"/>
        <v>436652</v>
      </c>
      <c r="FO84">
        <f t="shared" ca="1" si="189"/>
        <v>0</v>
      </c>
      <c r="FP84">
        <f t="shared" ca="1" si="190"/>
        <v>0</v>
      </c>
      <c r="FQ84">
        <f t="shared" ca="1" si="191"/>
        <v>0</v>
      </c>
      <c r="FR84">
        <f t="shared" ca="1" si="192"/>
        <v>0</v>
      </c>
      <c r="FS84">
        <f t="shared" ca="1" si="193"/>
        <v>0</v>
      </c>
      <c r="FT84">
        <f t="shared" ca="1" si="194"/>
        <v>0</v>
      </c>
      <c r="FU84">
        <f t="shared" ca="1" si="195"/>
        <v>0</v>
      </c>
      <c r="FV84">
        <f t="shared" ca="1" si="196"/>
        <v>0</v>
      </c>
      <c r="FW84">
        <f t="shared" ca="1" si="197"/>
        <v>136652</v>
      </c>
      <c r="FX84">
        <f t="shared" ca="1" si="198"/>
        <v>6832.6</v>
      </c>
      <c r="FY84">
        <f t="shared" ca="1" si="199"/>
        <v>6833</v>
      </c>
      <c r="FZ84">
        <f t="shared" ca="1" si="200"/>
        <v>0</v>
      </c>
      <c r="GA84">
        <f t="shared" ca="1" si="201"/>
        <v>0</v>
      </c>
      <c r="GB84">
        <f t="shared" ca="1" si="202"/>
        <v>6833</v>
      </c>
      <c r="GC84">
        <f t="shared" ca="1" si="203"/>
        <v>0</v>
      </c>
      <c r="GD84" t="b">
        <f t="shared" ca="1" si="204"/>
        <v>0</v>
      </c>
      <c r="GE84">
        <f t="shared" ca="1" si="205"/>
        <v>0</v>
      </c>
      <c r="GF84">
        <f t="shared" ca="1" si="206"/>
        <v>6833</v>
      </c>
      <c r="GG84">
        <f t="shared" ca="1" si="207"/>
        <v>0</v>
      </c>
      <c r="GH84">
        <f t="shared" ca="1" si="208"/>
        <v>0</v>
      </c>
      <c r="GI84">
        <f t="shared" ca="1" si="209"/>
        <v>0</v>
      </c>
    </row>
    <row r="85" spans="1:191" x14ac:dyDescent="0.25">
      <c r="A85">
        <f>_xlfn.AGGREGATE(3,5,$B$2:B85)</f>
        <v>84</v>
      </c>
      <c r="B85" t="s">
        <v>290</v>
      </c>
      <c r="C85" t="s">
        <v>291</v>
      </c>
      <c r="D85" t="s">
        <v>784</v>
      </c>
      <c r="E85" t="s">
        <v>843</v>
      </c>
      <c r="F85">
        <v>0</v>
      </c>
      <c r="G85">
        <v>6000</v>
      </c>
      <c r="H85">
        <v>28900</v>
      </c>
      <c r="I85">
        <f t="shared" si="112"/>
        <v>2890</v>
      </c>
      <c r="J85">
        <f t="shared" si="113"/>
        <v>3468</v>
      </c>
      <c r="K85">
        <v>0</v>
      </c>
      <c r="L85">
        <v>500</v>
      </c>
      <c r="M85">
        <f t="shared" si="114"/>
        <v>35758</v>
      </c>
      <c r="N85">
        <v>0</v>
      </c>
      <c r="O85">
        <v>0</v>
      </c>
      <c r="P85">
        <f t="shared" si="115"/>
        <v>150</v>
      </c>
      <c r="Q85">
        <f t="shared" si="116"/>
        <v>35608</v>
      </c>
      <c r="R85">
        <v>28900</v>
      </c>
      <c r="S85">
        <f t="shared" si="117"/>
        <v>2890</v>
      </c>
      <c r="T85">
        <f t="shared" si="118"/>
        <v>3468</v>
      </c>
      <c r="U85">
        <v>0</v>
      </c>
      <c r="V85">
        <v>500</v>
      </c>
      <c r="W85">
        <f t="shared" si="119"/>
        <v>35758</v>
      </c>
      <c r="X85">
        <v>0</v>
      </c>
      <c r="Y85">
        <v>0</v>
      </c>
      <c r="Z85">
        <f t="shared" si="120"/>
        <v>150</v>
      </c>
      <c r="AA85">
        <f t="shared" si="121"/>
        <v>35608</v>
      </c>
      <c r="AB85">
        <v>28900</v>
      </c>
      <c r="AC85">
        <f t="shared" si="122"/>
        <v>4046.0000000000005</v>
      </c>
      <c r="AD85">
        <f t="shared" si="123"/>
        <v>3468</v>
      </c>
      <c r="AE85">
        <v>0</v>
      </c>
      <c r="AF85">
        <v>500</v>
      </c>
      <c r="AG85">
        <f t="shared" si="124"/>
        <v>36914</v>
      </c>
      <c r="AH85">
        <v>0</v>
      </c>
      <c r="AI85">
        <v>0</v>
      </c>
      <c r="AJ85">
        <f t="shared" si="125"/>
        <v>150</v>
      </c>
      <c r="AK85">
        <f t="shared" si="126"/>
        <v>36764</v>
      </c>
      <c r="AL85">
        <v>28900</v>
      </c>
      <c r="AM85">
        <f t="shared" si="127"/>
        <v>4046.0000000000005</v>
      </c>
      <c r="AN85">
        <f t="shared" si="128"/>
        <v>3468</v>
      </c>
      <c r="AO85">
        <v>0</v>
      </c>
      <c r="AP85">
        <v>500</v>
      </c>
      <c r="AQ85">
        <f t="shared" si="129"/>
        <v>36914</v>
      </c>
      <c r="AR85">
        <v>0</v>
      </c>
      <c r="AS85">
        <v>0</v>
      </c>
      <c r="AT85">
        <f t="shared" si="130"/>
        <v>150</v>
      </c>
      <c r="AU85">
        <f t="shared" si="131"/>
        <v>36764</v>
      </c>
      <c r="AV85">
        <v>29800</v>
      </c>
      <c r="AW85">
        <f t="shared" si="132"/>
        <v>4172</v>
      </c>
      <c r="AX85">
        <f t="shared" si="133"/>
        <v>1156</v>
      </c>
      <c r="AY85">
        <f t="shared" si="134"/>
        <v>3576</v>
      </c>
      <c r="AZ85">
        <v>0</v>
      </c>
      <c r="BA85">
        <v>500</v>
      </c>
      <c r="BB85">
        <f t="shared" si="135"/>
        <v>39204</v>
      </c>
      <c r="BC85">
        <v>2000</v>
      </c>
      <c r="BD85">
        <v>0</v>
      </c>
      <c r="BE85">
        <f t="shared" si="136"/>
        <v>150</v>
      </c>
      <c r="BF85">
        <f t="shared" si="137"/>
        <v>37054</v>
      </c>
      <c r="BG85">
        <v>29800</v>
      </c>
      <c r="BH85">
        <f t="shared" si="138"/>
        <v>4172</v>
      </c>
      <c r="BI85">
        <f t="shared" si="139"/>
        <v>3576</v>
      </c>
      <c r="BJ85">
        <v>0</v>
      </c>
      <c r="BK85">
        <v>500</v>
      </c>
      <c r="BL85">
        <f t="shared" si="140"/>
        <v>38048</v>
      </c>
      <c r="BM85">
        <v>2000</v>
      </c>
      <c r="BN85">
        <v>0</v>
      </c>
      <c r="BO85">
        <f t="shared" si="141"/>
        <v>150</v>
      </c>
      <c r="BP85">
        <f t="shared" si="142"/>
        <v>35898</v>
      </c>
      <c r="BQ85">
        <v>29800</v>
      </c>
      <c r="BR85">
        <f t="shared" si="143"/>
        <v>4172</v>
      </c>
      <c r="BS85">
        <f t="shared" si="144"/>
        <v>3576</v>
      </c>
      <c r="BT85">
        <v>0</v>
      </c>
      <c r="BU85">
        <v>500</v>
      </c>
      <c r="BV85">
        <f t="shared" si="145"/>
        <v>38048</v>
      </c>
      <c r="BW85">
        <v>2000</v>
      </c>
      <c r="BX85">
        <v>0</v>
      </c>
      <c r="BY85">
        <f t="shared" si="146"/>
        <v>150</v>
      </c>
      <c r="BZ85">
        <f t="shared" si="147"/>
        <v>35898</v>
      </c>
      <c r="CA85">
        <v>29800</v>
      </c>
      <c r="CB85">
        <f t="shared" si="148"/>
        <v>4172</v>
      </c>
      <c r="CC85">
        <f t="shared" si="149"/>
        <v>3576</v>
      </c>
      <c r="CD85">
        <v>0</v>
      </c>
      <c r="CE85">
        <v>500</v>
      </c>
      <c r="CF85">
        <f t="shared" si="150"/>
        <v>38048</v>
      </c>
      <c r="CG85">
        <v>2000</v>
      </c>
      <c r="CH85">
        <v>0</v>
      </c>
      <c r="CI85">
        <f t="shared" si="151"/>
        <v>150</v>
      </c>
      <c r="CJ85">
        <f t="shared" si="152"/>
        <v>35898</v>
      </c>
      <c r="CK85">
        <v>29800</v>
      </c>
      <c r="CL85">
        <f t="shared" si="153"/>
        <v>4172</v>
      </c>
      <c r="CM85">
        <f t="shared" si="154"/>
        <v>3576</v>
      </c>
      <c r="CN85">
        <v>0</v>
      </c>
      <c r="CO85">
        <v>500</v>
      </c>
      <c r="CP85">
        <f t="shared" si="155"/>
        <v>38048</v>
      </c>
      <c r="CQ85">
        <v>2000</v>
      </c>
      <c r="CR85">
        <v>0</v>
      </c>
      <c r="CS85">
        <f t="shared" si="156"/>
        <v>150</v>
      </c>
      <c r="CT85">
        <f t="shared" si="157"/>
        <v>35898</v>
      </c>
      <c r="CU85">
        <v>29800</v>
      </c>
      <c r="CV85">
        <f t="shared" si="158"/>
        <v>4172</v>
      </c>
      <c r="CW85">
        <f t="shared" si="159"/>
        <v>3576</v>
      </c>
      <c r="CX85">
        <v>0</v>
      </c>
      <c r="CY85">
        <v>500</v>
      </c>
      <c r="CZ85">
        <f t="shared" si="160"/>
        <v>38048</v>
      </c>
      <c r="DA85">
        <v>2000</v>
      </c>
      <c r="DB85">
        <v>0</v>
      </c>
      <c r="DC85">
        <f t="shared" si="161"/>
        <v>150</v>
      </c>
      <c r="DD85">
        <f t="shared" si="162"/>
        <v>35898</v>
      </c>
      <c r="DE85">
        <v>29800</v>
      </c>
      <c r="DF85">
        <f t="shared" si="163"/>
        <v>4172</v>
      </c>
      <c r="DG85">
        <f t="shared" si="164"/>
        <v>3576</v>
      </c>
      <c r="DH85">
        <v>0</v>
      </c>
      <c r="DI85">
        <v>500</v>
      </c>
      <c r="DJ85">
        <f t="shared" si="165"/>
        <v>38048</v>
      </c>
      <c r="DK85">
        <v>2000</v>
      </c>
      <c r="DL85">
        <v>0</v>
      </c>
      <c r="DM85">
        <f t="shared" si="166"/>
        <v>150</v>
      </c>
      <c r="DN85">
        <f t="shared" si="167"/>
        <v>35898</v>
      </c>
      <c r="DO85">
        <v>29800</v>
      </c>
      <c r="DP85">
        <f t="shared" si="168"/>
        <v>4172</v>
      </c>
      <c r="DQ85">
        <f t="shared" si="169"/>
        <v>3576</v>
      </c>
      <c r="DR85">
        <v>0</v>
      </c>
      <c r="DS85">
        <v>500</v>
      </c>
      <c r="DT85">
        <f t="shared" si="170"/>
        <v>38048</v>
      </c>
      <c r="DU85">
        <v>2000</v>
      </c>
      <c r="DV85">
        <v>0</v>
      </c>
      <c r="DW85">
        <f t="shared" si="171"/>
        <v>150</v>
      </c>
      <c r="DX85">
        <f t="shared" si="172"/>
        <v>35898</v>
      </c>
      <c r="DY85">
        <f t="shared" si="173"/>
        <v>456884</v>
      </c>
      <c r="DZ85">
        <f t="shared" si="105"/>
        <v>1800</v>
      </c>
      <c r="EA85">
        <f t="shared" si="106"/>
        <v>50000</v>
      </c>
      <c r="EB85">
        <v>0</v>
      </c>
      <c r="EC85">
        <f t="shared" si="107"/>
        <v>405084</v>
      </c>
      <c r="ED85">
        <f t="shared" si="108"/>
        <v>16000</v>
      </c>
      <c r="EE85">
        <f t="shared" si="109"/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f t="shared" si="110"/>
        <v>16000</v>
      </c>
      <c r="EQ85">
        <f t="shared" si="174"/>
        <v>16000</v>
      </c>
      <c r="ER85">
        <f t="shared" si="111"/>
        <v>389084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f t="shared" si="175"/>
        <v>0</v>
      </c>
      <c r="FA85">
        <f t="shared" si="176"/>
        <v>389084</v>
      </c>
      <c r="FB85">
        <f t="shared" si="177"/>
        <v>6954</v>
      </c>
      <c r="FC85">
        <f t="shared" si="178"/>
        <v>0</v>
      </c>
      <c r="FD85">
        <f t="shared" si="179"/>
        <v>6954</v>
      </c>
      <c r="FE85">
        <f t="shared" si="180"/>
        <v>0</v>
      </c>
      <c r="FF85">
        <f t="shared" si="181"/>
        <v>0</v>
      </c>
      <c r="FG85">
        <f t="shared" si="182"/>
        <v>0</v>
      </c>
      <c r="FH85">
        <v>0</v>
      </c>
      <c r="FI85">
        <f t="shared" si="183"/>
        <v>0</v>
      </c>
      <c r="FJ85" t="b">
        <f t="shared" si="184"/>
        <v>0</v>
      </c>
      <c r="FK85">
        <f t="shared" ca="1" si="185"/>
        <v>1043</v>
      </c>
      <c r="FL85">
        <f t="shared" ca="1" si="186"/>
        <v>457927</v>
      </c>
      <c r="FM85">
        <f t="shared" si="187"/>
        <v>75000</v>
      </c>
      <c r="FN85">
        <f t="shared" ca="1" si="188"/>
        <v>382927</v>
      </c>
      <c r="FO85">
        <f t="shared" ca="1" si="189"/>
        <v>0</v>
      </c>
      <c r="FP85">
        <f t="shared" ca="1" si="190"/>
        <v>0</v>
      </c>
      <c r="FQ85">
        <f t="shared" ca="1" si="191"/>
        <v>0</v>
      </c>
      <c r="FR85">
        <f t="shared" ca="1" si="192"/>
        <v>0</v>
      </c>
      <c r="FS85">
        <f t="shared" ca="1" si="193"/>
        <v>0</v>
      </c>
      <c r="FT85">
        <f t="shared" ca="1" si="194"/>
        <v>0</v>
      </c>
      <c r="FU85">
        <f t="shared" ca="1" si="195"/>
        <v>0</v>
      </c>
      <c r="FV85">
        <f t="shared" ca="1" si="196"/>
        <v>0</v>
      </c>
      <c r="FW85">
        <f t="shared" ca="1" si="197"/>
        <v>82927</v>
      </c>
      <c r="FX85">
        <f t="shared" ca="1" si="198"/>
        <v>4146.3500000000004</v>
      </c>
      <c r="FY85">
        <f t="shared" ca="1" si="199"/>
        <v>4146</v>
      </c>
      <c r="FZ85">
        <f t="shared" ca="1" si="200"/>
        <v>0</v>
      </c>
      <c r="GA85">
        <f t="shared" ca="1" si="201"/>
        <v>0</v>
      </c>
      <c r="GB85">
        <f t="shared" ca="1" si="202"/>
        <v>4146</v>
      </c>
      <c r="GC85">
        <f t="shared" ca="1" si="203"/>
        <v>0</v>
      </c>
      <c r="GD85" t="b">
        <f t="shared" ca="1" si="204"/>
        <v>0</v>
      </c>
      <c r="GE85">
        <f t="shared" ca="1" si="205"/>
        <v>0</v>
      </c>
      <c r="GF85">
        <f t="shared" ca="1" si="206"/>
        <v>4146</v>
      </c>
      <c r="GG85">
        <f t="shared" ca="1" si="207"/>
        <v>0</v>
      </c>
      <c r="GH85">
        <f t="shared" ca="1" si="208"/>
        <v>0</v>
      </c>
      <c r="GI85">
        <f t="shared" ca="1" si="209"/>
        <v>0</v>
      </c>
    </row>
    <row r="86" spans="1:191" x14ac:dyDescent="0.25">
      <c r="A86">
        <f>_xlfn.AGGREGATE(3,5,$B$2:B86)</f>
        <v>85</v>
      </c>
      <c r="B86" t="s">
        <v>292</v>
      </c>
      <c r="C86" t="s">
        <v>293</v>
      </c>
      <c r="D86" t="s">
        <v>785</v>
      </c>
      <c r="E86" t="s">
        <v>845</v>
      </c>
      <c r="F86">
        <v>0</v>
      </c>
      <c r="G86">
        <v>0</v>
      </c>
      <c r="H86">
        <v>47300</v>
      </c>
      <c r="I86">
        <f t="shared" si="112"/>
        <v>4730</v>
      </c>
      <c r="J86">
        <f t="shared" si="113"/>
        <v>5676</v>
      </c>
      <c r="K86">
        <v>400</v>
      </c>
      <c r="L86">
        <v>500</v>
      </c>
      <c r="M86">
        <f t="shared" si="114"/>
        <v>58606</v>
      </c>
      <c r="N86">
        <v>3000</v>
      </c>
      <c r="O86">
        <v>0</v>
      </c>
      <c r="P86">
        <f t="shared" si="115"/>
        <v>200</v>
      </c>
      <c r="Q86">
        <f t="shared" si="116"/>
        <v>55406</v>
      </c>
      <c r="R86">
        <v>47300</v>
      </c>
      <c r="S86">
        <f t="shared" si="117"/>
        <v>4730</v>
      </c>
      <c r="T86">
        <f t="shared" si="118"/>
        <v>5676</v>
      </c>
      <c r="U86">
        <v>400</v>
      </c>
      <c r="V86">
        <v>500</v>
      </c>
      <c r="W86">
        <f t="shared" si="119"/>
        <v>58606</v>
      </c>
      <c r="X86">
        <v>3000</v>
      </c>
      <c r="Y86">
        <v>0</v>
      </c>
      <c r="Z86">
        <f t="shared" si="120"/>
        <v>200</v>
      </c>
      <c r="AA86">
        <f t="shared" si="121"/>
        <v>55406</v>
      </c>
      <c r="AB86">
        <v>47300</v>
      </c>
      <c r="AC86">
        <f t="shared" si="122"/>
        <v>6622.0000000000009</v>
      </c>
      <c r="AD86">
        <f t="shared" si="123"/>
        <v>5676</v>
      </c>
      <c r="AE86">
        <v>400</v>
      </c>
      <c r="AF86">
        <v>500</v>
      </c>
      <c r="AG86">
        <f t="shared" si="124"/>
        <v>60498</v>
      </c>
      <c r="AH86">
        <v>3000</v>
      </c>
      <c r="AI86">
        <v>0</v>
      </c>
      <c r="AJ86">
        <f t="shared" si="125"/>
        <v>200</v>
      </c>
      <c r="AK86">
        <f t="shared" si="126"/>
        <v>57298</v>
      </c>
      <c r="AL86">
        <v>47300</v>
      </c>
      <c r="AM86">
        <f t="shared" si="127"/>
        <v>6622.0000000000009</v>
      </c>
      <c r="AN86">
        <f t="shared" si="128"/>
        <v>5676</v>
      </c>
      <c r="AO86">
        <v>400</v>
      </c>
      <c r="AP86">
        <v>500</v>
      </c>
      <c r="AQ86">
        <f t="shared" si="129"/>
        <v>60498</v>
      </c>
      <c r="AR86">
        <v>3000</v>
      </c>
      <c r="AS86">
        <v>0</v>
      </c>
      <c r="AT86">
        <f t="shared" si="130"/>
        <v>200</v>
      </c>
      <c r="AU86">
        <f t="shared" si="131"/>
        <v>57298</v>
      </c>
      <c r="AV86">
        <v>48700</v>
      </c>
      <c r="AW86">
        <f t="shared" si="132"/>
        <v>6818.0000000000009</v>
      </c>
      <c r="AX86">
        <f t="shared" si="133"/>
        <v>1892</v>
      </c>
      <c r="AY86">
        <f t="shared" si="134"/>
        <v>5844</v>
      </c>
      <c r="AZ86">
        <v>400</v>
      </c>
      <c r="BA86">
        <v>500</v>
      </c>
      <c r="BB86">
        <f t="shared" si="135"/>
        <v>64154</v>
      </c>
      <c r="BC86">
        <v>3000</v>
      </c>
      <c r="BD86">
        <v>0</v>
      </c>
      <c r="BE86">
        <f t="shared" si="136"/>
        <v>200</v>
      </c>
      <c r="BF86">
        <f t="shared" si="137"/>
        <v>60954</v>
      </c>
      <c r="BG86">
        <v>48700</v>
      </c>
      <c r="BH86">
        <f t="shared" si="138"/>
        <v>6818.0000000000009</v>
      </c>
      <c r="BI86">
        <f t="shared" si="139"/>
        <v>5844</v>
      </c>
      <c r="BJ86">
        <v>400</v>
      </c>
      <c r="BK86">
        <v>500</v>
      </c>
      <c r="BL86">
        <f t="shared" si="140"/>
        <v>62262</v>
      </c>
      <c r="BM86">
        <v>3000</v>
      </c>
      <c r="BN86">
        <v>0</v>
      </c>
      <c r="BO86">
        <f t="shared" si="141"/>
        <v>200</v>
      </c>
      <c r="BP86">
        <f t="shared" si="142"/>
        <v>59062</v>
      </c>
      <c r="BQ86">
        <v>48700</v>
      </c>
      <c r="BR86">
        <f t="shared" si="143"/>
        <v>6818.0000000000009</v>
      </c>
      <c r="BS86">
        <f t="shared" si="144"/>
        <v>5844</v>
      </c>
      <c r="BT86">
        <v>400</v>
      </c>
      <c r="BU86">
        <v>500</v>
      </c>
      <c r="BV86">
        <f t="shared" si="145"/>
        <v>62262</v>
      </c>
      <c r="BW86">
        <v>3000</v>
      </c>
      <c r="BX86">
        <v>0</v>
      </c>
      <c r="BY86">
        <f t="shared" si="146"/>
        <v>200</v>
      </c>
      <c r="BZ86">
        <f t="shared" si="147"/>
        <v>59062</v>
      </c>
      <c r="CA86">
        <v>48700</v>
      </c>
      <c r="CB86">
        <f t="shared" si="148"/>
        <v>6818.0000000000009</v>
      </c>
      <c r="CC86">
        <f t="shared" si="149"/>
        <v>5844</v>
      </c>
      <c r="CD86">
        <v>400</v>
      </c>
      <c r="CE86">
        <v>500</v>
      </c>
      <c r="CF86">
        <f t="shared" si="150"/>
        <v>62262</v>
      </c>
      <c r="CG86">
        <v>3000</v>
      </c>
      <c r="CH86">
        <v>0</v>
      </c>
      <c r="CI86">
        <f t="shared" si="151"/>
        <v>200</v>
      </c>
      <c r="CJ86">
        <f t="shared" si="152"/>
        <v>59062</v>
      </c>
      <c r="CK86">
        <v>48700</v>
      </c>
      <c r="CL86">
        <f t="shared" si="153"/>
        <v>6818.0000000000009</v>
      </c>
      <c r="CM86">
        <f t="shared" si="154"/>
        <v>5844</v>
      </c>
      <c r="CN86">
        <v>400</v>
      </c>
      <c r="CO86">
        <v>500</v>
      </c>
      <c r="CP86">
        <f t="shared" si="155"/>
        <v>62262</v>
      </c>
      <c r="CQ86">
        <v>3000</v>
      </c>
      <c r="CR86">
        <v>0</v>
      </c>
      <c r="CS86">
        <f t="shared" si="156"/>
        <v>200</v>
      </c>
      <c r="CT86">
        <f t="shared" si="157"/>
        <v>59062</v>
      </c>
      <c r="CU86">
        <v>48700</v>
      </c>
      <c r="CV86">
        <f t="shared" si="158"/>
        <v>6818</v>
      </c>
      <c r="CW86">
        <f t="shared" si="159"/>
        <v>5844</v>
      </c>
      <c r="CX86">
        <v>400</v>
      </c>
      <c r="CY86">
        <v>500</v>
      </c>
      <c r="CZ86">
        <f t="shared" si="160"/>
        <v>62262</v>
      </c>
      <c r="DA86">
        <v>3000</v>
      </c>
      <c r="DB86">
        <v>0</v>
      </c>
      <c r="DC86">
        <f t="shared" si="161"/>
        <v>200</v>
      </c>
      <c r="DD86">
        <f t="shared" si="162"/>
        <v>59062</v>
      </c>
      <c r="DE86">
        <v>48700</v>
      </c>
      <c r="DF86">
        <f t="shared" si="163"/>
        <v>6818.0000000000009</v>
      </c>
      <c r="DG86">
        <f t="shared" si="164"/>
        <v>5844</v>
      </c>
      <c r="DH86">
        <v>400</v>
      </c>
      <c r="DI86">
        <v>500</v>
      </c>
      <c r="DJ86">
        <f t="shared" si="165"/>
        <v>62262</v>
      </c>
      <c r="DK86">
        <v>3000</v>
      </c>
      <c r="DL86">
        <v>0</v>
      </c>
      <c r="DM86">
        <f t="shared" si="166"/>
        <v>200</v>
      </c>
      <c r="DN86">
        <f t="shared" si="167"/>
        <v>59062</v>
      </c>
      <c r="DO86">
        <v>48700</v>
      </c>
      <c r="DP86">
        <f t="shared" si="168"/>
        <v>6818.0000000000009</v>
      </c>
      <c r="DQ86">
        <f t="shared" si="169"/>
        <v>5844</v>
      </c>
      <c r="DR86">
        <v>400</v>
      </c>
      <c r="DS86">
        <v>500</v>
      </c>
      <c r="DT86">
        <f t="shared" si="170"/>
        <v>62262</v>
      </c>
      <c r="DU86">
        <v>3000</v>
      </c>
      <c r="DV86">
        <v>0</v>
      </c>
      <c r="DW86">
        <f t="shared" si="171"/>
        <v>200</v>
      </c>
      <c r="DX86">
        <f t="shared" si="172"/>
        <v>59062</v>
      </c>
      <c r="DY86">
        <f t="shared" si="173"/>
        <v>738196</v>
      </c>
      <c r="DZ86">
        <f t="shared" si="105"/>
        <v>2400</v>
      </c>
      <c r="EA86">
        <f t="shared" si="106"/>
        <v>50000</v>
      </c>
      <c r="EB86">
        <v>0</v>
      </c>
      <c r="EC86">
        <f t="shared" si="107"/>
        <v>685796</v>
      </c>
      <c r="ED86">
        <f t="shared" si="108"/>
        <v>36000</v>
      </c>
      <c r="EE86">
        <f t="shared" si="109"/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f t="shared" si="110"/>
        <v>36000</v>
      </c>
      <c r="EQ86">
        <f t="shared" si="174"/>
        <v>36000</v>
      </c>
      <c r="ER86">
        <f t="shared" si="111"/>
        <v>649796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f t="shared" si="175"/>
        <v>0</v>
      </c>
      <c r="FA86">
        <f t="shared" si="176"/>
        <v>649796</v>
      </c>
      <c r="FB86">
        <f t="shared" si="177"/>
        <v>12500</v>
      </c>
      <c r="FC86">
        <f t="shared" si="178"/>
        <v>29959</v>
      </c>
      <c r="FD86">
        <f t="shared" si="179"/>
        <v>42459</v>
      </c>
      <c r="FE86">
        <f t="shared" si="180"/>
        <v>42459</v>
      </c>
      <c r="FF86">
        <f t="shared" si="181"/>
        <v>1698.3600000000001</v>
      </c>
      <c r="FG86">
        <f t="shared" si="182"/>
        <v>44157</v>
      </c>
      <c r="FH86">
        <v>0</v>
      </c>
      <c r="FI86">
        <f t="shared" si="183"/>
        <v>44157</v>
      </c>
      <c r="FJ86" t="b">
        <f t="shared" si="184"/>
        <v>1</v>
      </c>
      <c r="FK86">
        <f t="shared" ca="1" si="185"/>
        <v>588</v>
      </c>
      <c r="FL86">
        <f t="shared" ca="1" si="186"/>
        <v>738784</v>
      </c>
      <c r="FM86">
        <f t="shared" si="187"/>
        <v>75000</v>
      </c>
      <c r="FN86">
        <f t="shared" ca="1" si="188"/>
        <v>663784</v>
      </c>
      <c r="FO86">
        <f t="shared" ca="1" si="189"/>
        <v>0</v>
      </c>
      <c r="FP86">
        <f t="shared" ca="1" si="190"/>
        <v>0</v>
      </c>
      <c r="FQ86">
        <f t="shared" ca="1" si="191"/>
        <v>0</v>
      </c>
      <c r="FR86">
        <f t="shared" ca="1" si="192"/>
        <v>0</v>
      </c>
      <c r="FS86">
        <f t="shared" ca="1" si="193"/>
        <v>0</v>
      </c>
      <c r="FT86">
        <f t="shared" ca="1" si="194"/>
        <v>0</v>
      </c>
      <c r="FU86">
        <f t="shared" ca="1" si="195"/>
        <v>0</v>
      </c>
      <c r="FV86">
        <f t="shared" ca="1" si="196"/>
        <v>0</v>
      </c>
      <c r="FW86">
        <f t="shared" ca="1" si="197"/>
        <v>363784</v>
      </c>
      <c r="FX86">
        <f t="shared" ca="1" si="198"/>
        <v>18189.2</v>
      </c>
      <c r="FY86">
        <f t="shared" ca="1" si="199"/>
        <v>18189</v>
      </c>
      <c r="FZ86">
        <f t="shared" ca="1" si="200"/>
        <v>0</v>
      </c>
      <c r="GA86">
        <f t="shared" ca="1" si="201"/>
        <v>0</v>
      </c>
      <c r="GB86">
        <f t="shared" ca="1" si="202"/>
        <v>18189</v>
      </c>
      <c r="GC86">
        <f t="shared" ca="1" si="203"/>
        <v>0</v>
      </c>
      <c r="GD86" t="b">
        <f t="shared" ca="1" si="204"/>
        <v>0</v>
      </c>
      <c r="GE86">
        <f t="shared" ca="1" si="205"/>
        <v>0</v>
      </c>
      <c r="GF86">
        <f t="shared" ca="1" si="206"/>
        <v>18189</v>
      </c>
      <c r="GG86">
        <f t="shared" ca="1" si="207"/>
        <v>0</v>
      </c>
      <c r="GH86">
        <f t="shared" ca="1" si="208"/>
        <v>0</v>
      </c>
      <c r="GI86">
        <f t="shared" ca="1" si="209"/>
        <v>0</v>
      </c>
    </row>
    <row r="87" spans="1:191" x14ac:dyDescent="0.25">
      <c r="A87">
        <f>_xlfn.AGGREGATE(3,5,$B$2:B87)</f>
        <v>86</v>
      </c>
      <c r="B87" t="s">
        <v>294</v>
      </c>
      <c r="C87" t="s">
        <v>295</v>
      </c>
      <c r="D87" t="s">
        <v>785</v>
      </c>
      <c r="E87" t="s">
        <v>843</v>
      </c>
      <c r="F87">
        <v>0</v>
      </c>
      <c r="G87">
        <v>6000</v>
      </c>
      <c r="H87">
        <v>32500</v>
      </c>
      <c r="I87">
        <f t="shared" si="112"/>
        <v>3250</v>
      </c>
      <c r="J87">
        <f t="shared" si="113"/>
        <v>3900</v>
      </c>
      <c r="K87">
        <v>0</v>
      </c>
      <c r="L87">
        <v>0</v>
      </c>
      <c r="M87">
        <f t="shared" si="114"/>
        <v>39650</v>
      </c>
      <c r="N87">
        <v>3000</v>
      </c>
      <c r="O87">
        <v>0</v>
      </c>
      <c r="P87">
        <f t="shared" si="115"/>
        <v>150</v>
      </c>
      <c r="Q87">
        <f t="shared" si="116"/>
        <v>36500</v>
      </c>
      <c r="R87">
        <v>32500</v>
      </c>
      <c r="S87">
        <f t="shared" si="117"/>
        <v>3250</v>
      </c>
      <c r="T87">
        <f t="shared" si="118"/>
        <v>3900</v>
      </c>
      <c r="U87">
        <v>0</v>
      </c>
      <c r="V87">
        <v>0</v>
      </c>
      <c r="W87">
        <f t="shared" si="119"/>
        <v>39650</v>
      </c>
      <c r="X87">
        <v>3000</v>
      </c>
      <c r="Y87">
        <v>0</v>
      </c>
      <c r="Z87">
        <f t="shared" si="120"/>
        <v>150</v>
      </c>
      <c r="AA87">
        <f t="shared" si="121"/>
        <v>36500</v>
      </c>
      <c r="AB87">
        <v>32500</v>
      </c>
      <c r="AC87">
        <f t="shared" si="122"/>
        <v>4550</v>
      </c>
      <c r="AD87">
        <f t="shared" si="123"/>
        <v>3900</v>
      </c>
      <c r="AE87">
        <v>0</v>
      </c>
      <c r="AF87">
        <v>0</v>
      </c>
      <c r="AG87">
        <f t="shared" si="124"/>
        <v>40950</v>
      </c>
      <c r="AH87">
        <v>3000</v>
      </c>
      <c r="AI87">
        <v>0</v>
      </c>
      <c r="AJ87">
        <f t="shared" si="125"/>
        <v>200</v>
      </c>
      <c r="AK87">
        <f t="shared" si="126"/>
        <v>37750</v>
      </c>
      <c r="AL87">
        <v>32500</v>
      </c>
      <c r="AM87">
        <f t="shared" si="127"/>
        <v>4550</v>
      </c>
      <c r="AN87">
        <f t="shared" si="128"/>
        <v>3900</v>
      </c>
      <c r="AO87">
        <v>0</v>
      </c>
      <c r="AP87">
        <v>0</v>
      </c>
      <c r="AQ87">
        <f t="shared" si="129"/>
        <v>40950</v>
      </c>
      <c r="AR87">
        <v>3000</v>
      </c>
      <c r="AS87">
        <v>0</v>
      </c>
      <c r="AT87">
        <f t="shared" si="130"/>
        <v>200</v>
      </c>
      <c r="AU87">
        <f t="shared" si="131"/>
        <v>37750</v>
      </c>
      <c r="AV87">
        <v>34500</v>
      </c>
      <c r="AW87">
        <f t="shared" si="132"/>
        <v>4830.0000000000009</v>
      </c>
      <c r="AX87">
        <f t="shared" si="133"/>
        <v>1300</v>
      </c>
      <c r="AY87">
        <f t="shared" si="134"/>
        <v>4140</v>
      </c>
      <c r="AZ87">
        <v>0</v>
      </c>
      <c r="BA87">
        <v>0</v>
      </c>
      <c r="BB87">
        <f t="shared" si="135"/>
        <v>44770</v>
      </c>
      <c r="BC87">
        <v>3000</v>
      </c>
      <c r="BD87">
        <v>0</v>
      </c>
      <c r="BE87">
        <f t="shared" si="136"/>
        <v>200</v>
      </c>
      <c r="BF87">
        <f t="shared" si="137"/>
        <v>41570</v>
      </c>
      <c r="BG87">
        <v>34500</v>
      </c>
      <c r="BH87">
        <f t="shared" si="138"/>
        <v>4830.0000000000009</v>
      </c>
      <c r="BI87">
        <f t="shared" si="139"/>
        <v>4140</v>
      </c>
      <c r="BJ87">
        <v>0</v>
      </c>
      <c r="BK87">
        <v>0</v>
      </c>
      <c r="BL87">
        <f t="shared" si="140"/>
        <v>43470</v>
      </c>
      <c r="BM87">
        <v>3000</v>
      </c>
      <c r="BN87">
        <v>0</v>
      </c>
      <c r="BO87">
        <f t="shared" si="141"/>
        <v>200</v>
      </c>
      <c r="BP87">
        <f t="shared" si="142"/>
        <v>40270</v>
      </c>
      <c r="BQ87">
        <v>34500</v>
      </c>
      <c r="BR87">
        <f t="shared" si="143"/>
        <v>4830.0000000000009</v>
      </c>
      <c r="BS87">
        <f t="shared" si="144"/>
        <v>4140</v>
      </c>
      <c r="BT87">
        <v>0</v>
      </c>
      <c r="BU87">
        <v>0</v>
      </c>
      <c r="BV87">
        <f t="shared" si="145"/>
        <v>43470</v>
      </c>
      <c r="BW87">
        <v>3000</v>
      </c>
      <c r="BX87">
        <v>0</v>
      </c>
      <c r="BY87">
        <f t="shared" si="146"/>
        <v>200</v>
      </c>
      <c r="BZ87">
        <f t="shared" si="147"/>
        <v>40270</v>
      </c>
      <c r="CA87">
        <v>34500</v>
      </c>
      <c r="CB87">
        <f t="shared" si="148"/>
        <v>4830.0000000000009</v>
      </c>
      <c r="CC87">
        <f t="shared" si="149"/>
        <v>4140</v>
      </c>
      <c r="CD87">
        <v>0</v>
      </c>
      <c r="CE87">
        <v>0</v>
      </c>
      <c r="CF87">
        <f t="shared" si="150"/>
        <v>43470</v>
      </c>
      <c r="CG87">
        <v>3000</v>
      </c>
      <c r="CH87">
        <v>0</v>
      </c>
      <c r="CI87">
        <f t="shared" si="151"/>
        <v>200</v>
      </c>
      <c r="CJ87">
        <f t="shared" si="152"/>
        <v>40270</v>
      </c>
      <c r="CK87">
        <v>34500</v>
      </c>
      <c r="CL87">
        <f t="shared" si="153"/>
        <v>4830.0000000000009</v>
      </c>
      <c r="CM87">
        <f t="shared" si="154"/>
        <v>4140</v>
      </c>
      <c r="CN87">
        <v>0</v>
      </c>
      <c r="CO87">
        <v>0</v>
      </c>
      <c r="CP87">
        <f t="shared" si="155"/>
        <v>43470</v>
      </c>
      <c r="CQ87">
        <v>3000</v>
      </c>
      <c r="CR87">
        <v>0</v>
      </c>
      <c r="CS87">
        <f t="shared" si="156"/>
        <v>200</v>
      </c>
      <c r="CT87">
        <f t="shared" si="157"/>
        <v>40270</v>
      </c>
      <c r="CU87">
        <v>34500</v>
      </c>
      <c r="CV87">
        <f t="shared" si="158"/>
        <v>4830</v>
      </c>
      <c r="CW87">
        <f t="shared" si="159"/>
        <v>4140</v>
      </c>
      <c r="CX87">
        <v>0</v>
      </c>
      <c r="CY87">
        <v>0</v>
      </c>
      <c r="CZ87">
        <f t="shared" si="160"/>
        <v>43470</v>
      </c>
      <c r="DA87">
        <v>3000</v>
      </c>
      <c r="DB87">
        <v>0</v>
      </c>
      <c r="DC87">
        <f t="shared" si="161"/>
        <v>200</v>
      </c>
      <c r="DD87">
        <f t="shared" si="162"/>
        <v>40270</v>
      </c>
      <c r="DE87">
        <v>34500</v>
      </c>
      <c r="DF87">
        <f t="shared" si="163"/>
        <v>4830.0000000000009</v>
      </c>
      <c r="DG87">
        <f t="shared" si="164"/>
        <v>4140</v>
      </c>
      <c r="DH87">
        <v>0</v>
      </c>
      <c r="DI87">
        <v>0</v>
      </c>
      <c r="DJ87">
        <f t="shared" si="165"/>
        <v>43470</v>
      </c>
      <c r="DK87">
        <v>3000</v>
      </c>
      <c r="DL87">
        <v>0</v>
      </c>
      <c r="DM87">
        <f t="shared" si="166"/>
        <v>200</v>
      </c>
      <c r="DN87">
        <f t="shared" si="167"/>
        <v>40270</v>
      </c>
      <c r="DO87">
        <v>34500</v>
      </c>
      <c r="DP87">
        <f t="shared" si="168"/>
        <v>4830.0000000000009</v>
      </c>
      <c r="DQ87">
        <f t="shared" si="169"/>
        <v>4140</v>
      </c>
      <c r="DR87">
        <v>0</v>
      </c>
      <c r="DS87">
        <v>0</v>
      </c>
      <c r="DT87">
        <f t="shared" si="170"/>
        <v>43470</v>
      </c>
      <c r="DU87">
        <v>3000</v>
      </c>
      <c r="DV87">
        <v>0</v>
      </c>
      <c r="DW87">
        <f t="shared" si="171"/>
        <v>200</v>
      </c>
      <c r="DX87">
        <f t="shared" si="172"/>
        <v>40270</v>
      </c>
      <c r="DY87">
        <f t="shared" si="173"/>
        <v>516260</v>
      </c>
      <c r="DZ87">
        <f t="shared" si="105"/>
        <v>2300</v>
      </c>
      <c r="EA87">
        <f t="shared" si="106"/>
        <v>50000</v>
      </c>
      <c r="EB87">
        <v>0</v>
      </c>
      <c r="EC87">
        <f t="shared" si="107"/>
        <v>463960</v>
      </c>
      <c r="ED87">
        <f t="shared" si="108"/>
        <v>36000</v>
      </c>
      <c r="EE87">
        <f t="shared" si="109"/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f t="shared" si="110"/>
        <v>36000</v>
      </c>
      <c r="EQ87">
        <f t="shared" si="174"/>
        <v>36000</v>
      </c>
      <c r="ER87">
        <f t="shared" si="111"/>
        <v>427960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f t="shared" si="175"/>
        <v>0</v>
      </c>
      <c r="FA87">
        <f t="shared" si="176"/>
        <v>427960</v>
      </c>
      <c r="FB87">
        <f t="shared" si="177"/>
        <v>8898</v>
      </c>
      <c r="FC87">
        <f t="shared" si="178"/>
        <v>0</v>
      </c>
      <c r="FD87">
        <f t="shared" si="179"/>
        <v>8898</v>
      </c>
      <c r="FE87">
        <f t="shared" si="180"/>
        <v>0</v>
      </c>
      <c r="FF87">
        <f t="shared" si="181"/>
        <v>0</v>
      </c>
      <c r="FG87">
        <f t="shared" si="182"/>
        <v>0</v>
      </c>
      <c r="FH87">
        <v>0</v>
      </c>
      <c r="FI87">
        <f t="shared" si="183"/>
        <v>0</v>
      </c>
      <c r="FJ87" t="b">
        <f t="shared" si="184"/>
        <v>1</v>
      </c>
      <c r="FK87">
        <f t="shared" ca="1" si="185"/>
        <v>587</v>
      </c>
      <c r="FL87">
        <f t="shared" ca="1" si="186"/>
        <v>516847</v>
      </c>
      <c r="FM87">
        <f t="shared" si="187"/>
        <v>75000</v>
      </c>
      <c r="FN87">
        <f t="shared" ca="1" si="188"/>
        <v>441847</v>
      </c>
      <c r="FO87">
        <f t="shared" ca="1" si="189"/>
        <v>0</v>
      </c>
      <c r="FP87">
        <f t="shared" ca="1" si="190"/>
        <v>0</v>
      </c>
      <c r="FQ87">
        <f t="shared" ca="1" si="191"/>
        <v>0</v>
      </c>
      <c r="FR87">
        <f t="shared" ca="1" si="192"/>
        <v>0</v>
      </c>
      <c r="FS87">
        <f t="shared" ca="1" si="193"/>
        <v>0</v>
      </c>
      <c r="FT87">
        <f t="shared" ca="1" si="194"/>
        <v>0</v>
      </c>
      <c r="FU87">
        <f t="shared" ca="1" si="195"/>
        <v>0</v>
      </c>
      <c r="FV87">
        <f t="shared" ca="1" si="196"/>
        <v>0</v>
      </c>
      <c r="FW87">
        <f t="shared" ca="1" si="197"/>
        <v>141847</v>
      </c>
      <c r="FX87">
        <f t="shared" ca="1" si="198"/>
        <v>7092.35</v>
      </c>
      <c r="FY87">
        <f t="shared" ca="1" si="199"/>
        <v>7092</v>
      </c>
      <c r="FZ87">
        <f t="shared" ca="1" si="200"/>
        <v>0</v>
      </c>
      <c r="GA87">
        <f t="shared" ca="1" si="201"/>
        <v>0</v>
      </c>
      <c r="GB87">
        <f t="shared" ca="1" si="202"/>
        <v>7092</v>
      </c>
      <c r="GC87">
        <f t="shared" ca="1" si="203"/>
        <v>0</v>
      </c>
      <c r="GD87" t="b">
        <f t="shared" ca="1" si="204"/>
        <v>0</v>
      </c>
      <c r="GE87">
        <f t="shared" ca="1" si="205"/>
        <v>0</v>
      </c>
      <c r="GF87">
        <f t="shared" ca="1" si="206"/>
        <v>7092</v>
      </c>
      <c r="GG87">
        <f t="shared" ca="1" si="207"/>
        <v>0</v>
      </c>
      <c r="GH87">
        <f t="shared" ca="1" si="208"/>
        <v>0</v>
      </c>
      <c r="GI87">
        <f t="shared" ca="1" si="209"/>
        <v>0</v>
      </c>
    </row>
    <row r="88" spans="1:191" x14ac:dyDescent="0.25">
      <c r="A88">
        <f>_xlfn.AGGREGATE(3,5,$B$2:B88)</f>
        <v>87</v>
      </c>
      <c r="B88" t="s">
        <v>296</v>
      </c>
      <c r="C88" t="s">
        <v>297</v>
      </c>
      <c r="D88" t="s">
        <v>785</v>
      </c>
      <c r="E88" t="s">
        <v>843</v>
      </c>
      <c r="F88">
        <v>0</v>
      </c>
      <c r="G88">
        <v>6000</v>
      </c>
      <c r="H88">
        <v>26200</v>
      </c>
      <c r="I88">
        <f t="shared" si="112"/>
        <v>2620</v>
      </c>
      <c r="J88">
        <f t="shared" si="113"/>
        <v>3144</v>
      </c>
      <c r="K88">
        <v>0</v>
      </c>
      <c r="L88">
        <v>500</v>
      </c>
      <c r="M88">
        <f t="shared" si="114"/>
        <v>32464</v>
      </c>
      <c r="N88">
        <v>2000</v>
      </c>
      <c r="O88">
        <v>0</v>
      </c>
      <c r="P88">
        <f t="shared" si="115"/>
        <v>150</v>
      </c>
      <c r="Q88">
        <f t="shared" si="116"/>
        <v>30314</v>
      </c>
      <c r="R88">
        <v>26200</v>
      </c>
      <c r="S88">
        <f t="shared" si="117"/>
        <v>2620</v>
      </c>
      <c r="T88">
        <f t="shared" si="118"/>
        <v>3144</v>
      </c>
      <c r="U88">
        <v>0</v>
      </c>
      <c r="V88">
        <v>500</v>
      </c>
      <c r="W88">
        <f t="shared" si="119"/>
        <v>32464</v>
      </c>
      <c r="X88">
        <v>2000</v>
      </c>
      <c r="Y88">
        <v>0</v>
      </c>
      <c r="Z88">
        <f t="shared" si="120"/>
        <v>150</v>
      </c>
      <c r="AA88">
        <f t="shared" si="121"/>
        <v>30314</v>
      </c>
      <c r="AB88">
        <v>26200</v>
      </c>
      <c r="AC88">
        <f t="shared" si="122"/>
        <v>3668.0000000000005</v>
      </c>
      <c r="AD88">
        <f t="shared" si="123"/>
        <v>3144</v>
      </c>
      <c r="AE88">
        <v>0</v>
      </c>
      <c r="AF88">
        <v>500</v>
      </c>
      <c r="AG88">
        <f t="shared" si="124"/>
        <v>33512</v>
      </c>
      <c r="AH88">
        <v>2000</v>
      </c>
      <c r="AI88">
        <v>0</v>
      </c>
      <c r="AJ88">
        <f t="shared" si="125"/>
        <v>150</v>
      </c>
      <c r="AK88">
        <f t="shared" si="126"/>
        <v>31362</v>
      </c>
      <c r="AL88">
        <v>26200</v>
      </c>
      <c r="AM88">
        <f t="shared" si="127"/>
        <v>3668.0000000000005</v>
      </c>
      <c r="AN88">
        <f t="shared" si="128"/>
        <v>3144</v>
      </c>
      <c r="AO88">
        <v>0</v>
      </c>
      <c r="AP88">
        <v>500</v>
      </c>
      <c r="AQ88">
        <f t="shared" si="129"/>
        <v>33512</v>
      </c>
      <c r="AR88">
        <v>2000</v>
      </c>
      <c r="AS88">
        <v>0</v>
      </c>
      <c r="AT88">
        <f t="shared" si="130"/>
        <v>150</v>
      </c>
      <c r="AU88">
        <f t="shared" si="131"/>
        <v>31362</v>
      </c>
      <c r="AV88">
        <v>27000</v>
      </c>
      <c r="AW88">
        <f t="shared" si="132"/>
        <v>3780.0000000000005</v>
      </c>
      <c r="AX88">
        <f t="shared" si="133"/>
        <v>1048</v>
      </c>
      <c r="AY88">
        <f t="shared" si="134"/>
        <v>3240</v>
      </c>
      <c r="AZ88">
        <v>0</v>
      </c>
      <c r="BA88">
        <v>500</v>
      </c>
      <c r="BB88">
        <f t="shared" si="135"/>
        <v>35568</v>
      </c>
      <c r="BC88">
        <v>2000</v>
      </c>
      <c r="BD88">
        <v>0</v>
      </c>
      <c r="BE88">
        <f t="shared" si="136"/>
        <v>150</v>
      </c>
      <c r="BF88">
        <f t="shared" si="137"/>
        <v>33418</v>
      </c>
      <c r="BG88">
        <v>27000</v>
      </c>
      <c r="BH88">
        <f t="shared" si="138"/>
        <v>3780.0000000000005</v>
      </c>
      <c r="BI88">
        <f t="shared" si="139"/>
        <v>3240</v>
      </c>
      <c r="BJ88">
        <v>0</v>
      </c>
      <c r="BK88">
        <v>500</v>
      </c>
      <c r="BL88">
        <f t="shared" si="140"/>
        <v>34520</v>
      </c>
      <c r="BM88">
        <v>2000</v>
      </c>
      <c r="BN88">
        <v>0</v>
      </c>
      <c r="BO88">
        <f t="shared" si="141"/>
        <v>150</v>
      </c>
      <c r="BP88">
        <f t="shared" si="142"/>
        <v>32370</v>
      </c>
      <c r="BQ88">
        <v>27000</v>
      </c>
      <c r="BR88">
        <f t="shared" si="143"/>
        <v>3780.0000000000005</v>
      </c>
      <c r="BS88">
        <f t="shared" si="144"/>
        <v>3240</v>
      </c>
      <c r="BT88">
        <v>0</v>
      </c>
      <c r="BU88">
        <v>500</v>
      </c>
      <c r="BV88">
        <f t="shared" si="145"/>
        <v>34520</v>
      </c>
      <c r="BW88">
        <v>2000</v>
      </c>
      <c r="BX88">
        <v>0</v>
      </c>
      <c r="BY88">
        <f t="shared" si="146"/>
        <v>150</v>
      </c>
      <c r="BZ88">
        <f t="shared" si="147"/>
        <v>32370</v>
      </c>
      <c r="CA88">
        <v>27000</v>
      </c>
      <c r="CB88">
        <f t="shared" si="148"/>
        <v>3780.0000000000005</v>
      </c>
      <c r="CC88">
        <f t="shared" si="149"/>
        <v>3240</v>
      </c>
      <c r="CD88">
        <v>0</v>
      </c>
      <c r="CE88">
        <v>500</v>
      </c>
      <c r="CF88">
        <f t="shared" si="150"/>
        <v>34520</v>
      </c>
      <c r="CG88">
        <v>2000</v>
      </c>
      <c r="CH88">
        <v>0</v>
      </c>
      <c r="CI88">
        <f t="shared" si="151"/>
        <v>150</v>
      </c>
      <c r="CJ88">
        <f t="shared" si="152"/>
        <v>32370</v>
      </c>
      <c r="CK88">
        <v>27000</v>
      </c>
      <c r="CL88">
        <f t="shared" si="153"/>
        <v>3780.0000000000005</v>
      </c>
      <c r="CM88">
        <f t="shared" si="154"/>
        <v>3240</v>
      </c>
      <c r="CN88">
        <v>0</v>
      </c>
      <c r="CO88">
        <v>500</v>
      </c>
      <c r="CP88">
        <f t="shared" si="155"/>
        <v>34520</v>
      </c>
      <c r="CQ88">
        <v>2000</v>
      </c>
      <c r="CR88">
        <v>0</v>
      </c>
      <c r="CS88">
        <f t="shared" si="156"/>
        <v>150</v>
      </c>
      <c r="CT88">
        <f t="shared" si="157"/>
        <v>32370</v>
      </c>
      <c r="CU88">
        <v>27000</v>
      </c>
      <c r="CV88">
        <f t="shared" si="158"/>
        <v>3780</v>
      </c>
      <c r="CW88">
        <f t="shared" si="159"/>
        <v>3240</v>
      </c>
      <c r="CX88">
        <v>0</v>
      </c>
      <c r="CY88">
        <v>500</v>
      </c>
      <c r="CZ88">
        <f t="shared" si="160"/>
        <v>34520</v>
      </c>
      <c r="DA88">
        <v>2000</v>
      </c>
      <c r="DB88">
        <v>0</v>
      </c>
      <c r="DC88">
        <f t="shared" si="161"/>
        <v>150</v>
      </c>
      <c r="DD88">
        <f t="shared" si="162"/>
        <v>32370</v>
      </c>
      <c r="DE88">
        <v>27000</v>
      </c>
      <c r="DF88">
        <f t="shared" si="163"/>
        <v>3780.0000000000005</v>
      </c>
      <c r="DG88">
        <f t="shared" si="164"/>
        <v>3240</v>
      </c>
      <c r="DH88">
        <v>0</v>
      </c>
      <c r="DI88">
        <v>500</v>
      </c>
      <c r="DJ88">
        <f t="shared" si="165"/>
        <v>34520</v>
      </c>
      <c r="DK88">
        <v>2000</v>
      </c>
      <c r="DL88">
        <v>0</v>
      </c>
      <c r="DM88">
        <f t="shared" si="166"/>
        <v>150</v>
      </c>
      <c r="DN88">
        <f t="shared" si="167"/>
        <v>32370</v>
      </c>
      <c r="DO88">
        <v>27000</v>
      </c>
      <c r="DP88">
        <f t="shared" si="168"/>
        <v>3780.0000000000005</v>
      </c>
      <c r="DQ88">
        <f t="shared" si="169"/>
        <v>3240</v>
      </c>
      <c r="DR88">
        <v>0</v>
      </c>
      <c r="DS88">
        <v>500</v>
      </c>
      <c r="DT88">
        <f t="shared" si="170"/>
        <v>34520</v>
      </c>
      <c r="DU88">
        <v>2000</v>
      </c>
      <c r="DV88">
        <v>0</v>
      </c>
      <c r="DW88">
        <f t="shared" si="171"/>
        <v>150</v>
      </c>
      <c r="DX88">
        <f t="shared" si="172"/>
        <v>32370</v>
      </c>
      <c r="DY88">
        <f t="shared" si="173"/>
        <v>415160</v>
      </c>
      <c r="DZ88">
        <f t="shared" si="105"/>
        <v>1800</v>
      </c>
      <c r="EA88">
        <f t="shared" si="106"/>
        <v>50000</v>
      </c>
      <c r="EB88">
        <v>0</v>
      </c>
      <c r="EC88">
        <f t="shared" si="107"/>
        <v>363360</v>
      </c>
      <c r="ED88">
        <f t="shared" si="108"/>
        <v>24000</v>
      </c>
      <c r="EE88">
        <f t="shared" si="109"/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f t="shared" si="110"/>
        <v>24000</v>
      </c>
      <c r="EQ88">
        <f t="shared" si="174"/>
        <v>24000</v>
      </c>
      <c r="ER88">
        <f t="shared" si="111"/>
        <v>339360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f t="shared" si="175"/>
        <v>0</v>
      </c>
      <c r="FA88">
        <f t="shared" si="176"/>
        <v>339360</v>
      </c>
      <c r="FB88">
        <f t="shared" si="177"/>
        <v>4468</v>
      </c>
      <c r="FC88">
        <f t="shared" si="178"/>
        <v>0</v>
      </c>
      <c r="FD88">
        <f t="shared" si="179"/>
        <v>4468</v>
      </c>
      <c r="FE88">
        <f t="shared" si="180"/>
        <v>0</v>
      </c>
      <c r="FF88">
        <f t="shared" si="181"/>
        <v>0</v>
      </c>
      <c r="FG88">
        <f t="shared" si="182"/>
        <v>0</v>
      </c>
      <c r="FH88">
        <v>0</v>
      </c>
      <c r="FI88">
        <f t="shared" si="183"/>
        <v>0</v>
      </c>
      <c r="FJ88" t="b">
        <f t="shared" si="184"/>
        <v>0</v>
      </c>
      <c r="FK88">
        <f t="shared" ca="1" si="185"/>
        <v>2339</v>
      </c>
      <c r="FL88">
        <f t="shared" ca="1" si="186"/>
        <v>417499</v>
      </c>
      <c r="FM88">
        <f t="shared" si="187"/>
        <v>75000</v>
      </c>
      <c r="FN88">
        <f t="shared" ca="1" si="188"/>
        <v>342499</v>
      </c>
      <c r="FO88">
        <f t="shared" ca="1" si="189"/>
        <v>0</v>
      </c>
      <c r="FP88">
        <f t="shared" ca="1" si="190"/>
        <v>0</v>
      </c>
      <c r="FQ88">
        <f t="shared" ca="1" si="191"/>
        <v>0</v>
      </c>
      <c r="FR88">
        <f t="shared" ca="1" si="192"/>
        <v>0</v>
      </c>
      <c r="FS88">
        <f t="shared" ca="1" si="193"/>
        <v>0</v>
      </c>
      <c r="FT88">
        <f t="shared" ca="1" si="194"/>
        <v>0</v>
      </c>
      <c r="FU88">
        <f t="shared" ca="1" si="195"/>
        <v>0</v>
      </c>
      <c r="FV88">
        <f t="shared" ca="1" si="196"/>
        <v>0</v>
      </c>
      <c r="FW88">
        <f t="shared" ca="1" si="197"/>
        <v>42499</v>
      </c>
      <c r="FX88">
        <f t="shared" ca="1" si="198"/>
        <v>2124.9500000000003</v>
      </c>
      <c r="FY88">
        <f t="shared" ca="1" si="199"/>
        <v>2125</v>
      </c>
      <c r="FZ88">
        <f t="shared" ca="1" si="200"/>
        <v>0</v>
      </c>
      <c r="GA88">
        <f t="shared" ca="1" si="201"/>
        <v>0</v>
      </c>
      <c r="GB88">
        <f t="shared" ca="1" si="202"/>
        <v>2125</v>
      </c>
      <c r="GC88">
        <f t="shared" ca="1" si="203"/>
        <v>0</v>
      </c>
      <c r="GD88" t="b">
        <f t="shared" ca="1" si="204"/>
        <v>0</v>
      </c>
      <c r="GE88">
        <f t="shared" ca="1" si="205"/>
        <v>0</v>
      </c>
      <c r="GF88">
        <f t="shared" ca="1" si="206"/>
        <v>2125</v>
      </c>
      <c r="GG88">
        <f t="shared" ca="1" si="207"/>
        <v>0</v>
      </c>
      <c r="GH88">
        <f t="shared" ca="1" si="208"/>
        <v>0</v>
      </c>
      <c r="GI88">
        <f t="shared" ca="1" si="209"/>
        <v>0</v>
      </c>
    </row>
    <row r="89" spans="1:191" x14ac:dyDescent="0.25">
      <c r="A89">
        <f>_xlfn.AGGREGATE(3,5,$B$2:B89)</f>
        <v>88</v>
      </c>
      <c r="B89" t="s">
        <v>298</v>
      </c>
      <c r="C89" t="s">
        <v>299</v>
      </c>
      <c r="D89" t="s">
        <v>786</v>
      </c>
      <c r="E89" t="s">
        <v>843</v>
      </c>
      <c r="F89">
        <v>0</v>
      </c>
      <c r="G89">
        <v>0</v>
      </c>
      <c r="H89">
        <v>53800</v>
      </c>
      <c r="I89">
        <f t="shared" si="112"/>
        <v>5380</v>
      </c>
      <c r="J89">
        <f t="shared" si="113"/>
        <v>6456</v>
      </c>
      <c r="K89">
        <v>400</v>
      </c>
      <c r="L89">
        <v>500</v>
      </c>
      <c r="M89">
        <f t="shared" si="114"/>
        <v>66536</v>
      </c>
      <c r="N89">
        <v>5000</v>
      </c>
      <c r="O89">
        <v>0</v>
      </c>
      <c r="P89">
        <f t="shared" si="115"/>
        <v>200</v>
      </c>
      <c r="Q89">
        <f t="shared" si="116"/>
        <v>61336</v>
      </c>
      <c r="R89">
        <v>53800</v>
      </c>
      <c r="S89">
        <f t="shared" si="117"/>
        <v>5380</v>
      </c>
      <c r="T89">
        <f t="shared" si="118"/>
        <v>6456</v>
      </c>
      <c r="U89">
        <v>400</v>
      </c>
      <c r="V89">
        <v>500</v>
      </c>
      <c r="W89">
        <f t="shared" si="119"/>
        <v>66536</v>
      </c>
      <c r="X89">
        <v>5000</v>
      </c>
      <c r="Y89">
        <v>0</v>
      </c>
      <c r="Z89">
        <f t="shared" si="120"/>
        <v>200</v>
      </c>
      <c r="AA89">
        <f t="shared" si="121"/>
        <v>61336</v>
      </c>
      <c r="AB89">
        <v>53800</v>
      </c>
      <c r="AC89">
        <f t="shared" si="122"/>
        <v>7532.0000000000009</v>
      </c>
      <c r="AD89">
        <f t="shared" si="123"/>
        <v>6456</v>
      </c>
      <c r="AE89">
        <v>400</v>
      </c>
      <c r="AF89">
        <v>500</v>
      </c>
      <c r="AG89">
        <f t="shared" si="124"/>
        <v>68688</v>
      </c>
      <c r="AH89">
        <v>5000</v>
      </c>
      <c r="AI89">
        <v>0</v>
      </c>
      <c r="AJ89">
        <f t="shared" si="125"/>
        <v>200</v>
      </c>
      <c r="AK89">
        <f t="shared" si="126"/>
        <v>63488</v>
      </c>
      <c r="AL89">
        <v>53800</v>
      </c>
      <c r="AM89">
        <f t="shared" si="127"/>
        <v>7532.0000000000009</v>
      </c>
      <c r="AN89">
        <f t="shared" si="128"/>
        <v>6456</v>
      </c>
      <c r="AO89">
        <v>400</v>
      </c>
      <c r="AP89">
        <v>500</v>
      </c>
      <c r="AQ89">
        <f t="shared" si="129"/>
        <v>68688</v>
      </c>
      <c r="AR89">
        <v>5000</v>
      </c>
      <c r="AS89">
        <v>0</v>
      </c>
      <c r="AT89">
        <f t="shared" si="130"/>
        <v>200</v>
      </c>
      <c r="AU89">
        <f t="shared" si="131"/>
        <v>63488</v>
      </c>
      <c r="AV89">
        <v>55400</v>
      </c>
      <c r="AW89">
        <f t="shared" si="132"/>
        <v>7756.0000000000009</v>
      </c>
      <c r="AX89">
        <f t="shared" si="133"/>
        <v>2152</v>
      </c>
      <c r="AY89">
        <f t="shared" si="134"/>
        <v>6648</v>
      </c>
      <c r="AZ89">
        <v>400</v>
      </c>
      <c r="BA89">
        <v>500</v>
      </c>
      <c r="BB89">
        <f t="shared" si="135"/>
        <v>72856</v>
      </c>
      <c r="BC89">
        <v>5000</v>
      </c>
      <c r="BD89">
        <v>0</v>
      </c>
      <c r="BE89">
        <f t="shared" si="136"/>
        <v>200</v>
      </c>
      <c r="BF89">
        <f t="shared" si="137"/>
        <v>67656</v>
      </c>
      <c r="BG89">
        <v>55400</v>
      </c>
      <c r="BH89">
        <f t="shared" si="138"/>
        <v>7756.0000000000009</v>
      </c>
      <c r="BI89">
        <f t="shared" si="139"/>
        <v>6648</v>
      </c>
      <c r="BJ89">
        <v>400</v>
      </c>
      <c r="BK89">
        <v>500</v>
      </c>
      <c r="BL89">
        <f t="shared" si="140"/>
        <v>70704</v>
      </c>
      <c r="BM89">
        <v>5000</v>
      </c>
      <c r="BN89">
        <v>0</v>
      </c>
      <c r="BO89">
        <f t="shared" si="141"/>
        <v>200</v>
      </c>
      <c r="BP89">
        <f t="shared" si="142"/>
        <v>65504</v>
      </c>
      <c r="BQ89">
        <v>55400</v>
      </c>
      <c r="BR89">
        <f t="shared" si="143"/>
        <v>7756.0000000000009</v>
      </c>
      <c r="BS89">
        <f t="shared" si="144"/>
        <v>6648</v>
      </c>
      <c r="BT89">
        <v>400</v>
      </c>
      <c r="BU89">
        <v>500</v>
      </c>
      <c r="BV89">
        <f t="shared" si="145"/>
        <v>70704</v>
      </c>
      <c r="BW89">
        <v>5000</v>
      </c>
      <c r="BX89">
        <v>0</v>
      </c>
      <c r="BY89">
        <f t="shared" si="146"/>
        <v>200</v>
      </c>
      <c r="BZ89">
        <f t="shared" si="147"/>
        <v>65504</v>
      </c>
      <c r="CA89">
        <v>55400</v>
      </c>
      <c r="CB89">
        <f t="shared" si="148"/>
        <v>7756.0000000000009</v>
      </c>
      <c r="CC89">
        <f t="shared" si="149"/>
        <v>6648</v>
      </c>
      <c r="CD89">
        <v>400</v>
      </c>
      <c r="CE89">
        <v>500</v>
      </c>
      <c r="CF89">
        <f t="shared" si="150"/>
        <v>70704</v>
      </c>
      <c r="CG89">
        <v>5000</v>
      </c>
      <c r="CH89">
        <v>0</v>
      </c>
      <c r="CI89">
        <f t="shared" si="151"/>
        <v>200</v>
      </c>
      <c r="CJ89">
        <f t="shared" si="152"/>
        <v>65504</v>
      </c>
      <c r="CK89">
        <v>55400</v>
      </c>
      <c r="CL89">
        <f t="shared" si="153"/>
        <v>7756.0000000000009</v>
      </c>
      <c r="CM89">
        <f t="shared" si="154"/>
        <v>6648</v>
      </c>
      <c r="CN89">
        <v>400</v>
      </c>
      <c r="CO89">
        <v>500</v>
      </c>
      <c r="CP89">
        <f t="shared" si="155"/>
        <v>70704</v>
      </c>
      <c r="CQ89">
        <v>5000</v>
      </c>
      <c r="CR89">
        <v>0</v>
      </c>
      <c r="CS89">
        <f t="shared" si="156"/>
        <v>200</v>
      </c>
      <c r="CT89">
        <f t="shared" si="157"/>
        <v>65504</v>
      </c>
      <c r="CU89">
        <v>55400</v>
      </c>
      <c r="CV89">
        <f t="shared" si="158"/>
        <v>7756</v>
      </c>
      <c r="CW89">
        <f t="shared" si="159"/>
        <v>6648</v>
      </c>
      <c r="CX89">
        <v>400</v>
      </c>
      <c r="CY89">
        <v>500</v>
      </c>
      <c r="CZ89">
        <f t="shared" si="160"/>
        <v>70704</v>
      </c>
      <c r="DA89">
        <v>5000</v>
      </c>
      <c r="DB89">
        <v>0</v>
      </c>
      <c r="DC89">
        <f t="shared" si="161"/>
        <v>200</v>
      </c>
      <c r="DD89">
        <f t="shared" si="162"/>
        <v>65504</v>
      </c>
      <c r="DE89">
        <v>55400</v>
      </c>
      <c r="DF89">
        <f t="shared" si="163"/>
        <v>7756.0000000000009</v>
      </c>
      <c r="DG89">
        <f t="shared" si="164"/>
        <v>6648</v>
      </c>
      <c r="DH89">
        <v>400</v>
      </c>
      <c r="DI89">
        <v>500</v>
      </c>
      <c r="DJ89">
        <f t="shared" si="165"/>
        <v>70704</v>
      </c>
      <c r="DK89">
        <v>5000</v>
      </c>
      <c r="DL89">
        <v>0</v>
      </c>
      <c r="DM89">
        <f t="shared" si="166"/>
        <v>200</v>
      </c>
      <c r="DN89">
        <f t="shared" si="167"/>
        <v>65504</v>
      </c>
      <c r="DO89">
        <v>55400</v>
      </c>
      <c r="DP89">
        <f t="shared" si="168"/>
        <v>7756.0000000000009</v>
      </c>
      <c r="DQ89">
        <f t="shared" si="169"/>
        <v>6648</v>
      </c>
      <c r="DR89">
        <v>400</v>
      </c>
      <c r="DS89">
        <v>500</v>
      </c>
      <c r="DT89">
        <f t="shared" si="170"/>
        <v>70704</v>
      </c>
      <c r="DU89">
        <v>5000</v>
      </c>
      <c r="DV89">
        <v>0</v>
      </c>
      <c r="DW89">
        <f t="shared" si="171"/>
        <v>200</v>
      </c>
      <c r="DX89">
        <f t="shared" si="172"/>
        <v>65504</v>
      </c>
      <c r="DY89">
        <f t="shared" si="173"/>
        <v>838232</v>
      </c>
      <c r="DZ89">
        <f t="shared" si="105"/>
        <v>2400</v>
      </c>
      <c r="EA89">
        <f t="shared" si="106"/>
        <v>50000</v>
      </c>
      <c r="EB89">
        <v>0</v>
      </c>
      <c r="EC89">
        <f t="shared" si="107"/>
        <v>785832</v>
      </c>
      <c r="ED89">
        <f t="shared" si="108"/>
        <v>60000</v>
      </c>
      <c r="EE89">
        <f t="shared" si="109"/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f t="shared" si="110"/>
        <v>60000</v>
      </c>
      <c r="EQ89">
        <f t="shared" si="174"/>
        <v>60000</v>
      </c>
      <c r="ER89">
        <f t="shared" si="111"/>
        <v>725832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f t="shared" si="175"/>
        <v>0</v>
      </c>
      <c r="FA89">
        <f t="shared" si="176"/>
        <v>725832</v>
      </c>
      <c r="FB89">
        <f t="shared" si="177"/>
        <v>12500</v>
      </c>
      <c r="FC89">
        <f t="shared" si="178"/>
        <v>45166</v>
      </c>
      <c r="FD89">
        <f t="shared" si="179"/>
        <v>57666</v>
      </c>
      <c r="FE89">
        <f t="shared" si="180"/>
        <v>57666</v>
      </c>
      <c r="FF89">
        <f t="shared" si="181"/>
        <v>2306.64</v>
      </c>
      <c r="FG89">
        <f t="shared" si="182"/>
        <v>59973</v>
      </c>
      <c r="FH89">
        <v>0</v>
      </c>
      <c r="FI89">
        <f t="shared" si="183"/>
        <v>59973</v>
      </c>
      <c r="FJ89" t="b">
        <f t="shared" si="184"/>
        <v>1</v>
      </c>
      <c r="FK89">
        <f t="shared" ca="1" si="185"/>
        <v>589</v>
      </c>
      <c r="FL89">
        <f t="shared" ca="1" si="186"/>
        <v>838821</v>
      </c>
      <c r="FM89">
        <f t="shared" si="187"/>
        <v>75000</v>
      </c>
      <c r="FN89">
        <f t="shared" ca="1" si="188"/>
        <v>763821</v>
      </c>
      <c r="FO89">
        <f t="shared" ca="1" si="189"/>
        <v>0</v>
      </c>
      <c r="FP89">
        <f t="shared" ca="1" si="190"/>
        <v>0</v>
      </c>
      <c r="FQ89">
        <f t="shared" ca="1" si="191"/>
        <v>0</v>
      </c>
      <c r="FR89">
        <f t="shared" ca="1" si="192"/>
        <v>0</v>
      </c>
      <c r="FS89">
        <f t="shared" ca="1" si="193"/>
        <v>0</v>
      </c>
      <c r="FT89">
        <f t="shared" ca="1" si="194"/>
        <v>0</v>
      </c>
      <c r="FU89">
        <f t="shared" ca="1" si="195"/>
        <v>63821</v>
      </c>
      <c r="FV89">
        <f t="shared" ca="1" si="196"/>
        <v>6382.1</v>
      </c>
      <c r="FW89">
        <f t="shared" ca="1" si="197"/>
        <v>400000</v>
      </c>
      <c r="FX89">
        <f t="shared" ca="1" si="198"/>
        <v>20000</v>
      </c>
      <c r="FY89">
        <f t="shared" ca="1" si="199"/>
        <v>26382</v>
      </c>
      <c r="FZ89">
        <f t="shared" ca="1" si="200"/>
        <v>763821</v>
      </c>
      <c r="GA89">
        <f t="shared" ca="1" si="201"/>
        <v>63821</v>
      </c>
      <c r="GB89">
        <f t="shared" ca="1" si="202"/>
        <v>0</v>
      </c>
      <c r="GC89">
        <f t="shared" ca="1" si="203"/>
        <v>-37439</v>
      </c>
      <c r="GD89" t="b">
        <f t="shared" ca="1" si="204"/>
        <v>0</v>
      </c>
      <c r="GE89">
        <f t="shared" ca="1" si="205"/>
        <v>0</v>
      </c>
      <c r="GF89">
        <f t="shared" ca="1" si="206"/>
        <v>0</v>
      </c>
      <c r="GG89">
        <f t="shared" ca="1" si="207"/>
        <v>26382</v>
      </c>
      <c r="GH89">
        <f t="shared" ca="1" si="208"/>
        <v>1055.28</v>
      </c>
      <c r="GI89">
        <f t="shared" ca="1" si="209"/>
        <v>27438</v>
      </c>
    </row>
    <row r="90" spans="1:191" x14ac:dyDescent="0.25">
      <c r="A90">
        <f>_xlfn.AGGREGATE(3,5,$B$2:B90)</f>
        <v>89</v>
      </c>
      <c r="B90" t="s">
        <v>300</v>
      </c>
      <c r="C90" t="s">
        <v>301</v>
      </c>
      <c r="D90" t="s">
        <v>786</v>
      </c>
      <c r="E90" t="s">
        <v>843</v>
      </c>
      <c r="F90">
        <v>0</v>
      </c>
      <c r="G90">
        <v>0</v>
      </c>
      <c r="H90">
        <v>45900</v>
      </c>
      <c r="I90">
        <f t="shared" si="112"/>
        <v>4590</v>
      </c>
      <c r="J90">
        <f t="shared" si="113"/>
        <v>5508</v>
      </c>
      <c r="K90">
        <v>0</v>
      </c>
      <c r="L90">
        <v>500</v>
      </c>
      <c r="M90">
        <f t="shared" si="114"/>
        <v>56498</v>
      </c>
      <c r="N90">
        <v>3000</v>
      </c>
      <c r="O90">
        <v>60</v>
      </c>
      <c r="P90">
        <f t="shared" si="115"/>
        <v>200</v>
      </c>
      <c r="Q90">
        <f t="shared" si="116"/>
        <v>53238</v>
      </c>
      <c r="R90">
        <v>45900</v>
      </c>
      <c r="S90">
        <f t="shared" si="117"/>
        <v>4590</v>
      </c>
      <c r="T90">
        <f t="shared" si="118"/>
        <v>5508</v>
      </c>
      <c r="U90">
        <v>0</v>
      </c>
      <c r="V90">
        <v>500</v>
      </c>
      <c r="W90">
        <f t="shared" si="119"/>
        <v>56498</v>
      </c>
      <c r="X90">
        <v>3000</v>
      </c>
      <c r="Y90">
        <v>60</v>
      </c>
      <c r="Z90">
        <f t="shared" si="120"/>
        <v>200</v>
      </c>
      <c r="AA90">
        <f t="shared" si="121"/>
        <v>53238</v>
      </c>
      <c r="AB90">
        <v>45900</v>
      </c>
      <c r="AC90">
        <f t="shared" si="122"/>
        <v>6426.0000000000009</v>
      </c>
      <c r="AD90">
        <f t="shared" si="123"/>
        <v>5508</v>
      </c>
      <c r="AE90">
        <v>0</v>
      </c>
      <c r="AF90">
        <v>500</v>
      </c>
      <c r="AG90">
        <f t="shared" si="124"/>
        <v>58334</v>
      </c>
      <c r="AH90">
        <v>3000</v>
      </c>
      <c r="AI90">
        <v>60</v>
      </c>
      <c r="AJ90">
        <f t="shared" si="125"/>
        <v>200</v>
      </c>
      <c r="AK90">
        <f t="shared" si="126"/>
        <v>55074</v>
      </c>
      <c r="AL90">
        <v>45900</v>
      </c>
      <c r="AM90">
        <f t="shared" si="127"/>
        <v>6426.0000000000009</v>
      </c>
      <c r="AN90">
        <f t="shared" si="128"/>
        <v>5508</v>
      </c>
      <c r="AO90">
        <v>0</v>
      </c>
      <c r="AP90">
        <v>500</v>
      </c>
      <c r="AQ90">
        <f t="shared" si="129"/>
        <v>58334</v>
      </c>
      <c r="AR90">
        <v>3000</v>
      </c>
      <c r="AS90">
        <v>60</v>
      </c>
      <c r="AT90">
        <f t="shared" si="130"/>
        <v>200</v>
      </c>
      <c r="AU90">
        <f t="shared" si="131"/>
        <v>55074</v>
      </c>
      <c r="AV90">
        <v>47300</v>
      </c>
      <c r="AW90">
        <f t="shared" si="132"/>
        <v>6622.0000000000009</v>
      </c>
      <c r="AX90">
        <f t="shared" si="133"/>
        <v>1836</v>
      </c>
      <c r="AY90">
        <f t="shared" si="134"/>
        <v>5676</v>
      </c>
      <c r="AZ90">
        <v>0</v>
      </c>
      <c r="BA90">
        <v>500</v>
      </c>
      <c r="BB90">
        <f t="shared" si="135"/>
        <v>61934</v>
      </c>
      <c r="BC90">
        <v>3000</v>
      </c>
      <c r="BD90">
        <v>60</v>
      </c>
      <c r="BE90">
        <f t="shared" si="136"/>
        <v>200</v>
      </c>
      <c r="BF90">
        <f t="shared" si="137"/>
        <v>58674</v>
      </c>
      <c r="BG90">
        <v>47300</v>
      </c>
      <c r="BH90">
        <f t="shared" si="138"/>
        <v>6622.0000000000009</v>
      </c>
      <c r="BI90">
        <f t="shared" si="139"/>
        <v>5676</v>
      </c>
      <c r="BJ90">
        <v>0</v>
      </c>
      <c r="BK90">
        <v>500</v>
      </c>
      <c r="BL90">
        <f t="shared" si="140"/>
        <v>60098</v>
      </c>
      <c r="BM90">
        <v>3000</v>
      </c>
      <c r="BN90">
        <v>60</v>
      </c>
      <c r="BO90">
        <f t="shared" si="141"/>
        <v>200</v>
      </c>
      <c r="BP90">
        <f t="shared" si="142"/>
        <v>56838</v>
      </c>
      <c r="BQ90">
        <v>47300</v>
      </c>
      <c r="BR90">
        <f t="shared" si="143"/>
        <v>6622.0000000000009</v>
      </c>
      <c r="BS90">
        <f t="shared" si="144"/>
        <v>5676</v>
      </c>
      <c r="BT90">
        <v>0</v>
      </c>
      <c r="BU90">
        <v>500</v>
      </c>
      <c r="BV90">
        <f t="shared" si="145"/>
        <v>60098</v>
      </c>
      <c r="BW90">
        <v>3000</v>
      </c>
      <c r="BX90">
        <v>60</v>
      </c>
      <c r="BY90">
        <f t="shared" si="146"/>
        <v>200</v>
      </c>
      <c r="BZ90">
        <f t="shared" si="147"/>
        <v>56838</v>
      </c>
      <c r="CA90">
        <v>47300</v>
      </c>
      <c r="CB90">
        <f t="shared" si="148"/>
        <v>6622.0000000000009</v>
      </c>
      <c r="CC90">
        <f t="shared" si="149"/>
        <v>5676</v>
      </c>
      <c r="CD90">
        <v>0</v>
      </c>
      <c r="CE90">
        <v>500</v>
      </c>
      <c r="CF90">
        <f t="shared" si="150"/>
        <v>60098</v>
      </c>
      <c r="CG90">
        <v>3000</v>
      </c>
      <c r="CH90">
        <v>60</v>
      </c>
      <c r="CI90">
        <f t="shared" si="151"/>
        <v>200</v>
      </c>
      <c r="CJ90">
        <f t="shared" si="152"/>
        <v>56838</v>
      </c>
      <c r="CK90">
        <v>47300</v>
      </c>
      <c r="CL90">
        <f t="shared" si="153"/>
        <v>6622.0000000000009</v>
      </c>
      <c r="CM90">
        <f t="shared" si="154"/>
        <v>5676</v>
      </c>
      <c r="CN90">
        <v>0</v>
      </c>
      <c r="CO90">
        <v>500</v>
      </c>
      <c r="CP90">
        <f t="shared" si="155"/>
        <v>60098</v>
      </c>
      <c r="CQ90">
        <v>3000</v>
      </c>
      <c r="CR90">
        <v>60</v>
      </c>
      <c r="CS90">
        <f t="shared" si="156"/>
        <v>200</v>
      </c>
      <c r="CT90">
        <f t="shared" si="157"/>
        <v>56838</v>
      </c>
      <c r="CU90">
        <v>47300</v>
      </c>
      <c r="CV90">
        <f t="shared" si="158"/>
        <v>6622</v>
      </c>
      <c r="CW90">
        <f t="shared" si="159"/>
        <v>5676</v>
      </c>
      <c r="CX90">
        <v>0</v>
      </c>
      <c r="CY90">
        <v>500</v>
      </c>
      <c r="CZ90">
        <f t="shared" si="160"/>
        <v>60098</v>
      </c>
      <c r="DA90">
        <v>3000</v>
      </c>
      <c r="DB90">
        <v>60</v>
      </c>
      <c r="DC90">
        <f t="shared" si="161"/>
        <v>200</v>
      </c>
      <c r="DD90">
        <f t="shared" si="162"/>
        <v>56838</v>
      </c>
      <c r="DE90">
        <v>47300</v>
      </c>
      <c r="DF90">
        <f t="shared" si="163"/>
        <v>6622.0000000000009</v>
      </c>
      <c r="DG90">
        <f t="shared" si="164"/>
        <v>5676</v>
      </c>
      <c r="DH90">
        <v>0</v>
      </c>
      <c r="DI90">
        <v>500</v>
      </c>
      <c r="DJ90">
        <f t="shared" si="165"/>
        <v>60098</v>
      </c>
      <c r="DK90">
        <v>3000</v>
      </c>
      <c r="DL90">
        <v>60</v>
      </c>
      <c r="DM90">
        <f t="shared" si="166"/>
        <v>200</v>
      </c>
      <c r="DN90">
        <f t="shared" si="167"/>
        <v>56838</v>
      </c>
      <c r="DO90">
        <v>47300</v>
      </c>
      <c r="DP90">
        <f t="shared" si="168"/>
        <v>6622.0000000000009</v>
      </c>
      <c r="DQ90">
        <f t="shared" si="169"/>
        <v>5676</v>
      </c>
      <c r="DR90">
        <v>0</v>
      </c>
      <c r="DS90">
        <v>500</v>
      </c>
      <c r="DT90">
        <f t="shared" si="170"/>
        <v>60098</v>
      </c>
      <c r="DU90">
        <v>3000</v>
      </c>
      <c r="DV90">
        <v>60</v>
      </c>
      <c r="DW90">
        <f t="shared" si="171"/>
        <v>200</v>
      </c>
      <c r="DX90">
        <f t="shared" si="172"/>
        <v>56838</v>
      </c>
      <c r="DY90">
        <f t="shared" si="173"/>
        <v>712284</v>
      </c>
      <c r="DZ90">
        <f t="shared" si="105"/>
        <v>2400</v>
      </c>
      <c r="EA90">
        <f t="shared" si="106"/>
        <v>50000</v>
      </c>
      <c r="EB90">
        <v>0</v>
      </c>
      <c r="EC90">
        <f t="shared" si="107"/>
        <v>659884</v>
      </c>
      <c r="ED90">
        <f t="shared" si="108"/>
        <v>36000</v>
      </c>
      <c r="EE90">
        <f t="shared" si="109"/>
        <v>720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f t="shared" si="110"/>
        <v>36720</v>
      </c>
      <c r="EQ90">
        <f t="shared" si="174"/>
        <v>36720</v>
      </c>
      <c r="ER90">
        <f t="shared" si="111"/>
        <v>623164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f t="shared" si="175"/>
        <v>0</v>
      </c>
      <c r="FA90">
        <f t="shared" si="176"/>
        <v>623164</v>
      </c>
      <c r="FB90">
        <f t="shared" si="177"/>
        <v>12500</v>
      </c>
      <c r="FC90">
        <f t="shared" si="178"/>
        <v>24633</v>
      </c>
      <c r="FD90">
        <f t="shared" si="179"/>
        <v>37133</v>
      </c>
      <c r="FE90">
        <f t="shared" si="180"/>
        <v>37133</v>
      </c>
      <c r="FF90">
        <f t="shared" si="181"/>
        <v>1485.32</v>
      </c>
      <c r="FG90">
        <f t="shared" si="182"/>
        <v>38618</v>
      </c>
      <c r="FH90">
        <v>0</v>
      </c>
      <c r="FI90">
        <f t="shared" si="183"/>
        <v>38618</v>
      </c>
      <c r="FJ90" t="b">
        <f t="shared" si="184"/>
        <v>1</v>
      </c>
      <c r="FK90">
        <f t="shared" ca="1" si="185"/>
        <v>687</v>
      </c>
      <c r="FL90">
        <f t="shared" ca="1" si="186"/>
        <v>712971</v>
      </c>
      <c r="FM90">
        <f t="shared" si="187"/>
        <v>75000</v>
      </c>
      <c r="FN90">
        <f t="shared" ca="1" si="188"/>
        <v>637971</v>
      </c>
      <c r="FO90">
        <f t="shared" ca="1" si="189"/>
        <v>0</v>
      </c>
      <c r="FP90">
        <f t="shared" ca="1" si="190"/>
        <v>0</v>
      </c>
      <c r="FQ90">
        <f t="shared" ca="1" si="191"/>
        <v>0</v>
      </c>
      <c r="FR90">
        <f t="shared" ca="1" si="192"/>
        <v>0</v>
      </c>
      <c r="FS90">
        <f t="shared" ca="1" si="193"/>
        <v>0</v>
      </c>
      <c r="FT90">
        <f t="shared" ca="1" si="194"/>
        <v>0</v>
      </c>
      <c r="FU90">
        <f t="shared" ca="1" si="195"/>
        <v>0</v>
      </c>
      <c r="FV90">
        <f t="shared" ca="1" si="196"/>
        <v>0</v>
      </c>
      <c r="FW90">
        <f t="shared" ca="1" si="197"/>
        <v>337971</v>
      </c>
      <c r="FX90">
        <f t="shared" ca="1" si="198"/>
        <v>16898.55</v>
      </c>
      <c r="FY90">
        <f t="shared" ca="1" si="199"/>
        <v>16899</v>
      </c>
      <c r="FZ90">
        <f t="shared" ca="1" si="200"/>
        <v>0</v>
      </c>
      <c r="GA90">
        <f t="shared" ca="1" si="201"/>
        <v>0</v>
      </c>
      <c r="GB90">
        <f t="shared" ca="1" si="202"/>
        <v>16899</v>
      </c>
      <c r="GC90">
        <f t="shared" ca="1" si="203"/>
        <v>0</v>
      </c>
      <c r="GD90" t="b">
        <f t="shared" ca="1" si="204"/>
        <v>0</v>
      </c>
      <c r="GE90">
        <f t="shared" ca="1" si="205"/>
        <v>0</v>
      </c>
      <c r="GF90">
        <f t="shared" ca="1" si="206"/>
        <v>16899</v>
      </c>
      <c r="GG90">
        <f t="shared" ca="1" si="207"/>
        <v>0</v>
      </c>
      <c r="GH90">
        <f t="shared" ca="1" si="208"/>
        <v>0</v>
      </c>
      <c r="GI90">
        <f t="shared" ca="1" si="209"/>
        <v>0</v>
      </c>
    </row>
    <row r="91" spans="1:191" x14ac:dyDescent="0.25">
      <c r="A91">
        <f>_xlfn.AGGREGATE(3,5,$B$2:B91)</f>
        <v>90</v>
      </c>
      <c r="B91" t="s">
        <v>302</v>
      </c>
      <c r="C91" t="s">
        <v>303</v>
      </c>
      <c r="D91" t="s">
        <v>786</v>
      </c>
      <c r="E91" t="s">
        <v>843</v>
      </c>
      <c r="F91">
        <v>0</v>
      </c>
      <c r="G91">
        <v>6000</v>
      </c>
      <c r="H91">
        <v>33500</v>
      </c>
      <c r="I91">
        <f t="shared" si="112"/>
        <v>3350</v>
      </c>
      <c r="J91">
        <f t="shared" si="113"/>
        <v>4020</v>
      </c>
      <c r="K91">
        <v>0</v>
      </c>
      <c r="L91">
        <v>500</v>
      </c>
      <c r="M91">
        <f t="shared" si="114"/>
        <v>41370</v>
      </c>
      <c r="N91">
        <v>3000</v>
      </c>
      <c r="O91">
        <v>0</v>
      </c>
      <c r="P91">
        <f t="shared" si="115"/>
        <v>200</v>
      </c>
      <c r="Q91">
        <f t="shared" si="116"/>
        <v>38170</v>
      </c>
      <c r="R91">
        <v>33500</v>
      </c>
      <c r="S91">
        <f t="shared" si="117"/>
        <v>3350</v>
      </c>
      <c r="T91">
        <f t="shared" si="118"/>
        <v>4020</v>
      </c>
      <c r="U91">
        <v>0</v>
      </c>
      <c r="V91">
        <v>500</v>
      </c>
      <c r="W91">
        <f t="shared" si="119"/>
        <v>41370</v>
      </c>
      <c r="X91">
        <v>3000</v>
      </c>
      <c r="Y91">
        <v>0</v>
      </c>
      <c r="Z91">
        <f t="shared" si="120"/>
        <v>200</v>
      </c>
      <c r="AA91">
        <f t="shared" si="121"/>
        <v>38170</v>
      </c>
      <c r="AB91">
        <v>33500</v>
      </c>
      <c r="AC91">
        <f t="shared" si="122"/>
        <v>4690</v>
      </c>
      <c r="AD91">
        <f t="shared" si="123"/>
        <v>4020</v>
      </c>
      <c r="AE91">
        <v>0</v>
      </c>
      <c r="AF91">
        <v>500</v>
      </c>
      <c r="AG91">
        <f t="shared" si="124"/>
        <v>42710</v>
      </c>
      <c r="AH91">
        <v>3000</v>
      </c>
      <c r="AI91">
        <v>0</v>
      </c>
      <c r="AJ91">
        <f t="shared" si="125"/>
        <v>200</v>
      </c>
      <c r="AK91">
        <f t="shared" si="126"/>
        <v>39510</v>
      </c>
      <c r="AL91">
        <v>33500</v>
      </c>
      <c r="AM91">
        <f t="shared" si="127"/>
        <v>4690</v>
      </c>
      <c r="AN91">
        <f t="shared" si="128"/>
        <v>4020</v>
      </c>
      <c r="AO91">
        <v>0</v>
      </c>
      <c r="AP91">
        <v>500</v>
      </c>
      <c r="AQ91">
        <f t="shared" si="129"/>
        <v>42710</v>
      </c>
      <c r="AR91">
        <v>3000</v>
      </c>
      <c r="AS91">
        <v>0</v>
      </c>
      <c r="AT91">
        <f t="shared" si="130"/>
        <v>200</v>
      </c>
      <c r="AU91">
        <f t="shared" si="131"/>
        <v>39510</v>
      </c>
      <c r="AV91">
        <v>35500</v>
      </c>
      <c r="AW91">
        <f t="shared" si="132"/>
        <v>4970.0000000000009</v>
      </c>
      <c r="AX91">
        <f t="shared" si="133"/>
        <v>1340</v>
      </c>
      <c r="AY91">
        <f t="shared" si="134"/>
        <v>4260</v>
      </c>
      <c r="AZ91">
        <v>0</v>
      </c>
      <c r="BA91">
        <v>500</v>
      </c>
      <c r="BB91">
        <f t="shared" si="135"/>
        <v>46570</v>
      </c>
      <c r="BC91">
        <v>3000</v>
      </c>
      <c r="BD91">
        <v>0</v>
      </c>
      <c r="BE91">
        <f t="shared" si="136"/>
        <v>200</v>
      </c>
      <c r="BF91">
        <f t="shared" si="137"/>
        <v>43370</v>
      </c>
      <c r="BG91">
        <v>35500</v>
      </c>
      <c r="BH91">
        <f t="shared" si="138"/>
        <v>4970.0000000000009</v>
      </c>
      <c r="BI91">
        <f t="shared" si="139"/>
        <v>4260</v>
      </c>
      <c r="BJ91">
        <v>0</v>
      </c>
      <c r="BK91">
        <v>500</v>
      </c>
      <c r="BL91">
        <f t="shared" si="140"/>
        <v>45230</v>
      </c>
      <c r="BM91">
        <v>3000</v>
      </c>
      <c r="BN91">
        <v>0</v>
      </c>
      <c r="BO91">
        <f t="shared" si="141"/>
        <v>200</v>
      </c>
      <c r="BP91">
        <f t="shared" si="142"/>
        <v>42030</v>
      </c>
      <c r="BQ91">
        <v>35500</v>
      </c>
      <c r="BR91">
        <f t="shared" si="143"/>
        <v>4970.0000000000009</v>
      </c>
      <c r="BS91">
        <f t="shared" si="144"/>
        <v>4260</v>
      </c>
      <c r="BT91">
        <v>0</v>
      </c>
      <c r="BU91">
        <v>500</v>
      </c>
      <c r="BV91">
        <f t="shared" si="145"/>
        <v>45230</v>
      </c>
      <c r="BW91">
        <v>3000</v>
      </c>
      <c r="BX91">
        <v>0</v>
      </c>
      <c r="BY91">
        <f t="shared" si="146"/>
        <v>200</v>
      </c>
      <c r="BZ91">
        <f t="shared" si="147"/>
        <v>42030</v>
      </c>
      <c r="CA91">
        <v>35500</v>
      </c>
      <c r="CB91">
        <f t="shared" si="148"/>
        <v>4970.0000000000009</v>
      </c>
      <c r="CC91">
        <f t="shared" si="149"/>
        <v>4260</v>
      </c>
      <c r="CD91">
        <v>0</v>
      </c>
      <c r="CE91">
        <v>500</v>
      </c>
      <c r="CF91">
        <f t="shared" si="150"/>
        <v>45230</v>
      </c>
      <c r="CG91">
        <v>3000</v>
      </c>
      <c r="CH91">
        <v>0</v>
      </c>
      <c r="CI91">
        <f t="shared" si="151"/>
        <v>200</v>
      </c>
      <c r="CJ91">
        <f t="shared" si="152"/>
        <v>42030</v>
      </c>
      <c r="CK91">
        <v>35500</v>
      </c>
      <c r="CL91">
        <f t="shared" si="153"/>
        <v>4970.0000000000009</v>
      </c>
      <c r="CM91">
        <f t="shared" si="154"/>
        <v>4260</v>
      </c>
      <c r="CN91">
        <v>0</v>
      </c>
      <c r="CO91">
        <v>500</v>
      </c>
      <c r="CP91">
        <f t="shared" si="155"/>
        <v>45230</v>
      </c>
      <c r="CQ91">
        <v>3000</v>
      </c>
      <c r="CR91">
        <v>0</v>
      </c>
      <c r="CS91">
        <f t="shared" si="156"/>
        <v>200</v>
      </c>
      <c r="CT91">
        <f t="shared" si="157"/>
        <v>42030</v>
      </c>
      <c r="CU91">
        <v>35500</v>
      </c>
      <c r="CV91">
        <f t="shared" si="158"/>
        <v>4970</v>
      </c>
      <c r="CW91">
        <f t="shared" si="159"/>
        <v>4260</v>
      </c>
      <c r="CX91">
        <v>0</v>
      </c>
      <c r="CY91">
        <v>500</v>
      </c>
      <c r="CZ91">
        <f t="shared" si="160"/>
        <v>45230</v>
      </c>
      <c r="DA91">
        <v>3000</v>
      </c>
      <c r="DB91">
        <v>0</v>
      </c>
      <c r="DC91">
        <f t="shared" si="161"/>
        <v>200</v>
      </c>
      <c r="DD91">
        <f t="shared" si="162"/>
        <v>42030</v>
      </c>
      <c r="DE91">
        <v>35500</v>
      </c>
      <c r="DF91">
        <f t="shared" si="163"/>
        <v>4970.0000000000009</v>
      </c>
      <c r="DG91">
        <f t="shared" si="164"/>
        <v>4260</v>
      </c>
      <c r="DH91">
        <v>0</v>
      </c>
      <c r="DI91">
        <v>500</v>
      </c>
      <c r="DJ91">
        <f t="shared" si="165"/>
        <v>45230</v>
      </c>
      <c r="DK91">
        <v>3000</v>
      </c>
      <c r="DL91">
        <v>0</v>
      </c>
      <c r="DM91">
        <f t="shared" si="166"/>
        <v>200</v>
      </c>
      <c r="DN91">
        <f t="shared" si="167"/>
        <v>42030</v>
      </c>
      <c r="DO91">
        <v>35500</v>
      </c>
      <c r="DP91">
        <f t="shared" si="168"/>
        <v>4970.0000000000009</v>
      </c>
      <c r="DQ91">
        <f t="shared" si="169"/>
        <v>4260</v>
      </c>
      <c r="DR91">
        <v>0</v>
      </c>
      <c r="DS91">
        <v>500</v>
      </c>
      <c r="DT91">
        <f t="shared" si="170"/>
        <v>45230</v>
      </c>
      <c r="DU91">
        <v>3000</v>
      </c>
      <c r="DV91">
        <v>0</v>
      </c>
      <c r="DW91">
        <f t="shared" si="171"/>
        <v>200</v>
      </c>
      <c r="DX91">
        <f t="shared" si="172"/>
        <v>42030</v>
      </c>
      <c r="DY91">
        <f t="shared" si="173"/>
        <v>537340</v>
      </c>
      <c r="DZ91">
        <f t="shared" si="105"/>
        <v>2400</v>
      </c>
      <c r="EA91">
        <f t="shared" si="106"/>
        <v>50000</v>
      </c>
      <c r="EB91">
        <v>0</v>
      </c>
      <c r="EC91">
        <f t="shared" si="107"/>
        <v>484940</v>
      </c>
      <c r="ED91">
        <f t="shared" si="108"/>
        <v>36000</v>
      </c>
      <c r="EE91">
        <f t="shared" si="109"/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f t="shared" si="110"/>
        <v>36000</v>
      </c>
      <c r="EQ91">
        <f t="shared" si="174"/>
        <v>36000</v>
      </c>
      <c r="ER91">
        <f t="shared" si="111"/>
        <v>448940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f t="shared" si="175"/>
        <v>0</v>
      </c>
      <c r="FA91">
        <f t="shared" si="176"/>
        <v>448940</v>
      </c>
      <c r="FB91">
        <f t="shared" si="177"/>
        <v>9947</v>
      </c>
      <c r="FC91">
        <f t="shared" si="178"/>
        <v>0</v>
      </c>
      <c r="FD91">
        <f t="shared" si="179"/>
        <v>9947</v>
      </c>
      <c r="FE91">
        <f t="shared" si="180"/>
        <v>0</v>
      </c>
      <c r="FF91">
        <f t="shared" si="181"/>
        <v>0</v>
      </c>
      <c r="FG91">
        <f t="shared" si="182"/>
        <v>0</v>
      </c>
      <c r="FH91">
        <v>0</v>
      </c>
      <c r="FI91">
        <f t="shared" si="183"/>
        <v>0</v>
      </c>
      <c r="FJ91" t="b">
        <f t="shared" si="184"/>
        <v>1</v>
      </c>
      <c r="FK91">
        <f t="shared" ca="1" si="185"/>
        <v>588</v>
      </c>
      <c r="FL91">
        <f t="shared" ca="1" si="186"/>
        <v>537928</v>
      </c>
      <c r="FM91">
        <f t="shared" si="187"/>
        <v>75000</v>
      </c>
      <c r="FN91">
        <f t="shared" ca="1" si="188"/>
        <v>462928</v>
      </c>
      <c r="FO91">
        <f t="shared" ca="1" si="189"/>
        <v>0</v>
      </c>
      <c r="FP91">
        <f t="shared" ca="1" si="190"/>
        <v>0</v>
      </c>
      <c r="FQ91">
        <f t="shared" ca="1" si="191"/>
        <v>0</v>
      </c>
      <c r="FR91">
        <f t="shared" ca="1" si="192"/>
        <v>0</v>
      </c>
      <c r="FS91">
        <f t="shared" ca="1" si="193"/>
        <v>0</v>
      </c>
      <c r="FT91">
        <f t="shared" ca="1" si="194"/>
        <v>0</v>
      </c>
      <c r="FU91">
        <f t="shared" ca="1" si="195"/>
        <v>0</v>
      </c>
      <c r="FV91">
        <f t="shared" ca="1" si="196"/>
        <v>0</v>
      </c>
      <c r="FW91">
        <f t="shared" ca="1" si="197"/>
        <v>162928</v>
      </c>
      <c r="FX91">
        <f t="shared" ca="1" si="198"/>
        <v>8146.4000000000005</v>
      </c>
      <c r="FY91">
        <f t="shared" ca="1" si="199"/>
        <v>8146</v>
      </c>
      <c r="FZ91">
        <f t="shared" ca="1" si="200"/>
        <v>0</v>
      </c>
      <c r="GA91">
        <f t="shared" ca="1" si="201"/>
        <v>0</v>
      </c>
      <c r="GB91">
        <f t="shared" ca="1" si="202"/>
        <v>8146</v>
      </c>
      <c r="GC91">
        <f t="shared" ca="1" si="203"/>
        <v>0</v>
      </c>
      <c r="GD91" t="b">
        <f t="shared" ca="1" si="204"/>
        <v>0</v>
      </c>
      <c r="GE91">
        <f t="shared" ca="1" si="205"/>
        <v>0</v>
      </c>
      <c r="GF91">
        <f t="shared" ca="1" si="206"/>
        <v>8146</v>
      </c>
      <c r="GG91">
        <f t="shared" ca="1" si="207"/>
        <v>0</v>
      </c>
      <c r="GH91">
        <f t="shared" ca="1" si="208"/>
        <v>0</v>
      </c>
      <c r="GI91">
        <f t="shared" ca="1" si="209"/>
        <v>0</v>
      </c>
    </row>
    <row r="92" spans="1:191" x14ac:dyDescent="0.25">
      <c r="A92">
        <f>_xlfn.AGGREGATE(3,5,$B$2:B92)</f>
        <v>91</v>
      </c>
      <c r="B92" t="s">
        <v>304</v>
      </c>
      <c r="C92" t="s">
        <v>305</v>
      </c>
      <c r="D92" t="s">
        <v>786</v>
      </c>
      <c r="E92" t="s">
        <v>843</v>
      </c>
      <c r="F92">
        <v>0</v>
      </c>
      <c r="G92">
        <v>6000</v>
      </c>
      <c r="H92">
        <v>32500</v>
      </c>
      <c r="I92">
        <f t="shared" si="112"/>
        <v>3250</v>
      </c>
      <c r="J92">
        <f t="shared" si="113"/>
        <v>3900</v>
      </c>
      <c r="K92">
        <v>0</v>
      </c>
      <c r="L92">
        <v>500</v>
      </c>
      <c r="M92">
        <f t="shared" si="114"/>
        <v>40150</v>
      </c>
      <c r="N92">
        <v>3000</v>
      </c>
      <c r="O92">
        <v>0</v>
      </c>
      <c r="P92">
        <f t="shared" si="115"/>
        <v>200</v>
      </c>
      <c r="Q92">
        <f t="shared" si="116"/>
        <v>36950</v>
      </c>
      <c r="R92">
        <v>32500</v>
      </c>
      <c r="S92">
        <f t="shared" si="117"/>
        <v>3250</v>
      </c>
      <c r="T92">
        <f t="shared" si="118"/>
        <v>3900</v>
      </c>
      <c r="U92">
        <v>0</v>
      </c>
      <c r="V92">
        <v>500</v>
      </c>
      <c r="W92">
        <f t="shared" si="119"/>
        <v>40150</v>
      </c>
      <c r="X92">
        <v>3000</v>
      </c>
      <c r="Y92">
        <v>0</v>
      </c>
      <c r="Z92">
        <f t="shared" si="120"/>
        <v>200</v>
      </c>
      <c r="AA92">
        <f t="shared" si="121"/>
        <v>36950</v>
      </c>
      <c r="AB92">
        <v>32500</v>
      </c>
      <c r="AC92">
        <f t="shared" si="122"/>
        <v>4550</v>
      </c>
      <c r="AD92">
        <f t="shared" si="123"/>
        <v>3900</v>
      </c>
      <c r="AE92">
        <v>0</v>
      </c>
      <c r="AF92">
        <v>500</v>
      </c>
      <c r="AG92">
        <f t="shared" si="124"/>
        <v>41450</v>
      </c>
      <c r="AH92">
        <v>3000</v>
      </c>
      <c r="AI92">
        <v>0</v>
      </c>
      <c r="AJ92">
        <f t="shared" si="125"/>
        <v>200</v>
      </c>
      <c r="AK92">
        <f t="shared" si="126"/>
        <v>38250</v>
      </c>
      <c r="AL92">
        <v>32500</v>
      </c>
      <c r="AM92">
        <f t="shared" si="127"/>
        <v>4550</v>
      </c>
      <c r="AN92">
        <f t="shared" si="128"/>
        <v>3900</v>
      </c>
      <c r="AO92">
        <v>0</v>
      </c>
      <c r="AP92">
        <v>500</v>
      </c>
      <c r="AQ92">
        <f t="shared" si="129"/>
        <v>41450</v>
      </c>
      <c r="AR92">
        <v>3000</v>
      </c>
      <c r="AS92">
        <v>0</v>
      </c>
      <c r="AT92">
        <f t="shared" si="130"/>
        <v>200</v>
      </c>
      <c r="AU92">
        <f t="shared" si="131"/>
        <v>38250</v>
      </c>
      <c r="AV92">
        <v>34500</v>
      </c>
      <c r="AW92">
        <f t="shared" si="132"/>
        <v>4830.0000000000009</v>
      </c>
      <c r="AX92">
        <f t="shared" si="133"/>
        <v>1300</v>
      </c>
      <c r="AY92">
        <f t="shared" si="134"/>
        <v>4140</v>
      </c>
      <c r="AZ92">
        <v>0</v>
      </c>
      <c r="BA92">
        <v>500</v>
      </c>
      <c r="BB92">
        <f t="shared" si="135"/>
        <v>45270</v>
      </c>
      <c r="BC92">
        <v>3000</v>
      </c>
      <c r="BD92">
        <v>0</v>
      </c>
      <c r="BE92">
        <f t="shared" si="136"/>
        <v>200</v>
      </c>
      <c r="BF92">
        <f t="shared" si="137"/>
        <v>42070</v>
      </c>
      <c r="BG92">
        <v>34500</v>
      </c>
      <c r="BH92">
        <f t="shared" si="138"/>
        <v>4830.0000000000009</v>
      </c>
      <c r="BI92">
        <f t="shared" si="139"/>
        <v>4140</v>
      </c>
      <c r="BJ92">
        <v>0</v>
      </c>
      <c r="BK92">
        <v>500</v>
      </c>
      <c r="BL92">
        <f t="shared" si="140"/>
        <v>43970</v>
      </c>
      <c r="BM92">
        <v>3000</v>
      </c>
      <c r="BN92">
        <v>0</v>
      </c>
      <c r="BO92">
        <f t="shared" si="141"/>
        <v>200</v>
      </c>
      <c r="BP92">
        <f t="shared" si="142"/>
        <v>40770</v>
      </c>
      <c r="BQ92">
        <v>34500</v>
      </c>
      <c r="BR92">
        <f t="shared" si="143"/>
        <v>4830.0000000000009</v>
      </c>
      <c r="BS92">
        <f t="shared" si="144"/>
        <v>4140</v>
      </c>
      <c r="BT92">
        <v>0</v>
      </c>
      <c r="BU92">
        <v>500</v>
      </c>
      <c r="BV92">
        <f t="shared" si="145"/>
        <v>43970</v>
      </c>
      <c r="BW92">
        <v>3000</v>
      </c>
      <c r="BX92">
        <v>0</v>
      </c>
      <c r="BY92">
        <f t="shared" si="146"/>
        <v>200</v>
      </c>
      <c r="BZ92">
        <f t="shared" si="147"/>
        <v>40770</v>
      </c>
      <c r="CA92">
        <v>34500</v>
      </c>
      <c r="CB92">
        <f t="shared" si="148"/>
        <v>4830.0000000000009</v>
      </c>
      <c r="CC92">
        <f t="shared" si="149"/>
        <v>4140</v>
      </c>
      <c r="CD92">
        <v>0</v>
      </c>
      <c r="CE92">
        <v>500</v>
      </c>
      <c r="CF92">
        <f t="shared" si="150"/>
        <v>43970</v>
      </c>
      <c r="CG92">
        <v>3000</v>
      </c>
      <c r="CH92">
        <v>0</v>
      </c>
      <c r="CI92">
        <f t="shared" si="151"/>
        <v>200</v>
      </c>
      <c r="CJ92">
        <f t="shared" si="152"/>
        <v>40770</v>
      </c>
      <c r="CK92">
        <v>34500</v>
      </c>
      <c r="CL92">
        <f t="shared" si="153"/>
        <v>4830.0000000000009</v>
      </c>
      <c r="CM92">
        <f t="shared" si="154"/>
        <v>4140</v>
      </c>
      <c r="CN92">
        <v>0</v>
      </c>
      <c r="CO92">
        <v>500</v>
      </c>
      <c r="CP92">
        <f t="shared" si="155"/>
        <v>43970</v>
      </c>
      <c r="CQ92">
        <v>3000</v>
      </c>
      <c r="CR92">
        <v>0</v>
      </c>
      <c r="CS92">
        <f t="shared" si="156"/>
        <v>200</v>
      </c>
      <c r="CT92">
        <f t="shared" si="157"/>
        <v>40770</v>
      </c>
      <c r="CU92">
        <v>34500</v>
      </c>
      <c r="CV92">
        <f t="shared" si="158"/>
        <v>4830</v>
      </c>
      <c r="CW92">
        <f t="shared" si="159"/>
        <v>4140</v>
      </c>
      <c r="CX92">
        <v>0</v>
      </c>
      <c r="CY92">
        <v>500</v>
      </c>
      <c r="CZ92">
        <f t="shared" si="160"/>
        <v>43970</v>
      </c>
      <c r="DA92">
        <v>3000</v>
      </c>
      <c r="DB92">
        <v>0</v>
      </c>
      <c r="DC92">
        <f t="shared" si="161"/>
        <v>200</v>
      </c>
      <c r="DD92">
        <f t="shared" si="162"/>
        <v>40770</v>
      </c>
      <c r="DE92">
        <v>34500</v>
      </c>
      <c r="DF92">
        <f t="shared" si="163"/>
        <v>4830.0000000000009</v>
      </c>
      <c r="DG92">
        <f t="shared" si="164"/>
        <v>4140</v>
      </c>
      <c r="DH92">
        <v>0</v>
      </c>
      <c r="DI92">
        <v>500</v>
      </c>
      <c r="DJ92">
        <f t="shared" si="165"/>
        <v>43970</v>
      </c>
      <c r="DK92">
        <v>3000</v>
      </c>
      <c r="DL92">
        <v>0</v>
      </c>
      <c r="DM92">
        <f t="shared" si="166"/>
        <v>200</v>
      </c>
      <c r="DN92">
        <f t="shared" si="167"/>
        <v>40770</v>
      </c>
      <c r="DO92">
        <v>34500</v>
      </c>
      <c r="DP92">
        <f t="shared" si="168"/>
        <v>4830.0000000000009</v>
      </c>
      <c r="DQ92">
        <f t="shared" si="169"/>
        <v>4140</v>
      </c>
      <c r="DR92">
        <v>0</v>
      </c>
      <c r="DS92">
        <v>500</v>
      </c>
      <c r="DT92">
        <f t="shared" si="170"/>
        <v>43970</v>
      </c>
      <c r="DU92">
        <v>3000</v>
      </c>
      <c r="DV92">
        <v>0</v>
      </c>
      <c r="DW92">
        <f t="shared" si="171"/>
        <v>200</v>
      </c>
      <c r="DX92">
        <f t="shared" si="172"/>
        <v>40770</v>
      </c>
      <c r="DY92">
        <f t="shared" si="173"/>
        <v>522260</v>
      </c>
      <c r="DZ92">
        <f t="shared" si="105"/>
        <v>2400</v>
      </c>
      <c r="EA92">
        <f t="shared" si="106"/>
        <v>50000</v>
      </c>
      <c r="EB92">
        <v>0</v>
      </c>
      <c r="EC92">
        <f t="shared" si="107"/>
        <v>469860</v>
      </c>
      <c r="ED92">
        <f t="shared" si="108"/>
        <v>36000</v>
      </c>
      <c r="EE92">
        <f t="shared" si="109"/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f t="shared" si="110"/>
        <v>36000</v>
      </c>
      <c r="EQ92">
        <f t="shared" si="174"/>
        <v>36000</v>
      </c>
      <c r="ER92">
        <f t="shared" si="111"/>
        <v>433860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f t="shared" si="175"/>
        <v>0</v>
      </c>
      <c r="FA92">
        <f t="shared" si="176"/>
        <v>433860</v>
      </c>
      <c r="FB92">
        <f t="shared" si="177"/>
        <v>9193</v>
      </c>
      <c r="FC92">
        <f t="shared" si="178"/>
        <v>0</v>
      </c>
      <c r="FD92">
        <f t="shared" si="179"/>
        <v>9193</v>
      </c>
      <c r="FE92">
        <f t="shared" si="180"/>
        <v>0</v>
      </c>
      <c r="FF92">
        <f t="shared" si="181"/>
        <v>0</v>
      </c>
      <c r="FG92">
        <f t="shared" si="182"/>
        <v>0</v>
      </c>
      <c r="FH92">
        <v>0</v>
      </c>
      <c r="FI92">
        <f t="shared" si="183"/>
        <v>0</v>
      </c>
      <c r="FJ92" t="b">
        <f t="shared" si="184"/>
        <v>1</v>
      </c>
      <c r="FK92">
        <f t="shared" ca="1" si="185"/>
        <v>624</v>
      </c>
      <c r="FL92">
        <f t="shared" ca="1" si="186"/>
        <v>522884</v>
      </c>
      <c r="FM92">
        <f t="shared" si="187"/>
        <v>75000</v>
      </c>
      <c r="FN92">
        <f t="shared" ca="1" si="188"/>
        <v>447884</v>
      </c>
      <c r="FO92">
        <f t="shared" ca="1" si="189"/>
        <v>0</v>
      </c>
      <c r="FP92">
        <f t="shared" ca="1" si="190"/>
        <v>0</v>
      </c>
      <c r="FQ92">
        <f t="shared" ca="1" si="191"/>
        <v>0</v>
      </c>
      <c r="FR92">
        <f t="shared" ca="1" si="192"/>
        <v>0</v>
      </c>
      <c r="FS92">
        <f t="shared" ca="1" si="193"/>
        <v>0</v>
      </c>
      <c r="FT92">
        <f t="shared" ca="1" si="194"/>
        <v>0</v>
      </c>
      <c r="FU92">
        <f t="shared" ca="1" si="195"/>
        <v>0</v>
      </c>
      <c r="FV92">
        <f t="shared" ca="1" si="196"/>
        <v>0</v>
      </c>
      <c r="FW92">
        <f t="shared" ca="1" si="197"/>
        <v>147884</v>
      </c>
      <c r="FX92">
        <f t="shared" ca="1" si="198"/>
        <v>7394.2000000000007</v>
      </c>
      <c r="FY92">
        <f t="shared" ca="1" si="199"/>
        <v>7394</v>
      </c>
      <c r="FZ92">
        <f t="shared" ca="1" si="200"/>
        <v>0</v>
      </c>
      <c r="GA92">
        <f t="shared" ca="1" si="201"/>
        <v>0</v>
      </c>
      <c r="GB92">
        <f t="shared" ca="1" si="202"/>
        <v>7394</v>
      </c>
      <c r="GC92">
        <f t="shared" ca="1" si="203"/>
        <v>0</v>
      </c>
      <c r="GD92" t="b">
        <f t="shared" ca="1" si="204"/>
        <v>0</v>
      </c>
      <c r="GE92">
        <f t="shared" ca="1" si="205"/>
        <v>0</v>
      </c>
      <c r="GF92">
        <f t="shared" ca="1" si="206"/>
        <v>7394</v>
      </c>
      <c r="GG92">
        <f t="shared" ca="1" si="207"/>
        <v>0</v>
      </c>
      <c r="GH92">
        <f t="shared" ca="1" si="208"/>
        <v>0</v>
      </c>
      <c r="GI92">
        <f t="shared" ca="1" si="209"/>
        <v>0</v>
      </c>
    </row>
    <row r="93" spans="1:191" x14ac:dyDescent="0.25">
      <c r="A93">
        <f>_xlfn.AGGREGATE(3,5,$B$2:B93)</f>
        <v>92</v>
      </c>
      <c r="B93" t="s">
        <v>306</v>
      </c>
      <c r="C93" t="s">
        <v>307</v>
      </c>
      <c r="D93" t="s">
        <v>786</v>
      </c>
      <c r="E93" t="s">
        <v>843</v>
      </c>
      <c r="F93">
        <v>0</v>
      </c>
      <c r="G93">
        <v>0</v>
      </c>
      <c r="H93">
        <v>0</v>
      </c>
      <c r="I93">
        <f t="shared" si="112"/>
        <v>0</v>
      </c>
      <c r="J93">
        <f t="shared" si="113"/>
        <v>0</v>
      </c>
      <c r="K93">
        <v>0</v>
      </c>
      <c r="L93">
        <v>0</v>
      </c>
      <c r="M93">
        <f t="shared" si="114"/>
        <v>0</v>
      </c>
      <c r="N93">
        <v>0</v>
      </c>
      <c r="O93">
        <v>0</v>
      </c>
      <c r="P93">
        <f t="shared" si="115"/>
        <v>0</v>
      </c>
      <c r="Q93">
        <f t="shared" si="116"/>
        <v>0</v>
      </c>
      <c r="R93">
        <v>28900</v>
      </c>
      <c r="S93">
        <f t="shared" si="117"/>
        <v>2890</v>
      </c>
      <c r="T93">
        <f t="shared" si="118"/>
        <v>3468</v>
      </c>
      <c r="U93">
        <v>0</v>
      </c>
      <c r="V93">
        <v>500</v>
      </c>
      <c r="W93">
        <f t="shared" si="119"/>
        <v>35758</v>
      </c>
      <c r="X93">
        <v>0</v>
      </c>
      <c r="Y93">
        <v>0</v>
      </c>
      <c r="Z93">
        <f t="shared" si="120"/>
        <v>150</v>
      </c>
      <c r="AA93">
        <f t="shared" si="121"/>
        <v>35608</v>
      </c>
      <c r="AB93">
        <v>28900</v>
      </c>
      <c r="AC93">
        <f t="shared" si="122"/>
        <v>4046.0000000000005</v>
      </c>
      <c r="AD93">
        <f t="shared" si="123"/>
        <v>3468</v>
      </c>
      <c r="AE93">
        <v>0</v>
      </c>
      <c r="AF93">
        <v>500</v>
      </c>
      <c r="AG93">
        <f t="shared" si="124"/>
        <v>36914</v>
      </c>
      <c r="AH93">
        <v>0</v>
      </c>
      <c r="AI93">
        <v>0</v>
      </c>
      <c r="AJ93">
        <f t="shared" si="125"/>
        <v>150</v>
      </c>
      <c r="AK93">
        <f t="shared" si="126"/>
        <v>36764</v>
      </c>
      <c r="AL93">
        <v>28900</v>
      </c>
      <c r="AM93">
        <f t="shared" si="127"/>
        <v>4046.0000000000005</v>
      </c>
      <c r="AN93">
        <f t="shared" si="128"/>
        <v>3468</v>
      </c>
      <c r="AO93">
        <v>0</v>
      </c>
      <c r="AP93">
        <v>500</v>
      </c>
      <c r="AQ93">
        <f t="shared" si="129"/>
        <v>36914</v>
      </c>
      <c r="AR93">
        <v>0</v>
      </c>
      <c r="AS93">
        <v>0</v>
      </c>
      <c r="AT93">
        <f t="shared" si="130"/>
        <v>150</v>
      </c>
      <c r="AU93">
        <f t="shared" si="131"/>
        <v>36764</v>
      </c>
      <c r="AV93">
        <v>28900</v>
      </c>
      <c r="AW93">
        <f t="shared" si="132"/>
        <v>4046.0000000000005</v>
      </c>
      <c r="AX93">
        <f t="shared" si="133"/>
        <v>1156</v>
      </c>
      <c r="AY93">
        <f t="shared" si="134"/>
        <v>3468</v>
      </c>
      <c r="AZ93">
        <v>0</v>
      </c>
      <c r="BA93">
        <v>500</v>
      </c>
      <c r="BB93">
        <f t="shared" si="135"/>
        <v>38070</v>
      </c>
      <c r="BC93">
        <v>0</v>
      </c>
      <c r="BD93">
        <v>0</v>
      </c>
      <c r="BE93">
        <f t="shared" si="136"/>
        <v>150</v>
      </c>
      <c r="BF93">
        <f t="shared" si="137"/>
        <v>37920</v>
      </c>
      <c r="BG93">
        <v>28900</v>
      </c>
      <c r="BH93">
        <f t="shared" si="138"/>
        <v>4046.0000000000005</v>
      </c>
      <c r="BI93">
        <f t="shared" si="139"/>
        <v>3468</v>
      </c>
      <c r="BJ93">
        <v>0</v>
      </c>
      <c r="BK93">
        <v>500</v>
      </c>
      <c r="BL93">
        <f t="shared" si="140"/>
        <v>36914</v>
      </c>
      <c r="BM93">
        <v>0</v>
      </c>
      <c r="BN93">
        <v>0</v>
      </c>
      <c r="BO93">
        <f t="shared" si="141"/>
        <v>150</v>
      </c>
      <c r="BP93">
        <f t="shared" si="142"/>
        <v>36764</v>
      </c>
      <c r="BQ93">
        <v>28900</v>
      </c>
      <c r="BR93">
        <f t="shared" si="143"/>
        <v>4046.0000000000005</v>
      </c>
      <c r="BS93">
        <f t="shared" si="144"/>
        <v>3468</v>
      </c>
      <c r="BT93">
        <v>0</v>
      </c>
      <c r="BU93">
        <v>500</v>
      </c>
      <c r="BV93">
        <f t="shared" si="145"/>
        <v>36914</v>
      </c>
      <c r="BW93">
        <v>0</v>
      </c>
      <c r="BX93">
        <v>0</v>
      </c>
      <c r="BY93">
        <f t="shared" si="146"/>
        <v>150</v>
      </c>
      <c r="BZ93">
        <f t="shared" si="147"/>
        <v>36764</v>
      </c>
      <c r="CA93">
        <v>28900</v>
      </c>
      <c r="CB93">
        <f t="shared" si="148"/>
        <v>4046.0000000000005</v>
      </c>
      <c r="CC93">
        <f t="shared" si="149"/>
        <v>3468</v>
      </c>
      <c r="CD93">
        <v>0</v>
      </c>
      <c r="CE93">
        <v>500</v>
      </c>
      <c r="CF93">
        <f t="shared" si="150"/>
        <v>36914</v>
      </c>
      <c r="CG93">
        <v>0</v>
      </c>
      <c r="CH93">
        <v>0</v>
      </c>
      <c r="CI93">
        <f t="shared" si="151"/>
        <v>150</v>
      </c>
      <c r="CJ93">
        <f t="shared" si="152"/>
        <v>36764</v>
      </c>
      <c r="CK93">
        <v>28900</v>
      </c>
      <c r="CL93">
        <f t="shared" si="153"/>
        <v>4046.0000000000005</v>
      </c>
      <c r="CM93">
        <f t="shared" si="154"/>
        <v>3468</v>
      </c>
      <c r="CN93">
        <v>0</v>
      </c>
      <c r="CO93">
        <v>500</v>
      </c>
      <c r="CP93">
        <f t="shared" si="155"/>
        <v>36914</v>
      </c>
      <c r="CQ93">
        <v>0</v>
      </c>
      <c r="CR93">
        <v>0</v>
      </c>
      <c r="CS93">
        <f t="shared" si="156"/>
        <v>150</v>
      </c>
      <c r="CT93">
        <f t="shared" si="157"/>
        <v>36764</v>
      </c>
      <c r="CU93">
        <v>28900</v>
      </c>
      <c r="CV93">
        <f t="shared" si="158"/>
        <v>4046</v>
      </c>
      <c r="CW93">
        <f t="shared" si="159"/>
        <v>3468</v>
      </c>
      <c r="CX93">
        <v>0</v>
      </c>
      <c r="CY93">
        <v>500</v>
      </c>
      <c r="CZ93">
        <f t="shared" si="160"/>
        <v>36914</v>
      </c>
      <c r="DA93">
        <v>0</v>
      </c>
      <c r="DB93">
        <v>0</v>
      </c>
      <c r="DC93">
        <f t="shared" si="161"/>
        <v>150</v>
      </c>
      <c r="DD93">
        <f t="shared" si="162"/>
        <v>36764</v>
      </c>
      <c r="DE93">
        <v>28900</v>
      </c>
      <c r="DF93">
        <f t="shared" si="163"/>
        <v>4046.0000000000005</v>
      </c>
      <c r="DG93">
        <f t="shared" si="164"/>
        <v>3468</v>
      </c>
      <c r="DH93">
        <v>0</v>
      </c>
      <c r="DI93">
        <v>500</v>
      </c>
      <c r="DJ93">
        <f t="shared" si="165"/>
        <v>36914</v>
      </c>
      <c r="DK93">
        <v>0</v>
      </c>
      <c r="DL93">
        <v>0</v>
      </c>
      <c r="DM93">
        <f t="shared" si="166"/>
        <v>150</v>
      </c>
      <c r="DN93">
        <f t="shared" si="167"/>
        <v>36764</v>
      </c>
      <c r="DO93">
        <v>28900</v>
      </c>
      <c r="DP93">
        <f t="shared" si="168"/>
        <v>4046.0000000000005</v>
      </c>
      <c r="DQ93">
        <f t="shared" si="169"/>
        <v>3468</v>
      </c>
      <c r="DR93">
        <v>0</v>
      </c>
      <c r="DS93">
        <v>500</v>
      </c>
      <c r="DT93">
        <f t="shared" si="170"/>
        <v>36914</v>
      </c>
      <c r="DU93">
        <v>0</v>
      </c>
      <c r="DV93">
        <v>0</v>
      </c>
      <c r="DW93">
        <f t="shared" si="171"/>
        <v>150</v>
      </c>
      <c r="DX93">
        <f t="shared" si="172"/>
        <v>36764</v>
      </c>
      <c r="DY93">
        <f t="shared" si="173"/>
        <v>406054</v>
      </c>
      <c r="DZ93">
        <f t="shared" si="105"/>
        <v>1650</v>
      </c>
      <c r="EA93">
        <f t="shared" si="106"/>
        <v>50000</v>
      </c>
      <c r="EB93">
        <v>0</v>
      </c>
      <c r="EC93">
        <f t="shared" si="107"/>
        <v>354404</v>
      </c>
      <c r="ED93">
        <f t="shared" si="108"/>
        <v>0</v>
      </c>
      <c r="EE93">
        <f t="shared" si="109"/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f t="shared" si="110"/>
        <v>0</v>
      </c>
      <c r="EQ93">
        <f t="shared" si="174"/>
        <v>0</v>
      </c>
      <c r="ER93">
        <f t="shared" si="111"/>
        <v>354404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f t="shared" si="175"/>
        <v>0</v>
      </c>
      <c r="FA93">
        <f t="shared" si="176"/>
        <v>354404</v>
      </c>
      <c r="FB93">
        <f t="shared" si="177"/>
        <v>5220</v>
      </c>
      <c r="FC93">
        <f t="shared" si="178"/>
        <v>0</v>
      </c>
      <c r="FD93">
        <f t="shared" si="179"/>
        <v>5220</v>
      </c>
      <c r="FE93">
        <f t="shared" si="180"/>
        <v>0</v>
      </c>
      <c r="FF93">
        <f t="shared" si="181"/>
        <v>0</v>
      </c>
      <c r="FG93">
        <f t="shared" si="182"/>
        <v>0</v>
      </c>
      <c r="FH93">
        <v>0</v>
      </c>
      <c r="FI93">
        <f t="shared" si="183"/>
        <v>0</v>
      </c>
      <c r="FJ93" t="b">
        <f t="shared" si="184"/>
        <v>0</v>
      </c>
      <c r="FK93">
        <f t="shared" ca="1" si="185"/>
        <v>1336</v>
      </c>
      <c r="FL93">
        <f t="shared" ca="1" si="186"/>
        <v>407390</v>
      </c>
      <c r="FM93">
        <f t="shared" si="187"/>
        <v>75000</v>
      </c>
      <c r="FN93">
        <f t="shared" ca="1" si="188"/>
        <v>332390</v>
      </c>
      <c r="FO93">
        <f t="shared" ca="1" si="189"/>
        <v>0</v>
      </c>
      <c r="FP93">
        <f t="shared" ca="1" si="190"/>
        <v>0</v>
      </c>
      <c r="FQ93">
        <f t="shared" ca="1" si="191"/>
        <v>0</v>
      </c>
      <c r="FR93">
        <f t="shared" ca="1" si="192"/>
        <v>0</v>
      </c>
      <c r="FS93">
        <f t="shared" ca="1" si="193"/>
        <v>0</v>
      </c>
      <c r="FT93">
        <f t="shared" ca="1" si="194"/>
        <v>0</v>
      </c>
      <c r="FU93">
        <f t="shared" ca="1" si="195"/>
        <v>0</v>
      </c>
      <c r="FV93">
        <f t="shared" ca="1" si="196"/>
        <v>0</v>
      </c>
      <c r="FW93">
        <f t="shared" ca="1" si="197"/>
        <v>32390</v>
      </c>
      <c r="FX93">
        <f t="shared" ca="1" si="198"/>
        <v>1619.5</v>
      </c>
      <c r="FY93">
        <f t="shared" ca="1" si="199"/>
        <v>1620</v>
      </c>
      <c r="FZ93">
        <f t="shared" ca="1" si="200"/>
        <v>0</v>
      </c>
      <c r="GA93">
        <f t="shared" ca="1" si="201"/>
        <v>0</v>
      </c>
      <c r="GB93">
        <f t="shared" ca="1" si="202"/>
        <v>1620</v>
      </c>
      <c r="GC93">
        <f t="shared" ca="1" si="203"/>
        <v>0</v>
      </c>
      <c r="GD93" t="b">
        <f t="shared" ca="1" si="204"/>
        <v>0</v>
      </c>
      <c r="GE93">
        <f t="shared" ca="1" si="205"/>
        <v>0</v>
      </c>
      <c r="GF93">
        <f t="shared" ca="1" si="206"/>
        <v>1620</v>
      </c>
      <c r="GG93">
        <f t="shared" ca="1" si="207"/>
        <v>0</v>
      </c>
      <c r="GH93">
        <f t="shared" ca="1" si="208"/>
        <v>0</v>
      </c>
      <c r="GI93">
        <f t="shared" ca="1" si="209"/>
        <v>0</v>
      </c>
    </row>
    <row r="94" spans="1:191" x14ac:dyDescent="0.25">
      <c r="A94">
        <f>_xlfn.AGGREGATE(3,5,$B$2:B94)</f>
        <v>93</v>
      </c>
      <c r="B94" t="s">
        <v>308</v>
      </c>
      <c r="C94" t="s">
        <v>309</v>
      </c>
      <c r="D94" t="s">
        <v>787</v>
      </c>
      <c r="E94" t="s">
        <v>843</v>
      </c>
      <c r="F94">
        <v>0</v>
      </c>
      <c r="G94">
        <v>6000</v>
      </c>
      <c r="H94">
        <v>32500</v>
      </c>
      <c r="I94">
        <f t="shared" si="112"/>
        <v>3250</v>
      </c>
      <c r="J94">
        <f t="shared" si="113"/>
        <v>3900</v>
      </c>
      <c r="K94">
        <v>0</v>
      </c>
      <c r="L94">
        <v>500</v>
      </c>
      <c r="M94">
        <f t="shared" si="114"/>
        <v>40150</v>
      </c>
      <c r="N94">
        <v>2000</v>
      </c>
      <c r="O94">
        <v>0</v>
      </c>
      <c r="P94">
        <f t="shared" si="115"/>
        <v>200</v>
      </c>
      <c r="Q94">
        <f t="shared" si="116"/>
        <v>37950</v>
      </c>
      <c r="R94">
        <v>32500</v>
      </c>
      <c r="S94">
        <f t="shared" si="117"/>
        <v>3250</v>
      </c>
      <c r="T94">
        <f t="shared" si="118"/>
        <v>3900</v>
      </c>
      <c r="U94">
        <v>0</v>
      </c>
      <c r="V94">
        <v>500</v>
      </c>
      <c r="W94">
        <f t="shared" si="119"/>
        <v>40150</v>
      </c>
      <c r="X94">
        <v>2000</v>
      </c>
      <c r="Y94">
        <v>0</v>
      </c>
      <c r="Z94">
        <f t="shared" si="120"/>
        <v>200</v>
      </c>
      <c r="AA94">
        <f t="shared" si="121"/>
        <v>37950</v>
      </c>
      <c r="AB94">
        <v>32500</v>
      </c>
      <c r="AC94">
        <f t="shared" si="122"/>
        <v>4550</v>
      </c>
      <c r="AD94">
        <f t="shared" si="123"/>
        <v>3900</v>
      </c>
      <c r="AE94">
        <v>0</v>
      </c>
      <c r="AF94">
        <v>500</v>
      </c>
      <c r="AG94">
        <f t="shared" si="124"/>
        <v>41450</v>
      </c>
      <c r="AH94">
        <v>2000</v>
      </c>
      <c r="AI94">
        <v>0</v>
      </c>
      <c r="AJ94">
        <f t="shared" si="125"/>
        <v>200</v>
      </c>
      <c r="AK94">
        <f t="shared" si="126"/>
        <v>39250</v>
      </c>
      <c r="AL94">
        <v>32500</v>
      </c>
      <c r="AM94">
        <f t="shared" si="127"/>
        <v>4550</v>
      </c>
      <c r="AN94">
        <f t="shared" si="128"/>
        <v>3900</v>
      </c>
      <c r="AO94">
        <v>0</v>
      </c>
      <c r="AP94">
        <v>500</v>
      </c>
      <c r="AQ94">
        <f t="shared" si="129"/>
        <v>41450</v>
      </c>
      <c r="AR94">
        <v>2000</v>
      </c>
      <c r="AS94">
        <v>0</v>
      </c>
      <c r="AT94">
        <f t="shared" si="130"/>
        <v>200</v>
      </c>
      <c r="AU94">
        <f t="shared" si="131"/>
        <v>39250</v>
      </c>
      <c r="AV94">
        <v>33500</v>
      </c>
      <c r="AW94">
        <f t="shared" si="132"/>
        <v>4690</v>
      </c>
      <c r="AX94">
        <f t="shared" si="133"/>
        <v>1300</v>
      </c>
      <c r="AY94">
        <f t="shared" si="134"/>
        <v>4020</v>
      </c>
      <c r="AZ94">
        <v>0</v>
      </c>
      <c r="BA94">
        <v>500</v>
      </c>
      <c r="BB94">
        <f t="shared" si="135"/>
        <v>44010</v>
      </c>
      <c r="BC94">
        <v>2500</v>
      </c>
      <c r="BD94">
        <v>0</v>
      </c>
      <c r="BE94">
        <f t="shared" si="136"/>
        <v>200</v>
      </c>
      <c r="BF94">
        <f t="shared" si="137"/>
        <v>41310</v>
      </c>
      <c r="BG94">
        <v>33500</v>
      </c>
      <c r="BH94">
        <f t="shared" si="138"/>
        <v>4690</v>
      </c>
      <c r="BI94">
        <f t="shared" si="139"/>
        <v>4020</v>
      </c>
      <c r="BJ94">
        <v>0</v>
      </c>
      <c r="BK94">
        <v>500</v>
      </c>
      <c r="BL94">
        <f t="shared" si="140"/>
        <v>42710</v>
      </c>
      <c r="BM94">
        <v>2500</v>
      </c>
      <c r="BN94">
        <v>0</v>
      </c>
      <c r="BO94">
        <f t="shared" si="141"/>
        <v>200</v>
      </c>
      <c r="BP94">
        <f t="shared" si="142"/>
        <v>40010</v>
      </c>
      <c r="BQ94">
        <v>33500</v>
      </c>
      <c r="BR94">
        <f t="shared" si="143"/>
        <v>4690</v>
      </c>
      <c r="BS94">
        <f t="shared" si="144"/>
        <v>4020</v>
      </c>
      <c r="BT94">
        <v>0</v>
      </c>
      <c r="BU94">
        <v>500</v>
      </c>
      <c r="BV94">
        <f t="shared" si="145"/>
        <v>42710</v>
      </c>
      <c r="BW94">
        <v>2500</v>
      </c>
      <c r="BX94">
        <v>0</v>
      </c>
      <c r="BY94">
        <f t="shared" si="146"/>
        <v>200</v>
      </c>
      <c r="BZ94">
        <f t="shared" si="147"/>
        <v>40010</v>
      </c>
      <c r="CA94">
        <v>33500</v>
      </c>
      <c r="CB94">
        <f t="shared" si="148"/>
        <v>4690</v>
      </c>
      <c r="CC94">
        <f t="shared" si="149"/>
        <v>4020</v>
      </c>
      <c r="CD94">
        <v>0</v>
      </c>
      <c r="CE94">
        <v>500</v>
      </c>
      <c r="CF94">
        <f t="shared" si="150"/>
        <v>42710</v>
      </c>
      <c r="CG94">
        <v>2500</v>
      </c>
      <c r="CH94">
        <v>0</v>
      </c>
      <c r="CI94">
        <f t="shared" si="151"/>
        <v>200</v>
      </c>
      <c r="CJ94">
        <f t="shared" si="152"/>
        <v>40010</v>
      </c>
      <c r="CK94">
        <v>33500</v>
      </c>
      <c r="CL94">
        <f t="shared" si="153"/>
        <v>4690</v>
      </c>
      <c r="CM94">
        <f t="shared" si="154"/>
        <v>4020</v>
      </c>
      <c r="CN94">
        <v>0</v>
      </c>
      <c r="CO94">
        <v>500</v>
      </c>
      <c r="CP94">
        <f t="shared" si="155"/>
        <v>42710</v>
      </c>
      <c r="CQ94">
        <v>2500</v>
      </c>
      <c r="CR94">
        <v>0</v>
      </c>
      <c r="CS94">
        <f t="shared" si="156"/>
        <v>200</v>
      </c>
      <c r="CT94">
        <f t="shared" si="157"/>
        <v>40010</v>
      </c>
      <c r="CU94">
        <v>34403</v>
      </c>
      <c r="CV94">
        <f t="shared" si="158"/>
        <v>4816</v>
      </c>
      <c r="CW94">
        <f t="shared" si="159"/>
        <v>4128</v>
      </c>
      <c r="CX94">
        <v>0</v>
      </c>
      <c r="CY94">
        <v>500</v>
      </c>
      <c r="CZ94">
        <f t="shared" si="160"/>
        <v>43847</v>
      </c>
      <c r="DA94">
        <v>2500</v>
      </c>
      <c r="DB94">
        <v>0</v>
      </c>
      <c r="DC94">
        <f t="shared" si="161"/>
        <v>200</v>
      </c>
      <c r="DD94">
        <f t="shared" si="162"/>
        <v>41147</v>
      </c>
      <c r="DE94">
        <v>34500</v>
      </c>
      <c r="DF94">
        <f t="shared" si="163"/>
        <v>4830.0000000000009</v>
      </c>
      <c r="DG94">
        <f t="shared" si="164"/>
        <v>4140</v>
      </c>
      <c r="DH94">
        <v>0</v>
      </c>
      <c r="DI94">
        <v>500</v>
      </c>
      <c r="DJ94">
        <f t="shared" si="165"/>
        <v>43970</v>
      </c>
      <c r="DK94">
        <v>2500</v>
      </c>
      <c r="DL94">
        <v>0</v>
      </c>
      <c r="DM94">
        <f t="shared" si="166"/>
        <v>200</v>
      </c>
      <c r="DN94">
        <f t="shared" si="167"/>
        <v>41270</v>
      </c>
      <c r="DO94">
        <v>34500</v>
      </c>
      <c r="DP94">
        <f t="shared" si="168"/>
        <v>4830.0000000000009</v>
      </c>
      <c r="DQ94">
        <f t="shared" si="169"/>
        <v>4140</v>
      </c>
      <c r="DR94">
        <v>0</v>
      </c>
      <c r="DS94">
        <v>500</v>
      </c>
      <c r="DT94">
        <f t="shared" si="170"/>
        <v>43970</v>
      </c>
      <c r="DU94">
        <v>2500</v>
      </c>
      <c r="DV94">
        <v>0</v>
      </c>
      <c r="DW94">
        <f t="shared" si="171"/>
        <v>200</v>
      </c>
      <c r="DX94">
        <f t="shared" si="172"/>
        <v>41270</v>
      </c>
      <c r="DY94">
        <f t="shared" si="173"/>
        <v>515837</v>
      </c>
      <c r="DZ94">
        <f t="shared" si="105"/>
        <v>2400</v>
      </c>
      <c r="EA94">
        <f t="shared" si="106"/>
        <v>50000</v>
      </c>
      <c r="EB94">
        <v>0</v>
      </c>
      <c r="EC94">
        <f t="shared" si="107"/>
        <v>463437</v>
      </c>
      <c r="ED94">
        <f t="shared" si="108"/>
        <v>28000</v>
      </c>
      <c r="EE94">
        <f t="shared" si="109"/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f t="shared" si="110"/>
        <v>28000</v>
      </c>
      <c r="EQ94">
        <f t="shared" si="174"/>
        <v>28000</v>
      </c>
      <c r="ER94">
        <f t="shared" si="111"/>
        <v>435437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f t="shared" si="175"/>
        <v>0</v>
      </c>
      <c r="FA94">
        <f t="shared" si="176"/>
        <v>435437</v>
      </c>
      <c r="FB94">
        <f t="shared" si="177"/>
        <v>9272</v>
      </c>
      <c r="FC94">
        <f t="shared" si="178"/>
        <v>0</v>
      </c>
      <c r="FD94">
        <f t="shared" si="179"/>
        <v>9272</v>
      </c>
      <c r="FE94">
        <f t="shared" si="180"/>
        <v>0</v>
      </c>
      <c r="FF94">
        <f t="shared" si="181"/>
        <v>0</v>
      </c>
      <c r="FG94">
        <f t="shared" si="182"/>
        <v>0</v>
      </c>
      <c r="FH94">
        <v>0</v>
      </c>
      <c r="FI94">
        <f t="shared" si="183"/>
        <v>0</v>
      </c>
      <c r="FJ94" t="b">
        <f t="shared" si="184"/>
        <v>1</v>
      </c>
      <c r="FK94">
        <f t="shared" ca="1" si="185"/>
        <v>853</v>
      </c>
      <c r="FL94">
        <f t="shared" ca="1" si="186"/>
        <v>516690</v>
      </c>
      <c r="FM94">
        <f t="shared" si="187"/>
        <v>75000</v>
      </c>
      <c r="FN94">
        <f t="shared" ca="1" si="188"/>
        <v>441690</v>
      </c>
      <c r="FO94">
        <f t="shared" ca="1" si="189"/>
        <v>0</v>
      </c>
      <c r="FP94">
        <f t="shared" ca="1" si="190"/>
        <v>0</v>
      </c>
      <c r="FQ94">
        <f t="shared" ca="1" si="191"/>
        <v>0</v>
      </c>
      <c r="FR94">
        <f t="shared" ca="1" si="192"/>
        <v>0</v>
      </c>
      <c r="FS94">
        <f t="shared" ca="1" si="193"/>
        <v>0</v>
      </c>
      <c r="FT94">
        <f t="shared" ca="1" si="194"/>
        <v>0</v>
      </c>
      <c r="FU94">
        <f t="shared" ca="1" si="195"/>
        <v>0</v>
      </c>
      <c r="FV94">
        <f t="shared" ca="1" si="196"/>
        <v>0</v>
      </c>
      <c r="FW94">
        <f t="shared" ca="1" si="197"/>
        <v>141690</v>
      </c>
      <c r="FX94">
        <f t="shared" ca="1" si="198"/>
        <v>7084.5</v>
      </c>
      <c r="FY94">
        <f t="shared" ca="1" si="199"/>
        <v>7085</v>
      </c>
      <c r="FZ94">
        <f t="shared" ca="1" si="200"/>
        <v>0</v>
      </c>
      <c r="GA94">
        <f t="shared" ca="1" si="201"/>
        <v>0</v>
      </c>
      <c r="GB94">
        <f t="shared" ca="1" si="202"/>
        <v>7085</v>
      </c>
      <c r="GC94">
        <f t="shared" ca="1" si="203"/>
        <v>0</v>
      </c>
      <c r="GD94" t="b">
        <f t="shared" ca="1" si="204"/>
        <v>0</v>
      </c>
      <c r="GE94">
        <f t="shared" ca="1" si="205"/>
        <v>0</v>
      </c>
      <c r="GF94">
        <f t="shared" ca="1" si="206"/>
        <v>7085</v>
      </c>
      <c r="GG94">
        <f t="shared" ca="1" si="207"/>
        <v>0</v>
      </c>
      <c r="GH94">
        <f t="shared" ca="1" si="208"/>
        <v>0</v>
      </c>
      <c r="GI94">
        <f t="shared" ca="1" si="209"/>
        <v>0</v>
      </c>
    </row>
    <row r="95" spans="1:191" x14ac:dyDescent="0.25">
      <c r="A95">
        <f>_xlfn.AGGREGATE(3,5,$B$2:B95)</f>
        <v>94</v>
      </c>
      <c r="B95" t="s">
        <v>310</v>
      </c>
      <c r="C95" t="s">
        <v>311</v>
      </c>
      <c r="D95" t="s">
        <v>787</v>
      </c>
      <c r="E95" t="s">
        <v>843</v>
      </c>
      <c r="F95">
        <v>0</v>
      </c>
      <c r="G95">
        <v>6000</v>
      </c>
      <c r="H95">
        <v>24700</v>
      </c>
      <c r="I95">
        <f t="shared" si="112"/>
        <v>2470</v>
      </c>
      <c r="J95">
        <f t="shared" si="113"/>
        <v>2964</v>
      </c>
      <c r="K95">
        <v>0</v>
      </c>
      <c r="L95">
        <v>500</v>
      </c>
      <c r="M95">
        <f t="shared" si="114"/>
        <v>30634</v>
      </c>
      <c r="N95">
        <v>0</v>
      </c>
      <c r="O95">
        <v>0</v>
      </c>
      <c r="P95">
        <f t="shared" si="115"/>
        <v>150</v>
      </c>
      <c r="Q95">
        <f t="shared" si="116"/>
        <v>30484</v>
      </c>
      <c r="R95">
        <v>24700</v>
      </c>
      <c r="S95">
        <f t="shared" si="117"/>
        <v>2470</v>
      </c>
      <c r="T95">
        <f t="shared" si="118"/>
        <v>2964</v>
      </c>
      <c r="U95">
        <v>0</v>
      </c>
      <c r="V95">
        <v>500</v>
      </c>
      <c r="W95">
        <f t="shared" si="119"/>
        <v>30634</v>
      </c>
      <c r="X95">
        <v>0</v>
      </c>
      <c r="Y95">
        <v>0</v>
      </c>
      <c r="Z95">
        <f t="shared" si="120"/>
        <v>150</v>
      </c>
      <c r="AA95">
        <f t="shared" si="121"/>
        <v>30484</v>
      </c>
      <c r="AB95">
        <v>24700</v>
      </c>
      <c r="AC95">
        <f t="shared" si="122"/>
        <v>3458.0000000000005</v>
      </c>
      <c r="AD95">
        <f t="shared" si="123"/>
        <v>2964</v>
      </c>
      <c r="AE95">
        <v>0</v>
      </c>
      <c r="AF95">
        <v>500</v>
      </c>
      <c r="AG95">
        <f t="shared" si="124"/>
        <v>31622</v>
      </c>
      <c r="AH95">
        <v>0</v>
      </c>
      <c r="AI95">
        <v>0</v>
      </c>
      <c r="AJ95">
        <f t="shared" si="125"/>
        <v>150</v>
      </c>
      <c r="AK95">
        <f t="shared" si="126"/>
        <v>31472</v>
      </c>
      <c r="AL95">
        <v>24700</v>
      </c>
      <c r="AM95">
        <f t="shared" si="127"/>
        <v>3458.0000000000005</v>
      </c>
      <c r="AN95">
        <f t="shared" si="128"/>
        <v>2964</v>
      </c>
      <c r="AO95">
        <v>0</v>
      </c>
      <c r="AP95">
        <v>500</v>
      </c>
      <c r="AQ95">
        <f t="shared" si="129"/>
        <v>31622</v>
      </c>
      <c r="AR95">
        <v>0</v>
      </c>
      <c r="AS95">
        <v>0</v>
      </c>
      <c r="AT95">
        <f t="shared" si="130"/>
        <v>150</v>
      </c>
      <c r="AU95">
        <f t="shared" si="131"/>
        <v>31472</v>
      </c>
      <c r="AV95">
        <v>25400</v>
      </c>
      <c r="AW95">
        <f t="shared" si="132"/>
        <v>3556.0000000000005</v>
      </c>
      <c r="AX95">
        <f t="shared" si="133"/>
        <v>988</v>
      </c>
      <c r="AY95">
        <f t="shared" si="134"/>
        <v>3048</v>
      </c>
      <c r="AZ95">
        <v>0</v>
      </c>
      <c r="BA95">
        <v>500</v>
      </c>
      <c r="BB95">
        <f t="shared" si="135"/>
        <v>33492</v>
      </c>
      <c r="BC95">
        <v>0</v>
      </c>
      <c r="BD95">
        <v>0</v>
      </c>
      <c r="BE95">
        <f t="shared" si="136"/>
        <v>150</v>
      </c>
      <c r="BF95">
        <f t="shared" si="137"/>
        <v>33342</v>
      </c>
      <c r="BG95">
        <v>25400</v>
      </c>
      <c r="BH95">
        <f t="shared" si="138"/>
        <v>3556.0000000000005</v>
      </c>
      <c r="BI95">
        <f t="shared" si="139"/>
        <v>3048</v>
      </c>
      <c r="BJ95">
        <v>0</v>
      </c>
      <c r="BK95">
        <v>500</v>
      </c>
      <c r="BL95">
        <f t="shared" si="140"/>
        <v>32504</v>
      </c>
      <c r="BM95">
        <v>2000</v>
      </c>
      <c r="BN95">
        <v>0</v>
      </c>
      <c r="BO95">
        <f t="shared" si="141"/>
        <v>150</v>
      </c>
      <c r="BP95">
        <f t="shared" si="142"/>
        <v>30354</v>
      </c>
      <c r="BQ95">
        <v>25400</v>
      </c>
      <c r="BR95">
        <f t="shared" si="143"/>
        <v>3556.0000000000005</v>
      </c>
      <c r="BS95">
        <f t="shared" si="144"/>
        <v>3048</v>
      </c>
      <c r="BT95">
        <v>0</v>
      </c>
      <c r="BU95">
        <v>500</v>
      </c>
      <c r="BV95">
        <f t="shared" si="145"/>
        <v>32504</v>
      </c>
      <c r="BW95">
        <v>2000</v>
      </c>
      <c r="BX95">
        <v>0</v>
      </c>
      <c r="BY95">
        <f t="shared" si="146"/>
        <v>150</v>
      </c>
      <c r="BZ95">
        <f t="shared" si="147"/>
        <v>30354</v>
      </c>
      <c r="CA95">
        <v>25400</v>
      </c>
      <c r="CB95">
        <f t="shared" si="148"/>
        <v>3556.0000000000005</v>
      </c>
      <c r="CC95">
        <f t="shared" si="149"/>
        <v>3048</v>
      </c>
      <c r="CD95">
        <v>0</v>
      </c>
      <c r="CE95">
        <v>500</v>
      </c>
      <c r="CF95">
        <f t="shared" si="150"/>
        <v>32504</v>
      </c>
      <c r="CG95">
        <v>2000</v>
      </c>
      <c r="CH95">
        <v>0</v>
      </c>
      <c r="CI95">
        <f t="shared" si="151"/>
        <v>150</v>
      </c>
      <c r="CJ95">
        <f t="shared" si="152"/>
        <v>30354</v>
      </c>
      <c r="CK95">
        <v>25400</v>
      </c>
      <c r="CL95">
        <f t="shared" si="153"/>
        <v>3556.0000000000005</v>
      </c>
      <c r="CM95">
        <f t="shared" si="154"/>
        <v>3048</v>
      </c>
      <c r="CN95">
        <v>0</v>
      </c>
      <c r="CO95">
        <v>500</v>
      </c>
      <c r="CP95">
        <f t="shared" si="155"/>
        <v>32504</v>
      </c>
      <c r="CQ95">
        <v>2000</v>
      </c>
      <c r="CR95">
        <v>0</v>
      </c>
      <c r="CS95">
        <f t="shared" si="156"/>
        <v>150</v>
      </c>
      <c r="CT95">
        <f t="shared" si="157"/>
        <v>30354</v>
      </c>
      <c r="CU95">
        <v>25400</v>
      </c>
      <c r="CV95">
        <f t="shared" si="158"/>
        <v>3556</v>
      </c>
      <c r="CW95">
        <f t="shared" si="159"/>
        <v>3048</v>
      </c>
      <c r="CX95">
        <v>0</v>
      </c>
      <c r="CY95">
        <v>500</v>
      </c>
      <c r="CZ95">
        <f t="shared" si="160"/>
        <v>32504</v>
      </c>
      <c r="DA95">
        <v>2000</v>
      </c>
      <c r="DB95">
        <v>0</v>
      </c>
      <c r="DC95">
        <f t="shared" si="161"/>
        <v>150</v>
      </c>
      <c r="DD95">
        <f t="shared" si="162"/>
        <v>30354</v>
      </c>
      <c r="DE95">
        <v>25400</v>
      </c>
      <c r="DF95">
        <f t="shared" si="163"/>
        <v>3556.0000000000005</v>
      </c>
      <c r="DG95">
        <f t="shared" si="164"/>
        <v>3048</v>
      </c>
      <c r="DH95">
        <v>0</v>
      </c>
      <c r="DI95">
        <v>500</v>
      </c>
      <c r="DJ95">
        <f t="shared" si="165"/>
        <v>32504</v>
      </c>
      <c r="DK95">
        <v>2000</v>
      </c>
      <c r="DL95">
        <v>0</v>
      </c>
      <c r="DM95">
        <f t="shared" si="166"/>
        <v>150</v>
      </c>
      <c r="DN95">
        <f t="shared" si="167"/>
        <v>30354</v>
      </c>
      <c r="DO95">
        <v>25400</v>
      </c>
      <c r="DP95">
        <f t="shared" si="168"/>
        <v>3556.0000000000005</v>
      </c>
      <c r="DQ95">
        <f t="shared" si="169"/>
        <v>3048</v>
      </c>
      <c r="DR95">
        <v>0</v>
      </c>
      <c r="DS95">
        <v>500</v>
      </c>
      <c r="DT95">
        <f t="shared" si="170"/>
        <v>32504</v>
      </c>
      <c r="DU95">
        <v>2000</v>
      </c>
      <c r="DV95">
        <v>0</v>
      </c>
      <c r="DW95">
        <f t="shared" si="171"/>
        <v>150</v>
      </c>
      <c r="DX95">
        <f t="shared" si="172"/>
        <v>30354</v>
      </c>
      <c r="DY95">
        <f t="shared" si="173"/>
        <v>391532</v>
      </c>
      <c r="DZ95">
        <f t="shared" si="105"/>
        <v>1800</v>
      </c>
      <c r="EA95">
        <f t="shared" si="106"/>
        <v>50000</v>
      </c>
      <c r="EB95">
        <v>0</v>
      </c>
      <c r="EC95">
        <f t="shared" si="107"/>
        <v>339732</v>
      </c>
      <c r="ED95">
        <f t="shared" si="108"/>
        <v>14000</v>
      </c>
      <c r="EE95">
        <f t="shared" si="109"/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f t="shared" si="110"/>
        <v>14000</v>
      </c>
      <c r="EQ95">
        <f t="shared" si="174"/>
        <v>14000</v>
      </c>
      <c r="ER95">
        <f t="shared" si="111"/>
        <v>325732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f t="shared" si="175"/>
        <v>0</v>
      </c>
      <c r="FA95">
        <f t="shared" si="176"/>
        <v>325732</v>
      </c>
      <c r="FB95">
        <f t="shared" si="177"/>
        <v>3787</v>
      </c>
      <c r="FC95">
        <f t="shared" si="178"/>
        <v>0</v>
      </c>
      <c r="FD95">
        <f t="shared" si="179"/>
        <v>3787</v>
      </c>
      <c r="FE95">
        <f t="shared" si="180"/>
        <v>0</v>
      </c>
      <c r="FF95">
        <f t="shared" si="181"/>
        <v>0</v>
      </c>
      <c r="FG95">
        <f t="shared" si="182"/>
        <v>0</v>
      </c>
      <c r="FH95">
        <v>0</v>
      </c>
      <c r="FI95">
        <f t="shared" si="183"/>
        <v>0</v>
      </c>
      <c r="FJ95" t="b">
        <f t="shared" si="184"/>
        <v>0</v>
      </c>
      <c r="FK95">
        <f t="shared" ca="1" si="185"/>
        <v>1269</v>
      </c>
      <c r="FL95">
        <f t="shared" ca="1" si="186"/>
        <v>392801</v>
      </c>
      <c r="FM95">
        <f t="shared" si="187"/>
        <v>75000</v>
      </c>
      <c r="FN95">
        <f t="shared" ca="1" si="188"/>
        <v>317801</v>
      </c>
      <c r="FO95">
        <f t="shared" ca="1" si="189"/>
        <v>0</v>
      </c>
      <c r="FP95">
        <f t="shared" ca="1" si="190"/>
        <v>0</v>
      </c>
      <c r="FQ95">
        <f t="shared" ca="1" si="191"/>
        <v>0</v>
      </c>
      <c r="FR95">
        <f t="shared" ca="1" si="192"/>
        <v>0</v>
      </c>
      <c r="FS95">
        <f t="shared" ca="1" si="193"/>
        <v>0</v>
      </c>
      <c r="FT95">
        <f t="shared" ca="1" si="194"/>
        <v>0</v>
      </c>
      <c r="FU95">
        <f t="shared" ca="1" si="195"/>
        <v>0</v>
      </c>
      <c r="FV95">
        <f t="shared" ca="1" si="196"/>
        <v>0</v>
      </c>
      <c r="FW95">
        <f t="shared" ca="1" si="197"/>
        <v>17801</v>
      </c>
      <c r="FX95">
        <f t="shared" ca="1" si="198"/>
        <v>890.05000000000007</v>
      </c>
      <c r="FY95">
        <f t="shared" ca="1" si="199"/>
        <v>890</v>
      </c>
      <c r="FZ95">
        <f t="shared" ca="1" si="200"/>
        <v>0</v>
      </c>
      <c r="GA95">
        <f t="shared" ca="1" si="201"/>
        <v>0</v>
      </c>
      <c r="GB95">
        <f t="shared" ca="1" si="202"/>
        <v>890</v>
      </c>
      <c r="GC95">
        <f t="shared" ca="1" si="203"/>
        <v>0</v>
      </c>
      <c r="GD95" t="b">
        <f t="shared" ca="1" si="204"/>
        <v>0</v>
      </c>
      <c r="GE95">
        <f t="shared" ca="1" si="205"/>
        <v>0</v>
      </c>
      <c r="GF95">
        <f t="shared" ca="1" si="206"/>
        <v>890</v>
      </c>
      <c r="GG95">
        <f t="shared" ca="1" si="207"/>
        <v>0</v>
      </c>
      <c r="GH95">
        <f t="shared" ca="1" si="208"/>
        <v>0</v>
      </c>
      <c r="GI95">
        <f t="shared" ca="1" si="209"/>
        <v>0</v>
      </c>
    </row>
    <row r="96" spans="1:191" x14ac:dyDescent="0.25">
      <c r="A96">
        <f>_xlfn.AGGREGATE(3,5,$B$2:B96)</f>
        <v>95</v>
      </c>
      <c r="B96" t="s">
        <v>312</v>
      </c>
      <c r="C96" t="s">
        <v>313</v>
      </c>
      <c r="D96" t="s">
        <v>787</v>
      </c>
      <c r="E96" t="s">
        <v>843</v>
      </c>
      <c r="F96">
        <v>0</v>
      </c>
      <c r="G96">
        <v>0</v>
      </c>
      <c r="H96">
        <v>0</v>
      </c>
      <c r="I96">
        <f t="shared" si="112"/>
        <v>0</v>
      </c>
      <c r="J96">
        <f t="shared" si="113"/>
        <v>0</v>
      </c>
      <c r="K96">
        <v>0</v>
      </c>
      <c r="L96">
        <v>0</v>
      </c>
      <c r="M96">
        <f t="shared" si="114"/>
        <v>0</v>
      </c>
      <c r="N96">
        <v>0</v>
      </c>
      <c r="O96">
        <v>0</v>
      </c>
      <c r="P96">
        <f t="shared" si="115"/>
        <v>0</v>
      </c>
      <c r="Q96">
        <f t="shared" si="116"/>
        <v>0</v>
      </c>
      <c r="R96">
        <v>28900</v>
      </c>
      <c r="S96">
        <f t="shared" si="117"/>
        <v>2890</v>
      </c>
      <c r="T96">
        <f t="shared" si="118"/>
        <v>3468</v>
      </c>
      <c r="U96">
        <v>0</v>
      </c>
      <c r="V96">
        <v>500</v>
      </c>
      <c r="W96">
        <f t="shared" si="119"/>
        <v>35758</v>
      </c>
      <c r="X96">
        <v>0</v>
      </c>
      <c r="Y96">
        <v>0</v>
      </c>
      <c r="Z96">
        <f t="shared" si="120"/>
        <v>150</v>
      </c>
      <c r="AA96">
        <f t="shared" si="121"/>
        <v>35608</v>
      </c>
      <c r="AB96">
        <v>28900</v>
      </c>
      <c r="AC96">
        <f t="shared" si="122"/>
        <v>4046.0000000000005</v>
      </c>
      <c r="AD96">
        <f t="shared" si="123"/>
        <v>3468</v>
      </c>
      <c r="AE96">
        <v>0</v>
      </c>
      <c r="AF96">
        <v>500</v>
      </c>
      <c r="AG96">
        <f t="shared" si="124"/>
        <v>36914</v>
      </c>
      <c r="AH96">
        <v>0</v>
      </c>
      <c r="AI96">
        <v>0</v>
      </c>
      <c r="AJ96">
        <f t="shared" si="125"/>
        <v>150</v>
      </c>
      <c r="AK96">
        <f t="shared" si="126"/>
        <v>36764</v>
      </c>
      <c r="AL96">
        <v>28900</v>
      </c>
      <c r="AM96">
        <f t="shared" si="127"/>
        <v>4046.0000000000005</v>
      </c>
      <c r="AN96">
        <f t="shared" si="128"/>
        <v>3468</v>
      </c>
      <c r="AO96">
        <v>0</v>
      </c>
      <c r="AP96">
        <v>500</v>
      </c>
      <c r="AQ96">
        <f t="shared" si="129"/>
        <v>36914</v>
      </c>
      <c r="AR96">
        <v>0</v>
      </c>
      <c r="AS96">
        <v>0</v>
      </c>
      <c r="AT96">
        <f t="shared" si="130"/>
        <v>150</v>
      </c>
      <c r="AU96">
        <f t="shared" si="131"/>
        <v>36764</v>
      </c>
      <c r="AV96">
        <v>28900</v>
      </c>
      <c r="AW96">
        <f t="shared" si="132"/>
        <v>4046.0000000000005</v>
      </c>
      <c r="AX96">
        <f t="shared" si="133"/>
        <v>1156</v>
      </c>
      <c r="AY96">
        <f t="shared" si="134"/>
        <v>3468</v>
      </c>
      <c r="AZ96">
        <v>0</v>
      </c>
      <c r="BA96">
        <v>500</v>
      </c>
      <c r="BB96">
        <f t="shared" si="135"/>
        <v>38070</v>
      </c>
      <c r="BC96">
        <v>0</v>
      </c>
      <c r="BD96">
        <v>0</v>
      </c>
      <c r="BE96">
        <f t="shared" si="136"/>
        <v>150</v>
      </c>
      <c r="BF96">
        <f t="shared" si="137"/>
        <v>37920</v>
      </c>
      <c r="BG96">
        <v>28900</v>
      </c>
      <c r="BH96">
        <f t="shared" si="138"/>
        <v>4046.0000000000005</v>
      </c>
      <c r="BI96">
        <f t="shared" si="139"/>
        <v>3468</v>
      </c>
      <c r="BJ96">
        <v>0</v>
      </c>
      <c r="BK96">
        <v>500</v>
      </c>
      <c r="BL96">
        <f t="shared" si="140"/>
        <v>36914</v>
      </c>
      <c r="BM96">
        <v>0</v>
      </c>
      <c r="BN96">
        <v>0</v>
      </c>
      <c r="BO96">
        <f t="shared" si="141"/>
        <v>150</v>
      </c>
      <c r="BP96">
        <f t="shared" si="142"/>
        <v>36764</v>
      </c>
      <c r="BQ96">
        <v>28900</v>
      </c>
      <c r="BR96">
        <f t="shared" si="143"/>
        <v>4046.0000000000005</v>
      </c>
      <c r="BS96">
        <f t="shared" si="144"/>
        <v>3468</v>
      </c>
      <c r="BT96">
        <v>0</v>
      </c>
      <c r="BU96">
        <v>500</v>
      </c>
      <c r="BV96">
        <f t="shared" si="145"/>
        <v>36914</v>
      </c>
      <c r="BW96">
        <v>0</v>
      </c>
      <c r="BX96">
        <v>0</v>
      </c>
      <c r="BY96">
        <f t="shared" si="146"/>
        <v>150</v>
      </c>
      <c r="BZ96">
        <f t="shared" si="147"/>
        <v>36764</v>
      </c>
      <c r="CA96">
        <v>28900</v>
      </c>
      <c r="CB96">
        <f t="shared" si="148"/>
        <v>4046.0000000000005</v>
      </c>
      <c r="CC96">
        <f t="shared" si="149"/>
        <v>3468</v>
      </c>
      <c r="CD96">
        <v>0</v>
      </c>
      <c r="CE96">
        <v>500</v>
      </c>
      <c r="CF96">
        <f t="shared" si="150"/>
        <v>36914</v>
      </c>
      <c r="CG96">
        <v>0</v>
      </c>
      <c r="CH96">
        <v>0</v>
      </c>
      <c r="CI96">
        <f t="shared" si="151"/>
        <v>150</v>
      </c>
      <c r="CJ96">
        <f t="shared" si="152"/>
        <v>36764</v>
      </c>
      <c r="CK96">
        <v>28900</v>
      </c>
      <c r="CL96">
        <f t="shared" si="153"/>
        <v>4046.0000000000005</v>
      </c>
      <c r="CM96">
        <f t="shared" si="154"/>
        <v>3468</v>
      </c>
      <c r="CN96">
        <v>0</v>
      </c>
      <c r="CO96">
        <v>500</v>
      </c>
      <c r="CP96">
        <f t="shared" si="155"/>
        <v>36914</v>
      </c>
      <c r="CQ96">
        <v>0</v>
      </c>
      <c r="CR96">
        <v>0</v>
      </c>
      <c r="CS96">
        <f t="shared" si="156"/>
        <v>150</v>
      </c>
      <c r="CT96">
        <f t="shared" si="157"/>
        <v>36764</v>
      </c>
      <c r="CU96">
        <v>28900</v>
      </c>
      <c r="CV96">
        <f t="shared" si="158"/>
        <v>4046</v>
      </c>
      <c r="CW96">
        <f t="shared" si="159"/>
        <v>3468</v>
      </c>
      <c r="CX96">
        <v>0</v>
      </c>
      <c r="CY96">
        <v>500</v>
      </c>
      <c r="CZ96">
        <f t="shared" si="160"/>
        <v>36914</v>
      </c>
      <c r="DA96">
        <v>0</v>
      </c>
      <c r="DB96">
        <v>0</v>
      </c>
      <c r="DC96">
        <f t="shared" si="161"/>
        <v>150</v>
      </c>
      <c r="DD96">
        <f t="shared" si="162"/>
        <v>36764</v>
      </c>
      <c r="DE96">
        <v>28900</v>
      </c>
      <c r="DF96">
        <f t="shared" si="163"/>
        <v>4046.0000000000005</v>
      </c>
      <c r="DG96">
        <f t="shared" si="164"/>
        <v>3468</v>
      </c>
      <c r="DH96">
        <v>0</v>
      </c>
      <c r="DI96">
        <v>500</v>
      </c>
      <c r="DJ96">
        <f t="shared" si="165"/>
        <v>36914</v>
      </c>
      <c r="DK96">
        <v>0</v>
      </c>
      <c r="DL96">
        <v>0</v>
      </c>
      <c r="DM96">
        <f t="shared" si="166"/>
        <v>150</v>
      </c>
      <c r="DN96">
        <f t="shared" si="167"/>
        <v>36764</v>
      </c>
      <c r="DO96">
        <v>28900</v>
      </c>
      <c r="DP96">
        <f t="shared" si="168"/>
        <v>4046.0000000000005</v>
      </c>
      <c r="DQ96">
        <f t="shared" si="169"/>
        <v>3468</v>
      </c>
      <c r="DR96">
        <v>0</v>
      </c>
      <c r="DS96">
        <v>500</v>
      </c>
      <c r="DT96">
        <f t="shared" si="170"/>
        <v>36914</v>
      </c>
      <c r="DU96">
        <v>2000</v>
      </c>
      <c r="DV96">
        <v>0</v>
      </c>
      <c r="DW96">
        <f t="shared" si="171"/>
        <v>150</v>
      </c>
      <c r="DX96">
        <f t="shared" si="172"/>
        <v>34764</v>
      </c>
      <c r="DY96">
        <f t="shared" si="173"/>
        <v>406054</v>
      </c>
      <c r="DZ96">
        <f t="shared" si="105"/>
        <v>1650</v>
      </c>
      <c r="EA96">
        <f t="shared" si="106"/>
        <v>50000</v>
      </c>
      <c r="EB96">
        <v>0</v>
      </c>
      <c r="EC96">
        <f t="shared" si="107"/>
        <v>354404</v>
      </c>
      <c r="ED96">
        <f t="shared" si="108"/>
        <v>2000</v>
      </c>
      <c r="EE96">
        <f t="shared" si="109"/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f t="shared" si="110"/>
        <v>2000</v>
      </c>
      <c r="EQ96">
        <f t="shared" si="174"/>
        <v>2000</v>
      </c>
      <c r="ER96">
        <f t="shared" si="111"/>
        <v>352404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f t="shared" si="175"/>
        <v>0</v>
      </c>
      <c r="FA96">
        <f t="shared" si="176"/>
        <v>352404</v>
      </c>
      <c r="FB96">
        <f t="shared" si="177"/>
        <v>5120</v>
      </c>
      <c r="FC96">
        <f t="shared" si="178"/>
        <v>0</v>
      </c>
      <c r="FD96">
        <f t="shared" si="179"/>
        <v>5120</v>
      </c>
      <c r="FE96">
        <f t="shared" si="180"/>
        <v>0</v>
      </c>
      <c r="FF96">
        <f t="shared" si="181"/>
        <v>0</v>
      </c>
      <c r="FG96">
        <f t="shared" si="182"/>
        <v>0</v>
      </c>
      <c r="FH96">
        <v>0</v>
      </c>
      <c r="FI96">
        <f t="shared" si="183"/>
        <v>0</v>
      </c>
      <c r="FJ96" t="b">
        <f t="shared" si="184"/>
        <v>0</v>
      </c>
      <c r="FK96">
        <f t="shared" ca="1" si="185"/>
        <v>1501</v>
      </c>
      <c r="FL96">
        <f t="shared" ca="1" si="186"/>
        <v>407555</v>
      </c>
      <c r="FM96">
        <f t="shared" si="187"/>
        <v>75000</v>
      </c>
      <c r="FN96">
        <f t="shared" ca="1" si="188"/>
        <v>332555</v>
      </c>
      <c r="FO96">
        <f t="shared" ca="1" si="189"/>
        <v>0</v>
      </c>
      <c r="FP96">
        <f t="shared" ca="1" si="190"/>
        <v>0</v>
      </c>
      <c r="FQ96">
        <f t="shared" ca="1" si="191"/>
        <v>0</v>
      </c>
      <c r="FR96">
        <f t="shared" ca="1" si="192"/>
        <v>0</v>
      </c>
      <c r="FS96">
        <f t="shared" ca="1" si="193"/>
        <v>0</v>
      </c>
      <c r="FT96">
        <f t="shared" ca="1" si="194"/>
        <v>0</v>
      </c>
      <c r="FU96">
        <f t="shared" ca="1" si="195"/>
        <v>0</v>
      </c>
      <c r="FV96">
        <f t="shared" ca="1" si="196"/>
        <v>0</v>
      </c>
      <c r="FW96">
        <f t="shared" ca="1" si="197"/>
        <v>32555</v>
      </c>
      <c r="FX96">
        <f t="shared" ca="1" si="198"/>
        <v>1627.75</v>
      </c>
      <c r="FY96">
        <f t="shared" ca="1" si="199"/>
        <v>1628</v>
      </c>
      <c r="FZ96">
        <f t="shared" ca="1" si="200"/>
        <v>0</v>
      </c>
      <c r="GA96">
        <f t="shared" ca="1" si="201"/>
        <v>0</v>
      </c>
      <c r="GB96">
        <f t="shared" ca="1" si="202"/>
        <v>1628</v>
      </c>
      <c r="GC96">
        <f t="shared" ca="1" si="203"/>
        <v>0</v>
      </c>
      <c r="GD96" t="b">
        <f t="shared" ca="1" si="204"/>
        <v>0</v>
      </c>
      <c r="GE96">
        <f t="shared" ca="1" si="205"/>
        <v>0</v>
      </c>
      <c r="GF96">
        <f t="shared" ca="1" si="206"/>
        <v>1628</v>
      </c>
      <c r="GG96">
        <f t="shared" ca="1" si="207"/>
        <v>0</v>
      </c>
      <c r="GH96">
        <f t="shared" ca="1" si="208"/>
        <v>0</v>
      </c>
      <c r="GI96">
        <f t="shared" ca="1" si="209"/>
        <v>0</v>
      </c>
    </row>
    <row r="97" spans="1:191" x14ac:dyDescent="0.25">
      <c r="A97">
        <f>_xlfn.AGGREGATE(3,5,$B$2:B97)</f>
        <v>96</v>
      </c>
      <c r="B97" t="s">
        <v>314</v>
      </c>
      <c r="C97" t="s">
        <v>315</v>
      </c>
      <c r="D97" t="s">
        <v>788</v>
      </c>
      <c r="E97" t="s">
        <v>843</v>
      </c>
      <c r="F97">
        <v>0</v>
      </c>
      <c r="G97">
        <v>6000</v>
      </c>
      <c r="H97">
        <v>32500</v>
      </c>
      <c r="I97">
        <f t="shared" si="112"/>
        <v>3250</v>
      </c>
      <c r="J97">
        <f t="shared" si="113"/>
        <v>3900</v>
      </c>
      <c r="K97">
        <v>400</v>
      </c>
      <c r="L97">
        <v>500</v>
      </c>
      <c r="M97">
        <f t="shared" si="114"/>
        <v>40550</v>
      </c>
      <c r="N97">
        <v>2000</v>
      </c>
      <c r="O97">
        <v>0</v>
      </c>
      <c r="P97">
        <f t="shared" si="115"/>
        <v>200</v>
      </c>
      <c r="Q97">
        <f t="shared" si="116"/>
        <v>38350</v>
      </c>
      <c r="R97">
        <v>32500</v>
      </c>
      <c r="S97">
        <f t="shared" si="117"/>
        <v>3250</v>
      </c>
      <c r="T97">
        <f t="shared" si="118"/>
        <v>3900</v>
      </c>
      <c r="U97">
        <v>400</v>
      </c>
      <c r="V97">
        <v>500</v>
      </c>
      <c r="W97">
        <f t="shared" si="119"/>
        <v>40550</v>
      </c>
      <c r="X97">
        <v>2000</v>
      </c>
      <c r="Y97">
        <v>0</v>
      </c>
      <c r="Z97">
        <f t="shared" si="120"/>
        <v>200</v>
      </c>
      <c r="AA97">
        <f t="shared" si="121"/>
        <v>38350</v>
      </c>
      <c r="AB97">
        <v>32500</v>
      </c>
      <c r="AC97">
        <f t="shared" si="122"/>
        <v>4550</v>
      </c>
      <c r="AD97">
        <f t="shared" si="123"/>
        <v>3900</v>
      </c>
      <c r="AE97">
        <v>400</v>
      </c>
      <c r="AF97">
        <v>500</v>
      </c>
      <c r="AG97">
        <f t="shared" si="124"/>
        <v>41850</v>
      </c>
      <c r="AH97">
        <v>2000</v>
      </c>
      <c r="AI97">
        <v>0</v>
      </c>
      <c r="AJ97">
        <f t="shared" si="125"/>
        <v>200</v>
      </c>
      <c r="AK97">
        <f t="shared" si="126"/>
        <v>39650</v>
      </c>
      <c r="AL97">
        <v>32500</v>
      </c>
      <c r="AM97">
        <f t="shared" si="127"/>
        <v>4550</v>
      </c>
      <c r="AN97">
        <f t="shared" si="128"/>
        <v>3900</v>
      </c>
      <c r="AO97">
        <v>400</v>
      </c>
      <c r="AP97">
        <v>500</v>
      </c>
      <c r="AQ97">
        <f t="shared" si="129"/>
        <v>41850</v>
      </c>
      <c r="AR97">
        <v>2000</v>
      </c>
      <c r="AS97">
        <v>0</v>
      </c>
      <c r="AT97">
        <f t="shared" si="130"/>
        <v>200</v>
      </c>
      <c r="AU97">
        <f t="shared" si="131"/>
        <v>39650</v>
      </c>
      <c r="AV97">
        <v>33500</v>
      </c>
      <c r="AW97">
        <f t="shared" si="132"/>
        <v>4690</v>
      </c>
      <c r="AX97">
        <f t="shared" si="133"/>
        <v>1300</v>
      </c>
      <c r="AY97">
        <f t="shared" si="134"/>
        <v>4020</v>
      </c>
      <c r="AZ97">
        <v>400</v>
      </c>
      <c r="BA97">
        <v>500</v>
      </c>
      <c r="BB97">
        <f t="shared" si="135"/>
        <v>44410</v>
      </c>
      <c r="BC97">
        <v>2500</v>
      </c>
      <c r="BD97">
        <v>0</v>
      </c>
      <c r="BE97">
        <f t="shared" si="136"/>
        <v>200</v>
      </c>
      <c r="BF97">
        <f t="shared" si="137"/>
        <v>41710</v>
      </c>
      <c r="BG97">
        <v>33500</v>
      </c>
      <c r="BH97">
        <f t="shared" si="138"/>
        <v>4690</v>
      </c>
      <c r="BI97">
        <f t="shared" si="139"/>
        <v>4020</v>
      </c>
      <c r="BJ97">
        <v>400</v>
      </c>
      <c r="BK97">
        <v>500</v>
      </c>
      <c r="BL97">
        <f t="shared" si="140"/>
        <v>43110</v>
      </c>
      <c r="BM97">
        <v>2500</v>
      </c>
      <c r="BN97">
        <v>0</v>
      </c>
      <c r="BO97">
        <f t="shared" si="141"/>
        <v>200</v>
      </c>
      <c r="BP97">
        <f t="shared" si="142"/>
        <v>40410</v>
      </c>
      <c r="BQ97">
        <v>33500</v>
      </c>
      <c r="BR97">
        <f t="shared" si="143"/>
        <v>4690</v>
      </c>
      <c r="BS97">
        <f t="shared" si="144"/>
        <v>4020</v>
      </c>
      <c r="BT97">
        <v>400</v>
      </c>
      <c r="BU97">
        <v>500</v>
      </c>
      <c r="BV97">
        <f t="shared" si="145"/>
        <v>43110</v>
      </c>
      <c r="BW97">
        <v>2500</v>
      </c>
      <c r="BX97">
        <v>0</v>
      </c>
      <c r="BY97">
        <f t="shared" si="146"/>
        <v>200</v>
      </c>
      <c r="BZ97">
        <f t="shared" si="147"/>
        <v>40410</v>
      </c>
      <c r="CA97">
        <v>33500</v>
      </c>
      <c r="CB97">
        <f t="shared" si="148"/>
        <v>4690</v>
      </c>
      <c r="CC97">
        <f t="shared" si="149"/>
        <v>4020</v>
      </c>
      <c r="CD97">
        <v>400</v>
      </c>
      <c r="CE97">
        <v>500</v>
      </c>
      <c r="CF97">
        <f t="shared" si="150"/>
        <v>43110</v>
      </c>
      <c r="CG97">
        <v>2500</v>
      </c>
      <c r="CH97">
        <v>0</v>
      </c>
      <c r="CI97">
        <f t="shared" si="151"/>
        <v>200</v>
      </c>
      <c r="CJ97">
        <f t="shared" si="152"/>
        <v>40410</v>
      </c>
      <c r="CK97">
        <v>33500</v>
      </c>
      <c r="CL97">
        <f t="shared" si="153"/>
        <v>4690</v>
      </c>
      <c r="CM97">
        <f t="shared" si="154"/>
        <v>4020</v>
      </c>
      <c r="CN97">
        <v>400</v>
      </c>
      <c r="CO97">
        <v>500</v>
      </c>
      <c r="CP97">
        <f t="shared" si="155"/>
        <v>43110</v>
      </c>
      <c r="CQ97">
        <v>2500</v>
      </c>
      <c r="CR97">
        <v>0</v>
      </c>
      <c r="CS97">
        <f t="shared" si="156"/>
        <v>200</v>
      </c>
      <c r="CT97">
        <f t="shared" si="157"/>
        <v>40410</v>
      </c>
      <c r="CU97">
        <v>33597</v>
      </c>
      <c r="CV97">
        <f t="shared" si="158"/>
        <v>4704</v>
      </c>
      <c r="CW97">
        <f t="shared" si="159"/>
        <v>4032</v>
      </c>
      <c r="CX97">
        <v>400</v>
      </c>
      <c r="CY97">
        <v>500</v>
      </c>
      <c r="CZ97">
        <f t="shared" si="160"/>
        <v>43233</v>
      </c>
      <c r="DA97">
        <v>2500</v>
      </c>
      <c r="DB97">
        <v>0</v>
      </c>
      <c r="DC97">
        <f t="shared" si="161"/>
        <v>200</v>
      </c>
      <c r="DD97">
        <f t="shared" si="162"/>
        <v>40533</v>
      </c>
      <c r="DE97">
        <v>34500</v>
      </c>
      <c r="DF97">
        <f t="shared" si="163"/>
        <v>4830.0000000000009</v>
      </c>
      <c r="DG97">
        <f t="shared" si="164"/>
        <v>4140</v>
      </c>
      <c r="DH97">
        <v>400</v>
      </c>
      <c r="DI97">
        <v>500</v>
      </c>
      <c r="DJ97">
        <f t="shared" si="165"/>
        <v>44370</v>
      </c>
      <c r="DK97">
        <v>2500</v>
      </c>
      <c r="DL97">
        <v>0</v>
      </c>
      <c r="DM97">
        <f t="shared" si="166"/>
        <v>200</v>
      </c>
      <c r="DN97">
        <f t="shared" si="167"/>
        <v>41670</v>
      </c>
      <c r="DO97">
        <v>34500</v>
      </c>
      <c r="DP97">
        <f t="shared" si="168"/>
        <v>4830.0000000000009</v>
      </c>
      <c r="DQ97">
        <f t="shared" si="169"/>
        <v>4140</v>
      </c>
      <c r="DR97">
        <v>400</v>
      </c>
      <c r="DS97">
        <v>500</v>
      </c>
      <c r="DT97">
        <f t="shared" si="170"/>
        <v>44370</v>
      </c>
      <c r="DU97">
        <v>2500</v>
      </c>
      <c r="DV97">
        <v>0</v>
      </c>
      <c r="DW97">
        <f t="shared" si="171"/>
        <v>200</v>
      </c>
      <c r="DX97">
        <f t="shared" si="172"/>
        <v>41670</v>
      </c>
      <c r="DY97">
        <f t="shared" si="173"/>
        <v>519623</v>
      </c>
      <c r="DZ97">
        <f t="shared" si="105"/>
        <v>2400</v>
      </c>
      <c r="EA97">
        <f t="shared" si="106"/>
        <v>50000</v>
      </c>
      <c r="EB97">
        <v>0</v>
      </c>
      <c r="EC97">
        <f t="shared" si="107"/>
        <v>467223</v>
      </c>
      <c r="ED97">
        <f t="shared" si="108"/>
        <v>28000</v>
      </c>
      <c r="EE97">
        <f t="shared" si="109"/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f t="shared" si="110"/>
        <v>28000</v>
      </c>
      <c r="EQ97">
        <f t="shared" si="174"/>
        <v>28000</v>
      </c>
      <c r="ER97">
        <f t="shared" si="111"/>
        <v>439223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f t="shared" si="175"/>
        <v>0</v>
      </c>
      <c r="FA97">
        <f t="shared" si="176"/>
        <v>439223</v>
      </c>
      <c r="FB97">
        <f t="shared" si="177"/>
        <v>9461</v>
      </c>
      <c r="FC97">
        <f t="shared" si="178"/>
        <v>0</v>
      </c>
      <c r="FD97">
        <f t="shared" si="179"/>
        <v>9461</v>
      </c>
      <c r="FE97">
        <f t="shared" si="180"/>
        <v>0</v>
      </c>
      <c r="FF97">
        <f t="shared" si="181"/>
        <v>0</v>
      </c>
      <c r="FG97">
        <f t="shared" si="182"/>
        <v>0</v>
      </c>
      <c r="FH97">
        <v>0</v>
      </c>
      <c r="FI97">
        <f t="shared" si="183"/>
        <v>0</v>
      </c>
      <c r="FJ97" t="b">
        <f t="shared" si="184"/>
        <v>1</v>
      </c>
      <c r="FK97">
        <f t="shared" ca="1" si="185"/>
        <v>809</v>
      </c>
      <c r="FL97">
        <f t="shared" ca="1" si="186"/>
        <v>520432</v>
      </c>
      <c r="FM97">
        <f t="shared" si="187"/>
        <v>75000</v>
      </c>
      <c r="FN97">
        <f t="shared" ca="1" si="188"/>
        <v>445432</v>
      </c>
      <c r="FO97">
        <f t="shared" ca="1" si="189"/>
        <v>0</v>
      </c>
      <c r="FP97">
        <f t="shared" ca="1" si="190"/>
        <v>0</v>
      </c>
      <c r="FQ97">
        <f t="shared" ca="1" si="191"/>
        <v>0</v>
      </c>
      <c r="FR97">
        <f t="shared" ca="1" si="192"/>
        <v>0</v>
      </c>
      <c r="FS97">
        <f t="shared" ca="1" si="193"/>
        <v>0</v>
      </c>
      <c r="FT97">
        <f t="shared" ca="1" si="194"/>
        <v>0</v>
      </c>
      <c r="FU97">
        <f t="shared" ca="1" si="195"/>
        <v>0</v>
      </c>
      <c r="FV97">
        <f t="shared" ca="1" si="196"/>
        <v>0</v>
      </c>
      <c r="FW97">
        <f t="shared" ca="1" si="197"/>
        <v>145432</v>
      </c>
      <c r="FX97">
        <f t="shared" ca="1" si="198"/>
        <v>7271.6</v>
      </c>
      <c r="FY97">
        <f t="shared" ca="1" si="199"/>
        <v>7272</v>
      </c>
      <c r="FZ97">
        <f t="shared" ca="1" si="200"/>
        <v>0</v>
      </c>
      <c r="GA97">
        <f t="shared" ca="1" si="201"/>
        <v>0</v>
      </c>
      <c r="GB97">
        <f t="shared" ca="1" si="202"/>
        <v>7272</v>
      </c>
      <c r="GC97">
        <f t="shared" ca="1" si="203"/>
        <v>0</v>
      </c>
      <c r="GD97" t="b">
        <f t="shared" ca="1" si="204"/>
        <v>0</v>
      </c>
      <c r="GE97">
        <f t="shared" ca="1" si="205"/>
        <v>0</v>
      </c>
      <c r="GF97">
        <f t="shared" ca="1" si="206"/>
        <v>7272</v>
      </c>
      <c r="GG97">
        <f t="shared" ca="1" si="207"/>
        <v>0</v>
      </c>
      <c r="GH97">
        <f t="shared" ca="1" si="208"/>
        <v>0</v>
      </c>
      <c r="GI97">
        <f t="shared" ca="1" si="209"/>
        <v>0</v>
      </c>
    </row>
    <row r="98" spans="1:191" x14ac:dyDescent="0.25">
      <c r="A98">
        <f>_xlfn.AGGREGATE(3,5,$B$2:B98)</f>
        <v>97</v>
      </c>
      <c r="B98" t="s">
        <v>316</v>
      </c>
      <c r="C98" t="s">
        <v>317</v>
      </c>
      <c r="D98" t="s">
        <v>788</v>
      </c>
      <c r="E98" t="s">
        <v>843</v>
      </c>
      <c r="F98">
        <v>0</v>
      </c>
      <c r="G98">
        <v>6000</v>
      </c>
      <c r="H98">
        <v>32500</v>
      </c>
      <c r="I98">
        <f t="shared" si="112"/>
        <v>3250</v>
      </c>
      <c r="J98">
        <f t="shared" si="113"/>
        <v>3900</v>
      </c>
      <c r="K98">
        <v>0</v>
      </c>
      <c r="L98">
        <v>500</v>
      </c>
      <c r="M98">
        <f t="shared" si="114"/>
        <v>40150</v>
      </c>
      <c r="N98">
        <v>3000</v>
      </c>
      <c r="O98">
        <v>0</v>
      </c>
      <c r="P98">
        <f t="shared" si="115"/>
        <v>200</v>
      </c>
      <c r="Q98">
        <f t="shared" si="116"/>
        <v>36950</v>
      </c>
      <c r="R98">
        <v>32500</v>
      </c>
      <c r="S98">
        <f t="shared" si="117"/>
        <v>3250</v>
      </c>
      <c r="T98">
        <f t="shared" si="118"/>
        <v>3900</v>
      </c>
      <c r="U98">
        <v>0</v>
      </c>
      <c r="V98">
        <v>500</v>
      </c>
      <c r="W98">
        <f t="shared" si="119"/>
        <v>40150</v>
      </c>
      <c r="X98">
        <v>3000</v>
      </c>
      <c r="Y98">
        <v>0</v>
      </c>
      <c r="Z98">
        <f t="shared" si="120"/>
        <v>200</v>
      </c>
      <c r="AA98">
        <f t="shared" si="121"/>
        <v>36950</v>
      </c>
      <c r="AB98">
        <v>32500</v>
      </c>
      <c r="AC98">
        <f t="shared" si="122"/>
        <v>4550</v>
      </c>
      <c r="AD98">
        <f t="shared" si="123"/>
        <v>3900</v>
      </c>
      <c r="AE98">
        <v>0</v>
      </c>
      <c r="AF98">
        <v>500</v>
      </c>
      <c r="AG98">
        <f t="shared" si="124"/>
        <v>41450</v>
      </c>
      <c r="AH98">
        <v>3000</v>
      </c>
      <c r="AI98">
        <v>0</v>
      </c>
      <c r="AJ98">
        <f t="shared" si="125"/>
        <v>200</v>
      </c>
      <c r="AK98">
        <f t="shared" si="126"/>
        <v>38250</v>
      </c>
      <c r="AL98">
        <v>32500</v>
      </c>
      <c r="AM98">
        <f t="shared" si="127"/>
        <v>4550</v>
      </c>
      <c r="AN98">
        <f t="shared" si="128"/>
        <v>3900</v>
      </c>
      <c r="AO98">
        <v>0</v>
      </c>
      <c r="AP98">
        <v>500</v>
      </c>
      <c r="AQ98">
        <f t="shared" si="129"/>
        <v>41450</v>
      </c>
      <c r="AR98">
        <v>3000</v>
      </c>
      <c r="AS98">
        <v>0</v>
      </c>
      <c r="AT98">
        <f t="shared" si="130"/>
        <v>200</v>
      </c>
      <c r="AU98">
        <f t="shared" si="131"/>
        <v>38250</v>
      </c>
      <c r="AV98">
        <v>34500</v>
      </c>
      <c r="AW98">
        <f t="shared" si="132"/>
        <v>4830.0000000000009</v>
      </c>
      <c r="AX98">
        <f t="shared" si="133"/>
        <v>1300</v>
      </c>
      <c r="AY98">
        <f t="shared" si="134"/>
        <v>4140</v>
      </c>
      <c r="AZ98">
        <v>0</v>
      </c>
      <c r="BA98">
        <v>500</v>
      </c>
      <c r="BB98">
        <f t="shared" si="135"/>
        <v>45270</v>
      </c>
      <c r="BC98">
        <v>3000</v>
      </c>
      <c r="BD98">
        <v>0</v>
      </c>
      <c r="BE98">
        <f t="shared" si="136"/>
        <v>200</v>
      </c>
      <c r="BF98">
        <f t="shared" si="137"/>
        <v>42070</v>
      </c>
      <c r="BG98">
        <v>34500</v>
      </c>
      <c r="BH98">
        <f t="shared" si="138"/>
        <v>4830.0000000000009</v>
      </c>
      <c r="BI98">
        <f t="shared" si="139"/>
        <v>4140</v>
      </c>
      <c r="BJ98">
        <v>0</v>
      </c>
      <c r="BK98">
        <v>500</v>
      </c>
      <c r="BL98">
        <f t="shared" si="140"/>
        <v>43970</v>
      </c>
      <c r="BM98">
        <v>3000</v>
      </c>
      <c r="BN98">
        <v>0</v>
      </c>
      <c r="BO98">
        <f t="shared" si="141"/>
        <v>200</v>
      </c>
      <c r="BP98">
        <f t="shared" si="142"/>
        <v>40770</v>
      </c>
      <c r="BQ98">
        <v>34500</v>
      </c>
      <c r="BR98">
        <f t="shared" si="143"/>
        <v>4830.0000000000009</v>
      </c>
      <c r="BS98">
        <f t="shared" si="144"/>
        <v>4140</v>
      </c>
      <c r="BT98">
        <v>0</v>
      </c>
      <c r="BU98">
        <v>500</v>
      </c>
      <c r="BV98">
        <f t="shared" si="145"/>
        <v>43970</v>
      </c>
      <c r="BW98">
        <v>3000</v>
      </c>
      <c r="BX98">
        <v>0</v>
      </c>
      <c r="BY98">
        <f t="shared" si="146"/>
        <v>200</v>
      </c>
      <c r="BZ98">
        <f t="shared" si="147"/>
        <v>40770</v>
      </c>
      <c r="CA98">
        <v>34500</v>
      </c>
      <c r="CB98">
        <f t="shared" si="148"/>
        <v>4830.0000000000009</v>
      </c>
      <c r="CC98">
        <f t="shared" si="149"/>
        <v>4140</v>
      </c>
      <c r="CD98">
        <v>0</v>
      </c>
      <c r="CE98">
        <v>500</v>
      </c>
      <c r="CF98">
        <f t="shared" si="150"/>
        <v>43970</v>
      </c>
      <c r="CG98">
        <v>3000</v>
      </c>
      <c r="CH98">
        <v>0</v>
      </c>
      <c r="CI98">
        <f t="shared" si="151"/>
        <v>200</v>
      </c>
      <c r="CJ98">
        <f t="shared" si="152"/>
        <v>40770</v>
      </c>
      <c r="CK98">
        <v>34500</v>
      </c>
      <c r="CL98">
        <f t="shared" si="153"/>
        <v>4830.0000000000009</v>
      </c>
      <c r="CM98">
        <f t="shared" si="154"/>
        <v>4140</v>
      </c>
      <c r="CN98">
        <v>0</v>
      </c>
      <c r="CO98">
        <v>500</v>
      </c>
      <c r="CP98">
        <f t="shared" si="155"/>
        <v>43970</v>
      </c>
      <c r="CQ98">
        <v>3000</v>
      </c>
      <c r="CR98">
        <v>0</v>
      </c>
      <c r="CS98">
        <f t="shared" si="156"/>
        <v>200</v>
      </c>
      <c r="CT98">
        <f t="shared" si="157"/>
        <v>40770</v>
      </c>
      <c r="CU98">
        <v>34500</v>
      </c>
      <c r="CV98">
        <f t="shared" si="158"/>
        <v>4830</v>
      </c>
      <c r="CW98">
        <f t="shared" si="159"/>
        <v>4140</v>
      </c>
      <c r="CX98">
        <v>0</v>
      </c>
      <c r="CY98">
        <v>500</v>
      </c>
      <c r="CZ98">
        <f t="shared" si="160"/>
        <v>43970</v>
      </c>
      <c r="DA98">
        <v>3000</v>
      </c>
      <c r="DB98">
        <v>0</v>
      </c>
      <c r="DC98">
        <f t="shared" si="161"/>
        <v>200</v>
      </c>
      <c r="DD98">
        <f t="shared" si="162"/>
        <v>40770</v>
      </c>
      <c r="DE98">
        <v>34500</v>
      </c>
      <c r="DF98">
        <f t="shared" si="163"/>
        <v>4830.0000000000009</v>
      </c>
      <c r="DG98">
        <f t="shared" si="164"/>
        <v>4140</v>
      </c>
      <c r="DH98">
        <v>0</v>
      </c>
      <c r="DI98">
        <v>500</v>
      </c>
      <c r="DJ98">
        <f t="shared" si="165"/>
        <v>43970</v>
      </c>
      <c r="DK98">
        <v>3000</v>
      </c>
      <c r="DL98">
        <v>0</v>
      </c>
      <c r="DM98">
        <f t="shared" si="166"/>
        <v>200</v>
      </c>
      <c r="DN98">
        <f t="shared" si="167"/>
        <v>40770</v>
      </c>
      <c r="DO98">
        <v>34500</v>
      </c>
      <c r="DP98">
        <f t="shared" si="168"/>
        <v>4830.0000000000009</v>
      </c>
      <c r="DQ98">
        <f t="shared" si="169"/>
        <v>4140</v>
      </c>
      <c r="DR98">
        <v>0</v>
      </c>
      <c r="DS98">
        <v>500</v>
      </c>
      <c r="DT98">
        <f t="shared" si="170"/>
        <v>43970</v>
      </c>
      <c r="DU98">
        <v>3000</v>
      </c>
      <c r="DV98">
        <v>0</v>
      </c>
      <c r="DW98">
        <f t="shared" si="171"/>
        <v>200</v>
      </c>
      <c r="DX98">
        <f t="shared" si="172"/>
        <v>40770</v>
      </c>
      <c r="DY98">
        <f t="shared" si="173"/>
        <v>522260</v>
      </c>
      <c r="DZ98">
        <f t="shared" si="105"/>
        <v>2400</v>
      </c>
      <c r="EA98">
        <f t="shared" si="106"/>
        <v>50000</v>
      </c>
      <c r="EB98">
        <v>0</v>
      </c>
      <c r="EC98">
        <f t="shared" si="107"/>
        <v>469860</v>
      </c>
      <c r="ED98">
        <f t="shared" si="108"/>
        <v>36000</v>
      </c>
      <c r="EE98">
        <f t="shared" si="109"/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f t="shared" si="110"/>
        <v>36000</v>
      </c>
      <c r="EQ98">
        <f t="shared" si="174"/>
        <v>36000</v>
      </c>
      <c r="ER98">
        <f t="shared" si="111"/>
        <v>433860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f t="shared" si="175"/>
        <v>0</v>
      </c>
      <c r="FA98">
        <f t="shared" si="176"/>
        <v>433860</v>
      </c>
      <c r="FB98">
        <f t="shared" si="177"/>
        <v>9193</v>
      </c>
      <c r="FC98">
        <f t="shared" si="178"/>
        <v>0</v>
      </c>
      <c r="FD98">
        <f t="shared" si="179"/>
        <v>9193</v>
      </c>
      <c r="FE98">
        <f t="shared" si="180"/>
        <v>0</v>
      </c>
      <c r="FF98">
        <f t="shared" si="181"/>
        <v>0</v>
      </c>
      <c r="FG98">
        <f t="shared" si="182"/>
        <v>0</v>
      </c>
      <c r="FH98">
        <v>0</v>
      </c>
      <c r="FI98">
        <f t="shared" si="183"/>
        <v>0</v>
      </c>
      <c r="FJ98" t="b">
        <f t="shared" si="184"/>
        <v>1</v>
      </c>
      <c r="FK98">
        <f t="shared" ca="1" si="185"/>
        <v>908</v>
      </c>
      <c r="FL98">
        <f t="shared" ca="1" si="186"/>
        <v>523168</v>
      </c>
      <c r="FM98">
        <f t="shared" si="187"/>
        <v>75000</v>
      </c>
      <c r="FN98">
        <f t="shared" ca="1" si="188"/>
        <v>448168</v>
      </c>
      <c r="FO98">
        <f t="shared" ca="1" si="189"/>
        <v>0</v>
      </c>
      <c r="FP98">
        <f t="shared" ca="1" si="190"/>
        <v>0</v>
      </c>
      <c r="FQ98">
        <f t="shared" ca="1" si="191"/>
        <v>0</v>
      </c>
      <c r="FR98">
        <f t="shared" ca="1" si="192"/>
        <v>0</v>
      </c>
      <c r="FS98">
        <f t="shared" ca="1" si="193"/>
        <v>0</v>
      </c>
      <c r="FT98">
        <f t="shared" ca="1" si="194"/>
        <v>0</v>
      </c>
      <c r="FU98">
        <f t="shared" ca="1" si="195"/>
        <v>0</v>
      </c>
      <c r="FV98">
        <f t="shared" ca="1" si="196"/>
        <v>0</v>
      </c>
      <c r="FW98">
        <f t="shared" ca="1" si="197"/>
        <v>148168</v>
      </c>
      <c r="FX98">
        <f t="shared" ca="1" si="198"/>
        <v>7408.4000000000005</v>
      </c>
      <c r="FY98">
        <f t="shared" ca="1" si="199"/>
        <v>7408</v>
      </c>
      <c r="FZ98">
        <f t="shared" ca="1" si="200"/>
        <v>0</v>
      </c>
      <c r="GA98">
        <f t="shared" ca="1" si="201"/>
        <v>0</v>
      </c>
      <c r="GB98">
        <f t="shared" ca="1" si="202"/>
        <v>7408</v>
      </c>
      <c r="GC98">
        <f t="shared" ca="1" si="203"/>
        <v>0</v>
      </c>
      <c r="GD98" t="b">
        <f t="shared" ca="1" si="204"/>
        <v>0</v>
      </c>
      <c r="GE98">
        <f t="shared" ca="1" si="205"/>
        <v>0</v>
      </c>
      <c r="GF98">
        <f t="shared" ca="1" si="206"/>
        <v>7408</v>
      </c>
      <c r="GG98">
        <f t="shared" ca="1" si="207"/>
        <v>0</v>
      </c>
      <c r="GH98">
        <f t="shared" ca="1" si="208"/>
        <v>0</v>
      </c>
      <c r="GI98">
        <f t="shared" ca="1" si="209"/>
        <v>0</v>
      </c>
    </row>
    <row r="99" spans="1:191" x14ac:dyDescent="0.25">
      <c r="A99">
        <f>_xlfn.AGGREGATE(3,5,$B$2:B99)</f>
        <v>98</v>
      </c>
      <c r="B99" t="s">
        <v>318</v>
      </c>
      <c r="C99" t="s">
        <v>319</v>
      </c>
      <c r="D99" t="s">
        <v>788</v>
      </c>
      <c r="E99" t="s">
        <v>843</v>
      </c>
      <c r="F99">
        <v>0</v>
      </c>
      <c r="G99">
        <v>6000</v>
      </c>
      <c r="H99">
        <v>27800</v>
      </c>
      <c r="I99">
        <f t="shared" si="112"/>
        <v>2780</v>
      </c>
      <c r="J99">
        <f t="shared" si="113"/>
        <v>3336</v>
      </c>
      <c r="K99">
        <v>0</v>
      </c>
      <c r="L99">
        <v>500</v>
      </c>
      <c r="M99">
        <f t="shared" si="114"/>
        <v>34416</v>
      </c>
      <c r="N99">
        <v>2000</v>
      </c>
      <c r="O99">
        <v>0</v>
      </c>
      <c r="P99">
        <f t="shared" si="115"/>
        <v>150</v>
      </c>
      <c r="Q99">
        <f t="shared" si="116"/>
        <v>32266</v>
      </c>
      <c r="R99">
        <v>27800</v>
      </c>
      <c r="S99">
        <f t="shared" si="117"/>
        <v>2780</v>
      </c>
      <c r="T99">
        <f t="shared" si="118"/>
        <v>3336</v>
      </c>
      <c r="U99">
        <v>0</v>
      </c>
      <c r="V99">
        <v>500</v>
      </c>
      <c r="W99">
        <f t="shared" si="119"/>
        <v>34416</v>
      </c>
      <c r="X99">
        <v>2000</v>
      </c>
      <c r="Y99">
        <v>0</v>
      </c>
      <c r="Z99">
        <f t="shared" si="120"/>
        <v>150</v>
      </c>
      <c r="AA99">
        <f t="shared" si="121"/>
        <v>32266</v>
      </c>
      <c r="AB99">
        <v>27800</v>
      </c>
      <c r="AC99">
        <f t="shared" si="122"/>
        <v>3892.0000000000005</v>
      </c>
      <c r="AD99">
        <f t="shared" si="123"/>
        <v>3336</v>
      </c>
      <c r="AE99">
        <v>0</v>
      </c>
      <c r="AF99">
        <v>500</v>
      </c>
      <c r="AG99">
        <f t="shared" si="124"/>
        <v>35528</v>
      </c>
      <c r="AH99">
        <v>2000</v>
      </c>
      <c r="AI99">
        <v>0</v>
      </c>
      <c r="AJ99">
        <f t="shared" si="125"/>
        <v>150</v>
      </c>
      <c r="AK99">
        <f t="shared" si="126"/>
        <v>33378</v>
      </c>
      <c r="AL99">
        <v>27800</v>
      </c>
      <c r="AM99">
        <f t="shared" si="127"/>
        <v>3892.0000000000005</v>
      </c>
      <c r="AN99">
        <f t="shared" si="128"/>
        <v>3336</v>
      </c>
      <c r="AO99">
        <v>0</v>
      </c>
      <c r="AP99">
        <v>500</v>
      </c>
      <c r="AQ99">
        <f t="shared" si="129"/>
        <v>35528</v>
      </c>
      <c r="AR99">
        <v>2000</v>
      </c>
      <c r="AS99">
        <v>0</v>
      </c>
      <c r="AT99">
        <f t="shared" si="130"/>
        <v>150</v>
      </c>
      <c r="AU99">
        <f t="shared" si="131"/>
        <v>33378</v>
      </c>
      <c r="AV99">
        <v>28600</v>
      </c>
      <c r="AW99">
        <f t="shared" si="132"/>
        <v>4004.0000000000005</v>
      </c>
      <c r="AX99">
        <f t="shared" si="133"/>
        <v>1112</v>
      </c>
      <c r="AY99">
        <f t="shared" si="134"/>
        <v>3432</v>
      </c>
      <c r="AZ99">
        <v>0</v>
      </c>
      <c r="BA99">
        <v>500</v>
      </c>
      <c r="BB99">
        <f t="shared" si="135"/>
        <v>37648</v>
      </c>
      <c r="BC99">
        <v>2000</v>
      </c>
      <c r="BD99">
        <v>0</v>
      </c>
      <c r="BE99">
        <f t="shared" si="136"/>
        <v>150</v>
      </c>
      <c r="BF99">
        <f t="shared" si="137"/>
        <v>35498</v>
      </c>
      <c r="BG99">
        <v>28600</v>
      </c>
      <c r="BH99">
        <f t="shared" si="138"/>
        <v>4004.0000000000005</v>
      </c>
      <c r="BI99">
        <f t="shared" si="139"/>
        <v>3432</v>
      </c>
      <c r="BJ99">
        <v>0</v>
      </c>
      <c r="BK99">
        <v>500</v>
      </c>
      <c r="BL99">
        <f t="shared" si="140"/>
        <v>36536</v>
      </c>
      <c r="BM99">
        <v>2000</v>
      </c>
      <c r="BN99">
        <v>0</v>
      </c>
      <c r="BO99">
        <f t="shared" si="141"/>
        <v>150</v>
      </c>
      <c r="BP99">
        <f t="shared" si="142"/>
        <v>34386</v>
      </c>
      <c r="BQ99">
        <v>28600</v>
      </c>
      <c r="BR99">
        <f t="shared" si="143"/>
        <v>4004.0000000000005</v>
      </c>
      <c r="BS99">
        <f t="shared" si="144"/>
        <v>3432</v>
      </c>
      <c r="BT99">
        <v>0</v>
      </c>
      <c r="BU99">
        <v>500</v>
      </c>
      <c r="BV99">
        <f t="shared" si="145"/>
        <v>36536</v>
      </c>
      <c r="BW99">
        <v>2000</v>
      </c>
      <c r="BX99">
        <v>0</v>
      </c>
      <c r="BY99">
        <f t="shared" si="146"/>
        <v>150</v>
      </c>
      <c r="BZ99">
        <f t="shared" si="147"/>
        <v>34386</v>
      </c>
      <c r="CA99">
        <v>28600</v>
      </c>
      <c r="CB99">
        <f t="shared" si="148"/>
        <v>4004.0000000000005</v>
      </c>
      <c r="CC99">
        <f t="shared" si="149"/>
        <v>3432</v>
      </c>
      <c r="CD99">
        <v>0</v>
      </c>
      <c r="CE99">
        <v>500</v>
      </c>
      <c r="CF99">
        <f t="shared" si="150"/>
        <v>36536</v>
      </c>
      <c r="CG99">
        <v>2000</v>
      </c>
      <c r="CH99">
        <v>0</v>
      </c>
      <c r="CI99">
        <f t="shared" si="151"/>
        <v>150</v>
      </c>
      <c r="CJ99">
        <f t="shared" si="152"/>
        <v>34386</v>
      </c>
      <c r="CK99">
        <v>28600</v>
      </c>
      <c r="CL99">
        <f t="shared" si="153"/>
        <v>4004.0000000000005</v>
      </c>
      <c r="CM99">
        <f t="shared" si="154"/>
        <v>3432</v>
      </c>
      <c r="CN99">
        <v>0</v>
      </c>
      <c r="CO99">
        <v>500</v>
      </c>
      <c r="CP99">
        <f t="shared" si="155"/>
        <v>36536</v>
      </c>
      <c r="CQ99">
        <v>2000</v>
      </c>
      <c r="CR99">
        <v>0</v>
      </c>
      <c r="CS99">
        <f t="shared" si="156"/>
        <v>150</v>
      </c>
      <c r="CT99">
        <f t="shared" si="157"/>
        <v>34386</v>
      </c>
      <c r="CU99">
        <v>28600</v>
      </c>
      <c r="CV99">
        <f t="shared" si="158"/>
        <v>4004</v>
      </c>
      <c r="CW99">
        <f t="shared" si="159"/>
        <v>3432</v>
      </c>
      <c r="CX99">
        <v>0</v>
      </c>
      <c r="CY99">
        <v>500</v>
      </c>
      <c r="CZ99">
        <f t="shared" si="160"/>
        <v>36536</v>
      </c>
      <c r="DA99">
        <v>2000</v>
      </c>
      <c r="DB99">
        <v>0</v>
      </c>
      <c r="DC99">
        <f t="shared" si="161"/>
        <v>150</v>
      </c>
      <c r="DD99">
        <f t="shared" si="162"/>
        <v>34386</v>
      </c>
      <c r="DE99">
        <v>28600</v>
      </c>
      <c r="DF99">
        <f t="shared" si="163"/>
        <v>4004.0000000000005</v>
      </c>
      <c r="DG99">
        <f t="shared" si="164"/>
        <v>3432</v>
      </c>
      <c r="DH99">
        <v>0</v>
      </c>
      <c r="DI99">
        <v>500</v>
      </c>
      <c r="DJ99">
        <f t="shared" si="165"/>
        <v>36536</v>
      </c>
      <c r="DK99">
        <v>2000</v>
      </c>
      <c r="DL99">
        <v>0</v>
      </c>
      <c r="DM99">
        <f t="shared" si="166"/>
        <v>150</v>
      </c>
      <c r="DN99">
        <f t="shared" si="167"/>
        <v>34386</v>
      </c>
      <c r="DO99">
        <v>28600</v>
      </c>
      <c r="DP99">
        <f t="shared" si="168"/>
        <v>4004.0000000000005</v>
      </c>
      <c r="DQ99">
        <f t="shared" si="169"/>
        <v>3432</v>
      </c>
      <c r="DR99">
        <v>0</v>
      </c>
      <c r="DS99">
        <v>500</v>
      </c>
      <c r="DT99">
        <f t="shared" si="170"/>
        <v>36536</v>
      </c>
      <c r="DU99">
        <v>2000</v>
      </c>
      <c r="DV99">
        <v>0</v>
      </c>
      <c r="DW99">
        <f t="shared" si="171"/>
        <v>150</v>
      </c>
      <c r="DX99">
        <f t="shared" si="172"/>
        <v>34386</v>
      </c>
      <c r="DY99">
        <f t="shared" si="173"/>
        <v>439288</v>
      </c>
      <c r="DZ99">
        <f t="shared" si="105"/>
        <v>1800</v>
      </c>
      <c r="EA99">
        <f t="shared" si="106"/>
        <v>50000</v>
      </c>
      <c r="EB99">
        <v>0</v>
      </c>
      <c r="EC99">
        <f t="shared" si="107"/>
        <v>387488</v>
      </c>
      <c r="ED99">
        <f t="shared" si="108"/>
        <v>24000</v>
      </c>
      <c r="EE99">
        <f t="shared" si="109"/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f t="shared" si="110"/>
        <v>24000</v>
      </c>
      <c r="EQ99">
        <f t="shared" si="174"/>
        <v>24000</v>
      </c>
      <c r="ER99">
        <f t="shared" si="111"/>
        <v>363488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f t="shared" si="175"/>
        <v>0</v>
      </c>
      <c r="FA99">
        <f t="shared" si="176"/>
        <v>363488</v>
      </c>
      <c r="FB99">
        <f t="shared" si="177"/>
        <v>5674</v>
      </c>
      <c r="FC99">
        <f t="shared" si="178"/>
        <v>0</v>
      </c>
      <c r="FD99">
        <f t="shared" si="179"/>
        <v>5674</v>
      </c>
      <c r="FE99">
        <f t="shared" si="180"/>
        <v>0</v>
      </c>
      <c r="FF99">
        <f t="shared" si="181"/>
        <v>0</v>
      </c>
      <c r="FG99">
        <f t="shared" si="182"/>
        <v>0</v>
      </c>
      <c r="FH99">
        <v>0</v>
      </c>
      <c r="FI99">
        <f t="shared" si="183"/>
        <v>0</v>
      </c>
      <c r="FJ99" t="b">
        <f t="shared" si="184"/>
        <v>0</v>
      </c>
      <c r="FK99">
        <f t="shared" ca="1" si="185"/>
        <v>2548</v>
      </c>
      <c r="FL99">
        <f t="shared" ca="1" si="186"/>
        <v>441836</v>
      </c>
      <c r="FM99">
        <f t="shared" si="187"/>
        <v>75000</v>
      </c>
      <c r="FN99">
        <f t="shared" ca="1" si="188"/>
        <v>366836</v>
      </c>
      <c r="FO99">
        <f t="shared" ca="1" si="189"/>
        <v>0</v>
      </c>
      <c r="FP99">
        <f t="shared" ca="1" si="190"/>
        <v>0</v>
      </c>
      <c r="FQ99">
        <f t="shared" ca="1" si="191"/>
        <v>0</v>
      </c>
      <c r="FR99">
        <f t="shared" ca="1" si="192"/>
        <v>0</v>
      </c>
      <c r="FS99">
        <f t="shared" ca="1" si="193"/>
        <v>0</v>
      </c>
      <c r="FT99">
        <f t="shared" ca="1" si="194"/>
        <v>0</v>
      </c>
      <c r="FU99">
        <f t="shared" ca="1" si="195"/>
        <v>0</v>
      </c>
      <c r="FV99">
        <f t="shared" ca="1" si="196"/>
        <v>0</v>
      </c>
      <c r="FW99">
        <f t="shared" ca="1" si="197"/>
        <v>66836</v>
      </c>
      <c r="FX99">
        <f t="shared" ca="1" si="198"/>
        <v>3341.8</v>
      </c>
      <c r="FY99">
        <f t="shared" ca="1" si="199"/>
        <v>3342</v>
      </c>
      <c r="FZ99">
        <f t="shared" ca="1" si="200"/>
        <v>0</v>
      </c>
      <c r="GA99">
        <f t="shared" ca="1" si="201"/>
        <v>0</v>
      </c>
      <c r="GB99">
        <f t="shared" ca="1" si="202"/>
        <v>3342</v>
      </c>
      <c r="GC99">
        <f t="shared" ca="1" si="203"/>
        <v>0</v>
      </c>
      <c r="GD99" t="b">
        <f t="shared" ca="1" si="204"/>
        <v>0</v>
      </c>
      <c r="GE99">
        <f t="shared" ca="1" si="205"/>
        <v>0</v>
      </c>
      <c r="GF99">
        <f t="shared" ca="1" si="206"/>
        <v>3342</v>
      </c>
      <c r="GG99">
        <f t="shared" ca="1" si="207"/>
        <v>0</v>
      </c>
      <c r="GH99">
        <f t="shared" ca="1" si="208"/>
        <v>0</v>
      </c>
      <c r="GI99">
        <f t="shared" ca="1" si="209"/>
        <v>0</v>
      </c>
    </row>
    <row r="100" spans="1:191" x14ac:dyDescent="0.25">
      <c r="A100">
        <f>_xlfn.AGGREGATE(3,5,$B$2:B100)</f>
        <v>99</v>
      </c>
      <c r="B100" t="s">
        <v>320</v>
      </c>
      <c r="C100" t="s">
        <v>872</v>
      </c>
      <c r="D100" t="s">
        <v>788</v>
      </c>
      <c r="E100" t="s">
        <v>843</v>
      </c>
      <c r="F100">
        <v>0</v>
      </c>
      <c r="G100">
        <v>6000</v>
      </c>
      <c r="H100">
        <v>32500</v>
      </c>
      <c r="I100">
        <f t="shared" si="112"/>
        <v>3250</v>
      </c>
      <c r="J100">
        <f t="shared" si="113"/>
        <v>3900</v>
      </c>
      <c r="K100">
        <v>0</v>
      </c>
      <c r="L100">
        <v>500</v>
      </c>
      <c r="M100">
        <f t="shared" si="114"/>
        <v>40150</v>
      </c>
      <c r="N100">
        <v>2000</v>
      </c>
      <c r="O100">
        <v>0</v>
      </c>
      <c r="P100">
        <f t="shared" si="115"/>
        <v>200</v>
      </c>
      <c r="Q100">
        <f t="shared" si="116"/>
        <v>37950</v>
      </c>
      <c r="R100">
        <v>32500</v>
      </c>
      <c r="S100">
        <f t="shared" si="117"/>
        <v>3250</v>
      </c>
      <c r="T100">
        <f t="shared" si="118"/>
        <v>3900</v>
      </c>
      <c r="U100">
        <v>0</v>
      </c>
      <c r="V100">
        <v>500</v>
      </c>
      <c r="W100">
        <f t="shared" si="119"/>
        <v>40150</v>
      </c>
      <c r="X100">
        <v>2000</v>
      </c>
      <c r="Y100">
        <v>0</v>
      </c>
      <c r="Z100">
        <f t="shared" si="120"/>
        <v>200</v>
      </c>
      <c r="AA100">
        <f t="shared" si="121"/>
        <v>37950</v>
      </c>
      <c r="AB100">
        <v>32500</v>
      </c>
      <c r="AC100">
        <f t="shared" si="122"/>
        <v>4550</v>
      </c>
      <c r="AD100">
        <f t="shared" si="123"/>
        <v>3900</v>
      </c>
      <c r="AE100">
        <v>0</v>
      </c>
      <c r="AF100">
        <v>500</v>
      </c>
      <c r="AG100">
        <f t="shared" si="124"/>
        <v>41450</v>
      </c>
      <c r="AH100">
        <v>2000</v>
      </c>
      <c r="AI100">
        <v>0</v>
      </c>
      <c r="AJ100">
        <f t="shared" si="125"/>
        <v>200</v>
      </c>
      <c r="AK100">
        <f t="shared" si="126"/>
        <v>39250</v>
      </c>
      <c r="AL100">
        <v>32500</v>
      </c>
      <c r="AM100">
        <f t="shared" si="127"/>
        <v>4550</v>
      </c>
      <c r="AN100">
        <f t="shared" si="128"/>
        <v>3900</v>
      </c>
      <c r="AO100">
        <v>0</v>
      </c>
      <c r="AP100">
        <v>500</v>
      </c>
      <c r="AQ100">
        <f t="shared" si="129"/>
        <v>41450</v>
      </c>
      <c r="AR100">
        <v>2000</v>
      </c>
      <c r="AS100">
        <v>0</v>
      </c>
      <c r="AT100">
        <f t="shared" si="130"/>
        <v>200</v>
      </c>
      <c r="AU100">
        <f t="shared" si="131"/>
        <v>39250</v>
      </c>
      <c r="AV100">
        <v>33500</v>
      </c>
      <c r="AW100">
        <f t="shared" si="132"/>
        <v>4690</v>
      </c>
      <c r="AX100">
        <f t="shared" si="133"/>
        <v>1300</v>
      </c>
      <c r="AY100">
        <f t="shared" si="134"/>
        <v>4020</v>
      </c>
      <c r="AZ100">
        <v>0</v>
      </c>
      <c r="BA100">
        <v>500</v>
      </c>
      <c r="BB100">
        <f t="shared" si="135"/>
        <v>44010</v>
      </c>
      <c r="BC100">
        <v>2010</v>
      </c>
      <c r="BD100">
        <v>0</v>
      </c>
      <c r="BE100">
        <f t="shared" si="136"/>
        <v>200</v>
      </c>
      <c r="BF100">
        <f t="shared" si="137"/>
        <v>41800</v>
      </c>
      <c r="BG100">
        <v>33500</v>
      </c>
      <c r="BH100">
        <f t="shared" si="138"/>
        <v>4690</v>
      </c>
      <c r="BI100">
        <f t="shared" si="139"/>
        <v>4020</v>
      </c>
      <c r="BJ100">
        <v>0</v>
      </c>
      <c r="BK100">
        <v>500</v>
      </c>
      <c r="BL100">
        <f t="shared" si="140"/>
        <v>42710</v>
      </c>
      <c r="BM100">
        <v>2010</v>
      </c>
      <c r="BN100">
        <v>0</v>
      </c>
      <c r="BO100">
        <f t="shared" si="141"/>
        <v>200</v>
      </c>
      <c r="BP100">
        <f t="shared" si="142"/>
        <v>40500</v>
      </c>
      <c r="BQ100">
        <v>33500</v>
      </c>
      <c r="BR100">
        <f t="shared" si="143"/>
        <v>4690</v>
      </c>
      <c r="BS100">
        <f t="shared" si="144"/>
        <v>4020</v>
      </c>
      <c r="BT100">
        <v>0</v>
      </c>
      <c r="BU100">
        <v>500</v>
      </c>
      <c r="BV100">
        <f t="shared" si="145"/>
        <v>42710</v>
      </c>
      <c r="BW100">
        <v>2010</v>
      </c>
      <c r="BX100">
        <v>0</v>
      </c>
      <c r="BY100">
        <f t="shared" si="146"/>
        <v>200</v>
      </c>
      <c r="BZ100">
        <f t="shared" si="147"/>
        <v>40500</v>
      </c>
      <c r="CA100">
        <v>33500</v>
      </c>
      <c r="CB100">
        <f t="shared" si="148"/>
        <v>4690</v>
      </c>
      <c r="CC100">
        <f t="shared" si="149"/>
        <v>4020</v>
      </c>
      <c r="CD100">
        <v>0</v>
      </c>
      <c r="CE100">
        <v>500</v>
      </c>
      <c r="CF100">
        <f t="shared" si="150"/>
        <v>42710</v>
      </c>
      <c r="CG100">
        <v>2010</v>
      </c>
      <c r="CH100">
        <v>0</v>
      </c>
      <c r="CI100">
        <f t="shared" si="151"/>
        <v>200</v>
      </c>
      <c r="CJ100">
        <f t="shared" si="152"/>
        <v>40500</v>
      </c>
      <c r="CK100">
        <v>33500</v>
      </c>
      <c r="CL100">
        <f t="shared" si="153"/>
        <v>4690</v>
      </c>
      <c r="CM100">
        <f t="shared" si="154"/>
        <v>4020</v>
      </c>
      <c r="CN100">
        <v>0</v>
      </c>
      <c r="CO100">
        <v>500</v>
      </c>
      <c r="CP100">
        <f t="shared" si="155"/>
        <v>42710</v>
      </c>
      <c r="CQ100">
        <v>2010</v>
      </c>
      <c r="CR100">
        <v>0</v>
      </c>
      <c r="CS100">
        <f t="shared" si="156"/>
        <v>200</v>
      </c>
      <c r="CT100">
        <f t="shared" si="157"/>
        <v>40500</v>
      </c>
      <c r="CU100">
        <v>33500</v>
      </c>
      <c r="CV100">
        <f t="shared" si="158"/>
        <v>4690</v>
      </c>
      <c r="CW100">
        <f t="shared" si="159"/>
        <v>4020</v>
      </c>
      <c r="CX100">
        <v>0</v>
      </c>
      <c r="CY100">
        <v>500</v>
      </c>
      <c r="CZ100">
        <f t="shared" si="160"/>
        <v>42710</v>
      </c>
      <c r="DA100">
        <v>2500</v>
      </c>
      <c r="DB100">
        <v>0</v>
      </c>
      <c r="DC100">
        <f t="shared" si="161"/>
        <v>200</v>
      </c>
      <c r="DD100">
        <f t="shared" si="162"/>
        <v>40010</v>
      </c>
      <c r="DE100">
        <v>33500</v>
      </c>
      <c r="DF100">
        <f t="shared" si="163"/>
        <v>4690</v>
      </c>
      <c r="DG100">
        <f t="shared" si="164"/>
        <v>4020</v>
      </c>
      <c r="DH100">
        <v>0</v>
      </c>
      <c r="DI100">
        <v>500</v>
      </c>
      <c r="DJ100">
        <f t="shared" si="165"/>
        <v>42710</v>
      </c>
      <c r="DK100">
        <v>2500</v>
      </c>
      <c r="DL100">
        <v>0</v>
      </c>
      <c r="DM100">
        <f t="shared" si="166"/>
        <v>200</v>
      </c>
      <c r="DN100">
        <f t="shared" si="167"/>
        <v>40010</v>
      </c>
      <c r="DO100">
        <v>33500</v>
      </c>
      <c r="DP100">
        <f t="shared" si="168"/>
        <v>4690</v>
      </c>
      <c r="DQ100">
        <f t="shared" si="169"/>
        <v>4020</v>
      </c>
      <c r="DR100">
        <v>0</v>
      </c>
      <c r="DS100">
        <v>500</v>
      </c>
      <c r="DT100">
        <f t="shared" si="170"/>
        <v>42710</v>
      </c>
      <c r="DU100">
        <v>2500</v>
      </c>
      <c r="DV100">
        <v>0</v>
      </c>
      <c r="DW100">
        <f t="shared" si="171"/>
        <v>200</v>
      </c>
      <c r="DX100">
        <f t="shared" si="172"/>
        <v>40010</v>
      </c>
      <c r="DY100">
        <f t="shared" si="173"/>
        <v>512180</v>
      </c>
      <c r="DZ100">
        <f t="shared" si="105"/>
        <v>2400</v>
      </c>
      <c r="EA100">
        <f t="shared" si="106"/>
        <v>50000</v>
      </c>
      <c r="EB100">
        <v>0</v>
      </c>
      <c r="EC100">
        <f t="shared" si="107"/>
        <v>459780</v>
      </c>
      <c r="ED100">
        <f t="shared" si="108"/>
        <v>25550</v>
      </c>
      <c r="EE100">
        <f t="shared" si="109"/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f t="shared" si="110"/>
        <v>25550</v>
      </c>
      <c r="EQ100">
        <f t="shared" si="174"/>
        <v>25550</v>
      </c>
      <c r="ER100">
        <f t="shared" si="111"/>
        <v>434230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f t="shared" si="175"/>
        <v>0</v>
      </c>
      <c r="FA100">
        <f t="shared" si="176"/>
        <v>434230</v>
      </c>
      <c r="FB100">
        <f t="shared" si="177"/>
        <v>9212</v>
      </c>
      <c r="FC100">
        <f t="shared" si="178"/>
        <v>0</v>
      </c>
      <c r="FD100">
        <f t="shared" si="179"/>
        <v>9212</v>
      </c>
      <c r="FE100">
        <f t="shared" si="180"/>
        <v>0</v>
      </c>
      <c r="FF100">
        <f t="shared" si="181"/>
        <v>0</v>
      </c>
      <c r="FG100">
        <f t="shared" si="182"/>
        <v>0</v>
      </c>
      <c r="FH100">
        <v>0</v>
      </c>
      <c r="FI100">
        <f t="shared" si="183"/>
        <v>0</v>
      </c>
      <c r="FJ100" t="b">
        <f t="shared" si="184"/>
        <v>1</v>
      </c>
      <c r="FK100">
        <f t="shared" ca="1" si="185"/>
        <v>731</v>
      </c>
      <c r="FL100">
        <f t="shared" ca="1" si="186"/>
        <v>512911</v>
      </c>
      <c r="FM100">
        <f t="shared" si="187"/>
        <v>75000</v>
      </c>
      <c r="FN100">
        <f t="shared" ca="1" si="188"/>
        <v>437911</v>
      </c>
      <c r="FO100">
        <f t="shared" ca="1" si="189"/>
        <v>0</v>
      </c>
      <c r="FP100">
        <f t="shared" ca="1" si="190"/>
        <v>0</v>
      </c>
      <c r="FQ100">
        <f t="shared" ca="1" si="191"/>
        <v>0</v>
      </c>
      <c r="FR100">
        <f t="shared" ca="1" si="192"/>
        <v>0</v>
      </c>
      <c r="FS100">
        <f t="shared" ca="1" si="193"/>
        <v>0</v>
      </c>
      <c r="FT100">
        <f t="shared" ca="1" si="194"/>
        <v>0</v>
      </c>
      <c r="FU100">
        <f t="shared" ca="1" si="195"/>
        <v>0</v>
      </c>
      <c r="FV100">
        <f t="shared" ca="1" si="196"/>
        <v>0</v>
      </c>
      <c r="FW100">
        <f t="shared" ca="1" si="197"/>
        <v>137911</v>
      </c>
      <c r="FX100">
        <f t="shared" ca="1" si="198"/>
        <v>6895.55</v>
      </c>
      <c r="FY100">
        <f t="shared" ca="1" si="199"/>
        <v>6896</v>
      </c>
      <c r="FZ100">
        <f t="shared" ca="1" si="200"/>
        <v>0</v>
      </c>
      <c r="GA100">
        <f t="shared" ca="1" si="201"/>
        <v>0</v>
      </c>
      <c r="GB100">
        <f t="shared" ca="1" si="202"/>
        <v>6896</v>
      </c>
      <c r="GC100">
        <f t="shared" ca="1" si="203"/>
        <v>0</v>
      </c>
      <c r="GD100" t="b">
        <f t="shared" ca="1" si="204"/>
        <v>0</v>
      </c>
      <c r="GE100">
        <f t="shared" ca="1" si="205"/>
        <v>0</v>
      </c>
      <c r="GF100">
        <f t="shared" ca="1" si="206"/>
        <v>6896</v>
      </c>
      <c r="GG100">
        <f t="shared" ca="1" si="207"/>
        <v>0</v>
      </c>
      <c r="GH100">
        <f t="shared" ca="1" si="208"/>
        <v>0</v>
      </c>
      <c r="GI100">
        <f t="shared" ca="1" si="209"/>
        <v>0</v>
      </c>
    </row>
    <row r="101" spans="1:191" x14ac:dyDescent="0.25">
      <c r="A101">
        <f>_xlfn.AGGREGATE(3,5,$B$2:B101)</f>
        <v>100</v>
      </c>
      <c r="B101" t="s">
        <v>321</v>
      </c>
      <c r="C101" t="s">
        <v>322</v>
      </c>
      <c r="D101" t="s">
        <v>788</v>
      </c>
      <c r="E101" t="s">
        <v>843</v>
      </c>
      <c r="F101">
        <v>0</v>
      </c>
      <c r="G101">
        <v>6000</v>
      </c>
      <c r="H101">
        <v>26200</v>
      </c>
      <c r="I101">
        <f t="shared" si="112"/>
        <v>2620</v>
      </c>
      <c r="J101">
        <f t="shared" si="113"/>
        <v>3144</v>
      </c>
      <c r="K101">
        <v>0</v>
      </c>
      <c r="L101">
        <v>500</v>
      </c>
      <c r="M101">
        <f t="shared" si="114"/>
        <v>32464</v>
      </c>
      <c r="N101">
        <v>2000</v>
      </c>
      <c r="O101">
        <v>0</v>
      </c>
      <c r="P101">
        <f t="shared" si="115"/>
        <v>150</v>
      </c>
      <c r="Q101">
        <f t="shared" si="116"/>
        <v>30314</v>
      </c>
      <c r="R101">
        <v>26200</v>
      </c>
      <c r="S101">
        <f t="shared" si="117"/>
        <v>2620</v>
      </c>
      <c r="T101">
        <f t="shared" si="118"/>
        <v>3144</v>
      </c>
      <c r="U101">
        <v>0</v>
      </c>
      <c r="V101">
        <v>500</v>
      </c>
      <c r="W101">
        <f t="shared" si="119"/>
        <v>32464</v>
      </c>
      <c r="X101">
        <v>2000</v>
      </c>
      <c r="Y101">
        <v>0</v>
      </c>
      <c r="Z101">
        <f t="shared" si="120"/>
        <v>150</v>
      </c>
      <c r="AA101">
        <f t="shared" si="121"/>
        <v>30314</v>
      </c>
      <c r="AB101">
        <v>26200</v>
      </c>
      <c r="AC101">
        <f t="shared" si="122"/>
        <v>3668.0000000000005</v>
      </c>
      <c r="AD101">
        <f t="shared" si="123"/>
        <v>3144</v>
      </c>
      <c r="AE101">
        <v>0</v>
      </c>
      <c r="AF101">
        <v>500</v>
      </c>
      <c r="AG101">
        <f t="shared" si="124"/>
        <v>33512</v>
      </c>
      <c r="AH101">
        <v>2000</v>
      </c>
      <c r="AI101">
        <v>0</v>
      </c>
      <c r="AJ101">
        <f t="shared" si="125"/>
        <v>150</v>
      </c>
      <c r="AK101">
        <f t="shared" si="126"/>
        <v>31362</v>
      </c>
      <c r="AL101">
        <v>26200</v>
      </c>
      <c r="AM101">
        <f t="shared" si="127"/>
        <v>3668.0000000000005</v>
      </c>
      <c r="AN101">
        <f t="shared" si="128"/>
        <v>3144</v>
      </c>
      <c r="AO101">
        <v>0</v>
      </c>
      <c r="AP101">
        <v>500</v>
      </c>
      <c r="AQ101">
        <f t="shared" si="129"/>
        <v>33512</v>
      </c>
      <c r="AR101">
        <v>2000</v>
      </c>
      <c r="AS101">
        <v>0</v>
      </c>
      <c r="AT101">
        <f t="shared" si="130"/>
        <v>150</v>
      </c>
      <c r="AU101">
        <f t="shared" si="131"/>
        <v>31362</v>
      </c>
      <c r="AV101">
        <v>27000</v>
      </c>
      <c r="AW101">
        <f t="shared" si="132"/>
        <v>3780.0000000000005</v>
      </c>
      <c r="AX101">
        <f t="shared" si="133"/>
        <v>1048</v>
      </c>
      <c r="AY101">
        <f t="shared" si="134"/>
        <v>3240</v>
      </c>
      <c r="AZ101">
        <v>0</v>
      </c>
      <c r="BA101">
        <v>500</v>
      </c>
      <c r="BB101">
        <f t="shared" si="135"/>
        <v>35568</v>
      </c>
      <c r="BC101">
        <v>2000</v>
      </c>
      <c r="BD101">
        <v>0</v>
      </c>
      <c r="BE101">
        <f t="shared" si="136"/>
        <v>150</v>
      </c>
      <c r="BF101">
        <f t="shared" si="137"/>
        <v>33418</v>
      </c>
      <c r="BG101">
        <v>27000</v>
      </c>
      <c r="BH101">
        <f t="shared" si="138"/>
        <v>3780.0000000000005</v>
      </c>
      <c r="BI101">
        <f t="shared" si="139"/>
        <v>3240</v>
      </c>
      <c r="BJ101">
        <v>0</v>
      </c>
      <c r="BK101">
        <v>500</v>
      </c>
      <c r="BL101">
        <f t="shared" si="140"/>
        <v>34520</v>
      </c>
      <c r="BM101">
        <v>2000</v>
      </c>
      <c r="BN101">
        <v>0</v>
      </c>
      <c r="BO101">
        <f t="shared" si="141"/>
        <v>150</v>
      </c>
      <c r="BP101">
        <f t="shared" si="142"/>
        <v>32370</v>
      </c>
      <c r="BQ101">
        <v>27000</v>
      </c>
      <c r="BR101">
        <f t="shared" si="143"/>
        <v>3780.0000000000005</v>
      </c>
      <c r="BS101">
        <f t="shared" si="144"/>
        <v>3240</v>
      </c>
      <c r="BT101">
        <v>0</v>
      </c>
      <c r="BU101">
        <v>500</v>
      </c>
      <c r="BV101">
        <f t="shared" si="145"/>
        <v>34520</v>
      </c>
      <c r="BW101">
        <v>2000</v>
      </c>
      <c r="BX101">
        <v>0</v>
      </c>
      <c r="BY101">
        <f t="shared" si="146"/>
        <v>150</v>
      </c>
      <c r="BZ101">
        <f t="shared" si="147"/>
        <v>32370</v>
      </c>
      <c r="CA101">
        <v>27000</v>
      </c>
      <c r="CB101">
        <f t="shared" si="148"/>
        <v>3780.0000000000005</v>
      </c>
      <c r="CC101">
        <f t="shared" si="149"/>
        <v>3240</v>
      </c>
      <c r="CD101">
        <v>0</v>
      </c>
      <c r="CE101">
        <v>500</v>
      </c>
      <c r="CF101">
        <f t="shared" si="150"/>
        <v>34520</v>
      </c>
      <c r="CG101">
        <v>2000</v>
      </c>
      <c r="CH101">
        <v>0</v>
      </c>
      <c r="CI101">
        <f t="shared" si="151"/>
        <v>150</v>
      </c>
      <c r="CJ101">
        <f t="shared" si="152"/>
        <v>32370</v>
      </c>
      <c r="CK101">
        <v>27000</v>
      </c>
      <c r="CL101">
        <f t="shared" si="153"/>
        <v>3780.0000000000005</v>
      </c>
      <c r="CM101">
        <f t="shared" si="154"/>
        <v>3240</v>
      </c>
      <c r="CN101">
        <v>0</v>
      </c>
      <c r="CO101">
        <v>500</v>
      </c>
      <c r="CP101">
        <f t="shared" si="155"/>
        <v>34520</v>
      </c>
      <c r="CQ101">
        <v>2000</v>
      </c>
      <c r="CR101">
        <v>0</v>
      </c>
      <c r="CS101">
        <f t="shared" si="156"/>
        <v>150</v>
      </c>
      <c r="CT101">
        <f t="shared" si="157"/>
        <v>32370</v>
      </c>
      <c r="CU101">
        <v>27000</v>
      </c>
      <c r="CV101">
        <f t="shared" si="158"/>
        <v>3780</v>
      </c>
      <c r="CW101">
        <f t="shared" si="159"/>
        <v>3240</v>
      </c>
      <c r="CX101">
        <v>0</v>
      </c>
      <c r="CY101">
        <v>500</v>
      </c>
      <c r="CZ101">
        <f t="shared" si="160"/>
        <v>34520</v>
      </c>
      <c r="DA101">
        <v>2000</v>
      </c>
      <c r="DB101">
        <v>0</v>
      </c>
      <c r="DC101">
        <f t="shared" si="161"/>
        <v>150</v>
      </c>
      <c r="DD101">
        <f t="shared" si="162"/>
        <v>32370</v>
      </c>
      <c r="DE101">
        <v>27000</v>
      </c>
      <c r="DF101">
        <f t="shared" si="163"/>
        <v>3780.0000000000005</v>
      </c>
      <c r="DG101">
        <f t="shared" si="164"/>
        <v>3240</v>
      </c>
      <c r="DH101">
        <v>0</v>
      </c>
      <c r="DI101">
        <v>500</v>
      </c>
      <c r="DJ101">
        <f t="shared" si="165"/>
        <v>34520</v>
      </c>
      <c r="DK101">
        <v>2000</v>
      </c>
      <c r="DL101">
        <v>0</v>
      </c>
      <c r="DM101">
        <f t="shared" si="166"/>
        <v>150</v>
      </c>
      <c r="DN101">
        <f t="shared" si="167"/>
        <v>32370</v>
      </c>
      <c r="DO101">
        <v>27000</v>
      </c>
      <c r="DP101">
        <f t="shared" si="168"/>
        <v>3780.0000000000005</v>
      </c>
      <c r="DQ101">
        <f t="shared" si="169"/>
        <v>3240</v>
      </c>
      <c r="DR101">
        <v>0</v>
      </c>
      <c r="DS101">
        <v>500</v>
      </c>
      <c r="DT101">
        <f t="shared" si="170"/>
        <v>34520</v>
      </c>
      <c r="DU101">
        <v>2000</v>
      </c>
      <c r="DV101">
        <v>0</v>
      </c>
      <c r="DW101">
        <f t="shared" si="171"/>
        <v>150</v>
      </c>
      <c r="DX101">
        <f t="shared" si="172"/>
        <v>32370</v>
      </c>
      <c r="DY101">
        <f t="shared" si="173"/>
        <v>415160</v>
      </c>
      <c r="DZ101">
        <f t="shared" si="105"/>
        <v>1800</v>
      </c>
      <c r="EA101">
        <f t="shared" si="106"/>
        <v>50000</v>
      </c>
      <c r="EB101">
        <v>0</v>
      </c>
      <c r="EC101">
        <f t="shared" si="107"/>
        <v>363360</v>
      </c>
      <c r="ED101">
        <f t="shared" si="108"/>
        <v>24000</v>
      </c>
      <c r="EE101">
        <f t="shared" si="109"/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f t="shared" si="110"/>
        <v>24000</v>
      </c>
      <c r="EQ101">
        <f t="shared" si="174"/>
        <v>24000</v>
      </c>
      <c r="ER101">
        <f t="shared" si="111"/>
        <v>339360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f t="shared" si="175"/>
        <v>0</v>
      </c>
      <c r="FA101">
        <f t="shared" si="176"/>
        <v>339360</v>
      </c>
      <c r="FB101">
        <f t="shared" si="177"/>
        <v>4468</v>
      </c>
      <c r="FC101">
        <f t="shared" si="178"/>
        <v>0</v>
      </c>
      <c r="FD101">
        <f t="shared" si="179"/>
        <v>4468</v>
      </c>
      <c r="FE101">
        <f t="shared" si="180"/>
        <v>0</v>
      </c>
      <c r="FF101">
        <f t="shared" si="181"/>
        <v>0</v>
      </c>
      <c r="FG101">
        <f t="shared" si="182"/>
        <v>0</v>
      </c>
      <c r="FH101">
        <v>0</v>
      </c>
      <c r="FI101">
        <f t="shared" si="183"/>
        <v>0</v>
      </c>
      <c r="FJ101" t="b">
        <f t="shared" si="184"/>
        <v>0</v>
      </c>
      <c r="FK101">
        <f t="shared" ca="1" si="185"/>
        <v>2215</v>
      </c>
      <c r="FL101">
        <f t="shared" ca="1" si="186"/>
        <v>417375</v>
      </c>
      <c r="FM101">
        <f t="shared" si="187"/>
        <v>75000</v>
      </c>
      <c r="FN101">
        <f t="shared" ca="1" si="188"/>
        <v>342375</v>
      </c>
      <c r="FO101">
        <f t="shared" ca="1" si="189"/>
        <v>0</v>
      </c>
      <c r="FP101">
        <f t="shared" ca="1" si="190"/>
        <v>0</v>
      </c>
      <c r="FQ101">
        <f t="shared" ca="1" si="191"/>
        <v>0</v>
      </c>
      <c r="FR101">
        <f t="shared" ca="1" si="192"/>
        <v>0</v>
      </c>
      <c r="FS101">
        <f t="shared" ca="1" si="193"/>
        <v>0</v>
      </c>
      <c r="FT101">
        <f t="shared" ca="1" si="194"/>
        <v>0</v>
      </c>
      <c r="FU101">
        <f t="shared" ca="1" si="195"/>
        <v>0</v>
      </c>
      <c r="FV101">
        <f t="shared" ca="1" si="196"/>
        <v>0</v>
      </c>
      <c r="FW101">
        <f t="shared" ca="1" si="197"/>
        <v>42375</v>
      </c>
      <c r="FX101">
        <f t="shared" ca="1" si="198"/>
        <v>2118.75</v>
      </c>
      <c r="FY101">
        <f t="shared" ca="1" si="199"/>
        <v>2119</v>
      </c>
      <c r="FZ101">
        <f t="shared" ca="1" si="200"/>
        <v>0</v>
      </c>
      <c r="GA101">
        <f t="shared" ca="1" si="201"/>
        <v>0</v>
      </c>
      <c r="GB101">
        <f t="shared" ca="1" si="202"/>
        <v>2119</v>
      </c>
      <c r="GC101">
        <f t="shared" ca="1" si="203"/>
        <v>0</v>
      </c>
      <c r="GD101" t="b">
        <f t="shared" ca="1" si="204"/>
        <v>0</v>
      </c>
      <c r="GE101">
        <f t="shared" ca="1" si="205"/>
        <v>0</v>
      </c>
      <c r="GF101">
        <f t="shared" ca="1" si="206"/>
        <v>2119</v>
      </c>
      <c r="GG101">
        <f t="shared" ca="1" si="207"/>
        <v>0</v>
      </c>
      <c r="GH101">
        <f t="shared" ca="1" si="208"/>
        <v>0</v>
      </c>
      <c r="GI101">
        <f t="shared" ca="1" si="209"/>
        <v>0</v>
      </c>
    </row>
    <row r="102" spans="1:191" x14ac:dyDescent="0.25">
      <c r="A102">
        <f>_xlfn.AGGREGATE(3,5,$B$2:B102)</f>
        <v>101</v>
      </c>
      <c r="B102" t="s">
        <v>323</v>
      </c>
      <c r="C102" t="s">
        <v>324</v>
      </c>
      <c r="D102" t="s">
        <v>789</v>
      </c>
      <c r="E102" t="s">
        <v>843</v>
      </c>
      <c r="F102">
        <v>0</v>
      </c>
      <c r="G102">
        <v>0</v>
      </c>
      <c r="H102">
        <v>47300</v>
      </c>
      <c r="I102">
        <f t="shared" si="112"/>
        <v>4730</v>
      </c>
      <c r="J102">
        <f t="shared" si="113"/>
        <v>5676</v>
      </c>
      <c r="K102">
        <v>400</v>
      </c>
      <c r="L102">
        <v>500</v>
      </c>
      <c r="M102">
        <f t="shared" si="114"/>
        <v>58606</v>
      </c>
      <c r="N102">
        <v>5000</v>
      </c>
      <c r="O102">
        <v>60</v>
      </c>
      <c r="P102">
        <f t="shared" si="115"/>
        <v>200</v>
      </c>
      <c r="Q102">
        <f t="shared" si="116"/>
        <v>53346</v>
      </c>
      <c r="R102">
        <v>47300</v>
      </c>
      <c r="S102">
        <f t="shared" si="117"/>
        <v>4730</v>
      </c>
      <c r="T102">
        <f t="shared" si="118"/>
        <v>5676</v>
      </c>
      <c r="U102">
        <v>400</v>
      </c>
      <c r="V102">
        <v>500</v>
      </c>
      <c r="W102">
        <f t="shared" si="119"/>
        <v>58606</v>
      </c>
      <c r="X102">
        <v>5000</v>
      </c>
      <c r="Y102">
        <v>60</v>
      </c>
      <c r="Z102">
        <f t="shared" si="120"/>
        <v>200</v>
      </c>
      <c r="AA102">
        <f t="shared" si="121"/>
        <v>53346</v>
      </c>
      <c r="AB102">
        <v>47300</v>
      </c>
      <c r="AC102">
        <f t="shared" si="122"/>
        <v>6622.0000000000009</v>
      </c>
      <c r="AD102">
        <f t="shared" si="123"/>
        <v>5676</v>
      </c>
      <c r="AE102">
        <v>400</v>
      </c>
      <c r="AF102">
        <v>500</v>
      </c>
      <c r="AG102">
        <f t="shared" si="124"/>
        <v>60498</v>
      </c>
      <c r="AH102">
        <v>5000</v>
      </c>
      <c r="AI102">
        <v>60</v>
      </c>
      <c r="AJ102">
        <f t="shared" si="125"/>
        <v>200</v>
      </c>
      <c r="AK102">
        <f t="shared" si="126"/>
        <v>55238</v>
      </c>
      <c r="AL102">
        <v>47300</v>
      </c>
      <c r="AM102">
        <f t="shared" si="127"/>
        <v>6622.0000000000009</v>
      </c>
      <c r="AN102">
        <f t="shared" si="128"/>
        <v>5676</v>
      </c>
      <c r="AO102">
        <v>400</v>
      </c>
      <c r="AP102">
        <v>500</v>
      </c>
      <c r="AQ102">
        <f t="shared" si="129"/>
        <v>60498</v>
      </c>
      <c r="AR102">
        <v>5000</v>
      </c>
      <c r="AS102">
        <v>60</v>
      </c>
      <c r="AT102">
        <f t="shared" si="130"/>
        <v>200</v>
      </c>
      <c r="AU102">
        <f t="shared" si="131"/>
        <v>55238</v>
      </c>
      <c r="AV102">
        <v>48700</v>
      </c>
      <c r="AW102">
        <f t="shared" si="132"/>
        <v>6818.0000000000009</v>
      </c>
      <c r="AX102">
        <f t="shared" si="133"/>
        <v>1892</v>
      </c>
      <c r="AY102">
        <f t="shared" si="134"/>
        <v>5844</v>
      </c>
      <c r="AZ102">
        <v>400</v>
      </c>
      <c r="BA102">
        <v>500</v>
      </c>
      <c r="BB102">
        <f t="shared" si="135"/>
        <v>64154</v>
      </c>
      <c r="BC102">
        <v>5000</v>
      </c>
      <c r="BD102">
        <v>60</v>
      </c>
      <c r="BE102">
        <f t="shared" si="136"/>
        <v>200</v>
      </c>
      <c r="BF102">
        <f t="shared" si="137"/>
        <v>58894</v>
      </c>
      <c r="BG102">
        <v>48700</v>
      </c>
      <c r="BH102">
        <f t="shared" si="138"/>
        <v>6818.0000000000009</v>
      </c>
      <c r="BI102">
        <f t="shared" si="139"/>
        <v>5844</v>
      </c>
      <c r="BJ102">
        <v>400</v>
      </c>
      <c r="BK102">
        <v>500</v>
      </c>
      <c r="BL102">
        <f t="shared" si="140"/>
        <v>62262</v>
      </c>
      <c r="BM102">
        <v>5000</v>
      </c>
      <c r="BN102">
        <v>60</v>
      </c>
      <c r="BO102">
        <f t="shared" si="141"/>
        <v>200</v>
      </c>
      <c r="BP102">
        <f t="shared" si="142"/>
        <v>57002</v>
      </c>
      <c r="BQ102">
        <v>48700</v>
      </c>
      <c r="BR102">
        <f t="shared" si="143"/>
        <v>6818.0000000000009</v>
      </c>
      <c r="BS102">
        <f t="shared" si="144"/>
        <v>5844</v>
      </c>
      <c r="BT102">
        <v>400</v>
      </c>
      <c r="BU102">
        <v>500</v>
      </c>
      <c r="BV102">
        <f t="shared" si="145"/>
        <v>62262</v>
      </c>
      <c r="BW102">
        <v>5000</v>
      </c>
      <c r="BX102">
        <v>60</v>
      </c>
      <c r="BY102">
        <f t="shared" si="146"/>
        <v>200</v>
      </c>
      <c r="BZ102">
        <f t="shared" si="147"/>
        <v>57002</v>
      </c>
      <c r="CA102">
        <v>48700</v>
      </c>
      <c r="CB102">
        <f t="shared" si="148"/>
        <v>6818.0000000000009</v>
      </c>
      <c r="CC102">
        <f t="shared" si="149"/>
        <v>5844</v>
      </c>
      <c r="CD102">
        <v>400</v>
      </c>
      <c r="CE102">
        <v>500</v>
      </c>
      <c r="CF102">
        <f t="shared" si="150"/>
        <v>62262</v>
      </c>
      <c r="CG102">
        <v>5000</v>
      </c>
      <c r="CH102">
        <v>60</v>
      </c>
      <c r="CI102">
        <f t="shared" si="151"/>
        <v>200</v>
      </c>
      <c r="CJ102">
        <f t="shared" si="152"/>
        <v>57002</v>
      </c>
      <c r="CK102">
        <v>48700</v>
      </c>
      <c r="CL102">
        <f t="shared" si="153"/>
        <v>6818.0000000000009</v>
      </c>
      <c r="CM102">
        <f t="shared" si="154"/>
        <v>5844</v>
      </c>
      <c r="CN102">
        <v>400</v>
      </c>
      <c r="CO102">
        <v>500</v>
      </c>
      <c r="CP102">
        <f t="shared" si="155"/>
        <v>62262</v>
      </c>
      <c r="CQ102">
        <v>5000</v>
      </c>
      <c r="CR102">
        <v>60</v>
      </c>
      <c r="CS102">
        <f t="shared" si="156"/>
        <v>200</v>
      </c>
      <c r="CT102">
        <f t="shared" si="157"/>
        <v>57002</v>
      </c>
      <c r="CU102">
        <v>48700</v>
      </c>
      <c r="CV102">
        <f t="shared" si="158"/>
        <v>6818</v>
      </c>
      <c r="CW102">
        <f t="shared" si="159"/>
        <v>5844</v>
      </c>
      <c r="CX102">
        <v>400</v>
      </c>
      <c r="CY102">
        <v>500</v>
      </c>
      <c r="CZ102">
        <f t="shared" si="160"/>
        <v>62262</v>
      </c>
      <c r="DA102">
        <v>5000</v>
      </c>
      <c r="DB102">
        <v>60</v>
      </c>
      <c r="DC102">
        <f t="shared" si="161"/>
        <v>200</v>
      </c>
      <c r="DD102">
        <f t="shared" si="162"/>
        <v>57002</v>
      </c>
      <c r="DE102">
        <v>48700</v>
      </c>
      <c r="DF102">
        <f t="shared" si="163"/>
        <v>6818.0000000000009</v>
      </c>
      <c r="DG102">
        <f t="shared" si="164"/>
        <v>5844</v>
      </c>
      <c r="DH102">
        <v>400</v>
      </c>
      <c r="DI102">
        <v>500</v>
      </c>
      <c r="DJ102">
        <f t="shared" si="165"/>
        <v>62262</v>
      </c>
      <c r="DK102">
        <v>5000</v>
      </c>
      <c r="DL102">
        <v>60</v>
      </c>
      <c r="DM102">
        <f t="shared" si="166"/>
        <v>200</v>
      </c>
      <c r="DN102">
        <f t="shared" si="167"/>
        <v>57002</v>
      </c>
      <c r="DO102">
        <v>48700</v>
      </c>
      <c r="DP102">
        <f t="shared" si="168"/>
        <v>6818.0000000000009</v>
      </c>
      <c r="DQ102">
        <f t="shared" si="169"/>
        <v>5844</v>
      </c>
      <c r="DR102">
        <v>400</v>
      </c>
      <c r="DS102">
        <v>500</v>
      </c>
      <c r="DT102">
        <f t="shared" si="170"/>
        <v>62262</v>
      </c>
      <c r="DU102">
        <v>5000</v>
      </c>
      <c r="DV102">
        <v>60</v>
      </c>
      <c r="DW102">
        <f t="shared" si="171"/>
        <v>200</v>
      </c>
      <c r="DX102">
        <f t="shared" si="172"/>
        <v>57002</v>
      </c>
      <c r="DY102">
        <f t="shared" si="173"/>
        <v>738196</v>
      </c>
      <c r="DZ102">
        <f t="shared" si="105"/>
        <v>2400</v>
      </c>
      <c r="EA102">
        <f t="shared" si="106"/>
        <v>50000</v>
      </c>
      <c r="EB102">
        <v>0</v>
      </c>
      <c r="EC102">
        <f t="shared" si="107"/>
        <v>685796</v>
      </c>
      <c r="ED102">
        <f t="shared" si="108"/>
        <v>60000</v>
      </c>
      <c r="EE102">
        <f t="shared" si="109"/>
        <v>720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f t="shared" si="110"/>
        <v>60720</v>
      </c>
      <c r="EQ102">
        <f t="shared" si="174"/>
        <v>60720</v>
      </c>
      <c r="ER102">
        <f t="shared" si="111"/>
        <v>625076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f t="shared" si="175"/>
        <v>0</v>
      </c>
      <c r="FA102">
        <f t="shared" si="176"/>
        <v>625076</v>
      </c>
      <c r="FB102">
        <f t="shared" si="177"/>
        <v>12500</v>
      </c>
      <c r="FC102">
        <f t="shared" si="178"/>
        <v>25015</v>
      </c>
      <c r="FD102">
        <f t="shared" si="179"/>
        <v>37515</v>
      </c>
      <c r="FE102">
        <f t="shared" si="180"/>
        <v>37515</v>
      </c>
      <c r="FF102">
        <f t="shared" si="181"/>
        <v>1500.6000000000001</v>
      </c>
      <c r="FG102">
        <f t="shared" si="182"/>
        <v>39016</v>
      </c>
      <c r="FH102">
        <v>0</v>
      </c>
      <c r="FI102">
        <f t="shared" si="183"/>
        <v>39016</v>
      </c>
      <c r="FJ102" t="b">
        <f t="shared" si="184"/>
        <v>1</v>
      </c>
      <c r="FK102">
        <f t="shared" ca="1" si="185"/>
        <v>942</v>
      </c>
      <c r="FL102">
        <f t="shared" ca="1" si="186"/>
        <v>739138</v>
      </c>
      <c r="FM102">
        <f t="shared" si="187"/>
        <v>75000</v>
      </c>
      <c r="FN102">
        <f t="shared" ca="1" si="188"/>
        <v>664138</v>
      </c>
      <c r="FO102">
        <f t="shared" ca="1" si="189"/>
        <v>0</v>
      </c>
      <c r="FP102">
        <f t="shared" ca="1" si="190"/>
        <v>0</v>
      </c>
      <c r="FQ102">
        <f t="shared" ca="1" si="191"/>
        <v>0</v>
      </c>
      <c r="FR102">
        <f t="shared" ca="1" si="192"/>
        <v>0</v>
      </c>
      <c r="FS102">
        <f t="shared" ca="1" si="193"/>
        <v>0</v>
      </c>
      <c r="FT102">
        <f t="shared" ca="1" si="194"/>
        <v>0</v>
      </c>
      <c r="FU102">
        <f t="shared" ca="1" si="195"/>
        <v>0</v>
      </c>
      <c r="FV102">
        <f t="shared" ca="1" si="196"/>
        <v>0</v>
      </c>
      <c r="FW102">
        <f t="shared" ca="1" si="197"/>
        <v>364138</v>
      </c>
      <c r="FX102">
        <f t="shared" ca="1" si="198"/>
        <v>18206.900000000001</v>
      </c>
      <c r="FY102">
        <f t="shared" ca="1" si="199"/>
        <v>18207</v>
      </c>
      <c r="FZ102">
        <f t="shared" ca="1" si="200"/>
        <v>0</v>
      </c>
      <c r="GA102">
        <f t="shared" ca="1" si="201"/>
        <v>0</v>
      </c>
      <c r="GB102">
        <f t="shared" ca="1" si="202"/>
        <v>18207</v>
      </c>
      <c r="GC102">
        <f t="shared" ca="1" si="203"/>
        <v>0</v>
      </c>
      <c r="GD102" t="b">
        <f t="shared" ca="1" si="204"/>
        <v>0</v>
      </c>
      <c r="GE102">
        <f t="shared" ca="1" si="205"/>
        <v>0</v>
      </c>
      <c r="GF102">
        <f t="shared" ca="1" si="206"/>
        <v>18207</v>
      </c>
      <c r="GG102">
        <f t="shared" ca="1" si="207"/>
        <v>0</v>
      </c>
      <c r="GH102">
        <f t="shared" ca="1" si="208"/>
        <v>0</v>
      </c>
      <c r="GI102">
        <f t="shared" ca="1" si="209"/>
        <v>0</v>
      </c>
    </row>
    <row r="103" spans="1:191" x14ac:dyDescent="0.25">
      <c r="A103">
        <f>_xlfn.AGGREGATE(3,5,$B$2:B103)</f>
        <v>102</v>
      </c>
      <c r="B103" t="s">
        <v>325</v>
      </c>
      <c r="C103" t="s">
        <v>326</v>
      </c>
      <c r="D103" t="s">
        <v>789</v>
      </c>
      <c r="E103" t="s">
        <v>843</v>
      </c>
      <c r="F103">
        <v>0</v>
      </c>
      <c r="G103">
        <v>6000</v>
      </c>
      <c r="H103">
        <v>30700</v>
      </c>
      <c r="I103">
        <f t="shared" si="112"/>
        <v>3070</v>
      </c>
      <c r="J103">
        <f t="shared" si="113"/>
        <v>3684</v>
      </c>
      <c r="K103">
        <v>0</v>
      </c>
      <c r="L103">
        <v>500</v>
      </c>
      <c r="M103">
        <f t="shared" si="114"/>
        <v>37954</v>
      </c>
      <c r="N103">
        <v>2000</v>
      </c>
      <c r="O103">
        <v>0</v>
      </c>
      <c r="P103">
        <f t="shared" si="115"/>
        <v>150</v>
      </c>
      <c r="Q103">
        <f t="shared" si="116"/>
        <v>35804</v>
      </c>
      <c r="R103">
        <v>30700</v>
      </c>
      <c r="S103">
        <f t="shared" si="117"/>
        <v>3070</v>
      </c>
      <c r="T103">
        <f t="shared" si="118"/>
        <v>3684</v>
      </c>
      <c r="U103">
        <v>0</v>
      </c>
      <c r="V103">
        <v>500</v>
      </c>
      <c r="W103">
        <f t="shared" si="119"/>
        <v>37954</v>
      </c>
      <c r="X103">
        <v>2000</v>
      </c>
      <c r="Y103">
        <v>0</v>
      </c>
      <c r="Z103">
        <f t="shared" si="120"/>
        <v>150</v>
      </c>
      <c r="AA103">
        <f t="shared" si="121"/>
        <v>35804</v>
      </c>
      <c r="AB103">
        <v>30700</v>
      </c>
      <c r="AC103">
        <f t="shared" si="122"/>
        <v>4298</v>
      </c>
      <c r="AD103">
        <f t="shared" si="123"/>
        <v>3684</v>
      </c>
      <c r="AE103">
        <v>0</v>
      </c>
      <c r="AF103">
        <v>500</v>
      </c>
      <c r="AG103">
        <f t="shared" si="124"/>
        <v>39182</v>
      </c>
      <c r="AH103">
        <v>2000</v>
      </c>
      <c r="AI103">
        <v>0</v>
      </c>
      <c r="AJ103">
        <f t="shared" si="125"/>
        <v>150</v>
      </c>
      <c r="AK103">
        <f t="shared" si="126"/>
        <v>37032</v>
      </c>
      <c r="AL103">
        <v>30700</v>
      </c>
      <c r="AM103">
        <f t="shared" si="127"/>
        <v>4298</v>
      </c>
      <c r="AN103">
        <f t="shared" si="128"/>
        <v>3684</v>
      </c>
      <c r="AO103">
        <v>0</v>
      </c>
      <c r="AP103">
        <v>500</v>
      </c>
      <c r="AQ103">
        <f t="shared" si="129"/>
        <v>39182</v>
      </c>
      <c r="AR103">
        <v>2000</v>
      </c>
      <c r="AS103">
        <v>0</v>
      </c>
      <c r="AT103">
        <f t="shared" si="130"/>
        <v>150</v>
      </c>
      <c r="AU103">
        <f t="shared" si="131"/>
        <v>37032</v>
      </c>
      <c r="AV103">
        <v>31600</v>
      </c>
      <c r="AW103">
        <f t="shared" si="132"/>
        <v>4424</v>
      </c>
      <c r="AX103">
        <f t="shared" si="133"/>
        <v>1228</v>
      </c>
      <c r="AY103">
        <f t="shared" si="134"/>
        <v>3792</v>
      </c>
      <c r="AZ103">
        <v>0</v>
      </c>
      <c r="BA103">
        <v>500</v>
      </c>
      <c r="BB103">
        <f t="shared" si="135"/>
        <v>41544</v>
      </c>
      <c r="BC103">
        <v>2000</v>
      </c>
      <c r="BD103">
        <v>0</v>
      </c>
      <c r="BE103">
        <f t="shared" si="136"/>
        <v>200</v>
      </c>
      <c r="BF103">
        <f t="shared" si="137"/>
        <v>39344</v>
      </c>
      <c r="BG103">
        <v>31600</v>
      </c>
      <c r="BH103">
        <f t="shared" si="138"/>
        <v>4424</v>
      </c>
      <c r="BI103">
        <f t="shared" si="139"/>
        <v>3792</v>
      </c>
      <c r="BJ103">
        <v>0</v>
      </c>
      <c r="BK103">
        <v>500</v>
      </c>
      <c r="BL103">
        <f t="shared" si="140"/>
        <v>40316</v>
      </c>
      <c r="BM103">
        <v>2000</v>
      </c>
      <c r="BN103">
        <v>0</v>
      </c>
      <c r="BO103">
        <f t="shared" si="141"/>
        <v>200</v>
      </c>
      <c r="BP103">
        <f t="shared" si="142"/>
        <v>38116</v>
      </c>
      <c r="BQ103">
        <v>31600</v>
      </c>
      <c r="BR103">
        <f t="shared" si="143"/>
        <v>4424</v>
      </c>
      <c r="BS103">
        <f t="shared" si="144"/>
        <v>3792</v>
      </c>
      <c r="BT103">
        <v>0</v>
      </c>
      <c r="BU103">
        <v>500</v>
      </c>
      <c r="BV103">
        <f t="shared" si="145"/>
        <v>40316</v>
      </c>
      <c r="BW103">
        <v>2000</v>
      </c>
      <c r="BX103">
        <v>0</v>
      </c>
      <c r="BY103">
        <f t="shared" si="146"/>
        <v>200</v>
      </c>
      <c r="BZ103">
        <f t="shared" si="147"/>
        <v>38116</v>
      </c>
      <c r="CA103">
        <v>31600</v>
      </c>
      <c r="CB103">
        <f t="shared" si="148"/>
        <v>4424</v>
      </c>
      <c r="CC103">
        <f t="shared" si="149"/>
        <v>3792</v>
      </c>
      <c r="CD103">
        <v>0</v>
      </c>
      <c r="CE103">
        <v>500</v>
      </c>
      <c r="CF103">
        <f t="shared" si="150"/>
        <v>40316</v>
      </c>
      <c r="CG103">
        <v>2000</v>
      </c>
      <c r="CH103">
        <v>0</v>
      </c>
      <c r="CI103">
        <f t="shared" si="151"/>
        <v>200</v>
      </c>
      <c r="CJ103">
        <f t="shared" si="152"/>
        <v>38116</v>
      </c>
      <c r="CK103">
        <v>31600</v>
      </c>
      <c r="CL103">
        <f t="shared" si="153"/>
        <v>4424</v>
      </c>
      <c r="CM103">
        <f t="shared" si="154"/>
        <v>3792</v>
      </c>
      <c r="CN103">
        <v>0</v>
      </c>
      <c r="CO103">
        <v>500</v>
      </c>
      <c r="CP103">
        <f t="shared" si="155"/>
        <v>40316</v>
      </c>
      <c r="CQ103">
        <v>2000</v>
      </c>
      <c r="CR103">
        <v>0</v>
      </c>
      <c r="CS103">
        <f t="shared" si="156"/>
        <v>200</v>
      </c>
      <c r="CT103">
        <f t="shared" si="157"/>
        <v>38116</v>
      </c>
      <c r="CU103">
        <v>31600</v>
      </c>
      <c r="CV103">
        <f t="shared" si="158"/>
        <v>4424</v>
      </c>
      <c r="CW103">
        <f t="shared" si="159"/>
        <v>3792</v>
      </c>
      <c r="CX103">
        <v>0</v>
      </c>
      <c r="CY103">
        <v>500</v>
      </c>
      <c r="CZ103">
        <f t="shared" si="160"/>
        <v>40316</v>
      </c>
      <c r="DA103">
        <v>2000</v>
      </c>
      <c r="DB103">
        <v>0</v>
      </c>
      <c r="DC103">
        <f t="shared" si="161"/>
        <v>200</v>
      </c>
      <c r="DD103">
        <f t="shared" si="162"/>
        <v>38116</v>
      </c>
      <c r="DE103">
        <v>31600</v>
      </c>
      <c r="DF103">
        <f t="shared" si="163"/>
        <v>4424</v>
      </c>
      <c r="DG103">
        <f t="shared" si="164"/>
        <v>3792</v>
      </c>
      <c r="DH103">
        <v>0</v>
      </c>
      <c r="DI103">
        <v>500</v>
      </c>
      <c r="DJ103">
        <f t="shared" si="165"/>
        <v>40316</v>
      </c>
      <c r="DK103">
        <v>2000</v>
      </c>
      <c r="DL103">
        <v>0</v>
      </c>
      <c r="DM103">
        <f t="shared" si="166"/>
        <v>200</v>
      </c>
      <c r="DN103">
        <f t="shared" si="167"/>
        <v>38116</v>
      </c>
      <c r="DO103">
        <v>31600</v>
      </c>
      <c r="DP103">
        <f t="shared" si="168"/>
        <v>4424</v>
      </c>
      <c r="DQ103">
        <f t="shared" si="169"/>
        <v>3792</v>
      </c>
      <c r="DR103">
        <v>0</v>
      </c>
      <c r="DS103">
        <v>500</v>
      </c>
      <c r="DT103">
        <f t="shared" si="170"/>
        <v>40316</v>
      </c>
      <c r="DU103">
        <v>2000</v>
      </c>
      <c r="DV103">
        <v>0</v>
      </c>
      <c r="DW103">
        <f t="shared" si="171"/>
        <v>200</v>
      </c>
      <c r="DX103">
        <f t="shared" si="172"/>
        <v>38116</v>
      </c>
      <c r="DY103">
        <f t="shared" si="173"/>
        <v>484028</v>
      </c>
      <c r="DZ103">
        <f t="shared" si="105"/>
        <v>2200</v>
      </c>
      <c r="EA103">
        <f t="shared" si="106"/>
        <v>50000</v>
      </c>
      <c r="EB103">
        <v>0</v>
      </c>
      <c r="EC103">
        <f t="shared" si="107"/>
        <v>431828</v>
      </c>
      <c r="ED103">
        <f t="shared" si="108"/>
        <v>24000</v>
      </c>
      <c r="EE103">
        <f t="shared" si="109"/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f t="shared" si="110"/>
        <v>24000</v>
      </c>
      <c r="EQ103">
        <f t="shared" si="174"/>
        <v>24000</v>
      </c>
      <c r="ER103">
        <f t="shared" si="111"/>
        <v>407828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f t="shared" si="175"/>
        <v>0</v>
      </c>
      <c r="FA103">
        <f t="shared" si="176"/>
        <v>407828</v>
      </c>
      <c r="FB103">
        <f t="shared" si="177"/>
        <v>7891</v>
      </c>
      <c r="FC103">
        <f t="shared" si="178"/>
        <v>0</v>
      </c>
      <c r="FD103">
        <f t="shared" si="179"/>
        <v>7891</v>
      </c>
      <c r="FE103">
        <f t="shared" si="180"/>
        <v>0</v>
      </c>
      <c r="FF103">
        <f t="shared" si="181"/>
        <v>0</v>
      </c>
      <c r="FG103">
        <f t="shared" si="182"/>
        <v>0</v>
      </c>
      <c r="FH103">
        <v>0</v>
      </c>
      <c r="FI103">
        <f t="shared" si="183"/>
        <v>0</v>
      </c>
      <c r="FJ103" t="b">
        <f t="shared" si="184"/>
        <v>0</v>
      </c>
      <c r="FK103">
        <f t="shared" ca="1" si="185"/>
        <v>2100</v>
      </c>
      <c r="FL103">
        <f t="shared" ca="1" si="186"/>
        <v>486128</v>
      </c>
      <c r="FM103">
        <f t="shared" si="187"/>
        <v>75000</v>
      </c>
      <c r="FN103">
        <f t="shared" ca="1" si="188"/>
        <v>411128</v>
      </c>
      <c r="FO103">
        <f t="shared" ca="1" si="189"/>
        <v>0</v>
      </c>
      <c r="FP103">
        <f t="shared" ca="1" si="190"/>
        <v>0</v>
      </c>
      <c r="FQ103">
        <f t="shared" ca="1" si="191"/>
        <v>0</v>
      </c>
      <c r="FR103">
        <f t="shared" ca="1" si="192"/>
        <v>0</v>
      </c>
      <c r="FS103">
        <f t="shared" ca="1" si="193"/>
        <v>0</v>
      </c>
      <c r="FT103">
        <f t="shared" ca="1" si="194"/>
        <v>0</v>
      </c>
      <c r="FU103">
        <f t="shared" ca="1" si="195"/>
        <v>0</v>
      </c>
      <c r="FV103">
        <f t="shared" ca="1" si="196"/>
        <v>0</v>
      </c>
      <c r="FW103">
        <f t="shared" ca="1" si="197"/>
        <v>111128</v>
      </c>
      <c r="FX103">
        <f t="shared" ca="1" si="198"/>
        <v>5556.4000000000005</v>
      </c>
      <c r="FY103">
        <f t="shared" ca="1" si="199"/>
        <v>5556</v>
      </c>
      <c r="FZ103">
        <f t="shared" ca="1" si="200"/>
        <v>0</v>
      </c>
      <c r="GA103">
        <f t="shared" ca="1" si="201"/>
        <v>0</v>
      </c>
      <c r="GB103">
        <f t="shared" ca="1" si="202"/>
        <v>5556</v>
      </c>
      <c r="GC103">
        <f t="shared" ca="1" si="203"/>
        <v>0</v>
      </c>
      <c r="GD103" t="b">
        <f t="shared" ca="1" si="204"/>
        <v>0</v>
      </c>
      <c r="GE103">
        <f t="shared" ca="1" si="205"/>
        <v>0</v>
      </c>
      <c r="GF103">
        <f t="shared" ca="1" si="206"/>
        <v>5556</v>
      </c>
      <c r="GG103">
        <f t="shared" ca="1" si="207"/>
        <v>0</v>
      </c>
      <c r="GH103">
        <f t="shared" ca="1" si="208"/>
        <v>0</v>
      </c>
      <c r="GI103">
        <f t="shared" ca="1" si="209"/>
        <v>0</v>
      </c>
    </row>
    <row r="104" spans="1:191" x14ac:dyDescent="0.25">
      <c r="A104">
        <f>_xlfn.AGGREGATE(3,5,$B$2:B104)</f>
        <v>103</v>
      </c>
      <c r="B104" t="s">
        <v>327</v>
      </c>
      <c r="C104" t="s">
        <v>328</v>
      </c>
      <c r="D104" t="s">
        <v>789</v>
      </c>
      <c r="E104" t="s">
        <v>843</v>
      </c>
      <c r="F104">
        <v>0</v>
      </c>
      <c r="G104">
        <v>6000</v>
      </c>
      <c r="H104">
        <v>24700</v>
      </c>
      <c r="I104">
        <f t="shared" ref="I104" si="210">H104*0.1</f>
        <v>2470</v>
      </c>
      <c r="J104">
        <f t="shared" ref="J104" si="211">H104*0.12</f>
        <v>2964</v>
      </c>
      <c r="K104">
        <v>0</v>
      </c>
      <c r="L104">
        <v>500</v>
      </c>
      <c r="M104">
        <f t="shared" ref="M104" si="212">SUM(H104:L104)</f>
        <v>30634</v>
      </c>
      <c r="N104">
        <v>0</v>
      </c>
      <c r="O104">
        <v>0</v>
      </c>
      <c r="P104">
        <f t="shared" ref="P104" si="213">IF($F104=50000,0,IF(M104&gt;40000,200,IF(M104&gt;25000,150,IF(M104&gt;15000,130,IF(M104&gt;10000,110,0)))))</f>
        <v>150</v>
      </c>
      <c r="Q104">
        <f t="shared" ref="Q104" si="214">M104-N104-O104-P104</f>
        <v>30484</v>
      </c>
      <c r="R104">
        <v>24700</v>
      </c>
      <c r="S104">
        <f t="shared" ref="S104" si="215">R104*0.1</f>
        <v>2470</v>
      </c>
      <c r="T104">
        <f t="shared" ref="T104" si="216">R104*0.12</f>
        <v>2964</v>
      </c>
      <c r="U104">
        <v>0</v>
      </c>
      <c r="V104">
        <v>500</v>
      </c>
      <c r="W104">
        <f t="shared" ref="W104" si="217">SUM(R104:V104)</f>
        <v>30634</v>
      </c>
      <c r="X104">
        <v>0</v>
      </c>
      <c r="Y104">
        <v>0</v>
      </c>
      <c r="Z104">
        <f t="shared" ref="Z104" si="218">IF($F104=50000,0,IF(W104&gt;40000,200,IF(W104&gt;25000,150,IF(W104&gt;15000,130,IF(W104&gt;10000,110,0)))))</f>
        <v>150</v>
      </c>
      <c r="AA104">
        <f t="shared" ref="AA104" si="219">W104-X104-Y104-Z104</f>
        <v>30484</v>
      </c>
      <c r="AB104">
        <v>24700</v>
      </c>
      <c r="AC104">
        <f t="shared" ref="AC104" si="220">AB104*0.14</f>
        <v>3458.0000000000005</v>
      </c>
      <c r="AD104">
        <f t="shared" ref="AD104" si="221">AB104*0.12</f>
        <v>2964</v>
      </c>
      <c r="AE104">
        <v>0</v>
      </c>
      <c r="AF104">
        <v>500</v>
      </c>
      <c r="AG104">
        <f t="shared" ref="AG104" si="222">SUM(AB104:AF104)</f>
        <v>31622</v>
      </c>
      <c r="AH104">
        <v>0</v>
      </c>
      <c r="AI104">
        <v>0</v>
      </c>
      <c r="AJ104">
        <f t="shared" ref="AJ104" si="223">IF($F104=50000,0,IF(AG104&gt;40000,200,IF(AG104&gt;25000,150,IF(AG104&gt;15000,130,IF(AG104&gt;10000,110,0)))))</f>
        <v>150</v>
      </c>
      <c r="AK104">
        <f t="shared" ref="AK104" si="224">AG104-AH104-AI104-AJ104</f>
        <v>31472</v>
      </c>
      <c r="AL104">
        <v>24700</v>
      </c>
      <c r="AM104">
        <f t="shared" ref="AM104" si="225">AL104*0.14</f>
        <v>3458.0000000000005</v>
      </c>
      <c r="AN104">
        <f t="shared" ref="AN104" si="226">AL104*0.12</f>
        <v>2964</v>
      </c>
      <c r="AO104">
        <v>0</v>
      </c>
      <c r="AP104">
        <v>500</v>
      </c>
      <c r="AQ104">
        <f t="shared" ref="AQ104" si="227">SUM(AL104:AP104)</f>
        <v>31622</v>
      </c>
      <c r="AR104">
        <v>0</v>
      </c>
      <c r="AS104">
        <v>0</v>
      </c>
      <c r="AT104">
        <f t="shared" ref="AT104" si="228">IF($F104=50000,0,IF(AQ104&gt;40000,200,IF(AQ104&gt;25000,150,IF(AQ104&gt;15000,130,IF(AQ104&gt;10000,110,0)))))</f>
        <v>150</v>
      </c>
      <c r="AU104">
        <f t="shared" ref="AU104" si="229">AQ104-AR104-AS104-AT104</f>
        <v>31472</v>
      </c>
      <c r="AV104">
        <v>25400</v>
      </c>
      <c r="AW104">
        <f t="shared" ref="AW104" si="230">AV104*0.14</f>
        <v>3556.0000000000005</v>
      </c>
      <c r="AX104">
        <f t="shared" ref="AX104" si="231">R104*0.04</f>
        <v>988</v>
      </c>
      <c r="AY104">
        <f t="shared" ref="AY104" si="232">AV104*0.12</f>
        <v>3048</v>
      </c>
      <c r="AZ104">
        <v>0</v>
      </c>
      <c r="BA104">
        <v>500</v>
      </c>
      <c r="BB104">
        <f t="shared" ref="BB104" si="233">SUM(AV104:BA104)</f>
        <v>33492</v>
      </c>
      <c r="BC104">
        <v>0</v>
      </c>
      <c r="BD104">
        <v>0</v>
      </c>
      <c r="BE104">
        <f t="shared" ref="BE104" si="234">IF($F104=50000,0,IF(BB104&gt;40000,200,IF(BB104&gt;25000,150,IF(BB104&gt;15000,130,IF(BB104&gt;10000,110,0)))))</f>
        <v>150</v>
      </c>
      <c r="BF104">
        <f t="shared" ref="BF104" si="235">BB104-BC104-BD104-BE104</f>
        <v>33342</v>
      </c>
      <c r="BG104">
        <v>25400</v>
      </c>
      <c r="BH104">
        <f t="shared" ref="BH104" si="236">BG104*0.14</f>
        <v>3556.0000000000005</v>
      </c>
      <c r="BI104">
        <f t="shared" ref="BI104" si="237">BG104*0.12</f>
        <v>3048</v>
      </c>
      <c r="BJ104">
        <v>0</v>
      </c>
      <c r="BK104">
        <v>500</v>
      </c>
      <c r="BL104">
        <f t="shared" ref="BL104" si="238">SUM(BG104:BK104)</f>
        <v>32504</v>
      </c>
      <c r="BM104">
        <v>2000</v>
      </c>
      <c r="BN104">
        <v>0</v>
      </c>
      <c r="BO104">
        <f t="shared" ref="BO104" si="239">IF($F104=50000,0,IF(BL104&gt;40000,200,IF(BL104&gt;25000,150,IF(BL104&gt;15000,130,IF(BL104&gt;10000,110,0)))))</f>
        <v>150</v>
      </c>
      <c r="BP104">
        <f t="shared" ref="BP104" si="240">BL104-BM104-BN104-BO104</f>
        <v>30354</v>
      </c>
      <c r="BQ104">
        <v>25400</v>
      </c>
      <c r="BR104">
        <f t="shared" ref="BR104" si="241">BQ104*0.14</f>
        <v>3556.0000000000005</v>
      </c>
      <c r="BS104">
        <f t="shared" ref="BS104" si="242">BQ104*0.12</f>
        <v>3048</v>
      </c>
      <c r="BT104">
        <v>0</v>
      </c>
      <c r="BU104">
        <v>500</v>
      </c>
      <c r="BV104">
        <f t="shared" ref="BV104" si="243">SUM(BQ104:BU104)</f>
        <v>32504</v>
      </c>
      <c r="BW104">
        <v>2000</v>
      </c>
      <c r="BX104">
        <v>0</v>
      </c>
      <c r="BY104">
        <f t="shared" ref="BY104" si="244">IF($F104=50000,0,IF(BV104&gt;40000,200,IF(BV104&gt;25000,150,IF(BV104&gt;15000,130,IF(BV104&gt;10000,110,0)))))</f>
        <v>150</v>
      </c>
      <c r="BZ104">
        <f t="shared" ref="BZ104" si="245">BV104-BW104-BX104-BY104</f>
        <v>30354</v>
      </c>
      <c r="CA104">
        <v>25400</v>
      </c>
      <c r="CB104">
        <f t="shared" ref="CB104" si="246">CA104*0.14</f>
        <v>3556.0000000000005</v>
      </c>
      <c r="CC104">
        <f t="shared" ref="CC104" si="247">CA104*0.12</f>
        <v>3048</v>
      </c>
      <c r="CD104">
        <v>0</v>
      </c>
      <c r="CE104">
        <v>500</v>
      </c>
      <c r="CF104">
        <f t="shared" ref="CF104" si="248">SUM(CA104:CE104)</f>
        <v>32504</v>
      </c>
      <c r="CG104">
        <v>2000</v>
      </c>
      <c r="CH104">
        <v>0</v>
      </c>
      <c r="CI104">
        <f t="shared" ref="CI104" si="249">IF($F104=50000,0,IF(CF104&gt;40000,200,IF(CF104&gt;25000,150,IF(CF104&gt;15000,130,IF(CF104&gt;10000,110,0)))))</f>
        <v>150</v>
      </c>
      <c r="CJ104">
        <f t="shared" ref="CJ104" si="250">CF104-CG104-CH104-CI104</f>
        <v>30354</v>
      </c>
      <c r="CK104">
        <v>25400</v>
      </c>
      <c r="CL104">
        <f t="shared" ref="CL104" si="251">CK104*0.14</f>
        <v>3556.0000000000005</v>
      </c>
      <c r="CM104">
        <f t="shared" ref="CM104" si="252">CK104*0.12</f>
        <v>3048</v>
      </c>
      <c r="CN104">
        <v>0</v>
      </c>
      <c r="CO104">
        <v>500</v>
      </c>
      <c r="CP104">
        <f t="shared" ref="CP104" si="253">SUM(CK104:CO104)</f>
        <v>32504</v>
      </c>
      <c r="CQ104">
        <v>2000</v>
      </c>
      <c r="CR104">
        <v>0</v>
      </c>
      <c r="CS104">
        <f t="shared" ref="CS104" si="254">IF($F104=50000,0,IF(CP104&gt;40000,200,IF(CP104&gt;25000,150,IF(CP104&gt;15000,130,IF(CP104&gt;10000,110,0)))))</f>
        <v>150</v>
      </c>
      <c r="CT104">
        <f t="shared" ref="CT104" si="255">CP104-CQ104-CR104-CS104</f>
        <v>30354</v>
      </c>
      <c r="CU104">
        <v>25400</v>
      </c>
      <c r="CV104">
        <f t="shared" ref="CV104" si="256">ROUND(CU104*0.14,0)</f>
        <v>3556</v>
      </c>
      <c r="CW104">
        <f t="shared" ref="CW104" si="257">ROUND(CU104*0.12,0)</f>
        <v>3048</v>
      </c>
      <c r="CX104">
        <v>0</v>
      </c>
      <c r="CY104">
        <v>500</v>
      </c>
      <c r="CZ104">
        <f t="shared" ref="CZ104" si="258">SUM(CU104:CY104)</f>
        <v>32504</v>
      </c>
      <c r="DA104">
        <v>2000</v>
      </c>
      <c r="DB104">
        <v>0</v>
      </c>
      <c r="DC104">
        <f t="shared" ref="DC104" si="259">IF($F104=50000,0,IF(CZ104&gt;40000,200,IF(CZ104&gt;25000,150,IF(CZ104&gt;15000,130,IF(CZ104&gt;10000,110,0)))))</f>
        <v>150</v>
      </c>
      <c r="DD104">
        <f t="shared" ref="DD104" si="260">CZ104-DA104-DB104-DC104</f>
        <v>30354</v>
      </c>
      <c r="DE104">
        <v>25400</v>
      </c>
      <c r="DF104">
        <f t="shared" ref="DF104" si="261">DE104*0.14</f>
        <v>3556.0000000000005</v>
      </c>
      <c r="DG104">
        <f t="shared" ref="DG104" si="262">DE104*0.12</f>
        <v>3048</v>
      </c>
      <c r="DH104">
        <v>0</v>
      </c>
      <c r="DI104">
        <v>500</v>
      </c>
      <c r="DJ104">
        <f t="shared" ref="DJ104" si="263">SUM(DE104:DI104)</f>
        <v>32504</v>
      </c>
      <c r="DK104">
        <v>2000</v>
      </c>
      <c r="DL104">
        <v>0</v>
      </c>
      <c r="DM104">
        <f t="shared" ref="DM104" si="264">IF($F104=50000,0,IF(DJ104&gt;40000,200,IF(DJ104&gt;25000,150,IF(DJ104&gt;15000,130,IF(DJ104&gt;10000,110,0)))))</f>
        <v>150</v>
      </c>
      <c r="DN104">
        <f t="shared" ref="DN104" si="265">DJ104-DK104-DL104-DM104</f>
        <v>30354</v>
      </c>
      <c r="DO104">
        <v>25400</v>
      </c>
      <c r="DP104">
        <f t="shared" ref="DP104" si="266">DO104*0.14</f>
        <v>3556.0000000000005</v>
      </c>
      <c r="DQ104">
        <f t="shared" ref="DQ104" si="267">DO104*0.12</f>
        <v>3048</v>
      </c>
      <c r="DR104">
        <v>0</v>
      </c>
      <c r="DS104">
        <v>500</v>
      </c>
      <c r="DT104">
        <f t="shared" ref="DT104" si="268">SUM(DO104:DS104)</f>
        <v>32504</v>
      </c>
      <c r="DU104">
        <v>2000</v>
      </c>
      <c r="DV104">
        <v>0</v>
      </c>
      <c r="DW104">
        <f t="shared" ref="DW104" si="269">IF($F104=50000,0,IF(DT104&gt;40000,200,IF(DT104&gt;25000,150,IF(DT104&gt;15000,130,IF(DT104&gt;10000,110,0)))))</f>
        <v>150</v>
      </c>
      <c r="DX104">
        <f t="shared" ref="DX104" si="270">DT104-DU104-DV104-DW104</f>
        <v>30354</v>
      </c>
      <c r="DY104">
        <f t="shared" ref="DY104" si="271">DT104+DJ104+CZ104+CP104+CF104+BV104+BL104+BB104+AQ104+AG104+W104+M104+G104</f>
        <v>391532</v>
      </c>
      <c r="DZ104">
        <f t="shared" ref="DZ104" si="272">DW104+DM104+DC104+CS104+CI104+BY104+BO104+BE104+AT104+AJ104+Z104+P104</f>
        <v>1800</v>
      </c>
      <c r="EA104">
        <f t="shared" ref="EA104" si="273">IF(DY104&gt;0,50000,0)</f>
        <v>50000</v>
      </c>
      <c r="EB104">
        <v>0</v>
      </c>
      <c r="EC104">
        <f t="shared" ref="EC104" si="274">DY104-DZ104-EA104</f>
        <v>339732</v>
      </c>
      <c r="ED104">
        <f t="shared" ref="ED104" si="275">DU104+DK104+DA104+CQ104+CG104+BW104+BM104+BC104+AR104+AH104+X104+N104</f>
        <v>14000</v>
      </c>
      <c r="EE104">
        <f t="shared" ref="EE104" si="276">DV104+DL104+DB104+CR104+CH104+BX104+BN104+BD104+AS104+AI104+Y104+O104</f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f t="shared" ref="EP104" si="277">SUM(ED104:EO104)</f>
        <v>14000</v>
      </c>
      <c r="EQ104">
        <f t="shared" ref="EQ104" si="278">IF(EP104&gt;=150000,150000,EP104)</f>
        <v>14000</v>
      </c>
      <c r="ER104">
        <f t="shared" ref="ER104" si="279">EC104-EQ104</f>
        <v>325732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f t="shared" ref="EZ104" si="280">SUM(ES104:EY104)+F104</f>
        <v>0</v>
      </c>
      <c r="FA104">
        <f t="shared" ref="FA104" si="281">ER104-EZ104</f>
        <v>325732</v>
      </c>
      <c r="FB104">
        <f t="shared" ref="FB104" si="282">ROUND(IF(FA104&gt;0,IF(FA104&gt;500000,12500,(FA104-250000)*0.05),0),0)</f>
        <v>3787</v>
      </c>
      <c r="FC104">
        <f t="shared" ref="FC104" si="283">IF(ROUND(IF(FA104&gt;0,IF(FA104&gt;1000000,25000,(FA104-500000)*0.2),0),0)&lt;0,0,ROUND(IF(FA104&gt;0,IF(FA104&gt;1000000,25000,(FA104-500000)*0.2),0),0))</f>
        <v>0</v>
      </c>
      <c r="FD104">
        <f t="shared" ref="FD104" si="284">FB104+FC104</f>
        <v>3787</v>
      </c>
      <c r="FE104">
        <f t="shared" ref="FE104" si="285">IF(FD104&lt;12500,0,FD104)</f>
        <v>0</v>
      </c>
      <c r="FF104">
        <f t="shared" ref="FF104" si="286">FE104*0.04</f>
        <v>0</v>
      </c>
      <c r="FG104">
        <f t="shared" ref="FG104" si="287">ROUND(FF104+FE104,0)</f>
        <v>0</v>
      </c>
      <c r="FH104">
        <v>0</v>
      </c>
      <c r="FI104">
        <f t="shared" ref="FI104" si="288">FG104-FH104</f>
        <v>0</v>
      </c>
      <c r="FJ104" t="b">
        <f t="shared" ref="FJ104" si="289">IF(DY104&gt;500000,TRUE,FALSE)</f>
        <v>0</v>
      </c>
      <c r="FK104">
        <f t="shared" ref="FK104" ca="1" si="290">IF(FJ104,RANDBETWEEN(500,1000),RANDBETWEEN(1000,3000))</f>
        <v>1533</v>
      </c>
      <c r="FL104">
        <f t="shared" ref="FL104" ca="1" si="291">DY104+FK104</f>
        <v>393065</v>
      </c>
      <c r="FM104">
        <f t="shared" ref="FM104" si="292">IF(DY104&gt;0,75000,0)</f>
        <v>75000</v>
      </c>
      <c r="FN104">
        <f t="shared" ref="FN104" ca="1" si="293">FL104-FM104</f>
        <v>318065</v>
      </c>
      <c r="FO104">
        <f t="shared" ref="FO104" ca="1" si="294">IF(FN104&gt;1500000,FN104-1500000,0)</f>
        <v>0</v>
      </c>
      <c r="FP104">
        <f t="shared" ref="FP104" ca="1" si="295">FO104*0.3</f>
        <v>0</v>
      </c>
      <c r="FQ104">
        <f t="shared" ref="FQ104" ca="1" si="296">IF(FN104&gt;1200000,FN104-1200000-FO104,0)</f>
        <v>0</v>
      </c>
      <c r="FR104">
        <f t="shared" ref="FR104" ca="1" si="297">FQ104*0.2</f>
        <v>0</v>
      </c>
      <c r="FS104">
        <f t="shared" ref="FS104" ca="1" si="298">IF(FN104&gt;1000000,FN104-1000000-F104-FQ104,0)</f>
        <v>0</v>
      </c>
      <c r="FT104">
        <f t="shared" ref="FT104" ca="1" si="299">FS104*0.15</f>
        <v>0</v>
      </c>
      <c r="FU104">
        <f t="shared" ref="FU104" ca="1" si="300">IF(FN104&gt;700000,FN104-700000-FO104-FQ104-FS104,0)</f>
        <v>0</v>
      </c>
      <c r="FV104">
        <f t="shared" ref="FV104" ca="1" si="301">FU104*0.1</f>
        <v>0</v>
      </c>
      <c r="FW104">
        <f t="shared" ref="FW104" ca="1" si="302">IF(FN104&gt;300000,FN104-300000-FO104-FQ104-FS104-FU104,0)</f>
        <v>18065</v>
      </c>
      <c r="FX104">
        <f t="shared" ref="FX104" ca="1" si="303">FW104*0.05</f>
        <v>903.25</v>
      </c>
      <c r="FY104">
        <f t="shared" ref="FY104" ca="1" si="304">ROUND(FP104+FR104+FT104+FV104+FX104,0)</f>
        <v>903</v>
      </c>
      <c r="FZ104">
        <f t="shared" ref="FZ104" ca="1" si="305">IF(FN104&gt;700000,FN104,0)</f>
        <v>0</v>
      </c>
      <c r="GA104">
        <f t="shared" ref="GA104" ca="1" si="306">IF(FN104&gt;700000,FZ104-700000,0)</f>
        <v>0</v>
      </c>
      <c r="GB104">
        <f t="shared" ref="GB104" ca="1" si="307">IF(FN104&lt;700001,MIN(FY104,25000),0)</f>
        <v>903</v>
      </c>
      <c r="GC104">
        <f t="shared" ref="GC104" ca="1" si="308">IF(FN104&gt;700000,FY104-GA104,0)</f>
        <v>0</v>
      </c>
      <c r="GD104" t="b">
        <f t="shared" ref="GD104" ca="1" si="309">IF(GC104&gt;0,TRUE,FALSE)</f>
        <v>0</v>
      </c>
      <c r="GE104">
        <f t="shared" ref="GE104" ca="1" si="310">IF(GD104,GC104,0)</f>
        <v>0</v>
      </c>
      <c r="GF104">
        <f t="shared" ref="GF104" ca="1" si="311">GB104+GE104</f>
        <v>903</v>
      </c>
      <c r="GG104">
        <f t="shared" ref="GG104" ca="1" si="312">ROUND(FY104-GF104,0)</f>
        <v>0</v>
      </c>
      <c r="GH104">
        <f t="shared" ref="GH104" ca="1" si="313">GG104*0.04</f>
        <v>0</v>
      </c>
      <c r="GI104">
        <f t="shared" ref="GI104" ca="1" si="314">ROUNDUP(GG104+GH104,0)</f>
        <v>0</v>
      </c>
    </row>
    <row r="105" spans="1:191" x14ac:dyDescent="0.25">
      <c r="A105">
        <f>_xlfn.AGGREGATE(3,5,$B$2:B105)</f>
        <v>104</v>
      </c>
      <c r="B105" t="s">
        <v>329</v>
      </c>
      <c r="C105" t="s">
        <v>330</v>
      </c>
      <c r="D105" t="s">
        <v>790</v>
      </c>
      <c r="E105" t="s">
        <v>843</v>
      </c>
      <c r="F105">
        <v>0</v>
      </c>
      <c r="G105">
        <v>6000</v>
      </c>
      <c r="H105">
        <v>32500</v>
      </c>
      <c r="I105">
        <f t="shared" si="112"/>
        <v>3250</v>
      </c>
      <c r="J105">
        <f t="shared" si="113"/>
        <v>3900</v>
      </c>
      <c r="K105">
        <v>400</v>
      </c>
      <c r="L105">
        <v>500</v>
      </c>
      <c r="M105">
        <f t="shared" si="114"/>
        <v>40550</v>
      </c>
      <c r="N105">
        <v>4000</v>
      </c>
      <c r="O105">
        <v>0</v>
      </c>
      <c r="P105">
        <f t="shared" si="115"/>
        <v>200</v>
      </c>
      <c r="Q105">
        <f t="shared" si="116"/>
        <v>36350</v>
      </c>
      <c r="R105">
        <v>32500</v>
      </c>
      <c r="S105">
        <f t="shared" si="117"/>
        <v>3250</v>
      </c>
      <c r="T105">
        <f t="shared" si="118"/>
        <v>3900</v>
      </c>
      <c r="U105">
        <v>400</v>
      </c>
      <c r="V105">
        <v>500</v>
      </c>
      <c r="W105">
        <f t="shared" si="119"/>
        <v>40550</v>
      </c>
      <c r="X105">
        <v>4000</v>
      </c>
      <c r="Y105">
        <v>0</v>
      </c>
      <c r="Z105">
        <f t="shared" si="120"/>
        <v>200</v>
      </c>
      <c r="AA105">
        <f t="shared" si="121"/>
        <v>36350</v>
      </c>
      <c r="AB105">
        <v>32500</v>
      </c>
      <c r="AC105">
        <f t="shared" si="122"/>
        <v>4550</v>
      </c>
      <c r="AD105">
        <f t="shared" si="123"/>
        <v>3900</v>
      </c>
      <c r="AE105">
        <v>400</v>
      </c>
      <c r="AF105">
        <v>500</v>
      </c>
      <c r="AG105">
        <f t="shared" si="124"/>
        <v>41850</v>
      </c>
      <c r="AH105">
        <v>4000</v>
      </c>
      <c r="AI105">
        <v>0</v>
      </c>
      <c r="AJ105">
        <f t="shared" si="125"/>
        <v>200</v>
      </c>
      <c r="AK105">
        <f t="shared" si="126"/>
        <v>37650</v>
      </c>
      <c r="AL105">
        <v>32500</v>
      </c>
      <c r="AM105">
        <f t="shared" si="127"/>
        <v>4550</v>
      </c>
      <c r="AN105">
        <f t="shared" si="128"/>
        <v>3900</v>
      </c>
      <c r="AO105">
        <v>400</v>
      </c>
      <c r="AP105">
        <v>500</v>
      </c>
      <c r="AQ105">
        <f t="shared" si="129"/>
        <v>41850</v>
      </c>
      <c r="AR105">
        <v>4000</v>
      </c>
      <c r="AS105">
        <v>0</v>
      </c>
      <c r="AT105">
        <f t="shared" si="130"/>
        <v>200</v>
      </c>
      <c r="AU105">
        <f t="shared" si="131"/>
        <v>37650</v>
      </c>
      <c r="AV105">
        <v>34500</v>
      </c>
      <c r="AW105">
        <f t="shared" si="132"/>
        <v>4830.0000000000009</v>
      </c>
      <c r="AX105">
        <f t="shared" si="133"/>
        <v>1300</v>
      </c>
      <c r="AY105">
        <f t="shared" si="134"/>
        <v>4140</v>
      </c>
      <c r="AZ105">
        <v>400</v>
      </c>
      <c r="BA105">
        <v>500</v>
      </c>
      <c r="BB105">
        <f t="shared" si="135"/>
        <v>45670</v>
      </c>
      <c r="BC105">
        <v>4000</v>
      </c>
      <c r="BD105">
        <v>0</v>
      </c>
      <c r="BE105">
        <f t="shared" si="136"/>
        <v>200</v>
      </c>
      <c r="BF105">
        <f t="shared" si="137"/>
        <v>41470</v>
      </c>
      <c r="BG105">
        <v>34500</v>
      </c>
      <c r="BH105">
        <f t="shared" si="138"/>
        <v>4830.0000000000009</v>
      </c>
      <c r="BI105">
        <f t="shared" si="139"/>
        <v>4140</v>
      </c>
      <c r="BJ105">
        <v>400</v>
      </c>
      <c r="BK105">
        <v>500</v>
      </c>
      <c r="BL105">
        <f t="shared" si="140"/>
        <v>44370</v>
      </c>
      <c r="BM105">
        <v>4000</v>
      </c>
      <c r="BN105">
        <v>0</v>
      </c>
      <c r="BO105">
        <f t="shared" si="141"/>
        <v>200</v>
      </c>
      <c r="BP105">
        <f t="shared" si="142"/>
        <v>40170</v>
      </c>
      <c r="BQ105">
        <v>34500</v>
      </c>
      <c r="BR105">
        <f t="shared" si="143"/>
        <v>4830.0000000000009</v>
      </c>
      <c r="BS105">
        <f t="shared" si="144"/>
        <v>4140</v>
      </c>
      <c r="BT105">
        <v>400</v>
      </c>
      <c r="BU105">
        <v>500</v>
      </c>
      <c r="BV105">
        <f t="shared" si="145"/>
        <v>44370</v>
      </c>
      <c r="BW105">
        <v>4000</v>
      </c>
      <c r="BX105">
        <v>0</v>
      </c>
      <c r="BY105">
        <f t="shared" si="146"/>
        <v>200</v>
      </c>
      <c r="BZ105">
        <f t="shared" si="147"/>
        <v>40170</v>
      </c>
      <c r="CA105">
        <v>34500</v>
      </c>
      <c r="CB105">
        <f t="shared" si="148"/>
        <v>4830.0000000000009</v>
      </c>
      <c r="CC105">
        <f t="shared" si="149"/>
        <v>4140</v>
      </c>
      <c r="CD105">
        <v>400</v>
      </c>
      <c r="CE105">
        <v>500</v>
      </c>
      <c r="CF105">
        <f t="shared" si="150"/>
        <v>44370</v>
      </c>
      <c r="CG105">
        <v>4000</v>
      </c>
      <c r="CH105">
        <v>0</v>
      </c>
      <c r="CI105">
        <f t="shared" si="151"/>
        <v>200</v>
      </c>
      <c r="CJ105">
        <f t="shared" si="152"/>
        <v>40170</v>
      </c>
      <c r="CK105">
        <v>34500</v>
      </c>
      <c r="CL105">
        <f t="shared" si="153"/>
        <v>4830.0000000000009</v>
      </c>
      <c r="CM105">
        <f t="shared" si="154"/>
        <v>4140</v>
      </c>
      <c r="CN105">
        <v>400</v>
      </c>
      <c r="CO105">
        <v>500</v>
      </c>
      <c r="CP105">
        <f t="shared" si="155"/>
        <v>44370</v>
      </c>
      <c r="CQ105">
        <v>4000</v>
      </c>
      <c r="CR105">
        <v>0</v>
      </c>
      <c r="CS105">
        <f t="shared" si="156"/>
        <v>200</v>
      </c>
      <c r="CT105">
        <f t="shared" si="157"/>
        <v>40170</v>
      </c>
      <c r="CU105">
        <v>34500</v>
      </c>
      <c r="CV105">
        <f t="shared" si="158"/>
        <v>4830</v>
      </c>
      <c r="CW105">
        <f t="shared" si="159"/>
        <v>4140</v>
      </c>
      <c r="CX105">
        <v>400</v>
      </c>
      <c r="CY105">
        <v>500</v>
      </c>
      <c r="CZ105">
        <f t="shared" si="160"/>
        <v>44370</v>
      </c>
      <c r="DA105">
        <v>4000</v>
      </c>
      <c r="DB105">
        <v>0</v>
      </c>
      <c r="DC105">
        <f t="shared" si="161"/>
        <v>200</v>
      </c>
      <c r="DD105">
        <f t="shared" si="162"/>
        <v>40170</v>
      </c>
      <c r="DE105">
        <v>34500</v>
      </c>
      <c r="DF105">
        <f t="shared" si="163"/>
        <v>4830.0000000000009</v>
      </c>
      <c r="DG105">
        <f t="shared" si="164"/>
        <v>4140</v>
      </c>
      <c r="DH105">
        <v>400</v>
      </c>
      <c r="DI105">
        <v>500</v>
      </c>
      <c r="DJ105">
        <f t="shared" si="165"/>
        <v>44370</v>
      </c>
      <c r="DK105">
        <v>4000</v>
      </c>
      <c r="DL105">
        <v>0</v>
      </c>
      <c r="DM105">
        <f t="shared" si="166"/>
        <v>200</v>
      </c>
      <c r="DN105">
        <f t="shared" si="167"/>
        <v>40170</v>
      </c>
      <c r="DO105">
        <v>34500</v>
      </c>
      <c r="DP105">
        <f t="shared" si="168"/>
        <v>4830.0000000000009</v>
      </c>
      <c r="DQ105">
        <f t="shared" si="169"/>
        <v>4140</v>
      </c>
      <c r="DR105">
        <v>400</v>
      </c>
      <c r="DS105">
        <v>500</v>
      </c>
      <c r="DT105">
        <f t="shared" si="170"/>
        <v>44370</v>
      </c>
      <c r="DU105">
        <v>4000</v>
      </c>
      <c r="DV105">
        <v>0</v>
      </c>
      <c r="DW105">
        <f t="shared" si="171"/>
        <v>200</v>
      </c>
      <c r="DX105">
        <f t="shared" si="172"/>
        <v>40170</v>
      </c>
      <c r="DY105">
        <f t="shared" si="173"/>
        <v>527060</v>
      </c>
      <c r="DZ105">
        <f t="shared" si="105"/>
        <v>2400</v>
      </c>
      <c r="EA105">
        <f t="shared" si="106"/>
        <v>50000</v>
      </c>
      <c r="EB105">
        <v>0</v>
      </c>
      <c r="EC105">
        <f t="shared" si="107"/>
        <v>474660</v>
      </c>
      <c r="ED105">
        <f t="shared" si="108"/>
        <v>48000</v>
      </c>
      <c r="EE105">
        <f t="shared" si="109"/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f t="shared" si="110"/>
        <v>48000</v>
      </c>
      <c r="EQ105">
        <f t="shared" si="174"/>
        <v>48000</v>
      </c>
      <c r="ER105">
        <f t="shared" si="111"/>
        <v>426660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f t="shared" si="175"/>
        <v>0</v>
      </c>
      <c r="FA105">
        <f t="shared" si="176"/>
        <v>426660</v>
      </c>
      <c r="FB105">
        <f t="shared" si="177"/>
        <v>8833</v>
      </c>
      <c r="FC105">
        <f t="shared" si="178"/>
        <v>0</v>
      </c>
      <c r="FD105">
        <f t="shared" si="179"/>
        <v>8833</v>
      </c>
      <c r="FE105">
        <f t="shared" si="180"/>
        <v>0</v>
      </c>
      <c r="FF105">
        <f t="shared" si="181"/>
        <v>0</v>
      </c>
      <c r="FG105">
        <f t="shared" si="182"/>
        <v>0</v>
      </c>
      <c r="FH105">
        <v>0</v>
      </c>
      <c r="FI105">
        <f t="shared" si="183"/>
        <v>0</v>
      </c>
      <c r="FJ105" t="b">
        <f t="shared" si="184"/>
        <v>1</v>
      </c>
      <c r="FK105">
        <f t="shared" ca="1" si="185"/>
        <v>878</v>
      </c>
      <c r="FL105">
        <f t="shared" ca="1" si="186"/>
        <v>527938</v>
      </c>
      <c r="FM105">
        <f t="shared" si="187"/>
        <v>75000</v>
      </c>
      <c r="FN105">
        <f t="shared" ca="1" si="188"/>
        <v>452938</v>
      </c>
      <c r="FO105">
        <f t="shared" ca="1" si="189"/>
        <v>0</v>
      </c>
      <c r="FP105">
        <f t="shared" ca="1" si="190"/>
        <v>0</v>
      </c>
      <c r="FQ105">
        <f t="shared" ca="1" si="191"/>
        <v>0</v>
      </c>
      <c r="FR105">
        <f t="shared" ca="1" si="192"/>
        <v>0</v>
      </c>
      <c r="FS105">
        <f t="shared" ca="1" si="193"/>
        <v>0</v>
      </c>
      <c r="FT105">
        <f t="shared" ca="1" si="194"/>
        <v>0</v>
      </c>
      <c r="FU105">
        <f t="shared" ca="1" si="195"/>
        <v>0</v>
      </c>
      <c r="FV105">
        <f t="shared" ca="1" si="196"/>
        <v>0</v>
      </c>
      <c r="FW105">
        <f t="shared" ca="1" si="197"/>
        <v>152938</v>
      </c>
      <c r="FX105">
        <f t="shared" ca="1" si="198"/>
        <v>7646.9000000000005</v>
      </c>
      <c r="FY105">
        <f t="shared" ca="1" si="199"/>
        <v>7647</v>
      </c>
      <c r="FZ105">
        <f t="shared" ca="1" si="200"/>
        <v>0</v>
      </c>
      <c r="GA105">
        <f t="shared" ca="1" si="201"/>
        <v>0</v>
      </c>
      <c r="GB105">
        <f t="shared" ca="1" si="202"/>
        <v>7647</v>
      </c>
      <c r="GC105">
        <f t="shared" ca="1" si="203"/>
        <v>0</v>
      </c>
      <c r="GD105" t="b">
        <f t="shared" ca="1" si="204"/>
        <v>0</v>
      </c>
      <c r="GE105">
        <f t="shared" ca="1" si="205"/>
        <v>0</v>
      </c>
      <c r="GF105">
        <f t="shared" ca="1" si="206"/>
        <v>7647</v>
      </c>
      <c r="GG105">
        <f t="shared" ca="1" si="207"/>
        <v>0</v>
      </c>
      <c r="GH105">
        <f t="shared" ca="1" si="208"/>
        <v>0</v>
      </c>
      <c r="GI105">
        <f t="shared" ca="1" si="209"/>
        <v>0</v>
      </c>
    </row>
    <row r="106" spans="1:191" x14ac:dyDescent="0.25">
      <c r="A106">
        <f>_xlfn.AGGREGATE(3,5,$B$2:B106)</f>
        <v>105</v>
      </c>
      <c r="B106" t="s">
        <v>331</v>
      </c>
      <c r="C106" t="s">
        <v>332</v>
      </c>
      <c r="D106" t="s">
        <v>790</v>
      </c>
      <c r="E106" t="s">
        <v>843</v>
      </c>
      <c r="F106">
        <v>0</v>
      </c>
      <c r="G106">
        <v>6000</v>
      </c>
      <c r="H106">
        <v>32500</v>
      </c>
      <c r="I106">
        <f t="shared" si="112"/>
        <v>3250</v>
      </c>
      <c r="J106">
        <f t="shared" si="113"/>
        <v>3900</v>
      </c>
      <c r="K106">
        <v>0</v>
      </c>
      <c r="L106">
        <v>500</v>
      </c>
      <c r="M106">
        <f t="shared" si="114"/>
        <v>40150</v>
      </c>
      <c r="N106">
        <v>4000</v>
      </c>
      <c r="O106">
        <v>0</v>
      </c>
      <c r="P106">
        <f t="shared" si="115"/>
        <v>200</v>
      </c>
      <c r="Q106">
        <f t="shared" si="116"/>
        <v>35950</v>
      </c>
      <c r="R106">
        <v>32500</v>
      </c>
      <c r="S106">
        <f t="shared" si="117"/>
        <v>3250</v>
      </c>
      <c r="T106">
        <f t="shared" si="118"/>
        <v>3900</v>
      </c>
      <c r="U106">
        <v>0</v>
      </c>
      <c r="V106">
        <v>500</v>
      </c>
      <c r="W106">
        <f t="shared" si="119"/>
        <v>40150</v>
      </c>
      <c r="X106">
        <v>4000</v>
      </c>
      <c r="Y106">
        <v>0</v>
      </c>
      <c r="Z106">
        <f t="shared" si="120"/>
        <v>200</v>
      </c>
      <c r="AA106">
        <f t="shared" si="121"/>
        <v>35950</v>
      </c>
      <c r="AB106">
        <v>32500</v>
      </c>
      <c r="AC106">
        <f t="shared" si="122"/>
        <v>4550</v>
      </c>
      <c r="AD106">
        <f t="shared" si="123"/>
        <v>3900</v>
      </c>
      <c r="AE106">
        <v>0</v>
      </c>
      <c r="AF106">
        <v>500</v>
      </c>
      <c r="AG106">
        <f t="shared" si="124"/>
        <v>41450</v>
      </c>
      <c r="AH106">
        <v>4000</v>
      </c>
      <c r="AI106">
        <v>0</v>
      </c>
      <c r="AJ106">
        <f t="shared" si="125"/>
        <v>200</v>
      </c>
      <c r="AK106">
        <f t="shared" si="126"/>
        <v>37250</v>
      </c>
      <c r="AL106">
        <v>32500</v>
      </c>
      <c r="AM106">
        <f t="shared" si="127"/>
        <v>4550</v>
      </c>
      <c r="AN106">
        <f t="shared" si="128"/>
        <v>3900</v>
      </c>
      <c r="AO106">
        <v>0</v>
      </c>
      <c r="AP106">
        <v>500</v>
      </c>
      <c r="AQ106">
        <f t="shared" si="129"/>
        <v>41450</v>
      </c>
      <c r="AR106">
        <v>4000</v>
      </c>
      <c r="AS106">
        <v>0</v>
      </c>
      <c r="AT106">
        <f t="shared" si="130"/>
        <v>200</v>
      </c>
      <c r="AU106">
        <f t="shared" si="131"/>
        <v>37250</v>
      </c>
      <c r="AV106">
        <v>34500</v>
      </c>
      <c r="AW106">
        <f t="shared" si="132"/>
        <v>4830.0000000000009</v>
      </c>
      <c r="AX106">
        <f t="shared" si="133"/>
        <v>1300</v>
      </c>
      <c r="AY106">
        <f t="shared" si="134"/>
        <v>4140</v>
      </c>
      <c r="AZ106">
        <v>0</v>
      </c>
      <c r="BA106">
        <v>500</v>
      </c>
      <c r="BB106">
        <f t="shared" si="135"/>
        <v>45270</v>
      </c>
      <c r="BC106">
        <v>4000</v>
      </c>
      <c r="BD106">
        <v>0</v>
      </c>
      <c r="BE106">
        <f t="shared" si="136"/>
        <v>200</v>
      </c>
      <c r="BF106">
        <f t="shared" si="137"/>
        <v>41070</v>
      </c>
      <c r="BG106">
        <v>34500</v>
      </c>
      <c r="BH106">
        <f t="shared" si="138"/>
        <v>4830.0000000000009</v>
      </c>
      <c r="BI106">
        <f t="shared" si="139"/>
        <v>4140</v>
      </c>
      <c r="BJ106">
        <v>0</v>
      </c>
      <c r="BK106">
        <v>500</v>
      </c>
      <c r="BL106">
        <f t="shared" si="140"/>
        <v>43970</v>
      </c>
      <c r="BM106">
        <v>4000</v>
      </c>
      <c r="BN106">
        <v>0</v>
      </c>
      <c r="BO106">
        <f t="shared" si="141"/>
        <v>200</v>
      </c>
      <c r="BP106">
        <f t="shared" si="142"/>
        <v>39770</v>
      </c>
      <c r="BQ106">
        <v>34500</v>
      </c>
      <c r="BR106">
        <f t="shared" si="143"/>
        <v>4830.0000000000009</v>
      </c>
      <c r="BS106">
        <f t="shared" si="144"/>
        <v>4140</v>
      </c>
      <c r="BT106">
        <v>0</v>
      </c>
      <c r="BU106">
        <v>500</v>
      </c>
      <c r="BV106">
        <f t="shared" si="145"/>
        <v>43970</v>
      </c>
      <c r="BW106">
        <v>4000</v>
      </c>
      <c r="BX106">
        <v>0</v>
      </c>
      <c r="BY106">
        <f t="shared" si="146"/>
        <v>200</v>
      </c>
      <c r="BZ106">
        <f t="shared" si="147"/>
        <v>39770</v>
      </c>
      <c r="CA106">
        <v>34500</v>
      </c>
      <c r="CB106">
        <f t="shared" si="148"/>
        <v>4830.0000000000009</v>
      </c>
      <c r="CC106">
        <f t="shared" si="149"/>
        <v>4140</v>
      </c>
      <c r="CD106">
        <v>0</v>
      </c>
      <c r="CE106">
        <v>500</v>
      </c>
      <c r="CF106">
        <f t="shared" si="150"/>
        <v>43970</v>
      </c>
      <c r="CG106">
        <v>4000</v>
      </c>
      <c r="CH106">
        <v>0</v>
      </c>
      <c r="CI106">
        <f t="shared" si="151"/>
        <v>200</v>
      </c>
      <c r="CJ106">
        <f t="shared" si="152"/>
        <v>39770</v>
      </c>
      <c r="CK106">
        <v>34500</v>
      </c>
      <c r="CL106">
        <f t="shared" si="153"/>
        <v>4830.0000000000009</v>
      </c>
      <c r="CM106">
        <f t="shared" si="154"/>
        <v>4140</v>
      </c>
      <c r="CN106">
        <v>0</v>
      </c>
      <c r="CO106">
        <v>500</v>
      </c>
      <c r="CP106">
        <f t="shared" si="155"/>
        <v>43970</v>
      </c>
      <c r="CQ106">
        <v>4000</v>
      </c>
      <c r="CR106">
        <v>0</v>
      </c>
      <c r="CS106">
        <f t="shared" si="156"/>
        <v>200</v>
      </c>
      <c r="CT106">
        <f t="shared" si="157"/>
        <v>39770</v>
      </c>
      <c r="CU106">
        <v>34500</v>
      </c>
      <c r="CV106">
        <f t="shared" si="158"/>
        <v>4830</v>
      </c>
      <c r="CW106">
        <f t="shared" si="159"/>
        <v>4140</v>
      </c>
      <c r="CX106">
        <v>0</v>
      </c>
      <c r="CY106">
        <v>500</v>
      </c>
      <c r="CZ106">
        <f t="shared" si="160"/>
        <v>43970</v>
      </c>
      <c r="DA106">
        <v>4000</v>
      </c>
      <c r="DB106">
        <v>0</v>
      </c>
      <c r="DC106">
        <f t="shared" si="161"/>
        <v>200</v>
      </c>
      <c r="DD106">
        <f t="shared" si="162"/>
        <v>39770</v>
      </c>
      <c r="DE106">
        <v>34500</v>
      </c>
      <c r="DF106">
        <f t="shared" si="163"/>
        <v>4830.0000000000009</v>
      </c>
      <c r="DG106">
        <f t="shared" si="164"/>
        <v>4140</v>
      </c>
      <c r="DH106">
        <v>0</v>
      </c>
      <c r="DI106">
        <v>500</v>
      </c>
      <c r="DJ106">
        <f t="shared" si="165"/>
        <v>43970</v>
      </c>
      <c r="DK106">
        <v>4000</v>
      </c>
      <c r="DL106">
        <v>0</v>
      </c>
      <c r="DM106">
        <f t="shared" si="166"/>
        <v>200</v>
      </c>
      <c r="DN106">
        <f t="shared" si="167"/>
        <v>39770</v>
      </c>
      <c r="DO106">
        <v>34500</v>
      </c>
      <c r="DP106">
        <f t="shared" si="168"/>
        <v>4830.0000000000009</v>
      </c>
      <c r="DQ106">
        <f t="shared" si="169"/>
        <v>4140</v>
      </c>
      <c r="DR106">
        <v>0</v>
      </c>
      <c r="DS106">
        <v>500</v>
      </c>
      <c r="DT106">
        <f t="shared" si="170"/>
        <v>43970</v>
      </c>
      <c r="DU106">
        <v>4000</v>
      </c>
      <c r="DV106">
        <v>0</v>
      </c>
      <c r="DW106">
        <f t="shared" si="171"/>
        <v>200</v>
      </c>
      <c r="DX106">
        <f t="shared" si="172"/>
        <v>39770</v>
      </c>
      <c r="DY106">
        <f t="shared" si="173"/>
        <v>522260</v>
      </c>
      <c r="DZ106">
        <f t="shared" si="105"/>
        <v>2400</v>
      </c>
      <c r="EA106">
        <f t="shared" si="106"/>
        <v>50000</v>
      </c>
      <c r="EB106">
        <v>0</v>
      </c>
      <c r="EC106">
        <f t="shared" si="107"/>
        <v>469860</v>
      </c>
      <c r="ED106">
        <f t="shared" si="108"/>
        <v>48000</v>
      </c>
      <c r="EE106">
        <f t="shared" si="109"/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f t="shared" si="110"/>
        <v>48000</v>
      </c>
      <c r="EQ106">
        <f t="shared" si="174"/>
        <v>48000</v>
      </c>
      <c r="ER106">
        <f t="shared" si="111"/>
        <v>421860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f t="shared" si="175"/>
        <v>0</v>
      </c>
      <c r="FA106">
        <f t="shared" si="176"/>
        <v>421860</v>
      </c>
      <c r="FB106">
        <f t="shared" si="177"/>
        <v>8593</v>
      </c>
      <c r="FC106">
        <f t="shared" si="178"/>
        <v>0</v>
      </c>
      <c r="FD106">
        <f t="shared" si="179"/>
        <v>8593</v>
      </c>
      <c r="FE106">
        <f t="shared" si="180"/>
        <v>0</v>
      </c>
      <c r="FF106">
        <f t="shared" si="181"/>
        <v>0</v>
      </c>
      <c r="FG106">
        <f t="shared" si="182"/>
        <v>0</v>
      </c>
      <c r="FH106">
        <v>0</v>
      </c>
      <c r="FI106">
        <f t="shared" si="183"/>
        <v>0</v>
      </c>
      <c r="FJ106" t="b">
        <f t="shared" si="184"/>
        <v>1</v>
      </c>
      <c r="FK106">
        <f t="shared" ca="1" si="185"/>
        <v>687</v>
      </c>
      <c r="FL106">
        <f t="shared" ca="1" si="186"/>
        <v>522947</v>
      </c>
      <c r="FM106">
        <f t="shared" si="187"/>
        <v>75000</v>
      </c>
      <c r="FN106">
        <f t="shared" ca="1" si="188"/>
        <v>447947</v>
      </c>
      <c r="FO106">
        <f t="shared" ca="1" si="189"/>
        <v>0</v>
      </c>
      <c r="FP106">
        <f t="shared" ca="1" si="190"/>
        <v>0</v>
      </c>
      <c r="FQ106">
        <f t="shared" ca="1" si="191"/>
        <v>0</v>
      </c>
      <c r="FR106">
        <f t="shared" ca="1" si="192"/>
        <v>0</v>
      </c>
      <c r="FS106">
        <f t="shared" ca="1" si="193"/>
        <v>0</v>
      </c>
      <c r="FT106">
        <f t="shared" ca="1" si="194"/>
        <v>0</v>
      </c>
      <c r="FU106">
        <f t="shared" ca="1" si="195"/>
        <v>0</v>
      </c>
      <c r="FV106">
        <f t="shared" ca="1" si="196"/>
        <v>0</v>
      </c>
      <c r="FW106">
        <f t="shared" ca="1" si="197"/>
        <v>147947</v>
      </c>
      <c r="FX106">
        <f t="shared" ca="1" si="198"/>
        <v>7397.35</v>
      </c>
      <c r="FY106">
        <f t="shared" ca="1" si="199"/>
        <v>7397</v>
      </c>
      <c r="FZ106">
        <f t="shared" ca="1" si="200"/>
        <v>0</v>
      </c>
      <c r="GA106">
        <f t="shared" ca="1" si="201"/>
        <v>0</v>
      </c>
      <c r="GB106">
        <f t="shared" ca="1" si="202"/>
        <v>7397</v>
      </c>
      <c r="GC106">
        <f t="shared" ca="1" si="203"/>
        <v>0</v>
      </c>
      <c r="GD106" t="b">
        <f t="shared" ca="1" si="204"/>
        <v>0</v>
      </c>
      <c r="GE106">
        <f t="shared" ca="1" si="205"/>
        <v>0</v>
      </c>
      <c r="GF106">
        <f t="shared" ca="1" si="206"/>
        <v>7397</v>
      </c>
      <c r="GG106">
        <f t="shared" ca="1" si="207"/>
        <v>0</v>
      </c>
      <c r="GH106">
        <f t="shared" ca="1" si="208"/>
        <v>0</v>
      </c>
      <c r="GI106">
        <f t="shared" ca="1" si="209"/>
        <v>0</v>
      </c>
    </row>
    <row r="107" spans="1:191" x14ac:dyDescent="0.25">
      <c r="A107">
        <f>_xlfn.AGGREGATE(3,5,$B$2:B107)</f>
        <v>106</v>
      </c>
      <c r="B107" t="s">
        <v>333</v>
      </c>
      <c r="C107" t="s">
        <v>334</v>
      </c>
      <c r="D107" t="s">
        <v>790</v>
      </c>
      <c r="E107" t="s">
        <v>843</v>
      </c>
      <c r="F107">
        <v>0</v>
      </c>
      <c r="G107">
        <v>6000</v>
      </c>
      <c r="H107">
        <v>26200</v>
      </c>
      <c r="I107">
        <f t="shared" si="112"/>
        <v>2620</v>
      </c>
      <c r="J107">
        <f t="shared" si="113"/>
        <v>3144</v>
      </c>
      <c r="K107">
        <v>0</v>
      </c>
      <c r="L107">
        <v>500</v>
      </c>
      <c r="M107">
        <f t="shared" si="114"/>
        <v>32464</v>
      </c>
      <c r="N107">
        <v>2000</v>
      </c>
      <c r="O107">
        <v>0</v>
      </c>
      <c r="P107">
        <f t="shared" si="115"/>
        <v>150</v>
      </c>
      <c r="Q107">
        <f t="shared" si="116"/>
        <v>30314</v>
      </c>
      <c r="R107">
        <v>26200</v>
      </c>
      <c r="S107">
        <f t="shared" si="117"/>
        <v>2620</v>
      </c>
      <c r="T107">
        <f t="shared" si="118"/>
        <v>3144</v>
      </c>
      <c r="U107">
        <v>0</v>
      </c>
      <c r="V107">
        <v>500</v>
      </c>
      <c r="W107">
        <f t="shared" si="119"/>
        <v>32464</v>
      </c>
      <c r="X107">
        <v>2000</v>
      </c>
      <c r="Y107">
        <v>0</v>
      </c>
      <c r="Z107">
        <f t="shared" si="120"/>
        <v>150</v>
      </c>
      <c r="AA107">
        <f t="shared" si="121"/>
        <v>30314</v>
      </c>
      <c r="AB107">
        <v>26200</v>
      </c>
      <c r="AC107">
        <f t="shared" si="122"/>
        <v>3668.0000000000005</v>
      </c>
      <c r="AD107">
        <f t="shared" si="123"/>
        <v>3144</v>
      </c>
      <c r="AE107">
        <v>0</v>
      </c>
      <c r="AF107">
        <v>500</v>
      </c>
      <c r="AG107">
        <f t="shared" si="124"/>
        <v>33512</v>
      </c>
      <c r="AH107">
        <v>2000</v>
      </c>
      <c r="AI107">
        <v>0</v>
      </c>
      <c r="AJ107">
        <f t="shared" si="125"/>
        <v>150</v>
      </c>
      <c r="AK107">
        <f t="shared" si="126"/>
        <v>31362</v>
      </c>
      <c r="AL107">
        <v>26200</v>
      </c>
      <c r="AM107">
        <f t="shared" si="127"/>
        <v>3668.0000000000005</v>
      </c>
      <c r="AN107">
        <f t="shared" si="128"/>
        <v>3144</v>
      </c>
      <c r="AO107">
        <v>0</v>
      </c>
      <c r="AP107">
        <v>500</v>
      </c>
      <c r="AQ107">
        <f t="shared" si="129"/>
        <v>33512</v>
      </c>
      <c r="AR107">
        <v>2000</v>
      </c>
      <c r="AS107">
        <v>0</v>
      </c>
      <c r="AT107">
        <f t="shared" si="130"/>
        <v>150</v>
      </c>
      <c r="AU107">
        <f t="shared" si="131"/>
        <v>31362</v>
      </c>
      <c r="AV107">
        <v>27000</v>
      </c>
      <c r="AW107">
        <f t="shared" si="132"/>
        <v>3780.0000000000005</v>
      </c>
      <c r="AX107">
        <f t="shared" si="133"/>
        <v>1048</v>
      </c>
      <c r="AY107">
        <f t="shared" si="134"/>
        <v>3240</v>
      </c>
      <c r="AZ107">
        <v>0</v>
      </c>
      <c r="BA107">
        <v>500</v>
      </c>
      <c r="BB107">
        <f t="shared" si="135"/>
        <v>35568</v>
      </c>
      <c r="BC107">
        <v>2000</v>
      </c>
      <c r="BD107">
        <v>0</v>
      </c>
      <c r="BE107">
        <f t="shared" si="136"/>
        <v>150</v>
      </c>
      <c r="BF107">
        <f t="shared" si="137"/>
        <v>33418</v>
      </c>
      <c r="BG107">
        <v>27000</v>
      </c>
      <c r="BH107">
        <f t="shared" si="138"/>
        <v>3780.0000000000005</v>
      </c>
      <c r="BI107">
        <f t="shared" si="139"/>
        <v>3240</v>
      </c>
      <c r="BJ107">
        <v>0</v>
      </c>
      <c r="BK107">
        <v>500</v>
      </c>
      <c r="BL107">
        <f t="shared" si="140"/>
        <v>34520</v>
      </c>
      <c r="BM107">
        <v>2000</v>
      </c>
      <c r="BN107">
        <v>0</v>
      </c>
      <c r="BO107">
        <f t="shared" si="141"/>
        <v>150</v>
      </c>
      <c r="BP107">
        <f t="shared" si="142"/>
        <v>32370</v>
      </c>
      <c r="BQ107">
        <v>27000</v>
      </c>
      <c r="BR107">
        <f t="shared" si="143"/>
        <v>3780.0000000000005</v>
      </c>
      <c r="BS107">
        <f t="shared" si="144"/>
        <v>3240</v>
      </c>
      <c r="BT107">
        <v>0</v>
      </c>
      <c r="BU107">
        <v>500</v>
      </c>
      <c r="BV107">
        <f t="shared" si="145"/>
        <v>34520</v>
      </c>
      <c r="BW107">
        <v>2000</v>
      </c>
      <c r="BX107">
        <v>0</v>
      </c>
      <c r="BY107">
        <f t="shared" si="146"/>
        <v>150</v>
      </c>
      <c r="BZ107">
        <f t="shared" si="147"/>
        <v>32370</v>
      </c>
      <c r="CA107">
        <v>27000</v>
      </c>
      <c r="CB107">
        <f t="shared" si="148"/>
        <v>3780.0000000000005</v>
      </c>
      <c r="CC107">
        <f t="shared" si="149"/>
        <v>3240</v>
      </c>
      <c r="CD107">
        <v>0</v>
      </c>
      <c r="CE107">
        <v>500</v>
      </c>
      <c r="CF107">
        <f t="shared" si="150"/>
        <v>34520</v>
      </c>
      <c r="CG107">
        <v>2000</v>
      </c>
      <c r="CH107">
        <v>0</v>
      </c>
      <c r="CI107">
        <f t="shared" si="151"/>
        <v>150</v>
      </c>
      <c r="CJ107">
        <f t="shared" si="152"/>
        <v>32370</v>
      </c>
      <c r="CK107">
        <v>27000</v>
      </c>
      <c r="CL107">
        <f t="shared" si="153"/>
        <v>3780.0000000000005</v>
      </c>
      <c r="CM107">
        <f t="shared" si="154"/>
        <v>3240</v>
      </c>
      <c r="CN107">
        <v>0</v>
      </c>
      <c r="CO107">
        <v>500</v>
      </c>
      <c r="CP107">
        <f t="shared" si="155"/>
        <v>34520</v>
      </c>
      <c r="CQ107">
        <v>2000</v>
      </c>
      <c r="CR107">
        <v>0</v>
      </c>
      <c r="CS107">
        <f t="shared" si="156"/>
        <v>150</v>
      </c>
      <c r="CT107">
        <f t="shared" si="157"/>
        <v>32370</v>
      </c>
      <c r="CU107">
        <v>27000</v>
      </c>
      <c r="CV107">
        <f t="shared" si="158"/>
        <v>3780</v>
      </c>
      <c r="CW107">
        <f t="shared" si="159"/>
        <v>3240</v>
      </c>
      <c r="CX107">
        <v>0</v>
      </c>
      <c r="CY107">
        <v>500</v>
      </c>
      <c r="CZ107">
        <f t="shared" si="160"/>
        <v>34520</v>
      </c>
      <c r="DA107">
        <v>2000</v>
      </c>
      <c r="DB107">
        <v>0</v>
      </c>
      <c r="DC107">
        <f t="shared" si="161"/>
        <v>150</v>
      </c>
      <c r="DD107">
        <f t="shared" si="162"/>
        <v>32370</v>
      </c>
      <c r="DE107">
        <v>27000</v>
      </c>
      <c r="DF107">
        <f t="shared" si="163"/>
        <v>3780.0000000000005</v>
      </c>
      <c r="DG107">
        <f t="shared" si="164"/>
        <v>3240</v>
      </c>
      <c r="DH107">
        <v>0</v>
      </c>
      <c r="DI107">
        <v>500</v>
      </c>
      <c r="DJ107">
        <f t="shared" si="165"/>
        <v>34520</v>
      </c>
      <c r="DK107">
        <v>2000</v>
      </c>
      <c r="DL107">
        <v>0</v>
      </c>
      <c r="DM107">
        <f t="shared" si="166"/>
        <v>150</v>
      </c>
      <c r="DN107">
        <f t="shared" si="167"/>
        <v>32370</v>
      </c>
      <c r="DO107">
        <v>27000</v>
      </c>
      <c r="DP107">
        <f t="shared" si="168"/>
        <v>3780.0000000000005</v>
      </c>
      <c r="DQ107">
        <f t="shared" si="169"/>
        <v>3240</v>
      </c>
      <c r="DR107">
        <v>0</v>
      </c>
      <c r="DS107">
        <v>500</v>
      </c>
      <c r="DT107">
        <f t="shared" si="170"/>
        <v>34520</v>
      </c>
      <c r="DU107">
        <v>2000</v>
      </c>
      <c r="DV107">
        <v>0</v>
      </c>
      <c r="DW107">
        <f t="shared" si="171"/>
        <v>150</v>
      </c>
      <c r="DX107">
        <f t="shared" si="172"/>
        <v>32370</v>
      </c>
      <c r="DY107">
        <f t="shared" si="173"/>
        <v>415160</v>
      </c>
      <c r="DZ107">
        <f t="shared" si="105"/>
        <v>1800</v>
      </c>
      <c r="EA107">
        <f t="shared" si="106"/>
        <v>50000</v>
      </c>
      <c r="EB107">
        <v>0</v>
      </c>
      <c r="EC107">
        <f t="shared" si="107"/>
        <v>363360</v>
      </c>
      <c r="ED107">
        <f t="shared" si="108"/>
        <v>24000</v>
      </c>
      <c r="EE107">
        <f t="shared" si="109"/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f t="shared" si="110"/>
        <v>24000</v>
      </c>
      <c r="EQ107">
        <f t="shared" si="174"/>
        <v>24000</v>
      </c>
      <c r="ER107">
        <f t="shared" si="111"/>
        <v>339360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f t="shared" si="175"/>
        <v>0</v>
      </c>
      <c r="FA107">
        <f t="shared" si="176"/>
        <v>339360</v>
      </c>
      <c r="FB107">
        <f t="shared" si="177"/>
        <v>4468</v>
      </c>
      <c r="FC107">
        <f t="shared" si="178"/>
        <v>0</v>
      </c>
      <c r="FD107">
        <f t="shared" si="179"/>
        <v>4468</v>
      </c>
      <c r="FE107">
        <f t="shared" si="180"/>
        <v>0</v>
      </c>
      <c r="FF107">
        <f t="shared" si="181"/>
        <v>0</v>
      </c>
      <c r="FG107">
        <f t="shared" si="182"/>
        <v>0</v>
      </c>
      <c r="FH107">
        <v>0</v>
      </c>
      <c r="FI107">
        <f t="shared" si="183"/>
        <v>0</v>
      </c>
      <c r="FJ107" t="b">
        <f t="shared" si="184"/>
        <v>0</v>
      </c>
      <c r="FK107">
        <f t="shared" ca="1" si="185"/>
        <v>1453</v>
      </c>
      <c r="FL107">
        <f t="shared" ca="1" si="186"/>
        <v>416613</v>
      </c>
      <c r="FM107">
        <f t="shared" si="187"/>
        <v>75000</v>
      </c>
      <c r="FN107">
        <f t="shared" ca="1" si="188"/>
        <v>341613</v>
      </c>
      <c r="FO107">
        <f t="shared" ca="1" si="189"/>
        <v>0</v>
      </c>
      <c r="FP107">
        <f t="shared" ca="1" si="190"/>
        <v>0</v>
      </c>
      <c r="FQ107">
        <f t="shared" ca="1" si="191"/>
        <v>0</v>
      </c>
      <c r="FR107">
        <f t="shared" ca="1" si="192"/>
        <v>0</v>
      </c>
      <c r="FS107">
        <f t="shared" ca="1" si="193"/>
        <v>0</v>
      </c>
      <c r="FT107">
        <f t="shared" ca="1" si="194"/>
        <v>0</v>
      </c>
      <c r="FU107">
        <f t="shared" ca="1" si="195"/>
        <v>0</v>
      </c>
      <c r="FV107">
        <f t="shared" ca="1" si="196"/>
        <v>0</v>
      </c>
      <c r="FW107">
        <f t="shared" ca="1" si="197"/>
        <v>41613</v>
      </c>
      <c r="FX107">
        <f t="shared" ca="1" si="198"/>
        <v>2080.65</v>
      </c>
      <c r="FY107">
        <f t="shared" ca="1" si="199"/>
        <v>2081</v>
      </c>
      <c r="FZ107">
        <f t="shared" ca="1" si="200"/>
        <v>0</v>
      </c>
      <c r="GA107">
        <f t="shared" ca="1" si="201"/>
        <v>0</v>
      </c>
      <c r="GB107">
        <f t="shared" ca="1" si="202"/>
        <v>2081</v>
      </c>
      <c r="GC107">
        <f t="shared" ca="1" si="203"/>
        <v>0</v>
      </c>
      <c r="GD107" t="b">
        <f t="shared" ca="1" si="204"/>
        <v>0</v>
      </c>
      <c r="GE107">
        <f t="shared" ca="1" si="205"/>
        <v>0</v>
      </c>
      <c r="GF107">
        <f t="shared" ca="1" si="206"/>
        <v>2081</v>
      </c>
      <c r="GG107">
        <f t="shared" ca="1" si="207"/>
        <v>0</v>
      </c>
      <c r="GH107">
        <f t="shared" ca="1" si="208"/>
        <v>0</v>
      </c>
      <c r="GI107">
        <f t="shared" ca="1" si="209"/>
        <v>0</v>
      </c>
    </row>
    <row r="108" spans="1:191" x14ac:dyDescent="0.25">
      <c r="A108">
        <f>_xlfn.AGGREGATE(3,5,$B$2:B108)</f>
        <v>107</v>
      </c>
      <c r="B108" t="s">
        <v>335</v>
      </c>
      <c r="C108" t="s">
        <v>336</v>
      </c>
      <c r="D108" t="s">
        <v>790</v>
      </c>
      <c r="E108" t="s">
        <v>843</v>
      </c>
      <c r="F108">
        <v>0</v>
      </c>
      <c r="G108">
        <v>0</v>
      </c>
      <c r="H108">
        <v>0</v>
      </c>
      <c r="I108">
        <f t="shared" si="112"/>
        <v>0</v>
      </c>
      <c r="J108">
        <f t="shared" si="113"/>
        <v>0</v>
      </c>
      <c r="K108">
        <v>0</v>
      </c>
      <c r="L108">
        <v>0</v>
      </c>
      <c r="M108">
        <f t="shared" si="114"/>
        <v>0</v>
      </c>
      <c r="N108">
        <v>0</v>
      </c>
      <c r="O108">
        <v>0</v>
      </c>
      <c r="P108">
        <f t="shared" si="115"/>
        <v>0</v>
      </c>
      <c r="Q108">
        <f t="shared" si="116"/>
        <v>0</v>
      </c>
      <c r="R108">
        <v>28900</v>
      </c>
      <c r="S108">
        <f t="shared" si="117"/>
        <v>2890</v>
      </c>
      <c r="T108">
        <f t="shared" si="118"/>
        <v>3468</v>
      </c>
      <c r="U108">
        <v>0</v>
      </c>
      <c r="V108">
        <v>500</v>
      </c>
      <c r="W108">
        <f t="shared" si="119"/>
        <v>35758</v>
      </c>
      <c r="X108">
        <v>0</v>
      </c>
      <c r="Y108">
        <v>0</v>
      </c>
      <c r="Z108">
        <f t="shared" si="120"/>
        <v>150</v>
      </c>
      <c r="AA108">
        <f t="shared" si="121"/>
        <v>35608</v>
      </c>
      <c r="AB108">
        <v>28900</v>
      </c>
      <c r="AC108">
        <f t="shared" si="122"/>
        <v>4046.0000000000005</v>
      </c>
      <c r="AD108">
        <f t="shared" si="123"/>
        <v>3468</v>
      </c>
      <c r="AE108">
        <v>0</v>
      </c>
      <c r="AF108">
        <v>500</v>
      </c>
      <c r="AG108">
        <f t="shared" si="124"/>
        <v>36914</v>
      </c>
      <c r="AH108">
        <v>0</v>
      </c>
      <c r="AI108">
        <v>0</v>
      </c>
      <c r="AJ108">
        <f t="shared" si="125"/>
        <v>150</v>
      </c>
      <c r="AK108">
        <f t="shared" si="126"/>
        <v>36764</v>
      </c>
      <c r="AL108">
        <v>28900</v>
      </c>
      <c r="AM108">
        <f t="shared" si="127"/>
        <v>4046.0000000000005</v>
      </c>
      <c r="AN108">
        <f t="shared" si="128"/>
        <v>3468</v>
      </c>
      <c r="AO108">
        <v>0</v>
      </c>
      <c r="AP108">
        <v>500</v>
      </c>
      <c r="AQ108">
        <f t="shared" si="129"/>
        <v>36914</v>
      </c>
      <c r="AR108">
        <v>0</v>
      </c>
      <c r="AS108">
        <v>0</v>
      </c>
      <c r="AT108">
        <f t="shared" si="130"/>
        <v>150</v>
      </c>
      <c r="AU108">
        <f t="shared" si="131"/>
        <v>36764</v>
      </c>
      <c r="AV108">
        <v>28900</v>
      </c>
      <c r="AW108">
        <f t="shared" si="132"/>
        <v>4046.0000000000005</v>
      </c>
      <c r="AX108">
        <f t="shared" si="133"/>
        <v>1156</v>
      </c>
      <c r="AY108">
        <f t="shared" si="134"/>
        <v>3468</v>
      </c>
      <c r="AZ108">
        <v>0</v>
      </c>
      <c r="BA108">
        <v>500</v>
      </c>
      <c r="BB108">
        <f t="shared" si="135"/>
        <v>38070</v>
      </c>
      <c r="BC108">
        <v>0</v>
      </c>
      <c r="BD108">
        <v>0</v>
      </c>
      <c r="BE108">
        <f t="shared" si="136"/>
        <v>150</v>
      </c>
      <c r="BF108">
        <f t="shared" si="137"/>
        <v>37920</v>
      </c>
      <c r="BG108">
        <v>28900</v>
      </c>
      <c r="BH108">
        <f t="shared" si="138"/>
        <v>4046.0000000000005</v>
      </c>
      <c r="BI108">
        <f t="shared" si="139"/>
        <v>3468</v>
      </c>
      <c r="BJ108">
        <v>0</v>
      </c>
      <c r="BK108">
        <v>500</v>
      </c>
      <c r="BL108">
        <f t="shared" si="140"/>
        <v>36914</v>
      </c>
      <c r="BM108">
        <v>0</v>
      </c>
      <c r="BN108">
        <v>0</v>
      </c>
      <c r="BO108">
        <f t="shared" si="141"/>
        <v>150</v>
      </c>
      <c r="BP108">
        <f t="shared" si="142"/>
        <v>36764</v>
      </c>
      <c r="BQ108">
        <v>28900</v>
      </c>
      <c r="BR108">
        <f t="shared" si="143"/>
        <v>4046.0000000000005</v>
      </c>
      <c r="BS108">
        <f t="shared" si="144"/>
        <v>3468</v>
      </c>
      <c r="BT108">
        <v>0</v>
      </c>
      <c r="BU108">
        <v>500</v>
      </c>
      <c r="BV108">
        <f t="shared" si="145"/>
        <v>36914</v>
      </c>
      <c r="BW108">
        <v>0</v>
      </c>
      <c r="BX108">
        <v>0</v>
      </c>
      <c r="BY108">
        <f t="shared" si="146"/>
        <v>150</v>
      </c>
      <c r="BZ108">
        <f t="shared" si="147"/>
        <v>36764</v>
      </c>
      <c r="CA108">
        <v>28900</v>
      </c>
      <c r="CB108">
        <f t="shared" si="148"/>
        <v>4046.0000000000005</v>
      </c>
      <c r="CC108">
        <f t="shared" si="149"/>
        <v>3468</v>
      </c>
      <c r="CD108">
        <v>0</v>
      </c>
      <c r="CE108">
        <v>500</v>
      </c>
      <c r="CF108">
        <f t="shared" si="150"/>
        <v>36914</v>
      </c>
      <c r="CG108">
        <v>0</v>
      </c>
      <c r="CH108">
        <v>0</v>
      </c>
      <c r="CI108">
        <f t="shared" si="151"/>
        <v>150</v>
      </c>
      <c r="CJ108">
        <f t="shared" si="152"/>
        <v>36764</v>
      </c>
      <c r="CK108">
        <v>28900</v>
      </c>
      <c r="CL108">
        <f t="shared" si="153"/>
        <v>4046.0000000000005</v>
      </c>
      <c r="CM108">
        <f t="shared" si="154"/>
        <v>3468</v>
      </c>
      <c r="CN108">
        <v>0</v>
      </c>
      <c r="CO108">
        <v>500</v>
      </c>
      <c r="CP108">
        <f t="shared" si="155"/>
        <v>36914</v>
      </c>
      <c r="CQ108">
        <v>0</v>
      </c>
      <c r="CR108">
        <v>0</v>
      </c>
      <c r="CS108">
        <f t="shared" si="156"/>
        <v>150</v>
      </c>
      <c r="CT108">
        <f t="shared" si="157"/>
        <v>36764</v>
      </c>
      <c r="CU108">
        <v>28900</v>
      </c>
      <c r="CV108">
        <f t="shared" si="158"/>
        <v>4046</v>
      </c>
      <c r="CW108">
        <f t="shared" si="159"/>
        <v>3468</v>
      </c>
      <c r="CX108">
        <v>0</v>
      </c>
      <c r="CY108">
        <v>500</v>
      </c>
      <c r="CZ108">
        <f t="shared" si="160"/>
        <v>36914</v>
      </c>
      <c r="DA108">
        <v>0</v>
      </c>
      <c r="DB108">
        <v>0</v>
      </c>
      <c r="DC108">
        <f t="shared" si="161"/>
        <v>150</v>
      </c>
      <c r="DD108">
        <f t="shared" si="162"/>
        <v>36764</v>
      </c>
      <c r="DE108">
        <v>28900</v>
      </c>
      <c r="DF108">
        <f t="shared" si="163"/>
        <v>4046.0000000000005</v>
      </c>
      <c r="DG108">
        <f t="shared" si="164"/>
        <v>3468</v>
      </c>
      <c r="DH108">
        <v>0</v>
      </c>
      <c r="DI108">
        <v>500</v>
      </c>
      <c r="DJ108">
        <f t="shared" si="165"/>
        <v>36914</v>
      </c>
      <c r="DK108">
        <v>0</v>
      </c>
      <c r="DL108">
        <v>0</v>
      </c>
      <c r="DM108">
        <f t="shared" si="166"/>
        <v>150</v>
      </c>
      <c r="DN108">
        <f t="shared" si="167"/>
        <v>36764</v>
      </c>
      <c r="DO108">
        <v>28900</v>
      </c>
      <c r="DP108">
        <f t="shared" si="168"/>
        <v>4046.0000000000005</v>
      </c>
      <c r="DQ108">
        <f t="shared" si="169"/>
        <v>3468</v>
      </c>
      <c r="DR108">
        <v>0</v>
      </c>
      <c r="DS108">
        <v>500</v>
      </c>
      <c r="DT108">
        <f t="shared" si="170"/>
        <v>36914</v>
      </c>
      <c r="DU108">
        <v>0</v>
      </c>
      <c r="DV108">
        <v>0</v>
      </c>
      <c r="DW108">
        <f t="shared" si="171"/>
        <v>150</v>
      </c>
      <c r="DX108">
        <f t="shared" si="172"/>
        <v>36764</v>
      </c>
      <c r="DY108">
        <f t="shared" si="173"/>
        <v>406054</v>
      </c>
      <c r="DZ108">
        <f t="shared" si="105"/>
        <v>1650</v>
      </c>
      <c r="EA108">
        <f t="shared" si="106"/>
        <v>50000</v>
      </c>
      <c r="EB108">
        <v>0</v>
      </c>
      <c r="EC108">
        <f t="shared" si="107"/>
        <v>354404</v>
      </c>
      <c r="ED108">
        <f t="shared" si="108"/>
        <v>0</v>
      </c>
      <c r="EE108">
        <f t="shared" si="109"/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f t="shared" si="110"/>
        <v>0</v>
      </c>
      <c r="EQ108">
        <f t="shared" si="174"/>
        <v>0</v>
      </c>
      <c r="ER108">
        <f t="shared" si="111"/>
        <v>354404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f t="shared" si="175"/>
        <v>0</v>
      </c>
      <c r="FA108">
        <f t="shared" si="176"/>
        <v>354404</v>
      </c>
      <c r="FB108">
        <f t="shared" si="177"/>
        <v>5220</v>
      </c>
      <c r="FC108">
        <f t="shared" si="178"/>
        <v>0</v>
      </c>
      <c r="FD108">
        <f t="shared" si="179"/>
        <v>5220</v>
      </c>
      <c r="FE108">
        <f t="shared" si="180"/>
        <v>0</v>
      </c>
      <c r="FF108">
        <f t="shared" si="181"/>
        <v>0</v>
      </c>
      <c r="FG108">
        <f t="shared" si="182"/>
        <v>0</v>
      </c>
      <c r="FH108">
        <v>0</v>
      </c>
      <c r="FI108">
        <f t="shared" si="183"/>
        <v>0</v>
      </c>
      <c r="FJ108" t="b">
        <f t="shared" si="184"/>
        <v>0</v>
      </c>
      <c r="FK108">
        <f t="shared" ca="1" si="185"/>
        <v>1784</v>
      </c>
      <c r="FL108">
        <f t="shared" ca="1" si="186"/>
        <v>407838</v>
      </c>
      <c r="FM108">
        <f t="shared" si="187"/>
        <v>75000</v>
      </c>
      <c r="FN108">
        <f t="shared" ca="1" si="188"/>
        <v>332838</v>
      </c>
      <c r="FO108">
        <f t="shared" ca="1" si="189"/>
        <v>0</v>
      </c>
      <c r="FP108">
        <f t="shared" ca="1" si="190"/>
        <v>0</v>
      </c>
      <c r="FQ108">
        <f t="shared" ca="1" si="191"/>
        <v>0</v>
      </c>
      <c r="FR108">
        <f t="shared" ca="1" si="192"/>
        <v>0</v>
      </c>
      <c r="FS108">
        <f t="shared" ca="1" si="193"/>
        <v>0</v>
      </c>
      <c r="FT108">
        <f t="shared" ca="1" si="194"/>
        <v>0</v>
      </c>
      <c r="FU108">
        <f t="shared" ca="1" si="195"/>
        <v>0</v>
      </c>
      <c r="FV108">
        <f t="shared" ca="1" si="196"/>
        <v>0</v>
      </c>
      <c r="FW108">
        <f t="shared" ca="1" si="197"/>
        <v>32838</v>
      </c>
      <c r="FX108">
        <f t="shared" ca="1" si="198"/>
        <v>1641.9</v>
      </c>
      <c r="FY108">
        <f t="shared" ca="1" si="199"/>
        <v>1642</v>
      </c>
      <c r="FZ108">
        <f t="shared" ca="1" si="200"/>
        <v>0</v>
      </c>
      <c r="GA108">
        <f t="shared" ca="1" si="201"/>
        <v>0</v>
      </c>
      <c r="GB108">
        <f t="shared" ca="1" si="202"/>
        <v>1642</v>
      </c>
      <c r="GC108">
        <f t="shared" ca="1" si="203"/>
        <v>0</v>
      </c>
      <c r="GD108" t="b">
        <f t="shared" ca="1" si="204"/>
        <v>0</v>
      </c>
      <c r="GE108">
        <f t="shared" ca="1" si="205"/>
        <v>0</v>
      </c>
      <c r="GF108">
        <f t="shared" ca="1" si="206"/>
        <v>1642</v>
      </c>
      <c r="GG108">
        <f t="shared" ca="1" si="207"/>
        <v>0</v>
      </c>
      <c r="GH108">
        <f t="shared" ca="1" si="208"/>
        <v>0</v>
      </c>
      <c r="GI108">
        <f t="shared" ca="1" si="209"/>
        <v>0</v>
      </c>
    </row>
    <row r="109" spans="1:191" x14ac:dyDescent="0.25">
      <c r="A109">
        <f>_xlfn.AGGREGATE(3,5,$B$2:B109)</f>
        <v>108</v>
      </c>
      <c r="B109" t="s">
        <v>337</v>
      </c>
      <c r="C109" t="s">
        <v>338</v>
      </c>
      <c r="D109" t="s">
        <v>791</v>
      </c>
      <c r="E109" t="s">
        <v>843</v>
      </c>
      <c r="F109">
        <v>0</v>
      </c>
      <c r="G109">
        <v>6000</v>
      </c>
      <c r="H109">
        <v>32500</v>
      </c>
      <c r="I109">
        <f t="shared" si="112"/>
        <v>3250</v>
      </c>
      <c r="J109">
        <f t="shared" si="113"/>
        <v>3900</v>
      </c>
      <c r="K109">
        <v>400</v>
      </c>
      <c r="L109">
        <v>500</v>
      </c>
      <c r="M109">
        <f t="shared" si="114"/>
        <v>40550</v>
      </c>
      <c r="N109">
        <v>2000</v>
      </c>
      <c r="O109">
        <v>0</v>
      </c>
      <c r="P109">
        <f t="shared" si="115"/>
        <v>200</v>
      </c>
      <c r="Q109">
        <f t="shared" si="116"/>
        <v>38350</v>
      </c>
      <c r="R109">
        <v>32500</v>
      </c>
      <c r="S109">
        <f t="shared" si="117"/>
        <v>3250</v>
      </c>
      <c r="T109">
        <f t="shared" si="118"/>
        <v>3900</v>
      </c>
      <c r="U109">
        <v>400</v>
      </c>
      <c r="V109">
        <v>500</v>
      </c>
      <c r="W109">
        <f t="shared" si="119"/>
        <v>40550</v>
      </c>
      <c r="X109">
        <v>2000</v>
      </c>
      <c r="Y109">
        <v>0</v>
      </c>
      <c r="Z109">
        <f t="shared" si="120"/>
        <v>200</v>
      </c>
      <c r="AA109">
        <f t="shared" si="121"/>
        <v>38350</v>
      </c>
      <c r="AB109">
        <v>32500</v>
      </c>
      <c r="AC109">
        <f t="shared" si="122"/>
        <v>4550</v>
      </c>
      <c r="AD109">
        <f t="shared" si="123"/>
        <v>3900</v>
      </c>
      <c r="AE109">
        <v>400</v>
      </c>
      <c r="AF109">
        <v>500</v>
      </c>
      <c r="AG109">
        <f t="shared" si="124"/>
        <v>41850</v>
      </c>
      <c r="AH109">
        <v>2000</v>
      </c>
      <c r="AI109">
        <v>0</v>
      </c>
      <c r="AJ109">
        <f t="shared" si="125"/>
        <v>200</v>
      </c>
      <c r="AK109">
        <f t="shared" si="126"/>
        <v>39650</v>
      </c>
      <c r="AL109">
        <v>32500</v>
      </c>
      <c r="AM109">
        <f t="shared" si="127"/>
        <v>4550</v>
      </c>
      <c r="AN109">
        <f t="shared" si="128"/>
        <v>3900</v>
      </c>
      <c r="AO109">
        <v>400</v>
      </c>
      <c r="AP109">
        <v>500</v>
      </c>
      <c r="AQ109">
        <f t="shared" si="129"/>
        <v>41850</v>
      </c>
      <c r="AR109">
        <v>2000</v>
      </c>
      <c r="AS109">
        <v>0</v>
      </c>
      <c r="AT109">
        <f t="shared" si="130"/>
        <v>200</v>
      </c>
      <c r="AU109">
        <f t="shared" si="131"/>
        <v>39650</v>
      </c>
      <c r="AV109">
        <v>33500</v>
      </c>
      <c r="AW109">
        <f t="shared" si="132"/>
        <v>4690</v>
      </c>
      <c r="AX109">
        <f t="shared" si="133"/>
        <v>1300</v>
      </c>
      <c r="AY109">
        <f t="shared" si="134"/>
        <v>4020</v>
      </c>
      <c r="AZ109">
        <v>400</v>
      </c>
      <c r="BA109">
        <v>500</v>
      </c>
      <c r="BB109">
        <f t="shared" si="135"/>
        <v>44410</v>
      </c>
      <c r="BC109">
        <v>2500</v>
      </c>
      <c r="BD109">
        <v>0</v>
      </c>
      <c r="BE109">
        <f t="shared" si="136"/>
        <v>200</v>
      </c>
      <c r="BF109">
        <f t="shared" si="137"/>
        <v>41710</v>
      </c>
      <c r="BG109">
        <v>33500</v>
      </c>
      <c r="BH109">
        <f t="shared" si="138"/>
        <v>4690</v>
      </c>
      <c r="BI109">
        <f t="shared" si="139"/>
        <v>4020</v>
      </c>
      <c r="BJ109">
        <v>400</v>
      </c>
      <c r="BK109">
        <v>500</v>
      </c>
      <c r="BL109">
        <f t="shared" si="140"/>
        <v>43110</v>
      </c>
      <c r="BM109">
        <v>2500</v>
      </c>
      <c r="BN109">
        <v>0</v>
      </c>
      <c r="BO109">
        <f t="shared" si="141"/>
        <v>200</v>
      </c>
      <c r="BP109">
        <f t="shared" si="142"/>
        <v>40410</v>
      </c>
      <c r="BQ109">
        <v>33500</v>
      </c>
      <c r="BR109">
        <f t="shared" si="143"/>
        <v>4690</v>
      </c>
      <c r="BS109">
        <f t="shared" si="144"/>
        <v>4020</v>
      </c>
      <c r="BT109">
        <v>400</v>
      </c>
      <c r="BU109">
        <v>500</v>
      </c>
      <c r="BV109">
        <f t="shared" si="145"/>
        <v>43110</v>
      </c>
      <c r="BW109">
        <v>2500</v>
      </c>
      <c r="BX109">
        <v>0</v>
      </c>
      <c r="BY109">
        <f t="shared" si="146"/>
        <v>200</v>
      </c>
      <c r="BZ109">
        <f t="shared" si="147"/>
        <v>40410</v>
      </c>
      <c r="CA109">
        <v>33500</v>
      </c>
      <c r="CB109">
        <f t="shared" si="148"/>
        <v>4690</v>
      </c>
      <c r="CC109">
        <f t="shared" si="149"/>
        <v>4020</v>
      </c>
      <c r="CD109">
        <v>400</v>
      </c>
      <c r="CE109">
        <v>500</v>
      </c>
      <c r="CF109">
        <f t="shared" si="150"/>
        <v>43110</v>
      </c>
      <c r="CG109">
        <v>2500</v>
      </c>
      <c r="CH109">
        <v>0</v>
      </c>
      <c r="CI109">
        <f t="shared" si="151"/>
        <v>200</v>
      </c>
      <c r="CJ109">
        <f t="shared" si="152"/>
        <v>40410</v>
      </c>
      <c r="CK109">
        <v>33500</v>
      </c>
      <c r="CL109">
        <f t="shared" si="153"/>
        <v>4690</v>
      </c>
      <c r="CM109">
        <f t="shared" si="154"/>
        <v>4020</v>
      </c>
      <c r="CN109">
        <v>400</v>
      </c>
      <c r="CO109">
        <v>500</v>
      </c>
      <c r="CP109">
        <f t="shared" si="155"/>
        <v>43110</v>
      </c>
      <c r="CQ109">
        <v>2500</v>
      </c>
      <c r="CR109">
        <v>0</v>
      </c>
      <c r="CS109">
        <f t="shared" si="156"/>
        <v>200</v>
      </c>
      <c r="CT109">
        <f t="shared" si="157"/>
        <v>40410</v>
      </c>
      <c r="CU109">
        <v>33500</v>
      </c>
      <c r="CV109">
        <f t="shared" si="158"/>
        <v>4690</v>
      </c>
      <c r="CW109">
        <f t="shared" si="159"/>
        <v>4020</v>
      </c>
      <c r="CX109">
        <v>400</v>
      </c>
      <c r="CY109">
        <v>500</v>
      </c>
      <c r="CZ109">
        <f t="shared" si="160"/>
        <v>43110</v>
      </c>
      <c r="DA109">
        <v>2500</v>
      </c>
      <c r="DB109">
        <v>0</v>
      </c>
      <c r="DC109">
        <f t="shared" si="161"/>
        <v>200</v>
      </c>
      <c r="DD109">
        <f t="shared" si="162"/>
        <v>40410</v>
      </c>
      <c r="DE109">
        <v>33500</v>
      </c>
      <c r="DF109">
        <f t="shared" si="163"/>
        <v>4690</v>
      </c>
      <c r="DG109">
        <f t="shared" si="164"/>
        <v>4020</v>
      </c>
      <c r="DH109">
        <v>400</v>
      </c>
      <c r="DI109">
        <v>500</v>
      </c>
      <c r="DJ109">
        <f t="shared" si="165"/>
        <v>43110</v>
      </c>
      <c r="DK109">
        <v>2500</v>
      </c>
      <c r="DL109">
        <v>0</v>
      </c>
      <c r="DM109">
        <f t="shared" si="166"/>
        <v>200</v>
      </c>
      <c r="DN109">
        <f t="shared" si="167"/>
        <v>40410</v>
      </c>
      <c r="DO109">
        <v>33500</v>
      </c>
      <c r="DP109">
        <f t="shared" si="168"/>
        <v>4690</v>
      </c>
      <c r="DQ109">
        <f t="shared" si="169"/>
        <v>4020</v>
      </c>
      <c r="DR109">
        <v>400</v>
      </c>
      <c r="DS109">
        <v>500</v>
      </c>
      <c r="DT109">
        <f t="shared" si="170"/>
        <v>43110</v>
      </c>
      <c r="DU109">
        <v>2500</v>
      </c>
      <c r="DV109">
        <v>0</v>
      </c>
      <c r="DW109">
        <f t="shared" si="171"/>
        <v>200</v>
      </c>
      <c r="DX109">
        <f t="shared" si="172"/>
        <v>40410</v>
      </c>
      <c r="DY109">
        <f t="shared" si="173"/>
        <v>516980</v>
      </c>
      <c r="DZ109">
        <f t="shared" si="105"/>
        <v>2400</v>
      </c>
      <c r="EA109">
        <f t="shared" si="106"/>
        <v>50000</v>
      </c>
      <c r="EB109">
        <v>0</v>
      </c>
      <c r="EC109">
        <f t="shared" si="107"/>
        <v>464580</v>
      </c>
      <c r="ED109">
        <f t="shared" si="108"/>
        <v>28000</v>
      </c>
      <c r="EE109">
        <f t="shared" si="109"/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f t="shared" si="110"/>
        <v>28000</v>
      </c>
      <c r="EQ109">
        <f t="shared" si="174"/>
        <v>28000</v>
      </c>
      <c r="ER109">
        <f t="shared" si="111"/>
        <v>436580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f t="shared" si="175"/>
        <v>0</v>
      </c>
      <c r="FA109">
        <f t="shared" si="176"/>
        <v>436580</v>
      </c>
      <c r="FB109">
        <f t="shared" si="177"/>
        <v>9329</v>
      </c>
      <c r="FC109">
        <f t="shared" si="178"/>
        <v>0</v>
      </c>
      <c r="FD109">
        <f t="shared" si="179"/>
        <v>9329</v>
      </c>
      <c r="FE109">
        <f t="shared" si="180"/>
        <v>0</v>
      </c>
      <c r="FF109">
        <f t="shared" si="181"/>
        <v>0</v>
      </c>
      <c r="FG109">
        <f t="shared" si="182"/>
        <v>0</v>
      </c>
      <c r="FH109">
        <v>0</v>
      </c>
      <c r="FI109">
        <f t="shared" si="183"/>
        <v>0</v>
      </c>
      <c r="FJ109" t="b">
        <f t="shared" si="184"/>
        <v>1</v>
      </c>
      <c r="FK109">
        <f t="shared" ca="1" si="185"/>
        <v>825</v>
      </c>
      <c r="FL109">
        <f t="shared" ca="1" si="186"/>
        <v>517805</v>
      </c>
      <c r="FM109">
        <f t="shared" si="187"/>
        <v>75000</v>
      </c>
      <c r="FN109">
        <f t="shared" ca="1" si="188"/>
        <v>442805</v>
      </c>
      <c r="FO109">
        <f t="shared" ca="1" si="189"/>
        <v>0</v>
      </c>
      <c r="FP109">
        <f t="shared" ca="1" si="190"/>
        <v>0</v>
      </c>
      <c r="FQ109">
        <f t="shared" ca="1" si="191"/>
        <v>0</v>
      </c>
      <c r="FR109">
        <f t="shared" ca="1" si="192"/>
        <v>0</v>
      </c>
      <c r="FS109">
        <f t="shared" ca="1" si="193"/>
        <v>0</v>
      </c>
      <c r="FT109">
        <f t="shared" ca="1" si="194"/>
        <v>0</v>
      </c>
      <c r="FU109">
        <f t="shared" ca="1" si="195"/>
        <v>0</v>
      </c>
      <c r="FV109">
        <f t="shared" ca="1" si="196"/>
        <v>0</v>
      </c>
      <c r="FW109">
        <f t="shared" ca="1" si="197"/>
        <v>142805</v>
      </c>
      <c r="FX109">
        <f t="shared" ca="1" si="198"/>
        <v>7140.25</v>
      </c>
      <c r="FY109">
        <f t="shared" ca="1" si="199"/>
        <v>7140</v>
      </c>
      <c r="FZ109">
        <f t="shared" ca="1" si="200"/>
        <v>0</v>
      </c>
      <c r="GA109">
        <f t="shared" ca="1" si="201"/>
        <v>0</v>
      </c>
      <c r="GB109">
        <f t="shared" ca="1" si="202"/>
        <v>7140</v>
      </c>
      <c r="GC109">
        <f t="shared" ca="1" si="203"/>
        <v>0</v>
      </c>
      <c r="GD109" t="b">
        <f t="shared" ca="1" si="204"/>
        <v>0</v>
      </c>
      <c r="GE109">
        <f t="shared" ca="1" si="205"/>
        <v>0</v>
      </c>
      <c r="GF109">
        <f t="shared" ca="1" si="206"/>
        <v>7140</v>
      </c>
      <c r="GG109">
        <f t="shared" ca="1" si="207"/>
        <v>0</v>
      </c>
      <c r="GH109">
        <f t="shared" ca="1" si="208"/>
        <v>0</v>
      </c>
      <c r="GI109">
        <f t="shared" ca="1" si="209"/>
        <v>0</v>
      </c>
    </row>
    <row r="110" spans="1:191" x14ac:dyDescent="0.25">
      <c r="A110">
        <f>_xlfn.AGGREGATE(3,5,$B$2:B110)</f>
        <v>109</v>
      </c>
      <c r="B110" t="s">
        <v>339</v>
      </c>
      <c r="C110" t="s">
        <v>340</v>
      </c>
      <c r="D110" t="s">
        <v>791</v>
      </c>
      <c r="E110" t="s">
        <v>843</v>
      </c>
      <c r="F110">
        <v>0</v>
      </c>
      <c r="G110">
        <v>6000</v>
      </c>
      <c r="H110">
        <v>32500</v>
      </c>
      <c r="I110">
        <f t="shared" si="112"/>
        <v>3250</v>
      </c>
      <c r="J110">
        <f t="shared" si="113"/>
        <v>3900</v>
      </c>
      <c r="K110">
        <v>0</v>
      </c>
      <c r="L110">
        <v>0</v>
      </c>
      <c r="M110">
        <f t="shared" si="114"/>
        <v>39650</v>
      </c>
      <c r="N110">
        <v>2000</v>
      </c>
      <c r="O110">
        <v>0</v>
      </c>
      <c r="P110">
        <f t="shared" si="115"/>
        <v>150</v>
      </c>
      <c r="Q110">
        <f t="shared" si="116"/>
        <v>37500</v>
      </c>
      <c r="R110">
        <v>32500</v>
      </c>
      <c r="S110">
        <f t="shared" si="117"/>
        <v>3250</v>
      </c>
      <c r="T110">
        <f t="shared" si="118"/>
        <v>3900</v>
      </c>
      <c r="U110">
        <v>0</v>
      </c>
      <c r="V110">
        <v>0</v>
      </c>
      <c r="W110">
        <f t="shared" si="119"/>
        <v>39650</v>
      </c>
      <c r="X110">
        <v>2000</v>
      </c>
      <c r="Y110">
        <v>0</v>
      </c>
      <c r="Z110">
        <f t="shared" si="120"/>
        <v>150</v>
      </c>
      <c r="AA110">
        <f t="shared" si="121"/>
        <v>37500</v>
      </c>
      <c r="AB110">
        <v>32500</v>
      </c>
      <c r="AC110">
        <f t="shared" si="122"/>
        <v>4550</v>
      </c>
      <c r="AD110">
        <f t="shared" si="123"/>
        <v>3900</v>
      </c>
      <c r="AE110">
        <v>0</v>
      </c>
      <c r="AF110">
        <v>0</v>
      </c>
      <c r="AG110">
        <f t="shared" si="124"/>
        <v>40950</v>
      </c>
      <c r="AH110">
        <v>2000</v>
      </c>
      <c r="AI110">
        <v>0</v>
      </c>
      <c r="AJ110">
        <f t="shared" si="125"/>
        <v>200</v>
      </c>
      <c r="AK110">
        <f t="shared" si="126"/>
        <v>38750</v>
      </c>
      <c r="AL110">
        <v>32500</v>
      </c>
      <c r="AM110">
        <f t="shared" si="127"/>
        <v>4550</v>
      </c>
      <c r="AN110">
        <f t="shared" si="128"/>
        <v>3900</v>
      </c>
      <c r="AO110">
        <v>0</v>
      </c>
      <c r="AP110">
        <v>0</v>
      </c>
      <c r="AQ110">
        <f t="shared" si="129"/>
        <v>40950</v>
      </c>
      <c r="AR110">
        <v>2000</v>
      </c>
      <c r="AS110">
        <v>0</v>
      </c>
      <c r="AT110">
        <f t="shared" si="130"/>
        <v>200</v>
      </c>
      <c r="AU110">
        <f t="shared" si="131"/>
        <v>38750</v>
      </c>
      <c r="AV110">
        <v>33500</v>
      </c>
      <c r="AW110">
        <f t="shared" si="132"/>
        <v>4690</v>
      </c>
      <c r="AX110">
        <f t="shared" si="133"/>
        <v>1300</v>
      </c>
      <c r="AY110">
        <f t="shared" si="134"/>
        <v>4020</v>
      </c>
      <c r="AZ110">
        <v>0</v>
      </c>
      <c r="BA110">
        <v>500</v>
      </c>
      <c r="BB110">
        <f t="shared" si="135"/>
        <v>44010</v>
      </c>
      <c r="BC110">
        <v>2500</v>
      </c>
      <c r="BD110">
        <v>0</v>
      </c>
      <c r="BE110">
        <f t="shared" si="136"/>
        <v>200</v>
      </c>
      <c r="BF110">
        <f t="shared" si="137"/>
        <v>41310</v>
      </c>
      <c r="BG110">
        <v>33500</v>
      </c>
      <c r="BH110">
        <f t="shared" si="138"/>
        <v>4690</v>
      </c>
      <c r="BI110">
        <f t="shared" si="139"/>
        <v>4020</v>
      </c>
      <c r="BJ110">
        <v>0</v>
      </c>
      <c r="BK110">
        <v>500</v>
      </c>
      <c r="BL110">
        <f t="shared" si="140"/>
        <v>42710</v>
      </c>
      <c r="BM110">
        <v>2500</v>
      </c>
      <c r="BN110">
        <v>0</v>
      </c>
      <c r="BO110">
        <f t="shared" si="141"/>
        <v>200</v>
      </c>
      <c r="BP110">
        <f t="shared" si="142"/>
        <v>40010</v>
      </c>
      <c r="BQ110">
        <v>33500</v>
      </c>
      <c r="BR110">
        <f t="shared" si="143"/>
        <v>4690</v>
      </c>
      <c r="BS110">
        <f t="shared" si="144"/>
        <v>4020</v>
      </c>
      <c r="BT110">
        <v>0</v>
      </c>
      <c r="BU110">
        <v>500</v>
      </c>
      <c r="BV110">
        <f t="shared" si="145"/>
        <v>42710</v>
      </c>
      <c r="BW110">
        <v>2500</v>
      </c>
      <c r="BX110">
        <v>0</v>
      </c>
      <c r="BY110">
        <f t="shared" si="146"/>
        <v>200</v>
      </c>
      <c r="BZ110">
        <f t="shared" si="147"/>
        <v>40010</v>
      </c>
      <c r="CA110">
        <v>33500</v>
      </c>
      <c r="CB110">
        <f t="shared" si="148"/>
        <v>4690</v>
      </c>
      <c r="CC110">
        <f t="shared" si="149"/>
        <v>4020</v>
      </c>
      <c r="CD110">
        <v>0</v>
      </c>
      <c r="CE110">
        <v>500</v>
      </c>
      <c r="CF110">
        <f t="shared" si="150"/>
        <v>42710</v>
      </c>
      <c r="CG110">
        <v>2500</v>
      </c>
      <c r="CH110">
        <v>0</v>
      </c>
      <c r="CI110">
        <f t="shared" si="151"/>
        <v>200</v>
      </c>
      <c r="CJ110">
        <f t="shared" si="152"/>
        <v>40010</v>
      </c>
      <c r="CK110">
        <v>33500</v>
      </c>
      <c r="CL110">
        <f t="shared" si="153"/>
        <v>4690</v>
      </c>
      <c r="CM110">
        <f t="shared" si="154"/>
        <v>4020</v>
      </c>
      <c r="CN110">
        <v>0</v>
      </c>
      <c r="CO110">
        <v>500</v>
      </c>
      <c r="CP110">
        <f t="shared" si="155"/>
        <v>42710</v>
      </c>
      <c r="CQ110">
        <v>2500</v>
      </c>
      <c r="CR110">
        <v>0</v>
      </c>
      <c r="CS110">
        <f t="shared" si="156"/>
        <v>200</v>
      </c>
      <c r="CT110">
        <f t="shared" si="157"/>
        <v>40010</v>
      </c>
      <c r="CU110">
        <v>33500</v>
      </c>
      <c r="CV110">
        <f t="shared" si="158"/>
        <v>4690</v>
      </c>
      <c r="CW110">
        <f t="shared" si="159"/>
        <v>4020</v>
      </c>
      <c r="CX110">
        <v>0</v>
      </c>
      <c r="CY110">
        <v>500</v>
      </c>
      <c r="CZ110">
        <f t="shared" si="160"/>
        <v>42710</v>
      </c>
      <c r="DA110">
        <v>2500</v>
      </c>
      <c r="DB110">
        <v>0</v>
      </c>
      <c r="DC110">
        <f t="shared" si="161"/>
        <v>200</v>
      </c>
      <c r="DD110">
        <f t="shared" si="162"/>
        <v>40010</v>
      </c>
      <c r="DE110">
        <v>33500</v>
      </c>
      <c r="DF110">
        <f t="shared" si="163"/>
        <v>4690</v>
      </c>
      <c r="DG110">
        <f t="shared" si="164"/>
        <v>4020</v>
      </c>
      <c r="DH110">
        <v>0</v>
      </c>
      <c r="DI110">
        <v>500</v>
      </c>
      <c r="DJ110">
        <f t="shared" si="165"/>
        <v>42710</v>
      </c>
      <c r="DK110">
        <v>2500</v>
      </c>
      <c r="DL110">
        <v>0</v>
      </c>
      <c r="DM110">
        <f t="shared" si="166"/>
        <v>200</v>
      </c>
      <c r="DN110">
        <f t="shared" si="167"/>
        <v>40010</v>
      </c>
      <c r="DO110">
        <v>33500</v>
      </c>
      <c r="DP110">
        <f t="shared" si="168"/>
        <v>4690</v>
      </c>
      <c r="DQ110">
        <f t="shared" si="169"/>
        <v>4020</v>
      </c>
      <c r="DR110">
        <v>0</v>
      </c>
      <c r="DS110">
        <v>500</v>
      </c>
      <c r="DT110">
        <f t="shared" si="170"/>
        <v>42710</v>
      </c>
      <c r="DU110">
        <v>2500</v>
      </c>
      <c r="DV110">
        <v>0</v>
      </c>
      <c r="DW110">
        <f t="shared" si="171"/>
        <v>200</v>
      </c>
      <c r="DX110">
        <f t="shared" si="172"/>
        <v>40010</v>
      </c>
      <c r="DY110">
        <f t="shared" si="173"/>
        <v>510180</v>
      </c>
      <c r="DZ110">
        <f t="shared" si="105"/>
        <v>2300</v>
      </c>
      <c r="EA110">
        <f t="shared" si="106"/>
        <v>50000</v>
      </c>
      <c r="EB110">
        <v>0</v>
      </c>
      <c r="EC110">
        <f t="shared" si="107"/>
        <v>457880</v>
      </c>
      <c r="ED110">
        <f t="shared" si="108"/>
        <v>28000</v>
      </c>
      <c r="EE110">
        <f t="shared" si="109"/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f t="shared" si="110"/>
        <v>28000</v>
      </c>
      <c r="EQ110">
        <f t="shared" si="174"/>
        <v>28000</v>
      </c>
      <c r="ER110">
        <f t="shared" si="111"/>
        <v>429880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f t="shared" si="175"/>
        <v>0</v>
      </c>
      <c r="FA110">
        <f t="shared" si="176"/>
        <v>429880</v>
      </c>
      <c r="FB110">
        <f t="shared" si="177"/>
        <v>8994</v>
      </c>
      <c r="FC110">
        <f t="shared" si="178"/>
        <v>0</v>
      </c>
      <c r="FD110">
        <f t="shared" si="179"/>
        <v>8994</v>
      </c>
      <c r="FE110">
        <f t="shared" si="180"/>
        <v>0</v>
      </c>
      <c r="FF110">
        <f t="shared" si="181"/>
        <v>0</v>
      </c>
      <c r="FG110">
        <f t="shared" si="182"/>
        <v>0</v>
      </c>
      <c r="FH110">
        <v>0</v>
      </c>
      <c r="FI110">
        <f t="shared" si="183"/>
        <v>0</v>
      </c>
      <c r="FJ110" t="b">
        <f t="shared" si="184"/>
        <v>1</v>
      </c>
      <c r="FK110">
        <f t="shared" ca="1" si="185"/>
        <v>972</v>
      </c>
      <c r="FL110">
        <f t="shared" ca="1" si="186"/>
        <v>511152</v>
      </c>
      <c r="FM110">
        <f t="shared" si="187"/>
        <v>75000</v>
      </c>
      <c r="FN110">
        <f t="shared" ca="1" si="188"/>
        <v>436152</v>
      </c>
      <c r="FO110">
        <f t="shared" ca="1" si="189"/>
        <v>0</v>
      </c>
      <c r="FP110">
        <f t="shared" ca="1" si="190"/>
        <v>0</v>
      </c>
      <c r="FQ110">
        <f t="shared" ca="1" si="191"/>
        <v>0</v>
      </c>
      <c r="FR110">
        <f t="shared" ca="1" si="192"/>
        <v>0</v>
      </c>
      <c r="FS110">
        <f t="shared" ca="1" si="193"/>
        <v>0</v>
      </c>
      <c r="FT110">
        <f t="shared" ca="1" si="194"/>
        <v>0</v>
      </c>
      <c r="FU110">
        <f t="shared" ca="1" si="195"/>
        <v>0</v>
      </c>
      <c r="FV110">
        <f t="shared" ca="1" si="196"/>
        <v>0</v>
      </c>
      <c r="FW110">
        <f t="shared" ca="1" si="197"/>
        <v>136152</v>
      </c>
      <c r="FX110">
        <f t="shared" ca="1" si="198"/>
        <v>6807.6</v>
      </c>
      <c r="FY110">
        <f t="shared" ca="1" si="199"/>
        <v>6808</v>
      </c>
      <c r="FZ110">
        <f t="shared" ca="1" si="200"/>
        <v>0</v>
      </c>
      <c r="GA110">
        <f t="shared" ca="1" si="201"/>
        <v>0</v>
      </c>
      <c r="GB110">
        <f t="shared" ca="1" si="202"/>
        <v>6808</v>
      </c>
      <c r="GC110">
        <f t="shared" ca="1" si="203"/>
        <v>0</v>
      </c>
      <c r="GD110" t="b">
        <f t="shared" ca="1" si="204"/>
        <v>0</v>
      </c>
      <c r="GE110">
        <f t="shared" ca="1" si="205"/>
        <v>0</v>
      </c>
      <c r="GF110">
        <f t="shared" ca="1" si="206"/>
        <v>6808</v>
      </c>
      <c r="GG110">
        <f t="shared" ca="1" si="207"/>
        <v>0</v>
      </c>
      <c r="GH110">
        <f t="shared" ca="1" si="208"/>
        <v>0</v>
      </c>
      <c r="GI110">
        <f t="shared" ca="1" si="209"/>
        <v>0</v>
      </c>
    </row>
    <row r="111" spans="1:191" x14ac:dyDescent="0.25">
      <c r="A111">
        <f>_xlfn.AGGREGATE(3,5,$B$2:B111)</f>
        <v>110</v>
      </c>
      <c r="B111" t="s">
        <v>341</v>
      </c>
      <c r="C111" t="s">
        <v>342</v>
      </c>
      <c r="D111" t="s">
        <v>791</v>
      </c>
      <c r="E111" t="s">
        <v>843</v>
      </c>
      <c r="F111">
        <v>0</v>
      </c>
      <c r="G111">
        <v>6000</v>
      </c>
      <c r="H111">
        <v>30700</v>
      </c>
      <c r="I111">
        <f t="shared" si="112"/>
        <v>3070</v>
      </c>
      <c r="J111">
        <f t="shared" si="113"/>
        <v>3684</v>
      </c>
      <c r="K111">
        <v>0</v>
      </c>
      <c r="L111">
        <v>0</v>
      </c>
      <c r="M111">
        <f t="shared" si="114"/>
        <v>37454</v>
      </c>
      <c r="N111">
        <v>2000</v>
      </c>
      <c r="O111">
        <v>0</v>
      </c>
      <c r="P111">
        <f t="shared" si="115"/>
        <v>150</v>
      </c>
      <c r="Q111">
        <f t="shared" si="116"/>
        <v>35304</v>
      </c>
      <c r="R111">
        <v>30700</v>
      </c>
      <c r="S111">
        <f t="shared" si="117"/>
        <v>3070</v>
      </c>
      <c r="T111">
        <f t="shared" si="118"/>
        <v>3684</v>
      </c>
      <c r="U111">
        <v>0</v>
      </c>
      <c r="V111">
        <v>0</v>
      </c>
      <c r="W111">
        <f t="shared" si="119"/>
        <v>37454</v>
      </c>
      <c r="X111">
        <v>2000</v>
      </c>
      <c r="Y111">
        <v>0</v>
      </c>
      <c r="Z111">
        <f t="shared" si="120"/>
        <v>150</v>
      </c>
      <c r="AA111">
        <f t="shared" si="121"/>
        <v>35304</v>
      </c>
      <c r="AB111">
        <v>30700</v>
      </c>
      <c r="AC111">
        <f t="shared" si="122"/>
        <v>4298</v>
      </c>
      <c r="AD111">
        <f t="shared" si="123"/>
        <v>3684</v>
      </c>
      <c r="AE111">
        <v>0</v>
      </c>
      <c r="AF111">
        <v>0</v>
      </c>
      <c r="AG111">
        <f t="shared" si="124"/>
        <v>38682</v>
      </c>
      <c r="AH111">
        <v>2000</v>
      </c>
      <c r="AI111">
        <v>0</v>
      </c>
      <c r="AJ111">
        <f t="shared" si="125"/>
        <v>150</v>
      </c>
      <c r="AK111">
        <f t="shared" si="126"/>
        <v>36532</v>
      </c>
      <c r="AL111">
        <v>30700</v>
      </c>
      <c r="AM111">
        <f t="shared" si="127"/>
        <v>4298</v>
      </c>
      <c r="AN111">
        <f t="shared" si="128"/>
        <v>3684</v>
      </c>
      <c r="AO111">
        <v>0</v>
      </c>
      <c r="AP111">
        <v>0</v>
      </c>
      <c r="AQ111">
        <f t="shared" si="129"/>
        <v>38682</v>
      </c>
      <c r="AR111">
        <v>2000</v>
      </c>
      <c r="AS111">
        <v>0</v>
      </c>
      <c r="AT111">
        <f t="shared" si="130"/>
        <v>150</v>
      </c>
      <c r="AU111">
        <f t="shared" si="131"/>
        <v>36532</v>
      </c>
      <c r="AV111">
        <v>31600</v>
      </c>
      <c r="AW111">
        <f t="shared" si="132"/>
        <v>4424</v>
      </c>
      <c r="AX111">
        <f t="shared" si="133"/>
        <v>1228</v>
      </c>
      <c r="AY111">
        <f t="shared" si="134"/>
        <v>3792</v>
      </c>
      <c r="AZ111">
        <v>0</v>
      </c>
      <c r="BA111">
        <v>0</v>
      </c>
      <c r="BB111">
        <f t="shared" si="135"/>
        <v>41044</v>
      </c>
      <c r="BC111">
        <v>2000</v>
      </c>
      <c r="BD111">
        <v>0</v>
      </c>
      <c r="BE111">
        <f t="shared" si="136"/>
        <v>200</v>
      </c>
      <c r="BF111">
        <f t="shared" si="137"/>
        <v>38844</v>
      </c>
      <c r="BG111">
        <v>31600</v>
      </c>
      <c r="BH111">
        <f t="shared" si="138"/>
        <v>4424</v>
      </c>
      <c r="BI111">
        <f t="shared" si="139"/>
        <v>3792</v>
      </c>
      <c r="BJ111">
        <v>0</v>
      </c>
      <c r="BK111">
        <v>0</v>
      </c>
      <c r="BL111">
        <f t="shared" si="140"/>
        <v>39816</v>
      </c>
      <c r="BM111">
        <v>2000</v>
      </c>
      <c r="BN111">
        <v>0</v>
      </c>
      <c r="BO111">
        <f t="shared" si="141"/>
        <v>150</v>
      </c>
      <c r="BP111">
        <f t="shared" si="142"/>
        <v>37666</v>
      </c>
      <c r="BQ111">
        <v>31600</v>
      </c>
      <c r="BR111">
        <f t="shared" si="143"/>
        <v>4424</v>
      </c>
      <c r="BS111">
        <f t="shared" si="144"/>
        <v>3792</v>
      </c>
      <c r="BT111">
        <v>0</v>
      </c>
      <c r="BU111">
        <v>0</v>
      </c>
      <c r="BV111">
        <f t="shared" si="145"/>
        <v>39816</v>
      </c>
      <c r="BW111">
        <v>2000</v>
      </c>
      <c r="BX111">
        <v>0</v>
      </c>
      <c r="BY111">
        <f t="shared" si="146"/>
        <v>150</v>
      </c>
      <c r="BZ111">
        <f t="shared" si="147"/>
        <v>37666</v>
      </c>
      <c r="CA111">
        <v>31600</v>
      </c>
      <c r="CB111">
        <f t="shared" si="148"/>
        <v>4424</v>
      </c>
      <c r="CC111">
        <f t="shared" si="149"/>
        <v>3792</v>
      </c>
      <c r="CD111">
        <v>0</v>
      </c>
      <c r="CE111">
        <v>0</v>
      </c>
      <c r="CF111">
        <f t="shared" si="150"/>
        <v>39816</v>
      </c>
      <c r="CG111">
        <v>2000</v>
      </c>
      <c r="CH111">
        <v>0</v>
      </c>
      <c r="CI111">
        <f t="shared" si="151"/>
        <v>150</v>
      </c>
      <c r="CJ111">
        <f t="shared" si="152"/>
        <v>37666</v>
      </c>
      <c r="CK111">
        <v>31600</v>
      </c>
      <c r="CL111">
        <f t="shared" si="153"/>
        <v>4424</v>
      </c>
      <c r="CM111">
        <f t="shared" si="154"/>
        <v>3792</v>
      </c>
      <c r="CN111">
        <v>0</v>
      </c>
      <c r="CO111">
        <v>0</v>
      </c>
      <c r="CP111">
        <f t="shared" si="155"/>
        <v>39816</v>
      </c>
      <c r="CQ111">
        <v>2000</v>
      </c>
      <c r="CR111">
        <v>0</v>
      </c>
      <c r="CS111">
        <f t="shared" si="156"/>
        <v>150</v>
      </c>
      <c r="CT111">
        <f t="shared" si="157"/>
        <v>37666</v>
      </c>
      <c r="CU111">
        <v>31600</v>
      </c>
      <c r="CV111">
        <f t="shared" si="158"/>
        <v>4424</v>
      </c>
      <c r="CW111">
        <f t="shared" si="159"/>
        <v>3792</v>
      </c>
      <c r="CX111">
        <v>0</v>
      </c>
      <c r="CY111">
        <v>0</v>
      </c>
      <c r="CZ111">
        <f t="shared" si="160"/>
        <v>39816</v>
      </c>
      <c r="DA111">
        <v>2000</v>
      </c>
      <c r="DB111">
        <v>0</v>
      </c>
      <c r="DC111">
        <f t="shared" si="161"/>
        <v>150</v>
      </c>
      <c r="DD111">
        <f t="shared" si="162"/>
        <v>37666</v>
      </c>
      <c r="DE111">
        <v>31600</v>
      </c>
      <c r="DF111">
        <f t="shared" si="163"/>
        <v>4424</v>
      </c>
      <c r="DG111">
        <f t="shared" si="164"/>
        <v>3792</v>
      </c>
      <c r="DH111">
        <v>0</v>
      </c>
      <c r="DI111">
        <v>0</v>
      </c>
      <c r="DJ111">
        <f t="shared" si="165"/>
        <v>39816</v>
      </c>
      <c r="DK111">
        <v>2000</v>
      </c>
      <c r="DL111">
        <v>0</v>
      </c>
      <c r="DM111">
        <f t="shared" si="166"/>
        <v>150</v>
      </c>
      <c r="DN111">
        <f t="shared" si="167"/>
        <v>37666</v>
      </c>
      <c r="DO111">
        <v>31600</v>
      </c>
      <c r="DP111">
        <f t="shared" si="168"/>
        <v>4424</v>
      </c>
      <c r="DQ111">
        <f t="shared" si="169"/>
        <v>3792</v>
      </c>
      <c r="DR111">
        <v>0</v>
      </c>
      <c r="DS111">
        <v>0</v>
      </c>
      <c r="DT111">
        <f t="shared" si="170"/>
        <v>39816</v>
      </c>
      <c r="DU111">
        <v>2000</v>
      </c>
      <c r="DV111">
        <v>0</v>
      </c>
      <c r="DW111">
        <f t="shared" si="171"/>
        <v>150</v>
      </c>
      <c r="DX111">
        <f t="shared" si="172"/>
        <v>37666</v>
      </c>
      <c r="DY111">
        <f t="shared" si="173"/>
        <v>478028</v>
      </c>
      <c r="DZ111">
        <f t="shared" si="105"/>
        <v>1850</v>
      </c>
      <c r="EA111">
        <f t="shared" si="106"/>
        <v>50000</v>
      </c>
      <c r="EB111">
        <v>0</v>
      </c>
      <c r="EC111">
        <f t="shared" si="107"/>
        <v>426178</v>
      </c>
      <c r="ED111">
        <f t="shared" si="108"/>
        <v>24000</v>
      </c>
      <c r="EE111">
        <f t="shared" si="109"/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f t="shared" si="110"/>
        <v>24000</v>
      </c>
      <c r="EQ111">
        <f t="shared" si="174"/>
        <v>24000</v>
      </c>
      <c r="ER111">
        <f t="shared" si="111"/>
        <v>402178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f t="shared" si="175"/>
        <v>0</v>
      </c>
      <c r="FA111">
        <f t="shared" si="176"/>
        <v>402178</v>
      </c>
      <c r="FB111">
        <f t="shared" si="177"/>
        <v>7609</v>
      </c>
      <c r="FC111">
        <f t="shared" si="178"/>
        <v>0</v>
      </c>
      <c r="FD111">
        <f t="shared" si="179"/>
        <v>7609</v>
      </c>
      <c r="FE111">
        <f t="shared" si="180"/>
        <v>0</v>
      </c>
      <c r="FF111">
        <f t="shared" si="181"/>
        <v>0</v>
      </c>
      <c r="FG111">
        <f t="shared" si="182"/>
        <v>0</v>
      </c>
      <c r="FH111">
        <v>0</v>
      </c>
      <c r="FI111">
        <f t="shared" si="183"/>
        <v>0</v>
      </c>
      <c r="FJ111" t="b">
        <f t="shared" si="184"/>
        <v>0</v>
      </c>
      <c r="FK111">
        <f t="shared" ca="1" si="185"/>
        <v>2612</v>
      </c>
      <c r="FL111">
        <f t="shared" ca="1" si="186"/>
        <v>480640</v>
      </c>
      <c r="FM111">
        <f t="shared" si="187"/>
        <v>75000</v>
      </c>
      <c r="FN111">
        <f t="shared" ca="1" si="188"/>
        <v>405640</v>
      </c>
      <c r="FO111">
        <f t="shared" ca="1" si="189"/>
        <v>0</v>
      </c>
      <c r="FP111">
        <f t="shared" ca="1" si="190"/>
        <v>0</v>
      </c>
      <c r="FQ111">
        <f t="shared" ca="1" si="191"/>
        <v>0</v>
      </c>
      <c r="FR111">
        <f t="shared" ca="1" si="192"/>
        <v>0</v>
      </c>
      <c r="FS111">
        <f t="shared" ca="1" si="193"/>
        <v>0</v>
      </c>
      <c r="FT111">
        <f t="shared" ca="1" si="194"/>
        <v>0</v>
      </c>
      <c r="FU111">
        <f t="shared" ca="1" si="195"/>
        <v>0</v>
      </c>
      <c r="FV111">
        <f t="shared" ca="1" si="196"/>
        <v>0</v>
      </c>
      <c r="FW111">
        <f t="shared" ca="1" si="197"/>
        <v>105640</v>
      </c>
      <c r="FX111">
        <f t="shared" ca="1" si="198"/>
        <v>5282</v>
      </c>
      <c r="FY111">
        <f t="shared" ca="1" si="199"/>
        <v>5282</v>
      </c>
      <c r="FZ111">
        <f t="shared" ca="1" si="200"/>
        <v>0</v>
      </c>
      <c r="GA111">
        <f t="shared" ca="1" si="201"/>
        <v>0</v>
      </c>
      <c r="GB111">
        <f t="shared" ca="1" si="202"/>
        <v>5282</v>
      </c>
      <c r="GC111">
        <f t="shared" ca="1" si="203"/>
        <v>0</v>
      </c>
      <c r="GD111" t="b">
        <f t="shared" ca="1" si="204"/>
        <v>0</v>
      </c>
      <c r="GE111">
        <f t="shared" ca="1" si="205"/>
        <v>0</v>
      </c>
      <c r="GF111">
        <f t="shared" ca="1" si="206"/>
        <v>5282</v>
      </c>
      <c r="GG111">
        <f t="shared" ca="1" si="207"/>
        <v>0</v>
      </c>
      <c r="GH111">
        <f t="shared" ca="1" si="208"/>
        <v>0</v>
      </c>
      <c r="GI111">
        <f t="shared" ca="1" si="209"/>
        <v>0</v>
      </c>
    </row>
    <row r="112" spans="1:191" x14ac:dyDescent="0.25">
      <c r="A112">
        <f>_xlfn.AGGREGATE(3,5,$B$2:B112)</f>
        <v>111</v>
      </c>
      <c r="B112" t="s">
        <v>343</v>
      </c>
      <c r="C112" t="s">
        <v>344</v>
      </c>
      <c r="D112" t="s">
        <v>792</v>
      </c>
      <c r="E112" t="s">
        <v>844</v>
      </c>
      <c r="F112">
        <v>0</v>
      </c>
      <c r="G112">
        <v>0</v>
      </c>
      <c r="H112">
        <v>50200</v>
      </c>
      <c r="I112">
        <f t="shared" si="112"/>
        <v>5020</v>
      </c>
      <c r="J112">
        <f t="shared" si="113"/>
        <v>6024</v>
      </c>
      <c r="K112">
        <v>400</v>
      </c>
      <c r="L112">
        <v>500</v>
      </c>
      <c r="M112">
        <f t="shared" si="114"/>
        <v>62144</v>
      </c>
      <c r="N112">
        <v>10000</v>
      </c>
      <c r="O112">
        <v>60</v>
      </c>
      <c r="P112">
        <f t="shared" si="115"/>
        <v>200</v>
      </c>
      <c r="Q112">
        <f t="shared" si="116"/>
        <v>51884</v>
      </c>
      <c r="R112">
        <v>50200</v>
      </c>
      <c r="S112">
        <f t="shared" si="117"/>
        <v>5020</v>
      </c>
      <c r="T112">
        <f t="shared" si="118"/>
        <v>6024</v>
      </c>
      <c r="U112">
        <v>400</v>
      </c>
      <c r="V112">
        <v>500</v>
      </c>
      <c r="W112">
        <f t="shared" si="119"/>
        <v>62144</v>
      </c>
      <c r="X112">
        <v>10000</v>
      </c>
      <c r="Y112">
        <v>60</v>
      </c>
      <c r="Z112">
        <f t="shared" si="120"/>
        <v>200</v>
      </c>
      <c r="AA112">
        <f t="shared" si="121"/>
        <v>51884</v>
      </c>
      <c r="AB112">
        <v>50200</v>
      </c>
      <c r="AC112">
        <f t="shared" si="122"/>
        <v>7028.0000000000009</v>
      </c>
      <c r="AD112">
        <f t="shared" si="123"/>
        <v>6024</v>
      </c>
      <c r="AE112">
        <v>400</v>
      </c>
      <c r="AF112">
        <v>500</v>
      </c>
      <c r="AG112">
        <f t="shared" si="124"/>
        <v>64152</v>
      </c>
      <c r="AH112">
        <v>10000</v>
      </c>
      <c r="AI112">
        <v>60</v>
      </c>
      <c r="AJ112">
        <f t="shared" si="125"/>
        <v>200</v>
      </c>
      <c r="AK112">
        <f t="shared" si="126"/>
        <v>53892</v>
      </c>
      <c r="AL112">
        <v>50200</v>
      </c>
      <c r="AM112">
        <f t="shared" si="127"/>
        <v>7028.0000000000009</v>
      </c>
      <c r="AN112">
        <f t="shared" si="128"/>
        <v>6024</v>
      </c>
      <c r="AO112">
        <v>400</v>
      </c>
      <c r="AP112">
        <v>500</v>
      </c>
      <c r="AQ112">
        <f t="shared" si="129"/>
        <v>64152</v>
      </c>
      <c r="AR112">
        <v>10000</v>
      </c>
      <c r="AS112">
        <v>60</v>
      </c>
      <c r="AT112">
        <f t="shared" si="130"/>
        <v>200</v>
      </c>
      <c r="AU112">
        <f t="shared" si="131"/>
        <v>53892</v>
      </c>
      <c r="AV112">
        <v>51700</v>
      </c>
      <c r="AW112">
        <f t="shared" si="132"/>
        <v>7238.0000000000009</v>
      </c>
      <c r="AX112">
        <f t="shared" si="133"/>
        <v>2008</v>
      </c>
      <c r="AY112">
        <f t="shared" si="134"/>
        <v>6204</v>
      </c>
      <c r="AZ112">
        <v>400</v>
      </c>
      <c r="BA112">
        <v>500</v>
      </c>
      <c r="BB112">
        <f t="shared" si="135"/>
        <v>68050</v>
      </c>
      <c r="BC112">
        <v>10000</v>
      </c>
      <c r="BD112">
        <v>60</v>
      </c>
      <c r="BE112">
        <f t="shared" si="136"/>
        <v>200</v>
      </c>
      <c r="BF112">
        <f t="shared" si="137"/>
        <v>57790</v>
      </c>
      <c r="BG112">
        <v>51700</v>
      </c>
      <c r="BH112">
        <f t="shared" si="138"/>
        <v>7238.0000000000009</v>
      </c>
      <c r="BI112">
        <f t="shared" si="139"/>
        <v>6204</v>
      </c>
      <c r="BJ112">
        <v>400</v>
      </c>
      <c r="BK112">
        <v>500</v>
      </c>
      <c r="BL112">
        <f t="shared" si="140"/>
        <v>66042</v>
      </c>
      <c r="BM112">
        <v>10000</v>
      </c>
      <c r="BN112">
        <v>60</v>
      </c>
      <c r="BO112">
        <f t="shared" si="141"/>
        <v>200</v>
      </c>
      <c r="BP112">
        <f t="shared" si="142"/>
        <v>55782</v>
      </c>
      <c r="BQ112">
        <v>51700</v>
      </c>
      <c r="BR112">
        <f t="shared" si="143"/>
        <v>7238.0000000000009</v>
      </c>
      <c r="BS112">
        <f t="shared" si="144"/>
        <v>6204</v>
      </c>
      <c r="BT112">
        <v>400</v>
      </c>
      <c r="BU112">
        <v>500</v>
      </c>
      <c r="BV112">
        <f t="shared" si="145"/>
        <v>66042</v>
      </c>
      <c r="BW112">
        <v>10000</v>
      </c>
      <c r="BX112">
        <v>60</v>
      </c>
      <c r="BY112">
        <f t="shared" si="146"/>
        <v>200</v>
      </c>
      <c r="BZ112">
        <f t="shared" si="147"/>
        <v>55782</v>
      </c>
      <c r="CA112">
        <v>51700</v>
      </c>
      <c r="CB112">
        <f t="shared" si="148"/>
        <v>7238.0000000000009</v>
      </c>
      <c r="CC112">
        <f t="shared" si="149"/>
        <v>6204</v>
      </c>
      <c r="CD112">
        <v>400</v>
      </c>
      <c r="CE112">
        <v>500</v>
      </c>
      <c r="CF112">
        <f t="shared" si="150"/>
        <v>66042</v>
      </c>
      <c r="CG112">
        <v>10000</v>
      </c>
      <c r="CH112">
        <v>60</v>
      </c>
      <c r="CI112">
        <f t="shared" si="151"/>
        <v>200</v>
      </c>
      <c r="CJ112">
        <f t="shared" si="152"/>
        <v>55782</v>
      </c>
      <c r="CK112">
        <v>51700</v>
      </c>
      <c r="CL112">
        <f t="shared" si="153"/>
        <v>7238.0000000000009</v>
      </c>
      <c r="CM112">
        <f t="shared" si="154"/>
        <v>6204</v>
      </c>
      <c r="CN112">
        <v>400</v>
      </c>
      <c r="CO112">
        <v>500</v>
      </c>
      <c r="CP112">
        <f t="shared" si="155"/>
        <v>66042</v>
      </c>
      <c r="CQ112">
        <v>10000</v>
      </c>
      <c r="CR112">
        <v>60</v>
      </c>
      <c r="CS112">
        <f t="shared" si="156"/>
        <v>200</v>
      </c>
      <c r="CT112">
        <f t="shared" si="157"/>
        <v>55782</v>
      </c>
      <c r="CU112">
        <v>51700</v>
      </c>
      <c r="CV112">
        <f t="shared" si="158"/>
        <v>7238</v>
      </c>
      <c r="CW112">
        <f t="shared" si="159"/>
        <v>6204</v>
      </c>
      <c r="CX112">
        <v>400</v>
      </c>
      <c r="CY112">
        <v>500</v>
      </c>
      <c r="CZ112">
        <f t="shared" si="160"/>
        <v>66042</v>
      </c>
      <c r="DA112">
        <v>10000</v>
      </c>
      <c r="DB112">
        <v>60</v>
      </c>
      <c r="DC112">
        <f t="shared" si="161"/>
        <v>200</v>
      </c>
      <c r="DD112">
        <f t="shared" si="162"/>
        <v>55782</v>
      </c>
      <c r="DE112">
        <v>51700</v>
      </c>
      <c r="DF112">
        <f t="shared" si="163"/>
        <v>7238.0000000000009</v>
      </c>
      <c r="DG112">
        <f t="shared" si="164"/>
        <v>6204</v>
      </c>
      <c r="DH112">
        <v>400</v>
      </c>
      <c r="DI112">
        <v>500</v>
      </c>
      <c r="DJ112">
        <f t="shared" si="165"/>
        <v>66042</v>
      </c>
      <c r="DK112">
        <v>10000</v>
      </c>
      <c r="DL112">
        <v>60</v>
      </c>
      <c r="DM112">
        <f t="shared" si="166"/>
        <v>200</v>
      </c>
      <c r="DN112">
        <f t="shared" si="167"/>
        <v>55782</v>
      </c>
      <c r="DO112">
        <v>51700</v>
      </c>
      <c r="DP112">
        <f t="shared" si="168"/>
        <v>7238.0000000000009</v>
      </c>
      <c r="DQ112">
        <f t="shared" si="169"/>
        <v>6204</v>
      </c>
      <c r="DR112">
        <v>400</v>
      </c>
      <c r="DS112">
        <v>500</v>
      </c>
      <c r="DT112">
        <f t="shared" si="170"/>
        <v>66042</v>
      </c>
      <c r="DU112">
        <v>10000</v>
      </c>
      <c r="DV112">
        <v>60</v>
      </c>
      <c r="DW112">
        <f t="shared" si="171"/>
        <v>200</v>
      </c>
      <c r="DX112">
        <f t="shared" si="172"/>
        <v>55782</v>
      </c>
      <c r="DY112">
        <f t="shared" si="173"/>
        <v>782936</v>
      </c>
      <c r="DZ112">
        <f t="shared" si="105"/>
        <v>2400</v>
      </c>
      <c r="EA112">
        <f t="shared" si="106"/>
        <v>50000</v>
      </c>
      <c r="EB112">
        <v>0</v>
      </c>
      <c r="EC112">
        <f t="shared" si="107"/>
        <v>730536</v>
      </c>
      <c r="ED112">
        <f t="shared" si="108"/>
        <v>120000</v>
      </c>
      <c r="EE112">
        <f t="shared" si="109"/>
        <v>720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f t="shared" si="110"/>
        <v>120720</v>
      </c>
      <c r="EQ112">
        <f t="shared" si="174"/>
        <v>120720</v>
      </c>
      <c r="ER112">
        <f t="shared" si="111"/>
        <v>609816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f t="shared" si="175"/>
        <v>0</v>
      </c>
      <c r="FA112">
        <f t="shared" si="176"/>
        <v>609816</v>
      </c>
      <c r="FB112">
        <f t="shared" si="177"/>
        <v>12500</v>
      </c>
      <c r="FC112">
        <f t="shared" si="178"/>
        <v>21963</v>
      </c>
      <c r="FD112">
        <f t="shared" si="179"/>
        <v>34463</v>
      </c>
      <c r="FE112">
        <f t="shared" si="180"/>
        <v>34463</v>
      </c>
      <c r="FF112">
        <f t="shared" si="181"/>
        <v>1378.52</v>
      </c>
      <c r="FG112">
        <f t="shared" si="182"/>
        <v>35842</v>
      </c>
      <c r="FH112">
        <v>0</v>
      </c>
      <c r="FI112">
        <f t="shared" si="183"/>
        <v>35842</v>
      </c>
      <c r="FJ112" t="b">
        <f t="shared" si="184"/>
        <v>1</v>
      </c>
      <c r="FK112">
        <f t="shared" ca="1" si="185"/>
        <v>860</v>
      </c>
      <c r="FL112">
        <f t="shared" ca="1" si="186"/>
        <v>783796</v>
      </c>
      <c r="FM112">
        <f t="shared" si="187"/>
        <v>75000</v>
      </c>
      <c r="FN112">
        <f t="shared" ca="1" si="188"/>
        <v>708796</v>
      </c>
      <c r="FO112">
        <f t="shared" ca="1" si="189"/>
        <v>0</v>
      </c>
      <c r="FP112">
        <f t="shared" ca="1" si="190"/>
        <v>0</v>
      </c>
      <c r="FQ112">
        <f t="shared" ca="1" si="191"/>
        <v>0</v>
      </c>
      <c r="FR112">
        <f t="shared" ca="1" si="192"/>
        <v>0</v>
      </c>
      <c r="FS112">
        <f t="shared" ca="1" si="193"/>
        <v>0</v>
      </c>
      <c r="FT112">
        <f t="shared" ca="1" si="194"/>
        <v>0</v>
      </c>
      <c r="FU112">
        <f t="shared" ca="1" si="195"/>
        <v>8796</v>
      </c>
      <c r="FV112">
        <f t="shared" ca="1" si="196"/>
        <v>879.6</v>
      </c>
      <c r="FW112">
        <f t="shared" ca="1" si="197"/>
        <v>400000</v>
      </c>
      <c r="FX112">
        <f t="shared" ca="1" si="198"/>
        <v>20000</v>
      </c>
      <c r="FY112">
        <f t="shared" ca="1" si="199"/>
        <v>20880</v>
      </c>
      <c r="FZ112">
        <f t="shared" ca="1" si="200"/>
        <v>708796</v>
      </c>
      <c r="GA112">
        <f t="shared" ca="1" si="201"/>
        <v>8796</v>
      </c>
      <c r="GB112">
        <f t="shared" ca="1" si="202"/>
        <v>0</v>
      </c>
      <c r="GC112">
        <f t="shared" ca="1" si="203"/>
        <v>12084</v>
      </c>
      <c r="GD112" t="b">
        <f t="shared" ca="1" si="204"/>
        <v>1</v>
      </c>
      <c r="GE112">
        <f t="shared" ca="1" si="205"/>
        <v>12084</v>
      </c>
      <c r="GF112">
        <f t="shared" ca="1" si="206"/>
        <v>12084</v>
      </c>
      <c r="GG112">
        <f t="shared" ca="1" si="207"/>
        <v>8796</v>
      </c>
      <c r="GH112">
        <f t="shared" ca="1" si="208"/>
        <v>351.84000000000003</v>
      </c>
      <c r="GI112">
        <f t="shared" ca="1" si="209"/>
        <v>9148</v>
      </c>
    </row>
    <row r="113" spans="1:191" x14ac:dyDescent="0.25">
      <c r="A113">
        <f>_xlfn.AGGREGATE(3,5,$B$2:B113)</f>
        <v>112</v>
      </c>
      <c r="B113" t="s">
        <v>345</v>
      </c>
      <c r="C113" t="s">
        <v>346</v>
      </c>
      <c r="D113" t="s">
        <v>792</v>
      </c>
      <c r="E113" t="s">
        <v>844</v>
      </c>
      <c r="F113">
        <v>0</v>
      </c>
      <c r="G113">
        <v>6000</v>
      </c>
      <c r="H113">
        <v>36600</v>
      </c>
      <c r="I113">
        <f t="shared" si="112"/>
        <v>3660</v>
      </c>
      <c r="J113">
        <f t="shared" si="113"/>
        <v>4392</v>
      </c>
      <c r="K113">
        <v>0</v>
      </c>
      <c r="L113">
        <v>500</v>
      </c>
      <c r="M113">
        <f t="shared" si="114"/>
        <v>45152</v>
      </c>
      <c r="N113">
        <v>5000</v>
      </c>
      <c r="O113">
        <v>0</v>
      </c>
      <c r="P113">
        <f t="shared" si="115"/>
        <v>200</v>
      </c>
      <c r="Q113">
        <f t="shared" si="116"/>
        <v>39952</v>
      </c>
      <c r="R113">
        <v>36600</v>
      </c>
      <c r="S113">
        <f t="shared" si="117"/>
        <v>3660</v>
      </c>
      <c r="T113">
        <f t="shared" si="118"/>
        <v>4392</v>
      </c>
      <c r="U113">
        <v>0</v>
      </c>
      <c r="V113">
        <v>500</v>
      </c>
      <c r="W113">
        <f t="shared" si="119"/>
        <v>45152</v>
      </c>
      <c r="X113">
        <v>5000</v>
      </c>
      <c r="Y113">
        <v>0</v>
      </c>
      <c r="Z113">
        <f t="shared" si="120"/>
        <v>200</v>
      </c>
      <c r="AA113">
        <f t="shared" si="121"/>
        <v>39952</v>
      </c>
      <c r="AB113">
        <v>36600</v>
      </c>
      <c r="AC113">
        <f t="shared" si="122"/>
        <v>5124.0000000000009</v>
      </c>
      <c r="AD113">
        <f t="shared" si="123"/>
        <v>4392</v>
      </c>
      <c r="AE113">
        <v>0</v>
      </c>
      <c r="AF113">
        <v>500</v>
      </c>
      <c r="AG113">
        <f t="shared" si="124"/>
        <v>46616</v>
      </c>
      <c r="AH113">
        <v>5000</v>
      </c>
      <c r="AI113">
        <v>0</v>
      </c>
      <c r="AJ113">
        <f t="shared" si="125"/>
        <v>200</v>
      </c>
      <c r="AK113">
        <f t="shared" si="126"/>
        <v>41416</v>
      </c>
      <c r="AL113">
        <v>36600</v>
      </c>
      <c r="AM113">
        <f t="shared" si="127"/>
        <v>5124.0000000000009</v>
      </c>
      <c r="AN113">
        <f t="shared" si="128"/>
        <v>4392</v>
      </c>
      <c r="AO113">
        <v>0</v>
      </c>
      <c r="AP113">
        <v>500</v>
      </c>
      <c r="AQ113">
        <f t="shared" si="129"/>
        <v>46616</v>
      </c>
      <c r="AR113">
        <v>5000</v>
      </c>
      <c r="AS113">
        <v>0</v>
      </c>
      <c r="AT113">
        <f t="shared" si="130"/>
        <v>200</v>
      </c>
      <c r="AU113">
        <f t="shared" si="131"/>
        <v>41416</v>
      </c>
      <c r="AV113">
        <v>37700</v>
      </c>
      <c r="AW113">
        <f t="shared" si="132"/>
        <v>5278.0000000000009</v>
      </c>
      <c r="AX113">
        <f t="shared" si="133"/>
        <v>1464</v>
      </c>
      <c r="AY113">
        <f t="shared" si="134"/>
        <v>4524</v>
      </c>
      <c r="AZ113">
        <v>0</v>
      </c>
      <c r="BA113">
        <v>500</v>
      </c>
      <c r="BB113">
        <f t="shared" si="135"/>
        <v>49466</v>
      </c>
      <c r="BC113">
        <v>5000</v>
      </c>
      <c r="BD113">
        <v>0</v>
      </c>
      <c r="BE113">
        <f t="shared" si="136"/>
        <v>200</v>
      </c>
      <c r="BF113">
        <f t="shared" si="137"/>
        <v>44266</v>
      </c>
      <c r="BG113">
        <v>37700</v>
      </c>
      <c r="BH113">
        <f t="shared" si="138"/>
        <v>5278.0000000000009</v>
      </c>
      <c r="BI113">
        <f t="shared" si="139"/>
        <v>4524</v>
      </c>
      <c r="BJ113">
        <v>0</v>
      </c>
      <c r="BK113">
        <v>500</v>
      </c>
      <c r="BL113">
        <f t="shared" si="140"/>
        <v>48002</v>
      </c>
      <c r="BM113">
        <v>5000</v>
      </c>
      <c r="BN113">
        <v>0</v>
      </c>
      <c r="BO113">
        <f t="shared" si="141"/>
        <v>200</v>
      </c>
      <c r="BP113">
        <f t="shared" si="142"/>
        <v>42802</v>
      </c>
      <c r="BQ113">
        <v>37700</v>
      </c>
      <c r="BR113">
        <f t="shared" si="143"/>
        <v>5278.0000000000009</v>
      </c>
      <c r="BS113">
        <f t="shared" si="144"/>
        <v>4524</v>
      </c>
      <c r="BT113">
        <v>0</v>
      </c>
      <c r="BU113">
        <v>500</v>
      </c>
      <c r="BV113">
        <f t="shared" si="145"/>
        <v>48002</v>
      </c>
      <c r="BW113">
        <v>5000</v>
      </c>
      <c r="BX113">
        <v>0</v>
      </c>
      <c r="BY113">
        <f t="shared" si="146"/>
        <v>200</v>
      </c>
      <c r="BZ113">
        <f t="shared" si="147"/>
        <v>42802</v>
      </c>
      <c r="CA113">
        <v>37700</v>
      </c>
      <c r="CB113">
        <f t="shared" si="148"/>
        <v>5278.0000000000009</v>
      </c>
      <c r="CC113">
        <f t="shared" si="149"/>
        <v>4524</v>
      </c>
      <c r="CD113">
        <v>0</v>
      </c>
      <c r="CE113">
        <v>500</v>
      </c>
      <c r="CF113">
        <f t="shared" si="150"/>
        <v>48002</v>
      </c>
      <c r="CG113">
        <v>5000</v>
      </c>
      <c r="CH113">
        <v>0</v>
      </c>
      <c r="CI113">
        <f t="shared" si="151"/>
        <v>200</v>
      </c>
      <c r="CJ113">
        <f t="shared" si="152"/>
        <v>42802</v>
      </c>
      <c r="CK113">
        <v>37700</v>
      </c>
      <c r="CL113">
        <f t="shared" si="153"/>
        <v>5278.0000000000009</v>
      </c>
      <c r="CM113">
        <f t="shared" si="154"/>
        <v>4524</v>
      </c>
      <c r="CN113">
        <v>0</v>
      </c>
      <c r="CO113">
        <v>500</v>
      </c>
      <c r="CP113">
        <f t="shared" si="155"/>
        <v>48002</v>
      </c>
      <c r="CQ113">
        <v>5000</v>
      </c>
      <c r="CR113">
        <v>0</v>
      </c>
      <c r="CS113">
        <f t="shared" si="156"/>
        <v>200</v>
      </c>
      <c r="CT113">
        <f t="shared" si="157"/>
        <v>42802</v>
      </c>
      <c r="CU113">
        <v>37700</v>
      </c>
      <c r="CV113">
        <f t="shared" si="158"/>
        <v>5278</v>
      </c>
      <c r="CW113">
        <f t="shared" si="159"/>
        <v>4524</v>
      </c>
      <c r="CX113">
        <v>0</v>
      </c>
      <c r="CY113">
        <v>500</v>
      </c>
      <c r="CZ113">
        <f t="shared" si="160"/>
        <v>48002</v>
      </c>
      <c r="DA113">
        <v>5000</v>
      </c>
      <c r="DB113">
        <v>0</v>
      </c>
      <c r="DC113">
        <f t="shared" si="161"/>
        <v>200</v>
      </c>
      <c r="DD113">
        <f t="shared" si="162"/>
        <v>42802</v>
      </c>
      <c r="DE113">
        <v>37700</v>
      </c>
      <c r="DF113">
        <f t="shared" si="163"/>
        <v>5278.0000000000009</v>
      </c>
      <c r="DG113">
        <f t="shared" si="164"/>
        <v>4524</v>
      </c>
      <c r="DH113">
        <v>0</v>
      </c>
      <c r="DI113">
        <v>500</v>
      </c>
      <c r="DJ113">
        <f t="shared" si="165"/>
        <v>48002</v>
      </c>
      <c r="DK113">
        <v>5000</v>
      </c>
      <c r="DL113">
        <v>0</v>
      </c>
      <c r="DM113">
        <f t="shared" si="166"/>
        <v>200</v>
      </c>
      <c r="DN113">
        <f t="shared" si="167"/>
        <v>42802</v>
      </c>
      <c r="DO113">
        <v>37700</v>
      </c>
      <c r="DP113">
        <f t="shared" si="168"/>
        <v>5278.0000000000009</v>
      </c>
      <c r="DQ113">
        <f t="shared" si="169"/>
        <v>4524</v>
      </c>
      <c r="DR113">
        <v>0</v>
      </c>
      <c r="DS113">
        <v>500</v>
      </c>
      <c r="DT113">
        <f t="shared" si="170"/>
        <v>48002</v>
      </c>
      <c r="DU113">
        <v>5000</v>
      </c>
      <c r="DV113">
        <v>0</v>
      </c>
      <c r="DW113">
        <f t="shared" si="171"/>
        <v>200</v>
      </c>
      <c r="DX113">
        <f t="shared" si="172"/>
        <v>42802</v>
      </c>
      <c r="DY113">
        <f t="shared" si="173"/>
        <v>575016</v>
      </c>
      <c r="DZ113">
        <f t="shared" si="105"/>
        <v>2400</v>
      </c>
      <c r="EA113">
        <f t="shared" si="106"/>
        <v>50000</v>
      </c>
      <c r="EB113">
        <v>0</v>
      </c>
      <c r="EC113">
        <f t="shared" si="107"/>
        <v>522616</v>
      </c>
      <c r="ED113">
        <f t="shared" si="108"/>
        <v>60000</v>
      </c>
      <c r="EE113">
        <f t="shared" si="109"/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f t="shared" si="110"/>
        <v>60000</v>
      </c>
      <c r="EQ113">
        <f t="shared" si="174"/>
        <v>60000</v>
      </c>
      <c r="ER113">
        <f t="shared" si="111"/>
        <v>462616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f t="shared" si="175"/>
        <v>0</v>
      </c>
      <c r="FA113">
        <f t="shared" si="176"/>
        <v>462616</v>
      </c>
      <c r="FB113">
        <f t="shared" si="177"/>
        <v>10631</v>
      </c>
      <c r="FC113">
        <f t="shared" si="178"/>
        <v>0</v>
      </c>
      <c r="FD113">
        <f t="shared" si="179"/>
        <v>10631</v>
      </c>
      <c r="FE113">
        <f t="shared" si="180"/>
        <v>0</v>
      </c>
      <c r="FF113">
        <f t="shared" si="181"/>
        <v>0</v>
      </c>
      <c r="FG113">
        <f t="shared" si="182"/>
        <v>0</v>
      </c>
      <c r="FH113">
        <v>0</v>
      </c>
      <c r="FI113">
        <f t="shared" si="183"/>
        <v>0</v>
      </c>
      <c r="FJ113" t="b">
        <f t="shared" si="184"/>
        <v>1</v>
      </c>
      <c r="FK113">
        <f t="shared" ca="1" si="185"/>
        <v>523</v>
      </c>
      <c r="FL113">
        <f t="shared" ca="1" si="186"/>
        <v>575539</v>
      </c>
      <c r="FM113">
        <f t="shared" si="187"/>
        <v>75000</v>
      </c>
      <c r="FN113">
        <f t="shared" ca="1" si="188"/>
        <v>500539</v>
      </c>
      <c r="FO113">
        <f t="shared" ca="1" si="189"/>
        <v>0</v>
      </c>
      <c r="FP113">
        <f t="shared" ca="1" si="190"/>
        <v>0</v>
      </c>
      <c r="FQ113">
        <f t="shared" ca="1" si="191"/>
        <v>0</v>
      </c>
      <c r="FR113">
        <f t="shared" ca="1" si="192"/>
        <v>0</v>
      </c>
      <c r="FS113">
        <f t="shared" ca="1" si="193"/>
        <v>0</v>
      </c>
      <c r="FT113">
        <f t="shared" ca="1" si="194"/>
        <v>0</v>
      </c>
      <c r="FU113">
        <f t="shared" ca="1" si="195"/>
        <v>0</v>
      </c>
      <c r="FV113">
        <f t="shared" ca="1" si="196"/>
        <v>0</v>
      </c>
      <c r="FW113">
        <f t="shared" ca="1" si="197"/>
        <v>200539</v>
      </c>
      <c r="FX113">
        <f t="shared" ca="1" si="198"/>
        <v>10026.950000000001</v>
      </c>
      <c r="FY113">
        <f t="shared" ca="1" si="199"/>
        <v>10027</v>
      </c>
      <c r="FZ113">
        <f t="shared" ca="1" si="200"/>
        <v>0</v>
      </c>
      <c r="GA113">
        <f t="shared" ca="1" si="201"/>
        <v>0</v>
      </c>
      <c r="GB113">
        <f t="shared" ca="1" si="202"/>
        <v>10027</v>
      </c>
      <c r="GC113">
        <f t="shared" ca="1" si="203"/>
        <v>0</v>
      </c>
      <c r="GD113" t="b">
        <f t="shared" ca="1" si="204"/>
        <v>0</v>
      </c>
      <c r="GE113">
        <f t="shared" ca="1" si="205"/>
        <v>0</v>
      </c>
      <c r="GF113">
        <f t="shared" ca="1" si="206"/>
        <v>10027</v>
      </c>
      <c r="GG113">
        <f t="shared" ca="1" si="207"/>
        <v>0</v>
      </c>
      <c r="GH113">
        <f t="shared" ca="1" si="208"/>
        <v>0</v>
      </c>
      <c r="GI113">
        <f t="shared" ca="1" si="209"/>
        <v>0</v>
      </c>
    </row>
    <row r="114" spans="1:191" x14ac:dyDescent="0.25">
      <c r="A114">
        <f>_xlfn.AGGREGATE(3,5,$B$2:B114)</f>
        <v>113</v>
      </c>
      <c r="B114" t="s">
        <v>347</v>
      </c>
      <c r="C114" t="s">
        <v>348</v>
      </c>
      <c r="D114" t="s">
        <v>792</v>
      </c>
      <c r="E114" t="s">
        <v>843</v>
      </c>
      <c r="F114">
        <v>0</v>
      </c>
      <c r="G114">
        <v>6000</v>
      </c>
      <c r="H114">
        <v>29500</v>
      </c>
      <c r="I114">
        <f t="shared" si="112"/>
        <v>2950</v>
      </c>
      <c r="J114">
        <f t="shared" si="113"/>
        <v>3540</v>
      </c>
      <c r="K114">
        <v>0</v>
      </c>
      <c r="L114">
        <v>0</v>
      </c>
      <c r="M114">
        <f t="shared" si="114"/>
        <v>35990</v>
      </c>
      <c r="N114">
        <v>2000</v>
      </c>
      <c r="O114">
        <v>0</v>
      </c>
      <c r="P114">
        <f t="shared" si="115"/>
        <v>150</v>
      </c>
      <c r="Q114">
        <f t="shared" si="116"/>
        <v>33840</v>
      </c>
      <c r="R114">
        <v>29500</v>
      </c>
      <c r="S114">
        <f t="shared" si="117"/>
        <v>2950</v>
      </c>
      <c r="T114">
        <f t="shared" si="118"/>
        <v>3540</v>
      </c>
      <c r="U114">
        <v>0</v>
      </c>
      <c r="V114">
        <v>0</v>
      </c>
      <c r="W114">
        <f t="shared" si="119"/>
        <v>35990</v>
      </c>
      <c r="X114">
        <v>2000</v>
      </c>
      <c r="Y114">
        <v>0</v>
      </c>
      <c r="Z114">
        <f t="shared" si="120"/>
        <v>150</v>
      </c>
      <c r="AA114">
        <f t="shared" si="121"/>
        <v>33840</v>
      </c>
      <c r="AB114">
        <v>29500</v>
      </c>
      <c r="AC114">
        <f t="shared" si="122"/>
        <v>4130</v>
      </c>
      <c r="AD114">
        <f t="shared" si="123"/>
        <v>3540</v>
      </c>
      <c r="AE114">
        <v>0</v>
      </c>
      <c r="AF114">
        <v>0</v>
      </c>
      <c r="AG114">
        <f t="shared" si="124"/>
        <v>37170</v>
      </c>
      <c r="AH114">
        <v>2000</v>
      </c>
      <c r="AI114">
        <v>0</v>
      </c>
      <c r="AJ114">
        <f t="shared" si="125"/>
        <v>150</v>
      </c>
      <c r="AK114">
        <f t="shared" si="126"/>
        <v>35020</v>
      </c>
      <c r="AL114">
        <v>29500</v>
      </c>
      <c r="AM114">
        <f t="shared" si="127"/>
        <v>4130</v>
      </c>
      <c r="AN114">
        <f t="shared" si="128"/>
        <v>3540</v>
      </c>
      <c r="AO114">
        <v>0</v>
      </c>
      <c r="AP114">
        <v>0</v>
      </c>
      <c r="AQ114">
        <f t="shared" si="129"/>
        <v>37170</v>
      </c>
      <c r="AR114">
        <v>2000</v>
      </c>
      <c r="AS114">
        <v>0</v>
      </c>
      <c r="AT114">
        <f t="shared" si="130"/>
        <v>150</v>
      </c>
      <c r="AU114">
        <f t="shared" si="131"/>
        <v>35020</v>
      </c>
      <c r="AV114">
        <v>30400</v>
      </c>
      <c r="AW114">
        <f t="shared" si="132"/>
        <v>4256</v>
      </c>
      <c r="AX114">
        <f t="shared" si="133"/>
        <v>1180</v>
      </c>
      <c r="AY114">
        <f t="shared" si="134"/>
        <v>3648</v>
      </c>
      <c r="AZ114">
        <v>0</v>
      </c>
      <c r="BA114">
        <v>0</v>
      </c>
      <c r="BB114">
        <f t="shared" si="135"/>
        <v>39484</v>
      </c>
      <c r="BC114">
        <v>2000</v>
      </c>
      <c r="BD114">
        <v>0</v>
      </c>
      <c r="BE114">
        <f t="shared" si="136"/>
        <v>150</v>
      </c>
      <c r="BF114">
        <f t="shared" si="137"/>
        <v>37334</v>
      </c>
      <c r="BG114">
        <v>30400</v>
      </c>
      <c r="BH114">
        <f t="shared" si="138"/>
        <v>4256</v>
      </c>
      <c r="BI114">
        <f t="shared" si="139"/>
        <v>3648</v>
      </c>
      <c r="BJ114">
        <v>0</v>
      </c>
      <c r="BK114">
        <v>0</v>
      </c>
      <c r="BL114">
        <f t="shared" si="140"/>
        <v>38304</v>
      </c>
      <c r="BM114">
        <v>2000</v>
      </c>
      <c r="BN114">
        <v>0</v>
      </c>
      <c r="BO114">
        <f t="shared" si="141"/>
        <v>150</v>
      </c>
      <c r="BP114">
        <f t="shared" si="142"/>
        <v>36154</v>
      </c>
      <c r="BQ114">
        <v>30400</v>
      </c>
      <c r="BR114">
        <f t="shared" si="143"/>
        <v>4256</v>
      </c>
      <c r="BS114">
        <f t="shared" si="144"/>
        <v>3648</v>
      </c>
      <c r="BT114">
        <v>0</v>
      </c>
      <c r="BU114">
        <v>0</v>
      </c>
      <c r="BV114">
        <f t="shared" si="145"/>
        <v>38304</v>
      </c>
      <c r="BW114">
        <v>2000</v>
      </c>
      <c r="BX114">
        <v>0</v>
      </c>
      <c r="BY114">
        <f t="shared" si="146"/>
        <v>150</v>
      </c>
      <c r="BZ114">
        <f t="shared" si="147"/>
        <v>36154</v>
      </c>
      <c r="CA114">
        <v>30400</v>
      </c>
      <c r="CB114">
        <f t="shared" si="148"/>
        <v>4256</v>
      </c>
      <c r="CC114">
        <f t="shared" si="149"/>
        <v>3648</v>
      </c>
      <c r="CD114">
        <v>0</v>
      </c>
      <c r="CE114">
        <v>0</v>
      </c>
      <c r="CF114">
        <f t="shared" si="150"/>
        <v>38304</v>
      </c>
      <c r="CG114">
        <v>2000</v>
      </c>
      <c r="CH114">
        <v>0</v>
      </c>
      <c r="CI114">
        <f t="shared" si="151"/>
        <v>150</v>
      </c>
      <c r="CJ114">
        <f t="shared" si="152"/>
        <v>36154</v>
      </c>
      <c r="CK114">
        <v>30400</v>
      </c>
      <c r="CL114">
        <f t="shared" si="153"/>
        <v>4256</v>
      </c>
      <c r="CM114">
        <f t="shared" si="154"/>
        <v>3648</v>
      </c>
      <c r="CN114">
        <v>0</v>
      </c>
      <c r="CO114">
        <v>0</v>
      </c>
      <c r="CP114">
        <f t="shared" si="155"/>
        <v>38304</v>
      </c>
      <c r="CQ114">
        <v>2000</v>
      </c>
      <c r="CR114">
        <v>0</v>
      </c>
      <c r="CS114">
        <f t="shared" si="156"/>
        <v>150</v>
      </c>
      <c r="CT114">
        <f t="shared" si="157"/>
        <v>36154</v>
      </c>
      <c r="CU114">
        <v>31155</v>
      </c>
      <c r="CV114">
        <f t="shared" si="158"/>
        <v>4362</v>
      </c>
      <c r="CW114">
        <f t="shared" si="159"/>
        <v>3739</v>
      </c>
      <c r="CX114">
        <v>0</v>
      </c>
      <c r="CY114">
        <v>0</v>
      </c>
      <c r="CZ114">
        <f t="shared" si="160"/>
        <v>39256</v>
      </c>
      <c r="DA114">
        <v>2000</v>
      </c>
      <c r="DB114">
        <v>0</v>
      </c>
      <c r="DC114">
        <f t="shared" si="161"/>
        <v>150</v>
      </c>
      <c r="DD114">
        <f t="shared" si="162"/>
        <v>37106</v>
      </c>
      <c r="DE114">
        <v>31300</v>
      </c>
      <c r="DF114">
        <f t="shared" si="163"/>
        <v>4382</v>
      </c>
      <c r="DG114">
        <f t="shared" si="164"/>
        <v>3756</v>
      </c>
      <c r="DH114">
        <v>0</v>
      </c>
      <c r="DI114">
        <v>0</v>
      </c>
      <c r="DJ114">
        <f t="shared" si="165"/>
        <v>39438</v>
      </c>
      <c r="DK114">
        <v>2000</v>
      </c>
      <c r="DL114">
        <v>0</v>
      </c>
      <c r="DM114">
        <f t="shared" si="166"/>
        <v>150</v>
      </c>
      <c r="DN114">
        <f t="shared" si="167"/>
        <v>37288</v>
      </c>
      <c r="DO114">
        <v>31300</v>
      </c>
      <c r="DP114">
        <f t="shared" si="168"/>
        <v>4382</v>
      </c>
      <c r="DQ114">
        <f t="shared" si="169"/>
        <v>3756</v>
      </c>
      <c r="DR114">
        <v>0</v>
      </c>
      <c r="DS114">
        <v>0</v>
      </c>
      <c r="DT114">
        <f t="shared" si="170"/>
        <v>39438</v>
      </c>
      <c r="DU114">
        <v>2000</v>
      </c>
      <c r="DV114">
        <v>0</v>
      </c>
      <c r="DW114">
        <f t="shared" si="171"/>
        <v>150</v>
      </c>
      <c r="DX114">
        <f t="shared" si="172"/>
        <v>37288</v>
      </c>
      <c r="DY114">
        <f t="shared" si="173"/>
        <v>463152</v>
      </c>
      <c r="DZ114">
        <f t="shared" si="105"/>
        <v>1800</v>
      </c>
      <c r="EA114">
        <f t="shared" si="106"/>
        <v>50000</v>
      </c>
      <c r="EB114">
        <v>0</v>
      </c>
      <c r="EC114">
        <f t="shared" si="107"/>
        <v>411352</v>
      </c>
      <c r="ED114">
        <f t="shared" si="108"/>
        <v>24000</v>
      </c>
      <c r="EE114">
        <f t="shared" si="109"/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f t="shared" si="110"/>
        <v>24000</v>
      </c>
      <c r="EQ114">
        <f t="shared" si="174"/>
        <v>24000</v>
      </c>
      <c r="ER114">
        <f t="shared" si="111"/>
        <v>387352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f t="shared" si="175"/>
        <v>0</v>
      </c>
      <c r="FA114">
        <f t="shared" si="176"/>
        <v>387352</v>
      </c>
      <c r="FB114">
        <f t="shared" si="177"/>
        <v>6868</v>
      </c>
      <c r="FC114">
        <f t="shared" si="178"/>
        <v>0</v>
      </c>
      <c r="FD114">
        <f t="shared" si="179"/>
        <v>6868</v>
      </c>
      <c r="FE114">
        <f t="shared" si="180"/>
        <v>0</v>
      </c>
      <c r="FF114">
        <f t="shared" si="181"/>
        <v>0</v>
      </c>
      <c r="FG114">
        <f t="shared" si="182"/>
        <v>0</v>
      </c>
      <c r="FH114">
        <v>0</v>
      </c>
      <c r="FI114">
        <f t="shared" si="183"/>
        <v>0</v>
      </c>
      <c r="FJ114" t="b">
        <f t="shared" si="184"/>
        <v>0</v>
      </c>
      <c r="FK114">
        <f t="shared" ca="1" si="185"/>
        <v>2025</v>
      </c>
      <c r="FL114">
        <f t="shared" ca="1" si="186"/>
        <v>465177</v>
      </c>
      <c r="FM114">
        <f t="shared" si="187"/>
        <v>75000</v>
      </c>
      <c r="FN114">
        <f t="shared" ca="1" si="188"/>
        <v>390177</v>
      </c>
      <c r="FO114">
        <f t="shared" ca="1" si="189"/>
        <v>0</v>
      </c>
      <c r="FP114">
        <f t="shared" ca="1" si="190"/>
        <v>0</v>
      </c>
      <c r="FQ114">
        <f t="shared" ca="1" si="191"/>
        <v>0</v>
      </c>
      <c r="FR114">
        <f t="shared" ca="1" si="192"/>
        <v>0</v>
      </c>
      <c r="FS114">
        <f t="shared" ca="1" si="193"/>
        <v>0</v>
      </c>
      <c r="FT114">
        <f t="shared" ca="1" si="194"/>
        <v>0</v>
      </c>
      <c r="FU114">
        <f t="shared" ca="1" si="195"/>
        <v>0</v>
      </c>
      <c r="FV114">
        <f t="shared" ca="1" si="196"/>
        <v>0</v>
      </c>
      <c r="FW114">
        <f t="shared" ca="1" si="197"/>
        <v>90177</v>
      </c>
      <c r="FX114">
        <f t="shared" ca="1" si="198"/>
        <v>4508.8500000000004</v>
      </c>
      <c r="FY114">
        <f t="shared" ca="1" si="199"/>
        <v>4509</v>
      </c>
      <c r="FZ114">
        <f t="shared" ca="1" si="200"/>
        <v>0</v>
      </c>
      <c r="GA114">
        <f t="shared" ca="1" si="201"/>
        <v>0</v>
      </c>
      <c r="GB114">
        <f t="shared" ca="1" si="202"/>
        <v>4509</v>
      </c>
      <c r="GC114">
        <f t="shared" ca="1" si="203"/>
        <v>0</v>
      </c>
      <c r="GD114" t="b">
        <f t="shared" ca="1" si="204"/>
        <v>0</v>
      </c>
      <c r="GE114">
        <f t="shared" ca="1" si="205"/>
        <v>0</v>
      </c>
      <c r="GF114">
        <f t="shared" ca="1" si="206"/>
        <v>4509</v>
      </c>
      <c r="GG114">
        <f t="shared" ca="1" si="207"/>
        <v>0</v>
      </c>
      <c r="GH114">
        <f t="shared" ca="1" si="208"/>
        <v>0</v>
      </c>
      <c r="GI114">
        <f t="shared" ca="1" si="209"/>
        <v>0</v>
      </c>
    </row>
    <row r="115" spans="1:191" x14ac:dyDescent="0.25">
      <c r="A115">
        <f>_xlfn.AGGREGATE(3,5,$B$2:B115)</f>
        <v>114</v>
      </c>
      <c r="B115" t="s">
        <v>349</v>
      </c>
      <c r="C115" t="s">
        <v>350</v>
      </c>
      <c r="D115" t="s">
        <v>793</v>
      </c>
      <c r="E115" t="s">
        <v>844</v>
      </c>
      <c r="F115">
        <v>0</v>
      </c>
      <c r="G115">
        <v>0</v>
      </c>
      <c r="H115">
        <v>51800</v>
      </c>
      <c r="I115">
        <f t="shared" si="112"/>
        <v>5180</v>
      </c>
      <c r="J115">
        <f t="shared" si="113"/>
        <v>6216</v>
      </c>
      <c r="K115">
        <v>0</v>
      </c>
      <c r="L115">
        <v>500</v>
      </c>
      <c r="M115">
        <f t="shared" si="114"/>
        <v>63696</v>
      </c>
      <c r="N115">
        <v>5000</v>
      </c>
      <c r="O115">
        <v>0</v>
      </c>
      <c r="P115">
        <f t="shared" si="115"/>
        <v>200</v>
      </c>
      <c r="Q115">
        <f t="shared" si="116"/>
        <v>58496</v>
      </c>
      <c r="R115">
        <v>51800</v>
      </c>
      <c r="S115">
        <f t="shared" si="117"/>
        <v>5180</v>
      </c>
      <c r="T115">
        <f t="shared" si="118"/>
        <v>6216</v>
      </c>
      <c r="U115">
        <v>0</v>
      </c>
      <c r="V115">
        <v>500</v>
      </c>
      <c r="W115">
        <f t="shared" si="119"/>
        <v>63696</v>
      </c>
      <c r="X115">
        <v>5000</v>
      </c>
      <c r="Y115">
        <v>0</v>
      </c>
      <c r="Z115">
        <f t="shared" si="120"/>
        <v>200</v>
      </c>
      <c r="AA115">
        <f t="shared" si="121"/>
        <v>58496</v>
      </c>
      <c r="AB115">
        <v>51800</v>
      </c>
      <c r="AC115">
        <f t="shared" si="122"/>
        <v>7252.0000000000009</v>
      </c>
      <c r="AD115">
        <f t="shared" si="123"/>
        <v>6216</v>
      </c>
      <c r="AE115">
        <v>0</v>
      </c>
      <c r="AF115">
        <v>500</v>
      </c>
      <c r="AG115">
        <f t="shared" si="124"/>
        <v>65768</v>
      </c>
      <c r="AH115">
        <v>5000</v>
      </c>
      <c r="AI115">
        <v>0</v>
      </c>
      <c r="AJ115">
        <f t="shared" si="125"/>
        <v>200</v>
      </c>
      <c r="AK115">
        <f t="shared" si="126"/>
        <v>60568</v>
      </c>
      <c r="AL115">
        <v>51800</v>
      </c>
      <c r="AM115">
        <f t="shared" si="127"/>
        <v>7252.0000000000009</v>
      </c>
      <c r="AN115">
        <f t="shared" si="128"/>
        <v>6216</v>
      </c>
      <c r="AO115">
        <v>0</v>
      </c>
      <c r="AP115">
        <v>500</v>
      </c>
      <c r="AQ115">
        <f t="shared" si="129"/>
        <v>65768</v>
      </c>
      <c r="AR115">
        <v>5000</v>
      </c>
      <c r="AS115">
        <v>0</v>
      </c>
      <c r="AT115">
        <f t="shared" si="130"/>
        <v>200</v>
      </c>
      <c r="AU115">
        <f t="shared" si="131"/>
        <v>60568</v>
      </c>
      <c r="AV115">
        <v>53400</v>
      </c>
      <c r="AW115">
        <f t="shared" si="132"/>
        <v>7476.0000000000009</v>
      </c>
      <c r="AX115">
        <f t="shared" si="133"/>
        <v>2072</v>
      </c>
      <c r="AY115">
        <f t="shared" si="134"/>
        <v>6408</v>
      </c>
      <c r="AZ115">
        <v>0</v>
      </c>
      <c r="BA115">
        <v>500</v>
      </c>
      <c r="BB115">
        <f t="shared" si="135"/>
        <v>69856</v>
      </c>
      <c r="BC115">
        <v>5000</v>
      </c>
      <c r="BD115">
        <v>0</v>
      </c>
      <c r="BE115">
        <f t="shared" si="136"/>
        <v>200</v>
      </c>
      <c r="BF115">
        <f t="shared" si="137"/>
        <v>64656</v>
      </c>
      <c r="BG115">
        <v>53400</v>
      </c>
      <c r="BH115">
        <f t="shared" si="138"/>
        <v>7476.0000000000009</v>
      </c>
      <c r="BI115">
        <f t="shared" si="139"/>
        <v>6408</v>
      </c>
      <c r="BJ115">
        <v>0</v>
      </c>
      <c r="BK115">
        <v>500</v>
      </c>
      <c r="BL115">
        <f t="shared" si="140"/>
        <v>67784</v>
      </c>
      <c r="BM115">
        <v>5000</v>
      </c>
      <c r="BN115">
        <v>0</v>
      </c>
      <c r="BO115">
        <f t="shared" si="141"/>
        <v>200</v>
      </c>
      <c r="BP115">
        <f t="shared" si="142"/>
        <v>62584</v>
      </c>
      <c r="BQ115">
        <v>53400</v>
      </c>
      <c r="BR115">
        <f t="shared" si="143"/>
        <v>7476.0000000000009</v>
      </c>
      <c r="BS115">
        <f t="shared" si="144"/>
        <v>6408</v>
      </c>
      <c r="BT115">
        <v>0</v>
      </c>
      <c r="BU115">
        <v>500</v>
      </c>
      <c r="BV115">
        <f t="shared" si="145"/>
        <v>67784</v>
      </c>
      <c r="BW115">
        <v>5000</v>
      </c>
      <c r="BX115">
        <v>0</v>
      </c>
      <c r="BY115">
        <f t="shared" si="146"/>
        <v>200</v>
      </c>
      <c r="BZ115">
        <f t="shared" si="147"/>
        <v>62584</v>
      </c>
      <c r="CA115">
        <v>53400</v>
      </c>
      <c r="CB115">
        <f t="shared" si="148"/>
        <v>7476.0000000000009</v>
      </c>
      <c r="CC115">
        <f t="shared" si="149"/>
        <v>6408</v>
      </c>
      <c r="CD115">
        <v>0</v>
      </c>
      <c r="CE115">
        <v>500</v>
      </c>
      <c r="CF115">
        <f t="shared" si="150"/>
        <v>67784</v>
      </c>
      <c r="CG115">
        <v>5000</v>
      </c>
      <c r="CH115">
        <v>0</v>
      </c>
      <c r="CI115">
        <f t="shared" si="151"/>
        <v>200</v>
      </c>
      <c r="CJ115">
        <f t="shared" si="152"/>
        <v>62584</v>
      </c>
      <c r="CK115">
        <v>53400</v>
      </c>
      <c r="CL115">
        <f t="shared" si="153"/>
        <v>7476.0000000000009</v>
      </c>
      <c r="CM115">
        <f t="shared" si="154"/>
        <v>6408</v>
      </c>
      <c r="CN115">
        <v>0</v>
      </c>
      <c r="CO115">
        <v>500</v>
      </c>
      <c r="CP115">
        <f t="shared" si="155"/>
        <v>67784</v>
      </c>
      <c r="CQ115">
        <v>5000</v>
      </c>
      <c r="CR115">
        <v>0</v>
      </c>
      <c r="CS115">
        <f t="shared" si="156"/>
        <v>200</v>
      </c>
      <c r="CT115">
        <f t="shared" si="157"/>
        <v>62584</v>
      </c>
      <c r="CU115">
        <v>53400</v>
      </c>
      <c r="CV115">
        <f t="shared" si="158"/>
        <v>7476</v>
      </c>
      <c r="CW115">
        <f t="shared" si="159"/>
        <v>6408</v>
      </c>
      <c r="CX115">
        <v>0</v>
      </c>
      <c r="CY115">
        <v>500</v>
      </c>
      <c r="CZ115">
        <f t="shared" si="160"/>
        <v>67784</v>
      </c>
      <c r="DA115">
        <v>5000</v>
      </c>
      <c r="DB115">
        <v>0</v>
      </c>
      <c r="DC115">
        <f t="shared" si="161"/>
        <v>200</v>
      </c>
      <c r="DD115">
        <f t="shared" si="162"/>
        <v>62584</v>
      </c>
      <c r="DE115">
        <v>53400</v>
      </c>
      <c r="DF115">
        <f t="shared" si="163"/>
        <v>7476.0000000000009</v>
      </c>
      <c r="DG115">
        <f t="shared" si="164"/>
        <v>6408</v>
      </c>
      <c r="DH115">
        <v>0</v>
      </c>
      <c r="DI115">
        <v>500</v>
      </c>
      <c r="DJ115">
        <f t="shared" si="165"/>
        <v>67784</v>
      </c>
      <c r="DK115">
        <v>5000</v>
      </c>
      <c r="DL115">
        <v>0</v>
      </c>
      <c r="DM115">
        <f t="shared" si="166"/>
        <v>200</v>
      </c>
      <c r="DN115">
        <f t="shared" si="167"/>
        <v>62584</v>
      </c>
      <c r="DO115">
        <v>53400</v>
      </c>
      <c r="DP115">
        <f t="shared" si="168"/>
        <v>7476.0000000000009</v>
      </c>
      <c r="DQ115">
        <f t="shared" si="169"/>
        <v>6408</v>
      </c>
      <c r="DR115">
        <v>0</v>
      </c>
      <c r="DS115">
        <v>500</v>
      </c>
      <c r="DT115">
        <f t="shared" si="170"/>
        <v>67784</v>
      </c>
      <c r="DU115">
        <v>5000</v>
      </c>
      <c r="DV115">
        <v>0</v>
      </c>
      <c r="DW115">
        <f t="shared" si="171"/>
        <v>200</v>
      </c>
      <c r="DX115">
        <f t="shared" si="172"/>
        <v>62584</v>
      </c>
      <c r="DY115">
        <f t="shared" si="173"/>
        <v>803272</v>
      </c>
      <c r="DZ115">
        <f t="shared" si="105"/>
        <v>2400</v>
      </c>
      <c r="EA115">
        <f t="shared" si="106"/>
        <v>50000</v>
      </c>
      <c r="EB115">
        <v>0</v>
      </c>
      <c r="EC115">
        <f t="shared" si="107"/>
        <v>750872</v>
      </c>
      <c r="ED115">
        <f t="shared" si="108"/>
        <v>60000</v>
      </c>
      <c r="EE115">
        <f t="shared" si="109"/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f t="shared" si="110"/>
        <v>60000</v>
      </c>
      <c r="EQ115">
        <f t="shared" si="174"/>
        <v>60000</v>
      </c>
      <c r="ER115">
        <f t="shared" si="111"/>
        <v>690872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f t="shared" si="175"/>
        <v>0</v>
      </c>
      <c r="FA115">
        <f t="shared" si="176"/>
        <v>690872</v>
      </c>
      <c r="FB115">
        <f t="shared" si="177"/>
        <v>12500</v>
      </c>
      <c r="FC115">
        <f t="shared" si="178"/>
        <v>38174</v>
      </c>
      <c r="FD115">
        <f t="shared" si="179"/>
        <v>50674</v>
      </c>
      <c r="FE115">
        <f t="shared" si="180"/>
        <v>50674</v>
      </c>
      <c r="FF115">
        <f t="shared" si="181"/>
        <v>2026.96</v>
      </c>
      <c r="FG115">
        <f t="shared" si="182"/>
        <v>52701</v>
      </c>
      <c r="FH115">
        <v>0</v>
      </c>
      <c r="FI115">
        <f t="shared" si="183"/>
        <v>52701</v>
      </c>
      <c r="FJ115" t="b">
        <f t="shared" si="184"/>
        <v>1</v>
      </c>
      <c r="FK115">
        <f t="shared" ca="1" si="185"/>
        <v>584</v>
      </c>
      <c r="FL115">
        <f t="shared" ca="1" si="186"/>
        <v>803856</v>
      </c>
      <c r="FM115">
        <f t="shared" si="187"/>
        <v>75000</v>
      </c>
      <c r="FN115">
        <f t="shared" ca="1" si="188"/>
        <v>728856</v>
      </c>
      <c r="FO115">
        <f t="shared" ca="1" si="189"/>
        <v>0</v>
      </c>
      <c r="FP115">
        <f t="shared" ca="1" si="190"/>
        <v>0</v>
      </c>
      <c r="FQ115">
        <f t="shared" ca="1" si="191"/>
        <v>0</v>
      </c>
      <c r="FR115">
        <f t="shared" ca="1" si="192"/>
        <v>0</v>
      </c>
      <c r="FS115">
        <f t="shared" ca="1" si="193"/>
        <v>0</v>
      </c>
      <c r="FT115">
        <f t="shared" ca="1" si="194"/>
        <v>0</v>
      </c>
      <c r="FU115">
        <f t="shared" ca="1" si="195"/>
        <v>28856</v>
      </c>
      <c r="FV115">
        <f t="shared" ca="1" si="196"/>
        <v>2885.6000000000004</v>
      </c>
      <c r="FW115">
        <f t="shared" ca="1" si="197"/>
        <v>400000</v>
      </c>
      <c r="FX115">
        <f t="shared" ca="1" si="198"/>
        <v>20000</v>
      </c>
      <c r="FY115">
        <f t="shared" ca="1" si="199"/>
        <v>22886</v>
      </c>
      <c r="FZ115">
        <f t="shared" ca="1" si="200"/>
        <v>728856</v>
      </c>
      <c r="GA115">
        <f t="shared" ca="1" si="201"/>
        <v>28856</v>
      </c>
      <c r="GB115">
        <f t="shared" ca="1" si="202"/>
        <v>0</v>
      </c>
      <c r="GC115">
        <f t="shared" ca="1" si="203"/>
        <v>-5970</v>
      </c>
      <c r="GD115" t="b">
        <f t="shared" ca="1" si="204"/>
        <v>0</v>
      </c>
      <c r="GE115">
        <f t="shared" ca="1" si="205"/>
        <v>0</v>
      </c>
      <c r="GF115">
        <f t="shared" ca="1" si="206"/>
        <v>0</v>
      </c>
      <c r="GG115">
        <f t="shared" ca="1" si="207"/>
        <v>22886</v>
      </c>
      <c r="GH115">
        <f t="shared" ca="1" si="208"/>
        <v>915.44</v>
      </c>
      <c r="GI115">
        <f t="shared" ca="1" si="209"/>
        <v>23802</v>
      </c>
    </row>
    <row r="116" spans="1:191" x14ac:dyDescent="0.25">
      <c r="A116">
        <f>_xlfn.AGGREGATE(3,5,$B$2:B116)</f>
        <v>115</v>
      </c>
      <c r="B116" t="s">
        <v>351</v>
      </c>
      <c r="C116" t="s">
        <v>352</v>
      </c>
      <c r="D116" t="s">
        <v>793</v>
      </c>
      <c r="E116" t="s">
        <v>843</v>
      </c>
      <c r="F116">
        <v>0</v>
      </c>
      <c r="G116">
        <v>6000</v>
      </c>
      <c r="H116">
        <v>32500</v>
      </c>
      <c r="I116">
        <f t="shared" si="112"/>
        <v>3250</v>
      </c>
      <c r="J116">
        <f t="shared" si="113"/>
        <v>3900</v>
      </c>
      <c r="K116">
        <v>0</v>
      </c>
      <c r="L116">
        <v>0</v>
      </c>
      <c r="M116">
        <f t="shared" si="114"/>
        <v>39650</v>
      </c>
      <c r="N116">
        <v>2000</v>
      </c>
      <c r="O116">
        <v>0</v>
      </c>
      <c r="P116">
        <f t="shared" si="115"/>
        <v>150</v>
      </c>
      <c r="Q116">
        <f t="shared" si="116"/>
        <v>37500</v>
      </c>
      <c r="R116">
        <v>32500</v>
      </c>
      <c r="S116">
        <f t="shared" si="117"/>
        <v>3250</v>
      </c>
      <c r="T116">
        <f t="shared" si="118"/>
        <v>3900</v>
      </c>
      <c r="U116">
        <v>0</v>
      </c>
      <c r="V116">
        <v>0</v>
      </c>
      <c r="W116">
        <f t="shared" si="119"/>
        <v>39650</v>
      </c>
      <c r="X116">
        <v>2000</v>
      </c>
      <c r="Y116">
        <v>0</v>
      </c>
      <c r="Z116">
        <f t="shared" si="120"/>
        <v>150</v>
      </c>
      <c r="AA116">
        <f t="shared" si="121"/>
        <v>37500</v>
      </c>
      <c r="AB116">
        <v>32500</v>
      </c>
      <c r="AC116">
        <f t="shared" si="122"/>
        <v>4550</v>
      </c>
      <c r="AD116">
        <f t="shared" si="123"/>
        <v>3900</v>
      </c>
      <c r="AE116">
        <v>0</v>
      </c>
      <c r="AF116">
        <v>0</v>
      </c>
      <c r="AG116">
        <f t="shared" si="124"/>
        <v>40950</v>
      </c>
      <c r="AH116">
        <v>2000</v>
      </c>
      <c r="AI116">
        <v>0</v>
      </c>
      <c r="AJ116">
        <f t="shared" si="125"/>
        <v>200</v>
      </c>
      <c r="AK116">
        <f t="shared" si="126"/>
        <v>38750</v>
      </c>
      <c r="AL116">
        <v>32500</v>
      </c>
      <c r="AM116">
        <f t="shared" si="127"/>
        <v>4550</v>
      </c>
      <c r="AN116">
        <f t="shared" si="128"/>
        <v>3900</v>
      </c>
      <c r="AO116">
        <v>0</v>
      </c>
      <c r="AP116">
        <v>0</v>
      </c>
      <c r="AQ116">
        <f t="shared" si="129"/>
        <v>40950</v>
      </c>
      <c r="AR116">
        <v>2000</v>
      </c>
      <c r="AS116">
        <v>0</v>
      </c>
      <c r="AT116">
        <f t="shared" si="130"/>
        <v>200</v>
      </c>
      <c r="AU116">
        <f t="shared" si="131"/>
        <v>38750</v>
      </c>
      <c r="AV116">
        <v>33500</v>
      </c>
      <c r="AW116">
        <f t="shared" si="132"/>
        <v>4690</v>
      </c>
      <c r="AX116">
        <f t="shared" si="133"/>
        <v>1300</v>
      </c>
      <c r="AY116">
        <f t="shared" si="134"/>
        <v>4020</v>
      </c>
      <c r="AZ116">
        <v>0</v>
      </c>
      <c r="BA116">
        <v>0</v>
      </c>
      <c r="BB116">
        <f t="shared" si="135"/>
        <v>43510</v>
      </c>
      <c r="BC116">
        <v>2500</v>
      </c>
      <c r="BD116">
        <v>0</v>
      </c>
      <c r="BE116">
        <f t="shared" si="136"/>
        <v>200</v>
      </c>
      <c r="BF116">
        <f t="shared" si="137"/>
        <v>40810</v>
      </c>
      <c r="BG116">
        <v>33500</v>
      </c>
      <c r="BH116">
        <f t="shared" si="138"/>
        <v>4690</v>
      </c>
      <c r="BI116">
        <f t="shared" si="139"/>
        <v>4020</v>
      </c>
      <c r="BJ116">
        <v>0</v>
      </c>
      <c r="BK116">
        <v>0</v>
      </c>
      <c r="BL116">
        <f t="shared" si="140"/>
        <v>42210</v>
      </c>
      <c r="BM116">
        <v>2500</v>
      </c>
      <c r="BN116">
        <v>0</v>
      </c>
      <c r="BO116">
        <f t="shared" si="141"/>
        <v>200</v>
      </c>
      <c r="BP116">
        <f t="shared" si="142"/>
        <v>39510</v>
      </c>
      <c r="BQ116">
        <v>33500</v>
      </c>
      <c r="BR116">
        <f t="shared" si="143"/>
        <v>4690</v>
      </c>
      <c r="BS116">
        <f t="shared" si="144"/>
        <v>4020</v>
      </c>
      <c r="BT116">
        <v>0</v>
      </c>
      <c r="BU116">
        <v>0</v>
      </c>
      <c r="BV116">
        <f t="shared" si="145"/>
        <v>42210</v>
      </c>
      <c r="BW116">
        <v>2500</v>
      </c>
      <c r="BX116">
        <v>0</v>
      </c>
      <c r="BY116">
        <f t="shared" si="146"/>
        <v>200</v>
      </c>
      <c r="BZ116">
        <f t="shared" si="147"/>
        <v>39510</v>
      </c>
      <c r="CA116">
        <v>33500</v>
      </c>
      <c r="CB116">
        <f t="shared" si="148"/>
        <v>4690</v>
      </c>
      <c r="CC116">
        <f t="shared" si="149"/>
        <v>4020</v>
      </c>
      <c r="CD116">
        <v>0</v>
      </c>
      <c r="CE116">
        <v>0</v>
      </c>
      <c r="CF116">
        <f t="shared" si="150"/>
        <v>42210</v>
      </c>
      <c r="CG116">
        <v>2500</v>
      </c>
      <c r="CH116">
        <v>0</v>
      </c>
      <c r="CI116">
        <f t="shared" si="151"/>
        <v>200</v>
      </c>
      <c r="CJ116">
        <f t="shared" si="152"/>
        <v>39510</v>
      </c>
      <c r="CK116">
        <v>33500</v>
      </c>
      <c r="CL116">
        <f t="shared" si="153"/>
        <v>4690</v>
      </c>
      <c r="CM116">
        <f t="shared" si="154"/>
        <v>4020</v>
      </c>
      <c r="CN116">
        <v>0</v>
      </c>
      <c r="CO116">
        <v>0</v>
      </c>
      <c r="CP116">
        <f t="shared" si="155"/>
        <v>42210</v>
      </c>
      <c r="CQ116">
        <v>2500</v>
      </c>
      <c r="CR116">
        <v>0</v>
      </c>
      <c r="CS116">
        <f t="shared" si="156"/>
        <v>200</v>
      </c>
      <c r="CT116">
        <f t="shared" si="157"/>
        <v>39510</v>
      </c>
      <c r="CU116">
        <v>33500</v>
      </c>
      <c r="CV116">
        <f t="shared" si="158"/>
        <v>4690</v>
      </c>
      <c r="CW116">
        <f t="shared" si="159"/>
        <v>4020</v>
      </c>
      <c r="CX116">
        <v>0</v>
      </c>
      <c r="CY116">
        <v>0</v>
      </c>
      <c r="CZ116">
        <f t="shared" si="160"/>
        <v>42210</v>
      </c>
      <c r="DA116">
        <v>2500</v>
      </c>
      <c r="DB116">
        <v>0</v>
      </c>
      <c r="DC116">
        <f t="shared" si="161"/>
        <v>200</v>
      </c>
      <c r="DD116">
        <f t="shared" si="162"/>
        <v>39510</v>
      </c>
      <c r="DE116">
        <v>33500</v>
      </c>
      <c r="DF116">
        <f t="shared" si="163"/>
        <v>4690</v>
      </c>
      <c r="DG116">
        <f t="shared" si="164"/>
        <v>4020</v>
      </c>
      <c r="DH116">
        <v>0</v>
      </c>
      <c r="DI116">
        <v>0</v>
      </c>
      <c r="DJ116">
        <f t="shared" si="165"/>
        <v>42210</v>
      </c>
      <c r="DK116">
        <v>2500</v>
      </c>
      <c r="DL116">
        <v>0</v>
      </c>
      <c r="DM116">
        <f t="shared" si="166"/>
        <v>200</v>
      </c>
      <c r="DN116">
        <f t="shared" si="167"/>
        <v>39510</v>
      </c>
      <c r="DO116">
        <v>33500</v>
      </c>
      <c r="DP116">
        <f t="shared" si="168"/>
        <v>4690</v>
      </c>
      <c r="DQ116">
        <f t="shared" si="169"/>
        <v>4020</v>
      </c>
      <c r="DR116">
        <v>0</v>
      </c>
      <c r="DS116">
        <v>0</v>
      </c>
      <c r="DT116">
        <f t="shared" si="170"/>
        <v>42210</v>
      </c>
      <c r="DU116">
        <v>2500</v>
      </c>
      <c r="DV116">
        <v>0</v>
      </c>
      <c r="DW116">
        <f t="shared" si="171"/>
        <v>200</v>
      </c>
      <c r="DX116">
        <f t="shared" si="172"/>
        <v>39510</v>
      </c>
      <c r="DY116">
        <f t="shared" si="173"/>
        <v>506180</v>
      </c>
      <c r="DZ116">
        <f t="shared" si="105"/>
        <v>2300</v>
      </c>
      <c r="EA116">
        <f t="shared" si="106"/>
        <v>50000</v>
      </c>
      <c r="EB116">
        <v>0</v>
      </c>
      <c r="EC116">
        <f t="shared" si="107"/>
        <v>453880</v>
      </c>
      <c r="ED116">
        <f t="shared" si="108"/>
        <v>28000</v>
      </c>
      <c r="EE116">
        <f t="shared" si="109"/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f t="shared" si="110"/>
        <v>28000</v>
      </c>
      <c r="EQ116">
        <f t="shared" si="174"/>
        <v>28000</v>
      </c>
      <c r="ER116">
        <f t="shared" si="111"/>
        <v>425880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f t="shared" si="175"/>
        <v>0</v>
      </c>
      <c r="FA116">
        <f t="shared" si="176"/>
        <v>425880</v>
      </c>
      <c r="FB116">
        <f t="shared" si="177"/>
        <v>8794</v>
      </c>
      <c r="FC116">
        <f t="shared" si="178"/>
        <v>0</v>
      </c>
      <c r="FD116">
        <f t="shared" si="179"/>
        <v>8794</v>
      </c>
      <c r="FE116">
        <f t="shared" si="180"/>
        <v>0</v>
      </c>
      <c r="FF116">
        <f t="shared" si="181"/>
        <v>0</v>
      </c>
      <c r="FG116">
        <f t="shared" si="182"/>
        <v>0</v>
      </c>
      <c r="FH116">
        <v>0</v>
      </c>
      <c r="FI116">
        <f t="shared" si="183"/>
        <v>0</v>
      </c>
      <c r="FJ116" t="b">
        <f t="shared" si="184"/>
        <v>1</v>
      </c>
      <c r="FK116">
        <f t="shared" ca="1" si="185"/>
        <v>794</v>
      </c>
      <c r="FL116">
        <f t="shared" ca="1" si="186"/>
        <v>506974</v>
      </c>
      <c r="FM116">
        <f t="shared" si="187"/>
        <v>75000</v>
      </c>
      <c r="FN116">
        <f t="shared" ca="1" si="188"/>
        <v>431974</v>
      </c>
      <c r="FO116">
        <f t="shared" ca="1" si="189"/>
        <v>0</v>
      </c>
      <c r="FP116">
        <f t="shared" ca="1" si="190"/>
        <v>0</v>
      </c>
      <c r="FQ116">
        <f t="shared" ca="1" si="191"/>
        <v>0</v>
      </c>
      <c r="FR116">
        <f t="shared" ca="1" si="192"/>
        <v>0</v>
      </c>
      <c r="FS116">
        <f t="shared" ca="1" si="193"/>
        <v>0</v>
      </c>
      <c r="FT116">
        <f t="shared" ca="1" si="194"/>
        <v>0</v>
      </c>
      <c r="FU116">
        <f t="shared" ca="1" si="195"/>
        <v>0</v>
      </c>
      <c r="FV116">
        <f t="shared" ca="1" si="196"/>
        <v>0</v>
      </c>
      <c r="FW116">
        <f t="shared" ca="1" si="197"/>
        <v>131974</v>
      </c>
      <c r="FX116">
        <f t="shared" ca="1" si="198"/>
        <v>6598.7000000000007</v>
      </c>
      <c r="FY116">
        <f t="shared" ca="1" si="199"/>
        <v>6599</v>
      </c>
      <c r="FZ116">
        <f t="shared" ca="1" si="200"/>
        <v>0</v>
      </c>
      <c r="GA116">
        <f t="shared" ca="1" si="201"/>
        <v>0</v>
      </c>
      <c r="GB116">
        <f t="shared" ca="1" si="202"/>
        <v>6599</v>
      </c>
      <c r="GC116">
        <f t="shared" ca="1" si="203"/>
        <v>0</v>
      </c>
      <c r="GD116" t="b">
        <f t="shared" ca="1" si="204"/>
        <v>0</v>
      </c>
      <c r="GE116">
        <f t="shared" ca="1" si="205"/>
        <v>0</v>
      </c>
      <c r="GF116">
        <f t="shared" ca="1" si="206"/>
        <v>6599</v>
      </c>
      <c r="GG116">
        <f t="shared" ca="1" si="207"/>
        <v>0</v>
      </c>
      <c r="GH116">
        <f t="shared" ca="1" si="208"/>
        <v>0</v>
      </c>
      <c r="GI116">
        <f t="shared" ca="1" si="209"/>
        <v>0</v>
      </c>
    </row>
    <row r="117" spans="1:191" x14ac:dyDescent="0.25">
      <c r="A117">
        <f>_xlfn.AGGREGATE(3,5,$B$2:B117)</f>
        <v>116</v>
      </c>
      <c r="B117" t="s">
        <v>353</v>
      </c>
      <c r="C117" t="s">
        <v>354</v>
      </c>
      <c r="D117" t="s">
        <v>794</v>
      </c>
      <c r="E117" t="s">
        <v>844</v>
      </c>
      <c r="F117">
        <v>0</v>
      </c>
      <c r="G117">
        <v>0</v>
      </c>
      <c r="H117">
        <v>50200</v>
      </c>
      <c r="I117">
        <f t="shared" si="112"/>
        <v>5020</v>
      </c>
      <c r="J117">
        <f t="shared" si="113"/>
        <v>6024</v>
      </c>
      <c r="K117">
        <v>400</v>
      </c>
      <c r="L117">
        <v>500</v>
      </c>
      <c r="M117">
        <f t="shared" si="114"/>
        <v>62144</v>
      </c>
      <c r="N117">
        <v>5000</v>
      </c>
      <c r="O117">
        <v>0</v>
      </c>
      <c r="P117">
        <f t="shared" si="115"/>
        <v>200</v>
      </c>
      <c r="Q117">
        <f t="shared" si="116"/>
        <v>56944</v>
      </c>
      <c r="R117">
        <v>50200</v>
      </c>
      <c r="S117">
        <f t="shared" si="117"/>
        <v>5020</v>
      </c>
      <c r="T117">
        <f t="shared" si="118"/>
        <v>6024</v>
      </c>
      <c r="U117">
        <v>400</v>
      </c>
      <c r="V117">
        <v>500</v>
      </c>
      <c r="W117">
        <f t="shared" si="119"/>
        <v>62144</v>
      </c>
      <c r="X117">
        <v>5000</v>
      </c>
      <c r="Y117">
        <v>0</v>
      </c>
      <c r="Z117">
        <f t="shared" si="120"/>
        <v>200</v>
      </c>
      <c r="AA117">
        <f t="shared" si="121"/>
        <v>56944</v>
      </c>
      <c r="AB117">
        <v>50200</v>
      </c>
      <c r="AC117">
        <f t="shared" si="122"/>
        <v>7028.0000000000009</v>
      </c>
      <c r="AD117">
        <f t="shared" si="123"/>
        <v>6024</v>
      </c>
      <c r="AE117">
        <v>400</v>
      </c>
      <c r="AF117">
        <v>500</v>
      </c>
      <c r="AG117">
        <f t="shared" si="124"/>
        <v>64152</v>
      </c>
      <c r="AH117">
        <v>5000</v>
      </c>
      <c r="AI117">
        <v>0</v>
      </c>
      <c r="AJ117">
        <f t="shared" si="125"/>
        <v>200</v>
      </c>
      <c r="AK117">
        <f t="shared" si="126"/>
        <v>58952</v>
      </c>
      <c r="AL117">
        <v>50200</v>
      </c>
      <c r="AM117">
        <f t="shared" si="127"/>
        <v>7028.0000000000009</v>
      </c>
      <c r="AN117">
        <f t="shared" si="128"/>
        <v>6024</v>
      </c>
      <c r="AO117">
        <v>400</v>
      </c>
      <c r="AP117">
        <v>500</v>
      </c>
      <c r="AQ117">
        <f t="shared" si="129"/>
        <v>64152</v>
      </c>
      <c r="AR117">
        <v>5000</v>
      </c>
      <c r="AS117">
        <v>0</v>
      </c>
      <c r="AT117">
        <f t="shared" si="130"/>
        <v>200</v>
      </c>
      <c r="AU117">
        <f t="shared" si="131"/>
        <v>58952</v>
      </c>
      <c r="AV117">
        <v>51700</v>
      </c>
      <c r="AW117">
        <f t="shared" si="132"/>
        <v>7238.0000000000009</v>
      </c>
      <c r="AX117">
        <f t="shared" si="133"/>
        <v>2008</v>
      </c>
      <c r="AY117">
        <f t="shared" si="134"/>
        <v>6204</v>
      </c>
      <c r="AZ117">
        <v>400</v>
      </c>
      <c r="BA117">
        <v>500</v>
      </c>
      <c r="BB117">
        <f t="shared" si="135"/>
        <v>68050</v>
      </c>
      <c r="BC117">
        <v>5000</v>
      </c>
      <c r="BD117">
        <v>0</v>
      </c>
      <c r="BE117">
        <f t="shared" si="136"/>
        <v>200</v>
      </c>
      <c r="BF117">
        <f t="shared" si="137"/>
        <v>62850</v>
      </c>
      <c r="BG117">
        <v>51700</v>
      </c>
      <c r="BH117">
        <f t="shared" si="138"/>
        <v>7238.0000000000009</v>
      </c>
      <c r="BI117">
        <f t="shared" si="139"/>
        <v>6204</v>
      </c>
      <c r="BJ117">
        <v>400</v>
      </c>
      <c r="BK117">
        <v>500</v>
      </c>
      <c r="BL117">
        <f t="shared" si="140"/>
        <v>66042</v>
      </c>
      <c r="BM117">
        <v>5000</v>
      </c>
      <c r="BN117">
        <v>0</v>
      </c>
      <c r="BO117">
        <f t="shared" si="141"/>
        <v>200</v>
      </c>
      <c r="BP117">
        <f t="shared" si="142"/>
        <v>60842</v>
      </c>
      <c r="BQ117">
        <v>51700</v>
      </c>
      <c r="BR117">
        <f t="shared" si="143"/>
        <v>7238.0000000000009</v>
      </c>
      <c r="BS117">
        <f t="shared" si="144"/>
        <v>6204</v>
      </c>
      <c r="BT117">
        <v>400</v>
      </c>
      <c r="BU117">
        <v>500</v>
      </c>
      <c r="BV117">
        <f t="shared" si="145"/>
        <v>66042</v>
      </c>
      <c r="BW117">
        <v>5000</v>
      </c>
      <c r="BX117">
        <v>0</v>
      </c>
      <c r="BY117">
        <f t="shared" si="146"/>
        <v>200</v>
      </c>
      <c r="BZ117">
        <f t="shared" si="147"/>
        <v>60842</v>
      </c>
      <c r="CA117">
        <v>51700</v>
      </c>
      <c r="CB117">
        <f t="shared" si="148"/>
        <v>7238.0000000000009</v>
      </c>
      <c r="CC117">
        <f t="shared" si="149"/>
        <v>6204</v>
      </c>
      <c r="CD117">
        <v>400</v>
      </c>
      <c r="CE117">
        <v>500</v>
      </c>
      <c r="CF117">
        <f t="shared" si="150"/>
        <v>66042</v>
      </c>
      <c r="CG117">
        <v>5000</v>
      </c>
      <c r="CH117">
        <v>0</v>
      </c>
      <c r="CI117">
        <f t="shared" si="151"/>
        <v>200</v>
      </c>
      <c r="CJ117">
        <f t="shared" si="152"/>
        <v>60842</v>
      </c>
      <c r="CK117">
        <v>51700</v>
      </c>
      <c r="CL117">
        <f t="shared" si="153"/>
        <v>7238.0000000000009</v>
      </c>
      <c r="CM117">
        <f t="shared" si="154"/>
        <v>6204</v>
      </c>
      <c r="CN117">
        <v>400</v>
      </c>
      <c r="CO117">
        <v>500</v>
      </c>
      <c r="CP117">
        <f t="shared" si="155"/>
        <v>66042</v>
      </c>
      <c r="CQ117">
        <v>5000</v>
      </c>
      <c r="CR117">
        <v>0</v>
      </c>
      <c r="CS117">
        <f t="shared" si="156"/>
        <v>200</v>
      </c>
      <c r="CT117">
        <f t="shared" si="157"/>
        <v>60842</v>
      </c>
      <c r="CU117">
        <v>51700</v>
      </c>
      <c r="CV117">
        <f t="shared" si="158"/>
        <v>7238</v>
      </c>
      <c r="CW117">
        <f t="shared" si="159"/>
        <v>6204</v>
      </c>
      <c r="CX117">
        <v>400</v>
      </c>
      <c r="CY117">
        <v>500</v>
      </c>
      <c r="CZ117">
        <f t="shared" si="160"/>
        <v>66042</v>
      </c>
      <c r="DA117">
        <v>5000</v>
      </c>
      <c r="DB117">
        <v>0</v>
      </c>
      <c r="DC117">
        <f t="shared" si="161"/>
        <v>200</v>
      </c>
      <c r="DD117">
        <f t="shared" si="162"/>
        <v>60842</v>
      </c>
      <c r="DE117">
        <v>51700</v>
      </c>
      <c r="DF117">
        <f t="shared" si="163"/>
        <v>7238.0000000000009</v>
      </c>
      <c r="DG117">
        <f t="shared" si="164"/>
        <v>6204</v>
      </c>
      <c r="DH117">
        <v>400</v>
      </c>
      <c r="DI117">
        <v>500</v>
      </c>
      <c r="DJ117">
        <f t="shared" si="165"/>
        <v>66042</v>
      </c>
      <c r="DK117">
        <v>5000</v>
      </c>
      <c r="DL117">
        <v>0</v>
      </c>
      <c r="DM117">
        <f t="shared" si="166"/>
        <v>200</v>
      </c>
      <c r="DN117">
        <f t="shared" si="167"/>
        <v>60842</v>
      </c>
      <c r="DO117">
        <v>51700</v>
      </c>
      <c r="DP117">
        <f t="shared" si="168"/>
        <v>7238.0000000000009</v>
      </c>
      <c r="DQ117">
        <f t="shared" si="169"/>
        <v>6204</v>
      </c>
      <c r="DR117">
        <v>400</v>
      </c>
      <c r="DS117">
        <v>500</v>
      </c>
      <c r="DT117">
        <f t="shared" si="170"/>
        <v>66042</v>
      </c>
      <c r="DU117">
        <v>5000</v>
      </c>
      <c r="DV117">
        <v>0</v>
      </c>
      <c r="DW117">
        <f t="shared" si="171"/>
        <v>200</v>
      </c>
      <c r="DX117">
        <f t="shared" si="172"/>
        <v>60842</v>
      </c>
      <c r="DY117">
        <f t="shared" si="173"/>
        <v>782936</v>
      </c>
      <c r="DZ117">
        <f t="shared" si="105"/>
        <v>2400</v>
      </c>
      <c r="EA117">
        <f t="shared" si="106"/>
        <v>50000</v>
      </c>
      <c r="EB117">
        <v>0</v>
      </c>
      <c r="EC117">
        <f t="shared" si="107"/>
        <v>730536</v>
      </c>
      <c r="ED117">
        <f t="shared" si="108"/>
        <v>60000</v>
      </c>
      <c r="EE117">
        <f t="shared" si="109"/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f t="shared" si="110"/>
        <v>60000</v>
      </c>
      <c r="EQ117">
        <f t="shared" si="174"/>
        <v>60000</v>
      </c>
      <c r="ER117">
        <f t="shared" si="111"/>
        <v>670536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f t="shared" si="175"/>
        <v>0</v>
      </c>
      <c r="FA117">
        <f t="shared" si="176"/>
        <v>670536</v>
      </c>
      <c r="FB117">
        <f t="shared" si="177"/>
        <v>12500</v>
      </c>
      <c r="FC117">
        <f t="shared" si="178"/>
        <v>34107</v>
      </c>
      <c r="FD117">
        <f t="shared" si="179"/>
        <v>46607</v>
      </c>
      <c r="FE117">
        <f t="shared" si="180"/>
        <v>46607</v>
      </c>
      <c r="FF117">
        <f t="shared" si="181"/>
        <v>1864.28</v>
      </c>
      <c r="FG117">
        <f t="shared" si="182"/>
        <v>48471</v>
      </c>
      <c r="FH117">
        <v>0</v>
      </c>
      <c r="FI117">
        <f t="shared" si="183"/>
        <v>48471</v>
      </c>
      <c r="FJ117" t="b">
        <f t="shared" si="184"/>
        <v>1</v>
      </c>
      <c r="FK117">
        <f t="shared" ca="1" si="185"/>
        <v>873</v>
      </c>
      <c r="FL117">
        <f t="shared" ca="1" si="186"/>
        <v>783809</v>
      </c>
      <c r="FM117">
        <f t="shared" si="187"/>
        <v>75000</v>
      </c>
      <c r="FN117">
        <f t="shared" ca="1" si="188"/>
        <v>708809</v>
      </c>
      <c r="FO117">
        <f t="shared" ca="1" si="189"/>
        <v>0</v>
      </c>
      <c r="FP117">
        <f t="shared" ca="1" si="190"/>
        <v>0</v>
      </c>
      <c r="FQ117">
        <f t="shared" ca="1" si="191"/>
        <v>0</v>
      </c>
      <c r="FR117">
        <f t="shared" ca="1" si="192"/>
        <v>0</v>
      </c>
      <c r="FS117">
        <f t="shared" ca="1" si="193"/>
        <v>0</v>
      </c>
      <c r="FT117">
        <f t="shared" ca="1" si="194"/>
        <v>0</v>
      </c>
      <c r="FU117">
        <f t="shared" ca="1" si="195"/>
        <v>8809</v>
      </c>
      <c r="FV117">
        <f t="shared" ca="1" si="196"/>
        <v>880.90000000000009</v>
      </c>
      <c r="FW117">
        <f t="shared" ca="1" si="197"/>
        <v>400000</v>
      </c>
      <c r="FX117">
        <f t="shared" ca="1" si="198"/>
        <v>20000</v>
      </c>
      <c r="FY117">
        <f t="shared" ca="1" si="199"/>
        <v>20881</v>
      </c>
      <c r="FZ117">
        <f t="shared" ca="1" si="200"/>
        <v>708809</v>
      </c>
      <c r="GA117">
        <f t="shared" ca="1" si="201"/>
        <v>8809</v>
      </c>
      <c r="GB117">
        <f t="shared" ca="1" si="202"/>
        <v>0</v>
      </c>
      <c r="GC117">
        <f t="shared" ca="1" si="203"/>
        <v>12072</v>
      </c>
      <c r="GD117" t="b">
        <f t="shared" ca="1" si="204"/>
        <v>1</v>
      </c>
      <c r="GE117">
        <f t="shared" ca="1" si="205"/>
        <v>12072</v>
      </c>
      <c r="GF117">
        <f t="shared" ca="1" si="206"/>
        <v>12072</v>
      </c>
      <c r="GG117">
        <f t="shared" ca="1" si="207"/>
        <v>8809</v>
      </c>
      <c r="GH117">
        <f t="shared" ca="1" si="208"/>
        <v>352.36</v>
      </c>
      <c r="GI117">
        <f t="shared" ca="1" si="209"/>
        <v>9162</v>
      </c>
    </row>
    <row r="118" spans="1:191" x14ac:dyDescent="0.25">
      <c r="A118">
        <f>_xlfn.AGGREGATE(3,5,$B$2:B118)</f>
        <v>117</v>
      </c>
      <c r="B118" t="s">
        <v>355</v>
      </c>
      <c r="C118" t="s">
        <v>356</v>
      </c>
      <c r="D118" t="s">
        <v>794</v>
      </c>
      <c r="E118" t="s">
        <v>845</v>
      </c>
      <c r="F118">
        <v>0</v>
      </c>
      <c r="G118">
        <v>0</v>
      </c>
      <c r="H118">
        <v>45900</v>
      </c>
      <c r="I118">
        <f t="shared" si="112"/>
        <v>4590</v>
      </c>
      <c r="J118">
        <f t="shared" si="113"/>
        <v>5508</v>
      </c>
      <c r="K118">
        <v>0</v>
      </c>
      <c r="L118">
        <v>0</v>
      </c>
      <c r="M118">
        <f t="shared" si="114"/>
        <v>55998</v>
      </c>
      <c r="N118">
        <v>6000</v>
      </c>
      <c r="O118">
        <v>0</v>
      </c>
      <c r="P118">
        <f t="shared" si="115"/>
        <v>200</v>
      </c>
      <c r="Q118">
        <f t="shared" si="116"/>
        <v>49798</v>
      </c>
      <c r="R118">
        <v>45900</v>
      </c>
      <c r="S118">
        <f t="shared" si="117"/>
        <v>4590</v>
      </c>
      <c r="T118">
        <f t="shared" si="118"/>
        <v>5508</v>
      </c>
      <c r="U118">
        <v>0</v>
      </c>
      <c r="V118">
        <v>0</v>
      </c>
      <c r="W118">
        <f t="shared" si="119"/>
        <v>55998</v>
      </c>
      <c r="X118">
        <v>6000</v>
      </c>
      <c r="Y118">
        <v>0</v>
      </c>
      <c r="Z118">
        <f t="shared" si="120"/>
        <v>200</v>
      </c>
      <c r="AA118">
        <f t="shared" si="121"/>
        <v>49798</v>
      </c>
      <c r="AB118">
        <v>45900</v>
      </c>
      <c r="AC118">
        <f t="shared" si="122"/>
        <v>6426.0000000000009</v>
      </c>
      <c r="AD118">
        <f t="shared" si="123"/>
        <v>5508</v>
      </c>
      <c r="AE118">
        <v>0</v>
      </c>
      <c r="AF118">
        <v>0</v>
      </c>
      <c r="AG118">
        <f t="shared" si="124"/>
        <v>57834</v>
      </c>
      <c r="AH118">
        <v>0</v>
      </c>
      <c r="AI118">
        <v>0</v>
      </c>
      <c r="AJ118">
        <f t="shared" si="125"/>
        <v>200</v>
      </c>
      <c r="AK118">
        <f t="shared" si="126"/>
        <v>57634</v>
      </c>
      <c r="AL118">
        <v>45900</v>
      </c>
      <c r="AM118">
        <f t="shared" si="127"/>
        <v>6426.0000000000009</v>
      </c>
      <c r="AN118">
        <f t="shared" si="128"/>
        <v>5508</v>
      </c>
      <c r="AO118">
        <v>0</v>
      </c>
      <c r="AP118">
        <v>0</v>
      </c>
      <c r="AQ118">
        <f t="shared" si="129"/>
        <v>57834</v>
      </c>
      <c r="AR118">
        <v>0</v>
      </c>
      <c r="AS118">
        <v>0</v>
      </c>
      <c r="AT118">
        <f t="shared" si="130"/>
        <v>200</v>
      </c>
      <c r="AU118">
        <f t="shared" si="131"/>
        <v>57634</v>
      </c>
      <c r="AV118">
        <v>47300</v>
      </c>
      <c r="AW118">
        <f t="shared" si="132"/>
        <v>6622.0000000000009</v>
      </c>
      <c r="AX118">
        <f t="shared" si="133"/>
        <v>1836</v>
      </c>
      <c r="AY118">
        <f t="shared" si="134"/>
        <v>5676</v>
      </c>
      <c r="AZ118">
        <v>0</v>
      </c>
      <c r="BA118">
        <v>0</v>
      </c>
      <c r="BB118">
        <f t="shared" si="135"/>
        <v>61434</v>
      </c>
      <c r="BC118">
        <v>0</v>
      </c>
      <c r="BD118">
        <v>0</v>
      </c>
      <c r="BE118">
        <f t="shared" si="136"/>
        <v>200</v>
      </c>
      <c r="BF118">
        <f t="shared" si="137"/>
        <v>61234</v>
      </c>
      <c r="BG118">
        <v>47300</v>
      </c>
      <c r="BH118">
        <f t="shared" si="138"/>
        <v>6622.0000000000009</v>
      </c>
      <c r="BI118">
        <f t="shared" si="139"/>
        <v>5676</v>
      </c>
      <c r="BJ118">
        <v>0</v>
      </c>
      <c r="BK118">
        <v>0</v>
      </c>
      <c r="BL118">
        <f t="shared" si="140"/>
        <v>59598</v>
      </c>
      <c r="BM118">
        <v>0</v>
      </c>
      <c r="BN118">
        <v>0</v>
      </c>
      <c r="BO118">
        <f t="shared" si="141"/>
        <v>200</v>
      </c>
      <c r="BP118">
        <f t="shared" si="142"/>
        <v>59398</v>
      </c>
      <c r="BQ118">
        <v>47300</v>
      </c>
      <c r="BR118">
        <f t="shared" si="143"/>
        <v>6622.0000000000009</v>
      </c>
      <c r="BS118">
        <f t="shared" si="144"/>
        <v>5676</v>
      </c>
      <c r="BT118">
        <v>0</v>
      </c>
      <c r="BU118">
        <v>0</v>
      </c>
      <c r="BV118">
        <f t="shared" si="145"/>
        <v>59598</v>
      </c>
      <c r="BW118">
        <v>0</v>
      </c>
      <c r="BX118">
        <v>0</v>
      </c>
      <c r="BY118">
        <f t="shared" si="146"/>
        <v>200</v>
      </c>
      <c r="BZ118">
        <f t="shared" si="147"/>
        <v>59398</v>
      </c>
      <c r="CA118">
        <v>47300</v>
      </c>
      <c r="CB118">
        <f t="shared" si="148"/>
        <v>6622.0000000000009</v>
      </c>
      <c r="CC118">
        <f t="shared" si="149"/>
        <v>5676</v>
      </c>
      <c r="CD118">
        <v>0</v>
      </c>
      <c r="CE118">
        <v>0</v>
      </c>
      <c r="CF118">
        <f t="shared" si="150"/>
        <v>59598</v>
      </c>
      <c r="CG118">
        <v>0</v>
      </c>
      <c r="CH118">
        <v>0</v>
      </c>
      <c r="CI118">
        <f t="shared" si="151"/>
        <v>200</v>
      </c>
      <c r="CJ118">
        <f t="shared" si="152"/>
        <v>59398</v>
      </c>
      <c r="CK118">
        <v>47300</v>
      </c>
      <c r="CL118">
        <f t="shared" si="153"/>
        <v>6622.0000000000009</v>
      </c>
      <c r="CM118">
        <f t="shared" si="154"/>
        <v>5676</v>
      </c>
      <c r="CN118">
        <v>0</v>
      </c>
      <c r="CO118">
        <v>0</v>
      </c>
      <c r="CP118">
        <f t="shared" si="155"/>
        <v>59598</v>
      </c>
      <c r="CQ118">
        <v>0</v>
      </c>
      <c r="CR118">
        <v>0</v>
      </c>
      <c r="CS118">
        <f t="shared" si="156"/>
        <v>200</v>
      </c>
      <c r="CT118">
        <f t="shared" si="157"/>
        <v>59398</v>
      </c>
      <c r="CU118">
        <v>47300</v>
      </c>
      <c r="CV118">
        <f t="shared" si="158"/>
        <v>6622</v>
      </c>
      <c r="CW118">
        <f t="shared" si="159"/>
        <v>5676</v>
      </c>
      <c r="CX118">
        <v>0</v>
      </c>
      <c r="CY118">
        <v>0</v>
      </c>
      <c r="CZ118">
        <f t="shared" si="160"/>
        <v>59598</v>
      </c>
      <c r="DA118">
        <v>0</v>
      </c>
      <c r="DB118">
        <v>0</v>
      </c>
      <c r="DC118">
        <f t="shared" si="161"/>
        <v>200</v>
      </c>
      <c r="DD118">
        <f t="shared" si="162"/>
        <v>59398</v>
      </c>
      <c r="DE118">
        <v>0</v>
      </c>
      <c r="DF118">
        <f t="shared" si="163"/>
        <v>0</v>
      </c>
      <c r="DG118">
        <f t="shared" si="164"/>
        <v>0</v>
      </c>
      <c r="DH118">
        <v>0</v>
      </c>
      <c r="DI118">
        <v>0</v>
      </c>
      <c r="DJ118">
        <f t="shared" si="165"/>
        <v>0</v>
      </c>
      <c r="DK118">
        <v>0</v>
      </c>
      <c r="DL118">
        <v>0</v>
      </c>
      <c r="DM118">
        <f t="shared" si="166"/>
        <v>0</v>
      </c>
      <c r="DN118">
        <f t="shared" si="167"/>
        <v>0</v>
      </c>
      <c r="DO118">
        <v>0</v>
      </c>
      <c r="DP118">
        <f t="shared" si="168"/>
        <v>0</v>
      </c>
      <c r="DQ118">
        <f t="shared" si="169"/>
        <v>0</v>
      </c>
      <c r="DR118">
        <v>0</v>
      </c>
      <c r="DS118">
        <v>0</v>
      </c>
      <c r="DT118">
        <f t="shared" si="170"/>
        <v>0</v>
      </c>
      <c r="DU118">
        <v>0</v>
      </c>
      <c r="DV118">
        <v>0</v>
      </c>
      <c r="DW118">
        <f t="shared" si="171"/>
        <v>0</v>
      </c>
      <c r="DX118">
        <f t="shared" si="172"/>
        <v>0</v>
      </c>
      <c r="DY118">
        <f t="shared" si="173"/>
        <v>587088</v>
      </c>
      <c r="DZ118">
        <f t="shared" si="105"/>
        <v>2000</v>
      </c>
      <c r="EA118">
        <f t="shared" si="106"/>
        <v>50000</v>
      </c>
      <c r="EB118">
        <v>0</v>
      </c>
      <c r="EC118">
        <f t="shared" si="107"/>
        <v>535088</v>
      </c>
      <c r="ED118">
        <f t="shared" si="108"/>
        <v>12000</v>
      </c>
      <c r="EE118">
        <f t="shared" si="109"/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f t="shared" si="110"/>
        <v>12000</v>
      </c>
      <c r="EQ118">
        <f t="shared" si="174"/>
        <v>12000</v>
      </c>
      <c r="ER118">
        <f t="shared" si="111"/>
        <v>523088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f t="shared" si="175"/>
        <v>0</v>
      </c>
      <c r="FA118">
        <f t="shared" si="176"/>
        <v>523088</v>
      </c>
      <c r="FB118">
        <f t="shared" si="177"/>
        <v>12500</v>
      </c>
      <c r="FC118">
        <f t="shared" si="178"/>
        <v>4618</v>
      </c>
      <c r="FD118">
        <f t="shared" si="179"/>
        <v>17118</v>
      </c>
      <c r="FE118">
        <f t="shared" si="180"/>
        <v>17118</v>
      </c>
      <c r="FF118">
        <f t="shared" si="181"/>
        <v>684.72</v>
      </c>
      <c r="FG118">
        <f t="shared" si="182"/>
        <v>17803</v>
      </c>
      <c r="FH118">
        <v>0</v>
      </c>
      <c r="FI118">
        <f t="shared" si="183"/>
        <v>17803</v>
      </c>
      <c r="FJ118" t="b">
        <f t="shared" si="184"/>
        <v>1</v>
      </c>
      <c r="FK118">
        <f t="shared" ca="1" si="185"/>
        <v>741</v>
      </c>
      <c r="FL118">
        <f t="shared" ca="1" si="186"/>
        <v>587829</v>
      </c>
      <c r="FM118">
        <f t="shared" si="187"/>
        <v>75000</v>
      </c>
      <c r="FN118">
        <f t="shared" ca="1" si="188"/>
        <v>512829</v>
      </c>
      <c r="FO118">
        <f t="shared" ca="1" si="189"/>
        <v>0</v>
      </c>
      <c r="FP118">
        <f t="shared" ca="1" si="190"/>
        <v>0</v>
      </c>
      <c r="FQ118">
        <f t="shared" ca="1" si="191"/>
        <v>0</v>
      </c>
      <c r="FR118">
        <f t="shared" ca="1" si="192"/>
        <v>0</v>
      </c>
      <c r="FS118">
        <f t="shared" ca="1" si="193"/>
        <v>0</v>
      </c>
      <c r="FT118">
        <f t="shared" ca="1" si="194"/>
        <v>0</v>
      </c>
      <c r="FU118">
        <f t="shared" ca="1" si="195"/>
        <v>0</v>
      </c>
      <c r="FV118">
        <f t="shared" ca="1" si="196"/>
        <v>0</v>
      </c>
      <c r="FW118">
        <f t="shared" ca="1" si="197"/>
        <v>212829</v>
      </c>
      <c r="FX118">
        <f t="shared" ca="1" si="198"/>
        <v>10641.45</v>
      </c>
      <c r="FY118">
        <f t="shared" ca="1" si="199"/>
        <v>10641</v>
      </c>
      <c r="FZ118">
        <f t="shared" ca="1" si="200"/>
        <v>0</v>
      </c>
      <c r="GA118">
        <f t="shared" ca="1" si="201"/>
        <v>0</v>
      </c>
      <c r="GB118">
        <f t="shared" ca="1" si="202"/>
        <v>10641</v>
      </c>
      <c r="GC118">
        <f t="shared" ca="1" si="203"/>
        <v>0</v>
      </c>
      <c r="GD118" t="b">
        <f t="shared" ca="1" si="204"/>
        <v>0</v>
      </c>
      <c r="GE118">
        <f t="shared" ca="1" si="205"/>
        <v>0</v>
      </c>
      <c r="GF118">
        <f t="shared" ca="1" si="206"/>
        <v>10641</v>
      </c>
      <c r="GG118">
        <f t="shared" ca="1" si="207"/>
        <v>0</v>
      </c>
      <c r="GH118">
        <f t="shared" ca="1" si="208"/>
        <v>0</v>
      </c>
      <c r="GI118">
        <f t="shared" ca="1" si="209"/>
        <v>0</v>
      </c>
    </row>
    <row r="119" spans="1:191" x14ac:dyDescent="0.25">
      <c r="A119">
        <f>_xlfn.AGGREGATE(3,5,$B$2:B119)</f>
        <v>118</v>
      </c>
      <c r="B119" t="s">
        <v>357</v>
      </c>
      <c r="C119" t="s">
        <v>358</v>
      </c>
      <c r="D119" t="s">
        <v>794</v>
      </c>
      <c r="E119" t="s">
        <v>845</v>
      </c>
      <c r="F119">
        <v>0</v>
      </c>
      <c r="G119">
        <v>0</v>
      </c>
      <c r="H119">
        <v>45900</v>
      </c>
      <c r="I119">
        <f t="shared" si="112"/>
        <v>4590</v>
      </c>
      <c r="J119">
        <f t="shared" si="113"/>
        <v>5508</v>
      </c>
      <c r="K119">
        <v>0</v>
      </c>
      <c r="L119">
        <v>0</v>
      </c>
      <c r="M119">
        <f t="shared" si="114"/>
        <v>55998</v>
      </c>
      <c r="N119">
        <v>6000</v>
      </c>
      <c r="O119">
        <v>0</v>
      </c>
      <c r="P119">
        <f t="shared" si="115"/>
        <v>200</v>
      </c>
      <c r="Q119">
        <f t="shared" si="116"/>
        <v>49798</v>
      </c>
      <c r="R119">
        <v>45900</v>
      </c>
      <c r="S119">
        <f t="shared" si="117"/>
        <v>4590</v>
      </c>
      <c r="T119">
        <f t="shared" si="118"/>
        <v>5508</v>
      </c>
      <c r="U119">
        <v>0</v>
      </c>
      <c r="V119">
        <v>0</v>
      </c>
      <c r="W119">
        <f t="shared" si="119"/>
        <v>55998</v>
      </c>
      <c r="X119">
        <v>6000</v>
      </c>
      <c r="Y119">
        <v>0</v>
      </c>
      <c r="Z119">
        <f t="shared" si="120"/>
        <v>200</v>
      </c>
      <c r="AA119">
        <f t="shared" si="121"/>
        <v>49798</v>
      </c>
      <c r="AB119">
        <v>45900</v>
      </c>
      <c r="AC119">
        <f t="shared" si="122"/>
        <v>6426.0000000000009</v>
      </c>
      <c r="AD119">
        <f t="shared" si="123"/>
        <v>5508</v>
      </c>
      <c r="AE119">
        <v>0</v>
      </c>
      <c r="AF119">
        <v>0</v>
      </c>
      <c r="AG119">
        <f t="shared" si="124"/>
        <v>57834</v>
      </c>
      <c r="AH119">
        <v>6000</v>
      </c>
      <c r="AI119">
        <v>0</v>
      </c>
      <c r="AJ119">
        <f t="shared" si="125"/>
        <v>200</v>
      </c>
      <c r="AK119">
        <f t="shared" si="126"/>
        <v>51634</v>
      </c>
      <c r="AL119">
        <v>45900</v>
      </c>
      <c r="AM119">
        <f t="shared" si="127"/>
        <v>6426.0000000000009</v>
      </c>
      <c r="AN119">
        <f t="shared" si="128"/>
        <v>5508</v>
      </c>
      <c r="AO119">
        <v>0</v>
      </c>
      <c r="AP119">
        <v>0</v>
      </c>
      <c r="AQ119">
        <f t="shared" si="129"/>
        <v>57834</v>
      </c>
      <c r="AR119">
        <v>6000</v>
      </c>
      <c r="AS119">
        <v>0</v>
      </c>
      <c r="AT119">
        <f t="shared" si="130"/>
        <v>200</v>
      </c>
      <c r="AU119">
        <f t="shared" si="131"/>
        <v>51634</v>
      </c>
      <c r="AV119">
        <v>47300</v>
      </c>
      <c r="AW119">
        <f t="shared" si="132"/>
        <v>6622.0000000000009</v>
      </c>
      <c r="AX119">
        <f t="shared" si="133"/>
        <v>1836</v>
      </c>
      <c r="AY119">
        <f t="shared" si="134"/>
        <v>5676</v>
      </c>
      <c r="AZ119">
        <v>0</v>
      </c>
      <c r="BA119">
        <v>0</v>
      </c>
      <c r="BB119">
        <f t="shared" si="135"/>
        <v>61434</v>
      </c>
      <c r="BC119">
        <v>6000</v>
      </c>
      <c r="BD119">
        <v>0</v>
      </c>
      <c r="BE119">
        <f t="shared" si="136"/>
        <v>200</v>
      </c>
      <c r="BF119">
        <f t="shared" si="137"/>
        <v>55234</v>
      </c>
      <c r="BG119">
        <v>47300</v>
      </c>
      <c r="BH119">
        <f t="shared" si="138"/>
        <v>6622.0000000000009</v>
      </c>
      <c r="BI119">
        <f t="shared" si="139"/>
        <v>5676</v>
      </c>
      <c r="BJ119">
        <v>0</v>
      </c>
      <c r="BK119">
        <v>0</v>
      </c>
      <c r="BL119">
        <f t="shared" si="140"/>
        <v>59598</v>
      </c>
      <c r="BM119">
        <v>6000</v>
      </c>
      <c r="BN119">
        <v>0</v>
      </c>
      <c r="BO119">
        <f t="shared" si="141"/>
        <v>200</v>
      </c>
      <c r="BP119">
        <f t="shared" si="142"/>
        <v>53398</v>
      </c>
      <c r="BQ119">
        <v>47300</v>
      </c>
      <c r="BR119">
        <f t="shared" si="143"/>
        <v>6622.0000000000009</v>
      </c>
      <c r="BS119">
        <f t="shared" si="144"/>
        <v>5676</v>
      </c>
      <c r="BT119">
        <v>0</v>
      </c>
      <c r="BU119">
        <v>0</v>
      </c>
      <c r="BV119">
        <f t="shared" si="145"/>
        <v>59598</v>
      </c>
      <c r="BW119">
        <v>6000</v>
      </c>
      <c r="BX119">
        <v>0</v>
      </c>
      <c r="BY119">
        <f t="shared" si="146"/>
        <v>200</v>
      </c>
      <c r="BZ119">
        <f t="shared" si="147"/>
        <v>53398</v>
      </c>
      <c r="CA119">
        <v>47300</v>
      </c>
      <c r="CB119">
        <f t="shared" si="148"/>
        <v>6622.0000000000009</v>
      </c>
      <c r="CC119">
        <f t="shared" si="149"/>
        <v>5676</v>
      </c>
      <c r="CD119">
        <v>0</v>
      </c>
      <c r="CE119">
        <v>0</v>
      </c>
      <c r="CF119">
        <f t="shared" si="150"/>
        <v>59598</v>
      </c>
      <c r="CG119">
        <v>6000</v>
      </c>
      <c r="CH119">
        <v>0</v>
      </c>
      <c r="CI119">
        <f t="shared" si="151"/>
        <v>200</v>
      </c>
      <c r="CJ119">
        <f t="shared" si="152"/>
        <v>53398</v>
      </c>
      <c r="CK119">
        <v>47300</v>
      </c>
      <c r="CL119">
        <f t="shared" si="153"/>
        <v>6622.0000000000009</v>
      </c>
      <c r="CM119">
        <f t="shared" si="154"/>
        <v>5676</v>
      </c>
      <c r="CN119">
        <v>0</v>
      </c>
      <c r="CO119">
        <v>0</v>
      </c>
      <c r="CP119">
        <f t="shared" si="155"/>
        <v>59598</v>
      </c>
      <c r="CQ119">
        <v>6000</v>
      </c>
      <c r="CR119">
        <v>0</v>
      </c>
      <c r="CS119">
        <f t="shared" si="156"/>
        <v>200</v>
      </c>
      <c r="CT119">
        <f t="shared" si="157"/>
        <v>53398</v>
      </c>
      <c r="CU119">
        <v>47300</v>
      </c>
      <c r="CV119">
        <f t="shared" si="158"/>
        <v>6622</v>
      </c>
      <c r="CW119">
        <f t="shared" si="159"/>
        <v>5676</v>
      </c>
      <c r="CX119">
        <v>0</v>
      </c>
      <c r="CY119">
        <v>0</v>
      </c>
      <c r="CZ119">
        <f t="shared" si="160"/>
        <v>59598</v>
      </c>
      <c r="DA119">
        <v>6000</v>
      </c>
      <c r="DB119">
        <v>0</v>
      </c>
      <c r="DC119">
        <f t="shared" si="161"/>
        <v>200</v>
      </c>
      <c r="DD119">
        <f t="shared" si="162"/>
        <v>53398</v>
      </c>
      <c r="DE119">
        <v>47300</v>
      </c>
      <c r="DF119">
        <f t="shared" si="163"/>
        <v>6622.0000000000009</v>
      </c>
      <c r="DG119">
        <f t="shared" si="164"/>
        <v>5676</v>
      </c>
      <c r="DH119">
        <v>0</v>
      </c>
      <c r="DI119">
        <v>0</v>
      </c>
      <c r="DJ119">
        <f t="shared" si="165"/>
        <v>59598</v>
      </c>
      <c r="DK119">
        <v>6000</v>
      </c>
      <c r="DL119">
        <v>0</v>
      </c>
      <c r="DM119">
        <f t="shared" si="166"/>
        <v>200</v>
      </c>
      <c r="DN119">
        <f t="shared" si="167"/>
        <v>53398</v>
      </c>
      <c r="DO119">
        <v>47300</v>
      </c>
      <c r="DP119">
        <f t="shared" si="168"/>
        <v>6622.0000000000009</v>
      </c>
      <c r="DQ119">
        <f t="shared" si="169"/>
        <v>5676</v>
      </c>
      <c r="DR119">
        <v>0</v>
      </c>
      <c r="DS119">
        <v>0</v>
      </c>
      <c r="DT119">
        <f t="shared" si="170"/>
        <v>59598</v>
      </c>
      <c r="DU119">
        <v>6000</v>
      </c>
      <c r="DV119">
        <v>0</v>
      </c>
      <c r="DW119">
        <f t="shared" si="171"/>
        <v>200</v>
      </c>
      <c r="DX119">
        <f t="shared" si="172"/>
        <v>53398</v>
      </c>
      <c r="DY119">
        <f t="shared" si="173"/>
        <v>706284</v>
      </c>
      <c r="DZ119">
        <f t="shared" si="105"/>
        <v>2400</v>
      </c>
      <c r="EA119">
        <f t="shared" si="106"/>
        <v>50000</v>
      </c>
      <c r="EB119">
        <v>0</v>
      </c>
      <c r="EC119">
        <f t="shared" si="107"/>
        <v>653884</v>
      </c>
      <c r="ED119">
        <f t="shared" si="108"/>
        <v>72000</v>
      </c>
      <c r="EE119">
        <f t="shared" si="109"/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f t="shared" si="110"/>
        <v>72000</v>
      </c>
      <c r="EQ119">
        <f t="shared" si="174"/>
        <v>72000</v>
      </c>
      <c r="ER119">
        <f t="shared" si="111"/>
        <v>581884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f t="shared" si="175"/>
        <v>0</v>
      </c>
      <c r="FA119">
        <f t="shared" si="176"/>
        <v>581884</v>
      </c>
      <c r="FB119">
        <f t="shared" si="177"/>
        <v>12500</v>
      </c>
      <c r="FC119">
        <f t="shared" si="178"/>
        <v>16377</v>
      </c>
      <c r="FD119">
        <f t="shared" si="179"/>
        <v>28877</v>
      </c>
      <c r="FE119">
        <f t="shared" si="180"/>
        <v>28877</v>
      </c>
      <c r="FF119">
        <f t="shared" si="181"/>
        <v>1155.08</v>
      </c>
      <c r="FG119">
        <f t="shared" si="182"/>
        <v>30032</v>
      </c>
      <c r="FH119">
        <v>0</v>
      </c>
      <c r="FI119">
        <f t="shared" si="183"/>
        <v>30032</v>
      </c>
      <c r="FJ119" t="b">
        <f t="shared" si="184"/>
        <v>1</v>
      </c>
      <c r="FK119">
        <f t="shared" ca="1" si="185"/>
        <v>745</v>
      </c>
      <c r="FL119">
        <f t="shared" ca="1" si="186"/>
        <v>707029</v>
      </c>
      <c r="FM119">
        <f t="shared" si="187"/>
        <v>75000</v>
      </c>
      <c r="FN119">
        <f t="shared" ca="1" si="188"/>
        <v>632029</v>
      </c>
      <c r="FO119">
        <f t="shared" ca="1" si="189"/>
        <v>0</v>
      </c>
      <c r="FP119">
        <f t="shared" ca="1" si="190"/>
        <v>0</v>
      </c>
      <c r="FQ119">
        <f t="shared" ca="1" si="191"/>
        <v>0</v>
      </c>
      <c r="FR119">
        <f t="shared" ca="1" si="192"/>
        <v>0</v>
      </c>
      <c r="FS119">
        <f t="shared" ca="1" si="193"/>
        <v>0</v>
      </c>
      <c r="FT119">
        <f t="shared" ca="1" si="194"/>
        <v>0</v>
      </c>
      <c r="FU119">
        <f t="shared" ca="1" si="195"/>
        <v>0</v>
      </c>
      <c r="FV119">
        <f t="shared" ca="1" si="196"/>
        <v>0</v>
      </c>
      <c r="FW119">
        <f t="shared" ca="1" si="197"/>
        <v>332029</v>
      </c>
      <c r="FX119">
        <f t="shared" ca="1" si="198"/>
        <v>16601.45</v>
      </c>
      <c r="FY119">
        <f t="shared" ca="1" si="199"/>
        <v>16601</v>
      </c>
      <c r="FZ119">
        <f t="shared" ca="1" si="200"/>
        <v>0</v>
      </c>
      <c r="GA119">
        <f t="shared" ca="1" si="201"/>
        <v>0</v>
      </c>
      <c r="GB119">
        <f t="shared" ca="1" si="202"/>
        <v>16601</v>
      </c>
      <c r="GC119">
        <f t="shared" ca="1" si="203"/>
        <v>0</v>
      </c>
      <c r="GD119" t="b">
        <f t="shared" ca="1" si="204"/>
        <v>0</v>
      </c>
      <c r="GE119">
        <f t="shared" ca="1" si="205"/>
        <v>0</v>
      </c>
      <c r="GF119">
        <f t="shared" ca="1" si="206"/>
        <v>16601</v>
      </c>
      <c r="GG119">
        <f t="shared" ca="1" si="207"/>
        <v>0</v>
      </c>
      <c r="GH119">
        <f t="shared" ca="1" si="208"/>
        <v>0</v>
      </c>
      <c r="GI119">
        <f t="shared" ca="1" si="209"/>
        <v>0</v>
      </c>
    </row>
    <row r="120" spans="1:191" x14ac:dyDescent="0.25">
      <c r="A120">
        <f>_xlfn.AGGREGATE(3,5,$B$2:B120)</f>
        <v>119</v>
      </c>
      <c r="B120" t="s">
        <v>359</v>
      </c>
      <c r="C120" t="s">
        <v>360</v>
      </c>
      <c r="D120" t="s">
        <v>794</v>
      </c>
      <c r="E120" t="s">
        <v>843</v>
      </c>
      <c r="F120">
        <v>0</v>
      </c>
      <c r="G120">
        <v>6000</v>
      </c>
      <c r="H120">
        <v>32500</v>
      </c>
      <c r="I120">
        <f t="shared" si="112"/>
        <v>3250</v>
      </c>
      <c r="J120">
        <f t="shared" si="113"/>
        <v>3900</v>
      </c>
      <c r="K120">
        <v>0</v>
      </c>
      <c r="L120">
        <v>0</v>
      </c>
      <c r="M120">
        <f t="shared" si="114"/>
        <v>39650</v>
      </c>
      <c r="N120">
        <v>5000</v>
      </c>
      <c r="O120">
        <v>0</v>
      </c>
      <c r="P120">
        <f t="shared" si="115"/>
        <v>150</v>
      </c>
      <c r="Q120">
        <f t="shared" si="116"/>
        <v>34500</v>
      </c>
      <c r="R120">
        <v>32500</v>
      </c>
      <c r="S120">
        <f t="shared" si="117"/>
        <v>3250</v>
      </c>
      <c r="T120">
        <f t="shared" si="118"/>
        <v>3900</v>
      </c>
      <c r="U120">
        <v>0</v>
      </c>
      <c r="V120">
        <v>0</v>
      </c>
      <c r="W120">
        <f t="shared" si="119"/>
        <v>39650</v>
      </c>
      <c r="X120">
        <v>5000</v>
      </c>
      <c r="Y120">
        <v>0</v>
      </c>
      <c r="Z120">
        <f t="shared" si="120"/>
        <v>150</v>
      </c>
      <c r="AA120">
        <f t="shared" si="121"/>
        <v>34500</v>
      </c>
      <c r="AB120">
        <v>32500</v>
      </c>
      <c r="AC120">
        <f t="shared" si="122"/>
        <v>4550</v>
      </c>
      <c r="AD120">
        <f t="shared" si="123"/>
        <v>3900</v>
      </c>
      <c r="AE120">
        <v>0</v>
      </c>
      <c r="AF120">
        <v>0</v>
      </c>
      <c r="AG120">
        <f t="shared" si="124"/>
        <v>40950</v>
      </c>
      <c r="AH120">
        <v>5000</v>
      </c>
      <c r="AI120">
        <v>0</v>
      </c>
      <c r="AJ120">
        <f t="shared" si="125"/>
        <v>200</v>
      </c>
      <c r="AK120">
        <f t="shared" si="126"/>
        <v>35750</v>
      </c>
      <c r="AL120">
        <v>32500</v>
      </c>
      <c r="AM120">
        <f t="shared" si="127"/>
        <v>4550</v>
      </c>
      <c r="AN120">
        <f t="shared" si="128"/>
        <v>3900</v>
      </c>
      <c r="AO120">
        <v>0</v>
      </c>
      <c r="AP120">
        <v>0</v>
      </c>
      <c r="AQ120">
        <f t="shared" si="129"/>
        <v>40950</v>
      </c>
      <c r="AR120">
        <v>5000</v>
      </c>
      <c r="AS120">
        <v>0</v>
      </c>
      <c r="AT120">
        <f t="shared" si="130"/>
        <v>200</v>
      </c>
      <c r="AU120">
        <f t="shared" si="131"/>
        <v>35750</v>
      </c>
      <c r="AV120">
        <v>33500</v>
      </c>
      <c r="AW120">
        <f t="shared" si="132"/>
        <v>4690</v>
      </c>
      <c r="AX120">
        <f t="shared" si="133"/>
        <v>1300</v>
      </c>
      <c r="AY120">
        <f t="shared" si="134"/>
        <v>4020</v>
      </c>
      <c r="AZ120">
        <v>0</v>
      </c>
      <c r="BA120">
        <v>0</v>
      </c>
      <c r="BB120">
        <f t="shared" si="135"/>
        <v>43510</v>
      </c>
      <c r="BC120">
        <v>5000</v>
      </c>
      <c r="BD120">
        <v>0</v>
      </c>
      <c r="BE120">
        <f t="shared" si="136"/>
        <v>200</v>
      </c>
      <c r="BF120">
        <f t="shared" si="137"/>
        <v>38310</v>
      </c>
      <c r="BG120">
        <v>33500</v>
      </c>
      <c r="BH120">
        <f t="shared" si="138"/>
        <v>4690</v>
      </c>
      <c r="BI120">
        <f t="shared" si="139"/>
        <v>4020</v>
      </c>
      <c r="BJ120">
        <v>0</v>
      </c>
      <c r="BK120">
        <v>0</v>
      </c>
      <c r="BL120">
        <f t="shared" si="140"/>
        <v>42210</v>
      </c>
      <c r="BM120">
        <v>5000</v>
      </c>
      <c r="BN120">
        <v>0</v>
      </c>
      <c r="BO120">
        <f t="shared" si="141"/>
        <v>200</v>
      </c>
      <c r="BP120">
        <f t="shared" si="142"/>
        <v>37010</v>
      </c>
      <c r="BQ120">
        <v>33500</v>
      </c>
      <c r="BR120">
        <f t="shared" si="143"/>
        <v>4690</v>
      </c>
      <c r="BS120">
        <f t="shared" si="144"/>
        <v>4020</v>
      </c>
      <c r="BT120">
        <v>0</v>
      </c>
      <c r="BU120">
        <v>0</v>
      </c>
      <c r="BV120">
        <f t="shared" si="145"/>
        <v>42210</v>
      </c>
      <c r="BW120">
        <v>5000</v>
      </c>
      <c r="BX120">
        <v>0</v>
      </c>
      <c r="BY120">
        <f t="shared" si="146"/>
        <v>200</v>
      </c>
      <c r="BZ120">
        <f t="shared" si="147"/>
        <v>37010</v>
      </c>
      <c r="CA120">
        <v>33500</v>
      </c>
      <c r="CB120">
        <f t="shared" si="148"/>
        <v>4690</v>
      </c>
      <c r="CC120">
        <f t="shared" si="149"/>
        <v>4020</v>
      </c>
      <c r="CD120">
        <v>0</v>
      </c>
      <c r="CE120">
        <v>0</v>
      </c>
      <c r="CF120">
        <f t="shared" si="150"/>
        <v>42210</v>
      </c>
      <c r="CG120">
        <v>5000</v>
      </c>
      <c r="CH120">
        <v>0</v>
      </c>
      <c r="CI120">
        <f t="shared" si="151"/>
        <v>200</v>
      </c>
      <c r="CJ120">
        <f t="shared" si="152"/>
        <v>37010</v>
      </c>
      <c r="CK120">
        <v>33500</v>
      </c>
      <c r="CL120">
        <f t="shared" si="153"/>
        <v>4690</v>
      </c>
      <c r="CM120">
        <f t="shared" si="154"/>
        <v>4020</v>
      </c>
      <c r="CN120">
        <v>0</v>
      </c>
      <c r="CO120">
        <v>0</v>
      </c>
      <c r="CP120">
        <f t="shared" si="155"/>
        <v>42210</v>
      </c>
      <c r="CQ120">
        <v>5000</v>
      </c>
      <c r="CR120">
        <v>0</v>
      </c>
      <c r="CS120">
        <f t="shared" si="156"/>
        <v>200</v>
      </c>
      <c r="CT120">
        <f t="shared" si="157"/>
        <v>37010</v>
      </c>
      <c r="CU120">
        <v>34371</v>
      </c>
      <c r="CV120">
        <f t="shared" si="158"/>
        <v>4812</v>
      </c>
      <c r="CW120">
        <f t="shared" si="159"/>
        <v>4125</v>
      </c>
      <c r="CX120">
        <v>0</v>
      </c>
      <c r="CY120">
        <v>0</v>
      </c>
      <c r="CZ120">
        <f t="shared" si="160"/>
        <v>43308</v>
      </c>
      <c r="DA120">
        <v>5000</v>
      </c>
      <c r="DB120">
        <v>0</v>
      </c>
      <c r="DC120">
        <f t="shared" si="161"/>
        <v>200</v>
      </c>
      <c r="DD120">
        <f t="shared" si="162"/>
        <v>38108</v>
      </c>
      <c r="DE120">
        <v>34500</v>
      </c>
      <c r="DF120">
        <f t="shared" si="163"/>
        <v>4830.0000000000009</v>
      </c>
      <c r="DG120">
        <f t="shared" si="164"/>
        <v>4140</v>
      </c>
      <c r="DH120">
        <v>0</v>
      </c>
      <c r="DI120">
        <v>0</v>
      </c>
      <c r="DJ120">
        <f t="shared" si="165"/>
        <v>43470</v>
      </c>
      <c r="DK120">
        <v>5000</v>
      </c>
      <c r="DL120">
        <v>0</v>
      </c>
      <c r="DM120">
        <f t="shared" si="166"/>
        <v>200</v>
      </c>
      <c r="DN120">
        <f t="shared" si="167"/>
        <v>38270</v>
      </c>
      <c r="DO120">
        <v>34500</v>
      </c>
      <c r="DP120">
        <f t="shared" si="168"/>
        <v>4830.0000000000009</v>
      </c>
      <c r="DQ120">
        <f t="shared" si="169"/>
        <v>4140</v>
      </c>
      <c r="DR120">
        <v>0</v>
      </c>
      <c r="DS120">
        <v>0</v>
      </c>
      <c r="DT120">
        <f t="shared" si="170"/>
        <v>43470</v>
      </c>
      <c r="DU120">
        <v>5000</v>
      </c>
      <c r="DV120">
        <v>0</v>
      </c>
      <c r="DW120">
        <f t="shared" si="171"/>
        <v>200</v>
      </c>
      <c r="DX120">
        <f t="shared" si="172"/>
        <v>38270</v>
      </c>
      <c r="DY120">
        <f t="shared" si="173"/>
        <v>509798</v>
      </c>
      <c r="DZ120">
        <f t="shared" si="105"/>
        <v>2300</v>
      </c>
      <c r="EA120">
        <f t="shared" si="106"/>
        <v>50000</v>
      </c>
      <c r="EB120">
        <v>0</v>
      </c>
      <c r="EC120">
        <f t="shared" si="107"/>
        <v>457498</v>
      </c>
      <c r="ED120">
        <f t="shared" si="108"/>
        <v>60000</v>
      </c>
      <c r="EE120">
        <f t="shared" si="109"/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f t="shared" si="110"/>
        <v>60000</v>
      </c>
      <c r="EQ120">
        <f t="shared" si="174"/>
        <v>60000</v>
      </c>
      <c r="ER120">
        <f t="shared" si="111"/>
        <v>397498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f t="shared" si="175"/>
        <v>0</v>
      </c>
      <c r="FA120">
        <f t="shared" si="176"/>
        <v>397498</v>
      </c>
      <c r="FB120">
        <f t="shared" si="177"/>
        <v>7375</v>
      </c>
      <c r="FC120">
        <f t="shared" si="178"/>
        <v>0</v>
      </c>
      <c r="FD120">
        <f t="shared" si="179"/>
        <v>7375</v>
      </c>
      <c r="FE120">
        <f t="shared" si="180"/>
        <v>0</v>
      </c>
      <c r="FF120">
        <f t="shared" si="181"/>
        <v>0</v>
      </c>
      <c r="FG120">
        <f t="shared" si="182"/>
        <v>0</v>
      </c>
      <c r="FH120">
        <v>0</v>
      </c>
      <c r="FI120">
        <f t="shared" si="183"/>
        <v>0</v>
      </c>
      <c r="FJ120" t="b">
        <f t="shared" si="184"/>
        <v>1</v>
      </c>
      <c r="FK120">
        <f t="shared" ca="1" si="185"/>
        <v>881</v>
      </c>
      <c r="FL120">
        <f t="shared" ca="1" si="186"/>
        <v>510679</v>
      </c>
      <c r="FM120">
        <f t="shared" si="187"/>
        <v>75000</v>
      </c>
      <c r="FN120">
        <f t="shared" ca="1" si="188"/>
        <v>435679</v>
      </c>
      <c r="FO120">
        <f t="shared" ca="1" si="189"/>
        <v>0</v>
      </c>
      <c r="FP120">
        <f t="shared" ca="1" si="190"/>
        <v>0</v>
      </c>
      <c r="FQ120">
        <f t="shared" ca="1" si="191"/>
        <v>0</v>
      </c>
      <c r="FR120">
        <f t="shared" ca="1" si="192"/>
        <v>0</v>
      </c>
      <c r="FS120">
        <f t="shared" ca="1" si="193"/>
        <v>0</v>
      </c>
      <c r="FT120">
        <f t="shared" ca="1" si="194"/>
        <v>0</v>
      </c>
      <c r="FU120">
        <f t="shared" ca="1" si="195"/>
        <v>0</v>
      </c>
      <c r="FV120">
        <f t="shared" ca="1" si="196"/>
        <v>0</v>
      </c>
      <c r="FW120">
        <f t="shared" ca="1" si="197"/>
        <v>135679</v>
      </c>
      <c r="FX120">
        <f t="shared" ca="1" si="198"/>
        <v>6783.9500000000007</v>
      </c>
      <c r="FY120">
        <f t="shared" ca="1" si="199"/>
        <v>6784</v>
      </c>
      <c r="FZ120">
        <f t="shared" ca="1" si="200"/>
        <v>0</v>
      </c>
      <c r="GA120">
        <f t="shared" ca="1" si="201"/>
        <v>0</v>
      </c>
      <c r="GB120">
        <f t="shared" ca="1" si="202"/>
        <v>6784</v>
      </c>
      <c r="GC120">
        <f t="shared" ca="1" si="203"/>
        <v>0</v>
      </c>
      <c r="GD120" t="b">
        <f t="shared" ca="1" si="204"/>
        <v>0</v>
      </c>
      <c r="GE120">
        <f t="shared" ca="1" si="205"/>
        <v>0</v>
      </c>
      <c r="GF120">
        <f t="shared" ca="1" si="206"/>
        <v>6784</v>
      </c>
      <c r="GG120">
        <f t="shared" ca="1" si="207"/>
        <v>0</v>
      </c>
      <c r="GH120">
        <f t="shared" ca="1" si="208"/>
        <v>0</v>
      </c>
      <c r="GI120">
        <f t="shared" ca="1" si="209"/>
        <v>0</v>
      </c>
    </row>
    <row r="121" spans="1:191" x14ac:dyDescent="0.25">
      <c r="A121">
        <f>_xlfn.AGGREGATE(3,5,$B$2:B121)</f>
        <v>120</v>
      </c>
      <c r="B121" t="s">
        <v>361</v>
      </c>
      <c r="C121" t="s">
        <v>362</v>
      </c>
      <c r="D121" t="s">
        <v>794</v>
      </c>
      <c r="E121" t="s">
        <v>843</v>
      </c>
      <c r="F121">
        <v>0</v>
      </c>
      <c r="G121">
        <v>6000</v>
      </c>
      <c r="H121">
        <v>32500</v>
      </c>
      <c r="I121">
        <f t="shared" si="112"/>
        <v>3250</v>
      </c>
      <c r="J121">
        <f t="shared" si="113"/>
        <v>3900</v>
      </c>
      <c r="K121">
        <v>0</v>
      </c>
      <c r="L121">
        <v>500</v>
      </c>
      <c r="M121">
        <f t="shared" si="114"/>
        <v>40150</v>
      </c>
      <c r="N121">
        <v>5000</v>
      </c>
      <c r="O121">
        <v>0</v>
      </c>
      <c r="P121">
        <f t="shared" si="115"/>
        <v>200</v>
      </c>
      <c r="Q121">
        <f t="shared" si="116"/>
        <v>34950</v>
      </c>
      <c r="R121">
        <v>32500</v>
      </c>
      <c r="S121">
        <f t="shared" si="117"/>
        <v>3250</v>
      </c>
      <c r="T121">
        <f t="shared" si="118"/>
        <v>3900</v>
      </c>
      <c r="U121">
        <v>0</v>
      </c>
      <c r="V121">
        <v>500</v>
      </c>
      <c r="W121">
        <f t="shared" si="119"/>
        <v>40150</v>
      </c>
      <c r="X121">
        <v>5000</v>
      </c>
      <c r="Y121">
        <v>0</v>
      </c>
      <c r="Z121">
        <f t="shared" si="120"/>
        <v>200</v>
      </c>
      <c r="AA121">
        <f t="shared" si="121"/>
        <v>34950</v>
      </c>
      <c r="AB121">
        <v>32500</v>
      </c>
      <c r="AC121">
        <f t="shared" si="122"/>
        <v>4550</v>
      </c>
      <c r="AD121">
        <f t="shared" si="123"/>
        <v>3900</v>
      </c>
      <c r="AE121">
        <v>0</v>
      </c>
      <c r="AF121">
        <v>500</v>
      </c>
      <c r="AG121">
        <f t="shared" si="124"/>
        <v>41450</v>
      </c>
      <c r="AH121">
        <v>5000</v>
      </c>
      <c r="AI121">
        <v>0</v>
      </c>
      <c r="AJ121">
        <f t="shared" si="125"/>
        <v>200</v>
      </c>
      <c r="AK121">
        <f t="shared" si="126"/>
        <v>36250</v>
      </c>
      <c r="AL121">
        <v>32500</v>
      </c>
      <c r="AM121">
        <f t="shared" si="127"/>
        <v>4550</v>
      </c>
      <c r="AN121">
        <f t="shared" si="128"/>
        <v>3900</v>
      </c>
      <c r="AO121">
        <v>0</v>
      </c>
      <c r="AP121">
        <v>500</v>
      </c>
      <c r="AQ121">
        <f t="shared" si="129"/>
        <v>41450</v>
      </c>
      <c r="AR121">
        <v>5000</v>
      </c>
      <c r="AS121">
        <v>0</v>
      </c>
      <c r="AT121">
        <f t="shared" si="130"/>
        <v>200</v>
      </c>
      <c r="AU121">
        <f t="shared" si="131"/>
        <v>36250</v>
      </c>
      <c r="AV121">
        <v>33500</v>
      </c>
      <c r="AW121">
        <f t="shared" si="132"/>
        <v>4690</v>
      </c>
      <c r="AX121">
        <f t="shared" si="133"/>
        <v>1300</v>
      </c>
      <c r="AY121">
        <f t="shared" si="134"/>
        <v>4020</v>
      </c>
      <c r="AZ121">
        <v>0</v>
      </c>
      <c r="BA121">
        <v>500</v>
      </c>
      <c r="BB121">
        <f t="shared" si="135"/>
        <v>44010</v>
      </c>
      <c r="BC121">
        <v>5000</v>
      </c>
      <c r="BD121">
        <v>0</v>
      </c>
      <c r="BE121">
        <f t="shared" si="136"/>
        <v>200</v>
      </c>
      <c r="BF121">
        <f t="shared" si="137"/>
        <v>38810</v>
      </c>
      <c r="BG121">
        <v>33500</v>
      </c>
      <c r="BH121">
        <f t="shared" si="138"/>
        <v>4690</v>
      </c>
      <c r="BI121">
        <f t="shared" si="139"/>
        <v>4020</v>
      </c>
      <c r="BJ121">
        <v>0</v>
      </c>
      <c r="BK121">
        <v>500</v>
      </c>
      <c r="BL121">
        <f t="shared" si="140"/>
        <v>42710</v>
      </c>
      <c r="BM121">
        <v>5000</v>
      </c>
      <c r="BN121">
        <v>0</v>
      </c>
      <c r="BO121">
        <f t="shared" si="141"/>
        <v>200</v>
      </c>
      <c r="BP121">
        <f t="shared" si="142"/>
        <v>37510</v>
      </c>
      <c r="BQ121">
        <v>33500</v>
      </c>
      <c r="BR121">
        <f t="shared" si="143"/>
        <v>4690</v>
      </c>
      <c r="BS121">
        <f t="shared" si="144"/>
        <v>4020</v>
      </c>
      <c r="BT121">
        <v>0</v>
      </c>
      <c r="BU121">
        <v>500</v>
      </c>
      <c r="BV121">
        <f t="shared" si="145"/>
        <v>42710</v>
      </c>
      <c r="BW121">
        <v>5000</v>
      </c>
      <c r="BX121">
        <v>0</v>
      </c>
      <c r="BY121">
        <f t="shared" si="146"/>
        <v>200</v>
      </c>
      <c r="BZ121">
        <f t="shared" si="147"/>
        <v>37510</v>
      </c>
      <c r="CA121">
        <v>33500</v>
      </c>
      <c r="CB121">
        <f t="shared" si="148"/>
        <v>4690</v>
      </c>
      <c r="CC121">
        <f t="shared" si="149"/>
        <v>4020</v>
      </c>
      <c r="CD121">
        <v>0</v>
      </c>
      <c r="CE121">
        <v>500</v>
      </c>
      <c r="CF121">
        <f t="shared" si="150"/>
        <v>42710</v>
      </c>
      <c r="CG121">
        <v>5000</v>
      </c>
      <c r="CH121">
        <v>0</v>
      </c>
      <c r="CI121">
        <f t="shared" si="151"/>
        <v>200</v>
      </c>
      <c r="CJ121">
        <f t="shared" si="152"/>
        <v>37510</v>
      </c>
      <c r="CK121">
        <v>33500</v>
      </c>
      <c r="CL121">
        <f t="shared" si="153"/>
        <v>4690</v>
      </c>
      <c r="CM121">
        <f t="shared" si="154"/>
        <v>4020</v>
      </c>
      <c r="CN121">
        <v>0</v>
      </c>
      <c r="CO121">
        <v>500</v>
      </c>
      <c r="CP121">
        <f t="shared" si="155"/>
        <v>42710</v>
      </c>
      <c r="CQ121">
        <v>5000</v>
      </c>
      <c r="CR121">
        <v>0</v>
      </c>
      <c r="CS121">
        <f t="shared" si="156"/>
        <v>200</v>
      </c>
      <c r="CT121">
        <f t="shared" si="157"/>
        <v>37510</v>
      </c>
      <c r="CU121">
        <v>34242</v>
      </c>
      <c r="CV121">
        <f t="shared" si="158"/>
        <v>4794</v>
      </c>
      <c r="CW121">
        <f t="shared" si="159"/>
        <v>4109</v>
      </c>
      <c r="CX121">
        <v>0</v>
      </c>
      <c r="CY121">
        <v>500</v>
      </c>
      <c r="CZ121">
        <f t="shared" si="160"/>
        <v>43645</v>
      </c>
      <c r="DA121">
        <v>5000</v>
      </c>
      <c r="DB121">
        <v>0</v>
      </c>
      <c r="DC121">
        <f t="shared" si="161"/>
        <v>200</v>
      </c>
      <c r="DD121">
        <f t="shared" si="162"/>
        <v>38445</v>
      </c>
      <c r="DE121">
        <v>34500</v>
      </c>
      <c r="DF121">
        <f t="shared" si="163"/>
        <v>4830.0000000000009</v>
      </c>
      <c r="DG121">
        <f t="shared" si="164"/>
        <v>4140</v>
      </c>
      <c r="DH121">
        <v>0</v>
      </c>
      <c r="DI121">
        <v>500</v>
      </c>
      <c r="DJ121">
        <f t="shared" si="165"/>
        <v>43970</v>
      </c>
      <c r="DK121">
        <v>5000</v>
      </c>
      <c r="DL121">
        <v>0</v>
      </c>
      <c r="DM121">
        <f t="shared" si="166"/>
        <v>200</v>
      </c>
      <c r="DN121">
        <f t="shared" si="167"/>
        <v>38770</v>
      </c>
      <c r="DO121">
        <v>34500</v>
      </c>
      <c r="DP121">
        <f t="shared" si="168"/>
        <v>4830.0000000000009</v>
      </c>
      <c r="DQ121">
        <f t="shared" si="169"/>
        <v>4140</v>
      </c>
      <c r="DR121">
        <v>0</v>
      </c>
      <c r="DS121">
        <v>500</v>
      </c>
      <c r="DT121">
        <f t="shared" si="170"/>
        <v>43970</v>
      </c>
      <c r="DU121">
        <v>5000</v>
      </c>
      <c r="DV121">
        <v>0</v>
      </c>
      <c r="DW121">
        <f t="shared" si="171"/>
        <v>200</v>
      </c>
      <c r="DX121">
        <f t="shared" si="172"/>
        <v>38770</v>
      </c>
      <c r="DY121">
        <f t="shared" si="173"/>
        <v>515635</v>
      </c>
      <c r="DZ121">
        <f t="shared" si="105"/>
        <v>2400</v>
      </c>
      <c r="EA121">
        <f t="shared" si="106"/>
        <v>50000</v>
      </c>
      <c r="EB121">
        <v>0</v>
      </c>
      <c r="EC121">
        <f t="shared" si="107"/>
        <v>463235</v>
      </c>
      <c r="ED121">
        <f t="shared" si="108"/>
        <v>60000</v>
      </c>
      <c r="EE121">
        <f t="shared" si="109"/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f t="shared" si="110"/>
        <v>60000</v>
      </c>
      <c r="EQ121">
        <f t="shared" si="174"/>
        <v>60000</v>
      </c>
      <c r="ER121">
        <f t="shared" si="111"/>
        <v>403235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f t="shared" si="175"/>
        <v>0</v>
      </c>
      <c r="FA121">
        <f t="shared" si="176"/>
        <v>403235</v>
      </c>
      <c r="FB121">
        <f t="shared" si="177"/>
        <v>7662</v>
      </c>
      <c r="FC121">
        <f t="shared" si="178"/>
        <v>0</v>
      </c>
      <c r="FD121">
        <f t="shared" si="179"/>
        <v>7662</v>
      </c>
      <c r="FE121">
        <f t="shared" si="180"/>
        <v>0</v>
      </c>
      <c r="FF121">
        <f t="shared" si="181"/>
        <v>0</v>
      </c>
      <c r="FG121">
        <f t="shared" si="182"/>
        <v>0</v>
      </c>
      <c r="FH121">
        <v>0</v>
      </c>
      <c r="FI121">
        <f t="shared" si="183"/>
        <v>0</v>
      </c>
      <c r="FJ121" t="b">
        <f t="shared" si="184"/>
        <v>1</v>
      </c>
      <c r="FK121">
        <f t="shared" ca="1" si="185"/>
        <v>739</v>
      </c>
      <c r="FL121">
        <f t="shared" ca="1" si="186"/>
        <v>516374</v>
      </c>
      <c r="FM121">
        <f t="shared" si="187"/>
        <v>75000</v>
      </c>
      <c r="FN121">
        <f t="shared" ca="1" si="188"/>
        <v>441374</v>
      </c>
      <c r="FO121">
        <f t="shared" ca="1" si="189"/>
        <v>0</v>
      </c>
      <c r="FP121">
        <f t="shared" ca="1" si="190"/>
        <v>0</v>
      </c>
      <c r="FQ121">
        <f t="shared" ca="1" si="191"/>
        <v>0</v>
      </c>
      <c r="FR121">
        <f t="shared" ca="1" si="192"/>
        <v>0</v>
      </c>
      <c r="FS121">
        <f t="shared" ca="1" si="193"/>
        <v>0</v>
      </c>
      <c r="FT121">
        <f t="shared" ca="1" si="194"/>
        <v>0</v>
      </c>
      <c r="FU121">
        <f t="shared" ca="1" si="195"/>
        <v>0</v>
      </c>
      <c r="FV121">
        <f t="shared" ca="1" si="196"/>
        <v>0</v>
      </c>
      <c r="FW121">
        <f t="shared" ca="1" si="197"/>
        <v>141374</v>
      </c>
      <c r="FX121">
        <f t="shared" ca="1" si="198"/>
        <v>7068.7000000000007</v>
      </c>
      <c r="FY121">
        <f t="shared" ca="1" si="199"/>
        <v>7069</v>
      </c>
      <c r="FZ121">
        <f t="shared" ca="1" si="200"/>
        <v>0</v>
      </c>
      <c r="GA121">
        <f t="shared" ca="1" si="201"/>
        <v>0</v>
      </c>
      <c r="GB121">
        <f t="shared" ca="1" si="202"/>
        <v>7069</v>
      </c>
      <c r="GC121">
        <f t="shared" ca="1" si="203"/>
        <v>0</v>
      </c>
      <c r="GD121" t="b">
        <f t="shared" ca="1" si="204"/>
        <v>0</v>
      </c>
      <c r="GE121">
        <f t="shared" ca="1" si="205"/>
        <v>0</v>
      </c>
      <c r="GF121">
        <f t="shared" ca="1" si="206"/>
        <v>7069</v>
      </c>
      <c r="GG121">
        <f t="shared" ca="1" si="207"/>
        <v>0</v>
      </c>
      <c r="GH121">
        <f t="shared" ca="1" si="208"/>
        <v>0</v>
      </c>
      <c r="GI121">
        <f t="shared" ca="1" si="209"/>
        <v>0</v>
      </c>
    </row>
    <row r="122" spans="1:191" x14ac:dyDescent="0.25">
      <c r="A122">
        <f>_xlfn.AGGREGATE(3,5,$B$2:B122)</f>
        <v>121</v>
      </c>
      <c r="B122" t="s">
        <v>363</v>
      </c>
      <c r="C122" t="s">
        <v>364</v>
      </c>
      <c r="D122" t="s">
        <v>794</v>
      </c>
      <c r="E122" t="s">
        <v>843</v>
      </c>
      <c r="F122">
        <v>0</v>
      </c>
      <c r="G122">
        <v>6000</v>
      </c>
      <c r="H122">
        <v>26200</v>
      </c>
      <c r="I122">
        <f t="shared" si="112"/>
        <v>2620</v>
      </c>
      <c r="J122">
        <f t="shared" si="113"/>
        <v>3144</v>
      </c>
      <c r="K122">
        <v>0</v>
      </c>
      <c r="L122">
        <v>0</v>
      </c>
      <c r="M122">
        <f t="shared" si="114"/>
        <v>31964</v>
      </c>
      <c r="N122">
        <v>2000</v>
      </c>
      <c r="O122">
        <v>0</v>
      </c>
      <c r="P122">
        <f t="shared" si="115"/>
        <v>150</v>
      </c>
      <c r="Q122">
        <f t="shared" si="116"/>
        <v>29814</v>
      </c>
      <c r="R122">
        <v>26200</v>
      </c>
      <c r="S122">
        <f t="shared" si="117"/>
        <v>2620</v>
      </c>
      <c r="T122">
        <f t="shared" si="118"/>
        <v>3144</v>
      </c>
      <c r="U122">
        <v>0</v>
      </c>
      <c r="V122">
        <v>0</v>
      </c>
      <c r="W122">
        <f t="shared" si="119"/>
        <v>31964</v>
      </c>
      <c r="X122">
        <v>2000</v>
      </c>
      <c r="Y122">
        <v>0</v>
      </c>
      <c r="Z122">
        <f t="shared" si="120"/>
        <v>150</v>
      </c>
      <c r="AA122">
        <f t="shared" si="121"/>
        <v>29814</v>
      </c>
      <c r="AB122">
        <v>26200</v>
      </c>
      <c r="AC122">
        <f t="shared" si="122"/>
        <v>3668.0000000000005</v>
      </c>
      <c r="AD122">
        <f t="shared" si="123"/>
        <v>3144</v>
      </c>
      <c r="AE122">
        <v>0</v>
      </c>
      <c r="AF122">
        <v>0</v>
      </c>
      <c r="AG122">
        <f t="shared" si="124"/>
        <v>33012</v>
      </c>
      <c r="AH122">
        <v>2000</v>
      </c>
      <c r="AI122">
        <v>0</v>
      </c>
      <c r="AJ122">
        <f t="shared" si="125"/>
        <v>150</v>
      </c>
      <c r="AK122">
        <f t="shared" si="126"/>
        <v>30862</v>
      </c>
      <c r="AL122">
        <v>26200</v>
      </c>
      <c r="AM122">
        <f t="shared" si="127"/>
        <v>3668.0000000000005</v>
      </c>
      <c r="AN122">
        <f t="shared" si="128"/>
        <v>3144</v>
      </c>
      <c r="AO122">
        <v>0</v>
      </c>
      <c r="AP122">
        <v>0</v>
      </c>
      <c r="AQ122">
        <f t="shared" si="129"/>
        <v>33012</v>
      </c>
      <c r="AR122">
        <v>2000</v>
      </c>
      <c r="AS122">
        <v>0</v>
      </c>
      <c r="AT122">
        <f t="shared" si="130"/>
        <v>150</v>
      </c>
      <c r="AU122">
        <f t="shared" si="131"/>
        <v>30862</v>
      </c>
      <c r="AV122">
        <v>27000</v>
      </c>
      <c r="AW122">
        <f t="shared" si="132"/>
        <v>3780.0000000000005</v>
      </c>
      <c r="AX122">
        <f t="shared" si="133"/>
        <v>1048</v>
      </c>
      <c r="AY122">
        <f t="shared" si="134"/>
        <v>3240</v>
      </c>
      <c r="AZ122">
        <v>0</v>
      </c>
      <c r="BA122">
        <v>0</v>
      </c>
      <c r="BB122">
        <f t="shared" si="135"/>
        <v>35068</v>
      </c>
      <c r="BC122">
        <v>2000</v>
      </c>
      <c r="BD122">
        <v>0</v>
      </c>
      <c r="BE122">
        <f t="shared" si="136"/>
        <v>150</v>
      </c>
      <c r="BF122">
        <f t="shared" si="137"/>
        <v>32918</v>
      </c>
      <c r="BG122">
        <v>27000</v>
      </c>
      <c r="BH122">
        <f t="shared" si="138"/>
        <v>3780.0000000000005</v>
      </c>
      <c r="BI122">
        <f t="shared" si="139"/>
        <v>3240</v>
      </c>
      <c r="BJ122">
        <v>0</v>
      </c>
      <c r="BK122">
        <v>0</v>
      </c>
      <c r="BL122">
        <f t="shared" si="140"/>
        <v>34020</v>
      </c>
      <c r="BM122">
        <v>2000</v>
      </c>
      <c r="BN122">
        <v>0</v>
      </c>
      <c r="BO122">
        <f t="shared" si="141"/>
        <v>150</v>
      </c>
      <c r="BP122">
        <f t="shared" si="142"/>
        <v>31870</v>
      </c>
      <c r="BQ122">
        <v>27000</v>
      </c>
      <c r="BR122">
        <f t="shared" si="143"/>
        <v>3780.0000000000005</v>
      </c>
      <c r="BS122">
        <f t="shared" si="144"/>
        <v>3240</v>
      </c>
      <c r="BT122">
        <v>0</v>
      </c>
      <c r="BU122">
        <v>0</v>
      </c>
      <c r="BV122">
        <f t="shared" si="145"/>
        <v>34020</v>
      </c>
      <c r="BW122">
        <v>2000</v>
      </c>
      <c r="BX122">
        <v>0</v>
      </c>
      <c r="BY122">
        <f t="shared" si="146"/>
        <v>150</v>
      </c>
      <c r="BZ122">
        <f t="shared" si="147"/>
        <v>31870</v>
      </c>
      <c r="CA122">
        <v>27000</v>
      </c>
      <c r="CB122">
        <f t="shared" si="148"/>
        <v>3780.0000000000005</v>
      </c>
      <c r="CC122">
        <f t="shared" si="149"/>
        <v>3240</v>
      </c>
      <c r="CD122">
        <v>0</v>
      </c>
      <c r="CE122">
        <v>0</v>
      </c>
      <c r="CF122">
        <f t="shared" si="150"/>
        <v>34020</v>
      </c>
      <c r="CG122">
        <v>2000</v>
      </c>
      <c r="CH122">
        <v>0</v>
      </c>
      <c r="CI122">
        <f t="shared" si="151"/>
        <v>150</v>
      </c>
      <c r="CJ122">
        <f t="shared" si="152"/>
        <v>31870</v>
      </c>
      <c r="CK122">
        <v>27000</v>
      </c>
      <c r="CL122">
        <f t="shared" si="153"/>
        <v>3780.0000000000005</v>
      </c>
      <c r="CM122">
        <f t="shared" si="154"/>
        <v>3240</v>
      </c>
      <c r="CN122">
        <v>0</v>
      </c>
      <c r="CO122">
        <v>0</v>
      </c>
      <c r="CP122">
        <f t="shared" si="155"/>
        <v>34020</v>
      </c>
      <c r="CQ122">
        <v>2000</v>
      </c>
      <c r="CR122">
        <v>0</v>
      </c>
      <c r="CS122">
        <f t="shared" si="156"/>
        <v>150</v>
      </c>
      <c r="CT122">
        <f t="shared" si="157"/>
        <v>31870</v>
      </c>
      <c r="CU122">
        <v>27000</v>
      </c>
      <c r="CV122">
        <f t="shared" si="158"/>
        <v>3780</v>
      </c>
      <c r="CW122">
        <f t="shared" si="159"/>
        <v>3240</v>
      </c>
      <c r="CX122">
        <v>0</v>
      </c>
      <c r="CY122">
        <v>0</v>
      </c>
      <c r="CZ122">
        <f t="shared" si="160"/>
        <v>34020</v>
      </c>
      <c r="DA122">
        <v>2000</v>
      </c>
      <c r="DB122">
        <v>0</v>
      </c>
      <c r="DC122">
        <f t="shared" si="161"/>
        <v>150</v>
      </c>
      <c r="DD122">
        <f t="shared" si="162"/>
        <v>31870</v>
      </c>
      <c r="DE122">
        <v>27000</v>
      </c>
      <c r="DF122">
        <f t="shared" si="163"/>
        <v>3780.0000000000005</v>
      </c>
      <c r="DG122">
        <f t="shared" si="164"/>
        <v>3240</v>
      </c>
      <c r="DH122">
        <v>0</v>
      </c>
      <c r="DI122">
        <v>0</v>
      </c>
      <c r="DJ122">
        <f t="shared" si="165"/>
        <v>34020</v>
      </c>
      <c r="DK122">
        <v>2000</v>
      </c>
      <c r="DL122">
        <v>0</v>
      </c>
      <c r="DM122">
        <f t="shared" si="166"/>
        <v>150</v>
      </c>
      <c r="DN122">
        <f t="shared" si="167"/>
        <v>31870</v>
      </c>
      <c r="DO122">
        <v>27000</v>
      </c>
      <c r="DP122">
        <f t="shared" si="168"/>
        <v>3780.0000000000005</v>
      </c>
      <c r="DQ122">
        <f t="shared" si="169"/>
        <v>3240</v>
      </c>
      <c r="DR122">
        <v>0</v>
      </c>
      <c r="DS122">
        <v>0</v>
      </c>
      <c r="DT122">
        <f t="shared" si="170"/>
        <v>34020</v>
      </c>
      <c r="DU122">
        <v>2000</v>
      </c>
      <c r="DV122">
        <v>0</v>
      </c>
      <c r="DW122">
        <f t="shared" si="171"/>
        <v>150</v>
      </c>
      <c r="DX122">
        <f t="shared" si="172"/>
        <v>31870</v>
      </c>
      <c r="DY122">
        <f t="shared" si="173"/>
        <v>409160</v>
      </c>
      <c r="DZ122">
        <f t="shared" si="105"/>
        <v>1800</v>
      </c>
      <c r="EA122">
        <f t="shared" si="106"/>
        <v>50000</v>
      </c>
      <c r="EB122">
        <v>0</v>
      </c>
      <c r="EC122">
        <f t="shared" si="107"/>
        <v>357360</v>
      </c>
      <c r="ED122">
        <f t="shared" si="108"/>
        <v>24000</v>
      </c>
      <c r="EE122">
        <f t="shared" si="109"/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f t="shared" si="110"/>
        <v>24000</v>
      </c>
      <c r="EQ122">
        <f t="shared" si="174"/>
        <v>24000</v>
      </c>
      <c r="ER122">
        <f t="shared" si="111"/>
        <v>333360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f t="shared" si="175"/>
        <v>0</v>
      </c>
      <c r="FA122">
        <f t="shared" si="176"/>
        <v>333360</v>
      </c>
      <c r="FB122">
        <f t="shared" si="177"/>
        <v>4168</v>
      </c>
      <c r="FC122">
        <f t="shared" si="178"/>
        <v>0</v>
      </c>
      <c r="FD122">
        <f t="shared" si="179"/>
        <v>4168</v>
      </c>
      <c r="FE122">
        <f t="shared" si="180"/>
        <v>0</v>
      </c>
      <c r="FF122">
        <f t="shared" si="181"/>
        <v>0</v>
      </c>
      <c r="FG122">
        <f t="shared" si="182"/>
        <v>0</v>
      </c>
      <c r="FH122">
        <v>0</v>
      </c>
      <c r="FI122">
        <f t="shared" si="183"/>
        <v>0</v>
      </c>
      <c r="FJ122" t="b">
        <f t="shared" si="184"/>
        <v>0</v>
      </c>
      <c r="FK122">
        <f t="shared" ca="1" si="185"/>
        <v>2218</v>
      </c>
      <c r="FL122">
        <f t="shared" ca="1" si="186"/>
        <v>411378</v>
      </c>
      <c r="FM122">
        <f t="shared" si="187"/>
        <v>75000</v>
      </c>
      <c r="FN122">
        <f t="shared" ca="1" si="188"/>
        <v>336378</v>
      </c>
      <c r="FO122">
        <f t="shared" ca="1" si="189"/>
        <v>0</v>
      </c>
      <c r="FP122">
        <f t="shared" ca="1" si="190"/>
        <v>0</v>
      </c>
      <c r="FQ122">
        <f t="shared" ca="1" si="191"/>
        <v>0</v>
      </c>
      <c r="FR122">
        <f t="shared" ca="1" si="192"/>
        <v>0</v>
      </c>
      <c r="FS122">
        <f t="shared" ca="1" si="193"/>
        <v>0</v>
      </c>
      <c r="FT122">
        <f t="shared" ca="1" si="194"/>
        <v>0</v>
      </c>
      <c r="FU122">
        <f t="shared" ca="1" si="195"/>
        <v>0</v>
      </c>
      <c r="FV122">
        <f t="shared" ca="1" si="196"/>
        <v>0</v>
      </c>
      <c r="FW122">
        <f t="shared" ca="1" si="197"/>
        <v>36378</v>
      </c>
      <c r="FX122">
        <f t="shared" ca="1" si="198"/>
        <v>1818.9</v>
      </c>
      <c r="FY122">
        <f t="shared" ca="1" si="199"/>
        <v>1819</v>
      </c>
      <c r="FZ122">
        <f t="shared" ca="1" si="200"/>
        <v>0</v>
      </c>
      <c r="GA122">
        <f t="shared" ca="1" si="201"/>
        <v>0</v>
      </c>
      <c r="GB122">
        <f t="shared" ca="1" si="202"/>
        <v>1819</v>
      </c>
      <c r="GC122">
        <f t="shared" ca="1" si="203"/>
        <v>0</v>
      </c>
      <c r="GD122" t="b">
        <f t="shared" ca="1" si="204"/>
        <v>0</v>
      </c>
      <c r="GE122">
        <f t="shared" ca="1" si="205"/>
        <v>0</v>
      </c>
      <c r="GF122">
        <f t="shared" ca="1" si="206"/>
        <v>1819</v>
      </c>
      <c r="GG122">
        <f t="shared" ca="1" si="207"/>
        <v>0</v>
      </c>
      <c r="GH122">
        <f t="shared" ca="1" si="208"/>
        <v>0</v>
      </c>
      <c r="GI122">
        <f t="shared" ca="1" si="209"/>
        <v>0</v>
      </c>
    </row>
    <row r="123" spans="1:191" x14ac:dyDescent="0.25">
      <c r="A123">
        <f>_xlfn.AGGREGATE(3,5,$B$2:B123)</f>
        <v>122</v>
      </c>
      <c r="B123" t="s">
        <v>365</v>
      </c>
      <c r="C123" t="s">
        <v>366</v>
      </c>
      <c r="D123" t="s">
        <v>794</v>
      </c>
      <c r="E123" t="s">
        <v>843</v>
      </c>
      <c r="F123">
        <v>0</v>
      </c>
      <c r="G123">
        <v>6000</v>
      </c>
      <c r="H123">
        <v>30700</v>
      </c>
      <c r="I123">
        <f t="shared" si="112"/>
        <v>3070</v>
      </c>
      <c r="J123">
        <f t="shared" si="113"/>
        <v>3684</v>
      </c>
      <c r="K123">
        <v>0</v>
      </c>
      <c r="L123">
        <v>500</v>
      </c>
      <c r="M123">
        <f t="shared" si="114"/>
        <v>37954</v>
      </c>
      <c r="N123">
        <v>2000</v>
      </c>
      <c r="O123">
        <v>0</v>
      </c>
      <c r="P123">
        <f t="shared" si="115"/>
        <v>150</v>
      </c>
      <c r="Q123">
        <f t="shared" si="116"/>
        <v>35804</v>
      </c>
      <c r="R123">
        <v>30700</v>
      </c>
      <c r="S123">
        <f t="shared" si="117"/>
        <v>3070</v>
      </c>
      <c r="T123">
        <f t="shared" si="118"/>
        <v>3684</v>
      </c>
      <c r="U123">
        <v>0</v>
      </c>
      <c r="V123">
        <v>500</v>
      </c>
      <c r="W123">
        <f t="shared" si="119"/>
        <v>37954</v>
      </c>
      <c r="X123">
        <v>2000</v>
      </c>
      <c r="Y123">
        <v>0</v>
      </c>
      <c r="Z123">
        <f t="shared" si="120"/>
        <v>150</v>
      </c>
      <c r="AA123">
        <f t="shared" si="121"/>
        <v>35804</v>
      </c>
      <c r="AB123">
        <v>30700</v>
      </c>
      <c r="AC123">
        <f t="shared" si="122"/>
        <v>4298</v>
      </c>
      <c r="AD123">
        <f t="shared" si="123"/>
        <v>3684</v>
      </c>
      <c r="AE123">
        <v>0</v>
      </c>
      <c r="AF123">
        <v>500</v>
      </c>
      <c r="AG123">
        <f t="shared" si="124"/>
        <v>39182</v>
      </c>
      <c r="AH123">
        <v>2000</v>
      </c>
      <c r="AI123">
        <v>0</v>
      </c>
      <c r="AJ123">
        <f t="shared" si="125"/>
        <v>150</v>
      </c>
      <c r="AK123">
        <f t="shared" si="126"/>
        <v>37032</v>
      </c>
      <c r="AL123">
        <v>30700</v>
      </c>
      <c r="AM123">
        <f t="shared" si="127"/>
        <v>4298</v>
      </c>
      <c r="AN123">
        <f t="shared" si="128"/>
        <v>3684</v>
      </c>
      <c r="AO123">
        <v>0</v>
      </c>
      <c r="AP123">
        <v>500</v>
      </c>
      <c r="AQ123">
        <f t="shared" si="129"/>
        <v>39182</v>
      </c>
      <c r="AR123">
        <v>2000</v>
      </c>
      <c r="AS123">
        <v>0</v>
      </c>
      <c r="AT123">
        <f t="shared" si="130"/>
        <v>150</v>
      </c>
      <c r="AU123">
        <f t="shared" si="131"/>
        <v>37032</v>
      </c>
      <c r="AV123">
        <v>31600</v>
      </c>
      <c r="AW123">
        <f t="shared" si="132"/>
        <v>4424</v>
      </c>
      <c r="AX123">
        <f t="shared" si="133"/>
        <v>1228</v>
      </c>
      <c r="AY123">
        <f t="shared" si="134"/>
        <v>3792</v>
      </c>
      <c r="AZ123">
        <v>0</v>
      </c>
      <c r="BA123">
        <v>500</v>
      </c>
      <c r="BB123">
        <f t="shared" si="135"/>
        <v>41544</v>
      </c>
      <c r="BC123">
        <v>2000</v>
      </c>
      <c r="BD123">
        <v>0</v>
      </c>
      <c r="BE123">
        <f t="shared" si="136"/>
        <v>200</v>
      </c>
      <c r="BF123">
        <f t="shared" si="137"/>
        <v>39344</v>
      </c>
      <c r="BG123">
        <v>31600</v>
      </c>
      <c r="BH123">
        <f t="shared" si="138"/>
        <v>4424</v>
      </c>
      <c r="BI123">
        <f t="shared" si="139"/>
        <v>3792</v>
      </c>
      <c r="BJ123">
        <v>0</v>
      </c>
      <c r="BK123">
        <v>500</v>
      </c>
      <c r="BL123">
        <f t="shared" si="140"/>
        <v>40316</v>
      </c>
      <c r="BM123">
        <v>2000</v>
      </c>
      <c r="BN123">
        <v>0</v>
      </c>
      <c r="BO123">
        <f t="shared" si="141"/>
        <v>200</v>
      </c>
      <c r="BP123">
        <f t="shared" si="142"/>
        <v>38116</v>
      </c>
      <c r="BQ123">
        <v>31600</v>
      </c>
      <c r="BR123">
        <f t="shared" si="143"/>
        <v>4424</v>
      </c>
      <c r="BS123">
        <f t="shared" si="144"/>
        <v>3792</v>
      </c>
      <c r="BT123">
        <v>0</v>
      </c>
      <c r="BU123">
        <v>500</v>
      </c>
      <c r="BV123">
        <f t="shared" si="145"/>
        <v>40316</v>
      </c>
      <c r="BW123">
        <v>2000</v>
      </c>
      <c r="BX123">
        <v>0</v>
      </c>
      <c r="BY123">
        <f t="shared" si="146"/>
        <v>200</v>
      </c>
      <c r="BZ123">
        <f t="shared" si="147"/>
        <v>38116</v>
      </c>
      <c r="CA123">
        <v>31600</v>
      </c>
      <c r="CB123">
        <f t="shared" si="148"/>
        <v>4424</v>
      </c>
      <c r="CC123">
        <f t="shared" si="149"/>
        <v>3792</v>
      </c>
      <c r="CD123">
        <v>0</v>
      </c>
      <c r="CE123">
        <v>500</v>
      </c>
      <c r="CF123">
        <f t="shared" si="150"/>
        <v>40316</v>
      </c>
      <c r="CG123">
        <v>2000</v>
      </c>
      <c r="CH123">
        <v>0</v>
      </c>
      <c r="CI123">
        <f t="shared" si="151"/>
        <v>200</v>
      </c>
      <c r="CJ123">
        <f t="shared" si="152"/>
        <v>38116</v>
      </c>
      <c r="CK123">
        <v>31600</v>
      </c>
      <c r="CL123">
        <f t="shared" si="153"/>
        <v>4424</v>
      </c>
      <c r="CM123">
        <f t="shared" si="154"/>
        <v>3792</v>
      </c>
      <c r="CN123">
        <v>0</v>
      </c>
      <c r="CO123">
        <v>500</v>
      </c>
      <c r="CP123">
        <f t="shared" si="155"/>
        <v>40316</v>
      </c>
      <c r="CQ123">
        <v>2000</v>
      </c>
      <c r="CR123">
        <v>0</v>
      </c>
      <c r="CS123">
        <f t="shared" si="156"/>
        <v>200</v>
      </c>
      <c r="CT123">
        <f t="shared" si="157"/>
        <v>38116</v>
      </c>
      <c r="CU123">
        <v>31600</v>
      </c>
      <c r="CV123">
        <f t="shared" si="158"/>
        <v>4424</v>
      </c>
      <c r="CW123">
        <f t="shared" si="159"/>
        <v>3792</v>
      </c>
      <c r="CX123">
        <v>0</v>
      </c>
      <c r="CY123">
        <v>500</v>
      </c>
      <c r="CZ123">
        <f t="shared" si="160"/>
        <v>40316</v>
      </c>
      <c r="DA123">
        <v>2000</v>
      </c>
      <c r="DB123">
        <v>0</v>
      </c>
      <c r="DC123">
        <f t="shared" si="161"/>
        <v>200</v>
      </c>
      <c r="DD123">
        <f t="shared" si="162"/>
        <v>38116</v>
      </c>
      <c r="DE123">
        <v>31600</v>
      </c>
      <c r="DF123">
        <f t="shared" si="163"/>
        <v>4424</v>
      </c>
      <c r="DG123">
        <f t="shared" si="164"/>
        <v>3792</v>
      </c>
      <c r="DH123">
        <v>0</v>
      </c>
      <c r="DI123">
        <v>500</v>
      </c>
      <c r="DJ123">
        <f t="shared" si="165"/>
        <v>40316</v>
      </c>
      <c r="DK123">
        <v>2000</v>
      </c>
      <c r="DL123">
        <v>0</v>
      </c>
      <c r="DM123">
        <f t="shared" si="166"/>
        <v>200</v>
      </c>
      <c r="DN123">
        <f t="shared" si="167"/>
        <v>38116</v>
      </c>
      <c r="DO123">
        <v>31600</v>
      </c>
      <c r="DP123">
        <f t="shared" si="168"/>
        <v>4424</v>
      </c>
      <c r="DQ123">
        <f t="shared" si="169"/>
        <v>3792</v>
      </c>
      <c r="DR123">
        <v>0</v>
      </c>
      <c r="DS123">
        <v>500</v>
      </c>
      <c r="DT123">
        <f t="shared" si="170"/>
        <v>40316</v>
      </c>
      <c r="DU123">
        <v>2000</v>
      </c>
      <c r="DV123">
        <v>0</v>
      </c>
      <c r="DW123">
        <f t="shared" si="171"/>
        <v>200</v>
      </c>
      <c r="DX123">
        <f t="shared" si="172"/>
        <v>38116</v>
      </c>
      <c r="DY123">
        <f t="shared" si="173"/>
        <v>484028</v>
      </c>
      <c r="DZ123">
        <f t="shared" si="105"/>
        <v>2200</v>
      </c>
      <c r="EA123">
        <f t="shared" si="106"/>
        <v>50000</v>
      </c>
      <c r="EB123">
        <v>0</v>
      </c>
      <c r="EC123">
        <f t="shared" si="107"/>
        <v>431828</v>
      </c>
      <c r="ED123">
        <f t="shared" si="108"/>
        <v>24000</v>
      </c>
      <c r="EE123">
        <f t="shared" si="109"/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f t="shared" si="110"/>
        <v>24000</v>
      </c>
      <c r="EQ123">
        <f t="shared" si="174"/>
        <v>24000</v>
      </c>
      <c r="ER123">
        <f t="shared" si="111"/>
        <v>407828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f t="shared" si="175"/>
        <v>0</v>
      </c>
      <c r="FA123">
        <f t="shared" si="176"/>
        <v>407828</v>
      </c>
      <c r="FB123">
        <f t="shared" si="177"/>
        <v>7891</v>
      </c>
      <c r="FC123">
        <f t="shared" si="178"/>
        <v>0</v>
      </c>
      <c r="FD123">
        <f t="shared" si="179"/>
        <v>7891</v>
      </c>
      <c r="FE123">
        <f t="shared" si="180"/>
        <v>0</v>
      </c>
      <c r="FF123">
        <f t="shared" si="181"/>
        <v>0</v>
      </c>
      <c r="FG123">
        <f t="shared" si="182"/>
        <v>0</v>
      </c>
      <c r="FH123">
        <v>0</v>
      </c>
      <c r="FI123">
        <f t="shared" si="183"/>
        <v>0</v>
      </c>
      <c r="FJ123" t="b">
        <f t="shared" si="184"/>
        <v>0</v>
      </c>
      <c r="FK123">
        <f t="shared" ca="1" si="185"/>
        <v>1674</v>
      </c>
      <c r="FL123">
        <f t="shared" ca="1" si="186"/>
        <v>485702</v>
      </c>
      <c r="FM123">
        <f t="shared" si="187"/>
        <v>75000</v>
      </c>
      <c r="FN123">
        <f t="shared" ca="1" si="188"/>
        <v>410702</v>
      </c>
      <c r="FO123">
        <f t="shared" ca="1" si="189"/>
        <v>0</v>
      </c>
      <c r="FP123">
        <f t="shared" ca="1" si="190"/>
        <v>0</v>
      </c>
      <c r="FQ123">
        <f t="shared" ca="1" si="191"/>
        <v>0</v>
      </c>
      <c r="FR123">
        <f t="shared" ca="1" si="192"/>
        <v>0</v>
      </c>
      <c r="FS123">
        <f t="shared" ca="1" si="193"/>
        <v>0</v>
      </c>
      <c r="FT123">
        <f t="shared" ca="1" si="194"/>
        <v>0</v>
      </c>
      <c r="FU123">
        <f t="shared" ca="1" si="195"/>
        <v>0</v>
      </c>
      <c r="FV123">
        <f t="shared" ca="1" si="196"/>
        <v>0</v>
      </c>
      <c r="FW123">
        <f t="shared" ca="1" si="197"/>
        <v>110702</v>
      </c>
      <c r="FX123">
        <f t="shared" ca="1" si="198"/>
        <v>5535.1</v>
      </c>
      <c r="FY123">
        <f t="shared" ca="1" si="199"/>
        <v>5535</v>
      </c>
      <c r="FZ123">
        <f t="shared" ca="1" si="200"/>
        <v>0</v>
      </c>
      <c r="GA123">
        <f t="shared" ca="1" si="201"/>
        <v>0</v>
      </c>
      <c r="GB123">
        <f t="shared" ca="1" si="202"/>
        <v>5535</v>
      </c>
      <c r="GC123">
        <f t="shared" ca="1" si="203"/>
        <v>0</v>
      </c>
      <c r="GD123" t="b">
        <f t="shared" ca="1" si="204"/>
        <v>0</v>
      </c>
      <c r="GE123">
        <f t="shared" ca="1" si="205"/>
        <v>0</v>
      </c>
      <c r="GF123">
        <f t="shared" ca="1" si="206"/>
        <v>5535</v>
      </c>
      <c r="GG123">
        <f t="shared" ca="1" si="207"/>
        <v>0</v>
      </c>
      <c r="GH123">
        <f t="shared" ca="1" si="208"/>
        <v>0</v>
      </c>
      <c r="GI123">
        <f t="shared" ca="1" si="209"/>
        <v>0</v>
      </c>
    </row>
    <row r="124" spans="1:191" x14ac:dyDescent="0.25">
      <c r="A124">
        <f>_xlfn.AGGREGATE(3,5,$B$2:B124)</f>
        <v>123</v>
      </c>
      <c r="B124" t="s">
        <v>367</v>
      </c>
      <c r="C124" t="s">
        <v>368</v>
      </c>
      <c r="D124" t="s">
        <v>795</v>
      </c>
      <c r="E124" t="s">
        <v>843</v>
      </c>
      <c r="F124">
        <v>0</v>
      </c>
      <c r="G124">
        <v>0</v>
      </c>
      <c r="H124">
        <v>45900</v>
      </c>
      <c r="I124">
        <f t="shared" si="112"/>
        <v>4590</v>
      </c>
      <c r="J124">
        <f t="shared" si="113"/>
        <v>5508</v>
      </c>
      <c r="K124">
        <v>400</v>
      </c>
      <c r="L124">
        <v>500</v>
      </c>
      <c r="M124">
        <f t="shared" si="114"/>
        <v>56898</v>
      </c>
      <c r="N124">
        <v>3000</v>
      </c>
      <c r="O124">
        <v>60</v>
      </c>
      <c r="P124">
        <f t="shared" si="115"/>
        <v>200</v>
      </c>
      <c r="Q124">
        <f t="shared" si="116"/>
        <v>53638</v>
      </c>
      <c r="R124">
        <v>45900</v>
      </c>
      <c r="S124">
        <f t="shared" si="117"/>
        <v>4590</v>
      </c>
      <c r="T124">
        <f t="shared" si="118"/>
        <v>5508</v>
      </c>
      <c r="U124">
        <v>400</v>
      </c>
      <c r="V124">
        <v>500</v>
      </c>
      <c r="W124">
        <f t="shared" si="119"/>
        <v>56898</v>
      </c>
      <c r="X124">
        <v>3000</v>
      </c>
      <c r="Y124">
        <v>60</v>
      </c>
      <c r="Z124">
        <f t="shared" si="120"/>
        <v>200</v>
      </c>
      <c r="AA124">
        <f t="shared" si="121"/>
        <v>53638</v>
      </c>
      <c r="AB124">
        <v>45900</v>
      </c>
      <c r="AC124">
        <f t="shared" si="122"/>
        <v>6426.0000000000009</v>
      </c>
      <c r="AD124">
        <f t="shared" si="123"/>
        <v>5508</v>
      </c>
      <c r="AE124">
        <v>400</v>
      </c>
      <c r="AF124">
        <v>500</v>
      </c>
      <c r="AG124">
        <f t="shared" si="124"/>
        <v>58734</v>
      </c>
      <c r="AH124">
        <v>3000</v>
      </c>
      <c r="AI124">
        <v>60</v>
      </c>
      <c r="AJ124">
        <f t="shared" si="125"/>
        <v>200</v>
      </c>
      <c r="AK124">
        <f t="shared" si="126"/>
        <v>55474</v>
      </c>
      <c r="AL124">
        <v>45900</v>
      </c>
      <c r="AM124">
        <f t="shared" si="127"/>
        <v>6426.0000000000009</v>
      </c>
      <c r="AN124">
        <f t="shared" si="128"/>
        <v>5508</v>
      </c>
      <c r="AO124">
        <v>400</v>
      </c>
      <c r="AP124">
        <v>500</v>
      </c>
      <c r="AQ124">
        <f t="shared" si="129"/>
        <v>58734</v>
      </c>
      <c r="AR124">
        <v>3000</v>
      </c>
      <c r="AS124">
        <v>60</v>
      </c>
      <c r="AT124">
        <f t="shared" si="130"/>
        <v>200</v>
      </c>
      <c r="AU124">
        <f t="shared" si="131"/>
        <v>55474</v>
      </c>
      <c r="AV124">
        <v>47300</v>
      </c>
      <c r="AW124">
        <f t="shared" si="132"/>
        <v>6622.0000000000009</v>
      </c>
      <c r="AX124">
        <f t="shared" si="133"/>
        <v>1836</v>
      </c>
      <c r="AY124">
        <f t="shared" si="134"/>
        <v>5676</v>
      </c>
      <c r="AZ124">
        <v>400</v>
      </c>
      <c r="BA124">
        <v>500</v>
      </c>
      <c r="BB124">
        <f t="shared" si="135"/>
        <v>62334</v>
      </c>
      <c r="BC124">
        <v>3000</v>
      </c>
      <c r="BD124">
        <v>60</v>
      </c>
      <c r="BE124">
        <f t="shared" si="136"/>
        <v>200</v>
      </c>
      <c r="BF124">
        <f t="shared" si="137"/>
        <v>59074</v>
      </c>
      <c r="BG124">
        <v>47300</v>
      </c>
      <c r="BH124">
        <f t="shared" si="138"/>
        <v>6622.0000000000009</v>
      </c>
      <c r="BI124">
        <f t="shared" si="139"/>
        <v>5676</v>
      </c>
      <c r="BJ124">
        <v>400</v>
      </c>
      <c r="BK124">
        <v>500</v>
      </c>
      <c r="BL124">
        <f t="shared" si="140"/>
        <v>60498</v>
      </c>
      <c r="BM124">
        <v>3000</v>
      </c>
      <c r="BN124">
        <v>60</v>
      </c>
      <c r="BO124">
        <f t="shared" si="141"/>
        <v>200</v>
      </c>
      <c r="BP124">
        <f t="shared" si="142"/>
        <v>57238</v>
      </c>
      <c r="BQ124">
        <v>47300</v>
      </c>
      <c r="BR124">
        <f t="shared" si="143"/>
        <v>6622.0000000000009</v>
      </c>
      <c r="BS124">
        <f t="shared" si="144"/>
        <v>5676</v>
      </c>
      <c r="BT124">
        <v>400</v>
      </c>
      <c r="BU124">
        <v>500</v>
      </c>
      <c r="BV124">
        <f t="shared" si="145"/>
        <v>60498</v>
      </c>
      <c r="BW124">
        <v>3000</v>
      </c>
      <c r="BX124">
        <v>60</v>
      </c>
      <c r="BY124">
        <f t="shared" si="146"/>
        <v>200</v>
      </c>
      <c r="BZ124">
        <f t="shared" si="147"/>
        <v>57238</v>
      </c>
      <c r="CA124">
        <v>47300</v>
      </c>
      <c r="CB124">
        <f t="shared" si="148"/>
        <v>6622.0000000000009</v>
      </c>
      <c r="CC124">
        <f t="shared" si="149"/>
        <v>5676</v>
      </c>
      <c r="CD124">
        <v>400</v>
      </c>
      <c r="CE124">
        <v>500</v>
      </c>
      <c r="CF124">
        <f t="shared" si="150"/>
        <v>60498</v>
      </c>
      <c r="CG124">
        <v>3000</v>
      </c>
      <c r="CH124">
        <v>60</v>
      </c>
      <c r="CI124">
        <f t="shared" si="151"/>
        <v>200</v>
      </c>
      <c r="CJ124">
        <f t="shared" si="152"/>
        <v>57238</v>
      </c>
      <c r="CK124">
        <v>47300</v>
      </c>
      <c r="CL124">
        <f t="shared" si="153"/>
        <v>6622.0000000000009</v>
      </c>
      <c r="CM124">
        <f t="shared" si="154"/>
        <v>5676</v>
      </c>
      <c r="CN124">
        <v>400</v>
      </c>
      <c r="CO124">
        <v>500</v>
      </c>
      <c r="CP124">
        <f t="shared" si="155"/>
        <v>60498</v>
      </c>
      <c r="CQ124">
        <v>3000</v>
      </c>
      <c r="CR124">
        <v>60</v>
      </c>
      <c r="CS124">
        <f t="shared" si="156"/>
        <v>200</v>
      </c>
      <c r="CT124">
        <f t="shared" si="157"/>
        <v>57238</v>
      </c>
      <c r="CU124">
        <v>47300</v>
      </c>
      <c r="CV124">
        <f t="shared" si="158"/>
        <v>6622</v>
      </c>
      <c r="CW124">
        <f t="shared" si="159"/>
        <v>5676</v>
      </c>
      <c r="CX124">
        <v>400</v>
      </c>
      <c r="CY124">
        <v>500</v>
      </c>
      <c r="CZ124">
        <f t="shared" si="160"/>
        <v>60498</v>
      </c>
      <c r="DA124">
        <v>3000</v>
      </c>
      <c r="DB124">
        <v>60</v>
      </c>
      <c r="DC124">
        <f t="shared" si="161"/>
        <v>200</v>
      </c>
      <c r="DD124">
        <f t="shared" si="162"/>
        <v>57238</v>
      </c>
      <c r="DE124">
        <v>47300</v>
      </c>
      <c r="DF124">
        <f t="shared" si="163"/>
        <v>6622.0000000000009</v>
      </c>
      <c r="DG124">
        <f t="shared" si="164"/>
        <v>5676</v>
      </c>
      <c r="DH124">
        <v>400</v>
      </c>
      <c r="DI124">
        <v>500</v>
      </c>
      <c r="DJ124">
        <f t="shared" si="165"/>
        <v>60498</v>
      </c>
      <c r="DK124">
        <v>3000</v>
      </c>
      <c r="DL124">
        <v>60</v>
      </c>
      <c r="DM124">
        <f t="shared" si="166"/>
        <v>200</v>
      </c>
      <c r="DN124">
        <f t="shared" si="167"/>
        <v>57238</v>
      </c>
      <c r="DO124">
        <v>47300</v>
      </c>
      <c r="DP124">
        <f t="shared" si="168"/>
        <v>6622.0000000000009</v>
      </c>
      <c r="DQ124">
        <f t="shared" si="169"/>
        <v>5676</v>
      </c>
      <c r="DR124">
        <v>400</v>
      </c>
      <c r="DS124">
        <v>500</v>
      </c>
      <c r="DT124">
        <f t="shared" si="170"/>
        <v>60498</v>
      </c>
      <c r="DU124">
        <v>3000</v>
      </c>
      <c r="DV124">
        <v>60</v>
      </c>
      <c r="DW124">
        <f t="shared" si="171"/>
        <v>200</v>
      </c>
      <c r="DX124">
        <f t="shared" si="172"/>
        <v>57238</v>
      </c>
      <c r="DY124">
        <f t="shared" si="173"/>
        <v>717084</v>
      </c>
      <c r="DZ124">
        <f t="shared" si="105"/>
        <v>2400</v>
      </c>
      <c r="EA124">
        <f t="shared" si="106"/>
        <v>50000</v>
      </c>
      <c r="EB124">
        <v>0</v>
      </c>
      <c r="EC124">
        <f t="shared" si="107"/>
        <v>664684</v>
      </c>
      <c r="ED124">
        <f t="shared" si="108"/>
        <v>36000</v>
      </c>
      <c r="EE124">
        <f t="shared" si="109"/>
        <v>720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f t="shared" si="110"/>
        <v>36720</v>
      </c>
      <c r="EQ124">
        <f t="shared" si="174"/>
        <v>36720</v>
      </c>
      <c r="ER124">
        <f t="shared" si="111"/>
        <v>627964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f t="shared" si="175"/>
        <v>0</v>
      </c>
      <c r="FA124">
        <f t="shared" si="176"/>
        <v>627964</v>
      </c>
      <c r="FB124">
        <f t="shared" si="177"/>
        <v>12500</v>
      </c>
      <c r="FC124">
        <f t="shared" si="178"/>
        <v>25593</v>
      </c>
      <c r="FD124">
        <f t="shared" si="179"/>
        <v>38093</v>
      </c>
      <c r="FE124">
        <f t="shared" si="180"/>
        <v>38093</v>
      </c>
      <c r="FF124">
        <f t="shared" si="181"/>
        <v>1523.72</v>
      </c>
      <c r="FG124">
        <f t="shared" si="182"/>
        <v>39617</v>
      </c>
      <c r="FH124">
        <v>0</v>
      </c>
      <c r="FI124">
        <f t="shared" si="183"/>
        <v>39617</v>
      </c>
      <c r="FJ124" t="b">
        <f t="shared" si="184"/>
        <v>1</v>
      </c>
      <c r="FK124">
        <f t="shared" ca="1" si="185"/>
        <v>679</v>
      </c>
      <c r="FL124">
        <f t="shared" ca="1" si="186"/>
        <v>717763</v>
      </c>
      <c r="FM124">
        <f t="shared" si="187"/>
        <v>75000</v>
      </c>
      <c r="FN124">
        <f t="shared" ca="1" si="188"/>
        <v>642763</v>
      </c>
      <c r="FO124">
        <f t="shared" ca="1" si="189"/>
        <v>0</v>
      </c>
      <c r="FP124">
        <f t="shared" ca="1" si="190"/>
        <v>0</v>
      </c>
      <c r="FQ124">
        <f t="shared" ca="1" si="191"/>
        <v>0</v>
      </c>
      <c r="FR124">
        <f t="shared" ca="1" si="192"/>
        <v>0</v>
      </c>
      <c r="FS124">
        <f t="shared" ca="1" si="193"/>
        <v>0</v>
      </c>
      <c r="FT124">
        <f t="shared" ca="1" si="194"/>
        <v>0</v>
      </c>
      <c r="FU124">
        <f t="shared" ca="1" si="195"/>
        <v>0</v>
      </c>
      <c r="FV124">
        <f t="shared" ca="1" si="196"/>
        <v>0</v>
      </c>
      <c r="FW124">
        <f t="shared" ca="1" si="197"/>
        <v>342763</v>
      </c>
      <c r="FX124">
        <f t="shared" ca="1" si="198"/>
        <v>17138.150000000001</v>
      </c>
      <c r="FY124">
        <f t="shared" ca="1" si="199"/>
        <v>17138</v>
      </c>
      <c r="FZ124">
        <f t="shared" ca="1" si="200"/>
        <v>0</v>
      </c>
      <c r="GA124">
        <f t="shared" ca="1" si="201"/>
        <v>0</v>
      </c>
      <c r="GB124">
        <f t="shared" ca="1" si="202"/>
        <v>17138</v>
      </c>
      <c r="GC124">
        <f t="shared" ca="1" si="203"/>
        <v>0</v>
      </c>
      <c r="GD124" t="b">
        <f t="shared" ca="1" si="204"/>
        <v>0</v>
      </c>
      <c r="GE124">
        <f t="shared" ca="1" si="205"/>
        <v>0</v>
      </c>
      <c r="GF124">
        <f t="shared" ca="1" si="206"/>
        <v>17138</v>
      </c>
      <c r="GG124">
        <f t="shared" ca="1" si="207"/>
        <v>0</v>
      </c>
      <c r="GH124">
        <f t="shared" ca="1" si="208"/>
        <v>0</v>
      </c>
      <c r="GI124">
        <f t="shared" ca="1" si="209"/>
        <v>0</v>
      </c>
    </row>
    <row r="125" spans="1:191" x14ac:dyDescent="0.25">
      <c r="A125">
        <f>_xlfn.AGGREGATE(3,5,$B$2:B125)</f>
        <v>124</v>
      </c>
      <c r="B125" t="s">
        <v>369</v>
      </c>
      <c r="C125" t="s">
        <v>370</v>
      </c>
      <c r="D125" t="s">
        <v>795</v>
      </c>
      <c r="E125" t="s">
        <v>843</v>
      </c>
      <c r="F125">
        <v>0</v>
      </c>
      <c r="G125">
        <v>6000</v>
      </c>
      <c r="H125">
        <v>30700</v>
      </c>
      <c r="I125">
        <f t="shared" si="112"/>
        <v>3070</v>
      </c>
      <c r="J125">
        <f t="shared" si="113"/>
        <v>3684</v>
      </c>
      <c r="K125">
        <v>0</v>
      </c>
      <c r="L125">
        <v>500</v>
      </c>
      <c r="M125">
        <f t="shared" si="114"/>
        <v>37954</v>
      </c>
      <c r="N125">
        <v>2000</v>
      </c>
      <c r="O125">
        <v>0</v>
      </c>
      <c r="P125">
        <f t="shared" si="115"/>
        <v>150</v>
      </c>
      <c r="Q125">
        <f t="shared" si="116"/>
        <v>35804</v>
      </c>
      <c r="R125">
        <v>30700</v>
      </c>
      <c r="S125">
        <f t="shared" si="117"/>
        <v>3070</v>
      </c>
      <c r="T125">
        <f t="shared" si="118"/>
        <v>3684</v>
      </c>
      <c r="U125">
        <v>0</v>
      </c>
      <c r="V125">
        <v>500</v>
      </c>
      <c r="W125">
        <f t="shared" si="119"/>
        <v>37954</v>
      </c>
      <c r="X125">
        <v>2000</v>
      </c>
      <c r="Y125">
        <v>0</v>
      </c>
      <c r="Z125">
        <f t="shared" si="120"/>
        <v>150</v>
      </c>
      <c r="AA125">
        <f t="shared" si="121"/>
        <v>35804</v>
      </c>
      <c r="AB125">
        <v>30700</v>
      </c>
      <c r="AC125">
        <f t="shared" si="122"/>
        <v>4298</v>
      </c>
      <c r="AD125">
        <f t="shared" si="123"/>
        <v>3684</v>
      </c>
      <c r="AE125">
        <v>0</v>
      </c>
      <c r="AF125">
        <v>500</v>
      </c>
      <c r="AG125">
        <f t="shared" si="124"/>
        <v>39182</v>
      </c>
      <c r="AH125">
        <v>2000</v>
      </c>
      <c r="AI125">
        <v>0</v>
      </c>
      <c r="AJ125">
        <f t="shared" si="125"/>
        <v>150</v>
      </c>
      <c r="AK125">
        <f t="shared" si="126"/>
        <v>37032</v>
      </c>
      <c r="AL125">
        <v>30700</v>
      </c>
      <c r="AM125">
        <f t="shared" si="127"/>
        <v>4298</v>
      </c>
      <c r="AN125">
        <f t="shared" si="128"/>
        <v>3684</v>
      </c>
      <c r="AO125">
        <v>0</v>
      </c>
      <c r="AP125">
        <v>500</v>
      </c>
      <c r="AQ125">
        <f t="shared" si="129"/>
        <v>39182</v>
      </c>
      <c r="AR125">
        <v>2000</v>
      </c>
      <c r="AS125">
        <v>0</v>
      </c>
      <c r="AT125">
        <f t="shared" si="130"/>
        <v>150</v>
      </c>
      <c r="AU125">
        <f t="shared" si="131"/>
        <v>37032</v>
      </c>
      <c r="AV125">
        <v>31600</v>
      </c>
      <c r="AW125">
        <f t="shared" si="132"/>
        <v>4424</v>
      </c>
      <c r="AX125">
        <f t="shared" si="133"/>
        <v>1228</v>
      </c>
      <c r="AY125">
        <f t="shared" si="134"/>
        <v>3792</v>
      </c>
      <c r="AZ125">
        <v>0</v>
      </c>
      <c r="BA125">
        <v>500</v>
      </c>
      <c r="BB125">
        <f t="shared" si="135"/>
        <v>41544</v>
      </c>
      <c r="BC125">
        <v>2000</v>
      </c>
      <c r="BD125">
        <v>0</v>
      </c>
      <c r="BE125">
        <f t="shared" si="136"/>
        <v>200</v>
      </c>
      <c r="BF125">
        <f t="shared" si="137"/>
        <v>39344</v>
      </c>
      <c r="BG125">
        <v>31600</v>
      </c>
      <c r="BH125">
        <f t="shared" si="138"/>
        <v>4424</v>
      </c>
      <c r="BI125">
        <f t="shared" si="139"/>
        <v>3792</v>
      </c>
      <c r="BJ125">
        <v>0</v>
      </c>
      <c r="BK125">
        <v>500</v>
      </c>
      <c r="BL125">
        <f t="shared" si="140"/>
        <v>40316</v>
      </c>
      <c r="BM125">
        <v>2000</v>
      </c>
      <c r="BN125">
        <v>0</v>
      </c>
      <c r="BO125">
        <f t="shared" si="141"/>
        <v>200</v>
      </c>
      <c r="BP125">
        <f t="shared" si="142"/>
        <v>38116</v>
      </c>
      <c r="BQ125">
        <v>31600</v>
      </c>
      <c r="BR125">
        <f t="shared" si="143"/>
        <v>4424</v>
      </c>
      <c r="BS125">
        <f t="shared" si="144"/>
        <v>3792</v>
      </c>
      <c r="BT125">
        <v>0</v>
      </c>
      <c r="BU125">
        <v>500</v>
      </c>
      <c r="BV125">
        <f t="shared" si="145"/>
        <v>40316</v>
      </c>
      <c r="BW125">
        <v>2000</v>
      </c>
      <c r="BX125">
        <v>0</v>
      </c>
      <c r="BY125">
        <f t="shared" si="146"/>
        <v>200</v>
      </c>
      <c r="BZ125">
        <f t="shared" si="147"/>
        <v>38116</v>
      </c>
      <c r="CA125">
        <v>31600</v>
      </c>
      <c r="CB125">
        <f t="shared" si="148"/>
        <v>4424</v>
      </c>
      <c r="CC125">
        <f t="shared" si="149"/>
        <v>3792</v>
      </c>
      <c r="CD125">
        <v>0</v>
      </c>
      <c r="CE125">
        <v>500</v>
      </c>
      <c r="CF125">
        <f t="shared" si="150"/>
        <v>40316</v>
      </c>
      <c r="CG125">
        <v>2000</v>
      </c>
      <c r="CH125">
        <v>0</v>
      </c>
      <c r="CI125">
        <f t="shared" si="151"/>
        <v>200</v>
      </c>
      <c r="CJ125">
        <f t="shared" si="152"/>
        <v>38116</v>
      </c>
      <c r="CK125">
        <v>31600</v>
      </c>
      <c r="CL125">
        <f t="shared" si="153"/>
        <v>4424</v>
      </c>
      <c r="CM125">
        <f t="shared" si="154"/>
        <v>3792</v>
      </c>
      <c r="CN125">
        <v>0</v>
      </c>
      <c r="CO125">
        <v>500</v>
      </c>
      <c r="CP125">
        <f t="shared" si="155"/>
        <v>40316</v>
      </c>
      <c r="CQ125">
        <v>2000</v>
      </c>
      <c r="CR125">
        <v>0</v>
      </c>
      <c r="CS125">
        <f t="shared" si="156"/>
        <v>200</v>
      </c>
      <c r="CT125">
        <f t="shared" si="157"/>
        <v>38116</v>
      </c>
      <c r="CU125">
        <v>31600</v>
      </c>
      <c r="CV125">
        <f t="shared" si="158"/>
        <v>4424</v>
      </c>
      <c r="CW125">
        <f t="shared" si="159"/>
        <v>3792</v>
      </c>
      <c r="CX125">
        <v>0</v>
      </c>
      <c r="CY125">
        <v>500</v>
      </c>
      <c r="CZ125">
        <f t="shared" si="160"/>
        <v>40316</v>
      </c>
      <c r="DA125">
        <v>2000</v>
      </c>
      <c r="DB125">
        <v>0</v>
      </c>
      <c r="DC125">
        <f t="shared" si="161"/>
        <v>200</v>
      </c>
      <c r="DD125">
        <f t="shared" si="162"/>
        <v>38116</v>
      </c>
      <c r="DE125">
        <v>31600</v>
      </c>
      <c r="DF125">
        <f t="shared" si="163"/>
        <v>4424</v>
      </c>
      <c r="DG125">
        <f t="shared" si="164"/>
        <v>3792</v>
      </c>
      <c r="DH125">
        <v>0</v>
      </c>
      <c r="DI125">
        <v>500</v>
      </c>
      <c r="DJ125">
        <f t="shared" si="165"/>
        <v>40316</v>
      </c>
      <c r="DK125">
        <v>2000</v>
      </c>
      <c r="DL125">
        <v>0</v>
      </c>
      <c r="DM125">
        <f t="shared" si="166"/>
        <v>200</v>
      </c>
      <c r="DN125">
        <f t="shared" si="167"/>
        <v>38116</v>
      </c>
      <c r="DO125">
        <v>31600</v>
      </c>
      <c r="DP125">
        <f t="shared" si="168"/>
        <v>4424</v>
      </c>
      <c r="DQ125">
        <f t="shared" si="169"/>
        <v>3792</v>
      </c>
      <c r="DR125">
        <v>0</v>
      </c>
      <c r="DS125">
        <v>500</v>
      </c>
      <c r="DT125">
        <f t="shared" si="170"/>
        <v>40316</v>
      </c>
      <c r="DU125">
        <v>2000</v>
      </c>
      <c r="DV125">
        <v>0</v>
      </c>
      <c r="DW125">
        <f t="shared" si="171"/>
        <v>200</v>
      </c>
      <c r="DX125">
        <f t="shared" si="172"/>
        <v>38116</v>
      </c>
      <c r="DY125">
        <f t="shared" si="173"/>
        <v>484028</v>
      </c>
      <c r="DZ125">
        <f t="shared" si="105"/>
        <v>2200</v>
      </c>
      <c r="EA125">
        <f t="shared" si="106"/>
        <v>50000</v>
      </c>
      <c r="EB125">
        <v>0</v>
      </c>
      <c r="EC125">
        <f t="shared" si="107"/>
        <v>431828</v>
      </c>
      <c r="ED125">
        <f t="shared" si="108"/>
        <v>24000</v>
      </c>
      <c r="EE125">
        <f t="shared" si="109"/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f t="shared" si="110"/>
        <v>24000</v>
      </c>
      <c r="EQ125">
        <f t="shared" si="174"/>
        <v>24000</v>
      </c>
      <c r="ER125">
        <f t="shared" si="111"/>
        <v>407828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f t="shared" si="175"/>
        <v>0</v>
      </c>
      <c r="FA125">
        <f t="shared" si="176"/>
        <v>407828</v>
      </c>
      <c r="FB125">
        <f t="shared" si="177"/>
        <v>7891</v>
      </c>
      <c r="FC125">
        <f t="shared" si="178"/>
        <v>0</v>
      </c>
      <c r="FD125">
        <f t="shared" si="179"/>
        <v>7891</v>
      </c>
      <c r="FE125">
        <f t="shared" si="180"/>
        <v>0</v>
      </c>
      <c r="FF125">
        <f t="shared" si="181"/>
        <v>0</v>
      </c>
      <c r="FG125">
        <f t="shared" si="182"/>
        <v>0</v>
      </c>
      <c r="FH125">
        <v>0</v>
      </c>
      <c r="FI125">
        <f t="shared" si="183"/>
        <v>0</v>
      </c>
      <c r="FJ125" t="b">
        <f t="shared" si="184"/>
        <v>0</v>
      </c>
      <c r="FK125">
        <f t="shared" ca="1" si="185"/>
        <v>1942</v>
      </c>
      <c r="FL125">
        <f t="shared" ca="1" si="186"/>
        <v>485970</v>
      </c>
      <c r="FM125">
        <f t="shared" si="187"/>
        <v>75000</v>
      </c>
      <c r="FN125">
        <f t="shared" ca="1" si="188"/>
        <v>410970</v>
      </c>
      <c r="FO125">
        <f t="shared" ca="1" si="189"/>
        <v>0</v>
      </c>
      <c r="FP125">
        <f t="shared" ca="1" si="190"/>
        <v>0</v>
      </c>
      <c r="FQ125">
        <f t="shared" ca="1" si="191"/>
        <v>0</v>
      </c>
      <c r="FR125">
        <f t="shared" ca="1" si="192"/>
        <v>0</v>
      </c>
      <c r="FS125">
        <f t="shared" ca="1" si="193"/>
        <v>0</v>
      </c>
      <c r="FT125">
        <f t="shared" ca="1" si="194"/>
        <v>0</v>
      </c>
      <c r="FU125">
        <f t="shared" ca="1" si="195"/>
        <v>0</v>
      </c>
      <c r="FV125">
        <f t="shared" ca="1" si="196"/>
        <v>0</v>
      </c>
      <c r="FW125">
        <f t="shared" ca="1" si="197"/>
        <v>110970</v>
      </c>
      <c r="FX125">
        <f t="shared" ca="1" si="198"/>
        <v>5548.5</v>
      </c>
      <c r="FY125">
        <f t="shared" ca="1" si="199"/>
        <v>5549</v>
      </c>
      <c r="FZ125">
        <f t="shared" ca="1" si="200"/>
        <v>0</v>
      </c>
      <c r="GA125">
        <f t="shared" ca="1" si="201"/>
        <v>0</v>
      </c>
      <c r="GB125">
        <f t="shared" ca="1" si="202"/>
        <v>5549</v>
      </c>
      <c r="GC125">
        <f t="shared" ca="1" si="203"/>
        <v>0</v>
      </c>
      <c r="GD125" t="b">
        <f t="shared" ca="1" si="204"/>
        <v>0</v>
      </c>
      <c r="GE125">
        <f t="shared" ca="1" si="205"/>
        <v>0</v>
      </c>
      <c r="GF125">
        <f t="shared" ca="1" si="206"/>
        <v>5549</v>
      </c>
      <c r="GG125">
        <f t="shared" ca="1" si="207"/>
        <v>0</v>
      </c>
      <c r="GH125">
        <f t="shared" ca="1" si="208"/>
        <v>0</v>
      </c>
      <c r="GI125">
        <f t="shared" ca="1" si="209"/>
        <v>0</v>
      </c>
    </row>
    <row r="126" spans="1:191" x14ac:dyDescent="0.25">
      <c r="A126">
        <f>_xlfn.AGGREGATE(3,5,$B$2:B126)</f>
        <v>125</v>
      </c>
      <c r="B126" t="s">
        <v>371</v>
      </c>
      <c r="C126" t="s">
        <v>372</v>
      </c>
      <c r="D126" t="s">
        <v>795</v>
      </c>
      <c r="E126" t="s">
        <v>843</v>
      </c>
      <c r="F126">
        <v>0</v>
      </c>
      <c r="G126">
        <v>6000</v>
      </c>
      <c r="H126">
        <v>29800</v>
      </c>
      <c r="I126">
        <f t="shared" si="112"/>
        <v>2980</v>
      </c>
      <c r="J126">
        <f t="shared" si="113"/>
        <v>3576</v>
      </c>
      <c r="K126">
        <v>0</v>
      </c>
      <c r="L126">
        <v>500</v>
      </c>
      <c r="M126">
        <f t="shared" si="114"/>
        <v>36856</v>
      </c>
      <c r="N126">
        <v>2000</v>
      </c>
      <c r="O126">
        <v>0</v>
      </c>
      <c r="P126">
        <f t="shared" si="115"/>
        <v>150</v>
      </c>
      <c r="Q126">
        <f t="shared" si="116"/>
        <v>34706</v>
      </c>
      <c r="R126">
        <v>29800</v>
      </c>
      <c r="S126">
        <f t="shared" si="117"/>
        <v>2980</v>
      </c>
      <c r="T126">
        <f t="shared" si="118"/>
        <v>3576</v>
      </c>
      <c r="U126">
        <v>0</v>
      </c>
      <c r="V126">
        <v>500</v>
      </c>
      <c r="W126">
        <f t="shared" si="119"/>
        <v>36856</v>
      </c>
      <c r="X126">
        <v>2000</v>
      </c>
      <c r="Y126">
        <v>0</v>
      </c>
      <c r="Z126">
        <f t="shared" si="120"/>
        <v>150</v>
      </c>
      <c r="AA126">
        <f t="shared" si="121"/>
        <v>34706</v>
      </c>
      <c r="AB126">
        <v>29800</v>
      </c>
      <c r="AC126">
        <f t="shared" si="122"/>
        <v>4172</v>
      </c>
      <c r="AD126">
        <f t="shared" si="123"/>
        <v>3576</v>
      </c>
      <c r="AE126">
        <v>0</v>
      </c>
      <c r="AF126">
        <v>500</v>
      </c>
      <c r="AG126">
        <f t="shared" si="124"/>
        <v>38048</v>
      </c>
      <c r="AH126">
        <v>2000</v>
      </c>
      <c r="AI126">
        <v>0</v>
      </c>
      <c r="AJ126">
        <f t="shared" si="125"/>
        <v>150</v>
      </c>
      <c r="AK126">
        <f t="shared" si="126"/>
        <v>35898</v>
      </c>
      <c r="AL126">
        <v>29800</v>
      </c>
      <c r="AM126">
        <f t="shared" si="127"/>
        <v>4172</v>
      </c>
      <c r="AN126">
        <f t="shared" si="128"/>
        <v>3576</v>
      </c>
      <c r="AO126">
        <v>0</v>
      </c>
      <c r="AP126">
        <v>500</v>
      </c>
      <c r="AQ126">
        <f t="shared" si="129"/>
        <v>38048</v>
      </c>
      <c r="AR126">
        <v>2000</v>
      </c>
      <c r="AS126">
        <v>0</v>
      </c>
      <c r="AT126">
        <f t="shared" si="130"/>
        <v>150</v>
      </c>
      <c r="AU126">
        <f t="shared" si="131"/>
        <v>35898</v>
      </c>
      <c r="AV126">
        <v>30700</v>
      </c>
      <c r="AW126">
        <f t="shared" si="132"/>
        <v>4298</v>
      </c>
      <c r="AX126">
        <f t="shared" si="133"/>
        <v>1192</v>
      </c>
      <c r="AY126">
        <f t="shared" si="134"/>
        <v>3684</v>
      </c>
      <c r="AZ126">
        <v>0</v>
      </c>
      <c r="BA126">
        <v>500</v>
      </c>
      <c r="BB126">
        <f t="shared" si="135"/>
        <v>40374</v>
      </c>
      <c r="BC126">
        <v>2000</v>
      </c>
      <c r="BD126">
        <v>0</v>
      </c>
      <c r="BE126">
        <f t="shared" si="136"/>
        <v>200</v>
      </c>
      <c r="BF126">
        <f t="shared" si="137"/>
        <v>38174</v>
      </c>
      <c r="BG126">
        <v>30700</v>
      </c>
      <c r="BH126">
        <f t="shared" si="138"/>
        <v>4298</v>
      </c>
      <c r="BI126">
        <f t="shared" si="139"/>
        <v>3684</v>
      </c>
      <c r="BJ126">
        <v>0</v>
      </c>
      <c r="BK126">
        <v>500</v>
      </c>
      <c r="BL126">
        <f t="shared" si="140"/>
        <v>39182</v>
      </c>
      <c r="BM126">
        <v>2000</v>
      </c>
      <c r="BN126">
        <v>0</v>
      </c>
      <c r="BO126">
        <f t="shared" si="141"/>
        <v>150</v>
      </c>
      <c r="BP126">
        <f t="shared" si="142"/>
        <v>37032</v>
      </c>
      <c r="BQ126">
        <v>30700</v>
      </c>
      <c r="BR126">
        <f t="shared" si="143"/>
        <v>4298</v>
      </c>
      <c r="BS126">
        <f t="shared" si="144"/>
        <v>3684</v>
      </c>
      <c r="BT126">
        <v>0</v>
      </c>
      <c r="BU126">
        <v>500</v>
      </c>
      <c r="BV126">
        <f t="shared" si="145"/>
        <v>39182</v>
      </c>
      <c r="BW126">
        <v>2000</v>
      </c>
      <c r="BX126">
        <v>0</v>
      </c>
      <c r="BY126">
        <f t="shared" si="146"/>
        <v>150</v>
      </c>
      <c r="BZ126">
        <f t="shared" si="147"/>
        <v>37032</v>
      </c>
      <c r="CA126">
        <v>30700</v>
      </c>
      <c r="CB126">
        <f t="shared" si="148"/>
        <v>4298</v>
      </c>
      <c r="CC126">
        <f t="shared" si="149"/>
        <v>3684</v>
      </c>
      <c r="CD126">
        <v>0</v>
      </c>
      <c r="CE126">
        <v>500</v>
      </c>
      <c r="CF126">
        <f t="shared" si="150"/>
        <v>39182</v>
      </c>
      <c r="CG126">
        <v>2000</v>
      </c>
      <c r="CH126">
        <v>0</v>
      </c>
      <c r="CI126">
        <f t="shared" si="151"/>
        <v>150</v>
      </c>
      <c r="CJ126">
        <f t="shared" si="152"/>
        <v>37032</v>
      </c>
      <c r="CK126">
        <v>30700</v>
      </c>
      <c r="CL126">
        <f t="shared" si="153"/>
        <v>4298</v>
      </c>
      <c r="CM126">
        <f t="shared" si="154"/>
        <v>3684</v>
      </c>
      <c r="CN126">
        <v>0</v>
      </c>
      <c r="CO126">
        <v>500</v>
      </c>
      <c r="CP126">
        <f t="shared" si="155"/>
        <v>39182</v>
      </c>
      <c r="CQ126">
        <v>2000</v>
      </c>
      <c r="CR126">
        <v>0</v>
      </c>
      <c r="CS126">
        <f t="shared" si="156"/>
        <v>150</v>
      </c>
      <c r="CT126">
        <f t="shared" si="157"/>
        <v>37032</v>
      </c>
      <c r="CU126">
        <v>30700</v>
      </c>
      <c r="CV126">
        <f t="shared" si="158"/>
        <v>4298</v>
      </c>
      <c r="CW126">
        <f t="shared" si="159"/>
        <v>3684</v>
      </c>
      <c r="CX126">
        <v>0</v>
      </c>
      <c r="CY126">
        <v>500</v>
      </c>
      <c r="CZ126">
        <f t="shared" si="160"/>
        <v>39182</v>
      </c>
      <c r="DA126">
        <v>2000</v>
      </c>
      <c r="DB126">
        <v>0</v>
      </c>
      <c r="DC126">
        <f t="shared" si="161"/>
        <v>150</v>
      </c>
      <c r="DD126">
        <f t="shared" si="162"/>
        <v>37032</v>
      </c>
      <c r="DE126">
        <v>30700</v>
      </c>
      <c r="DF126">
        <f t="shared" si="163"/>
        <v>4298</v>
      </c>
      <c r="DG126">
        <f t="shared" si="164"/>
        <v>3684</v>
      </c>
      <c r="DH126">
        <v>0</v>
      </c>
      <c r="DI126">
        <v>500</v>
      </c>
      <c r="DJ126">
        <f t="shared" si="165"/>
        <v>39182</v>
      </c>
      <c r="DK126">
        <v>2000</v>
      </c>
      <c r="DL126">
        <v>0</v>
      </c>
      <c r="DM126">
        <f t="shared" si="166"/>
        <v>150</v>
      </c>
      <c r="DN126">
        <f t="shared" si="167"/>
        <v>37032</v>
      </c>
      <c r="DO126">
        <v>30700</v>
      </c>
      <c r="DP126">
        <f t="shared" si="168"/>
        <v>4298</v>
      </c>
      <c r="DQ126">
        <f t="shared" si="169"/>
        <v>3684</v>
      </c>
      <c r="DR126">
        <v>0</v>
      </c>
      <c r="DS126">
        <v>500</v>
      </c>
      <c r="DT126">
        <f t="shared" si="170"/>
        <v>39182</v>
      </c>
      <c r="DU126">
        <v>2000</v>
      </c>
      <c r="DV126">
        <v>0</v>
      </c>
      <c r="DW126">
        <f t="shared" si="171"/>
        <v>150</v>
      </c>
      <c r="DX126">
        <f t="shared" si="172"/>
        <v>37032</v>
      </c>
      <c r="DY126">
        <f t="shared" si="173"/>
        <v>470456</v>
      </c>
      <c r="DZ126">
        <f t="shared" si="105"/>
        <v>1850</v>
      </c>
      <c r="EA126">
        <f t="shared" si="106"/>
        <v>50000</v>
      </c>
      <c r="EB126">
        <v>0</v>
      </c>
      <c r="EC126">
        <f t="shared" si="107"/>
        <v>418606</v>
      </c>
      <c r="ED126">
        <f t="shared" si="108"/>
        <v>24000</v>
      </c>
      <c r="EE126">
        <f t="shared" si="109"/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f t="shared" si="110"/>
        <v>24000</v>
      </c>
      <c r="EQ126">
        <f t="shared" si="174"/>
        <v>24000</v>
      </c>
      <c r="ER126">
        <f t="shared" si="111"/>
        <v>394606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f t="shared" si="175"/>
        <v>0</v>
      </c>
      <c r="FA126">
        <f t="shared" si="176"/>
        <v>394606</v>
      </c>
      <c r="FB126">
        <f t="shared" si="177"/>
        <v>7230</v>
      </c>
      <c r="FC126">
        <f t="shared" si="178"/>
        <v>0</v>
      </c>
      <c r="FD126">
        <f t="shared" si="179"/>
        <v>7230</v>
      </c>
      <c r="FE126">
        <f t="shared" si="180"/>
        <v>0</v>
      </c>
      <c r="FF126">
        <f t="shared" si="181"/>
        <v>0</v>
      </c>
      <c r="FG126">
        <f t="shared" si="182"/>
        <v>0</v>
      </c>
      <c r="FH126">
        <v>0</v>
      </c>
      <c r="FI126">
        <f t="shared" si="183"/>
        <v>0</v>
      </c>
      <c r="FJ126" t="b">
        <f t="shared" si="184"/>
        <v>0</v>
      </c>
      <c r="FK126">
        <f t="shared" ca="1" si="185"/>
        <v>2983</v>
      </c>
      <c r="FL126">
        <f t="shared" ca="1" si="186"/>
        <v>473439</v>
      </c>
      <c r="FM126">
        <f t="shared" si="187"/>
        <v>75000</v>
      </c>
      <c r="FN126">
        <f t="shared" ca="1" si="188"/>
        <v>398439</v>
      </c>
      <c r="FO126">
        <f t="shared" ca="1" si="189"/>
        <v>0</v>
      </c>
      <c r="FP126">
        <f t="shared" ca="1" si="190"/>
        <v>0</v>
      </c>
      <c r="FQ126">
        <f t="shared" ca="1" si="191"/>
        <v>0</v>
      </c>
      <c r="FR126">
        <f t="shared" ca="1" si="192"/>
        <v>0</v>
      </c>
      <c r="FS126">
        <f t="shared" ca="1" si="193"/>
        <v>0</v>
      </c>
      <c r="FT126">
        <f t="shared" ca="1" si="194"/>
        <v>0</v>
      </c>
      <c r="FU126">
        <f t="shared" ca="1" si="195"/>
        <v>0</v>
      </c>
      <c r="FV126">
        <f t="shared" ca="1" si="196"/>
        <v>0</v>
      </c>
      <c r="FW126">
        <f t="shared" ca="1" si="197"/>
        <v>98439</v>
      </c>
      <c r="FX126">
        <f t="shared" ca="1" si="198"/>
        <v>4921.9500000000007</v>
      </c>
      <c r="FY126">
        <f t="shared" ca="1" si="199"/>
        <v>4922</v>
      </c>
      <c r="FZ126">
        <f t="shared" ca="1" si="200"/>
        <v>0</v>
      </c>
      <c r="GA126">
        <f t="shared" ca="1" si="201"/>
        <v>0</v>
      </c>
      <c r="GB126">
        <f t="shared" ca="1" si="202"/>
        <v>4922</v>
      </c>
      <c r="GC126">
        <f t="shared" ca="1" si="203"/>
        <v>0</v>
      </c>
      <c r="GD126" t="b">
        <f t="shared" ca="1" si="204"/>
        <v>0</v>
      </c>
      <c r="GE126">
        <f t="shared" ca="1" si="205"/>
        <v>0</v>
      </c>
      <c r="GF126">
        <f t="shared" ca="1" si="206"/>
        <v>4922</v>
      </c>
      <c r="GG126">
        <f t="shared" ca="1" si="207"/>
        <v>0</v>
      </c>
      <c r="GH126">
        <f t="shared" ca="1" si="208"/>
        <v>0</v>
      </c>
      <c r="GI126">
        <f t="shared" ca="1" si="209"/>
        <v>0</v>
      </c>
    </row>
    <row r="127" spans="1:191" x14ac:dyDescent="0.25">
      <c r="A127">
        <f>_xlfn.AGGREGATE(3,5,$B$2:B127)</f>
        <v>126</v>
      </c>
      <c r="B127" t="s">
        <v>373</v>
      </c>
      <c r="C127" t="s">
        <v>374</v>
      </c>
      <c r="D127" t="s">
        <v>796</v>
      </c>
      <c r="E127" t="s">
        <v>843</v>
      </c>
      <c r="F127">
        <v>0</v>
      </c>
      <c r="G127">
        <v>6000</v>
      </c>
      <c r="H127">
        <v>32500</v>
      </c>
      <c r="I127">
        <f t="shared" si="112"/>
        <v>3250</v>
      </c>
      <c r="J127">
        <f t="shared" si="113"/>
        <v>3900</v>
      </c>
      <c r="K127">
        <v>400</v>
      </c>
      <c r="L127">
        <v>0</v>
      </c>
      <c r="M127">
        <f t="shared" si="114"/>
        <v>40050</v>
      </c>
      <c r="N127">
        <v>2000</v>
      </c>
      <c r="O127">
        <v>0</v>
      </c>
      <c r="P127">
        <f t="shared" si="115"/>
        <v>200</v>
      </c>
      <c r="Q127">
        <f t="shared" si="116"/>
        <v>37850</v>
      </c>
      <c r="R127">
        <v>32500</v>
      </c>
      <c r="S127">
        <f t="shared" si="117"/>
        <v>3250</v>
      </c>
      <c r="T127">
        <f t="shared" si="118"/>
        <v>3900</v>
      </c>
      <c r="U127">
        <v>400</v>
      </c>
      <c r="V127">
        <v>0</v>
      </c>
      <c r="W127">
        <f t="shared" si="119"/>
        <v>40050</v>
      </c>
      <c r="X127">
        <v>2000</v>
      </c>
      <c r="Y127">
        <v>0</v>
      </c>
      <c r="Z127">
        <f t="shared" si="120"/>
        <v>200</v>
      </c>
      <c r="AA127">
        <f t="shared" si="121"/>
        <v>37850</v>
      </c>
      <c r="AB127">
        <v>32500</v>
      </c>
      <c r="AC127">
        <f t="shared" si="122"/>
        <v>4550</v>
      </c>
      <c r="AD127">
        <f t="shared" si="123"/>
        <v>3900</v>
      </c>
      <c r="AE127">
        <v>400</v>
      </c>
      <c r="AF127">
        <v>0</v>
      </c>
      <c r="AG127">
        <f t="shared" si="124"/>
        <v>41350</v>
      </c>
      <c r="AH127">
        <v>2000</v>
      </c>
      <c r="AI127">
        <v>0</v>
      </c>
      <c r="AJ127">
        <f t="shared" si="125"/>
        <v>200</v>
      </c>
      <c r="AK127">
        <f t="shared" si="126"/>
        <v>39150</v>
      </c>
      <c r="AL127">
        <v>32500</v>
      </c>
      <c r="AM127">
        <f t="shared" si="127"/>
        <v>4550</v>
      </c>
      <c r="AN127">
        <f t="shared" si="128"/>
        <v>3900</v>
      </c>
      <c r="AO127">
        <v>400</v>
      </c>
      <c r="AP127">
        <v>0</v>
      </c>
      <c r="AQ127">
        <f t="shared" si="129"/>
        <v>41350</v>
      </c>
      <c r="AR127">
        <v>2000</v>
      </c>
      <c r="AS127">
        <v>0</v>
      </c>
      <c r="AT127">
        <f t="shared" si="130"/>
        <v>200</v>
      </c>
      <c r="AU127">
        <f t="shared" si="131"/>
        <v>39150</v>
      </c>
      <c r="AV127">
        <v>33500</v>
      </c>
      <c r="AW127">
        <f t="shared" si="132"/>
        <v>4690</v>
      </c>
      <c r="AX127">
        <f t="shared" si="133"/>
        <v>1300</v>
      </c>
      <c r="AY127">
        <f t="shared" si="134"/>
        <v>4020</v>
      </c>
      <c r="AZ127">
        <v>400</v>
      </c>
      <c r="BA127">
        <v>0</v>
      </c>
      <c r="BB127">
        <f t="shared" si="135"/>
        <v>43910</v>
      </c>
      <c r="BC127">
        <v>2500</v>
      </c>
      <c r="BD127">
        <v>0</v>
      </c>
      <c r="BE127">
        <f t="shared" si="136"/>
        <v>200</v>
      </c>
      <c r="BF127">
        <f t="shared" si="137"/>
        <v>41210</v>
      </c>
      <c r="BG127">
        <v>33500</v>
      </c>
      <c r="BH127">
        <f t="shared" si="138"/>
        <v>4690</v>
      </c>
      <c r="BI127">
        <f t="shared" si="139"/>
        <v>4020</v>
      </c>
      <c r="BJ127">
        <v>400</v>
      </c>
      <c r="BK127">
        <v>0</v>
      </c>
      <c r="BL127">
        <f t="shared" si="140"/>
        <v>42610</v>
      </c>
      <c r="BM127">
        <v>2500</v>
      </c>
      <c r="BN127">
        <v>0</v>
      </c>
      <c r="BO127">
        <f t="shared" si="141"/>
        <v>200</v>
      </c>
      <c r="BP127">
        <f t="shared" si="142"/>
        <v>39910</v>
      </c>
      <c r="BQ127">
        <v>33500</v>
      </c>
      <c r="BR127">
        <f t="shared" si="143"/>
        <v>4690</v>
      </c>
      <c r="BS127">
        <f t="shared" si="144"/>
        <v>4020</v>
      </c>
      <c r="BT127">
        <v>400</v>
      </c>
      <c r="BU127">
        <v>0</v>
      </c>
      <c r="BV127">
        <f t="shared" si="145"/>
        <v>42610</v>
      </c>
      <c r="BW127">
        <v>2500</v>
      </c>
      <c r="BX127">
        <v>0</v>
      </c>
      <c r="BY127">
        <f t="shared" si="146"/>
        <v>200</v>
      </c>
      <c r="BZ127">
        <f t="shared" si="147"/>
        <v>39910</v>
      </c>
      <c r="CA127">
        <v>33500</v>
      </c>
      <c r="CB127">
        <f t="shared" si="148"/>
        <v>4690</v>
      </c>
      <c r="CC127">
        <f t="shared" si="149"/>
        <v>4020</v>
      </c>
      <c r="CD127">
        <v>400</v>
      </c>
      <c r="CE127">
        <v>0</v>
      </c>
      <c r="CF127">
        <f t="shared" si="150"/>
        <v>42610</v>
      </c>
      <c r="CG127">
        <v>2500</v>
      </c>
      <c r="CH127">
        <v>0</v>
      </c>
      <c r="CI127">
        <f t="shared" si="151"/>
        <v>200</v>
      </c>
      <c r="CJ127">
        <f t="shared" si="152"/>
        <v>39910</v>
      </c>
      <c r="CK127">
        <v>33500</v>
      </c>
      <c r="CL127">
        <f t="shared" si="153"/>
        <v>4690</v>
      </c>
      <c r="CM127">
        <f t="shared" si="154"/>
        <v>4020</v>
      </c>
      <c r="CN127">
        <v>400</v>
      </c>
      <c r="CO127">
        <v>0</v>
      </c>
      <c r="CP127">
        <f t="shared" si="155"/>
        <v>42610</v>
      </c>
      <c r="CQ127">
        <v>2500</v>
      </c>
      <c r="CR127">
        <v>0</v>
      </c>
      <c r="CS127">
        <f t="shared" si="156"/>
        <v>200</v>
      </c>
      <c r="CT127">
        <f t="shared" si="157"/>
        <v>39910</v>
      </c>
      <c r="CU127">
        <v>33500</v>
      </c>
      <c r="CV127">
        <f t="shared" si="158"/>
        <v>4690</v>
      </c>
      <c r="CW127">
        <f t="shared" si="159"/>
        <v>4020</v>
      </c>
      <c r="CX127">
        <v>400</v>
      </c>
      <c r="CY127">
        <v>0</v>
      </c>
      <c r="CZ127">
        <f t="shared" si="160"/>
        <v>42610</v>
      </c>
      <c r="DA127">
        <v>2500</v>
      </c>
      <c r="DB127">
        <v>0</v>
      </c>
      <c r="DC127">
        <f t="shared" si="161"/>
        <v>200</v>
      </c>
      <c r="DD127">
        <f t="shared" si="162"/>
        <v>39910</v>
      </c>
      <c r="DE127">
        <v>33500</v>
      </c>
      <c r="DF127">
        <f t="shared" si="163"/>
        <v>4690</v>
      </c>
      <c r="DG127">
        <f t="shared" si="164"/>
        <v>4020</v>
      </c>
      <c r="DH127">
        <v>400</v>
      </c>
      <c r="DI127">
        <v>0</v>
      </c>
      <c r="DJ127">
        <f t="shared" si="165"/>
        <v>42610</v>
      </c>
      <c r="DK127">
        <v>2500</v>
      </c>
      <c r="DL127">
        <v>0</v>
      </c>
      <c r="DM127">
        <f t="shared" si="166"/>
        <v>200</v>
      </c>
      <c r="DN127">
        <f t="shared" si="167"/>
        <v>39910</v>
      </c>
      <c r="DO127">
        <v>33500</v>
      </c>
      <c r="DP127">
        <f t="shared" si="168"/>
        <v>4690</v>
      </c>
      <c r="DQ127">
        <f t="shared" si="169"/>
        <v>4020</v>
      </c>
      <c r="DR127">
        <v>400</v>
      </c>
      <c r="DS127">
        <v>0</v>
      </c>
      <c r="DT127">
        <f t="shared" si="170"/>
        <v>42610</v>
      </c>
      <c r="DU127">
        <v>2500</v>
      </c>
      <c r="DV127">
        <v>0</v>
      </c>
      <c r="DW127">
        <f t="shared" si="171"/>
        <v>200</v>
      </c>
      <c r="DX127">
        <f t="shared" si="172"/>
        <v>39910</v>
      </c>
      <c r="DY127">
        <f t="shared" si="173"/>
        <v>510980</v>
      </c>
      <c r="DZ127">
        <f t="shared" si="105"/>
        <v>2400</v>
      </c>
      <c r="EA127">
        <f t="shared" si="106"/>
        <v>50000</v>
      </c>
      <c r="EB127">
        <v>0</v>
      </c>
      <c r="EC127">
        <f t="shared" si="107"/>
        <v>458580</v>
      </c>
      <c r="ED127">
        <f t="shared" si="108"/>
        <v>28000</v>
      </c>
      <c r="EE127">
        <f t="shared" si="109"/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f t="shared" si="110"/>
        <v>28000</v>
      </c>
      <c r="EQ127">
        <f t="shared" si="174"/>
        <v>28000</v>
      </c>
      <c r="ER127">
        <f t="shared" si="111"/>
        <v>430580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f t="shared" si="175"/>
        <v>0</v>
      </c>
      <c r="FA127">
        <f t="shared" si="176"/>
        <v>430580</v>
      </c>
      <c r="FB127">
        <f t="shared" si="177"/>
        <v>9029</v>
      </c>
      <c r="FC127">
        <f t="shared" si="178"/>
        <v>0</v>
      </c>
      <c r="FD127">
        <f t="shared" si="179"/>
        <v>9029</v>
      </c>
      <c r="FE127">
        <f t="shared" si="180"/>
        <v>0</v>
      </c>
      <c r="FF127">
        <f t="shared" si="181"/>
        <v>0</v>
      </c>
      <c r="FG127">
        <f t="shared" si="182"/>
        <v>0</v>
      </c>
      <c r="FH127">
        <v>0</v>
      </c>
      <c r="FI127">
        <f t="shared" si="183"/>
        <v>0</v>
      </c>
      <c r="FJ127" t="b">
        <f t="shared" si="184"/>
        <v>1</v>
      </c>
      <c r="FK127">
        <f t="shared" ca="1" si="185"/>
        <v>667</v>
      </c>
      <c r="FL127">
        <f t="shared" ca="1" si="186"/>
        <v>511647</v>
      </c>
      <c r="FM127">
        <f t="shared" si="187"/>
        <v>75000</v>
      </c>
      <c r="FN127">
        <f t="shared" ca="1" si="188"/>
        <v>436647</v>
      </c>
      <c r="FO127">
        <f t="shared" ca="1" si="189"/>
        <v>0</v>
      </c>
      <c r="FP127">
        <f t="shared" ca="1" si="190"/>
        <v>0</v>
      </c>
      <c r="FQ127">
        <f t="shared" ca="1" si="191"/>
        <v>0</v>
      </c>
      <c r="FR127">
        <f t="shared" ca="1" si="192"/>
        <v>0</v>
      </c>
      <c r="FS127">
        <f t="shared" ca="1" si="193"/>
        <v>0</v>
      </c>
      <c r="FT127">
        <f t="shared" ca="1" si="194"/>
        <v>0</v>
      </c>
      <c r="FU127">
        <f t="shared" ca="1" si="195"/>
        <v>0</v>
      </c>
      <c r="FV127">
        <f t="shared" ca="1" si="196"/>
        <v>0</v>
      </c>
      <c r="FW127">
        <f t="shared" ca="1" si="197"/>
        <v>136647</v>
      </c>
      <c r="FX127">
        <f t="shared" ca="1" si="198"/>
        <v>6832.35</v>
      </c>
      <c r="FY127">
        <f t="shared" ca="1" si="199"/>
        <v>6832</v>
      </c>
      <c r="FZ127">
        <f t="shared" ca="1" si="200"/>
        <v>0</v>
      </c>
      <c r="GA127">
        <f t="shared" ca="1" si="201"/>
        <v>0</v>
      </c>
      <c r="GB127">
        <f t="shared" ca="1" si="202"/>
        <v>6832</v>
      </c>
      <c r="GC127">
        <f t="shared" ca="1" si="203"/>
        <v>0</v>
      </c>
      <c r="GD127" t="b">
        <f t="shared" ca="1" si="204"/>
        <v>0</v>
      </c>
      <c r="GE127">
        <f t="shared" ca="1" si="205"/>
        <v>0</v>
      </c>
      <c r="GF127">
        <f t="shared" ca="1" si="206"/>
        <v>6832</v>
      </c>
      <c r="GG127">
        <f t="shared" ca="1" si="207"/>
        <v>0</v>
      </c>
      <c r="GH127">
        <f t="shared" ca="1" si="208"/>
        <v>0</v>
      </c>
      <c r="GI127">
        <f t="shared" ca="1" si="209"/>
        <v>0</v>
      </c>
    </row>
    <row r="128" spans="1:191" x14ac:dyDescent="0.25">
      <c r="A128">
        <f>_xlfn.AGGREGATE(3,5,$B$2:B128)</f>
        <v>127</v>
      </c>
      <c r="B128" t="s">
        <v>375</v>
      </c>
      <c r="C128" t="s">
        <v>376</v>
      </c>
      <c r="D128" t="s">
        <v>796</v>
      </c>
      <c r="E128" t="s">
        <v>843</v>
      </c>
      <c r="F128">
        <v>0</v>
      </c>
      <c r="G128">
        <v>6000</v>
      </c>
      <c r="H128">
        <v>26200</v>
      </c>
      <c r="I128">
        <f t="shared" si="112"/>
        <v>2620</v>
      </c>
      <c r="J128">
        <f t="shared" si="113"/>
        <v>3144</v>
      </c>
      <c r="K128">
        <v>0</v>
      </c>
      <c r="L128">
        <v>0</v>
      </c>
      <c r="M128">
        <f t="shared" si="114"/>
        <v>31964</v>
      </c>
      <c r="N128">
        <v>2000</v>
      </c>
      <c r="O128">
        <v>0</v>
      </c>
      <c r="P128">
        <f t="shared" si="115"/>
        <v>150</v>
      </c>
      <c r="Q128">
        <f t="shared" si="116"/>
        <v>29814</v>
      </c>
      <c r="R128">
        <v>26200</v>
      </c>
      <c r="S128">
        <f t="shared" si="117"/>
        <v>2620</v>
      </c>
      <c r="T128">
        <f t="shared" si="118"/>
        <v>3144</v>
      </c>
      <c r="U128">
        <v>0</v>
      </c>
      <c r="V128">
        <v>0</v>
      </c>
      <c r="W128">
        <f t="shared" si="119"/>
        <v>31964</v>
      </c>
      <c r="X128">
        <v>2000</v>
      </c>
      <c r="Y128">
        <v>0</v>
      </c>
      <c r="Z128">
        <f t="shared" si="120"/>
        <v>150</v>
      </c>
      <c r="AA128">
        <f t="shared" si="121"/>
        <v>29814</v>
      </c>
      <c r="AB128">
        <v>26200</v>
      </c>
      <c r="AC128">
        <f t="shared" si="122"/>
        <v>3668.0000000000005</v>
      </c>
      <c r="AD128">
        <f t="shared" si="123"/>
        <v>3144</v>
      </c>
      <c r="AE128">
        <v>0</v>
      </c>
      <c r="AF128">
        <v>0</v>
      </c>
      <c r="AG128">
        <f t="shared" si="124"/>
        <v>33012</v>
      </c>
      <c r="AH128">
        <v>2000</v>
      </c>
      <c r="AI128">
        <v>0</v>
      </c>
      <c r="AJ128">
        <f t="shared" si="125"/>
        <v>150</v>
      </c>
      <c r="AK128">
        <f t="shared" si="126"/>
        <v>30862</v>
      </c>
      <c r="AL128">
        <v>26200</v>
      </c>
      <c r="AM128">
        <f t="shared" si="127"/>
        <v>3668.0000000000005</v>
      </c>
      <c r="AN128">
        <f t="shared" si="128"/>
        <v>3144</v>
      </c>
      <c r="AO128">
        <v>0</v>
      </c>
      <c r="AP128">
        <v>0</v>
      </c>
      <c r="AQ128">
        <f t="shared" si="129"/>
        <v>33012</v>
      </c>
      <c r="AR128">
        <v>2000</v>
      </c>
      <c r="AS128">
        <v>0</v>
      </c>
      <c r="AT128">
        <f t="shared" si="130"/>
        <v>150</v>
      </c>
      <c r="AU128">
        <f t="shared" si="131"/>
        <v>30862</v>
      </c>
      <c r="AV128">
        <v>27000</v>
      </c>
      <c r="AW128">
        <f t="shared" si="132"/>
        <v>3780.0000000000005</v>
      </c>
      <c r="AX128">
        <f t="shared" si="133"/>
        <v>1048</v>
      </c>
      <c r="AY128">
        <f t="shared" si="134"/>
        <v>3240</v>
      </c>
      <c r="AZ128">
        <v>0</v>
      </c>
      <c r="BA128">
        <v>0</v>
      </c>
      <c r="BB128">
        <f t="shared" si="135"/>
        <v>35068</v>
      </c>
      <c r="BC128">
        <v>2000</v>
      </c>
      <c r="BD128">
        <v>0</v>
      </c>
      <c r="BE128">
        <f t="shared" si="136"/>
        <v>150</v>
      </c>
      <c r="BF128">
        <f t="shared" si="137"/>
        <v>32918</v>
      </c>
      <c r="BG128">
        <v>27000</v>
      </c>
      <c r="BH128">
        <f t="shared" si="138"/>
        <v>3780.0000000000005</v>
      </c>
      <c r="BI128">
        <f t="shared" si="139"/>
        <v>3240</v>
      </c>
      <c r="BJ128">
        <v>0</v>
      </c>
      <c r="BK128">
        <v>0</v>
      </c>
      <c r="BL128">
        <f t="shared" si="140"/>
        <v>34020</v>
      </c>
      <c r="BM128">
        <v>2000</v>
      </c>
      <c r="BN128">
        <v>0</v>
      </c>
      <c r="BO128">
        <f t="shared" si="141"/>
        <v>150</v>
      </c>
      <c r="BP128">
        <f t="shared" si="142"/>
        <v>31870</v>
      </c>
      <c r="BQ128">
        <v>27000</v>
      </c>
      <c r="BR128">
        <f t="shared" si="143"/>
        <v>3780.0000000000005</v>
      </c>
      <c r="BS128">
        <f t="shared" si="144"/>
        <v>3240</v>
      </c>
      <c r="BT128">
        <v>0</v>
      </c>
      <c r="BU128">
        <v>0</v>
      </c>
      <c r="BV128">
        <f t="shared" si="145"/>
        <v>34020</v>
      </c>
      <c r="BW128">
        <v>2000</v>
      </c>
      <c r="BX128">
        <v>0</v>
      </c>
      <c r="BY128">
        <f t="shared" si="146"/>
        <v>150</v>
      </c>
      <c r="BZ128">
        <f t="shared" si="147"/>
        <v>31870</v>
      </c>
      <c r="CA128">
        <v>27000</v>
      </c>
      <c r="CB128">
        <f t="shared" si="148"/>
        <v>3780.0000000000005</v>
      </c>
      <c r="CC128">
        <f t="shared" si="149"/>
        <v>3240</v>
      </c>
      <c r="CD128">
        <v>0</v>
      </c>
      <c r="CE128">
        <v>0</v>
      </c>
      <c r="CF128">
        <f t="shared" si="150"/>
        <v>34020</v>
      </c>
      <c r="CG128">
        <v>2000</v>
      </c>
      <c r="CH128">
        <v>0</v>
      </c>
      <c r="CI128">
        <f t="shared" si="151"/>
        <v>150</v>
      </c>
      <c r="CJ128">
        <f t="shared" si="152"/>
        <v>31870</v>
      </c>
      <c r="CK128">
        <v>27000</v>
      </c>
      <c r="CL128">
        <f t="shared" si="153"/>
        <v>3780.0000000000005</v>
      </c>
      <c r="CM128">
        <f t="shared" si="154"/>
        <v>3240</v>
      </c>
      <c r="CN128">
        <v>0</v>
      </c>
      <c r="CO128">
        <v>0</v>
      </c>
      <c r="CP128">
        <f t="shared" si="155"/>
        <v>34020</v>
      </c>
      <c r="CQ128">
        <v>2000</v>
      </c>
      <c r="CR128">
        <v>0</v>
      </c>
      <c r="CS128">
        <f t="shared" si="156"/>
        <v>150</v>
      </c>
      <c r="CT128">
        <f t="shared" si="157"/>
        <v>31870</v>
      </c>
      <c r="CU128">
        <v>27000</v>
      </c>
      <c r="CV128">
        <f t="shared" si="158"/>
        <v>3780</v>
      </c>
      <c r="CW128">
        <f t="shared" si="159"/>
        <v>3240</v>
      </c>
      <c r="CX128">
        <v>0</v>
      </c>
      <c r="CY128">
        <v>0</v>
      </c>
      <c r="CZ128">
        <f t="shared" si="160"/>
        <v>34020</v>
      </c>
      <c r="DA128">
        <v>2000</v>
      </c>
      <c r="DB128">
        <v>0</v>
      </c>
      <c r="DC128">
        <f t="shared" si="161"/>
        <v>150</v>
      </c>
      <c r="DD128">
        <f t="shared" si="162"/>
        <v>31870</v>
      </c>
      <c r="DE128">
        <v>27000</v>
      </c>
      <c r="DF128">
        <f t="shared" si="163"/>
        <v>3780.0000000000005</v>
      </c>
      <c r="DG128">
        <f t="shared" si="164"/>
        <v>3240</v>
      </c>
      <c r="DH128">
        <v>0</v>
      </c>
      <c r="DI128">
        <v>0</v>
      </c>
      <c r="DJ128">
        <f t="shared" si="165"/>
        <v>34020</v>
      </c>
      <c r="DK128">
        <v>2000</v>
      </c>
      <c r="DL128">
        <v>0</v>
      </c>
      <c r="DM128">
        <f t="shared" si="166"/>
        <v>150</v>
      </c>
      <c r="DN128">
        <f t="shared" si="167"/>
        <v>31870</v>
      </c>
      <c r="DO128">
        <v>27000</v>
      </c>
      <c r="DP128">
        <f t="shared" si="168"/>
        <v>3780.0000000000005</v>
      </c>
      <c r="DQ128">
        <f t="shared" si="169"/>
        <v>3240</v>
      </c>
      <c r="DR128">
        <v>0</v>
      </c>
      <c r="DS128">
        <v>0</v>
      </c>
      <c r="DT128">
        <f t="shared" si="170"/>
        <v>34020</v>
      </c>
      <c r="DU128">
        <v>2000</v>
      </c>
      <c r="DV128">
        <v>0</v>
      </c>
      <c r="DW128">
        <f t="shared" si="171"/>
        <v>150</v>
      </c>
      <c r="DX128">
        <f t="shared" si="172"/>
        <v>31870</v>
      </c>
      <c r="DY128">
        <f t="shared" si="173"/>
        <v>409160</v>
      </c>
      <c r="DZ128">
        <f t="shared" si="105"/>
        <v>1800</v>
      </c>
      <c r="EA128">
        <f t="shared" si="106"/>
        <v>50000</v>
      </c>
      <c r="EB128">
        <v>0</v>
      </c>
      <c r="EC128">
        <f t="shared" si="107"/>
        <v>357360</v>
      </c>
      <c r="ED128">
        <f t="shared" si="108"/>
        <v>24000</v>
      </c>
      <c r="EE128">
        <f t="shared" si="109"/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f t="shared" si="110"/>
        <v>24000</v>
      </c>
      <c r="EQ128">
        <f t="shared" si="174"/>
        <v>24000</v>
      </c>
      <c r="ER128">
        <f t="shared" si="111"/>
        <v>333360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f t="shared" si="175"/>
        <v>0</v>
      </c>
      <c r="FA128">
        <f t="shared" si="176"/>
        <v>333360</v>
      </c>
      <c r="FB128">
        <f t="shared" si="177"/>
        <v>4168</v>
      </c>
      <c r="FC128">
        <f t="shared" si="178"/>
        <v>0</v>
      </c>
      <c r="FD128">
        <f t="shared" si="179"/>
        <v>4168</v>
      </c>
      <c r="FE128">
        <f t="shared" si="180"/>
        <v>0</v>
      </c>
      <c r="FF128">
        <f t="shared" si="181"/>
        <v>0</v>
      </c>
      <c r="FG128">
        <f t="shared" si="182"/>
        <v>0</v>
      </c>
      <c r="FH128">
        <v>0</v>
      </c>
      <c r="FI128">
        <f t="shared" si="183"/>
        <v>0</v>
      </c>
      <c r="FJ128" t="b">
        <f t="shared" si="184"/>
        <v>0</v>
      </c>
      <c r="FK128">
        <f t="shared" ca="1" si="185"/>
        <v>2658</v>
      </c>
      <c r="FL128">
        <f t="shared" ca="1" si="186"/>
        <v>411818</v>
      </c>
      <c r="FM128">
        <f t="shared" si="187"/>
        <v>75000</v>
      </c>
      <c r="FN128">
        <f t="shared" ca="1" si="188"/>
        <v>336818</v>
      </c>
      <c r="FO128">
        <f t="shared" ca="1" si="189"/>
        <v>0</v>
      </c>
      <c r="FP128">
        <f t="shared" ca="1" si="190"/>
        <v>0</v>
      </c>
      <c r="FQ128">
        <f t="shared" ca="1" si="191"/>
        <v>0</v>
      </c>
      <c r="FR128">
        <f t="shared" ca="1" si="192"/>
        <v>0</v>
      </c>
      <c r="FS128">
        <f t="shared" ca="1" si="193"/>
        <v>0</v>
      </c>
      <c r="FT128">
        <f t="shared" ca="1" si="194"/>
        <v>0</v>
      </c>
      <c r="FU128">
        <f t="shared" ca="1" si="195"/>
        <v>0</v>
      </c>
      <c r="FV128">
        <f t="shared" ca="1" si="196"/>
        <v>0</v>
      </c>
      <c r="FW128">
        <f t="shared" ca="1" si="197"/>
        <v>36818</v>
      </c>
      <c r="FX128">
        <f t="shared" ca="1" si="198"/>
        <v>1840.9</v>
      </c>
      <c r="FY128">
        <f t="shared" ca="1" si="199"/>
        <v>1841</v>
      </c>
      <c r="FZ128">
        <f t="shared" ca="1" si="200"/>
        <v>0</v>
      </c>
      <c r="GA128">
        <f t="shared" ca="1" si="201"/>
        <v>0</v>
      </c>
      <c r="GB128">
        <f t="shared" ca="1" si="202"/>
        <v>1841</v>
      </c>
      <c r="GC128">
        <f t="shared" ca="1" si="203"/>
        <v>0</v>
      </c>
      <c r="GD128" t="b">
        <f t="shared" ca="1" si="204"/>
        <v>0</v>
      </c>
      <c r="GE128">
        <f t="shared" ca="1" si="205"/>
        <v>0</v>
      </c>
      <c r="GF128">
        <f t="shared" ca="1" si="206"/>
        <v>1841</v>
      </c>
      <c r="GG128">
        <f t="shared" ca="1" si="207"/>
        <v>0</v>
      </c>
      <c r="GH128">
        <f t="shared" ca="1" si="208"/>
        <v>0</v>
      </c>
      <c r="GI128">
        <f t="shared" ca="1" si="209"/>
        <v>0</v>
      </c>
    </row>
    <row r="129" spans="1:191" x14ac:dyDescent="0.25">
      <c r="A129">
        <f>_xlfn.AGGREGATE(3,5,$B$2:B129)</f>
        <v>128</v>
      </c>
      <c r="B129" t="s">
        <v>377</v>
      </c>
      <c r="C129" t="s">
        <v>378</v>
      </c>
      <c r="D129" t="s">
        <v>796</v>
      </c>
      <c r="E129" t="s">
        <v>843</v>
      </c>
      <c r="F129">
        <v>0</v>
      </c>
      <c r="G129">
        <v>0</v>
      </c>
      <c r="H129">
        <v>0</v>
      </c>
      <c r="I129">
        <f t="shared" si="112"/>
        <v>0</v>
      </c>
      <c r="J129">
        <f t="shared" si="113"/>
        <v>0</v>
      </c>
      <c r="K129">
        <v>0</v>
      </c>
      <c r="L129">
        <v>0</v>
      </c>
      <c r="M129">
        <f t="shared" si="114"/>
        <v>0</v>
      </c>
      <c r="N129">
        <v>0</v>
      </c>
      <c r="O129">
        <v>0</v>
      </c>
      <c r="P129">
        <f t="shared" si="115"/>
        <v>0</v>
      </c>
      <c r="Q129">
        <f t="shared" si="116"/>
        <v>0</v>
      </c>
      <c r="R129">
        <v>28900</v>
      </c>
      <c r="S129">
        <f t="shared" si="117"/>
        <v>2890</v>
      </c>
      <c r="T129">
        <f t="shared" si="118"/>
        <v>3468</v>
      </c>
      <c r="U129">
        <v>0</v>
      </c>
      <c r="V129">
        <v>500</v>
      </c>
      <c r="W129">
        <f t="shared" si="119"/>
        <v>35758</v>
      </c>
      <c r="X129">
        <v>0</v>
      </c>
      <c r="Y129">
        <v>0</v>
      </c>
      <c r="Z129">
        <f t="shared" si="120"/>
        <v>150</v>
      </c>
      <c r="AA129">
        <f t="shared" si="121"/>
        <v>35608</v>
      </c>
      <c r="AB129">
        <v>28900</v>
      </c>
      <c r="AC129">
        <f t="shared" si="122"/>
        <v>4046.0000000000005</v>
      </c>
      <c r="AD129">
        <f t="shared" si="123"/>
        <v>3468</v>
      </c>
      <c r="AE129">
        <v>0</v>
      </c>
      <c r="AF129">
        <v>500</v>
      </c>
      <c r="AG129">
        <f t="shared" si="124"/>
        <v>36914</v>
      </c>
      <c r="AH129">
        <v>0</v>
      </c>
      <c r="AI129">
        <v>0</v>
      </c>
      <c r="AJ129">
        <f t="shared" si="125"/>
        <v>150</v>
      </c>
      <c r="AK129">
        <f t="shared" si="126"/>
        <v>36764</v>
      </c>
      <c r="AL129">
        <v>28900</v>
      </c>
      <c r="AM129">
        <f t="shared" si="127"/>
        <v>4046.0000000000005</v>
      </c>
      <c r="AN129">
        <f t="shared" si="128"/>
        <v>3468</v>
      </c>
      <c r="AO129">
        <v>0</v>
      </c>
      <c r="AP129">
        <v>500</v>
      </c>
      <c r="AQ129">
        <f t="shared" si="129"/>
        <v>36914</v>
      </c>
      <c r="AR129">
        <v>0</v>
      </c>
      <c r="AS129">
        <v>0</v>
      </c>
      <c r="AT129">
        <f t="shared" si="130"/>
        <v>150</v>
      </c>
      <c r="AU129">
        <f t="shared" si="131"/>
        <v>36764</v>
      </c>
      <c r="AV129">
        <v>28900</v>
      </c>
      <c r="AW129">
        <f t="shared" si="132"/>
        <v>4046.0000000000005</v>
      </c>
      <c r="AX129">
        <f t="shared" si="133"/>
        <v>1156</v>
      </c>
      <c r="AY129">
        <f t="shared" si="134"/>
        <v>3468</v>
      </c>
      <c r="AZ129">
        <v>0</v>
      </c>
      <c r="BA129">
        <v>500</v>
      </c>
      <c r="BB129">
        <f t="shared" si="135"/>
        <v>38070</v>
      </c>
      <c r="BC129">
        <v>0</v>
      </c>
      <c r="BD129">
        <v>0</v>
      </c>
      <c r="BE129">
        <f t="shared" si="136"/>
        <v>150</v>
      </c>
      <c r="BF129">
        <f t="shared" si="137"/>
        <v>37920</v>
      </c>
      <c r="BG129">
        <v>28900</v>
      </c>
      <c r="BH129">
        <f t="shared" si="138"/>
        <v>4046.0000000000005</v>
      </c>
      <c r="BI129">
        <f t="shared" si="139"/>
        <v>3468</v>
      </c>
      <c r="BJ129">
        <v>0</v>
      </c>
      <c r="BK129">
        <v>500</v>
      </c>
      <c r="BL129">
        <f t="shared" si="140"/>
        <v>36914</v>
      </c>
      <c r="BM129">
        <v>0</v>
      </c>
      <c r="BN129">
        <v>0</v>
      </c>
      <c r="BO129">
        <f t="shared" si="141"/>
        <v>150</v>
      </c>
      <c r="BP129">
        <f t="shared" si="142"/>
        <v>36764</v>
      </c>
      <c r="BQ129">
        <v>28900</v>
      </c>
      <c r="BR129">
        <f t="shared" si="143"/>
        <v>4046.0000000000005</v>
      </c>
      <c r="BS129">
        <f t="shared" si="144"/>
        <v>3468</v>
      </c>
      <c r="BT129">
        <v>0</v>
      </c>
      <c r="BU129">
        <v>500</v>
      </c>
      <c r="BV129">
        <f t="shared" si="145"/>
        <v>36914</v>
      </c>
      <c r="BW129">
        <v>0</v>
      </c>
      <c r="BX129">
        <v>0</v>
      </c>
      <c r="BY129">
        <f t="shared" si="146"/>
        <v>150</v>
      </c>
      <c r="BZ129">
        <f t="shared" si="147"/>
        <v>36764</v>
      </c>
      <c r="CA129">
        <v>28900</v>
      </c>
      <c r="CB129">
        <f t="shared" si="148"/>
        <v>4046.0000000000005</v>
      </c>
      <c r="CC129">
        <f t="shared" si="149"/>
        <v>3468</v>
      </c>
      <c r="CD129">
        <v>0</v>
      </c>
      <c r="CE129">
        <v>500</v>
      </c>
      <c r="CF129">
        <f t="shared" si="150"/>
        <v>36914</v>
      </c>
      <c r="CG129">
        <v>0</v>
      </c>
      <c r="CH129">
        <v>0</v>
      </c>
      <c r="CI129">
        <f t="shared" si="151"/>
        <v>150</v>
      </c>
      <c r="CJ129">
        <f t="shared" si="152"/>
        <v>36764</v>
      </c>
      <c r="CK129">
        <v>28900</v>
      </c>
      <c r="CL129">
        <f t="shared" si="153"/>
        <v>4046.0000000000005</v>
      </c>
      <c r="CM129">
        <f t="shared" si="154"/>
        <v>3468</v>
      </c>
      <c r="CN129">
        <v>0</v>
      </c>
      <c r="CO129">
        <v>500</v>
      </c>
      <c r="CP129">
        <f t="shared" si="155"/>
        <v>36914</v>
      </c>
      <c r="CQ129">
        <v>0</v>
      </c>
      <c r="CR129">
        <v>0</v>
      </c>
      <c r="CS129">
        <f t="shared" si="156"/>
        <v>150</v>
      </c>
      <c r="CT129">
        <f t="shared" si="157"/>
        <v>36764</v>
      </c>
      <c r="CU129">
        <v>28900</v>
      </c>
      <c r="CV129">
        <f t="shared" si="158"/>
        <v>4046</v>
      </c>
      <c r="CW129">
        <f t="shared" si="159"/>
        <v>3468</v>
      </c>
      <c r="CX129">
        <v>0</v>
      </c>
      <c r="CY129">
        <v>500</v>
      </c>
      <c r="CZ129">
        <f t="shared" si="160"/>
        <v>36914</v>
      </c>
      <c r="DA129">
        <v>0</v>
      </c>
      <c r="DB129">
        <v>0</v>
      </c>
      <c r="DC129">
        <f t="shared" si="161"/>
        <v>150</v>
      </c>
      <c r="DD129">
        <f t="shared" si="162"/>
        <v>36764</v>
      </c>
      <c r="DE129">
        <v>28900</v>
      </c>
      <c r="DF129">
        <f t="shared" si="163"/>
        <v>4046.0000000000005</v>
      </c>
      <c r="DG129">
        <f t="shared" si="164"/>
        <v>3468</v>
      </c>
      <c r="DH129">
        <v>0</v>
      </c>
      <c r="DI129">
        <v>500</v>
      </c>
      <c r="DJ129">
        <f t="shared" si="165"/>
        <v>36914</v>
      </c>
      <c r="DK129">
        <v>0</v>
      </c>
      <c r="DL129">
        <v>0</v>
      </c>
      <c r="DM129">
        <f t="shared" si="166"/>
        <v>150</v>
      </c>
      <c r="DN129">
        <f t="shared" si="167"/>
        <v>36764</v>
      </c>
      <c r="DO129">
        <v>28900</v>
      </c>
      <c r="DP129">
        <f t="shared" si="168"/>
        <v>4046.0000000000005</v>
      </c>
      <c r="DQ129">
        <f t="shared" si="169"/>
        <v>3468</v>
      </c>
      <c r="DR129">
        <v>0</v>
      </c>
      <c r="DS129">
        <v>500</v>
      </c>
      <c r="DT129">
        <f t="shared" si="170"/>
        <v>36914</v>
      </c>
      <c r="DU129">
        <v>0</v>
      </c>
      <c r="DV129">
        <v>0</v>
      </c>
      <c r="DW129">
        <f t="shared" si="171"/>
        <v>150</v>
      </c>
      <c r="DX129">
        <f t="shared" si="172"/>
        <v>36764</v>
      </c>
      <c r="DY129">
        <f t="shared" si="173"/>
        <v>406054</v>
      </c>
      <c r="DZ129">
        <f t="shared" si="105"/>
        <v>1650</v>
      </c>
      <c r="EA129">
        <f t="shared" si="106"/>
        <v>50000</v>
      </c>
      <c r="EB129">
        <v>0</v>
      </c>
      <c r="EC129">
        <f t="shared" si="107"/>
        <v>354404</v>
      </c>
      <c r="ED129">
        <f t="shared" si="108"/>
        <v>0</v>
      </c>
      <c r="EE129">
        <f t="shared" si="109"/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f t="shared" si="110"/>
        <v>0</v>
      </c>
      <c r="EQ129">
        <f t="shared" si="174"/>
        <v>0</v>
      </c>
      <c r="ER129">
        <f t="shared" si="111"/>
        <v>354404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f t="shared" si="175"/>
        <v>0</v>
      </c>
      <c r="FA129">
        <f t="shared" si="176"/>
        <v>354404</v>
      </c>
      <c r="FB129">
        <f t="shared" si="177"/>
        <v>5220</v>
      </c>
      <c r="FC129">
        <f t="shared" si="178"/>
        <v>0</v>
      </c>
      <c r="FD129">
        <f t="shared" si="179"/>
        <v>5220</v>
      </c>
      <c r="FE129">
        <f t="shared" si="180"/>
        <v>0</v>
      </c>
      <c r="FF129">
        <f t="shared" si="181"/>
        <v>0</v>
      </c>
      <c r="FG129">
        <f t="shared" si="182"/>
        <v>0</v>
      </c>
      <c r="FH129">
        <v>0</v>
      </c>
      <c r="FI129">
        <f t="shared" si="183"/>
        <v>0</v>
      </c>
      <c r="FJ129" t="b">
        <f t="shared" si="184"/>
        <v>0</v>
      </c>
      <c r="FK129">
        <f t="shared" ca="1" si="185"/>
        <v>1614</v>
      </c>
      <c r="FL129">
        <f t="shared" ca="1" si="186"/>
        <v>407668</v>
      </c>
      <c r="FM129">
        <f t="shared" si="187"/>
        <v>75000</v>
      </c>
      <c r="FN129">
        <f t="shared" ca="1" si="188"/>
        <v>332668</v>
      </c>
      <c r="FO129">
        <f t="shared" ca="1" si="189"/>
        <v>0</v>
      </c>
      <c r="FP129">
        <f t="shared" ca="1" si="190"/>
        <v>0</v>
      </c>
      <c r="FQ129">
        <f t="shared" ca="1" si="191"/>
        <v>0</v>
      </c>
      <c r="FR129">
        <f t="shared" ca="1" si="192"/>
        <v>0</v>
      </c>
      <c r="FS129">
        <f t="shared" ca="1" si="193"/>
        <v>0</v>
      </c>
      <c r="FT129">
        <f t="shared" ca="1" si="194"/>
        <v>0</v>
      </c>
      <c r="FU129">
        <f t="shared" ca="1" si="195"/>
        <v>0</v>
      </c>
      <c r="FV129">
        <f t="shared" ca="1" si="196"/>
        <v>0</v>
      </c>
      <c r="FW129">
        <f t="shared" ca="1" si="197"/>
        <v>32668</v>
      </c>
      <c r="FX129">
        <f t="shared" ca="1" si="198"/>
        <v>1633.4</v>
      </c>
      <c r="FY129">
        <f t="shared" ca="1" si="199"/>
        <v>1633</v>
      </c>
      <c r="FZ129">
        <f t="shared" ca="1" si="200"/>
        <v>0</v>
      </c>
      <c r="GA129">
        <f t="shared" ca="1" si="201"/>
        <v>0</v>
      </c>
      <c r="GB129">
        <f t="shared" ca="1" si="202"/>
        <v>1633</v>
      </c>
      <c r="GC129">
        <f t="shared" ca="1" si="203"/>
        <v>0</v>
      </c>
      <c r="GD129" t="b">
        <f t="shared" ca="1" si="204"/>
        <v>0</v>
      </c>
      <c r="GE129">
        <f t="shared" ca="1" si="205"/>
        <v>0</v>
      </c>
      <c r="GF129">
        <f t="shared" ca="1" si="206"/>
        <v>1633</v>
      </c>
      <c r="GG129">
        <f t="shared" ca="1" si="207"/>
        <v>0</v>
      </c>
      <c r="GH129">
        <f t="shared" ca="1" si="208"/>
        <v>0</v>
      </c>
      <c r="GI129">
        <f t="shared" ca="1" si="209"/>
        <v>0</v>
      </c>
    </row>
    <row r="130" spans="1:191" x14ac:dyDescent="0.25">
      <c r="A130">
        <f>_xlfn.AGGREGATE(3,5,$B$2:B130)</f>
        <v>129</v>
      </c>
      <c r="B130" t="s">
        <v>379</v>
      </c>
      <c r="C130" t="s">
        <v>380</v>
      </c>
      <c r="D130" t="s">
        <v>797</v>
      </c>
      <c r="E130" t="s">
        <v>844</v>
      </c>
      <c r="F130">
        <v>0</v>
      </c>
      <c r="G130">
        <v>0</v>
      </c>
      <c r="H130">
        <v>50200</v>
      </c>
      <c r="I130">
        <f t="shared" si="112"/>
        <v>5020</v>
      </c>
      <c r="J130">
        <f t="shared" si="113"/>
        <v>6024</v>
      </c>
      <c r="K130">
        <v>400</v>
      </c>
      <c r="L130">
        <v>500</v>
      </c>
      <c r="M130">
        <f t="shared" si="114"/>
        <v>62144</v>
      </c>
      <c r="N130">
        <v>5000</v>
      </c>
      <c r="O130">
        <v>0</v>
      </c>
      <c r="P130">
        <f t="shared" si="115"/>
        <v>200</v>
      </c>
      <c r="Q130">
        <f t="shared" si="116"/>
        <v>56944</v>
      </c>
      <c r="R130">
        <v>50200</v>
      </c>
      <c r="S130">
        <f t="shared" si="117"/>
        <v>5020</v>
      </c>
      <c r="T130">
        <f t="shared" si="118"/>
        <v>6024</v>
      </c>
      <c r="U130">
        <v>400</v>
      </c>
      <c r="V130">
        <v>500</v>
      </c>
      <c r="W130">
        <f t="shared" si="119"/>
        <v>62144</v>
      </c>
      <c r="X130">
        <v>5000</v>
      </c>
      <c r="Y130">
        <v>0</v>
      </c>
      <c r="Z130">
        <f t="shared" si="120"/>
        <v>200</v>
      </c>
      <c r="AA130">
        <f t="shared" si="121"/>
        <v>56944</v>
      </c>
      <c r="AB130">
        <v>50200</v>
      </c>
      <c r="AC130">
        <f t="shared" si="122"/>
        <v>7028.0000000000009</v>
      </c>
      <c r="AD130">
        <f t="shared" si="123"/>
        <v>6024</v>
      </c>
      <c r="AE130">
        <v>400</v>
      </c>
      <c r="AF130">
        <v>500</v>
      </c>
      <c r="AG130">
        <f t="shared" si="124"/>
        <v>64152</v>
      </c>
      <c r="AH130">
        <v>5000</v>
      </c>
      <c r="AI130">
        <v>0</v>
      </c>
      <c r="AJ130">
        <f t="shared" si="125"/>
        <v>200</v>
      </c>
      <c r="AK130">
        <f t="shared" si="126"/>
        <v>58952</v>
      </c>
      <c r="AL130">
        <v>50200</v>
      </c>
      <c r="AM130">
        <f t="shared" si="127"/>
        <v>7028.0000000000009</v>
      </c>
      <c r="AN130">
        <f t="shared" si="128"/>
        <v>6024</v>
      </c>
      <c r="AO130">
        <v>400</v>
      </c>
      <c r="AP130">
        <v>500</v>
      </c>
      <c r="AQ130">
        <f t="shared" si="129"/>
        <v>64152</v>
      </c>
      <c r="AR130">
        <v>5000</v>
      </c>
      <c r="AS130">
        <v>0</v>
      </c>
      <c r="AT130">
        <f t="shared" si="130"/>
        <v>200</v>
      </c>
      <c r="AU130">
        <f t="shared" si="131"/>
        <v>58952</v>
      </c>
      <c r="AV130">
        <v>51700</v>
      </c>
      <c r="AW130">
        <f t="shared" si="132"/>
        <v>7238.0000000000009</v>
      </c>
      <c r="AX130">
        <f t="shared" si="133"/>
        <v>2008</v>
      </c>
      <c r="AY130">
        <f t="shared" si="134"/>
        <v>6204</v>
      </c>
      <c r="AZ130">
        <v>400</v>
      </c>
      <c r="BA130">
        <v>500</v>
      </c>
      <c r="BB130">
        <f t="shared" si="135"/>
        <v>68050</v>
      </c>
      <c r="BC130">
        <v>5000</v>
      </c>
      <c r="BD130">
        <v>0</v>
      </c>
      <c r="BE130">
        <f t="shared" si="136"/>
        <v>200</v>
      </c>
      <c r="BF130">
        <f t="shared" si="137"/>
        <v>62850</v>
      </c>
      <c r="BG130">
        <v>51700</v>
      </c>
      <c r="BH130">
        <f t="shared" si="138"/>
        <v>7238.0000000000009</v>
      </c>
      <c r="BI130">
        <f t="shared" si="139"/>
        <v>6204</v>
      </c>
      <c r="BJ130">
        <v>400</v>
      </c>
      <c r="BK130">
        <v>500</v>
      </c>
      <c r="BL130">
        <f t="shared" si="140"/>
        <v>66042</v>
      </c>
      <c r="BM130">
        <v>5000</v>
      </c>
      <c r="BN130">
        <v>0</v>
      </c>
      <c r="BO130">
        <f t="shared" si="141"/>
        <v>200</v>
      </c>
      <c r="BP130">
        <f t="shared" si="142"/>
        <v>60842</v>
      </c>
      <c r="BQ130">
        <v>51700</v>
      </c>
      <c r="BR130">
        <f t="shared" si="143"/>
        <v>7238.0000000000009</v>
      </c>
      <c r="BS130">
        <f t="shared" si="144"/>
        <v>6204</v>
      </c>
      <c r="BT130">
        <v>400</v>
      </c>
      <c r="BU130">
        <v>500</v>
      </c>
      <c r="BV130">
        <f t="shared" si="145"/>
        <v>66042</v>
      </c>
      <c r="BW130">
        <v>5000</v>
      </c>
      <c r="BX130">
        <v>0</v>
      </c>
      <c r="BY130">
        <f t="shared" si="146"/>
        <v>200</v>
      </c>
      <c r="BZ130">
        <f t="shared" si="147"/>
        <v>60842</v>
      </c>
      <c r="CA130">
        <v>51700</v>
      </c>
      <c r="CB130">
        <f t="shared" si="148"/>
        <v>7238.0000000000009</v>
      </c>
      <c r="CC130">
        <f t="shared" si="149"/>
        <v>6204</v>
      </c>
      <c r="CD130">
        <v>400</v>
      </c>
      <c r="CE130">
        <v>500</v>
      </c>
      <c r="CF130">
        <f t="shared" si="150"/>
        <v>66042</v>
      </c>
      <c r="CG130">
        <v>5000</v>
      </c>
      <c r="CH130">
        <v>0</v>
      </c>
      <c r="CI130">
        <f t="shared" si="151"/>
        <v>200</v>
      </c>
      <c r="CJ130">
        <f t="shared" si="152"/>
        <v>60842</v>
      </c>
      <c r="CK130">
        <v>51700</v>
      </c>
      <c r="CL130">
        <f t="shared" si="153"/>
        <v>7238.0000000000009</v>
      </c>
      <c r="CM130">
        <f t="shared" si="154"/>
        <v>6204</v>
      </c>
      <c r="CN130">
        <v>400</v>
      </c>
      <c r="CO130">
        <v>500</v>
      </c>
      <c r="CP130">
        <f t="shared" si="155"/>
        <v>66042</v>
      </c>
      <c r="CQ130">
        <v>5000</v>
      </c>
      <c r="CR130">
        <v>0</v>
      </c>
      <c r="CS130">
        <f t="shared" si="156"/>
        <v>200</v>
      </c>
      <c r="CT130">
        <f t="shared" si="157"/>
        <v>60842</v>
      </c>
      <c r="CU130">
        <v>51700</v>
      </c>
      <c r="CV130">
        <f t="shared" si="158"/>
        <v>7238</v>
      </c>
      <c r="CW130">
        <f t="shared" si="159"/>
        <v>6204</v>
      </c>
      <c r="CX130">
        <v>400</v>
      </c>
      <c r="CY130">
        <v>500</v>
      </c>
      <c r="CZ130">
        <f t="shared" si="160"/>
        <v>66042</v>
      </c>
      <c r="DA130">
        <v>5000</v>
      </c>
      <c r="DB130">
        <v>0</v>
      </c>
      <c r="DC130">
        <f t="shared" si="161"/>
        <v>200</v>
      </c>
      <c r="DD130">
        <f t="shared" si="162"/>
        <v>60842</v>
      </c>
      <c r="DE130">
        <v>51700</v>
      </c>
      <c r="DF130">
        <f t="shared" si="163"/>
        <v>7238.0000000000009</v>
      </c>
      <c r="DG130">
        <f t="shared" si="164"/>
        <v>6204</v>
      </c>
      <c r="DH130">
        <v>400</v>
      </c>
      <c r="DI130">
        <v>500</v>
      </c>
      <c r="DJ130">
        <f t="shared" si="165"/>
        <v>66042</v>
      </c>
      <c r="DK130">
        <v>5000</v>
      </c>
      <c r="DL130">
        <v>0</v>
      </c>
      <c r="DM130">
        <f t="shared" si="166"/>
        <v>200</v>
      </c>
      <c r="DN130">
        <f t="shared" si="167"/>
        <v>60842</v>
      </c>
      <c r="DO130">
        <v>51700</v>
      </c>
      <c r="DP130">
        <f t="shared" si="168"/>
        <v>7238.0000000000009</v>
      </c>
      <c r="DQ130">
        <f t="shared" si="169"/>
        <v>6204</v>
      </c>
      <c r="DR130">
        <v>400</v>
      </c>
      <c r="DS130">
        <v>500</v>
      </c>
      <c r="DT130">
        <f t="shared" si="170"/>
        <v>66042</v>
      </c>
      <c r="DU130">
        <v>5000</v>
      </c>
      <c r="DV130">
        <v>0</v>
      </c>
      <c r="DW130">
        <f t="shared" si="171"/>
        <v>200</v>
      </c>
      <c r="DX130">
        <f t="shared" si="172"/>
        <v>60842</v>
      </c>
      <c r="DY130">
        <f t="shared" si="173"/>
        <v>782936</v>
      </c>
      <c r="DZ130">
        <f t="shared" ref="DZ130:DZ193" si="315">DW130+DM130+DC130+CS130+CI130+BY130+BO130+BE130+AT130+AJ130+Z130+P130</f>
        <v>2400</v>
      </c>
      <c r="EA130">
        <f t="shared" ref="EA130:EA193" si="316">IF(DY130&gt;0,50000,0)</f>
        <v>50000</v>
      </c>
      <c r="EB130">
        <v>0</v>
      </c>
      <c r="EC130">
        <f t="shared" ref="EC130:EC193" si="317">DY130-DZ130-EA130</f>
        <v>730536</v>
      </c>
      <c r="ED130">
        <f t="shared" ref="ED130:ED193" si="318">DU130+DK130+DA130+CQ130+CG130+BW130+BM130+BC130+AR130+AH130+X130+N130</f>
        <v>60000</v>
      </c>
      <c r="EE130">
        <f t="shared" ref="EE130:EE193" si="319">DV130+DL130+DB130+CR130+CH130+BX130+BN130+BD130+AS130+AI130+Y130+O130</f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f t="shared" ref="EP130:EP193" si="320">SUM(ED130:EO130)</f>
        <v>60000</v>
      </c>
      <c r="EQ130">
        <f t="shared" si="174"/>
        <v>60000</v>
      </c>
      <c r="ER130">
        <f t="shared" ref="ER130:ER193" si="321">EC130-EQ130</f>
        <v>670536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f t="shared" si="175"/>
        <v>0</v>
      </c>
      <c r="FA130">
        <f t="shared" si="176"/>
        <v>670536</v>
      </c>
      <c r="FB130">
        <f t="shared" si="177"/>
        <v>12500</v>
      </c>
      <c r="FC130">
        <f t="shared" si="178"/>
        <v>34107</v>
      </c>
      <c r="FD130">
        <f t="shared" si="179"/>
        <v>46607</v>
      </c>
      <c r="FE130">
        <f t="shared" si="180"/>
        <v>46607</v>
      </c>
      <c r="FF130">
        <f t="shared" si="181"/>
        <v>1864.28</v>
      </c>
      <c r="FG130">
        <f t="shared" si="182"/>
        <v>48471</v>
      </c>
      <c r="FH130">
        <v>0</v>
      </c>
      <c r="FI130">
        <f t="shared" si="183"/>
        <v>48471</v>
      </c>
      <c r="FJ130" t="b">
        <f t="shared" si="184"/>
        <v>1</v>
      </c>
      <c r="FK130">
        <f t="shared" ca="1" si="185"/>
        <v>971</v>
      </c>
      <c r="FL130">
        <f t="shared" ca="1" si="186"/>
        <v>783907</v>
      </c>
      <c r="FM130">
        <f t="shared" si="187"/>
        <v>75000</v>
      </c>
      <c r="FN130">
        <f t="shared" ca="1" si="188"/>
        <v>708907</v>
      </c>
      <c r="FO130">
        <f t="shared" ca="1" si="189"/>
        <v>0</v>
      </c>
      <c r="FP130">
        <f t="shared" ca="1" si="190"/>
        <v>0</v>
      </c>
      <c r="FQ130">
        <f t="shared" ca="1" si="191"/>
        <v>0</v>
      </c>
      <c r="FR130">
        <f t="shared" ca="1" si="192"/>
        <v>0</v>
      </c>
      <c r="FS130">
        <f t="shared" ca="1" si="193"/>
        <v>0</v>
      </c>
      <c r="FT130">
        <f t="shared" ca="1" si="194"/>
        <v>0</v>
      </c>
      <c r="FU130">
        <f t="shared" ca="1" si="195"/>
        <v>8907</v>
      </c>
      <c r="FV130">
        <f t="shared" ca="1" si="196"/>
        <v>890.7</v>
      </c>
      <c r="FW130">
        <f t="shared" ca="1" si="197"/>
        <v>400000</v>
      </c>
      <c r="FX130">
        <f t="shared" ca="1" si="198"/>
        <v>20000</v>
      </c>
      <c r="FY130">
        <f t="shared" ca="1" si="199"/>
        <v>20891</v>
      </c>
      <c r="FZ130">
        <f t="shared" ca="1" si="200"/>
        <v>708907</v>
      </c>
      <c r="GA130">
        <f t="shared" ca="1" si="201"/>
        <v>8907</v>
      </c>
      <c r="GB130">
        <f t="shared" ca="1" si="202"/>
        <v>0</v>
      </c>
      <c r="GC130">
        <f t="shared" ca="1" si="203"/>
        <v>11984</v>
      </c>
      <c r="GD130" t="b">
        <f t="shared" ca="1" si="204"/>
        <v>1</v>
      </c>
      <c r="GE130">
        <f t="shared" ca="1" si="205"/>
        <v>11984</v>
      </c>
      <c r="GF130">
        <f t="shared" ca="1" si="206"/>
        <v>11984</v>
      </c>
      <c r="GG130">
        <f t="shared" ca="1" si="207"/>
        <v>8907</v>
      </c>
      <c r="GH130">
        <f t="shared" ca="1" si="208"/>
        <v>356.28000000000003</v>
      </c>
      <c r="GI130">
        <f t="shared" ca="1" si="209"/>
        <v>9264</v>
      </c>
    </row>
    <row r="131" spans="1:191" x14ac:dyDescent="0.25">
      <c r="A131">
        <f>_xlfn.AGGREGATE(3,5,$B$2:B131)</f>
        <v>130</v>
      </c>
      <c r="B131" t="s">
        <v>381</v>
      </c>
      <c r="C131" t="s">
        <v>382</v>
      </c>
      <c r="D131" t="s">
        <v>797</v>
      </c>
      <c r="E131" t="s">
        <v>843</v>
      </c>
      <c r="F131">
        <v>0</v>
      </c>
      <c r="G131">
        <v>6000</v>
      </c>
      <c r="H131">
        <v>30700</v>
      </c>
      <c r="I131">
        <f t="shared" ref="I131:I194" si="322">H131*0.1</f>
        <v>3070</v>
      </c>
      <c r="J131">
        <f t="shared" ref="J131:J194" si="323">H131*0.12</f>
        <v>3684</v>
      </c>
      <c r="K131">
        <v>0</v>
      </c>
      <c r="L131">
        <v>0</v>
      </c>
      <c r="M131">
        <f t="shared" ref="M131:M194" si="324">SUM(H131:L131)</f>
        <v>37454</v>
      </c>
      <c r="N131">
        <v>3000</v>
      </c>
      <c r="O131">
        <v>0</v>
      </c>
      <c r="P131">
        <f t="shared" ref="P131:P194" si="325">IF($F131=50000,0,IF(M131&gt;40000,200,IF(M131&gt;25000,150,IF(M131&gt;15000,130,IF(M131&gt;10000,110,0)))))</f>
        <v>150</v>
      </c>
      <c r="Q131">
        <f t="shared" ref="Q131:Q194" si="326">M131-N131-O131-P131</f>
        <v>34304</v>
      </c>
      <c r="R131">
        <v>30700</v>
      </c>
      <c r="S131">
        <f t="shared" ref="S131:S194" si="327">R131*0.1</f>
        <v>3070</v>
      </c>
      <c r="T131">
        <f t="shared" ref="T131:T194" si="328">R131*0.12</f>
        <v>3684</v>
      </c>
      <c r="U131">
        <v>0</v>
      </c>
      <c r="V131">
        <v>0</v>
      </c>
      <c r="W131">
        <f t="shared" ref="W131:W194" si="329">SUM(R131:V131)</f>
        <v>37454</v>
      </c>
      <c r="X131">
        <v>3000</v>
      </c>
      <c r="Y131">
        <v>0</v>
      </c>
      <c r="Z131">
        <f t="shared" ref="Z131:Z194" si="330">IF($F131=50000,0,IF(W131&gt;40000,200,IF(W131&gt;25000,150,IF(W131&gt;15000,130,IF(W131&gt;10000,110,0)))))</f>
        <v>150</v>
      </c>
      <c r="AA131">
        <f t="shared" ref="AA131:AA194" si="331">W131-X131-Y131-Z131</f>
        <v>34304</v>
      </c>
      <c r="AB131">
        <v>30700</v>
      </c>
      <c r="AC131">
        <f t="shared" ref="AC131:AC194" si="332">AB131*0.14</f>
        <v>4298</v>
      </c>
      <c r="AD131">
        <f t="shared" ref="AD131:AD194" si="333">AB131*0.12</f>
        <v>3684</v>
      </c>
      <c r="AE131">
        <v>0</v>
      </c>
      <c r="AF131">
        <v>0</v>
      </c>
      <c r="AG131">
        <f t="shared" ref="AG131:AG194" si="334">SUM(AB131:AF131)</f>
        <v>38682</v>
      </c>
      <c r="AH131">
        <v>3000</v>
      </c>
      <c r="AI131">
        <v>0</v>
      </c>
      <c r="AJ131">
        <f t="shared" ref="AJ131:AJ194" si="335">IF($F131=50000,0,IF(AG131&gt;40000,200,IF(AG131&gt;25000,150,IF(AG131&gt;15000,130,IF(AG131&gt;10000,110,0)))))</f>
        <v>150</v>
      </c>
      <c r="AK131">
        <f t="shared" ref="AK131:AK194" si="336">AG131-AH131-AI131-AJ131</f>
        <v>35532</v>
      </c>
      <c r="AL131">
        <v>30700</v>
      </c>
      <c r="AM131">
        <f t="shared" ref="AM131:AM194" si="337">AL131*0.14</f>
        <v>4298</v>
      </c>
      <c r="AN131">
        <f t="shared" ref="AN131:AN194" si="338">AL131*0.12</f>
        <v>3684</v>
      </c>
      <c r="AO131">
        <v>0</v>
      </c>
      <c r="AP131">
        <v>500</v>
      </c>
      <c r="AQ131">
        <f t="shared" ref="AQ131:AQ194" si="339">SUM(AL131:AP131)</f>
        <v>39182</v>
      </c>
      <c r="AR131">
        <v>3000</v>
      </c>
      <c r="AS131">
        <v>0</v>
      </c>
      <c r="AT131">
        <f t="shared" ref="AT131:AT194" si="340">IF($F131=50000,0,IF(AQ131&gt;40000,200,IF(AQ131&gt;25000,150,IF(AQ131&gt;15000,130,IF(AQ131&gt;10000,110,0)))))</f>
        <v>150</v>
      </c>
      <c r="AU131">
        <f t="shared" ref="AU131:AU194" si="341">AQ131-AR131-AS131-AT131</f>
        <v>36032</v>
      </c>
      <c r="AV131">
        <v>31600</v>
      </c>
      <c r="AW131">
        <f t="shared" ref="AW131:AW194" si="342">AV131*0.14</f>
        <v>4424</v>
      </c>
      <c r="AX131">
        <f t="shared" ref="AX131:AX194" si="343">R131*0.04</f>
        <v>1228</v>
      </c>
      <c r="AY131">
        <f t="shared" ref="AY131:AY194" si="344">AV131*0.12</f>
        <v>3792</v>
      </c>
      <c r="AZ131">
        <v>0</v>
      </c>
      <c r="BA131">
        <v>500</v>
      </c>
      <c r="BB131">
        <f t="shared" ref="BB131:BB194" si="345">SUM(AV131:BA131)</f>
        <v>41544</v>
      </c>
      <c r="BC131">
        <v>3000</v>
      </c>
      <c r="BD131">
        <v>0</v>
      </c>
      <c r="BE131">
        <f t="shared" ref="BE131:BE194" si="346">IF($F131=50000,0,IF(BB131&gt;40000,200,IF(BB131&gt;25000,150,IF(BB131&gt;15000,130,IF(BB131&gt;10000,110,0)))))</f>
        <v>200</v>
      </c>
      <c r="BF131">
        <f t="shared" ref="BF131:BF194" si="347">BB131-BC131-BD131-BE131</f>
        <v>38344</v>
      </c>
      <c r="BG131">
        <v>31600</v>
      </c>
      <c r="BH131">
        <f t="shared" ref="BH131:BH194" si="348">BG131*0.14</f>
        <v>4424</v>
      </c>
      <c r="BI131">
        <f t="shared" ref="BI131:BI194" si="349">BG131*0.12</f>
        <v>3792</v>
      </c>
      <c r="BJ131">
        <v>0</v>
      </c>
      <c r="BK131">
        <v>500</v>
      </c>
      <c r="BL131">
        <f t="shared" ref="BL131:BL194" si="350">SUM(BG131:BK131)</f>
        <v>40316</v>
      </c>
      <c r="BM131">
        <v>3000</v>
      </c>
      <c r="BN131">
        <v>0</v>
      </c>
      <c r="BO131">
        <f t="shared" ref="BO131:BO194" si="351">IF($F131=50000,0,IF(BL131&gt;40000,200,IF(BL131&gt;25000,150,IF(BL131&gt;15000,130,IF(BL131&gt;10000,110,0)))))</f>
        <v>200</v>
      </c>
      <c r="BP131">
        <f t="shared" ref="BP131:BP194" si="352">BL131-BM131-BN131-BO131</f>
        <v>37116</v>
      </c>
      <c r="BQ131">
        <v>31600</v>
      </c>
      <c r="BR131">
        <f t="shared" ref="BR131:BR194" si="353">BQ131*0.14</f>
        <v>4424</v>
      </c>
      <c r="BS131">
        <f t="shared" ref="BS131:BS194" si="354">BQ131*0.12</f>
        <v>3792</v>
      </c>
      <c r="BT131">
        <v>0</v>
      </c>
      <c r="BU131">
        <v>500</v>
      </c>
      <c r="BV131">
        <f t="shared" ref="BV131:BV194" si="355">SUM(BQ131:BU131)</f>
        <v>40316</v>
      </c>
      <c r="BW131">
        <v>3000</v>
      </c>
      <c r="BX131">
        <v>0</v>
      </c>
      <c r="BY131">
        <f t="shared" ref="BY131:BY194" si="356">IF($F131=50000,0,IF(BV131&gt;40000,200,IF(BV131&gt;25000,150,IF(BV131&gt;15000,130,IF(BV131&gt;10000,110,0)))))</f>
        <v>200</v>
      </c>
      <c r="BZ131">
        <f t="shared" ref="BZ131:BZ194" si="357">BV131-BW131-BX131-BY131</f>
        <v>37116</v>
      </c>
      <c r="CA131">
        <v>31600</v>
      </c>
      <c r="CB131">
        <f t="shared" ref="CB131:CB194" si="358">CA131*0.14</f>
        <v>4424</v>
      </c>
      <c r="CC131">
        <f t="shared" ref="CC131:CC194" si="359">CA131*0.12</f>
        <v>3792</v>
      </c>
      <c r="CD131">
        <v>0</v>
      </c>
      <c r="CE131">
        <v>500</v>
      </c>
      <c r="CF131">
        <f t="shared" ref="CF131:CF194" si="360">SUM(CA131:CE131)</f>
        <v>40316</v>
      </c>
      <c r="CG131">
        <v>3000</v>
      </c>
      <c r="CH131">
        <v>0</v>
      </c>
      <c r="CI131">
        <f t="shared" ref="CI131:CI194" si="361">IF($F131=50000,0,IF(CF131&gt;40000,200,IF(CF131&gt;25000,150,IF(CF131&gt;15000,130,IF(CF131&gt;10000,110,0)))))</f>
        <v>200</v>
      </c>
      <c r="CJ131">
        <f t="shared" ref="CJ131:CJ194" si="362">CF131-CG131-CH131-CI131</f>
        <v>37116</v>
      </c>
      <c r="CK131">
        <v>31600</v>
      </c>
      <c r="CL131">
        <f t="shared" ref="CL131:CL194" si="363">CK131*0.14</f>
        <v>4424</v>
      </c>
      <c r="CM131">
        <f t="shared" ref="CM131:CM194" si="364">CK131*0.12</f>
        <v>3792</v>
      </c>
      <c r="CN131">
        <v>0</v>
      </c>
      <c r="CO131">
        <v>500</v>
      </c>
      <c r="CP131">
        <f t="shared" ref="CP131:CP194" si="365">SUM(CK131:CO131)</f>
        <v>40316</v>
      </c>
      <c r="CQ131">
        <v>3000</v>
      </c>
      <c r="CR131">
        <v>0</v>
      </c>
      <c r="CS131">
        <f t="shared" ref="CS131:CS194" si="366">IF($F131=50000,0,IF(CP131&gt;40000,200,IF(CP131&gt;25000,150,IF(CP131&gt;15000,130,IF(CP131&gt;10000,110,0)))))</f>
        <v>200</v>
      </c>
      <c r="CT131">
        <f t="shared" ref="CT131:CT194" si="367">CP131-CQ131-CR131-CS131</f>
        <v>37116</v>
      </c>
      <c r="CU131">
        <v>31600</v>
      </c>
      <c r="CV131">
        <f t="shared" ref="CV131:CV194" si="368">ROUND(CU131*0.14,0)</f>
        <v>4424</v>
      </c>
      <c r="CW131">
        <f t="shared" ref="CW131:CW194" si="369">ROUND(CU131*0.12,0)</f>
        <v>3792</v>
      </c>
      <c r="CX131">
        <v>0</v>
      </c>
      <c r="CY131">
        <v>500</v>
      </c>
      <c r="CZ131">
        <f t="shared" ref="CZ131:CZ194" si="370">SUM(CU131:CY131)</f>
        <v>40316</v>
      </c>
      <c r="DA131">
        <v>3000</v>
      </c>
      <c r="DB131">
        <v>0</v>
      </c>
      <c r="DC131">
        <f t="shared" ref="DC131:DC194" si="371">IF($F131=50000,0,IF(CZ131&gt;40000,200,IF(CZ131&gt;25000,150,IF(CZ131&gt;15000,130,IF(CZ131&gt;10000,110,0)))))</f>
        <v>200</v>
      </c>
      <c r="DD131">
        <f t="shared" ref="DD131:DD194" si="372">CZ131-DA131-DB131-DC131</f>
        <v>37116</v>
      </c>
      <c r="DE131">
        <v>31600</v>
      </c>
      <c r="DF131">
        <f t="shared" ref="DF131:DF194" si="373">DE131*0.14</f>
        <v>4424</v>
      </c>
      <c r="DG131">
        <f t="shared" ref="DG131:DG194" si="374">DE131*0.12</f>
        <v>3792</v>
      </c>
      <c r="DH131">
        <v>0</v>
      </c>
      <c r="DI131">
        <v>500</v>
      </c>
      <c r="DJ131">
        <f t="shared" ref="DJ131:DJ194" si="375">SUM(DE131:DI131)</f>
        <v>40316</v>
      </c>
      <c r="DK131">
        <v>3000</v>
      </c>
      <c r="DL131">
        <v>0</v>
      </c>
      <c r="DM131">
        <f t="shared" ref="DM131:DM194" si="376">IF($F131=50000,0,IF(DJ131&gt;40000,200,IF(DJ131&gt;25000,150,IF(DJ131&gt;15000,130,IF(DJ131&gt;10000,110,0)))))</f>
        <v>200</v>
      </c>
      <c r="DN131">
        <f t="shared" ref="DN131:DN194" si="377">DJ131-DK131-DL131-DM131</f>
        <v>37116</v>
      </c>
      <c r="DO131">
        <v>31600</v>
      </c>
      <c r="DP131">
        <f t="shared" ref="DP131:DP194" si="378">DO131*0.14</f>
        <v>4424</v>
      </c>
      <c r="DQ131">
        <f t="shared" ref="DQ131:DQ194" si="379">DO131*0.12</f>
        <v>3792</v>
      </c>
      <c r="DR131">
        <v>0</v>
      </c>
      <c r="DS131">
        <v>500</v>
      </c>
      <c r="DT131">
        <f t="shared" ref="DT131:DT194" si="380">SUM(DO131:DS131)</f>
        <v>40316</v>
      </c>
      <c r="DU131">
        <v>3000</v>
      </c>
      <c r="DV131">
        <v>0</v>
      </c>
      <c r="DW131">
        <f t="shared" ref="DW131:DW194" si="381">IF($F131=50000,0,IF(DT131&gt;40000,200,IF(DT131&gt;25000,150,IF(DT131&gt;15000,130,IF(DT131&gt;10000,110,0)))))</f>
        <v>200</v>
      </c>
      <c r="DX131">
        <f t="shared" ref="DX131:DX194" si="382">DT131-DU131-DV131-DW131</f>
        <v>37116</v>
      </c>
      <c r="DY131">
        <f t="shared" ref="DY131:DY194" si="383">DT131+DJ131+CZ131+CP131+CF131+BV131+BL131+BB131+AQ131+AG131+W131+M131+G131</f>
        <v>482528</v>
      </c>
      <c r="DZ131">
        <f t="shared" si="315"/>
        <v>2200</v>
      </c>
      <c r="EA131">
        <f t="shared" si="316"/>
        <v>50000</v>
      </c>
      <c r="EB131">
        <v>0</v>
      </c>
      <c r="EC131">
        <f t="shared" si="317"/>
        <v>430328</v>
      </c>
      <c r="ED131">
        <f t="shared" si="318"/>
        <v>36000</v>
      </c>
      <c r="EE131">
        <f t="shared" si="319"/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f t="shared" si="320"/>
        <v>36000</v>
      </c>
      <c r="EQ131">
        <f t="shared" ref="EQ131:EQ194" si="384">IF(EP131&gt;=150000,150000,EP131)</f>
        <v>36000</v>
      </c>
      <c r="ER131">
        <f t="shared" si="321"/>
        <v>394328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f t="shared" ref="EZ131:EZ194" si="385">SUM(ES131:EY131)+F131</f>
        <v>0</v>
      </c>
      <c r="FA131">
        <f t="shared" ref="FA131:FA194" si="386">ER131-EZ131</f>
        <v>394328</v>
      </c>
      <c r="FB131">
        <f t="shared" ref="FB131:FB194" si="387">ROUND(IF(FA131&gt;0,IF(FA131&gt;500000,12500,(FA131-250000)*0.05),0),0)</f>
        <v>7216</v>
      </c>
      <c r="FC131">
        <f t="shared" ref="FC131:FC194" si="388">IF(ROUND(IF(FA131&gt;0,IF(FA131&gt;1000000,25000,(FA131-500000)*0.2),0),0)&lt;0,0,ROUND(IF(FA131&gt;0,IF(FA131&gt;1000000,25000,(FA131-500000)*0.2),0),0))</f>
        <v>0</v>
      </c>
      <c r="FD131">
        <f t="shared" ref="FD131:FD194" si="389">FB131+FC131</f>
        <v>7216</v>
      </c>
      <c r="FE131">
        <f t="shared" ref="FE131:FE194" si="390">IF(FD131&lt;12500,0,FD131)</f>
        <v>0</v>
      </c>
      <c r="FF131">
        <f t="shared" ref="FF131:FF194" si="391">FE131*0.04</f>
        <v>0</v>
      </c>
      <c r="FG131">
        <f t="shared" ref="FG131:FG194" si="392">ROUND(FF131+FE131,0)</f>
        <v>0</v>
      </c>
      <c r="FH131">
        <v>0</v>
      </c>
      <c r="FI131">
        <f t="shared" ref="FI131:FI194" si="393">FG131-FH131</f>
        <v>0</v>
      </c>
      <c r="FJ131" t="b">
        <f t="shared" ref="FJ131:FJ194" si="394">IF(DY131&gt;500000,TRUE,FALSE)</f>
        <v>0</v>
      </c>
      <c r="FK131">
        <f t="shared" ref="FK131:FK194" ca="1" si="395">IF(FJ131,RANDBETWEEN(500,1000),RANDBETWEEN(1000,3000))</f>
        <v>2968</v>
      </c>
      <c r="FL131">
        <f t="shared" ref="FL131:FL194" ca="1" si="396">DY131+FK131</f>
        <v>485496</v>
      </c>
      <c r="FM131">
        <f t="shared" ref="FM131:FM194" si="397">IF(DY131&gt;0,75000,0)</f>
        <v>75000</v>
      </c>
      <c r="FN131">
        <f t="shared" ref="FN131:FN194" ca="1" si="398">FL131-FM131</f>
        <v>410496</v>
      </c>
      <c r="FO131">
        <f t="shared" ref="FO131:FO194" ca="1" si="399">IF(FN131&gt;1500000,FN131-1500000,0)</f>
        <v>0</v>
      </c>
      <c r="FP131">
        <f t="shared" ref="FP131:FP194" ca="1" si="400">FO131*0.3</f>
        <v>0</v>
      </c>
      <c r="FQ131">
        <f t="shared" ref="FQ131:FQ194" ca="1" si="401">IF(FN131&gt;1200000,FN131-1200000-FO131,0)</f>
        <v>0</v>
      </c>
      <c r="FR131">
        <f t="shared" ref="FR131:FR194" ca="1" si="402">FQ131*0.2</f>
        <v>0</v>
      </c>
      <c r="FS131">
        <f t="shared" ref="FS131:FS194" ca="1" si="403">IF(FN131&gt;1000000,FN131-1000000-F131-FQ131,0)</f>
        <v>0</v>
      </c>
      <c r="FT131">
        <f t="shared" ref="FT131:FT194" ca="1" si="404">FS131*0.15</f>
        <v>0</v>
      </c>
      <c r="FU131">
        <f t="shared" ref="FU131:FU194" ca="1" si="405">IF(FN131&gt;700000,FN131-700000-FO131-FQ131-FS131,0)</f>
        <v>0</v>
      </c>
      <c r="FV131">
        <f t="shared" ref="FV131:FV194" ca="1" si="406">FU131*0.1</f>
        <v>0</v>
      </c>
      <c r="FW131">
        <f t="shared" ref="FW131:FW194" ca="1" si="407">IF(FN131&gt;300000,FN131-300000-FO131-FQ131-FS131-FU131,0)</f>
        <v>110496</v>
      </c>
      <c r="FX131">
        <f t="shared" ref="FX131:FX194" ca="1" si="408">FW131*0.05</f>
        <v>5524.8</v>
      </c>
      <c r="FY131">
        <f t="shared" ref="FY131:FY194" ca="1" si="409">ROUND(FP131+FR131+FT131+FV131+FX131,0)</f>
        <v>5525</v>
      </c>
      <c r="FZ131">
        <f t="shared" ref="FZ131:FZ194" ca="1" si="410">IF(FN131&gt;700000,FN131,0)</f>
        <v>0</v>
      </c>
      <c r="GA131">
        <f t="shared" ref="GA131:GA194" ca="1" si="411">IF(FN131&gt;700000,FZ131-700000,0)</f>
        <v>0</v>
      </c>
      <c r="GB131">
        <f t="shared" ref="GB131:GB194" ca="1" si="412">IF(FN131&lt;700001,MIN(FY131,25000),0)</f>
        <v>5525</v>
      </c>
      <c r="GC131">
        <f t="shared" ref="GC131:GC194" ca="1" si="413">IF(FN131&gt;700000,FY131-GA131,0)</f>
        <v>0</v>
      </c>
      <c r="GD131" t="b">
        <f t="shared" ref="GD131:GD194" ca="1" si="414">IF(GC131&gt;0,TRUE,FALSE)</f>
        <v>0</v>
      </c>
      <c r="GE131">
        <f t="shared" ref="GE131:GE194" ca="1" si="415">IF(GD131,GC131,0)</f>
        <v>0</v>
      </c>
      <c r="GF131">
        <f t="shared" ref="GF131:GF194" ca="1" si="416">GB131+GE131</f>
        <v>5525</v>
      </c>
      <c r="GG131">
        <f t="shared" ref="GG131:GG194" ca="1" si="417">ROUND(FY131-GF131,0)</f>
        <v>0</v>
      </c>
      <c r="GH131">
        <f t="shared" ref="GH131:GH194" ca="1" si="418">GG131*0.04</f>
        <v>0</v>
      </c>
      <c r="GI131">
        <f t="shared" ref="GI131:GI194" ca="1" si="419">ROUNDUP(GG131+GH131,0)</f>
        <v>0</v>
      </c>
    </row>
    <row r="132" spans="1:191" x14ac:dyDescent="0.25">
      <c r="A132">
        <f>_xlfn.AGGREGATE(3,5,$B$2:B132)</f>
        <v>131</v>
      </c>
      <c r="B132" t="s">
        <v>383</v>
      </c>
      <c r="C132" t="s">
        <v>384</v>
      </c>
      <c r="D132" t="s">
        <v>798</v>
      </c>
      <c r="E132" t="s">
        <v>844</v>
      </c>
      <c r="F132">
        <v>0</v>
      </c>
      <c r="G132">
        <v>0</v>
      </c>
      <c r="H132">
        <v>62400</v>
      </c>
      <c r="I132">
        <f t="shared" si="322"/>
        <v>6240</v>
      </c>
      <c r="J132">
        <f t="shared" si="323"/>
        <v>7488</v>
      </c>
      <c r="K132">
        <v>400</v>
      </c>
      <c r="L132">
        <v>500</v>
      </c>
      <c r="M132">
        <f t="shared" si="324"/>
        <v>77028</v>
      </c>
      <c r="N132">
        <v>15000</v>
      </c>
      <c r="O132">
        <v>0</v>
      </c>
      <c r="P132">
        <f t="shared" si="325"/>
        <v>200</v>
      </c>
      <c r="Q132">
        <f t="shared" si="326"/>
        <v>61828</v>
      </c>
      <c r="R132">
        <v>62400</v>
      </c>
      <c r="S132">
        <f t="shared" si="327"/>
        <v>6240</v>
      </c>
      <c r="T132">
        <f t="shared" si="328"/>
        <v>7488</v>
      </c>
      <c r="U132">
        <v>400</v>
      </c>
      <c r="V132">
        <v>500</v>
      </c>
      <c r="W132">
        <f t="shared" si="329"/>
        <v>77028</v>
      </c>
      <c r="X132">
        <v>15000</v>
      </c>
      <c r="Y132">
        <v>0</v>
      </c>
      <c r="Z132">
        <f t="shared" si="330"/>
        <v>200</v>
      </c>
      <c r="AA132">
        <f t="shared" si="331"/>
        <v>61828</v>
      </c>
      <c r="AB132">
        <v>62400</v>
      </c>
      <c r="AC132">
        <f t="shared" si="332"/>
        <v>8736</v>
      </c>
      <c r="AD132">
        <f t="shared" si="333"/>
        <v>7488</v>
      </c>
      <c r="AE132">
        <v>400</v>
      </c>
      <c r="AF132">
        <v>500</v>
      </c>
      <c r="AG132">
        <f t="shared" si="334"/>
        <v>79524</v>
      </c>
      <c r="AH132">
        <v>15000</v>
      </c>
      <c r="AI132">
        <v>0</v>
      </c>
      <c r="AJ132">
        <f t="shared" si="335"/>
        <v>200</v>
      </c>
      <c r="AK132">
        <f t="shared" si="336"/>
        <v>64324</v>
      </c>
      <c r="AL132">
        <v>62400</v>
      </c>
      <c r="AM132">
        <f t="shared" si="337"/>
        <v>8736</v>
      </c>
      <c r="AN132">
        <f t="shared" si="338"/>
        <v>7488</v>
      </c>
      <c r="AO132">
        <v>400</v>
      </c>
      <c r="AP132">
        <v>500</v>
      </c>
      <c r="AQ132">
        <f t="shared" si="339"/>
        <v>79524</v>
      </c>
      <c r="AR132">
        <v>15000</v>
      </c>
      <c r="AS132">
        <v>0</v>
      </c>
      <c r="AT132">
        <f t="shared" si="340"/>
        <v>200</v>
      </c>
      <c r="AU132">
        <f t="shared" si="341"/>
        <v>64324</v>
      </c>
      <c r="AV132">
        <v>64300</v>
      </c>
      <c r="AW132">
        <f t="shared" si="342"/>
        <v>9002</v>
      </c>
      <c r="AX132">
        <f t="shared" si="343"/>
        <v>2496</v>
      </c>
      <c r="AY132">
        <f t="shared" si="344"/>
        <v>7716</v>
      </c>
      <c r="AZ132">
        <v>400</v>
      </c>
      <c r="BA132">
        <v>500</v>
      </c>
      <c r="BB132">
        <f t="shared" si="345"/>
        <v>84414</v>
      </c>
      <c r="BC132">
        <v>15000</v>
      </c>
      <c r="BD132">
        <v>0</v>
      </c>
      <c r="BE132">
        <f t="shared" si="346"/>
        <v>200</v>
      </c>
      <c r="BF132">
        <f t="shared" si="347"/>
        <v>69214</v>
      </c>
      <c r="BG132">
        <v>64300</v>
      </c>
      <c r="BH132">
        <f t="shared" si="348"/>
        <v>9002</v>
      </c>
      <c r="BI132">
        <f t="shared" si="349"/>
        <v>7716</v>
      </c>
      <c r="BJ132">
        <v>400</v>
      </c>
      <c r="BK132">
        <v>500</v>
      </c>
      <c r="BL132">
        <f t="shared" si="350"/>
        <v>81918</v>
      </c>
      <c r="BM132">
        <v>15000</v>
      </c>
      <c r="BN132">
        <v>0</v>
      </c>
      <c r="BO132">
        <f t="shared" si="351"/>
        <v>200</v>
      </c>
      <c r="BP132">
        <f t="shared" si="352"/>
        <v>66718</v>
      </c>
      <c r="BQ132">
        <v>64300</v>
      </c>
      <c r="BR132">
        <f t="shared" si="353"/>
        <v>9002</v>
      </c>
      <c r="BS132">
        <f t="shared" si="354"/>
        <v>7716</v>
      </c>
      <c r="BT132">
        <v>400</v>
      </c>
      <c r="BU132">
        <v>500</v>
      </c>
      <c r="BV132">
        <f t="shared" si="355"/>
        <v>81918</v>
      </c>
      <c r="BW132">
        <v>15000</v>
      </c>
      <c r="BX132">
        <v>0</v>
      </c>
      <c r="BY132">
        <f t="shared" si="356"/>
        <v>200</v>
      </c>
      <c r="BZ132">
        <f t="shared" si="357"/>
        <v>66718</v>
      </c>
      <c r="CA132">
        <v>64300</v>
      </c>
      <c r="CB132">
        <f t="shared" si="358"/>
        <v>9002</v>
      </c>
      <c r="CC132">
        <f t="shared" si="359"/>
        <v>7716</v>
      </c>
      <c r="CD132">
        <v>400</v>
      </c>
      <c r="CE132">
        <v>500</v>
      </c>
      <c r="CF132">
        <f t="shared" si="360"/>
        <v>81918</v>
      </c>
      <c r="CG132">
        <v>15000</v>
      </c>
      <c r="CH132">
        <v>0</v>
      </c>
      <c r="CI132">
        <f t="shared" si="361"/>
        <v>200</v>
      </c>
      <c r="CJ132">
        <f t="shared" si="362"/>
        <v>66718</v>
      </c>
      <c r="CK132">
        <v>64300</v>
      </c>
      <c r="CL132">
        <f t="shared" si="363"/>
        <v>9002</v>
      </c>
      <c r="CM132">
        <f t="shared" si="364"/>
        <v>7716</v>
      </c>
      <c r="CN132">
        <v>400</v>
      </c>
      <c r="CO132">
        <v>500</v>
      </c>
      <c r="CP132">
        <f t="shared" si="365"/>
        <v>81918</v>
      </c>
      <c r="CQ132">
        <v>15000</v>
      </c>
      <c r="CR132">
        <v>0</v>
      </c>
      <c r="CS132">
        <f t="shared" si="366"/>
        <v>200</v>
      </c>
      <c r="CT132">
        <f t="shared" si="367"/>
        <v>66718</v>
      </c>
      <c r="CU132">
        <v>64300</v>
      </c>
      <c r="CV132">
        <f t="shared" si="368"/>
        <v>9002</v>
      </c>
      <c r="CW132">
        <f t="shared" si="369"/>
        <v>7716</v>
      </c>
      <c r="CX132">
        <v>400</v>
      </c>
      <c r="CY132">
        <v>500</v>
      </c>
      <c r="CZ132">
        <f t="shared" si="370"/>
        <v>81918</v>
      </c>
      <c r="DA132">
        <v>15000</v>
      </c>
      <c r="DB132">
        <v>0</v>
      </c>
      <c r="DC132">
        <f t="shared" si="371"/>
        <v>200</v>
      </c>
      <c r="DD132">
        <f t="shared" si="372"/>
        <v>66718</v>
      </c>
      <c r="DE132">
        <v>64300</v>
      </c>
      <c r="DF132">
        <f t="shared" si="373"/>
        <v>9002</v>
      </c>
      <c r="DG132">
        <f t="shared" si="374"/>
        <v>7716</v>
      </c>
      <c r="DH132">
        <v>400</v>
      </c>
      <c r="DI132">
        <v>500</v>
      </c>
      <c r="DJ132">
        <f t="shared" si="375"/>
        <v>81918</v>
      </c>
      <c r="DK132">
        <v>15000</v>
      </c>
      <c r="DL132">
        <v>0</v>
      </c>
      <c r="DM132">
        <f t="shared" si="376"/>
        <v>200</v>
      </c>
      <c r="DN132">
        <f t="shared" si="377"/>
        <v>66718</v>
      </c>
      <c r="DO132">
        <v>64300</v>
      </c>
      <c r="DP132">
        <f t="shared" si="378"/>
        <v>9002</v>
      </c>
      <c r="DQ132">
        <f t="shared" si="379"/>
        <v>7716</v>
      </c>
      <c r="DR132">
        <v>400</v>
      </c>
      <c r="DS132">
        <v>500</v>
      </c>
      <c r="DT132">
        <f t="shared" si="380"/>
        <v>81918</v>
      </c>
      <c r="DU132">
        <v>15000</v>
      </c>
      <c r="DV132">
        <v>0</v>
      </c>
      <c r="DW132">
        <f t="shared" si="381"/>
        <v>200</v>
      </c>
      <c r="DX132">
        <f t="shared" si="382"/>
        <v>66718</v>
      </c>
      <c r="DY132">
        <f t="shared" si="383"/>
        <v>970944</v>
      </c>
      <c r="DZ132">
        <f t="shared" si="315"/>
        <v>2400</v>
      </c>
      <c r="EA132">
        <f t="shared" si="316"/>
        <v>50000</v>
      </c>
      <c r="EB132">
        <v>0</v>
      </c>
      <c r="EC132">
        <f t="shared" si="317"/>
        <v>918544</v>
      </c>
      <c r="ED132">
        <f t="shared" si="318"/>
        <v>180000</v>
      </c>
      <c r="EE132">
        <f t="shared" si="319"/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f t="shared" si="320"/>
        <v>180000</v>
      </c>
      <c r="EQ132">
        <f t="shared" si="384"/>
        <v>150000</v>
      </c>
      <c r="ER132">
        <f t="shared" si="321"/>
        <v>768544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f t="shared" si="385"/>
        <v>0</v>
      </c>
      <c r="FA132">
        <f t="shared" si="386"/>
        <v>768544</v>
      </c>
      <c r="FB132">
        <f t="shared" si="387"/>
        <v>12500</v>
      </c>
      <c r="FC132">
        <f t="shared" si="388"/>
        <v>53709</v>
      </c>
      <c r="FD132">
        <f t="shared" si="389"/>
        <v>66209</v>
      </c>
      <c r="FE132">
        <f t="shared" si="390"/>
        <v>66209</v>
      </c>
      <c r="FF132">
        <f t="shared" si="391"/>
        <v>2648.36</v>
      </c>
      <c r="FG132">
        <f t="shared" si="392"/>
        <v>68857</v>
      </c>
      <c r="FH132">
        <v>0</v>
      </c>
      <c r="FI132">
        <f t="shared" si="393"/>
        <v>68857</v>
      </c>
      <c r="FJ132" t="b">
        <f t="shared" si="394"/>
        <v>1</v>
      </c>
      <c r="FK132">
        <f t="shared" ca="1" si="395"/>
        <v>962</v>
      </c>
      <c r="FL132">
        <f t="shared" ca="1" si="396"/>
        <v>971906</v>
      </c>
      <c r="FM132">
        <f t="shared" si="397"/>
        <v>75000</v>
      </c>
      <c r="FN132">
        <f t="shared" ca="1" si="398"/>
        <v>896906</v>
      </c>
      <c r="FO132">
        <f t="shared" ca="1" si="399"/>
        <v>0</v>
      </c>
      <c r="FP132">
        <f t="shared" ca="1" si="400"/>
        <v>0</v>
      </c>
      <c r="FQ132">
        <f t="shared" ca="1" si="401"/>
        <v>0</v>
      </c>
      <c r="FR132">
        <f t="shared" ca="1" si="402"/>
        <v>0</v>
      </c>
      <c r="FS132">
        <f t="shared" ca="1" si="403"/>
        <v>0</v>
      </c>
      <c r="FT132">
        <f t="shared" ca="1" si="404"/>
        <v>0</v>
      </c>
      <c r="FU132">
        <f t="shared" ca="1" si="405"/>
        <v>196906</v>
      </c>
      <c r="FV132">
        <f t="shared" ca="1" si="406"/>
        <v>19690.600000000002</v>
      </c>
      <c r="FW132">
        <f t="shared" ca="1" si="407"/>
        <v>400000</v>
      </c>
      <c r="FX132">
        <f t="shared" ca="1" si="408"/>
        <v>20000</v>
      </c>
      <c r="FY132">
        <f t="shared" ca="1" si="409"/>
        <v>39691</v>
      </c>
      <c r="FZ132">
        <f t="shared" ca="1" si="410"/>
        <v>896906</v>
      </c>
      <c r="GA132">
        <f t="shared" ca="1" si="411"/>
        <v>196906</v>
      </c>
      <c r="GB132">
        <f t="shared" ca="1" si="412"/>
        <v>0</v>
      </c>
      <c r="GC132">
        <f t="shared" ca="1" si="413"/>
        <v>-157215</v>
      </c>
      <c r="GD132" t="b">
        <f t="shared" ca="1" si="414"/>
        <v>0</v>
      </c>
      <c r="GE132">
        <f t="shared" ca="1" si="415"/>
        <v>0</v>
      </c>
      <c r="GF132">
        <f t="shared" ca="1" si="416"/>
        <v>0</v>
      </c>
      <c r="GG132">
        <f t="shared" ca="1" si="417"/>
        <v>39691</v>
      </c>
      <c r="GH132">
        <f t="shared" ca="1" si="418"/>
        <v>1587.64</v>
      </c>
      <c r="GI132">
        <f t="shared" ca="1" si="419"/>
        <v>41279</v>
      </c>
    </row>
    <row r="133" spans="1:191" x14ac:dyDescent="0.25">
      <c r="A133">
        <f>_xlfn.AGGREGATE(3,5,$B$2:B133)</f>
        <v>132</v>
      </c>
      <c r="B133" t="s">
        <v>385</v>
      </c>
      <c r="C133" t="s">
        <v>386</v>
      </c>
      <c r="D133" t="s">
        <v>798</v>
      </c>
      <c r="E133" t="s">
        <v>843</v>
      </c>
      <c r="F133">
        <v>0</v>
      </c>
      <c r="G133">
        <v>6000</v>
      </c>
      <c r="H133">
        <v>32500</v>
      </c>
      <c r="I133">
        <f t="shared" si="322"/>
        <v>3250</v>
      </c>
      <c r="J133">
        <f t="shared" si="323"/>
        <v>3900</v>
      </c>
      <c r="K133">
        <v>0</v>
      </c>
      <c r="L133">
        <v>500</v>
      </c>
      <c r="M133">
        <f t="shared" si="324"/>
        <v>40150</v>
      </c>
      <c r="N133">
        <v>2000</v>
      </c>
      <c r="O133">
        <v>0</v>
      </c>
      <c r="P133">
        <f t="shared" si="325"/>
        <v>200</v>
      </c>
      <c r="Q133">
        <f t="shared" si="326"/>
        <v>37950</v>
      </c>
      <c r="R133">
        <v>32500</v>
      </c>
      <c r="S133">
        <f t="shared" si="327"/>
        <v>3250</v>
      </c>
      <c r="T133">
        <f t="shared" si="328"/>
        <v>3900</v>
      </c>
      <c r="U133">
        <v>0</v>
      </c>
      <c r="V133">
        <v>500</v>
      </c>
      <c r="W133">
        <f t="shared" si="329"/>
        <v>40150</v>
      </c>
      <c r="X133">
        <v>2000</v>
      </c>
      <c r="Y133">
        <v>0</v>
      </c>
      <c r="Z133">
        <f t="shared" si="330"/>
        <v>200</v>
      </c>
      <c r="AA133">
        <f t="shared" si="331"/>
        <v>37950</v>
      </c>
      <c r="AB133">
        <v>32500</v>
      </c>
      <c r="AC133">
        <f t="shared" si="332"/>
        <v>4550</v>
      </c>
      <c r="AD133">
        <f t="shared" si="333"/>
        <v>3900</v>
      </c>
      <c r="AE133">
        <v>0</v>
      </c>
      <c r="AF133">
        <v>500</v>
      </c>
      <c r="AG133">
        <f t="shared" si="334"/>
        <v>41450</v>
      </c>
      <c r="AH133">
        <v>2000</v>
      </c>
      <c r="AI133">
        <v>0</v>
      </c>
      <c r="AJ133">
        <f t="shared" si="335"/>
        <v>200</v>
      </c>
      <c r="AK133">
        <f t="shared" si="336"/>
        <v>39250</v>
      </c>
      <c r="AL133">
        <v>32500</v>
      </c>
      <c r="AM133">
        <f t="shared" si="337"/>
        <v>4550</v>
      </c>
      <c r="AN133">
        <f t="shared" si="338"/>
        <v>3900</v>
      </c>
      <c r="AO133">
        <v>0</v>
      </c>
      <c r="AP133">
        <v>500</v>
      </c>
      <c r="AQ133">
        <f t="shared" si="339"/>
        <v>41450</v>
      </c>
      <c r="AR133">
        <v>2000</v>
      </c>
      <c r="AS133">
        <v>0</v>
      </c>
      <c r="AT133">
        <f t="shared" si="340"/>
        <v>200</v>
      </c>
      <c r="AU133">
        <f t="shared" si="341"/>
        <v>39250</v>
      </c>
      <c r="AV133">
        <v>33500</v>
      </c>
      <c r="AW133">
        <f t="shared" si="342"/>
        <v>4690</v>
      </c>
      <c r="AX133">
        <f t="shared" si="343"/>
        <v>1300</v>
      </c>
      <c r="AY133">
        <f t="shared" si="344"/>
        <v>4020</v>
      </c>
      <c r="AZ133">
        <v>0</v>
      </c>
      <c r="BA133">
        <v>500</v>
      </c>
      <c r="BB133">
        <f t="shared" si="345"/>
        <v>44010</v>
      </c>
      <c r="BC133">
        <v>2500</v>
      </c>
      <c r="BD133">
        <v>0</v>
      </c>
      <c r="BE133">
        <f t="shared" si="346"/>
        <v>200</v>
      </c>
      <c r="BF133">
        <f t="shared" si="347"/>
        <v>41310</v>
      </c>
      <c r="BG133">
        <v>33500</v>
      </c>
      <c r="BH133">
        <f t="shared" si="348"/>
        <v>4690</v>
      </c>
      <c r="BI133">
        <f t="shared" si="349"/>
        <v>4020</v>
      </c>
      <c r="BJ133">
        <v>0</v>
      </c>
      <c r="BK133">
        <v>500</v>
      </c>
      <c r="BL133">
        <f t="shared" si="350"/>
        <v>42710</v>
      </c>
      <c r="BM133">
        <v>2500</v>
      </c>
      <c r="BN133">
        <v>0</v>
      </c>
      <c r="BO133">
        <f t="shared" si="351"/>
        <v>200</v>
      </c>
      <c r="BP133">
        <f t="shared" si="352"/>
        <v>40010</v>
      </c>
      <c r="BQ133">
        <v>33500</v>
      </c>
      <c r="BR133">
        <f t="shared" si="353"/>
        <v>4690</v>
      </c>
      <c r="BS133">
        <f t="shared" si="354"/>
        <v>4020</v>
      </c>
      <c r="BT133">
        <v>0</v>
      </c>
      <c r="BU133">
        <v>500</v>
      </c>
      <c r="BV133">
        <f t="shared" si="355"/>
        <v>42710</v>
      </c>
      <c r="BW133">
        <v>2500</v>
      </c>
      <c r="BX133">
        <v>0</v>
      </c>
      <c r="BY133">
        <f t="shared" si="356"/>
        <v>200</v>
      </c>
      <c r="BZ133">
        <f t="shared" si="357"/>
        <v>40010</v>
      </c>
      <c r="CA133">
        <v>33500</v>
      </c>
      <c r="CB133">
        <f t="shared" si="358"/>
        <v>4690</v>
      </c>
      <c r="CC133">
        <f t="shared" si="359"/>
        <v>4020</v>
      </c>
      <c r="CD133">
        <v>0</v>
      </c>
      <c r="CE133">
        <v>500</v>
      </c>
      <c r="CF133">
        <f t="shared" si="360"/>
        <v>42710</v>
      </c>
      <c r="CG133">
        <v>2500</v>
      </c>
      <c r="CH133">
        <v>0</v>
      </c>
      <c r="CI133">
        <f t="shared" si="361"/>
        <v>200</v>
      </c>
      <c r="CJ133">
        <f t="shared" si="362"/>
        <v>40010</v>
      </c>
      <c r="CK133">
        <v>33500</v>
      </c>
      <c r="CL133">
        <f t="shared" si="363"/>
        <v>4690</v>
      </c>
      <c r="CM133">
        <f t="shared" si="364"/>
        <v>4020</v>
      </c>
      <c r="CN133">
        <v>0</v>
      </c>
      <c r="CO133">
        <v>500</v>
      </c>
      <c r="CP133">
        <f t="shared" si="365"/>
        <v>42710</v>
      </c>
      <c r="CQ133">
        <v>2500</v>
      </c>
      <c r="CR133">
        <v>0</v>
      </c>
      <c r="CS133">
        <f t="shared" si="366"/>
        <v>200</v>
      </c>
      <c r="CT133">
        <f t="shared" si="367"/>
        <v>40010</v>
      </c>
      <c r="CU133">
        <v>33500</v>
      </c>
      <c r="CV133">
        <f t="shared" si="368"/>
        <v>4690</v>
      </c>
      <c r="CW133">
        <f t="shared" si="369"/>
        <v>4020</v>
      </c>
      <c r="CX133">
        <v>0</v>
      </c>
      <c r="CY133">
        <v>500</v>
      </c>
      <c r="CZ133">
        <f t="shared" si="370"/>
        <v>42710</v>
      </c>
      <c r="DA133">
        <v>2500</v>
      </c>
      <c r="DB133">
        <v>0</v>
      </c>
      <c r="DC133">
        <f t="shared" si="371"/>
        <v>200</v>
      </c>
      <c r="DD133">
        <f t="shared" si="372"/>
        <v>40010</v>
      </c>
      <c r="DE133">
        <v>33500</v>
      </c>
      <c r="DF133">
        <f t="shared" si="373"/>
        <v>4690</v>
      </c>
      <c r="DG133">
        <f t="shared" si="374"/>
        <v>4020</v>
      </c>
      <c r="DH133">
        <v>0</v>
      </c>
      <c r="DI133">
        <v>500</v>
      </c>
      <c r="DJ133">
        <f t="shared" si="375"/>
        <v>42710</v>
      </c>
      <c r="DK133">
        <v>2500</v>
      </c>
      <c r="DL133">
        <v>0</v>
      </c>
      <c r="DM133">
        <f t="shared" si="376"/>
        <v>200</v>
      </c>
      <c r="DN133">
        <f t="shared" si="377"/>
        <v>40010</v>
      </c>
      <c r="DO133">
        <v>33500</v>
      </c>
      <c r="DP133">
        <f t="shared" si="378"/>
        <v>4690</v>
      </c>
      <c r="DQ133">
        <f t="shared" si="379"/>
        <v>4020</v>
      </c>
      <c r="DR133">
        <v>0</v>
      </c>
      <c r="DS133">
        <v>500</v>
      </c>
      <c r="DT133">
        <f t="shared" si="380"/>
        <v>42710</v>
      </c>
      <c r="DU133">
        <v>2500</v>
      </c>
      <c r="DV133">
        <v>0</v>
      </c>
      <c r="DW133">
        <f t="shared" si="381"/>
        <v>200</v>
      </c>
      <c r="DX133">
        <f t="shared" si="382"/>
        <v>40010</v>
      </c>
      <c r="DY133">
        <f t="shared" si="383"/>
        <v>512180</v>
      </c>
      <c r="DZ133">
        <f t="shared" si="315"/>
        <v>2400</v>
      </c>
      <c r="EA133">
        <f t="shared" si="316"/>
        <v>50000</v>
      </c>
      <c r="EB133">
        <v>0</v>
      </c>
      <c r="EC133">
        <f t="shared" si="317"/>
        <v>459780</v>
      </c>
      <c r="ED133">
        <f t="shared" si="318"/>
        <v>28000</v>
      </c>
      <c r="EE133">
        <f t="shared" si="319"/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f t="shared" si="320"/>
        <v>28000</v>
      </c>
      <c r="EQ133">
        <f t="shared" si="384"/>
        <v>28000</v>
      </c>
      <c r="ER133">
        <f t="shared" si="321"/>
        <v>431780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f t="shared" si="385"/>
        <v>0</v>
      </c>
      <c r="FA133">
        <f t="shared" si="386"/>
        <v>431780</v>
      </c>
      <c r="FB133">
        <f t="shared" si="387"/>
        <v>9089</v>
      </c>
      <c r="FC133">
        <f t="shared" si="388"/>
        <v>0</v>
      </c>
      <c r="FD133">
        <f t="shared" si="389"/>
        <v>9089</v>
      </c>
      <c r="FE133">
        <f t="shared" si="390"/>
        <v>0</v>
      </c>
      <c r="FF133">
        <f t="shared" si="391"/>
        <v>0</v>
      </c>
      <c r="FG133">
        <f t="shared" si="392"/>
        <v>0</v>
      </c>
      <c r="FH133">
        <v>0</v>
      </c>
      <c r="FI133">
        <f t="shared" si="393"/>
        <v>0</v>
      </c>
      <c r="FJ133" t="b">
        <f t="shared" si="394"/>
        <v>1</v>
      </c>
      <c r="FK133">
        <f t="shared" ca="1" si="395"/>
        <v>568</v>
      </c>
      <c r="FL133">
        <f t="shared" ca="1" si="396"/>
        <v>512748</v>
      </c>
      <c r="FM133">
        <f t="shared" si="397"/>
        <v>75000</v>
      </c>
      <c r="FN133">
        <f t="shared" ca="1" si="398"/>
        <v>437748</v>
      </c>
      <c r="FO133">
        <f t="shared" ca="1" si="399"/>
        <v>0</v>
      </c>
      <c r="FP133">
        <f t="shared" ca="1" si="400"/>
        <v>0</v>
      </c>
      <c r="FQ133">
        <f t="shared" ca="1" si="401"/>
        <v>0</v>
      </c>
      <c r="FR133">
        <f t="shared" ca="1" si="402"/>
        <v>0</v>
      </c>
      <c r="FS133">
        <f t="shared" ca="1" si="403"/>
        <v>0</v>
      </c>
      <c r="FT133">
        <f t="shared" ca="1" si="404"/>
        <v>0</v>
      </c>
      <c r="FU133">
        <f t="shared" ca="1" si="405"/>
        <v>0</v>
      </c>
      <c r="FV133">
        <f t="shared" ca="1" si="406"/>
        <v>0</v>
      </c>
      <c r="FW133">
        <f t="shared" ca="1" si="407"/>
        <v>137748</v>
      </c>
      <c r="FX133">
        <f t="shared" ca="1" si="408"/>
        <v>6887.4000000000005</v>
      </c>
      <c r="FY133">
        <f t="shared" ca="1" si="409"/>
        <v>6887</v>
      </c>
      <c r="FZ133">
        <f t="shared" ca="1" si="410"/>
        <v>0</v>
      </c>
      <c r="GA133">
        <f t="shared" ca="1" si="411"/>
        <v>0</v>
      </c>
      <c r="GB133">
        <f t="shared" ca="1" si="412"/>
        <v>6887</v>
      </c>
      <c r="GC133">
        <f t="shared" ca="1" si="413"/>
        <v>0</v>
      </c>
      <c r="GD133" t="b">
        <f t="shared" ca="1" si="414"/>
        <v>0</v>
      </c>
      <c r="GE133">
        <f t="shared" ca="1" si="415"/>
        <v>0</v>
      </c>
      <c r="GF133">
        <f t="shared" ca="1" si="416"/>
        <v>6887</v>
      </c>
      <c r="GG133">
        <f t="shared" ca="1" si="417"/>
        <v>0</v>
      </c>
      <c r="GH133">
        <f t="shared" ca="1" si="418"/>
        <v>0</v>
      </c>
      <c r="GI133">
        <f t="shared" ca="1" si="419"/>
        <v>0</v>
      </c>
    </row>
    <row r="134" spans="1:191" x14ac:dyDescent="0.25">
      <c r="A134">
        <f>_xlfn.AGGREGATE(3,5,$B$2:B134)</f>
        <v>133</v>
      </c>
      <c r="B134" t="s">
        <v>387</v>
      </c>
      <c r="C134" t="s">
        <v>388</v>
      </c>
      <c r="D134" t="s">
        <v>799</v>
      </c>
      <c r="E134" t="s">
        <v>844</v>
      </c>
      <c r="F134">
        <v>0</v>
      </c>
      <c r="G134">
        <v>6000</v>
      </c>
      <c r="H134">
        <v>33500</v>
      </c>
      <c r="I134">
        <f t="shared" si="322"/>
        <v>3350</v>
      </c>
      <c r="J134">
        <f t="shared" si="323"/>
        <v>4020</v>
      </c>
      <c r="K134">
        <v>400</v>
      </c>
      <c r="L134">
        <v>500</v>
      </c>
      <c r="M134">
        <f t="shared" si="324"/>
        <v>41770</v>
      </c>
      <c r="N134">
        <v>5000</v>
      </c>
      <c r="O134">
        <v>0</v>
      </c>
      <c r="P134">
        <f t="shared" si="325"/>
        <v>200</v>
      </c>
      <c r="Q134">
        <f t="shared" si="326"/>
        <v>36570</v>
      </c>
      <c r="R134">
        <v>33500</v>
      </c>
      <c r="S134">
        <f t="shared" si="327"/>
        <v>3350</v>
      </c>
      <c r="T134">
        <f t="shared" si="328"/>
        <v>4020</v>
      </c>
      <c r="U134">
        <v>400</v>
      </c>
      <c r="V134">
        <v>500</v>
      </c>
      <c r="W134">
        <f t="shared" si="329"/>
        <v>41770</v>
      </c>
      <c r="X134">
        <v>5000</v>
      </c>
      <c r="Y134">
        <v>0</v>
      </c>
      <c r="Z134">
        <f t="shared" si="330"/>
        <v>200</v>
      </c>
      <c r="AA134">
        <f t="shared" si="331"/>
        <v>36570</v>
      </c>
      <c r="AB134">
        <v>33500</v>
      </c>
      <c r="AC134">
        <f t="shared" si="332"/>
        <v>4690</v>
      </c>
      <c r="AD134">
        <f t="shared" si="333"/>
        <v>4020</v>
      </c>
      <c r="AE134">
        <v>400</v>
      </c>
      <c r="AF134">
        <v>500</v>
      </c>
      <c r="AG134">
        <f t="shared" si="334"/>
        <v>43110</v>
      </c>
      <c r="AH134">
        <v>5000</v>
      </c>
      <c r="AI134">
        <v>0</v>
      </c>
      <c r="AJ134">
        <f t="shared" si="335"/>
        <v>200</v>
      </c>
      <c r="AK134">
        <f t="shared" si="336"/>
        <v>37910</v>
      </c>
      <c r="AL134">
        <v>33500</v>
      </c>
      <c r="AM134">
        <f t="shared" si="337"/>
        <v>4690</v>
      </c>
      <c r="AN134">
        <f t="shared" si="338"/>
        <v>4020</v>
      </c>
      <c r="AO134">
        <v>400</v>
      </c>
      <c r="AP134">
        <v>500</v>
      </c>
      <c r="AQ134">
        <f t="shared" si="339"/>
        <v>43110</v>
      </c>
      <c r="AR134">
        <v>5000</v>
      </c>
      <c r="AS134">
        <v>0</v>
      </c>
      <c r="AT134">
        <f t="shared" si="340"/>
        <v>200</v>
      </c>
      <c r="AU134">
        <f t="shared" si="341"/>
        <v>37910</v>
      </c>
      <c r="AV134">
        <v>35500</v>
      </c>
      <c r="AW134">
        <f t="shared" si="342"/>
        <v>4970.0000000000009</v>
      </c>
      <c r="AX134">
        <f t="shared" si="343"/>
        <v>1340</v>
      </c>
      <c r="AY134">
        <f t="shared" si="344"/>
        <v>4260</v>
      </c>
      <c r="AZ134">
        <v>400</v>
      </c>
      <c r="BA134">
        <v>500</v>
      </c>
      <c r="BB134">
        <f t="shared" si="345"/>
        <v>46970</v>
      </c>
      <c r="BC134">
        <v>5000</v>
      </c>
      <c r="BD134">
        <v>0</v>
      </c>
      <c r="BE134">
        <f t="shared" si="346"/>
        <v>200</v>
      </c>
      <c r="BF134">
        <f t="shared" si="347"/>
        <v>41770</v>
      </c>
      <c r="BG134">
        <v>35500</v>
      </c>
      <c r="BH134">
        <f t="shared" si="348"/>
        <v>4970.0000000000009</v>
      </c>
      <c r="BI134">
        <f t="shared" si="349"/>
        <v>4260</v>
      </c>
      <c r="BJ134">
        <v>400</v>
      </c>
      <c r="BK134">
        <v>500</v>
      </c>
      <c r="BL134">
        <f t="shared" si="350"/>
        <v>45630</v>
      </c>
      <c r="BM134">
        <v>5000</v>
      </c>
      <c r="BN134">
        <v>0</v>
      </c>
      <c r="BO134">
        <f t="shared" si="351"/>
        <v>200</v>
      </c>
      <c r="BP134">
        <f t="shared" si="352"/>
        <v>40430</v>
      </c>
      <c r="BQ134">
        <v>35500</v>
      </c>
      <c r="BR134">
        <f t="shared" si="353"/>
        <v>4970.0000000000009</v>
      </c>
      <c r="BS134">
        <f t="shared" si="354"/>
        <v>4260</v>
      </c>
      <c r="BT134">
        <v>400</v>
      </c>
      <c r="BU134">
        <v>500</v>
      </c>
      <c r="BV134">
        <f t="shared" si="355"/>
        <v>45630</v>
      </c>
      <c r="BW134">
        <v>5000</v>
      </c>
      <c r="BX134">
        <v>0</v>
      </c>
      <c r="BY134">
        <f t="shared" si="356"/>
        <v>200</v>
      </c>
      <c r="BZ134">
        <f t="shared" si="357"/>
        <v>40430</v>
      </c>
      <c r="CA134">
        <v>35500</v>
      </c>
      <c r="CB134">
        <f t="shared" si="358"/>
        <v>4970.0000000000009</v>
      </c>
      <c r="CC134">
        <f t="shared" si="359"/>
        <v>4260</v>
      </c>
      <c r="CD134">
        <v>400</v>
      </c>
      <c r="CE134">
        <v>500</v>
      </c>
      <c r="CF134">
        <f t="shared" si="360"/>
        <v>45630</v>
      </c>
      <c r="CG134">
        <v>5000</v>
      </c>
      <c r="CH134">
        <v>0</v>
      </c>
      <c r="CI134">
        <f t="shared" si="361"/>
        <v>200</v>
      </c>
      <c r="CJ134">
        <f t="shared" si="362"/>
        <v>40430</v>
      </c>
      <c r="CK134">
        <v>35500</v>
      </c>
      <c r="CL134">
        <f t="shared" si="363"/>
        <v>4970.0000000000009</v>
      </c>
      <c r="CM134">
        <f t="shared" si="364"/>
        <v>4260</v>
      </c>
      <c r="CN134">
        <v>400</v>
      </c>
      <c r="CO134">
        <v>500</v>
      </c>
      <c r="CP134">
        <f t="shared" si="365"/>
        <v>45630</v>
      </c>
      <c r="CQ134">
        <v>5000</v>
      </c>
      <c r="CR134">
        <v>0</v>
      </c>
      <c r="CS134">
        <f t="shared" si="366"/>
        <v>200</v>
      </c>
      <c r="CT134">
        <f t="shared" si="367"/>
        <v>40430</v>
      </c>
      <c r="CU134">
        <v>35500</v>
      </c>
      <c r="CV134">
        <f t="shared" si="368"/>
        <v>4970</v>
      </c>
      <c r="CW134">
        <f t="shared" si="369"/>
        <v>4260</v>
      </c>
      <c r="CX134">
        <v>400</v>
      </c>
      <c r="CY134">
        <v>500</v>
      </c>
      <c r="CZ134">
        <f t="shared" si="370"/>
        <v>45630</v>
      </c>
      <c r="DA134">
        <v>5000</v>
      </c>
      <c r="DB134">
        <v>0</v>
      </c>
      <c r="DC134">
        <f t="shared" si="371"/>
        <v>200</v>
      </c>
      <c r="DD134">
        <f t="shared" si="372"/>
        <v>40430</v>
      </c>
      <c r="DE134">
        <v>35500</v>
      </c>
      <c r="DF134">
        <f t="shared" si="373"/>
        <v>4970.0000000000009</v>
      </c>
      <c r="DG134">
        <f t="shared" si="374"/>
        <v>4260</v>
      </c>
      <c r="DH134">
        <v>400</v>
      </c>
      <c r="DI134">
        <v>500</v>
      </c>
      <c r="DJ134">
        <f t="shared" si="375"/>
        <v>45630</v>
      </c>
      <c r="DK134">
        <v>5000</v>
      </c>
      <c r="DL134">
        <v>0</v>
      </c>
      <c r="DM134">
        <f t="shared" si="376"/>
        <v>200</v>
      </c>
      <c r="DN134">
        <f t="shared" si="377"/>
        <v>40430</v>
      </c>
      <c r="DO134">
        <v>35500</v>
      </c>
      <c r="DP134">
        <f t="shared" si="378"/>
        <v>4970.0000000000009</v>
      </c>
      <c r="DQ134">
        <f t="shared" si="379"/>
        <v>4260</v>
      </c>
      <c r="DR134">
        <v>400</v>
      </c>
      <c r="DS134">
        <v>500</v>
      </c>
      <c r="DT134">
        <f t="shared" si="380"/>
        <v>45630</v>
      </c>
      <c r="DU134">
        <v>5000</v>
      </c>
      <c r="DV134">
        <v>0</v>
      </c>
      <c r="DW134">
        <f t="shared" si="381"/>
        <v>200</v>
      </c>
      <c r="DX134">
        <f t="shared" si="382"/>
        <v>40430</v>
      </c>
      <c r="DY134">
        <f t="shared" si="383"/>
        <v>542140</v>
      </c>
      <c r="DZ134">
        <f t="shared" si="315"/>
        <v>2400</v>
      </c>
      <c r="EA134">
        <f t="shared" si="316"/>
        <v>50000</v>
      </c>
      <c r="EB134">
        <v>0</v>
      </c>
      <c r="EC134">
        <f t="shared" si="317"/>
        <v>489740</v>
      </c>
      <c r="ED134">
        <f t="shared" si="318"/>
        <v>60000</v>
      </c>
      <c r="EE134">
        <f t="shared" si="319"/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f t="shared" si="320"/>
        <v>60000</v>
      </c>
      <c r="EQ134">
        <f t="shared" si="384"/>
        <v>60000</v>
      </c>
      <c r="ER134">
        <f t="shared" si="321"/>
        <v>429740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f t="shared" si="385"/>
        <v>0</v>
      </c>
      <c r="FA134">
        <f t="shared" si="386"/>
        <v>429740</v>
      </c>
      <c r="FB134">
        <f t="shared" si="387"/>
        <v>8987</v>
      </c>
      <c r="FC134">
        <f t="shared" si="388"/>
        <v>0</v>
      </c>
      <c r="FD134">
        <f t="shared" si="389"/>
        <v>8987</v>
      </c>
      <c r="FE134">
        <f t="shared" si="390"/>
        <v>0</v>
      </c>
      <c r="FF134">
        <f t="shared" si="391"/>
        <v>0</v>
      </c>
      <c r="FG134">
        <f t="shared" si="392"/>
        <v>0</v>
      </c>
      <c r="FH134">
        <v>0</v>
      </c>
      <c r="FI134">
        <f t="shared" si="393"/>
        <v>0</v>
      </c>
      <c r="FJ134" t="b">
        <f t="shared" si="394"/>
        <v>1</v>
      </c>
      <c r="FK134">
        <f t="shared" ca="1" si="395"/>
        <v>640</v>
      </c>
      <c r="FL134">
        <f t="shared" ca="1" si="396"/>
        <v>542780</v>
      </c>
      <c r="FM134">
        <f t="shared" si="397"/>
        <v>75000</v>
      </c>
      <c r="FN134">
        <f t="shared" ca="1" si="398"/>
        <v>467780</v>
      </c>
      <c r="FO134">
        <f t="shared" ca="1" si="399"/>
        <v>0</v>
      </c>
      <c r="FP134">
        <f t="shared" ca="1" si="400"/>
        <v>0</v>
      </c>
      <c r="FQ134">
        <f t="shared" ca="1" si="401"/>
        <v>0</v>
      </c>
      <c r="FR134">
        <f t="shared" ca="1" si="402"/>
        <v>0</v>
      </c>
      <c r="FS134">
        <f t="shared" ca="1" si="403"/>
        <v>0</v>
      </c>
      <c r="FT134">
        <f t="shared" ca="1" si="404"/>
        <v>0</v>
      </c>
      <c r="FU134">
        <f t="shared" ca="1" si="405"/>
        <v>0</v>
      </c>
      <c r="FV134">
        <f t="shared" ca="1" si="406"/>
        <v>0</v>
      </c>
      <c r="FW134">
        <f t="shared" ca="1" si="407"/>
        <v>167780</v>
      </c>
      <c r="FX134">
        <f t="shared" ca="1" si="408"/>
        <v>8389</v>
      </c>
      <c r="FY134">
        <f t="shared" ca="1" si="409"/>
        <v>8389</v>
      </c>
      <c r="FZ134">
        <f t="shared" ca="1" si="410"/>
        <v>0</v>
      </c>
      <c r="GA134">
        <f t="shared" ca="1" si="411"/>
        <v>0</v>
      </c>
      <c r="GB134">
        <f t="shared" ca="1" si="412"/>
        <v>8389</v>
      </c>
      <c r="GC134">
        <f t="shared" ca="1" si="413"/>
        <v>0</v>
      </c>
      <c r="GD134" t="b">
        <f t="shared" ca="1" si="414"/>
        <v>0</v>
      </c>
      <c r="GE134">
        <f t="shared" ca="1" si="415"/>
        <v>0</v>
      </c>
      <c r="GF134">
        <f t="shared" ca="1" si="416"/>
        <v>8389</v>
      </c>
      <c r="GG134">
        <f t="shared" ca="1" si="417"/>
        <v>0</v>
      </c>
      <c r="GH134">
        <f t="shared" ca="1" si="418"/>
        <v>0</v>
      </c>
      <c r="GI134">
        <f t="shared" ca="1" si="419"/>
        <v>0</v>
      </c>
    </row>
    <row r="135" spans="1:191" x14ac:dyDescent="0.25">
      <c r="A135">
        <f>_xlfn.AGGREGATE(3,5,$B$2:B135)</f>
        <v>134</v>
      </c>
      <c r="B135" t="s">
        <v>389</v>
      </c>
      <c r="C135" t="s">
        <v>390</v>
      </c>
      <c r="D135" t="s">
        <v>799</v>
      </c>
      <c r="E135" t="s">
        <v>844</v>
      </c>
      <c r="F135">
        <v>0</v>
      </c>
      <c r="G135">
        <v>6000</v>
      </c>
      <c r="H135">
        <v>26200</v>
      </c>
      <c r="I135">
        <f t="shared" si="322"/>
        <v>2620</v>
      </c>
      <c r="J135">
        <f t="shared" si="323"/>
        <v>3144</v>
      </c>
      <c r="K135">
        <v>0</v>
      </c>
      <c r="L135">
        <v>500</v>
      </c>
      <c r="M135">
        <f t="shared" si="324"/>
        <v>32464</v>
      </c>
      <c r="N135">
        <v>2000</v>
      </c>
      <c r="O135">
        <v>0</v>
      </c>
      <c r="P135">
        <f t="shared" si="325"/>
        <v>150</v>
      </c>
      <c r="Q135">
        <f t="shared" si="326"/>
        <v>30314</v>
      </c>
      <c r="R135">
        <v>26200</v>
      </c>
      <c r="S135">
        <f t="shared" si="327"/>
        <v>2620</v>
      </c>
      <c r="T135">
        <f t="shared" si="328"/>
        <v>3144</v>
      </c>
      <c r="U135">
        <v>0</v>
      </c>
      <c r="V135">
        <v>500</v>
      </c>
      <c r="W135">
        <f t="shared" si="329"/>
        <v>32464</v>
      </c>
      <c r="X135">
        <v>2000</v>
      </c>
      <c r="Y135">
        <v>0</v>
      </c>
      <c r="Z135">
        <f t="shared" si="330"/>
        <v>150</v>
      </c>
      <c r="AA135">
        <f t="shared" si="331"/>
        <v>30314</v>
      </c>
      <c r="AB135">
        <v>26200</v>
      </c>
      <c r="AC135">
        <f t="shared" si="332"/>
        <v>3668.0000000000005</v>
      </c>
      <c r="AD135">
        <f t="shared" si="333"/>
        <v>3144</v>
      </c>
      <c r="AE135">
        <v>0</v>
      </c>
      <c r="AF135">
        <v>500</v>
      </c>
      <c r="AG135">
        <f t="shared" si="334"/>
        <v>33512</v>
      </c>
      <c r="AH135">
        <v>2000</v>
      </c>
      <c r="AI135">
        <v>0</v>
      </c>
      <c r="AJ135">
        <f t="shared" si="335"/>
        <v>150</v>
      </c>
      <c r="AK135">
        <f t="shared" si="336"/>
        <v>31362</v>
      </c>
      <c r="AL135">
        <v>26200</v>
      </c>
      <c r="AM135">
        <f t="shared" si="337"/>
        <v>3668.0000000000005</v>
      </c>
      <c r="AN135">
        <f t="shared" si="338"/>
        <v>3144</v>
      </c>
      <c r="AO135">
        <v>0</v>
      </c>
      <c r="AP135">
        <v>500</v>
      </c>
      <c r="AQ135">
        <f t="shared" si="339"/>
        <v>33512</v>
      </c>
      <c r="AR135">
        <v>2000</v>
      </c>
      <c r="AS135">
        <v>0</v>
      </c>
      <c r="AT135">
        <f t="shared" si="340"/>
        <v>150</v>
      </c>
      <c r="AU135">
        <f t="shared" si="341"/>
        <v>31362</v>
      </c>
      <c r="AV135">
        <v>27000</v>
      </c>
      <c r="AW135">
        <f t="shared" si="342"/>
        <v>3780.0000000000005</v>
      </c>
      <c r="AX135">
        <f t="shared" si="343"/>
        <v>1048</v>
      </c>
      <c r="AY135">
        <f t="shared" si="344"/>
        <v>3240</v>
      </c>
      <c r="AZ135">
        <v>0</v>
      </c>
      <c r="BA135">
        <v>500</v>
      </c>
      <c r="BB135">
        <f t="shared" si="345"/>
        <v>35568</v>
      </c>
      <c r="BC135">
        <v>2000</v>
      </c>
      <c r="BD135">
        <v>0</v>
      </c>
      <c r="BE135">
        <f t="shared" si="346"/>
        <v>150</v>
      </c>
      <c r="BF135">
        <f t="shared" si="347"/>
        <v>33418</v>
      </c>
      <c r="BG135">
        <v>27000</v>
      </c>
      <c r="BH135">
        <f t="shared" si="348"/>
        <v>3780.0000000000005</v>
      </c>
      <c r="BI135">
        <f t="shared" si="349"/>
        <v>3240</v>
      </c>
      <c r="BJ135">
        <v>0</v>
      </c>
      <c r="BK135">
        <v>500</v>
      </c>
      <c r="BL135">
        <f t="shared" si="350"/>
        <v>34520</v>
      </c>
      <c r="BM135">
        <v>2000</v>
      </c>
      <c r="BN135">
        <v>0</v>
      </c>
      <c r="BO135">
        <f t="shared" si="351"/>
        <v>150</v>
      </c>
      <c r="BP135">
        <f t="shared" si="352"/>
        <v>32370</v>
      </c>
      <c r="BQ135">
        <v>27000</v>
      </c>
      <c r="BR135">
        <f t="shared" si="353"/>
        <v>3780.0000000000005</v>
      </c>
      <c r="BS135">
        <f t="shared" si="354"/>
        <v>3240</v>
      </c>
      <c r="BT135">
        <v>0</v>
      </c>
      <c r="BU135">
        <v>500</v>
      </c>
      <c r="BV135">
        <f t="shared" si="355"/>
        <v>34520</v>
      </c>
      <c r="BW135">
        <v>2000</v>
      </c>
      <c r="BX135">
        <v>0</v>
      </c>
      <c r="BY135">
        <f t="shared" si="356"/>
        <v>150</v>
      </c>
      <c r="BZ135">
        <f t="shared" si="357"/>
        <v>32370</v>
      </c>
      <c r="CA135">
        <v>27000</v>
      </c>
      <c r="CB135">
        <f t="shared" si="358"/>
        <v>3780.0000000000005</v>
      </c>
      <c r="CC135">
        <f t="shared" si="359"/>
        <v>3240</v>
      </c>
      <c r="CD135">
        <v>0</v>
      </c>
      <c r="CE135">
        <v>500</v>
      </c>
      <c r="CF135">
        <f t="shared" si="360"/>
        <v>34520</v>
      </c>
      <c r="CG135">
        <v>2000</v>
      </c>
      <c r="CH135">
        <v>0</v>
      </c>
      <c r="CI135">
        <f t="shared" si="361"/>
        <v>150</v>
      </c>
      <c r="CJ135">
        <f t="shared" si="362"/>
        <v>32370</v>
      </c>
      <c r="CK135">
        <v>27000</v>
      </c>
      <c r="CL135">
        <f t="shared" si="363"/>
        <v>3780.0000000000005</v>
      </c>
      <c r="CM135">
        <f t="shared" si="364"/>
        <v>3240</v>
      </c>
      <c r="CN135">
        <v>0</v>
      </c>
      <c r="CO135">
        <v>500</v>
      </c>
      <c r="CP135">
        <f t="shared" si="365"/>
        <v>34520</v>
      </c>
      <c r="CQ135">
        <v>2000</v>
      </c>
      <c r="CR135">
        <v>0</v>
      </c>
      <c r="CS135">
        <f t="shared" si="366"/>
        <v>150</v>
      </c>
      <c r="CT135">
        <f t="shared" si="367"/>
        <v>32370</v>
      </c>
      <c r="CU135">
        <v>27000</v>
      </c>
      <c r="CV135">
        <f t="shared" si="368"/>
        <v>3780</v>
      </c>
      <c r="CW135">
        <f t="shared" si="369"/>
        <v>3240</v>
      </c>
      <c r="CX135">
        <v>0</v>
      </c>
      <c r="CY135">
        <v>500</v>
      </c>
      <c r="CZ135">
        <f t="shared" si="370"/>
        <v>34520</v>
      </c>
      <c r="DA135">
        <v>2000</v>
      </c>
      <c r="DB135">
        <v>0</v>
      </c>
      <c r="DC135">
        <f t="shared" si="371"/>
        <v>150</v>
      </c>
      <c r="DD135">
        <f t="shared" si="372"/>
        <v>32370</v>
      </c>
      <c r="DE135">
        <v>27000</v>
      </c>
      <c r="DF135">
        <f t="shared" si="373"/>
        <v>3780.0000000000005</v>
      </c>
      <c r="DG135">
        <f t="shared" si="374"/>
        <v>3240</v>
      </c>
      <c r="DH135">
        <v>0</v>
      </c>
      <c r="DI135">
        <v>500</v>
      </c>
      <c r="DJ135">
        <f t="shared" si="375"/>
        <v>34520</v>
      </c>
      <c r="DK135">
        <v>2000</v>
      </c>
      <c r="DL135">
        <v>0</v>
      </c>
      <c r="DM135">
        <f t="shared" si="376"/>
        <v>150</v>
      </c>
      <c r="DN135">
        <f t="shared" si="377"/>
        <v>32370</v>
      </c>
      <c r="DO135">
        <v>27000</v>
      </c>
      <c r="DP135">
        <f t="shared" si="378"/>
        <v>3780.0000000000005</v>
      </c>
      <c r="DQ135">
        <f t="shared" si="379"/>
        <v>3240</v>
      </c>
      <c r="DR135">
        <v>0</v>
      </c>
      <c r="DS135">
        <v>500</v>
      </c>
      <c r="DT135">
        <f t="shared" si="380"/>
        <v>34520</v>
      </c>
      <c r="DU135">
        <v>2000</v>
      </c>
      <c r="DV135">
        <v>0</v>
      </c>
      <c r="DW135">
        <f t="shared" si="381"/>
        <v>150</v>
      </c>
      <c r="DX135">
        <f t="shared" si="382"/>
        <v>32370</v>
      </c>
      <c r="DY135">
        <f t="shared" si="383"/>
        <v>415160</v>
      </c>
      <c r="DZ135">
        <f t="shared" si="315"/>
        <v>1800</v>
      </c>
      <c r="EA135">
        <f t="shared" si="316"/>
        <v>50000</v>
      </c>
      <c r="EB135">
        <v>0</v>
      </c>
      <c r="EC135">
        <f t="shared" si="317"/>
        <v>363360</v>
      </c>
      <c r="ED135">
        <f t="shared" si="318"/>
        <v>24000</v>
      </c>
      <c r="EE135">
        <f t="shared" si="319"/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f t="shared" si="320"/>
        <v>24000</v>
      </c>
      <c r="EQ135">
        <f t="shared" si="384"/>
        <v>24000</v>
      </c>
      <c r="ER135">
        <f t="shared" si="321"/>
        <v>339360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f t="shared" si="385"/>
        <v>0</v>
      </c>
      <c r="FA135">
        <f t="shared" si="386"/>
        <v>339360</v>
      </c>
      <c r="FB135">
        <f t="shared" si="387"/>
        <v>4468</v>
      </c>
      <c r="FC135">
        <f t="shared" si="388"/>
        <v>0</v>
      </c>
      <c r="FD135">
        <f t="shared" si="389"/>
        <v>4468</v>
      </c>
      <c r="FE135">
        <f t="shared" si="390"/>
        <v>0</v>
      </c>
      <c r="FF135">
        <f t="shared" si="391"/>
        <v>0</v>
      </c>
      <c r="FG135">
        <f t="shared" si="392"/>
        <v>0</v>
      </c>
      <c r="FH135">
        <v>0</v>
      </c>
      <c r="FI135">
        <f t="shared" si="393"/>
        <v>0</v>
      </c>
      <c r="FJ135" t="b">
        <f t="shared" si="394"/>
        <v>0</v>
      </c>
      <c r="FK135">
        <f t="shared" ca="1" si="395"/>
        <v>2829</v>
      </c>
      <c r="FL135">
        <f t="shared" ca="1" si="396"/>
        <v>417989</v>
      </c>
      <c r="FM135">
        <f t="shared" si="397"/>
        <v>75000</v>
      </c>
      <c r="FN135">
        <f t="shared" ca="1" si="398"/>
        <v>342989</v>
      </c>
      <c r="FO135">
        <f t="shared" ca="1" si="399"/>
        <v>0</v>
      </c>
      <c r="FP135">
        <f t="shared" ca="1" si="400"/>
        <v>0</v>
      </c>
      <c r="FQ135">
        <f t="shared" ca="1" si="401"/>
        <v>0</v>
      </c>
      <c r="FR135">
        <f t="shared" ca="1" si="402"/>
        <v>0</v>
      </c>
      <c r="FS135">
        <f t="shared" ca="1" si="403"/>
        <v>0</v>
      </c>
      <c r="FT135">
        <f t="shared" ca="1" si="404"/>
        <v>0</v>
      </c>
      <c r="FU135">
        <f t="shared" ca="1" si="405"/>
        <v>0</v>
      </c>
      <c r="FV135">
        <f t="shared" ca="1" si="406"/>
        <v>0</v>
      </c>
      <c r="FW135">
        <f t="shared" ca="1" si="407"/>
        <v>42989</v>
      </c>
      <c r="FX135">
        <f t="shared" ca="1" si="408"/>
        <v>2149.4500000000003</v>
      </c>
      <c r="FY135">
        <f t="shared" ca="1" si="409"/>
        <v>2149</v>
      </c>
      <c r="FZ135">
        <f t="shared" ca="1" si="410"/>
        <v>0</v>
      </c>
      <c r="GA135">
        <f t="shared" ca="1" si="411"/>
        <v>0</v>
      </c>
      <c r="GB135">
        <f t="shared" ca="1" si="412"/>
        <v>2149</v>
      </c>
      <c r="GC135">
        <f t="shared" ca="1" si="413"/>
        <v>0</v>
      </c>
      <c r="GD135" t="b">
        <f t="shared" ca="1" si="414"/>
        <v>0</v>
      </c>
      <c r="GE135">
        <f t="shared" ca="1" si="415"/>
        <v>0</v>
      </c>
      <c r="GF135">
        <f t="shared" ca="1" si="416"/>
        <v>2149</v>
      </c>
      <c r="GG135">
        <f t="shared" ca="1" si="417"/>
        <v>0</v>
      </c>
      <c r="GH135">
        <f t="shared" ca="1" si="418"/>
        <v>0</v>
      </c>
      <c r="GI135">
        <f t="shared" ca="1" si="419"/>
        <v>0</v>
      </c>
    </row>
    <row r="136" spans="1:191" x14ac:dyDescent="0.25">
      <c r="A136">
        <f>_xlfn.AGGREGATE(3,5,$B$2:B136)</f>
        <v>135</v>
      </c>
      <c r="B136" t="s">
        <v>391</v>
      </c>
      <c r="C136" t="s">
        <v>392</v>
      </c>
      <c r="D136" t="s">
        <v>799</v>
      </c>
      <c r="E136" t="s">
        <v>843</v>
      </c>
      <c r="F136">
        <v>0</v>
      </c>
      <c r="G136">
        <v>0</v>
      </c>
      <c r="H136">
        <v>0</v>
      </c>
      <c r="I136">
        <f t="shared" si="322"/>
        <v>0</v>
      </c>
      <c r="J136">
        <f t="shared" si="323"/>
        <v>0</v>
      </c>
      <c r="K136">
        <v>0</v>
      </c>
      <c r="L136">
        <v>0</v>
      </c>
      <c r="M136">
        <f t="shared" si="324"/>
        <v>0</v>
      </c>
      <c r="N136">
        <v>0</v>
      </c>
      <c r="O136">
        <v>0</v>
      </c>
      <c r="P136">
        <f t="shared" si="325"/>
        <v>0</v>
      </c>
      <c r="Q136">
        <f t="shared" si="326"/>
        <v>0</v>
      </c>
      <c r="R136">
        <v>28900</v>
      </c>
      <c r="S136">
        <f t="shared" si="327"/>
        <v>2890</v>
      </c>
      <c r="T136">
        <f t="shared" si="328"/>
        <v>3468</v>
      </c>
      <c r="U136">
        <v>0</v>
      </c>
      <c r="V136">
        <v>500</v>
      </c>
      <c r="W136">
        <f t="shared" si="329"/>
        <v>35758</v>
      </c>
      <c r="X136">
        <v>0</v>
      </c>
      <c r="Y136">
        <v>0</v>
      </c>
      <c r="Z136">
        <f t="shared" si="330"/>
        <v>150</v>
      </c>
      <c r="AA136">
        <f t="shared" si="331"/>
        <v>35608</v>
      </c>
      <c r="AB136">
        <v>28900</v>
      </c>
      <c r="AC136">
        <f t="shared" si="332"/>
        <v>4046.0000000000005</v>
      </c>
      <c r="AD136">
        <f t="shared" si="333"/>
        <v>3468</v>
      </c>
      <c r="AE136">
        <v>0</v>
      </c>
      <c r="AF136">
        <v>500</v>
      </c>
      <c r="AG136">
        <f t="shared" si="334"/>
        <v>36914</v>
      </c>
      <c r="AH136">
        <v>0</v>
      </c>
      <c r="AI136">
        <v>0</v>
      </c>
      <c r="AJ136">
        <f t="shared" si="335"/>
        <v>150</v>
      </c>
      <c r="AK136">
        <f t="shared" si="336"/>
        <v>36764</v>
      </c>
      <c r="AL136">
        <v>28900</v>
      </c>
      <c r="AM136">
        <f t="shared" si="337"/>
        <v>4046.0000000000005</v>
      </c>
      <c r="AN136">
        <f t="shared" si="338"/>
        <v>3468</v>
      </c>
      <c r="AO136">
        <v>0</v>
      </c>
      <c r="AP136">
        <v>500</v>
      </c>
      <c r="AQ136">
        <f t="shared" si="339"/>
        <v>36914</v>
      </c>
      <c r="AR136">
        <v>0</v>
      </c>
      <c r="AS136">
        <v>0</v>
      </c>
      <c r="AT136">
        <f t="shared" si="340"/>
        <v>150</v>
      </c>
      <c r="AU136">
        <f t="shared" si="341"/>
        <v>36764</v>
      </c>
      <c r="AV136">
        <v>28900</v>
      </c>
      <c r="AW136">
        <f t="shared" si="342"/>
        <v>4046.0000000000005</v>
      </c>
      <c r="AX136">
        <f t="shared" si="343"/>
        <v>1156</v>
      </c>
      <c r="AY136">
        <f t="shared" si="344"/>
        <v>3468</v>
      </c>
      <c r="AZ136">
        <v>0</v>
      </c>
      <c r="BA136">
        <v>500</v>
      </c>
      <c r="BB136">
        <f t="shared" si="345"/>
        <v>38070</v>
      </c>
      <c r="BC136">
        <v>0</v>
      </c>
      <c r="BD136">
        <v>0</v>
      </c>
      <c r="BE136">
        <f t="shared" si="346"/>
        <v>150</v>
      </c>
      <c r="BF136">
        <f t="shared" si="347"/>
        <v>37920</v>
      </c>
      <c r="BG136">
        <v>28900</v>
      </c>
      <c r="BH136">
        <f t="shared" si="348"/>
        <v>4046.0000000000005</v>
      </c>
      <c r="BI136">
        <f t="shared" si="349"/>
        <v>3468</v>
      </c>
      <c r="BJ136">
        <v>0</v>
      </c>
      <c r="BK136">
        <v>500</v>
      </c>
      <c r="BL136">
        <f t="shared" si="350"/>
        <v>36914</v>
      </c>
      <c r="BM136">
        <v>0</v>
      </c>
      <c r="BN136">
        <v>0</v>
      </c>
      <c r="BO136">
        <f t="shared" si="351"/>
        <v>150</v>
      </c>
      <c r="BP136">
        <f t="shared" si="352"/>
        <v>36764</v>
      </c>
      <c r="BQ136">
        <v>28900</v>
      </c>
      <c r="BR136">
        <f t="shared" si="353"/>
        <v>4046.0000000000005</v>
      </c>
      <c r="BS136">
        <f t="shared" si="354"/>
        <v>3468</v>
      </c>
      <c r="BT136">
        <v>0</v>
      </c>
      <c r="BU136">
        <v>500</v>
      </c>
      <c r="BV136">
        <f t="shared" si="355"/>
        <v>36914</v>
      </c>
      <c r="BW136">
        <v>0</v>
      </c>
      <c r="BX136">
        <v>0</v>
      </c>
      <c r="BY136">
        <f t="shared" si="356"/>
        <v>150</v>
      </c>
      <c r="BZ136">
        <f t="shared" si="357"/>
        <v>36764</v>
      </c>
      <c r="CA136">
        <v>28900</v>
      </c>
      <c r="CB136">
        <f t="shared" si="358"/>
        <v>4046.0000000000005</v>
      </c>
      <c r="CC136">
        <f t="shared" si="359"/>
        <v>3468</v>
      </c>
      <c r="CD136">
        <v>0</v>
      </c>
      <c r="CE136">
        <v>500</v>
      </c>
      <c r="CF136">
        <f t="shared" si="360"/>
        <v>36914</v>
      </c>
      <c r="CG136">
        <v>0</v>
      </c>
      <c r="CH136">
        <v>0</v>
      </c>
      <c r="CI136">
        <f t="shared" si="361"/>
        <v>150</v>
      </c>
      <c r="CJ136">
        <f t="shared" si="362"/>
        <v>36764</v>
      </c>
      <c r="CK136">
        <v>28900</v>
      </c>
      <c r="CL136">
        <f t="shared" si="363"/>
        <v>4046.0000000000005</v>
      </c>
      <c r="CM136">
        <f t="shared" si="364"/>
        <v>3468</v>
      </c>
      <c r="CN136">
        <v>0</v>
      </c>
      <c r="CO136">
        <v>500</v>
      </c>
      <c r="CP136">
        <f t="shared" si="365"/>
        <v>36914</v>
      </c>
      <c r="CQ136">
        <v>0</v>
      </c>
      <c r="CR136">
        <v>0</v>
      </c>
      <c r="CS136">
        <f t="shared" si="366"/>
        <v>150</v>
      </c>
      <c r="CT136">
        <f t="shared" si="367"/>
        <v>36764</v>
      </c>
      <c r="CU136">
        <v>28900</v>
      </c>
      <c r="CV136">
        <f t="shared" si="368"/>
        <v>4046</v>
      </c>
      <c r="CW136">
        <f t="shared" si="369"/>
        <v>3468</v>
      </c>
      <c r="CX136">
        <v>0</v>
      </c>
      <c r="CY136">
        <v>500</v>
      </c>
      <c r="CZ136">
        <f t="shared" si="370"/>
        <v>36914</v>
      </c>
      <c r="DA136">
        <v>0</v>
      </c>
      <c r="DB136">
        <v>0</v>
      </c>
      <c r="DC136">
        <f t="shared" si="371"/>
        <v>150</v>
      </c>
      <c r="DD136">
        <f t="shared" si="372"/>
        <v>36764</v>
      </c>
      <c r="DE136">
        <v>28900</v>
      </c>
      <c r="DF136">
        <f t="shared" si="373"/>
        <v>4046.0000000000005</v>
      </c>
      <c r="DG136">
        <f t="shared" si="374"/>
        <v>3468</v>
      </c>
      <c r="DH136">
        <v>0</v>
      </c>
      <c r="DI136">
        <v>500</v>
      </c>
      <c r="DJ136">
        <f t="shared" si="375"/>
        <v>36914</v>
      </c>
      <c r="DK136">
        <v>0</v>
      </c>
      <c r="DL136">
        <v>0</v>
      </c>
      <c r="DM136">
        <f t="shared" si="376"/>
        <v>150</v>
      </c>
      <c r="DN136">
        <f t="shared" si="377"/>
        <v>36764</v>
      </c>
      <c r="DO136">
        <v>28900</v>
      </c>
      <c r="DP136">
        <f t="shared" si="378"/>
        <v>4046.0000000000005</v>
      </c>
      <c r="DQ136">
        <f t="shared" si="379"/>
        <v>3468</v>
      </c>
      <c r="DR136">
        <v>0</v>
      </c>
      <c r="DS136">
        <v>500</v>
      </c>
      <c r="DT136">
        <f t="shared" si="380"/>
        <v>36914</v>
      </c>
      <c r="DU136">
        <v>2000</v>
      </c>
      <c r="DV136">
        <v>0</v>
      </c>
      <c r="DW136">
        <f t="shared" si="381"/>
        <v>150</v>
      </c>
      <c r="DX136">
        <f t="shared" si="382"/>
        <v>34764</v>
      </c>
      <c r="DY136">
        <f t="shared" si="383"/>
        <v>406054</v>
      </c>
      <c r="DZ136">
        <f t="shared" si="315"/>
        <v>1650</v>
      </c>
      <c r="EA136">
        <f t="shared" si="316"/>
        <v>50000</v>
      </c>
      <c r="EB136">
        <v>0</v>
      </c>
      <c r="EC136">
        <f t="shared" si="317"/>
        <v>354404</v>
      </c>
      <c r="ED136">
        <f t="shared" si="318"/>
        <v>2000</v>
      </c>
      <c r="EE136">
        <f t="shared" si="319"/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f t="shared" si="320"/>
        <v>2000</v>
      </c>
      <c r="EQ136">
        <f t="shared" si="384"/>
        <v>2000</v>
      </c>
      <c r="ER136">
        <f t="shared" si="321"/>
        <v>352404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f t="shared" si="385"/>
        <v>0</v>
      </c>
      <c r="FA136">
        <f t="shared" si="386"/>
        <v>352404</v>
      </c>
      <c r="FB136">
        <f t="shared" si="387"/>
        <v>5120</v>
      </c>
      <c r="FC136">
        <f t="shared" si="388"/>
        <v>0</v>
      </c>
      <c r="FD136">
        <f t="shared" si="389"/>
        <v>5120</v>
      </c>
      <c r="FE136">
        <f t="shared" si="390"/>
        <v>0</v>
      </c>
      <c r="FF136">
        <f t="shared" si="391"/>
        <v>0</v>
      </c>
      <c r="FG136">
        <f t="shared" si="392"/>
        <v>0</v>
      </c>
      <c r="FH136">
        <v>0</v>
      </c>
      <c r="FI136">
        <f t="shared" si="393"/>
        <v>0</v>
      </c>
      <c r="FJ136" t="b">
        <f t="shared" si="394"/>
        <v>0</v>
      </c>
      <c r="FK136">
        <f t="shared" ca="1" si="395"/>
        <v>1347</v>
      </c>
      <c r="FL136">
        <f t="shared" ca="1" si="396"/>
        <v>407401</v>
      </c>
      <c r="FM136">
        <f t="shared" si="397"/>
        <v>75000</v>
      </c>
      <c r="FN136">
        <f t="shared" ca="1" si="398"/>
        <v>332401</v>
      </c>
      <c r="FO136">
        <f t="shared" ca="1" si="399"/>
        <v>0</v>
      </c>
      <c r="FP136">
        <f t="shared" ca="1" si="400"/>
        <v>0</v>
      </c>
      <c r="FQ136">
        <f t="shared" ca="1" si="401"/>
        <v>0</v>
      </c>
      <c r="FR136">
        <f t="shared" ca="1" si="402"/>
        <v>0</v>
      </c>
      <c r="FS136">
        <f t="shared" ca="1" si="403"/>
        <v>0</v>
      </c>
      <c r="FT136">
        <f t="shared" ca="1" si="404"/>
        <v>0</v>
      </c>
      <c r="FU136">
        <f t="shared" ca="1" si="405"/>
        <v>0</v>
      </c>
      <c r="FV136">
        <f t="shared" ca="1" si="406"/>
        <v>0</v>
      </c>
      <c r="FW136">
        <f t="shared" ca="1" si="407"/>
        <v>32401</v>
      </c>
      <c r="FX136">
        <f t="shared" ca="1" si="408"/>
        <v>1620.0500000000002</v>
      </c>
      <c r="FY136">
        <f t="shared" ca="1" si="409"/>
        <v>1620</v>
      </c>
      <c r="FZ136">
        <f t="shared" ca="1" si="410"/>
        <v>0</v>
      </c>
      <c r="GA136">
        <f t="shared" ca="1" si="411"/>
        <v>0</v>
      </c>
      <c r="GB136">
        <f t="shared" ca="1" si="412"/>
        <v>1620</v>
      </c>
      <c r="GC136">
        <f t="shared" ca="1" si="413"/>
        <v>0</v>
      </c>
      <c r="GD136" t="b">
        <f t="shared" ca="1" si="414"/>
        <v>0</v>
      </c>
      <c r="GE136">
        <f t="shared" ca="1" si="415"/>
        <v>0</v>
      </c>
      <c r="GF136">
        <f t="shared" ca="1" si="416"/>
        <v>1620</v>
      </c>
      <c r="GG136">
        <f t="shared" ca="1" si="417"/>
        <v>0</v>
      </c>
      <c r="GH136">
        <f t="shared" ca="1" si="418"/>
        <v>0</v>
      </c>
      <c r="GI136">
        <f t="shared" ca="1" si="419"/>
        <v>0</v>
      </c>
    </row>
    <row r="137" spans="1:191" x14ac:dyDescent="0.25">
      <c r="A137">
        <f>_xlfn.AGGREGATE(3,5,$B$2:B137)</f>
        <v>136</v>
      </c>
      <c r="B137" t="s">
        <v>393</v>
      </c>
      <c r="C137" t="s">
        <v>394</v>
      </c>
      <c r="D137" t="s">
        <v>800</v>
      </c>
      <c r="E137" t="s">
        <v>843</v>
      </c>
      <c r="F137">
        <v>50000</v>
      </c>
      <c r="G137">
        <v>0</v>
      </c>
      <c r="H137">
        <v>45900</v>
      </c>
      <c r="I137">
        <f t="shared" si="322"/>
        <v>4590</v>
      </c>
      <c r="J137">
        <f t="shared" si="323"/>
        <v>5508</v>
      </c>
      <c r="K137">
        <v>400</v>
      </c>
      <c r="L137">
        <v>500</v>
      </c>
      <c r="M137">
        <f t="shared" si="324"/>
        <v>56898</v>
      </c>
      <c r="N137">
        <v>5000</v>
      </c>
      <c r="O137">
        <v>60</v>
      </c>
      <c r="P137">
        <f t="shared" si="325"/>
        <v>0</v>
      </c>
      <c r="Q137">
        <f t="shared" si="326"/>
        <v>51838</v>
      </c>
      <c r="R137">
        <v>45900</v>
      </c>
      <c r="S137">
        <f t="shared" si="327"/>
        <v>4590</v>
      </c>
      <c r="T137">
        <f t="shared" si="328"/>
        <v>5508</v>
      </c>
      <c r="U137">
        <v>400</v>
      </c>
      <c r="V137">
        <v>500</v>
      </c>
      <c r="W137">
        <f t="shared" si="329"/>
        <v>56898</v>
      </c>
      <c r="X137">
        <v>5000</v>
      </c>
      <c r="Y137">
        <v>60</v>
      </c>
      <c r="Z137">
        <f t="shared" si="330"/>
        <v>0</v>
      </c>
      <c r="AA137">
        <f t="shared" si="331"/>
        <v>51838</v>
      </c>
      <c r="AB137">
        <v>45900</v>
      </c>
      <c r="AC137">
        <f t="shared" si="332"/>
        <v>6426.0000000000009</v>
      </c>
      <c r="AD137">
        <f t="shared" si="333"/>
        <v>5508</v>
      </c>
      <c r="AE137">
        <v>400</v>
      </c>
      <c r="AF137">
        <v>500</v>
      </c>
      <c r="AG137">
        <f t="shared" si="334"/>
        <v>58734</v>
      </c>
      <c r="AH137">
        <v>5000</v>
      </c>
      <c r="AI137">
        <v>60</v>
      </c>
      <c r="AJ137">
        <f t="shared" si="335"/>
        <v>0</v>
      </c>
      <c r="AK137">
        <f t="shared" si="336"/>
        <v>53674</v>
      </c>
      <c r="AL137">
        <v>45900</v>
      </c>
      <c r="AM137">
        <f t="shared" si="337"/>
        <v>6426.0000000000009</v>
      </c>
      <c r="AN137">
        <f t="shared" si="338"/>
        <v>5508</v>
      </c>
      <c r="AO137">
        <v>400</v>
      </c>
      <c r="AP137">
        <v>500</v>
      </c>
      <c r="AQ137">
        <f t="shared" si="339"/>
        <v>58734</v>
      </c>
      <c r="AR137">
        <v>5000</v>
      </c>
      <c r="AS137">
        <v>60</v>
      </c>
      <c r="AT137">
        <f t="shared" si="340"/>
        <v>0</v>
      </c>
      <c r="AU137">
        <f t="shared" si="341"/>
        <v>53674</v>
      </c>
      <c r="AV137">
        <v>47300</v>
      </c>
      <c r="AW137">
        <f t="shared" si="342"/>
        <v>6622.0000000000009</v>
      </c>
      <c r="AX137">
        <f t="shared" si="343"/>
        <v>1836</v>
      </c>
      <c r="AY137">
        <f t="shared" si="344"/>
        <v>5676</v>
      </c>
      <c r="AZ137">
        <v>400</v>
      </c>
      <c r="BA137">
        <v>500</v>
      </c>
      <c r="BB137">
        <f t="shared" si="345"/>
        <v>62334</v>
      </c>
      <c r="BC137">
        <v>5000</v>
      </c>
      <c r="BD137">
        <v>60</v>
      </c>
      <c r="BE137">
        <f t="shared" si="346"/>
        <v>0</v>
      </c>
      <c r="BF137">
        <f t="shared" si="347"/>
        <v>57274</v>
      </c>
      <c r="BG137">
        <v>47300</v>
      </c>
      <c r="BH137">
        <f t="shared" si="348"/>
        <v>6622.0000000000009</v>
      </c>
      <c r="BI137">
        <f t="shared" si="349"/>
        <v>5676</v>
      </c>
      <c r="BJ137">
        <v>400</v>
      </c>
      <c r="BK137">
        <v>500</v>
      </c>
      <c r="BL137">
        <f t="shared" si="350"/>
        <v>60498</v>
      </c>
      <c r="BM137">
        <v>5000</v>
      </c>
      <c r="BN137">
        <v>60</v>
      </c>
      <c r="BO137">
        <f t="shared" si="351"/>
        <v>0</v>
      </c>
      <c r="BP137">
        <f t="shared" si="352"/>
        <v>55438</v>
      </c>
      <c r="BQ137">
        <v>47300</v>
      </c>
      <c r="BR137">
        <f t="shared" si="353"/>
        <v>6622.0000000000009</v>
      </c>
      <c r="BS137">
        <f t="shared" si="354"/>
        <v>5676</v>
      </c>
      <c r="BT137">
        <v>400</v>
      </c>
      <c r="BU137">
        <v>500</v>
      </c>
      <c r="BV137">
        <f t="shared" si="355"/>
        <v>60498</v>
      </c>
      <c r="BW137">
        <v>5000</v>
      </c>
      <c r="BX137">
        <v>60</v>
      </c>
      <c r="BY137">
        <f t="shared" si="356"/>
        <v>0</v>
      </c>
      <c r="BZ137">
        <f t="shared" si="357"/>
        <v>55438</v>
      </c>
      <c r="CA137">
        <v>47300</v>
      </c>
      <c r="CB137">
        <f t="shared" si="358"/>
        <v>6622.0000000000009</v>
      </c>
      <c r="CC137">
        <f t="shared" si="359"/>
        <v>5676</v>
      </c>
      <c r="CD137">
        <v>400</v>
      </c>
      <c r="CE137">
        <v>500</v>
      </c>
      <c r="CF137">
        <f t="shared" si="360"/>
        <v>60498</v>
      </c>
      <c r="CG137">
        <v>5000</v>
      </c>
      <c r="CH137">
        <v>60</v>
      </c>
      <c r="CI137">
        <f t="shared" si="361"/>
        <v>0</v>
      </c>
      <c r="CJ137">
        <f t="shared" si="362"/>
        <v>55438</v>
      </c>
      <c r="CK137">
        <v>47300</v>
      </c>
      <c r="CL137">
        <f t="shared" si="363"/>
        <v>6622.0000000000009</v>
      </c>
      <c r="CM137">
        <f t="shared" si="364"/>
        <v>5676</v>
      </c>
      <c r="CN137">
        <v>400</v>
      </c>
      <c r="CO137">
        <v>500</v>
      </c>
      <c r="CP137">
        <f t="shared" si="365"/>
        <v>60498</v>
      </c>
      <c r="CQ137">
        <v>5000</v>
      </c>
      <c r="CR137">
        <v>60</v>
      </c>
      <c r="CS137">
        <f t="shared" si="366"/>
        <v>0</v>
      </c>
      <c r="CT137">
        <f t="shared" si="367"/>
        <v>55438</v>
      </c>
      <c r="CU137">
        <v>47300</v>
      </c>
      <c r="CV137">
        <f t="shared" si="368"/>
        <v>6622</v>
      </c>
      <c r="CW137">
        <f t="shared" si="369"/>
        <v>5676</v>
      </c>
      <c r="CX137">
        <v>400</v>
      </c>
      <c r="CY137">
        <v>500</v>
      </c>
      <c r="CZ137">
        <f t="shared" si="370"/>
        <v>60498</v>
      </c>
      <c r="DA137">
        <v>5000</v>
      </c>
      <c r="DB137">
        <v>60</v>
      </c>
      <c r="DC137">
        <f t="shared" si="371"/>
        <v>0</v>
      </c>
      <c r="DD137">
        <f t="shared" si="372"/>
        <v>55438</v>
      </c>
      <c r="DE137">
        <v>47300</v>
      </c>
      <c r="DF137">
        <f t="shared" si="373"/>
        <v>6622.0000000000009</v>
      </c>
      <c r="DG137">
        <f t="shared" si="374"/>
        <v>5676</v>
      </c>
      <c r="DH137">
        <v>400</v>
      </c>
      <c r="DI137">
        <v>500</v>
      </c>
      <c r="DJ137">
        <f t="shared" si="375"/>
        <v>60498</v>
      </c>
      <c r="DK137">
        <v>5000</v>
      </c>
      <c r="DL137">
        <v>60</v>
      </c>
      <c r="DM137">
        <f t="shared" si="376"/>
        <v>0</v>
      </c>
      <c r="DN137">
        <f t="shared" si="377"/>
        <v>55438</v>
      </c>
      <c r="DO137">
        <v>47300</v>
      </c>
      <c r="DP137">
        <f t="shared" si="378"/>
        <v>6622.0000000000009</v>
      </c>
      <c r="DQ137">
        <f t="shared" si="379"/>
        <v>5676</v>
      </c>
      <c r="DR137">
        <v>400</v>
      </c>
      <c r="DS137">
        <v>500</v>
      </c>
      <c r="DT137">
        <f t="shared" si="380"/>
        <v>60498</v>
      </c>
      <c r="DU137">
        <v>5000</v>
      </c>
      <c r="DV137">
        <v>60</v>
      </c>
      <c r="DW137">
        <f t="shared" si="381"/>
        <v>0</v>
      </c>
      <c r="DX137">
        <f t="shared" si="382"/>
        <v>55438</v>
      </c>
      <c r="DY137">
        <f t="shared" si="383"/>
        <v>717084</v>
      </c>
      <c r="DZ137">
        <f t="shared" si="315"/>
        <v>0</v>
      </c>
      <c r="EA137">
        <f t="shared" si="316"/>
        <v>50000</v>
      </c>
      <c r="EB137">
        <v>0</v>
      </c>
      <c r="EC137">
        <f t="shared" si="317"/>
        <v>667084</v>
      </c>
      <c r="ED137">
        <f t="shared" si="318"/>
        <v>60000</v>
      </c>
      <c r="EE137">
        <f t="shared" si="319"/>
        <v>720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f t="shared" si="320"/>
        <v>60720</v>
      </c>
      <c r="EQ137">
        <f t="shared" si="384"/>
        <v>60720</v>
      </c>
      <c r="ER137">
        <f t="shared" si="321"/>
        <v>606364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f t="shared" si="385"/>
        <v>50000</v>
      </c>
      <c r="FA137">
        <f t="shared" si="386"/>
        <v>556364</v>
      </c>
      <c r="FB137">
        <f t="shared" si="387"/>
        <v>12500</v>
      </c>
      <c r="FC137">
        <f t="shared" si="388"/>
        <v>11273</v>
      </c>
      <c r="FD137">
        <f t="shared" si="389"/>
        <v>23773</v>
      </c>
      <c r="FE137">
        <f t="shared" si="390"/>
        <v>23773</v>
      </c>
      <c r="FF137">
        <f t="shared" si="391"/>
        <v>950.92000000000007</v>
      </c>
      <c r="FG137">
        <f t="shared" si="392"/>
        <v>24724</v>
      </c>
      <c r="FH137">
        <v>0</v>
      </c>
      <c r="FI137">
        <f t="shared" si="393"/>
        <v>24724</v>
      </c>
      <c r="FJ137" t="b">
        <f t="shared" si="394"/>
        <v>1</v>
      </c>
      <c r="FK137">
        <f t="shared" ca="1" si="395"/>
        <v>868</v>
      </c>
      <c r="FL137">
        <f t="shared" ca="1" si="396"/>
        <v>717952</v>
      </c>
      <c r="FM137">
        <f t="shared" si="397"/>
        <v>75000</v>
      </c>
      <c r="FN137">
        <f t="shared" ca="1" si="398"/>
        <v>642952</v>
      </c>
      <c r="FO137">
        <f t="shared" ca="1" si="399"/>
        <v>0</v>
      </c>
      <c r="FP137">
        <f t="shared" ca="1" si="400"/>
        <v>0</v>
      </c>
      <c r="FQ137">
        <f t="shared" ca="1" si="401"/>
        <v>0</v>
      </c>
      <c r="FR137">
        <f t="shared" ca="1" si="402"/>
        <v>0</v>
      </c>
      <c r="FS137">
        <f t="shared" ca="1" si="403"/>
        <v>0</v>
      </c>
      <c r="FT137">
        <f t="shared" ca="1" si="404"/>
        <v>0</v>
      </c>
      <c r="FU137">
        <f t="shared" ca="1" si="405"/>
        <v>0</v>
      </c>
      <c r="FV137">
        <f t="shared" ca="1" si="406"/>
        <v>0</v>
      </c>
      <c r="FW137">
        <f t="shared" ca="1" si="407"/>
        <v>342952</v>
      </c>
      <c r="FX137">
        <f t="shared" ca="1" si="408"/>
        <v>17147.600000000002</v>
      </c>
      <c r="FY137">
        <f t="shared" ca="1" si="409"/>
        <v>17148</v>
      </c>
      <c r="FZ137">
        <f t="shared" ca="1" si="410"/>
        <v>0</v>
      </c>
      <c r="GA137">
        <f t="shared" ca="1" si="411"/>
        <v>0</v>
      </c>
      <c r="GB137">
        <f t="shared" ca="1" si="412"/>
        <v>17148</v>
      </c>
      <c r="GC137">
        <f t="shared" ca="1" si="413"/>
        <v>0</v>
      </c>
      <c r="GD137" t="b">
        <f t="shared" ca="1" si="414"/>
        <v>0</v>
      </c>
      <c r="GE137">
        <f t="shared" ca="1" si="415"/>
        <v>0</v>
      </c>
      <c r="GF137">
        <f t="shared" ca="1" si="416"/>
        <v>17148</v>
      </c>
      <c r="GG137">
        <f t="shared" ca="1" si="417"/>
        <v>0</v>
      </c>
      <c r="GH137">
        <f t="shared" ca="1" si="418"/>
        <v>0</v>
      </c>
      <c r="GI137">
        <f t="shared" ca="1" si="419"/>
        <v>0</v>
      </c>
    </row>
    <row r="138" spans="1:191" x14ac:dyDescent="0.25">
      <c r="A138">
        <f>_xlfn.AGGREGATE(3,5,$B$2:B138)</f>
        <v>137</v>
      </c>
      <c r="B138" t="s">
        <v>395</v>
      </c>
      <c r="C138" t="s">
        <v>396</v>
      </c>
      <c r="D138" t="s">
        <v>800</v>
      </c>
      <c r="E138" t="s">
        <v>843</v>
      </c>
      <c r="F138">
        <v>0</v>
      </c>
      <c r="G138">
        <v>6000</v>
      </c>
      <c r="H138">
        <v>32500</v>
      </c>
      <c r="I138">
        <f t="shared" si="322"/>
        <v>3250</v>
      </c>
      <c r="J138">
        <f t="shared" si="323"/>
        <v>3900</v>
      </c>
      <c r="K138">
        <v>0</v>
      </c>
      <c r="L138">
        <v>500</v>
      </c>
      <c r="M138">
        <f t="shared" si="324"/>
        <v>40150</v>
      </c>
      <c r="N138">
        <v>3000</v>
      </c>
      <c r="O138">
        <v>0</v>
      </c>
      <c r="P138">
        <f t="shared" si="325"/>
        <v>200</v>
      </c>
      <c r="Q138">
        <f t="shared" si="326"/>
        <v>36950</v>
      </c>
      <c r="R138">
        <v>32500</v>
      </c>
      <c r="S138">
        <f t="shared" si="327"/>
        <v>3250</v>
      </c>
      <c r="T138">
        <f t="shared" si="328"/>
        <v>3900</v>
      </c>
      <c r="U138">
        <v>0</v>
      </c>
      <c r="V138">
        <v>500</v>
      </c>
      <c r="W138">
        <f t="shared" si="329"/>
        <v>40150</v>
      </c>
      <c r="X138">
        <v>3000</v>
      </c>
      <c r="Y138">
        <v>0</v>
      </c>
      <c r="Z138">
        <f t="shared" si="330"/>
        <v>200</v>
      </c>
      <c r="AA138">
        <f t="shared" si="331"/>
        <v>36950</v>
      </c>
      <c r="AB138">
        <v>32500</v>
      </c>
      <c r="AC138">
        <f t="shared" si="332"/>
        <v>4550</v>
      </c>
      <c r="AD138">
        <f t="shared" si="333"/>
        <v>3900</v>
      </c>
      <c r="AE138">
        <v>0</v>
      </c>
      <c r="AF138">
        <v>500</v>
      </c>
      <c r="AG138">
        <f t="shared" si="334"/>
        <v>41450</v>
      </c>
      <c r="AH138">
        <v>3000</v>
      </c>
      <c r="AI138">
        <v>0</v>
      </c>
      <c r="AJ138">
        <f t="shared" si="335"/>
        <v>200</v>
      </c>
      <c r="AK138">
        <f t="shared" si="336"/>
        <v>38250</v>
      </c>
      <c r="AL138">
        <v>32500</v>
      </c>
      <c r="AM138">
        <f t="shared" si="337"/>
        <v>4550</v>
      </c>
      <c r="AN138">
        <f t="shared" si="338"/>
        <v>3900</v>
      </c>
      <c r="AO138">
        <v>0</v>
      </c>
      <c r="AP138">
        <v>500</v>
      </c>
      <c r="AQ138">
        <f t="shared" si="339"/>
        <v>41450</v>
      </c>
      <c r="AR138">
        <v>3000</v>
      </c>
      <c r="AS138">
        <v>0</v>
      </c>
      <c r="AT138">
        <f t="shared" si="340"/>
        <v>200</v>
      </c>
      <c r="AU138">
        <f t="shared" si="341"/>
        <v>38250</v>
      </c>
      <c r="AV138">
        <v>34500</v>
      </c>
      <c r="AW138">
        <f t="shared" si="342"/>
        <v>4830.0000000000009</v>
      </c>
      <c r="AX138">
        <f t="shared" si="343"/>
        <v>1300</v>
      </c>
      <c r="AY138">
        <f t="shared" si="344"/>
        <v>4140</v>
      </c>
      <c r="AZ138">
        <v>0</v>
      </c>
      <c r="BA138">
        <v>500</v>
      </c>
      <c r="BB138">
        <f t="shared" si="345"/>
        <v>45270</v>
      </c>
      <c r="BC138">
        <v>3000</v>
      </c>
      <c r="BD138">
        <v>0</v>
      </c>
      <c r="BE138">
        <f t="shared" si="346"/>
        <v>200</v>
      </c>
      <c r="BF138">
        <f t="shared" si="347"/>
        <v>42070</v>
      </c>
      <c r="BG138">
        <v>34500</v>
      </c>
      <c r="BH138">
        <f t="shared" si="348"/>
        <v>4830.0000000000009</v>
      </c>
      <c r="BI138">
        <f t="shared" si="349"/>
        <v>4140</v>
      </c>
      <c r="BJ138">
        <v>0</v>
      </c>
      <c r="BK138">
        <v>500</v>
      </c>
      <c r="BL138">
        <f t="shared" si="350"/>
        <v>43970</v>
      </c>
      <c r="BM138">
        <v>3000</v>
      </c>
      <c r="BN138">
        <v>0</v>
      </c>
      <c r="BO138">
        <f t="shared" si="351"/>
        <v>200</v>
      </c>
      <c r="BP138">
        <f t="shared" si="352"/>
        <v>40770</v>
      </c>
      <c r="BQ138">
        <v>34500</v>
      </c>
      <c r="BR138">
        <f t="shared" si="353"/>
        <v>4830.0000000000009</v>
      </c>
      <c r="BS138">
        <f t="shared" si="354"/>
        <v>4140</v>
      </c>
      <c r="BT138">
        <v>0</v>
      </c>
      <c r="BU138">
        <v>500</v>
      </c>
      <c r="BV138">
        <f t="shared" si="355"/>
        <v>43970</v>
      </c>
      <c r="BW138">
        <v>3000</v>
      </c>
      <c r="BX138">
        <v>0</v>
      </c>
      <c r="BY138">
        <f t="shared" si="356"/>
        <v>200</v>
      </c>
      <c r="BZ138">
        <f t="shared" si="357"/>
        <v>40770</v>
      </c>
      <c r="CA138">
        <v>34500</v>
      </c>
      <c r="CB138">
        <f t="shared" si="358"/>
        <v>4830.0000000000009</v>
      </c>
      <c r="CC138">
        <f t="shared" si="359"/>
        <v>4140</v>
      </c>
      <c r="CD138">
        <v>0</v>
      </c>
      <c r="CE138">
        <v>500</v>
      </c>
      <c r="CF138">
        <f t="shared" si="360"/>
        <v>43970</v>
      </c>
      <c r="CG138">
        <v>3000</v>
      </c>
      <c r="CH138">
        <v>0</v>
      </c>
      <c r="CI138">
        <f t="shared" si="361"/>
        <v>200</v>
      </c>
      <c r="CJ138">
        <f t="shared" si="362"/>
        <v>40770</v>
      </c>
      <c r="CK138">
        <v>34500</v>
      </c>
      <c r="CL138">
        <f t="shared" si="363"/>
        <v>4830.0000000000009</v>
      </c>
      <c r="CM138">
        <f t="shared" si="364"/>
        <v>4140</v>
      </c>
      <c r="CN138">
        <v>0</v>
      </c>
      <c r="CO138">
        <v>500</v>
      </c>
      <c r="CP138">
        <f t="shared" si="365"/>
        <v>43970</v>
      </c>
      <c r="CQ138">
        <v>3000</v>
      </c>
      <c r="CR138">
        <v>0</v>
      </c>
      <c r="CS138">
        <f t="shared" si="366"/>
        <v>200</v>
      </c>
      <c r="CT138">
        <f t="shared" si="367"/>
        <v>40770</v>
      </c>
      <c r="CU138">
        <v>34500</v>
      </c>
      <c r="CV138">
        <f t="shared" si="368"/>
        <v>4830</v>
      </c>
      <c r="CW138">
        <f t="shared" si="369"/>
        <v>4140</v>
      </c>
      <c r="CX138">
        <v>0</v>
      </c>
      <c r="CY138">
        <v>500</v>
      </c>
      <c r="CZ138">
        <f t="shared" si="370"/>
        <v>43970</v>
      </c>
      <c r="DA138">
        <v>3000</v>
      </c>
      <c r="DB138">
        <v>0</v>
      </c>
      <c r="DC138">
        <f t="shared" si="371"/>
        <v>200</v>
      </c>
      <c r="DD138">
        <f t="shared" si="372"/>
        <v>40770</v>
      </c>
      <c r="DE138">
        <v>34500</v>
      </c>
      <c r="DF138">
        <f t="shared" si="373"/>
        <v>4830.0000000000009</v>
      </c>
      <c r="DG138">
        <f t="shared" si="374"/>
        <v>4140</v>
      </c>
      <c r="DH138">
        <v>0</v>
      </c>
      <c r="DI138">
        <v>500</v>
      </c>
      <c r="DJ138">
        <f t="shared" si="375"/>
        <v>43970</v>
      </c>
      <c r="DK138">
        <v>3000</v>
      </c>
      <c r="DL138">
        <v>0</v>
      </c>
      <c r="DM138">
        <f t="shared" si="376"/>
        <v>200</v>
      </c>
      <c r="DN138">
        <f t="shared" si="377"/>
        <v>40770</v>
      </c>
      <c r="DO138">
        <v>34500</v>
      </c>
      <c r="DP138">
        <f t="shared" si="378"/>
        <v>4830.0000000000009</v>
      </c>
      <c r="DQ138">
        <f t="shared" si="379"/>
        <v>4140</v>
      </c>
      <c r="DR138">
        <v>0</v>
      </c>
      <c r="DS138">
        <v>500</v>
      </c>
      <c r="DT138">
        <f t="shared" si="380"/>
        <v>43970</v>
      </c>
      <c r="DU138">
        <v>3000</v>
      </c>
      <c r="DV138">
        <v>0</v>
      </c>
      <c r="DW138">
        <f t="shared" si="381"/>
        <v>200</v>
      </c>
      <c r="DX138">
        <f t="shared" si="382"/>
        <v>40770</v>
      </c>
      <c r="DY138">
        <f t="shared" si="383"/>
        <v>522260</v>
      </c>
      <c r="DZ138">
        <f t="shared" si="315"/>
        <v>2400</v>
      </c>
      <c r="EA138">
        <f t="shared" si="316"/>
        <v>50000</v>
      </c>
      <c r="EB138">
        <v>0</v>
      </c>
      <c r="EC138">
        <f t="shared" si="317"/>
        <v>469860</v>
      </c>
      <c r="ED138">
        <f t="shared" si="318"/>
        <v>36000</v>
      </c>
      <c r="EE138">
        <f t="shared" si="319"/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f t="shared" si="320"/>
        <v>36000</v>
      </c>
      <c r="EQ138">
        <f t="shared" si="384"/>
        <v>36000</v>
      </c>
      <c r="ER138">
        <f t="shared" si="321"/>
        <v>433860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f t="shared" si="385"/>
        <v>0</v>
      </c>
      <c r="FA138">
        <f t="shared" si="386"/>
        <v>433860</v>
      </c>
      <c r="FB138">
        <f t="shared" si="387"/>
        <v>9193</v>
      </c>
      <c r="FC138">
        <f t="shared" si="388"/>
        <v>0</v>
      </c>
      <c r="FD138">
        <f t="shared" si="389"/>
        <v>9193</v>
      </c>
      <c r="FE138">
        <f t="shared" si="390"/>
        <v>0</v>
      </c>
      <c r="FF138">
        <f t="shared" si="391"/>
        <v>0</v>
      </c>
      <c r="FG138">
        <f t="shared" si="392"/>
        <v>0</v>
      </c>
      <c r="FH138">
        <v>0</v>
      </c>
      <c r="FI138">
        <f t="shared" si="393"/>
        <v>0</v>
      </c>
      <c r="FJ138" t="b">
        <f t="shared" si="394"/>
        <v>1</v>
      </c>
      <c r="FK138">
        <f t="shared" ca="1" si="395"/>
        <v>615</v>
      </c>
      <c r="FL138">
        <f t="shared" ca="1" si="396"/>
        <v>522875</v>
      </c>
      <c r="FM138">
        <f t="shared" si="397"/>
        <v>75000</v>
      </c>
      <c r="FN138">
        <f t="shared" ca="1" si="398"/>
        <v>447875</v>
      </c>
      <c r="FO138">
        <f t="shared" ca="1" si="399"/>
        <v>0</v>
      </c>
      <c r="FP138">
        <f t="shared" ca="1" si="400"/>
        <v>0</v>
      </c>
      <c r="FQ138">
        <f t="shared" ca="1" si="401"/>
        <v>0</v>
      </c>
      <c r="FR138">
        <f t="shared" ca="1" si="402"/>
        <v>0</v>
      </c>
      <c r="FS138">
        <f t="shared" ca="1" si="403"/>
        <v>0</v>
      </c>
      <c r="FT138">
        <f t="shared" ca="1" si="404"/>
        <v>0</v>
      </c>
      <c r="FU138">
        <f t="shared" ca="1" si="405"/>
        <v>0</v>
      </c>
      <c r="FV138">
        <f t="shared" ca="1" si="406"/>
        <v>0</v>
      </c>
      <c r="FW138">
        <f t="shared" ca="1" si="407"/>
        <v>147875</v>
      </c>
      <c r="FX138">
        <f t="shared" ca="1" si="408"/>
        <v>7393.75</v>
      </c>
      <c r="FY138">
        <f t="shared" ca="1" si="409"/>
        <v>7394</v>
      </c>
      <c r="FZ138">
        <f t="shared" ca="1" si="410"/>
        <v>0</v>
      </c>
      <c r="GA138">
        <f t="shared" ca="1" si="411"/>
        <v>0</v>
      </c>
      <c r="GB138">
        <f t="shared" ca="1" si="412"/>
        <v>7394</v>
      </c>
      <c r="GC138">
        <f t="shared" ca="1" si="413"/>
        <v>0</v>
      </c>
      <c r="GD138" t="b">
        <f t="shared" ca="1" si="414"/>
        <v>0</v>
      </c>
      <c r="GE138">
        <f t="shared" ca="1" si="415"/>
        <v>0</v>
      </c>
      <c r="GF138">
        <f t="shared" ca="1" si="416"/>
        <v>7394</v>
      </c>
      <c r="GG138">
        <f t="shared" ca="1" si="417"/>
        <v>0</v>
      </c>
      <c r="GH138">
        <f t="shared" ca="1" si="418"/>
        <v>0</v>
      </c>
      <c r="GI138">
        <f t="shared" ca="1" si="419"/>
        <v>0</v>
      </c>
    </row>
    <row r="139" spans="1:191" x14ac:dyDescent="0.25">
      <c r="A139">
        <f>_xlfn.AGGREGATE(3,5,$B$2:B139)</f>
        <v>138</v>
      </c>
      <c r="B139" t="s">
        <v>397</v>
      </c>
      <c r="C139" t="s">
        <v>398</v>
      </c>
      <c r="D139" t="s">
        <v>800</v>
      </c>
      <c r="E139" t="s">
        <v>843</v>
      </c>
      <c r="F139">
        <v>0</v>
      </c>
      <c r="G139">
        <v>6000</v>
      </c>
      <c r="H139">
        <v>32500</v>
      </c>
      <c r="I139">
        <f t="shared" si="322"/>
        <v>3250</v>
      </c>
      <c r="J139">
        <f t="shared" si="323"/>
        <v>3900</v>
      </c>
      <c r="K139">
        <v>0</v>
      </c>
      <c r="L139">
        <v>0</v>
      </c>
      <c r="M139">
        <f t="shared" si="324"/>
        <v>39650</v>
      </c>
      <c r="N139">
        <v>3000</v>
      </c>
      <c r="O139">
        <v>0</v>
      </c>
      <c r="P139">
        <f t="shared" si="325"/>
        <v>150</v>
      </c>
      <c r="Q139">
        <f t="shared" si="326"/>
        <v>36500</v>
      </c>
      <c r="R139">
        <v>32500</v>
      </c>
      <c r="S139">
        <f t="shared" si="327"/>
        <v>3250</v>
      </c>
      <c r="T139">
        <f t="shared" si="328"/>
        <v>3900</v>
      </c>
      <c r="U139">
        <v>0</v>
      </c>
      <c r="V139">
        <v>0</v>
      </c>
      <c r="W139">
        <f t="shared" si="329"/>
        <v>39650</v>
      </c>
      <c r="X139">
        <v>3000</v>
      </c>
      <c r="Y139">
        <v>0</v>
      </c>
      <c r="Z139">
        <f t="shared" si="330"/>
        <v>150</v>
      </c>
      <c r="AA139">
        <f t="shared" si="331"/>
        <v>36500</v>
      </c>
      <c r="AB139">
        <v>32500</v>
      </c>
      <c r="AC139">
        <f t="shared" si="332"/>
        <v>4550</v>
      </c>
      <c r="AD139">
        <f t="shared" si="333"/>
        <v>3900</v>
      </c>
      <c r="AE139">
        <v>0</v>
      </c>
      <c r="AF139">
        <v>0</v>
      </c>
      <c r="AG139">
        <f t="shared" si="334"/>
        <v>40950</v>
      </c>
      <c r="AH139">
        <v>3000</v>
      </c>
      <c r="AI139">
        <v>0</v>
      </c>
      <c r="AJ139">
        <f t="shared" si="335"/>
        <v>200</v>
      </c>
      <c r="AK139">
        <f t="shared" si="336"/>
        <v>37750</v>
      </c>
      <c r="AL139">
        <v>32500</v>
      </c>
      <c r="AM139">
        <f t="shared" si="337"/>
        <v>4550</v>
      </c>
      <c r="AN139">
        <f t="shared" si="338"/>
        <v>3900</v>
      </c>
      <c r="AO139">
        <v>0</v>
      </c>
      <c r="AP139">
        <v>0</v>
      </c>
      <c r="AQ139">
        <f t="shared" si="339"/>
        <v>40950</v>
      </c>
      <c r="AR139">
        <v>3000</v>
      </c>
      <c r="AS139">
        <v>0</v>
      </c>
      <c r="AT139">
        <f t="shared" si="340"/>
        <v>200</v>
      </c>
      <c r="AU139">
        <f t="shared" si="341"/>
        <v>37750</v>
      </c>
      <c r="AV139">
        <v>33500</v>
      </c>
      <c r="AW139">
        <f t="shared" si="342"/>
        <v>4690</v>
      </c>
      <c r="AX139">
        <f t="shared" si="343"/>
        <v>1300</v>
      </c>
      <c r="AY139">
        <f t="shared" si="344"/>
        <v>4020</v>
      </c>
      <c r="AZ139">
        <v>0</v>
      </c>
      <c r="BA139">
        <v>0</v>
      </c>
      <c r="BB139">
        <f t="shared" si="345"/>
        <v>43510</v>
      </c>
      <c r="BC139">
        <v>3000</v>
      </c>
      <c r="BD139">
        <v>0</v>
      </c>
      <c r="BE139">
        <f t="shared" si="346"/>
        <v>200</v>
      </c>
      <c r="BF139">
        <f t="shared" si="347"/>
        <v>40310</v>
      </c>
      <c r="BG139">
        <v>33500</v>
      </c>
      <c r="BH139">
        <f t="shared" si="348"/>
        <v>4690</v>
      </c>
      <c r="BI139">
        <f t="shared" si="349"/>
        <v>4020</v>
      </c>
      <c r="BJ139">
        <v>0</v>
      </c>
      <c r="BK139">
        <v>0</v>
      </c>
      <c r="BL139">
        <f t="shared" si="350"/>
        <v>42210</v>
      </c>
      <c r="BM139">
        <v>3000</v>
      </c>
      <c r="BN139">
        <v>0</v>
      </c>
      <c r="BO139">
        <f t="shared" si="351"/>
        <v>200</v>
      </c>
      <c r="BP139">
        <f t="shared" si="352"/>
        <v>39010</v>
      </c>
      <c r="BQ139">
        <v>33500</v>
      </c>
      <c r="BR139">
        <f t="shared" si="353"/>
        <v>4690</v>
      </c>
      <c r="BS139">
        <f t="shared" si="354"/>
        <v>4020</v>
      </c>
      <c r="BT139">
        <v>0</v>
      </c>
      <c r="BU139">
        <v>0</v>
      </c>
      <c r="BV139">
        <f t="shared" si="355"/>
        <v>42210</v>
      </c>
      <c r="BW139">
        <v>3000</v>
      </c>
      <c r="BX139">
        <v>0</v>
      </c>
      <c r="BY139">
        <f t="shared" si="356"/>
        <v>200</v>
      </c>
      <c r="BZ139">
        <f t="shared" si="357"/>
        <v>39010</v>
      </c>
      <c r="CA139">
        <v>33500</v>
      </c>
      <c r="CB139">
        <f t="shared" si="358"/>
        <v>4690</v>
      </c>
      <c r="CC139">
        <f t="shared" si="359"/>
        <v>4020</v>
      </c>
      <c r="CD139">
        <v>0</v>
      </c>
      <c r="CE139">
        <v>0</v>
      </c>
      <c r="CF139">
        <f t="shared" si="360"/>
        <v>42210</v>
      </c>
      <c r="CG139">
        <v>3000</v>
      </c>
      <c r="CH139">
        <v>0</v>
      </c>
      <c r="CI139">
        <f t="shared" si="361"/>
        <v>200</v>
      </c>
      <c r="CJ139">
        <f t="shared" si="362"/>
        <v>39010</v>
      </c>
      <c r="CK139">
        <v>33500</v>
      </c>
      <c r="CL139">
        <f t="shared" si="363"/>
        <v>4690</v>
      </c>
      <c r="CM139">
        <f t="shared" si="364"/>
        <v>4020</v>
      </c>
      <c r="CN139">
        <v>0</v>
      </c>
      <c r="CO139">
        <v>0</v>
      </c>
      <c r="CP139">
        <f t="shared" si="365"/>
        <v>42210</v>
      </c>
      <c r="CQ139">
        <v>3000</v>
      </c>
      <c r="CR139">
        <v>0</v>
      </c>
      <c r="CS139">
        <f t="shared" si="366"/>
        <v>200</v>
      </c>
      <c r="CT139">
        <f t="shared" si="367"/>
        <v>39010</v>
      </c>
      <c r="CU139">
        <v>33500</v>
      </c>
      <c r="CV139">
        <f t="shared" si="368"/>
        <v>4690</v>
      </c>
      <c r="CW139">
        <f t="shared" si="369"/>
        <v>4020</v>
      </c>
      <c r="CX139">
        <v>0</v>
      </c>
      <c r="CY139">
        <v>0</v>
      </c>
      <c r="CZ139">
        <f t="shared" si="370"/>
        <v>42210</v>
      </c>
      <c r="DA139">
        <v>3000</v>
      </c>
      <c r="DB139">
        <v>0</v>
      </c>
      <c r="DC139">
        <f t="shared" si="371"/>
        <v>200</v>
      </c>
      <c r="DD139">
        <f t="shared" si="372"/>
        <v>39010</v>
      </c>
      <c r="DE139">
        <v>33500</v>
      </c>
      <c r="DF139">
        <f t="shared" si="373"/>
        <v>4690</v>
      </c>
      <c r="DG139">
        <f t="shared" si="374"/>
        <v>4020</v>
      </c>
      <c r="DH139">
        <v>0</v>
      </c>
      <c r="DI139">
        <v>0</v>
      </c>
      <c r="DJ139">
        <f t="shared" si="375"/>
        <v>42210</v>
      </c>
      <c r="DK139">
        <v>3000</v>
      </c>
      <c r="DL139">
        <v>0</v>
      </c>
      <c r="DM139">
        <f t="shared" si="376"/>
        <v>200</v>
      </c>
      <c r="DN139">
        <f t="shared" si="377"/>
        <v>39010</v>
      </c>
      <c r="DO139">
        <v>33500</v>
      </c>
      <c r="DP139">
        <f t="shared" si="378"/>
        <v>4690</v>
      </c>
      <c r="DQ139">
        <f t="shared" si="379"/>
        <v>4020</v>
      </c>
      <c r="DR139">
        <v>0</v>
      </c>
      <c r="DS139">
        <v>0</v>
      </c>
      <c r="DT139">
        <f t="shared" si="380"/>
        <v>42210</v>
      </c>
      <c r="DU139">
        <v>3000</v>
      </c>
      <c r="DV139">
        <v>0</v>
      </c>
      <c r="DW139">
        <f t="shared" si="381"/>
        <v>200</v>
      </c>
      <c r="DX139">
        <f t="shared" si="382"/>
        <v>39010</v>
      </c>
      <c r="DY139">
        <f t="shared" si="383"/>
        <v>506180</v>
      </c>
      <c r="DZ139">
        <f t="shared" si="315"/>
        <v>2300</v>
      </c>
      <c r="EA139">
        <f t="shared" si="316"/>
        <v>50000</v>
      </c>
      <c r="EB139">
        <v>0</v>
      </c>
      <c r="EC139">
        <f t="shared" si="317"/>
        <v>453880</v>
      </c>
      <c r="ED139">
        <f t="shared" si="318"/>
        <v>36000</v>
      </c>
      <c r="EE139">
        <f t="shared" si="319"/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f t="shared" si="320"/>
        <v>36000</v>
      </c>
      <c r="EQ139">
        <f t="shared" si="384"/>
        <v>36000</v>
      </c>
      <c r="ER139">
        <f t="shared" si="321"/>
        <v>417880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f t="shared" si="385"/>
        <v>0</v>
      </c>
      <c r="FA139">
        <f t="shared" si="386"/>
        <v>417880</v>
      </c>
      <c r="FB139">
        <f t="shared" si="387"/>
        <v>8394</v>
      </c>
      <c r="FC139">
        <f t="shared" si="388"/>
        <v>0</v>
      </c>
      <c r="FD139">
        <f t="shared" si="389"/>
        <v>8394</v>
      </c>
      <c r="FE139">
        <f t="shared" si="390"/>
        <v>0</v>
      </c>
      <c r="FF139">
        <f t="shared" si="391"/>
        <v>0</v>
      </c>
      <c r="FG139">
        <f t="shared" si="392"/>
        <v>0</v>
      </c>
      <c r="FH139">
        <v>0</v>
      </c>
      <c r="FI139">
        <f t="shared" si="393"/>
        <v>0</v>
      </c>
      <c r="FJ139" t="b">
        <f t="shared" si="394"/>
        <v>1</v>
      </c>
      <c r="FK139">
        <f t="shared" ca="1" si="395"/>
        <v>810</v>
      </c>
      <c r="FL139">
        <f t="shared" ca="1" si="396"/>
        <v>506990</v>
      </c>
      <c r="FM139">
        <f t="shared" si="397"/>
        <v>75000</v>
      </c>
      <c r="FN139">
        <f t="shared" ca="1" si="398"/>
        <v>431990</v>
      </c>
      <c r="FO139">
        <f t="shared" ca="1" si="399"/>
        <v>0</v>
      </c>
      <c r="FP139">
        <f t="shared" ca="1" si="400"/>
        <v>0</v>
      </c>
      <c r="FQ139">
        <f t="shared" ca="1" si="401"/>
        <v>0</v>
      </c>
      <c r="FR139">
        <f t="shared" ca="1" si="402"/>
        <v>0</v>
      </c>
      <c r="FS139">
        <f t="shared" ca="1" si="403"/>
        <v>0</v>
      </c>
      <c r="FT139">
        <f t="shared" ca="1" si="404"/>
        <v>0</v>
      </c>
      <c r="FU139">
        <f t="shared" ca="1" si="405"/>
        <v>0</v>
      </c>
      <c r="FV139">
        <f t="shared" ca="1" si="406"/>
        <v>0</v>
      </c>
      <c r="FW139">
        <f t="shared" ca="1" si="407"/>
        <v>131990</v>
      </c>
      <c r="FX139">
        <f t="shared" ca="1" si="408"/>
        <v>6599.5</v>
      </c>
      <c r="FY139">
        <f t="shared" ca="1" si="409"/>
        <v>6600</v>
      </c>
      <c r="FZ139">
        <f t="shared" ca="1" si="410"/>
        <v>0</v>
      </c>
      <c r="GA139">
        <f t="shared" ca="1" si="411"/>
        <v>0</v>
      </c>
      <c r="GB139">
        <f t="shared" ca="1" si="412"/>
        <v>6600</v>
      </c>
      <c r="GC139">
        <f t="shared" ca="1" si="413"/>
        <v>0</v>
      </c>
      <c r="GD139" t="b">
        <f t="shared" ca="1" si="414"/>
        <v>0</v>
      </c>
      <c r="GE139">
        <f t="shared" ca="1" si="415"/>
        <v>0</v>
      </c>
      <c r="GF139">
        <f t="shared" ca="1" si="416"/>
        <v>6600</v>
      </c>
      <c r="GG139">
        <f t="shared" ca="1" si="417"/>
        <v>0</v>
      </c>
      <c r="GH139">
        <f t="shared" ca="1" si="418"/>
        <v>0</v>
      </c>
      <c r="GI139">
        <f t="shared" ca="1" si="419"/>
        <v>0</v>
      </c>
    </row>
    <row r="140" spans="1:191" x14ac:dyDescent="0.25">
      <c r="A140">
        <f>_xlfn.AGGREGATE(3,5,$B$2:B140)</f>
        <v>139</v>
      </c>
      <c r="B140" t="s">
        <v>399</v>
      </c>
      <c r="C140" t="s">
        <v>400</v>
      </c>
      <c r="D140" t="s">
        <v>800</v>
      </c>
      <c r="E140" t="s">
        <v>843</v>
      </c>
      <c r="F140">
        <v>0</v>
      </c>
      <c r="G140">
        <v>0</v>
      </c>
      <c r="H140">
        <v>0</v>
      </c>
      <c r="I140">
        <f t="shared" si="322"/>
        <v>0</v>
      </c>
      <c r="J140">
        <f t="shared" si="323"/>
        <v>0</v>
      </c>
      <c r="K140">
        <v>0</v>
      </c>
      <c r="L140">
        <v>0</v>
      </c>
      <c r="M140">
        <f t="shared" si="324"/>
        <v>0</v>
      </c>
      <c r="N140">
        <v>0</v>
      </c>
      <c r="O140">
        <v>0</v>
      </c>
      <c r="P140">
        <f t="shared" si="325"/>
        <v>0</v>
      </c>
      <c r="Q140">
        <f t="shared" si="326"/>
        <v>0</v>
      </c>
      <c r="R140">
        <v>28900</v>
      </c>
      <c r="S140">
        <f t="shared" si="327"/>
        <v>2890</v>
      </c>
      <c r="T140">
        <f t="shared" si="328"/>
        <v>3468</v>
      </c>
      <c r="U140">
        <v>0</v>
      </c>
      <c r="V140">
        <v>500</v>
      </c>
      <c r="W140">
        <f t="shared" si="329"/>
        <v>35758</v>
      </c>
      <c r="X140">
        <v>0</v>
      </c>
      <c r="Y140">
        <v>0</v>
      </c>
      <c r="Z140">
        <f t="shared" si="330"/>
        <v>150</v>
      </c>
      <c r="AA140">
        <f t="shared" si="331"/>
        <v>35608</v>
      </c>
      <c r="AB140">
        <v>28900</v>
      </c>
      <c r="AC140">
        <f t="shared" si="332"/>
        <v>4046.0000000000005</v>
      </c>
      <c r="AD140">
        <f t="shared" si="333"/>
        <v>3468</v>
      </c>
      <c r="AE140">
        <v>0</v>
      </c>
      <c r="AF140">
        <v>500</v>
      </c>
      <c r="AG140">
        <f t="shared" si="334"/>
        <v>36914</v>
      </c>
      <c r="AH140">
        <v>0</v>
      </c>
      <c r="AI140">
        <v>0</v>
      </c>
      <c r="AJ140">
        <f t="shared" si="335"/>
        <v>150</v>
      </c>
      <c r="AK140">
        <f t="shared" si="336"/>
        <v>36764</v>
      </c>
      <c r="AL140">
        <v>28900</v>
      </c>
      <c r="AM140">
        <f t="shared" si="337"/>
        <v>4046.0000000000005</v>
      </c>
      <c r="AN140">
        <f t="shared" si="338"/>
        <v>3468</v>
      </c>
      <c r="AO140">
        <v>0</v>
      </c>
      <c r="AP140">
        <v>500</v>
      </c>
      <c r="AQ140">
        <f t="shared" si="339"/>
        <v>36914</v>
      </c>
      <c r="AR140">
        <v>0</v>
      </c>
      <c r="AS140">
        <v>0</v>
      </c>
      <c r="AT140">
        <f t="shared" si="340"/>
        <v>150</v>
      </c>
      <c r="AU140">
        <f t="shared" si="341"/>
        <v>36764</v>
      </c>
      <c r="AV140">
        <v>28900</v>
      </c>
      <c r="AW140">
        <f t="shared" si="342"/>
        <v>4046.0000000000005</v>
      </c>
      <c r="AX140">
        <f t="shared" si="343"/>
        <v>1156</v>
      </c>
      <c r="AY140">
        <f t="shared" si="344"/>
        <v>3468</v>
      </c>
      <c r="AZ140">
        <v>0</v>
      </c>
      <c r="BA140">
        <v>500</v>
      </c>
      <c r="BB140">
        <f t="shared" si="345"/>
        <v>38070</v>
      </c>
      <c r="BC140">
        <v>0</v>
      </c>
      <c r="BD140">
        <v>0</v>
      </c>
      <c r="BE140">
        <f t="shared" si="346"/>
        <v>150</v>
      </c>
      <c r="BF140">
        <f t="shared" si="347"/>
        <v>37920</v>
      </c>
      <c r="BG140">
        <v>28900</v>
      </c>
      <c r="BH140">
        <f t="shared" si="348"/>
        <v>4046.0000000000005</v>
      </c>
      <c r="BI140">
        <f t="shared" si="349"/>
        <v>3468</v>
      </c>
      <c r="BJ140">
        <v>0</v>
      </c>
      <c r="BK140">
        <v>500</v>
      </c>
      <c r="BL140">
        <f t="shared" si="350"/>
        <v>36914</v>
      </c>
      <c r="BM140">
        <v>0</v>
      </c>
      <c r="BN140">
        <v>0</v>
      </c>
      <c r="BO140">
        <f t="shared" si="351"/>
        <v>150</v>
      </c>
      <c r="BP140">
        <f t="shared" si="352"/>
        <v>36764</v>
      </c>
      <c r="BQ140">
        <v>28900</v>
      </c>
      <c r="BR140">
        <f t="shared" si="353"/>
        <v>4046.0000000000005</v>
      </c>
      <c r="BS140">
        <f t="shared" si="354"/>
        <v>3468</v>
      </c>
      <c r="BT140">
        <v>0</v>
      </c>
      <c r="BU140">
        <v>500</v>
      </c>
      <c r="BV140">
        <f t="shared" si="355"/>
        <v>36914</v>
      </c>
      <c r="BW140">
        <v>0</v>
      </c>
      <c r="BX140">
        <v>0</v>
      </c>
      <c r="BY140">
        <f t="shared" si="356"/>
        <v>150</v>
      </c>
      <c r="BZ140">
        <f t="shared" si="357"/>
        <v>36764</v>
      </c>
      <c r="CA140">
        <v>28900</v>
      </c>
      <c r="CB140">
        <f t="shared" si="358"/>
        <v>4046.0000000000005</v>
      </c>
      <c r="CC140">
        <f t="shared" si="359"/>
        <v>3468</v>
      </c>
      <c r="CD140">
        <v>0</v>
      </c>
      <c r="CE140">
        <v>500</v>
      </c>
      <c r="CF140">
        <f t="shared" si="360"/>
        <v>36914</v>
      </c>
      <c r="CG140">
        <v>0</v>
      </c>
      <c r="CH140">
        <v>0</v>
      </c>
      <c r="CI140">
        <f t="shared" si="361"/>
        <v>150</v>
      </c>
      <c r="CJ140">
        <f t="shared" si="362"/>
        <v>36764</v>
      </c>
      <c r="CK140">
        <v>28900</v>
      </c>
      <c r="CL140">
        <f t="shared" si="363"/>
        <v>4046.0000000000005</v>
      </c>
      <c r="CM140">
        <f t="shared" si="364"/>
        <v>3468</v>
      </c>
      <c r="CN140">
        <v>0</v>
      </c>
      <c r="CO140">
        <v>500</v>
      </c>
      <c r="CP140">
        <f t="shared" si="365"/>
        <v>36914</v>
      </c>
      <c r="CQ140">
        <v>0</v>
      </c>
      <c r="CR140">
        <v>0</v>
      </c>
      <c r="CS140">
        <f t="shared" si="366"/>
        <v>150</v>
      </c>
      <c r="CT140">
        <f t="shared" si="367"/>
        <v>36764</v>
      </c>
      <c r="CU140">
        <v>28900</v>
      </c>
      <c r="CV140">
        <f t="shared" si="368"/>
        <v>4046</v>
      </c>
      <c r="CW140">
        <f t="shared" si="369"/>
        <v>3468</v>
      </c>
      <c r="CX140">
        <v>0</v>
      </c>
      <c r="CY140">
        <v>500</v>
      </c>
      <c r="CZ140">
        <f t="shared" si="370"/>
        <v>36914</v>
      </c>
      <c r="DA140">
        <v>0</v>
      </c>
      <c r="DB140">
        <v>0</v>
      </c>
      <c r="DC140">
        <f t="shared" si="371"/>
        <v>150</v>
      </c>
      <c r="DD140">
        <f t="shared" si="372"/>
        <v>36764</v>
      </c>
      <c r="DE140">
        <v>28900</v>
      </c>
      <c r="DF140">
        <f t="shared" si="373"/>
        <v>4046.0000000000005</v>
      </c>
      <c r="DG140">
        <f t="shared" si="374"/>
        <v>3468</v>
      </c>
      <c r="DH140">
        <v>0</v>
      </c>
      <c r="DI140">
        <v>500</v>
      </c>
      <c r="DJ140">
        <f t="shared" si="375"/>
        <v>36914</v>
      </c>
      <c r="DK140">
        <v>0</v>
      </c>
      <c r="DL140">
        <v>0</v>
      </c>
      <c r="DM140">
        <f t="shared" si="376"/>
        <v>150</v>
      </c>
      <c r="DN140">
        <f t="shared" si="377"/>
        <v>36764</v>
      </c>
      <c r="DO140">
        <v>28900</v>
      </c>
      <c r="DP140">
        <f t="shared" si="378"/>
        <v>4046.0000000000005</v>
      </c>
      <c r="DQ140">
        <f t="shared" si="379"/>
        <v>3468</v>
      </c>
      <c r="DR140">
        <v>0</v>
      </c>
      <c r="DS140">
        <v>500</v>
      </c>
      <c r="DT140">
        <f t="shared" si="380"/>
        <v>36914</v>
      </c>
      <c r="DU140">
        <v>2000</v>
      </c>
      <c r="DV140">
        <v>0</v>
      </c>
      <c r="DW140">
        <f t="shared" si="381"/>
        <v>150</v>
      </c>
      <c r="DX140">
        <f t="shared" si="382"/>
        <v>34764</v>
      </c>
      <c r="DY140">
        <f t="shared" si="383"/>
        <v>406054</v>
      </c>
      <c r="DZ140">
        <f t="shared" si="315"/>
        <v>1650</v>
      </c>
      <c r="EA140">
        <f t="shared" si="316"/>
        <v>50000</v>
      </c>
      <c r="EB140">
        <v>0</v>
      </c>
      <c r="EC140">
        <f t="shared" si="317"/>
        <v>354404</v>
      </c>
      <c r="ED140">
        <f t="shared" si="318"/>
        <v>2000</v>
      </c>
      <c r="EE140">
        <f t="shared" si="319"/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f t="shared" si="320"/>
        <v>2000</v>
      </c>
      <c r="EQ140">
        <f t="shared" si="384"/>
        <v>2000</v>
      </c>
      <c r="ER140">
        <f t="shared" si="321"/>
        <v>352404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f t="shared" si="385"/>
        <v>0</v>
      </c>
      <c r="FA140">
        <f t="shared" si="386"/>
        <v>352404</v>
      </c>
      <c r="FB140">
        <f t="shared" si="387"/>
        <v>5120</v>
      </c>
      <c r="FC140">
        <f t="shared" si="388"/>
        <v>0</v>
      </c>
      <c r="FD140">
        <f t="shared" si="389"/>
        <v>5120</v>
      </c>
      <c r="FE140">
        <f t="shared" si="390"/>
        <v>0</v>
      </c>
      <c r="FF140">
        <f t="shared" si="391"/>
        <v>0</v>
      </c>
      <c r="FG140">
        <f t="shared" si="392"/>
        <v>0</v>
      </c>
      <c r="FH140">
        <v>0</v>
      </c>
      <c r="FI140">
        <f t="shared" si="393"/>
        <v>0</v>
      </c>
      <c r="FJ140" t="b">
        <f t="shared" si="394"/>
        <v>0</v>
      </c>
      <c r="FK140">
        <f t="shared" ca="1" si="395"/>
        <v>1014</v>
      </c>
      <c r="FL140">
        <f t="shared" ca="1" si="396"/>
        <v>407068</v>
      </c>
      <c r="FM140">
        <f t="shared" si="397"/>
        <v>75000</v>
      </c>
      <c r="FN140">
        <f t="shared" ca="1" si="398"/>
        <v>332068</v>
      </c>
      <c r="FO140">
        <f t="shared" ca="1" si="399"/>
        <v>0</v>
      </c>
      <c r="FP140">
        <f t="shared" ca="1" si="400"/>
        <v>0</v>
      </c>
      <c r="FQ140">
        <f t="shared" ca="1" si="401"/>
        <v>0</v>
      </c>
      <c r="FR140">
        <f t="shared" ca="1" si="402"/>
        <v>0</v>
      </c>
      <c r="FS140">
        <f t="shared" ca="1" si="403"/>
        <v>0</v>
      </c>
      <c r="FT140">
        <f t="shared" ca="1" si="404"/>
        <v>0</v>
      </c>
      <c r="FU140">
        <f t="shared" ca="1" si="405"/>
        <v>0</v>
      </c>
      <c r="FV140">
        <f t="shared" ca="1" si="406"/>
        <v>0</v>
      </c>
      <c r="FW140">
        <f t="shared" ca="1" si="407"/>
        <v>32068</v>
      </c>
      <c r="FX140">
        <f t="shared" ca="1" si="408"/>
        <v>1603.4</v>
      </c>
      <c r="FY140">
        <f t="shared" ca="1" si="409"/>
        <v>1603</v>
      </c>
      <c r="FZ140">
        <f t="shared" ca="1" si="410"/>
        <v>0</v>
      </c>
      <c r="GA140">
        <f t="shared" ca="1" si="411"/>
        <v>0</v>
      </c>
      <c r="GB140">
        <f t="shared" ca="1" si="412"/>
        <v>1603</v>
      </c>
      <c r="GC140">
        <f t="shared" ca="1" si="413"/>
        <v>0</v>
      </c>
      <c r="GD140" t="b">
        <f t="shared" ca="1" si="414"/>
        <v>0</v>
      </c>
      <c r="GE140">
        <f t="shared" ca="1" si="415"/>
        <v>0</v>
      </c>
      <c r="GF140">
        <f t="shared" ca="1" si="416"/>
        <v>1603</v>
      </c>
      <c r="GG140">
        <f t="shared" ca="1" si="417"/>
        <v>0</v>
      </c>
      <c r="GH140">
        <f t="shared" ca="1" si="418"/>
        <v>0</v>
      </c>
      <c r="GI140">
        <f t="shared" ca="1" si="419"/>
        <v>0</v>
      </c>
    </row>
    <row r="141" spans="1:191" x14ac:dyDescent="0.25">
      <c r="A141">
        <f>_xlfn.AGGREGATE(3,5,$B$2:B141)</f>
        <v>140</v>
      </c>
      <c r="B141" t="s">
        <v>401</v>
      </c>
      <c r="C141" t="s">
        <v>402</v>
      </c>
      <c r="D141" t="s">
        <v>800</v>
      </c>
      <c r="E141" t="s">
        <v>843</v>
      </c>
      <c r="F141">
        <v>0</v>
      </c>
      <c r="G141">
        <v>0</v>
      </c>
      <c r="H141">
        <v>0</v>
      </c>
      <c r="I141">
        <f t="shared" si="322"/>
        <v>0</v>
      </c>
      <c r="J141">
        <f t="shared" si="323"/>
        <v>0</v>
      </c>
      <c r="K141">
        <v>0</v>
      </c>
      <c r="L141">
        <v>0</v>
      </c>
      <c r="M141">
        <f t="shared" si="324"/>
        <v>0</v>
      </c>
      <c r="N141">
        <v>0</v>
      </c>
      <c r="O141">
        <v>0</v>
      </c>
      <c r="P141">
        <f t="shared" si="325"/>
        <v>0</v>
      </c>
      <c r="Q141">
        <f t="shared" si="326"/>
        <v>0</v>
      </c>
      <c r="R141">
        <v>0</v>
      </c>
      <c r="S141">
        <f t="shared" si="327"/>
        <v>0</v>
      </c>
      <c r="T141">
        <f t="shared" si="328"/>
        <v>0</v>
      </c>
      <c r="U141">
        <v>0</v>
      </c>
      <c r="V141">
        <v>0</v>
      </c>
      <c r="W141">
        <f t="shared" si="329"/>
        <v>0</v>
      </c>
      <c r="X141">
        <v>0</v>
      </c>
      <c r="Y141">
        <v>0</v>
      </c>
      <c r="Z141">
        <f t="shared" si="330"/>
        <v>0</v>
      </c>
      <c r="AA141">
        <f t="shared" si="331"/>
        <v>0</v>
      </c>
      <c r="AB141">
        <v>0</v>
      </c>
      <c r="AC141">
        <f t="shared" si="332"/>
        <v>0</v>
      </c>
      <c r="AD141">
        <f t="shared" si="333"/>
        <v>0</v>
      </c>
      <c r="AE141">
        <v>0</v>
      </c>
      <c r="AF141">
        <v>0</v>
      </c>
      <c r="AG141">
        <f t="shared" si="334"/>
        <v>0</v>
      </c>
      <c r="AH141">
        <v>0</v>
      </c>
      <c r="AI141">
        <v>0</v>
      </c>
      <c r="AJ141">
        <f t="shared" si="335"/>
        <v>0</v>
      </c>
      <c r="AK141">
        <f t="shared" si="336"/>
        <v>0</v>
      </c>
      <c r="AL141">
        <v>0</v>
      </c>
      <c r="AM141">
        <f t="shared" si="337"/>
        <v>0</v>
      </c>
      <c r="AN141">
        <f t="shared" si="338"/>
        <v>0</v>
      </c>
      <c r="AO141">
        <v>0</v>
      </c>
      <c r="AP141">
        <v>0</v>
      </c>
      <c r="AQ141">
        <f t="shared" si="339"/>
        <v>0</v>
      </c>
      <c r="AR141">
        <v>0</v>
      </c>
      <c r="AS141">
        <v>0</v>
      </c>
      <c r="AT141">
        <f t="shared" si="340"/>
        <v>0</v>
      </c>
      <c r="AU141">
        <f t="shared" si="341"/>
        <v>0</v>
      </c>
      <c r="AV141">
        <v>0</v>
      </c>
      <c r="AW141">
        <f t="shared" si="342"/>
        <v>0</v>
      </c>
      <c r="AX141">
        <f t="shared" si="343"/>
        <v>0</v>
      </c>
      <c r="AY141">
        <f t="shared" si="344"/>
        <v>0</v>
      </c>
      <c r="AZ141">
        <v>0</v>
      </c>
      <c r="BA141">
        <v>0</v>
      </c>
      <c r="BB141">
        <f t="shared" si="345"/>
        <v>0</v>
      </c>
      <c r="BC141">
        <v>0</v>
      </c>
      <c r="BD141">
        <v>0</v>
      </c>
      <c r="BE141">
        <f t="shared" si="346"/>
        <v>0</v>
      </c>
      <c r="BF141">
        <f t="shared" si="347"/>
        <v>0</v>
      </c>
      <c r="BG141">
        <v>0</v>
      </c>
      <c r="BH141">
        <f t="shared" si="348"/>
        <v>0</v>
      </c>
      <c r="BI141">
        <f t="shared" si="349"/>
        <v>0</v>
      </c>
      <c r="BJ141">
        <v>0</v>
      </c>
      <c r="BK141">
        <v>0</v>
      </c>
      <c r="BL141">
        <f t="shared" si="350"/>
        <v>0</v>
      </c>
      <c r="BM141">
        <v>0</v>
      </c>
      <c r="BN141">
        <v>0</v>
      </c>
      <c r="BO141">
        <f t="shared" si="351"/>
        <v>0</v>
      </c>
      <c r="BP141">
        <f t="shared" si="352"/>
        <v>0</v>
      </c>
      <c r="BQ141">
        <v>0</v>
      </c>
      <c r="BR141">
        <f t="shared" si="353"/>
        <v>0</v>
      </c>
      <c r="BS141">
        <f t="shared" si="354"/>
        <v>0</v>
      </c>
      <c r="BT141">
        <v>0</v>
      </c>
      <c r="BU141">
        <v>0</v>
      </c>
      <c r="BV141">
        <f t="shared" si="355"/>
        <v>0</v>
      </c>
      <c r="BW141">
        <v>0</v>
      </c>
      <c r="BX141">
        <v>0</v>
      </c>
      <c r="BY141">
        <f t="shared" si="356"/>
        <v>0</v>
      </c>
      <c r="BZ141">
        <f t="shared" si="357"/>
        <v>0</v>
      </c>
      <c r="CA141">
        <v>0</v>
      </c>
      <c r="CB141">
        <f t="shared" si="358"/>
        <v>0</v>
      </c>
      <c r="CC141">
        <f t="shared" si="359"/>
        <v>0</v>
      </c>
      <c r="CD141">
        <v>0</v>
      </c>
      <c r="CE141">
        <v>0</v>
      </c>
      <c r="CF141">
        <f t="shared" si="360"/>
        <v>0</v>
      </c>
      <c r="CG141">
        <v>0</v>
      </c>
      <c r="CH141">
        <v>0</v>
      </c>
      <c r="CI141">
        <f t="shared" si="361"/>
        <v>0</v>
      </c>
      <c r="CJ141">
        <f t="shared" si="362"/>
        <v>0</v>
      </c>
      <c r="CK141">
        <v>28900</v>
      </c>
      <c r="CL141">
        <f t="shared" si="363"/>
        <v>4046.0000000000005</v>
      </c>
      <c r="CM141">
        <f t="shared" si="364"/>
        <v>3468</v>
      </c>
      <c r="CN141">
        <v>0</v>
      </c>
      <c r="CO141">
        <v>0</v>
      </c>
      <c r="CP141">
        <f t="shared" si="365"/>
        <v>36414</v>
      </c>
      <c r="CQ141">
        <v>0</v>
      </c>
      <c r="CR141">
        <v>0</v>
      </c>
      <c r="CS141">
        <f t="shared" si="366"/>
        <v>150</v>
      </c>
      <c r="CT141">
        <f t="shared" si="367"/>
        <v>36264</v>
      </c>
      <c r="CU141">
        <v>28900</v>
      </c>
      <c r="CV141">
        <f t="shared" si="368"/>
        <v>4046</v>
      </c>
      <c r="CW141">
        <f t="shared" si="369"/>
        <v>3468</v>
      </c>
      <c r="CX141">
        <v>0</v>
      </c>
      <c r="CY141">
        <v>0</v>
      </c>
      <c r="CZ141">
        <f t="shared" si="370"/>
        <v>36414</v>
      </c>
      <c r="DA141">
        <v>0</v>
      </c>
      <c r="DB141">
        <v>0</v>
      </c>
      <c r="DC141">
        <f t="shared" si="371"/>
        <v>150</v>
      </c>
      <c r="DD141">
        <f t="shared" si="372"/>
        <v>36264</v>
      </c>
      <c r="DE141">
        <v>28900</v>
      </c>
      <c r="DF141">
        <f t="shared" si="373"/>
        <v>4046.0000000000005</v>
      </c>
      <c r="DG141">
        <f t="shared" si="374"/>
        <v>3468</v>
      </c>
      <c r="DH141">
        <v>0</v>
      </c>
      <c r="DI141">
        <v>0</v>
      </c>
      <c r="DJ141">
        <f t="shared" si="375"/>
        <v>36414</v>
      </c>
      <c r="DK141">
        <v>0</v>
      </c>
      <c r="DL141">
        <v>0</v>
      </c>
      <c r="DM141">
        <f t="shared" si="376"/>
        <v>150</v>
      </c>
      <c r="DN141">
        <f t="shared" si="377"/>
        <v>36264</v>
      </c>
      <c r="DO141">
        <v>28900</v>
      </c>
      <c r="DP141">
        <f t="shared" si="378"/>
        <v>4046.0000000000005</v>
      </c>
      <c r="DQ141">
        <f t="shared" si="379"/>
        <v>3468</v>
      </c>
      <c r="DR141">
        <v>0</v>
      </c>
      <c r="DS141">
        <v>0</v>
      </c>
      <c r="DT141">
        <f t="shared" si="380"/>
        <v>36414</v>
      </c>
      <c r="DU141">
        <v>0</v>
      </c>
      <c r="DV141">
        <v>0</v>
      </c>
      <c r="DW141">
        <f t="shared" si="381"/>
        <v>150</v>
      </c>
      <c r="DX141">
        <f t="shared" si="382"/>
        <v>36264</v>
      </c>
      <c r="DY141">
        <f t="shared" si="383"/>
        <v>145656</v>
      </c>
      <c r="DZ141">
        <f t="shared" si="315"/>
        <v>600</v>
      </c>
      <c r="EA141">
        <f t="shared" si="316"/>
        <v>50000</v>
      </c>
      <c r="EB141">
        <v>0</v>
      </c>
      <c r="EC141">
        <f t="shared" si="317"/>
        <v>95056</v>
      </c>
      <c r="ED141">
        <f t="shared" si="318"/>
        <v>0</v>
      </c>
      <c r="EE141">
        <f t="shared" si="319"/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f t="shared" si="320"/>
        <v>0</v>
      </c>
      <c r="EQ141">
        <f t="shared" si="384"/>
        <v>0</v>
      </c>
      <c r="ER141">
        <f t="shared" si="321"/>
        <v>95056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f t="shared" si="385"/>
        <v>0</v>
      </c>
      <c r="FA141">
        <f t="shared" si="386"/>
        <v>95056</v>
      </c>
      <c r="FB141">
        <f t="shared" si="387"/>
        <v>-7747</v>
      </c>
      <c r="FC141">
        <f t="shared" si="388"/>
        <v>0</v>
      </c>
      <c r="FD141">
        <f t="shared" si="389"/>
        <v>-7747</v>
      </c>
      <c r="FE141">
        <f t="shared" si="390"/>
        <v>0</v>
      </c>
      <c r="FF141">
        <f t="shared" si="391"/>
        <v>0</v>
      </c>
      <c r="FG141">
        <f t="shared" si="392"/>
        <v>0</v>
      </c>
      <c r="FH141">
        <v>0</v>
      </c>
      <c r="FI141">
        <f t="shared" si="393"/>
        <v>0</v>
      </c>
      <c r="FJ141" t="b">
        <f t="shared" si="394"/>
        <v>0</v>
      </c>
      <c r="FK141">
        <f t="shared" ca="1" si="395"/>
        <v>1175</v>
      </c>
      <c r="FL141">
        <f t="shared" ca="1" si="396"/>
        <v>146831</v>
      </c>
      <c r="FM141">
        <f t="shared" si="397"/>
        <v>75000</v>
      </c>
      <c r="FN141">
        <f t="shared" ca="1" si="398"/>
        <v>71831</v>
      </c>
      <c r="FO141">
        <f t="shared" ca="1" si="399"/>
        <v>0</v>
      </c>
      <c r="FP141">
        <f t="shared" ca="1" si="400"/>
        <v>0</v>
      </c>
      <c r="FQ141">
        <f t="shared" ca="1" si="401"/>
        <v>0</v>
      </c>
      <c r="FR141">
        <f t="shared" ca="1" si="402"/>
        <v>0</v>
      </c>
      <c r="FS141">
        <f t="shared" ca="1" si="403"/>
        <v>0</v>
      </c>
      <c r="FT141">
        <f t="shared" ca="1" si="404"/>
        <v>0</v>
      </c>
      <c r="FU141">
        <f t="shared" ca="1" si="405"/>
        <v>0</v>
      </c>
      <c r="FV141">
        <f t="shared" ca="1" si="406"/>
        <v>0</v>
      </c>
      <c r="FW141">
        <f t="shared" ca="1" si="407"/>
        <v>0</v>
      </c>
      <c r="FX141">
        <f t="shared" ca="1" si="408"/>
        <v>0</v>
      </c>
      <c r="FY141">
        <f t="shared" ca="1" si="409"/>
        <v>0</v>
      </c>
      <c r="FZ141">
        <f t="shared" ca="1" si="410"/>
        <v>0</v>
      </c>
      <c r="GA141">
        <f t="shared" ca="1" si="411"/>
        <v>0</v>
      </c>
      <c r="GB141">
        <f t="shared" ca="1" si="412"/>
        <v>0</v>
      </c>
      <c r="GC141">
        <f t="shared" ca="1" si="413"/>
        <v>0</v>
      </c>
      <c r="GD141" t="b">
        <f t="shared" ca="1" si="414"/>
        <v>0</v>
      </c>
      <c r="GE141">
        <f t="shared" ca="1" si="415"/>
        <v>0</v>
      </c>
      <c r="GF141">
        <f t="shared" ca="1" si="416"/>
        <v>0</v>
      </c>
      <c r="GG141">
        <f t="shared" ca="1" si="417"/>
        <v>0</v>
      </c>
      <c r="GH141">
        <f t="shared" ca="1" si="418"/>
        <v>0</v>
      </c>
      <c r="GI141">
        <f t="shared" ca="1" si="419"/>
        <v>0</v>
      </c>
    </row>
    <row r="142" spans="1:191" x14ac:dyDescent="0.25">
      <c r="A142">
        <f>_xlfn.AGGREGATE(3,5,$B$2:B142)</f>
        <v>141</v>
      </c>
      <c r="B142" t="s">
        <v>403</v>
      </c>
      <c r="C142" t="s">
        <v>404</v>
      </c>
      <c r="D142" t="s">
        <v>801</v>
      </c>
      <c r="E142" t="s">
        <v>843</v>
      </c>
      <c r="F142">
        <v>0</v>
      </c>
      <c r="G142">
        <v>6000</v>
      </c>
      <c r="H142">
        <v>32500</v>
      </c>
      <c r="I142">
        <f t="shared" si="322"/>
        <v>3250</v>
      </c>
      <c r="J142">
        <f t="shared" si="323"/>
        <v>3900</v>
      </c>
      <c r="K142">
        <v>400</v>
      </c>
      <c r="L142">
        <v>500</v>
      </c>
      <c r="M142">
        <f t="shared" si="324"/>
        <v>40550</v>
      </c>
      <c r="N142">
        <v>7000</v>
      </c>
      <c r="O142">
        <v>0</v>
      </c>
      <c r="P142">
        <f t="shared" si="325"/>
        <v>200</v>
      </c>
      <c r="Q142">
        <f t="shared" si="326"/>
        <v>33350</v>
      </c>
      <c r="R142">
        <v>32500</v>
      </c>
      <c r="S142">
        <f t="shared" si="327"/>
        <v>3250</v>
      </c>
      <c r="T142">
        <f t="shared" si="328"/>
        <v>3900</v>
      </c>
      <c r="U142">
        <v>400</v>
      </c>
      <c r="V142">
        <v>500</v>
      </c>
      <c r="W142">
        <f t="shared" si="329"/>
        <v>40550</v>
      </c>
      <c r="X142">
        <v>7000</v>
      </c>
      <c r="Y142">
        <v>0</v>
      </c>
      <c r="Z142">
        <f t="shared" si="330"/>
        <v>200</v>
      </c>
      <c r="AA142">
        <f t="shared" si="331"/>
        <v>33350</v>
      </c>
      <c r="AB142">
        <v>32500</v>
      </c>
      <c r="AC142">
        <f t="shared" si="332"/>
        <v>4550</v>
      </c>
      <c r="AD142">
        <f t="shared" si="333"/>
        <v>3900</v>
      </c>
      <c r="AE142">
        <v>400</v>
      </c>
      <c r="AF142">
        <v>500</v>
      </c>
      <c r="AG142">
        <f t="shared" si="334"/>
        <v>41850</v>
      </c>
      <c r="AH142">
        <v>7000</v>
      </c>
      <c r="AI142">
        <v>0</v>
      </c>
      <c r="AJ142">
        <f t="shared" si="335"/>
        <v>200</v>
      </c>
      <c r="AK142">
        <f t="shared" si="336"/>
        <v>34650</v>
      </c>
      <c r="AL142">
        <v>32500</v>
      </c>
      <c r="AM142">
        <f t="shared" si="337"/>
        <v>4550</v>
      </c>
      <c r="AN142">
        <f t="shared" si="338"/>
        <v>3900</v>
      </c>
      <c r="AO142">
        <v>400</v>
      </c>
      <c r="AP142">
        <v>500</v>
      </c>
      <c r="AQ142">
        <f t="shared" si="339"/>
        <v>41850</v>
      </c>
      <c r="AR142">
        <v>7000</v>
      </c>
      <c r="AS142">
        <v>0</v>
      </c>
      <c r="AT142">
        <f t="shared" si="340"/>
        <v>200</v>
      </c>
      <c r="AU142">
        <f t="shared" si="341"/>
        <v>34650</v>
      </c>
      <c r="AV142">
        <v>34500</v>
      </c>
      <c r="AW142">
        <f t="shared" si="342"/>
        <v>4830.0000000000009</v>
      </c>
      <c r="AX142">
        <f t="shared" si="343"/>
        <v>1300</v>
      </c>
      <c r="AY142">
        <f t="shared" si="344"/>
        <v>4140</v>
      </c>
      <c r="AZ142">
        <v>400</v>
      </c>
      <c r="BA142">
        <v>500</v>
      </c>
      <c r="BB142">
        <f t="shared" si="345"/>
        <v>45670</v>
      </c>
      <c r="BC142">
        <v>7000</v>
      </c>
      <c r="BD142">
        <v>0</v>
      </c>
      <c r="BE142">
        <f t="shared" si="346"/>
        <v>200</v>
      </c>
      <c r="BF142">
        <f t="shared" si="347"/>
        <v>38470</v>
      </c>
      <c r="BG142">
        <v>34500</v>
      </c>
      <c r="BH142">
        <f t="shared" si="348"/>
        <v>4830.0000000000009</v>
      </c>
      <c r="BI142">
        <f t="shared" si="349"/>
        <v>4140</v>
      </c>
      <c r="BJ142">
        <v>400</v>
      </c>
      <c r="BK142">
        <v>500</v>
      </c>
      <c r="BL142">
        <f t="shared" si="350"/>
        <v>44370</v>
      </c>
      <c r="BM142">
        <v>7000</v>
      </c>
      <c r="BN142">
        <v>0</v>
      </c>
      <c r="BO142">
        <f t="shared" si="351"/>
        <v>200</v>
      </c>
      <c r="BP142">
        <f t="shared" si="352"/>
        <v>37170</v>
      </c>
      <c r="BQ142">
        <v>34500</v>
      </c>
      <c r="BR142">
        <f t="shared" si="353"/>
        <v>4830.0000000000009</v>
      </c>
      <c r="BS142">
        <f t="shared" si="354"/>
        <v>4140</v>
      </c>
      <c r="BT142">
        <v>400</v>
      </c>
      <c r="BU142">
        <v>500</v>
      </c>
      <c r="BV142">
        <f t="shared" si="355"/>
        <v>44370</v>
      </c>
      <c r="BW142">
        <v>7000</v>
      </c>
      <c r="BX142">
        <v>0</v>
      </c>
      <c r="BY142">
        <f t="shared" si="356"/>
        <v>200</v>
      </c>
      <c r="BZ142">
        <f t="shared" si="357"/>
        <v>37170</v>
      </c>
      <c r="CA142">
        <v>34500</v>
      </c>
      <c r="CB142">
        <f t="shared" si="358"/>
        <v>4830.0000000000009</v>
      </c>
      <c r="CC142">
        <f t="shared" si="359"/>
        <v>4140</v>
      </c>
      <c r="CD142">
        <v>400</v>
      </c>
      <c r="CE142">
        <v>500</v>
      </c>
      <c r="CF142">
        <f t="shared" si="360"/>
        <v>44370</v>
      </c>
      <c r="CG142">
        <v>7000</v>
      </c>
      <c r="CH142">
        <v>0</v>
      </c>
      <c r="CI142">
        <f t="shared" si="361"/>
        <v>200</v>
      </c>
      <c r="CJ142">
        <f t="shared" si="362"/>
        <v>37170</v>
      </c>
      <c r="CK142">
        <v>34500</v>
      </c>
      <c r="CL142">
        <f t="shared" si="363"/>
        <v>4830.0000000000009</v>
      </c>
      <c r="CM142">
        <f t="shared" si="364"/>
        <v>4140</v>
      </c>
      <c r="CN142">
        <v>400</v>
      </c>
      <c r="CO142">
        <v>500</v>
      </c>
      <c r="CP142">
        <f t="shared" si="365"/>
        <v>44370</v>
      </c>
      <c r="CQ142">
        <v>7000</v>
      </c>
      <c r="CR142">
        <v>0</v>
      </c>
      <c r="CS142">
        <f t="shared" si="366"/>
        <v>200</v>
      </c>
      <c r="CT142">
        <f t="shared" si="367"/>
        <v>37170</v>
      </c>
      <c r="CU142">
        <v>34500</v>
      </c>
      <c r="CV142">
        <f t="shared" si="368"/>
        <v>4830</v>
      </c>
      <c r="CW142">
        <f t="shared" si="369"/>
        <v>4140</v>
      </c>
      <c r="CX142">
        <v>400</v>
      </c>
      <c r="CY142">
        <v>500</v>
      </c>
      <c r="CZ142">
        <f t="shared" si="370"/>
        <v>44370</v>
      </c>
      <c r="DA142">
        <v>7000</v>
      </c>
      <c r="DB142">
        <v>0</v>
      </c>
      <c r="DC142">
        <f t="shared" si="371"/>
        <v>200</v>
      </c>
      <c r="DD142">
        <f t="shared" si="372"/>
        <v>37170</v>
      </c>
      <c r="DE142">
        <v>34500</v>
      </c>
      <c r="DF142">
        <f t="shared" si="373"/>
        <v>4830.0000000000009</v>
      </c>
      <c r="DG142">
        <f t="shared" si="374"/>
        <v>4140</v>
      </c>
      <c r="DH142">
        <v>400</v>
      </c>
      <c r="DI142">
        <v>500</v>
      </c>
      <c r="DJ142">
        <f t="shared" si="375"/>
        <v>44370</v>
      </c>
      <c r="DK142">
        <v>7000</v>
      </c>
      <c r="DL142">
        <v>0</v>
      </c>
      <c r="DM142">
        <f t="shared" si="376"/>
        <v>200</v>
      </c>
      <c r="DN142">
        <f t="shared" si="377"/>
        <v>37170</v>
      </c>
      <c r="DO142">
        <v>34500</v>
      </c>
      <c r="DP142">
        <f t="shared" si="378"/>
        <v>4830.0000000000009</v>
      </c>
      <c r="DQ142">
        <f t="shared" si="379"/>
        <v>4140</v>
      </c>
      <c r="DR142">
        <v>400</v>
      </c>
      <c r="DS142">
        <v>500</v>
      </c>
      <c r="DT142">
        <f t="shared" si="380"/>
        <v>44370</v>
      </c>
      <c r="DU142">
        <v>7000</v>
      </c>
      <c r="DV142">
        <v>0</v>
      </c>
      <c r="DW142">
        <f t="shared" si="381"/>
        <v>200</v>
      </c>
      <c r="DX142">
        <f t="shared" si="382"/>
        <v>37170</v>
      </c>
      <c r="DY142">
        <f t="shared" si="383"/>
        <v>527060</v>
      </c>
      <c r="DZ142">
        <f t="shared" si="315"/>
        <v>2400</v>
      </c>
      <c r="EA142">
        <f t="shared" si="316"/>
        <v>50000</v>
      </c>
      <c r="EB142">
        <v>0</v>
      </c>
      <c r="EC142">
        <f t="shared" si="317"/>
        <v>474660</v>
      </c>
      <c r="ED142">
        <f t="shared" si="318"/>
        <v>84000</v>
      </c>
      <c r="EE142">
        <f t="shared" si="319"/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f t="shared" si="320"/>
        <v>84000</v>
      </c>
      <c r="EQ142">
        <f t="shared" si="384"/>
        <v>84000</v>
      </c>
      <c r="ER142">
        <f t="shared" si="321"/>
        <v>390660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f t="shared" si="385"/>
        <v>0</v>
      </c>
      <c r="FA142">
        <f t="shared" si="386"/>
        <v>390660</v>
      </c>
      <c r="FB142">
        <f t="shared" si="387"/>
        <v>7033</v>
      </c>
      <c r="FC142">
        <f t="shared" si="388"/>
        <v>0</v>
      </c>
      <c r="FD142">
        <f t="shared" si="389"/>
        <v>7033</v>
      </c>
      <c r="FE142">
        <f t="shared" si="390"/>
        <v>0</v>
      </c>
      <c r="FF142">
        <f t="shared" si="391"/>
        <v>0</v>
      </c>
      <c r="FG142">
        <f t="shared" si="392"/>
        <v>0</v>
      </c>
      <c r="FH142">
        <v>0</v>
      </c>
      <c r="FI142">
        <f t="shared" si="393"/>
        <v>0</v>
      </c>
      <c r="FJ142" t="b">
        <f t="shared" si="394"/>
        <v>1</v>
      </c>
      <c r="FK142">
        <f t="shared" ca="1" si="395"/>
        <v>961</v>
      </c>
      <c r="FL142">
        <f t="shared" ca="1" si="396"/>
        <v>528021</v>
      </c>
      <c r="FM142">
        <f t="shared" si="397"/>
        <v>75000</v>
      </c>
      <c r="FN142">
        <f t="shared" ca="1" si="398"/>
        <v>453021</v>
      </c>
      <c r="FO142">
        <f t="shared" ca="1" si="399"/>
        <v>0</v>
      </c>
      <c r="FP142">
        <f t="shared" ca="1" si="400"/>
        <v>0</v>
      </c>
      <c r="FQ142">
        <f t="shared" ca="1" si="401"/>
        <v>0</v>
      </c>
      <c r="FR142">
        <f t="shared" ca="1" si="402"/>
        <v>0</v>
      </c>
      <c r="FS142">
        <f t="shared" ca="1" si="403"/>
        <v>0</v>
      </c>
      <c r="FT142">
        <f t="shared" ca="1" si="404"/>
        <v>0</v>
      </c>
      <c r="FU142">
        <f t="shared" ca="1" si="405"/>
        <v>0</v>
      </c>
      <c r="FV142">
        <f t="shared" ca="1" si="406"/>
        <v>0</v>
      </c>
      <c r="FW142">
        <f t="shared" ca="1" si="407"/>
        <v>153021</v>
      </c>
      <c r="FX142">
        <f t="shared" ca="1" si="408"/>
        <v>7651.05</v>
      </c>
      <c r="FY142">
        <f t="shared" ca="1" si="409"/>
        <v>7651</v>
      </c>
      <c r="FZ142">
        <f t="shared" ca="1" si="410"/>
        <v>0</v>
      </c>
      <c r="GA142">
        <f t="shared" ca="1" si="411"/>
        <v>0</v>
      </c>
      <c r="GB142">
        <f t="shared" ca="1" si="412"/>
        <v>7651</v>
      </c>
      <c r="GC142">
        <f t="shared" ca="1" si="413"/>
        <v>0</v>
      </c>
      <c r="GD142" t="b">
        <f t="shared" ca="1" si="414"/>
        <v>0</v>
      </c>
      <c r="GE142">
        <f t="shared" ca="1" si="415"/>
        <v>0</v>
      </c>
      <c r="GF142">
        <f t="shared" ca="1" si="416"/>
        <v>7651</v>
      </c>
      <c r="GG142">
        <f t="shared" ca="1" si="417"/>
        <v>0</v>
      </c>
      <c r="GH142">
        <f t="shared" ca="1" si="418"/>
        <v>0</v>
      </c>
      <c r="GI142">
        <f t="shared" ca="1" si="419"/>
        <v>0</v>
      </c>
    </row>
    <row r="143" spans="1:191" x14ac:dyDescent="0.25">
      <c r="A143">
        <f>_xlfn.AGGREGATE(3,5,$B$2:B143)</f>
        <v>142</v>
      </c>
      <c r="B143" t="s">
        <v>405</v>
      </c>
      <c r="C143" t="s">
        <v>406</v>
      </c>
      <c r="D143" t="s">
        <v>801</v>
      </c>
      <c r="E143" t="s">
        <v>843</v>
      </c>
      <c r="F143">
        <v>0</v>
      </c>
      <c r="G143">
        <v>6000</v>
      </c>
      <c r="H143">
        <v>29800</v>
      </c>
      <c r="I143">
        <f t="shared" si="322"/>
        <v>2980</v>
      </c>
      <c r="J143">
        <f t="shared" si="323"/>
        <v>3576</v>
      </c>
      <c r="K143">
        <v>0</v>
      </c>
      <c r="L143">
        <v>500</v>
      </c>
      <c r="M143">
        <f t="shared" si="324"/>
        <v>36856</v>
      </c>
      <c r="N143">
        <v>2000</v>
      </c>
      <c r="O143">
        <v>0</v>
      </c>
      <c r="P143">
        <f t="shared" si="325"/>
        <v>150</v>
      </c>
      <c r="Q143">
        <f t="shared" si="326"/>
        <v>34706</v>
      </c>
      <c r="R143">
        <v>29800</v>
      </c>
      <c r="S143">
        <f t="shared" si="327"/>
        <v>2980</v>
      </c>
      <c r="T143">
        <f t="shared" si="328"/>
        <v>3576</v>
      </c>
      <c r="U143">
        <v>0</v>
      </c>
      <c r="V143">
        <v>500</v>
      </c>
      <c r="W143">
        <f t="shared" si="329"/>
        <v>36856</v>
      </c>
      <c r="X143">
        <v>2000</v>
      </c>
      <c r="Y143">
        <v>0</v>
      </c>
      <c r="Z143">
        <f t="shared" si="330"/>
        <v>150</v>
      </c>
      <c r="AA143">
        <f t="shared" si="331"/>
        <v>34706</v>
      </c>
      <c r="AB143">
        <v>29800</v>
      </c>
      <c r="AC143">
        <f t="shared" si="332"/>
        <v>4172</v>
      </c>
      <c r="AD143">
        <f t="shared" si="333"/>
        <v>3576</v>
      </c>
      <c r="AE143">
        <v>0</v>
      </c>
      <c r="AF143">
        <v>500</v>
      </c>
      <c r="AG143">
        <f t="shared" si="334"/>
        <v>38048</v>
      </c>
      <c r="AH143">
        <v>2000</v>
      </c>
      <c r="AI143">
        <v>0</v>
      </c>
      <c r="AJ143">
        <f t="shared" si="335"/>
        <v>150</v>
      </c>
      <c r="AK143">
        <f t="shared" si="336"/>
        <v>35898</v>
      </c>
      <c r="AL143">
        <v>29800</v>
      </c>
      <c r="AM143">
        <f t="shared" si="337"/>
        <v>4172</v>
      </c>
      <c r="AN143">
        <f t="shared" si="338"/>
        <v>3576</v>
      </c>
      <c r="AO143">
        <v>0</v>
      </c>
      <c r="AP143">
        <v>500</v>
      </c>
      <c r="AQ143">
        <f t="shared" si="339"/>
        <v>38048</v>
      </c>
      <c r="AR143">
        <v>2000</v>
      </c>
      <c r="AS143">
        <v>0</v>
      </c>
      <c r="AT143">
        <f t="shared" si="340"/>
        <v>150</v>
      </c>
      <c r="AU143">
        <f t="shared" si="341"/>
        <v>35898</v>
      </c>
      <c r="AV143">
        <v>30700</v>
      </c>
      <c r="AW143">
        <f t="shared" si="342"/>
        <v>4298</v>
      </c>
      <c r="AX143">
        <f t="shared" si="343"/>
        <v>1192</v>
      </c>
      <c r="AY143">
        <f t="shared" si="344"/>
        <v>3684</v>
      </c>
      <c r="AZ143">
        <v>0</v>
      </c>
      <c r="BA143">
        <v>500</v>
      </c>
      <c r="BB143">
        <f t="shared" si="345"/>
        <v>40374</v>
      </c>
      <c r="BC143">
        <v>2000</v>
      </c>
      <c r="BD143">
        <v>0</v>
      </c>
      <c r="BE143">
        <f t="shared" si="346"/>
        <v>200</v>
      </c>
      <c r="BF143">
        <f t="shared" si="347"/>
        <v>38174</v>
      </c>
      <c r="BG143">
        <v>30700</v>
      </c>
      <c r="BH143">
        <f t="shared" si="348"/>
        <v>4298</v>
      </c>
      <c r="BI143">
        <f t="shared" si="349"/>
        <v>3684</v>
      </c>
      <c r="BJ143">
        <v>0</v>
      </c>
      <c r="BK143">
        <v>500</v>
      </c>
      <c r="BL143">
        <f t="shared" si="350"/>
        <v>39182</v>
      </c>
      <c r="BM143">
        <v>2000</v>
      </c>
      <c r="BN143">
        <v>0</v>
      </c>
      <c r="BO143">
        <f t="shared" si="351"/>
        <v>150</v>
      </c>
      <c r="BP143">
        <f t="shared" si="352"/>
        <v>37032</v>
      </c>
      <c r="BQ143">
        <v>30700</v>
      </c>
      <c r="BR143">
        <f t="shared" si="353"/>
        <v>4298</v>
      </c>
      <c r="BS143">
        <f t="shared" si="354"/>
        <v>3684</v>
      </c>
      <c r="BT143">
        <v>0</v>
      </c>
      <c r="BU143">
        <v>500</v>
      </c>
      <c r="BV143">
        <f t="shared" si="355"/>
        <v>39182</v>
      </c>
      <c r="BW143">
        <v>2000</v>
      </c>
      <c r="BX143">
        <v>0</v>
      </c>
      <c r="BY143">
        <f t="shared" si="356"/>
        <v>150</v>
      </c>
      <c r="BZ143">
        <f t="shared" si="357"/>
        <v>37032</v>
      </c>
      <c r="CA143">
        <v>30700</v>
      </c>
      <c r="CB143">
        <f t="shared" si="358"/>
        <v>4298</v>
      </c>
      <c r="CC143">
        <f t="shared" si="359"/>
        <v>3684</v>
      </c>
      <c r="CD143">
        <v>0</v>
      </c>
      <c r="CE143">
        <v>500</v>
      </c>
      <c r="CF143">
        <f t="shared" si="360"/>
        <v>39182</v>
      </c>
      <c r="CG143">
        <v>2000</v>
      </c>
      <c r="CH143">
        <v>0</v>
      </c>
      <c r="CI143">
        <f t="shared" si="361"/>
        <v>150</v>
      </c>
      <c r="CJ143">
        <f t="shared" si="362"/>
        <v>37032</v>
      </c>
      <c r="CK143">
        <v>30700</v>
      </c>
      <c r="CL143">
        <f t="shared" si="363"/>
        <v>4298</v>
      </c>
      <c r="CM143">
        <f t="shared" si="364"/>
        <v>3684</v>
      </c>
      <c r="CN143">
        <v>0</v>
      </c>
      <c r="CO143">
        <v>500</v>
      </c>
      <c r="CP143">
        <f t="shared" si="365"/>
        <v>39182</v>
      </c>
      <c r="CQ143">
        <v>2000</v>
      </c>
      <c r="CR143">
        <v>0</v>
      </c>
      <c r="CS143">
        <f t="shared" si="366"/>
        <v>150</v>
      </c>
      <c r="CT143">
        <f t="shared" si="367"/>
        <v>37032</v>
      </c>
      <c r="CU143">
        <v>30700</v>
      </c>
      <c r="CV143">
        <f t="shared" si="368"/>
        <v>4298</v>
      </c>
      <c r="CW143">
        <f t="shared" si="369"/>
        <v>3684</v>
      </c>
      <c r="CX143">
        <v>0</v>
      </c>
      <c r="CY143">
        <v>500</v>
      </c>
      <c r="CZ143">
        <f t="shared" si="370"/>
        <v>39182</v>
      </c>
      <c r="DA143">
        <v>2000</v>
      </c>
      <c r="DB143">
        <v>0</v>
      </c>
      <c r="DC143">
        <f t="shared" si="371"/>
        <v>150</v>
      </c>
      <c r="DD143">
        <f t="shared" si="372"/>
        <v>37032</v>
      </c>
      <c r="DE143">
        <v>30700</v>
      </c>
      <c r="DF143">
        <f t="shared" si="373"/>
        <v>4298</v>
      </c>
      <c r="DG143">
        <f t="shared" si="374"/>
        <v>3684</v>
      </c>
      <c r="DH143">
        <v>0</v>
      </c>
      <c r="DI143">
        <v>500</v>
      </c>
      <c r="DJ143">
        <f t="shared" si="375"/>
        <v>39182</v>
      </c>
      <c r="DK143">
        <v>2000</v>
      </c>
      <c r="DL143">
        <v>0</v>
      </c>
      <c r="DM143">
        <f t="shared" si="376"/>
        <v>150</v>
      </c>
      <c r="DN143">
        <f t="shared" si="377"/>
        <v>37032</v>
      </c>
      <c r="DO143">
        <v>30700</v>
      </c>
      <c r="DP143">
        <f t="shared" si="378"/>
        <v>4298</v>
      </c>
      <c r="DQ143">
        <f t="shared" si="379"/>
        <v>3684</v>
      </c>
      <c r="DR143">
        <v>0</v>
      </c>
      <c r="DS143">
        <v>500</v>
      </c>
      <c r="DT143">
        <f t="shared" si="380"/>
        <v>39182</v>
      </c>
      <c r="DU143">
        <v>2000</v>
      </c>
      <c r="DV143">
        <v>0</v>
      </c>
      <c r="DW143">
        <f t="shared" si="381"/>
        <v>150</v>
      </c>
      <c r="DX143">
        <f t="shared" si="382"/>
        <v>37032</v>
      </c>
      <c r="DY143">
        <f t="shared" si="383"/>
        <v>470456</v>
      </c>
      <c r="DZ143">
        <f t="shared" si="315"/>
        <v>1850</v>
      </c>
      <c r="EA143">
        <f t="shared" si="316"/>
        <v>50000</v>
      </c>
      <c r="EB143">
        <v>0</v>
      </c>
      <c r="EC143">
        <f t="shared" si="317"/>
        <v>418606</v>
      </c>
      <c r="ED143">
        <f t="shared" si="318"/>
        <v>24000</v>
      </c>
      <c r="EE143">
        <f t="shared" si="319"/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f t="shared" si="320"/>
        <v>24000</v>
      </c>
      <c r="EQ143">
        <f t="shared" si="384"/>
        <v>24000</v>
      </c>
      <c r="ER143">
        <f t="shared" si="321"/>
        <v>394606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f t="shared" si="385"/>
        <v>0</v>
      </c>
      <c r="FA143">
        <f t="shared" si="386"/>
        <v>394606</v>
      </c>
      <c r="FB143">
        <f t="shared" si="387"/>
        <v>7230</v>
      </c>
      <c r="FC143">
        <f t="shared" si="388"/>
        <v>0</v>
      </c>
      <c r="FD143">
        <f t="shared" si="389"/>
        <v>7230</v>
      </c>
      <c r="FE143">
        <f t="shared" si="390"/>
        <v>0</v>
      </c>
      <c r="FF143">
        <f t="shared" si="391"/>
        <v>0</v>
      </c>
      <c r="FG143">
        <f t="shared" si="392"/>
        <v>0</v>
      </c>
      <c r="FH143">
        <v>0</v>
      </c>
      <c r="FI143">
        <f t="shared" si="393"/>
        <v>0</v>
      </c>
      <c r="FJ143" t="b">
        <f t="shared" si="394"/>
        <v>0</v>
      </c>
      <c r="FK143">
        <f t="shared" ca="1" si="395"/>
        <v>2989</v>
      </c>
      <c r="FL143">
        <f t="shared" ca="1" si="396"/>
        <v>473445</v>
      </c>
      <c r="FM143">
        <f t="shared" si="397"/>
        <v>75000</v>
      </c>
      <c r="FN143">
        <f t="shared" ca="1" si="398"/>
        <v>398445</v>
      </c>
      <c r="FO143">
        <f t="shared" ca="1" si="399"/>
        <v>0</v>
      </c>
      <c r="FP143">
        <f t="shared" ca="1" si="400"/>
        <v>0</v>
      </c>
      <c r="FQ143">
        <f t="shared" ca="1" si="401"/>
        <v>0</v>
      </c>
      <c r="FR143">
        <f t="shared" ca="1" si="402"/>
        <v>0</v>
      </c>
      <c r="FS143">
        <f t="shared" ca="1" si="403"/>
        <v>0</v>
      </c>
      <c r="FT143">
        <f t="shared" ca="1" si="404"/>
        <v>0</v>
      </c>
      <c r="FU143">
        <f t="shared" ca="1" si="405"/>
        <v>0</v>
      </c>
      <c r="FV143">
        <f t="shared" ca="1" si="406"/>
        <v>0</v>
      </c>
      <c r="FW143">
        <f t="shared" ca="1" si="407"/>
        <v>98445</v>
      </c>
      <c r="FX143">
        <f t="shared" ca="1" si="408"/>
        <v>4922.25</v>
      </c>
      <c r="FY143">
        <f t="shared" ca="1" si="409"/>
        <v>4922</v>
      </c>
      <c r="FZ143">
        <f t="shared" ca="1" si="410"/>
        <v>0</v>
      </c>
      <c r="GA143">
        <f t="shared" ca="1" si="411"/>
        <v>0</v>
      </c>
      <c r="GB143">
        <f t="shared" ca="1" si="412"/>
        <v>4922</v>
      </c>
      <c r="GC143">
        <f t="shared" ca="1" si="413"/>
        <v>0</v>
      </c>
      <c r="GD143" t="b">
        <f t="shared" ca="1" si="414"/>
        <v>0</v>
      </c>
      <c r="GE143">
        <f t="shared" ca="1" si="415"/>
        <v>0</v>
      </c>
      <c r="GF143">
        <f t="shared" ca="1" si="416"/>
        <v>4922</v>
      </c>
      <c r="GG143">
        <f t="shared" ca="1" si="417"/>
        <v>0</v>
      </c>
      <c r="GH143">
        <f t="shared" ca="1" si="418"/>
        <v>0</v>
      </c>
      <c r="GI143">
        <f t="shared" ca="1" si="419"/>
        <v>0</v>
      </c>
    </row>
    <row r="144" spans="1:191" x14ac:dyDescent="0.25">
      <c r="A144">
        <f>_xlfn.AGGREGATE(3,5,$B$2:B144)</f>
        <v>143</v>
      </c>
      <c r="B144" t="s">
        <v>407</v>
      </c>
      <c r="C144" t="s">
        <v>873</v>
      </c>
      <c r="D144" t="s">
        <v>801</v>
      </c>
      <c r="E144" t="s">
        <v>843</v>
      </c>
      <c r="F144">
        <v>0</v>
      </c>
      <c r="G144">
        <v>0</v>
      </c>
      <c r="H144">
        <v>0</v>
      </c>
      <c r="I144">
        <f t="shared" si="322"/>
        <v>0</v>
      </c>
      <c r="J144">
        <f t="shared" si="323"/>
        <v>0</v>
      </c>
      <c r="K144">
        <v>0</v>
      </c>
      <c r="L144">
        <v>0</v>
      </c>
      <c r="M144">
        <f t="shared" si="324"/>
        <v>0</v>
      </c>
      <c r="N144">
        <v>0</v>
      </c>
      <c r="O144">
        <v>0</v>
      </c>
      <c r="P144">
        <f t="shared" si="325"/>
        <v>0</v>
      </c>
      <c r="Q144">
        <f t="shared" si="326"/>
        <v>0</v>
      </c>
      <c r="R144">
        <v>28900</v>
      </c>
      <c r="S144">
        <f t="shared" si="327"/>
        <v>2890</v>
      </c>
      <c r="T144">
        <f t="shared" si="328"/>
        <v>3468</v>
      </c>
      <c r="U144">
        <v>0</v>
      </c>
      <c r="V144">
        <v>0</v>
      </c>
      <c r="W144">
        <f t="shared" si="329"/>
        <v>35258</v>
      </c>
      <c r="X144">
        <v>0</v>
      </c>
      <c r="Y144">
        <v>0</v>
      </c>
      <c r="Z144">
        <f t="shared" si="330"/>
        <v>150</v>
      </c>
      <c r="AA144">
        <f t="shared" si="331"/>
        <v>35108</v>
      </c>
      <c r="AB144">
        <v>28900</v>
      </c>
      <c r="AC144">
        <f t="shared" si="332"/>
        <v>4046.0000000000005</v>
      </c>
      <c r="AD144">
        <f t="shared" si="333"/>
        <v>3468</v>
      </c>
      <c r="AE144">
        <v>0</v>
      </c>
      <c r="AF144">
        <v>0</v>
      </c>
      <c r="AG144">
        <f t="shared" si="334"/>
        <v>36414</v>
      </c>
      <c r="AH144">
        <v>0</v>
      </c>
      <c r="AI144">
        <v>0</v>
      </c>
      <c r="AJ144">
        <f t="shared" si="335"/>
        <v>150</v>
      </c>
      <c r="AK144">
        <f t="shared" si="336"/>
        <v>36264</v>
      </c>
      <c r="AL144">
        <v>28900</v>
      </c>
      <c r="AM144">
        <f t="shared" si="337"/>
        <v>4046.0000000000005</v>
      </c>
      <c r="AN144">
        <f t="shared" si="338"/>
        <v>3468</v>
      </c>
      <c r="AO144">
        <v>0</v>
      </c>
      <c r="AP144">
        <v>0</v>
      </c>
      <c r="AQ144">
        <f t="shared" si="339"/>
        <v>36414</v>
      </c>
      <c r="AR144">
        <v>0</v>
      </c>
      <c r="AS144">
        <v>0</v>
      </c>
      <c r="AT144">
        <f t="shared" si="340"/>
        <v>150</v>
      </c>
      <c r="AU144">
        <f t="shared" si="341"/>
        <v>36264</v>
      </c>
      <c r="AV144">
        <v>28900</v>
      </c>
      <c r="AW144">
        <f t="shared" si="342"/>
        <v>4046.0000000000005</v>
      </c>
      <c r="AX144">
        <f t="shared" si="343"/>
        <v>1156</v>
      </c>
      <c r="AY144">
        <f t="shared" si="344"/>
        <v>3468</v>
      </c>
      <c r="AZ144">
        <v>0</v>
      </c>
      <c r="BA144">
        <v>0</v>
      </c>
      <c r="BB144">
        <f t="shared" si="345"/>
        <v>37570</v>
      </c>
      <c r="BC144">
        <v>0</v>
      </c>
      <c r="BD144">
        <v>0</v>
      </c>
      <c r="BE144">
        <f t="shared" si="346"/>
        <v>150</v>
      </c>
      <c r="BF144">
        <f t="shared" si="347"/>
        <v>37420</v>
      </c>
      <c r="BG144">
        <v>28900</v>
      </c>
      <c r="BH144">
        <f t="shared" si="348"/>
        <v>4046.0000000000005</v>
      </c>
      <c r="BI144">
        <f t="shared" si="349"/>
        <v>3468</v>
      </c>
      <c r="BJ144">
        <v>0</v>
      </c>
      <c r="BK144">
        <v>0</v>
      </c>
      <c r="BL144">
        <f t="shared" si="350"/>
        <v>36414</v>
      </c>
      <c r="BM144">
        <v>0</v>
      </c>
      <c r="BN144">
        <v>0</v>
      </c>
      <c r="BO144">
        <f t="shared" si="351"/>
        <v>150</v>
      </c>
      <c r="BP144">
        <f t="shared" si="352"/>
        <v>36264</v>
      </c>
      <c r="BQ144">
        <v>28900</v>
      </c>
      <c r="BR144">
        <f t="shared" si="353"/>
        <v>4046.0000000000005</v>
      </c>
      <c r="BS144">
        <f t="shared" si="354"/>
        <v>3468</v>
      </c>
      <c r="BT144">
        <v>0</v>
      </c>
      <c r="BU144">
        <v>0</v>
      </c>
      <c r="BV144">
        <f t="shared" si="355"/>
        <v>36414</v>
      </c>
      <c r="BW144">
        <v>0</v>
      </c>
      <c r="BX144">
        <v>0</v>
      </c>
      <c r="BY144">
        <f t="shared" si="356"/>
        <v>150</v>
      </c>
      <c r="BZ144">
        <f t="shared" si="357"/>
        <v>36264</v>
      </c>
      <c r="CA144">
        <v>28900</v>
      </c>
      <c r="CB144">
        <f t="shared" si="358"/>
        <v>4046.0000000000005</v>
      </c>
      <c r="CC144">
        <f t="shared" si="359"/>
        <v>3468</v>
      </c>
      <c r="CD144">
        <v>0</v>
      </c>
      <c r="CE144">
        <v>0</v>
      </c>
      <c r="CF144">
        <f t="shared" si="360"/>
        <v>36414</v>
      </c>
      <c r="CG144">
        <v>0</v>
      </c>
      <c r="CH144">
        <v>0</v>
      </c>
      <c r="CI144">
        <f t="shared" si="361"/>
        <v>150</v>
      </c>
      <c r="CJ144">
        <f t="shared" si="362"/>
        <v>36264</v>
      </c>
      <c r="CK144">
        <v>28900</v>
      </c>
      <c r="CL144">
        <f t="shared" si="363"/>
        <v>4046.0000000000005</v>
      </c>
      <c r="CM144">
        <f t="shared" si="364"/>
        <v>3468</v>
      </c>
      <c r="CN144">
        <v>0</v>
      </c>
      <c r="CO144">
        <v>0</v>
      </c>
      <c r="CP144">
        <f t="shared" si="365"/>
        <v>36414</v>
      </c>
      <c r="CQ144">
        <v>0</v>
      </c>
      <c r="CR144">
        <v>0</v>
      </c>
      <c r="CS144">
        <f t="shared" si="366"/>
        <v>150</v>
      </c>
      <c r="CT144">
        <f t="shared" si="367"/>
        <v>36264</v>
      </c>
      <c r="CU144">
        <v>28900</v>
      </c>
      <c r="CV144">
        <f t="shared" si="368"/>
        <v>4046</v>
      </c>
      <c r="CW144">
        <f t="shared" si="369"/>
        <v>3468</v>
      </c>
      <c r="CX144">
        <v>0</v>
      </c>
      <c r="CY144">
        <v>0</v>
      </c>
      <c r="CZ144">
        <f t="shared" si="370"/>
        <v>36414</v>
      </c>
      <c r="DA144">
        <v>0</v>
      </c>
      <c r="DB144">
        <v>0</v>
      </c>
      <c r="DC144">
        <f t="shared" si="371"/>
        <v>150</v>
      </c>
      <c r="DD144">
        <f t="shared" si="372"/>
        <v>36264</v>
      </c>
      <c r="DE144">
        <v>28900</v>
      </c>
      <c r="DF144">
        <f t="shared" si="373"/>
        <v>4046.0000000000005</v>
      </c>
      <c r="DG144">
        <f t="shared" si="374"/>
        <v>3468</v>
      </c>
      <c r="DH144">
        <v>0</v>
      </c>
      <c r="DI144">
        <v>0</v>
      </c>
      <c r="DJ144">
        <f t="shared" si="375"/>
        <v>36414</v>
      </c>
      <c r="DK144">
        <v>0</v>
      </c>
      <c r="DL144">
        <v>0</v>
      </c>
      <c r="DM144">
        <f t="shared" si="376"/>
        <v>150</v>
      </c>
      <c r="DN144">
        <f t="shared" si="377"/>
        <v>36264</v>
      </c>
      <c r="DO144">
        <v>28900</v>
      </c>
      <c r="DP144">
        <f t="shared" si="378"/>
        <v>4046.0000000000005</v>
      </c>
      <c r="DQ144">
        <f t="shared" si="379"/>
        <v>3468</v>
      </c>
      <c r="DR144">
        <v>0</v>
      </c>
      <c r="DS144">
        <v>0</v>
      </c>
      <c r="DT144">
        <f t="shared" si="380"/>
        <v>36414</v>
      </c>
      <c r="DU144">
        <v>0</v>
      </c>
      <c r="DV144">
        <v>0</v>
      </c>
      <c r="DW144">
        <f t="shared" si="381"/>
        <v>150</v>
      </c>
      <c r="DX144">
        <f t="shared" si="382"/>
        <v>36264</v>
      </c>
      <c r="DY144">
        <f t="shared" si="383"/>
        <v>400554</v>
      </c>
      <c r="DZ144">
        <f t="shared" si="315"/>
        <v>1650</v>
      </c>
      <c r="EA144">
        <f t="shared" si="316"/>
        <v>50000</v>
      </c>
      <c r="EB144">
        <v>0</v>
      </c>
      <c r="EC144">
        <f t="shared" si="317"/>
        <v>348904</v>
      </c>
      <c r="ED144">
        <f t="shared" si="318"/>
        <v>0</v>
      </c>
      <c r="EE144">
        <f t="shared" si="319"/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f t="shared" si="320"/>
        <v>0</v>
      </c>
      <c r="EQ144">
        <f t="shared" si="384"/>
        <v>0</v>
      </c>
      <c r="ER144">
        <f t="shared" si="321"/>
        <v>348904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f t="shared" si="385"/>
        <v>0</v>
      </c>
      <c r="FA144">
        <f t="shared" si="386"/>
        <v>348904</v>
      </c>
      <c r="FB144">
        <f t="shared" si="387"/>
        <v>4945</v>
      </c>
      <c r="FC144">
        <f t="shared" si="388"/>
        <v>0</v>
      </c>
      <c r="FD144">
        <f t="shared" si="389"/>
        <v>4945</v>
      </c>
      <c r="FE144">
        <f t="shared" si="390"/>
        <v>0</v>
      </c>
      <c r="FF144">
        <f t="shared" si="391"/>
        <v>0</v>
      </c>
      <c r="FG144">
        <f t="shared" si="392"/>
        <v>0</v>
      </c>
      <c r="FH144">
        <v>0</v>
      </c>
      <c r="FI144">
        <f t="shared" si="393"/>
        <v>0</v>
      </c>
      <c r="FJ144" t="b">
        <f t="shared" si="394"/>
        <v>0</v>
      </c>
      <c r="FK144">
        <f t="shared" ca="1" si="395"/>
        <v>1399</v>
      </c>
      <c r="FL144">
        <f t="shared" ca="1" si="396"/>
        <v>401953</v>
      </c>
      <c r="FM144">
        <f t="shared" si="397"/>
        <v>75000</v>
      </c>
      <c r="FN144">
        <f t="shared" ca="1" si="398"/>
        <v>326953</v>
      </c>
      <c r="FO144">
        <f t="shared" ca="1" si="399"/>
        <v>0</v>
      </c>
      <c r="FP144">
        <f t="shared" ca="1" si="400"/>
        <v>0</v>
      </c>
      <c r="FQ144">
        <f t="shared" ca="1" si="401"/>
        <v>0</v>
      </c>
      <c r="FR144">
        <f t="shared" ca="1" si="402"/>
        <v>0</v>
      </c>
      <c r="FS144">
        <f t="shared" ca="1" si="403"/>
        <v>0</v>
      </c>
      <c r="FT144">
        <f t="shared" ca="1" si="404"/>
        <v>0</v>
      </c>
      <c r="FU144">
        <f t="shared" ca="1" si="405"/>
        <v>0</v>
      </c>
      <c r="FV144">
        <f t="shared" ca="1" si="406"/>
        <v>0</v>
      </c>
      <c r="FW144">
        <f t="shared" ca="1" si="407"/>
        <v>26953</v>
      </c>
      <c r="FX144">
        <f t="shared" ca="1" si="408"/>
        <v>1347.65</v>
      </c>
      <c r="FY144">
        <f t="shared" ca="1" si="409"/>
        <v>1348</v>
      </c>
      <c r="FZ144">
        <f t="shared" ca="1" si="410"/>
        <v>0</v>
      </c>
      <c r="GA144">
        <f t="shared" ca="1" si="411"/>
        <v>0</v>
      </c>
      <c r="GB144">
        <f t="shared" ca="1" si="412"/>
        <v>1348</v>
      </c>
      <c r="GC144">
        <f t="shared" ca="1" si="413"/>
        <v>0</v>
      </c>
      <c r="GD144" t="b">
        <f t="shared" ca="1" si="414"/>
        <v>0</v>
      </c>
      <c r="GE144">
        <f t="shared" ca="1" si="415"/>
        <v>0</v>
      </c>
      <c r="GF144">
        <f t="shared" ca="1" si="416"/>
        <v>1348</v>
      </c>
      <c r="GG144">
        <f t="shared" ca="1" si="417"/>
        <v>0</v>
      </c>
      <c r="GH144">
        <f t="shared" ca="1" si="418"/>
        <v>0</v>
      </c>
      <c r="GI144">
        <f t="shared" ca="1" si="419"/>
        <v>0</v>
      </c>
    </row>
    <row r="145" spans="1:191" x14ac:dyDescent="0.25">
      <c r="A145">
        <f>_xlfn.AGGREGATE(3,5,$B$2:B145)</f>
        <v>144</v>
      </c>
      <c r="B145" t="s">
        <v>408</v>
      </c>
      <c r="C145" t="s">
        <v>409</v>
      </c>
      <c r="D145" t="s">
        <v>802</v>
      </c>
      <c r="E145" t="s">
        <v>843</v>
      </c>
      <c r="F145">
        <v>0</v>
      </c>
      <c r="G145">
        <v>0</v>
      </c>
      <c r="H145">
        <v>47300</v>
      </c>
      <c r="I145">
        <f t="shared" si="322"/>
        <v>4730</v>
      </c>
      <c r="J145">
        <f t="shared" si="323"/>
        <v>5676</v>
      </c>
      <c r="K145">
        <v>400</v>
      </c>
      <c r="L145">
        <v>500</v>
      </c>
      <c r="M145">
        <f t="shared" si="324"/>
        <v>58606</v>
      </c>
      <c r="N145">
        <v>7000</v>
      </c>
      <c r="O145">
        <v>0</v>
      </c>
      <c r="P145">
        <f t="shared" si="325"/>
        <v>200</v>
      </c>
      <c r="Q145">
        <f t="shared" si="326"/>
        <v>51406</v>
      </c>
      <c r="R145">
        <v>47300</v>
      </c>
      <c r="S145">
        <f t="shared" si="327"/>
        <v>4730</v>
      </c>
      <c r="T145">
        <f t="shared" si="328"/>
        <v>5676</v>
      </c>
      <c r="U145">
        <v>400</v>
      </c>
      <c r="V145">
        <v>500</v>
      </c>
      <c r="W145">
        <f t="shared" si="329"/>
        <v>58606</v>
      </c>
      <c r="X145">
        <v>7000</v>
      </c>
      <c r="Y145">
        <v>0</v>
      </c>
      <c r="Z145">
        <f t="shared" si="330"/>
        <v>200</v>
      </c>
      <c r="AA145">
        <f t="shared" si="331"/>
        <v>51406</v>
      </c>
      <c r="AB145">
        <v>47300</v>
      </c>
      <c r="AC145">
        <f t="shared" si="332"/>
        <v>6622.0000000000009</v>
      </c>
      <c r="AD145">
        <f t="shared" si="333"/>
        <v>5676</v>
      </c>
      <c r="AE145">
        <v>400</v>
      </c>
      <c r="AF145">
        <v>500</v>
      </c>
      <c r="AG145">
        <f t="shared" si="334"/>
        <v>60498</v>
      </c>
      <c r="AH145">
        <v>7000</v>
      </c>
      <c r="AI145">
        <v>0</v>
      </c>
      <c r="AJ145">
        <f t="shared" si="335"/>
        <v>200</v>
      </c>
      <c r="AK145">
        <f t="shared" si="336"/>
        <v>53298</v>
      </c>
      <c r="AL145">
        <v>47300</v>
      </c>
      <c r="AM145">
        <f t="shared" si="337"/>
        <v>6622.0000000000009</v>
      </c>
      <c r="AN145">
        <f t="shared" si="338"/>
        <v>5676</v>
      </c>
      <c r="AO145">
        <v>400</v>
      </c>
      <c r="AP145">
        <v>500</v>
      </c>
      <c r="AQ145">
        <f t="shared" si="339"/>
        <v>60498</v>
      </c>
      <c r="AR145">
        <v>7000</v>
      </c>
      <c r="AS145">
        <v>0</v>
      </c>
      <c r="AT145">
        <f t="shared" si="340"/>
        <v>200</v>
      </c>
      <c r="AU145">
        <f t="shared" si="341"/>
        <v>53298</v>
      </c>
      <c r="AV145">
        <v>48700</v>
      </c>
      <c r="AW145">
        <f t="shared" si="342"/>
        <v>6818.0000000000009</v>
      </c>
      <c r="AX145">
        <f t="shared" si="343"/>
        <v>1892</v>
      </c>
      <c r="AY145">
        <f t="shared" si="344"/>
        <v>5844</v>
      </c>
      <c r="AZ145">
        <v>400</v>
      </c>
      <c r="BA145">
        <v>500</v>
      </c>
      <c r="BB145">
        <f t="shared" si="345"/>
        <v>64154</v>
      </c>
      <c r="BC145">
        <v>7000</v>
      </c>
      <c r="BD145">
        <v>0</v>
      </c>
      <c r="BE145">
        <f t="shared" si="346"/>
        <v>200</v>
      </c>
      <c r="BF145">
        <f t="shared" si="347"/>
        <v>56954</v>
      </c>
      <c r="BG145">
        <v>48700</v>
      </c>
      <c r="BH145">
        <f t="shared" si="348"/>
        <v>6818.0000000000009</v>
      </c>
      <c r="BI145">
        <f t="shared" si="349"/>
        <v>5844</v>
      </c>
      <c r="BJ145">
        <v>400</v>
      </c>
      <c r="BK145">
        <v>500</v>
      </c>
      <c r="BL145">
        <f t="shared" si="350"/>
        <v>62262</v>
      </c>
      <c r="BM145">
        <v>7000</v>
      </c>
      <c r="BN145">
        <v>0</v>
      </c>
      <c r="BO145">
        <f t="shared" si="351"/>
        <v>200</v>
      </c>
      <c r="BP145">
        <f t="shared" si="352"/>
        <v>55062</v>
      </c>
      <c r="BQ145">
        <v>48700</v>
      </c>
      <c r="BR145">
        <f t="shared" si="353"/>
        <v>6818.0000000000009</v>
      </c>
      <c r="BS145">
        <f t="shared" si="354"/>
        <v>5844</v>
      </c>
      <c r="BT145">
        <v>400</v>
      </c>
      <c r="BU145">
        <v>500</v>
      </c>
      <c r="BV145">
        <f t="shared" si="355"/>
        <v>62262</v>
      </c>
      <c r="BW145">
        <v>7000</v>
      </c>
      <c r="BX145">
        <v>0</v>
      </c>
      <c r="BY145">
        <f t="shared" si="356"/>
        <v>200</v>
      </c>
      <c r="BZ145">
        <f t="shared" si="357"/>
        <v>55062</v>
      </c>
      <c r="CA145">
        <v>48700</v>
      </c>
      <c r="CB145">
        <f t="shared" si="358"/>
        <v>6818.0000000000009</v>
      </c>
      <c r="CC145">
        <f t="shared" si="359"/>
        <v>5844</v>
      </c>
      <c r="CD145">
        <v>400</v>
      </c>
      <c r="CE145">
        <v>500</v>
      </c>
      <c r="CF145">
        <f t="shared" si="360"/>
        <v>62262</v>
      </c>
      <c r="CG145">
        <v>7000</v>
      </c>
      <c r="CH145">
        <v>0</v>
      </c>
      <c r="CI145">
        <f t="shared" si="361"/>
        <v>200</v>
      </c>
      <c r="CJ145">
        <f t="shared" si="362"/>
        <v>55062</v>
      </c>
      <c r="CK145">
        <v>48700</v>
      </c>
      <c r="CL145">
        <f t="shared" si="363"/>
        <v>6818.0000000000009</v>
      </c>
      <c r="CM145">
        <f t="shared" si="364"/>
        <v>5844</v>
      </c>
      <c r="CN145">
        <v>400</v>
      </c>
      <c r="CO145">
        <v>500</v>
      </c>
      <c r="CP145">
        <f t="shared" si="365"/>
        <v>62262</v>
      </c>
      <c r="CQ145">
        <v>7000</v>
      </c>
      <c r="CR145">
        <v>0</v>
      </c>
      <c r="CS145">
        <f t="shared" si="366"/>
        <v>200</v>
      </c>
      <c r="CT145">
        <f t="shared" si="367"/>
        <v>55062</v>
      </c>
      <c r="CU145">
        <v>48700</v>
      </c>
      <c r="CV145">
        <f t="shared" si="368"/>
        <v>6818</v>
      </c>
      <c r="CW145">
        <f t="shared" si="369"/>
        <v>5844</v>
      </c>
      <c r="CX145">
        <v>400</v>
      </c>
      <c r="CY145">
        <v>500</v>
      </c>
      <c r="CZ145">
        <f t="shared" si="370"/>
        <v>62262</v>
      </c>
      <c r="DA145">
        <v>7000</v>
      </c>
      <c r="DB145">
        <v>0</v>
      </c>
      <c r="DC145">
        <f t="shared" si="371"/>
        <v>200</v>
      </c>
      <c r="DD145">
        <f t="shared" si="372"/>
        <v>55062</v>
      </c>
      <c r="DE145">
        <v>48700</v>
      </c>
      <c r="DF145">
        <f t="shared" si="373"/>
        <v>6818.0000000000009</v>
      </c>
      <c r="DG145">
        <f t="shared" si="374"/>
        <v>5844</v>
      </c>
      <c r="DH145">
        <v>400</v>
      </c>
      <c r="DI145">
        <v>500</v>
      </c>
      <c r="DJ145">
        <f t="shared" si="375"/>
        <v>62262</v>
      </c>
      <c r="DK145">
        <v>7000</v>
      </c>
      <c r="DL145">
        <v>0</v>
      </c>
      <c r="DM145">
        <f t="shared" si="376"/>
        <v>200</v>
      </c>
      <c r="DN145">
        <f t="shared" si="377"/>
        <v>55062</v>
      </c>
      <c r="DO145">
        <v>48700</v>
      </c>
      <c r="DP145">
        <f t="shared" si="378"/>
        <v>6818.0000000000009</v>
      </c>
      <c r="DQ145">
        <f t="shared" si="379"/>
        <v>5844</v>
      </c>
      <c r="DR145">
        <v>400</v>
      </c>
      <c r="DS145">
        <v>500</v>
      </c>
      <c r="DT145">
        <f t="shared" si="380"/>
        <v>62262</v>
      </c>
      <c r="DU145">
        <v>7000</v>
      </c>
      <c r="DV145">
        <v>0</v>
      </c>
      <c r="DW145">
        <f t="shared" si="381"/>
        <v>200</v>
      </c>
      <c r="DX145">
        <f t="shared" si="382"/>
        <v>55062</v>
      </c>
      <c r="DY145">
        <f t="shared" si="383"/>
        <v>738196</v>
      </c>
      <c r="DZ145">
        <f t="shared" si="315"/>
        <v>2400</v>
      </c>
      <c r="EA145">
        <f t="shared" si="316"/>
        <v>50000</v>
      </c>
      <c r="EB145">
        <v>0</v>
      </c>
      <c r="EC145">
        <f t="shared" si="317"/>
        <v>685796</v>
      </c>
      <c r="ED145">
        <f t="shared" si="318"/>
        <v>84000</v>
      </c>
      <c r="EE145">
        <f t="shared" si="319"/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f t="shared" si="320"/>
        <v>84000</v>
      </c>
      <c r="EQ145">
        <f t="shared" si="384"/>
        <v>84000</v>
      </c>
      <c r="ER145">
        <f t="shared" si="321"/>
        <v>601796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f t="shared" si="385"/>
        <v>0</v>
      </c>
      <c r="FA145">
        <f t="shared" si="386"/>
        <v>601796</v>
      </c>
      <c r="FB145">
        <f t="shared" si="387"/>
        <v>12500</v>
      </c>
      <c r="FC145">
        <f t="shared" si="388"/>
        <v>20359</v>
      </c>
      <c r="FD145">
        <f t="shared" si="389"/>
        <v>32859</v>
      </c>
      <c r="FE145">
        <f t="shared" si="390"/>
        <v>32859</v>
      </c>
      <c r="FF145">
        <f t="shared" si="391"/>
        <v>1314.3600000000001</v>
      </c>
      <c r="FG145">
        <f t="shared" si="392"/>
        <v>34173</v>
      </c>
      <c r="FH145">
        <v>0</v>
      </c>
      <c r="FI145">
        <f t="shared" si="393"/>
        <v>34173</v>
      </c>
      <c r="FJ145" t="b">
        <f t="shared" si="394"/>
        <v>1</v>
      </c>
      <c r="FK145">
        <f t="shared" ca="1" si="395"/>
        <v>943</v>
      </c>
      <c r="FL145">
        <f t="shared" ca="1" si="396"/>
        <v>739139</v>
      </c>
      <c r="FM145">
        <f t="shared" si="397"/>
        <v>75000</v>
      </c>
      <c r="FN145">
        <f t="shared" ca="1" si="398"/>
        <v>664139</v>
      </c>
      <c r="FO145">
        <f t="shared" ca="1" si="399"/>
        <v>0</v>
      </c>
      <c r="FP145">
        <f t="shared" ca="1" si="400"/>
        <v>0</v>
      </c>
      <c r="FQ145">
        <f t="shared" ca="1" si="401"/>
        <v>0</v>
      </c>
      <c r="FR145">
        <f t="shared" ca="1" si="402"/>
        <v>0</v>
      </c>
      <c r="FS145">
        <f t="shared" ca="1" si="403"/>
        <v>0</v>
      </c>
      <c r="FT145">
        <f t="shared" ca="1" si="404"/>
        <v>0</v>
      </c>
      <c r="FU145">
        <f t="shared" ca="1" si="405"/>
        <v>0</v>
      </c>
      <c r="FV145">
        <f t="shared" ca="1" si="406"/>
        <v>0</v>
      </c>
      <c r="FW145">
        <f t="shared" ca="1" si="407"/>
        <v>364139</v>
      </c>
      <c r="FX145">
        <f t="shared" ca="1" si="408"/>
        <v>18206.95</v>
      </c>
      <c r="FY145">
        <f t="shared" ca="1" si="409"/>
        <v>18207</v>
      </c>
      <c r="FZ145">
        <f t="shared" ca="1" si="410"/>
        <v>0</v>
      </c>
      <c r="GA145">
        <f t="shared" ca="1" si="411"/>
        <v>0</v>
      </c>
      <c r="GB145">
        <f t="shared" ca="1" si="412"/>
        <v>18207</v>
      </c>
      <c r="GC145">
        <f t="shared" ca="1" si="413"/>
        <v>0</v>
      </c>
      <c r="GD145" t="b">
        <f t="shared" ca="1" si="414"/>
        <v>0</v>
      </c>
      <c r="GE145">
        <f t="shared" ca="1" si="415"/>
        <v>0</v>
      </c>
      <c r="GF145">
        <f t="shared" ca="1" si="416"/>
        <v>18207</v>
      </c>
      <c r="GG145">
        <f t="shared" ca="1" si="417"/>
        <v>0</v>
      </c>
      <c r="GH145">
        <f t="shared" ca="1" si="418"/>
        <v>0</v>
      </c>
      <c r="GI145">
        <f t="shared" ca="1" si="419"/>
        <v>0</v>
      </c>
    </row>
    <row r="146" spans="1:191" x14ac:dyDescent="0.25">
      <c r="A146">
        <f>_xlfn.AGGREGATE(3,5,$B$2:B146)</f>
        <v>145</v>
      </c>
      <c r="B146" t="s">
        <v>410</v>
      </c>
      <c r="C146" t="s">
        <v>411</v>
      </c>
      <c r="D146" t="s">
        <v>802</v>
      </c>
      <c r="E146" t="s">
        <v>843</v>
      </c>
      <c r="F146">
        <v>50000</v>
      </c>
      <c r="G146">
        <v>6000</v>
      </c>
      <c r="H146">
        <v>36600</v>
      </c>
      <c r="I146">
        <f t="shared" si="322"/>
        <v>3660</v>
      </c>
      <c r="J146">
        <f t="shared" si="323"/>
        <v>4392</v>
      </c>
      <c r="K146">
        <v>0</v>
      </c>
      <c r="L146">
        <v>0</v>
      </c>
      <c r="M146">
        <f t="shared" si="324"/>
        <v>44652</v>
      </c>
      <c r="N146">
        <v>2500</v>
      </c>
      <c r="O146">
        <v>0</v>
      </c>
      <c r="P146">
        <f t="shared" si="325"/>
        <v>0</v>
      </c>
      <c r="Q146">
        <f t="shared" si="326"/>
        <v>42152</v>
      </c>
      <c r="R146">
        <v>36600</v>
      </c>
      <c r="S146">
        <f t="shared" si="327"/>
        <v>3660</v>
      </c>
      <c r="T146">
        <f t="shared" si="328"/>
        <v>4392</v>
      </c>
      <c r="U146">
        <v>0</v>
      </c>
      <c r="V146">
        <v>0</v>
      </c>
      <c r="W146">
        <f t="shared" si="329"/>
        <v>44652</v>
      </c>
      <c r="X146">
        <v>2500</v>
      </c>
      <c r="Y146">
        <v>0</v>
      </c>
      <c r="Z146">
        <f t="shared" si="330"/>
        <v>0</v>
      </c>
      <c r="AA146">
        <f t="shared" si="331"/>
        <v>42152</v>
      </c>
      <c r="AB146">
        <v>36600</v>
      </c>
      <c r="AC146">
        <f t="shared" si="332"/>
        <v>5124.0000000000009</v>
      </c>
      <c r="AD146">
        <f t="shared" si="333"/>
        <v>4392</v>
      </c>
      <c r="AE146">
        <v>0</v>
      </c>
      <c r="AF146">
        <v>0</v>
      </c>
      <c r="AG146">
        <f t="shared" si="334"/>
        <v>46116</v>
      </c>
      <c r="AH146">
        <v>2500</v>
      </c>
      <c r="AI146">
        <v>0</v>
      </c>
      <c r="AJ146">
        <f t="shared" si="335"/>
        <v>0</v>
      </c>
      <c r="AK146">
        <f t="shared" si="336"/>
        <v>43616</v>
      </c>
      <c r="AL146">
        <v>36600</v>
      </c>
      <c r="AM146">
        <f t="shared" si="337"/>
        <v>5124.0000000000009</v>
      </c>
      <c r="AN146">
        <f t="shared" si="338"/>
        <v>4392</v>
      </c>
      <c r="AO146">
        <v>0</v>
      </c>
      <c r="AP146">
        <v>0</v>
      </c>
      <c r="AQ146">
        <f t="shared" si="339"/>
        <v>46116</v>
      </c>
      <c r="AR146">
        <v>2500</v>
      </c>
      <c r="AS146">
        <v>0</v>
      </c>
      <c r="AT146">
        <f t="shared" si="340"/>
        <v>0</v>
      </c>
      <c r="AU146">
        <f t="shared" si="341"/>
        <v>43616</v>
      </c>
      <c r="AV146">
        <v>37700</v>
      </c>
      <c r="AW146">
        <f t="shared" si="342"/>
        <v>5278.0000000000009</v>
      </c>
      <c r="AX146">
        <f t="shared" si="343"/>
        <v>1464</v>
      </c>
      <c r="AY146">
        <f t="shared" si="344"/>
        <v>4524</v>
      </c>
      <c r="AZ146">
        <v>0</v>
      </c>
      <c r="BA146">
        <v>0</v>
      </c>
      <c r="BB146">
        <f t="shared" si="345"/>
        <v>48966</v>
      </c>
      <c r="BC146">
        <v>2500</v>
      </c>
      <c r="BD146">
        <v>0</v>
      </c>
      <c r="BE146">
        <f t="shared" si="346"/>
        <v>0</v>
      </c>
      <c r="BF146">
        <f t="shared" si="347"/>
        <v>46466</v>
      </c>
      <c r="BG146">
        <v>37700</v>
      </c>
      <c r="BH146">
        <f t="shared" si="348"/>
        <v>5278.0000000000009</v>
      </c>
      <c r="BI146">
        <f t="shared" si="349"/>
        <v>4524</v>
      </c>
      <c r="BJ146">
        <v>0</v>
      </c>
      <c r="BK146">
        <v>0</v>
      </c>
      <c r="BL146">
        <f t="shared" si="350"/>
        <v>47502</v>
      </c>
      <c r="BM146">
        <v>2500</v>
      </c>
      <c r="BN146">
        <v>0</v>
      </c>
      <c r="BO146">
        <f t="shared" si="351"/>
        <v>0</v>
      </c>
      <c r="BP146">
        <f t="shared" si="352"/>
        <v>45002</v>
      </c>
      <c r="BQ146">
        <v>37700</v>
      </c>
      <c r="BR146">
        <f t="shared" si="353"/>
        <v>5278.0000000000009</v>
      </c>
      <c r="BS146">
        <f t="shared" si="354"/>
        <v>4524</v>
      </c>
      <c r="BT146">
        <v>0</v>
      </c>
      <c r="BU146">
        <v>0</v>
      </c>
      <c r="BV146">
        <f t="shared" si="355"/>
        <v>47502</v>
      </c>
      <c r="BW146">
        <v>2500</v>
      </c>
      <c r="BX146">
        <v>0</v>
      </c>
      <c r="BY146">
        <f t="shared" si="356"/>
        <v>0</v>
      </c>
      <c r="BZ146">
        <f t="shared" si="357"/>
        <v>45002</v>
      </c>
      <c r="CA146">
        <v>37700</v>
      </c>
      <c r="CB146">
        <f t="shared" si="358"/>
        <v>5278.0000000000009</v>
      </c>
      <c r="CC146">
        <f t="shared" si="359"/>
        <v>4524</v>
      </c>
      <c r="CD146">
        <v>0</v>
      </c>
      <c r="CE146">
        <v>0</v>
      </c>
      <c r="CF146">
        <f t="shared" si="360"/>
        <v>47502</v>
      </c>
      <c r="CG146">
        <v>2500</v>
      </c>
      <c r="CH146">
        <v>0</v>
      </c>
      <c r="CI146">
        <f t="shared" si="361"/>
        <v>0</v>
      </c>
      <c r="CJ146">
        <f t="shared" si="362"/>
        <v>45002</v>
      </c>
      <c r="CK146">
        <v>37700</v>
      </c>
      <c r="CL146">
        <f t="shared" si="363"/>
        <v>5278.0000000000009</v>
      </c>
      <c r="CM146">
        <f t="shared" si="364"/>
        <v>4524</v>
      </c>
      <c r="CN146">
        <v>0</v>
      </c>
      <c r="CO146">
        <v>0</v>
      </c>
      <c r="CP146">
        <f t="shared" si="365"/>
        <v>47502</v>
      </c>
      <c r="CQ146">
        <v>2500</v>
      </c>
      <c r="CR146">
        <v>0</v>
      </c>
      <c r="CS146">
        <f t="shared" si="366"/>
        <v>0</v>
      </c>
      <c r="CT146">
        <f t="shared" si="367"/>
        <v>45002</v>
      </c>
      <c r="CU146">
        <v>37700</v>
      </c>
      <c r="CV146">
        <f t="shared" si="368"/>
        <v>5278</v>
      </c>
      <c r="CW146">
        <f t="shared" si="369"/>
        <v>4524</v>
      </c>
      <c r="CX146">
        <v>0</v>
      </c>
      <c r="CY146">
        <v>0</v>
      </c>
      <c r="CZ146">
        <f t="shared" si="370"/>
        <v>47502</v>
      </c>
      <c r="DA146">
        <v>2500</v>
      </c>
      <c r="DB146">
        <v>0</v>
      </c>
      <c r="DC146">
        <f t="shared" si="371"/>
        <v>0</v>
      </c>
      <c r="DD146">
        <f t="shared" si="372"/>
        <v>45002</v>
      </c>
      <c r="DE146">
        <v>37700</v>
      </c>
      <c r="DF146">
        <f t="shared" si="373"/>
        <v>5278.0000000000009</v>
      </c>
      <c r="DG146">
        <f t="shared" si="374"/>
        <v>4524</v>
      </c>
      <c r="DH146">
        <v>0</v>
      </c>
      <c r="DI146">
        <v>0</v>
      </c>
      <c r="DJ146">
        <f t="shared" si="375"/>
        <v>47502</v>
      </c>
      <c r="DK146">
        <v>2500</v>
      </c>
      <c r="DL146">
        <v>0</v>
      </c>
      <c r="DM146">
        <f t="shared" si="376"/>
        <v>0</v>
      </c>
      <c r="DN146">
        <f t="shared" si="377"/>
        <v>45002</v>
      </c>
      <c r="DO146">
        <v>37700</v>
      </c>
      <c r="DP146">
        <f t="shared" si="378"/>
        <v>5278.0000000000009</v>
      </c>
      <c r="DQ146">
        <f t="shared" si="379"/>
        <v>4524</v>
      </c>
      <c r="DR146">
        <v>0</v>
      </c>
      <c r="DS146">
        <v>0</v>
      </c>
      <c r="DT146">
        <f t="shared" si="380"/>
        <v>47502</v>
      </c>
      <c r="DU146">
        <v>2500</v>
      </c>
      <c r="DV146">
        <v>0</v>
      </c>
      <c r="DW146">
        <f t="shared" si="381"/>
        <v>0</v>
      </c>
      <c r="DX146">
        <f t="shared" si="382"/>
        <v>45002</v>
      </c>
      <c r="DY146">
        <f t="shared" si="383"/>
        <v>569016</v>
      </c>
      <c r="DZ146">
        <f t="shared" si="315"/>
        <v>0</v>
      </c>
      <c r="EA146">
        <f t="shared" si="316"/>
        <v>50000</v>
      </c>
      <c r="EB146">
        <v>0</v>
      </c>
      <c r="EC146">
        <f t="shared" si="317"/>
        <v>519016</v>
      </c>
      <c r="ED146">
        <f t="shared" si="318"/>
        <v>30000</v>
      </c>
      <c r="EE146">
        <f t="shared" si="319"/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f t="shared" si="320"/>
        <v>30000</v>
      </c>
      <c r="EQ146">
        <f t="shared" si="384"/>
        <v>30000</v>
      </c>
      <c r="ER146">
        <f t="shared" si="321"/>
        <v>489016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f t="shared" si="385"/>
        <v>50000</v>
      </c>
      <c r="FA146">
        <f t="shared" si="386"/>
        <v>439016</v>
      </c>
      <c r="FB146">
        <f t="shared" si="387"/>
        <v>9451</v>
      </c>
      <c r="FC146">
        <f t="shared" si="388"/>
        <v>0</v>
      </c>
      <c r="FD146">
        <f t="shared" si="389"/>
        <v>9451</v>
      </c>
      <c r="FE146">
        <f t="shared" si="390"/>
        <v>0</v>
      </c>
      <c r="FF146">
        <f t="shared" si="391"/>
        <v>0</v>
      </c>
      <c r="FG146">
        <f t="shared" si="392"/>
        <v>0</v>
      </c>
      <c r="FH146">
        <v>0</v>
      </c>
      <c r="FI146">
        <f t="shared" si="393"/>
        <v>0</v>
      </c>
      <c r="FJ146" t="b">
        <f t="shared" si="394"/>
        <v>1</v>
      </c>
      <c r="FK146">
        <f t="shared" ca="1" si="395"/>
        <v>522</v>
      </c>
      <c r="FL146">
        <f t="shared" ca="1" si="396"/>
        <v>569538</v>
      </c>
      <c r="FM146">
        <f t="shared" si="397"/>
        <v>75000</v>
      </c>
      <c r="FN146">
        <f t="shared" ca="1" si="398"/>
        <v>494538</v>
      </c>
      <c r="FO146">
        <f t="shared" ca="1" si="399"/>
        <v>0</v>
      </c>
      <c r="FP146">
        <f t="shared" ca="1" si="400"/>
        <v>0</v>
      </c>
      <c r="FQ146">
        <f t="shared" ca="1" si="401"/>
        <v>0</v>
      </c>
      <c r="FR146">
        <f t="shared" ca="1" si="402"/>
        <v>0</v>
      </c>
      <c r="FS146">
        <f t="shared" ca="1" si="403"/>
        <v>0</v>
      </c>
      <c r="FT146">
        <f t="shared" ca="1" si="404"/>
        <v>0</v>
      </c>
      <c r="FU146">
        <f t="shared" ca="1" si="405"/>
        <v>0</v>
      </c>
      <c r="FV146">
        <f t="shared" ca="1" si="406"/>
        <v>0</v>
      </c>
      <c r="FW146">
        <f t="shared" ca="1" si="407"/>
        <v>194538</v>
      </c>
      <c r="FX146">
        <f t="shared" ca="1" si="408"/>
        <v>9726.9</v>
      </c>
      <c r="FY146">
        <f t="shared" ca="1" si="409"/>
        <v>9727</v>
      </c>
      <c r="FZ146">
        <f t="shared" ca="1" si="410"/>
        <v>0</v>
      </c>
      <c r="GA146">
        <f t="shared" ca="1" si="411"/>
        <v>0</v>
      </c>
      <c r="GB146">
        <f t="shared" ca="1" si="412"/>
        <v>9727</v>
      </c>
      <c r="GC146">
        <f t="shared" ca="1" si="413"/>
        <v>0</v>
      </c>
      <c r="GD146" t="b">
        <f t="shared" ca="1" si="414"/>
        <v>0</v>
      </c>
      <c r="GE146">
        <f t="shared" ca="1" si="415"/>
        <v>0</v>
      </c>
      <c r="GF146">
        <f t="shared" ca="1" si="416"/>
        <v>9727</v>
      </c>
      <c r="GG146">
        <f t="shared" ca="1" si="417"/>
        <v>0</v>
      </c>
      <c r="GH146">
        <f t="shared" ca="1" si="418"/>
        <v>0</v>
      </c>
      <c r="GI146">
        <f t="shared" ca="1" si="419"/>
        <v>0</v>
      </c>
    </row>
    <row r="147" spans="1:191" x14ac:dyDescent="0.25">
      <c r="A147">
        <f>_xlfn.AGGREGATE(3,5,$B$2:B147)</f>
        <v>146</v>
      </c>
      <c r="B147" t="s">
        <v>412</v>
      </c>
      <c r="C147" t="s">
        <v>413</v>
      </c>
      <c r="D147" t="s">
        <v>802</v>
      </c>
      <c r="E147" t="s">
        <v>843</v>
      </c>
      <c r="F147">
        <v>0</v>
      </c>
      <c r="G147">
        <v>6000</v>
      </c>
      <c r="H147">
        <v>36600</v>
      </c>
      <c r="I147">
        <f t="shared" si="322"/>
        <v>3660</v>
      </c>
      <c r="J147">
        <f t="shared" si="323"/>
        <v>4392</v>
      </c>
      <c r="K147">
        <v>0</v>
      </c>
      <c r="L147">
        <v>500</v>
      </c>
      <c r="M147">
        <f t="shared" si="324"/>
        <v>45152</v>
      </c>
      <c r="N147">
        <v>2500</v>
      </c>
      <c r="O147">
        <v>0</v>
      </c>
      <c r="P147">
        <f t="shared" si="325"/>
        <v>200</v>
      </c>
      <c r="Q147">
        <f t="shared" si="326"/>
        <v>42452</v>
      </c>
      <c r="R147">
        <v>36600</v>
      </c>
      <c r="S147">
        <f t="shared" si="327"/>
        <v>3660</v>
      </c>
      <c r="T147">
        <f t="shared" si="328"/>
        <v>4392</v>
      </c>
      <c r="U147">
        <v>0</v>
      </c>
      <c r="V147">
        <v>500</v>
      </c>
      <c r="W147">
        <f t="shared" si="329"/>
        <v>45152</v>
      </c>
      <c r="X147">
        <v>2500</v>
      </c>
      <c r="Y147">
        <v>0</v>
      </c>
      <c r="Z147">
        <f t="shared" si="330"/>
        <v>200</v>
      </c>
      <c r="AA147">
        <f t="shared" si="331"/>
        <v>42452</v>
      </c>
      <c r="AB147">
        <v>36600</v>
      </c>
      <c r="AC147">
        <f t="shared" si="332"/>
        <v>5124.0000000000009</v>
      </c>
      <c r="AD147">
        <f t="shared" si="333"/>
        <v>4392</v>
      </c>
      <c r="AE147">
        <v>0</v>
      </c>
      <c r="AF147">
        <v>500</v>
      </c>
      <c r="AG147">
        <f t="shared" si="334"/>
        <v>46616</v>
      </c>
      <c r="AH147">
        <v>2500</v>
      </c>
      <c r="AI147">
        <v>0</v>
      </c>
      <c r="AJ147">
        <f t="shared" si="335"/>
        <v>200</v>
      </c>
      <c r="AK147">
        <f t="shared" si="336"/>
        <v>43916</v>
      </c>
      <c r="AL147">
        <v>36600</v>
      </c>
      <c r="AM147">
        <f t="shared" si="337"/>
        <v>5124.0000000000009</v>
      </c>
      <c r="AN147">
        <f t="shared" si="338"/>
        <v>4392</v>
      </c>
      <c r="AO147">
        <v>0</v>
      </c>
      <c r="AP147">
        <v>500</v>
      </c>
      <c r="AQ147">
        <f t="shared" si="339"/>
        <v>46616</v>
      </c>
      <c r="AR147">
        <v>2500</v>
      </c>
      <c r="AS147">
        <v>0</v>
      </c>
      <c r="AT147">
        <f t="shared" si="340"/>
        <v>200</v>
      </c>
      <c r="AU147">
        <f t="shared" si="341"/>
        <v>43916</v>
      </c>
      <c r="AV147">
        <v>37700</v>
      </c>
      <c r="AW147">
        <f t="shared" si="342"/>
        <v>5278.0000000000009</v>
      </c>
      <c r="AX147">
        <f t="shared" si="343"/>
        <v>1464</v>
      </c>
      <c r="AY147">
        <f t="shared" si="344"/>
        <v>4524</v>
      </c>
      <c r="AZ147">
        <v>0</v>
      </c>
      <c r="BA147">
        <v>500</v>
      </c>
      <c r="BB147">
        <f t="shared" si="345"/>
        <v>49466</v>
      </c>
      <c r="BC147">
        <v>2500</v>
      </c>
      <c r="BD147">
        <v>0</v>
      </c>
      <c r="BE147">
        <f t="shared" si="346"/>
        <v>200</v>
      </c>
      <c r="BF147">
        <f t="shared" si="347"/>
        <v>46766</v>
      </c>
      <c r="BG147">
        <v>37700</v>
      </c>
      <c r="BH147">
        <f t="shared" si="348"/>
        <v>5278.0000000000009</v>
      </c>
      <c r="BI147">
        <f t="shared" si="349"/>
        <v>4524</v>
      </c>
      <c r="BJ147">
        <v>0</v>
      </c>
      <c r="BK147">
        <v>500</v>
      </c>
      <c r="BL147">
        <f t="shared" si="350"/>
        <v>48002</v>
      </c>
      <c r="BM147">
        <v>2500</v>
      </c>
      <c r="BN147">
        <v>0</v>
      </c>
      <c r="BO147">
        <f t="shared" si="351"/>
        <v>200</v>
      </c>
      <c r="BP147">
        <f t="shared" si="352"/>
        <v>45302</v>
      </c>
      <c r="BQ147">
        <v>37700</v>
      </c>
      <c r="BR147">
        <f t="shared" si="353"/>
        <v>5278.0000000000009</v>
      </c>
      <c r="BS147">
        <f t="shared" si="354"/>
        <v>4524</v>
      </c>
      <c r="BT147">
        <v>0</v>
      </c>
      <c r="BU147">
        <v>500</v>
      </c>
      <c r="BV147">
        <f t="shared" si="355"/>
        <v>48002</v>
      </c>
      <c r="BW147">
        <v>2500</v>
      </c>
      <c r="BX147">
        <v>0</v>
      </c>
      <c r="BY147">
        <f t="shared" si="356"/>
        <v>200</v>
      </c>
      <c r="BZ147">
        <f t="shared" si="357"/>
        <v>45302</v>
      </c>
      <c r="CA147">
        <v>37700</v>
      </c>
      <c r="CB147">
        <f t="shared" si="358"/>
        <v>5278.0000000000009</v>
      </c>
      <c r="CC147">
        <f t="shared" si="359"/>
        <v>4524</v>
      </c>
      <c r="CD147">
        <v>0</v>
      </c>
      <c r="CE147">
        <v>500</v>
      </c>
      <c r="CF147">
        <f t="shared" si="360"/>
        <v>48002</v>
      </c>
      <c r="CG147">
        <v>2500</v>
      </c>
      <c r="CH147">
        <v>0</v>
      </c>
      <c r="CI147">
        <f t="shared" si="361"/>
        <v>200</v>
      </c>
      <c r="CJ147">
        <f t="shared" si="362"/>
        <v>45302</v>
      </c>
      <c r="CK147">
        <v>37700</v>
      </c>
      <c r="CL147">
        <f t="shared" si="363"/>
        <v>5278.0000000000009</v>
      </c>
      <c r="CM147">
        <f t="shared" si="364"/>
        <v>4524</v>
      </c>
      <c r="CN147">
        <v>0</v>
      </c>
      <c r="CO147">
        <v>500</v>
      </c>
      <c r="CP147">
        <f t="shared" si="365"/>
        <v>48002</v>
      </c>
      <c r="CQ147">
        <v>2500</v>
      </c>
      <c r="CR147">
        <v>0</v>
      </c>
      <c r="CS147">
        <f t="shared" si="366"/>
        <v>200</v>
      </c>
      <c r="CT147">
        <f t="shared" si="367"/>
        <v>45302</v>
      </c>
      <c r="CU147">
        <v>37700</v>
      </c>
      <c r="CV147">
        <f t="shared" si="368"/>
        <v>5278</v>
      </c>
      <c r="CW147">
        <f t="shared" si="369"/>
        <v>4524</v>
      </c>
      <c r="CX147">
        <v>0</v>
      </c>
      <c r="CY147">
        <v>500</v>
      </c>
      <c r="CZ147">
        <f t="shared" si="370"/>
        <v>48002</v>
      </c>
      <c r="DA147">
        <v>2500</v>
      </c>
      <c r="DB147">
        <v>0</v>
      </c>
      <c r="DC147">
        <f t="shared" si="371"/>
        <v>200</v>
      </c>
      <c r="DD147">
        <f t="shared" si="372"/>
        <v>45302</v>
      </c>
      <c r="DE147">
        <v>37700</v>
      </c>
      <c r="DF147">
        <f t="shared" si="373"/>
        <v>5278.0000000000009</v>
      </c>
      <c r="DG147">
        <f t="shared" si="374"/>
        <v>4524</v>
      </c>
      <c r="DH147">
        <v>0</v>
      </c>
      <c r="DI147">
        <v>500</v>
      </c>
      <c r="DJ147">
        <f t="shared" si="375"/>
        <v>48002</v>
      </c>
      <c r="DK147">
        <v>2500</v>
      </c>
      <c r="DL147">
        <v>0</v>
      </c>
      <c r="DM147">
        <f t="shared" si="376"/>
        <v>200</v>
      </c>
      <c r="DN147">
        <f t="shared" si="377"/>
        <v>45302</v>
      </c>
      <c r="DO147">
        <v>37700</v>
      </c>
      <c r="DP147">
        <f t="shared" si="378"/>
        <v>5278.0000000000009</v>
      </c>
      <c r="DQ147">
        <f t="shared" si="379"/>
        <v>4524</v>
      </c>
      <c r="DR147">
        <v>0</v>
      </c>
      <c r="DS147">
        <v>500</v>
      </c>
      <c r="DT147">
        <f t="shared" si="380"/>
        <v>48002</v>
      </c>
      <c r="DU147">
        <v>2500</v>
      </c>
      <c r="DV147">
        <v>0</v>
      </c>
      <c r="DW147">
        <f t="shared" si="381"/>
        <v>200</v>
      </c>
      <c r="DX147">
        <f t="shared" si="382"/>
        <v>45302</v>
      </c>
      <c r="DY147">
        <f t="shared" si="383"/>
        <v>575016</v>
      </c>
      <c r="DZ147">
        <f t="shared" si="315"/>
        <v>2400</v>
      </c>
      <c r="EA147">
        <f t="shared" si="316"/>
        <v>50000</v>
      </c>
      <c r="EB147">
        <v>0</v>
      </c>
      <c r="EC147">
        <f t="shared" si="317"/>
        <v>522616</v>
      </c>
      <c r="ED147">
        <f t="shared" si="318"/>
        <v>30000</v>
      </c>
      <c r="EE147">
        <f t="shared" si="319"/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f t="shared" si="320"/>
        <v>30000</v>
      </c>
      <c r="EQ147">
        <f t="shared" si="384"/>
        <v>30000</v>
      </c>
      <c r="ER147">
        <f t="shared" si="321"/>
        <v>492616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f t="shared" si="385"/>
        <v>0</v>
      </c>
      <c r="FA147">
        <f t="shared" si="386"/>
        <v>492616</v>
      </c>
      <c r="FB147">
        <f t="shared" si="387"/>
        <v>12131</v>
      </c>
      <c r="FC147">
        <f t="shared" si="388"/>
        <v>0</v>
      </c>
      <c r="FD147">
        <f t="shared" si="389"/>
        <v>12131</v>
      </c>
      <c r="FE147">
        <f t="shared" si="390"/>
        <v>0</v>
      </c>
      <c r="FF147">
        <f t="shared" si="391"/>
        <v>0</v>
      </c>
      <c r="FG147">
        <f t="shared" si="392"/>
        <v>0</v>
      </c>
      <c r="FH147">
        <v>0</v>
      </c>
      <c r="FI147">
        <f t="shared" si="393"/>
        <v>0</v>
      </c>
      <c r="FJ147" t="b">
        <f t="shared" si="394"/>
        <v>1</v>
      </c>
      <c r="FK147">
        <f t="shared" ca="1" si="395"/>
        <v>638</v>
      </c>
      <c r="FL147">
        <f t="shared" ca="1" si="396"/>
        <v>575654</v>
      </c>
      <c r="FM147">
        <f t="shared" si="397"/>
        <v>75000</v>
      </c>
      <c r="FN147">
        <f t="shared" ca="1" si="398"/>
        <v>500654</v>
      </c>
      <c r="FO147">
        <f t="shared" ca="1" si="399"/>
        <v>0</v>
      </c>
      <c r="FP147">
        <f t="shared" ca="1" si="400"/>
        <v>0</v>
      </c>
      <c r="FQ147">
        <f t="shared" ca="1" si="401"/>
        <v>0</v>
      </c>
      <c r="FR147">
        <f t="shared" ca="1" si="402"/>
        <v>0</v>
      </c>
      <c r="FS147">
        <f t="shared" ca="1" si="403"/>
        <v>0</v>
      </c>
      <c r="FT147">
        <f t="shared" ca="1" si="404"/>
        <v>0</v>
      </c>
      <c r="FU147">
        <f t="shared" ca="1" si="405"/>
        <v>0</v>
      </c>
      <c r="FV147">
        <f t="shared" ca="1" si="406"/>
        <v>0</v>
      </c>
      <c r="FW147">
        <f t="shared" ca="1" si="407"/>
        <v>200654</v>
      </c>
      <c r="FX147">
        <f t="shared" ca="1" si="408"/>
        <v>10032.700000000001</v>
      </c>
      <c r="FY147">
        <f t="shared" ca="1" si="409"/>
        <v>10033</v>
      </c>
      <c r="FZ147">
        <f t="shared" ca="1" si="410"/>
        <v>0</v>
      </c>
      <c r="GA147">
        <f t="shared" ca="1" si="411"/>
        <v>0</v>
      </c>
      <c r="GB147">
        <f t="shared" ca="1" si="412"/>
        <v>10033</v>
      </c>
      <c r="GC147">
        <f t="shared" ca="1" si="413"/>
        <v>0</v>
      </c>
      <c r="GD147" t="b">
        <f t="shared" ca="1" si="414"/>
        <v>0</v>
      </c>
      <c r="GE147">
        <f t="shared" ca="1" si="415"/>
        <v>0</v>
      </c>
      <c r="GF147">
        <f t="shared" ca="1" si="416"/>
        <v>10033</v>
      </c>
      <c r="GG147">
        <f t="shared" ca="1" si="417"/>
        <v>0</v>
      </c>
      <c r="GH147">
        <f t="shared" ca="1" si="418"/>
        <v>0</v>
      </c>
      <c r="GI147">
        <f t="shared" ca="1" si="419"/>
        <v>0</v>
      </c>
    </row>
    <row r="148" spans="1:191" x14ac:dyDescent="0.25">
      <c r="A148">
        <f>_xlfn.AGGREGATE(3,5,$B$2:B148)</f>
        <v>147</v>
      </c>
      <c r="B148" t="s">
        <v>414</v>
      </c>
      <c r="C148" t="s">
        <v>415</v>
      </c>
      <c r="D148" t="s">
        <v>803</v>
      </c>
      <c r="E148" t="s">
        <v>844</v>
      </c>
      <c r="F148">
        <v>0</v>
      </c>
      <c r="G148">
        <v>0</v>
      </c>
      <c r="H148">
        <v>45900</v>
      </c>
      <c r="I148">
        <f t="shared" si="322"/>
        <v>4590</v>
      </c>
      <c r="J148">
        <f t="shared" si="323"/>
        <v>5508</v>
      </c>
      <c r="K148">
        <v>400</v>
      </c>
      <c r="L148">
        <v>0</v>
      </c>
      <c r="M148">
        <f t="shared" si="324"/>
        <v>56398</v>
      </c>
      <c r="N148">
        <v>3000</v>
      </c>
      <c r="O148">
        <v>60</v>
      </c>
      <c r="P148">
        <f t="shared" si="325"/>
        <v>200</v>
      </c>
      <c r="Q148">
        <f t="shared" si="326"/>
        <v>53138</v>
      </c>
      <c r="R148">
        <v>45900</v>
      </c>
      <c r="S148">
        <f t="shared" si="327"/>
        <v>4590</v>
      </c>
      <c r="T148">
        <f t="shared" si="328"/>
        <v>5508</v>
      </c>
      <c r="U148">
        <v>400</v>
      </c>
      <c r="V148">
        <v>0</v>
      </c>
      <c r="W148">
        <f t="shared" si="329"/>
        <v>56398</v>
      </c>
      <c r="X148">
        <v>3000</v>
      </c>
      <c r="Y148">
        <v>60</v>
      </c>
      <c r="Z148">
        <f t="shared" si="330"/>
        <v>200</v>
      </c>
      <c r="AA148">
        <f t="shared" si="331"/>
        <v>53138</v>
      </c>
      <c r="AB148">
        <v>45900</v>
      </c>
      <c r="AC148">
        <f t="shared" si="332"/>
        <v>6426.0000000000009</v>
      </c>
      <c r="AD148">
        <f t="shared" si="333"/>
        <v>5508</v>
      </c>
      <c r="AE148">
        <v>400</v>
      </c>
      <c r="AF148">
        <v>0</v>
      </c>
      <c r="AG148">
        <f t="shared" si="334"/>
        <v>58234</v>
      </c>
      <c r="AH148">
        <v>3000</v>
      </c>
      <c r="AI148">
        <v>60</v>
      </c>
      <c r="AJ148">
        <f t="shared" si="335"/>
        <v>200</v>
      </c>
      <c r="AK148">
        <f t="shared" si="336"/>
        <v>54974</v>
      </c>
      <c r="AL148">
        <v>45900</v>
      </c>
      <c r="AM148">
        <f t="shared" si="337"/>
        <v>6426.0000000000009</v>
      </c>
      <c r="AN148">
        <f t="shared" si="338"/>
        <v>5508</v>
      </c>
      <c r="AO148">
        <v>400</v>
      </c>
      <c r="AP148">
        <v>0</v>
      </c>
      <c r="AQ148">
        <f t="shared" si="339"/>
        <v>58234</v>
      </c>
      <c r="AR148">
        <v>3000</v>
      </c>
      <c r="AS148">
        <v>60</v>
      </c>
      <c r="AT148">
        <f t="shared" si="340"/>
        <v>200</v>
      </c>
      <c r="AU148">
        <f t="shared" si="341"/>
        <v>54974</v>
      </c>
      <c r="AV148">
        <v>47300</v>
      </c>
      <c r="AW148">
        <f t="shared" si="342"/>
        <v>6622.0000000000009</v>
      </c>
      <c r="AX148">
        <f t="shared" si="343"/>
        <v>1836</v>
      </c>
      <c r="AY148">
        <f t="shared" si="344"/>
        <v>5676</v>
      </c>
      <c r="AZ148">
        <v>400</v>
      </c>
      <c r="BA148">
        <v>0</v>
      </c>
      <c r="BB148">
        <f t="shared" si="345"/>
        <v>61834</v>
      </c>
      <c r="BC148">
        <v>3000</v>
      </c>
      <c r="BD148">
        <v>60</v>
      </c>
      <c r="BE148">
        <f t="shared" si="346"/>
        <v>200</v>
      </c>
      <c r="BF148">
        <f t="shared" si="347"/>
        <v>58574</v>
      </c>
      <c r="BG148">
        <v>47300</v>
      </c>
      <c r="BH148">
        <f t="shared" si="348"/>
        <v>6622.0000000000009</v>
      </c>
      <c r="BI148">
        <f t="shared" si="349"/>
        <v>5676</v>
      </c>
      <c r="BJ148">
        <v>400</v>
      </c>
      <c r="BK148">
        <v>0</v>
      </c>
      <c r="BL148">
        <f t="shared" si="350"/>
        <v>59998</v>
      </c>
      <c r="BM148">
        <v>3000</v>
      </c>
      <c r="BN148">
        <v>60</v>
      </c>
      <c r="BO148">
        <f t="shared" si="351"/>
        <v>200</v>
      </c>
      <c r="BP148">
        <f t="shared" si="352"/>
        <v>56738</v>
      </c>
      <c r="BQ148">
        <v>47300</v>
      </c>
      <c r="BR148">
        <f t="shared" si="353"/>
        <v>6622.0000000000009</v>
      </c>
      <c r="BS148">
        <f t="shared" si="354"/>
        <v>5676</v>
      </c>
      <c r="BT148">
        <v>400</v>
      </c>
      <c r="BU148">
        <v>0</v>
      </c>
      <c r="BV148">
        <f t="shared" si="355"/>
        <v>59998</v>
      </c>
      <c r="BW148">
        <v>3000</v>
      </c>
      <c r="BX148">
        <v>60</v>
      </c>
      <c r="BY148">
        <f t="shared" si="356"/>
        <v>200</v>
      </c>
      <c r="BZ148">
        <f t="shared" si="357"/>
        <v>56738</v>
      </c>
      <c r="CA148">
        <v>47300</v>
      </c>
      <c r="CB148">
        <f t="shared" si="358"/>
        <v>6622.0000000000009</v>
      </c>
      <c r="CC148">
        <f t="shared" si="359"/>
        <v>5676</v>
      </c>
      <c r="CD148">
        <v>400</v>
      </c>
      <c r="CE148">
        <v>0</v>
      </c>
      <c r="CF148">
        <f t="shared" si="360"/>
        <v>59998</v>
      </c>
      <c r="CG148">
        <v>3000</v>
      </c>
      <c r="CH148">
        <v>60</v>
      </c>
      <c r="CI148">
        <f t="shared" si="361"/>
        <v>200</v>
      </c>
      <c r="CJ148">
        <f t="shared" si="362"/>
        <v>56738</v>
      </c>
      <c r="CK148">
        <v>47300</v>
      </c>
      <c r="CL148">
        <f t="shared" si="363"/>
        <v>6622.0000000000009</v>
      </c>
      <c r="CM148">
        <f t="shared" si="364"/>
        <v>5676</v>
      </c>
      <c r="CN148">
        <v>400</v>
      </c>
      <c r="CO148">
        <v>0</v>
      </c>
      <c r="CP148">
        <f t="shared" si="365"/>
        <v>59998</v>
      </c>
      <c r="CQ148">
        <v>3000</v>
      </c>
      <c r="CR148">
        <v>60</v>
      </c>
      <c r="CS148">
        <f t="shared" si="366"/>
        <v>200</v>
      </c>
      <c r="CT148">
        <f t="shared" si="367"/>
        <v>56738</v>
      </c>
      <c r="CU148">
        <v>47300</v>
      </c>
      <c r="CV148">
        <f t="shared" si="368"/>
        <v>6622</v>
      </c>
      <c r="CW148">
        <f t="shared" si="369"/>
        <v>5676</v>
      </c>
      <c r="CX148">
        <v>400</v>
      </c>
      <c r="CY148">
        <v>0</v>
      </c>
      <c r="CZ148">
        <f t="shared" si="370"/>
        <v>59998</v>
      </c>
      <c r="DA148">
        <v>3000</v>
      </c>
      <c r="DB148">
        <v>60</v>
      </c>
      <c r="DC148">
        <f t="shared" si="371"/>
        <v>200</v>
      </c>
      <c r="DD148">
        <f t="shared" si="372"/>
        <v>56738</v>
      </c>
      <c r="DE148">
        <v>47300</v>
      </c>
      <c r="DF148">
        <f t="shared" si="373"/>
        <v>6622.0000000000009</v>
      </c>
      <c r="DG148">
        <f t="shared" si="374"/>
        <v>5676</v>
      </c>
      <c r="DH148">
        <v>400</v>
      </c>
      <c r="DI148">
        <v>0</v>
      </c>
      <c r="DJ148">
        <f t="shared" si="375"/>
        <v>59998</v>
      </c>
      <c r="DK148">
        <v>3000</v>
      </c>
      <c r="DL148">
        <v>60</v>
      </c>
      <c r="DM148">
        <f t="shared" si="376"/>
        <v>200</v>
      </c>
      <c r="DN148">
        <f t="shared" si="377"/>
        <v>56738</v>
      </c>
      <c r="DO148">
        <v>47300</v>
      </c>
      <c r="DP148">
        <f t="shared" si="378"/>
        <v>6622.0000000000009</v>
      </c>
      <c r="DQ148">
        <f t="shared" si="379"/>
        <v>5676</v>
      </c>
      <c r="DR148">
        <v>400</v>
      </c>
      <c r="DS148">
        <v>0</v>
      </c>
      <c r="DT148">
        <f t="shared" si="380"/>
        <v>59998</v>
      </c>
      <c r="DU148">
        <v>3000</v>
      </c>
      <c r="DV148">
        <v>60</v>
      </c>
      <c r="DW148">
        <f t="shared" si="381"/>
        <v>200</v>
      </c>
      <c r="DX148">
        <f t="shared" si="382"/>
        <v>56738</v>
      </c>
      <c r="DY148">
        <f t="shared" si="383"/>
        <v>711084</v>
      </c>
      <c r="DZ148">
        <f t="shared" si="315"/>
        <v>2400</v>
      </c>
      <c r="EA148">
        <f t="shared" si="316"/>
        <v>50000</v>
      </c>
      <c r="EB148">
        <v>0</v>
      </c>
      <c r="EC148">
        <f t="shared" si="317"/>
        <v>658684</v>
      </c>
      <c r="ED148">
        <f t="shared" si="318"/>
        <v>36000</v>
      </c>
      <c r="EE148">
        <f t="shared" si="319"/>
        <v>720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f t="shared" si="320"/>
        <v>36720</v>
      </c>
      <c r="EQ148">
        <f t="shared" si="384"/>
        <v>36720</v>
      </c>
      <c r="ER148">
        <f t="shared" si="321"/>
        <v>621964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f t="shared" si="385"/>
        <v>0</v>
      </c>
      <c r="FA148">
        <f t="shared" si="386"/>
        <v>621964</v>
      </c>
      <c r="FB148">
        <f t="shared" si="387"/>
        <v>12500</v>
      </c>
      <c r="FC148">
        <f t="shared" si="388"/>
        <v>24393</v>
      </c>
      <c r="FD148">
        <f t="shared" si="389"/>
        <v>36893</v>
      </c>
      <c r="FE148">
        <f t="shared" si="390"/>
        <v>36893</v>
      </c>
      <c r="FF148">
        <f t="shared" si="391"/>
        <v>1475.72</v>
      </c>
      <c r="FG148">
        <f t="shared" si="392"/>
        <v>38369</v>
      </c>
      <c r="FH148">
        <v>0</v>
      </c>
      <c r="FI148">
        <f t="shared" si="393"/>
        <v>38369</v>
      </c>
      <c r="FJ148" t="b">
        <f t="shared" si="394"/>
        <v>1</v>
      </c>
      <c r="FK148">
        <f t="shared" ca="1" si="395"/>
        <v>619</v>
      </c>
      <c r="FL148">
        <f t="shared" ca="1" si="396"/>
        <v>711703</v>
      </c>
      <c r="FM148">
        <f t="shared" si="397"/>
        <v>75000</v>
      </c>
      <c r="FN148">
        <f t="shared" ca="1" si="398"/>
        <v>636703</v>
      </c>
      <c r="FO148">
        <f t="shared" ca="1" si="399"/>
        <v>0</v>
      </c>
      <c r="FP148">
        <f t="shared" ca="1" si="400"/>
        <v>0</v>
      </c>
      <c r="FQ148">
        <f t="shared" ca="1" si="401"/>
        <v>0</v>
      </c>
      <c r="FR148">
        <f t="shared" ca="1" si="402"/>
        <v>0</v>
      </c>
      <c r="FS148">
        <f t="shared" ca="1" si="403"/>
        <v>0</v>
      </c>
      <c r="FT148">
        <f t="shared" ca="1" si="404"/>
        <v>0</v>
      </c>
      <c r="FU148">
        <f t="shared" ca="1" si="405"/>
        <v>0</v>
      </c>
      <c r="FV148">
        <f t="shared" ca="1" si="406"/>
        <v>0</v>
      </c>
      <c r="FW148">
        <f t="shared" ca="1" si="407"/>
        <v>336703</v>
      </c>
      <c r="FX148">
        <f t="shared" ca="1" si="408"/>
        <v>16835.150000000001</v>
      </c>
      <c r="FY148">
        <f t="shared" ca="1" si="409"/>
        <v>16835</v>
      </c>
      <c r="FZ148">
        <f t="shared" ca="1" si="410"/>
        <v>0</v>
      </c>
      <c r="GA148">
        <f t="shared" ca="1" si="411"/>
        <v>0</v>
      </c>
      <c r="GB148">
        <f t="shared" ca="1" si="412"/>
        <v>16835</v>
      </c>
      <c r="GC148">
        <f t="shared" ca="1" si="413"/>
        <v>0</v>
      </c>
      <c r="GD148" t="b">
        <f t="shared" ca="1" si="414"/>
        <v>0</v>
      </c>
      <c r="GE148">
        <f t="shared" ca="1" si="415"/>
        <v>0</v>
      </c>
      <c r="GF148">
        <f t="shared" ca="1" si="416"/>
        <v>16835</v>
      </c>
      <c r="GG148">
        <f t="shared" ca="1" si="417"/>
        <v>0</v>
      </c>
      <c r="GH148">
        <f t="shared" ca="1" si="418"/>
        <v>0</v>
      </c>
      <c r="GI148">
        <f t="shared" ca="1" si="419"/>
        <v>0</v>
      </c>
    </row>
    <row r="149" spans="1:191" x14ac:dyDescent="0.25">
      <c r="A149">
        <f>_xlfn.AGGREGATE(3,5,$B$2:B149)</f>
        <v>148</v>
      </c>
      <c r="B149" t="s">
        <v>416</v>
      </c>
      <c r="C149" t="s">
        <v>417</v>
      </c>
      <c r="D149" t="s">
        <v>803</v>
      </c>
      <c r="E149" t="s">
        <v>843</v>
      </c>
      <c r="F149">
        <v>0</v>
      </c>
      <c r="G149">
        <v>6000</v>
      </c>
      <c r="H149">
        <v>26200</v>
      </c>
      <c r="I149">
        <f t="shared" si="322"/>
        <v>2620</v>
      </c>
      <c r="J149">
        <f t="shared" si="323"/>
        <v>3144</v>
      </c>
      <c r="K149">
        <v>0</v>
      </c>
      <c r="L149">
        <v>500</v>
      </c>
      <c r="M149">
        <f t="shared" si="324"/>
        <v>32464</v>
      </c>
      <c r="N149">
        <v>2000</v>
      </c>
      <c r="O149">
        <v>0</v>
      </c>
      <c r="P149">
        <f t="shared" si="325"/>
        <v>150</v>
      </c>
      <c r="Q149">
        <f t="shared" si="326"/>
        <v>30314</v>
      </c>
      <c r="R149">
        <v>26200</v>
      </c>
      <c r="S149">
        <f t="shared" si="327"/>
        <v>2620</v>
      </c>
      <c r="T149">
        <f t="shared" si="328"/>
        <v>3144</v>
      </c>
      <c r="U149">
        <v>0</v>
      </c>
      <c r="V149">
        <v>500</v>
      </c>
      <c r="W149">
        <f t="shared" si="329"/>
        <v>32464</v>
      </c>
      <c r="X149">
        <v>2000</v>
      </c>
      <c r="Y149">
        <v>0</v>
      </c>
      <c r="Z149">
        <f t="shared" si="330"/>
        <v>150</v>
      </c>
      <c r="AA149">
        <f t="shared" si="331"/>
        <v>30314</v>
      </c>
      <c r="AB149">
        <v>26200</v>
      </c>
      <c r="AC149">
        <f t="shared" si="332"/>
        <v>3668.0000000000005</v>
      </c>
      <c r="AD149">
        <f t="shared" si="333"/>
        <v>3144</v>
      </c>
      <c r="AE149">
        <v>0</v>
      </c>
      <c r="AF149">
        <v>500</v>
      </c>
      <c r="AG149">
        <f t="shared" si="334"/>
        <v>33512</v>
      </c>
      <c r="AH149">
        <v>2000</v>
      </c>
      <c r="AI149">
        <v>0</v>
      </c>
      <c r="AJ149">
        <f t="shared" si="335"/>
        <v>150</v>
      </c>
      <c r="AK149">
        <f t="shared" si="336"/>
        <v>31362</v>
      </c>
      <c r="AL149">
        <v>26200</v>
      </c>
      <c r="AM149">
        <f t="shared" si="337"/>
        <v>3668.0000000000005</v>
      </c>
      <c r="AN149">
        <f t="shared" si="338"/>
        <v>3144</v>
      </c>
      <c r="AO149">
        <v>0</v>
      </c>
      <c r="AP149">
        <v>500</v>
      </c>
      <c r="AQ149">
        <f t="shared" si="339"/>
        <v>33512</v>
      </c>
      <c r="AR149">
        <v>2000</v>
      </c>
      <c r="AS149">
        <v>0</v>
      </c>
      <c r="AT149">
        <f t="shared" si="340"/>
        <v>150</v>
      </c>
      <c r="AU149">
        <f t="shared" si="341"/>
        <v>31362</v>
      </c>
      <c r="AV149">
        <v>27000</v>
      </c>
      <c r="AW149">
        <f t="shared" si="342"/>
        <v>3780.0000000000005</v>
      </c>
      <c r="AX149">
        <f t="shared" si="343"/>
        <v>1048</v>
      </c>
      <c r="AY149">
        <f t="shared" si="344"/>
        <v>3240</v>
      </c>
      <c r="AZ149">
        <v>0</v>
      </c>
      <c r="BA149">
        <v>500</v>
      </c>
      <c r="BB149">
        <f t="shared" si="345"/>
        <v>35568</v>
      </c>
      <c r="BC149">
        <v>2000</v>
      </c>
      <c r="BD149">
        <v>0</v>
      </c>
      <c r="BE149">
        <f t="shared" si="346"/>
        <v>150</v>
      </c>
      <c r="BF149">
        <f t="shared" si="347"/>
        <v>33418</v>
      </c>
      <c r="BG149">
        <v>27000</v>
      </c>
      <c r="BH149">
        <f t="shared" si="348"/>
        <v>3780.0000000000005</v>
      </c>
      <c r="BI149">
        <f t="shared" si="349"/>
        <v>3240</v>
      </c>
      <c r="BJ149">
        <v>0</v>
      </c>
      <c r="BK149">
        <v>500</v>
      </c>
      <c r="BL149">
        <f t="shared" si="350"/>
        <v>34520</v>
      </c>
      <c r="BM149">
        <v>2000</v>
      </c>
      <c r="BN149">
        <v>0</v>
      </c>
      <c r="BO149">
        <f t="shared" si="351"/>
        <v>150</v>
      </c>
      <c r="BP149">
        <f t="shared" si="352"/>
        <v>32370</v>
      </c>
      <c r="BQ149">
        <v>27000</v>
      </c>
      <c r="BR149">
        <f t="shared" si="353"/>
        <v>3780.0000000000005</v>
      </c>
      <c r="BS149">
        <f t="shared" si="354"/>
        <v>3240</v>
      </c>
      <c r="BT149">
        <v>0</v>
      </c>
      <c r="BU149">
        <v>500</v>
      </c>
      <c r="BV149">
        <f t="shared" si="355"/>
        <v>34520</v>
      </c>
      <c r="BW149">
        <v>2000</v>
      </c>
      <c r="BX149">
        <v>0</v>
      </c>
      <c r="BY149">
        <f t="shared" si="356"/>
        <v>150</v>
      </c>
      <c r="BZ149">
        <f t="shared" si="357"/>
        <v>32370</v>
      </c>
      <c r="CA149">
        <v>27000</v>
      </c>
      <c r="CB149">
        <f t="shared" si="358"/>
        <v>3780.0000000000005</v>
      </c>
      <c r="CC149">
        <f t="shared" si="359"/>
        <v>3240</v>
      </c>
      <c r="CD149">
        <v>0</v>
      </c>
      <c r="CE149">
        <v>500</v>
      </c>
      <c r="CF149">
        <f t="shared" si="360"/>
        <v>34520</v>
      </c>
      <c r="CG149">
        <v>2000</v>
      </c>
      <c r="CH149">
        <v>0</v>
      </c>
      <c r="CI149">
        <f t="shared" si="361"/>
        <v>150</v>
      </c>
      <c r="CJ149">
        <f t="shared" si="362"/>
        <v>32370</v>
      </c>
      <c r="CK149">
        <v>27000</v>
      </c>
      <c r="CL149">
        <f t="shared" si="363"/>
        <v>3780.0000000000005</v>
      </c>
      <c r="CM149">
        <f t="shared" si="364"/>
        <v>3240</v>
      </c>
      <c r="CN149">
        <v>0</v>
      </c>
      <c r="CO149">
        <v>500</v>
      </c>
      <c r="CP149">
        <f t="shared" si="365"/>
        <v>34520</v>
      </c>
      <c r="CQ149">
        <v>2000</v>
      </c>
      <c r="CR149">
        <v>0</v>
      </c>
      <c r="CS149">
        <f t="shared" si="366"/>
        <v>150</v>
      </c>
      <c r="CT149">
        <f t="shared" si="367"/>
        <v>32370</v>
      </c>
      <c r="CU149">
        <v>27000</v>
      </c>
      <c r="CV149">
        <f t="shared" si="368"/>
        <v>3780</v>
      </c>
      <c r="CW149">
        <f t="shared" si="369"/>
        <v>3240</v>
      </c>
      <c r="CX149">
        <v>0</v>
      </c>
      <c r="CY149">
        <v>500</v>
      </c>
      <c r="CZ149">
        <f t="shared" si="370"/>
        <v>34520</v>
      </c>
      <c r="DA149">
        <v>2000</v>
      </c>
      <c r="DB149">
        <v>0</v>
      </c>
      <c r="DC149">
        <f t="shared" si="371"/>
        <v>150</v>
      </c>
      <c r="DD149">
        <f t="shared" si="372"/>
        <v>32370</v>
      </c>
      <c r="DE149">
        <v>27000</v>
      </c>
      <c r="DF149">
        <f t="shared" si="373"/>
        <v>3780.0000000000005</v>
      </c>
      <c r="DG149">
        <f t="shared" si="374"/>
        <v>3240</v>
      </c>
      <c r="DH149">
        <v>0</v>
      </c>
      <c r="DI149">
        <v>500</v>
      </c>
      <c r="DJ149">
        <f t="shared" si="375"/>
        <v>34520</v>
      </c>
      <c r="DK149">
        <v>2000</v>
      </c>
      <c r="DL149">
        <v>0</v>
      </c>
      <c r="DM149">
        <f t="shared" si="376"/>
        <v>150</v>
      </c>
      <c r="DN149">
        <f t="shared" si="377"/>
        <v>32370</v>
      </c>
      <c r="DO149">
        <v>27000</v>
      </c>
      <c r="DP149">
        <f t="shared" si="378"/>
        <v>3780.0000000000005</v>
      </c>
      <c r="DQ149">
        <f t="shared" si="379"/>
        <v>3240</v>
      </c>
      <c r="DR149">
        <v>0</v>
      </c>
      <c r="DS149">
        <v>500</v>
      </c>
      <c r="DT149">
        <f t="shared" si="380"/>
        <v>34520</v>
      </c>
      <c r="DU149">
        <v>2000</v>
      </c>
      <c r="DV149">
        <v>0</v>
      </c>
      <c r="DW149">
        <f t="shared" si="381"/>
        <v>150</v>
      </c>
      <c r="DX149">
        <f t="shared" si="382"/>
        <v>32370</v>
      </c>
      <c r="DY149">
        <f t="shared" si="383"/>
        <v>415160</v>
      </c>
      <c r="DZ149">
        <f t="shared" si="315"/>
        <v>1800</v>
      </c>
      <c r="EA149">
        <f t="shared" si="316"/>
        <v>50000</v>
      </c>
      <c r="EB149">
        <v>0</v>
      </c>
      <c r="EC149">
        <f t="shared" si="317"/>
        <v>363360</v>
      </c>
      <c r="ED149">
        <f t="shared" si="318"/>
        <v>24000</v>
      </c>
      <c r="EE149">
        <f t="shared" si="319"/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f t="shared" si="320"/>
        <v>24000</v>
      </c>
      <c r="EQ149">
        <f t="shared" si="384"/>
        <v>24000</v>
      </c>
      <c r="ER149">
        <f t="shared" si="321"/>
        <v>339360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f t="shared" si="385"/>
        <v>0</v>
      </c>
      <c r="FA149">
        <f t="shared" si="386"/>
        <v>339360</v>
      </c>
      <c r="FB149">
        <f t="shared" si="387"/>
        <v>4468</v>
      </c>
      <c r="FC149">
        <f t="shared" si="388"/>
        <v>0</v>
      </c>
      <c r="FD149">
        <f t="shared" si="389"/>
        <v>4468</v>
      </c>
      <c r="FE149">
        <f t="shared" si="390"/>
        <v>0</v>
      </c>
      <c r="FF149">
        <f t="shared" si="391"/>
        <v>0</v>
      </c>
      <c r="FG149">
        <f t="shared" si="392"/>
        <v>0</v>
      </c>
      <c r="FH149">
        <v>0</v>
      </c>
      <c r="FI149">
        <f t="shared" si="393"/>
        <v>0</v>
      </c>
      <c r="FJ149" t="b">
        <f t="shared" si="394"/>
        <v>0</v>
      </c>
      <c r="FK149">
        <f t="shared" ca="1" si="395"/>
        <v>2245</v>
      </c>
      <c r="FL149">
        <f t="shared" ca="1" si="396"/>
        <v>417405</v>
      </c>
      <c r="FM149">
        <f t="shared" si="397"/>
        <v>75000</v>
      </c>
      <c r="FN149">
        <f t="shared" ca="1" si="398"/>
        <v>342405</v>
      </c>
      <c r="FO149">
        <f t="shared" ca="1" si="399"/>
        <v>0</v>
      </c>
      <c r="FP149">
        <f t="shared" ca="1" si="400"/>
        <v>0</v>
      </c>
      <c r="FQ149">
        <f t="shared" ca="1" si="401"/>
        <v>0</v>
      </c>
      <c r="FR149">
        <f t="shared" ca="1" si="402"/>
        <v>0</v>
      </c>
      <c r="FS149">
        <f t="shared" ca="1" si="403"/>
        <v>0</v>
      </c>
      <c r="FT149">
        <f t="shared" ca="1" si="404"/>
        <v>0</v>
      </c>
      <c r="FU149">
        <f t="shared" ca="1" si="405"/>
        <v>0</v>
      </c>
      <c r="FV149">
        <f t="shared" ca="1" si="406"/>
        <v>0</v>
      </c>
      <c r="FW149">
        <f t="shared" ca="1" si="407"/>
        <v>42405</v>
      </c>
      <c r="FX149">
        <f t="shared" ca="1" si="408"/>
        <v>2120.25</v>
      </c>
      <c r="FY149">
        <f t="shared" ca="1" si="409"/>
        <v>2120</v>
      </c>
      <c r="FZ149">
        <f t="shared" ca="1" si="410"/>
        <v>0</v>
      </c>
      <c r="GA149">
        <f t="shared" ca="1" si="411"/>
        <v>0</v>
      </c>
      <c r="GB149">
        <f t="shared" ca="1" si="412"/>
        <v>2120</v>
      </c>
      <c r="GC149">
        <f t="shared" ca="1" si="413"/>
        <v>0</v>
      </c>
      <c r="GD149" t="b">
        <f t="shared" ca="1" si="414"/>
        <v>0</v>
      </c>
      <c r="GE149">
        <f t="shared" ca="1" si="415"/>
        <v>0</v>
      </c>
      <c r="GF149">
        <f t="shared" ca="1" si="416"/>
        <v>2120</v>
      </c>
      <c r="GG149">
        <f t="shared" ca="1" si="417"/>
        <v>0</v>
      </c>
      <c r="GH149">
        <f t="shared" ca="1" si="418"/>
        <v>0</v>
      </c>
      <c r="GI149">
        <f t="shared" ca="1" si="419"/>
        <v>0</v>
      </c>
    </row>
    <row r="150" spans="1:191" x14ac:dyDescent="0.25">
      <c r="A150">
        <f>_xlfn.AGGREGATE(3,5,$B$2:B150)</f>
        <v>149</v>
      </c>
      <c r="B150" t="s">
        <v>418</v>
      </c>
      <c r="C150" t="s">
        <v>419</v>
      </c>
      <c r="D150" t="s">
        <v>803</v>
      </c>
      <c r="E150" t="s">
        <v>843</v>
      </c>
      <c r="F150">
        <v>0</v>
      </c>
      <c r="G150">
        <v>6000</v>
      </c>
      <c r="H150">
        <v>26200</v>
      </c>
      <c r="I150">
        <f t="shared" si="322"/>
        <v>2620</v>
      </c>
      <c r="J150">
        <f t="shared" si="323"/>
        <v>3144</v>
      </c>
      <c r="K150">
        <v>0</v>
      </c>
      <c r="L150">
        <v>500</v>
      </c>
      <c r="M150">
        <f t="shared" si="324"/>
        <v>32464</v>
      </c>
      <c r="N150">
        <v>2000</v>
      </c>
      <c r="O150">
        <v>0</v>
      </c>
      <c r="P150">
        <f t="shared" si="325"/>
        <v>150</v>
      </c>
      <c r="Q150">
        <f t="shared" si="326"/>
        <v>30314</v>
      </c>
      <c r="R150">
        <v>26200</v>
      </c>
      <c r="S150">
        <f t="shared" si="327"/>
        <v>2620</v>
      </c>
      <c r="T150">
        <f t="shared" si="328"/>
        <v>3144</v>
      </c>
      <c r="U150">
        <v>0</v>
      </c>
      <c r="V150">
        <v>500</v>
      </c>
      <c r="W150">
        <f t="shared" si="329"/>
        <v>32464</v>
      </c>
      <c r="X150">
        <v>2000</v>
      </c>
      <c r="Y150">
        <v>0</v>
      </c>
      <c r="Z150">
        <f t="shared" si="330"/>
        <v>150</v>
      </c>
      <c r="AA150">
        <f t="shared" si="331"/>
        <v>30314</v>
      </c>
      <c r="AB150">
        <v>26200</v>
      </c>
      <c r="AC150">
        <f t="shared" si="332"/>
        <v>3668.0000000000005</v>
      </c>
      <c r="AD150">
        <f t="shared" si="333"/>
        <v>3144</v>
      </c>
      <c r="AE150">
        <v>0</v>
      </c>
      <c r="AF150">
        <v>500</v>
      </c>
      <c r="AG150">
        <f t="shared" si="334"/>
        <v>33512</v>
      </c>
      <c r="AH150">
        <v>2000</v>
      </c>
      <c r="AI150">
        <v>0</v>
      </c>
      <c r="AJ150">
        <f t="shared" si="335"/>
        <v>150</v>
      </c>
      <c r="AK150">
        <f t="shared" si="336"/>
        <v>31362</v>
      </c>
      <c r="AL150">
        <v>26200</v>
      </c>
      <c r="AM150">
        <f t="shared" si="337"/>
        <v>3668.0000000000005</v>
      </c>
      <c r="AN150">
        <f t="shared" si="338"/>
        <v>3144</v>
      </c>
      <c r="AO150">
        <v>0</v>
      </c>
      <c r="AP150">
        <v>500</v>
      </c>
      <c r="AQ150">
        <f t="shared" si="339"/>
        <v>33512</v>
      </c>
      <c r="AR150">
        <v>2000</v>
      </c>
      <c r="AS150">
        <v>0</v>
      </c>
      <c r="AT150">
        <f t="shared" si="340"/>
        <v>150</v>
      </c>
      <c r="AU150">
        <f t="shared" si="341"/>
        <v>31362</v>
      </c>
      <c r="AV150">
        <v>27000</v>
      </c>
      <c r="AW150">
        <f t="shared" si="342"/>
        <v>3780.0000000000005</v>
      </c>
      <c r="AX150">
        <f t="shared" si="343"/>
        <v>1048</v>
      </c>
      <c r="AY150">
        <f t="shared" si="344"/>
        <v>3240</v>
      </c>
      <c r="AZ150">
        <v>0</v>
      </c>
      <c r="BA150">
        <v>500</v>
      </c>
      <c r="BB150">
        <f t="shared" si="345"/>
        <v>35568</v>
      </c>
      <c r="BC150">
        <v>2000</v>
      </c>
      <c r="BD150">
        <v>0</v>
      </c>
      <c r="BE150">
        <f t="shared" si="346"/>
        <v>150</v>
      </c>
      <c r="BF150">
        <f t="shared" si="347"/>
        <v>33418</v>
      </c>
      <c r="BG150">
        <v>27000</v>
      </c>
      <c r="BH150">
        <f t="shared" si="348"/>
        <v>3780.0000000000005</v>
      </c>
      <c r="BI150">
        <f t="shared" si="349"/>
        <v>3240</v>
      </c>
      <c r="BJ150">
        <v>0</v>
      </c>
      <c r="BK150">
        <v>500</v>
      </c>
      <c r="BL150">
        <f t="shared" si="350"/>
        <v>34520</v>
      </c>
      <c r="BM150">
        <v>2000</v>
      </c>
      <c r="BN150">
        <v>0</v>
      </c>
      <c r="BO150">
        <f t="shared" si="351"/>
        <v>150</v>
      </c>
      <c r="BP150">
        <f t="shared" si="352"/>
        <v>32370</v>
      </c>
      <c r="BQ150">
        <v>27000</v>
      </c>
      <c r="BR150">
        <f t="shared" si="353"/>
        <v>3780.0000000000005</v>
      </c>
      <c r="BS150">
        <f t="shared" si="354"/>
        <v>3240</v>
      </c>
      <c r="BT150">
        <v>0</v>
      </c>
      <c r="BU150">
        <v>500</v>
      </c>
      <c r="BV150">
        <f t="shared" si="355"/>
        <v>34520</v>
      </c>
      <c r="BW150">
        <v>2000</v>
      </c>
      <c r="BX150">
        <v>0</v>
      </c>
      <c r="BY150">
        <f t="shared" si="356"/>
        <v>150</v>
      </c>
      <c r="BZ150">
        <f t="shared" si="357"/>
        <v>32370</v>
      </c>
      <c r="CA150">
        <v>27000</v>
      </c>
      <c r="CB150">
        <f t="shared" si="358"/>
        <v>3780.0000000000005</v>
      </c>
      <c r="CC150">
        <f t="shared" si="359"/>
        <v>3240</v>
      </c>
      <c r="CD150">
        <v>0</v>
      </c>
      <c r="CE150">
        <v>500</v>
      </c>
      <c r="CF150">
        <f t="shared" si="360"/>
        <v>34520</v>
      </c>
      <c r="CG150">
        <v>2000</v>
      </c>
      <c r="CH150">
        <v>0</v>
      </c>
      <c r="CI150">
        <f t="shared" si="361"/>
        <v>150</v>
      </c>
      <c r="CJ150">
        <f t="shared" si="362"/>
        <v>32370</v>
      </c>
      <c r="CK150">
        <v>27000</v>
      </c>
      <c r="CL150">
        <f t="shared" si="363"/>
        <v>3780.0000000000005</v>
      </c>
      <c r="CM150">
        <f t="shared" si="364"/>
        <v>3240</v>
      </c>
      <c r="CN150">
        <v>0</v>
      </c>
      <c r="CO150">
        <v>500</v>
      </c>
      <c r="CP150">
        <f t="shared" si="365"/>
        <v>34520</v>
      </c>
      <c r="CQ150">
        <v>2000</v>
      </c>
      <c r="CR150">
        <v>0</v>
      </c>
      <c r="CS150">
        <f t="shared" si="366"/>
        <v>150</v>
      </c>
      <c r="CT150">
        <f t="shared" si="367"/>
        <v>32370</v>
      </c>
      <c r="CU150">
        <v>27000</v>
      </c>
      <c r="CV150">
        <f t="shared" si="368"/>
        <v>3780</v>
      </c>
      <c r="CW150">
        <f t="shared" si="369"/>
        <v>3240</v>
      </c>
      <c r="CX150">
        <v>0</v>
      </c>
      <c r="CY150">
        <v>500</v>
      </c>
      <c r="CZ150">
        <f t="shared" si="370"/>
        <v>34520</v>
      </c>
      <c r="DA150">
        <v>2000</v>
      </c>
      <c r="DB150">
        <v>0</v>
      </c>
      <c r="DC150">
        <f t="shared" si="371"/>
        <v>150</v>
      </c>
      <c r="DD150">
        <f t="shared" si="372"/>
        <v>32370</v>
      </c>
      <c r="DE150">
        <v>27000</v>
      </c>
      <c r="DF150">
        <f t="shared" si="373"/>
        <v>3780.0000000000005</v>
      </c>
      <c r="DG150">
        <f t="shared" si="374"/>
        <v>3240</v>
      </c>
      <c r="DH150">
        <v>0</v>
      </c>
      <c r="DI150">
        <v>500</v>
      </c>
      <c r="DJ150">
        <f t="shared" si="375"/>
        <v>34520</v>
      </c>
      <c r="DK150">
        <v>2000</v>
      </c>
      <c r="DL150">
        <v>0</v>
      </c>
      <c r="DM150">
        <f t="shared" si="376"/>
        <v>150</v>
      </c>
      <c r="DN150">
        <f t="shared" si="377"/>
        <v>32370</v>
      </c>
      <c r="DO150">
        <v>27000</v>
      </c>
      <c r="DP150">
        <f t="shared" si="378"/>
        <v>3780.0000000000005</v>
      </c>
      <c r="DQ150">
        <f t="shared" si="379"/>
        <v>3240</v>
      </c>
      <c r="DR150">
        <v>0</v>
      </c>
      <c r="DS150">
        <v>500</v>
      </c>
      <c r="DT150">
        <f t="shared" si="380"/>
        <v>34520</v>
      </c>
      <c r="DU150">
        <v>2000</v>
      </c>
      <c r="DV150">
        <v>0</v>
      </c>
      <c r="DW150">
        <f t="shared" si="381"/>
        <v>150</v>
      </c>
      <c r="DX150">
        <f t="shared" si="382"/>
        <v>32370</v>
      </c>
      <c r="DY150">
        <f t="shared" si="383"/>
        <v>415160</v>
      </c>
      <c r="DZ150">
        <f t="shared" si="315"/>
        <v>1800</v>
      </c>
      <c r="EA150">
        <f t="shared" si="316"/>
        <v>50000</v>
      </c>
      <c r="EB150">
        <v>0</v>
      </c>
      <c r="EC150">
        <f t="shared" si="317"/>
        <v>363360</v>
      </c>
      <c r="ED150">
        <f t="shared" si="318"/>
        <v>24000</v>
      </c>
      <c r="EE150">
        <f t="shared" si="319"/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f t="shared" si="320"/>
        <v>24000</v>
      </c>
      <c r="EQ150">
        <f t="shared" si="384"/>
        <v>24000</v>
      </c>
      <c r="ER150">
        <f t="shared" si="321"/>
        <v>339360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f t="shared" si="385"/>
        <v>0</v>
      </c>
      <c r="FA150">
        <f t="shared" si="386"/>
        <v>339360</v>
      </c>
      <c r="FB150">
        <f t="shared" si="387"/>
        <v>4468</v>
      </c>
      <c r="FC150">
        <f t="shared" si="388"/>
        <v>0</v>
      </c>
      <c r="FD150">
        <f t="shared" si="389"/>
        <v>4468</v>
      </c>
      <c r="FE150">
        <f t="shared" si="390"/>
        <v>0</v>
      </c>
      <c r="FF150">
        <f t="shared" si="391"/>
        <v>0</v>
      </c>
      <c r="FG150">
        <f t="shared" si="392"/>
        <v>0</v>
      </c>
      <c r="FH150">
        <v>0</v>
      </c>
      <c r="FI150">
        <f t="shared" si="393"/>
        <v>0</v>
      </c>
      <c r="FJ150" t="b">
        <f t="shared" si="394"/>
        <v>0</v>
      </c>
      <c r="FK150">
        <f t="shared" ca="1" si="395"/>
        <v>1058</v>
      </c>
      <c r="FL150">
        <f t="shared" ca="1" si="396"/>
        <v>416218</v>
      </c>
      <c r="FM150">
        <f t="shared" si="397"/>
        <v>75000</v>
      </c>
      <c r="FN150">
        <f t="shared" ca="1" si="398"/>
        <v>341218</v>
      </c>
      <c r="FO150">
        <f t="shared" ca="1" si="399"/>
        <v>0</v>
      </c>
      <c r="FP150">
        <f t="shared" ca="1" si="400"/>
        <v>0</v>
      </c>
      <c r="FQ150">
        <f t="shared" ca="1" si="401"/>
        <v>0</v>
      </c>
      <c r="FR150">
        <f t="shared" ca="1" si="402"/>
        <v>0</v>
      </c>
      <c r="FS150">
        <f t="shared" ca="1" si="403"/>
        <v>0</v>
      </c>
      <c r="FT150">
        <f t="shared" ca="1" si="404"/>
        <v>0</v>
      </c>
      <c r="FU150">
        <f t="shared" ca="1" si="405"/>
        <v>0</v>
      </c>
      <c r="FV150">
        <f t="shared" ca="1" si="406"/>
        <v>0</v>
      </c>
      <c r="FW150">
        <f t="shared" ca="1" si="407"/>
        <v>41218</v>
      </c>
      <c r="FX150">
        <f t="shared" ca="1" si="408"/>
        <v>2060.9</v>
      </c>
      <c r="FY150">
        <f t="shared" ca="1" si="409"/>
        <v>2061</v>
      </c>
      <c r="FZ150">
        <f t="shared" ca="1" si="410"/>
        <v>0</v>
      </c>
      <c r="GA150">
        <f t="shared" ca="1" si="411"/>
        <v>0</v>
      </c>
      <c r="GB150">
        <f t="shared" ca="1" si="412"/>
        <v>2061</v>
      </c>
      <c r="GC150">
        <f t="shared" ca="1" si="413"/>
        <v>0</v>
      </c>
      <c r="GD150" t="b">
        <f t="shared" ca="1" si="414"/>
        <v>0</v>
      </c>
      <c r="GE150">
        <f t="shared" ca="1" si="415"/>
        <v>0</v>
      </c>
      <c r="GF150">
        <f t="shared" ca="1" si="416"/>
        <v>2061</v>
      </c>
      <c r="GG150">
        <f t="shared" ca="1" si="417"/>
        <v>0</v>
      </c>
      <c r="GH150">
        <f t="shared" ca="1" si="418"/>
        <v>0</v>
      </c>
      <c r="GI150">
        <f t="shared" ca="1" si="419"/>
        <v>0</v>
      </c>
    </row>
    <row r="151" spans="1:191" x14ac:dyDescent="0.25">
      <c r="A151">
        <f>_xlfn.AGGREGATE(3,5,$B$2:B151)</f>
        <v>150</v>
      </c>
      <c r="B151" t="s">
        <v>420</v>
      </c>
      <c r="C151" t="s">
        <v>421</v>
      </c>
      <c r="D151" t="s">
        <v>803</v>
      </c>
      <c r="E151" t="s">
        <v>843</v>
      </c>
      <c r="F151">
        <v>0</v>
      </c>
      <c r="G151">
        <v>0</v>
      </c>
      <c r="H151">
        <v>0</v>
      </c>
      <c r="I151">
        <f t="shared" si="322"/>
        <v>0</v>
      </c>
      <c r="J151">
        <f t="shared" si="323"/>
        <v>0</v>
      </c>
      <c r="K151">
        <v>0</v>
      </c>
      <c r="L151">
        <v>0</v>
      </c>
      <c r="M151">
        <f t="shared" si="324"/>
        <v>0</v>
      </c>
      <c r="N151">
        <v>0</v>
      </c>
      <c r="O151">
        <v>0</v>
      </c>
      <c r="P151">
        <f t="shared" si="325"/>
        <v>0</v>
      </c>
      <c r="Q151">
        <f t="shared" si="326"/>
        <v>0</v>
      </c>
      <c r="R151">
        <v>0</v>
      </c>
      <c r="S151">
        <f t="shared" si="327"/>
        <v>0</v>
      </c>
      <c r="T151">
        <f t="shared" si="328"/>
        <v>0</v>
      </c>
      <c r="U151">
        <v>0</v>
      </c>
      <c r="V151">
        <v>0</v>
      </c>
      <c r="W151">
        <f t="shared" si="329"/>
        <v>0</v>
      </c>
      <c r="X151">
        <v>0</v>
      </c>
      <c r="Y151">
        <v>0</v>
      </c>
      <c r="Z151">
        <f t="shared" si="330"/>
        <v>0</v>
      </c>
      <c r="AA151">
        <f t="shared" si="331"/>
        <v>0</v>
      </c>
      <c r="AB151">
        <v>0</v>
      </c>
      <c r="AC151">
        <f t="shared" si="332"/>
        <v>0</v>
      </c>
      <c r="AD151">
        <f t="shared" si="333"/>
        <v>0</v>
      </c>
      <c r="AE151">
        <v>0</v>
      </c>
      <c r="AF151">
        <v>0</v>
      </c>
      <c r="AG151">
        <f t="shared" si="334"/>
        <v>0</v>
      </c>
      <c r="AH151">
        <v>0</v>
      </c>
      <c r="AI151">
        <v>0</v>
      </c>
      <c r="AJ151">
        <f t="shared" si="335"/>
        <v>0</v>
      </c>
      <c r="AK151">
        <f t="shared" si="336"/>
        <v>0</v>
      </c>
      <c r="AL151">
        <v>0</v>
      </c>
      <c r="AM151">
        <f t="shared" si="337"/>
        <v>0</v>
      </c>
      <c r="AN151">
        <f t="shared" si="338"/>
        <v>0</v>
      </c>
      <c r="AO151">
        <v>0</v>
      </c>
      <c r="AP151">
        <v>0</v>
      </c>
      <c r="AQ151">
        <f t="shared" si="339"/>
        <v>0</v>
      </c>
      <c r="AR151">
        <v>0</v>
      </c>
      <c r="AS151">
        <v>0</v>
      </c>
      <c r="AT151">
        <f t="shared" si="340"/>
        <v>0</v>
      </c>
      <c r="AU151">
        <f t="shared" si="341"/>
        <v>0</v>
      </c>
      <c r="AV151">
        <v>0</v>
      </c>
      <c r="AW151">
        <f t="shared" si="342"/>
        <v>0</v>
      </c>
      <c r="AX151">
        <f t="shared" si="343"/>
        <v>0</v>
      </c>
      <c r="AY151">
        <f t="shared" si="344"/>
        <v>0</v>
      </c>
      <c r="AZ151">
        <v>0</v>
      </c>
      <c r="BA151">
        <v>0</v>
      </c>
      <c r="BB151">
        <f t="shared" si="345"/>
        <v>0</v>
      </c>
      <c r="BC151">
        <v>0</v>
      </c>
      <c r="BD151">
        <v>0</v>
      </c>
      <c r="BE151">
        <f t="shared" si="346"/>
        <v>0</v>
      </c>
      <c r="BF151">
        <f t="shared" si="347"/>
        <v>0</v>
      </c>
      <c r="BG151">
        <v>0</v>
      </c>
      <c r="BH151">
        <f t="shared" si="348"/>
        <v>0</v>
      </c>
      <c r="BI151">
        <f t="shared" si="349"/>
        <v>0</v>
      </c>
      <c r="BJ151">
        <v>0</v>
      </c>
      <c r="BK151">
        <v>0</v>
      </c>
      <c r="BL151">
        <f t="shared" si="350"/>
        <v>0</v>
      </c>
      <c r="BM151">
        <v>0</v>
      </c>
      <c r="BN151">
        <v>0</v>
      </c>
      <c r="BO151">
        <f t="shared" si="351"/>
        <v>0</v>
      </c>
      <c r="BP151">
        <f t="shared" si="352"/>
        <v>0</v>
      </c>
      <c r="BQ151">
        <v>0</v>
      </c>
      <c r="BR151">
        <f t="shared" si="353"/>
        <v>0</v>
      </c>
      <c r="BS151">
        <f t="shared" si="354"/>
        <v>0</v>
      </c>
      <c r="BT151">
        <v>0</v>
      </c>
      <c r="BU151">
        <v>0</v>
      </c>
      <c r="BV151">
        <f t="shared" si="355"/>
        <v>0</v>
      </c>
      <c r="BW151">
        <v>0</v>
      </c>
      <c r="BX151">
        <v>0</v>
      </c>
      <c r="BY151">
        <f t="shared" si="356"/>
        <v>0</v>
      </c>
      <c r="BZ151">
        <f t="shared" si="357"/>
        <v>0</v>
      </c>
      <c r="CA151">
        <v>0</v>
      </c>
      <c r="CB151">
        <f t="shared" si="358"/>
        <v>0</v>
      </c>
      <c r="CC151">
        <f t="shared" si="359"/>
        <v>0</v>
      </c>
      <c r="CD151">
        <v>0</v>
      </c>
      <c r="CE151">
        <v>0</v>
      </c>
      <c r="CF151">
        <f t="shared" si="360"/>
        <v>0</v>
      </c>
      <c r="CG151">
        <v>0</v>
      </c>
      <c r="CH151">
        <v>0</v>
      </c>
      <c r="CI151">
        <f t="shared" si="361"/>
        <v>0</v>
      </c>
      <c r="CJ151">
        <f t="shared" si="362"/>
        <v>0</v>
      </c>
      <c r="CK151">
        <v>28900</v>
      </c>
      <c r="CL151">
        <f t="shared" si="363"/>
        <v>4046.0000000000005</v>
      </c>
      <c r="CM151">
        <f t="shared" si="364"/>
        <v>3468</v>
      </c>
      <c r="CN151">
        <v>0</v>
      </c>
      <c r="CO151">
        <v>0</v>
      </c>
      <c r="CP151">
        <f t="shared" si="365"/>
        <v>36414</v>
      </c>
      <c r="CQ151">
        <v>0</v>
      </c>
      <c r="CR151">
        <v>0</v>
      </c>
      <c r="CS151">
        <f t="shared" si="366"/>
        <v>150</v>
      </c>
      <c r="CT151">
        <f t="shared" si="367"/>
        <v>36264</v>
      </c>
      <c r="CU151">
        <v>28900</v>
      </c>
      <c r="CV151">
        <f t="shared" si="368"/>
        <v>4046</v>
      </c>
      <c r="CW151">
        <f t="shared" si="369"/>
        <v>3468</v>
      </c>
      <c r="CX151">
        <v>0</v>
      </c>
      <c r="CY151">
        <v>0</v>
      </c>
      <c r="CZ151">
        <f t="shared" si="370"/>
        <v>36414</v>
      </c>
      <c r="DA151">
        <v>0</v>
      </c>
      <c r="DB151">
        <v>0</v>
      </c>
      <c r="DC151">
        <f t="shared" si="371"/>
        <v>150</v>
      </c>
      <c r="DD151">
        <f t="shared" si="372"/>
        <v>36264</v>
      </c>
      <c r="DE151">
        <v>28900</v>
      </c>
      <c r="DF151">
        <f t="shared" si="373"/>
        <v>4046.0000000000005</v>
      </c>
      <c r="DG151">
        <f t="shared" si="374"/>
        <v>3468</v>
      </c>
      <c r="DH151">
        <v>0</v>
      </c>
      <c r="DI151">
        <v>0</v>
      </c>
      <c r="DJ151">
        <f t="shared" si="375"/>
        <v>36414</v>
      </c>
      <c r="DK151">
        <v>0</v>
      </c>
      <c r="DL151">
        <v>0</v>
      </c>
      <c r="DM151">
        <f t="shared" si="376"/>
        <v>150</v>
      </c>
      <c r="DN151">
        <f t="shared" si="377"/>
        <v>36264</v>
      </c>
      <c r="DO151">
        <v>28900</v>
      </c>
      <c r="DP151">
        <f t="shared" si="378"/>
        <v>4046.0000000000005</v>
      </c>
      <c r="DQ151">
        <f t="shared" si="379"/>
        <v>3468</v>
      </c>
      <c r="DR151">
        <v>0</v>
      </c>
      <c r="DS151">
        <v>0</v>
      </c>
      <c r="DT151">
        <f t="shared" si="380"/>
        <v>36414</v>
      </c>
      <c r="DU151">
        <v>0</v>
      </c>
      <c r="DV151">
        <v>0</v>
      </c>
      <c r="DW151">
        <f t="shared" si="381"/>
        <v>150</v>
      </c>
      <c r="DX151">
        <f t="shared" si="382"/>
        <v>36264</v>
      </c>
      <c r="DY151">
        <f t="shared" si="383"/>
        <v>145656</v>
      </c>
      <c r="DZ151">
        <f t="shared" si="315"/>
        <v>600</v>
      </c>
      <c r="EA151">
        <f t="shared" si="316"/>
        <v>50000</v>
      </c>
      <c r="EB151">
        <v>0</v>
      </c>
      <c r="EC151">
        <f t="shared" si="317"/>
        <v>95056</v>
      </c>
      <c r="ED151">
        <f t="shared" si="318"/>
        <v>0</v>
      </c>
      <c r="EE151">
        <f t="shared" si="319"/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f t="shared" si="320"/>
        <v>0</v>
      </c>
      <c r="EQ151">
        <f t="shared" si="384"/>
        <v>0</v>
      </c>
      <c r="ER151">
        <f t="shared" si="321"/>
        <v>95056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f t="shared" si="385"/>
        <v>0</v>
      </c>
      <c r="FA151">
        <f t="shared" si="386"/>
        <v>95056</v>
      </c>
      <c r="FB151">
        <f t="shared" si="387"/>
        <v>-7747</v>
      </c>
      <c r="FC151">
        <f t="shared" si="388"/>
        <v>0</v>
      </c>
      <c r="FD151">
        <f t="shared" si="389"/>
        <v>-7747</v>
      </c>
      <c r="FE151">
        <f t="shared" si="390"/>
        <v>0</v>
      </c>
      <c r="FF151">
        <f t="shared" si="391"/>
        <v>0</v>
      </c>
      <c r="FG151">
        <f t="shared" si="392"/>
        <v>0</v>
      </c>
      <c r="FH151">
        <v>0</v>
      </c>
      <c r="FI151">
        <f t="shared" si="393"/>
        <v>0</v>
      </c>
      <c r="FJ151" t="b">
        <f t="shared" si="394"/>
        <v>0</v>
      </c>
      <c r="FK151">
        <f t="shared" ca="1" si="395"/>
        <v>1333</v>
      </c>
      <c r="FL151">
        <f t="shared" ca="1" si="396"/>
        <v>146989</v>
      </c>
      <c r="FM151">
        <f t="shared" si="397"/>
        <v>75000</v>
      </c>
      <c r="FN151">
        <f t="shared" ca="1" si="398"/>
        <v>71989</v>
      </c>
      <c r="FO151">
        <f t="shared" ca="1" si="399"/>
        <v>0</v>
      </c>
      <c r="FP151">
        <f t="shared" ca="1" si="400"/>
        <v>0</v>
      </c>
      <c r="FQ151">
        <f t="shared" ca="1" si="401"/>
        <v>0</v>
      </c>
      <c r="FR151">
        <f t="shared" ca="1" si="402"/>
        <v>0</v>
      </c>
      <c r="FS151">
        <f t="shared" ca="1" si="403"/>
        <v>0</v>
      </c>
      <c r="FT151">
        <f t="shared" ca="1" si="404"/>
        <v>0</v>
      </c>
      <c r="FU151">
        <f t="shared" ca="1" si="405"/>
        <v>0</v>
      </c>
      <c r="FV151">
        <f t="shared" ca="1" si="406"/>
        <v>0</v>
      </c>
      <c r="FW151">
        <f t="shared" ca="1" si="407"/>
        <v>0</v>
      </c>
      <c r="FX151">
        <f t="shared" ca="1" si="408"/>
        <v>0</v>
      </c>
      <c r="FY151">
        <f t="shared" ca="1" si="409"/>
        <v>0</v>
      </c>
      <c r="FZ151">
        <f t="shared" ca="1" si="410"/>
        <v>0</v>
      </c>
      <c r="GA151">
        <f t="shared" ca="1" si="411"/>
        <v>0</v>
      </c>
      <c r="GB151">
        <f t="shared" ca="1" si="412"/>
        <v>0</v>
      </c>
      <c r="GC151">
        <f t="shared" ca="1" si="413"/>
        <v>0</v>
      </c>
      <c r="GD151" t="b">
        <f t="shared" ca="1" si="414"/>
        <v>0</v>
      </c>
      <c r="GE151">
        <f t="shared" ca="1" si="415"/>
        <v>0</v>
      </c>
      <c r="GF151">
        <f t="shared" ca="1" si="416"/>
        <v>0</v>
      </c>
      <c r="GG151">
        <f t="shared" ca="1" si="417"/>
        <v>0</v>
      </c>
      <c r="GH151">
        <f t="shared" ca="1" si="418"/>
        <v>0</v>
      </c>
      <c r="GI151">
        <f t="shared" ca="1" si="419"/>
        <v>0</v>
      </c>
    </row>
    <row r="152" spans="1:191" x14ac:dyDescent="0.25">
      <c r="A152">
        <f>_xlfn.AGGREGATE(3,5,$B$2:B152)</f>
        <v>151</v>
      </c>
      <c r="B152" t="s">
        <v>422</v>
      </c>
      <c r="C152" t="s">
        <v>423</v>
      </c>
      <c r="D152" t="s">
        <v>804</v>
      </c>
      <c r="E152" t="s">
        <v>843</v>
      </c>
      <c r="F152">
        <v>0</v>
      </c>
      <c r="G152">
        <v>0</v>
      </c>
      <c r="H152">
        <v>47300</v>
      </c>
      <c r="I152">
        <f t="shared" si="322"/>
        <v>4730</v>
      </c>
      <c r="J152">
        <f t="shared" si="323"/>
        <v>5676</v>
      </c>
      <c r="K152">
        <v>400</v>
      </c>
      <c r="L152">
        <v>500</v>
      </c>
      <c r="M152">
        <f t="shared" si="324"/>
        <v>58606</v>
      </c>
      <c r="N152">
        <v>7000</v>
      </c>
      <c r="O152">
        <v>0</v>
      </c>
      <c r="P152">
        <f t="shared" si="325"/>
        <v>200</v>
      </c>
      <c r="Q152">
        <f t="shared" si="326"/>
        <v>51406</v>
      </c>
      <c r="R152">
        <v>47300</v>
      </c>
      <c r="S152">
        <f t="shared" si="327"/>
        <v>4730</v>
      </c>
      <c r="T152">
        <f t="shared" si="328"/>
        <v>5676</v>
      </c>
      <c r="U152">
        <v>400</v>
      </c>
      <c r="V152">
        <v>500</v>
      </c>
      <c r="W152">
        <f t="shared" si="329"/>
        <v>58606</v>
      </c>
      <c r="X152">
        <v>7000</v>
      </c>
      <c r="Y152">
        <v>0</v>
      </c>
      <c r="Z152">
        <f t="shared" si="330"/>
        <v>200</v>
      </c>
      <c r="AA152">
        <f t="shared" si="331"/>
        <v>51406</v>
      </c>
      <c r="AB152">
        <v>47300</v>
      </c>
      <c r="AC152">
        <f t="shared" si="332"/>
        <v>6622.0000000000009</v>
      </c>
      <c r="AD152">
        <f t="shared" si="333"/>
        <v>5676</v>
      </c>
      <c r="AE152">
        <v>400</v>
      </c>
      <c r="AF152">
        <v>500</v>
      </c>
      <c r="AG152">
        <f t="shared" si="334"/>
        <v>60498</v>
      </c>
      <c r="AH152">
        <v>7000</v>
      </c>
      <c r="AI152">
        <v>0</v>
      </c>
      <c r="AJ152">
        <f t="shared" si="335"/>
        <v>200</v>
      </c>
      <c r="AK152">
        <f t="shared" si="336"/>
        <v>53298</v>
      </c>
      <c r="AL152">
        <v>47300</v>
      </c>
      <c r="AM152">
        <f t="shared" si="337"/>
        <v>6622.0000000000009</v>
      </c>
      <c r="AN152">
        <f t="shared" si="338"/>
        <v>5676</v>
      </c>
      <c r="AO152">
        <v>400</v>
      </c>
      <c r="AP152">
        <v>500</v>
      </c>
      <c r="AQ152">
        <f t="shared" si="339"/>
        <v>60498</v>
      </c>
      <c r="AR152">
        <v>7000</v>
      </c>
      <c r="AS152">
        <v>0</v>
      </c>
      <c r="AT152">
        <f t="shared" si="340"/>
        <v>200</v>
      </c>
      <c r="AU152">
        <f t="shared" si="341"/>
        <v>53298</v>
      </c>
      <c r="AV152">
        <v>48700</v>
      </c>
      <c r="AW152">
        <f t="shared" si="342"/>
        <v>6818.0000000000009</v>
      </c>
      <c r="AX152">
        <f t="shared" si="343"/>
        <v>1892</v>
      </c>
      <c r="AY152">
        <f t="shared" si="344"/>
        <v>5844</v>
      </c>
      <c r="AZ152">
        <v>400</v>
      </c>
      <c r="BA152">
        <v>500</v>
      </c>
      <c r="BB152">
        <f t="shared" si="345"/>
        <v>64154</v>
      </c>
      <c r="BC152">
        <v>7000</v>
      </c>
      <c r="BD152">
        <v>0</v>
      </c>
      <c r="BE152">
        <f t="shared" si="346"/>
        <v>200</v>
      </c>
      <c r="BF152">
        <f t="shared" si="347"/>
        <v>56954</v>
      </c>
      <c r="BG152">
        <v>48700</v>
      </c>
      <c r="BH152">
        <f t="shared" si="348"/>
        <v>6818.0000000000009</v>
      </c>
      <c r="BI152">
        <f t="shared" si="349"/>
        <v>5844</v>
      </c>
      <c r="BJ152">
        <v>400</v>
      </c>
      <c r="BK152">
        <v>500</v>
      </c>
      <c r="BL152">
        <f t="shared" si="350"/>
        <v>62262</v>
      </c>
      <c r="BM152">
        <v>7000</v>
      </c>
      <c r="BN152">
        <v>0</v>
      </c>
      <c r="BO152">
        <f t="shared" si="351"/>
        <v>200</v>
      </c>
      <c r="BP152">
        <f t="shared" si="352"/>
        <v>55062</v>
      </c>
      <c r="BQ152">
        <v>48700</v>
      </c>
      <c r="BR152">
        <f t="shared" si="353"/>
        <v>6818.0000000000009</v>
      </c>
      <c r="BS152">
        <f t="shared" si="354"/>
        <v>5844</v>
      </c>
      <c r="BT152">
        <v>400</v>
      </c>
      <c r="BU152">
        <v>500</v>
      </c>
      <c r="BV152">
        <f t="shared" si="355"/>
        <v>62262</v>
      </c>
      <c r="BW152">
        <v>7000</v>
      </c>
      <c r="BX152">
        <v>0</v>
      </c>
      <c r="BY152">
        <f t="shared" si="356"/>
        <v>200</v>
      </c>
      <c r="BZ152">
        <f t="shared" si="357"/>
        <v>55062</v>
      </c>
      <c r="CA152">
        <v>48700</v>
      </c>
      <c r="CB152">
        <f t="shared" si="358"/>
        <v>6818.0000000000009</v>
      </c>
      <c r="CC152">
        <f t="shared" si="359"/>
        <v>5844</v>
      </c>
      <c r="CD152">
        <v>400</v>
      </c>
      <c r="CE152">
        <v>500</v>
      </c>
      <c r="CF152">
        <f t="shared" si="360"/>
        <v>62262</v>
      </c>
      <c r="CG152">
        <v>7000</v>
      </c>
      <c r="CH152">
        <v>0</v>
      </c>
      <c r="CI152">
        <f t="shared" si="361"/>
        <v>200</v>
      </c>
      <c r="CJ152">
        <f t="shared" si="362"/>
        <v>55062</v>
      </c>
      <c r="CK152">
        <v>48700</v>
      </c>
      <c r="CL152">
        <f t="shared" si="363"/>
        <v>6818.0000000000009</v>
      </c>
      <c r="CM152">
        <f t="shared" si="364"/>
        <v>5844</v>
      </c>
      <c r="CN152">
        <v>400</v>
      </c>
      <c r="CO152">
        <v>500</v>
      </c>
      <c r="CP152">
        <f t="shared" si="365"/>
        <v>62262</v>
      </c>
      <c r="CQ152">
        <v>7000</v>
      </c>
      <c r="CR152">
        <v>0</v>
      </c>
      <c r="CS152">
        <f t="shared" si="366"/>
        <v>200</v>
      </c>
      <c r="CT152">
        <f t="shared" si="367"/>
        <v>55062</v>
      </c>
      <c r="CU152">
        <v>48700</v>
      </c>
      <c r="CV152">
        <f t="shared" si="368"/>
        <v>6818</v>
      </c>
      <c r="CW152">
        <f t="shared" si="369"/>
        <v>5844</v>
      </c>
      <c r="CX152">
        <v>400</v>
      </c>
      <c r="CY152">
        <v>500</v>
      </c>
      <c r="CZ152">
        <f t="shared" si="370"/>
        <v>62262</v>
      </c>
      <c r="DA152">
        <v>7000</v>
      </c>
      <c r="DB152">
        <v>0</v>
      </c>
      <c r="DC152">
        <f t="shared" si="371"/>
        <v>200</v>
      </c>
      <c r="DD152">
        <f t="shared" si="372"/>
        <v>55062</v>
      </c>
      <c r="DE152">
        <v>48700</v>
      </c>
      <c r="DF152">
        <f t="shared" si="373"/>
        <v>6818.0000000000009</v>
      </c>
      <c r="DG152">
        <f t="shared" si="374"/>
        <v>5844</v>
      </c>
      <c r="DH152">
        <v>400</v>
      </c>
      <c r="DI152">
        <v>500</v>
      </c>
      <c r="DJ152">
        <f t="shared" si="375"/>
        <v>62262</v>
      </c>
      <c r="DK152">
        <v>7000</v>
      </c>
      <c r="DL152">
        <v>0</v>
      </c>
      <c r="DM152">
        <f t="shared" si="376"/>
        <v>200</v>
      </c>
      <c r="DN152">
        <f t="shared" si="377"/>
        <v>55062</v>
      </c>
      <c r="DO152">
        <v>48700</v>
      </c>
      <c r="DP152">
        <f t="shared" si="378"/>
        <v>6818.0000000000009</v>
      </c>
      <c r="DQ152">
        <f t="shared" si="379"/>
        <v>5844</v>
      </c>
      <c r="DR152">
        <v>400</v>
      </c>
      <c r="DS152">
        <v>500</v>
      </c>
      <c r="DT152">
        <f t="shared" si="380"/>
        <v>62262</v>
      </c>
      <c r="DU152">
        <v>7000</v>
      </c>
      <c r="DV152">
        <v>0</v>
      </c>
      <c r="DW152">
        <f t="shared" si="381"/>
        <v>200</v>
      </c>
      <c r="DX152">
        <f t="shared" si="382"/>
        <v>55062</v>
      </c>
      <c r="DY152">
        <f t="shared" si="383"/>
        <v>738196</v>
      </c>
      <c r="DZ152">
        <f t="shared" si="315"/>
        <v>2400</v>
      </c>
      <c r="EA152">
        <f t="shared" si="316"/>
        <v>50000</v>
      </c>
      <c r="EB152">
        <v>0</v>
      </c>
      <c r="EC152">
        <f t="shared" si="317"/>
        <v>685796</v>
      </c>
      <c r="ED152">
        <f t="shared" si="318"/>
        <v>84000</v>
      </c>
      <c r="EE152">
        <f t="shared" si="319"/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f t="shared" si="320"/>
        <v>84000</v>
      </c>
      <c r="EQ152">
        <f t="shared" si="384"/>
        <v>84000</v>
      </c>
      <c r="ER152">
        <f t="shared" si="321"/>
        <v>601796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f t="shared" si="385"/>
        <v>0</v>
      </c>
      <c r="FA152">
        <f t="shared" si="386"/>
        <v>601796</v>
      </c>
      <c r="FB152">
        <f t="shared" si="387"/>
        <v>12500</v>
      </c>
      <c r="FC152">
        <f t="shared" si="388"/>
        <v>20359</v>
      </c>
      <c r="FD152">
        <f t="shared" si="389"/>
        <v>32859</v>
      </c>
      <c r="FE152">
        <f t="shared" si="390"/>
        <v>32859</v>
      </c>
      <c r="FF152">
        <f t="shared" si="391"/>
        <v>1314.3600000000001</v>
      </c>
      <c r="FG152">
        <f t="shared" si="392"/>
        <v>34173</v>
      </c>
      <c r="FH152">
        <v>0</v>
      </c>
      <c r="FI152">
        <f t="shared" si="393"/>
        <v>34173</v>
      </c>
      <c r="FJ152" t="b">
        <f t="shared" si="394"/>
        <v>1</v>
      </c>
      <c r="FK152">
        <f t="shared" ca="1" si="395"/>
        <v>563</v>
      </c>
      <c r="FL152">
        <f t="shared" ca="1" si="396"/>
        <v>738759</v>
      </c>
      <c r="FM152">
        <f t="shared" si="397"/>
        <v>75000</v>
      </c>
      <c r="FN152">
        <f t="shared" ca="1" si="398"/>
        <v>663759</v>
      </c>
      <c r="FO152">
        <f t="shared" ca="1" si="399"/>
        <v>0</v>
      </c>
      <c r="FP152">
        <f t="shared" ca="1" si="400"/>
        <v>0</v>
      </c>
      <c r="FQ152">
        <f t="shared" ca="1" si="401"/>
        <v>0</v>
      </c>
      <c r="FR152">
        <f t="shared" ca="1" si="402"/>
        <v>0</v>
      </c>
      <c r="FS152">
        <f t="shared" ca="1" si="403"/>
        <v>0</v>
      </c>
      <c r="FT152">
        <f t="shared" ca="1" si="404"/>
        <v>0</v>
      </c>
      <c r="FU152">
        <f t="shared" ca="1" si="405"/>
        <v>0</v>
      </c>
      <c r="FV152">
        <f t="shared" ca="1" si="406"/>
        <v>0</v>
      </c>
      <c r="FW152">
        <f t="shared" ca="1" si="407"/>
        <v>363759</v>
      </c>
      <c r="FX152">
        <f t="shared" ca="1" si="408"/>
        <v>18187.95</v>
      </c>
      <c r="FY152">
        <f t="shared" ca="1" si="409"/>
        <v>18188</v>
      </c>
      <c r="FZ152">
        <f t="shared" ca="1" si="410"/>
        <v>0</v>
      </c>
      <c r="GA152">
        <f t="shared" ca="1" si="411"/>
        <v>0</v>
      </c>
      <c r="GB152">
        <f t="shared" ca="1" si="412"/>
        <v>18188</v>
      </c>
      <c r="GC152">
        <f t="shared" ca="1" si="413"/>
        <v>0</v>
      </c>
      <c r="GD152" t="b">
        <f t="shared" ca="1" si="414"/>
        <v>0</v>
      </c>
      <c r="GE152">
        <f t="shared" ca="1" si="415"/>
        <v>0</v>
      </c>
      <c r="GF152">
        <f t="shared" ca="1" si="416"/>
        <v>18188</v>
      </c>
      <c r="GG152">
        <f t="shared" ca="1" si="417"/>
        <v>0</v>
      </c>
      <c r="GH152">
        <f t="shared" ca="1" si="418"/>
        <v>0</v>
      </c>
      <c r="GI152">
        <f t="shared" ca="1" si="419"/>
        <v>0</v>
      </c>
    </row>
    <row r="153" spans="1:191" x14ac:dyDescent="0.25">
      <c r="A153">
        <f>_xlfn.AGGREGATE(3,5,$B$2:B153)</f>
        <v>152</v>
      </c>
      <c r="B153" t="s">
        <v>424</v>
      </c>
      <c r="C153" t="s">
        <v>425</v>
      </c>
      <c r="D153" t="s">
        <v>804</v>
      </c>
      <c r="E153" t="s">
        <v>843</v>
      </c>
      <c r="F153">
        <v>0</v>
      </c>
      <c r="G153">
        <v>0</v>
      </c>
      <c r="H153">
        <v>44600</v>
      </c>
      <c r="I153">
        <f t="shared" si="322"/>
        <v>4460</v>
      </c>
      <c r="J153">
        <f t="shared" si="323"/>
        <v>5352</v>
      </c>
      <c r="K153">
        <v>0</v>
      </c>
      <c r="L153">
        <v>0</v>
      </c>
      <c r="M153">
        <f t="shared" si="324"/>
        <v>54412</v>
      </c>
      <c r="N153">
        <v>8000</v>
      </c>
      <c r="O153">
        <v>0</v>
      </c>
      <c r="P153">
        <f t="shared" si="325"/>
        <v>200</v>
      </c>
      <c r="Q153">
        <f t="shared" si="326"/>
        <v>46212</v>
      </c>
      <c r="R153">
        <v>44600</v>
      </c>
      <c r="S153">
        <f t="shared" si="327"/>
        <v>4460</v>
      </c>
      <c r="T153">
        <f t="shared" si="328"/>
        <v>5352</v>
      </c>
      <c r="U153">
        <v>0</v>
      </c>
      <c r="V153">
        <v>0</v>
      </c>
      <c r="W153">
        <f t="shared" si="329"/>
        <v>54412</v>
      </c>
      <c r="X153">
        <v>8000</v>
      </c>
      <c r="Y153">
        <v>0</v>
      </c>
      <c r="Z153">
        <f t="shared" si="330"/>
        <v>200</v>
      </c>
      <c r="AA153">
        <f t="shared" si="331"/>
        <v>46212</v>
      </c>
      <c r="AB153">
        <v>44600</v>
      </c>
      <c r="AC153">
        <f t="shared" si="332"/>
        <v>6244.0000000000009</v>
      </c>
      <c r="AD153">
        <f t="shared" si="333"/>
        <v>5352</v>
      </c>
      <c r="AE153">
        <v>0</v>
      </c>
      <c r="AF153">
        <v>0</v>
      </c>
      <c r="AG153">
        <f t="shared" si="334"/>
        <v>56196</v>
      </c>
      <c r="AH153">
        <v>8000</v>
      </c>
      <c r="AI153">
        <v>0</v>
      </c>
      <c r="AJ153">
        <f t="shared" si="335"/>
        <v>200</v>
      </c>
      <c r="AK153">
        <f t="shared" si="336"/>
        <v>47996</v>
      </c>
      <c r="AL153">
        <v>44600</v>
      </c>
      <c r="AM153">
        <f t="shared" si="337"/>
        <v>6244.0000000000009</v>
      </c>
      <c r="AN153">
        <f t="shared" si="338"/>
        <v>5352</v>
      </c>
      <c r="AO153">
        <v>0</v>
      </c>
      <c r="AP153">
        <v>0</v>
      </c>
      <c r="AQ153">
        <f t="shared" si="339"/>
        <v>56196</v>
      </c>
      <c r="AR153">
        <v>8000</v>
      </c>
      <c r="AS153">
        <v>0</v>
      </c>
      <c r="AT153">
        <f t="shared" si="340"/>
        <v>200</v>
      </c>
      <c r="AU153">
        <f t="shared" si="341"/>
        <v>47996</v>
      </c>
      <c r="AV153">
        <v>47300</v>
      </c>
      <c r="AW153">
        <f t="shared" si="342"/>
        <v>6622.0000000000009</v>
      </c>
      <c r="AX153">
        <f t="shared" si="343"/>
        <v>1784</v>
      </c>
      <c r="AY153">
        <f t="shared" si="344"/>
        <v>5676</v>
      </c>
      <c r="AZ153">
        <v>0</v>
      </c>
      <c r="BA153">
        <v>0</v>
      </c>
      <c r="BB153">
        <f t="shared" si="345"/>
        <v>61382</v>
      </c>
      <c r="BC153">
        <v>8000</v>
      </c>
      <c r="BD153">
        <v>0</v>
      </c>
      <c r="BE153">
        <f t="shared" si="346"/>
        <v>200</v>
      </c>
      <c r="BF153">
        <f t="shared" si="347"/>
        <v>53182</v>
      </c>
      <c r="BG153">
        <v>47300</v>
      </c>
      <c r="BH153">
        <f t="shared" si="348"/>
        <v>6622.0000000000009</v>
      </c>
      <c r="BI153">
        <f t="shared" si="349"/>
        <v>5676</v>
      </c>
      <c r="BJ153">
        <v>0</v>
      </c>
      <c r="BK153">
        <v>0</v>
      </c>
      <c r="BL153">
        <f t="shared" si="350"/>
        <v>59598</v>
      </c>
      <c r="BM153">
        <v>8000</v>
      </c>
      <c r="BN153">
        <v>0</v>
      </c>
      <c r="BO153">
        <f t="shared" si="351"/>
        <v>200</v>
      </c>
      <c r="BP153">
        <f t="shared" si="352"/>
        <v>51398</v>
      </c>
      <c r="BQ153">
        <v>47300</v>
      </c>
      <c r="BR153">
        <f t="shared" si="353"/>
        <v>6622.0000000000009</v>
      </c>
      <c r="BS153">
        <f t="shared" si="354"/>
        <v>5676</v>
      </c>
      <c r="BT153">
        <v>0</v>
      </c>
      <c r="BU153">
        <v>0</v>
      </c>
      <c r="BV153">
        <f t="shared" si="355"/>
        <v>59598</v>
      </c>
      <c r="BW153">
        <v>8000</v>
      </c>
      <c r="BX153">
        <v>0</v>
      </c>
      <c r="BY153">
        <f t="shared" si="356"/>
        <v>200</v>
      </c>
      <c r="BZ153">
        <f t="shared" si="357"/>
        <v>51398</v>
      </c>
      <c r="CA153">
        <v>47300</v>
      </c>
      <c r="CB153">
        <f t="shared" si="358"/>
        <v>6622.0000000000009</v>
      </c>
      <c r="CC153">
        <f t="shared" si="359"/>
        <v>5676</v>
      </c>
      <c r="CD153">
        <v>0</v>
      </c>
      <c r="CE153">
        <v>0</v>
      </c>
      <c r="CF153">
        <f t="shared" si="360"/>
        <v>59598</v>
      </c>
      <c r="CG153">
        <v>8000</v>
      </c>
      <c r="CH153">
        <v>0</v>
      </c>
      <c r="CI153">
        <f t="shared" si="361"/>
        <v>200</v>
      </c>
      <c r="CJ153">
        <f t="shared" si="362"/>
        <v>51398</v>
      </c>
      <c r="CK153">
        <v>47300</v>
      </c>
      <c r="CL153">
        <f t="shared" si="363"/>
        <v>6622.0000000000009</v>
      </c>
      <c r="CM153">
        <f t="shared" si="364"/>
        <v>5676</v>
      </c>
      <c r="CN153">
        <v>0</v>
      </c>
      <c r="CO153">
        <v>0</v>
      </c>
      <c r="CP153">
        <f t="shared" si="365"/>
        <v>59598</v>
      </c>
      <c r="CQ153">
        <v>8000</v>
      </c>
      <c r="CR153">
        <v>0</v>
      </c>
      <c r="CS153">
        <f t="shared" si="366"/>
        <v>200</v>
      </c>
      <c r="CT153">
        <f t="shared" si="367"/>
        <v>51398</v>
      </c>
      <c r="CU153">
        <v>47300</v>
      </c>
      <c r="CV153">
        <f t="shared" si="368"/>
        <v>6622</v>
      </c>
      <c r="CW153">
        <f t="shared" si="369"/>
        <v>5676</v>
      </c>
      <c r="CX153">
        <v>0</v>
      </c>
      <c r="CY153">
        <v>0</v>
      </c>
      <c r="CZ153">
        <f t="shared" si="370"/>
        <v>59598</v>
      </c>
      <c r="DA153">
        <v>8000</v>
      </c>
      <c r="DB153">
        <v>0</v>
      </c>
      <c r="DC153">
        <f t="shared" si="371"/>
        <v>200</v>
      </c>
      <c r="DD153">
        <f t="shared" si="372"/>
        <v>51398</v>
      </c>
      <c r="DE153">
        <v>47300</v>
      </c>
      <c r="DF153">
        <f t="shared" si="373"/>
        <v>6622.0000000000009</v>
      </c>
      <c r="DG153">
        <f t="shared" si="374"/>
        <v>5676</v>
      </c>
      <c r="DH153">
        <v>0</v>
      </c>
      <c r="DI153">
        <v>0</v>
      </c>
      <c r="DJ153">
        <f t="shared" si="375"/>
        <v>59598</v>
      </c>
      <c r="DK153">
        <v>8000</v>
      </c>
      <c r="DL153">
        <v>0</v>
      </c>
      <c r="DM153">
        <f t="shared" si="376"/>
        <v>200</v>
      </c>
      <c r="DN153">
        <f t="shared" si="377"/>
        <v>51398</v>
      </c>
      <c r="DO153">
        <v>47300</v>
      </c>
      <c r="DP153">
        <f t="shared" si="378"/>
        <v>6622.0000000000009</v>
      </c>
      <c r="DQ153">
        <f t="shared" si="379"/>
        <v>5676</v>
      </c>
      <c r="DR153">
        <v>0</v>
      </c>
      <c r="DS153">
        <v>0</v>
      </c>
      <c r="DT153">
        <f t="shared" si="380"/>
        <v>59598</v>
      </c>
      <c r="DU153">
        <v>8000</v>
      </c>
      <c r="DV153">
        <v>0</v>
      </c>
      <c r="DW153">
        <f t="shared" si="381"/>
        <v>200</v>
      </c>
      <c r="DX153">
        <f t="shared" si="382"/>
        <v>51398</v>
      </c>
      <c r="DY153">
        <f t="shared" si="383"/>
        <v>699784</v>
      </c>
      <c r="DZ153">
        <f t="shared" si="315"/>
        <v>2400</v>
      </c>
      <c r="EA153">
        <f t="shared" si="316"/>
        <v>50000</v>
      </c>
      <c r="EB153">
        <v>0</v>
      </c>
      <c r="EC153">
        <f t="shared" si="317"/>
        <v>647384</v>
      </c>
      <c r="ED153">
        <f t="shared" si="318"/>
        <v>96000</v>
      </c>
      <c r="EE153">
        <f t="shared" si="319"/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f t="shared" si="320"/>
        <v>96000</v>
      </c>
      <c r="EQ153">
        <f t="shared" si="384"/>
        <v>96000</v>
      </c>
      <c r="ER153">
        <f t="shared" si="321"/>
        <v>551384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f t="shared" si="385"/>
        <v>0</v>
      </c>
      <c r="FA153">
        <f t="shared" si="386"/>
        <v>551384</v>
      </c>
      <c r="FB153">
        <f t="shared" si="387"/>
        <v>12500</v>
      </c>
      <c r="FC153">
        <f t="shared" si="388"/>
        <v>10277</v>
      </c>
      <c r="FD153">
        <f t="shared" si="389"/>
        <v>22777</v>
      </c>
      <c r="FE153">
        <f t="shared" si="390"/>
        <v>22777</v>
      </c>
      <c r="FF153">
        <f t="shared" si="391"/>
        <v>911.08</v>
      </c>
      <c r="FG153">
        <f t="shared" si="392"/>
        <v>23688</v>
      </c>
      <c r="FH153">
        <v>0</v>
      </c>
      <c r="FI153">
        <f t="shared" si="393"/>
        <v>23688</v>
      </c>
      <c r="FJ153" t="b">
        <f t="shared" si="394"/>
        <v>1</v>
      </c>
      <c r="FK153">
        <f t="shared" ca="1" si="395"/>
        <v>777</v>
      </c>
      <c r="FL153">
        <f t="shared" ca="1" si="396"/>
        <v>700561</v>
      </c>
      <c r="FM153">
        <f t="shared" si="397"/>
        <v>75000</v>
      </c>
      <c r="FN153">
        <f t="shared" ca="1" si="398"/>
        <v>625561</v>
      </c>
      <c r="FO153">
        <f t="shared" ca="1" si="399"/>
        <v>0</v>
      </c>
      <c r="FP153">
        <f t="shared" ca="1" si="400"/>
        <v>0</v>
      </c>
      <c r="FQ153">
        <f t="shared" ca="1" si="401"/>
        <v>0</v>
      </c>
      <c r="FR153">
        <f t="shared" ca="1" si="402"/>
        <v>0</v>
      </c>
      <c r="FS153">
        <f t="shared" ca="1" si="403"/>
        <v>0</v>
      </c>
      <c r="FT153">
        <f t="shared" ca="1" si="404"/>
        <v>0</v>
      </c>
      <c r="FU153">
        <f t="shared" ca="1" si="405"/>
        <v>0</v>
      </c>
      <c r="FV153">
        <f t="shared" ca="1" si="406"/>
        <v>0</v>
      </c>
      <c r="FW153">
        <f t="shared" ca="1" si="407"/>
        <v>325561</v>
      </c>
      <c r="FX153">
        <f t="shared" ca="1" si="408"/>
        <v>16278.050000000001</v>
      </c>
      <c r="FY153">
        <f t="shared" ca="1" si="409"/>
        <v>16278</v>
      </c>
      <c r="FZ153">
        <f t="shared" ca="1" si="410"/>
        <v>0</v>
      </c>
      <c r="GA153">
        <f t="shared" ca="1" si="411"/>
        <v>0</v>
      </c>
      <c r="GB153">
        <f t="shared" ca="1" si="412"/>
        <v>16278</v>
      </c>
      <c r="GC153">
        <f t="shared" ca="1" si="413"/>
        <v>0</v>
      </c>
      <c r="GD153" t="b">
        <f t="shared" ca="1" si="414"/>
        <v>0</v>
      </c>
      <c r="GE153">
        <f t="shared" ca="1" si="415"/>
        <v>0</v>
      </c>
      <c r="GF153">
        <f t="shared" ca="1" si="416"/>
        <v>16278</v>
      </c>
      <c r="GG153">
        <f t="shared" ca="1" si="417"/>
        <v>0</v>
      </c>
      <c r="GH153">
        <f t="shared" ca="1" si="418"/>
        <v>0</v>
      </c>
      <c r="GI153">
        <f t="shared" ca="1" si="419"/>
        <v>0</v>
      </c>
    </row>
    <row r="154" spans="1:191" x14ac:dyDescent="0.25">
      <c r="A154">
        <f>_xlfn.AGGREGATE(3,5,$B$2:B154)</f>
        <v>153</v>
      </c>
      <c r="B154" t="s">
        <v>426</v>
      </c>
      <c r="C154" t="s">
        <v>427</v>
      </c>
      <c r="D154" t="s">
        <v>804</v>
      </c>
      <c r="E154" t="s">
        <v>843</v>
      </c>
      <c r="F154">
        <v>0</v>
      </c>
      <c r="G154">
        <v>6000</v>
      </c>
      <c r="H154">
        <v>36600</v>
      </c>
      <c r="I154">
        <f t="shared" si="322"/>
        <v>3660</v>
      </c>
      <c r="J154">
        <f t="shared" si="323"/>
        <v>4392</v>
      </c>
      <c r="K154">
        <v>0</v>
      </c>
      <c r="L154">
        <v>0</v>
      </c>
      <c r="M154">
        <f t="shared" si="324"/>
        <v>44652</v>
      </c>
      <c r="N154">
        <v>3000</v>
      </c>
      <c r="O154">
        <v>0</v>
      </c>
      <c r="P154">
        <f t="shared" si="325"/>
        <v>200</v>
      </c>
      <c r="Q154">
        <f t="shared" si="326"/>
        <v>41452</v>
      </c>
      <c r="R154">
        <v>36600</v>
      </c>
      <c r="S154">
        <f t="shared" si="327"/>
        <v>3660</v>
      </c>
      <c r="T154">
        <f t="shared" si="328"/>
        <v>4392</v>
      </c>
      <c r="U154">
        <v>0</v>
      </c>
      <c r="V154">
        <v>0</v>
      </c>
      <c r="W154">
        <f t="shared" si="329"/>
        <v>44652</v>
      </c>
      <c r="X154">
        <v>3000</v>
      </c>
      <c r="Y154">
        <v>0</v>
      </c>
      <c r="Z154">
        <f t="shared" si="330"/>
        <v>200</v>
      </c>
      <c r="AA154">
        <f t="shared" si="331"/>
        <v>41452</v>
      </c>
      <c r="AB154">
        <v>36600</v>
      </c>
      <c r="AC154">
        <f t="shared" si="332"/>
        <v>5124.0000000000009</v>
      </c>
      <c r="AD154">
        <f t="shared" si="333"/>
        <v>4392</v>
      </c>
      <c r="AE154">
        <v>0</v>
      </c>
      <c r="AF154">
        <v>0</v>
      </c>
      <c r="AG154">
        <f t="shared" si="334"/>
        <v>46116</v>
      </c>
      <c r="AH154">
        <v>3000</v>
      </c>
      <c r="AI154">
        <v>0</v>
      </c>
      <c r="AJ154">
        <f t="shared" si="335"/>
        <v>200</v>
      </c>
      <c r="AK154">
        <f t="shared" si="336"/>
        <v>42916</v>
      </c>
      <c r="AL154">
        <v>36600</v>
      </c>
      <c r="AM154">
        <f t="shared" si="337"/>
        <v>5124.0000000000009</v>
      </c>
      <c r="AN154">
        <f t="shared" si="338"/>
        <v>4392</v>
      </c>
      <c r="AO154">
        <v>0</v>
      </c>
      <c r="AP154">
        <v>0</v>
      </c>
      <c r="AQ154">
        <f t="shared" si="339"/>
        <v>46116</v>
      </c>
      <c r="AR154">
        <v>3000</v>
      </c>
      <c r="AS154">
        <v>0</v>
      </c>
      <c r="AT154">
        <f t="shared" si="340"/>
        <v>200</v>
      </c>
      <c r="AU154">
        <f t="shared" si="341"/>
        <v>42916</v>
      </c>
      <c r="AV154">
        <v>37700</v>
      </c>
      <c r="AW154">
        <f t="shared" si="342"/>
        <v>5278.0000000000009</v>
      </c>
      <c r="AX154">
        <f t="shared" si="343"/>
        <v>1464</v>
      </c>
      <c r="AY154">
        <f t="shared" si="344"/>
        <v>4524</v>
      </c>
      <c r="AZ154">
        <v>0</v>
      </c>
      <c r="BA154">
        <v>0</v>
      </c>
      <c r="BB154">
        <f t="shared" si="345"/>
        <v>48966</v>
      </c>
      <c r="BC154">
        <v>3000</v>
      </c>
      <c r="BD154">
        <v>0</v>
      </c>
      <c r="BE154">
        <f t="shared" si="346"/>
        <v>200</v>
      </c>
      <c r="BF154">
        <f t="shared" si="347"/>
        <v>45766</v>
      </c>
      <c r="BG154">
        <v>37700</v>
      </c>
      <c r="BH154">
        <f t="shared" si="348"/>
        <v>5278.0000000000009</v>
      </c>
      <c r="BI154">
        <f t="shared" si="349"/>
        <v>4524</v>
      </c>
      <c r="BJ154">
        <v>0</v>
      </c>
      <c r="BK154">
        <v>0</v>
      </c>
      <c r="BL154">
        <f t="shared" si="350"/>
        <v>47502</v>
      </c>
      <c r="BM154">
        <v>3000</v>
      </c>
      <c r="BN154">
        <v>0</v>
      </c>
      <c r="BO154">
        <f t="shared" si="351"/>
        <v>200</v>
      </c>
      <c r="BP154">
        <f t="shared" si="352"/>
        <v>44302</v>
      </c>
      <c r="BQ154">
        <v>37700</v>
      </c>
      <c r="BR154">
        <f t="shared" si="353"/>
        <v>5278.0000000000009</v>
      </c>
      <c r="BS154">
        <f t="shared" si="354"/>
        <v>4524</v>
      </c>
      <c r="BT154">
        <v>0</v>
      </c>
      <c r="BU154">
        <v>0</v>
      </c>
      <c r="BV154">
        <f t="shared" si="355"/>
        <v>47502</v>
      </c>
      <c r="BW154">
        <v>3000</v>
      </c>
      <c r="BX154">
        <v>0</v>
      </c>
      <c r="BY154">
        <f t="shared" si="356"/>
        <v>200</v>
      </c>
      <c r="BZ154">
        <f t="shared" si="357"/>
        <v>44302</v>
      </c>
      <c r="CA154">
        <v>37700</v>
      </c>
      <c r="CB154">
        <f t="shared" si="358"/>
        <v>5278.0000000000009</v>
      </c>
      <c r="CC154">
        <f t="shared" si="359"/>
        <v>4524</v>
      </c>
      <c r="CD154">
        <v>0</v>
      </c>
      <c r="CE154">
        <v>0</v>
      </c>
      <c r="CF154">
        <f t="shared" si="360"/>
        <v>47502</v>
      </c>
      <c r="CG154">
        <v>3000</v>
      </c>
      <c r="CH154">
        <v>0</v>
      </c>
      <c r="CI154">
        <f t="shared" si="361"/>
        <v>200</v>
      </c>
      <c r="CJ154">
        <f t="shared" si="362"/>
        <v>44302</v>
      </c>
      <c r="CK154">
        <v>37700</v>
      </c>
      <c r="CL154">
        <f t="shared" si="363"/>
        <v>5278.0000000000009</v>
      </c>
      <c r="CM154">
        <f t="shared" si="364"/>
        <v>4524</v>
      </c>
      <c r="CN154">
        <v>0</v>
      </c>
      <c r="CO154">
        <v>0</v>
      </c>
      <c r="CP154">
        <f t="shared" si="365"/>
        <v>47502</v>
      </c>
      <c r="CQ154">
        <v>3000</v>
      </c>
      <c r="CR154">
        <v>0</v>
      </c>
      <c r="CS154">
        <f t="shared" si="366"/>
        <v>200</v>
      </c>
      <c r="CT154">
        <f t="shared" si="367"/>
        <v>44302</v>
      </c>
      <c r="CU154">
        <v>37700</v>
      </c>
      <c r="CV154">
        <f t="shared" si="368"/>
        <v>5278</v>
      </c>
      <c r="CW154">
        <f t="shared" si="369"/>
        <v>4524</v>
      </c>
      <c r="CX154">
        <v>0</v>
      </c>
      <c r="CY154">
        <v>0</v>
      </c>
      <c r="CZ154">
        <f t="shared" si="370"/>
        <v>47502</v>
      </c>
      <c r="DA154">
        <v>3000</v>
      </c>
      <c r="DB154">
        <v>0</v>
      </c>
      <c r="DC154">
        <f t="shared" si="371"/>
        <v>200</v>
      </c>
      <c r="DD154">
        <f t="shared" si="372"/>
        <v>44302</v>
      </c>
      <c r="DE154">
        <v>37700</v>
      </c>
      <c r="DF154">
        <f t="shared" si="373"/>
        <v>5278.0000000000009</v>
      </c>
      <c r="DG154">
        <f t="shared" si="374"/>
        <v>4524</v>
      </c>
      <c r="DH154">
        <v>0</v>
      </c>
      <c r="DI154">
        <v>0</v>
      </c>
      <c r="DJ154">
        <f t="shared" si="375"/>
        <v>47502</v>
      </c>
      <c r="DK154">
        <v>3000</v>
      </c>
      <c r="DL154">
        <v>0</v>
      </c>
      <c r="DM154">
        <f t="shared" si="376"/>
        <v>200</v>
      </c>
      <c r="DN154">
        <f t="shared" si="377"/>
        <v>44302</v>
      </c>
      <c r="DO154">
        <v>37700</v>
      </c>
      <c r="DP154">
        <f t="shared" si="378"/>
        <v>5278.0000000000009</v>
      </c>
      <c r="DQ154">
        <f t="shared" si="379"/>
        <v>4524</v>
      </c>
      <c r="DR154">
        <v>0</v>
      </c>
      <c r="DS154">
        <v>0</v>
      </c>
      <c r="DT154">
        <f t="shared" si="380"/>
        <v>47502</v>
      </c>
      <c r="DU154">
        <v>3000</v>
      </c>
      <c r="DV154">
        <v>0</v>
      </c>
      <c r="DW154">
        <f t="shared" si="381"/>
        <v>200</v>
      </c>
      <c r="DX154">
        <f t="shared" si="382"/>
        <v>44302</v>
      </c>
      <c r="DY154">
        <f t="shared" si="383"/>
        <v>569016</v>
      </c>
      <c r="DZ154">
        <f t="shared" si="315"/>
        <v>2400</v>
      </c>
      <c r="EA154">
        <f t="shared" si="316"/>
        <v>50000</v>
      </c>
      <c r="EB154">
        <v>0</v>
      </c>
      <c r="EC154">
        <f t="shared" si="317"/>
        <v>516616</v>
      </c>
      <c r="ED154">
        <f t="shared" si="318"/>
        <v>36000</v>
      </c>
      <c r="EE154">
        <f t="shared" si="319"/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f t="shared" si="320"/>
        <v>36000</v>
      </c>
      <c r="EQ154">
        <f t="shared" si="384"/>
        <v>36000</v>
      </c>
      <c r="ER154">
        <f t="shared" si="321"/>
        <v>480616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f t="shared" si="385"/>
        <v>0</v>
      </c>
      <c r="FA154">
        <f t="shared" si="386"/>
        <v>480616</v>
      </c>
      <c r="FB154">
        <f t="shared" si="387"/>
        <v>11531</v>
      </c>
      <c r="FC154">
        <f t="shared" si="388"/>
        <v>0</v>
      </c>
      <c r="FD154">
        <f t="shared" si="389"/>
        <v>11531</v>
      </c>
      <c r="FE154">
        <f t="shared" si="390"/>
        <v>0</v>
      </c>
      <c r="FF154">
        <f t="shared" si="391"/>
        <v>0</v>
      </c>
      <c r="FG154">
        <f t="shared" si="392"/>
        <v>0</v>
      </c>
      <c r="FH154">
        <v>0</v>
      </c>
      <c r="FI154">
        <f t="shared" si="393"/>
        <v>0</v>
      </c>
      <c r="FJ154" t="b">
        <f t="shared" si="394"/>
        <v>1</v>
      </c>
      <c r="FK154">
        <f t="shared" ca="1" si="395"/>
        <v>931</v>
      </c>
      <c r="FL154">
        <f t="shared" ca="1" si="396"/>
        <v>569947</v>
      </c>
      <c r="FM154">
        <f t="shared" si="397"/>
        <v>75000</v>
      </c>
      <c r="FN154">
        <f t="shared" ca="1" si="398"/>
        <v>494947</v>
      </c>
      <c r="FO154">
        <f t="shared" ca="1" si="399"/>
        <v>0</v>
      </c>
      <c r="FP154">
        <f t="shared" ca="1" si="400"/>
        <v>0</v>
      </c>
      <c r="FQ154">
        <f t="shared" ca="1" si="401"/>
        <v>0</v>
      </c>
      <c r="FR154">
        <f t="shared" ca="1" si="402"/>
        <v>0</v>
      </c>
      <c r="FS154">
        <f t="shared" ca="1" si="403"/>
        <v>0</v>
      </c>
      <c r="FT154">
        <f t="shared" ca="1" si="404"/>
        <v>0</v>
      </c>
      <c r="FU154">
        <f t="shared" ca="1" si="405"/>
        <v>0</v>
      </c>
      <c r="FV154">
        <f t="shared" ca="1" si="406"/>
        <v>0</v>
      </c>
      <c r="FW154">
        <f t="shared" ca="1" si="407"/>
        <v>194947</v>
      </c>
      <c r="FX154">
        <f t="shared" ca="1" si="408"/>
        <v>9747.35</v>
      </c>
      <c r="FY154">
        <f t="shared" ca="1" si="409"/>
        <v>9747</v>
      </c>
      <c r="FZ154">
        <f t="shared" ca="1" si="410"/>
        <v>0</v>
      </c>
      <c r="GA154">
        <f t="shared" ca="1" si="411"/>
        <v>0</v>
      </c>
      <c r="GB154">
        <f t="shared" ca="1" si="412"/>
        <v>9747</v>
      </c>
      <c r="GC154">
        <f t="shared" ca="1" si="413"/>
        <v>0</v>
      </c>
      <c r="GD154" t="b">
        <f t="shared" ca="1" si="414"/>
        <v>0</v>
      </c>
      <c r="GE154">
        <f t="shared" ca="1" si="415"/>
        <v>0</v>
      </c>
      <c r="GF154">
        <f t="shared" ca="1" si="416"/>
        <v>9747</v>
      </c>
      <c r="GG154">
        <f t="shared" ca="1" si="417"/>
        <v>0</v>
      </c>
      <c r="GH154">
        <f t="shared" ca="1" si="418"/>
        <v>0</v>
      </c>
      <c r="GI154">
        <f t="shared" ca="1" si="419"/>
        <v>0</v>
      </c>
    </row>
    <row r="155" spans="1:191" x14ac:dyDescent="0.25">
      <c r="A155">
        <f>_xlfn.AGGREGATE(3,5,$B$2:B155)</f>
        <v>154</v>
      </c>
      <c r="B155" t="s">
        <v>428</v>
      </c>
      <c r="C155" t="s">
        <v>429</v>
      </c>
      <c r="D155" t="s">
        <v>804</v>
      </c>
      <c r="E155" t="s">
        <v>843</v>
      </c>
      <c r="F155">
        <v>0</v>
      </c>
      <c r="G155">
        <v>6000</v>
      </c>
      <c r="H155">
        <v>32500</v>
      </c>
      <c r="I155">
        <f t="shared" si="322"/>
        <v>3250</v>
      </c>
      <c r="J155">
        <f t="shared" si="323"/>
        <v>3900</v>
      </c>
      <c r="K155">
        <v>0</v>
      </c>
      <c r="L155">
        <v>500</v>
      </c>
      <c r="M155">
        <f t="shared" si="324"/>
        <v>40150</v>
      </c>
      <c r="N155">
        <v>3000</v>
      </c>
      <c r="O155">
        <v>0</v>
      </c>
      <c r="P155">
        <f t="shared" si="325"/>
        <v>200</v>
      </c>
      <c r="Q155">
        <f t="shared" si="326"/>
        <v>36950</v>
      </c>
      <c r="R155">
        <v>32500</v>
      </c>
      <c r="S155">
        <f t="shared" si="327"/>
        <v>3250</v>
      </c>
      <c r="T155">
        <f t="shared" si="328"/>
        <v>3900</v>
      </c>
      <c r="U155">
        <v>0</v>
      </c>
      <c r="V155">
        <v>500</v>
      </c>
      <c r="W155">
        <f t="shared" si="329"/>
        <v>40150</v>
      </c>
      <c r="X155">
        <v>3000</v>
      </c>
      <c r="Y155">
        <v>0</v>
      </c>
      <c r="Z155">
        <f t="shared" si="330"/>
        <v>200</v>
      </c>
      <c r="AA155">
        <f t="shared" si="331"/>
        <v>36950</v>
      </c>
      <c r="AB155">
        <v>32500</v>
      </c>
      <c r="AC155">
        <f t="shared" si="332"/>
        <v>4550</v>
      </c>
      <c r="AD155">
        <f t="shared" si="333"/>
        <v>3900</v>
      </c>
      <c r="AE155">
        <v>0</v>
      </c>
      <c r="AF155">
        <v>500</v>
      </c>
      <c r="AG155">
        <f t="shared" si="334"/>
        <v>41450</v>
      </c>
      <c r="AH155">
        <v>3000</v>
      </c>
      <c r="AI155">
        <v>0</v>
      </c>
      <c r="AJ155">
        <f t="shared" si="335"/>
        <v>200</v>
      </c>
      <c r="AK155">
        <f t="shared" si="336"/>
        <v>38250</v>
      </c>
      <c r="AL155">
        <v>32500</v>
      </c>
      <c r="AM155">
        <f t="shared" si="337"/>
        <v>4550</v>
      </c>
      <c r="AN155">
        <f t="shared" si="338"/>
        <v>3900</v>
      </c>
      <c r="AO155">
        <v>0</v>
      </c>
      <c r="AP155">
        <v>500</v>
      </c>
      <c r="AQ155">
        <f t="shared" si="339"/>
        <v>41450</v>
      </c>
      <c r="AR155">
        <v>3000</v>
      </c>
      <c r="AS155">
        <v>0</v>
      </c>
      <c r="AT155">
        <f t="shared" si="340"/>
        <v>200</v>
      </c>
      <c r="AU155">
        <f t="shared" si="341"/>
        <v>38250</v>
      </c>
      <c r="AV155">
        <v>33500</v>
      </c>
      <c r="AW155">
        <f t="shared" si="342"/>
        <v>4690</v>
      </c>
      <c r="AX155">
        <f t="shared" si="343"/>
        <v>1300</v>
      </c>
      <c r="AY155">
        <f t="shared" si="344"/>
        <v>4020</v>
      </c>
      <c r="AZ155">
        <v>0</v>
      </c>
      <c r="BA155">
        <v>500</v>
      </c>
      <c r="BB155">
        <f t="shared" si="345"/>
        <v>44010</v>
      </c>
      <c r="BC155">
        <v>3000</v>
      </c>
      <c r="BD155">
        <v>0</v>
      </c>
      <c r="BE155">
        <f t="shared" si="346"/>
        <v>200</v>
      </c>
      <c r="BF155">
        <f t="shared" si="347"/>
        <v>40810</v>
      </c>
      <c r="BG155">
        <v>33500</v>
      </c>
      <c r="BH155">
        <f t="shared" si="348"/>
        <v>4690</v>
      </c>
      <c r="BI155">
        <f t="shared" si="349"/>
        <v>4020</v>
      </c>
      <c r="BJ155">
        <v>0</v>
      </c>
      <c r="BK155">
        <v>500</v>
      </c>
      <c r="BL155">
        <f t="shared" si="350"/>
        <v>42710</v>
      </c>
      <c r="BM155">
        <v>3000</v>
      </c>
      <c r="BN155">
        <v>0</v>
      </c>
      <c r="BO155">
        <f t="shared" si="351"/>
        <v>200</v>
      </c>
      <c r="BP155">
        <f t="shared" si="352"/>
        <v>39510</v>
      </c>
      <c r="BQ155">
        <v>33500</v>
      </c>
      <c r="BR155">
        <f t="shared" si="353"/>
        <v>4690</v>
      </c>
      <c r="BS155">
        <f t="shared" si="354"/>
        <v>4020</v>
      </c>
      <c r="BT155">
        <v>0</v>
      </c>
      <c r="BU155">
        <v>500</v>
      </c>
      <c r="BV155">
        <f t="shared" si="355"/>
        <v>42710</v>
      </c>
      <c r="BW155">
        <v>3000</v>
      </c>
      <c r="BX155">
        <v>0</v>
      </c>
      <c r="BY155">
        <f t="shared" si="356"/>
        <v>200</v>
      </c>
      <c r="BZ155">
        <f t="shared" si="357"/>
        <v>39510</v>
      </c>
      <c r="CA155">
        <v>33500</v>
      </c>
      <c r="CB155">
        <f t="shared" si="358"/>
        <v>4690</v>
      </c>
      <c r="CC155">
        <f t="shared" si="359"/>
        <v>4020</v>
      </c>
      <c r="CD155">
        <v>0</v>
      </c>
      <c r="CE155">
        <v>500</v>
      </c>
      <c r="CF155">
        <f t="shared" si="360"/>
        <v>42710</v>
      </c>
      <c r="CG155">
        <v>3000</v>
      </c>
      <c r="CH155">
        <v>0</v>
      </c>
      <c r="CI155">
        <f t="shared" si="361"/>
        <v>200</v>
      </c>
      <c r="CJ155">
        <f t="shared" si="362"/>
        <v>39510</v>
      </c>
      <c r="CK155">
        <v>33500</v>
      </c>
      <c r="CL155">
        <f t="shared" si="363"/>
        <v>4690</v>
      </c>
      <c r="CM155">
        <f t="shared" si="364"/>
        <v>4020</v>
      </c>
      <c r="CN155">
        <v>0</v>
      </c>
      <c r="CO155">
        <v>500</v>
      </c>
      <c r="CP155">
        <f t="shared" si="365"/>
        <v>42710</v>
      </c>
      <c r="CQ155">
        <v>3000</v>
      </c>
      <c r="CR155">
        <v>0</v>
      </c>
      <c r="CS155">
        <f t="shared" si="366"/>
        <v>200</v>
      </c>
      <c r="CT155">
        <f t="shared" si="367"/>
        <v>39510</v>
      </c>
      <c r="CU155">
        <v>33500</v>
      </c>
      <c r="CV155">
        <f t="shared" si="368"/>
        <v>4690</v>
      </c>
      <c r="CW155">
        <f t="shared" si="369"/>
        <v>4020</v>
      </c>
      <c r="CX155">
        <v>0</v>
      </c>
      <c r="CY155">
        <v>500</v>
      </c>
      <c r="CZ155">
        <f t="shared" si="370"/>
        <v>42710</v>
      </c>
      <c r="DA155">
        <v>3000</v>
      </c>
      <c r="DB155">
        <v>0</v>
      </c>
      <c r="DC155">
        <f t="shared" si="371"/>
        <v>200</v>
      </c>
      <c r="DD155">
        <f t="shared" si="372"/>
        <v>39510</v>
      </c>
      <c r="DE155">
        <v>33500</v>
      </c>
      <c r="DF155">
        <f t="shared" si="373"/>
        <v>4690</v>
      </c>
      <c r="DG155">
        <f t="shared" si="374"/>
        <v>4020</v>
      </c>
      <c r="DH155">
        <v>0</v>
      </c>
      <c r="DI155">
        <v>500</v>
      </c>
      <c r="DJ155">
        <f t="shared" si="375"/>
        <v>42710</v>
      </c>
      <c r="DK155">
        <v>3000</v>
      </c>
      <c r="DL155">
        <v>0</v>
      </c>
      <c r="DM155">
        <f t="shared" si="376"/>
        <v>200</v>
      </c>
      <c r="DN155">
        <f t="shared" si="377"/>
        <v>39510</v>
      </c>
      <c r="DO155">
        <v>33500</v>
      </c>
      <c r="DP155">
        <f t="shared" si="378"/>
        <v>4690</v>
      </c>
      <c r="DQ155">
        <f t="shared" si="379"/>
        <v>4020</v>
      </c>
      <c r="DR155">
        <v>0</v>
      </c>
      <c r="DS155">
        <v>500</v>
      </c>
      <c r="DT155">
        <f t="shared" si="380"/>
        <v>42710</v>
      </c>
      <c r="DU155">
        <v>3000</v>
      </c>
      <c r="DV155">
        <v>0</v>
      </c>
      <c r="DW155">
        <f t="shared" si="381"/>
        <v>200</v>
      </c>
      <c r="DX155">
        <f t="shared" si="382"/>
        <v>39510</v>
      </c>
      <c r="DY155">
        <f t="shared" si="383"/>
        <v>512180</v>
      </c>
      <c r="DZ155">
        <f t="shared" si="315"/>
        <v>2400</v>
      </c>
      <c r="EA155">
        <f t="shared" si="316"/>
        <v>50000</v>
      </c>
      <c r="EB155">
        <v>0</v>
      </c>
      <c r="EC155">
        <f t="shared" si="317"/>
        <v>459780</v>
      </c>
      <c r="ED155">
        <f t="shared" si="318"/>
        <v>36000</v>
      </c>
      <c r="EE155">
        <f t="shared" si="319"/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f t="shared" si="320"/>
        <v>36000</v>
      </c>
      <c r="EQ155">
        <f t="shared" si="384"/>
        <v>36000</v>
      </c>
      <c r="ER155">
        <f t="shared" si="321"/>
        <v>423780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f t="shared" si="385"/>
        <v>0</v>
      </c>
      <c r="FA155">
        <f t="shared" si="386"/>
        <v>423780</v>
      </c>
      <c r="FB155">
        <f t="shared" si="387"/>
        <v>8689</v>
      </c>
      <c r="FC155">
        <f t="shared" si="388"/>
        <v>0</v>
      </c>
      <c r="FD155">
        <f t="shared" si="389"/>
        <v>8689</v>
      </c>
      <c r="FE155">
        <f t="shared" si="390"/>
        <v>0</v>
      </c>
      <c r="FF155">
        <f t="shared" si="391"/>
        <v>0</v>
      </c>
      <c r="FG155">
        <f t="shared" si="392"/>
        <v>0</v>
      </c>
      <c r="FH155">
        <v>0</v>
      </c>
      <c r="FI155">
        <f t="shared" si="393"/>
        <v>0</v>
      </c>
      <c r="FJ155" t="b">
        <f t="shared" si="394"/>
        <v>1</v>
      </c>
      <c r="FK155">
        <f t="shared" ca="1" si="395"/>
        <v>726</v>
      </c>
      <c r="FL155">
        <f t="shared" ca="1" si="396"/>
        <v>512906</v>
      </c>
      <c r="FM155">
        <f t="shared" si="397"/>
        <v>75000</v>
      </c>
      <c r="FN155">
        <f t="shared" ca="1" si="398"/>
        <v>437906</v>
      </c>
      <c r="FO155">
        <f t="shared" ca="1" si="399"/>
        <v>0</v>
      </c>
      <c r="FP155">
        <f t="shared" ca="1" si="400"/>
        <v>0</v>
      </c>
      <c r="FQ155">
        <f t="shared" ca="1" si="401"/>
        <v>0</v>
      </c>
      <c r="FR155">
        <f t="shared" ca="1" si="402"/>
        <v>0</v>
      </c>
      <c r="FS155">
        <f t="shared" ca="1" si="403"/>
        <v>0</v>
      </c>
      <c r="FT155">
        <f t="shared" ca="1" si="404"/>
        <v>0</v>
      </c>
      <c r="FU155">
        <f t="shared" ca="1" si="405"/>
        <v>0</v>
      </c>
      <c r="FV155">
        <f t="shared" ca="1" si="406"/>
        <v>0</v>
      </c>
      <c r="FW155">
        <f t="shared" ca="1" si="407"/>
        <v>137906</v>
      </c>
      <c r="FX155">
        <f t="shared" ca="1" si="408"/>
        <v>6895.3</v>
      </c>
      <c r="FY155">
        <f t="shared" ca="1" si="409"/>
        <v>6895</v>
      </c>
      <c r="FZ155">
        <f t="shared" ca="1" si="410"/>
        <v>0</v>
      </c>
      <c r="GA155">
        <f t="shared" ca="1" si="411"/>
        <v>0</v>
      </c>
      <c r="GB155">
        <f t="shared" ca="1" si="412"/>
        <v>6895</v>
      </c>
      <c r="GC155">
        <f t="shared" ca="1" si="413"/>
        <v>0</v>
      </c>
      <c r="GD155" t="b">
        <f t="shared" ca="1" si="414"/>
        <v>0</v>
      </c>
      <c r="GE155">
        <f t="shared" ca="1" si="415"/>
        <v>0</v>
      </c>
      <c r="GF155">
        <f t="shared" ca="1" si="416"/>
        <v>6895</v>
      </c>
      <c r="GG155">
        <f t="shared" ca="1" si="417"/>
        <v>0</v>
      </c>
      <c r="GH155">
        <f t="shared" ca="1" si="418"/>
        <v>0</v>
      </c>
      <c r="GI155">
        <f t="shared" ca="1" si="419"/>
        <v>0</v>
      </c>
    </row>
    <row r="156" spans="1:191" x14ac:dyDescent="0.25">
      <c r="A156">
        <f>_xlfn.AGGREGATE(3,5,$B$2:B156)</f>
        <v>155</v>
      </c>
      <c r="B156" t="s">
        <v>430</v>
      </c>
      <c r="C156" t="s">
        <v>431</v>
      </c>
      <c r="D156" t="s">
        <v>805</v>
      </c>
      <c r="E156" t="s">
        <v>844</v>
      </c>
      <c r="F156">
        <v>0</v>
      </c>
      <c r="G156">
        <v>0</v>
      </c>
      <c r="H156">
        <v>45900</v>
      </c>
      <c r="I156">
        <f t="shared" si="322"/>
        <v>4590</v>
      </c>
      <c r="J156">
        <f t="shared" si="323"/>
        <v>5508</v>
      </c>
      <c r="K156">
        <v>400</v>
      </c>
      <c r="L156">
        <v>500</v>
      </c>
      <c r="M156">
        <f t="shared" si="324"/>
        <v>56898</v>
      </c>
      <c r="N156">
        <v>8000</v>
      </c>
      <c r="O156">
        <v>60</v>
      </c>
      <c r="P156">
        <f t="shared" si="325"/>
        <v>200</v>
      </c>
      <c r="Q156">
        <f t="shared" si="326"/>
        <v>48638</v>
      </c>
      <c r="R156">
        <v>45900</v>
      </c>
      <c r="S156">
        <f t="shared" si="327"/>
        <v>4590</v>
      </c>
      <c r="T156">
        <f t="shared" si="328"/>
        <v>5508</v>
      </c>
      <c r="U156">
        <v>400</v>
      </c>
      <c r="V156">
        <v>500</v>
      </c>
      <c r="W156">
        <f t="shared" si="329"/>
        <v>56898</v>
      </c>
      <c r="X156">
        <v>8000</v>
      </c>
      <c r="Y156">
        <v>60</v>
      </c>
      <c r="Z156">
        <f t="shared" si="330"/>
        <v>200</v>
      </c>
      <c r="AA156">
        <f t="shared" si="331"/>
        <v>48638</v>
      </c>
      <c r="AB156">
        <v>45900</v>
      </c>
      <c r="AC156">
        <f t="shared" si="332"/>
        <v>6426.0000000000009</v>
      </c>
      <c r="AD156">
        <f t="shared" si="333"/>
        <v>5508</v>
      </c>
      <c r="AE156">
        <v>400</v>
      </c>
      <c r="AF156">
        <v>500</v>
      </c>
      <c r="AG156">
        <f t="shared" si="334"/>
        <v>58734</v>
      </c>
      <c r="AH156">
        <v>8000</v>
      </c>
      <c r="AI156">
        <v>60</v>
      </c>
      <c r="AJ156">
        <f t="shared" si="335"/>
        <v>200</v>
      </c>
      <c r="AK156">
        <f t="shared" si="336"/>
        <v>50474</v>
      </c>
      <c r="AL156">
        <v>45900</v>
      </c>
      <c r="AM156">
        <f t="shared" si="337"/>
        <v>6426.0000000000009</v>
      </c>
      <c r="AN156">
        <f t="shared" si="338"/>
        <v>5508</v>
      </c>
      <c r="AO156">
        <v>400</v>
      </c>
      <c r="AP156">
        <v>500</v>
      </c>
      <c r="AQ156">
        <f t="shared" si="339"/>
        <v>58734</v>
      </c>
      <c r="AR156">
        <v>8000</v>
      </c>
      <c r="AS156">
        <v>60</v>
      </c>
      <c r="AT156">
        <f t="shared" si="340"/>
        <v>200</v>
      </c>
      <c r="AU156">
        <f t="shared" si="341"/>
        <v>50474</v>
      </c>
      <c r="AV156">
        <v>47300</v>
      </c>
      <c r="AW156">
        <f t="shared" si="342"/>
        <v>6622.0000000000009</v>
      </c>
      <c r="AX156">
        <f t="shared" si="343"/>
        <v>1836</v>
      </c>
      <c r="AY156">
        <f t="shared" si="344"/>
        <v>5676</v>
      </c>
      <c r="AZ156">
        <v>400</v>
      </c>
      <c r="BA156">
        <v>500</v>
      </c>
      <c r="BB156">
        <f t="shared" si="345"/>
        <v>62334</v>
      </c>
      <c r="BC156">
        <v>8000</v>
      </c>
      <c r="BD156">
        <v>60</v>
      </c>
      <c r="BE156">
        <f t="shared" si="346"/>
        <v>200</v>
      </c>
      <c r="BF156">
        <f t="shared" si="347"/>
        <v>54074</v>
      </c>
      <c r="BG156">
        <v>47300</v>
      </c>
      <c r="BH156">
        <f t="shared" si="348"/>
        <v>6622.0000000000009</v>
      </c>
      <c r="BI156">
        <f t="shared" si="349"/>
        <v>5676</v>
      </c>
      <c r="BJ156">
        <v>400</v>
      </c>
      <c r="BK156">
        <v>500</v>
      </c>
      <c r="BL156">
        <f t="shared" si="350"/>
        <v>60498</v>
      </c>
      <c r="BM156">
        <v>8000</v>
      </c>
      <c r="BN156">
        <v>60</v>
      </c>
      <c r="BO156">
        <f t="shared" si="351"/>
        <v>200</v>
      </c>
      <c r="BP156">
        <f t="shared" si="352"/>
        <v>52238</v>
      </c>
      <c r="BQ156">
        <v>47300</v>
      </c>
      <c r="BR156">
        <f t="shared" si="353"/>
        <v>6622.0000000000009</v>
      </c>
      <c r="BS156">
        <f t="shared" si="354"/>
        <v>5676</v>
      </c>
      <c r="BT156">
        <v>400</v>
      </c>
      <c r="BU156">
        <v>500</v>
      </c>
      <c r="BV156">
        <f t="shared" si="355"/>
        <v>60498</v>
      </c>
      <c r="BW156">
        <v>8000</v>
      </c>
      <c r="BX156">
        <v>60</v>
      </c>
      <c r="BY156">
        <f t="shared" si="356"/>
        <v>200</v>
      </c>
      <c r="BZ156">
        <f t="shared" si="357"/>
        <v>52238</v>
      </c>
      <c r="CA156">
        <v>47300</v>
      </c>
      <c r="CB156">
        <f t="shared" si="358"/>
        <v>6622.0000000000009</v>
      </c>
      <c r="CC156">
        <f t="shared" si="359"/>
        <v>5676</v>
      </c>
      <c r="CD156">
        <v>400</v>
      </c>
      <c r="CE156">
        <v>500</v>
      </c>
      <c r="CF156">
        <f t="shared" si="360"/>
        <v>60498</v>
      </c>
      <c r="CG156">
        <v>8000</v>
      </c>
      <c r="CH156">
        <v>60</v>
      </c>
      <c r="CI156">
        <f t="shared" si="361"/>
        <v>200</v>
      </c>
      <c r="CJ156">
        <f t="shared" si="362"/>
        <v>52238</v>
      </c>
      <c r="CK156">
        <v>47300</v>
      </c>
      <c r="CL156">
        <f t="shared" si="363"/>
        <v>6622.0000000000009</v>
      </c>
      <c r="CM156">
        <f t="shared" si="364"/>
        <v>5676</v>
      </c>
      <c r="CN156">
        <v>400</v>
      </c>
      <c r="CO156">
        <v>500</v>
      </c>
      <c r="CP156">
        <f t="shared" si="365"/>
        <v>60498</v>
      </c>
      <c r="CQ156">
        <v>8000</v>
      </c>
      <c r="CR156">
        <v>60</v>
      </c>
      <c r="CS156">
        <f t="shared" si="366"/>
        <v>200</v>
      </c>
      <c r="CT156">
        <f t="shared" si="367"/>
        <v>52238</v>
      </c>
      <c r="CU156">
        <v>47300</v>
      </c>
      <c r="CV156">
        <f t="shared" si="368"/>
        <v>6622</v>
      </c>
      <c r="CW156">
        <f t="shared" si="369"/>
        <v>5676</v>
      </c>
      <c r="CX156">
        <v>400</v>
      </c>
      <c r="CY156">
        <v>500</v>
      </c>
      <c r="CZ156">
        <f t="shared" si="370"/>
        <v>60498</v>
      </c>
      <c r="DA156">
        <v>8000</v>
      </c>
      <c r="DB156">
        <v>60</v>
      </c>
      <c r="DC156">
        <f t="shared" si="371"/>
        <v>200</v>
      </c>
      <c r="DD156">
        <f t="shared" si="372"/>
        <v>52238</v>
      </c>
      <c r="DE156">
        <v>47300</v>
      </c>
      <c r="DF156">
        <f t="shared" si="373"/>
        <v>6622.0000000000009</v>
      </c>
      <c r="DG156">
        <f t="shared" si="374"/>
        <v>5676</v>
      </c>
      <c r="DH156">
        <v>400</v>
      </c>
      <c r="DI156">
        <v>500</v>
      </c>
      <c r="DJ156">
        <f t="shared" si="375"/>
        <v>60498</v>
      </c>
      <c r="DK156">
        <v>8000</v>
      </c>
      <c r="DL156">
        <v>60</v>
      </c>
      <c r="DM156">
        <f t="shared" si="376"/>
        <v>200</v>
      </c>
      <c r="DN156">
        <f t="shared" si="377"/>
        <v>52238</v>
      </c>
      <c r="DO156">
        <v>47300</v>
      </c>
      <c r="DP156">
        <f t="shared" si="378"/>
        <v>6622.0000000000009</v>
      </c>
      <c r="DQ156">
        <f t="shared" si="379"/>
        <v>5676</v>
      </c>
      <c r="DR156">
        <v>400</v>
      </c>
      <c r="DS156">
        <v>500</v>
      </c>
      <c r="DT156">
        <f t="shared" si="380"/>
        <v>60498</v>
      </c>
      <c r="DU156">
        <v>8000</v>
      </c>
      <c r="DV156">
        <v>60</v>
      </c>
      <c r="DW156">
        <f t="shared" si="381"/>
        <v>200</v>
      </c>
      <c r="DX156">
        <f t="shared" si="382"/>
        <v>52238</v>
      </c>
      <c r="DY156">
        <f t="shared" si="383"/>
        <v>717084</v>
      </c>
      <c r="DZ156">
        <f t="shared" si="315"/>
        <v>2400</v>
      </c>
      <c r="EA156">
        <f t="shared" si="316"/>
        <v>50000</v>
      </c>
      <c r="EB156">
        <v>0</v>
      </c>
      <c r="EC156">
        <f t="shared" si="317"/>
        <v>664684</v>
      </c>
      <c r="ED156">
        <f t="shared" si="318"/>
        <v>96000</v>
      </c>
      <c r="EE156">
        <f t="shared" si="319"/>
        <v>720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f t="shared" si="320"/>
        <v>96720</v>
      </c>
      <c r="EQ156">
        <f t="shared" si="384"/>
        <v>96720</v>
      </c>
      <c r="ER156">
        <f t="shared" si="321"/>
        <v>567964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f t="shared" si="385"/>
        <v>0</v>
      </c>
      <c r="FA156">
        <f t="shared" si="386"/>
        <v>567964</v>
      </c>
      <c r="FB156">
        <f t="shared" si="387"/>
        <v>12500</v>
      </c>
      <c r="FC156">
        <f t="shared" si="388"/>
        <v>13593</v>
      </c>
      <c r="FD156">
        <f t="shared" si="389"/>
        <v>26093</v>
      </c>
      <c r="FE156">
        <f t="shared" si="390"/>
        <v>26093</v>
      </c>
      <c r="FF156">
        <f t="shared" si="391"/>
        <v>1043.72</v>
      </c>
      <c r="FG156">
        <f t="shared" si="392"/>
        <v>27137</v>
      </c>
      <c r="FH156">
        <v>0</v>
      </c>
      <c r="FI156">
        <f t="shared" si="393"/>
        <v>27137</v>
      </c>
      <c r="FJ156" t="b">
        <f t="shared" si="394"/>
        <v>1</v>
      </c>
      <c r="FK156">
        <f t="shared" ca="1" si="395"/>
        <v>726</v>
      </c>
      <c r="FL156">
        <f t="shared" ca="1" si="396"/>
        <v>717810</v>
      </c>
      <c r="FM156">
        <f t="shared" si="397"/>
        <v>75000</v>
      </c>
      <c r="FN156">
        <f t="shared" ca="1" si="398"/>
        <v>642810</v>
      </c>
      <c r="FO156">
        <f t="shared" ca="1" si="399"/>
        <v>0</v>
      </c>
      <c r="FP156">
        <f t="shared" ca="1" si="400"/>
        <v>0</v>
      </c>
      <c r="FQ156">
        <f t="shared" ca="1" si="401"/>
        <v>0</v>
      </c>
      <c r="FR156">
        <f t="shared" ca="1" si="402"/>
        <v>0</v>
      </c>
      <c r="FS156">
        <f t="shared" ca="1" si="403"/>
        <v>0</v>
      </c>
      <c r="FT156">
        <f t="shared" ca="1" si="404"/>
        <v>0</v>
      </c>
      <c r="FU156">
        <f t="shared" ca="1" si="405"/>
        <v>0</v>
      </c>
      <c r="FV156">
        <f t="shared" ca="1" si="406"/>
        <v>0</v>
      </c>
      <c r="FW156">
        <f t="shared" ca="1" si="407"/>
        <v>342810</v>
      </c>
      <c r="FX156">
        <f t="shared" ca="1" si="408"/>
        <v>17140.5</v>
      </c>
      <c r="FY156">
        <f t="shared" ca="1" si="409"/>
        <v>17141</v>
      </c>
      <c r="FZ156">
        <f t="shared" ca="1" si="410"/>
        <v>0</v>
      </c>
      <c r="GA156">
        <f t="shared" ca="1" si="411"/>
        <v>0</v>
      </c>
      <c r="GB156">
        <f t="shared" ca="1" si="412"/>
        <v>17141</v>
      </c>
      <c r="GC156">
        <f t="shared" ca="1" si="413"/>
        <v>0</v>
      </c>
      <c r="GD156" t="b">
        <f t="shared" ca="1" si="414"/>
        <v>0</v>
      </c>
      <c r="GE156">
        <f t="shared" ca="1" si="415"/>
        <v>0</v>
      </c>
      <c r="GF156">
        <f t="shared" ca="1" si="416"/>
        <v>17141</v>
      </c>
      <c r="GG156">
        <f t="shared" ca="1" si="417"/>
        <v>0</v>
      </c>
      <c r="GH156">
        <f t="shared" ca="1" si="418"/>
        <v>0</v>
      </c>
      <c r="GI156">
        <f t="shared" ca="1" si="419"/>
        <v>0</v>
      </c>
    </row>
    <row r="157" spans="1:191" x14ac:dyDescent="0.25">
      <c r="A157">
        <f>_xlfn.AGGREGATE(3,5,$B$2:B157)</f>
        <v>156</v>
      </c>
      <c r="B157" t="s">
        <v>432</v>
      </c>
      <c r="C157" t="s">
        <v>433</v>
      </c>
      <c r="D157" t="s">
        <v>805</v>
      </c>
      <c r="E157" t="s">
        <v>843</v>
      </c>
      <c r="F157">
        <v>0</v>
      </c>
      <c r="G157">
        <v>6000</v>
      </c>
      <c r="H157">
        <v>32500</v>
      </c>
      <c r="I157">
        <f t="shared" si="322"/>
        <v>3250</v>
      </c>
      <c r="J157">
        <f t="shared" si="323"/>
        <v>3900</v>
      </c>
      <c r="K157">
        <v>0</v>
      </c>
      <c r="L157">
        <v>500</v>
      </c>
      <c r="M157">
        <f t="shared" si="324"/>
        <v>40150</v>
      </c>
      <c r="N157">
        <v>5000</v>
      </c>
      <c r="O157">
        <v>0</v>
      </c>
      <c r="P157">
        <f t="shared" si="325"/>
        <v>200</v>
      </c>
      <c r="Q157">
        <f t="shared" si="326"/>
        <v>34950</v>
      </c>
      <c r="R157">
        <v>32500</v>
      </c>
      <c r="S157">
        <f t="shared" si="327"/>
        <v>3250</v>
      </c>
      <c r="T157">
        <f t="shared" si="328"/>
        <v>3900</v>
      </c>
      <c r="U157">
        <v>0</v>
      </c>
      <c r="V157">
        <v>500</v>
      </c>
      <c r="W157">
        <f t="shared" si="329"/>
        <v>40150</v>
      </c>
      <c r="X157">
        <v>5000</v>
      </c>
      <c r="Y157">
        <v>0</v>
      </c>
      <c r="Z157">
        <f t="shared" si="330"/>
        <v>200</v>
      </c>
      <c r="AA157">
        <f t="shared" si="331"/>
        <v>34950</v>
      </c>
      <c r="AB157">
        <v>32500</v>
      </c>
      <c r="AC157">
        <f t="shared" si="332"/>
        <v>4550</v>
      </c>
      <c r="AD157">
        <f t="shared" si="333"/>
        <v>3900</v>
      </c>
      <c r="AE157">
        <v>0</v>
      </c>
      <c r="AF157">
        <v>500</v>
      </c>
      <c r="AG157">
        <f t="shared" si="334"/>
        <v>41450</v>
      </c>
      <c r="AH157">
        <v>5000</v>
      </c>
      <c r="AI157">
        <v>0</v>
      </c>
      <c r="AJ157">
        <f t="shared" si="335"/>
        <v>200</v>
      </c>
      <c r="AK157">
        <f t="shared" si="336"/>
        <v>36250</v>
      </c>
      <c r="AL157">
        <v>32500</v>
      </c>
      <c r="AM157">
        <f t="shared" si="337"/>
        <v>4550</v>
      </c>
      <c r="AN157">
        <f t="shared" si="338"/>
        <v>3900</v>
      </c>
      <c r="AO157">
        <v>0</v>
      </c>
      <c r="AP157">
        <v>500</v>
      </c>
      <c r="AQ157">
        <f t="shared" si="339"/>
        <v>41450</v>
      </c>
      <c r="AR157">
        <v>5000</v>
      </c>
      <c r="AS157">
        <v>0</v>
      </c>
      <c r="AT157">
        <f t="shared" si="340"/>
        <v>200</v>
      </c>
      <c r="AU157">
        <f t="shared" si="341"/>
        <v>36250</v>
      </c>
      <c r="AV157">
        <v>34500</v>
      </c>
      <c r="AW157">
        <f t="shared" si="342"/>
        <v>4830.0000000000009</v>
      </c>
      <c r="AX157">
        <f t="shared" si="343"/>
        <v>1300</v>
      </c>
      <c r="AY157">
        <f t="shared" si="344"/>
        <v>4140</v>
      </c>
      <c r="AZ157">
        <v>0</v>
      </c>
      <c r="BA157">
        <v>500</v>
      </c>
      <c r="BB157">
        <f t="shared" si="345"/>
        <v>45270</v>
      </c>
      <c r="BC157">
        <v>5000</v>
      </c>
      <c r="BD157">
        <v>0</v>
      </c>
      <c r="BE157">
        <f t="shared" si="346"/>
        <v>200</v>
      </c>
      <c r="BF157">
        <f t="shared" si="347"/>
        <v>40070</v>
      </c>
      <c r="BG157">
        <v>34500</v>
      </c>
      <c r="BH157">
        <f t="shared" si="348"/>
        <v>4830.0000000000009</v>
      </c>
      <c r="BI157">
        <f t="shared" si="349"/>
        <v>4140</v>
      </c>
      <c r="BJ157">
        <v>0</v>
      </c>
      <c r="BK157">
        <v>500</v>
      </c>
      <c r="BL157">
        <f t="shared" si="350"/>
        <v>43970</v>
      </c>
      <c r="BM157">
        <v>5000</v>
      </c>
      <c r="BN157">
        <v>0</v>
      </c>
      <c r="BO157">
        <f t="shared" si="351"/>
        <v>200</v>
      </c>
      <c r="BP157">
        <f t="shared" si="352"/>
        <v>38770</v>
      </c>
      <c r="BQ157">
        <v>34500</v>
      </c>
      <c r="BR157">
        <f t="shared" si="353"/>
        <v>4830.0000000000009</v>
      </c>
      <c r="BS157">
        <f t="shared" si="354"/>
        <v>4140</v>
      </c>
      <c r="BT157">
        <v>0</v>
      </c>
      <c r="BU157">
        <v>500</v>
      </c>
      <c r="BV157">
        <f t="shared" si="355"/>
        <v>43970</v>
      </c>
      <c r="BW157">
        <v>5000</v>
      </c>
      <c r="BX157">
        <v>0</v>
      </c>
      <c r="BY157">
        <f t="shared" si="356"/>
        <v>200</v>
      </c>
      <c r="BZ157">
        <f t="shared" si="357"/>
        <v>38770</v>
      </c>
      <c r="CA157">
        <v>34500</v>
      </c>
      <c r="CB157">
        <f t="shared" si="358"/>
        <v>4830.0000000000009</v>
      </c>
      <c r="CC157">
        <f t="shared" si="359"/>
        <v>4140</v>
      </c>
      <c r="CD157">
        <v>0</v>
      </c>
      <c r="CE157">
        <v>500</v>
      </c>
      <c r="CF157">
        <f t="shared" si="360"/>
        <v>43970</v>
      </c>
      <c r="CG157">
        <v>5000</v>
      </c>
      <c r="CH157">
        <v>0</v>
      </c>
      <c r="CI157">
        <f t="shared" si="361"/>
        <v>200</v>
      </c>
      <c r="CJ157">
        <f t="shared" si="362"/>
        <v>38770</v>
      </c>
      <c r="CK157">
        <v>34500</v>
      </c>
      <c r="CL157">
        <f t="shared" si="363"/>
        <v>4830.0000000000009</v>
      </c>
      <c r="CM157">
        <f t="shared" si="364"/>
        <v>4140</v>
      </c>
      <c r="CN157">
        <v>0</v>
      </c>
      <c r="CO157">
        <v>500</v>
      </c>
      <c r="CP157">
        <f t="shared" si="365"/>
        <v>43970</v>
      </c>
      <c r="CQ157">
        <v>5000</v>
      </c>
      <c r="CR157">
        <v>0</v>
      </c>
      <c r="CS157">
        <f t="shared" si="366"/>
        <v>200</v>
      </c>
      <c r="CT157">
        <f t="shared" si="367"/>
        <v>38770</v>
      </c>
      <c r="CU157">
        <v>34500</v>
      </c>
      <c r="CV157">
        <f t="shared" si="368"/>
        <v>4830</v>
      </c>
      <c r="CW157">
        <f t="shared" si="369"/>
        <v>4140</v>
      </c>
      <c r="CX157">
        <v>0</v>
      </c>
      <c r="CY157">
        <v>500</v>
      </c>
      <c r="CZ157">
        <f t="shared" si="370"/>
        <v>43970</v>
      </c>
      <c r="DA157">
        <v>5000</v>
      </c>
      <c r="DB157">
        <v>0</v>
      </c>
      <c r="DC157">
        <f t="shared" si="371"/>
        <v>200</v>
      </c>
      <c r="DD157">
        <f t="shared" si="372"/>
        <v>38770</v>
      </c>
      <c r="DE157">
        <v>34500</v>
      </c>
      <c r="DF157">
        <f t="shared" si="373"/>
        <v>4830.0000000000009</v>
      </c>
      <c r="DG157">
        <f t="shared" si="374"/>
        <v>4140</v>
      </c>
      <c r="DH157">
        <v>0</v>
      </c>
      <c r="DI157">
        <v>500</v>
      </c>
      <c r="DJ157">
        <f t="shared" si="375"/>
        <v>43970</v>
      </c>
      <c r="DK157">
        <v>5000</v>
      </c>
      <c r="DL157">
        <v>0</v>
      </c>
      <c r="DM157">
        <f t="shared" si="376"/>
        <v>200</v>
      </c>
      <c r="DN157">
        <f t="shared" si="377"/>
        <v>38770</v>
      </c>
      <c r="DO157">
        <v>34500</v>
      </c>
      <c r="DP157">
        <f t="shared" si="378"/>
        <v>4830.0000000000009</v>
      </c>
      <c r="DQ157">
        <f t="shared" si="379"/>
        <v>4140</v>
      </c>
      <c r="DR157">
        <v>0</v>
      </c>
      <c r="DS157">
        <v>500</v>
      </c>
      <c r="DT157">
        <f t="shared" si="380"/>
        <v>43970</v>
      </c>
      <c r="DU157">
        <v>5000</v>
      </c>
      <c r="DV157">
        <v>0</v>
      </c>
      <c r="DW157">
        <f t="shared" si="381"/>
        <v>200</v>
      </c>
      <c r="DX157">
        <f t="shared" si="382"/>
        <v>38770</v>
      </c>
      <c r="DY157">
        <f t="shared" si="383"/>
        <v>522260</v>
      </c>
      <c r="DZ157">
        <f t="shared" si="315"/>
        <v>2400</v>
      </c>
      <c r="EA157">
        <f t="shared" si="316"/>
        <v>50000</v>
      </c>
      <c r="EB157">
        <v>0</v>
      </c>
      <c r="EC157">
        <f t="shared" si="317"/>
        <v>469860</v>
      </c>
      <c r="ED157">
        <f t="shared" si="318"/>
        <v>60000</v>
      </c>
      <c r="EE157">
        <f t="shared" si="319"/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f t="shared" si="320"/>
        <v>60000</v>
      </c>
      <c r="EQ157">
        <f t="shared" si="384"/>
        <v>60000</v>
      </c>
      <c r="ER157">
        <f t="shared" si="321"/>
        <v>409860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f t="shared" si="385"/>
        <v>0</v>
      </c>
      <c r="FA157">
        <f t="shared" si="386"/>
        <v>409860</v>
      </c>
      <c r="FB157">
        <f t="shared" si="387"/>
        <v>7993</v>
      </c>
      <c r="FC157">
        <f t="shared" si="388"/>
        <v>0</v>
      </c>
      <c r="FD157">
        <f t="shared" si="389"/>
        <v>7993</v>
      </c>
      <c r="FE157">
        <f t="shared" si="390"/>
        <v>0</v>
      </c>
      <c r="FF157">
        <f t="shared" si="391"/>
        <v>0</v>
      </c>
      <c r="FG157">
        <f t="shared" si="392"/>
        <v>0</v>
      </c>
      <c r="FH157">
        <v>0</v>
      </c>
      <c r="FI157">
        <f t="shared" si="393"/>
        <v>0</v>
      </c>
      <c r="FJ157" t="b">
        <f t="shared" si="394"/>
        <v>1</v>
      </c>
      <c r="FK157">
        <f t="shared" ca="1" si="395"/>
        <v>996</v>
      </c>
      <c r="FL157">
        <f t="shared" ca="1" si="396"/>
        <v>523256</v>
      </c>
      <c r="FM157">
        <f t="shared" si="397"/>
        <v>75000</v>
      </c>
      <c r="FN157">
        <f t="shared" ca="1" si="398"/>
        <v>448256</v>
      </c>
      <c r="FO157">
        <f t="shared" ca="1" si="399"/>
        <v>0</v>
      </c>
      <c r="FP157">
        <f t="shared" ca="1" si="400"/>
        <v>0</v>
      </c>
      <c r="FQ157">
        <f t="shared" ca="1" si="401"/>
        <v>0</v>
      </c>
      <c r="FR157">
        <f t="shared" ca="1" si="402"/>
        <v>0</v>
      </c>
      <c r="FS157">
        <f t="shared" ca="1" si="403"/>
        <v>0</v>
      </c>
      <c r="FT157">
        <f t="shared" ca="1" si="404"/>
        <v>0</v>
      </c>
      <c r="FU157">
        <f t="shared" ca="1" si="405"/>
        <v>0</v>
      </c>
      <c r="FV157">
        <f t="shared" ca="1" si="406"/>
        <v>0</v>
      </c>
      <c r="FW157">
        <f t="shared" ca="1" si="407"/>
        <v>148256</v>
      </c>
      <c r="FX157">
        <f t="shared" ca="1" si="408"/>
        <v>7412.8</v>
      </c>
      <c r="FY157">
        <f t="shared" ca="1" si="409"/>
        <v>7413</v>
      </c>
      <c r="FZ157">
        <f t="shared" ca="1" si="410"/>
        <v>0</v>
      </c>
      <c r="GA157">
        <f t="shared" ca="1" si="411"/>
        <v>0</v>
      </c>
      <c r="GB157">
        <f t="shared" ca="1" si="412"/>
        <v>7413</v>
      </c>
      <c r="GC157">
        <f t="shared" ca="1" si="413"/>
        <v>0</v>
      </c>
      <c r="GD157" t="b">
        <f t="shared" ca="1" si="414"/>
        <v>0</v>
      </c>
      <c r="GE157">
        <f t="shared" ca="1" si="415"/>
        <v>0</v>
      </c>
      <c r="GF157">
        <f t="shared" ca="1" si="416"/>
        <v>7413</v>
      </c>
      <c r="GG157">
        <f t="shared" ca="1" si="417"/>
        <v>0</v>
      </c>
      <c r="GH157">
        <f t="shared" ca="1" si="418"/>
        <v>0</v>
      </c>
      <c r="GI157">
        <f t="shared" ca="1" si="419"/>
        <v>0</v>
      </c>
    </row>
    <row r="158" spans="1:191" x14ac:dyDescent="0.25">
      <c r="A158">
        <f>_xlfn.AGGREGATE(3,5,$B$2:B158)</f>
        <v>157</v>
      </c>
      <c r="B158" t="s">
        <v>434</v>
      </c>
      <c r="C158" t="s">
        <v>435</v>
      </c>
      <c r="D158" t="s">
        <v>805</v>
      </c>
      <c r="E158" t="s">
        <v>843</v>
      </c>
      <c r="F158">
        <v>0</v>
      </c>
      <c r="G158">
        <v>6000</v>
      </c>
      <c r="H158">
        <v>32500</v>
      </c>
      <c r="I158">
        <f t="shared" si="322"/>
        <v>3250</v>
      </c>
      <c r="J158">
        <f t="shared" si="323"/>
        <v>3900</v>
      </c>
      <c r="K158">
        <v>0</v>
      </c>
      <c r="L158">
        <v>0</v>
      </c>
      <c r="M158">
        <f t="shared" si="324"/>
        <v>39650</v>
      </c>
      <c r="N158">
        <v>6000</v>
      </c>
      <c r="O158">
        <v>0</v>
      </c>
      <c r="P158">
        <f t="shared" si="325"/>
        <v>150</v>
      </c>
      <c r="Q158">
        <f t="shared" si="326"/>
        <v>33500</v>
      </c>
      <c r="R158">
        <v>32500</v>
      </c>
      <c r="S158">
        <f t="shared" si="327"/>
        <v>3250</v>
      </c>
      <c r="T158">
        <f t="shared" si="328"/>
        <v>3900</v>
      </c>
      <c r="U158">
        <v>0</v>
      </c>
      <c r="V158">
        <v>0</v>
      </c>
      <c r="W158">
        <f t="shared" si="329"/>
        <v>39650</v>
      </c>
      <c r="X158">
        <v>6000</v>
      </c>
      <c r="Y158">
        <v>0</v>
      </c>
      <c r="Z158">
        <f t="shared" si="330"/>
        <v>150</v>
      </c>
      <c r="AA158">
        <f t="shared" si="331"/>
        <v>33500</v>
      </c>
      <c r="AB158">
        <v>32500</v>
      </c>
      <c r="AC158">
        <f t="shared" si="332"/>
        <v>4550</v>
      </c>
      <c r="AD158">
        <f t="shared" si="333"/>
        <v>3900</v>
      </c>
      <c r="AE158">
        <v>0</v>
      </c>
      <c r="AF158">
        <v>0</v>
      </c>
      <c r="AG158">
        <f t="shared" si="334"/>
        <v>40950</v>
      </c>
      <c r="AH158">
        <v>6000</v>
      </c>
      <c r="AI158">
        <v>0</v>
      </c>
      <c r="AJ158">
        <f t="shared" si="335"/>
        <v>200</v>
      </c>
      <c r="AK158">
        <f t="shared" si="336"/>
        <v>34750</v>
      </c>
      <c r="AL158">
        <v>32500</v>
      </c>
      <c r="AM158">
        <f t="shared" si="337"/>
        <v>4550</v>
      </c>
      <c r="AN158">
        <f t="shared" si="338"/>
        <v>3900</v>
      </c>
      <c r="AO158">
        <v>0</v>
      </c>
      <c r="AP158">
        <v>0</v>
      </c>
      <c r="AQ158">
        <f t="shared" si="339"/>
        <v>40950</v>
      </c>
      <c r="AR158">
        <v>6000</v>
      </c>
      <c r="AS158">
        <v>0</v>
      </c>
      <c r="AT158">
        <f t="shared" si="340"/>
        <v>200</v>
      </c>
      <c r="AU158">
        <f t="shared" si="341"/>
        <v>34750</v>
      </c>
      <c r="AV158">
        <v>34500</v>
      </c>
      <c r="AW158">
        <f t="shared" si="342"/>
        <v>4830.0000000000009</v>
      </c>
      <c r="AX158">
        <f t="shared" si="343"/>
        <v>1300</v>
      </c>
      <c r="AY158">
        <f t="shared" si="344"/>
        <v>4140</v>
      </c>
      <c r="AZ158">
        <v>0</v>
      </c>
      <c r="BA158">
        <v>0</v>
      </c>
      <c r="BB158">
        <f t="shared" si="345"/>
        <v>44770</v>
      </c>
      <c r="BC158">
        <v>6000</v>
      </c>
      <c r="BD158">
        <v>0</v>
      </c>
      <c r="BE158">
        <f t="shared" si="346"/>
        <v>200</v>
      </c>
      <c r="BF158">
        <f t="shared" si="347"/>
        <v>38570</v>
      </c>
      <c r="BG158">
        <v>34500</v>
      </c>
      <c r="BH158">
        <f t="shared" si="348"/>
        <v>4830.0000000000009</v>
      </c>
      <c r="BI158">
        <f t="shared" si="349"/>
        <v>4140</v>
      </c>
      <c r="BJ158">
        <v>0</v>
      </c>
      <c r="BK158">
        <v>0</v>
      </c>
      <c r="BL158">
        <f t="shared" si="350"/>
        <v>43470</v>
      </c>
      <c r="BM158">
        <v>6000</v>
      </c>
      <c r="BN158">
        <v>0</v>
      </c>
      <c r="BO158">
        <f t="shared" si="351"/>
        <v>200</v>
      </c>
      <c r="BP158">
        <f t="shared" si="352"/>
        <v>37270</v>
      </c>
      <c r="BQ158">
        <v>34500</v>
      </c>
      <c r="BR158">
        <f t="shared" si="353"/>
        <v>4830.0000000000009</v>
      </c>
      <c r="BS158">
        <f t="shared" si="354"/>
        <v>4140</v>
      </c>
      <c r="BT158">
        <v>0</v>
      </c>
      <c r="BU158">
        <v>0</v>
      </c>
      <c r="BV158">
        <f t="shared" si="355"/>
        <v>43470</v>
      </c>
      <c r="BW158">
        <v>6000</v>
      </c>
      <c r="BX158">
        <v>0</v>
      </c>
      <c r="BY158">
        <f t="shared" si="356"/>
        <v>200</v>
      </c>
      <c r="BZ158">
        <f t="shared" si="357"/>
        <v>37270</v>
      </c>
      <c r="CA158">
        <v>34500</v>
      </c>
      <c r="CB158">
        <f t="shared" si="358"/>
        <v>4830.0000000000009</v>
      </c>
      <c r="CC158">
        <f t="shared" si="359"/>
        <v>4140</v>
      </c>
      <c r="CD158">
        <v>0</v>
      </c>
      <c r="CE158">
        <v>0</v>
      </c>
      <c r="CF158">
        <f t="shared" si="360"/>
        <v>43470</v>
      </c>
      <c r="CG158">
        <v>6000</v>
      </c>
      <c r="CH158">
        <v>0</v>
      </c>
      <c r="CI158">
        <f t="shared" si="361"/>
        <v>200</v>
      </c>
      <c r="CJ158">
        <f t="shared" si="362"/>
        <v>37270</v>
      </c>
      <c r="CK158">
        <v>34500</v>
      </c>
      <c r="CL158">
        <f t="shared" si="363"/>
        <v>4830.0000000000009</v>
      </c>
      <c r="CM158">
        <f t="shared" si="364"/>
        <v>4140</v>
      </c>
      <c r="CN158">
        <v>0</v>
      </c>
      <c r="CO158">
        <v>0</v>
      </c>
      <c r="CP158">
        <f t="shared" si="365"/>
        <v>43470</v>
      </c>
      <c r="CQ158">
        <v>6000</v>
      </c>
      <c r="CR158">
        <v>0</v>
      </c>
      <c r="CS158">
        <f t="shared" si="366"/>
        <v>200</v>
      </c>
      <c r="CT158">
        <f t="shared" si="367"/>
        <v>37270</v>
      </c>
      <c r="CU158">
        <v>34500</v>
      </c>
      <c r="CV158">
        <f t="shared" si="368"/>
        <v>4830</v>
      </c>
      <c r="CW158">
        <f t="shared" si="369"/>
        <v>4140</v>
      </c>
      <c r="CX158">
        <v>0</v>
      </c>
      <c r="CY158">
        <v>0</v>
      </c>
      <c r="CZ158">
        <f t="shared" si="370"/>
        <v>43470</v>
      </c>
      <c r="DA158">
        <v>6000</v>
      </c>
      <c r="DB158">
        <v>0</v>
      </c>
      <c r="DC158">
        <f t="shared" si="371"/>
        <v>200</v>
      </c>
      <c r="DD158">
        <f t="shared" si="372"/>
        <v>37270</v>
      </c>
      <c r="DE158">
        <v>34500</v>
      </c>
      <c r="DF158">
        <f t="shared" si="373"/>
        <v>4830.0000000000009</v>
      </c>
      <c r="DG158">
        <f t="shared" si="374"/>
        <v>4140</v>
      </c>
      <c r="DH158">
        <v>0</v>
      </c>
      <c r="DI158">
        <v>0</v>
      </c>
      <c r="DJ158">
        <f t="shared" si="375"/>
        <v>43470</v>
      </c>
      <c r="DK158">
        <v>6000</v>
      </c>
      <c r="DL158">
        <v>0</v>
      </c>
      <c r="DM158">
        <f t="shared" si="376"/>
        <v>200</v>
      </c>
      <c r="DN158">
        <f t="shared" si="377"/>
        <v>37270</v>
      </c>
      <c r="DO158">
        <v>34500</v>
      </c>
      <c r="DP158">
        <f t="shared" si="378"/>
        <v>4830.0000000000009</v>
      </c>
      <c r="DQ158">
        <f t="shared" si="379"/>
        <v>4140</v>
      </c>
      <c r="DR158">
        <v>0</v>
      </c>
      <c r="DS158">
        <v>0</v>
      </c>
      <c r="DT158">
        <f t="shared" si="380"/>
        <v>43470</v>
      </c>
      <c r="DU158">
        <v>6000</v>
      </c>
      <c r="DV158">
        <v>0</v>
      </c>
      <c r="DW158">
        <f t="shared" si="381"/>
        <v>200</v>
      </c>
      <c r="DX158">
        <f t="shared" si="382"/>
        <v>37270</v>
      </c>
      <c r="DY158">
        <f t="shared" si="383"/>
        <v>516260</v>
      </c>
      <c r="DZ158">
        <f t="shared" si="315"/>
        <v>2300</v>
      </c>
      <c r="EA158">
        <f t="shared" si="316"/>
        <v>50000</v>
      </c>
      <c r="EB158">
        <v>0</v>
      </c>
      <c r="EC158">
        <f t="shared" si="317"/>
        <v>463960</v>
      </c>
      <c r="ED158">
        <f t="shared" si="318"/>
        <v>72000</v>
      </c>
      <c r="EE158">
        <f t="shared" si="319"/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f t="shared" si="320"/>
        <v>72000</v>
      </c>
      <c r="EQ158">
        <f t="shared" si="384"/>
        <v>72000</v>
      </c>
      <c r="ER158">
        <f t="shared" si="321"/>
        <v>391960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f t="shared" si="385"/>
        <v>0</v>
      </c>
      <c r="FA158">
        <f t="shared" si="386"/>
        <v>391960</v>
      </c>
      <c r="FB158">
        <f t="shared" si="387"/>
        <v>7098</v>
      </c>
      <c r="FC158">
        <f t="shared" si="388"/>
        <v>0</v>
      </c>
      <c r="FD158">
        <f t="shared" si="389"/>
        <v>7098</v>
      </c>
      <c r="FE158">
        <f t="shared" si="390"/>
        <v>0</v>
      </c>
      <c r="FF158">
        <f t="shared" si="391"/>
        <v>0</v>
      </c>
      <c r="FG158">
        <f t="shared" si="392"/>
        <v>0</v>
      </c>
      <c r="FH158">
        <v>0</v>
      </c>
      <c r="FI158">
        <f t="shared" si="393"/>
        <v>0</v>
      </c>
      <c r="FJ158" t="b">
        <f t="shared" si="394"/>
        <v>1</v>
      </c>
      <c r="FK158">
        <f t="shared" ca="1" si="395"/>
        <v>695</v>
      </c>
      <c r="FL158">
        <f t="shared" ca="1" si="396"/>
        <v>516955</v>
      </c>
      <c r="FM158">
        <f t="shared" si="397"/>
        <v>75000</v>
      </c>
      <c r="FN158">
        <f t="shared" ca="1" si="398"/>
        <v>441955</v>
      </c>
      <c r="FO158">
        <f t="shared" ca="1" si="399"/>
        <v>0</v>
      </c>
      <c r="FP158">
        <f t="shared" ca="1" si="400"/>
        <v>0</v>
      </c>
      <c r="FQ158">
        <f t="shared" ca="1" si="401"/>
        <v>0</v>
      </c>
      <c r="FR158">
        <f t="shared" ca="1" si="402"/>
        <v>0</v>
      </c>
      <c r="FS158">
        <f t="shared" ca="1" si="403"/>
        <v>0</v>
      </c>
      <c r="FT158">
        <f t="shared" ca="1" si="404"/>
        <v>0</v>
      </c>
      <c r="FU158">
        <f t="shared" ca="1" si="405"/>
        <v>0</v>
      </c>
      <c r="FV158">
        <f t="shared" ca="1" si="406"/>
        <v>0</v>
      </c>
      <c r="FW158">
        <f t="shared" ca="1" si="407"/>
        <v>141955</v>
      </c>
      <c r="FX158">
        <f t="shared" ca="1" si="408"/>
        <v>7097.75</v>
      </c>
      <c r="FY158">
        <f t="shared" ca="1" si="409"/>
        <v>7098</v>
      </c>
      <c r="FZ158">
        <f t="shared" ca="1" si="410"/>
        <v>0</v>
      </c>
      <c r="GA158">
        <f t="shared" ca="1" si="411"/>
        <v>0</v>
      </c>
      <c r="GB158">
        <f t="shared" ca="1" si="412"/>
        <v>7098</v>
      </c>
      <c r="GC158">
        <f t="shared" ca="1" si="413"/>
        <v>0</v>
      </c>
      <c r="GD158" t="b">
        <f t="shared" ca="1" si="414"/>
        <v>0</v>
      </c>
      <c r="GE158">
        <f t="shared" ca="1" si="415"/>
        <v>0</v>
      </c>
      <c r="GF158">
        <f t="shared" ca="1" si="416"/>
        <v>7098</v>
      </c>
      <c r="GG158">
        <f t="shared" ca="1" si="417"/>
        <v>0</v>
      </c>
      <c r="GH158">
        <f t="shared" ca="1" si="418"/>
        <v>0</v>
      </c>
      <c r="GI158">
        <f t="shared" ca="1" si="419"/>
        <v>0</v>
      </c>
    </row>
    <row r="159" spans="1:191" x14ac:dyDescent="0.25">
      <c r="A159">
        <f>_xlfn.AGGREGATE(3,5,$B$2:B159)</f>
        <v>158</v>
      </c>
      <c r="B159" t="s">
        <v>436</v>
      </c>
      <c r="C159" t="s">
        <v>437</v>
      </c>
      <c r="D159" t="s">
        <v>805</v>
      </c>
      <c r="E159" t="s">
        <v>843</v>
      </c>
      <c r="F159">
        <v>0</v>
      </c>
      <c r="G159">
        <v>0</v>
      </c>
      <c r="H159">
        <v>0</v>
      </c>
      <c r="I159">
        <f t="shared" si="322"/>
        <v>0</v>
      </c>
      <c r="J159">
        <f t="shared" si="323"/>
        <v>0</v>
      </c>
      <c r="K159">
        <v>0</v>
      </c>
      <c r="L159">
        <v>0</v>
      </c>
      <c r="M159">
        <f t="shared" si="324"/>
        <v>0</v>
      </c>
      <c r="N159">
        <v>0</v>
      </c>
      <c r="O159">
        <v>0</v>
      </c>
      <c r="P159">
        <f t="shared" si="325"/>
        <v>0</v>
      </c>
      <c r="Q159">
        <f t="shared" si="326"/>
        <v>0</v>
      </c>
      <c r="R159">
        <v>28900</v>
      </c>
      <c r="S159">
        <f t="shared" si="327"/>
        <v>2890</v>
      </c>
      <c r="T159">
        <f t="shared" si="328"/>
        <v>3468</v>
      </c>
      <c r="U159">
        <v>0</v>
      </c>
      <c r="V159">
        <v>500</v>
      </c>
      <c r="W159">
        <f t="shared" si="329"/>
        <v>35758</v>
      </c>
      <c r="X159">
        <v>0</v>
      </c>
      <c r="Y159">
        <v>0</v>
      </c>
      <c r="Z159">
        <f t="shared" si="330"/>
        <v>150</v>
      </c>
      <c r="AA159">
        <f t="shared" si="331"/>
        <v>35608</v>
      </c>
      <c r="AB159">
        <v>28900</v>
      </c>
      <c r="AC159">
        <f t="shared" si="332"/>
        <v>4046.0000000000005</v>
      </c>
      <c r="AD159">
        <f t="shared" si="333"/>
        <v>3468</v>
      </c>
      <c r="AE159">
        <v>0</v>
      </c>
      <c r="AF159">
        <v>500</v>
      </c>
      <c r="AG159">
        <f t="shared" si="334"/>
        <v>36914</v>
      </c>
      <c r="AH159">
        <v>0</v>
      </c>
      <c r="AI159">
        <v>0</v>
      </c>
      <c r="AJ159">
        <f t="shared" si="335"/>
        <v>150</v>
      </c>
      <c r="AK159">
        <f t="shared" si="336"/>
        <v>36764</v>
      </c>
      <c r="AL159">
        <v>28900</v>
      </c>
      <c r="AM159">
        <f t="shared" si="337"/>
        <v>4046.0000000000005</v>
      </c>
      <c r="AN159">
        <f t="shared" si="338"/>
        <v>3468</v>
      </c>
      <c r="AO159">
        <v>0</v>
      </c>
      <c r="AP159">
        <v>500</v>
      </c>
      <c r="AQ159">
        <f t="shared" si="339"/>
        <v>36914</v>
      </c>
      <c r="AR159">
        <v>0</v>
      </c>
      <c r="AS159">
        <v>0</v>
      </c>
      <c r="AT159">
        <f t="shared" si="340"/>
        <v>150</v>
      </c>
      <c r="AU159">
        <f t="shared" si="341"/>
        <v>36764</v>
      </c>
      <c r="AV159">
        <v>28900</v>
      </c>
      <c r="AW159">
        <f t="shared" si="342"/>
        <v>4046.0000000000005</v>
      </c>
      <c r="AX159">
        <f t="shared" si="343"/>
        <v>1156</v>
      </c>
      <c r="AY159">
        <f t="shared" si="344"/>
        <v>3468</v>
      </c>
      <c r="AZ159">
        <v>0</v>
      </c>
      <c r="BA159">
        <v>500</v>
      </c>
      <c r="BB159">
        <f t="shared" si="345"/>
        <v>38070</v>
      </c>
      <c r="BC159">
        <v>0</v>
      </c>
      <c r="BD159">
        <v>0</v>
      </c>
      <c r="BE159">
        <f t="shared" si="346"/>
        <v>150</v>
      </c>
      <c r="BF159">
        <f t="shared" si="347"/>
        <v>37920</v>
      </c>
      <c r="BG159">
        <v>28900</v>
      </c>
      <c r="BH159">
        <f t="shared" si="348"/>
        <v>4046.0000000000005</v>
      </c>
      <c r="BI159">
        <f t="shared" si="349"/>
        <v>3468</v>
      </c>
      <c r="BJ159">
        <v>0</v>
      </c>
      <c r="BK159">
        <v>500</v>
      </c>
      <c r="BL159">
        <f t="shared" si="350"/>
        <v>36914</v>
      </c>
      <c r="BM159">
        <v>0</v>
      </c>
      <c r="BN159">
        <v>0</v>
      </c>
      <c r="BO159">
        <f t="shared" si="351"/>
        <v>150</v>
      </c>
      <c r="BP159">
        <f t="shared" si="352"/>
        <v>36764</v>
      </c>
      <c r="BQ159">
        <v>28900</v>
      </c>
      <c r="BR159">
        <f t="shared" si="353"/>
        <v>4046.0000000000005</v>
      </c>
      <c r="BS159">
        <f t="shared" si="354"/>
        <v>3468</v>
      </c>
      <c r="BT159">
        <v>0</v>
      </c>
      <c r="BU159">
        <v>500</v>
      </c>
      <c r="BV159">
        <f t="shared" si="355"/>
        <v>36914</v>
      </c>
      <c r="BW159">
        <v>0</v>
      </c>
      <c r="BX159">
        <v>0</v>
      </c>
      <c r="BY159">
        <f t="shared" si="356"/>
        <v>150</v>
      </c>
      <c r="BZ159">
        <f t="shared" si="357"/>
        <v>36764</v>
      </c>
      <c r="CA159">
        <v>28900</v>
      </c>
      <c r="CB159">
        <f t="shared" si="358"/>
        <v>4046.0000000000005</v>
      </c>
      <c r="CC159">
        <f t="shared" si="359"/>
        <v>3468</v>
      </c>
      <c r="CD159">
        <v>0</v>
      </c>
      <c r="CE159">
        <v>500</v>
      </c>
      <c r="CF159">
        <f t="shared" si="360"/>
        <v>36914</v>
      </c>
      <c r="CG159">
        <v>0</v>
      </c>
      <c r="CH159">
        <v>0</v>
      </c>
      <c r="CI159">
        <f t="shared" si="361"/>
        <v>150</v>
      </c>
      <c r="CJ159">
        <f t="shared" si="362"/>
        <v>36764</v>
      </c>
      <c r="CK159">
        <v>28900</v>
      </c>
      <c r="CL159">
        <f t="shared" si="363"/>
        <v>4046.0000000000005</v>
      </c>
      <c r="CM159">
        <f t="shared" si="364"/>
        <v>3468</v>
      </c>
      <c r="CN159">
        <v>0</v>
      </c>
      <c r="CO159">
        <v>500</v>
      </c>
      <c r="CP159">
        <f t="shared" si="365"/>
        <v>36914</v>
      </c>
      <c r="CQ159">
        <v>0</v>
      </c>
      <c r="CR159">
        <v>0</v>
      </c>
      <c r="CS159">
        <f t="shared" si="366"/>
        <v>150</v>
      </c>
      <c r="CT159">
        <f t="shared" si="367"/>
        <v>36764</v>
      </c>
      <c r="CU159">
        <v>28900</v>
      </c>
      <c r="CV159">
        <f t="shared" si="368"/>
        <v>4046</v>
      </c>
      <c r="CW159">
        <f t="shared" si="369"/>
        <v>3468</v>
      </c>
      <c r="CX159">
        <v>0</v>
      </c>
      <c r="CY159">
        <v>500</v>
      </c>
      <c r="CZ159">
        <f t="shared" si="370"/>
        <v>36914</v>
      </c>
      <c r="DA159">
        <v>0</v>
      </c>
      <c r="DB159">
        <v>0</v>
      </c>
      <c r="DC159">
        <f t="shared" si="371"/>
        <v>150</v>
      </c>
      <c r="DD159">
        <f t="shared" si="372"/>
        <v>36764</v>
      </c>
      <c r="DE159">
        <v>28900</v>
      </c>
      <c r="DF159">
        <f t="shared" si="373"/>
        <v>4046.0000000000005</v>
      </c>
      <c r="DG159">
        <f t="shared" si="374"/>
        <v>3468</v>
      </c>
      <c r="DH159">
        <v>0</v>
      </c>
      <c r="DI159">
        <v>500</v>
      </c>
      <c r="DJ159">
        <f t="shared" si="375"/>
        <v>36914</v>
      </c>
      <c r="DK159">
        <v>0</v>
      </c>
      <c r="DL159">
        <v>0</v>
      </c>
      <c r="DM159">
        <f t="shared" si="376"/>
        <v>150</v>
      </c>
      <c r="DN159">
        <f t="shared" si="377"/>
        <v>36764</v>
      </c>
      <c r="DO159">
        <v>28900</v>
      </c>
      <c r="DP159">
        <f t="shared" si="378"/>
        <v>4046.0000000000005</v>
      </c>
      <c r="DQ159">
        <f t="shared" si="379"/>
        <v>3468</v>
      </c>
      <c r="DR159">
        <v>0</v>
      </c>
      <c r="DS159">
        <v>500</v>
      </c>
      <c r="DT159">
        <f t="shared" si="380"/>
        <v>36914</v>
      </c>
      <c r="DU159">
        <v>2000</v>
      </c>
      <c r="DV159">
        <v>0</v>
      </c>
      <c r="DW159">
        <f t="shared" si="381"/>
        <v>150</v>
      </c>
      <c r="DX159">
        <f t="shared" si="382"/>
        <v>34764</v>
      </c>
      <c r="DY159">
        <f t="shared" si="383"/>
        <v>406054</v>
      </c>
      <c r="DZ159">
        <f t="shared" si="315"/>
        <v>1650</v>
      </c>
      <c r="EA159">
        <f t="shared" si="316"/>
        <v>50000</v>
      </c>
      <c r="EB159">
        <v>0</v>
      </c>
      <c r="EC159">
        <f t="shared" si="317"/>
        <v>354404</v>
      </c>
      <c r="ED159">
        <f t="shared" si="318"/>
        <v>2000</v>
      </c>
      <c r="EE159">
        <f t="shared" si="319"/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f t="shared" si="320"/>
        <v>2000</v>
      </c>
      <c r="EQ159">
        <f t="shared" si="384"/>
        <v>2000</v>
      </c>
      <c r="ER159">
        <f t="shared" si="321"/>
        <v>352404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f t="shared" si="385"/>
        <v>0</v>
      </c>
      <c r="FA159">
        <f t="shared" si="386"/>
        <v>352404</v>
      </c>
      <c r="FB159">
        <f t="shared" si="387"/>
        <v>5120</v>
      </c>
      <c r="FC159">
        <f t="shared" si="388"/>
        <v>0</v>
      </c>
      <c r="FD159">
        <f t="shared" si="389"/>
        <v>5120</v>
      </c>
      <c r="FE159">
        <f t="shared" si="390"/>
        <v>0</v>
      </c>
      <c r="FF159">
        <f t="shared" si="391"/>
        <v>0</v>
      </c>
      <c r="FG159">
        <f t="shared" si="392"/>
        <v>0</v>
      </c>
      <c r="FH159">
        <v>0</v>
      </c>
      <c r="FI159">
        <f t="shared" si="393"/>
        <v>0</v>
      </c>
      <c r="FJ159" t="b">
        <f t="shared" si="394"/>
        <v>0</v>
      </c>
      <c r="FK159">
        <f t="shared" ca="1" si="395"/>
        <v>1160</v>
      </c>
      <c r="FL159">
        <f t="shared" ca="1" si="396"/>
        <v>407214</v>
      </c>
      <c r="FM159">
        <f t="shared" si="397"/>
        <v>75000</v>
      </c>
      <c r="FN159">
        <f t="shared" ca="1" si="398"/>
        <v>332214</v>
      </c>
      <c r="FO159">
        <f t="shared" ca="1" si="399"/>
        <v>0</v>
      </c>
      <c r="FP159">
        <f t="shared" ca="1" si="400"/>
        <v>0</v>
      </c>
      <c r="FQ159">
        <f t="shared" ca="1" si="401"/>
        <v>0</v>
      </c>
      <c r="FR159">
        <f t="shared" ca="1" si="402"/>
        <v>0</v>
      </c>
      <c r="FS159">
        <f t="shared" ca="1" si="403"/>
        <v>0</v>
      </c>
      <c r="FT159">
        <f t="shared" ca="1" si="404"/>
        <v>0</v>
      </c>
      <c r="FU159">
        <f t="shared" ca="1" si="405"/>
        <v>0</v>
      </c>
      <c r="FV159">
        <f t="shared" ca="1" si="406"/>
        <v>0</v>
      </c>
      <c r="FW159">
        <f t="shared" ca="1" si="407"/>
        <v>32214</v>
      </c>
      <c r="FX159">
        <f t="shared" ca="1" si="408"/>
        <v>1610.7</v>
      </c>
      <c r="FY159">
        <f t="shared" ca="1" si="409"/>
        <v>1611</v>
      </c>
      <c r="FZ159">
        <f t="shared" ca="1" si="410"/>
        <v>0</v>
      </c>
      <c r="GA159">
        <f t="shared" ca="1" si="411"/>
        <v>0</v>
      </c>
      <c r="GB159">
        <f t="shared" ca="1" si="412"/>
        <v>1611</v>
      </c>
      <c r="GC159">
        <f t="shared" ca="1" si="413"/>
        <v>0</v>
      </c>
      <c r="GD159" t="b">
        <f t="shared" ca="1" si="414"/>
        <v>0</v>
      </c>
      <c r="GE159">
        <f t="shared" ca="1" si="415"/>
        <v>0</v>
      </c>
      <c r="GF159">
        <f t="shared" ca="1" si="416"/>
        <v>1611</v>
      </c>
      <c r="GG159">
        <f t="shared" ca="1" si="417"/>
        <v>0</v>
      </c>
      <c r="GH159">
        <f t="shared" ca="1" si="418"/>
        <v>0</v>
      </c>
      <c r="GI159">
        <f t="shared" ca="1" si="419"/>
        <v>0</v>
      </c>
    </row>
    <row r="160" spans="1:191" x14ac:dyDescent="0.25">
      <c r="A160">
        <f>_xlfn.AGGREGATE(3,5,$B$2:B160)</f>
        <v>159</v>
      </c>
      <c r="B160" t="s">
        <v>438</v>
      </c>
      <c r="C160" t="s">
        <v>439</v>
      </c>
      <c r="D160" t="s">
        <v>805</v>
      </c>
      <c r="E160" t="s">
        <v>843</v>
      </c>
      <c r="F160">
        <v>0</v>
      </c>
      <c r="G160">
        <v>0</v>
      </c>
      <c r="H160">
        <v>0</v>
      </c>
      <c r="I160">
        <f t="shared" si="322"/>
        <v>0</v>
      </c>
      <c r="J160">
        <f t="shared" si="323"/>
        <v>0</v>
      </c>
      <c r="K160">
        <v>0</v>
      </c>
      <c r="L160">
        <v>0</v>
      </c>
      <c r="M160">
        <f t="shared" si="324"/>
        <v>0</v>
      </c>
      <c r="N160">
        <v>0</v>
      </c>
      <c r="O160">
        <v>0</v>
      </c>
      <c r="P160">
        <f t="shared" si="325"/>
        <v>0</v>
      </c>
      <c r="Q160">
        <f t="shared" si="326"/>
        <v>0</v>
      </c>
      <c r="R160">
        <v>0</v>
      </c>
      <c r="S160">
        <f t="shared" si="327"/>
        <v>0</v>
      </c>
      <c r="T160">
        <f t="shared" si="328"/>
        <v>0</v>
      </c>
      <c r="U160">
        <v>0</v>
      </c>
      <c r="V160">
        <v>0</v>
      </c>
      <c r="W160">
        <f t="shared" si="329"/>
        <v>0</v>
      </c>
      <c r="X160">
        <v>0</v>
      </c>
      <c r="Y160">
        <v>0</v>
      </c>
      <c r="Z160">
        <f t="shared" si="330"/>
        <v>0</v>
      </c>
      <c r="AA160">
        <f t="shared" si="331"/>
        <v>0</v>
      </c>
      <c r="AB160">
        <v>0</v>
      </c>
      <c r="AC160">
        <f t="shared" si="332"/>
        <v>0</v>
      </c>
      <c r="AD160">
        <f t="shared" si="333"/>
        <v>0</v>
      </c>
      <c r="AE160">
        <v>0</v>
      </c>
      <c r="AF160">
        <v>0</v>
      </c>
      <c r="AG160">
        <f t="shared" si="334"/>
        <v>0</v>
      </c>
      <c r="AH160">
        <v>0</v>
      </c>
      <c r="AI160">
        <v>0</v>
      </c>
      <c r="AJ160">
        <f t="shared" si="335"/>
        <v>0</v>
      </c>
      <c r="AK160">
        <f t="shared" si="336"/>
        <v>0</v>
      </c>
      <c r="AL160">
        <v>0</v>
      </c>
      <c r="AM160">
        <f t="shared" si="337"/>
        <v>0</v>
      </c>
      <c r="AN160">
        <f t="shared" si="338"/>
        <v>0</v>
      </c>
      <c r="AO160">
        <v>0</v>
      </c>
      <c r="AP160">
        <v>0</v>
      </c>
      <c r="AQ160">
        <f t="shared" si="339"/>
        <v>0</v>
      </c>
      <c r="AR160">
        <v>0</v>
      </c>
      <c r="AS160">
        <v>0</v>
      </c>
      <c r="AT160">
        <f t="shared" si="340"/>
        <v>0</v>
      </c>
      <c r="AU160">
        <f t="shared" si="341"/>
        <v>0</v>
      </c>
      <c r="AV160">
        <v>0</v>
      </c>
      <c r="AW160">
        <f t="shared" si="342"/>
        <v>0</v>
      </c>
      <c r="AX160">
        <f t="shared" si="343"/>
        <v>0</v>
      </c>
      <c r="AY160">
        <f t="shared" si="344"/>
        <v>0</v>
      </c>
      <c r="AZ160">
        <v>0</v>
      </c>
      <c r="BA160">
        <v>0</v>
      </c>
      <c r="BB160">
        <f t="shared" si="345"/>
        <v>0</v>
      </c>
      <c r="BC160">
        <v>0</v>
      </c>
      <c r="BD160">
        <v>0</v>
      </c>
      <c r="BE160">
        <f t="shared" si="346"/>
        <v>0</v>
      </c>
      <c r="BF160">
        <f t="shared" si="347"/>
        <v>0</v>
      </c>
      <c r="BG160">
        <v>0</v>
      </c>
      <c r="BH160">
        <f t="shared" si="348"/>
        <v>0</v>
      </c>
      <c r="BI160">
        <f t="shared" si="349"/>
        <v>0</v>
      </c>
      <c r="BJ160">
        <v>0</v>
      </c>
      <c r="BK160">
        <v>0</v>
      </c>
      <c r="BL160">
        <f t="shared" si="350"/>
        <v>0</v>
      </c>
      <c r="BM160">
        <v>0</v>
      </c>
      <c r="BN160">
        <v>0</v>
      </c>
      <c r="BO160">
        <f t="shared" si="351"/>
        <v>0</v>
      </c>
      <c r="BP160">
        <f t="shared" si="352"/>
        <v>0</v>
      </c>
      <c r="BQ160">
        <v>0</v>
      </c>
      <c r="BR160">
        <f t="shared" si="353"/>
        <v>0</v>
      </c>
      <c r="BS160">
        <f t="shared" si="354"/>
        <v>0</v>
      </c>
      <c r="BT160">
        <v>0</v>
      </c>
      <c r="BU160">
        <v>0</v>
      </c>
      <c r="BV160">
        <f t="shared" si="355"/>
        <v>0</v>
      </c>
      <c r="BW160">
        <v>0</v>
      </c>
      <c r="BX160">
        <v>0</v>
      </c>
      <c r="BY160">
        <f t="shared" si="356"/>
        <v>0</v>
      </c>
      <c r="BZ160">
        <f t="shared" si="357"/>
        <v>0</v>
      </c>
      <c r="CA160">
        <v>0</v>
      </c>
      <c r="CB160">
        <f t="shared" si="358"/>
        <v>0</v>
      </c>
      <c r="CC160">
        <f t="shared" si="359"/>
        <v>0</v>
      </c>
      <c r="CD160">
        <v>0</v>
      </c>
      <c r="CE160">
        <v>0</v>
      </c>
      <c r="CF160">
        <f t="shared" si="360"/>
        <v>0</v>
      </c>
      <c r="CG160">
        <v>0</v>
      </c>
      <c r="CH160">
        <v>0</v>
      </c>
      <c r="CI160">
        <f t="shared" si="361"/>
        <v>0</v>
      </c>
      <c r="CJ160">
        <f t="shared" si="362"/>
        <v>0</v>
      </c>
      <c r="CK160">
        <v>28900</v>
      </c>
      <c r="CL160">
        <f t="shared" si="363"/>
        <v>4046.0000000000005</v>
      </c>
      <c r="CM160">
        <f t="shared" si="364"/>
        <v>3468</v>
      </c>
      <c r="CN160">
        <v>0</v>
      </c>
      <c r="CO160">
        <v>500</v>
      </c>
      <c r="CP160">
        <f t="shared" si="365"/>
        <v>36914</v>
      </c>
      <c r="CQ160">
        <v>0</v>
      </c>
      <c r="CR160">
        <v>0</v>
      </c>
      <c r="CS160">
        <f t="shared" si="366"/>
        <v>150</v>
      </c>
      <c r="CT160">
        <f t="shared" si="367"/>
        <v>36764</v>
      </c>
      <c r="CU160">
        <v>28900</v>
      </c>
      <c r="CV160">
        <f t="shared" si="368"/>
        <v>4046</v>
      </c>
      <c r="CW160">
        <f t="shared" si="369"/>
        <v>3468</v>
      </c>
      <c r="CX160">
        <v>0</v>
      </c>
      <c r="CY160">
        <v>500</v>
      </c>
      <c r="CZ160">
        <f t="shared" si="370"/>
        <v>36914</v>
      </c>
      <c r="DA160">
        <v>0</v>
      </c>
      <c r="DB160">
        <v>0</v>
      </c>
      <c r="DC160">
        <f t="shared" si="371"/>
        <v>150</v>
      </c>
      <c r="DD160">
        <f t="shared" si="372"/>
        <v>36764</v>
      </c>
      <c r="DE160">
        <v>28900</v>
      </c>
      <c r="DF160">
        <f t="shared" si="373"/>
        <v>4046.0000000000005</v>
      </c>
      <c r="DG160">
        <f t="shared" si="374"/>
        <v>3468</v>
      </c>
      <c r="DH160">
        <v>0</v>
      </c>
      <c r="DI160">
        <v>500</v>
      </c>
      <c r="DJ160">
        <f t="shared" si="375"/>
        <v>36914</v>
      </c>
      <c r="DK160">
        <v>0</v>
      </c>
      <c r="DL160">
        <v>0</v>
      </c>
      <c r="DM160">
        <f t="shared" si="376"/>
        <v>150</v>
      </c>
      <c r="DN160">
        <f t="shared" si="377"/>
        <v>36764</v>
      </c>
      <c r="DO160">
        <v>28900</v>
      </c>
      <c r="DP160">
        <f t="shared" si="378"/>
        <v>4046.0000000000005</v>
      </c>
      <c r="DQ160">
        <f t="shared" si="379"/>
        <v>3468</v>
      </c>
      <c r="DR160">
        <v>0</v>
      </c>
      <c r="DS160">
        <v>0</v>
      </c>
      <c r="DT160">
        <f t="shared" si="380"/>
        <v>36414</v>
      </c>
      <c r="DU160">
        <v>0</v>
      </c>
      <c r="DV160">
        <v>0</v>
      </c>
      <c r="DW160">
        <f t="shared" si="381"/>
        <v>150</v>
      </c>
      <c r="DX160">
        <f t="shared" si="382"/>
        <v>36264</v>
      </c>
      <c r="DY160">
        <f t="shared" si="383"/>
        <v>147156</v>
      </c>
      <c r="DZ160">
        <f t="shared" si="315"/>
        <v>600</v>
      </c>
      <c r="EA160">
        <f t="shared" si="316"/>
        <v>50000</v>
      </c>
      <c r="EB160">
        <v>0</v>
      </c>
      <c r="EC160">
        <f t="shared" si="317"/>
        <v>96556</v>
      </c>
      <c r="ED160">
        <f t="shared" si="318"/>
        <v>0</v>
      </c>
      <c r="EE160">
        <f t="shared" si="319"/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f t="shared" si="320"/>
        <v>0</v>
      </c>
      <c r="EQ160">
        <f t="shared" si="384"/>
        <v>0</v>
      </c>
      <c r="ER160">
        <f t="shared" si="321"/>
        <v>96556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f t="shared" si="385"/>
        <v>0</v>
      </c>
      <c r="FA160">
        <f t="shared" si="386"/>
        <v>96556</v>
      </c>
      <c r="FB160">
        <f t="shared" si="387"/>
        <v>-7672</v>
      </c>
      <c r="FC160">
        <f t="shared" si="388"/>
        <v>0</v>
      </c>
      <c r="FD160">
        <f t="shared" si="389"/>
        <v>-7672</v>
      </c>
      <c r="FE160">
        <f t="shared" si="390"/>
        <v>0</v>
      </c>
      <c r="FF160">
        <f t="shared" si="391"/>
        <v>0</v>
      </c>
      <c r="FG160">
        <f t="shared" si="392"/>
        <v>0</v>
      </c>
      <c r="FH160">
        <v>0</v>
      </c>
      <c r="FI160">
        <f t="shared" si="393"/>
        <v>0</v>
      </c>
      <c r="FJ160" t="b">
        <f t="shared" si="394"/>
        <v>0</v>
      </c>
      <c r="FK160">
        <f t="shared" ca="1" si="395"/>
        <v>2744</v>
      </c>
      <c r="FL160">
        <f t="shared" ca="1" si="396"/>
        <v>149900</v>
      </c>
      <c r="FM160">
        <f t="shared" si="397"/>
        <v>75000</v>
      </c>
      <c r="FN160">
        <f t="shared" ca="1" si="398"/>
        <v>74900</v>
      </c>
      <c r="FO160">
        <f t="shared" ca="1" si="399"/>
        <v>0</v>
      </c>
      <c r="FP160">
        <f t="shared" ca="1" si="400"/>
        <v>0</v>
      </c>
      <c r="FQ160">
        <f t="shared" ca="1" si="401"/>
        <v>0</v>
      </c>
      <c r="FR160">
        <f t="shared" ca="1" si="402"/>
        <v>0</v>
      </c>
      <c r="FS160">
        <f t="shared" ca="1" si="403"/>
        <v>0</v>
      </c>
      <c r="FT160">
        <f t="shared" ca="1" si="404"/>
        <v>0</v>
      </c>
      <c r="FU160">
        <f t="shared" ca="1" si="405"/>
        <v>0</v>
      </c>
      <c r="FV160">
        <f t="shared" ca="1" si="406"/>
        <v>0</v>
      </c>
      <c r="FW160">
        <f t="shared" ca="1" si="407"/>
        <v>0</v>
      </c>
      <c r="FX160">
        <f t="shared" ca="1" si="408"/>
        <v>0</v>
      </c>
      <c r="FY160">
        <f t="shared" ca="1" si="409"/>
        <v>0</v>
      </c>
      <c r="FZ160">
        <f t="shared" ca="1" si="410"/>
        <v>0</v>
      </c>
      <c r="GA160">
        <f t="shared" ca="1" si="411"/>
        <v>0</v>
      </c>
      <c r="GB160">
        <f t="shared" ca="1" si="412"/>
        <v>0</v>
      </c>
      <c r="GC160">
        <f t="shared" ca="1" si="413"/>
        <v>0</v>
      </c>
      <c r="GD160" t="b">
        <f t="shared" ca="1" si="414"/>
        <v>0</v>
      </c>
      <c r="GE160">
        <f t="shared" ca="1" si="415"/>
        <v>0</v>
      </c>
      <c r="GF160">
        <f t="shared" ca="1" si="416"/>
        <v>0</v>
      </c>
      <c r="GG160">
        <f t="shared" ca="1" si="417"/>
        <v>0</v>
      </c>
      <c r="GH160">
        <f t="shared" ca="1" si="418"/>
        <v>0</v>
      </c>
      <c r="GI160">
        <f t="shared" ca="1" si="419"/>
        <v>0</v>
      </c>
    </row>
    <row r="161" spans="1:191" x14ac:dyDescent="0.25">
      <c r="A161">
        <f>_xlfn.AGGREGATE(3,5,$B$2:B161)</f>
        <v>160</v>
      </c>
      <c r="B161" t="s">
        <v>440</v>
      </c>
      <c r="C161" t="s">
        <v>441</v>
      </c>
      <c r="D161" t="s">
        <v>806</v>
      </c>
      <c r="E161" t="s">
        <v>844</v>
      </c>
      <c r="F161">
        <v>0</v>
      </c>
      <c r="G161">
        <v>0</v>
      </c>
      <c r="H161">
        <v>50200</v>
      </c>
      <c r="I161">
        <f t="shared" si="322"/>
        <v>5020</v>
      </c>
      <c r="J161">
        <f t="shared" si="323"/>
        <v>6024</v>
      </c>
      <c r="K161">
        <v>400</v>
      </c>
      <c r="L161">
        <v>500</v>
      </c>
      <c r="M161">
        <f t="shared" si="324"/>
        <v>62144</v>
      </c>
      <c r="N161">
        <v>6000</v>
      </c>
      <c r="O161">
        <v>60</v>
      </c>
      <c r="P161">
        <f t="shared" si="325"/>
        <v>200</v>
      </c>
      <c r="Q161">
        <f t="shared" si="326"/>
        <v>55884</v>
      </c>
      <c r="R161">
        <v>50200</v>
      </c>
      <c r="S161">
        <f t="shared" si="327"/>
        <v>5020</v>
      </c>
      <c r="T161">
        <f t="shared" si="328"/>
        <v>6024</v>
      </c>
      <c r="U161">
        <v>400</v>
      </c>
      <c r="V161">
        <v>500</v>
      </c>
      <c r="W161">
        <f t="shared" si="329"/>
        <v>62144</v>
      </c>
      <c r="X161">
        <v>6000</v>
      </c>
      <c r="Y161">
        <v>60</v>
      </c>
      <c r="Z161">
        <f t="shared" si="330"/>
        <v>200</v>
      </c>
      <c r="AA161">
        <f t="shared" si="331"/>
        <v>55884</v>
      </c>
      <c r="AB161">
        <v>50200</v>
      </c>
      <c r="AC161">
        <f t="shared" si="332"/>
        <v>7028.0000000000009</v>
      </c>
      <c r="AD161">
        <f t="shared" si="333"/>
        <v>6024</v>
      </c>
      <c r="AE161">
        <v>400</v>
      </c>
      <c r="AF161">
        <v>500</v>
      </c>
      <c r="AG161">
        <f t="shared" si="334"/>
        <v>64152</v>
      </c>
      <c r="AH161">
        <v>6000</v>
      </c>
      <c r="AI161">
        <v>60</v>
      </c>
      <c r="AJ161">
        <f t="shared" si="335"/>
        <v>200</v>
      </c>
      <c r="AK161">
        <f t="shared" si="336"/>
        <v>57892</v>
      </c>
      <c r="AL161">
        <v>50200</v>
      </c>
      <c r="AM161">
        <f t="shared" si="337"/>
        <v>7028.0000000000009</v>
      </c>
      <c r="AN161">
        <f t="shared" si="338"/>
        <v>6024</v>
      </c>
      <c r="AO161">
        <v>400</v>
      </c>
      <c r="AP161">
        <v>500</v>
      </c>
      <c r="AQ161">
        <f t="shared" si="339"/>
        <v>64152</v>
      </c>
      <c r="AR161">
        <v>6000</v>
      </c>
      <c r="AS161">
        <v>60</v>
      </c>
      <c r="AT161">
        <f t="shared" si="340"/>
        <v>200</v>
      </c>
      <c r="AU161">
        <f t="shared" si="341"/>
        <v>57892</v>
      </c>
      <c r="AV161">
        <v>51700</v>
      </c>
      <c r="AW161">
        <f t="shared" si="342"/>
        <v>7238.0000000000009</v>
      </c>
      <c r="AX161">
        <f t="shared" si="343"/>
        <v>2008</v>
      </c>
      <c r="AY161">
        <f t="shared" si="344"/>
        <v>6204</v>
      </c>
      <c r="AZ161">
        <v>400</v>
      </c>
      <c r="BA161">
        <v>500</v>
      </c>
      <c r="BB161">
        <f t="shared" si="345"/>
        <v>68050</v>
      </c>
      <c r="BC161">
        <v>6000</v>
      </c>
      <c r="BD161">
        <v>60</v>
      </c>
      <c r="BE161">
        <f t="shared" si="346"/>
        <v>200</v>
      </c>
      <c r="BF161">
        <f t="shared" si="347"/>
        <v>61790</v>
      </c>
      <c r="BG161">
        <v>51700</v>
      </c>
      <c r="BH161">
        <f t="shared" si="348"/>
        <v>7238.0000000000009</v>
      </c>
      <c r="BI161">
        <f t="shared" si="349"/>
        <v>6204</v>
      </c>
      <c r="BJ161">
        <v>400</v>
      </c>
      <c r="BK161">
        <v>500</v>
      </c>
      <c r="BL161">
        <f t="shared" si="350"/>
        <v>66042</v>
      </c>
      <c r="BM161">
        <v>6000</v>
      </c>
      <c r="BN161">
        <v>60</v>
      </c>
      <c r="BO161">
        <f t="shared" si="351"/>
        <v>200</v>
      </c>
      <c r="BP161">
        <f t="shared" si="352"/>
        <v>59782</v>
      </c>
      <c r="BQ161">
        <v>51700</v>
      </c>
      <c r="BR161">
        <f t="shared" si="353"/>
        <v>7238.0000000000009</v>
      </c>
      <c r="BS161">
        <f t="shared" si="354"/>
        <v>6204</v>
      </c>
      <c r="BT161">
        <v>400</v>
      </c>
      <c r="BU161">
        <v>500</v>
      </c>
      <c r="BV161">
        <f t="shared" si="355"/>
        <v>66042</v>
      </c>
      <c r="BW161">
        <v>6000</v>
      </c>
      <c r="BX161">
        <v>60</v>
      </c>
      <c r="BY161">
        <f t="shared" si="356"/>
        <v>200</v>
      </c>
      <c r="BZ161">
        <f t="shared" si="357"/>
        <v>59782</v>
      </c>
      <c r="CA161">
        <v>51700</v>
      </c>
      <c r="CB161">
        <f t="shared" si="358"/>
        <v>7238.0000000000009</v>
      </c>
      <c r="CC161">
        <f t="shared" si="359"/>
        <v>6204</v>
      </c>
      <c r="CD161">
        <v>400</v>
      </c>
      <c r="CE161">
        <v>500</v>
      </c>
      <c r="CF161">
        <f t="shared" si="360"/>
        <v>66042</v>
      </c>
      <c r="CG161">
        <v>6000</v>
      </c>
      <c r="CH161">
        <v>60</v>
      </c>
      <c r="CI161">
        <f t="shared" si="361"/>
        <v>200</v>
      </c>
      <c r="CJ161">
        <f t="shared" si="362"/>
        <v>59782</v>
      </c>
      <c r="CK161">
        <v>51700</v>
      </c>
      <c r="CL161">
        <f t="shared" si="363"/>
        <v>7238.0000000000009</v>
      </c>
      <c r="CM161">
        <f t="shared" si="364"/>
        <v>6204</v>
      </c>
      <c r="CN161">
        <v>400</v>
      </c>
      <c r="CO161">
        <v>500</v>
      </c>
      <c r="CP161">
        <f t="shared" si="365"/>
        <v>66042</v>
      </c>
      <c r="CQ161">
        <v>6000</v>
      </c>
      <c r="CR161">
        <v>60</v>
      </c>
      <c r="CS161">
        <f t="shared" si="366"/>
        <v>200</v>
      </c>
      <c r="CT161">
        <f t="shared" si="367"/>
        <v>59782</v>
      </c>
      <c r="CU161">
        <v>51700</v>
      </c>
      <c r="CV161">
        <f t="shared" si="368"/>
        <v>7238</v>
      </c>
      <c r="CW161">
        <f t="shared" si="369"/>
        <v>6204</v>
      </c>
      <c r="CX161">
        <v>400</v>
      </c>
      <c r="CY161">
        <v>500</v>
      </c>
      <c r="CZ161">
        <f t="shared" si="370"/>
        <v>66042</v>
      </c>
      <c r="DA161">
        <v>6000</v>
      </c>
      <c r="DB161">
        <v>60</v>
      </c>
      <c r="DC161">
        <f t="shared" si="371"/>
        <v>200</v>
      </c>
      <c r="DD161">
        <f t="shared" si="372"/>
        <v>59782</v>
      </c>
      <c r="DE161">
        <v>51700</v>
      </c>
      <c r="DF161">
        <f t="shared" si="373"/>
        <v>7238.0000000000009</v>
      </c>
      <c r="DG161">
        <f t="shared" si="374"/>
        <v>6204</v>
      </c>
      <c r="DH161">
        <v>400</v>
      </c>
      <c r="DI161">
        <v>500</v>
      </c>
      <c r="DJ161">
        <f t="shared" si="375"/>
        <v>66042</v>
      </c>
      <c r="DK161">
        <v>6000</v>
      </c>
      <c r="DL161">
        <v>60</v>
      </c>
      <c r="DM161">
        <f t="shared" si="376"/>
        <v>200</v>
      </c>
      <c r="DN161">
        <f t="shared" si="377"/>
        <v>59782</v>
      </c>
      <c r="DO161">
        <v>51700</v>
      </c>
      <c r="DP161">
        <f t="shared" si="378"/>
        <v>7238.0000000000009</v>
      </c>
      <c r="DQ161">
        <f t="shared" si="379"/>
        <v>6204</v>
      </c>
      <c r="DR161">
        <v>400</v>
      </c>
      <c r="DS161">
        <v>500</v>
      </c>
      <c r="DT161">
        <f t="shared" si="380"/>
        <v>66042</v>
      </c>
      <c r="DU161">
        <v>6000</v>
      </c>
      <c r="DV161">
        <v>60</v>
      </c>
      <c r="DW161">
        <f t="shared" si="381"/>
        <v>200</v>
      </c>
      <c r="DX161">
        <f t="shared" si="382"/>
        <v>59782</v>
      </c>
      <c r="DY161">
        <f t="shared" si="383"/>
        <v>782936</v>
      </c>
      <c r="DZ161">
        <f t="shared" si="315"/>
        <v>2400</v>
      </c>
      <c r="EA161">
        <f t="shared" si="316"/>
        <v>50000</v>
      </c>
      <c r="EB161">
        <v>0</v>
      </c>
      <c r="EC161">
        <f t="shared" si="317"/>
        <v>730536</v>
      </c>
      <c r="ED161">
        <f t="shared" si="318"/>
        <v>72000</v>
      </c>
      <c r="EE161">
        <f t="shared" si="319"/>
        <v>720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f t="shared" si="320"/>
        <v>72720</v>
      </c>
      <c r="EQ161">
        <f t="shared" si="384"/>
        <v>72720</v>
      </c>
      <c r="ER161">
        <f t="shared" si="321"/>
        <v>657816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f t="shared" si="385"/>
        <v>0</v>
      </c>
      <c r="FA161">
        <f t="shared" si="386"/>
        <v>657816</v>
      </c>
      <c r="FB161">
        <f t="shared" si="387"/>
        <v>12500</v>
      </c>
      <c r="FC161">
        <f t="shared" si="388"/>
        <v>31563</v>
      </c>
      <c r="FD161">
        <f t="shared" si="389"/>
        <v>44063</v>
      </c>
      <c r="FE161">
        <f t="shared" si="390"/>
        <v>44063</v>
      </c>
      <c r="FF161">
        <f t="shared" si="391"/>
        <v>1762.52</v>
      </c>
      <c r="FG161">
        <f t="shared" si="392"/>
        <v>45826</v>
      </c>
      <c r="FH161">
        <v>0</v>
      </c>
      <c r="FI161">
        <f t="shared" si="393"/>
        <v>45826</v>
      </c>
      <c r="FJ161" t="b">
        <f t="shared" si="394"/>
        <v>1</v>
      </c>
      <c r="FK161">
        <f t="shared" ca="1" si="395"/>
        <v>664</v>
      </c>
      <c r="FL161">
        <f t="shared" ca="1" si="396"/>
        <v>783600</v>
      </c>
      <c r="FM161">
        <f t="shared" si="397"/>
        <v>75000</v>
      </c>
      <c r="FN161">
        <f t="shared" ca="1" si="398"/>
        <v>708600</v>
      </c>
      <c r="FO161">
        <f t="shared" ca="1" si="399"/>
        <v>0</v>
      </c>
      <c r="FP161">
        <f t="shared" ca="1" si="400"/>
        <v>0</v>
      </c>
      <c r="FQ161">
        <f t="shared" ca="1" si="401"/>
        <v>0</v>
      </c>
      <c r="FR161">
        <f t="shared" ca="1" si="402"/>
        <v>0</v>
      </c>
      <c r="FS161">
        <f t="shared" ca="1" si="403"/>
        <v>0</v>
      </c>
      <c r="FT161">
        <f t="shared" ca="1" si="404"/>
        <v>0</v>
      </c>
      <c r="FU161">
        <f t="shared" ca="1" si="405"/>
        <v>8600</v>
      </c>
      <c r="FV161">
        <f t="shared" ca="1" si="406"/>
        <v>860</v>
      </c>
      <c r="FW161">
        <f t="shared" ca="1" si="407"/>
        <v>400000</v>
      </c>
      <c r="FX161">
        <f t="shared" ca="1" si="408"/>
        <v>20000</v>
      </c>
      <c r="FY161">
        <f t="shared" ca="1" si="409"/>
        <v>20860</v>
      </c>
      <c r="FZ161">
        <f t="shared" ca="1" si="410"/>
        <v>708600</v>
      </c>
      <c r="GA161">
        <f t="shared" ca="1" si="411"/>
        <v>8600</v>
      </c>
      <c r="GB161">
        <f t="shared" ca="1" si="412"/>
        <v>0</v>
      </c>
      <c r="GC161">
        <f t="shared" ca="1" si="413"/>
        <v>12260</v>
      </c>
      <c r="GD161" t="b">
        <f t="shared" ca="1" si="414"/>
        <v>1</v>
      </c>
      <c r="GE161">
        <f t="shared" ca="1" si="415"/>
        <v>12260</v>
      </c>
      <c r="GF161">
        <f t="shared" ca="1" si="416"/>
        <v>12260</v>
      </c>
      <c r="GG161">
        <f t="shared" ca="1" si="417"/>
        <v>8600</v>
      </c>
      <c r="GH161">
        <f t="shared" ca="1" si="418"/>
        <v>344</v>
      </c>
      <c r="GI161">
        <f t="shared" ca="1" si="419"/>
        <v>8944</v>
      </c>
    </row>
    <row r="162" spans="1:191" x14ac:dyDescent="0.25">
      <c r="A162">
        <f>_xlfn.AGGREGATE(3,5,$B$2:B162)</f>
        <v>161</v>
      </c>
      <c r="B162" t="s">
        <v>442</v>
      </c>
      <c r="C162" t="s">
        <v>443</v>
      </c>
      <c r="D162" t="s">
        <v>806</v>
      </c>
      <c r="E162" t="s">
        <v>843</v>
      </c>
      <c r="F162">
        <v>0</v>
      </c>
      <c r="G162">
        <v>6000</v>
      </c>
      <c r="H162">
        <v>32500</v>
      </c>
      <c r="I162">
        <f t="shared" si="322"/>
        <v>3250</v>
      </c>
      <c r="J162">
        <f t="shared" si="323"/>
        <v>3900</v>
      </c>
      <c r="K162">
        <v>0</v>
      </c>
      <c r="L162">
        <v>500</v>
      </c>
      <c r="M162">
        <f t="shared" si="324"/>
        <v>40150</v>
      </c>
      <c r="N162">
        <v>4000</v>
      </c>
      <c r="O162">
        <v>0</v>
      </c>
      <c r="P162">
        <f t="shared" si="325"/>
        <v>200</v>
      </c>
      <c r="Q162">
        <f t="shared" si="326"/>
        <v>35950</v>
      </c>
      <c r="R162">
        <v>32500</v>
      </c>
      <c r="S162">
        <f t="shared" si="327"/>
        <v>3250</v>
      </c>
      <c r="T162">
        <f t="shared" si="328"/>
        <v>3900</v>
      </c>
      <c r="U162">
        <v>0</v>
      </c>
      <c r="V162">
        <v>500</v>
      </c>
      <c r="W162">
        <f t="shared" si="329"/>
        <v>40150</v>
      </c>
      <c r="X162">
        <v>4000</v>
      </c>
      <c r="Y162">
        <v>0</v>
      </c>
      <c r="Z162">
        <f t="shared" si="330"/>
        <v>200</v>
      </c>
      <c r="AA162">
        <f t="shared" si="331"/>
        <v>35950</v>
      </c>
      <c r="AB162">
        <v>32500</v>
      </c>
      <c r="AC162">
        <f t="shared" si="332"/>
        <v>4550</v>
      </c>
      <c r="AD162">
        <f t="shared" si="333"/>
        <v>3900</v>
      </c>
      <c r="AE162">
        <v>0</v>
      </c>
      <c r="AF162">
        <v>500</v>
      </c>
      <c r="AG162">
        <f t="shared" si="334"/>
        <v>41450</v>
      </c>
      <c r="AH162">
        <v>4000</v>
      </c>
      <c r="AI162">
        <v>0</v>
      </c>
      <c r="AJ162">
        <f t="shared" si="335"/>
        <v>200</v>
      </c>
      <c r="AK162">
        <f t="shared" si="336"/>
        <v>37250</v>
      </c>
      <c r="AL162">
        <v>32500</v>
      </c>
      <c r="AM162">
        <f t="shared" si="337"/>
        <v>4550</v>
      </c>
      <c r="AN162">
        <f t="shared" si="338"/>
        <v>3900</v>
      </c>
      <c r="AO162">
        <v>0</v>
      </c>
      <c r="AP162">
        <v>500</v>
      </c>
      <c r="AQ162">
        <f t="shared" si="339"/>
        <v>41450</v>
      </c>
      <c r="AR162">
        <v>4000</v>
      </c>
      <c r="AS162">
        <v>0</v>
      </c>
      <c r="AT162">
        <f t="shared" si="340"/>
        <v>200</v>
      </c>
      <c r="AU162">
        <f t="shared" si="341"/>
        <v>37250</v>
      </c>
      <c r="AV162">
        <v>34500</v>
      </c>
      <c r="AW162">
        <f t="shared" si="342"/>
        <v>4830.0000000000009</v>
      </c>
      <c r="AX162">
        <f t="shared" si="343"/>
        <v>1300</v>
      </c>
      <c r="AY162">
        <f t="shared" si="344"/>
        <v>4140</v>
      </c>
      <c r="AZ162">
        <v>0</v>
      </c>
      <c r="BA162">
        <v>500</v>
      </c>
      <c r="BB162">
        <f t="shared" si="345"/>
        <v>45270</v>
      </c>
      <c r="BC162">
        <v>4000</v>
      </c>
      <c r="BD162">
        <v>0</v>
      </c>
      <c r="BE162">
        <f t="shared" si="346"/>
        <v>200</v>
      </c>
      <c r="BF162">
        <f t="shared" si="347"/>
        <v>41070</v>
      </c>
      <c r="BG162">
        <v>34500</v>
      </c>
      <c r="BH162">
        <f t="shared" si="348"/>
        <v>4830.0000000000009</v>
      </c>
      <c r="BI162">
        <f t="shared" si="349"/>
        <v>4140</v>
      </c>
      <c r="BJ162">
        <v>0</v>
      </c>
      <c r="BK162">
        <v>500</v>
      </c>
      <c r="BL162">
        <f t="shared" si="350"/>
        <v>43970</v>
      </c>
      <c r="BM162">
        <v>4000</v>
      </c>
      <c r="BN162">
        <v>0</v>
      </c>
      <c r="BO162">
        <f t="shared" si="351"/>
        <v>200</v>
      </c>
      <c r="BP162">
        <f t="shared" si="352"/>
        <v>39770</v>
      </c>
      <c r="BQ162">
        <v>34500</v>
      </c>
      <c r="BR162">
        <f t="shared" si="353"/>
        <v>4830.0000000000009</v>
      </c>
      <c r="BS162">
        <f t="shared" si="354"/>
        <v>4140</v>
      </c>
      <c r="BT162">
        <v>0</v>
      </c>
      <c r="BU162">
        <v>500</v>
      </c>
      <c r="BV162">
        <f t="shared" si="355"/>
        <v>43970</v>
      </c>
      <c r="BW162">
        <v>4000</v>
      </c>
      <c r="BX162">
        <v>0</v>
      </c>
      <c r="BY162">
        <f t="shared" si="356"/>
        <v>200</v>
      </c>
      <c r="BZ162">
        <f t="shared" si="357"/>
        <v>39770</v>
      </c>
      <c r="CA162">
        <v>34500</v>
      </c>
      <c r="CB162">
        <f t="shared" si="358"/>
        <v>4830.0000000000009</v>
      </c>
      <c r="CC162">
        <f t="shared" si="359"/>
        <v>4140</v>
      </c>
      <c r="CD162">
        <v>0</v>
      </c>
      <c r="CE162">
        <v>500</v>
      </c>
      <c r="CF162">
        <f t="shared" si="360"/>
        <v>43970</v>
      </c>
      <c r="CG162">
        <v>4000</v>
      </c>
      <c r="CH162">
        <v>0</v>
      </c>
      <c r="CI162">
        <f t="shared" si="361"/>
        <v>200</v>
      </c>
      <c r="CJ162">
        <f t="shared" si="362"/>
        <v>39770</v>
      </c>
      <c r="CK162">
        <v>34500</v>
      </c>
      <c r="CL162">
        <f t="shared" si="363"/>
        <v>4830.0000000000009</v>
      </c>
      <c r="CM162">
        <f t="shared" si="364"/>
        <v>4140</v>
      </c>
      <c r="CN162">
        <v>0</v>
      </c>
      <c r="CO162">
        <v>500</v>
      </c>
      <c r="CP162">
        <f t="shared" si="365"/>
        <v>43970</v>
      </c>
      <c r="CQ162">
        <v>4000</v>
      </c>
      <c r="CR162">
        <v>0</v>
      </c>
      <c r="CS162">
        <f t="shared" si="366"/>
        <v>200</v>
      </c>
      <c r="CT162">
        <f t="shared" si="367"/>
        <v>39770</v>
      </c>
      <c r="CU162">
        <v>34500</v>
      </c>
      <c r="CV162">
        <f t="shared" si="368"/>
        <v>4830</v>
      </c>
      <c r="CW162">
        <f t="shared" si="369"/>
        <v>4140</v>
      </c>
      <c r="CX162">
        <v>0</v>
      </c>
      <c r="CY162">
        <v>500</v>
      </c>
      <c r="CZ162">
        <f t="shared" si="370"/>
        <v>43970</v>
      </c>
      <c r="DA162">
        <v>4000</v>
      </c>
      <c r="DB162">
        <v>0</v>
      </c>
      <c r="DC162">
        <f t="shared" si="371"/>
        <v>200</v>
      </c>
      <c r="DD162">
        <f t="shared" si="372"/>
        <v>39770</v>
      </c>
      <c r="DE162">
        <v>34500</v>
      </c>
      <c r="DF162">
        <f t="shared" si="373"/>
        <v>4830.0000000000009</v>
      </c>
      <c r="DG162">
        <f t="shared" si="374"/>
        <v>4140</v>
      </c>
      <c r="DH162">
        <v>0</v>
      </c>
      <c r="DI162">
        <v>500</v>
      </c>
      <c r="DJ162">
        <f t="shared" si="375"/>
        <v>43970</v>
      </c>
      <c r="DK162">
        <v>4000</v>
      </c>
      <c r="DL162">
        <v>0</v>
      </c>
      <c r="DM162">
        <f t="shared" si="376"/>
        <v>200</v>
      </c>
      <c r="DN162">
        <f t="shared" si="377"/>
        <v>39770</v>
      </c>
      <c r="DO162">
        <v>34500</v>
      </c>
      <c r="DP162">
        <f t="shared" si="378"/>
        <v>4830.0000000000009</v>
      </c>
      <c r="DQ162">
        <f t="shared" si="379"/>
        <v>4140</v>
      </c>
      <c r="DR162">
        <v>0</v>
      </c>
      <c r="DS162">
        <v>500</v>
      </c>
      <c r="DT162">
        <f t="shared" si="380"/>
        <v>43970</v>
      </c>
      <c r="DU162">
        <v>4000</v>
      </c>
      <c r="DV162">
        <v>0</v>
      </c>
      <c r="DW162">
        <f t="shared" si="381"/>
        <v>200</v>
      </c>
      <c r="DX162">
        <f t="shared" si="382"/>
        <v>39770</v>
      </c>
      <c r="DY162">
        <f t="shared" si="383"/>
        <v>522260</v>
      </c>
      <c r="DZ162">
        <f t="shared" si="315"/>
        <v>2400</v>
      </c>
      <c r="EA162">
        <f t="shared" si="316"/>
        <v>50000</v>
      </c>
      <c r="EB162">
        <v>0</v>
      </c>
      <c r="EC162">
        <f t="shared" si="317"/>
        <v>469860</v>
      </c>
      <c r="ED162">
        <f t="shared" si="318"/>
        <v>48000</v>
      </c>
      <c r="EE162">
        <f t="shared" si="319"/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f t="shared" si="320"/>
        <v>48000</v>
      </c>
      <c r="EQ162">
        <f t="shared" si="384"/>
        <v>48000</v>
      </c>
      <c r="ER162">
        <f t="shared" si="321"/>
        <v>421860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f t="shared" si="385"/>
        <v>0</v>
      </c>
      <c r="FA162">
        <f t="shared" si="386"/>
        <v>421860</v>
      </c>
      <c r="FB162">
        <f t="shared" si="387"/>
        <v>8593</v>
      </c>
      <c r="FC162">
        <f t="shared" si="388"/>
        <v>0</v>
      </c>
      <c r="FD162">
        <f t="shared" si="389"/>
        <v>8593</v>
      </c>
      <c r="FE162">
        <f t="shared" si="390"/>
        <v>0</v>
      </c>
      <c r="FF162">
        <f t="shared" si="391"/>
        <v>0</v>
      </c>
      <c r="FG162">
        <f t="shared" si="392"/>
        <v>0</v>
      </c>
      <c r="FH162">
        <v>0</v>
      </c>
      <c r="FI162">
        <f t="shared" si="393"/>
        <v>0</v>
      </c>
      <c r="FJ162" t="b">
        <f t="shared" si="394"/>
        <v>1</v>
      </c>
      <c r="FK162">
        <f t="shared" ca="1" si="395"/>
        <v>868</v>
      </c>
      <c r="FL162">
        <f t="shared" ca="1" si="396"/>
        <v>523128</v>
      </c>
      <c r="FM162">
        <f t="shared" si="397"/>
        <v>75000</v>
      </c>
      <c r="FN162">
        <f t="shared" ca="1" si="398"/>
        <v>448128</v>
      </c>
      <c r="FO162">
        <f t="shared" ca="1" si="399"/>
        <v>0</v>
      </c>
      <c r="FP162">
        <f t="shared" ca="1" si="400"/>
        <v>0</v>
      </c>
      <c r="FQ162">
        <f t="shared" ca="1" si="401"/>
        <v>0</v>
      </c>
      <c r="FR162">
        <f t="shared" ca="1" si="402"/>
        <v>0</v>
      </c>
      <c r="FS162">
        <f t="shared" ca="1" si="403"/>
        <v>0</v>
      </c>
      <c r="FT162">
        <f t="shared" ca="1" si="404"/>
        <v>0</v>
      </c>
      <c r="FU162">
        <f t="shared" ca="1" si="405"/>
        <v>0</v>
      </c>
      <c r="FV162">
        <f t="shared" ca="1" si="406"/>
        <v>0</v>
      </c>
      <c r="FW162">
        <f t="shared" ca="1" si="407"/>
        <v>148128</v>
      </c>
      <c r="FX162">
        <f t="shared" ca="1" si="408"/>
        <v>7406.4000000000005</v>
      </c>
      <c r="FY162">
        <f t="shared" ca="1" si="409"/>
        <v>7406</v>
      </c>
      <c r="FZ162">
        <f t="shared" ca="1" si="410"/>
        <v>0</v>
      </c>
      <c r="GA162">
        <f t="shared" ca="1" si="411"/>
        <v>0</v>
      </c>
      <c r="GB162">
        <f t="shared" ca="1" si="412"/>
        <v>7406</v>
      </c>
      <c r="GC162">
        <f t="shared" ca="1" si="413"/>
        <v>0</v>
      </c>
      <c r="GD162" t="b">
        <f t="shared" ca="1" si="414"/>
        <v>0</v>
      </c>
      <c r="GE162">
        <f t="shared" ca="1" si="415"/>
        <v>0</v>
      </c>
      <c r="GF162">
        <f t="shared" ca="1" si="416"/>
        <v>7406</v>
      </c>
      <c r="GG162">
        <f t="shared" ca="1" si="417"/>
        <v>0</v>
      </c>
      <c r="GH162">
        <f t="shared" ca="1" si="418"/>
        <v>0</v>
      </c>
      <c r="GI162">
        <f t="shared" ca="1" si="419"/>
        <v>0</v>
      </c>
    </row>
    <row r="163" spans="1:191" x14ac:dyDescent="0.25">
      <c r="A163">
        <f>_xlfn.AGGREGATE(3,5,$B$2:B163)</f>
        <v>162</v>
      </c>
      <c r="B163" t="s">
        <v>444</v>
      </c>
      <c r="C163" t="s">
        <v>445</v>
      </c>
      <c r="D163" t="s">
        <v>806</v>
      </c>
      <c r="E163" t="s">
        <v>843</v>
      </c>
      <c r="F163">
        <v>0</v>
      </c>
      <c r="G163">
        <v>6000</v>
      </c>
      <c r="H163">
        <v>32500</v>
      </c>
      <c r="I163">
        <f t="shared" si="322"/>
        <v>3250</v>
      </c>
      <c r="J163">
        <f t="shared" si="323"/>
        <v>3900</v>
      </c>
      <c r="K163">
        <v>0</v>
      </c>
      <c r="L163">
        <v>500</v>
      </c>
      <c r="M163">
        <f t="shared" si="324"/>
        <v>40150</v>
      </c>
      <c r="N163">
        <v>4000</v>
      </c>
      <c r="O163">
        <v>0</v>
      </c>
      <c r="P163">
        <f t="shared" si="325"/>
        <v>200</v>
      </c>
      <c r="Q163">
        <f t="shared" si="326"/>
        <v>35950</v>
      </c>
      <c r="R163">
        <v>32500</v>
      </c>
      <c r="S163">
        <f t="shared" si="327"/>
        <v>3250</v>
      </c>
      <c r="T163">
        <f t="shared" si="328"/>
        <v>3900</v>
      </c>
      <c r="U163">
        <v>0</v>
      </c>
      <c r="V163">
        <v>500</v>
      </c>
      <c r="W163">
        <f t="shared" si="329"/>
        <v>40150</v>
      </c>
      <c r="X163">
        <v>4000</v>
      </c>
      <c r="Y163">
        <v>0</v>
      </c>
      <c r="Z163">
        <f t="shared" si="330"/>
        <v>200</v>
      </c>
      <c r="AA163">
        <f t="shared" si="331"/>
        <v>35950</v>
      </c>
      <c r="AB163">
        <v>32500</v>
      </c>
      <c r="AC163">
        <f t="shared" si="332"/>
        <v>4550</v>
      </c>
      <c r="AD163">
        <f t="shared" si="333"/>
        <v>3900</v>
      </c>
      <c r="AE163">
        <v>0</v>
      </c>
      <c r="AF163">
        <v>500</v>
      </c>
      <c r="AG163">
        <f t="shared" si="334"/>
        <v>41450</v>
      </c>
      <c r="AH163">
        <v>4000</v>
      </c>
      <c r="AI163">
        <v>0</v>
      </c>
      <c r="AJ163">
        <f t="shared" si="335"/>
        <v>200</v>
      </c>
      <c r="AK163">
        <f t="shared" si="336"/>
        <v>37250</v>
      </c>
      <c r="AL163">
        <v>32500</v>
      </c>
      <c r="AM163">
        <f t="shared" si="337"/>
        <v>4550</v>
      </c>
      <c r="AN163">
        <f t="shared" si="338"/>
        <v>3900</v>
      </c>
      <c r="AO163">
        <v>0</v>
      </c>
      <c r="AP163">
        <v>500</v>
      </c>
      <c r="AQ163">
        <f t="shared" si="339"/>
        <v>41450</v>
      </c>
      <c r="AR163">
        <v>4000</v>
      </c>
      <c r="AS163">
        <v>0</v>
      </c>
      <c r="AT163">
        <f t="shared" si="340"/>
        <v>200</v>
      </c>
      <c r="AU163">
        <f t="shared" si="341"/>
        <v>37250</v>
      </c>
      <c r="AV163">
        <v>34500</v>
      </c>
      <c r="AW163">
        <f t="shared" si="342"/>
        <v>4830.0000000000009</v>
      </c>
      <c r="AX163">
        <f t="shared" si="343"/>
        <v>1300</v>
      </c>
      <c r="AY163">
        <f t="shared" si="344"/>
        <v>4140</v>
      </c>
      <c r="AZ163">
        <v>0</v>
      </c>
      <c r="BA163">
        <v>500</v>
      </c>
      <c r="BB163">
        <f t="shared" si="345"/>
        <v>45270</v>
      </c>
      <c r="BC163">
        <v>4000</v>
      </c>
      <c r="BD163">
        <v>0</v>
      </c>
      <c r="BE163">
        <f t="shared" si="346"/>
        <v>200</v>
      </c>
      <c r="BF163">
        <f t="shared" si="347"/>
        <v>41070</v>
      </c>
      <c r="BG163">
        <v>34500</v>
      </c>
      <c r="BH163">
        <f t="shared" si="348"/>
        <v>4830.0000000000009</v>
      </c>
      <c r="BI163">
        <f t="shared" si="349"/>
        <v>4140</v>
      </c>
      <c r="BJ163">
        <v>0</v>
      </c>
      <c r="BK163">
        <v>500</v>
      </c>
      <c r="BL163">
        <f t="shared" si="350"/>
        <v>43970</v>
      </c>
      <c r="BM163">
        <v>4000</v>
      </c>
      <c r="BN163">
        <v>0</v>
      </c>
      <c r="BO163">
        <f t="shared" si="351"/>
        <v>200</v>
      </c>
      <c r="BP163">
        <f t="shared" si="352"/>
        <v>39770</v>
      </c>
      <c r="BQ163">
        <v>34500</v>
      </c>
      <c r="BR163">
        <f t="shared" si="353"/>
        <v>4830.0000000000009</v>
      </c>
      <c r="BS163">
        <f t="shared" si="354"/>
        <v>4140</v>
      </c>
      <c r="BT163">
        <v>0</v>
      </c>
      <c r="BU163">
        <v>500</v>
      </c>
      <c r="BV163">
        <f t="shared" si="355"/>
        <v>43970</v>
      </c>
      <c r="BW163">
        <v>4000</v>
      </c>
      <c r="BX163">
        <v>0</v>
      </c>
      <c r="BY163">
        <f t="shared" si="356"/>
        <v>200</v>
      </c>
      <c r="BZ163">
        <f t="shared" si="357"/>
        <v>39770</v>
      </c>
      <c r="CA163">
        <v>34500</v>
      </c>
      <c r="CB163">
        <f t="shared" si="358"/>
        <v>4830.0000000000009</v>
      </c>
      <c r="CC163">
        <f t="shared" si="359"/>
        <v>4140</v>
      </c>
      <c r="CD163">
        <v>0</v>
      </c>
      <c r="CE163">
        <v>500</v>
      </c>
      <c r="CF163">
        <f t="shared" si="360"/>
        <v>43970</v>
      </c>
      <c r="CG163">
        <v>4000</v>
      </c>
      <c r="CH163">
        <v>0</v>
      </c>
      <c r="CI163">
        <f t="shared" si="361"/>
        <v>200</v>
      </c>
      <c r="CJ163">
        <f t="shared" si="362"/>
        <v>39770</v>
      </c>
      <c r="CK163">
        <v>34500</v>
      </c>
      <c r="CL163">
        <f t="shared" si="363"/>
        <v>4830.0000000000009</v>
      </c>
      <c r="CM163">
        <f t="shared" si="364"/>
        <v>4140</v>
      </c>
      <c r="CN163">
        <v>0</v>
      </c>
      <c r="CO163">
        <v>500</v>
      </c>
      <c r="CP163">
        <f t="shared" si="365"/>
        <v>43970</v>
      </c>
      <c r="CQ163">
        <v>4000</v>
      </c>
      <c r="CR163">
        <v>0</v>
      </c>
      <c r="CS163">
        <f t="shared" si="366"/>
        <v>200</v>
      </c>
      <c r="CT163">
        <f t="shared" si="367"/>
        <v>39770</v>
      </c>
      <c r="CU163">
        <v>34500</v>
      </c>
      <c r="CV163">
        <f t="shared" si="368"/>
        <v>4830</v>
      </c>
      <c r="CW163">
        <f t="shared" si="369"/>
        <v>4140</v>
      </c>
      <c r="CX163">
        <v>0</v>
      </c>
      <c r="CY163">
        <v>500</v>
      </c>
      <c r="CZ163">
        <f t="shared" si="370"/>
        <v>43970</v>
      </c>
      <c r="DA163">
        <v>4000</v>
      </c>
      <c r="DB163">
        <v>0</v>
      </c>
      <c r="DC163">
        <f t="shared" si="371"/>
        <v>200</v>
      </c>
      <c r="DD163">
        <f t="shared" si="372"/>
        <v>39770</v>
      </c>
      <c r="DE163">
        <v>34500</v>
      </c>
      <c r="DF163">
        <f t="shared" si="373"/>
        <v>4830.0000000000009</v>
      </c>
      <c r="DG163">
        <f t="shared" si="374"/>
        <v>4140</v>
      </c>
      <c r="DH163">
        <v>0</v>
      </c>
      <c r="DI163">
        <v>500</v>
      </c>
      <c r="DJ163">
        <f t="shared" si="375"/>
        <v>43970</v>
      </c>
      <c r="DK163">
        <v>4000</v>
      </c>
      <c r="DL163">
        <v>0</v>
      </c>
      <c r="DM163">
        <f t="shared" si="376"/>
        <v>200</v>
      </c>
      <c r="DN163">
        <f t="shared" si="377"/>
        <v>39770</v>
      </c>
      <c r="DO163">
        <v>34500</v>
      </c>
      <c r="DP163">
        <f t="shared" si="378"/>
        <v>4830.0000000000009</v>
      </c>
      <c r="DQ163">
        <f t="shared" si="379"/>
        <v>4140</v>
      </c>
      <c r="DR163">
        <v>0</v>
      </c>
      <c r="DS163">
        <v>500</v>
      </c>
      <c r="DT163">
        <f t="shared" si="380"/>
        <v>43970</v>
      </c>
      <c r="DU163">
        <v>4000</v>
      </c>
      <c r="DV163">
        <v>0</v>
      </c>
      <c r="DW163">
        <f t="shared" si="381"/>
        <v>200</v>
      </c>
      <c r="DX163">
        <f t="shared" si="382"/>
        <v>39770</v>
      </c>
      <c r="DY163">
        <f t="shared" si="383"/>
        <v>522260</v>
      </c>
      <c r="DZ163">
        <f t="shared" si="315"/>
        <v>2400</v>
      </c>
      <c r="EA163">
        <f t="shared" si="316"/>
        <v>50000</v>
      </c>
      <c r="EB163">
        <v>0</v>
      </c>
      <c r="EC163">
        <f t="shared" si="317"/>
        <v>469860</v>
      </c>
      <c r="ED163">
        <f t="shared" si="318"/>
        <v>48000</v>
      </c>
      <c r="EE163">
        <f t="shared" si="319"/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f t="shared" si="320"/>
        <v>48000</v>
      </c>
      <c r="EQ163">
        <f t="shared" si="384"/>
        <v>48000</v>
      </c>
      <c r="ER163">
        <f t="shared" si="321"/>
        <v>421860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f t="shared" si="385"/>
        <v>0</v>
      </c>
      <c r="FA163">
        <f t="shared" si="386"/>
        <v>421860</v>
      </c>
      <c r="FB163">
        <f t="shared" si="387"/>
        <v>8593</v>
      </c>
      <c r="FC163">
        <f t="shared" si="388"/>
        <v>0</v>
      </c>
      <c r="FD163">
        <f t="shared" si="389"/>
        <v>8593</v>
      </c>
      <c r="FE163">
        <f t="shared" si="390"/>
        <v>0</v>
      </c>
      <c r="FF163">
        <f t="shared" si="391"/>
        <v>0</v>
      </c>
      <c r="FG163">
        <f t="shared" si="392"/>
        <v>0</v>
      </c>
      <c r="FH163">
        <v>0</v>
      </c>
      <c r="FI163">
        <f t="shared" si="393"/>
        <v>0</v>
      </c>
      <c r="FJ163" t="b">
        <f t="shared" si="394"/>
        <v>1</v>
      </c>
      <c r="FK163">
        <f t="shared" ca="1" si="395"/>
        <v>612</v>
      </c>
      <c r="FL163">
        <f t="shared" ca="1" si="396"/>
        <v>522872</v>
      </c>
      <c r="FM163">
        <f t="shared" si="397"/>
        <v>75000</v>
      </c>
      <c r="FN163">
        <f t="shared" ca="1" si="398"/>
        <v>447872</v>
      </c>
      <c r="FO163">
        <f t="shared" ca="1" si="399"/>
        <v>0</v>
      </c>
      <c r="FP163">
        <f t="shared" ca="1" si="400"/>
        <v>0</v>
      </c>
      <c r="FQ163">
        <f t="shared" ca="1" si="401"/>
        <v>0</v>
      </c>
      <c r="FR163">
        <f t="shared" ca="1" si="402"/>
        <v>0</v>
      </c>
      <c r="FS163">
        <f t="shared" ca="1" si="403"/>
        <v>0</v>
      </c>
      <c r="FT163">
        <f t="shared" ca="1" si="404"/>
        <v>0</v>
      </c>
      <c r="FU163">
        <f t="shared" ca="1" si="405"/>
        <v>0</v>
      </c>
      <c r="FV163">
        <f t="shared" ca="1" si="406"/>
        <v>0</v>
      </c>
      <c r="FW163">
        <f t="shared" ca="1" si="407"/>
        <v>147872</v>
      </c>
      <c r="FX163">
        <f t="shared" ca="1" si="408"/>
        <v>7393.6</v>
      </c>
      <c r="FY163">
        <f t="shared" ca="1" si="409"/>
        <v>7394</v>
      </c>
      <c r="FZ163">
        <f t="shared" ca="1" si="410"/>
        <v>0</v>
      </c>
      <c r="GA163">
        <f t="shared" ca="1" si="411"/>
        <v>0</v>
      </c>
      <c r="GB163">
        <f t="shared" ca="1" si="412"/>
        <v>7394</v>
      </c>
      <c r="GC163">
        <f t="shared" ca="1" si="413"/>
        <v>0</v>
      </c>
      <c r="GD163" t="b">
        <f t="shared" ca="1" si="414"/>
        <v>0</v>
      </c>
      <c r="GE163">
        <f t="shared" ca="1" si="415"/>
        <v>0</v>
      </c>
      <c r="GF163">
        <f t="shared" ca="1" si="416"/>
        <v>7394</v>
      </c>
      <c r="GG163">
        <f t="shared" ca="1" si="417"/>
        <v>0</v>
      </c>
      <c r="GH163">
        <f t="shared" ca="1" si="418"/>
        <v>0</v>
      </c>
      <c r="GI163">
        <f t="shared" ca="1" si="419"/>
        <v>0</v>
      </c>
    </row>
    <row r="164" spans="1:191" x14ac:dyDescent="0.25">
      <c r="A164">
        <f>_xlfn.AGGREGATE(3,5,$B$2:B164)</f>
        <v>163</v>
      </c>
      <c r="B164" t="s">
        <v>446</v>
      </c>
      <c r="C164" t="s">
        <v>447</v>
      </c>
      <c r="D164" t="s">
        <v>806</v>
      </c>
      <c r="E164" t="s">
        <v>843</v>
      </c>
      <c r="F164">
        <v>0</v>
      </c>
      <c r="G164">
        <v>6000</v>
      </c>
      <c r="H164">
        <v>32500</v>
      </c>
      <c r="I164">
        <f t="shared" si="322"/>
        <v>3250</v>
      </c>
      <c r="J164">
        <f t="shared" si="323"/>
        <v>3900</v>
      </c>
      <c r="K164">
        <v>0</v>
      </c>
      <c r="L164">
        <v>500</v>
      </c>
      <c r="M164">
        <f t="shared" si="324"/>
        <v>40150</v>
      </c>
      <c r="N164">
        <v>4000</v>
      </c>
      <c r="O164">
        <v>0</v>
      </c>
      <c r="P164">
        <f t="shared" si="325"/>
        <v>200</v>
      </c>
      <c r="Q164">
        <f t="shared" si="326"/>
        <v>35950</v>
      </c>
      <c r="R164">
        <v>32500</v>
      </c>
      <c r="S164">
        <f t="shared" si="327"/>
        <v>3250</v>
      </c>
      <c r="T164">
        <f t="shared" si="328"/>
        <v>3900</v>
      </c>
      <c r="U164">
        <v>0</v>
      </c>
      <c r="V164">
        <v>500</v>
      </c>
      <c r="W164">
        <f t="shared" si="329"/>
        <v>40150</v>
      </c>
      <c r="X164">
        <v>4000</v>
      </c>
      <c r="Y164">
        <v>0</v>
      </c>
      <c r="Z164">
        <f t="shared" si="330"/>
        <v>200</v>
      </c>
      <c r="AA164">
        <f t="shared" si="331"/>
        <v>35950</v>
      </c>
      <c r="AB164">
        <v>32500</v>
      </c>
      <c r="AC164">
        <f t="shared" si="332"/>
        <v>4550</v>
      </c>
      <c r="AD164">
        <f t="shared" si="333"/>
        <v>3900</v>
      </c>
      <c r="AE164">
        <v>0</v>
      </c>
      <c r="AF164">
        <v>500</v>
      </c>
      <c r="AG164">
        <f t="shared" si="334"/>
        <v>41450</v>
      </c>
      <c r="AH164">
        <v>4000</v>
      </c>
      <c r="AI164">
        <v>0</v>
      </c>
      <c r="AJ164">
        <f t="shared" si="335"/>
        <v>200</v>
      </c>
      <c r="AK164">
        <f t="shared" si="336"/>
        <v>37250</v>
      </c>
      <c r="AL164">
        <v>32500</v>
      </c>
      <c r="AM164">
        <f t="shared" si="337"/>
        <v>4550</v>
      </c>
      <c r="AN164">
        <f t="shared" si="338"/>
        <v>3900</v>
      </c>
      <c r="AO164">
        <v>0</v>
      </c>
      <c r="AP164">
        <v>500</v>
      </c>
      <c r="AQ164">
        <f t="shared" si="339"/>
        <v>41450</v>
      </c>
      <c r="AR164">
        <v>4000</v>
      </c>
      <c r="AS164">
        <v>0</v>
      </c>
      <c r="AT164">
        <f t="shared" si="340"/>
        <v>200</v>
      </c>
      <c r="AU164">
        <f t="shared" si="341"/>
        <v>37250</v>
      </c>
      <c r="AV164">
        <v>34500</v>
      </c>
      <c r="AW164">
        <f t="shared" si="342"/>
        <v>4830.0000000000009</v>
      </c>
      <c r="AX164">
        <f t="shared" si="343"/>
        <v>1300</v>
      </c>
      <c r="AY164">
        <f t="shared" si="344"/>
        <v>4140</v>
      </c>
      <c r="AZ164">
        <v>0</v>
      </c>
      <c r="BA164">
        <v>500</v>
      </c>
      <c r="BB164">
        <f t="shared" si="345"/>
        <v>45270</v>
      </c>
      <c r="BC164">
        <v>4000</v>
      </c>
      <c r="BD164">
        <v>0</v>
      </c>
      <c r="BE164">
        <f t="shared" si="346"/>
        <v>200</v>
      </c>
      <c r="BF164">
        <f t="shared" si="347"/>
        <v>41070</v>
      </c>
      <c r="BG164">
        <v>34500</v>
      </c>
      <c r="BH164">
        <f t="shared" si="348"/>
        <v>4830.0000000000009</v>
      </c>
      <c r="BI164">
        <f t="shared" si="349"/>
        <v>4140</v>
      </c>
      <c r="BJ164">
        <v>0</v>
      </c>
      <c r="BK164">
        <v>500</v>
      </c>
      <c r="BL164">
        <f t="shared" si="350"/>
        <v>43970</v>
      </c>
      <c r="BM164">
        <v>4000</v>
      </c>
      <c r="BN164">
        <v>0</v>
      </c>
      <c r="BO164">
        <f t="shared" si="351"/>
        <v>200</v>
      </c>
      <c r="BP164">
        <f t="shared" si="352"/>
        <v>39770</v>
      </c>
      <c r="BQ164">
        <v>34500</v>
      </c>
      <c r="BR164">
        <f t="shared" si="353"/>
        <v>4830.0000000000009</v>
      </c>
      <c r="BS164">
        <f t="shared" si="354"/>
        <v>4140</v>
      </c>
      <c r="BT164">
        <v>0</v>
      </c>
      <c r="BU164">
        <v>500</v>
      </c>
      <c r="BV164">
        <f t="shared" si="355"/>
        <v>43970</v>
      </c>
      <c r="BW164">
        <v>4000</v>
      </c>
      <c r="BX164">
        <v>0</v>
      </c>
      <c r="BY164">
        <f t="shared" si="356"/>
        <v>200</v>
      </c>
      <c r="BZ164">
        <f t="shared" si="357"/>
        <v>39770</v>
      </c>
      <c r="CA164">
        <v>34500</v>
      </c>
      <c r="CB164">
        <f t="shared" si="358"/>
        <v>4830.0000000000009</v>
      </c>
      <c r="CC164">
        <f t="shared" si="359"/>
        <v>4140</v>
      </c>
      <c r="CD164">
        <v>0</v>
      </c>
      <c r="CE164">
        <v>500</v>
      </c>
      <c r="CF164">
        <f t="shared" si="360"/>
        <v>43970</v>
      </c>
      <c r="CG164">
        <v>4000</v>
      </c>
      <c r="CH164">
        <v>0</v>
      </c>
      <c r="CI164">
        <f t="shared" si="361"/>
        <v>200</v>
      </c>
      <c r="CJ164">
        <f t="shared" si="362"/>
        <v>39770</v>
      </c>
      <c r="CK164">
        <v>34500</v>
      </c>
      <c r="CL164">
        <f t="shared" si="363"/>
        <v>4830.0000000000009</v>
      </c>
      <c r="CM164">
        <f t="shared" si="364"/>
        <v>4140</v>
      </c>
      <c r="CN164">
        <v>0</v>
      </c>
      <c r="CO164">
        <v>500</v>
      </c>
      <c r="CP164">
        <f t="shared" si="365"/>
        <v>43970</v>
      </c>
      <c r="CQ164">
        <v>4000</v>
      </c>
      <c r="CR164">
        <v>0</v>
      </c>
      <c r="CS164">
        <f t="shared" si="366"/>
        <v>200</v>
      </c>
      <c r="CT164">
        <f t="shared" si="367"/>
        <v>39770</v>
      </c>
      <c r="CU164">
        <v>34500</v>
      </c>
      <c r="CV164">
        <f t="shared" si="368"/>
        <v>4830</v>
      </c>
      <c r="CW164">
        <f t="shared" si="369"/>
        <v>4140</v>
      </c>
      <c r="CX164">
        <v>0</v>
      </c>
      <c r="CY164">
        <v>500</v>
      </c>
      <c r="CZ164">
        <f t="shared" si="370"/>
        <v>43970</v>
      </c>
      <c r="DA164">
        <v>4000</v>
      </c>
      <c r="DB164">
        <v>0</v>
      </c>
      <c r="DC164">
        <f t="shared" si="371"/>
        <v>200</v>
      </c>
      <c r="DD164">
        <f t="shared" si="372"/>
        <v>39770</v>
      </c>
      <c r="DE164">
        <v>34500</v>
      </c>
      <c r="DF164">
        <f t="shared" si="373"/>
        <v>4830.0000000000009</v>
      </c>
      <c r="DG164">
        <f t="shared" si="374"/>
        <v>4140</v>
      </c>
      <c r="DH164">
        <v>0</v>
      </c>
      <c r="DI164">
        <v>500</v>
      </c>
      <c r="DJ164">
        <f t="shared" si="375"/>
        <v>43970</v>
      </c>
      <c r="DK164">
        <v>4000</v>
      </c>
      <c r="DL164">
        <v>0</v>
      </c>
      <c r="DM164">
        <f t="shared" si="376"/>
        <v>200</v>
      </c>
      <c r="DN164">
        <f t="shared" si="377"/>
        <v>39770</v>
      </c>
      <c r="DO164">
        <v>34500</v>
      </c>
      <c r="DP164">
        <f t="shared" si="378"/>
        <v>4830.0000000000009</v>
      </c>
      <c r="DQ164">
        <f t="shared" si="379"/>
        <v>4140</v>
      </c>
      <c r="DR164">
        <v>0</v>
      </c>
      <c r="DS164">
        <v>500</v>
      </c>
      <c r="DT164">
        <f t="shared" si="380"/>
        <v>43970</v>
      </c>
      <c r="DU164">
        <v>4000</v>
      </c>
      <c r="DV164">
        <v>0</v>
      </c>
      <c r="DW164">
        <f t="shared" si="381"/>
        <v>200</v>
      </c>
      <c r="DX164">
        <f t="shared" si="382"/>
        <v>39770</v>
      </c>
      <c r="DY164">
        <f t="shared" si="383"/>
        <v>522260</v>
      </c>
      <c r="DZ164">
        <f t="shared" si="315"/>
        <v>2400</v>
      </c>
      <c r="EA164">
        <f t="shared" si="316"/>
        <v>50000</v>
      </c>
      <c r="EB164">
        <v>0</v>
      </c>
      <c r="EC164">
        <f t="shared" si="317"/>
        <v>469860</v>
      </c>
      <c r="ED164">
        <f t="shared" si="318"/>
        <v>48000</v>
      </c>
      <c r="EE164">
        <f t="shared" si="319"/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f t="shared" si="320"/>
        <v>48000</v>
      </c>
      <c r="EQ164">
        <f t="shared" si="384"/>
        <v>48000</v>
      </c>
      <c r="ER164">
        <f t="shared" si="321"/>
        <v>421860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f t="shared" si="385"/>
        <v>0</v>
      </c>
      <c r="FA164">
        <f t="shared" si="386"/>
        <v>421860</v>
      </c>
      <c r="FB164">
        <f t="shared" si="387"/>
        <v>8593</v>
      </c>
      <c r="FC164">
        <f t="shared" si="388"/>
        <v>0</v>
      </c>
      <c r="FD164">
        <f t="shared" si="389"/>
        <v>8593</v>
      </c>
      <c r="FE164">
        <f t="shared" si="390"/>
        <v>0</v>
      </c>
      <c r="FF164">
        <f t="shared" si="391"/>
        <v>0</v>
      </c>
      <c r="FG164">
        <f t="shared" si="392"/>
        <v>0</v>
      </c>
      <c r="FH164">
        <v>0</v>
      </c>
      <c r="FI164">
        <f t="shared" si="393"/>
        <v>0</v>
      </c>
      <c r="FJ164" t="b">
        <f t="shared" si="394"/>
        <v>1</v>
      </c>
      <c r="FK164">
        <f t="shared" ca="1" si="395"/>
        <v>740</v>
      </c>
      <c r="FL164">
        <f t="shared" ca="1" si="396"/>
        <v>523000</v>
      </c>
      <c r="FM164">
        <f t="shared" si="397"/>
        <v>75000</v>
      </c>
      <c r="FN164">
        <f t="shared" ca="1" si="398"/>
        <v>448000</v>
      </c>
      <c r="FO164">
        <f t="shared" ca="1" si="399"/>
        <v>0</v>
      </c>
      <c r="FP164">
        <f t="shared" ca="1" si="400"/>
        <v>0</v>
      </c>
      <c r="FQ164">
        <f t="shared" ca="1" si="401"/>
        <v>0</v>
      </c>
      <c r="FR164">
        <f t="shared" ca="1" si="402"/>
        <v>0</v>
      </c>
      <c r="FS164">
        <f t="shared" ca="1" si="403"/>
        <v>0</v>
      </c>
      <c r="FT164">
        <f t="shared" ca="1" si="404"/>
        <v>0</v>
      </c>
      <c r="FU164">
        <f t="shared" ca="1" si="405"/>
        <v>0</v>
      </c>
      <c r="FV164">
        <f t="shared" ca="1" si="406"/>
        <v>0</v>
      </c>
      <c r="FW164">
        <f t="shared" ca="1" si="407"/>
        <v>148000</v>
      </c>
      <c r="FX164">
        <f t="shared" ca="1" si="408"/>
        <v>7400</v>
      </c>
      <c r="FY164">
        <f t="shared" ca="1" si="409"/>
        <v>7400</v>
      </c>
      <c r="FZ164">
        <f t="shared" ca="1" si="410"/>
        <v>0</v>
      </c>
      <c r="GA164">
        <f t="shared" ca="1" si="411"/>
        <v>0</v>
      </c>
      <c r="GB164">
        <f t="shared" ca="1" si="412"/>
        <v>7400</v>
      </c>
      <c r="GC164">
        <f t="shared" ca="1" si="413"/>
        <v>0</v>
      </c>
      <c r="GD164" t="b">
        <f t="shared" ca="1" si="414"/>
        <v>0</v>
      </c>
      <c r="GE164">
        <f t="shared" ca="1" si="415"/>
        <v>0</v>
      </c>
      <c r="GF164">
        <f t="shared" ca="1" si="416"/>
        <v>7400</v>
      </c>
      <c r="GG164">
        <f t="shared" ca="1" si="417"/>
        <v>0</v>
      </c>
      <c r="GH164">
        <f t="shared" ca="1" si="418"/>
        <v>0</v>
      </c>
      <c r="GI164">
        <f t="shared" ca="1" si="419"/>
        <v>0</v>
      </c>
    </row>
    <row r="165" spans="1:191" x14ac:dyDescent="0.25">
      <c r="A165">
        <f>_xlfn.AGGREGATE(3,5,$B$2:B165)</f>
        <v>164</v>
      </c>
      <c r="B165" t="s">
        <v>448</v>
      </c>
      <c r="C165" t="s">
        <v>449</v>
      </c>
      <c r="D165" t="s">
        <v>806</v>
      </c>
      <c r="E165" t="s">
        <v>843</v>
      </c>
      <c r="F165">
        <v>0</v>
      </c>
      <c r="G165">
        <v>6000</v>
      </c>
      <c r="H165">
        <v>32500</v>
      </c>
      <c r="I165">
        <f t="shared" si="322"/>
        <v>3250</v>
      </c>
      <c r="J165">
        <f t="shared" si="323"/>
        <v>3900</v>
      </c>
      <c r="K165">
        <v>0</v>
      </c>
      <c r="L165">
        <v>500</v>
      </c>
      <c r="M165">
        <f t="shared" si="324"/>
        <v>40150</v>
      </c>
      <c r="N165">
        <v>4000</v>
      </c>
      <c r="O165">
        <v>0</v>
      </c>
      <c r="P165">
        <f t="shared" si="325"/>
        <v>200</v>
      </c>
      <c r="Q165">
        <f t="shared" si="326"/>
        <v>35950</v>
      </c>
      <c r="R165">
        <v>32500</v>
      </c>
      <c r="S165">
        <f t="shared" si="327"/>
        <v>3250</v>
      </c>
      <c r="T165">
        <f t="shared" si="328"/>
        <v>3900</v>
      </c>
      <c r="U165">
        <v>0</v>
      </c>
      <c r="V165">
        <v>500</v>
      </c>
      <c r="W165">
        <f t="shared" si="329"/>
        <v>40150</v>
      </c>
      <c r="X165">
        <v>4000</v>
      </c>
      <c r="Y165">
        <v>0</v>
      </c>
      <c r="Z165">
        <f t="shared" si="330"/>
        <v>200</v>
      </c>
      <c r="AA165">
        <f t="shared" si="331"/>
        <v>35950</v>
      </c>
      <c r="AB165">
        <v>32500</v>
      </c>
      <c r="AC165">
        <f t="shared" si="332"/>
        <v>4550</v>
      </c>
      <c r="AD165">
        <f t="shared" si="333"/>
        <v>3900</v>
      </c>
      <c r="AE165">
        <v>0</v>
      </c>
      <c r="AF165">
        <v>500</v>
      </c>
      <c r="AG165">
        <f t="shared" si="334"/>
        <v>41450</v>
      </c>
      <c r="AH165">
        <v>4000</v>
      </c>
      <c r="AI165">
        <v>0</v>
      </c>
      <c r="AJ165">
        <f t="shared" si="335"/>
        <v>200</v>
      </c>
      <c r="AK165">
        <f t="shared" si="336"/>
        <v>37250</v>
      </c>
      <c r="AL165">
        <v>32500</v>
      </c>
      <c r="AM165">
        <f t="shared" si="337"/>
        <v>4550</v>
      </c>
      <c r="AN165">
        <f t="shared" si="338"/>
        <v>3900</v>
      </c>
      <c r="AO165">
        <v>0</v>
      </c>
      <c r="AP165">
        <v>500</v>
      </c>
      <c r="AQ165">
        <f t="shared" si="339"/>
        <v>41450</v>
      </c>
      <c r="AR165">
        <v>4000</v>
      </c>
      <c r="AS165">
        <v>0</v>
      </c>
      <c r="AT165">
        <f t="shared" si="340"/>
        <v>200</v>
      </c>
      <c r="AU165">
        <f t="shared" si="341"/>
        <v>37250</v>
      </c>
      <c r="AV165">
        <v>34500</v>
      </c>
      <c r="AW165">
        <f t="shared" si="342"/>
        <v>4830.0000000000009</v>
      </c>
      <c r="AX165">
        <f t="shared" si="343"/>
        <v>1300</v>
      </c>
      <c r="AY165">
        <f t="shared" si="344"/>
        <v>4140</v>
      </c>
      <c r="AZ165">
        <v>0</v>
      </c>
      <c r="BA165">
        <v>500</v>
      </c>
      <c r="BB165">
        <f t="shared" si="345"/>
        <v>45270</v>
      </c>
      <c r="BC165">
        <v>4000</v>
      </c>
      <c r="BD165">
        <v>0</v>
      </c>
      <c r="BE165">
        <f t="shared" si="346"/>
        <v>200</v>
      </c>
      <c r="BF165">
        <f t="shared" si="347"/>
        <v>41070</v>
      </c>
      <c r="BG165">
        <v>34500</v>
      </c>
      <c r="BH165">
        <f t="shared" si="348"/>
        <v>4830.0000000000009</v>
      </c>
      <c r="BI165">
        <f t="shared" si="349"/>
        <v>4140</v>
      </c>
      <c r="BJ165">
        <v>0</v>
      </c>
      <c r="BK165">
        <v>500</v>
      </c>
      <c r="BL165">
        <f t="shared" si="350"/>
        <v>43970</v>
      </c>
      <c r="BM165">
        <v>4000</v>
      </c>
      <c r="BN165">
        <v>0</v>
      </c>
      <c r="BO165">
        <f t="shared" si="351"/>
        <v>200</v>
      </c>
      <c r="BP165">
        <f t="shared" si="352"/>
        <v>39770</v>
      </c>
      <c r="BQ165">
        <v>34500</v>
      </c>
      <c r="BR165">
        <f t="shared" si="353"/>
        <v>4830.0000000000009</v>
      </c>
      <c r="BS165">
        <f t="shared" si="354"/>
        <v>4140</v>
      </c>
      <c r="BT165">
        <v>0</v>
      </c>
      <c r="BU165">
        <v>500</v>
      </c>
      <c r="BV165">
        <f t="shared" si="355"/>
        <v>43970</v>
      </c>
      <c r="BW165">
        <v>4000</v>
      </c>
      <c r="BX165">
        <v>0</v>
      </c>
      <c r="BY165">
        <f t="shared" si="356"/>
        <v>200</v>
      </c>
      <c r="BZ165">
        <f t="shared" si="357"/>
        <v>39770</v>
      </c>
      <c r="CA165">
        <v>34500</v>
      </c>
      <c r="CB165">
        <f t="shared" si="358"/>
        <v>4830.0000000000009</v>
      </c>
      <c r="CC165">
        <f t="shared" si="359"/>
        <v>4140</v>
      </c>
      <c r="CD165">
        <v>0</v>
      </c>
      <c r="CE165">
        <v>500</v>
      </c>
      <c r="CF165">
        <f t="shared" si="360"/>
        <v>43970</v>
      </c>
      <c r="CG165">
        <v>4000</v>
      </c>
      <c r="CH165">
        <v>0</v>
      </c>
      <c r="CI165">
        <f t="shared" si="361"/>
        <v>200</v>
      </c>
      <c r="CJ165">
        <f t="shared" si="362"/>
        <v>39770</v>
      </c>
      <c r="CK165">
        <v>34500</v>
      </c>
      <c r="CL165">
        <f t="shared" si="363"/>
        <v>4830.0000000000009</v>
      </c>
      <c r="CM165">
        <f t="shared" si="364"/>
        <v>4140</v>
      </c>
      <c r="CN165">
        <v>0</v>
      </c>
      <c r="CO165">
        <v>500</v>
      </c>
      <c r="CP165">
        <f t="shared" si="365"/>
        <v>43970</v>
      </c>
      <c r="CQ165">
        <v>4000</v>
      </c>
      <c r="CR165">
        <v>0</v>
      </c>
      <c r="CS165">
        <f t="shared" si="366"/>
        <v>200</v>
      </c>
      <c r="CT165">
        <f t="shared" si="367"/>
        <v>39770</v>
      </c>
      <c r="CU165">
        <v>34500</v>
      </c>
      <c r="CV165">
        <f t="shared" si="368"/>
        <v>4830</v>
      </c>
      <c r="CW165">
        <f t="shared" si="369"/>
        <v>4140</v>
      </c>
      <c r="CX165">
        <v>0</v>
      </c>
      <c r="CY165">
        <v>500</v>
      </c>
      <c r="CZ165">
        <f t="shared" si="370"/>
        <v>43970</v>
      </c>
      <c r="DA165">
        <v>4000</v>
      </c>
      <c r="DB165">
        <v>0</v>
      </c>
      <c r="DC165">
        <f t="shared" si="371"/>
        <v>200</v>
      </c>
      <c r="DD165">
        <f t="shared" si="372"/>
        <v>39770</v>
      </c>
      <c r="DE165">
        <v>34500</v>
      </c>
      <c r="DF165">
        <f t="shared" si="373"/>
        <v>4830.0000000000009</v>
      </c>
      <c r="DG165">
        <f t="shared" si="374"/>
        <v>4140</v>
      </c>
      <c r="DH165">
        <v>0</v>
      </c>
      <c r="DI165">
        <v>500</v>
      </c>
      <c r="DJ165">
        <f t="shared" si="375"/>
        <v>43970</v>
      </c>
      <c r="DK165">
        <v>4000</v>
      </c>
      <c r="DL165">
        <v>0</v>
      </c>
      <c r="DM165">
        <f t="shared" si="376"/>
        <v>200</v>
      </c>
      <c r="DN165">
        <f t="shared" si="377"/>
        <v>39770</v>
      </c>
      <c r="DO165">
        <v>34500</v>
      </c>
      <c r="DP165">
        <f t="shared" si="378"/>
        <v>4830.0000000000009</v>
      </c>
      <c r="DQ165">
        <f t="shared" si="379"/>
        <v>4140</v>
      </c>
      <c r="DR165">
        <v>0</v>
      </c>
      <c r="DS165">
        <v>500</v>
      </c>
      <c r="DT165">
        <f t="shared" si="380"/>
        <v>43970</v>
      </c>
      <c r="DU165">
        <v>4000</v>
      </c>
      <c r="DV165">
        <v>0</v>
      </c>
      <c r="DW165">
        <f t="shared" si="381"/>
        <v>200</v>
      </c>
      <c r="DX165">
        <f t="shared" si="382"/>
        <v>39770</v>
      </c>
      <c r="DY165">
        <f t="shared" si="383"/>
        <v>522260</v>
      </c>
      <c r="DZ165">
        <f t="shared" si="315"/>
        <v>2400</v>
      </c>
      <c r="EA165">
        <f t="shared" si="316"/>
        <v>50000</v>
      </c>
      <c r="EB165">
        <v>0</v>
      </c>
      <c r="EC165">
        <f t="shared" si="317"/>
        <v>469860</v>
      </c>
      <c r="ED165">
        <f t="shared" si="318"/>
        <v>48000</v>
      </c>
      <c r="EE165">
        <f t="shared" si="319"/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f t="shared" si="320"/>
        <v>48000</v>
      </c>
      <c r="EQ165">
        <f t="shared" si="384"/>
        <v>48000</v>
      </c>
      <c r="ER165">
        <f t="shared" si="321"/>
        <v>421860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f t="shared" si="385"/>
        <v>0</v>
      </c>
      <c r="FA165">
        <f t="shared" si="386"/>
        <v>421860</v>
      </c>
      <c r="FB165">
        <f t="shared" si="387"/>
        <v>8593</v>
      </c>
      <c r="FC165">
        <f t="shared" si="388"/>
        <v>0</v>
      </c>
      <c r="FD165">
        <f t="shared" si="389"/>
        <v>8593</v>
      </c>
      <c r="FE165">
        <f t="shared" si="390"/>
        <v>0</v>
      </c>
      <c r="FF165">
        <f t="shared" si="391"/>
        <v>0</v>
      </c>
      <c r="FG165">
        <f t="shared" si="392"/>
        <v>0</v>
      </c>
      <c r="FH165">
        <v>0</v>
      </c>
      <c r="FI165">
        <f t="shared" si="393"/>
        <v>0</v>
      </c>
      <c r="FJ165" t="b">
        <f t="shared" si="394"/>
        <v>1</v>
      </c>
      <c r="FK165">
        <f t="shared" ca="1" si="395"/>
        <v>897</v>
      </c>
      <c r="FL165">
        <f t="shared" ca="1" si="396"/>
        <v>523157</v>
      </c>
      <c r="FM165">
        <f t="shared" si="397"/>
        <v>75000</v>
      </c>
      <c r="FN165">
        <f t="shared" ca="1" si="398"/>
        <v>448157</v>
      </c>
      <c r="FO165">
        <f t="shared" ca="1" si="399"/>
        <v>0</v>
      </c>
      <c r="FP165">
        <f t="shared" ca="1" si="400"/>
        <v>0</v>
      </c>
      <c r="FQ165">
        <f t="shared" ca="1" si="401"/>
        <v>0</v>
      </c>
      <c r="FR165">
        <f t="shared" ca="1" si="402"/>
        <v>0</v>
      </c>
      <c r="FS165">
        <f t="shared" ca="1" si="403"/>
        <v>0</v>
      </c>
      <c r="FT165">
        <f t="shared" ca="1" si="404"/>
        <v>0</v>
      </c>
      <c r="FU165">
        <f t="shared" ca="1" si="405"/>
        <v>0</v>
      </c>
      <c r="FV165">
        <f t="shared" ca="1" si="406"/>
        <v>0</v>
      </c>
      <c r="FW165">
        <f t="shared" ca="1" si="407"/>
        <v>148157</v>
      </c>
      <c r="FX165">
        <f t="shared" ca="1" si="408"/>
        <v>7407.85</v>
      </c>
      <c r="FY165">
        <f t="shared" ca="1" si="409"/>
        <v>7408</v>
      </c>
      <c r="FZ165">
        <f t="shared" ca="1" si="410"/>
        <v>0</v>
      </c>
      <c r="GA165">
        <f t="shared" ca="1" si="411"/>
        <v>0</v>
      </c>
      <c r="GB165">
        <f t="shared" ca="1" si="412"/>
        <v>7408</v>
      </c>
      <c r="GC165">
        <f t="shared" ca="1" si="413"/>
        <v>0</v>
      </c>
      <c r="GD165" t="b">
        <f t="shared" ca="1" si="414"/>
        <v>0</v>
      </c>
      <c r="GE165">
        <f t="shared" ca="1" si="415"/>
        <v>0</v>
      </c>
      <c r="GF165">
        <f t="shared" ca="1" si="416"/>
        <v>7408</v>
      </c>
      <c r="GG165">
        <f t="shared" ca="1" si="417"/>
        <v>0</v>
      </c>
      <c r="GH165">
        <f t="shared" ca="1" si="418"/>
        <v>0</v>
      </c>
      <c r="GI165">
        <f t="shared" ca="1" si="419"/>
        <v>0</v>
      </c>
    </row>
    <row r="166" spans="1:191" x14ac:dyDescent="0.25">
      <c r="A166">
        <f>_xlfn.AGGREGATE(3,5,$B$2:B166)</f>
        <v>165</v>
      </c>
      <c r="B166" t="s">
        <v>450</v>
      </c>
      <c r="C166" t="s">
        <v>451</v>
      </c>
      <c r="D166" t="s">
        <v>806</v>
      </c>
      <c r="E166" t="s">
        <v>843</v>
      </c>
      <c r="F166">
        <v>0</v>
      </c>
      <c r="G166">
        <v>6000</v>
      </c>
      <c r="H166">
        <v>32500</v>
      </c>
      <c r="I166">
        <f t="shared" si="322"/>
        <v>3250</v>
      </c>
      <c r="J166">
        <f t="shared" si="323"/>
        <v>3900</v>
      </c>
      <c r="K166">
        <v>0</v>
      </c>
      <c r="L166">
        <v>500</v>
      </c>
      <c r="M166">
        <f t="shared" si="324"/>
        <v>40150</v>
      </c>
      <c r="N166">
        <v>3000</v>
      </c>
      <c r="O166">
        <v>0</v>
      </c>
      <c r="P166">
        <f t="shared" si="325"/>
        <v>200</v>
      </c>
      <c r="Q166">
        <f t="shared" si="326"/>
        <v>36950</v>
      </c>
      <c r="R166">
        <v>32500</v>
      </c>
      <c r="S166">
        <f t="shared" si="327"/>
        <v>3250</v>
      </c>
      <c r="T166">
        <f t="shared" si="328"/>
        <v>3900</v>
      </c>
      <c r="U166">
        <v>0</v>
      </c>
      <c r="V166">
        <v>500</v>
      </c>
      <c r="W166">
        <f t="shared" si="329"/>
        <v>40150</v>
      </c>
      <c r="X166">
        <v>3000</v>
      </c>
      <c r="Y166">
        <v>0</v>
      </c>
      <c r="Z166">
        <f t="shared" si="330"/>
        <v>200</v>
      </c>
      <c r="AA166">
        <f t="shared" si="331"/>
        <v>36950</v>
      </c>
      <c r="AB166">
        <v>32500</v>
      </c>
      <c r="AC166">
        <f t="shared" si="332"/>
        <v>4550</v>
      </c>
      <c r="AD166">
        <f t="shared" si="333"/>
        <v>3900</v>
      </c>
      <c r="AE166">
        <v>0</v>
      </c>
      <c r="AF166">
        <v>500</v>
      </c>
      <c r="AG166">
        <f t="shared" si="334"/>
        <v>41450</v>
      </c>
      <c r="AH166">
        <v>3000</v>
      </c>
      <c r="AI166">
        <v>0</v>
      </c>
      <c r="AJ166">
        <f t="shared" si="335"/>
        <v>200</v>
      </c>
      <c r="AK166">
        <f t="shared" si="336"/>
        <v>38250</v>
      </c>
      <c r="AL166">
        <v>32500</v>
      </c>
      <c r="AM166">
        <f t="shared" si="337"/>
        <v>4550</v>
      </c>
      <c r="AN166">
        <f t="shared" si="338"/>
        <v>3900</v>
      </c>
      <c r="AO166">
        <v>0</v>
      </c>
      <c r="AP166">
        <v>500</v>
      </c>
      <c r="AQ166">
        <f t="shared" si="339"/>
        <v>41450</v>
      </c>
      <c r="AR166">
        <v>3000</v>
      </c>
      <c r="AS166">
        <v>0</v>
      </c>
      <c r="AT166">
        <f t="shared" si="340"/>
        <v>200</v>
      </c>
      <c r="AU166">
        <f t="shared" si="341"/>
        <v>38250</v>
      </c>
      <c r="AV166">
        <v>33500</v>
      </c>
      <c r="AW166">
        <f t="shared" si="342"/>
        <v>4690</v>
      </c>
      <c r="AX166">
        <f t="shared" si="343"/>
        <v>1300</v>
      </c>
      <c r="AY166">
        <f t="shared" si="344"/>
        <v>4020</v>
      </c>
      <c r="AZ166">
        <v>0</v>
      </c>
      <c r="BA166">
        <v>500</v>
      </c>
      <c r="BB166">
        <f t="shared" si="345"/>
        <v>44010</v>
      </c>
      <c r="BC166">
        <v>3000</v>
      </c>
      <c r="BD166">
        <v>0</v>
      </c>
      <c r="BE166">
        <f t="shared" si="346"/>
        <v>200</v>
      </c>
      <c r="BF166">
        <f t="shared" si="347"/>
        <v>40810</v>
      </c>
      <c r="BG166">
        <v>33500</v>
      </c>
      <c r="BH166">
        <f t="shared" si="348"/>
        <v>4690</v>
      </c>
      <c r="BI166">
        <f t="shared" si="349"/>
        <v>4020</v>
      </c>
      <c r="BJ166">
        <v>0</v>
      </c>
      <c r="BK166">
        <v>500</v>
      </c>
      <c r="BL166">
        <f t="shared" si="350"/>
        <v>42710</v>
      </c>
      <c r="BM166">
        <v>3000</v>
      </c>
      <c r="BN166">
        <v>0</v>
      </c>
      <c r="BO166">
        <f t="shared" si="351"/>
        <v>200</v>
      </c>
      <c r="BP166">
        <f t="shared" si="352"/>
        <v>39510</v>
      </c>
      <c r="BQ166">
        <v>33500</v>
      </c>
      <c r="BR166">
        <f t="shared" si="353"/>
        <v>4690</v>
      </c>
      <c r="BS166">
        <f t="shared" si="354"/>
        <v>4020</v>
      </c>
      <c r="BT166">
        <v>0</v>
      </c>
      <c r="BU166">
        <v>500</v>
      </c>
      <c r="BV166">
        <f t="shared" si="355"/>
        <v>42710</v>
      </c>
      <c r="BW166">
        <v>3000</v>
      </c>
      <c r="BX166">
        <v>0</v>
      </c>
      <c r="BY166">
        <f t="shared" si="356"/>
        <v>200</v>
      </c>
      <c r="BZ166">
        <f t="shared" si="357"/>
        <v>39510</v>
      </c>
      <c r="CA166">
        <v>33500</v>
      </c>
      <c r="CB166">
        <f t="shared" si="358"/>
        <v>4690</v>
      </c>
      <c r="CC166">
        <f t="shared" si="359"/>
        <v>4020</v>
      </c>
      <c r="CD166">
        <v>0</v>
      </c>
      <c r="CE166">
        <v>500</v>
      </c>
      <c r="CF166">
        <f t="shared" si="360"/>
        <v>42710</v>
      </c>
      <c r="CG166">
        <v>3000</v>
      </c>
      <c r="CH166">
        <v>0</v>
      </c>
      <c r="CI166">
        <f t="shared" si="361"/>
        <v>200</v>
      </c>
      <c r="CJ166">
        <f t="shared" si="362"/>
        <v>39510</v>
      </c>
      <c r="CK166">
        <v>33500</v>
      </c>
      <c r="CL166">
        <f t="shared" si="363"/>
        <v>4690</v>
      </c>
      <c r="CM166">
        <f t="shared" si="364"/>
        <v>4020</v>
      </c>
      <c r="CN166">
        <v>0</v>
      </c>
      <c r="CO166">
        <v>500</v>
      </c>
      <c r="CP166">
        <f t="shared" si="365"/>
        <v>42710</v>
      </c>
      <c r="CQ166">
        <v>3000</v>
      </c>
      <c r="CR166">
        <v>0</v>
      </c>
      <c r="CS166">
        <f t="shared" si="366"/>
        <v>200</v>
      </c>
      <c r="CT166">
        <f t="shared" si="367"/>
        <v>39510</v>
      </c>
      <c r="CU166">
        <v>33500</v>
      </c>
      <c r="CV166">
        <f t="shared" si="368"/>
        <v>4690</v>
      </c>
      <c r="CW166">
        <f t="shared" si="369"/>
        <v>4020</v>
      </c>
      <c r="CX166">
        <v>0</v>
      </c>
      <c r="CY166">
        <v>500</v>
      </c>
      <c r="CZ166">
        <f t="shared" si="370"/>
        <v>42710</v>
      </c>
      <c r="DA166">
        <v>3000</v>
      </c>
      <c r="DB166">
        <v>0</v>
      </c>
      <c r="DC166">
        <f t="shared" si="371"/>
        <v>200</v>
      </c>
      <c r="DD166">
        <f t="shared" si="372"/>
        <v>39510</v>
      </c>
      <c r="DE166">
        <v>33500</v>
      </c>
      <c r="DF166">
        <f t="shared" si="373"/>
        <v>4690</v>
      </c>
      <c r="DG166">
        <f t="shared" si="374"/>
        <v>4020</v>
      </c>
      <c r="DH166">
        <v>0</v>
      </c>
      <c r="DI166">
        <v>500</v>
      </c>
      <c r="DJ166">
        <f t="shared" si="375"/>
        <v>42710</v>
      </c>
      <c r="DK166">
        <v>3000</v>
      </c>
      <c r="DL166">
        <v>0</v>
      </c>
      <c r="DM166">
        <f t="shared" si="376"/>
        <v>200</v>
      </c>
      <c r="DN166">
        <f t="shared" si="377"/>
        <v>39510</v>
      </c>
      <c r="DO166">
        <v>33500</v>
      </c>
      <c r="DP166">
        <f t="shared" si="378"/>
        <v>4690</v>
      </c>
      <c r="DQ166">
        <f t="shared" si="379"/>
        <v>4020</v>
      </c>
      <c r="DR166">
        <v>0</v>
      </c>
      <c r="DS166">
        <v>500</v>
      </c>
      <c r="DT166">
        <f t="shared" si="380"/>
        <v>42710</v>
      </c>
      <c r="DU166">
        <v>3000</v>
      </c>
      <c r="DV166">
        <v>0</v>
      </c>
      <c r="DW166">
        <f t="shared" si="381"/>
        <v>200</v>
      </c>
      <c r="DX166">
        <f t="shared" si="382"/>
        <v>39510</v>
      </c>
      <c r="DY166">
        <f t="shared" si="383"/>
        <v>512180</v>
      </c>
      <c r="DZ166">
        <f t="shared" si="315"/>
        <v>2400</v>
      </c>
      <c r="EA166">
        <f t="shared" si="316"/>
        <v>50000</v>
      </c>
      <c r="EB166">
        <v>0</v>
      </c>
      <c r="EC166">
        <f t="shared" si="317"/>
        <v>459780</v>
      </c>
      <c r="ED166">
        <f t="shared" si="318"/>
        <v>36000</v>
      </c>
      <c r="EE166">
        <f t="shared" si="319"/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f t="shared" si="320"/>
        <v>36000</v>
      </c>
      <c r="EQ166">
        <f t="shared" si="384"/>
        <v>36000</v>
      </c>
      <c r="ER166">
        <f t="shared" si="321"/>
        <v>423780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f t="shared" si="385"/>
        <v>0</v>
      </c>
      <c r="FA166">
        <f t="shared" si="386"/>
        <v>423780</v>
      </c>
      <c r="FB166">
        <f t="shared" si="387"/>
        <v>8689</v>
      </c>
      <c r="FC166">
        <f t="shared" si="388"/>
        <v>0</v>
      </c>
      <c r="FD166">
        <f t="shared" si="389"/>
        <v>8689</v>
      </c>
      <c r="FE166">
        <f t="shared" si="390"/>
        <v>0</v>
      </c>
      <c r="FF166">
        <f t="shared" si="391"/>
        <v>0</v>
      </c>
      <c r="FG166">
        <f t="shared" si="392"/>
        <v>0</v>
      </c>
      <c r="FH166">
        <v>0</v>
      </c>
      <c r="FI166">
        <f t="shared" si="393"/>
        <v>0</v>
      </c>
      <c r="FJ166" t="b">
        <f t="shared" si="394"/>
        <v>1</v>
      </c>
      <c r="FK166">
        <f t="shared" ca="1" si="395"/>
        <v>515</v>
      </c>
      <c r="FL166">
        <f t="shared" ca="1" si="396"/>
        <v>512695</v>
      </c>
      <c r="FM166">
        <f t="shared" si="397"/>
        <v>75000</v>
      </c>
      <c r="FN166">
        <f t="shared" ca="1" si="398"/>
        <v>437695</v>
      </c>
      <c r="FO166">
        <f t="shared" ca="1" si="399"/>
        <v>0</v>
      </c>
      <c r="FP166">
        <f t="shared" ca="1" si="400"/>
        <v>0</v>
      </c>
      <c r="FQ166">
        <f t="shared" ca="1" si="401"/>
        <v>0</v>
      </c>
      <c r="FR166">
        <f t="shared" ca="1" si="402"/>
        <v>0</v>
      </c>
      <c r="FS166">
        <f t="shared" ca="1" si="403"/>
        <v>0</v>
      </c>
      <c r="FT166">
        <f t="shared" ca="1" si="404"/>
        <v>0</v>
      </c>
      <c r="FU166">
        <f t="shared" ca="1" si="405"/>
        <v>0</v>
      </c>
      <c r="FV166">
        <f t="shared" ca="1" si="406"/>
        <v>0</v>
      </c>
      <c r="FW166">
        <f t="shared" ca="1" si="407"/>
        <v>137695</v>
      </c>
      <c r="FX166">
        <f t="shared" ca="1" si="408"/>
        <v>6884.75</v>
      </c>
      <c r="FY166">
        <f t="shared" ca="1" si="409"/>
        <v>6885</v>
      </c>
      <c r="FZ166">
        <f t="shared" ca="1" si="410"/>
        <v>0</v>
      </c>
      <c r="GA166">
        <f t="shared" ca="1" si="411"/>
        <v>0</v>
      </c>
      <c r="GB166">
        <f t="shared" ca="1" si="412"/>
        <v>6885</v>
      </c>
      <c r="GC166">
        <f t="shared" ca="1" si="413"/>
        <v>0</v>
      </c>
      <c r="GD166" t="b">
        <f t="shared" ca="1" si="414"/>
        <v>0</v>
      </c>
      <c r="GE166">
        <f t="shared" ca="1" si="415"/>
        <v>0</v>
      </c>
      <c r="GF166">
        <f t="shared" ca="1" si="416"/>
        <v>6885</v>
      </c>
      <c r="GG166">
        <f t="shared" ca="1" si="417"/>
        <v>0</v>
      </c>
      <c r="GH166">
        <f t="shared" ca="1" si="418"/>
        <v>0</v>
      </c>
      <c r="GI166">
        <f t="shared" ca="1" si="419"/>
        <v>0</v>
      </c>
    </row>
    <row r="167" spans="1:191" x14ac:dyDescent="0.25">
      <c r="A167">
        <f>_xlfn.AGGREGATE(3,5,$B$2:B167)</f>
        <v>166</v>
      </c>
      <c r="B167" t="s">
        <v>452</v>
      </c>
      <c r="C167" t="s">
        <v>453</v>
      </c>
      <c r="D167" t="s">
        <v>807</v>
      </c>
      <c r="E167" t="s">
        <v>843</v>
      </c>
      <c r="F167">
        <v>0</v>
      </c>
      <c r="G167">
        <v>0</v>
      </c>
      <c r="H167">
        <v>45900</v>
      </c>
      <c r="I167">
        <f t="shared" si="322"/>
        <v>4590</v>
      </c>
      <c r="J167">
        <f t="shared" si="323"/>
        <v>5508</v>
      </c>
      <c r="K167">
        <v>400</v>
      </c>
      <c r="L167">
        <v>0</v>
      </c>
      <c r="M167">
        <f t="shared" si="324"/>
        <v>56398</v>
      </c>
      <c r="N167">
        <v>3000</v>
      </c>
      <c r="O167">
        <v>0</v>
      </c>
      <c r="P167">
        <f t="shared" si="325"/>
        <v>200</v>
      </c>
      <c r="Q167">
        <f t="shared" si="326"/>
        <v>53198</v>
      </c>
      <c r="R167">
        <v>45900</v>
      </c>
      <c r="S167">
        <f t="shared" si="327"/>
        <v>4590</v>
      </c>
      <c r="T167">
        <f t="shared" si="328"/>
        <v>5508</v>
      </c>
      <c r="U167">
        <v>400</v>
      </c>
      <c r="V167">
        <v>0</v>
      </c>
      <c r="W167">
        <f t="shared" si="329"/>
        <v>56398</v>
      </c>
      <c r="X167">
        <v>3000</v>
      </c>
      <c r="Y167">
        <v>0</v>
      </c>
      <c r="Z167">
        <f t="shared" si="330"/>
        <v>200</v>
      </c>
      <c r="AA167">
        <f t="shared" si="331"/>
        <v>53198</v>
      </c>
      <c r="AB167">
        <v>45900</v>
      </c>
      <c r="AC167">
        <f t="shared" si="332"/>
        <v>6426.0000000000009</v>
      </c>
      <c r="AD167">
        <f t="shared" si="333"/>
        <v>5508</v>
      </c>
      <c r="AE167">
        <v>400</v>
      </c>
      <c r="AF167">
        <v>0</v>
      </c>
      <c r="AG167">
        <f t="shared" si="334"/>
        <v>58234</v>
      </c>
      <c r="AH167">
        <v>3000</v>
      </c>
      <c r="AI167">
        <v>0</v>
      </c>
      <c r="AJ167">
        <f t="shared" si="335"/>
        <v>200</v>
      </c>
      <c r="AK167">
        <f t="shared" si="336"/>
        <v>55034</v>
      </c>
      <c r="AL167">
        <v>45900</v>
      </c>
      <c r="AM167">
        <f t="shared" si="337"/>
        <v>6426.0000000000009</v>
      </c>
      <c r="AN167">
        <f t="shared" si="338"/>
        <v>5508</v>
      </c>
      <c r="AO167">
        <v>400</v>
      </c>
      <c r="AP167">
        <v>0</v>
      </c>
      <c r="AQ167">
        <f t="shared" si="339"/>
        <v>58234</v>
      </c>
      <c r="AR167">
        <v>3000</v>
      </c>
      <c r="AS167">
        <v>0</v>
      </c>
      <c r="AT167">
        <f t="shared" si="340"/>
        <v>200</v>
      </c>
      <c r="AU167">
        <f t="shared" si="341"/>
        <v>55034</v>
      </c>
      <c r="AV167">
        <v>47300</v>
      </c>
      <c r="AW167">
        <f t="shared" si="342"/>
        <v>6622.0000000000009</v>
      </c>
      <c r="AX167">
        <f t="shared" si="343"/>
        <v>1836</v>
      </c>
      <c r="AY167">
        <f t="shared" si="344"/>
        <v>5676</v>
      </c>
      <c r="AZ167">
        <v>400</v>
      </c>
      <c r="BA167">
        <v>0</v>
      </c>
      <c r="BB167">
        <f t="shared" si="345"/>
        <v>61834</v>
      </c>
      <c r="BC167">
        <v>3000</v>
      </c>
      <c r="BD167">
        <v>0</v>
      </c>
      <c r="BE167">
        <f t="shared" si="346"/>
        <v>200</v>
      </c>
      <c r="BF167">
        <f t="shared" si="347"/>
        <v>58634</v>
      </c>
      <c r="BG167">
        <v>47300</v>
      </c>
      <c r="BH167">
        <f t="shared" si="348"/>
        <v>6622.0000000000009</v>
      </c>
      <c r="BI167">
        <f t="shared" si="349"/>
        <v>5676</v>
      </c>
      <c r="BJ167">
        <v>400</v>
      </c>
      <c r="BK167">
        <v>0</v>
      </c>
      <c r="BL167">
        <f t="shared" si="350"/>
        <v>59998</v>
      </c>
      <c r="BM167">
        <v>3000</v>
      </c>
      <c r="BN167">
        <v>0</v>
      </c>
      <c r="BO167">
        <f t="shared" si="351"/>
        <v>200</v>
      </c>
      <c r="BP167">
        <f t="shared" si="352"/>
        <v>56798</v>
      </c>
      <c r="BQ167">
        <v>47300</v>
      </c>
      <c r="BR167">
        <f t="shared" si="353"/>
        <v>6622.0000000000009</v>
      </c>
      <c r="BS167">
        <f t="shared" si="354"/>
        <v>5676</v>
      </c>
      <c r="BT167">
        <v>400</v>
      </c>
      <c r="BU167">
        <v>0</v>
      </c>
      <c r="BV167">
        <f t="shared" si="355"/>
        <v>59998</v>
      </c>
      <c r="BW167">
        <v>3000</v>
      </c>
      <c r="BX167">
        <v>0</v>
      </c>
      <c r="BY167">
        <f t="shared" si="356"/>
        <v>200</v>
      </c>
      <c r="BZ167">
        <f t="shared" si="357"/>
        <v>56798</v>
      </c>
      <c r="CA167">
        <v>47300</v>
      </c>
      <c r="CB167">
        <f t="shared" si="358"/>
        <v>6622.0000000000009</v>
      </c>
      <c r="CC167">
        <f t="shared" si="359"/>
        <v>5676</v>
      </c>
      <c r="CD167">
        <v>400</v>
      </c>
      <c r="CE167">
        <v>0</v>
      </c>
      <c r="CF167">
        <f t="shared" si="360"/>
        <v>59998</v>
      </c>
      <c r="CG167">
        <v>3000</v>
      </c>
      <c r="CH167">
        <v>0</v>
      </c>
      <c r="CI167">
        <f t="shared" si="361"/>
        <v>200</v>
      </c>
      <c r="CJ167">
        <f t="shared" si="362"/>
        <v>56798</v>
      </c>
      <c r="CK167">
        <v>47300</v>
      </c>
      <c r="CL167">
        <f t="shared" si="363"/>
        <v>6622.0000000000009</v>
      </c>
      <c r="CM167">
        <f t="shared" si="364"/>
        <v>5676</v>
      </c>
      <c r="CN167">
        <v>400</v>
      </c>
      <c r="CO167">
        <v>0</v>
      </c>
      <c r="CP167">
        <f t="shared" si="365"/>
        <v>59998</v>
      </c>
      <c r="CQ167">
        <v>3000</v>
      </c>
      <c r="CR167">
        <v>0</v>
      </c>
      <c r="CS167">
        <f t="shared" si="366"/>
        <v>200</v>
      </c>
      <c r="CT167">
        <f t="shared" si="367"/>
        <v>56798</v>
      </c>
      <c r="CU167">
        <v>47300</v>
      </c>
      <c r="CV167">
        <f t="shared" si="368"/>
        <v>6622</v>
      </c>
      <c r="CW167">
        <f t="shared" si="369"/>
        <v>5676</v>
      </c>
      <c r="CX167">
        <v>400</v>
      </c>
      <c r="CY167">
        <v>0</v>
      </c>
      <c r="CZ167">
        <f t="shared" si="370"/>
        <v>59998</v>
      </c>
      <c r="DA167">
        <v>3000</v>
      </c>
      <c r="DB167">
        <v>0</v>
      </c>
      <c r="DC167">
        <f t="shared" si="371"/>
        <v>200</v>
      </c>
      <c r="DD167">
        <f t="shared" si="372"/>
        <v>56798</v>
      </c>
      <c r="DE167">
        <v>47300</v>
      </c>
      <c r="DF167">
        <f t="shared" si="373"/>
        <v>6622.0000000000009</v>
      </c>
      <c r="DG167">
        <f t="shared" si="374"/>
        <v>5676</v>
      </c>
      <c r="DH167">
        <v>400</v>
      </c>
      <c r="DI167">
        <v>0</v>
      </c>
      <c r="DJ167">
        <f t="shared" si="375"/>
        <v>59998</v>
      </c>
      <c r="DK167">
        <v>3000</v>
      </c>
      <c r="DL167">
        <v>0</v>
      </c>
      <c r="DM167">
        <f t="shared" si="376"/>
        <v>200</v>
      </c>
      <c r="DN167">
        <f t="shared" si="377"/>
        <v>56798</v>
      </c>
      <c r="DO167">
        <v>47300</v>
      </c>
      <c r="DP167">
        <f t="shared" si="378"/>
        <v>6622.0000000000009</v>
      </c>
      <c r="DQ167">
        <f t="shared" si="379"/>
        <v>5676</v>
      </c>
      <c r="DR167">
        <v>400</v>
      </c>
      <c r="DS167">
        <v>0</v>
      </c>
      <c r="DT167">
        <f t="shared" si="380"/>
        <v>59998</v>
      </c>
      <c r="DU167">
        <v>3000</v>
      </c>
      <c r="DV167">
        <v>0</v>
      </c>
      <c r="DW167">
        <f t="shared" si="381"/>
        <v>200</v>
      </c>
      <c r="DX167">
        <f t="shared" si="382"/>
        <v>56798</v>
      </c>
      <c r="DY167">
        <f t="shared" si="383"/>
        <v>711084</v>
      </c>
      <c r="DZ167">
        <f t="shared" si="315"/>
        <v>2400</v>
      </c>
      <c r="EA167">
        <f t="shared" si="316"/>
        <v>50000</v>
      </c>
      <c r="EB167">
        <v>0</v>
      </c>
      <c r="EC167">
        <f t="shared" si="317"/>
        <v>658684</v>
      </c>
      <c r="ED167">
        <f t="shared" si="318"/>
        <v>36000</v>
      </c>
      <c r="EE167">
        <f t="shared" si="319"/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f t="shared" si="320"/>
        <v>36000</v>
      </c>
      <c r="EQ167">
        <f t="shared" si="384"/>
        <v>36000</v>
      </c>
      <c r="ER167">
        <f t="shared" si="321"/>
        <v>622684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f t="shared" si="385"/>
        <v>0</v>
      </c>
      <c r="FA167">
        <f t="shared" si="386"/>
        <v>622684</v>
      </c>
      <c r="FB167">
        <f t="shared" si="387"/>
        <v>12500</v>
      </c>
      <c r="FC167">
        <f t="shared" si="388"/>
        <v>24537</v>
      </c>
      <c r="FD167">
        <f t="shared" si="389"/>
        <v>37037</v>
      </c>
      <c r="FE167">
        <f t="shared" si="390"/>
        <v>37037</v>
      </c>
      <c r="FF167">
        <f t="shared" si="391"/>
        <v>1481.48</v>
      </c>
      <c r="FG167">
        <f t="shared" si="392"/>
        <v>38518</v>
      </c>
      <c r="FH167">
        <v>0</v>
      </c>
      <c r="FI167">
        <f t="shared" si="393"/>
        <v>38518</v>
      </c>
      <c r="FJ167" t="b">
        <f t="shared" si="394"/>
        <v>1</v>
      </c>
      <c r="FK167">
        <f t="shared" ca="1" si="395"/>
        <v>912</v>
      </c>
      <c r="FL167">
        <f t="shared" ca="1" si="396"/>
        <v>711996</v>
      </c>
      <c r="FM167">
        <f t="shared" si="397"/>
        <v>75000</v>
      </c>
      <c r="FN167">
        <f t="shared" ca="1" si="398"/>
        <v>636996</v>
      </c>
      <c r="FO167">
        <f t="shared" ca="1" si="399"/>
        <v>0</v>
      </c>
      <c r="FP167">
        <f t="shared" ca="1" si="400"/>
        <v>0</v>
      </c>
      <c r="FQ167">
        <f t="shared" ca="1" si="401"/>
        <v>0</v>
      </c>
      <c r="FR167">
        <f t="shared" ca="1" si="402"/>
        <v>0</v>
      </c>
      <c r="FS167">
        <f t="shared" ca="1" si="403"/>
        <v>0</v>
      </c>
      <c r="FT167">
        <f t="shared" ca="1" si="404"/>
        <v>0</v>
      </c>
      <c r="FU167">
        <f t="shared" ca="1" si="405"/>
        <v>0</v>
      </c>
      <c r="FV167">
        <f t="shared" ca="1" si="406"/>
        <v>0</v>
      </c>
      <c r="FW167">
        <f t="shared" ca="1" si="407"/>
        <v>336996</v>
      </c>
      <c r="FX167">
        <f t="shared" ca="1" si="408"/>
        <v>16849.8</v>
      </c>
      <c r="FY167">
        <f t="shared" ca="1" si="409"/>
        <v>16850</v>
      </c>
      <c r="FZ167">
        <f t="shared" ca="1" si="410"/>
        <v>0</v>
      </c>
      <c r="GA167">
        <f t="shared" ca="1" si="411"/>
        <v>0</v>
      </c>
      <c r="GB167">
        <f t="shared" ca="1" si="412"/>
        <v>16850</v>
      </c>
      <c r="GC167">
        <f t="shared" ca="1" si="413"/>
        <v>0</v>
      </c>
      <c r="GD167" t="b">
        <f t="shared" ca="1" si="414"/>
        <v>0</v>
      </c>
      <c r="GE167">
        <f t="shared" ca="1" si="415"/>
        <v>0</v>
      </c>
      <c r="GF167">
        <f t="shared" ca="1" si="416"/>
        <v>16850</v>
      </c>
      <c r="GG167">
        <f t="shared" ca="1" si="417"/>
        <v>0</v>
      </c>
      <c r="GH167">
        <f t="shared" ca="1" si="418"/>
        <v>0</v>
      </c>
      <c r="GI167">
        <f t="shared" ca="1" si="419"/>
        <v>0</v>
      </c>
    </row>
    <row r="168" spans="1:191" x14ac:dyDescent="0.25">
      <c r="A168">
        <f>_xlfn.AGGREGATE(3,5,$B$2:B168)</f>
        <v>167</v>
      </c>
      <c r="B168" t="s">
        <v>454</v>
      </c>
      <c r="C168" t="s">
        <v>455</v>
      </c>
      <c r="D168" t="s">
        <v>807</v>
      </c>
      <c r="E168" t="s">
        <v>843</v>
      </c>
      <c r="F168">
        <v>0</v>
      </c>
      <c r="G168">
        <v>6000</v>
      </c>
      <c r="H168">
        <v>32500</v>
      </c>
      <c r="I168">
        <f t="shared" si="322"/>
        <v>3250</v>
      </c>
      <c r="J168">
        <f t="shared" si="323"/>
        <v>3900</v>
      </c>
      <c r="K168">
        <v>0</v>
      </c>
      <c r="L168">
        <v>0</v>
      </c>
      <c r="M168">
        <f t="shared" si="324"/>
        <v>39650</v>
      </c>
      <c r="N168">
        <v>3000</v>
      </c>
      <c r="O168">
        <v>0</v>
      </c>
      <c r="P168">
        <f t="shared" si="325"/>
        <v>150</v>
      </c>
      <c r="Q168">
        <f t="shared" si="326"/>
        <v>36500</v>
      </c>
      <c r="R168">
        <v>32500</v>
      </c>
      <c r="S168">
        <f t="shared" si="327"/>
        <v>3250</v>
      </c>
      <c r="T168">
        <f t="shared" si="328"/>
        <v>3900</v>
      </c>
      <c r="U168">
        <v>0</v>
      </c>
      <c r="V168">
        <v>0</v>
      </c>
      <c r="W168">
        <f t="shared" si="329"/>
        <v>39650</v>
      </c>
      <c r="X168">
        <v>3000</v>
      </c>
      <c r="Y168">
        <v>0</v>
      </c>
      <c r="Z168">
        <f t="shared" si="330"/>
        <v>150</v>
      </c>
      <c r="AA168">
        <f t="shared" si="331"/>
        <v>36500</v>
      </c>
      <c r="AB168">
        <v>32500</v>
      </c>
      <c r="AC168">
        <f t="shared" si="332"/>
        <v>4550</v>
      </c>
      <c r="AD168">
        <f t="shared" si="333"/>
        <v>3900</v>
      </c>
      <c r="AE168">
        <v>0</v>
      </c>
      <c r="AF168">
        <v>0</v>
      </c>
      <c r="AG168">
        <f t="shared" si="334"/>
        <v>40950</v>
      </c>
      <c r="AH168">
        <v>3000</v>
      </c>
      <c r="AI168">
        <v>0</v>
      </c>
      <c r="AJ168">
        <f t="shared" si="335"/>
        <v>200</v>
      </c>
      <c r="AK168">
        <f t="shared" si="336"/>
        <v>37750</v>
      </c>
      <c r="AL168">
        <v>32500</v>
      </c>
      <c r="AM168">
        <f t="shared" si="337"/>
        <v>4550</v>
      </c>
      <c r="AN168">
        <f t="shared" si="338"/>
        <v>3900</v>
      </c>
      <c r="AO168">
        <v>0</v>
      </c>
      <c r="AP168">
        <v>0</v>
      </c>
      <c r="AQ168">
        <f t="shared" si="339"/>
        <v>40950</v>
      </c>
      <c r="AR168">
        <v>3000</v>
      </c>
      <c r="AS168">
        <v>0</v>
      </c>
      <c r="AT168">
        <f t="shared" si="340"/>
        <v>200</v>
      </c>
      <c r="AU168">
        <f t="shared" si="341"/>
        <v>37750</v>
      </c>
      <c r="AV168">
        <v>34500</v>
      </c>
      <c r="AW168">
        <f t="shared" si="342"/>
        <v>4830.0000000000009</v>
      </c>
      <c r="AX168">
        <f t="shared" si="343"/>
        <v>1300</v>
      </c>
      <c r="AY168">
        <f t="shared" si="344"/>
        <v>4140</v>
      </c>
      <c r="AZ168">
        <v>0</v>
      </c>
      <c r="BA168">
        <v>0</v>
      </c>
      <c r="BB168">
        <f t="shared" si="345"/>
        <v>44770</v>
      </c>
      <c r="BC168">
        <v>3000</v>
      </c>
      <c r="BD168">
        <v>0</v>
      </c>
      <c r="BE168">
        <f t="shared" si="346"/>
        <v>200</v>
      </c>
      <c r="BF168">
        <f t="shared" si="347"/>
        <v>41570</v>
      </c>
      <c r="BG168">
        <v>34500</v>
      </c>
      <c r="BH168">
        <f t="shared" si="348"/>
        <v>4830.0000000000009</v>
      </c>
      <c r="BI168">
        <f t="shared" si="349"/>
        <v>4140</v>
      </c>
      <c r="BJ168">
        <v>0</v>
      </c>
      <c r="BK168">
        <v>0</v>
      </c>
      <c r="BL168">
        <f t="shared" si="350"/>
        <v>43470</v>
      </c>
      <c r="BM168">
        <v>3000</v>
      </c>
      <c r="BN168">
        <v>0</v>
      </c>
      <c r="BO168">
        <f t="shared" si="351"/>
        <v>200</v>
      </c>
      <c r="BP168">
        <f t="shared" si="352"/>
        <v>40270</v>
      </c>
      <c r="BQ168">
        <v>34500</v>
      </c>
      <c r="BR168">
        <f t="shared" si="353"/>
        <v>4830.0000000000009</v>
      </c>
      <c r="BS168">
        <f t="shared" si="354"/>
        <v>4140</v>
      </c>
      <c r="BT168">
        <v>0</v>
      </c>
      <c r="BU168">
        <v>0</v>
      </c>
      <c r="BV168">
        <f t="shared" si="355"/>
        <v>43470</v>
      </c>
      <c r="BW168">
        <v>3000</v>
      </c>
      <c r="BX168">
        <v>0</v>
      </c>
      <c r="BY168">
        <f t="shared" si="356"/>
        <v>200</v>
      </c>
      <c r="BZ168">
        <f t="shared" si="357"/>
        <v>40270</v>
      </c>
      <c r="CA168">
        <v>34500</v>
      </c>
      <c r="CB168">
        <f t="shared" si="358"/>
        <v>4830.0000000000009</v>
      </c>
      <c r="CC168">
        <f t="shared" si="359"/>
        <v>4140</v>
      </c>
      <c r="CD168">
        <v>0</v>
      </c>
      <c r="CE168">
        <v>0</v>
      </c>
      <c r="CF168">
        <f t="shared" si="360"/>
        <v>43470</v>
      </c>
      <c r="CG168">
        <v>3000</v>
      </c>
      <c r="CH168">
        <v>0</v>
      </c>
      <c r="CI168">
        <f t="shared" si="361"/>
        <v>200</v>
      </c>
      <c r="CJ168">
        <f t="shared" si="362"/>
        <v>40270</v>
      </c>
      <c r="CK168">
        <v>34500</v>
      </c>
      <c r="CL168">
        <f t="shared" si="363"/>
        <v>4830.0000000000009</v>
      </c>
      <c r="CM168">
        <f t="shared" si="364"/>
        <v>4140</v>
      </c>
      <c r="CN168">
        <v>0</v>
      </c>
      <c r="CO168">
        <v>0</v>
      </c>
      <c r="CP168">
        <f t="shared" si="365"/>
        <v>43470</v>
      </c>
      <c r="CQ168">
        <v>3000</v>
      </c>
      <c r="CR168">
        <v>0</v>
      </c>
      <c r="CS168">
        <f t="shared" si="366"/>
        <v>200</v>
      </c>
      <c r="CT168">
        <f t="shared" si="367"/>
        <v>40270</v>
      </c>
      <c r="CU168">
        <v>34500</v>
      </c>
      <c r="CV168">
        <f t="shared" si="368"/>
        <v>4830</v>
      </c>
      <c r="CW168">
        <f t="shared" si="369"/>
        <v>4140</v>
      </c>
      <c r="CX168">
        <v>0</v>
      </c>
      <c r="CY168">
        <v>0</v>
      </c>
      <c r="CZ168">
        <f t="shared" si="370"/>
        <v>43470</v>
      </c>
      <c r="DA168">
        <v>3000</v>
      </c>
      <c r="DB168">
        <v>0</v>
      </c>
      <c r="DC168">
        <f t="shared" si="371"/>
        <v>200</v>
      </c>
      <c r="DD168">
        <f t="shared" si="372"/>
        <v>40270</v>
      </c>
      <c r="DE168">
        <v>34500</v>
      </c>
      <c r="DF168">
        <f t="shared" si="373"/>
        <v>4830.0000000000009</v>
      </c>
      <c r="DG168">
        <f t="shared" si="374"/>
        <v>4140</v>
      </c>
      <c r="DH168">
        <v>0</v>
      </c>
      <c r="DI168">
        <v>0</v>
      </c>
      <c r="DJ168">
        <f t="shared" si="375"/>
        <v>43470</v>
      </c>
      <c r="DK168">
        <v>3000</v>
      </c>
      <c r="DL168">
        <v>0</v>
      </c>
      <c r="DM168">
        <f t="shared" si="376"/>
        <v>200</v>
      </c>
      <c r="DN168">
        <f t="shared" si="377"/>
        <v>40270</v>
      </c>
      <c r="DO168">
        <v>34500</v>
      </c>
      <c r="DP168">
        <f t="shared" si="378"/>
        <v>4830.0000000000009</v>
      </c>
      <c r="DQ168">
        <f t="shared" si="379"/>
        <v>4140</v>
      </c>
      <c r="DR168">
        <v>0</v>
      </c>
      <c r="DS168">
        <v>0</v>
      </c>
      <c r="DT168">
        <f t="shared" si="380"/>
        <v>43470</v>
      </c>
      <c r="DU168">
        <v>3000</v>
      </c>
      <c r="DV168">
        <v>0</v>
      </c>
      <c r="DW168">
        <f t="shared" si="381"/>
        <v>200</v>
      </c>
      <c r="DX168">
        <f t="shared" si="382"/>
        <v>40270</v>
      </c>
      <c r="DY168">
        <f t="shared" si="383"/>
        <v>516260</v>
      </c>
      <c r="DZ168">
        <f t="shared" si="315"/>
        <v>2300</v>
      </c>
      <c r="EA168">
        <f t="shared" si="316"/>
        <v>50000</v>
      </c>
      <c r="EB168">
        <v>0</v>
      </c>
      <c r="EC168">
        <f t="shared" si="317"/>
        <v>463960</v>
      </c>
      <c r="ED168">
        <f t="shared" si="318"/>
        <v>36000</v>
      </c>
      <c r="EE168">
        <f t="shared" si="319"/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f t="shared" si="320"/>
        <v>36000</v>
      </c>
      <c r="EQ168">
        <f t="shared" si="384"/>
        <v>36000</v>
      </c>
      <c r="ER168">
        <f t="shared" si="321"/>
        <v>427960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f t="shared" si="385"/>
        <v>0</v>
      </c>
      <c r="FA168">
        <f t="shared" si="386"/>
        <v>427960</v>
      </c>
      <c r="FB168">
        <f t="shared" si="387"/>
        <v>8898</v>
      </c>
      <c r="FC168">
        <f t="shared" si="388"/>
        <v>0</v>
      </c>
      <c r="FD168">
        <f t="shared" si="389"/>
        <v>8898</v>
      </c>
      <c r="FE168">
        <f t="shared" si="390"/>
        <v>0</v>
      </c>
      <c r="FF168">
        <f t="shared" si="391"/>
        <v>0</v>
      </c>
      <c r="FG168">
        <f t="shared" si="392"/>
        <v>0</v>
      </c>
      <c r="FH168">
        <v>0</v>
      </c>
      <c r="FI168">
        <f t="shared" si="393"/>
        <v>0</v>
      </c>
      <c r="FJ168" t="b">
        <f t="shared" si="394"/>
        <v>1</v>
      </c>
      <c r="FK168">
        <f t="shared" ca="1" si="395"/>
        <v>709</v>
      </c>
      <c r="FL168">
        <f t="shared" ca="1" si="396"/>
        <v>516969</v>
      </c>
      <c r="FM168">
        <f t="shared" si="397"/>
        <v>75000</v>
      </c>
      <c r="FN168">
        <f t="shared" ca="1" si="398"/>
        <v>441969</v>
      </c>
      <c r="FO168">
        <f t="shared" ca="1" si="399"/>
        <v>0</v>
      </c>
      <c r="FP168">
        <f t="shared" ca="1" si="400"/>
        <v>0</v>
      </c>
      <c r="FQ168">
        <f t="shared" ca="1" si="401"/>
        <v>0</v>
      </c>
      <c r="FR168">
        <f t="shared" ca="1" si="402"/>
        <v>0</v>
      </c>
      <c r="FS168">
        <f t="shared" ca="1" si="403"/>
        <v>0</v>
      </c>
      <c r="FT168">
        <f t="shared" ca="1" si="404"/>
        <v>0</v>
      </c>
      <c r="FU168">
        <f t="shared" ca="1" si="405"/>
        <v>0</v>
      </c>
      <c r="FV168">
        <f t="shared" ca="1" si="406"/>
        <v>0</v>
      </c>
      <c r="FW168">
        <f t="shared" ca="1" si="407"/>
        <v>141969</v>
      </c>
      <c r="FX168">
        <f t="shared" ca="1" si="408"/>
        <v>7098.4500000000007</v>
      </c>
      <c r="FY168">
        <f t="shared" ca="1" si="409"/>
        <v>7098</v>
      </c>
      <c r="FZ168">
        <f t="shared" ca="1" si="410"/>
        <v>0</v>
      </c>
      <c r="GA168">
        <f t="shared" ca="1" si="411"/>
        <v>0</v>
      </c>
      <c r="GB168">
        <f t="shared" ca="1" si="412"/>
        <v>7098</v>
      </c>
      <c r="GC168">
        <f t="shared" ca="1" si="413"/>
        <v>0</v>
      </c>
      <c r="GD168" t="b">
        <f t="shared" ca="1" si="414"/>
        <v>0</v>
      </c>
      <c r="GE168">
        <f t="shared" ca="1" si="415"/>
        <v>0</v>
      </c>
      <c r="GF168">
        <f t="shared" ca="1" si="416"/>
        <v>7098</v>
      </c>
      <c r="GG168">
        <f t="shared" ca="1" si="417"/>
        <v>0</v>
      </c>
      <c r="GH168">
        <f t="shared" ca="1" si="418"/>
        <v>0</v>
      </c>
      <c r="GI168">
        <f t="shared" ca="1" si="419"/>
        <v>0</v>
      </c>
    </row>
    <row r="169" spans="1:191" x14ac:dyDescent="0.25">
      <c r="A169">
        <f>_xlfn.AGGREGATE(3,5,$B$2:B169)</f>
        <v>168</v>
      </c>
      <c r="B169" t="s">
        <v>456</v>
      </c>
      <c r="C169" t="s">
        <v>457</v>
      </c>
      <c r="D169" t="s">
        <v>807</v>
      </c>
      <c r="E169" t="s">
        <v>843</v>
      </c>
      <c r="F169">
        <v>0</v>
      </c>
      <c r="G169">
        <v>6000</v>
      </c>
      <c r="H169">
        <v>32500</v>
      </c>
      <c r="I169">
        <f t="shared" si="322"/>
        <v>3250</v>
      </c>
      <c r="J169">
        <f t="shared" si="323"/>
        <v>3900</v>
      </c>
      <c r="K169">
        <v>0</v>
      </c>
      <c r="L169">
        <v>500</v>
      </c>
      <c r="M169">
        <f t="shared" si="324"/>
        <v>40150</v>
      </c>
      <c r="N169">
        <v>3000</v>
      </c>
      <c r="O169">
        <v>0</v>
      </c>
      <c r="P169">
        <f t="shared" si="325"/>
        <v>200</v>
      </c>
      <c r="Q169">
        <f t="shared" si="326"/>
        <v>36950</v>
      </c>
      <c r="R169">
        <v>32500</v>
      </c>
      <c r="S169">
        <f t="shared" si="327"/>
        <v>3250</v>
      </c>
      <c r="T169">
        <f t="shared" si="328"/>
        <v>3900</v>
      </c>
      <c r="U169">
        <v>0</v>
      </c>
      <c r="V169">
        <v>500</v>
      </c>
      <c r="W169">
        <f t="shared" si="329"/>
        <v>40150</v>
      </c>
      <c r="X169">
        <v>3000</v>
      </c>
      <c r="Y169">
        <v>0</v>
      </c>
      <c r="Z169">
        <f t="shared" si="330"/>
        <v>200</v>
      </c>
      <c r="AA169">
        <f t="shared" si="331"/>
        <v>36950</v>
      </c>
      <c r="AB169">
        <v>32500</v>
      </c>
      <c r="AC169">
        <f t="shared" si="332"/>
        <v>4550</v>
      </c>
      <c r="AD169">
        <f t="shared" si="333"/>
        <v>3900</v>
      </c>
      <c r="AE169">
        <v>0</v>
      </c>
      <c r="AF169">
        <v>500</v>
      </c>
      <c r="AG169">
        <f t="shared" si="334"/>
        <v>41450</v>
      </c>
      <c r="AH169">
        <v>3000</v>
      </c>
      <c r="AI169">
        <v>0</v>
      </c>
      <c r="AJ169">
        <f t="shared" si="335"/>
        <v>200</v>
      </c>
      <c r="AK169">
        <f t="shared" si="336"/>
        <v>38250</v>
      </c>
      <c r="AL169">
        <v>32500</v>
      </c>
      <c r="AM169">
        <f t="shared" si="337"/>
        <v>4550</v>
      </c>
      <c r="AN169">
        <f t="shared" si="338"/>
        <v>3900</v>
      </c>
      <c r="AO169">
        <v>0</v>
      </c>
      <c r="AP169">
        <v>500</v>
      </c>
      <c r="AQ169">
        <f t="shared" si="339"/>
        <v>41450</v>
      </c>
      <c r="AR169">
        <v>3000</v>
      </c>
      <c r="AS169">
        <v>0</v>
      </c>
      <c r="AT169">
        <f t="shared" si="340"/>
        <v>200</v>
      </c>
      <c r="AU169">
        <f t="shared" si="341"/>
        <v>38250</v>
      </c>
      <c r="AV169">
        <v>33500</v>
      </c>
      <c r="AW169">
        <f t="shared" si="342"/>
        <v>4690</v>
      </c>
      <c r="AX169">
        <f t="shared" si="343"/>
        <v>1300</v>
      </c>
      <c r="AY169">
        <f t="shared" si="344"/>
        <v>4020</v>
      </c>
      <c r="AZ169">
        <v>0</v>
      </c>
      <c r="BA169">
        <v>500</v>
      </c>
      <c r="BB169">
        <f t="shared" si="345"/>
        <v>44010</v>
      </c>
      <c r="BC169">
        <v>3000</v>
      </c>
      <c r="BD169">
        <v>0</v>
      </c>
      <c r="BE169">
        <f t="shared" si="346"/>
        <v>200</v>
      </c>
      <c r="BF169">
        <f t="shared" si="347"/>
        <v>40810</v>
      </c>
      <c r="BG169">
        <v>33500</v>
      </c>
      <c r="BH169">
        <f t="shared" si="348"/>
        <v>4690</v>
      </c>
      <c r="BI169">
        <f t="shared" si="349"/>
        <v>4020</v>
      </c>
      <c r="BJ169">
        <v>0</v>
      </c>
      <c r="BK169">
        <v>500</v>
      </c>
      <c r="BL169">
        <f t="shared" si="350"/>
        <v>42710</v>
      </c>
      <c r="BM169">
        <v>3000</v>
      </c>
      <c r="BN169">
        <v>0</v>
      </c>
      <c r="BO169">
        <f t="shared" si="351"/>
        <v>200</v>
      </c>
      <c r="BP169">
        <f t="shared" si="352"/>
        <v>39510</v>
      </c>
      <c r="BQ169">
        <v>33500</v>
      </c>
      <c r="BR169">
        <f t="shared" si="353"/>
        <v>4690</v>
      </c>
      <c r="BS169">
        <f t="shared" si="354"/>
        <v>4020</v>
      </c>
      <c r="BT169">
        <v>0</v>
      </c>
      <c r="BU169">
        <v>500</v>
      </c>
      <c r="BV169">
        <f t="shared" si="355"/>
        <v>42710</v>
      </c>
      <c r="BW169">
        <v>3000</v>
      </c>
      <c r="BX169">
        <v>0</v>
      </c>
      <c r="BY169">
        <f t="shared" si="356"/>
        <v>200</v>
      </c>
      <c r="BZ169">
        <f t="shared" si="357"/>
        <v>39510</v>
      </c>
      <c r="CA169">
        <v>33500</v>
      </c>
      <c r="CB169">
        <f t="shared" si="358"/>
        <v>4690</v>
      </c>
      <c r="CC169">
        <f t="shared" si="359"/>
        <v>4020</v>
      </c>
      <c r="CD169">
        <v>0</v>
      </c>
      <c r="CE169">
        <v>500</v>
      </c>
      <c r="CF169">
        <f t="shared" si="360"/>
        <v>42710</v>
      </c>
      <c r="CG169">
        <v>3000</v>
      </c>
      <c r="CH169">
        <v>0</v>
      </c>
      <c r="CI169">
        <f t="shared" si="361"/>
        <v>200</v>
      </c>
      <c r="CJ169">
        <f t="shared" si="362"/>
        <v>39510</v>
      </c>
      <c r="CK169">
        <v>33500</v>
      </c>
      <c r="CL169">
        <f t="shared" si="363"/>
        <v>4690</v>
      </c>
      <c r="CM169">
        <f t="shared" si="364"/>
        <v>4020</v>
      </c>
      <c r="CN169">
        <v>0</v>
      </c>
      <c r="CO169">
        <v>500</v>
      </c>
      <c r="CP169">
        <f t="shared" si="365"/>
        <v>42710</v>
      </c>
      <c r="CQ169">
        <v>3000</v>
      </c>
      <c r="CR169">
        <v>0</v>
      </c>
      <c r="CS169">
        <f t="shared" si="366"/>
        <v>200</v>
      </c>
      <c r="CT169">
        <f t="shared" si="367"/>
        <v>39510</v>
      </c>
      <c r="CU169">
        <v>34371</v>
      </c>
      <c r="CV169">
        <f t="shared" si="368"/>
        <v>4812</v>
      </c>
      <c r="CW169">
        <f t="shared" si="369"/>
        <v>4125</v>
      </c>
      <c r="CX169">
        <v>0</v>
      </c>
      <c r="CY169">
        <v>500</v>
      </c>
      <c r="CZ169">
        <f t="shared" si="370"/>
        <v>43808</v>
      </c>
      <c r="DA169">
        <v>3000</v>
      </c>
      <c r="DB169">
        <v>0</v>
      </c>
      <c r="DC169">
        <f t="shared" si="371"/>
        <v>200</v>
      </c>
      <c r="DD169">
        <f t="shared" si="372"/>
        <v>40608</v>
      </c>
      <c r="DE169">
        <v>34500</v>
      </c>
      <c r="DF169">
        <f t="shared" si="373"/>
        <v>4830.0000000000009</v>
      </c>
      <c r="DG169">
        <f t="shared" si="374"/>
        <v>4140</v>
      </c>
      <c r="DH169">
        <v>0</v>
      </c>
      <c r="DI169">
        <v>500</v>
      </c>
      <c r="DJ169">
        <f t="shared" si="375"/>
        <v>43970</v>
      </c>
      <c r="DK169">
        <v>3000</v>
      </c>
      <c r="DL169">
        <v>0</v>
      </c>
      <c r="DM169">
        <f t="shared" si="376"/>
        <v>200</v>
      </c>
      <c r="DN169">
        <f t="shared" si="377"/>
        <v>40770</v>
      </c>
      <c r="DO169">
        <v>34500</v>
      </c>
      <c r="DP169">
        <f t="shared" si="378"/>
        <v>4830.0000000000009</v>
      </c>
      <c r="DQ169">
        <f t="shared" si="379"/>
        <v>4140</v>
      </c>
      <c r="DR169">
        <v>0</v>
      </c>
      <c r="DS169">
        <v>500</v>
      </c>
      <c r="DT169">
        <f t="shared" si="380"/>
        <v>43970</v>
      </c>
      <c r="DU169">
        <v>3000</v>
      </c>
      <c r="DV169">
        <v>0</v>
      </c>
      <c r="DW169">
        <f t="shared" si="381"/>
        <v>200</v>
      </c>
      <c r="DX169">
        <f t="shared" si="382"/>
        <v>40770</v>
      </c>
      <c r="DY169">
        <f t="shared" si="383"/>
        <v>515798</v>
      </c>
      <c r="DZ169">
        <f t="shared" si="315"/>
        <v>2400</v>
      </c>
      <c r="EA169">
        <f t="shared" si="316"/>
        <v>50000</v>
      </c>
      <c r="EB169">
        <v>0</v>
      </c>
      <c r="EC169">
        <f t="shared" si="317"/>
        <v>463398</v>
      </c>
      <c r="ED169">
        <f t="shared" si="318"/>
        <v>36000</v>
      </c>
      <c r="EE169">
        <f t="shared" si="319"/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f t="shared" si="320"/>
        <v>36000</v>
      </c>
      <c r="EQ169">
        <f t="shared" si="384"/>
        <v>36000</v>
      </c>
      <c r="ER169">
        <f t="shared" si="321"/>
        <v>427398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f t="shared" si="385"/>
        <v>0</v>
      </c>
      <c r="FA169">
        <f t="shared" si="386"/>
        <v>427398</v>
      </c>
      <c r="FB169">
        <f t="shared" si="387"/>
        <v>8870</v>
      </c>
      <c r="FC169">
        <f t="shared" si="388"/>
        <v>0</v>
      </c>
      <c r="FD169">
        <f t="shared" si="389"/>
        <v>8870</v>
      </c>
      <c r="FE169">
        <f t="shared" si="390"/>
        <v>0</v>
      </c>
      <c r="FF169">
        <f t="shared" si="391"/>
        <v>0</v>
      </c>
      <c r="FG169">
        <f t="shared" si="392"/>
        <v>0</v>
      </c>
      <c r="FH169">
        <v>0</v>
      </c>
      <c r="FI169">
        <f t="shared" si="393"/>
        <v>0</v>
      </c>
      <c r="FJ169" t="b">
        <f t="shared" si="394"/>
        <v>1</v>
      </c>
      <c r="FK169">
        <f t="shared" ca="1" si="395"/>
        <v>533</v>
      </c>
      <c r="FL169">
        <f t="shared" ca="1" si="396"/>
        <v>516331</v>
      </c>
      <c r="FM169">
        <f t="shared" si="397"/>
        <v>75000</v>
      </c>
      <c r="FN169">
        <f t="shared" ca="1" si="398"/>
        <v>441331</v>
      </c>
      <c r="FO169">
        <f t="shared" ca="1" si="399"/>
        <v>0</v>
      </c>
      <c r="FP169">
        <f t="shared" ca="1" si="400"/>
        <v>0</v>
      </c>
      <c r="FQ169">
        <f t="shared" ca="1" si="401"/>
        <v>0</v>
      </c>
      <c r="FR169">
        <f t="shared" ca="1" si="402"/>
        <v>0</v>
      </c>
      <c r="FS169">
        <f t="shared" ca="1" si="403"/>
        <v>0</v>
      </c>
      <c r="FT169">
        <f t="shared" ca="1" si="404"/>
        <v>0</v>
      </c>
      <c r="FU169">
        <f t="shared" ca="1" si="405"/>
        <v>0</v>
      </c>
      <c r="FV169">
        <f t="shared" ca="1" si="406"/>
        <v>0</v>
      </c>
      <c r="FW169">
        <f t="shared" ca="1" si="407"/>
        <v>141331</v>
      </c>
      <c r="FX169">
        <f t="shared" ca="1" si="408"/>
        <v>7066.55</v>
      </c>
      <c r="FY169">
        <f t="shared" ca="1" si="409"/>
        <v>7067</v>
      </c>
      <c r="FZ169">
        <f t="shared" ca="1" si="410"/>
        <v>0</v>
      </c>
      <c r="GA169">
        <f t="shared" ca="1" si="411"/>
        <v>0</v>
      </c>
      <c r="GB169">
        <f t="shared" ca="1" si="412"/>
        <v>7067</v>
      </c>
      <c r="GC169">
        <f t="shared" ca="1" si="413"/>
        <v>0</v>
      </c>
      <c r="GD169" t="b">
        <f t="shared" ca="1" si="414"/>
        <v>0</v>
      </c>
      <c r="GE169">
        <f t="shared" ca="1" si="415"/>
        <v>0</v>
      </c>
      <c r="GF169">
        <f t="shared" ca="1" si="416"/>
        <v>7067</v>
      </c>
      <c r="GG169">
        <f t="shared" ca="1" si="417"/>
        <v>0</v>
      </c>
      <c r="GH169">
        <f t="shared" ca="1" si="418"/>
        <v>0</v>
      </c>
      <c r="GI169">
        <f t="shared" ca="1" si="419"/>
        <v>0</v>
      </c>
    </row>
    <row r="170" spans="1:191" x14ac:dyDescent="0.25">
      <c r="A170">
        <f>_xlfn.AGGREGATE(3,5,$B$2:B170)</f>
        <v>169</v>
      </c>
      <c r="B170" t="s">
        <v>458</v>
      </c>
      <c r="C170" t="s">
        <v>459</v>
      </c>
      <c r="D170" t="s">
        <v>807</v>
      </c>
      <c r="E170" t="s">
        <v>843</v>
      </c>
      <c r="F170">
        <v>0</v>
      </c>
      <c r="G170">
        <v>6000</v>
      </c>
      <c r="H170">
        <v>26200</v>
      </c>
      <c r="I170">
        <f t="shared" si="322"/>
        <v>2620</v>
      </c>
      <c r="J170">
        <f t="shared" si="323"/>
        <v>3144</v>
      </c>
      <c r="K170">
        <v>0</v>
      </c>
      <c r="L170">
        <v>500</v>
      </c>
      <c r="M170">
        <f t="shared" si="324"/>
        <v>32464</v>
      </c>
      <c r="N170">
        <v>2000</v>
      </c>
      <c r="O170">
        <v>0</v>
      </c>
      <c r="P170">
        <f t="shared" si="325"/>
        <v>150</v>
      </c>
      <c r="Q170">
        <f t="shared" si="326"/>
        <v>30314</v>
      </c>
      <c r="R170">
        <v>26200</v>
      </c>
      <c r="S170">
        <f t="shared" si="327"/>
        <v>2620</v>
      </c>
      <c r="T170">
        <f t="shared" si="328"/>
        <v>3144</v>
      </c>
      <c r="U170">
        <v>0</v>
      </c>
      <c r="V170">
        <v>500</v>
      </c>
      <c r="W170">
        <f t="shared" si="329"/>
        <v>32464</v>
      </c>
      <c r="X170">
        <v>2000</v>
      </c>
      <c r="Y170">
        <v>0</v>
      </c>
      <c r="Z170">
        <f t="shared" si="330"/>
        <v>150</v>
      </c>
      <c r="AA170">
        <f t="shared" si="331"/>
        <v>30314</v>
      </c>
      <c r="AB170">
        <v>26200</v>
      </c>
      <c r="AC170">
        <f t="shared" si="332"/>
        <v>3668.0000000000005</v>
      </c>
      <c r="AD170">
        <f t="shared" si="333"/>
        <v>3144</v>
      </c>
      <c r="AE170">
        <v>0</v>
      </c>
      <c r="AF170">
        <v>500</v>
      </c>
      <c r="AG170">
        <f t="shared" si="334"/>
        <v>33512</v>
      </c>
      <c r="AH170">
        <v>2000</v>
      </c>
      <c r="AI170">
        <v>0</v>
      </c>
      <c r="AJ170">
        <f t="shared" si="335"/>
        <v>150</v>
      </c>
      <c r="AK170">
        <f t="shared" si="336"/>
        <v>31362</v>
      </c>
      <c r="AL170">
        <v>26200</v>
      </c>
      <c r="AM170">
        <f t="shared" si="337"/>
        <v>3668.0000000000005</v>
      </c>
      <c r="AN170">
        <f t="shared" si="338"/>
        <v>3144</v>
      </c>
      <c r="AO170">
        <v>0</v>
      </c>
      <c r="AP170">
        <v>500</v>
      </c>
      <c r="AQ170">
        <f t="shared" si="339"/>
        <v>33512</v>
      </c>
      <c r="AR170">
        <v>2000</v>
      </c>
      <c r="AS170">
        <v>0</v>
      </c>
      <c r="AT170">
        <f t="shared" si="340"/>
        <v>150</v>
      </c>
      <c r="AU170">
        <f t="shared" si="341"/>
        <v>31362</v>
      </c>
      <c r="AV170">
        <v>27000</v>
      </c>
      <c r="AW170">
        <f t="shared" si="342"/>
        <v>3780.0000000000005</v>
      </c>
      <c r="AX170">
        <f t="shared" si="343"/>
        <v>1048</v>
      </c>
      <c r="AY170">
        <f t="shared" si="344"/>
        <v>3240</v>
      </c>
      <c r="AZ170">
        <v>0</v>
      </c>
      <c r="BA170">
        <v>500</v>
      </c>
      <c r="BB170">
        <f t="shared" si="345"/>
        <v>35568</v>
      </c>
      <c r="BC170">
        <v>2000</v>
      </c>
      <c r="BD170">
        <v>0</v>
      </c>
      <c r="BE170">
        <f t="shared" si="346"/>
        <v>150</v>
      </c>
      <c r="BF170">
        <f t="shared" si="347"/>
        <v>33418</v>
      </c>
      <c r="BG170">
        <v>27000</v>
      </c>
      <c r="BH170">
        <f t="shared" si="348"/>
        <v>3780.0000000000005</v>
      </c>
      <c r="BI170">
        <f t="shared" si="349"/>
        <v>3240</v>
      </c>
      <c r="BJ170">
        <v>0</v>
      </c>
      <c r="BK170">
        <v>500</v>
      </c>
      <c r="BL170">
        <f t="shared" si="350"/>
        <v>34520</v>
      </c>
      <c r="BM170">
        <v>2000</v>
      </c>
      <c r="BN170">
        <v>0</v>
      </c>
      <c r="BO170">
        <f t="shared" si="351"/>
        <v>150</v>
      </c>
      <c r="BP170">
        <f t="shared" si="352"/>
        <v>32370</v>
      </c>
      <c r="BQ170">
        <v>27000</v>
      </c>
      <c r="BR170">
        <f t="shared" si="353"/>
        <v>3780.0000000000005</v>
      </c>
      <c r="BS170">
        <f t="shared" si="354"/>
        <v>3240</v>
      </c>
      <c r="BT170">
        <v>0</v>
      </c>
      <c r="BU170">
        <v>500</v>
      </c>
      <c r="BV170">
        <f t="shared" si="355"/>
        <v>34520</v>
      </c>
      <c r="BW170">
        <v>2000</v>
      </c>
      <c r="BX170">
        <v>0</v>
      </c>
      <c r="BY170">
        <f t="shared" si="356"/>
        <v>150</v>
      </c>
      <c r="BZ170">
        <f t="shared" si="357"/>
        <v>32370</v>
      </c>
      <c r="CA170">
        <v>27000</v>
      </c>
      <c r="CB170">
        <f t="shared" si="358"/>
        <v>3780.0000000000005</v>
      </c>
      <c r="CC170">
        <f t="shared" si="359"/>
        <v>3240</v>
      </c>
      <c r="CD170">
        <v>0</v>
      </c>
      <c r="CE170">
        <v>500</v>
      </c>
      <c r="CF170">
        <f t="shared" si="360"/>
        <v>34520</v>
      </c>
      <c r="CG170">
        <v>2000</v>
      </c>
      <c r="CH170">
        <v>0</v>
      </c>
      <c r="CI170">
        <f t="shared" si="361"/>
        <v>150</v>
      </c>
      <c r="CJ170">
        <f t="shared" si="362"/>
        <v>32370</v>
      </c>
      <c r="CK170">
        <v>27000</v>
      </c>
      <c r="CL170">
        <f t="shared" si="363"/>
        <v>3780.0000000000005</v>
      </c>
      <c r="CM170">
        <f t="shared" si="364"/>
        <v>3240</v>
      </c>
      <c r="CN170">
        <v>0</v>
      </c>
      <c r="CO170">
        <v>500</v>
      </c>
      <c r="CP170">
        <f t="shared" si="365"/>
        <v>34520</v>
      </c>
      <c r="CQ170">
        <v>2000</v>
      </c>
      <c r="CR170">
        <v>0</v>
      </c>
      <c r="CS170">
        <f t="shared" si="366"/>
        <v>150</v>
      </c>
      <c r="CT170">
        <f t="shared" si="367"/>
        <v>32370</v>
      </c>
      <c r="CU170">
        <v>27000</v>
      </c>
      <c r="CV170">
        <f t="shared" si="368"/>
        <v>3780</v>
      </c>
      <c r="CW170">
        <f t="shared" si="369"/>
        <v>3240</v>
      </c>
      <c r="CX170">
        <v>0</v>
      </c>
      <c r="CY170">
        <v>500</v>
      </c>
      <c r="CZ170">
        <f t="shared" si="370"/>
        <v>34520</v>
      </c>
      <c r="DA170">
        <v>2000</v>
      </c>
      <c r="DB170">
        <v>0</v>
      </c>
      <c r="DC170">
        <f t="shared" si="371"/>
        <v>150</v>
      </c>
      <c r="DD170">
        <f t="shared" si="372"/>
        <v>32370</v>
      </c>
      <c r="DE170">
        <v>27000</v>
      </c>
      <c r="DF170">
        <f t="shared" si="373"/>
        <v>3780.0000000000005</v>
      </c>
      <c r="DG170">
        <f t="shared" si="374"/>
        <v>3240</v>
      </c>
      <c r="DH170">
        <v>0</v>
      </c>
      <c r="DI170">
        <v>500</v>
      </c>
      <c r="DJ170">
        <f t="shared" si="375"/>
        <v>34520</v>
      </c>
      <c r="DK170">
        <v>2000</v>
      </c>
      <c r="DL170">
        <v>0</v>
      </c>
      <c r="DM170">
        <f t="shared" si="376"/>
        <v>150</v>
      </c>
      <c r="DN170">
        <f t="shared" si="377"/>
        <v>32370</v>
      </c>
      <c r="DO170">
        <v>27000</v>
      </c>
      <c r="DP170">
        <f t="shared" si="378"/>
        <v>3780.0000000000005</v>
      </c>
      <c r="DQ170">
        <f t="shared" si="379"/>
        <v>3240</v>
      </c>
      <c r="DR170">
        <v>0</v>
      </c>
      <c r="DS170">
        <v>500</v>
      </c>
      <c r="DT170">
        <f t="shared" si="380"/>
        <v>34520</v>
      </c>
      <c r="DU170">
        <v>2000</v>
      </c>
      <c r="DV170">
        <v>0</v>
      </c>
      <c r="DW170">
        <f t="shared" si="381"/>
        <v>150</v>
      </c>
      <c r="DX170">
        <f t="shared" si="382"/>
        <v>32370</v>
      </c>
      <c r="DY170">
        <f t="shared" si="383"/>
        <v>415160</v>
      </c>
      <c r="DZ170">
        <f t="shared" si="315"/>
        <v>1800</v>
      </c>
      <c r="EA170">
        <f t="shared" si="316"/>
        <v>50000</v>
      </c>
      <c r="EB170">
        <v>0</v>
      </c>
      <c r="EC170">
        <f t="shared" si="317"/>
        <v>363360</v>
      </c>
      <c r="ED170">
        <f t="shared" si="318"/>
        <v>24000</v>
      </c>
      <c r="EE170">
        <f t="shared" si="319"/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f t="shared" si="320"/>
        <v>24000</v>
      </c>
      <c r="EQ170">
        <f t="shared" si="384"/>
        <v>24000</v>
      </c>
      <c r="ER170">
        <f t="shared" si="321"/>
        <v>339360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f t="shared" si="385"/>
        <v>0</v>
      </c>
      <c r="FA170">
        <f t="shared" si="386"/>
        <v>339360</v>
      </c>
      <c r="FB170">
        <f t="shared" si="387"/>
        <v>4468</v>
      </c>
      <c r="FC170">
        <f t="shared" si="388"/>
        <v>0</v>
      </c>
      <c r="FD170">
        <f t="shared" si="389"/>
        <v>4468</v>
      </c>
      <c r="FE170">
        <f t="shared" si="390"/>
        <v>0</v>
      </c>
      <c r="FF170">
        <f t="shared" si="391"/>
        <v>0</v>
      </c>
      <c r="FG170">
        <f t="shared" si="392"/>
        <v>0</v>
      </c>
      <c r="FH170">
        <v>0</v>
      </c>
      <c r="FI170">
        <f t="shared" si="393"/>
        <v>0</v>
      </c>
      <c r="FJ170" t="b">
        <f t="shared" si="394"/>
        <v>0</v>
      </c>
      <c r="FK170">
        <f t="shared" ca="1" si="395"/>
        <v>2125</v>
      </c>
      <c r="FL170">
        <f t="shared" ca="1" si="396"/>
        <v>417285</v>
      </c>
      <c r="FM170">
        <f t="shared" si="397"/>
        <v>75000</v>
      </c>
      <c r="FN170">
        <f t="shared" ca="1" si="398"/>
        <v>342285</v>
      </c>
      <c r="FO170">
        <f t="shared" ca="1" si="399"/>
        <v>0</v>
      </c>
      <c r="FP170">
        <f t="shared" ca="1" si="400"/>
        <v>0</v>
      </c>
      <c r="FQ170">
        <f t="shared" ca="1" si="401"/>
        <v>0</v>
      </c>
      <c r="FR170">
        <f t="shared" ca="1" si="402"/>
        <v>0</v>
      </c>
      <c r="FS170">
        <f t="shared" ca="1" si="403"/>
        <v>0</v>
      </c>
      <c r="FT170">
        <f t="shared" ca="1" si="404"/>
        <v>0</v>
      </c>
      <c r="FU170">
        <f t="shared" ca="1" si="405"/>
        <v>0</v>
      </c>
      <c r="FV170">
        <f t="shared" ca="1" si="406"/>
        <v>0</v>
      </c>
      <c r="FW170">
        <f t="shared" ca="1" si="407"/>
        <v>42285</v>
      </c>
      <c r="FX170">
        <f t="shared" ca="1" si="408"/>
        <v>2114.25</v>
      </c>
      <c r="FY170">
        <f t="shared" ca="1" si="409"/>
        <v>2114</v>
      </c>
      <c r="FZ170">
        <f t="shared" ca="1" si="410"/>
        <v>0</v>
      </c>
      <c r="GA170">
        <f t="shared" ca="1" si="411"/>
        <v>0</v>
      </c>
      <c r="GB170">
        <f t="shared" ca="1" si="412"/>
        <v>2114</v>
      </c>
      <c r="GC170">
        <f t="shared" ca="1" si="413"/>
        <v>0</v>
      </c>
      <c r="GD170" t="b">
        <f t="shared" ca="1" si="414"/>
        <v>0</v>
      </c>
      <c r="GE170">
        <f t="shared" ca="1" si="415"/>
        <v>0</v>
      </c>
      <c r="GF170">
        <f t="shared" ca="1" si="416"/>
        <v>2114</v>
      </c>
      <c r="GG170">
        <f t="shared" ca="1" si="417"/>
        <v>0</v>
      </c>
      <c r="GH170">
        <f t="shared" ca="1" si="418"/>
        <v>0</v>
      </c>
      <c r="GI170">
        <f t="shared" ca="1" si="419"/>
        <v>0</v>
      </c>
    </row>
    <row r="171" spans="1:191" x14ac:dyDescent="0.25">
      <c r="A171">
        <f>_xlfn.AGGREGATE(3,5,$B$2:B171)</f>
        <v>170</v>
      </c>
      <c r="B171" t="s">
        <v>460</v>
      </c>
      <c r="C171" t="s">
        <v>461</v>
      </c>
      <c r="D171" t="s">
        <v>807</v>
      </c>
      <c r="E171" t="s">
        <v>843</v>
      </c>
      <c r="F171">
        <v>0</v>
      </c>
      <c r="G171">
        <v>6000</v>
      </c>
      <c r="H171">
        <v>26200</v>
      </c>
      <c r="I171">
        <f t="shared" si="322"/>
        <v>2620</v>
      </c>
      <c r="J171">
        <f t="shared" si="323"/>
        <v>3144</v>
      </c>
      <c r="K171">
        <v>0</v>
      </c>
      <c r="L171">
        <v>500</v>
      </c>
      <c r="M171">
        <f t="shared" si="324"/>
        <v>32464</v>
      </c>
      <c r="N171">
        <v>2000</v>
      </c>
      <c r="O171">
        <v>0</v>
      </c>
      <c r="P171">
        <f t="shared" si="325"/>
        <v>150</v>
      </c>
      <c r="Q171">
        <f t="shared" si="326"/>
        <v>30314</v>
      </c>
      <c r="R171">
        <v>26200</v>
      </c>
      <c r="S171">
        <f t="shared" si="327"/>
        <v>2620</v>
      </c>
      <c r="T171">
        <f t="shared" si="328"/>
        <v>3144</v>
      </c>
      <c r="U171">
        <v>0</v>
      </c>
      <c r="V171">
        <v>500</v>
      </c>
      <c r="W171">
        <f t="shared" si="329"/>
        <v>32464</v>
      </c>
      <c r="X171">
        <v>2000</v>
      </c>
      <c r="Y171">
        <v>0</v>
      </c>
      <c r="Z171">
        <f t="shared" si="330"/>
        <v>150</v>
      </c>
      <c r="AA171">
        <f t="shared" si="331"/>
        <v>30314</v>
      </c>
      <c r="AB171">
        <v>26200</v>
      </c>
      <c r="AC171">
        <f t="shared" si="332"/>
        <v>3668.0000000000005</v>
      </c>
      <c r="AD171">
        <f t="shared" si="333"/>
        <v>3144</v>
      </c>
      <c r="AE171">
        <v>0</v>
      </c>
      <c r="AF171">
        <v>500</v>
      </c>
      <c r="AG171">
        <f t="shared" si="334"/>
        <v>33512</v>
      </c>
      <c r="AH171">
        <v>2000</v>
      </c>
      <c r="AI171">
        <v>0</v>
      </c>
      <c r="AJ171">
        <f t="shared" si="335"/>
        <v>150</v>
      </c>
      <c r="AK171">
        <f t="shared" si="336"/>
        <v>31362</v>
      </c>
      <c r="AL171">
        <v>26200</v>
      </c>
      <c r="AM171">
        <f t="shared" si="337"/>
        <v>3668.0000000000005</v>
      </c>
      <c r="AN171">
        <f t="shared" si="338"/>
        <v>3144</v>
      </c>
      <c r="AO171">
        <v>0</v>
      </c>
      <c r="AP171">
        <v>500</v>
      </c>
      <c r="AQ171">
        <f t="shared" si="339"/>
        <v>33512</v>
      </c>
      <c r="AR171">
        <v>2000</v>
      </c>
      <c r="AS171">
        <v>0</v>
      </c>
      <c r="AT171">
        <f t="shared" si="340"/>
        <v>150</v>
      </c>
      <c r="AU171">
        <f t="shared" si="341"/>
        <v>31362</v>
      </c>
      <c r="AV171">
        <v>27000</v>
      </c>
      <c r="AW171">
        <f t="shared" si="342"/>
        <v>3780.0000000000005</v>
      </c>
      <c r="AX171">
        <f t="shared" si="343"/>
        <v>1048</v>
      </c>
      <c r="AY171">
        <f t="shared" si="344"/>
        <v>3240</v>
      </c>
      <c r="AZ171">
        <v>0</v>
      </c>
      <c r="BA171">
        <v>500</v>
      </c>
      <c r="BB171">
        <f t="shared" si="345"/>
        <v>35568</v>
      </c>
      <c r="BC171">
        <v>2000</v>
      </c>
      <c r="BD171">
        <v>0</v>
      </c>
      <c r="BE171">
        <f t="shared" si="346"/>
        <v>150</v>
      </c>
      <c r="BF171">
        <f t="shared" si="347"/>
        <v>33418</v>
      </c>
      <c r="BG171">
        <v>27000</v>
      </c>
      <c r="BH171">
        <f t="shared" si="348"/>
        <v>3780.0000000000005</v>
      </c>
      <c r="BI171">
        <f t="shared" si="349"/>
        <v>3240</v>
      </c>
      <c r="BJ171">
        <v>0</v>
      </c>
      <c r="BK171">
        <v>500</v>
      </c>
      <c r="BL171">
        <f t="shared" si="350"/>
        <v>34520</v>
      </c>
      <c r="BM171">
        <v>2000</v>
      </c>
      <c r="BN171">
        <v>0</v>
      </c>
      <c r="BO171">
        <f t="shared" si="351"/>
        <v>150</v>
      </c>
      <c r="BP171">
        <f t="shared" si="352"/>
        <v>32370</v>
      </c>
      <c r="BQ171">
        <v>27000</v>
      </c>
      <c r="BR171">
        <f t="shared" si="353"/>
        <v>3780.0000000000005</v>
      </c>
      <c r="BS171">
        <f t="shared" si="354"/>
        <v>3240</v>
      </c>
      <c r="BT171">
        <v>0</v>
      </c>
      <c r="BU171">
        <v>500</v>
      </c>
      <c r="BV171">
        <f t="shared" si="355"/>
        <v>34520</v>
      </c>
      <c r="BW171">
        <v>2000</v>
      </c>
      <c r="BX171">
        <v>0</v>
      </c>
      <c r="BY171">
        <f t="shared" si="356"/>
        <v>150</v>
      </c>
      <c r="BZ171">
        <f t="shared" si="357"/>
        <v>32370</v>
      </c>
      <c r="CA171">
        <v>27000</v>
      </c>
      <c r="CB171">
        <f t="shared" si="358"/>
        <v>3780.0000000000005</v>
      </c>
      <c r="CC171">
        <f t="shared" si="359"/>
        <v>3240</v>
      </c>
      <c r="CD171">
        <v>0</v>
      </c>
      <c r="CE171">
        <v>500</v>
      </c>
      <c r="CF171">
        <f t="shared" si="360"/>
        <v>34520</v>
      </c>
      <c r="CG171">
        <v>2000</v>
      </c>
      <c r="CH171">
        <v>0</v>
      </c>
      <c r="CI171">
        <f t="shared" si="361"/>
        <v>150</v>
      </c>
      <c r="CJ171">
        <f t="shared" si="362"/>
        <v>32370</v>
      </c>
      <c r="CK171">
        <v>27000</v>
      </c>
      <c r="CL171">
        <f t="shared" si="363"/>
        <v>3780.0000000000005</v>
      </c>
      <c r="CM171">
        <f t="shared" si="364"/>
        <v>3240</v>
      </c>
      <c r="CN171">
        <v>0</v>
      </c>
      <c r="CO171">
        <v>500</v>
      </c>
      <c r="CP171">
        <f t="shared" si="365"/>
        <v>34520</v>
      </c>
      <c r="CQ171">
        <v>2000</v>
      </c>
      <c r="CR171">
        <v>0</v>
      </c>
      <c r="CS171">
        <f t="shared" si="366"/>
        <v>150</v>
      </c>
      <c r="CT171">
        <f t="shared" si="367"/>
        <v>32370</v>
      </c>
      <c r="CU171">
        <v>27000</v>
      </c>
      <c r="CV171">
        <f t="shared" si="368"/>
        <v>3780</v>
      </c>
      <c r="CW171">
        <f t="shared" si="369"/>
        <v>3240</v>
      </c>
      <c r="CX171">
        <v>0</v>
      </c>
      <c r="CY171">
        <v>500</v>
      </c>
      <c r="CZ171">
        <f t="shared" si="370"/>
        <v>34520</v>
      </c>
      <c r="DA171">
        <v>2000</v>
      </c>
      <c r="DB171">
        <v>0</v>
      </c>
      <c r="DC171">
        <f t="shared" si="371"/>
        <v>150</v>
      </c>
      <c r="DD171">
        <f t="shared" si="372"/>
        <v>32370</v>
      </c>
      <c r="DE171">
        <v>27000</v>
      </c>
      <c r="DF171">
        <f t="shared" si="373"/>
        <v>3780.0000000000005</v>
      </c>
      <c r="DG171">
        <f t="shared" si="374"/>
        <v>3240</v>
      </c>
      <c r="DH171">
        <v>0</v>
      </c>
      <c r="DI171">
        <v>500</v>
      </c>
      <c r="DJ171">
        <f t="shared" si="375"/>
        <v>34520</v>
      </c>
      <c r="DK171">
        <v>2000</v>
      </c>
      <c r="DL171">
        <v>0</v>
      </c>
      <c r="DM171">
        <f t="shared" si="376"/>
        <v>150</v>
      </c>
      <c r="DN171">
        <f t="shared" si="377"/>
        <v>32370</v>
      </c>
      <c r="DO171">
        <v>27000</v>
      </c>
      <c r="DP171">
        <f t="shared" si="378"/>
        <v>3780.0000000000005</v>
      </c>
      <c r="DQ171">
        <f t="shared" si="379"/>
        <v>3240</v>
      </c>
      <c r="DR171">
        <v>0</v>
      </c>
      <c r="DS171">
        <v>500</v>
      </c>
      <c r="DT171">
        <f t="shared" si="380"/>
        <v>34520</v>
      </c>
      <c r="DU171">
        <v>2000</v>
      </c>
      <c r="DV171">
        <v>0</v>
      </c>
      <c r="DW171">
        <f t="shared" si="381"/>
        <v>150</v>
      </c>
      <c r="DX171">
        <f t="shared" si="382"/>
        <v>32370</v>
      </c>
      <c r="DY171">
        <f t="shared" si="383"/>
        <v>415160</v>
      </c>
      <c r="DZ171">
        <f t="shared" si="315"/>
        <v>1800</v>
      </c>
      <c r="EA171">
        <f t="shared" si="316"/>
        <v>50000</v>
      </c>
      <c r="EB171">
        <v>0</v>
      </c>
      <c r="EC171">
        <f t="shared" si="317"/>
        <v>363360</v>
      </c>
      <c r="ED171">
        <f t="shared" si="318"/>
        <v>24000</v>
      </c>
      <c r="EE171">
        <f t="shared" si="319"/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f t="shared" si="320"/>
        <v>24000</v>
      </c>
      <c r="EQ171">
        <f t="shared" si="384"/>
        <v>24000</v>
      </c>
      <c r="ER171">
        <f t="shared" si="321"/>
        <v>339360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f t="shared" si="385"/>
        <v>0</v>
      </c>
      <c r="FA171">
        <f t="shared" si="386"/>
        <v>339360</v>
      </c>
      <c r="FB171">
        <f t="shared" si="387"/>
        <v>4468</v>
      </c>
      <c r="FC171">
        <f t="shared" si="388"/>
        <v>0</v>
      </c>
      <c r="FD171">
        <f t="shared" si="389"/>
        <v>4468</v>
      </c>
      <c r="FE171">
        <f t="shared" si="390"/>
        <v>0</v>
      </c>
      <c r="FF171">
        <f t="shared" si="391"/>
        <v>0</v>
      </c>
      <c r="FG171">
        <f t="shared" si="392"/>
        <v>0</v>
      </c>
      <c r="FH171">
        <v>0</v>
      </c>
      <c r="FI171">
        <f t="shared" si="393"/>
        <v>0</v>
      </c>
      <c r="FJ171" t="b">
        <f t="shared" si="394"/>
        <v>0</v>
      </c>
      <c r="FK171">
        <f t="shared" ca="1" si="395"/>
        <v>1115</v>
      </c>
      <c r="FL171">
        <f t="shared" ca="1" si="396"/>
        <v>416275</v>
      </c>
      <c r="FM171">
        <f t="shared" si="397"/>
        <v>75000</v>
      </c>
      <c r="FN171">
        <f t="shared" ca="1" si="398"/>
        <v>341275</v>
      </c>
      <c r="FO171">
        <f t="shared" ca="1" si="399"/>
        <v>0</v>
      </c>
      <c r="FP171">
        <f t="shared" ca="1" si="400"/>
        <v>0</v>
      </c>
      <c r="FQ171">
        <f t="shared" ca="1" si="401"/>
        <v>0</v>
      </c>
      <c r="FR171">
        <f t="shared" ca="1" si="402"/>
        <v>0</v>
      </c>
      <c r="FS171">
        <f t="shared" ca="1" si="403"/>
        <v>0</v>
      </c>
      <c r="FT171">
        <f t="shared" ca="1" si="404"/>
        <v>0</v>
      </c>
      <c r="FU171">
        <f t="shared" ca="1" si="405"/>
        <v>0</v>
      </c>
      <c r="FV171">
        <f t="shared" ca="1" si="406"/>
        <v>0</v>
      </c>
      <c r="FW171">
        <f t="shared" ca="1" si="407"/>
        <v>41275</v>
      </c>
      <c r="FX171">
        <f t="shared" ca="1" si="408"/>
        <v>2063.75</v>
      </c>
      <c r="FY171">
        <f t="shared" ca="1" si="409"/>
        <v>2064</v>
      </c>
      <c r="FZ171">
        <f t="shared" ca="1" si="410"/>
        <v>0</v>
      </c>
      <c r="GA171">
        <f t="shared" ca="1" si="411"/>
        <v>0</v>
      </c>
      <c r="GB171">
        <f t="shared" ca="1" si="412"/>
        <v>2064</v>
      </c>
      <c r="GC171">
        <f t="shared" ca="1" si="413"/>
        <v>0</v>
      </c>
      <c r="GD171" t="b">
        <f t="shared" ca="1" si="414"/>
        <v>0</v>
      </c>
      <c r="GE171">
        <f t="shared" ca="1" si="415"/>
        <v>0</v>
      </c>
      <c r="GF171">
        <f t="shared" ca="1" si="416"/>
        <v>2064</v>
      </c>
      <c r="GG171">
        <f t="shared" ca="1" si="417"/>
        <v>0</v>
      </c>
      <c r="GH171">
        <f t="shared" ca="1" si="418"/>
        <v>0</v>
      </c>
      <c r="GI171">
        <f t="shared" ca="1" si="419"/>
        <v>0</v>
      </c>
    </row>
    <row r="172" spans="1:191" x14ac:dyDescent="0.25">
      <c r="A172">
        <f>_xlfn.AGGREGATE(3,5,$B$2:B172)</f>
        <v>171</v>
      </c>
      <c r="B172" t="s">
        <v>462</v>
      </c>
      <c r="C172" t="s">
        <v>463</v>
      </c>
      <c r="D172" t="s">
        <v>807</v>
      </c>
      <c r="E172" t="s">
        <v>843</v>
      </c>
      <c r="F172">
        <v>0</v>
      </c>
      <c r="G172">
        <v>6000</v>
      </c>
      <c r="H172">
        <v>32500</v>
      </c>
      <c r="I172">
        <f t="shared" si="322"/>
        <v>3250</v>
      </c>
      <c r="J172">
        <f t="shared" si="323"/>
        <v>3900</v>
      </c>
      <c r="K172">
        <v>0</v>
      </c>
      <c r="L172">
        <v>0</v>
      </c>
      <c r="M172">
        <f t="shared" si="324"/>
        <v>39650</v>
      </c>
      <c r="N172">
        <v>3000</v>
      </c>
      <c r="O172">
        <v>0</v>
      </c>
      <c r="P172">
        <f t="shared" si="325"/>
        <v>150</v>
      </c>
      <c r="Q172">
        <f t="shared" si="326"/>
        <v>36500</v>
      </c>
      <c r="R172">
        <v>32500</v>
      </c>
      <c r="S172">
        <f t="shared" si="327"/>
        <v>3250</v>
      </c>
      <c r="T172">
        <f t="shared" si="328"/>
        <v>3900</v>
      </c>
      <c r="U172">
        <v>0</v>
      </c>
      <c r="V172">
        <v>0</v>
      </c>
      <c r="W172">
        <f t="shared" si="329"/>
        <v>39650</v>
      </c>
      <c r="X172">
        <v>3000</v>
      </c>
      <c r="Y172">
        <v>0</v>
      </c>
      <c r="Z172">
        <f t="shared" si="330"/>
        <v>150</v>
      </c>
      <c r="AA172">
        <f t="shared" si="331"/>
        <v>36500</v>
      </c>
      <c r="AB172">
        <v>32500</v>
      </c>
      <c r="AC172">
        <f t="shared" si="332"/>
        <v>4550</v>
      </c>
      <c r="AD172">
        <f t="shared" si="333"/>
        <v>3900</v>
      </c>
      <c r="AE172">
        <v>0</v>
      </c>
      <c r="AF172">
        <v>0</v>
      </c>
      <c r="AG172">
        <f t="shared" si="334"/>
        <v>40950</v>
      </c>
      <c r="AH172">
        <v>3000</v>
      </c>
      <c r="AI172">
        <v>0</v>
      </c>
      <c r="AJ172">
        <f t="shared" si="335"/>
        <v>200</v>
      </c>
      <c r="AK172">
        <f t="shared" si="336"/>
        <v>37750</v>
      </c>
      <c r="AL172">
        <v>32500</v>
      </c>
      <c r="AM172">
        <f t="shared" si="337"/>
        <v>4550</v>
      </c>
      <c r="AN172">
        <f t="shared" si="338"/>
        <v>3900</v>
      </c>
      <c r="AO172">
        <v>0</v>
      </c>
      <c r="AP172">
        <v>0</v>
      </c>
      <c r="AQ172">
        <f t="shared" si="339"/>
        <v>40950</v>
      </c>
      <c r="AR172">
        <v>3000</v>
      </c>
      <c r="AS172">
        <v>0</v>
      </c>
      <c r="AT172">
        <f t="shared" si="340"/>
        <v>200</v>
      </c>
      <c r="AU172">
        <f t="shared" si="341"/>
        <v>37750</v>
      </c>
      <c r="AV172">
        <v>33500</v>
      </c>
      <c r="AW172">
        <f t="shared" si="342"/>
        <v>4690</v>
      </c>
      <c r="AX172">
        <f t="shared" si="343"/>
        <v>1300</v>
      </c>
      <c r="AY172">
        <f t="shared" si="344"/>
        <v>4020</v>
      </c>
      <c r="AZ172">
        <v>0</v>
      </c>
      <c r="BA172">
        <v>0</v>
      </c>
      <c r="BB172">
        <f t="shared" si="345"/>
        <v>43510</v>
      </c>
      <c r="BC172">
        <v>3000</v>
      </c>
      <c r="BD172">
        <v>0</v>
      </c>
      <c r="BE172">
        <f t="shared" si="346"/>
        <v>200</v>
      </c>
      <c r="BF172">
        <f t="shared" si="347"/>
        <v>40310</v>
      </c>
      <c r="BG172">
        <v>33500</v>
      </c>
      <c r="BH172">
        <f t="shared" si="348"/>
        <v>4690</v>
      </c>
      <c r="BI172">
        <f t="shared" si="349"/>
        <v>4020</v>
      </c>
      <c r="BJ172">
        <v>0</v>
      </c>
      <c r="BK172">
        <v>0</v>
      </c>
      <c r="BL172">
        <f t="shared" si="350"/>
        <v>42210</v>
      </c>
      <c r="BM172">
        <v>3000</v>
      </c>
      <c r="BN172">
        <v>0</v>
      </c>
      <c r="BO172">
        <f t="shared" si="351"/>
        <v>200</v>
      </c>
      <c r="BP172">
        <f t="shared" si="352"/>
        <v>39010</v>
      </c>
      <c r="BQ172">
        <v>33500</v>
      </c>
      <c r="BR172">
        <f t="shared" si="353"/>
        <v>4690</v>
      </c>
      <c r="BS172">
        <f t="shared" si="354"/>
        <v>4020</v>
      </c>
      <c r="BT172">
        <v>0</v>
      </c>
      <c r="BU172">
        <v>0</v>
      </c>
      <c r="BV172">
        <f t="shared" si="355"/>
        <v>42210</v>
      </c>
      <c r="BW172">
        <v>3000</v>
      </c>
      <c r="BX172">
        <v>0</v>
      </c>
      <c r="BY172">
        <f t="shared" si="356"/>
        <v>200</v>
      </c>
      <c r="BZ172">
        <f t="shared" si="357"/>
        <v>39010</v>
      </c>
      <c r="CA172">
        <v>33500</v>
      </c>
      <c r="CB172">
        <f t="shared" si="358"/>
        <v>4690</v>
      </c>
      <c r="CC172">
        <f t="shared" si="359"/>
        <v>4020</v>
      </c>
      <c r="CD172">
        <v>0</v>
      </c>
      <c r="CE172">
        <v>0</v>
      </c>
      <c r="CF172">
        <f t="shared" si="360"/>
        <v>42210</v>
      </c>
      <c r="CG172">
        <v>3000</v>
      </c>
      <c r="CH172">
        <v>0</v>
      </c>
      <c r="CI172">
        <f t="shared" si="361"/>
        <v>200</v>
      </c>
      <c r="CJ172">
        <f t="shared" si="362"/>
        <v>39010</v>
      </c>
      <c r="CK172">
        <v>33500</v>
      </c>
      <c r="CL172">
        <f t="shared" si="363"/>
        <v>4690</v>
      </c>
      <c r="CM172">
        <f t="shared" si="364"/>
        <v>4020</v>
      </c>
      <c r="CN172">
        <v>0</v>
      </c>
      <c r="CO172">
        <v>0</v>
      </c>
      <c r="CP172">
        <f t="shared" si="365"/>
        <v>42210</v>
      </c>
      <c r="CQ172">
        <v>3000</v>
      </c>
      <c r="CR172">
        <v>0</v>
      </c>
      <c r="CS172">
        <f t="shared" si="366"/>
        <v>200</v>
      </c>
      <c r="CT172">
        <f t="shared" si="367"/>
        <v>39010</v>
      </c>
      <c r="CU172">
        <v>34371</v>
      </c>
      <c r="CV172">
        <f t="shared" si="368"/>
        <v>4812</v>
      </c>
      <c r="CW172">
        <f t="shared" si="369"/>
        <v>4125</v>
      </c>
      <c r="CX172">
        <v>0</v>
      </c>
      <c r="CY172">
        <v>0</v>
      </c>
      <c r="CZ172">
        <f t="shared" si="370"/>
        <v>43308</v>
      </c>
      <c r="DA172">
        <v>3000</v>
      </c>
      <c r="DB172">
        <v>0</v>
      </c>
      <c r="DC172">
        <f t="shared" si="371"/>
        <v>200</v>
      </c>
      <c r="DD172">
        <f t="shared" si="372"/>
        <v>40108</v>
      </c>
      <c r="DE172">
        <v>34500</v>
      </c>
      <c r="DF172">
        <f t="shared" si="373"/>
        <v>4830.0000000000009</v>
      </c>
      <c r="DG172">
        <f t="shared" si="374"/>
        <v>4140</v>
      </c>
      <c r="DH172">
        <v>0</v>
      </c>
      <c r="DI172">
        <v>0</v>
      </c>
      <c r="DJ172">
        <f t="shared" si="375"/>
        <v>43470</v>
      </c>
      <c r="DK172">
        <v>3000</v>
      </c>
      <c r="DL172">
        <v>0</v>
      </c>
      <c r="DM172">
        <f t="shared" si="376"/>
        <v>200</v>
      </c>
      <c r="DN172">
        <f t="shared" si="377"/>
        <v>40270</v>
      </c>
      <c r="DO172">
        <v>34500</v>
      </c>
      <c r="DP172">
        <f t="shared" si="378"/>
        <v>4830.0000000000009</v>
      </c>
      <c r="DQ172">
        <f t="shared" si="379"/>
        <v>4140</v>
      </c>
      <c r="DR172">
        <v>0</v>
      </c>
      <c r="DS172">
        <v>0</v>
      </c>
      <c r="DT172">
        <f t="shared" si="380"/>
        <v>43470</v>
      </c>
      <c r="DU172">
        <v>3000</v>
      </c>
      <c r="DV172">
        <v>0</v>
      </c>
      <c r="DW172">
        <f t="shared" si="381"/>
        <v>200</v>
      </c>
      <c r="DX172">
        <f t="shared" si="382"/>
        <v>40270</v>
      </c>
      <c r="DY172">
        <f t="shared" si="383"/>
        <v>509798</v>
      </c>
      <c r="DZ172">
        <f t="shared" si="315"/>
        <v>2300</v>
      </c>
      <c r="EA172">
        <f t="shared" si="316"/>
        <v>50000</v>
      </c>
      <c r="EB172">
        <v>0</v>
      </c>
      <c r="EC172">
        <f t="shared" si="317"/>
        <v>457498</v>
      </c>
      <c r="ED172">
        <f t="shared" si="318"/>
        <v>36000</v>
      </c>
      <c r="EE172">
        <f t="shared" si="319"/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f t="shared" si="320"/>
        <v>36000</v>
      </c>
      <c r="EQ172">
        <f t="shared" si="384"/>
        <v>36000</v>
      </c>
      <c r="ER172">
        <f t="shared" si="321"/>
        <v>421498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f t="shared" si="385"/>
        <v>0</v>
      </c>
      <c r="FA172">
        <f t="shared" si="386"/>
        <v>421498</v>
      </c>
      <c r="FB172">
        <f t="shared" si="387"/>
        <v>8575</v>
      </c>
      <c r="FC172">
        <f t="shared" si="388"/>
        <v>0</v>
      </c>
      <c r="FD172">
        <f t="shared" si="389"/>
        <v>8575</v>
      </c>
      <c r="FE172">
        <f t="shared" si="390"/>
        <v>0</v>
      </c>
      <c r="FF172">
        <f t="shared" si="391"/>
        <v>0</v>
      </c>
      <c r="FG172">
        <f t="shared" si="392"/>
        <v>0</v>
      </c>
      <c r="FH172">
        <v>0</v>
      </c>
      <c r="FI172">
        <f t="shared" si="393"/>
        <v>0</v>
      </c>
      <c r="FJ172" t="b">
        <f t="shared" si="394"/>
        <v>1</v>
      </c>
      <c r="FK172">
        <f t="shared" ca="1" si="395"/>
        <v>761</v>
      </c>
      <c r="FL172">
        <f t="shared" ca="1" si="396"/>
        <v>510559</v>
      </c>
      <c r="FM172">
        <f t="shared" si="397"/>
        <v>75000</v>
      </c>
      <c r="FN172">
        <f t="shared" ca="1" si="398"/>
        <v>435559</v>
      </c>
      <c r="FO172">
        <f t="shared" ca="1" si="399"/>
        <v>0</v>
      </c>
      <c r="FP172">
        <f t="shared" ca="1" si="400"/>
        <v>0</v>
      </c>
      <c r="FQ172">
        <f t="shared" ca="1" si="401"/>
        <v>0</v>
      </c>
      <c r="FR172">
        <f t="shared" ca="1" si="402"/>
        <v>0</v>
      </c>
      <c r="FS172">
        <f t="shared" ca="1" si="403"/>
        <v>0</v>
      </c>
      <c r="FT172">
        <f t="shared" ca="1" si="404"/>
        <v>0</v>
      </c>
      <c r="FU172">
        <f t="shared" ca="1" si="405"/>
        <v>0</v>
      </c>
      <c r="FV172">
        <f t="shared" ca="1" si="406"/>
        <v>0</v>
      </c>
      <c r="FW172">
        <f t="shared" ca="1" si="407"/>
        <v>135559</v>
      </c>
      <c r="FX172">
        <f t="shared" ca="1" si="408"/>
        <v>6777.9500000000007</v>
      </c>
      <c r="FY172">
        <f t="shared" ca="1" si="409"/>
        <v>6778</v>
      </c>
      <c r="FZ172">
        <f t="shared" ca="1" si="410"/>
        <v>0</v>
      </c>
      <c r="GA172">
        <f t="shared" ca="1" si="411"/>
        <v>0</v>
      </c>
      <c r="GB172">
        <f t="shared" ca="1" si="412"/>
        <v>6778</v>
      </c>
      <c r="GC172">
        <f t="shared" ca="1" si="413"/>
        <v>0</v>
      </c>
      <c r="GD172" t="b">
        <f t="shared" ca="1" si="414"/>
        <v>0</v>
      </c>
      <c r="GE172">
        <f t="shared" ca="1" si="415"/>
        <v>0</v>
      </c>
      <c r="GF172">
        <f t="shared" ca="1" si="416"/>
        <v>6778</v>
      </c>
      <c r="GG172">
        <f t="shared" ca="1" si="417"/>
        <v>0</v>
      </c>
      <c r="GH172">
        <f t="shared" ca="1" si="418"/>
        <v>0</v>
      </c>
      <c r="GI172">
        <f t="shared" ca="1" si="419"/>
        <v>0</v>
      </c>
    </row>
    <row r="173" spans="1:191" x14ac:dyDescent="0.25">
      <c r="A173">
        <f>_xlfn.AGGREGATE(3,5,$B$2:B173)</f>
        <v>172</v>
      </c>
      <c r="B173" t="s">
        <v>464</v>
      </c>
      <c r="C173" t="s">
        <v>465</v>
      </c>
      <c r="D173" t="s">
        <v>808</v>
      </c>
      <c r="E173" t="s">
        <v>843</v>
      </c>
      <c r="F173">
        <v>0</v>
      </c>
      <c r="G173">
        <v>6000</v>
      </c>
      <c r="H173">
        <v>32500</v>
      </c>
      <c r="I173">
        <f t="shared" si="322"/>
        <v>3250</v>
      </c>
      <c r="J173">
        <f t="shared" si="323"/>
        <v>3900</v>
      </c>
      <c r="K173">
        <v>400</v>
      </c>
      <c r="L173">
        <v>500</v>
      </c>
      <c r="M173">
        <f t="shared" si="324"/>
        <v>40550</v>
      </c>
      <c r="N173">
        <v>2000</v>
      </c>
      <c r="O173">
        <v>0</v>
      </c>
      <c r="P173">
        <f t="shared" si="325"/>
        <v>200</v>
      </c>
      <c r="Q173">
        <f t="shared" si="326"/>
        <v>38350</v>
      </c>
      <c r="R173">
        <v>32500</v>
      </c>
      <c r="S173">
        <f t="shared" si="327"/>
        <v>3250</v>
      </c>
      <c r="T173">
        <f t="shared" si="328"/>
        <v>3900</v>
      </c>
      <c r="U173">
        <v>400</v>
      </c>
      <c r="V173">
        <v>500</v>
      </c>
      <c r="W173">
        <f t="shared" si="329"/>
        <v>40550</v>
      </c>
      <c r="X173">
        <v>2000</v>
      </c>
      <c r="Y173">
        <v>0</v>
      </c>
      <c r="Z173">
        <f t="shared" si="330"/>
        <v>200</v>
      </c>
      <c r="AA173">
        <f t="shared" si="331"/>
        <v>38350</v>
      </c>
      <c r="AB173">
        <v>32500</v>
      </c>
      <c r="AC173">
        <f t="shared" si="332"/>
        <v>4550</v>
      </c>
      <c r="AD173">
        <f t="shared" si="333"/>
        <v>3900</v>
      </c>
      <c r="AE173">
        <v>400</v>
      </c>
      <c r="AF173">
        <v>500</v>
      </c>
      <c r="AG173">
        <f t="shared" si="334"/>
        <v>41850</v>
      </c>
      <c r="AH173">
        <v>2000</v>
      </c>
      <c r="AI173">
        <v>0</v>
      </c>
      <c r="AJ173">
        <f t="shared" si="335"/>
        <v>200</v>
      </c>
      <c r="AK173">
        <f t="shared" si="336"/>
        <v>39650</v>
      </c>
      <c r="AL173">
        <v>32500</v>
      </c>
      <c r="AM173">
        <f t="shared" si="337"/>
        <v>4550</v>
      </c>
      <c r="AN173">
        <f t="shared" si="338"/>
        <v>3900</v>
      </c>
      <c r="AO173">
        <v>400</v>
      </c>
      <c r="AP173">
        <v>500</v>
      </c>
      <c r="AQ173">
        <f t="shared" si="339"/>
        <v>41850</v>
      </c>
      <c r="AR173">
        <v>2000</v>
      </c>
      <c r="AS173">
        <v>0</v>
      </c>
      <c r="AT173">
        <f t="shared" si="340"/>
        <v>200</v>
      </c>
      <c r="AU173">
        <f t="shared" si="341"/>
        <v>39650</v>
      </c>
      <c r="AV173">
        <v>33500</v>
      </c>
      <c r="AW173">
        <f t="shared" si="342"/>
        <v>4690</v>
      </c>
      <c r="AX173">
        <f t="shared" si="343"/>
        <v>1300</v>
      </c>
      <c r="AY173">
        <f t="shared" si="344"/>
        <v>4020</v>
      </c>
      <c r="AZ173">
        <v>400</v>
      </c>
      <c r="BA173">
        <v>500</v>
      </c>
      <c r="BB173">
        <f t="shared" si="345"/>
        <v>44410</v>
      </c>
      <c r="BC173">
        <v>2500</v>
      </c>
      <c r="BD173">
        <v>0</v>
      </c>
      <c r="BE173">
        <f t="shared" si="346"/>
        <v>200</v>
      </c>
      <c r="BF173">
        <f t="shared" si="347"/>
        <v>41710</v>
      </c>
      <c r="BG173">
        <v>33500</v>
      </c>
      <c r="BH173">
        <f t="shared" si="348"/>
        <v>4690</v>
      </c>
      <c r="BI173">
        <f t="shared" si="349"/>
        <v>4020</v>
      </c>
      <c r="BJ173">
        <v>400</v>
      </c>
      <c r="BK173">
        <v>500</v>
      </c>
      <c r="BL173">
        <f t="shared" si="350"/>
        <v>43110</v>
      </c>
      <c r="BM173">
        <v>2500</v>
      </c>
      <c r="BN173">
        <v>0</v>
      </c>
      <c r="BO173">
        <f t="shared" si="351"/>
        <v>200</v>
      </c>
      <c r="BP173">
        <f t="shared" si="352"/>
        <v>40410</v>
      </c>
      <c r="BQ173">
        <v>33500</v>
      </c>
      <c r="BR173">
        <f t="shared" si="353"/>
        <v>4690</v>
      </c>
      <c r="BS173">
        <f t="shared" si="354"/>
        <v>4020</v>
      </c>
      <c r="BT173">
        <v>400</v>
      </c>
      <c r="BU173">
        <v>500</v>
      </c>
      <c r="BV173">
        <f t="shared" si="355"/>
        <v>43110</v>
      </c>
      <c r="BW173">
        <v>2500</v>
      </c>
      <c r="BX173">
        <v>0</v>
      </c>
      <c r="BY173">
        <f t="shared" si="356"/>
        <v>200</v>
      </c>
      <c r="BZ173">
        <f t="shared" si="357"/>
        <v>40410</v>
      </c>
      <c r="CA173">
        <v>33500</v>
      </c>
      <c r="CB173">
        <f t="shared" si="358"/>
        <v>4690</v>
      </c>
      <c r="CC173">
        <f t="shared" si="359"/>
        <v>4020</v>
      </c>
      <c r="CD173">
        <v>400</v>
      </c>
      <c r="CE173">
        <v>500</v>
      </c>
      <c r="CF173">
        <f t="shared" si="360"/>
        <v>43110</v>
      </c>
      <c r="CG173">
        <v>2500</v>
      </c>
      <c r="CH173">
        <v>0</v>
      </c>
      <c r="CI173">
        <f t="shared" si="361"/>
        <v>200</v>
      </c>
      <c r="CJ173">
        <f t="shared" si="362"/>
        <v>40410</v>
      </c>
      <c r="CK173">
        <v>33500</v>
      </c>
      <c r="CL173">
        <f t="shared" si="363"/>
        <v>4690</v>
      </c>
      <c r="CM173">
        <f t="shared" si="364"/>
        <v>4020</v>
      </c>
      <c r="CN173">
        <v>400</v>
      </c>
      <c r="CO173">
        <v>500</v>
      </c>
      <c r="CP173">
        <f t="shared" si="365"/>
        <v>43110</v>
      </c>
      <c r="CQ173">
        <v>2500</v>
      </c>
      <c r="CR173">
        <v>0</v>
      </c>
      <c r="CS173">
        <f t="shared" si="366"/>
        <v>200</v>
      </c>
      <c r="CT173">
        <f t="shared" si="367"/>
        <v>40410</v>
      </c>
      <c r="CU173">
        <v>33500</v>
      </c>
      <c r="CV173">
        <f t="shared" si="368"/>
        <v>4690</v>
      </c>
      <c r="CW173">
        <f t="shared" si="369"/>
        <v>4020</v>
      </c>
      <c r="CX173">
        <v>400</v>
      </c>
      <c r="CY173">
        <v>500</v>
      </c>
      <c r="CZ173">
        <f t="shared" si="370"/>
        <v>43110</v>
      </c>
      <c r="DA173">
        <v>2500</v>
      </c>
      <c r="DB173">
        <v>0</v>
      </c>
      <c r="DC173">
        <f t="shared" si="371"/>
        <v>200</v>
      </c>
      <c r="DD173">
        <f t="shared" si="372"/>
        <v>40410</v>
      </c>
      <c r="DE173">
        <v>33500</v>
      </c>
      <c r="DF173">
        <f t="shared" si="373"/>
        <v>4690</v>
      </c>
      <c r="DG173">
        <f t="shared" si="374"/>
        <v>4020</v>
      </c>
      <c r="DH173">
        <v>400</v>
      </c>
      <c r="DI173">
        <v>500</v>
      </c>
      <c r="DJ173">
        <f t="shared" si="375"/>
        <v>43110</v>
      </c>
      <c r="DK173">
        <v>2500</v>
      </c>
      <c r="DL173">
        <v>0</v>
      </c>
      <c r="DM173">
        <f t="shared" si="376"/>
        <v>200</v>
      </c>
      <c r="DN173">
        <f t="shared" si="377"/>
        <v>40410</v>
      </c>
      <c r="DO173">
        <v>33500</v>
      </c>
      <c r="DP173">
        <f t="shared" si="378"/>
        <v>4690</v>
      </c>
      <c r="DQ173">
        <f t="shared" si="379"/>
        <v>4020</v>
      </c>
      <c r="DR173">
        <v>400</v>
      </c>
      <c r="DS173">
        <v>500</v>
      </c>
      <c r="DT173">
        <f t="shared" si="380"/>
        <v>43110</v>
      </c>
      <c r="DU173">
        <v>2500</v>
      </c>
      <c r="DV173">
        <v>0</v>
      </c>
      <c r="DW173">
        <f t="shared" si="381"/>
        <v>200</v>
      </c>
      <c r="DX173">
        <f t="shared" si="382"/>
        <v>40410</v>
      </c>
      <c r="DY173">
        <f t="shared" si="383"/>
        <v>516980</v>
      </c>
      <c r="DZ173">
        <f t="shared" si="315"/>
        <v>2400</v>
      </c>
      <c r="EA173">
        <f t="shared" si="316"/>
        <v>50000</v>
      </c>
      <c r="EB173">
        <v>0</v>
      </c>
      <c r="EC173">
        <f t="shared" si="317"/>
        <v>464580</v>
      </c>
      <c r="ED173">
        <f t="shared" si="318"/>
        <v>28000</v>
      </c>
      <c r="EE173">
        <f t="shared" si="319"/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f t="shared" si="320"/>
        <v>28000</v>
      </c>
      <c r="EQ173">
        <f t="shared" si="384"/>
        <v>28000</v>
      </c>
      <c r="ER173">
        <f t="shared" si="321"/>
        <v>436580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f t="shared" si="385"/>
        <v>0</v>
      </c>
      <c r="FA173">
        <f t="shared" si="386"/>
        <v>436580</v>
      </c>
      <c r="FB173">
        <f t="shared" si="387"/>
        <v>9329</v>
      </c>
      <c r="FC173">
        <f t="shared" si="388"/>
        <v>0</v>
      </c>
      <c r="FD173">
        <f t="shared" si="389"/>
        <v>9329</v>
      </c>
      <c r="FE173">
        <f t="shared" si="390"/>
        <v>0</v>
      </c>
      <c r="FF173">
        <f t="shared" si="391"/>
        <v>0</v>
      </c>
      <c r="FG173">
        <f t="shared" si="392"/>
        <v>0</v>
      </c>
      <c r="FH173">
        <v>0</v>
      </c>
      <c r="FI173">
        <f t="shared" si="393"/>
        <v>0</v>
      </c>
      <c r="FJ173" t="b">
        <f t="shared" si="394"/>
        <v>1</v>
      </c>
      <c r="FK173">
        <f t="shared" ca="1" si="395"/>
        <v>522</v>
      </c>
      <c r="FL173">
        <f t="shared" ca="1" si="396"/>
        <v>517502</v>
      </c>
      <c r="FM173">
        <f t="shared" si="397"/>
        <v>75000</v>
      </c>
      <c r="FN173">
        <f t="shared" ca="1" si="398"/>
        <v>442502</v>
      </c>
      <c r="FO173">
        <f t="shared" ca="1" si="399"/>
        <v>0</v>
      </c>
      <c r="FP173">
        <f t="shared" ca="1" si="400"/>
        <v>0</v>
      </c>
      <c r="FQ173">
        <f t="shared" ca="1" si="401"/>
        <v>0</v>
      </c>
      <c r="FR173">
        <f t="shared" ca="1" si="402"/>
        <v>0</v>
      </c>
      <c r="FS173">
        <f t="shared" ca="1" si="403"/>
        <v>0</v>
      </c>
      <c r="FT173">
        <f t="shared" ca="1" si="404"/>
        <v>0</v>
      </c>
      <c r="FU173">
        <f t="shared" ca="1" si="405"/>
        <v>0</v>
      </c>
      <c r="FV173">
        <f t="shared" ca="1" si="406"/>
        <v>0</v>
      </c>
      <c r="FW173">
        <f t="shared" ca="1" si="407"/>
        <v>142502</v>
      </c>
      <c r="FX173">
        <f t="shared" ca="1" si="408"/>
        <v>7125.1</v>
      </c>
      <c r="FY173">
        <f t="shared" ca="1" si="409"/>
        <v>7125</v>
      </c>
      <c r="FZ173">
        <f t="shared" ca="1" si="410"/>
        <v>0</v>
      </c>
      <c r="GA173">
        <f t="shared" ca="1" si="411"/>
        <v>0</v>
      </c>
      <c r="GB173">
        <f t="shared" ca="1" si="412"/>
        <v>7125</v>
      </c>
      <c r="GC173">
        <f t="shared" ca="1" si="413"/>
        <v>0</v>
      </c>
      <c r="GD173" t="b">
        <f t="shared" ca="1" si="414"/>
        <v>0</v>
      </c>
      <c r="GE173">
        <f t="shared" ca="1" si="415"/>
        <v>0</v>
      </c>
      <c r="GF173">
        <f t="shared" ca="1" si="416"/>
        <v>7125</v>
      </c>
      <c r="GG173">
        <f t="shared" ca="1" si="417"/>
        <v>0</v>
      </c>
      <c r="GH173">
        <f t="shared" ca="1" si="418"/>
        <v>0</v>
      </c>
      <c r="GI173">
        <f t="shared" ca="1" si="419"/>
        <v>0</v>
      </c>
    </row>
    <row r="174" spans="1:191" x14ac:dyDescent="0.25">
      <c r="A174">
        <f>_xlfn.AGGREGATE(3,5,$B$2:B174)</f>
        <v>173</v>
      </c>
      <c r="B174" t="s">
        <v>466</v>
      </c>
      <c r="C174" t="s">
        <v>467</v>
      </c>
      <c r="D174" t="s">
        <v>808</v>
      </c>
      <c r="E174" t="s">
        <v>843</v>
      </c>
      <c r="F174">
        <v>0</v>
      </c>
      <c r="G174">
        <v>0</v>
      </c>
      <c r="H174">
        <v>48700</v>
      </c>
      <c r="I174">
        <f t="shared" si="322"/>
        <v>4870</v>
      </c>
      <c r="J174">
        <f>H174*0</f>
        <v>0</v>
      </c>
      <c r="K174">
        <v>0</v>
      </c>
      <c r="L174">
        <v>500</v>
      </c>
      <c r="M174">
        <f t="shared" si="324"/>
        <v>54070</v>
      </c>
      <c r="N174">
        <v>15000</v>
      </c>
      <c r="O174">
        <v>0</v>
      </c>
      <c r="P174">
        <f t="shared" si="325"/>
        <v>200</v>
      </c>
      <c r="Q174">
        <f t="shared" si="326"/>
        <v>38870</v>
      </c>
      <c r="R174">
        <v>48700</v>
      </c>
      <c r="S174">
        <f t="shared" si="327"/>
        <v>4870</v>
      </c>
      <c r="T174">
        <f>R174*0</f>
        <v>0</v>
      </c>
      <c r="U174">
        <v>0</v>
      </c>
      <c r="V174">
        <v>500</v>
      </c>
      <c r="W174">
        <f t="shared" si="329"/>
        <v>54070</v>
      </c>
      <c r="X174">
        <v>15000</v>
      </c>
      <c r="Y174">
        <v>0</v>
      </c>
      <c r="Z174">
        <f t="shared" si="330"/>
        <v>200</v>
      </c>
      <c r="AA174">
        <f t="shared" si="331"/>
        <v>38870</v>
      </c>
      <c r="AB174">
        <v>48700</v>
      </c>
      <c r="AC174">
        <f t="shared" si="332"/>
        <v>6818.0000000000009</v>
      </c>
      <c r="AD174">
        <f>AB174*0</f>
        <v>0</v>
      </c>
      <c r="AE174">
        <v>0</v>
      </c>
      <c r="AF174">
        <v>500</v>
      </c>
      <c r="AG174">
        <f t="shared" si="334"/>
        <v>56018</v>
      </c>
      <c r="AH174">
        <v>15000</v>
      </c>
      <c r="AI174">
        <v>0</v>
      </c>
      <c r="AJ174">
        <f t="shared" si="335"/>
        <v>200</v>
      </c>
      <c r="AK174">
        <f t="shared" si="336"/>
        <v>40818</v>
      </c>
      <c r="AL174">
        <v>48700</v>
      </c>
      <c r="AM174">
        <f t="shared" si="337"/>
        <v>6818.0000000000009</v>
      </c>
      <c r="AN174">
        <f>AL174*0</f>
        <v>0</v>
      </c>
      <c r="AO174">
        <v>0</v>
      </c>
      <c r="AP174">
        <v>500</v>
      </c>
      <c r="AQ174">
        <f t="shared" si="339"/>
        <v>56018</v>
      </c>
      <c r="AR174">
        <v>15000</v>
      </c>
      <c r="AS174">
        <v>0</v>
      </c>
      <c r="AT174">
        <f t="shared" si="340"/>
        <v>200</v>
      </c>
      <c r="AU174">
        <f t="shared" si="341"/>
        <v>40818</v>
      </c>
      <c r="AV174">
        <v>50200</v>
      </c>
      <c r="AW174">
        <f t="shared" si="342"/>
        <v>7028.0000000000009</v>
      </c>
      <c r="AX174">
        <f t="shared" si="343"/>
        <v>1948</v>
      </c>
      <c r="AY174">
        <f>AV174*0</f>
        <v>0</v>
      </c>
      <c r="AZ174">
        <v>0</v>
      </c>
      <c r="BA174">
        <v>500</v>
      </c>
      <c r="BB174">
        <f t="shared" si="345"/>
        <v>59676</v>
      </c>
      <c r="BC174">
        <v>15000</v>
      </c>
      <c r="BD174">
        <v>0</v>
      </c>
      <c r="BE174">
        <f t="shared" si="346"/>
        <v>200</v>
      </c>
      <c r="BF174">
        <f t="shared" si="347"/>
        <v>44476</v>
      </c>
      <c r="BG174">
        <v>50200</v>
      </c>
      <c r="BH174">
        <f t="shared" si="348"/>
        <v>7028.0000000000009</v>
      </c>
      <c r="BI174">
        <f>BG174*0</f>
        <v>0</v>
      </c>
      <c r="BJ174">
        <v>0</v>
      </c>
      <c r="BK174">
        <v>500</v>
      </c>
      <c r="BL174">
        <f t="shared" si="350"/>
        <v>57728</v>
      </c>
      <c r="BM174">
        <v>15000</v>
      </c>
      <c r="BN174">
        <v>0</v>
      </c>
      <c r="BO174">
        <f t="shared" si="351"/>
        <v>200</v>
      </c>
      <c r="BP174">
        <f t="shared" si="352"/>
        <v>42528</v>
      </c>
      <c r="BQ174">
        <v>50200</v>
      </c>
      <c r="BR174">
        <f t="shared" si="353"/>
        <v>7028.0000000000009</v>
      </c>
      <c r="BS174">
        <f>BQ174*0</f>
        <v>0</v>
      </c>
      <c r="BT174">
        <v>0</v>
      </c>
      <c r="BU174">
        <v>500</v>
      </c>
      <c r="BV174">
        <f t="shared" si="355"/>
        <v>57728</v>
      </c>
      <c r="BW174">
        <v>15000</v>
      </c>
      <c r="BX174">
        <v>0</v>
      </c>
      <c r="BY174">
        <f t="shared" si="356"/>
        <v>200</v>
      </c>
      <c r="BZ174">
        <f t="shared" si="357"/>
        <v>42528</v>
      </c>
      <c r="CA174">
        <v>50200</v>
      </c>
      <c r="CB174">
        <f t="shared" si="358"/>
        <v>7028.0000000000009</v>
      </c>
      <c r="CC174">
        <f>CA174*0</f>
        <v>0</v>
      </c>
      <c r="CD174">
        <v>0</v>
      </c>
      <c r="CE174">
        <v>500</v>
      </c>
      <c r="CF174">
        <f t="shared" si="360"/>
        <v>57728</v>
      </c>
      <c r="CG174">
        <v>15000</v>
      </c>
      <c r="CH174">
        <v>0</v>
      </c>
      <c r="CI174">
        <f t="shared" si="361"/>
        <v>200</v>
      </c>
      <c r="CJ174">
        <f t="shared" si="362"/>
        <v>42528</v>
      </c>
      <c r="CK174">
        <v>50200</v>
      </c>
      <c r="CL174">
        <f t="shared" si="363"/>
        <v>7028.0000000000009</v>
      </c>
      <c r="CM174">
        <f>CK174*0</f>
        <v>0</v>
      </c>
      <c r="CN174">
        <v>0</v>
      </c>
      <c r="CO174">
        <v>500</v>
      </c>
      <c r="CP174">
        <f t="shared" si="365"/>
        <v>57728</v>
      </c>
      <c r="CQ174">
        <v>15000</v>
      </c>
      <c r="CR174">
        <v>0</v>
      </c>
      <c r="CS174">
        <f t="shared" si="366"/>
        <v>200</v>
      </c>
      <c r="CT174">
        <f t="shared" si="367"/>
        <v>42528</v>
      </c>
      <c r="CU174">
        <v>50200</v>
      </c>
      <c r="CV174">
        <f t="shared" si="368"/>
        <v>7028</v>
      </c>
      <c r="CW174">
        <f>ROUND(CU174*0,0)</f>
        <v>0</v>
      </c>
      <c r="CX174">
        <v>0</v>
      </c>
      <c r="CY174">
        <v>500</v>
      </c>
      <c r="CZ174">
        <f t="shared" si="370"/>
        <v>57728</v>
      </c>
      <c r="DA174">
        <v>15000</v>
      </c>
      <c r="DB174">
        <v>0</v>
      </c>
      <c r="DC174">
        <f t="shared" si="371"/>
        <v>200</v>
      </c>
      <c r="DD174">
        <f t="shared" si="372"/>
        <v>42528</v>
      </c>
      <c r="DE174">
        <v>50200</v>
      </c>
      <c r="DF174">
        <f t="shared" si="373"/>
        <v>7028.0000000000009</v>
      </c>
      <c r="DG174">
        <f>DE174*0</f>
        <v>0</v>
      </c>
      <c r="DH174">
        <v>0</v>
      </c>
      <c r="DI174">
        <v>500</v>
      </c>
      <c r="DJ174">
        <f t="shared" si="375"/>
        <v>57728</v>
      </c>
      <c r="DK174">
        <v>15000</v>
      </c>
      <c r="DL174">
        <v>0</v>
      </c>
      <c r="DM174">
        <f t="shared" si="376"/>
        <v>200</v>
      </c>
      <c r="DN174">
        <f t="shared" si="377"/>
        <v>42528</v>
      </c>
      <c r="DO174">
        <v>50200</v>
      </c>
      <c r="DP174">
        <f t="shared" si="378"/>
        <v>7028.0000000000009</v>
      </c>
      <c r="DQ174">
        <f>DO174*0</f>
        <v>0</v>
      </c>
      <c r="DR174">
        <v>0</v>
      </c>
      <c r="DS174">
        <v>500</v>
      </c>
      <c r="DT174">
        <f t="shared" si="380"/>
        <v>57728</v>
      </c>
      <c r="DU174">
        <v>15000</v>
      </c>
      <c r="DV174">
        <v>0</v>
      </c>
      <c r="DW174">
        <f t="shared" si="381"/>
        <v>200</v>
      </c>
      <c r="DX174">
        <f t="shared" si="382"/>
        <v>42528</v>
      </c>
      <c r="DY174">
        <f t="shared" si="383"/>
        <v>683948</v>
      </c>
      <c r="DZ174">
        <f t="shared" si="315"/>
        <v>2400</v>
      </c>
      <c r="EA174">
        <f t="shared" si="316"/>
        <v>50000</v>
      </c>
      <c r="EB174">
        <v>0</v>
      </c>
      <c r="EC174">
        <f t="shared" si="317"/>
        <v>631548</v>
      </c>
      <c r="ED174">
        <f t="shared" si="318"/>
        <v>180000</v>
      </c>
      <c r="EE174">
        <f t="shared" si="319"/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f t="shared" si="320"/>
        <v>180000</v>
      </c>
      <c r="EQ174">
        <f t="shared" si="384"/>
        <v>150000</v>
      </c>
      <c r="ER174">
        <f t="shared" si="321"/>
        <v>481548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f t="shared" si="385"/>
        <v>0</v>
      </c>
      <c r="FA174">
        <f t="shared" si="386"/>
        <v>481548</v>
      </c>
      <c r="FB174">
        <f t="shared" si="387"/>
        <v>11577</v>
      </c>
      <c r="FC174">
        <f t="shared" si="388"/>
        <v>0</v>
      </c>
      <c r="FD174">
        <f t="shared" si="389"/>
        <v>11577</v>
      </c>
      <c r="FE174">
        <f t="shared" si="390"/>
        <v>0</v>
      </c>
      <c r="FF174">
        <f t="shared" si="391"/>
        <v>0</v>
      </c>
      <c r="FG174">
        <f t="shared" si="392"/>
        <v>0</v>
      </c>
      <c r="FH174">
        <v>0</v>
      </c>
      <c r="FI174">
        <f t="shared" si="393"/>
        <v>0</v>
      </c>
      <c r="FJ174" t="b">
        <f t="shared" si="394"/>
        <v>1</v>
      </c>
      <c r="FK174">
        <f t="shared" ca="1" si="395"/>
        <v>705</v>
      </c>
      <c r="FL174">
        <f t="shared" ca="1" si="396"/>
        <v>684653</v>
      </c>
      <c r="FM174">
        <f t="shared" si="397"/>
        <v>75000</v>
      </c>
      <c r="FN174">
        <f t="shared" ca="1" si="398"/>
        <v>609653</v>
      </c>
      <c r="FO174">
        <f t="shared" ca="1" si="399"/>
        <v>0</v>
      </c>
      <c r="FP174">
        <f t="shared" ca="1" si="400"/>
        <v>0</v>
      </c>
      <c r="FQ174">
        <f t="shared" ca="1" si="401"/>
        <v>0</v>
      </c>
      <c r="FR174">
        <f t="shared" ca="1" si="402"/>
        <v>0</v>
      </c>
      <c r="FS174">
        <f t="shared" ca="1" si="403"/>
        <v>0</v>
      </c>
      <c r="FT174">
        <f t="shared" ca="1" si="404"/>
        <v>0</v>
      </c>
      <c r="FU174">
        <f t="shared" ca="1" si="405"/>
        <v>0</v>
      </c>
      <c r="FV174">
        <f t="shared" ca="1" si="406"/>
        <v>0</v>
      </c>
      <c r="FW174">
        <f t="shared" ca="1" si="407"/>
        <v>309653</v>
      </c>
      <c r="FX174">
        <f t="shared" ca="1" si="408"/>
        <v>15482.650000000001</v>
      </c>
      <c r="FY174">
        <f t="shared" ca="1" si="409"/>
        <v>15483</v>
      </c>
      <c r="FZ174">
        <f t="shared" ca="1" si="410"/>
        <v>0</v>
      </c>
      <c r="GA174">
        <f t="shared" ca="1" si="411"/>
        <v>0</v>
      </c>
      <c r="GB174">
        <f t="shared" ca="1" si="412"/>
        <v>15483</v>
      </c>
      <c r="GC174">
        <f t="shared" ca="1" si="413"/>
        <v>0</v>
      </c>
      <c r="GD174" t="b">
        <f t="shared" ca="1" si="414"/>
        <v>0</v>
      </c>
      <c r="GE174">
        <f t="shared" ca="1" si="415"/>
        <v>0</v>
      </c>
      <c r="GF174">
        <f t="shared" ca="1" si="416"/>
        <v>15483</v>
      </c>
      <c r="GG174">
        <f t="shared" ca="1" si="417"/>
        <v>0</v>
      </c>
      <c r="GH174">
        <f t="shared" ca="1" si="418"/>
        <v>0</v>
      </c>
      <c r="GI174">
        <f t="shared" ca="1" si="419"/>
        <v>0</v>
      </c>
    </row>
    <row r="175" spans="1:191" x14ac:dyDescent="0.25">
      <c r="A175">
        <f>_xlfn.AGGREGATE(3,5,$B$2:B175)</f>
        <v>174</v>
      </c>
      <c r="B175" t="s">
        <v>468</v>
      </c>
      <c r="C175" t="s">
        <v>469</v>
      </c>
      <c r="D175" t="s">
        <v>808</v>
      </c>
      <c r="E175" t="s">
        <v>843</v>
      </c>
      <c r="F175">
        <v>0</v>
      </c>
      <c r="G175">
        <v>6000</v>
      </c>
      <c r="H175">
        <v>32500</v>
      </c>
      <c r="I175">
        <f t="shared" si="322"/>
        <v>3250</v>
      </c>
      <c r="J175">
        <f t="shared" si="323"/>
        <v>3900</v>
      </c>
      <c r="K175">
        <v>0</v>
      </c>
      <c r="L175">
        <v>500</v>
      </c>
      <c r="M175">
        <f t="shared" si="324"/>
        <v>40150</v>
      </c>
      <c r="N175">
        <v>2000</v>
      </c>
      <c r="O175">
        <v>0</v>
      </c>
      <c r="P175">
        <f t="shared" si="325"/>
        <v>200</v>
      </c>
      <c r="Q175">
        <f t="shared" si="326"/>
        <v>37950</v>
      </c>
      <c r="R175">
        <v>32500</v>
      </c>
      <c r="S175">
        <f t="shared" si="327"/>
        <v>3250</v>
      </c>
      <c r="T175">
        <f t="shared" si="328"/>
        <v>3900</v>
      </c>
      <c r="U175">
        <v>0</v>
      </c>
      <c r="V175">
        <v>500</v>
      </c>
      <c r="W175">
        <f t="shared" si="329"/>
        <v>40150</v>
      </c>
      <c r="X175">
        <v>2000</v>
      </c>
      <c r="Y175">
        <v>0</v>
      </c>
      <c r="Z175">
        <f t="shared" si="330"/>
        <v>200</v>
      </c>
      <c r="AA175">
        <f t="shared" si="331"/>
        <v>37950</v>
      </c>
      <c r="AB175">
        <v>32500</v>
      </c>
      <c r="AC175">
        <f t="shared" si="332"/>
        <v>4550</v>
      </c>
      <c r="AD175">
        <f t="shared" si="333"/>
        <v>3900</v>
      </c>
      <c r="AE175">
        <v>0</v>
      </c>
      <c r="AF175">
        <v>500</v>
      </c>
      <c r="AG175">
        <f t="shared" si="334"/>
        <v>41450</v>
      </c>
      <c r="AH175">
        <v>2000</v>
      </c>
      <c r="AI175">
        <v>0</v>
      </c>
      <c r="AJ175">
        <f t="shared" si="335"/>
        <v>200</v>
      </c>
      <c r="AK175">
        <f t="shared" si="336"/>
        <v>39250</v>
      </c>
      <c r="AL175">
        <v>32500</v>
      </c>
      <c r="AM175">
        <f t="shared" si="337"/>
        <v>4550</v>
      </c>
      <c r="AN175">
        <f t="shared" si="338"/>
        <v>3900</v>
      </c>
      <c r="AO175">
        <v>0</v>
      </c>
      <c r="AP175">
        <v>500</v>
      </c>
      <c r="AQ175">
        <f t="shared" si="339"/>
        <v>41450</v>
      </c>
      <c r="AR175">
        <v>2000</v>
      </c>
      <c r="AS175">
        <v>0</v>
      </c>
      <c r="AT175">
        <f t="shared" si="340"/>
        <v>200</v>
      </c>
      <c r="AU175">
        <f t="shared" si="341"/>
        <v>39250</v>
      </c>
      <c r="AV175">
        <v>33500</v>
      </c>
      <c r="AW175">
        <f t="shared" si="342"/>
        <v>4690</v>
      </c>
      <c r="AX175">
        <f t="shared" si="343"/>
        <v>1300</v>
      </c>
      <c r="AY175">
        <f t="shared" si="344"/>
        <v>4020</v>
      </c>
      <c r="AZ175">
        <v>0</v>
      </c>
      <c r="BA175">
        <v>500</v>
      </c>
      <c r="BB175">
        <f t="shared" si="345"/>
        <v>44010</v>
      </c>
      <c r="BC175">
        <v>2500</v>
      </c>
      <c r="BD175">
        <v>0</v>
      </c>
      <c r="BE175">
        <f t="shared" si="346"/>
        <v>200</v>
      </c>
      <c r="BF175">
        <f t="shared" si="347"/>
        <v>41310</v>
      </c>
      <c r="BG175">
        <v>33500</v>
      </c>
      <c r="BH175">
        <f t="shared" si="348"/>
        <v>4690</v>
      </c>
      <c r="BI175">
        <f t="shared" si="349"/>
        <v>4020</v>
      </c>
      <c r="BJ175">
        <v>0</v>
      </c>
      <c r="BK175">
        <v>500</v>
      </c>
      <c r="BL175">
        <f t="shared" si="350"/>
        <v>42710</v>
      </c>
      <c r="BM175">
        <v>2500</v>
      </c>
      <c r="BN175">
        <v>0</v>
      </c>
      <c r="BO175">
        <f t="shared" si="351"/>
        <v>200</v>
      </c>
      <c r="BP175">
        <f t="shared" si="352"/>
        <v>40010</v>
      </c>
      <c r="BQ175">
        <v>33500</v>
      </c>
      <c r="BR175">
        <f t="shared" si="353"/>
        <v>4690</v>
      </c>
      <c r="BS175">
        <f t="shared" si="354"/>
        <v>4020</v>
      </c>
      <c r="BT175">
        <v>0</v>
      </c>
      <c r="BU175">
        <v>500</v>
      </c>
      <c r="BV175">
        <f t="shared" si="355"/>
        <v>42710</v>
      </c>
      <c r="BW175">
        <v>2500</v>
      </c>
      <c r="BX175">
        <v>0</v>
      </c>
      <c r="BY175">
        <f t="shared" si="356"/>
        <v>200</v>
      </c>
      <c r="BZ175">
        <f t="shared" si="357"/>
        <v>40010</v>
      </c>
      <c r="CA175">
        <v>33500</v>
      </c>
      <c r="CB175">
        <f t="shared" si="358"/>
        <v>4690</v>
      </c>
      <c r="CC175">
        <f t="shared" si="359"/>
        <v>4020</v>
      </c>
      <c r="CD175">
        <v>0</v>
      </c>
      <c r="CE175">
        <v>500</v>
      </c>
      <c r="CF175">
        <f t="shared" si="360"/>
        <v>42710</v>
      </c>
      <c r="CG175">
        <v>2500</v>
      </c>
      <c r="CH175">
        <v>0</v>
      </c>
      <c r="CI175">
        <f t="shared" si="361"/>
        <v>200</v>
      </c>
      <c r="CJ175">
        <f t="shared" si="362"/>
        <v>40010</v>
      </c>
      <c r="CK175">
        <v>33500</v>
      </c>
      <c r="CL175">
        <f t="shared" si="363"/>
        <v>4690</v>
      </c>
      <c r="CM175">
        <f t="shared" si="364"/>
        <v>4020</v>
      </c>
      <c r="CN175">
        <v>0</v>
      </c>
      <c r="CO175">
        <v>500</v>
      </c>
      <c r="CP175">
        <f t="shared" si="365"/>
        <v>42710</v>
      </c>
      <c r="CQ175">
        <v>2500</v>
      </c>
      <c r="CR175">
        <v>0</v>
      </c>
      <c r="CS175">
        <f t="shared" si="366"/>
        <v>200</v>
      </c>
      <c r="CT175">
        <f t="shared" si="367"/>
        <v>40010</v>
      </c>
      <c r="CU175">
        <v>33500</v>
      </c>
      <c r="CV175">
        <f t="shared" si="368"/>
        <v>4690</v>
      </c>
      <c r="CW175">
        <f t="shared" si="369"/>
        <v>4020</v>
      </c>
      <c r="CX175">
        <v>0</v>
      </c>
      <c r="CY175">
        <v>500</v>
      </c>
      <c r="CZ175">
        <f t="shared" si="370"/>
        <v>42710</v>
      </c>
      <c r="DA175">
        <v>2500</v>
      </c>
      <c r="DB175">
        <v>0</v>
      </c>
      <c r="DC175">
        <f t="shared" si="371"/>
        <v>200</v>
      </c>
      <c r="DD175">
        <f t="shared" si="372"/>
        <v>40010</v>
      </c>
      <c r="DE175">
        <v>33500</v>
      </c>
      <c r="DF175">
        <f t="shared" si="373"/>
        <v>4690</v>
      </c>
      <c r="DG175">
        <f t="shared" si="374"/>
        <v>4020</v>
      </c>
      <c r="DH175">
        <v>0</v>
      </c>
      <c r="DI175">
        <v>500</v>
      </c>
      <c r="DJ175">
        <f t="shared" si="375"/>
        <v>42710</v>
      </c>
      <c r="DK175">
        <v>2500</v>
      </c>
      <c r="DL175">
        <v>0</v>
      </c>
      <c r="DM175">
        <f t="shared" si="376"/>
        <v>200</v>
      </c>
      <c r="DN175">
        <f t="shared" si="377"/>
        <v>40010</v>
      </c>
      <c r="DO175">
        <v>33500</v>
      </c>
      <c r="DP175">
        <f t="shared" si="378"/>
        <v>4690</v>
      </c>
      <c r="DQ175">
        <f t="shared" si="379"/>
        <v>4020</v>
      </c>
      <c r="DR175">
        <v>0</v>
      </c>
      <c r="DS175">
        <v>500</v>
      </c>
      <c r="DT175">
        <f t="shared" si="380"/>
        <v>42710</v>
      </c>
      <c r="DU175">
        <v>2500</v>
      </c>
      <c r="DV175">
        <v>0</v>
      </c>
      <c r="DW175">
        <f t="shared" si="381"/>
        <v>200</v>
      </c>
      <c r="DX175">
        <f t="shared" si="382"/>
        <v>40010</v>
      </c>
      <c r="DY175">
        <f t="shared" si="383"/>
        <v>512180</v>
      </c>
      <c r="DZ175">
        <f t="shared" si="315"/>
        <v>2400</v>
      </c>
      <c r="EA175">
        <f t="shared" si="316"/>
        <v>50000</v>
      </c>
      <c r="EB175">
        <v>0</v>
      </c>
      <c r="EC175">
        <f t="shared" si="317"/>
        <v>459780</v>
      </c>
      <c r="ED175">
        <f t="shared" si="318"/>
        <v>28000</v>
      </c>
      <c r="EE175">
        <f t="shared" si="319"/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f t="shared" si="320"/>
        <v>28000</v>
      </c>
      <c r="EQ175">
        <f t="shared" si="384"/>
        <v>28000</v>
      </c>
      <c r="ER175">
        <f t="shared" si="321"/>
        <v>431780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f t="shared" si="385"/>
        <v>0</v>
      </c>
      <c r="FA175">
        <f t="shared" si="386"/>
        <v>431780</v>
      </c>
      <c r="FB175">
        <f t="shared" si="387"/>
        <v>9089</v>
      </c>
      <c r="FC175">
        <f t="shared" si="388"/>
        <v>0</v>
      </c>
      <c r="FD175">
        <f t="shared" si="389"/>
        <v>9089</v>
      </c>
      <c r="FE175">
        <f t="shared" si="390"/>
        <v>0</v>
      </c>
      <c r="FF175">
        <f t="shared" si="391"/>
        <v>0</v>
      </c>
      <c r="FG175">
        <f t="shared" si="392"/>
        <v>0</v>
      </c>
      <c r="FH175">
        <v>0</v>
      </c>
      <c r="FI175">
        <f t="shared" si="393"/>
        <v>0</v>
      </c>
      <c r="FJ175" t="b">
        <f t="shared" si="394"/>
        <v>1</v>
      </c>
      <c r="FK175">
        <f t="shared" ca="1" si="395"/>
        <v>935</v>
      </c>
      <c r="FL175">
        <f t="shared" ca="1" si="396"/>
        <v>513115</v>
      </c>
      <c r="FM175">
        <f t="shared" si="397"/>
        <v>75000</v>
      </c>
      <c r="FN175">
        <f t="shared" ca="1" si="398"/>
        <v>438115</v>
      </c>
      <c r="FO175">
        <f t="shared" ca="1" si="399"/>
        <v>0</v>
      </c>
      <c r="FP175">
        <f t="shared" ca="1" si="400"/>
        <v>0</v>
      </c>
      <c r="FQ175">
        <f t="shared" ca="1" si="401"/>
        <v>0</v>
      </c>
      <c r="FR175">
        <f t="shared" ca="1" si="402"/>
        <v>0</v>
      </c>
      <c r="FS175">
        <f t="shared" ca="1" si="403"/>
        <v>0</v>
      </c>
      <c r="FT175">
        <f t="shared" ca="1" si="404"/>
        <v>0</v>
      </c>
      <c r="FU175">
        <f t="shared" ca="1" si="405"/>
        <v>0</v>
      </c>
      <c r="FV175">
        <f t="shared" ca="1" si="406"/>
        <v>0</v>
      </c>
      <c r="FW175">
        <f t="shared" ca="1" si="407"/>
        <v>138115</v>
      </c>
      <c r="FX175">
        <f t="shared" ca="1" si="408"/>
        <v>6905.75</v>
      </c>
      <c r="FY175">
        <f t="shared" ca="1" si="409"/>
        <v>6906</v>
      </c>
      <c r="FZ175">
        <f t="shared" ca="1" si="410"/>
        <v>0</v>
      </c>
      <c r="GA175">
        <f t="shared" ca="1" si="411"/>
        <v>0</v>
      </c>
      <c r="GB175">
        <f t="shared" ca="1" si="412"/>
        <v>6906</v>
      </c>
      <c r="GC175">
        <f t="shared" ca="1" si="413"/>
        <v>0</v>
      </c>
      <c r="GD175" t="b">
        <f t="shared" ca="1" si="414"/>
        <v>0</v>
      </c>
      <c r="GE175">
        <f t="shared" ca="1" si="415"/>
        <v>0</v>
      </c>
      <c r="GF175">
        <f t="shared" ca="1" si="416"/>
        <v>6906</v>
      </c>
      <c r="GG175">
        <f t="shared" ca="1" si="417"/>
        <v>0</v>
      </c>
      <c r="GH175">
        <f t="shared" ca="1" si="418"/>
        <v>0</v>
      </c>
      <c r="GI175">
        <f t="shared" ca="1" si="419"/>
        <v>0</v>
      </c>
    </row>
    <row r="176" spans="1:191" x14ac:dyDescent="0.25">
      <c r="A176">
        <f>_xlfn.AGGREGATE(3,5,$B$2:B176)</f>
        <v>175</v>
      </c>
      <c r="B176" t="s">
        <v>470</v>
      </c>
      <c r="C176" t="s">
        <v>471</v>
      </c>
      <c r="D176" t="s">
        <v>808</v>
      </c>
      <c r="E176" t="s">
        <v>843</v>
      </c>
      <c r="F176">
        <v>0</v>
      </c>
      <c r="G176">
        <v>6000</v>
      </c>
      <c r="H176">
        <v>32500</v>
      </c>
      <c r="I176">
        <f t="shared" si="322"/>
        <v>3250</v>
      </c>
      <c r="J176">
        <f t="shared" si="323"/>
        <v>3900</v>
      </c>
      <c r="K176">
        <v>0</v>
      </c>
      <c r="L176">
        <v>500</v>
      </c>
      <c r="M176">
        <f t="shared" si="324"/>
        <v>40150</v>
      </c>
      <c r="N176">
        <v>2000</v>
      </c>
      <c r="O176">
        <v>0</v>
      </c>
      <c r="P176">
        <f t="shared" si="325"/>
        <v>200</v>
      </c>
      <c r="Q176">
        <f t="shared" si="326"/>
        <v>37950</v>
      </c>
      <c r="R176">
        <v>32500</v>
      </c>
      <c r="S176">
        <f t="shared" si="327"/>
        <v>3250</v>
      </c>
      <c r="T176">
        <f t="shared" si="328"/>
        <v>3900</v>
      </c>
      <c r="U176">
        <v>0</v>
      </c>
      <c r="V176">
        <v>500</v>
      </c>
      <c r="W176">
        <f t="shared" si="329"/>
        <v>40150</v>
      </c>
      <c r="X176">
        <v>2000</v>
      </c>
      <c r="Y176">
        <v>0</v>
      </c>
      <c r="Z176">
        <f t="shared" si="330"/>
        <v>200</v>
      </c>
      <c r="AA176">
        <f t="shared" si="331"/>
        <v>37950</v>
      </c>
      <c r="AB176">
        <v>32500</v>
      </c>
      <c r="AC176">
        <f t="shared" si="332"/>
        <v>4550</v>
      </c>
      <c r="AD176">
        <f t="shared" si="333"/>
        <v>3900</v>
      </c>
      <c r="AE176">
        <v>0</v>
      </c>
      <c r="AF176">
        <v>500</v>
      </c>
      <c r="AG176">
        <f t="shared" si="334"/>
        <v>41450</v>
      </c>
      <c r="AH176">
        <v>2000</v>
      </c>
      <c r="AI176">
        <v>0</v>
      </c>
      <c r="AJ176">
        <f t="shared" si="335"/>
        <v>200</v>
      </c>
      <c r="AK176">
        <f t="shared" si="336"/>
        <v>39250</v>
      </c>
      <c r="AL176">
        <v>32500</v>
      </c>
      <c r="AM176">
        <f t="shared" si="337"/>
        <v>4550</v>
      </c>
      <c r="AN176">
        <f t="shared" si="338"/>
        <v>3900</v>
      </c>
      <c r="AO176">
        <v>0</v>
      </c>
      <c r="AP176">
        <v>500</v>
      </c>
      <c r="AQ176">
        <f t="shared" si="339"/>
        <v>41450</v>
      </c>
      <c r="AR176">
        <v>2000</v>
      </c>
      <c r="AS176">
        <v>0</v>
      </c>
      <c r="AT176">
        <f t="shared" si="340"/>
        <v>200</v>
      </c>
      <c r="AU176">
        <f t="shared" si="341"/>
        <v>39250</v>
      </c>
      <c r="AV176">
        <v>33500</v>
      </c>
      <c r="AW176">
        <f t="shared" si="342"/>
        <v>4690</v>
      </c>
      <c r="AX176">
        <f t="shared" si="343"/>
        <v>1300</v>
      </c>
      <c r="AY176">
        <f t="shared" si="344"/>
        <v>4020</v>
      </c>
      <c r="AZ176">
        <v>0</v>
      </c>
      <c r="BA176">
        <v>500</v>
      </c>
      <c r="BB176">
        <f t="shared" si="345"/>
        <v>44010</v>
      </c>
      <c r="BC176">
        <v>2500</v>
      </c>
      <c r="BD176">
        <v>0</v>
      </c>
      <c r="BE176">
        <f t="shared" si="346"/>
        <v>200</v>
      </c>
      <c r="BF176">
        <f t="shared" si="347"/>
        <v>41310</v>
      </c>
      <c r="BG176">
        <v>33500</v>
      </c>
      <c r="BH176">
        <f t="shared" si="348"/>
        <v>4690</v>
      </c>
      <c r="BI176">
        <f t="shared" si="349"/>
        <v>4020</v>
      </c>
      <c r="BJ176">
        <v>0</v>
      </c>
      <c r="BK176">
        <v>500</v>
      </c>
      <c r="BL176">
        <f t="shared" si="350"/>
        <v>42710</v>
      </c>
      <c r="BM176">
        <v>2500</v>
      </c>
      <c r="BN176">
        <v>0</v>
      </c>
      <c r="BO176">
        <f t="shared" si="351"/>
        <v>200</v>
      </c>
      <c r="BP176">
        <f t="shared" si="352"/>
        <v>40010</v>
      </c>
      <c r="BQ176">
        <v>33500</v>
      </c>
      <c r="BR176">
        <f t="shared" si="353"/>
        <v>4690</v>
      </c>
      <c r="BS176">
        <f t="shared" si="354"/>
        <v>4020</v>
      </c>
      <c r="BT176">
        <v>0</v>
      </c>
      <c r="BU176">
        <v>500</v>
      </c>
      <c r="BV176">
        <f t="shared" si="355"/>
        <v>42710</v>
      </c>
      <c r="BW176">
        <v>2500</v>
      </c>
      <c r="BX176">
        <v>0</v>
      </c>
      <c r="BY176">
        <f t="shared" si="356"/>
        <v>200</v>
      </c>
      <c r="BZ176">
        <f t="shared" si="357"/>
        <v>40010</v>
      </c>
      <c r="CA176">
        <v>33500</v>
      </c>
      <c r="CB176">
        <f t="shared" si="358"/>
        <v>4690</v>
      </c>
      <c r="CC176">
        <f t="shared" si="359"/>
        <v>4020</v>
      </c>
      <c r="CD176">
        <v>0</v>
      </c>
      <c r="CE176">
        <v>500</v>
      </c>
      <c r="CF176">
        <f t="shared" si="360"/>
        <v>42710</v>
      </c>
      <c r="CG176">
        <v>2500</v>
      </c>
      <c r="CH176">
        <v>0</v>
      </c>
      <c r="CI176">
        <f t="shared" si="361"/>
        <v>200</v>
      </c>
      <c r="CJ176">
        <f t="shared" si="362"/>
        <v>40010</v>
      </c>
      <c r="CK176">
        <v>33500</v>
      </c>
      <c r="CL176">
        <f t="shared" si="363"/>
        <v>4690</v>
      </c>
      <c r="CM176">
        <f t="shared" si="364"/>
        <v>4020</v>
      </c>
      <c r="CN176">
        <v>0</v>
      </c>
      <c r="CO176">
        <v>500</v>
      </c>
      <c r="CP176">
        <f t="shared" si="365"/>
        <v>42710</v>
      </c>
      <c r="CQ176">
        <v>2500</v>
      </c>
      <c r="CR176">
        <v>0</v>
      </c>
      <c r="CS176">
        <f t="shared" si="366"/>
        <v>200</v>
      </c>
      <c r="CT176">
        <f t="shared" si="367"/>
        <v>40010</v>
      </c>
      <c r="CU176">
        <v>33500</v>
      </c>
      <c r="CV176">
        <f t="shared" si="368"/>
        <v>4690</v>
      </c>
      <c r="CW176">
        <f t="shared" si="369"/>
        <v>4020</v>
      </c>
      <c r="CX176">
        <v>0</v>
      </c>
      <c r="CY176">
        <v>500</v>
      </c>
      <c r="CZ176">
        <f t="shared" si="370"/>
        <v>42710</v>
      </c>
      <c r="DA176">
        <v>2500</v>
      </c>
      <c r="DB176">
        <v>0</v>
      </c>
      <c r="DC176">
        <f t="shared" si="371"/>
        <v>200</v>
      </c>
      <c r="DD176">
        <f t="shared" si="372"/>
        <v>40010</v>
      </c>
      <c r="DE176">
        <v>33500</v>
      </c>
      <c r="DF176">
        <f t="shared" si="373"/>
        <v>4690</v>
      </c>
      <c r="DG176">
        <f t="shared" si="374"/>
        <v>4020</v>
      </c>
      <c r="DH176">
        <v>0</v>
      </c>
      <c r="DI176">
        <v>500</v>
      </c>
      <c r="DJ176">
        <f t="shared" si="375"/>
        <v>42710</v>
      </c>
      <c r="DK176">
        <v>2500</v>
      </c>
      <c r="DL176">
        <v>0</v>
      </c>
      <c r="DM176">
        <f t="shared" si="376"/>
        <v>200</v>
      </c>
      <c r="DN176">
        <f t="shared" si="377"/>
        <v>40010</v>
      </c>
      <c r="DO176">
        <v>33500</v>
      </c>
      <c r="DP176">
        <f t="shared" si="378"/>
        <v>4690</v>
      </c>
      <c r="DQ176">
        <f t="shared" si="379"/>
        <v>4020</v>
      </c>
      <c r="DR176">
        <v>0</v>
      </c>
      <c r="DS176">
        <v>500</v>
      </c>
      <c r="DT176">
        <f t="shared" si="380"/>
        <v>42710</v>
      </c>
      <c r="DU176">
        <v>2500</v>
      </c>
      <c r="DV176">
        <v>0</v>
      </c>
      <c r="DW176">
        <f t="shared" si="381"/>
        <v>200</v>
      </c>
      <c r="DX176">
        <f t="shared" si="382"/>
        <v>40010</v>
      </c>
      <c r="DY176">
        <f t="shared" si="383"/>
        <v>512180</v>
      </c>
      <c r="DZ176">
        <f t="shared" si="315"/>
        <v>2400</v>
      </c>
      <c r="EA176">
        <f t="shared" si="316"/>
        <v>50000</v>
      </c>
      <c r="EB176">
        <v>0</v>
      </c>
      <c r="EC176">
        <f t="shared" si="317"/>
        <v>459780</v>
      </c>
      <c r="ED176">
        <f t="shared" si="318"/>
        <v>28000</v>
      </c>
      <c r="EE176">
        <f t="shared" si="319"/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f t="shared" si="320"/>
        <v>28000</v>
      </c>
      <c r="EQ176">
        <f t="shared" si="384"/>
        <v>28000</v>
      </c>
      <c r="ER176">
        <f t="shared" si="321"/>
        <v>431780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f t="shared" si="385"/>
        <v>0</v>
      </c>
      <c r="FA176">
        <f t="shared" si="386"/>
        <v>431780</v>
      </c>
      <c r="FB176">
        <f t="shared" si="387"/>
        <v>9089</v>
      </c>
      <c r="FC176">
        <f t="shared" si="388"/>
        <v>0</v>
      </c>
      <c r="FD176">
        <f t="shared" si="389"/>
        <v>9089</v>
      </c>
      <c r="FE176">
        <f t="shared" si="390"/>
        <v>0</v>
      </c>
      <c r="FF176">
        <f t="shared" si="391"/>
        <v>0</v>
      </c>
      <c r="FG176">
        <f t="shared" si="392"/>
        <v>0</v>
      </c>
      <c r="FH176">
        <v>0</v>
      </c>
      <c r="FI176">
        <f t="shared" si="393"/>
        <v>0</v>
      </c>
      <c r="FJ176" t="b">
        <f t="shared" si="394"/>
        <v>1</v>
      </c>
      <c r="FK176">
        <f t="shared" ca="1" si="395"/>
        <v>716</v>
      </c>
      <c r="FL176">
        <f t="shared" ca="1" si="396"/>
        <v>512896</v>
      </c>
      <c r="FM176">
        <f t="shared" si="397"/>
        <v>75000</v>
      </c>
      <c r="FN176">
        <f t="shared" ca="1" si="398"/>
        <v>437896</v>
      </c>
      <c r="FO176">
        <f t="shared" ca="1" si="399"/>
        <v>0</v>
      </c>
      <c r="FP176">
        <f t="shared" ca="1" si="400"/>
        <v>0</v>
      </c>
      <c r="FQ176">
        <f t="shared" ca="1" si="401"/>
        <v>0</v>
      </c>
      <c r="FR176">
        <f t="shared" ca="1" si="402"/>
        <v>0</v>
      </c>
      <c r="FS176">
        <f t="shared" ca="1" si="403"/>
        <v>0</v>
      </c>
      <c r="FT176">
        <f t="shared" ca="1" si="404"/>
        <v>0</v>
      </c>
      <c r="FU176">
        <f t="shared" ca="1" si="405"/>
        <v>0</v>
      </c>
      <c r="FV176">
        <f t="shared" ca="1" si="406"/>
        <v>0</v>
      </c>
      <c r="FW176">
        <f t="shared" ca="1" si="407"/>
        <v>137896</v>
      </c>
      <c r="FX176">
        <f t="shared" ca="1" si="408"/>
        <v>6894.8</v>
      </c>
      <c r="FY176">
        <f t="shared" ca="1" si="409"/>
        <v>6895</v>
      </c>
      <c r="FZ176">
        <f t="shared" ca="1" si="410"/>
        <v>0</v>
      </c>
      <c r="GA176">
        <f t="shared" ca="1" si="411"/>
        <v>0</v>
      </c>
      <c r="GB176">
        <f t="shared" ca="1" si="412"/>
        <v>6895</v>
      </c>
      <c r="GC176">
        <f t="shared" ca="1" si="413"/>
        <v>0</v>
      </c>
      <c r="GD176" t="b">
        <f t="shared" ca="1" si="414"/>
        <v>0</v>
      </c>
      <c r="GE176">
        <f t="shared" ca="1" si="415"/>
        <v>0</v>
      </c>
      <c r="GF176">
        <f t="shared" ca="1" si="416"/>
        <v>6895</v>
      </c>
      <c r="GG176">
        <f t="shared" ca="1" si="417"/>
        <v>0</v>
      </c>
      <c r="GH176">
        <f t="shared" ca="1" si="418"/>
        <v>0</v>
      </c>
      <c r="GI176">
        <f t="shared" ca="1" si="419"/>
        <v>0</v>
      </c>
    </row>
    <row r="177" spans="1:191" x14ac:dyDescent="0.25">
      <c r="A177">
        <f>_xlfn.AGGREGATE(3,5,$B$2:B177)</f>
        <v>176</v>
      </c>
      <c r="B177" t="s">
        <v>472</v>
      </c>
      <c r="C177" t="s">
        <v>473</v>
      </c>
      <c r="D177" t="s">
        <v>809</v>
      </c>
      <c r="E177" t="s">
        <v>843</v>
      </c>
      <c r="F177">
        <v>0</v>
      </c>
      <c r="G177">
        <v>6000</v>
      </c>
      <c r="H177">
        <v>32500</v>
      </c>
      <c r="I177">
        <f t="shared" si="322"/>
        <v>3250</v>
      </c>
      <c r="J177">
        <f t="shared" si="323"/>
        <v>3900</v>
      </c>
      <c r="K177">
        <v>400</v>
      </c>
      <c r="L177">
        <v>500</v>
      </c>
      <c r="M177">
        <f t="shared" si="324"/>
        <v>40550</v>
      </c>
      <c r="N177">
        <v>3000</v>
      </c>
      <c r="O177">
        <v>0</v>
      </c>
      <c r="P177">
        <f t="shared" si="325"/>
        <v>200</v>
      </c>
      <c r="Q177">
        <f t="shared" si="326"/>
        <v>37350</v>
      </c>
      <c r="R177">
        <v>32500</v>
      </c>
      <c r="S177">
        <f t="shared" si="327"/>
        <v>3250</v>
      </c>
      <c r="T177">
        <f t="shared" si="328"/>
        <v>3900</v>
      </c>
      <c r="U177">
        <v>400</v>
      </c>
      <c r="V177">
        <v>500</v>
      </c>
      <c r="W177">
        <f t="shared" si="329"/>
        <v>40550</v>
      </c>
      <c r="X177">
        <v>3000</v>
      </c>
      <c r="Y177">
        <v>0</v>
      </c>
      <c r="Z177">
        <f t="shared" si="330"/>
        <v>200</v>
      </c>
      <c r="AA177">
        <f t="shared" si="331"/>
        <v>37350</v>
      </c>
      <c r="AB177">
        <v>32500</v>
      </c>
      <c r="AC177">
        <f t="shared" si="332"/>
        <v>4550</v>
      </c>
      <c r="AD177">
        <f t="shared" si="333"/>
        <v>3900</v>
      </c>
      <c r="AE177">
        <v>400</v>
      </c>
      <c r="AF177">
        <v>500</v>
      </c>
      <c r="AG177">
        <f t="shared" si="334"/>
        <v>41850</v>
      </c>
      <c r="AH177">
        <v>3000</v>
      </c>
      <c r="AI177">
        <v>0</v>
      </c>
      <c r="AJ177">
        <f t="shared" si="335"/>
        <v>200</v>
      </c>
      <c r="AK177">
        <f t="shared" si="336"/>
        <v>38650</v>
      </c>
      <c r="AL177">
        <v>32500</v>
      </c>
      <c r="AM177">
        <f t="shared" si="337"/>
        <v>4550</v>
      </c>
      <c r="AN177">
        <f t="shared" si="338"/>
        <v>3900</v>
      </c>
      <c r="AO177">
        <v>400</v>
      </c>
      <c r="AP177">
        <v>500</v>
      </c>
      <c r="AQ177">
        <f t="shared" si="339"/>
        <v>41850</v>
      </c>
      <c r="AR177">
        <v>3000</v>
      </c>
      <c r="AS177">
        <v>0</v>
      </c>
      <c r="AT177">
        <f t="shared" si="340"/>
        <v>200</v>
      </c>
      <c r="AU177">
        <f t="shared" si="341"/>
        <v>38650</v>
      </c>
      <c r="AV177">
        <v>33500</v>
      </c>
      <c r="AW177">
        <f t="shared" si="342"/>
        <v>4690</v>
      </c>
      <c r="AX177">
        <f t="shared" si="343"/>
        <v>1300</v>
      </c>
      <c r="AY177">
        <f t="shared" si="344"/>
        <v>4020</v>
      </c>
      <c r="AZ177">
        <v>400</v>
      </c>
      <c r="BA177">
        <v>500</v>
      </c>
      <c r="BB177">
        <f t="shared" si="345"/>
        <v>44410</v>
      </c>
      <c r="BC177">
        <v>3000</v>
      </c>
      <c r="BD177">
        <v>0</v>
      </c>
      <c r="BE177">
        <f t="shared" si="346"/>
        <v>200</v>
      </c>
      <c r="BF177">
        <f t="shared" si="347"/>
        <v>41210</v>
      </c>
      <c r="BG177">
        <v>33500</v>
      </c>
      <c r="BH177">
        <f t="shared" si="348"/>
        <v>4690</v>
      </c>
      <c r="BI177">
        <f t="shared" si="349"/>
        <v>4020</v>
      </c>
      <c r="BJ177">
        <v>400</v>
      </c>
      <c r="BK177">
        <v>500</v>
      </c>
      <c r="BL177">
        <f t="shared" si="350"/>
        <v>43110</v>
      </c>
      <c r="BM177">
        <v>3000</v>
      </c>
      <c r="BN177">
        <v>0</v>
      </c>
      <c r="BO177">
        <f t="shared" si="351"/>
        <v>200</v>
      </c>
      <c r="BP177">
        <f t="shared" si="352"/>
        <v>39910</v>
      </c>
      <c r="BQ177">
        <v>33500</v>
      </c>
      <c r="BR177">
        <f t="shared" si="353"/>
        <v>4690</v>
      </c>
      <c r="BS177">
        <f t="shared" si="354"/>
        <v>4020</v>
      </c>
      <c r="BT177">
        <v>400</v>
      </c>
      <c r="BU177">
        <v>500</v>
      </c>
      <c r="BV177">
        <f t="shared" si="355"/>
        <v>43110</v>
      </c>
      <c r="BW177">
        <v>3000</v>
      </c>
      <c r="BX177">
        <v>0</v>
      </c>
      <c r="BY177">
        <f t="shared" si="356"/>
        <v>200</v>
      </c>
      <c r="BZ177">
        <f t="shared" si="357"/>
        <v>39910</v>
      </c>
      <c r="CA177">
        <v>33500</v>
      </c>
      <c r="CB177">
        <f t="shared" si="358"/>
        <v>4690</v>
      </c>
      <c r="CC177">
        <f t="shared" si="359"/>
        <v>4020</v>
      </c>
      <c r="CD177">
        <v>400</v>
      </c>
      <c r="CE177">
        <v>500</v>
      </c>
      <c r="CF177">
        <f t="shared" si="360"/>
        <v>43110</v>
      </c>
      <c r="CG177">
        <v>3000</v>
      </c>
      <c r="CH177">
        <v>0</v>
      </c>
      <c r="CI177">
        <f t="shared" si="361"/>
        <v>200</v>
      </c>
      <c r="CJ177">
        <f t="shared" si="362"/>
        <v>39910</v>
      </c>
      <c r="CK177">
        <v>33500</v>
      </c>
      <c r="CL177">
        <f t="shared" si="363"/>
        <v>4690</v>
      </c>
      <c r="CM177">
        <f t="shared" si="364"/>
        <v>4020</v>
      </c>
      <c r="CN177">
        <v>400</v>
      </c>
      <c r="CO177">
        <v>500</v>
      </c>
      <c r="CP177">
        <f t="shared" si="365"/>
        <v>43110</v>
      </c>
      <c r="CQ177">
        <v>3000</v>
      </c>
      <c r="CR177">
        <v>0</v>
      </c>
      <c r="CS177">
        <f t="shared" si="366"/>
        <v>200</v>
      </c>
      <c r="CT177">
        <f t="shared" si="367"/>
        <v>39910</v>
      </c>
      <c r="CU177">
        <v>33500</v>
      </c>
      <c r="CV177">
        <f t="shared" si="368"/>
        <v>4690</v>
      </c>
      <c r="CW177">
        <f t="shared" si="369"/>
        <v>4020</v>
      </c>
      <c r="CX177">
        <v>400</v>
      </c>
      <c r="CY177">
        <v>500</v>
      </c>
      <c r="CZ177">
        <f t="shared" si="370"/>
        <v>43110</v>
      </c>
      <c r="DA177">
        <v>3000</v>
      </c>
      <c r="DB177">
        <v>0</v>
      </c>
      <c r="DC177">
        <f t="shared" si="371"/>
        <v>200</v>
      </c>
      <c r="DD177">
        <f t="shared" si="372"/>
        <v>39910</v>
      </c>
      <c r="DE177">
        <v>33500</v>
      </c>
      <c r="DF177">
        <f t="shared" si="373"/>
        <v>4690</v>
      </c>
      <c r="DG177">
        <f t="shared" si="374"/>
        <v>4020</v>
      </c>
      <c r="DH177">
        <v>400</v>
      </c>
      <c r="DI177">
        <v>500</v>
      </c>
      <c r="DJ177">
        <f t="shared" si="375"/>
        <v>43110</v>
      </c>
      <c r="DK177">
        <v>3000</v>
      </c>
      <c r="DL177">
        <v>0</v>
      </c>
      <c r="DM177">
        <f t="shared" si="376"/>
        <v>200</v>
      </c>
      <c r="DN177">
        <f t="shared" si="377"/>
        <v>39910</v>
      </c>
      <c r="DO177">
        <v>33500</v>
      </c>
      <c r="DP177">
        <f t="shared" si="378"/>
        <v>4690</v>
      </c>
      <c r="DQ177">
        <f t="shared" si="379"/>
        <v>4020</v>
      </c>
      <c r="DR177">
        <v>400</v>
      </c>
      <c r="DS177">
        <v>500</v>
      </c>
      <c r="DT177">
        <f t="shared" si="380"/>
        <v>43110</v>
      </c>
      <c r="DU177">
        <v>3000</v>
      </c>
      <c r="DV177">
        <v>0</v>
      </c>
      <c r="DW177">
        <f t="shared" si="381"/>
        <v>200</v>
      </c>
      <c r="DX177">
        <f t="shared" si="382"/>
        <v>39910</v>
      </c>
      <c r="DY177">
        <f t="shared" si="383"/>
        <v>516980</v>
      </c>
      <c r="DZ177">
        <f t="shared" si="315"/>
        <v>2400</v>
      </c>
      <c r="EA177">
        <f t="shared" si="316"/>
        <v>50000</v>
      </c>
      <c r="EB177">
        <v>0</v>
      </c>
      <c r="EC177">
        <f t="shared" si="317"/>
        <v>464580</v>
      </c>
      <c r="ED177">
        <f t="shared" si="318"/>
        <v>36000</v>
      </c>
      <c r="EE177">
        <f t="shared" si="319"/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f t="shared" si="320"/>
        <v>36000</v>
      </c>
      <c r="EQ177">
        <f t="shared" si="384"/>
        <v>36000</v>
      </c>
      <c r="ER177">
        <f t="shared" si="321"/>
        <v>428580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f t="shared" si="385"/>
        <v>0</v>
      </c>
      <c r="FA177">
        <f t="shared" si="386"/>
        <v>428580</v>
      </c>
      <c r="FB177">
        <f t="shared" si="387"/>
        <v>8929</v>
      </c>
      <c r="FC177">
        <f t="shared" si="388"/>
        <v>0</v>
      </c>
      <c r="FD177">
        <f t="shared" si="389"/>
        <v>8929</v>
      </c>
      <c r="FE177">
        <f t="shared" si="390"/>
        <v>0</v>
      </c>
      <c r="FF177">
        <f t="shared" si="391"/>
        <v>0</v>
      </c>
      <c r="FG177">
        <f t="shared" si="392"/>
        <v>0</v>
      </c>
      <c r="FH177">
        <v>0</v>
      </c>
      <c r="FI177">
        <f t="shared" si="393"/>
        <v>0</v>
      </c>
      <c r="FJ177" t="b">
        <f t="shared" si="394"/>
        <v>1</v>
      </c>
      <c r="FK177">
        <f t="shared" ca="1" si="395"/>
        <v>603</v>
      </c>
      <c r="FL177">
        <f t="shared" ca="1" si="396"/>
        <v>517583</v>
      </c>
      <c r="FM177">
        <f t="shared" si="397"/>
        <v>75000</v>
      </c>
      <c r="FN177">
        <f t="shared" ca="1" si="398"/>
        <v>442583</v>
      </c>
      <c r="FO177">
        <f t="shared" ca="1" si="399"/>
        <v>0</v>
      </c>
      <c r="FP177">
        <f t="shared" ca="1" si="400"/>
        <v>0</v>
      </c>
      <c r="FQ177">
        <f t="shared" ca="1" si="401"/>
        <v>0</v>
      </c>
      <c r="FR177">
        <f t="shared" ca="1" si="402"/>
        <v>0</v>
      </c>
      <c r="FS177">
        <f t="shared" ca="1" si="403"/>
        <v>0</v>
      </c>
      <c r="FT177">
        <f t="shared" ca="1" si="404"/>
        <v>0</v>
      </c>
      <c r="FU177">
        <f t="shared" ca="1" si="405"/>
        <v>0</v>
      </c>
      <c r="FV177">
        <f t="shared" ca="1" si="406"/>
        <v>0</v>
      </c>
      <c r="FW177">
        <f t="shared" ca="1" si="407"/>
        <v>142583</v>
      </c>
      <c r="FX177">
        <f t="shared" ca="1" si="408"/>
        <v>7129.1500000000005</v>
      </c>
      <c r="FY177">
        <f t="shared" ca="1" si="409"/>
        <v>7129</v>
      </c>
      <c r="FZ177">
        <f t="shared" ca="1" si="410"/>
        <v>0</v>
      </c>
      <c r="GA177">
        <f t="shared" ca="1" si="411"/>
        <v>0</v>
      </c>
      <c r="GB177">
        <f t="shared" ca="1" si="412"/>
        <v>7129</v>
      </c>
      <c r="GC177">
        <f t="shared" ca="1" si="413"/>
        <v>0</v>
      </c>
      <c r="GD177" t="b">
        <f t="shared" ca="1" si="414"/>
        <v>0</v>
      </c>
      <c r="GE177">
        <f t="shared" ca="1" si="415"/>
        <v>0</v>
      </c>
      <c r="GF177">
        <f t="shared" ca="1" si="416"/>
        <v>7129</v>
      </c>
      <c r="GG177">
        <f t="shared" ca="1" si="417"/>
        <v>0</v>
      </c>
      <c r="GH177">
        <f t="shared" ca="1" si="418"/>
        <v>0</v>
      </c>
      <c r="GI177">
        <f t="shared" ca="1" si="419"/>
        <v>0</v>
      </c>
    </row>
    <row r="178" spans="1:191" x14ac:dyDescent="0.25">
      <c r="A178">
        <f>_xlfn.AGGREGATE(3,5,$B$2:B178)</f>
        <v>177</v>
      </c>
      <c r="B178" t="s">
        <v>474</v>
      </c>
      <c r="C178" t="s">
        <v>475</v>
      </c>
      <c r="D178" t="s">
        <v>809</v>
      </c>
      <c r="E178" t="s">
        <v>843</v>
      </c>
      <c r="F178">
        <v>0</v>
      </c>
      <c r="G178">
        <v>6000</v>
      </c>
      <c r="H178">
        <v>32500</v>
      </c>
      <c r="I178">
        <f t="shared" si="322"/>
        <v>3250</v>
      </c>
      <c r="J178">
        <f t="shared" si="323"/>
        <v>3900</v>
      </c>
      <c r="K178">
        <v>0</v>
      </c>
      <c r="L178">
        <v>500</v>
      </c>
      <c r="M178">
        <f t="shared" si="324"/>
        <v>40150</v>
      </c>
      <c r="N178">
        <v>3000</v>
      </c>
      <c r="O178">
        <v>0</v>
      </c>
      <c r="P178">
        <f t="shared" si="325"/>
        <v>200</v>
      </c>
      <c r="Q178">
        <f t="shared" si="326"/>
        <v>36950</v>
      </c>
      <c r="R178">
        <v>32500</v>
      </c>
      <c r="S178">
        <f t="shared" si="327"/>
        <v>3250</v>
      </c>
      <c r="T178">
        <f t="shared" si="328"/>
        <v>3900</v>
      </c>
      <c r="U178">
        <v>0</v>
      </c>
      <c r="V178">
        <v>500</v>
      </c>
      <c r="W178">
        <f t="shared" si="329"/>
        <v>40150</v>
      </c>
      <c r="X178">
        <v>3000</v>
      </c>
      <c r="Y178">
        <v>0</v>
      </c>
      <c r="Z178">
        <f t="shared" si="330"/>
        <v>200</v>
      </c>
      <c r="AA178">
        <f t="shared" si="331"/>
        <v>36950</v>
      </c>
      <c r="AB178">
        <v>32500</v>
      </c>
      <c r="AC178">
        <f t="shared" si="332"/>
        <v>4550</v>
      </c>
      <c r="AD178">
        <f t="shared" si="333"/>
        <v>3900</v>
      </c>
      <c r="AE178">
        <v>0</v>
      </c>
      <c r="AF178">
        <v>500</v>
      </c>
      <c r="AG178">
        <f t="shared" si="334"/>
        <v>41450</v>
      </c>
      <c r="AH178">
        <v>3000</v>
      </c>
      <c r="AI178">
        <v>0</v>
      </c>
      <c r="AJ178">
        <f t="shared" si="335"/>
        <v>200</v>
      </c>
      <c r="AK178">
        <f t="shared" si="336"/>
        <v>38250</v>
      </c>
      <c r="AL178">
        <v>32500</v>
      </c>
      <c r="AM178">
        <f t="shared" si="337"/>
        <v>4550</v>
      </c>
      <c r="AN178">
        <f t="shared" si="338"/>
        <v>3900</v>
      </c>
      <c r="AO178">
        <v>0</v>
      </c>
      <c r="AP178">
        <v>500</v>
      </c>
      <c r="AQ178">
        <f t="shared" si="339"/>
        <v>41450</v>
      </c>
      <c r="AR178">
        <v>3000</v>
      </c>
      <c r="AS178">
        <v>0</v>
      </c>
      <c r="AT178">
        <f t="shared" si="340"/>
        <v>200</v>
      </c>
      <c r="AU178">
        <f t="shared" si="341"/>
        <v>38250</v>
      </c>
      <c r="AV178">
        <v>34500</v>
      </c>
      <c r="AW178">
        <f t="shared" si="342"/>
        <v>4830.0000000000009</v>
      </c>
      <c r="AX178">
        <f t="shared" si="343"/>
        <v>1300</v>
      </c>
      <c r="AY178">
        <f t="shared" si="344"/>
        <v>4140</v>
      </c>
      <c r="AZ178">
        <v>0</v>
      </c>
      <c r="BA178">
        <v>500</v>
      </c>
      <c r="BB178">
        <f t="shared" si="345"/>
        <v>45270</v>
      </c>
      <c r="BC178">
        <v>3000</v>
      </c>
      <c r="BD178">
        <v>0</v>
      </c>
      <c r="BE178">
        <f t="shared" si="346"/>
        <v>200</v>
      </c>
      <c r="BF178">
        <f t="shared" si="347"/>
        <v>42070</v>
      </c>
      <c r="BG178">
        <v>34500</v>
      </c>
      <c r="BH178">
        <f t="shared" si="348"/>
        <v>4830.0000000000009</v>
      </c>
      <c r="BI178">
        <f t="shared" si="349"/>
        <v>4140</v>
      </c>
      <c r="BJ178">
        <v>0</v>
      </c>
      <c r="BK178">
        <v>500</v>
      </c>
      <c r="BL178">
        <f t="shared" si="350"/>
        <v>43970</v>
      </c>
      <c r="BM178">
        <v>3000</v>
      </c>
      <c r="BN178">
        <v>0</v>
      </c>
      <c r="BO178">
        <f t="shared" si="351"/>
        <v>200</v>
      </c>
      <c r="BP178">
        <f t="shared" si="352"/>
        <v>40770</v>
      </c>
      <c r="BQ178">
        <v>34500</v>
      </c>
      <c r="BR178">
        <f t="shared" si="353"/>
        <v>4830.0000000000009</v>
      </c>
      <c r="BS178">
        <f t="shared" si="354"/>
        <v>4140</v>
      </c>
      <c r="BT178">
        <v>0</v>
      </c>
      <c r="BU178">
        <v>500</v>
      </c>
      <c r="BV178">
        <f t="shared" si="355"/>
        <v>43970</v>
      </c>
      <c r="BW178">
        <v>3000</v>
      </c>
      <c r="BX178">
        <v>0</v>
      </c>
      <c r="BY178">
        <f t="shared" si="356"/>
        <v>200</v>
      </c>
      <c r="BZ178">
        <f t="shared" si="357"/>
        <v>40770</v>
      </c>
      <c r="CA178">
        <v>34500</v>
      </c>
      <c r="CB178">
        <f t="shared" si="358"/>
        <v>4830.0000000000009</v>
      </c>
      <c r="CC178">
        <f t="shared" si="359"/>
        <v>4140</v>
      </c>
      <c r="CD178">
        <v>0</v>
      </c>
      <c r="CE178">
        <v>500</v>
      </c>
      <c r="CF178">
        <f t="shared" si="360"/>
        <v>43970</v>
      </c>
      <c r="CG178">
        <v>3000</v>
      </c>
      <c r="CH178">
        <v>0</v>
      </c>
      <c r="CI178">
        <f t="shared" si="361"/>
        <v>200</v>
      </c>
      <c r="CJ178">
        <f t="shared" si="362"/>
        <v>40770</v>
      </c>
      <c r="CK178">
        <v>34500</v>
      </c>
      <c r="CL178">
        <f t="shared" si="363"/>
        <v>4830.0000000000009</v>
      </c>
      <c r="CM178">
        <f t="shared" si="364"/>
        <v>4140</v>
      </c>
      <c r="CN178">
        <v>0</v>
      </c>
      <c r="CO178">
        <v>500</v>
      </c>
      <c r="CP178">
        <f t="shared" si="365"/>
        <v>43970</v>
      </c>
      <c r="CQ178">
        <v>3000</v>
      </c>
      <c r="CR178">
        <v>0</v>
      </c>
      <c r="CS178">
        <f t="shared" si="366"/>
        <v>200</v>
      </c>
      <c r="CT178">
        <f t="shared" si="367"/>
        <v>40770</v>
      </c>
      <c r="CU178">
        <v>34500</v>
      </c>
      <c r="CV178">
        <f t="shared" si="368"/>
        <v>4830</v>
      </c>
      <c r="CW178">
        <f t="shared" si="369"/>
        <v>4140</v>
      </c>
      <c r="CX178">
        <v>0</v>
      </c>
      <c r="CY178">
        <v>500</v>
      </c>
      <c r="CZ178">
        <f t="shared" si="370"/>
        <v>43970</v>
      </c>
      <c r="DA178">
        <v>3000</v>
      </c>
      <c r="DB178">
        <v>0</v>
      </c>
      <c r="DC178">
        <f t="shared" si="371"/>
        <v>200</v>
      </c>
      <c r="DD178">
        <f t="shared" si="372"/>
        <v>40770</v>
      </c>
      <c r="DE178">
        <v>34500</v>
      </c>
      <c r="DF178">
        <f t="shared" si="373"/>
        <v>4830.0000000000009</v>
      </c>
      <c r="DG178">
        <f t="shared" si="374"/>
        <v>4140</v>
      </c>
      <c r="DH178">
        <v>0</v>
      </c>
      <c r="DI178">
        <v>500</v>
      </c>
      <c r="DJ178">
        <f t="shared" si="375"/>
        <v>43970</v>
      </c>
      <c r="DK178">
        <v>3000</v>
      </c>
      <c r="DL178">
        <v>0</v>
      </c>
      <c r="DM178">
        <f t="shared" si="376"/>
        <v>200</v>
      </c>
      <c r="DN178">
        <f t="shared" si="377"/>
        <v>40770</v>
      </c>
      <c r="DO178">
        <v>34500</v>
      </c>
      <c r="DP178">
        <f t="shared" si="378"/>
        <v>4830.0000000000009</v>
      </c>
      <c r="DQ178">
        <f t="shared" si="379"/>
        <v>4140</v>
      </c>
      <c r="DR178">
        <v>0</v>
      </c>
      <c r="DS178">
        <v>500</v>
      </c>
      <c r="DT178">
        <f t="shared" si="380"/>
        <v>43970</v>
      </c>
      <c r="DU178">
        <v>3000</v>
      </c>
      <c r="DV178">
        <v>0</v>
      </c>
      <c r="DW178">
        <f t="shared" si="381"/>
        <v>200</v>
      </c>
      <c r="DX178">
        <f t="shared" si="382"/>
        <v>40770</v>
      </c>
      <c r="DY178">
        <f t="shared" si="383"/>
        <v>522260</v>
      </c>
      <c r="DZ178">
        <f t="shared" si="315"/>
        <v>2400</v>
      </c>
      <c r="EA178">
        <f t="shared" si="316"/>
        <v>50000</v>
      </c>
      <c r="EB178">
        <v>0</v>
      </c>
      <c r="EC178">
        <f t="shared" si="317"/>
        <v>469860</v>
      </c>
      <c r="ED178">
        <f t="shared" si="318"/>
        <v>36000</v>
      </c>
      <c r="EE178">
        <f t="shared" si="319"/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f t="shared" si="320"/>
        <v>36000</v>
      </c>
      <c r="EQ178">
        <f t="shared" si="384"/>
        <v>36000</v>
      </c>
      <c r="ER178">
        <f t="shared" si="321"/>
        <v>433860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f t="shared" si="385"/>
        <v>0</v>
      </c>
      <c r="FA178">
        <f t="shared" si="386"/>
        <v>433860</v>
      </c>
      <c r="FB178">
        <f t="shared" si="387"/>
        <v>9193</v>
      </c>
      <c r="FC178">
        <f t="shared" si="388"/>
        <v>0</v>
      </c>
      <c r="FD178">
        <f t="shared" si="389"/>
        <v>9193</v>
      </c>
      <c r="FE178">
        <f t="shared" si="390"/>
        <v>0</v>
      </c>
      <c r="FF178">
        <f t="shared" si="391"/>
        <v>0</v>
      </c>
      <c r="FG178">
        <f t="shared" si="392"/>
        <v>0</v>
      </c>
      <c r="FH178">
        <v>0</v>
      </c>
      <c r="FI178">
        <f t="shared" si="393"/>
        <v>0</v>
      </c>
      <c r="FJ178" t="b">
        <f t="shared" si="394"/>
        <v>1</v>
      </c>
      <c r="FK178">
        <f t="shared" ca="1" si="395"/>
        <v>883</v>
      </c>
      <c r="FL178">
        <f t="shared" ca="1" si="396"/>
        <v>523143</v>
      </c>
      <c r="FM178">
        <f t="shared" si="397"/>
        <v>75000</v>
      </c>
      <c r="FN178">
        <f t="shared" ca="1" si="398"/>
        <v>448143</v>
      </c>
      <c r="FO178">
        <f t="shared" ca="1" si="399"/>
        <v>0</v>
      </c>
      <c r="FP178">
        <f t="shared" ca="1" si="400"/>
        <v>0</v>
      </c>
      <c r="FQ178">
        <f t="shared" ca="1" si="401"/>
        <v>0</v>
      </c>
      <c r="FR178">
        <f t="shared" ca="1" si="402"/>
        <v>0</v>
      </c>
      <c r="FS178">
        <f t="shared" ca="1" si="403"/>
        <v>0</v>
      </c>
      <c r="FT178">
        <f t="shared" ca="1" si="404"/>
        <v>0</v>
      </c>
      <c r="FU178">
        <f t="shared" ca="1" si="405"/>
        <v>0</v>
      </c>
      <c r="FV178">
        <f t="shared" ca="1" si="406"/>
        <v>0</v>
      </c>
      <c r="FW178">
        <f t="shared" ca="1" si="407"/>
        <v>148143</v>
      </c>
      <c r="FX178">
        <f t="shared" ca="1" si="408"/>
        <v>7407.1500000000005</v>
      </c>
      <c r="FY178">
        <f t="shared" ca="1" si="409"/>
        <v>7407</v>
      </c>
      <c r="FZ178">
        <f t="shared" ca="1" si="410"/>
        <v>0</v>
      </c>
      <c r="GA178">
        <f t="shared" ca="1" si="411"/>
        <v>0</v>
      </c>
      <c r="GB178">
        <f t="shared" ca="1" si="412"/>
        <v>7407</v>
      </c>
      <c r="GC178">
        <f t="shared" ca="1" si="413"/>
        <v>0</v>
      </c>
      <c r="GD178" t="b">
        <f t="shared" ca="1" si="414"/>
        <v>0</v>
      </c>
      <c r="GE178">
        <f t="shared" ca="1" si="415"/>
        <v>0</v>
      </c>
      <c r="GF178">
        <f t="shared" ca="1" si="416"/>
        <v>7407</v>
      </c>
      <c r="GG178">
        <f t="shared" ca="1" si="417"/>
        <v>0</v>
      </c>
      <c r="GH178">
        <f t="shared" ca="1" si="418"/>
        <v>0</v>
      </c>
      <c r="GI178">
        <f t="shared" ca="1" si="419"/>
        <v>0</v>
      </c>
    </row>
    <row r="179" spans="1:191" x14ac:dyDescent="0.25">
      <c r="A179">
        <f>_xlfn.AGGREGATE(3,5,$B$2:B179)</f>
        <v>178</v>
      </c>
      <c r="B179" t="s">
        <v>476</v>
      </c>
      <c r="C179" t="s">
        <v>477</v>
      </c>
      <c r="D179" t="s">
        <v>809</v>
      </c>
      <c r="E179" t="s">
        <v>843</v>
      </c>
      <c r="F179">
        <v>0</v>
      </c>
      <c r="G179">
        <v>6000</v>
      </c>
      <c r="H179">
        <v>32500</v>
      </c>
      <c r="I179">
        <f t="shared" si="322"/>
        <v>3250</v>
      </c>
      <c r="J179">
        <f t="shared" si="323"/>
        <v>3900</v>
      </c>
      <c r="K179">
        <v>0</v>
      </c>
      <c r="L179">
        <v>500</v>
      </c>
      <c r="M179">
        <f t="shared" si="324"/>
        <v>40150</v>
      </c>
      <c r="N179">
        <v>3000</v>
      </c>
      <c r="O179">
        <v>0</v>
      </c>
      <c r="P179">
        <f t="shared" si="325"/>
        <v>200</v>
      </c>
      <c r="Q179">
        <f t="shared" si="326"/>
        <v>36950</v>
      </c>
      <c r="R179">
        <v>32500</v>
      </c>
      <c r="S179">
        <f t="shared" si="327"/>
        <v>3250</v>
      </c>
      <c r="T179">
        <f t="shared" si="328"/>
        <v>3900</v>
      </c>
      <c r="U179">
        <v>0</v>
      </c>
      <c r="V179">
        <v>500</v>
      </c>
      <c r="W179">
        <f t="shared" si="329"/>
        <v>40150</v>
      </c>
      <c r="X179">
        <v>3000</v>
      </c>
      <c r="Y179">
        <v>0</v>
      </c>
      <c r="Z179">
        <f t="shared" si="330"/>
        <v>200</v>
      </c>
      <c r="AA179">
        <f t="shared" si="331"/>
        <v>36950</v>
      </c>
      <c r="AB179">
        <v>32500</v>
      </c>
      <c r="AC179">
        <f t="shared" si="332"/>
        <v>4550</v>
      </c>
      <c r="AD179">
        <f t="shared" si="333"/>
        <v>3900</v>
      </c>
      <c r="AE179">
        <v>0</v>
      </c>
      <c r="AF179">
        <v>500</v>
      </c>
      <c r="AG179">
        <f t="shared" si="334"/>
        <v>41450</v>
      </c>
      <c r="AH179">
        <v>3000</v>
      </c>
      <c r="AI179">
        <v>0</v>
      </c>
      <c r="AJ179">
        <f t="shared" si="335"/>
        <v>200</v>
      </c>
      <c r="AK179">
        <f t="shared" si="336"/>
        <v>38250</v>
      </c>
      <c r="AL179">
        <v>32500</v>
      </c>
      <c r="AM179">
        <f t="shared" si="337"/>
        <v>4550</v>
      </c>
      <c r="AN179">
        <f t="shared" si="338"/>
        <v>3900</v>
      </c>
      <c r="AO179">
        <v>0</v>
      </c>
      <c r="AP179">
        <v>500</v>
      </c>
      <c r="AQ179">
        <f t="shared" si="339"/>
        <v>41450</v>
      </c>
      <c r="AR179">
        <v>3000</v>
      </c>
      <c r="AS179">
        <v>0</v>
      </c>
      <c r="AT179">
        <f t="shared" si="340"/>
        <v>200</v>
      </c>
      <c r="AU179">
        <f t="shared" si="341"/>
        <v>38250</v>
      </c>
      <c r="AV179">
        <v>33500</v>
      </c>
      <c r="AW179">
        <f t="shared" si="342"/>
        <v>4690</v>
      </c>
      <c r="AX179">
        <f t="shared" si="343"/>
        <v>1300</v>
      </c>
      <c r="AY179">
        <f t="shared" si="344"/>
        <v>4020</v>
      </c>
      <c r="AZ179">
        <v>0</v>
      </c>
      <c r="BA179">
        <v>500</v>
      </c>
      <c r="BB179">
        <f t="shared" si="345"/>
        <v>44010</v>
      </c>
      <c r="BC179">
        <v>3000</v>
      </c>
      <c r="BD179">
        <v>0</v>
      </c>
      <c r="BE179">
        <f t="shared" si="346"/>
        <v>200</v>
      </c>
      <c r="BF179">
        <f t="shared" si="347"/>
        <v>40810</v>
      </c>
      <c r="BG179">
        <v>33500</v>
      </c>
      <c r="BH179">
        <f t="shared" si="348"/>
        <v>4690</v>
      </c>
      <c r="BI179">
        <f t="shared" si="349"/>
        <v>4020</v>
      </c>
      <c r="BJ179">
        <v>0</v>
      </c>
      <c r="BK179">
        <v>500</v>
      </c>
      <c r="BL179">
        <f t="shared" si="350"/>
        <v>42710</v>
      </c>
      <c r="BM179">
        <v>3000</v>
      </c>
      <c r="BN179">
        <v>0</v>
      </c>
      <c r="BO179">
        <f t="shared" si="351"/>
        <v>200</v>
      </c>
      <c r="BP179">
        <f t="shared" si="352"/>
        <v>39510</v>
      </c>
      <c r="BQ179">
        <v>33500</v>
      </c>
      <c r="BR179">
        <f t="shared" si="353"/>
        <v>4690</v>
      </c>
      <c r="BS179">
        <f t="shared" si="354"/>
        <v>4020</v>
      </c>
      <c r="BT179">
        <v>0</v>
      </c>
      <c r="BU179">
        <v>500</v>
      </c>
      <c r="BV179">
        <f t="shared" si="355"/>
        <v>42710</v>
      </c>
      <c r="BW179">
        <v>3000</v>
      </c>
      <c r="BX179">
        <v>0</v>
      </c>
      <c r="BY179">
        <f t="shared" si="356"/>
        <v>200</v>
      </c>
      <c r="BZ179">
        <f t="shared" si="357"/>
        <v>39510</v>
      </c>
      <c r="CA179">
        <v>33500</v>
      </c>
      <c r="CB179">
        <f t="shared" si="358"/>
        <v>4690</v>
      </c>
      <c r="CC179">
        <f t="shared" si="359"/>
        <v>4020</v>
      </c>
      <c r="CD179">
        <v>0</v>
      </c>
      <c r="CE179">
        <v>500</v>
      </c>
      <c r="CF179">
        <f t="shared" si="360"/>
        <v>42710</v>
      </c>
      <c r="CG179">
        <v>3000</v>
      </c>
      <c r="CH179">
        <v>0</v>
      </c>
      <c r="CI179">
        <f t="shared" si="361"/>
        <v>200</v>
      </c>
      <c r="CJ179">
        <f t="shared" si="362"/>
        <v>39510</v>
      </c>
      <c r="CK179">
        <v>33500</v>
      </c>
      <c r="CL179">
        <f t="shared" si="363"/>
        <v>4690</v>
      </c>
      <c r="CM179">
        <f t="shared" si="364"/>
        <v>4020</v>
      </c>
      <c r="CN179">
        <v>0</v>
      </c>
      <c r="CO179">
        <v>500</v>
      </c>
      <c r="CP179">
        <f t="shared" si="365"/>
        <v>42710</v>
      </c>
      <c r="CQ179">
        <v>3000</v>
      </c>
      <c r="CR179">
        <v>0</v>
      </c>
      <c r="CS179">
        <f t="shared" si="366"/>
        <v>200</v>
      </c>
      <c r="CT179">
        <f t="shared" si="367"/>
        <v>39510</v>
      </c>
      <c r="CU179">
        <v>33500</v>
      </c>
      <c r="CV179">
        <f t="shared" si="368"/>
        <v>4690</v>
      </c>
      <c r="CW179">
        <f t="shared" si="369"/>
        <v>4020</v>
      </c>
      <c r="CX179">
        <v>0</v>
      </c>
      <c r="CY179">
        <v>500</v>
      </c>
      <c r="CZ179">
        <f t="shared" si="370"/>
        <v>42710</v>
      </c>
      <c r="DA179">
        <v>3000</v>
      </c>
      <c r="DB179">
        <v>0</v>
      </c>
      <c r="DC179">
        <f t="shared" si="371"/>
        <v>200</v>
      </c>
      <c r="DD179">
        <f t="shared" si="372"/>
        <v>39510</v>
      </c>
      <c r="DE179">
        <v>33500</v>
      </c>
      <c r="DF179">
        <f t="shared" si="373"/>
        <v>4690</v>
      </c>
      <c r="DG179">
        <f t="shared" si="374"/>
        <v>4020</v>
      </c>
      <c r="DH179">
        <v>0</v>
      </c>
      <c r="DI179">
        <v>500</v>
      </c>
      <c r="DJ179">
        <f t="shared" si="375"/>
        <v>42710</v>
      </c>
      <c r="DK179">
        <v>3000</v>
      </c>
      <c r="DL179">
        <v>0</v>
      </c>
      <c r="DM179">
        <f t="shared" si="376"/>
        <v>200</v>
      </c>
      <c r="DN179">
        <f t="shared" si="377"/>
        <v>39510</v>
      </c>
      <c r="DO179">
        <v>33500</v>
      </c>
      <c r="DP179">
        <f t="shared" si="378"/>
        <v>4690</v>
      </c>
      <c r="DQ179">
        <f t="shared" si="379"/>
        <v>4020</v>
      </c>
      <c r="DR179">
        <v>0</v>
      </c>
      <c r="DS179">
        <v>500</v>
      </c>
      <c r="DT179">
        <f t="shared" si="380"/>
        <v>42710</v>
      </c>
      <c r="DU179">
        <v>3000</v>
      </c>
      <c r="DV179">
        <v>0</v>
      </c>
      <c r="DW179">
        <f t="shared" si="381"/>
        <v>200</v>
      </c>
      <c r="DX179">
        <f t="shared" si="382"/>
        <v>39510</v>
      </c>
      <c r="DY179">
        <f t="shared" si="383"/>
        <v>512180</v>
      </c>
      <c r="DZ179">
        <f t="shared" si="315"/>
        <v>2400</v>
      </c>
      <c r="EA179">
        <f t="shared" si="316"/>
        <v>50000</v>
      </c>
      <c r="EB179">
        <v>0</v>
      </c>
      <c r="EC179">
        <f t="shared" si="317"/>
        <v>459780</v>
      </c>
      <c r="ED179">
        <f t="shared" si="318"/>
        <v>36000</v>
      </c>
      <c r="EE179">
        <f t="shared" si="319"/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f t="shared" si="320"/>
        <v>36000</v>
      </c>
      <c r="EQ179">
        <f t="shared" si="384"/>
        <v>36000</v>
      </c>
      <c r="ER179">
        <f t="shared" si="321"/>
        <v>423780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f t="shared" si="385"/>
        <v>0</v>
      </c>
      <c r="FA179">
        <f t="shared" si="386"/>
        <v>423780</v>
      </c>
      <c r="FB179">
        <f t="shared" si="387"/>
        <v>8689</v>
      </c>
      <c r="FC179">
        <f t="shared" si="388"/>
        <v>0</v>
      </c>
      <c r="FD179">
        <f t="shared" si="389"/>
        <v>8689</v>
      </c>
      <c r="FE179">
        <f t="shared" si="390"/>
        <v>0</v>
      </c>
      <c r="FF179">
        <f t="shared" si="391"/>
        <v>0</v>
      </c>
      <c r="FG179">
        <f t="shared" si="392"/>
        <v>0</v>
      </c>
      <c r="FH179">
        <v>0</v>
      </c>
      <c r="FI179">
        <f t="shared" si="393"/>
        <v>0</v>
      </c>
      <c r="FJ179" t="b">
        <f t="shared" si="394"/>
        <v>1</v>
      </c>
      <c r="FK179">
        <f t="shared" ca="1" si="395"/>
        <v>683</v>
      </c>
      <c r="FL179">
        <f t="shared" ca="1" si="396"/>
        <v>512863</v>
      </c>
      <c r="FM179">
        <f t="shared" si="397"/>
        <v>75000</v>
      </c>
      <c r="FN179">
        <f t="shared" ca="1" si="398"/>
        <v>437863</v>
      </c>
      <c r="FO179">
        <f t="shared" ca="1" si="399"/>
        <v>0</v>
      </c>
      <c r="FP179">
        <f t="shared" ca="1" si="400"/>
        <v>0</v>
      </c>
      <c r="FQ179">
        <f t="shared" ca="1" si="401"/>
        <v>0</v>
      </c>
      <c r="FR179">
        <f t="shared" ca="1" si="402"/>
        <v>0</v>
      </c>
      <c r="FS179">
        <f t="shared" ca="1" si="403"/>
        <v>0</v>
      </c>
      <c r="FT179">
        <f t="shared" ca="1" si="404"/>
        <v>0</v>
      </c>
      <c r="FU179">
        <f t="shared" ca="1" si="405"/>
        <v>0</v>
      </c>
      <c r="FV179">
        <f t="shared" ca="1" si="406"/>
        <v>0</v>
      </c>
      <c r="FW179">
        <f t="shared" ca="1" si="407"/>
        <v>137863</v>
      </c>
      <c r="FX179">
        <f t="shared" ca="1" si="408"/>
        <v>6893.1500000000005</v>
      </c>
      <c r="FY179">
        <f t="shared" ca="1" si="409"/>
        <v>6893</v>
      </c>
      <c r="FZ179">
        <f t="shared" ca="1" si="410"/>
        <v>0</v>
      </c>
      <c r="GA179">
        <f t="shared" ca="1" si="411"/>
        <v>0</v>
      </c>
      <c r="GB179">
        <f t="shared" ca="1" si="412"/>
        <v>6893</v>
      </c>
      <c r="GC179">
        <f t="shared" ca="1" si="413"/>
        <v>0</v>
      </c>
      <c r="GD179" t="b">
        <f t="shared" ca="1" si="414"/>
        <v>0</v>
      </c>
      <c r="GE179">
        <f t="shared" ca="1" si="415"/>
        <v>0</v>
      </c>
      <c r="GF179">
        <f t="shared" ca="1" si="416"/>
        <v>6893</v>
      </c>
      <c r="GG179">
        <f t="shared" ca="1" si="417"/>
        <v>0</v>
      </c>
      <c r="GH179">
        <f t="shared" ca="1" si="418"/>
        <v>0</v>
      </c>
      <c r="GI179">
        <f t="shared" ca="1" si="419"/>
        <v>0</v>
      </c>
    </row>
    <row r="180" spans="1:191" x14ac:dyDescent="0.25">
      <c r="A180">
        <f>_xlfn.AGGREGATE(3,5,$B$2:B180)</f>
        <v>179</v>
      </c>
      <c r="B180" t="s">
        <v>478</v>
      </c>
      <c r="C180" t="s">
        <v>479</v>
      </c>
      <c r="D180" t="s">
        <v>809</v>
      </c>
      <c r="E180" t="s">
        <v>844</v>
      </c>
      <c r="F180">
        <v>0</v>
      </c>
      <c r="G180">
        <v>6000</v>
      </c>
      <c r="H180">
        <v>36600</v>
      </c>
      <c r="I180">
        <f t="shared" si="322"/>
        <v>3660</v>
      </c>
      <c r="J180">
        <f t="shared" si="323"/>
        <v>4392</v>
      </c>
      <c r="K180">
        <v>0</v>
      </c>
      <c r="L180">
        <v>500</v>
      </c>
      <c r="M180">
        <f t="shared" si="324"/>
        <v>45152</v>
      </c>
      <c r="N180">
        <v>7000</v>
      </c>
      <c r="O180">
        <v>0</v>
      </c>
      <c r="P180">
        <f t="shared" si="325"/>
        <v>200</v>
      </c>
      <c r="Q180">
        <f t="shared" si="326"/>
        <v>37952</v>
      </c>
      <c r="R180">
        <v>36600</v>
      </c>
      <c r="S180">
        <f t="shared" si="327"/>
        <v>3660</v>
      </c>
      <c r="T180">
        <f t="shared" si="328"/>
        <v>4392</v>
      </c>
      <c r="U180">
        <v>0</v>
      </c>
      <c r="V180">
        <v>500</v>
      </c>
      <c r="W180">
        <f t="shared" si="329"/>
        <v>45152</v>
      </c>
      <c r="X180">
        <v>7000</v>
      </c>
      <c r="Y180">
        <v>0</v>
      </c>
      <c r="Z180">
        <f t="shared" si="330"/>
        <v>200</v>
      </c>
      <c r="AA180">
        <f t="shared" si="331"/>
        <v>37952</v>
      </c>
      <c r="AB180">
        <v>36600</v>
      </c>
      <c r="AC180">
        <f t="shared" si="332"/>
        <v>5124.0000000000009</v>
      </c>
      <c r="AD180">
        <f t="shared" si="333"/>
        <v>4392</v>
      </c>
      <c r="AE180">
        <v>0</v>
      </c>
      <c r="AF180">
        <v>500</v>
      </c>
      <c r="AG180">
        <f t="shared" si="334"/>
        <v>46616</v>
      </c>
      <c r="AH180">
        <v>7000</v>
      </c>
      <c r="AI180">
        <v>0</v>
      </c>
      <c r="AJ180">
        <f t="shared" si="335"/>
        <v>200</v>
      </c>
      <c r="AK180">
        <f t="shared" si="336"/>
        <v>39416</v>
      </c>
      <c r="AL180">
        <v>36600</v>
      </c>
      <c r="AM180">
        <f t="shared" si="337"/>
        <v>5124.0000000000009</v>
      </c>
      <c r="AN180">
        <f t="shared" si="338"/>
        <v>4392</v>
      </c>
      <c r="AO180">
        <v>0</v>
      </c>
      <c r="AP180">
        <v>500</v>
      </c>
      <c r="AQ180">
        <f t="shared" si="339"/>
        <v>46616</v>
      </c>
      <c r="AR180">
        <v>7000</v>
      </c>
      <c r="AS180">
        <v>0</v>
      </c>
      <c r="AT180">
        <f t="shared" si="340"/>
        <v>200</v>
      </c>
      <c r="AU180">
        <f t="shared" si="341"/>
        <v>39416</v>
      </c>
      <c r="AV180">
        <v>37700</v>
      </c>
      <c r="AW180">
        <f t="shared" si="342"/>
        <v>5278.0000000000009</v>
      </c>
      <c r="AX180">
        <f t="shared" si="343"/>
        <v>1464</v>
      </c>
      <c r="AY180">
        <f t="shared" si="344"/>
        <v>4524</v>
      </c>
      <c r="AZ180">
        <v>0</v>
      </c>
      <c r="BA180">
        <v>500</v>
      </c>
      <c r="BB180">
        <f t="shared" si="345"/>
        <v>49466</v>
      </c>
      <c r="BC180">
        <v>7000</v>
      </c>
      <c r="BD180">
        <v>0</v>
      </c>
      <c r="BE180">
        <f t="shared" si="346"/>
        <v>200</v>
      </c>
      <c r="BF180">
        <f t="shared" si="347"/>
        <v>42266</v>
      </c>
      <c r="BG180">
        <v>37700</v>
      </c>
      <c r="BH180">
        <f t="shared" si="348"/>
        <v>5278.0000000000009</v>
      </c>
      <c r="BI180">
        <f t="shared" si="349"/>
        <v>4524</v>
      </c>
      <c r="BJ180">
        <v>0</v>
      </c>
      <c r="BK180">
        <v>500</v>
      </c>
      <c r="BL180">
        <f t="shared" si="350"/>
        <v>48002</v>
      </c>
      <c r="BM180">
        <v>7000</v>
      </c>
      <c r="BN180">
        <v>0</v>
      </c>
      <c r="BO180">
        <f t="shared" si="351"/>
        <v>200</v>
      </c>
      <c r="BP180">
        <f t="shared" si="352"/>
        <v>40802</v>
      </c>
      <c r="BQ180">
        <v>37700</v>
      </c>
      <c r="BR180">
        <f t="shared" si="353"/>
        <v>5278.0000000000009</v>
      </c>
      <c r="BS180">
        <f t="shared" si="354"/>
        <v>4524</v>
      </c>
      <c r="BT180">
        <v>0</v>
      </c>
      <c r="BU180">
        <v>500</v>
      </c>
      <c r="BV180">
        <f t="shared" si="355"/>
        <v>48002</v>
      </c>
      <c r="BW180">
        <v>7000</v>
      </c>
      <c r="BX180">
        <v>0</v>
      </c>
      <c r="BY180">
        <f t="shared" si="356"/>
        <v>200</v>
      </c>
      <c r="BZ180">
        <f t="shared" si="357"/>
        <v>40802</v>
      </c>
      <c r="CA180">
        <v>37700</v>
      </c>
      <c r="CB180">
        <f t="shared" si="358"/>
        <v>5278.0000000000009</v>
      </c>
      <c r="CC180">
        <f t="shared" si="359"/>
        <v>4524</v>
      </c>
      <c r="CD180">
        <v>0</v>
      </c>
      <c r="CE180">
        <v>500</v>
      </c>
      <c r="CF180">
        <f t="shared" si="360"/>
        <v>48002</v>
      </c>
      <c r="CG180">
        <v>7000</v>
      </c>
      <c r="CH180">
        <v>0</v>
      </c>
      <c r="CI180">
        <f t="shared" si="361"/>
        <v>200</v>
      </c>
      <c r="CJ180">
        <f t="shared" si="362"/>
        <v>40802</v>
      </c>
      <c r="CK180">
        <v>37700</v>
      </c>
      <c r="CL180">
        <f t="shared" si="363"/>
        <v>5278.0000000000009</v>
      </c>
      <c r="CM180">
        <f t="shared" si="364"/>
        <v>4524</v>
      </c>
      <c r="CN180">
        <v>0</v>
      </c>
      <c r="CO180">
        <v>500</v>
      </c>
      <c r="CP180">
        <f t="shared" si="365"/>
        <v>48002</v>
      </c>
      <c r="CQ180">
        <v>7000</v>
      </c>
      <c r="CR180">
        <v>0</v>
      </c>
      <c r="CS180">
        <f t="shared" si="366"/>
        <v>200</v>
      </c>
      <c r="CT180">
        <f t="shared" si="367"/>
        <v>40802</v>
      </c>
      <c r="CU180">
        <v>37700</v>
      </c>
      <c r="CV180">
        <f t="shared" si="368"/>
        <v>5278</v>
      </c>
      <c r="CW180">
        <f t="shared" si="369"/>
        <v>4524</v>
      </c>
      <c r="CX180">
        <v>0</v>
      </c>
      <c r="CY180">
        <v>500</v>
      </c>
      <c r="CZ180">
        <f t="shared" si="370"/>
        <v>48002</v>
      </c>
      <c r="DA180">
        <v>7000</v>
      </c>
      <c r="DB180">
        <v>0</v>
      </c>
      <c r="DC180">
        <f t="shared" si="371"/>
        <v>200</v>
      </c>
      <c r="DD180">
        <f t="shared" si="372"/>
        <v>40802</v>
      </c>
      <c r="DE180">
        <v>37700</v>
      </c>
      <c r="DF180">
        <f t="shared" si="373"/>
        <v>5278.0000000000009</v>
      </c>
      <c r="DG180">
        <f t="shared" si="374"/>
        <v>4524</v>
      </c>
      <c r="DH180">
        <v>0</v>
      </c>
      <c r="DI180">
        <v>500</v>
      </c>
      <c r="DJ180">
        <f t="shared" si="375"/>
        <v>48002</v>
      </c>
      <c r="DK180">
        <v>7000</v>
      </c>
      <c r="DL180">
        <v>0</v>
      </c>
      <c r="DM180">
        <f t="shared" si="376"/>
        <v>200</v>
      </c>
      <c r="DN180">
        <f t="shared" si="377"/>
        <v>40802</v>
      </c>
      <c r="DO180">
        <v>37700</v>
      </c>
      <c r="DP180">
        <f t="shared" si="378"/>
        <v>5278.0000000000009</v>
      </c>
      <c r="DQ180">
        <f t="shared" si="379"/>
        <v>4524</v>
      </c>
      <c r="DR180">
        <v>0</v>
      </c>
      <c r="DS180">
        <v>500</v>
      </c>
      <c r="DT180">
        <f t="shared" si="380"/>
        <v>48002</v>
      </c>
      <c r="DU180">
        <v>7000</v>
      </c>
      <c r="DV180">
        <v>0</v>
      </c>
      <c r="DW180">
        <f t="shared" si="381"/>
        <v>200</v>
      </c>
      <c r="DX180">
        <f t="shared" si="382"/>
        <v>40802</v>
      </c>
      <c r="DY180">
        <f t="shared" si="383"/>
        <v>575016</v>
      </c>
      <c r="DZ180">
        <f t="shared" si="315"/>
        <v>2400</v>
      </c>
      <c r="EA180">
        <f t="shared" si="316"/>
        <v>50000</v>
      </c>
      <c r="EB180">
        <v>0</v>
      </c>
      <c r="EC180">
        <f t="shared" si="317"/>
        <v>522616</v>
      </c>
      <c r="ED180">
        <f t="shared" si="318"/>
        <v>84000</v>
      </c>
      <c r="EE180">
        <f t="shared" si="319"/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f t="shared" si="320"/>
        <v>84000</v>
      </c>
      <c r="EQ180">
        <f t="shared" si="384"/>
        <v>84000</v>
      </c>
      <c r="ER180">
        <f t="shared" si="321"/>
        <v>438616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f t="shared" si="385"/>
        <v>0</v>
      </c>
      <c r="FA180">
        <f t="shared" si="386"/>
        <v>438616</v>
      </c>
      <c r="FB180">
        <f t="shared" si="387"/>
        <v>9431</v>
      </c>
      <c r="FC180">
        <f t="shared" si="388"/>
        <v>0</v>
      </c>
      <c r="FD180">
        <f t="shared" si="389"/>
        <v>9431</v>
      </c>
      <c r="FE180">
        <f t="shared" si="390"/>
        <v>0</v>
      </c>
      <c r="FF180">
        <f t="shared" si="391"/>
        <v>0</v>
      </c>
      <c r="FG180">
        <f t="shared" si="392"/>
        <v>0</v>
      </c>
      <c r="FH180">
        <v>0</v>
      </c>
      <c r="FI180">
        <f t="shared" si="393"/>
        <v>0</v>
      </c>
      <c r="FJ180" t="b">
        <f t="shared" si="394"/>
        <v>1</v>
      </c>
      <c r="FK180">
        <f t="shared" ca="1" si="395"/>
        <v>986</v>
      </c>
      <c r="FL180">
        <f t="shared" ca="1" si="396"/>
        <v>576002</v>
      </c>
      <c r="FM180">
        <f t="shared" si="397"/>
        <v>75000</v>
      </c>
      <c r="FN180">
        <f t="shared" ca="1" si="398"/>
        <v>501002</v>
      </c>
      <c r="FO180">
        <f t="shared" ca="1" si="399"/>
        <v>0</v>
      </c>
      <c r="FP180">
        <f t="shared" ca="1" si="400"/>
        <v>0</v>
      </c>
      <c r="FQ180">
        <f t="shared" ca="1" si="401"/>
        <v>0</v>
      </c>
      <c r="FR180">
        <f t="shared" ca="1" si="402"/>
        <v>0</v>
      </c>
      <c r="FS180">
        <f t="shared" ca="1" si="403"/>
        <v>0</v>
      </c>
      <c r="FT180">
        <f t="shared" ca="1" si="404"/>
        <v>0</v>
      </c>
      <c r="FU180">
        <f t="shared" ca="1" si="405"/>
        <v>0</v>
      </c>
      <c r="FV180">
        <f t="shared" ca="1" si="406"/>
        <v>0</v>
      </c>
      <c r="FW180">
        <f t="shared" ca="1" si="407"/>
        <v>201002</v>
      </c>
      <c r="FX180">
        <f t="shared" ca="1" si="408"/>
        <v>10050.1</v>
      </c>
      <c r="FY180">
        <f t="shared" ca="1" si="409"/>
        <v>10050</v>
      </c>
      <c r="FZ180">
        <f t="shared" ca="1" si="410"/>
        <v>0</v>
      </c>
      <c r="GA180">
        <f t="shared" ca="1" si="411"/>
        <v>0</v>
      </c>
      <c r="GB180">
        <f t="shared" ca="1" si="412"/>
        <v>10050</v>
      </c>
      <c r="GC180">
        <f t="shared" ca="1" si="413"/>
        <v>0</v>
      </c>
      <c r="GD180" t="b">
        <f t="shared" ca="1" si="414"/>
        <v>0</v>
      </c>
      <c r="GE180">
        <f t="shared" ca="1" si="415"/>
        <v>0</v>
      </c>
      <c r="GF180">
        <f t="shared" ca="1" si="416"/>
        <v>10050</v>
      </c>
      <c r="GG180">
        <f t="shared" ca="1" si="417"/>
        <v>0</v>
      </c>
      <c r="GH180">
        <f t="shared" ca="1" si="418"/>
        <v>0</v>
      </c>
      <c r="GI180">
        <f t="shared" ca="1" si="419"/>
        <v>0</v>
      </c>
    </row>
    <row r="181" spans="1:191" x14ac:dyDescent="0.25">
      <c r="A181">
        <f>_xlfn.AGGREGATE(3,5,$B$2:B181)</f>
        <v>180</v>
      </c>
      <c r="B181" t="s">
        <v>480</v>
      </c>
      <c r="C181" t="s">
        <v>481</v>
      </c>
      <c r="D181" t="s">
        <v>809</v>
      </c>
      <c r="E181" t="s">
        <v>843</v>
      </c>
      <c r="F181">
        <v>0</v>
      </c>
      <c r="G181">
        <v>6000</v>
      </c>
      <c r="H181">
        <v>24700</v>
      </c>
      <c r="I181">
        <f t="shared" si="322"/>
        <v>2470</v>
      </c>
      <c r="J181">
        <f t="shared" si="323"/>
        <v>2964</v>
      </c>
      <c r="K181">
        <v>0</v>
      </c>
      <c r="L181">
        <v>500</v>
      </c>
      <c r="M181">
        <f t="shared" si="324"/>
        <v>30634</v>
      </c>
      <c r="N181">
        <v>0</v>
      </c>
      <c r="O181">
        <v>0</v>
      </c>
      <c r="P181">
        <f t="shared" si="325"/>
        <v>150</v>
      </c>
      <c r="Q181">
        <f t="shared" si="326"/>
        <v>30484</v>
      </c>
      <c r="R181">
        <v>24700</v>
      </c>
      <c r="S181">
        <f t="shared" si="327"/>
        <v>2470</v>
      </c>
      <c r="T181">
        <f t="shared" si="328"/>
        <v>2964</v>
      </c>
      <c r="U181">
        <v>0</v>
      </c>
      <c r="V181">
        <v>500</v>
      </c>
      <c r="W181">
        <f t="shared" si="329"/>
        <v>30634</v>
      </c>
      <c r="X181">
        <v>0</v>
      </c>
      <c r="Y181">
        <v>0</v>
      </c>
      <c r="Z181">
        <f t="shared" si="330"/>
        <v>150</v>
      </c>
      <c r="AA181">
        <f t="shared" si="331"/>
        <v>30484</v>
      </c>
      <c r="AB181">
        <v>24700</v>
      </c>
      <c r="AC181">
        <f t="shared" si="332"/>
        <v>3458.0000000000005</v>
      </c>
      <c r="AD181">
        <f t="shared" si="333"/>
        <v>2964</v>
      </c>
      <c r="AE181">
        <v>0</v>
      </c>
      <c r="AF181">
        <v>500</v>
      </c>
      <c r="AG181">
        <f t="shared" si="334"/>
        <v>31622</v>
      </c>
      <c r="AH181">
        <v>0</v>
      </c>
      <c r="AI181">
        <v>0</v>
      </c>
      <c r="AJ181">
        <f t="shared" si="335"/>
        <v>150</v>
      </c>
      <c r="AK181">
        <f t="shared" si="336"/>
        <v>31472</v>
      </c>
      <c r="AL181">
        <v>24700</v>
      </c>
      <c r="AM181">
        <f t="shared" si="337"/>
        <v>3458.0000000000005</v>
      </c>
      <c r="AN181">
        <f t="shared" si="338"/>
        <v>2964</v>
      </c>
      <c r="AO181">
        <v>0</v>
      </c>
      <c r="AP181">
        <v>500</v>
      </c>
      <c r="AQ181">
        <f t="shared" si="339"/>
        <v>31622</v>
      </c>
      <c r="AR181">
        <v>0</v>
      </c>
      <c r="AS181">
        <v>0</v>
      </c>
      <c r="AT181">
        <f t="shared" si="340"/>
        <v>150</v>
      </c>
      <c r="AU181">
        <f t="shared" si="341"/>
        <v>31472</v>
      </c>
      <c r="AV181">
        <v>25400</v>
      </c>
      <c r="AW181">
        <f t="shared" si="342"/>
        <v>3556.0000000000005</v>
      </c>
      <c r="AX181">
        <f t="shared" si="343"/>
        <v>988</v>
      </c>
      <c r="AY181">
        <f t="shared" si="344"/>
        <v>3048</v>
      </c>
      <c r="AZ181">
        <v>0</v>
      </c>
      <c r="BA181">
        <v>500</v>
      </c>
      <c r="BB181">
        <f t="shared" si="345"/>
        <v>33492</v>
      </c>
      <c r="BC181">
        <v>2000</v>
      </c>
      <c r="BD181">
        <v>0</v>
      </c>
      <c r="BE181">
        <f t="shared" si="346"/>
        <v>150</v>
      </c>
      <c r="BF181">
        <f t="shared" si="347"/>
        <v>31342</v>
      </c>
      <c r="BG181">
        <v>25400</v>
      </c>
      <c r="BH181">
        <f t="shared" si="348"/>
        <v>3556.0000000000005</v>
      </c>
      <c r="BI181">
        <f t="shared" si="349"/>
        <v>3048</v>
      </c>
      <c r="BJ181">
        <v>0</v>
      </c>
      <c r="BK181">
        <v>500</v>
      </c>
      <c r="BL181">
        <f t="shared" si="350"/>
        <v>32504</v>
      </c>
      <c r="BM181">
        <v>2000</v>
      </c>
      <c r="BN181">
        <v>0</v>
      </c>
      <c r="BO181">
        <f t="shared" si="351"/>
        <v>150</v>
      </c>
      <c r="BP181">
        <f t="shared" si="352"/>
        <v>30354</v>
      </c>
      <c r="BQ181">
        <v>25400</v>
      </c>
      <c r="BR181">
        <f t="shared" si="353"/>
        <v>3556.0000000000005</v>
      </c>
      <c r="BS181">
        <f t="shared" si="354"/>
        <v>3048</v>
      </c>
      <c r="BT181">
        <v>0</v>
      </c>
      <c r="BU181">
        <v>500</v>
      </c>
      <c r="BV181">
        <f t="shared" si="355"/>
        <v>32504</v>
      </c>
      <c r="BW181">
        <v>2000</v>
      </c>
      <c r="BX181">
        <v>0</v>
      </c>
      <c r="BY181">
        <f t="shared" si="356"/>
        <v>150</v>
      </c>
      <c r="BZ181">
        <f t="shared" si="357"/>
        <v>30354</v>
      </c>
      <c r="CA181">
        <v>25400</v>
      </c>
      <c r="CB181">
        <f t="shared" si="358"/>
        <v>3556.0000000000005</v>
      </c>
      <c r="CC181">
        <f t="shared" si="359"/>
        <v>3048</v>
      </c>
      <c r="CD181">
        <v>0</v>
      </c>
      <c r="CE181">
        <v>500</v>
      </c>
      <c r="CF181">
        <f t="shared" si="360"/>
        <v>32504</v>
      </c>
      <c r="CG181">
        <v>2000</v>
      </c>
      <c r="CH181">
        <v>0</v>
      </c>
      <c r="CI181">
        <f t="shared" si="361"/>
        <v>150</v>
      </c>
      <c r="CJ181">
        <f t="shared" si="362"/>
        <v>30354</v>
      </c>
      <c r="CK181">
        <v>25400</v>
      </c>
      <c r="CL181">
        <f t="shared" si="363"/>
        <v>3556.0000000000005</v>
      </c>
      <c r="CM181">
        <f t="shared" si="364"/>
        <v>3048</v>
      </c>
      <c r="CN181">
        <v>0</v>
      </c>
      <c r="CO181">
        <v>500</v>
      </c>
      <c r="CP181">
        <f t="shared" si="365"/>
        <v>32504</v>
      </c>
      <c r="CQ181">
        <v>2000</v>
      </c>
      <c r="CR181">
        <v>0</v>
      </c>
      <c r="CS181">
        <f t="shared" si="366"/>
        <v>150</v>
      </c>
      <c r="CT181">
        <f t="shared" si="367"/>
        <v>30354</v>
      </c>
      <c r="CU181">
        <v>25400</v>
      </c>
      <c r="CV181">
        <f t="shared" si="368"/>
        <v>3556</v>
      </c>
      <c r="CW181">
        <f t="shared" si="369"/>
        <v>3048</v>
      </c>
      <c r="CX181">
        <v>0</v>
      </c>
      <c r="CY181">
        <v>500</v>
      </c>
      <c r="CZ181">
        <f t="shared" si="370"/>
        <v>32504</v>
      </c>
      <c r="DA181">
        <v>2000</v>
      </c>
      <c r="DB181">
        <v>0</v>
      </c>
      <c r="DC181">
        <f t="shared" si="371"/>
        <v>150</v>
      </c>
      <c r="DD181">
        <f t="shared" si="372"/>
        <v>30354</v>
      </c>
      <c r="DE181">
        <v>25400</v>
      </c>
      <c r="DF181">
        <f t="shared" si="373"/>
        <v>3556.0000000000005</v>
      </c>
      <c r="DG181">
        <f t="shared" si="374"/>
        <v>3048</v>
      </c>
      <c r="DH181">
        <v>0</v>
      </c>
      <c r="DI181">
        <v>500</v>
      </c>
      <c r="DJ181">
        <f t="shared" si="375"/>
        <v>32504</v>
      </c>
      <c r="DK181">
        <v>2000</v>
      </c>
      <c r="DL181">
        <v>0</v>
      </c>
      <c r="DM181">
        <f t="shared" si="376"/>
        <v>150</v>
      </c>
      <c r="DN181">
        <f t="shared" si="377"/>
        <v>30354</v>
      </c>
      <c r="DO181">
        <v>25400</v>
      </c>
      <c r="DP181">
        <f t="shared" si="378"/>
        <v>3556.0000000000005</v>
      </c>
      <c r="DQ181">
        <f t="shared" si="379"/>
        <v>3048</v>
      </c>
      <c r="DR181">
        <v>0</v>
      </c>
      <c r="DS181">
        <v>500</v>
      </c>
      <c r="DT181">
        <f t="shared" si="380"/>
        <v>32504</v>
      </c>
      <c r="DU181">
        <v>2000</v>
      </c>
      <c r="DV181">
        <v>0</v>
      </c>
      <c r="DW181">
        <f t="shared" si="381"/>
        <v>150</v>
      </c>
      <c r="DX181">
        <f t="shared" si="382"/>
        <v>30354</v>
      </c>
      <c r="DY181">
        <f t="shared" si="383"/>
        <v>391532</v>
      </c>
      <c r="DZ181">
        <f t="shared" si="315"/>
        <v>1800</v>
      </c>
      <c r="EA181">
        <f t="shared" si="316"/>
        <v>50000</v>
      </c>
      <c r="EB181">
        <v>0</v>
      </c>
      <c r="EC181">
        <f t="shared" si="317"/>
        <v>339732</v>
      </c>
      <c r="ED181">
        <f t="shared" si="318"/>
        <v>16000</v>
      </c>
      <c r="EE181">
        <f t="shared" si="319"/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f t="shared" si="320"/>
        <v>16000</v>
      </c>
      <c r="EQ181">
        <f t="shared" si="384"/>
        <v>16000</v>
      </c>
      <c r="ER181">
        <f t="shared" si="321"/>
        <v>323732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f t="shared" si="385"/>
        <v>0</v>
      </c>
      <c r="FA181">
        <f t="shared" si="386"/>
        <v>323732</v>
      </c>
      <c r="FB181">
        <f t="shared" si="387"/>
        <v>3687</v>
      </c>
      <c r="FC181">
        <f t="shared" si="388"/>
        <v>0</v>
      </c>
      <c r="FD181">
        <f t="shared" si="389"/>
        <v>3687</v>
      </c>
      <c r="FE181">
        <f t="shared" si="390"/>
        <v>0</v>
      </c>
      <c r="FF181">
        <f t="shared" si="391"/>
        <v>0</v>
      </c>
      <c r="FG181">
        <f t="shared" si="392"/>
        <v>0</v>
      </c>
      <c r="FH181">
        <v>0</v>
      </c>
      <c r="FI181">
        <f t="shared" si="393"/>
        <v>0</v>
      </c>
      <c r="FJ181" t="b">
        <f t="shared" si="394"/>
        <v>0</v>
      </c>
      <c r="FK181">
        <f t="shared" ca="1" si="395"/>
        <v>1120</v>
      </c>
      <c r="FL181">
        <f t="shared" ca="1" si="396"/>
        <v>392652</v>
      </c>
      <c r="FM181">
        <f t="shared" si="397"/>
        <v>75000</v>
      </c>
      <c r="FN181">
        <f t="shared" ca="1" si="398"/>
        <v>317652</v>
      </c>
      <c r="FO181">
        <f t="shared" ca="1" si="399"/>
        <v>0</v>
      </c>
      <c r="FP181">
        <f t="shared" ca="1" si="400"/>
        <v>0</v>
      </c>
      <c r="FQ181">
        <f t="shared" ca="1" si="401"/>
        <v>0</v>
      </c>
      <c r="FR181">
        <f t="shared" ca="1" si="402"/>
        <v>0</v>
      </c>
      <c r="FS181">
        <f t="shared" ca="1" si="403"/>
        <v>0</v>
      </c>
      <c r="FT181">
        <f t="shared" ca="1" si="404"/>
        <v>0</v>
      </c>
      <c r="FU181">
        <f t="shared" ca="1" si="405"/>
        <v>0</v>
      </c>
      <c r="FV181">
        <f t="shared" ca="1" si="406"/>
        <v>0</v>
      </c>
      <c r="FW181">
        <f t="shared" ca="1" si="407"/>
        <v>17652</v>
      </c>
      <c r="FX181">
        <f t="shared" ca="1" si="408"/>
        <v>882.6</v>
      </c>
      <c r="FY181">
        <f t="shared" ca="1" si="409"/>
        <v>883</v>
      </c>
      <c r="FZ181">
        <f t="shared" ca="1" si="410"/>
        <v>0</v>
      </c>
      <c r="GA181">
        <f t="shared" ca="1" si="411"/>
        <v>0</v>
      </c>
      <c r="GB181">
        <f t="shared" ca="1" si="412"/>
        <v>883</v>
      </c>
      <c r="GC181">
        <f t="shared" ca="1" si="413"/>
        <v>0</v>
      </c>
      <c r="GD181" t="b">
        <f t="shared" ca="1" si="414"/>
        <v>0</v>
      </c>
      <c r="GE181">
        <f t="shared" ca="1" si="415"/>
        <v>0</v>
      </c>
      <c r="GF181">
        <f t="shared" ca="1" si="416"/>
        <v>883</v>
      </c>
      <c r="GG181">
        <f t="shared" ca="1" si="417"/>
        <v>0</v>
      </c>
      <c r="GH181">
        <f t="shared" ca="1" si="418"/>
        <v>0</v>
      </c>
      <c r="GI181">
        <f t="shared" ca="1" si="419"/>
        <v>0</v>
      </c>
    </row>
    <row r="182" spans="1:191" x14ac:dyDescent="0.25">
      <c r="A182">
        <f>_xlfn.AGGREGATE(3,5,$B$2:B182)</f>
        <v>181</v>
      </c>
      <c r="B182" t="s">
        <v>482</v>
      </c>
      <c r="C182" t="s">
        <v>483</v>
      </c>
      <c r="D182" t="s">
        <v>809</v>
      </c>
      <c r="E182" t="s">
        <v>843</v>
      </c>
      <c r="F182">
        <v>0</v>
      </c>
      <c r="G182">
        <v>0</v>
      </c>
      <c r="H182">
        <v>0</v>
      </c>
      <c r="I182">
        <f t="shared" si="322"/>
        <v>0</v>
      </c>
      <c r="J182">
        <f t="shared" si="323"/>
        <v>0</v>
      </c>
      <c r="K182">
        <v>0</v>
      </c>
      <c r="L182">
        <v>0</v>
      </c>
      <c r="M182">
        <f t="shared" si="324"/>
        <v>0</v>
      </c>
      <c r="N182">
        <v>0</v>
      </c>
      <c r="O182">
        <v>0</v>
      </c>
      <c r="P182">
        <f t="shared" si="325"/>
        <v>0</v>
      </c>
      <c r="Q182">
        <f t="shared" si="326"/>
        <v>0</v>
      </c>
      <c r="R182">
        <v>28900</v>
      </c>
      <c r="S182">
        <f t="shared" si="327"/>
        <v>2890</v>
      </c>
      <c r="T182">
        <f t="shared" si="328"/>
        <v>3468</v>
      </c>
      <c r="U182">
        <v>0</v>
      </c>
      <c r="V182">
        <v>500</v>
      </c>
      <c r="W182">
        <f t="shared" si="329"/>
        <v>35758</v>
      </c>
      <c r="X182">
        <v>0</v>
      </c>
      <c r="Y182">
        <v>0</v>
      </c>
      <c r="Z182">
        <f t="shared" si="330"/>
        <v>150</v>
      </c>
      <c r="AA182">
        <f t="shared" si="331"/>
        <v>35608</v>
      </c>
      <c r="AB182">
        <v>28900</v>
      </c>
      <c r="AC182">
        <f t="shared" si="332"/>
        <v>4046.0000000000005</v>
      </c>
      <c r="AD182">
        <f t="shared" si="333"/>
        <v>3468</v>
      </c>
      <c r="AE182">
        <v>0</v>
      </c>
      <c r="AF182">
        <v>500</v>
      </c>
      <c r="AG182">
        <f t="shared" si="334"/>
        <v>36914</v>
      </c>
      <c r="AH182">
        <v>0</v>
      </c>
      <c r="AI182">
        <v>0</v>
      </c>
      <c r="AJ182">
        <f t="shared" si="335"/>
        <v>150</v>
      </c>
      <c r="AK182">
        <f t="shared" si="336"/>
        <v>36764</v>
      </c>
      <c r="AL182">
        <v>28900</v>
      </c>
      <c r="AM182">
        <f t="shared" si="337"/>
        <v>4046.0000000000005</v>
      </c>
      <c r="AN182">
        <f t="shared" si="338"/>
        <v>3468</v>
      </c>
      <c r="AO182">
        <v>0</v>
      </c>
      <c r="AP182">
        <v>500</v>
      </c>
      <c r="AQ182">
        <f t="shared" si="339"/>
        <v>36914</v>
      </c>
      <c r="AR182">
        <v>0</v>
      </c>
      <c r="AS182">
        <v>0</v>
      </c>
      <c r="AT182">
        <f t="shared" si="340"/>
        <v>150</v>
      </c>
      <c r="AU182">
        <f t="shared" si="341"/>
        <v>36764</v>
      </c>
      <c r="AV182">
        <v>28900</v>
      </c>
      <c r="AW182">
        <f t="shared" si="342"/>
        <v>4046.0000000000005</v>
      </c>
      <c r="AX182">
        <f t="shared" si="343"/>
        <v>1156</v>
      </c>
      <c r="AY182">
        <f t="shared" si="344"/>
        <v>3468</v>
      </c>
      <c r="AZ182">
        <v>0</v>
      </c>
      <c r="BA182">
        <v>500</v>
      </c>
      <c r="BB182">
        <f t="shared" si="345"/>
        <v>38070</v>
      </c>
      <c r="BC182">
        <v>0</v>
      </c>
      <c r="BD182">
        <v>0</v>
      </c>
      <c r="BE182">
        <f t="shared" si="346"/>
        <v>150</v>
      </c>
      <c r="BF182">
        <f t="shared" si="347"/>
        <v>37920</v>
      </c>
      <c r="BG182">
        <v>28900</v>
      </c>
      <c r="BH182">
        <f t="shared" si="348"/>
        <v>4046.0000000000005</v>
      </c>
      <c r="BI182">
        <f t="shared" si="349"/>
        <v>3468</v>
      </c>
      <c r="BJ182">
        <v>0</v>
      </c>
      <c r="BK182">
        <v>500</v>
      </c>
      <c r="BL182">
        <f t="shared" si="350"/>
        <v>36914</v>
      </c>
      <c r="BM182">
        <v>0</v>
      </c>
      <c r="BN182">
        <v>0</v>
      </c>
      <c r="BO182">
        <f t="shared" si="351"/>
        <v>150</v>
      </c>
      <c r="BP182">
        <f t="shared" si="352"/>
        <v>36764</v>
      </c>
      <c r="BQ182">
        <v>28900</v>
      </c>
      <c r="BR182">
        <f t="shared" si="353"/>
        <v>4046.0000000000005</v>
      </c>
      <c r="BS182">
        <f t="shared" si="354"/>
        <v>3468</v>
      </c>
      <c r="BT182">
        <v>0</v>
      </c>
      <c r="BU182">
        <v>500</v>
      </c>
      <c r="BV182">
        <f t="shared" si="355"/>
        <v>36914</v>
      </c>
      <c r="BW182">
        <v>0</v>
      </c>
      <c r="BX182">
        <v>0</v>
      </c>
      <c r="BY182">
        <f t="shared" si="356"/>
        <v>150</v>
      </c>
      <c r="BZ182">
        <f t="shared" si="357"/>
        <v>36764</v>
      </c>
      <c r="CA182">
        <v>28900</v>
      </c>
      <c r="CB182">
        <f t="shared" si="358"/>
        <v>4046.0000000000005</v>
      </c>
      <c r="CC182">
        <f t="shared" si="359"/>
        <v>3468</v>
      </c>
      <c r="CD182">
        <v>0</v>
      </c>
      <c r="CE182">
        <v>500</v>
      </c>
      <c r="CF182">
        <f t="shared" si="360"/>
        <v>36914</v>
      </c>
      <c r="CG182">
        <v>0</v>
      </c>
      <c r="CH182">
        <v>0</v>
      </c>
      <c r="CI182">
        <f t="shared" si="361"/>
        <v>150</v>
      </c>
      <c r="CJ182">
        <f t="shared" si="362"/>
        <v>36764</v>
      </c>
      <c r="CK182">
        <v>28900</v>
      </c>
      <c r="CL182">
        <f t="shared" si="363"/>
        <v>4046.0000000000005</v>
      </c>
      <c r="CM182">
        <f t="shared" si="364"/>
        <v>3468</v>
      </c>
      <c r="CN182">
        <v>0</v>
      </c>
      <c r="CO182">
        <v>500</v>
      </c>
      <c r="CP182">
        <f t="shared" si="365"/>
        <v>36914</v>
      </c>
      <c r="CQ182">
        <v>0</v>
      </c>
      <c r="CR182">
        <v>0</v>
      </c>
      <c r="CS182">
        <f t="shared" si="366"/>
        <v>150</v>
      </c>
      <c r="CT182">
        <f t="shared" si="367"/>
        <v>36764</v>
      </c>
      <c r="CU182">
        <v>28900</v>
      </c>
      <c r="CV182">
        <f t="shared" si="368"/>
        <v>4046</v>
      </c>
      <c r="CW182">
        <f t="shared" si="369"/>
        <v>3468</v>
      </c>
      <c r="CX182">
        <v>0</v>
      </c>
      <c r="CY182">
        <v>500</v>
      </c>
      <c r="CZ182">
        <f t="shared" si="370"/>
        <v>36914</v>
      </c>
      <c r="DA182">
        <v>0</v>
      </c>
      <c r="DB182">
        <v>0</v>
      </c>
      <c r="DC182">
        <f t="shared" si="371"/>
        <v>150</v>
      </c>
      <c r="DD182">
        <f t="shared" si="372"/>
        <v>36764</v>
      </c>
      <c r="DE182">
        <v>28900</v>
      </c>
      <c r="DF182">
        <f t="shared" si="373"/>
        <v>4046.0000000000005</v>
      </c>
      <c r="DG182">
        <f t="shared" si="374"/>
        <v>3468</v>
      </c>
      <c r="DH182">
        <v>0</v>
      </c>
      <c r="DI182">
        <v>500</v>
      </c>
      <c r="DJ182">
        <f t="shared" si="375"/>
        <v>36914</v>
      </c>
      <c r="DK182">
        <v>0</v>
      </c>
      <c r="DL182">
        <v>0</v>
      </c>
      <c r="DM182">
        <f t="shared" si="376"/>
        <v>150</v>
      </c>
      <c r="DN182">
        <f t="shared" si="377"/>
        <v>36764</v>
      </c>
      <c r="DO182">
        <v>28900</v>
      </c>
      <c r="DP182">
        <f t="shared" si="378"/>
        <v>4046.0000000000005</v>
      </c>
      <c r="DQ182">
        <f t="shared" si="379"/>
        <v>3468</v>
      </c>
      <c r="DR182">
        <v>0</v>
      </c>
      <c r="DS182">
        <v>500</v>
      </c>
      <c r="DT182">
        <f t="shared" si="380"/>
        <v>36914</v>
      </c>
      <c r="DU182">
        <v>2000</v>
      </c>
      <c r="DV182">
        <v>0</v>
      </c>
      <c r="DW182">
        <f t="shared" si="381"/>
        <v>150</v>
      </c>
      <c r="DX182">
        <f t="shared" si="382"/>
        <v>34764</v>
      </c>
      <c r="DY182">
        <f t="shared" si="383"/>
        <v>406054</v>
      </c>
      <c r="DZ182">
        <f t="shared" si="315"/>
        <v>1650</v>
      </c>
      <c r="EA182">
        <f t="shared" si="316"/>
        <v>50000</v>
      </c>
      <c r="EB182">
        <v>0</v>
      </c>
      <c r="EC182">
        <f t="shared" si="317"/>
        <v>354404</v>
      </c>
      <c r="ED182">
        <f t="shared" si="318"/>
        <v>2000</v>
      </c>
      <c r="EE182">
        <f t="shared" si="319"/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f t="shared" si="320"/>
        <v>2000</v>
      </c>
      <c r="EQ182">
        <f t="shared" si="384"/>
        <v>2000</v>
      </c>
      <c r="ER182">
        <f t="shared" si="321"/>
        <v>352404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f t="shared" si="385"/>
        <v>0</v>
      </c>
      <c r="FA182">
        <f t="shared" si="386"/>
        <v>352404</v>
      </c>
      <c r="FB182">
        <f t="shared" si="387"/>
        <v>5120</v>
      </c>
      <c r="FC182">
        <f t="shared" si="388"/>
        <v>0</v>
      </c>
      <c r="FD182">
        <f t="shared" si="389"/>
        <v>5120</v>
      </c>
      <c r="FE182">
        <f t="shared" si="390"/>
        <v>0</v>
      </c>
      <c r="FF182">
        <f t="shared" si="391"/>
        <v>0</v>
      </c>
      <c r="FG182">
        <f t="shared" si="392"/>
        <v>0</v>
      </c>
      <c r="FH182">
        <v>0</v>
      </c>
      <c r="FI182">
        <f t="shared" si="393"/>
        <v>0</v>
      </c>
      <c r="FJ182" t="b">
        <f t="shared" si="394"/>
        <v>0</v>
      </c>
      <c r="FK182">
        <f t="shared" ca="1" si="395"/>
        <v>2316</v>
      </c>
      <c r="FL182">
        <f t="shared" ca="1" si="396"/>
        <v>408370</v>
      </c>
      <c r="FM182">
        <f t="shared" si="397"/>
        <v>75000</v>
      </c>
      <c r="FN182">
        <f t="shared" ca="1" si="398"/>
        <v>333370</v>
      </c>
      <c r="FO182">
        <f t="shared" ca="1" si="399"/>
        <v>0</v>
      </c>
      <c r="FP182">
        <f t="shared" ca="1" si="400"/>
        <v>0</v>
      </c>
      <c r="FQ182">
        <f t="shared" ca="1" si="401"/>
        <v>0</v>
      </c>
      <c r="FR182">
        <f t="shared" ca="1" si="402"/>
        <v>0</v>
      </c>
      <c r="FS182">
        <f t="shared" ca="1" si="403"/>
        <v>0</v>
      </c>
      <c r="FT182">
        <f t="shared" ca="1" si="404"/>
        <v>0</v>
      </c>
      <c r="FU182">
        <f t="shared" ca="1" si="405"/>
        <v>0</v>
      </c>
      <c r="FV182">
        <f t="shared" ca="1" si="406"/>
        <v>0</v>
      </c>
      <c r="FW182">
        <f t="shared" ca="1" si="407"/>
        <v>33370</v>
      </c>
      <c r="FX182">
        <f t="shared" ca="1" si="408"/>
        <v>1668.5</v>
      </c>
      <c r="FY182">
        <f t="shared" ca="1" si="409"/>
        <v>1669</v>
      </c>
      <c r="FZ182">
        <f t="shared" ca="1" si="410"/>
        <v>0</v>
      </c>
      <c r="GA182">
        <f t="shared" ca="1" si="411"/>
        <v>0</v>
      </c>
      <c r="GB182">
        <f t="shared" ca="1" si="412"/>
        <v>1669</v>
      </c>
      <c r="GC182">
        <f t="shared" ca="1" si="413"/>
        <v>0</v>
      </c>
      <c r="GD182" t="b">
        <f t="shared" ca="1" si="414"/>
        <v>0</v>
      </c>
      <c r="GE182">
        <f t="shared" ca="1" si="415"/>
        <v>0</v>
      </c>
      <c r="GF182">
        <f t="shared" ca="1" si="416"/>
        <v>1669</v>
      </c>
      <c r="GG182">
        <f t="shared" ca="1" si="417"/>
        <v>0</v>
      </c>
      <c r="GH182">
        <f t="shared" ca="1" si="418"/>
        <v>0</v>
      </c>
      <c r="GI182">
        <f t="shared" ca="1" si="419"/>
        <v>0</v>
      </c>
    </row>
    <row r="183" spans="1:191" x14ac:dyDescent="0.25">
      <c r="A183">
        <f>_xlfn.AGGREGATE(3,5,$B$2:B183)</f>
        <v>182</v>
      </c>
      <c r="B183" t="s">
        <v>484</v>
      </c>
      <c r="C183" t="s">
        <v>485</v>
      </c>
      <c r="D183" t="s">
        <v>810</v>
      </c>
      <c r="E183" t="s">
        <v>843</v>
      </c>
      <c r="F183">
        <v>0</v>
      </c>
      <c r="G183">
        <v>0</v>
      </c>
      <c r="H183">
        <v>50200</v>
      </c>
      <c r="I183">
        <f t="shared" si="322"/>
        <v>5020</v>
      </c>
      <c r="J183">
        <f t="shared" si="323"/>
        <v>6024</v>
      </c>
      <c r="K183">
        <v>400</v>
      </c>
      <c r="L183">
        <v>500</v>
      </c>
      <c r="M183">
        <f t="shared" si="324"/>
        <v>62144</v>
      </c>
      <c r="N183">
        <v>3500</v>
      </c>
      <c r="O183">
        <v>0</v>
      </c>
      <c r="P183">
        <f t="shared" si="325"/>
        <v>200</v>
      </c>
      <c r="Q183">
        <f t="shared" si="326"/>
        <v>58444</v>
      </c>
      <c r="R183">
        <v>50200</v>
      </c>
      <c r="S183">
        <f t="shared" si="327"/>
        <v>5020</v>
      </c>
      <c r="T183">
        <f t="shared" si="328"/>
        <v>6024</v>
      </c>
      <c r="U183">
        <v>400</v>
      </c>
      <c r="V183">
        <v>500</v>
      </c>
      <c r="W183">
        <f t="shared" si="329"/>
        <v>62144</v>
      </c>
      <c r="X183">
        <v>3500</v>
      </c>
      <c r="Y183">
        <v>0</v>
      </c>
      <c r="Z183">
        <f t="shared" si="330"/>
        <v>200</v>
      </c>
      <c r="AA183">
        <f t="shared" si="331"/>
        <v>58444</v>
      </c>
      <c r="AB183">
        <v>50200</v>
      </c>
      <c r="AC183">
        <f t="shared" si="332"/>
        <v>7028.0000000000009</v>
      </c>
      <c r="AD183">
        <f t="shared" si="333"/>
        <v>6024</v>
      </c>
      <c r="AE183">
        <v>400</v>
      </c>
      <c r="AF183">
        <v>500</v>
      </c>
      <c r="AG183">
        <f t="shared" si="334"/>
        <v>64152</v>
      </c>
      <c r="AH183">
        <v>3500</v>
      </c>
      <c r="AI183">
        <v>0</v>
      </c>
      <c r="AJ183">
        <f t="shared" si="335"/>
        <v>200</v>
      </c>
      <c r="AK183">
        <f t="shared" si="336"/>
        <v>60452</v>
      </c>
      <c r="AL183">
        <v>50200</v>
      </c>
      <c r="AM183">
        <f t="shared" si="337"/>
        <v>7028.0000000000009</v>
      </c>
      <c r="AN183">
        <f t="shared" si="338"/>
        <v>6024</v>
      </c>
      <c r="AO183">
        <v>400</v>
      </c>
      <c r="AP183">
        <v>500</v>
      </c>
      <c r="AQ183">
        <f t="shared" si="339"/>
        <v>64152</v>
      </c>
      <c r="AR183">
        <v>3500</v>
      </c>
      <c r="AS183">
        <v>0</v>
      </c>
      <c r="AT183">
        <f t="shared" si="340"/>
        <v>200</v>
      </c>
      <c r="AU183">
        <f t="shared" si="341"/>
        <v>60452</v>
      </c>
      <c r="AV183">
        <v>51700</v>
      </c>
      <c r="AW183">
        <f t="shared" si="342"/>
        <v>7238.0000000000009</v>
      </c>
      <c r="AX183">
        <f t="shared" si="343"/>
        <v>2008</v>
      </c>
      <c r="AY183">
        <f t="shared" si="344"/>
        <v>6204</v>
      </c>
      <c r="AZ183">
        <v>400</v>
      </c>
      <c r="BA183">
        <v>500</v>
      </c>
      <c r="BB183">
        <f t="shared" si="345"/>
        <v>68050</v>
      </c>
      <c r="BC183">
        <v>3500</v>
      </c>
      <c r="BD183">
        <v>0</v>
      </c>
      <c r="BE183">
        <f t="shared" si="346"/>
        <v>200</v>
      </c>
      <c r="BF183">
        <f t="shared" si="347"/>
        <v>64350</v>
      </c>
      <c r="BG183">
        <v>51700</v>
      </c>
      <c r="BH183">
        <f t="shared" si="348"/>
        <v>7238.0000000000009</v>
      </c>
      <c r="BI183">
        <f t="shared" si="349"/>
        <v>6204</v>
      </c>
      <c r="BJ183">
        <v>400</v>
      </c>
      <c r="BK183">
        <v>500</v>
      </c>
      <c r="BL183">
        <f t="shared" si="350"/>
        <v>66042</v>
      </c>
      <c r="BM183">
        <v>3500</v>
      </c>
      <c r="BN183">
        <v>0</v>
      </c>
      <c r="BO183">
        <f t="shared" si="351"/>
        <v>200</v>
      </c>
      <c r="BP183">
        <f t="shared" si="352"/>
        <v>62342</v>
      </c>
      <c r="BQ183">
        <v>51700</v>
      </c>
      <c r="BR183">
        <f t="shared" si="353"/>
        <v>7238.0000000000009</v>
      </c>
      <c r="BS183">
        <f t="shared" si="354"/>
        <v>6204</v>
      </c>
      <c r="BT183">
        <v>400</v>
      </c>
      <c r="BU183">
        <v>500</v>
      </c>
      <c r="BV183">
        <f t="shared" si="355"/>
        <v>66042</v>
      </c>
      <c r="BW183">
        <v>3500</v>
      </c>
      <c r="BX183">
        <v>0</v>
      </c>
      <c r="BY183">
        <f t="shared" si="356"/>
        <v>200</v>
      </c>
      <c r="BZ183">
        <f t="shared" si="357"/>
        <v>62342</v>
      </c>
      <c r="CA183">
        <v>51700</v>
      </c>
      <c r="CB183">
        <f t="shared" si="358"/>
        <v>7238.0000000000009</v>
      </c>
      <c r="CC183">
        <f t="shared" si="359"/>
        <v>6204</v>
      </c>
      <c r="CD183">
        <v>400</v>
      </c>
      <c r="CE183">
        <v>500</v>
      </c>
      <c r="CF183">
        <f t="shared" si="360"/>
        <v>66042</v>
      </c>
      <c r="CG183">
        <v>3500</v>
      </c>
      <c r="CH183">
        <v>0</v>
      </c>
      <c r="CI183">
        <f t="shared" si="361"/>
        <v>200</v>
      </c>
      <c r="CJ183">
        <f t="shared" si="362"/>
        <v>62342</v>
      </c>
      <c r="CK183">
        <v>51700</v>
      </c>
      <c r="CL183">
        <f t="shared" si="363"/>
        <v>7238.0000000000009</v>
      </c>
      <c r="CM183">
        <f t="shared" si="364"/>
        <v>6204</v>
      </c>
      <c r="CN183">
        <v>400</v>
      </c>
      <c r="CO183">
        <v>500</v>
      </c>
      <c r="CP183">
        <f t="shared" si="365"/>
        <v>66042</v>
      </c>
      <c r="CQ183">
        <v>3500</v>
      </c>
      <c r="CR183">
        <v>0</v>
      </c>
      <c r="CS183">
        <f t="shared" si="366"/>
        <v>200</v>
      </c>
      <c r="CT183">
        <f t="shared" si="367"/>
        <v>62342</v>
      </c>
      <c r="CU183">
        <v>51700</v>
      </c>
      <c r="CV183">
        <f t="shared" si="368"/>
        <v>7238</v>
      </c>
      <c r="CW183">
        <f t="shared" si="369"/>
        <v>6204</v>
      </c>
      <c r="CX183">
        <v>400</v>
      </c>
      <c r="CY183">
        <v>500</v>
      </c>
      <c r="CZ183">
        <f t="shared" si="370"/>
        <v>66042</v>
      </c>
      <c r="DA183">
        <v>3500</v>
      </c>
      <c r="DB183">
        <v>0</v>
      </c>
      <c r="DC183">
        <f t="shared" si="371"/>
        <v>200</v>
      </c>
      <c r="DD183">
        <f t="shared" si="372"/>
        <v>62342</v>
      </c>
      <c r="DE183">
        <v>51700</v>
      </c>
      <c r="DF183">
        <f t="shared" si="373"/>
        <v>7238.0000000000009</v>
      </c>
      <c r="DG183">
        <f t="shared" si="374"/>
        <v>6204</v>
      </c>
      <c r="DH183">
        <v>400</v>
      </c>
      <c r="DI183">
        <v>500</v>
      </c>
      <c r="DJ183">
        <f t="shared" si="375"/>
        <v>66042</v>
      </c>
      <c r="DK183">
        <v>3500</v>
      </c>
      <c r="DL183">
        <v>0</v>
      </c>
      <c r="DM183">
        <f t="shared" si="376"/>
        <v>200</v>
      </c>
      <c r="DN183">
        <f t="shared" si="377"/>
        <v>62342</v>
      </c>
      <c r="DO183">
        <v>51700</v>
      </c>
      <c r="DP183">
        <f t="shared" si="378"/>
        <v>7238.0000000000009</v>
      </c>
      <c r="DQ183">
        <f t="shared" si="379"/>
        <v>6204</v>
      </c>
      <c r="DR183">
        <v>400</v>
      </c>
      <c r="DS183">
        <v>500</v>
      </c>
      <c r="DT183">
        <f t="shared" si="380"/>
        <v>66042</v>
      </c>
      <c r="DU183">
        <v>3500</v>
      </c>
      <c r="DV183">
        <v>0</v>
      </c>
      <c r="DW183">
        <f t="shared" si="381"/>
        <v>200</v>
      </c>
      <c r="DX183">
        <f t="shared" si="382"/>
        <v>62342</v>
      </c>
      <c r="DY183">
        <f t="shared" si="383"/>
        <v>782936</v>
      </c>
      <c r="DZ183">
        <f t="shared" si="315"/>
        <v>2400</v>
      </c>
      <c r="EA183">
        <f t="shared" si="316"/>
        <v>50000</v>
      </c>
      <c r="EB183">
        <v>0</v>
      </c>
      <c r="EC183">
        <f t="shared" si="317"/>
        <v>730536</v>
      </c>
      <c r="ED183">
        <f t="shared" si="318"/>
        <v>42000</v>
      </c>
      <c r="EE183">
        <f t="shared" si="319"/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f t="shared" si="320"/>
        <v>42000</v>
      </c>
      <c r="EQ183">
        <f t="shared" si="384"/>
        <v>42000</v>
      </c>
      <c r="ER183">
        <f t="shared" si="321"/>
        <v>688536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f t="shared" si="385"/>
        <v>0</v>
      </c>
      <c r="FA183">
        <f t="shared" si="386"/>
        <v>688536</v>
      </c>
      <c r="FB183">
        <f t="shared" si="387"/>
        <v>12500</v>
      </c>
      <c r="FC183">
        <f t="shared" si="388"/>
        <v>37707</v>
      </c>
      <c r="FD183">
        <f t="shared" si="389"/>
        <v>50207</v>
      </c>
      <c r="FE183">
        <f t="shared" si="390"/>
        <v>50207</v>
      </c>
      <c r="FF183">
        <f t="shared" si="391"/>
        <v>2008.28</v>
      </c>
      <c r="FG183">
        <f t="shared" si="392"/>
        <v>52215</v>
      </c>
      <c r="FH183">
        <v>0</v>
      </c>
      <c r="FI183">
        <f t="shared" si="393"/>
        <v>52215</v>
      </c>
      <c r="FJ183" t="b">
        <f t="shared" si="394"/>
        <v>1</v>
      </c>
      <c r="FK183">
        <f t="shared" ca="1" si="395"/>
        <v>527</v>
      </c>
      <c r="FL183">
        <f t="shared" ca="1" si="396"/>
        <v>783463</v>
      </c>
      <c r="FM183">
        <f t="shared" si="397"/>
        <v>75000</v>
      </c>
      <c r="FN183">
        <f t="shared" ca="1" si="398"/>
        <v>708463</v>
      </c>
      <c r="FO183">
        <f t="shared" ca="1" si="399"/>
        <v>0</v>
      </c>
      <c r="FP183">
        <f t="shared" ca="1" si="400"/>
        <v>0</v>
      </c>
      <c r="FQ183">
        <f t="shared" ca="1" si="401"/>
        <v>0</v>
      </c>
      <c r="FR183">
        <f t="shared" ca="1" si="402"/>
        <v>0</v>
      </c>
      <c r="FS183">
        <f t="shared" ca="1" si="403"/>
        <v>0</v>
      </c>
      <c r="FT183">
        <f t="shared" ca="1" si="404"/>
        <v>0</v>
      </c>
      <c r="FU183">
        <f t="shared" ca="1" si="405"/>
        <v>8463</v>
      </c>
      <c r="FV183">
        <f t="shared" ca="1" si="406"/>
        <v>846.30000000000007</v>
      </c>
      <c r="FW183">
        <f t="shared" ca="1" si="407"/>
        <v>400000</v>
      </c>
      <c r="FX183">
        <f t="shared" ca="1" si="408"/>
        <v>20000</v>
      </c>
      <c r="FY183">
        <f t="shared" ca="1" si="409"/>
        <v>20846</v>
      </c>
      <c r="FZ183">
        <f t="shared" ca="1" si="410"/>
        <v>708463</v>
      </c>
      <c r="GA183">
        <f t="shared" ca="1" si="411"/>
        <v>8463</v>
      </c>
      <c r="GB183">
        <f t="shared" ca="1" si="412"/>
        <v>0</v>
      </c>
      <c r="GC183">
        <f t="shared" ca="1" si="413"/>
        <v>12383</v>
      </c>
      <c r="GD183" t="b">
        <f t="shared" ca="1" si="414"/>
        <v>1</v>
      </c>
      <c r="GE183">
        <f t="shared" ca="1" si="415"/>
        <v>12383</v>
      </c>
      <c r="GF183">
        <f t="shared" ca="1" si="416"/>
        <v>12383</v>
      </c>
      <c r="GG183">
        <f t="shared" ca="1" si="417"/>
        <v>8463</v>
      </c>
      <c r="GH183">
        <f t="shared" ca="1" si="418"/>
        <v>338.52</v>
      </c>
      <c r="GI183">
        <f t="shared" ca="1" si="419"/>
        <v>8802</v>
      </c>
    </row>
    <row r="184" spans="1:191" x14ac:dyDescent="0.25">
      <c r="A184">
        <f>_xlfn.AGGREGATE(3,5,$B$2:B184)</f>
        <v>183</v>
      </c>
      <c r="B184" t="s">
        <v>486</v>
      </c>
      <c r="C184" t="s">
        <v>487</v>
      </c>
      <c r="D184" t="s">
        <v>810</v>
      </c>
      <c r="E184" t="s">
        <v>843</v>
      </c>
      <c r="F184">
        <v>0</v>
      </c>
      <c r="G184">
        <v>0</v>
      </c>
      <c r="H184">
        <v>45900</v>
      </c>
      <c r="I184">
        <f t="shared" si="322"/>
        <v>4590</v>
      </c>
      <c r="J184">
        <f t="shared" si="323"/>
        <v>5508</v>
      </c>
      <c r="K184">
        <v>0</v>
      </c>
      <c r="L184">
        <v>0</v>
      </c>
      <c r="M184">
        <f t="shared" si="324"/>
        <v>55998</v>
      </c>
      <c r="N184">
        <v>3000</v>
      </c>
      <c r="O184">
        <v>0</v>
      </c>
      <c r="P184">
        <f t="shared" si="325"/>
        <v>200</v>
      </c>
      <c r="Q184">
        <f t="shared" si="326"/>
        <v>52798</v>
      </c>
      <c r="R184">
        <v>45900</v>
      </c>
      <c r="S184">
        <f t="shared" si="327"/>
        <v>4590</v>
      </c>
      <c r="T184">
        <f t="shared" si="328"/>
        <v>5508</v>
      </c>
      <c r="U184">
        <v>0</v>
      </c>
      <c r="V184">
        <v>0</v>
      </c>
      <c r="W184">
        <f t="shared" si="329"/>
        <v>55998</v>
      </c>
      <c r="X184">
        <v>3000</v>
      </c>
      <c r="Y184">
        <v>0</v>
      </c>
      <c r="Z184">
        <f t="shared" si="330"/>
        <v>200</v>
      </c>
      <c r="AA184">
        <f t="shared" si="331"/>
        <v>52798</v>
      </c>
      <c r="AB184">
        <v>45900</v>
      </c>
      <c r="AC184">
        <f t="shared" si="332"/>
        <v>6426.0000000000009</v>
      </c>
      <c r="AD184">
        <f t="shared" si="333"/>
        <v>5508</v>
      </c>
      <c r="AE184">
        <v>0</v>
      </c>
      <c r="AF184">
        <v>0</v>
      </c>
      <c r="AG184">
        <f t="shared" si="334"/>
        <v>57834</v>
      </c>
      <c r="AH184">
        <v>3000</v>
      </c>
      <c r="AI184">
        <v>0</v>
      </c>
      <c r="AJ184">
        <f t="shared" si="335"/>
        <v>200</v>
      </c>
      <c r="AK184">
        <f t="shared" si="336"/>
        <v>54634</v>
      </c>
      <c r="AL184">
        <v>45900</v>
      </c>
      <c r="AM184">
        <f t="shared" si="337"/>
        <v>6426.0000000000009</v>
      </c>
      <c r="AN184">
        <f t="shared" si="338"/>
        <v>5508</v>
      </c>
      <c r="AO184">
        <v>0</v>
      </c>
      <c r="AP184">
        <v>0</v>
      </c>
      <c r="AQ184">
        <f t="shared" si="339"/>
        <v>57834</v>
      </c>
      <c r="AR184">
        <v>3000</v>
      </c>
      <c r="AS184">
        <v>0</v>
      </c>
      <c r="AT184">
        <f t="shared" si="340"/>
        <v>200</v>
      </c>
      <c r="AU184">
        <f t="shared" si="341"/>
        <v>54634</v>
      </c>
      <c r="AV184">
        <v>47300</v>
      </c>
      <c r="AW184">
        <f t="shared" si="342"/>
        <v>6622.0000000000009</v>
      </c>
      <c r="AX184">
        <f t="shared" si="343"/>
        <v>1836</v>
      </c>
      <c r="AY184">
        <f t="shared" si="344"/>
        <v>5676</v>
      </c>
      <c r="AZ184">
        <v>0</v>
      </c>
      <c r="BA184">
        <v>0</v>
      </c>
      <c r="BB184">
        <f t="shared" si="345"/>
        <v>61434</v>
      </c>
      <c r="BC184">
        <v>3000</v>
      </c>
      <c r="BD184">
        <v>0</v>
      </c>
      <c r="BE184">
        <f t="shared" si="346"/>
        <v>200</v>
      </c>
      <c r="BF184">
        <f t="shared" si="347"/>
        <v>58234</v>
      </c>
      <c r="BG184">
        <v>47300</v>
      </c>
      <c r="BH184">
        <f t="shared" si="348"/>
        <v>6622.0000000000009</v>
      </c>
      <c r="BI184">
        <f t="shared" si="349"/>
        <v>5676</v>
      </c>
      <c r="BJ184">
        <v>0</v>
      </c>
      <c r="BK184">
        <v>0</v>
      </c>
      <c r="BL184">
        <f t="shared" si="350"/>
        <v>59598</v>
      </c>
      <c r="BM184">
        <v>3000</v>
      </c>
      <c r="BN184">
        <v>0</v>
      </c>
      <c r="BO184">
        <f t="shared" si="351"/>
        <v>200</v>
      </c>
      <c r="BP184">
        <f t="shared" si="352"/>
        <v>56398</v>
      </c>
      <c r="BQ184">
        <v>47300</v>
      </c>
      <c r="BR184">
        <f t="shared" si="353"/>
        <v>6622.0000000000009</v>
      </c>
      <c r="BS184">
        <f t="shared" si="354"/>
        <v>5676</v>
      </c>
      <c r="BT184">
        <v>0</v>
      </c>
      <c r="BU184">
        <v>0</v>
      </c>
      <c r="BV184">
        <f t="shared" si="355"/>
        <v>59598</v>
      </c>
      <c r="BW184">
        <v>3000</v>
      </c>
      <c r="BX184">
        <v>0</v>
      </c>
      <c r="BY184">
        <f t="shared" si="356"/>
        <v>200</v>
      </c>
      <c r="BZ184">
        <f t="shared" si="357"/>
        <v>56398</v>
      </c>
      <c r="CA184">
        <v>47300</v>
      </c>
      <c r="CB184">
        <f t="shared" si="358"/>
        <v>6622.0000000000009</v>
      </c>
      <c r="CC184">
        <f t="shared" si="359"/>
        <v>5676</v>
      </c>
      <c r="CD184">
        <v>0</v>
      </c>
      <c r="CE184">
        <v>0</v>
      </c>
      <c r="CF184">
        <f t="shared" si="360"/>
        <v>59598</v>
      </c>
      <c r="CG184">
        <v>3000</v>
      </c>
      <c r="CH184">
        <v>0</v>
      </c>
      <c r="CI184">
        <f t="shared" si="361"/>
        <v>200</v>
      </c>
      <c r="CJ184">
        <f t="shared" si="362"/>
        <v>56398</v>
      </c>
      <c r="CK184">
        <v>47300</v>
      </c>
      <c r="CL184">
        <f t="shared" si="363"/>
        <v>6622.0000000000009</v>
      </c>
      <c r="CM184">
        <f t="shared" si="364"/>
        <v>5676</v>
      </c>
      <c r="CN184">
        <v>0</v>
      </c>
      <c r="CO184">
        <v>0</v>
      </c>
      <c r="CP184">
        <f t="shared" si="365"/>
        <v>59598</v>
      </c>
      <c r="CQ184">
        <v>3000</v>
      </c>
      <c r="CR184">
        <v>0</v>
      </c>
      <c r="CS184">
        <f t="shared" si="366"/>
        <v>200</v>
      </c>
      <c r="CT184">
        <f t="shared" si="367"/>
        <v>56398</v>
      </c>
      <c r="CU184">
        <v>47300</v>
      </c>
      <c r="CV184">
        <f t="shared" si="368"/>
        <v>6622</v>
      </c>
      <c r="CW184">
        <f t="shared" si="369"/>
        <v>5676</v>
      </c>
      <c r="CX184">
        <v>0</v>
      </c>
      <c r="CY184">
        <v>0</v>
      </c>
      <c r="CZ184">
        <f t="shared" si="370"/>
        <v>59598</v>
      </c>
      <c r="DA184">
        <v>3000</v>
      </c>
      <c r="DB184">
        <v>0</v>
      </c>
      <c r="DC184">
        <f t="shared" si="371"/>
        <v>200</v>
      </c>
      <c r="DD184">
        <f t="shared" si="372"/>
        <v>56398</v>
      </c>
      <c r="DE184">
        <v>47300</v>
      </c>
      <c r="DF184">
        <f t="shared" si="373"/>
        <v>6622.0000000000009</v>
      </c>
      <c r="DG184">
        <f t="shared" si="374"/>
        <v>5676</v>
      </c>
      <c r="DH184">
        <v>0</v>
      </c>
      <c r="DI184">
        <v>0</v>
      </c>
      <c r="DJ184">
        <f t="shared" si="375"/>
        <v>59598</v>
      </c>
      <c r="DK184">
        <v>3000</v>
      </c>
      <c r="DL184">
        <v>0</v>
      </c>
      <c r="DM184">
        <f t="shared" si="376"/>
        <v>200</v>
      </c>
      <c r="DN184">
        <f t="shared" si="377"/>
        <v>56398</v>
      </c>
      <c r="DO184">
        <v>47300</v>
      </c>
      <c r="DP184">
        <f t="shared" si="378"/>
        <v>6622.0000000000009</v>
      </c>
      <c r="DQ184">
        <f t="shared" si="379"/>
        <v>5676</v>
      </c>
      <c r="DR184">
        <v>0</v>
      </c>
      <c r="DS184">
        <v>0</v>
      </c>
      <c r="DT184">
        <f t="shared" si="380"/>
        <v>59598</v>
      </c>
      <c r="DU184">
        <v>3000</v>
      </c>
      <c r="DV184">
        <v>0</v>
      </c>
      <c r="DW184">
        <f t="shared" si="381"/>
        <v>200</v>
      </c>
      <c r="DX184">
        <f t="shared" si="382"/>
        <v>56398</v>
      </c>
      <c r="DY184">
        <f t="shared" si="383"/>
        <v>706284</v>
      </c>
      <c r="DZ184">
        <f t="shared" si="315"/>
        <v>2400</v>
      </c>
      <c r="EA184">
        <f t="shared" si="316"/>
        <v>50000</v>
      </c>
      <c r="EB184">
        <v>0</v>
      </c>
      <c r="EC184">
        <f t="shared" si="317"/>
        <v>653884</v>
      </c>
      <c r="ED184">
        <f t="shared" si="318"/>
        <v>36000</v>
      </c>
      <c r="EE184">
        <f t="shared" si="319"/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f t="shared" si="320"/>
        <v>36000</v>
      </c>
      <c r="EQ184">
        <f t="shared" si="384"/>
        <v>36000</v>
      </c>
      <c r="ER184">
        <f t="shared" si="321"/>
        <v>617884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f t="shared" si="385"/>
        <v>0</v>
      </c>
      <c r="FA184">
        <f t="shared" si="386"/>
        <v>617884</v>
      </c>
      <c r="FB184">
        <f t="shared" si="387"/>
        <v>12500</v>
      </c>
      <c r="FC184">
        <f t="shared" si="388"/>
        <v>23577</v>
      </c>
      <c r="FD184">
        <f t="shared" si="389"/>
        <v>36077</v>
      </c>
      <c r="FE184">
        <f t="shared" si="390"/>
        <v>36077</v>
      </c>
      <c r="FF184">
        <f t="shared" si="391"/>
        <v>1443.08</v>
      </c>
      <c r="FG184">
        <f t="shared" si="392"/>
        <v>37520</v>
      </c>
      <c r="FH184">
        <v>0</v>
      </c>
      <c r="FI184">
        <f t="shared" si="393"/>
        <v>37520</v>
      </c>
      <c r="FJ184" t="b">
        <f t="shared" si="394"/>
        <v>1</v>
      </c>
      <c r="FK184">
        <f t="shared" ca="1" si="395"/>
        <v>755</v>
      </c>
      <c r="FL184">
        <f t="shared" ca="1" si="396"/>
        <v>707039</v>
      </c>
      <c r="FM184">
        <f t="shared" si="397"/>
        <v>75000</v>
      </c>
      <c r="FN184">
        <f t="shared" ca="1" si="398"/>
        <v>632039</v>
      </c>
      <c r="FO184">
        <f t="shared" ca="1" si="399"/>
        <v>0</v>
      </c>
      <c r="FP184">
        <f t="shared" ca="1" si="400"/>
        <v>0</v>
      </c>
      <c r="FQ184">
        <f t="shared" ca="1" si="401"/>
        <v>0</v>
      </c>
      <c r="FR184">
        <f t="shared" ca="1" si="402"/>
        <v>0</v>
      </c>
      <c r="FS184">
        <f t="shared" ca="1" si="403"/>
        <v>0</v>
      </c>
      <c r="FT184">
        <f t="shared" ca="1" si="404"/>
        <v>0</v>
      </c>
      <c r="FU184">
        <f t="shared" ca="1" si="405"/>
        <v>0</v>
      </c>
      <c r="FV184">
        <f t="shared" ca="1" si="406"/>
        <v>0</v>
      </c>
      <c r="FW184">
        <f t="shared" ca="1" si="407"/>
        <v>332039</v>
      </c>
      <c r="FX184">
        <f t="shared" ca="1" si="408"/>
        <v>16601.95</v>
      </c>
      <c r="FY184">
        <f t="shared" ca="1" si="409"/>
        <v>16602</v>
      </c>
      <c r="FZ184">
        <f t="shared" ca="1" si="410"/>
        <v>0</v>
      </c>
      <c r="GA184">
        <f t="shared" ca="1" si="411"/>
        <v>0</v>
      </c>
      <c r="GB184">
        <f t="shared" ca="1" si="412"/>
        <v>16602</v>
      </c>
      <c r="GC184">
        <f t="shared" ca="1" si="413"/>
        <v>0</v>
      </c>
      <c r="GD184" t="b">
        <f t="shared" ca="1" si="414"/>
        <v>0</v>
      </c>
      <c r="GE184">
        <f t="shared" ca="1" si="415"/>
        <v>0</v>
      </c>
      <c r="GF184">
        <f t="shared" ca="1" si="416"/>
        <v>16602</v>
      </c>
      <c r="GG184">
        <f t="shared" ca="1" si="417"/>
        <v>0</v>
      </c>
      <c r="GH184">
        <f t="shared" ca="1" si="418"/>
        <v>0</v>
      </c>
      <c r="GI184">
        <f t="shared" ca="1" si="419"/>
        <v>0</v>
      </c>
    </row>
    <row r="185" spans="1:191" x14ac:dyDescent="0.25">
      <c r="A185">
        <f>_xlfn.AGGREGATE(3,5,$B$2:B185)</f>
        <v>184</v>
      </c>
      <c r="B185" t="s">
        <v>488</v>
      </c>
      <c r="C185" t="s">
        <v>489</v>
      </c>
      <c r="D185" t="s">
        <v>810</v>
      </c>
      <c r="E185" t="s">
        <v>843</v>
      </c>
      <c r="F185">
        <v>0</v>
      </c>
      <c r="G185">
        <v>0</v>
      </c>
      <c r="H185">
        <v>45900</v>
      </c>
      <c r="I185">
        <f t="shared" si="322"/>
        <v>4590</v>
      </c>
      <c r="J185">
        <f t="shared" si="323"/>
        <v>5508</v>
      </c>
      <c r="K185">
        <v>0</v>
      </c>
      <c r="L185">
        <v>500</v>
      </c>
      <c r="M185">
        <f t="shared" si="324"/>
        <v>56498</v>
      </c>
      <c r="N185">
        <v>3000</v>
      </c>
      <c r="O185">
        <v>0</v>
      </c>
      <c r="P185">
        <f t="shared" si="325"/>
        <v>200</v>
      </c>
      <c r="Q185">
        <f t="shared" si="326"/>
        <v>53298</v>
      </c>
      <c r="R185">
        <v>45900</v>
      </c>
      <c r="S185">
        <f t="shared" si="327"/>
        <v>4590</v>
      </c>
      <c r="T185">
        <f t="shared" si="328"/>
        <v>5508</v>
      </c>
      <c r="U185">
        <v>0</v>
      </c>
      <c r="V185">
        <v>500</v>
      </c>
      <c r="W185">
        <f t="shared" si="329"/>
        <v>56498</v>
      </c>
      <c r="X185">
        <v>3000</v>
      </c>
      <c r="Y185">
        <v>0</v>
      </c>
      <c r="Z185">
        <f t="shared" si="330"/>
        <v>200</v>
      </c>
      <c r="AA185">
        <f t="shared" si="331"/>
        <v>53298</v>
      </c>
      <c r="AB185">
        <v>45900</v>
      </c>
      <c r="AC185">
        <f t="shared" si="332"/>
        <v>6426.0000000000009</v>
      </c>
      <c r="AD185">
        <f t="shared" si="333"/>
        <v>5508</v>
      </c>
      <c r="AE185">
        <v>0</v>
      </c>
      <c r="AF185">
        <v>500</v>
      </c>
      <c r="AG185">
        <f t="shared" si="334"/>
        <v>58334</v>
      </c>
      <c r="AH185">
        <v>3000</v>
      </c>
      <c r="AI185">
        <v>0</v>
      </c>
      <c r="AJ185">
        <f t="shared" si="335"/>
        <v>200</v>
      </c>
      <c r="AK185">
        <f t="shared" si="336"/>
        <v>55134</v>
      </c>
      <c r="AL185">
        <v>45900</v>
      </c>
      <c r="AM185">
        <f t="shared" si="337"/>
        <v>6426.0000000000009</v>
      </c>
      <c r="AN185">
        <f t="shared" si="338"/>
        <v>5508</v>
      </c>
      <c r="AO185">
        <v>0</v>
      </c>
      <c r="AP185">
        <v>500</v>
      </c>
      <c r="AQ185">
        <f t="shared" si="339"/>
        <v>58334</v>
      </c>
      <c r="AR185">
        <v>3000</v>
      </c>
      <c r="AS185">
        <v>0</v>
      </c>
      <c r="AT185">
        <f t="shared" si="340"/>
        <v>200</v>
      </c>
      <c r="AU185">
        <f t="shared" si="341"/>
        <v>55134</v>
      </c>
      <c r="AV185">
        <v>47300</v>
      </c>
      <c r="AW185">
        <f t="shared" si="342"/>
        <v>6622.0000000000009</v>
      </c>
      <c r="AX185">
        <f t="shared" si="343"/>
        <v>1836</v>
      </c>
      <c r="AY185">
        <f t="shared" si="344"/>
        <v>5676</v>
      </c>
      <c r="AZ185">
        <v>0</v>
      </c>
      <c r="BA185">
        <v>500</v>
      </c>
      <c r="BB185">
        <f t="shared" si="345"/>
        <v>61934</v>
      </c>
      <c r="BC185">
        <v>3000</v>
      </c>
      <c r="BD185">
        <v>0</v>
      </c>
      <c r="BE185">
        <f t="shared" si="346"/>
        <v>200</v>
      </c>
      <c r="BF185">
        <f t="shared" si="347"/>
        <v>58734</v>
      </c>
      <c r="BG185">
        <v>47300</v>
      </c>
      <c r="BH185">
        <f t="shared" si="348"/>
        <v>6622.0000000000009</v>
      </c>
      <c r="BI185">
        <f t="shared" si="349"/>
        <v>5676</v>
      </c>
      <c r="BJ185">
        <v>0</v>
      </c>
      <c r="BK185">
        <v>500</v>
      </c>
      <c r="BL185">
        <f t="shared" si="350"/>
        <v>60098</v>
      </c>
      <c r="BM185">
        <v>3000</v>
      </c>
      <c r="BN185">
        <v>0</v>
      </c>
      <c r="BO185">
        <f t="shared" si="351"/>
        <v>200</v>
      </c>
      <c r="BP185">
        <f t="shared" si="352"/>
        <v>56898</v>
      </c>
      <c r="BQ185">
        <v>47300</v>
      </c>
      <c r="BR185">
        <f t="shared" si="353"/>
        <v>6622.0000000000009</v>
      </c>
      <c r="BS185">
        <f t="shared" si="354"/>
        <v>5676</v>
      </c>
      <c r="BT185">
        <v>0</v>
      </c>
      <c r="BU185">
        <v>500</v>
      </c>
      <c r="BV185">
        <f t="shared" si="355"/>
        <v>60098</v>
      </c>
      <c r="BW185">
        <v>3000</v>
      </c>
      <c r="BX185">
        <v>0</v>
      </c>
      <c r="BY185">
        <f t="shared" si="356"/>
        <v>200</v>
      </c>
      <c r="BZ185">
        <f t="shared" si="357"/>
        <v>56898</v>
      </c>
      <c r="CA185">
        <v>47300</v>
      </c>
      <c r="CB185">
        <f t="shared" si="358"/>
        <v>6622.0000000000009</v>
      </c>
      <c r="CC185">
        <f t="shared" si="359"/>
        <v>5676</v>
      </c>
      <c r="CD185">
        <v>0</v>
      </c>
      <c r="CE185">
        <v>500</v>
      </c>
      <c r="CF185">
        <f t="shared" si="360"/>
        <v>60098</v>
      </c>
      <c r="CG185">
        <v>3000</v>
      </c>
      <c r="CH185">
        <v>0</v>
      </c>
      <c r="CI185">
        <f t="shared" si="361"/>
        <v>200</v>
      </c>
      <c r="CJ185">
        <f t="shared" si="362"/>
        <v>56898</v>
      </c>
      <c r="CK185">
        <v>47300</v>
      </c>
      <c r="CL185">
        <f t="shared" si="363"/>
        <v>6622.0000000000009</v>
      </c>
      <c r="CM185">
        <f t="shared" si="364"/>
        <v>5676</v>
      </c>
      <c r="CN185">
        <v>0</v>
      </c>
      <c r="CO185">
        <v>500</v>
      </c>
      <c r="CP185">
        <f t="shared" si="365"/>
        <v>60098</v>
      </c>
      <c r="CQ185">
        <v>3000</v>
      </c>
      <c r="CR185">
        <v>0</v>
      </c>
      <c r="CS185">
        <f t="shared" si="366"/>
        <v>200</v>
      </c>
      <c r="CT185">
        <f t="shared" si="367"/>
        <v>56898</v>
      </c>
      <c r="CU185">
        <v>47300</v>
      </c>
      <c r="CV185">
        <f t="shared" si="368"/>
        <v>6622</v>
      </c>
      <c r="CW185">
        <f t="shared" si="369"/>
        <v>5676</v>
      </c>
      <c r="CX185">
        <v>0</v>
      </c>
      <c r="CY185">
        <v>500</v>
      </c>
      <c r="CZ185">
        <f t="shared" si="370"/>
        <v>60098</v>
      </c>
      <c r="DA185">
        <v>3000</v>
      </c>
      <c r="DB185">
        <v>0</v>
      </c>
      <c r="DC185">
        <f t="shared" si="371"/>
        <v>200</v>
      </c>
      <c r="DD185">
        <f t="shared" si="372"/>
        <v>56898</v>
      </c>
      <c r="DE185">
        <v>47300</v>
      </c>
      <c r="DF185">
        <f t="shared" si="373"/>
        <v>6622.0000000000009</v>
      </c>
      <c r="DG185">
        <f t="shared" si="374"/>
        <v>5676</v>
      </c>
      <c r="DH185">
        <v>0</v>
      </c>
      <c r="DI185">
        <v>500</v>
      </c>
      <c r="DJ185">
        <f t="shared" si="375"/>
        <v>60098</v>
      </c>
      <c r="DK185">
        <v>3000</v>
      </c>
      <c r="DL185">
        <v>0</v>
      </c>
      <c r="DM185">
        <f t="shared" si="376"/>
        <v>200</v>
      </c>
      <c r="DN185">
        <f t="shared" si="377"/>
        <v>56898</v>
      </c>
      <c r="DO185">
        <v>47300</v>
      </c>
      <c r="DP185">
        <f t="shared" si="378"/>
        <v>6622.0000000000009</v>
      </c>
      <c r="DQ185">
        <f t="shared" si="379"/>
        <v>5676</v>
      </c>
      <c r="DR185">
        <v>0</v>
      </c>
      <c r="DS185">
        <v>500</v>
      </c>
      <c r="DT185">
        <f t="shared" si="380"/>
        <v>60098</v>
      </c>
      <c r="DU185">
        <v>3000</v>
      </c>
      <c r="DV185">
        <v>0</v>
      </c>
      <c r="DW185">
        <f t="shared" si="381"/>
        <v>200</v>
      </c>
      <c r="DX185">
        <f t="shared" si="382"/>
        <v>56898</v>
      </c>
      <c r="DY185">
        <f t="shared" si="383"/>
        <v>712284</v>
      </c>
      <c r="DZ185">
        <f t="shared" si="315"/>
        <v>2400</v>
      </c>
      <c r="EA185">
        <f t="shared" si="316"/>
        <v>50000</v>
      </c>
      <c r="EB185">
        <v>0</v>
      </c>
      <c r="EC185">
        <f t="shared" si="317"/>
        <v>659884</v>
      </c>
      <c r="ED185">
        <f t="shared" si="318"/>
        <v>36000</v>
      </c>
      <c r="EE185">
        <f t="shared" si="319"/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f t="shared" si="320"/>
        <v>36000</v>
      </c>
      <c r="EQ185">
        <f t="shared" si="384"/>
        <v>36000</v>
      </c>
      <c r="ER185">
        <f t="shared" si="321"/>
        <v>623884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f t="shared" si="385"/>
        <v>0</v>
      </c>
      <c r="FA185">
        <f t="shared" si="386"/>
        <v>623884</v>
      </c>
      <c r="FB185">
        <f t="shared" si="387"/>
        <v>12500</v>
      </c>
      <c r="FC185">
        <f t="shared" si="388"/>
        <v>24777</v>
      </c>
      <c r="FD185">
        <f t="shared" si="389"/>
        <v>37277</v>
      </c>
      <c r="FE185">
        <f t="shared" si="390"/>
        <v>37277</v>
      </c>
      <c r="FF185">
        <f t="shared" si="391"/>
        <v>1491.08</v>
      </c>
      <c r="FG185">
        <f t="shared" si="392"/>
        <v>38768</v>
      </c>
      <c r="FH185">
        <v>0</v>
      </c>
      <c r="FI185">
        <f t="shared" si="393"/>
        <v>38768</v>
      </c>
      <c r="FJ185" t="b">
        <f t="shared" si="394"/>
        <v>1</v>
      </c>
      <c r="FK185">
        <f t="shared" ca="1" si="395"/>
        <v>735</v>
      </c>
      <c r="FL185">
        <f t="shared" ca="1" si="396"/>
        <v>713019</v>
      </c>
      <c r="FM185">
        <f t="shared" si="397"/>
        <v>75000</v>
      </c>
      <c r="FN185">
        <f t="shared" ca="1" si="398"/>
        <v>638019</v>
      </c>
      <c r="FO185">
        <f t="shared" ca="1" si="399"/>
        <v>0</v>
      </c>
      <c r="FP185">
        <f t="shared" ca="1" si="400"/>
        <v>0</v>
      </c>
      <c r="FQ185">
        <f t="shared" ca="1" si="401"/>
        <v>0</v>
      </c>
      <c r="FR185">
        <f t="shared" ca="1" si="402"/>
        <v>0</v>
      </c>
      <c r="FS185">
        <f t="shared" ca="1" si="403"/>
        <v>0</v>
      </c>
      <c r="FT185">
        <f t="shared" ca="1" si="404"/>
        <v>0</v>
      </c>
      <c r="FU185">
        <f t="shared" ca="1" si="405"/>
        <v>0</v>
      </c>
      <c r="FV185">
        <f t="shared" ca="1" si="406"/>
        <v>0</v>
      </c>
      <c r="FW185">
        <f t="shared" ca="1" si="407"/>
        <v>338019</v>
      </c>
      <c r="FX185">
        <f t="shared" ca="1" si="408"/>
        <v>16900.95</v>
      </c>
      <c r="FY185">
        <f t="shared" ca="1" si="409"/>
        <v>16901</v>
      </c>
      <c r="FZ185">
        <f t="shared" ca="1" si="410"/>
        <v>0</v>
      </c>
      <c r="GA185">
        <f t="shared" ca="1" si="411"/>
        <v>0</v>
      </c>
      <c r="GB185">
        <f t="shared" ca="1" si="412"/>
        <v>16901</v>
      </c>
      <c r="GC185">
        <f t="shared" ca="1" si="413"/>
        <v>0</v>
      </c>
      <c r="GD185" t="b">
        <f t="shared" ca="1" si="414"/>
        <v>0</v>
      </c>
      <c r="GE185">
        <f t="shared" ca="1" si="415"/>
        <v>0</v>
      </c>
      <c r="GF185">
        <f t="shared" ca="1" si="416"/>
        <v>16901</v>
      </c>
      <c r="GG185">
        <f t="shared" ca="1" si="417"/>
        <v>0</v>
      </c>
      <c r="GH185">
        <f t="shared" ca="1" si="418"/>
        <v>0</v>
      </c>
      <c r="GI185">
        <f t="shared" ca="1" si="419"/>
        <v>0</v>
      </c>
    </row>
    <row r="186" spans="1:191" x14ac:dyDescent="0.25">
      <c r="A186">
        <f>_xlfn.AGGREGATE(3,5,$B$2:B186)</f>
        <v>185</v>
      </c>
      <c r="B186" t="s">
        <v>490</v>
      </c>
      <c r="C186" t="s">
        <v>491</v>
      </c>
      <c r="D186" t="s">
        <v>810</v>
      </c>
      <c r="E186" t="s">
        <v>843</v>
      </c>
      <c r="F186">
        <v>0</v>
      </c>
      <c r="G186">
        <v>6000</v>
      </c>
      <c r="H186">
        <v>32500</v>
      </c>
      <c r="I186">
        <f t="shared" si="322"/>
        <v>3250</v>
      </c>
      <c r="J186">
        <f t="shared" si="323"/>
        <v>3900</v>
      </c>
      <c r="K186">
        <v>0</v>
      </c>
      <c r="L186">
        <v>500</v>
      </c>
      <c r="M186">
        <f t="shared" si="324"/>
        <v>40150</v>
      </c>
      <c r="N186">
        <v>2000</v>
      </c>
      <c r="O186">
        <v>0</v>
      </c>
      <c r="P186">
        <f t="shared" si="325"/>
        <v>200</v>
      </c>
      <c r="Q186">
        <f t="shared" si="326"/>
        <v>37950</v>
      </c>
      <c r="R186">
        <v>32500</v>
      </c>
      <c r="S186">
        <f t="shared" si="327"/>
        <v>3250</v>
      </c>
      <c r="T186">
        <f t="shared" si="328"/>
        <v>3900</v>
      </c>
      <c r="U186">
        <v>0</v>
      </c>
      <c r="V186">
        <v>500</v>
      </c>
      <c r="W186">
        <f t="shared" si="329"/>
        <v>40150</v>
      </c>
      <c r="X186">
        <v>2000</v>
      </c>
      <c r="Y186">
        <v>0</v>
      </c>
      <c r="Z186">
        <f t="shared" si="330"/>
        <v>200</v>
      </c>
      <c r="AA186">
        <f t="shared" si="331"/>
        <v>37950</v>
      </c>
      <c r="AB186">
        <v>32500</v>
      </c>
      <c r="AC186">
        <f t="shared" si="332"/>
        <v>4550</v>
      </c>
      <c r="AD186">
        <f t="shared" si="333"/>
        <v>3900</v>
      </c>
      <c r="AE186">
        <v>0</v>
      </c>
      <c r="AF186">
        <v>500</v>
      </c>
      <c r="AG186">
        <f t="shared" si="334"/>
        <v>41450</v>
      </c>
      <c r="AH186">
        <v>2000</v>
      </c>
      <c r="AI186">
        <v>0</v>
      </c>
      <c r="AJ186">
        <f t="shared" si="335"/>
        <v>200</v>
      </c>
      <c r="AK186">
        <f t="shared" si="336"/>
        <v>39250</v>
      </c>
      <c r="AL186">
        <v>32500</v>
      </c>
      <c r="AM186">
        <f t="shared" si="337"/>
        <v>4550</v>
      </c>
      <c r="AN186">
        <f t="shared" si="338"/>
        <v>3900</v>
      </c>
      <c r="AO186">
        <v>0</v>
      </c>
      <c r="AP186">
        <v>500</v>
      </c>
      <c r="AQ186">
        <f t="shared" si="339"/>
        <v>41450</v>
      </c>
      <c r="AR186">
        <v>2000</v>
      </c>
      <c r="AS186">
        <v>0</v>
      </c>
      <c r="AT186">
        <f t="shared" si="340"/>
        <v>200</v>
      </c>
      <c r="AU186">
        <f t="shared" si="341"/>
        <v>39250</v>
      </c>
      <c r="AV186">
        <v>33500</v>
      </c>
      <c r="AW186">
        <f t="shared" si="342"/>
        <v>4690</v>
      </c>
      <c r="AX186">
        <f t="shared" si="343"/>
        <v>1300</v>
      </c>
      <c r="AY186">
        <f t="shared" si="344"/>
        <v>4020</v>
      </c>
      <c r="AZ186">
        <v>0</v>
      </c>
      <c r="BA186">
        <v>500</v>
      </c>
      <c r="BB186">
        <f t="shared" si="345"/>
        <v>44010</v>
      </c>
      <c r="BC186">
        <v>2500</v>
      </c>
      <c r="BD186">
        <v>0</v>
      </c>
      <c r="BE186">
        <f t="shared" si="346"/>
        <v>200</v>
      </c>
      <c r="BF186">
        <f t="shared" si="347"/>
        <v>41310</v>
      </c>
      <c r="BG186">
        <v>33500</v>
      </c>
      <c r="BH186">
        <f t="shared" si="348"/>
        <v>4690</v>
      </c>
      <c r="BI186">
        <f t="shared" si="349"/>
        <v>4020</v>
      </c>
      <c r="BJ186">
        <v>0</v>
      </c>
      <c r="BK186">
        <v>500</v>
      </c>
      <c r="BL186">
        <f t="shared" si="350"/>
        <v>42710</v>
      </c>
      <c r="BM186">
        <v>2500</v>
      </c>
      <c r="BN186">
        <v>0</v>
      </c>
      <c r="BO186">
        <f t="shared" si="351"/>
        <v>200</v>
      </c>
      <c r="BP186">
        <f t="shared" si="352"/>
        <v>40010</v>
      </c>
      <c r="BQ186">
        <v>33500</v>
      </c>
      <c r="BR186">
        <f t="shared" si="353"/>
        <v>4690</v>
      </c>
      <c r="BS186">
        <f t="shared" si="354"/>
        <v>4020</v>
      </c>
      <c r="BT186">
        <v>0</v>
      </c>
      <c r="BU186">
        <v>500</v>
      </c>
      <c r="BV186">
        <f t="shared" si="355"/>
        <v>42710</v>
      </c>
      <c r="BW186">
        <v>2500</v>
      </c>
      <c r="BX186">
        <v>0</v>
      </c>
      <c r="BY186">
        <f t="shared" si="356"/>
        <v>200</v>
      </c>
      <c r="BZ186">
        <f t="shared" si="357"/>
        <v>40010</v>
      </c>
      <c r="CA186">
        <v>33500</v>
      </c>
      <c r="CB186">
        <f t="shared" si="358"/>
        <v>4690</v>
      </c>
      <c r="CC186">
        <f t="shared" si="359"/>
        <v>4020</v>
      </c>
      <c r="CD186">
        <v>0</v>
      </c>
      <c r="CE186">
        <v>500</v>
      </c>
      <c r="CF186">
        <f t="shared" si="360"/>
        <v>42710</v>
      </c>
      <c r="CG186">
        <v>2500</v>
      </c>
      <c r="CH186">
        <v>0</v>
      </c>
      <c r="CI186">
        <f t="shared" si="361"/>
        <v>200</v>
      </c>
      <c r="CJ186">
        <f t="shared" si="362"/>
        <v>40010</v>
      </c>
      <c r="CK186">
        <v>33500</v>
      </c>
      <c r="CL186">
        <f t="shared" si="363"/>
        <v>4690</v>
      </c>
      <c r="CM186">
        <f t="shared" si="364"/>
        <v>4020</v>
      </c>
      <c r="CN186">
        <v>0</v>
      </c>
      <c r="CO186">
        <v>500</v>
      </c>
      <c r="CP186">
        <f t="shared" si="365"/>
        <v>42710</v>
      </c>
      <c r="CQ186">
        <v>2500</v>
      </c>
      <c r="CR186">
        <v>0</v>
      </c>
      <c r="CS186">
        <f t="shared" si="366"/>
        <v>200</v>
      </c>
      <c r="CT186">
        <f t="shared" si="367"/>
        <v>40010</v>
      </c>
      <c r="CU186">
        <v>34403</v>
      </c>
      <c r="CV186">
        <f t="shared" si="368"/>
        <v>4816</v>
      </c>
      <c r="CW186">
        <f t="shared" si="369"/>
        <v>4128</v>
      </c>
      <c r="CX186">
        <v>0</v>
      </c>
      <c r="CY186">
        <v>500</v>
      </c>
      <c r="CZ186">
        <f t="shared" si="370"/>
        <v>43847</v>
      </c>
      <c r="DA186">
        <v>2500</v>
      </c>
      <c r="DB186">
        <v>0</v>
      </c>
      <c r="DC186">
        <f t="shared" si="371"/>
        <v>200</v>
      </c>
      <c r="DD186">
        <f t="shared" si="372"/>
        <v>41147</v>
      </c>
      <c r="DE186">
        <v>34500</v>
      </c>
      <c r="DF186">
        <f t="shared" si="373"/>
        <v>4830.0000000000009</v>
      </c>
      <c r="DG186">
        <f t="shared" si="374"/>
        <v>4140</v>
      </c>
      <c r="DH186">
        <v>0</v>
      </c>
      <c r="DI186">
        <v>500</v>
      </c>
      <c r="DJ186">
        <f t="shared" si="375"/>
        <v>43970</v>
      </c>
      <c r="DK186">
        <v>2500</v>
      </c>
      <c r="DL186">
        <v>0</v>
      </c>
      <c r="DM186">
        <f t="shared" si="376"/>
        <v>200</v>
      </c>
      <c r="DN186">
        <f t="shared" si="377"/>
        <v>41270</v>
      </c>
      <c r="DO186">
        <v>34500</v>
      </c>
      <c r="DP186">
        <f t="shared" si="378"/>
        <v>4830.0000000000009</v>
      </c>
      <c r="DQ186">
        <f t="shared" si="379"/>
        <v>4140</v>
      </c>
      <c r="DR186">
        <v>0</v>
      </c>
      <c r="DS186">
        <v>500</v>
      </c>
      <c r="DT186">
        <f t="shared" si="380"/>
        <v>43970</v>
      </c>
      <c r="DU186">
        <v>2500</v>
      </c>
      <c r="DV186">
        <v>0</v>
      </c>
      <c r="DW186">
        <f t="shared" si="381"/>
        <v>200</v>
      </c>
      <c r="DX186">
        <f t="shared" si="382"/>
        <v>41270</v>
      </c>
      <c r="DY186">
        <f t="shared" si="383"/>
        <v>515837</v>
      </c>
      <c r="DZ186">
        <f t="shared" si="315"/>
        <v>2400</v>
      </c>
      <c r="EA186">
        <f t="shared" si="316"/>
        <v>50000</v>
      </c>
      <c r="EB186">
        <v>0</v>
      </c>
      <c r="EC186">
        <f t="shared" si="317"/>
        <v>463437</v>
      </c>
      <c r="ED186">
        <f t="shared" si="318"/>
        <v>28000</v>
      </c>
      <c r="EE186">
        <f t="shared" si="319"/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f t="shared" si="320"/>
        <v>28000</v>
      </c>
      <c r="EQ186">
        <f t="shared" si="384"/>
        <v>28000</v>
      </c>
      <c r="ER186">
        <f t="shared" si="321"/>
        <v>435437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f t="shared" si="385"/>
        <v>0</v>
      </c>
      <c r="FA186">
        <f t="shared" si="386"/>
        <v>435437</v>
      </c>
      <c r="FB186">
        <f t="shared" si="387"/>
        <v>9272</v>
      </c>
      <c r="FC186">
        <f t="shared" si="388"/>
        <v>0</v>
      </c>
      <c r="FD186">
        <f t="shared" si="389"/>
        <v>9272</v>
      </c>
      <c r="FE186">
        <f t="shared" si="390"/>
        <v>0</v>
      </c>
      <c r="FF186">
        <f t="shared" si="391"/>
        <v>0</v>
      </c>
      <c r="FG186">
        <f t="shared" si="392"/>
        <v>0</v>
      </c>
      <c r="FH186">
        <v>0</v>
      </c>
      <c r="FI186">
        <f t="shared" si="393"/>
        <v>0</v>
      </c>
      <c r="FJ186" t="b">
        <f t="shared" si="394"/>
        <v>1</v>
      </c>
      <c r="FK186">
        <f t="shared" ca="1" si="395"/>
        <v>516</v>
      </c>
      <c r="FL186">
        <f t="shared" ca="1" si="396"/>
        <v>516353</v>
      </c>
      <c r="FM186">
        <f t="shared" si="397"/>
        <v>75000</v>
      </c>
      <c r="FN186">
        <f t="shared" ca="1" si="398"/>
        <v>441353</v>
      </c>
      <c r="FO186">
        <f t="shared" ca="1" si="399"/>
        <v>0</v>
      </c>
      <c r="FP186">
        <f t="shared" ca="1" si="400"/>
        <v>0</v>
      </c>
      <c r="FQ186">
        <f t="shared" ca="1" si="401"/>
        <v>0</v>
      </c>
      <c r="FR186">
        <f t="shared" ca="1" si="402"/>
        <v>0</v>
      </c>
      <c r="FS186">
        <f t="shared" ca="1" si="403"/>
        <v>0</v>
      </c>
      <c r="FT186">
        <f t="shared" ca="1" si="404"/>
        <v>0</v>
      </c>
      <c r="FU186">
        <f t="shared" ca="1" si="405"/>
        <v>0</v>
      </c>
      <c r="FV186">
        <f t="shared" ca="1" si="406"/>
        <v>0</v>
      </c>
      <c r="FW186">
        <f t="shared" ca="1" si="407"/>
        <v>141353</v>
      </c>
      <c r="FX186">
        <f t="shared" ca="1" si="408"/>
        <v>7067.6500000000005</v>
      </c>
      <c r="FY186">
        <f t="shared" ca="1" si="409"/>
        <v>7068</v>
      </c>
      <c r="FZ186">
        <f t="shared" ca="1" si="410"/>
        <v>0</v>
      </c>
      <c r="GA186">
        <f t="shared" ca="1" si="411"/>
        <v>0</v>
      </c>
      <c r="GB186">
        <f t="shared" ca="1" si="412"/>
        <v>7068</v>
      </c>
      <c r="GC186">
        <f t="shared" ca="1" si="413"/>
        <v>0</v>
      </c>
      <c r="GD186" t="b">
        <f t="shared" ca="1" si="414"/>
        <v>0</v>
      </c>
      <c r="GE186">
        <f t="shared" ca="1" si="415"/>
        <v>0</v>
      </c>
      <c r="GF186">
        <f t="shared" ca="1" si="416"/>
        <v>7068</v>
      </c>
      <c r="GG186">
        <f t="shared" ca="1" si="417"/>
        <v>0</v>
      </c>
      <c r="GH186">
        <f t="shared" ca="1" si="418"/>
        <v>0</v>
      </c>
      <c r="GI186">
        <f t="shared" ca="1" si="419"/>
        <v>0</v>
      </c>
    </row>
    <row r="187" spans="1:191" x14ac:dyDescent="0.25">
      <c r="A187">
        <f>_xlfn.AGGREGATE(3,5,$B$2:B187)</f>
        <v>186</v>
      </c>
      <c r="B187" t="s">
        <v>492</v>
      </c>
      <c r="C187" t="s">
        <v>493</v>
      </c>
      <c r="D187" t="s">
        <v>810</v>
      </c>
      <c r="E187" t="s">
        <v>843</v>
      </c>
      <c r="F187">
        <v>0</v>
      </c>
      <c r="G187">
        <v>6000</v>
      </c>
      <c r="H187">
        <v>32500</v>
      </c>
      <c r="I187">
        <f t="shared" si="322"/>
        <v>3250</v>
      </c>
      <c r="J187">
        <f t="shared" si="323"/>
        <v>3900</v>
      </c>
      <c r="K187">
        <v>0</v>
      </c>
      <c r="L187">
        <v>0</v>
      </c>
      <c r="M187">
        <f t="shared" si="324"/>
        <v>39650</v>
      </c>
      <c r="N187">
        <v>2000</v>
      </c>
      <c r="O187">
        <v>0</v>
      </c>
      <c r="P187">
        <f t="shared" si="325"/>
        <v>150</v>
      </c>
      <c r="Q187">
        <f t="shared" si="326"/>
        <v>37500</v>
      </c>
      <c r="R187">
        <v>32500</v>
      </c>
      <c r="S187">
        <f t="shared" si="327"/>
        <v>3250</v>
      </c>
      <c r="T187">
        <f t="shared" si="328"/>
        <v>3900</v>
      </c>
      <c r="U187">
        <v>0</v>
      </c>
      <c r="V187">
        <v>0</v>
      </c>
      <c r="W187">
        <f t="shared" si="329"/>
        <v>39650</v>
      </c>
      <c r="X187">
        <v>2000</v>
      </c>
      <c r="Y187">
        <v>0</v>
      </c>
      <c r="Z187">
        <f t="shared" si="330"/>
        <v>150</v>
      </c>
      <c r="AA187">
        <f t="shared" si="331"/>
        <v>37500</v>
      </c>
      <c r="AB187">
        <v>32500</v>
      </c>
      <c r="AC187">
        <f t="shared" si="332"/>
        <v>4550</v>
      </c>
      <c r="AD187">
        <f t="shared" si="333"/>
        <v>3900</v>
      </c>
      <c r="AE187">
        <v>0</v>
      </c>
      <c r="AF187">
        <v>0</v>
      </c>
      <c r="AG187">
        <f t="shared" si="334"/>
        <v>40950</v>
      </c>
      <c r="AH187">
        <v>2000</v>
      </c>
      <c r="AI187">
        <v>0</v>
      </c>
      <c r="AJ187">
        <f t="shared" si="335"/>
        <v>200</v>
      </c>
      <c r="AK187">
        <f t="shared" si="336"/>
        <v>38750</v>
      </c>
      <c r="AL187">
        <v>32500</v>
      </c>
      <c r="AM187">
        <f t="shared" si="337"/>
        <v>4550</v>
      </c>
      <c r="AN187">
        <f t="shared" si="338"/>
        <v>3900</v>
      </c>
      <c r="AO187">
        <v>0</v>
      </c>
      <c r="AP187">
        <v>0</v>
      </c>
      <c r="AQ187">
        <f t="shared" si="339"/>
        <v>40950</v>
      </c>
      <c r="AR187">
        <v>2000</v>
      </c>
      <c r="AS187">
        <v>0</v>
      </c>
      <c r="AT187">
        <f t="shared" si="340"/>
        <v>200</v>
      </c>
      <c r="AU187">
        <f t="shared" si="341"/>
        <v>38750</v>
      </c>
      <c r="AV187">
        <v>33500</v>
      </c>
      <c r="AW187">
        <f t="shared" si="342"/>
        <v>4690</v>
      </c>
      <c r="AX187">
        <f t="shared" si="343"/>
        <v>1300</v>
      </c>
      <c r="AY187">
        <f t="shared" si="344"/>
        <v>4020</v>
      </c>
      <c r="AZ187">
        <v>0</v>
      </c>
      <c r="BA187">
        <v>0</v>
      </c>
      <c r="BB187">
        <f t="shared" si="345"/>
        <v>43510</v>
      </c>
      <c r="BC187">
        <v>2500</v>
      </c>
      <c r="BD187">
        <v>0</v>
      </c>
      <c r="BE187">
        <f t="shared" si="346"/>
        <v>200</v>
      </c>
      <c r="BF187">
        <f t="shared" si="347"/>
        <v>40810</v>
      </c>
      <c r="BG187">
        <v>33500</v>
      </c>
      <c r="BH187">
        <f t="shared" si="348"/>
        <v>4690</v>
      </c>
      <c r="BI187">
        <f t="shared" si="349"/>
        <v>4020</v>
      </c>
      <c r="BJ187">
        <v>0</v>
      </c>
      <c r="BK187">
        <v>0</v>
      </c>
      <c r="BL187">
        <f t="shared" si="350"/>
        <v>42210</v>
      </c>
      <c r="BM187">
        <v>2500</v>
      </c>
      <c r="BN187">
        <v>0</v>
      </c>
      <c r="BO187">
        <f t="shared" si="351"/>
        <v>200</v>
      </c>
      <c r="BP187">
        <f t="shared" si="352"/>
        <v>39510</v>
      </c>
      <c r="BQ187">
        <v>33500</v>
      </c>
      <c r="BR187">
        <f t="shared" si="353"/>
        <v>4690</v>
      </c>
      <c r="BS187">
        <f t="shared" si="354"/>
        <v>4020</v>
      </c>
      <c r="BT187">
        <v>0</v>
      </c>
      <c r="BU187">
        <v>0</v>
      </c>
      <c r="BV187">
        <f t="shared" si="355"/>
        <v>42210</v>
      </c>
      <c r="BW187">
        <v>2500</v>
      </c>
      <c r="BX187">
        <v>0</v>
      </c>
      <c r="BY187">
        <f t="shared" si="356"/>
        <v>200</v>
      </c>
      <c r="BZ187">
        <f t="shared" si="357"/>
        <v>39510</v>
      </c>
      <c r="CA187">
        <v>33500</v>
      </c>
      <c r="CB187">
        <f t="shared" si="358"/>
        <v>4690</v>
      </c>
      <c r="CC187">
        <f t="shared" si="359"/>
        <v>4020</v>
      </c>
      <c r="CD187">
        <v>0</v>
      </c>
      <c r="CE187">
        <v>0</v>
      </c>
      <c r="CF187">
        <f t="shared" si="360"/>
        <v>42210</v>
      </c>
      <c r="CG187">
        <v>2500</v>
      </c>
      <c r="CH187">
        <v>0</v>
      </c>
      <c r="CI187">
        <f t="shared" si="361"/>
        <v>200</v>
      </c>
      <c r="CJ187">
        <f t="shared" si="362"/>
        <v>39510</v>
      </c>
      <c r="CK187">
        <v>33500</v>
      </c>
      <c r="CL187">
        <f t="shared" si="363"/>
        <v>4690</v>
      </c>
      <c r="CM187">
        <f t="shared" si="364"/>
        <v>4020</v>
      </c>
      <c r="CN187">
        <v>0</v>
      </c>
      <c r="CO187">
        <v>0</v>
      </c>
      <c r="CP187">
        <f t="shared" si="365"/>
        <v>42210</v>
      </c>
      <c r="CQ187">
        <v>2500</v>
      </c>
      <c r="CR187">
        <v>0</v>
      </c>
      <c r="CS187">
        <f t="shared" si="366"/>
        <v>200</v>
      </c>
      <c r="CT187">
        <f t="shared" si="367"/>
        <v>39510</v>
      </c>
      <c r="CU187">
        <v>33500</v>
      </c>
      <c r="CV187">
        <f t="shared" si="368"/>
        <v>4690</v>
      </c>
      <c r="CW187">
        <f t="shared" si="369"/>
        <v>4020</v>
      </c>
      <c r="CX187">
        <v>0</v>
      </c>
      <c r="CY187">
        <v>0</v>
      </c>
      <c r="CZ187">
        <f t="shared" si="370"/>
        <v>42210</v>
      </c>
      <c r="DA187">
        <v>2500</v>
      </c>
      <c r="DB187">
        <v>0</v>
      </c>
      <c r="DC187">
        <f t="shared" si="371"/>
        <v>200</v>
      </c>
      <c r="DD187">
        <f t="shared" si="372"/>
        <v>39510</v>
      </c>
      <c r="DE187">
        <v>33500</v>
      </c>
      <c r="DF187">
        <f t="shared" si="373"/>
        <v>4690</v>
      </c>
      <c r="DG187">
        <f t="shared" si="374"/>
        <v>4020</v>
      </c>
      <c r="DH187">
        <v>0</v>
      </c>
      <c r="DI187">
        <v>0</v>
      </c>
      <c r="DJ187">
        <f t="shared" si="375"/>
        <v>42210</v>
      </c>
      <c r="DK187">
        <v>2500</v>
      </c>
      <c r="DL187">
        <v>0</v>
      </c>
      <c r="DM187">
        <f t="shared" si="376"/>
        <v>200</v>
      </c>
      <c r="DN187">
        <f t="shared" si="377"/>
        <v>39510</v>
      </c>
      <c r="DO187">
        <v>33500</v>
      </c>
      <c r="DP187">
        <f t="shared" si="378"/>
        <v>4690</v>
      </c>
      <c r="DQ187">
        <f t="shared" si="379"/>
        <v>4020</v>
      </c>
      <c r="DR187">
        <v>0</v>
      </c>
      <c r="DS187">
        <v>0</v>
      </c>
      <c r="DT187">
        <f t="shared" si="380"/>
        <v>42210</v>
      </c>
      <c r="DU187">
        <v>2500</v>
      </c>
      <c r="DV187">
        <v>0</v>
      </c>
      <c r="DW187">
        <f t="shared" si="381"/>
        <v>200</v>
      </c>
      <c r="DX187">
        <f t="shared" si="382"/>
        <v>39510</v>
      </c>
      <c r="DY187">
        <f t="shared" si="383"/>
        <v>506180</v>
      </c>
      <c r="DZ187">
        <f t="shared" si="315"/>
        <v>2300</v>
      </c>
      <c r="EA187">
        <f t="shared" si="316"/>
        <v>50000</v>
      </c>
      <c r="EB187">
        <v>0</v>
      </c>
      <c r="EC187">
        <f t="shared" si="317"/>
        <v>453880</v>
      </c>
      <c r="ED187">
        <f t="shared" si="318"/>
        <v>28000</v>
      </c>
      <c r="EE187">
        <f t="shared" si="319"/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f t="shared" si="320"/>
        <v>28000</v>
      </c>
      <c r="EQ187">
        <f t="shared" si="384"/>
        <v>28000</v>
      </c>
      <c r="ER187">
        <f t="shared" si="321"/>
        <v>425880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f t="shared" si="385"/>
        <v>0</v>
      </c>
      <c r="FA187">
        <f t="shared" si="386"/>
        <v>425880</v>
      </c>
      <c r="FB187">
        <f t="shared" si="387"/>
        <v>8794</v>
      </c>
      <c r="FC187">
        <f t="shared" si="388"/>
        <v>0</v>
      </c>
      <c r="FD187">
        <f t="shared" si="389"/>
        <v>8794</v>
      </c>
      <c r="FE187">
        <f t="shared" si="390"/>
        <v>0</v>
      </c>
      <c r="FF187">
        <f t="shared" si="391"/>
        <v>0</v>
      </c>
      <c r="FG187">
        <f t="shared" si="392"/>
        <v>0</v>
      </c>
      <c r="FH187">
        <v>0</v>
      </c>
      <c r="FI187">
        <f t="shared" si="393"/>
        <v>0</v>
      </c>
      <c r="FJ187" t="b">
        <f t="shared" si="394"/>
        <v>1</v>
      </c>
      <c r="FK187">
        <f t="shared" ca="1" si="395"/>
        <v>949</v>
      </c>
      <c r="FL187">
        <f t="shared" ca="1" si="396"/>
        <v>507129</v>
      </c>
      <c r="FM187">
        <f t="shared" si="397"/>
        <v>75000</v>
      </c>
      <c r="FN187">
        <f t="shared" ca="1" si="398"/>
        <v>432129</v>
      </c>
      <c r="FO187">
        <f t="shared" ca="1" si="399"/>
        <v>0</v>
      </c>
      <c r="FP187">
        <f t="shared" ca="1" si="400"/>
        <v>0</v>
      </c>
      <c r="FQ187">
        <f t="shared" ca="1" si="401"/>
        <v>0</v>
      </c>
      <c r="FR187">
        <f t="shared" ca="1" si="402"/>
        <v>0</v>
      </c>
      <c r="FS187">
        <f t="shared" ca="1" si="403"/>
        <v>0</v>
      </c>
      <c r="FT187">
        <f t="shared" ca="1" si="404"/>
        <v>0</v>
      </c>
      <c r="FU187">
        <f t="shared" ca="1" si="405"/>
        <v>0</v>
      </c>
      <c r="FV187">
        <f t="shared" ca="1" si="406"/>
        <v>0</v>
      </c>
      <c r="FW187">
        <f t="shared" ca="1" si="407"/>
        <v>132129</v>
      </c>
      <c r="FX187">
        <f t="shared" ca="1" si="408"/>
        <v>6606.4500000000007</v>
      </c>
      <c r="FY187">
        <f t="shared" ca="1" si="409"/>
        <v>6606</v>
      </c>
      <c r="FZ187">
        <f t="shared" ca="1" si="410"/>
        <v>0</v>
      </c>
      <c r="GA187">
        <f t="shared" ca="1" si="411"/>
        <v>0</v>
      </c>
      <c r="GB187">
        <f t="shared" ca="1" si="412"/>
        <v>6606</v>
      </c>
      <c r="GC187">
        <f t="shared" ca="1" si="413"/>
        <v>0</v>
      </c>
      <c r="GD187" t="b">
        <f t="shared" ca="1" si="414"/>
        <v>0</v>
      </c>
      <c r="GE187">
        <f t="shared" ca="1" si="415"/>
        <v>0</v>
      </c>
      <c r="GF187">
        <f t="shared" ca="1" si="416"/>
        <v>6606</v>
      </c>
      <c r="GG187">
        <f t="shared" ca="1" si="417"/>
        <v>0</v>
      </c>
      <c r="GH187">
        <f t="shared" ca="1" si="418"/>
        <v>0</v>
      </c>
      <c r="GI187">
        <f t="shared" ca="1" si="419"/>
        <v>0</v>
      </c>
    </row>
    <row r="188" spans="1:191" x14ac:dyDescent="0.25">
      <c r="A188">
        <f>_xlfn.AGGREGATE(3,5,$B$2:B188)</f>
        <v>187</v>
      </c>
      <c r="B188" t="s">
        <v>494</v>
      </c>
      <c r="C188" t="s">
        <v>495</v>
      </c>
      <c r="D188" t="s">
        <v>810</v>
      </c>
      <c r="E188" t="s">
        <v>843</v>
      </c>
      <c r="F188">
        <v>0</v>
      </c>
      <c r="G188">
        <v>0</v>
      </c>
      <c r="H188">
        <v>0</v>
      </c>
      <c r="I188">
        <f t="shared" si="322"/>
        <v>0</v>
      </c>
      <c r="J188">
        <f t="shared" si="323"/>
        <v>0</v>
      </c>
      <c r="K188">
        <v>0</v>
      </c>
      <c r="L188">
        <v>0</v>
      </c>
      <c r="M188">
        <f t="shared" si="324"/>
        <v>0</v>
      </c>
      <c r="N188">
        <v>0</v>
      </c>
      <c r="O188">
        <v>0</v>
      </c>
      <c r="P188">
        <f t="shared" si="325"/>
        <v>0</v>
      </c>
      <c r="Q188">
        <f t="shared" si="326"/>
        <v>0</v>
      </c>
      <c r="R188">
        <v>28900</v>
      </c>
      <c r="S188">
        <f t="shared" si="327"/>
        <v>2890</v>
      </c>
      <c r="T188">
        <f t="shared" si="328"/>
        <v>3468</v>
      </c>
      <c r="U188">
        <v>0</v>
      </c>
      <c r="V188">
        <v>500</v>
      </c>
      <c r="W188">
        <f t="shared" si="329"/>
        <v>35758</v>
      </c>
      <c r="X188">
        <v>0</v>
      </c>
      <c r="Y188">
        <v>0</v>
      </c>
      <c r="Z188">
        <f t="shared" si="330"/>
        <v>150</v>
      </c>
      <c r="AA188">
        <f t="shared" si="331"/>
        <v>35608</v>
      </c>
      <c r="AB188">
        <v>28900</v>
      </c>
      <c r="AC188">
        <f t="shared" si="332"/>
        <v>4046.0000000000005</v>
      </c>
      <c r="AD188">
        <f t="shared" si="333"/>
        <v>3468</v>
      </c>
      <c r="AE188">
        <v>0</v>
      </c>
      <c r="AF188">
        <v>500</v>
      </c>
      <c r="AG188">
        <f t="shared" si="334"/>
        <v>36914</v>
      </c>
      <c r="AH188">
        <v>0</v>
      </c>
      <c r="AI188">
        <v>0</v>
      </c>
      <c r="AJ188">
        <f t="shared" si="335"/>
        <v>150</v>
      </c>
      <c r="AK188">
        <f t="shared" si="336"/>
        <v>36764</v>
      </c>
      <c r="AL188">
        <v>28900</v>
      </c>
      <c r="AM188">
        <f t="shared" si="337"/>
        <v>4046.0000000000005</v>
      </c>
      <c r="AN188">
        <f t="shared" si="338"/>
        <v>3468</v>
      </c>
      <c r="AO188">
        <v>0</v>
      </c>
      <c r="AP188">
        <v>500</v>
      </c>
      <c r="AQ188">
        <f t="shared" si="339"/>
        <v>36914</v>
      </c>
      <c r="AR188">
        <v>0</v>
      </c>
      <c r="AS188">
        <v>0</v>
      </c>
      <c r="AT188">
        <f t="shared" si="340"/>
        <v>150</v>
      </c>
      <c r="AU188">
        <f t="shared" si="341"/>
        <v>36764</v>
      </c>
      <c r="AV188">
        <v>28900</v>
      </c>
      <c r="AW188">
        <f t="shared" si="342"/>
        <v>4046.0000000000005</v>
      </c>
      <c r="AX188">
        <f t="shared" si="343"/>
        <v>1156</v>
      </c>
      <c r="AY188">
        <f t="shared" si="344"/>
        <v>3468</v>
      </c>
      <c r="AZ188">
        <v>0</v>
      </c>
      <c r="BA188">
        <v>500</v>
      </c>
      <c r="BB188">
        <f t="shared" si="345"/>
        <v>38070</v>
      </c>
      <c r="BC188">
        <v>0</v>
      </c>
      <c r="BD188">
        <v>0</v>
      </c>
      <c r="BE188">
        <f t="shared" si="346"/>
        <v>150</v>
      </c>
      <c r="BF188">
        <f t="shared" si="347"/>
        <v>37920</v>
      </c>
      <c r="BG188">
        <v>28900</v>
      </c>
      <c r="BH188">
        <f t="shared" si="348"/>
        <v>4046.0000000000005</v>
      </c>
      <c r="BI188">
        <f t="shared" si="349"/>
        <v>3468</v>
      </c>
      <c r="BJ188">
        <v>0</v>
      </c>
      <c r="BK188">
        <v>500</v>
      </c>
      <c r="BL188">
        <f t="shared" si="350"/>
        <v>36914</v>
      </c>
      <c r="BM188">
        <v>0</v>
      </c>
      <c r="BN188">
        <v>0</v>
      </c>
      <c r="BO188">
        <f t="shared" si="351"/>
        <v>150</v>
      </c>
      <c r="BP188">
        <f t="shared" si="352"/>
        <v>36764</v>
      </c>
      <c r="BQ188">
        <v>28900</v>
      </c>
      <c r="BR188">
        <f t="shared" si="353"/>
        <v>4046.0000000000005</v>
      </c>
      <c r="BS188">
        <f t="shared" si="354"/>
        <v>3468</v>
      </c>
      <c r="BT188">
        <v>0</v>
      </c>
      <c r="BU188">
        <v>500</v>
      </c>
      <c r="BV188">
        <f t="shared" si="355"/>
        <v>36914</v>
      </c>
      <c r="BW188">
        <v>0</v>
      </c>
      <c r="BX188">
        <v>0</v>
      </c>
      <c r="BY188">
        <f t="shared" si="356"/>
        <v>150</v>
      </c>
      <c r="BZ188">
        <f t="shared" si="357"/>
        <v>36764</v>
      </c>
      <c r="CA188">
        <v>28900</v>
      </c>
      <c r="CB188">
        <f t="shared" si="358"/>
        <v>4046.0000000000005</v>
      </c>
      <c r="CC188">
        <f t="shared" si="359"/>
        <v>3468</v>
      </c>
      <c r="CD188">
        <v>0</v>
      </c>
      <c r="CE188">
        <v>500</v>
      </c>
      <c r="CF188">
        <f t="shared" si="360"/>
        <v>36914</v>
      </c>
      <c r="CG188">
        <v>0</v>
      </c>
      <c r="CH188">
        <v>0</v>
      </c>
      <c r="CI188">
        <f t="shared" si="361"/>
        <v>150</v>
      </c>
      <c r="CJ188">
        <f t="shared" si="362"/>
        <v>36764</v>
      </c>
      <c r="CK188">
        <v>28900</v>
      </c>
      <c r="CL188">
        <f t="shared" si="363"/>
        <v>4046.0000000000005</v>
      </c>
      <c r="CM188">
        <f t="shared" si="364"/>
        <v>3468</v>
      </c>
      <c r="CN188">
        <v>0</v>
      </c>
      <c r="CO188">
        <v>500</v>
      </c>
      <c r="CP188">
        <f t="shared" si="365"/>
        <v>36914</v>
      </c>
      <c r="CQ188">
        <v>0</v>
      </c>
      <c r="CR188">
        <v>0</v>
      </c>
      <c r="CS188">
        <f t="shared" si="366"/>
        <v>150</v>
      </c>
      <c r="CT188">
        <f t="shared" si="367"/>
        <v>36764</v>
      </c>
      <c r="CU188">
        <v>28900</v>
      </c>
      <c r="CV188">
        <f t="shared" si="368"/>
        <v>4046</v>
      </c>
      <c r="CW188">
        <f t="shared" si="369"/>
        <v>3468</v>
      </c>
      <c r="CX188">
        <v>0</v>
      </c>
      <c r="CY188">
        <v>500</v>
      </c>
      <c r="CZ188">
        <f t="shared" si="370"/>
        <v>36914</v>
      </c>
      <c r="DA188">
        <v>0</v>
      </c>
      <c r="DB188">
        <v>0</v>
      </c>
      <c r="DC188">
        <f t="shared" si="371"/>
        <v>150</v>
      </c>
      <c r="DD188">
        <f t="shared" si="372"/>
        <v>36764</v>
      </c>
      <c r="DE188">
        <v>28900</v>
      </c>
      <c r="DF188">
        <f t="shared" si="373"/>
        <v>4046.0000000000005</v>
      </c>
      <c r="DG188">
        <f t="shared" si="374"/>
        <v>3468</v>
      </c>
      <c r="DH188">
        <v>0</v>
      </c>
      <c r="DI188">
        <v>500</v>
      </c>
      <c r="DJ188">
        <f t="shared" si="375"/>
        <v>36914</v>
      </c>
      <c r="DK188">
        <v>0</v>
      </c>
      <c r="DL188">
        <v>0</v>
      </c>
      <c r="DM188">
        <f t="shared" si="376"/>
        <v>150</v>
      </c>
      <c r="DN188">
        <f t="shared" si="377"/>
        <v>36764</v>
      </c>
      <c r="DO188">
        <v>28900</v>
      </c>
      <c r="DP188">
        <f t="shared" si="378"/>
        <v>4046.0000000000005</v>
      </c>
      <c r="DQ188">
        <f t="shared" si="379"/>
        <v>3468</v>
      </c>
      <c r="DR188">
        <v>0</v>
      </c>
      <c r="DS188">
        <v>500</v>
      </c>
      <c r="DT188">
        <f t="shared" si="380"/>
        <v>36914</v>
      </c>
      <c r="DU188">
        <v>2000</v>
      </c>
      <c r="DV188">
        <v>0</v>
      </c>
      <c r="DW188">
        <f t="shared" si="381"/>
        <v>150</v>
      </c>
      <c r="DX188">
        <f t="shared" si="382"/>
        <v>34764</v>
      </c>
      <c r="DY188">
        <f t="shared" si="383"/>
        <v>406054</v>
      </c>
      <c r="DZ188">
        <f t="shared" si="315"/>
        <v>1650</v>
      </c>
      <c r="EA188">
        <f t="shared" si="316"/>
        <v>50000</v>
      </c>
      <c r="EB188">
        <v>0</v>
      </c>
      <c r="EC188">
        <f t="shared" si="317"/>
        <v>354404</v>
      </c>
      <c r="ED188">
        <f t="shared" si="318"/>
        <v>2000</v>
      </c>
      <c r="EE188">
        <f t="shared" si="319"/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f t="shared" si="320"/>
        <v>2000</v>
      </c>
      <c r="EQ188">
        <f t="shared" si="384"/>
        <v>2000</v>
      </c>
      <c r="ER188">
        <f t="shared" si="321"/>
        <v>352404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f t="shared" si="385"/>
        <v>0</v>
      </c>
      <c r="FA188">
        <f t="shared" si="386"/>
        <v>352404</v>
      </c>
      <c r="FB188">
        <f t="shared" si="387"/>
        <v>5120</v>
      </c>
      <c r="FC188">
        <f t="shared" si="388"/>
        <v>0</v>
      </c>
      <c r="FD188">
        <f t="shared" si="389"/>
        <v>5120</v>
      </c>
      <c r="FE188">
        <f t="shared" si="390"/>
        <v>0</v>
      </c>
      <c r="FF188">
        <f t="shared" si="391"/>
        <v>0</v>
      </c>
      <c r="FG188">
        <f t="shared" si="392"/>
        <v>0</v>
      </c>
      <c r="FH188">
        <v>0</v>
      </c>
      <c r="FI188">
        <f t="shared" si="393"/>
        <v>0</v>
      </c>
      <c r="FJ188" t="b">
        <f t="shared" si="394"/>
        <v>0</v>
      </c>
      <c r="FK188">
        <f t="shared" ca="1" si="395"/>
        <v>1190</v>
      </c>
      <c r="FL188">
        <f t="shared" ca="1" si="396"/>
        <v>407244</v>
      </c>
      <c r="FM188">
        <f t="shared" si="397"/>
        <v>75000</v>
      </c>
      <c r="FN188">
        <f t="shared" ca="1" si="398"/>
        <v>332244</v>
      </c>
      <c r="FO188">
        <f t="shared" ca="1" si="399"/>
        <v>0</v>
      </c>
      <c r="FP188">
        <f t="shared" ca="1" si="400"/>
        <v>0</v>
      </c>
      <c r="FQ188">
        <f t="shared" ca="1" si="401"/>
        <v>0</v>
      </c>
      <c r="FR188">
        <f t="shared" ca="1" si="402"/>
        <v>0</v>
      </c>
      <c r="FS188">
        <f t="shared" ca="1" si="403"/>
        <v>0</v>
      </c>
      <c r="FT188">
        <f t="shared" ca="1" si="404"/>
        <v>0</v>
      </c>
      <c r="FU188">
        <f t="shared" ca="1" si="405"/>
        <v>0</v>
      </c>
      <c r="FV188">
        <f t="shared" ca="1" si="406"/>
        <v>0</v>
      </c>
      <c r="FW188">
        <f t="shared" ca="1" si="407"/>
        <v>32244</v>
      </c>
      <c r="FX188">
        <f t="shared" ca="1" si="408"/>
        <v>1612.2</v>
      </c>
      <c r="FY188">
        <f t="shared" ca="1" si="409"/>
        <v>1612</v>
      </c>
      <c r="FZ188">
        <f t="shared" ca="1" si="410"/>
        <v>0</v>
      </c>
      <c r="GA188">
        <f t="shared" ca="1" si="411"/>
        <v>0</v>
      </c>
      <c r="GB188">
        <f t="shared" ca="1" si="412"/>
        <v>1612</v>
      </c>
      <c r="GC188">
        <f t="shared" ca="1" si="413"/>
        <v>0</v>
      </c>
      <c r="GD188" t="b">
        <f t="shared" ca="1" si="414"/>
        <v>0</v>
      </c>
      <c r="GE188">
        <f t="shared" ca="1" si="415"/>
        <v>0</v>
      </c>
      <c r="GF188">
        <f t="shared" ca="1" si="416"/>
        <v>1612</v>
      </c>
      <c r="GG188">
        <f t="shared" ca="1" si="417"/>
        <v>0</v>
      </c>
      <c r="GH188">
        <f t="shared" ca="1" si="418"/>
        <v>0</v>
      </c>
      <c r="GI188">
        <f t="shared" ca="1" si="419"/>
        <v>0</v>
      </c>
    </row>
    <row r="189" spans="1:191" x14ac:dyDescent="0.25">
      <c r="A189">
        <f>_xlfn.AGGREGATE(3,5,$B$2:B189)</f>
        <v>188</v>
      </c>
      <c r="B189" t="s">
        <v>496</v>
      </c>
      <c r="C189" t="s">
        <v>497</v>
      </c>
      <c r="D189" t="s">
        <v>810</v>
      </c>
      <c r="E189" t="s">
        <v>843</v>
      </c>
      <c r="F189">
        <v>0</v>
      </c>
      <c r="G189">
        <v>0</v>
      </c>
      <c r="H189">
        <v>0</v>
      </c>
      <c r="I189">
        <f t="shared" si="322"/>
        <v>0</v>
      </c>
      <c r="J189">
        <f t="shared" si="323"/>
        <v>0</v>
      </c>
      <c r="K189">
        <v>0</v>
      </c>
      <c r="L189">
        <v>0</v>
      </c>
      <c r="M189">
        <f t="shared" si="324"/>
        <v>0</v>
      </c>
      <c r="N189">
        <v>0</v>
      </c>
      <c r="O189">
        <v>0</v>
      </c>
      <c r="P189">
        <f t="shared" si="325"/>
        <v>0</v>
      </c>
      <c r="Q189">
        <f t="shared" si="326"/>
        <v>0</v>
      </c>
      <c r="R189">
        <v>0</v>
      </c>
      <c r="S189">
        <f t="shared" si="327"/>
        <v>0</v>
      </c>
      <c r="T189">
        <f t="shared" si="328"/>
        <v>0</v>
      </c>
      <c r="U189">
        <v>0</v>
      </c>
      <c r="V189">
        <v>0</v>
      </c>
      <c r="W189">
        <f t="shared" si="329"/>
        <v>0</v>
      </c>
      <c r="X189">
        <v>0</v>
      </c>
      <c r="Y189">
        <v>0</v>
      </c>
      <c r="Z189">
        <f t="shared" si="330"/>
        <v>0</v>
      </c>
      <c r="AA189">
        <f t="shared" si="331"/>
        <v>0</v>
      </c>
      <c r="AB189">
        <v>0</v>
      </c>
      <c r="AC189">
        <f t="shared" si="332"/>
        <v>0</v>
      </c>
      <c r="AD189">
        <f t="shared" si="333"/>
        <v>0</v>
      </c>
      <c r="AE189">
        <v>0</v>
      </c>
      <c r="AF189">
        <v>0</v>
      </c>
      <c r="AG189">
        <f t="shared" si="334"/>
        <v>0</v>
      </c>
      <c r="AH189">
        <v>0</v>
      </c>
      <c r="AI189">
        <v>0</v>
      </c>
      <c r="AJ189">
        <f t="shared" si="335"/>
        <v>0</v>
      </c>
      <c r="AK189">
        <f t="shared" si="336"/>
        <v>0</v>
      </c>
      <c r="AL189">
        <v>0</v>
      </c>
      <c r="AM189">
        <f t="shared" si="337"/>
        <v>0</v>
      </c>
      <c r="AN189">
        <f t="shared" si="338"/>
        <v>0</v>
      </c>
      <c r="AO189">
        <v>0</v>
      </c>
      <c r="AP189">
        <v>0</v>
      </c>
      <c r="AQ189">
        <f t="shared" si="339"/>
        <v>0</v>
      </c>
      <c r="AR189">
        <v>0</v>
      </c>
      <c r="AS189">
        <v>0</v>
      </c>
      <c r="AT189">
        <f t="shared" si="340"/>
        <v>0</v>
      </c>
      <c r="AU189">
        <f t="shared" si="341"/>
        <v>0</v>
      </c>
      <c r="AV189">
        <v>0</v>
      </c>
      <c r="AW189">
        <f t="shared" si="342"/>
        <v>0</v>
      </c>
      <c r="AX189">
        <f t="shared" si="343"/>
        <v>0</v>
      </c>
      <c r="AY189">
        <f t="shared" si="344"/>
        <v>0</v>
      </c>
      <c r="AZ189">
        <v>0</v>
      </c>
      <c r="BA189">
        <v>0</v>
      </c>
      <c r="BB189">
        <f t="shared" si="345"/>
        <v>0</v>
      </c>
      <c r="BC189">
        <v>0</v>
      </c>
      <c r="BD189">
        <v>0</v>
      </c>
      <c r="BE189">
        <f t="shared" si="346"/>
        <v>0</v>
      </c>
      <c r="BF189">
        <f t="shared" si="347"/>
        <v>0</v>
      </c>
      <c r="BG189">
        <v>0</v>
      </c>
      <c r="BH189">
        <f t="shared" si="348"/>
        <v>0</v>
      </c>
      <c r="BI189">
        <f t="shared" si="349"/>
        <v>0</v>
      </c>
      <c r="BJ189">
        <v>0</v>
      </c>
      <c r="BK189">
        <v>0</v>
      </c>
      <c r="BL189">
        <f t="shared" si="350"/>
        <v>0</v>
      </c>
      <c r="BM189">
        <v>0</v>
      </c>
      <c r="BN189">
        <v>0</v>
      </c>
      <c r="BO189">
        <f t="shared" si="351"/>
        <v>0</v>
      </c>
      <c r="BP189">
        <f t="shared" si="352"/>
        <v>0</v>
      </c>
      <c r="BQ189">
        <v>0</v>
      </c>
      <c r="BR189">
        <f t="shared" si="353"/>
        <v>0</v>
      </c>
      <c r="BS189">
        <f t="shared" si="354"/>
        <v>0</v>
      </c>
      <c r="BT189">
        <v>0</v>
      </c>
      <c r="BU189">
        <v>0</v>
      </c>
      <c r="BV189">
        <f t="shared" si="355"/>
        <v>0</v>
      </c>
      <c r="BW189">
        <v>0</v>
      </c>
      <c r="BX189">
        <v>0</v>
      </c>
      <c r="BY189">
        <f t="shared" si="356"/>
        <v>0</v>
      </c>
      <c r="BZ189">
        <f t="shared" si="357"/>
        <v>0</v>
      </c>
      <c r="CA189">
        <v>0</v>
      </c>
      <c r="CB189">
        <f t="shared" si="358"/>
        <v>0</v>
      </c>
      <c r="CC189">
        <f t="shared" si="359"/>
        <v>0</v>
      </c>
      <c r="CD189">
        <v>0</v>
      </c>
      <c r="CE189">
        <v>0</v>
      </c>
      <c r="CF189">
        <f t="shared" si="360"/>
        <v>0</v>
      </c>
      <c r="CG189">
        <v>0</v>
      </c>
      <c r="CH189">
        <v>0</v>
      </c>
      <c r="CI189">
        <f t="shared" si="361"/>
        <v>0</v>
      </c>
      <c r="CJ189">
        <f t="shared" si="362"/>
        <v>0</v>
      </c>
      <c r="CK189">
        <v>0</v>
      </c>
      <c r="CL189">
        <f t="shared" si="363"/>
        <v>0</v>
      </c>
      <c r="CM189">
        <f t="shared" si="364"/>
        <v>0</v>
      </c>
      <c r="CN189">
        <v>0</v>
      </c>
      <c r="CO189">
        <v>0</v>
      </c>
      <c r="CP189">
        <f t="shared" si="365"/>
        <v>0</v>
      </c>
      <c r="CQ189">
        <v>0</v>
      </c>
      <c r="CR189">
        <v>0</v>
      </c>
      <c r="CS189">
        <f t="shared" si="366"/>
        <v>0</v>
      </c>
      <c r="CT189">
        <f t="shared" si="367"/>
        <v>0</v>
      </c>
      <c r="CU189">
        <v>0</v>
      </c>
      <c r="CV189">
        <f t="shared" si="368"/>
        <v>0</v>
      </c>
      <c r="CW189">
        <f t="shared" si="369"/>
        <v>0</v>
      </c>
      <c r="CX189">
        <v>0</v>
      </c>
      <c r="CY189">
        <v>0</v>
      </c>
      <c r="CZ189">
        <f t="shared" si="370"/>
        <v>0</v>
      </c>
      <c r="DA189">
        <v>0</v>
      </c>
      <c r="DB189">
        <v>0</v>
      </c>
      <c r="DC189">
        <f t="shared" si="371"/>
        <v>0</v>
      </c>
      <c r="DD189">
        <f t="shared" si="372"/>
        <v>0</v>
      </c>
      <c r="DE189">
        <v>0</v>
      </c>
      <c r="DF189">
        <f t="shared" si="373"/>
        <v>0</v>
      </c>
      <c r="DG189">
        <f t="shared" si="374"/>
        <v>0</v>
      </c>
      <c r="DH189">
        <v>0</v>
      </c>
      <c r="DI189">
        <v>0</v>
      </c>
      <c r="DJ189">
        <f t="shared" si="375"/>
        <v>0</v>
      </c>
      <c r="DK189">
        <v>0</v>
      </c>
      <c r="DL189">
        <v>0</v>
      </c>
      <c r="DM189">
        <f t="shared" si="376"/>
        <v>0</v>
      </c>
      <c r="DN189">
        <f t="shared" si="377"/>
        <v>0</v>
      </c>
      <c r="DO189">
        <v>0</v>
      </c>
      <c r="DP189">
        <f t="shared" si="378"/>
        <v>0</v>
      </c>
      <c r="DQ189">
        <f t="shared" si="379"/>
        <v>0</v>
      </c>
      <c r="DR189">
        <v>0</v>
      </c>
      <c r="DS189">
        <v>0</v>
      </c>
      <c r="DT189">
        <f t="shared" si="380"/>
        <v>0</v>
      </c>
      <c r="DU189">
        <v>0</v>
      </c>
      <c r="DV189">
        <v>0</v>
      </c>
      <c r="DW189">
        <f t="shared" si="381"/>
        <v>0</v>
      </c>
      <c r="DX189">
        <f t="shared" si="382"/>
        <v>0</v>
      </c>
      <c r="DY189">
        <f t="shared" si="383"/>
        <v>0</v>
      </c>
      <c r="DZ189">
        <f t="shared" si="315"/>
        <v>0</v>
      </c>
      <c r="EA189">
        <f t="shared" si="316"/>
        <v>0</v>
      </c>
      <c r="EB189">
        <v>0</v>
      </c>
      <c r="EC189">
        <f t="shared" si="317"/>
        <v>0</v>
      </c>
      <c r="ED189">
        <f t="shared" si="318"/>
        <v>0</v>
      </c>
      <c r="EE189">
        <f t="shared" si="319"/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f t="shared" si="320"/>
        <v>0</v>
      </c>
      <c r="EQ189">
        <f t="shared" si="384"/>
        <v>0</v>
      </c>
      <c r="ER189">
        <f t="shared" si="321"/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f t="shared" si="385"/>
        <v>0</v>
      </c>
      <c r="FA189">
        <f t="shared" si="386"/>
        <v>0</v>
      </c>
      <c r="FB189">
        <f t="shared" si="387"/>
        <v>0</v>
      </c>
      <c r="FC189">
        <f t="shared" si="388"/>
        <v>0</v>
      </c>
      <c r="FD189">
        <f t="shared" si="389"/>
        <v>0</v>
      </c>
      <c r="FE189">
        <f t="shared" si="390"/>
        <v>0</v>
      </c>
      <c r="FF189">
        <f t="shared" si="391"/>
        <v>0</v>
      </c>
      <c r="FG189">
        <f t="shared" si="392"/>
        <v>0</v>
      </c>
      <c r="FH189">
        <v>0</v>
      </c>
      <c r="FI189">
        <f t="shared" si="393"/>
        <v>0</v>
      </c>
      <c r="FJ189" t="b">
        <f t="shared" si="394"/>
        <v>0</v>
      </c>
      <c r="FK189">
        <f t="shared" ca="1" si="395"/>
        <v>1130</v>
      </c>
      <c r="FL189">
        <f t="shared" ca="1" si="396"/>
        <v>1130</v>
      </c>
      <c r="FM189">
        <f t="shared" si="397"/>
        <v>0</v>
      </c>
      <c r="FN189">
        <f t="shared" ca="1" si="398"/>
        <v>1130</v>
      </c>
      <c r="FO189">
        <f t="shared" ca="1" si="399"/>
        <v>0</v>
      </c>
      <c r="FP189">
        <f t="shared" ca="1" si="400"/>
        <v>0</v>
      </c>
      <c r="FQ189">
        <f t="shared" ca="1" si="401"/>
        <v>0</v>
      </c>
      <c r="FR189">
        <f t="shared" ca="1" si="402"/>
        <v>0</v>
      </c>
      <c r="FS189">
        <f t="shared" ca="1" si="403"/>
        <v>0</v>
      </c>
      <c r="FT189">
        <f t="shared" ca="1" si="404"/>
        <v>0</v>
      </c>
      <c r="FU189">
        <f t="shared" ca="1" si="405"/>
        <v>0</v>
      </c>
      <c r="FV189">
        <f t="shared" ca="1" si="406"/>
        <v>0</v>
      </c>
      <c r="FW189">
        <f t="shared" ca="1" si="407"/>
        <v>0</v>
      </c>
      <c r="FX189">
        <f t="shared" ca="1" si="408"/>
        <v>0</v>
      </c>
      <c r="FY189">
        <f t="shared" ca="1" si="409"/>
        <v>0</v>
      </c>
      <c r="FZ189">
        <f t="shared" ca="1" si="410"/>
        <v>0</v>
      </c>
      <c r="GA189">
        <f t="shared" ca="1" si="411"/>
        <v>0</v>
      </c>
      <c r="GB189">
        <f t="shared" ca="1" si="412"/>
        <v>0</v>
      </c>
      <c r="GC189">
        <f t="shared" ca="1" si="413"/>
        <v>0</v>
      </c>
      <c r="GD189" t="b">
        <f t="shared" ca="1" si="414"/>
        <v>0</v>
      </c>
      <c r="GE189">
        <f t="shared" ca="1" si="415"/>
        <v>0</v>
      </c>
      <c r="GF189">
        <f t="shared" ca="1" si="416"/>
        <v>0</v>
      </c>
      <c r="GG189">
        <f t="shared" ca="1" si="417"/>
        <v>0</v>
      </c>
      <c r="GH189">
        <f t="shared" ca="1" si="418"/>
        <v>0</v>
      </c>
      <c r="GI189">
        <f t="shared" ca="1" si="419"/>
        <v>0</v>
      </c>
    </row>
    <row r="190" spans="1:191" x14ac:dyDescent="0.25">
      <c r="A190">
        <f>_xlfn.AGGREGATE(3,5,$B$2:B190)</f>
        <v>189</v>
      </c>
      <c r="B190" t="s">
        <v>498</v>
      </c>
      <c r="C190" t="s">
        <v>499</v>
      </c>
      <c r="D190" t="s">
        <v>811</v>
      </c>
      <c r="E190" t="s">
        <v>843</v>
      </c>
      <c r="F190">
        <v>0</v>
      </c>
      <c r="G190">
        <v>0</v>
      </c>
      <c r="H190">
        <v>45900</v>
      </c>
      <c r="I190">
        <f t="shared" si="322"/>
        <v>4590</v>
      </c>
      <c r="J190">
        <f t="shared" si="323"/>
        <v>5508</v>
      </c>
      <c r="K190">
        <v>400</v>
      </c>
      <c r="L190">
        <v>0</v>
      </c>
      <c r="M190">
        <f t="shared" si="324"/>
        <v>56398</v>
      </c>
      <c r="N190">
        <v>4000</v>
      </c>
      <c r="O190">
        <v>0</v>
      </c>
      <c r="P190">
        <f t="shared" si="325"/>
        <v>200</v>
      </c>
      <c r="Q190">
        <f t="shared" si="326"/>
        <v>52198</v>
      </c>
      <c r="R190">
        <v>45900</v>
      </c>
      <c r="S190">
        <f t="shared" si="327"/>
        <v>4590</v>
      </c>
      <c r="T190">
        <f t="shared" si="328"/>
        <v>5508</v>
      </c>
      <c r="U190">
        <v>400</v>
      </c>
      <c r="V190">
        <v>0</v>
      </c>
      <c r="W190">
        <f t="shared" si="329"/>
        <v>56398</v>
      </c>
      <c r="X190">
        <v>4000</v>
      </c>
      <c r="Y190">
        <v>0</v>
      </c>
      <c r="Z190">
        <f t="shared" si="330"/>
        <v>200</v>
      </c>
      <c r="AA190">
        <f t="shared" si="331"/>
        <v>52198</v>
      </c>
      <c r="AB190">
        <v>45900</v>
      </c>
      <c r="AC190">
        <f t="shared" si="332"/>
        <v>6426.0000000000009</v>
      </c>
      <c r="AD190">
        <f t="shared" si="333"/>
        <v>5508</v>
      </c>
      <c r="AE190">
        <v>400</v>
      </c>
      <c r="AF190">
        <v>0</v>
      </c>
      <c r="AG190">
        <f t="shared" si="334"/>
        <v>58234</v>
      </c>
      <c r="AH190">
        <v>4000</v>
      </c>
      <c r="AI190">
        <v>0</v>
      </c>
      <c r="AJ190">
        <f t="shared" si="335"/>
        <v>200</v>
      </c>
      <c r="AK190">
        <f t="shared" si="336"/>
        <v>54034</v>
      </c>
      <c r="AL190">
        <v>45900</v>
      </c>
      <c r="AM190">
        <f t="shared" si="337"/>
        <v>6426.0000000000009</v>
      </c>
      <c r="AN190">
        <f t="shared" si="338"/>
        <v>5508</v>
      </c>
      <c r="AO190">
        <v>400</v>
      </c>
      <c r="AP190">
        <v>0</v>
      </c>
      <c r="AQ190">
        <f t="shared" si="339"/>
        <v>58234</v>
      </c>
      <c r="AR190">
        <v>4000</v>
      </c>
      <c r="AS190">
        <v>0</v>
      </c>
      <c r="AT190">
        <f t="shared" si="340"/>
        <v>200</v>
      </c>
      <c r="AU190">
        <f t="shared" si="341"/>
        <v>54034</v>
      </c>
      <c r="AV190">
        <v>47300</v>
      </c>
      <c r="AW190">
        <f t="shared" si="342"/>
        <v>6622.0000000000009</v>
      </c>
      <c r="AX190">
        <f t="shared" si="343"/>
        <v>1836</v>
      </c>
      <c r="AY190">
        <f t="shared" si="344"/>
        <v>5676</v>
      </c>
      <c r="AZ190">
        <v>400</v>
      </c>
      <c r="BA190">
        <v>0</v>
      </c>
      <c r="BB190">
        <f t="shared" si="345"/>
        <v>61834</v>
      </c>
      <c r="BC190">
        <v>4000</v>
      </c>
      <c r="BD190">
        <v>0</v>
      </c>
      <c r="BE190">
        <f t="shared" si="346"/>
        <v>200</v>
      </c>
      <c r="BF190">
        <f t="shared" si="347"/>
        <v>57634</v>
      </c>
      <c r="BG190">
        <v>47300</v>
      </c>
      <c r="BH190">
        <f t="shared" si="348"/>
        <v>6622.0000000000009</v>
      </c>
      <c r="BI190">
        <f t="shared" si="349"/>
        <v>5676</v>
      </c>
      <c r="BJ190">
        <v>400</v>
      </c>
      <c r="BK190">
        <v>0</v>
      </c>
      <c r="BL190">
        <f t="shared" si="350"/>
        <v>59998</v>
      </c>
      <c r="BM190">
        <v>4000</v>
      </c>
      <c r="BN190">
        <v>0</v>
      </c>
      <c r="BO190">
        <f t="shared" si="351"/>
        <v>200</v>
      </c>
      <c r="BP190">
        <f t="shared" si="352"/>
        <v>55798</v>
      </c>
      <c r="BQ190">
        <v>47300</v>
      </c>
      <c r="BR190">
        <f t="shared" si="353"/>
        <v>6622.0000000000009</v>
      </c>
      <c r="BS190">
        <f t="shared" si="354"/>
        <v>5676</v>
      </c>
      <c r="BT190">
        <v>400</v>
      </c>
      <c r="BU190">
        <v>0</v>
      </c>
      <c r="BV190">
        <f t="shared" si="355"/>
        <v>59998</v>
      </c>
      <c r="BW190">
        <v>4000</v>
      </c>
      <c r="BX190">
        <v>0</v>
      </c>
      <c r="BY190">
        <f t="shared" si="356"/>
        <v>200</v>
      </c>
      <c r="BZ190">
        <f t="shared" si="357"/>
        <v>55798</v>
      </c>
      <c r="CA190">
        <v>47300</v>
      </c>
      <c r="CB190">
        <f t="shared" si="358"/>
        <v>6622.0000000000009</v>
      </c>
      <c r="CC190">
        <f t="shared" si="359"/>
        <v>5676</v>
      </c>
      <c r="CD190">
        <v>400</v>
      </c>
      <c r="CE190">
        <v>0</v>
      </c>
      <c r="CF190">
        <f t="shared" si="360"/>
        <v>59998</v>
      </c>
      <c r="CG190">
        <v>4000</v>
      </c>
      <c r="CH190">
        <v>0</v>
      </c>
      <c r="CI190">
        <f t="shared" si="361"/>
        <v>200</v>
      </c>
      <c r="CJ190">
        <f t="shared" si="362"/>
        <v>55798</v>
      </c>
      <c r="CK190">
        <v>47300</v>
      </c>
      <c r="CL190">
        <f t="shared" si="363"/>
        <v>6622.0000000000009</v>
      </c>
      <c r="CM190">
        <f t="shared" si="364"/>
        <v>5676</v>
      </c>
      <c r="CN190">
        <v>400</v>
      </c>
      <c r="CO190">
        <v>0</v>
      </c>
      <c r="CP190">
        <f t="shared" si="365"/>
        <v>59998</v>
      </c>
      <c r="CQ190">
        <v>4000</v>
      </c>
      <c r="CR190">
        <v>0</v>
      </c>
      <c r="CS190">
        <f t="shared" si="366"/>
        <v>200</v>
      </c>
      <c r="CT190">
        <f t="shared" si="367"/>
        <v>55798</v>
      </c>
      <c r="CU190">
        <v>47300</v>
      </c>
      <c r="CV190">
        <f t="shared" si="368"/>
        <v>6622</v>
      </c>
      <c r="CW190">
        <f t="shared" si="369"/>
        <v>5676</v>
      </c>
      <c r="CX190">
        <v>400</v>
      </c>
      <c r="CY190">
        <v>0</v>
      </c>
      <c r="CZ190">
        <f t="shared" si="370"/>
        <v>59998</v>
      </c>
      <c r="DA190">
        <v>4000</v>
      </c>
      <c r="DB190">
        <v>0</v>
      </c>
      <c r="DC190">
        <f t="shared" si="371"/>
        <v>200</v>
      </c>
      <c r="DD190">
        <f t="shared" si="372"/>
        <v>55798</v>
      </c>
      <c r="DE190">
        <v>47300</v>
      </c>
      <c r="DF190">
        <f t="shared" si="373"/>
        <v>6622.0000000000009</v>
      </c>
      <c r="DG190">
        <f t="shared" si="374"/>
        <v>5676</v>
      </c>
      <c r="DH190">
        <v>400</v>
      </c>
      <c r="DI190">
        <v>0</v>
      </c>
      <c r="DJ190">
        <f t="shared" si="375"/>
        <v>59998</v>
      </c>
      <c r="DK190">
        <v>4000</v>
      </c>
      <c r="DL190">
        <v>0</v>
      </c>
      <c r="DM190">
        <f t="shared" si="376"/>
        <v>200</v>
      </c>
      <c r="DN190">
        <f t="shared" si="377"/>
        <v>55798</v>
      </c>
      <c r="DO190">
        <v>47300</v>
      </c>
      <c r="DP190">
        <f t="shared" si="378"/>
        <v>6622.0000000000009</v>
      </c>
      <c r="DQ190">
        <f t="shared" si="379"/>
        <v>5676</v>
      </c>
      <c r="DR190">
        <v>400</v>
      </c>
      <c r="DS190">
        <v>0</v>
      </c>
      <c r="DT190">
        <f t="shared" si="380"/>
        <v>59998</v>
      </c>
      <c r="DU190">
        <v>4000</v>
      </c>
      <c r="DV190">
        <v>0</v>
      </c>
      <c r="DW190">
        <f t="shared" si="381"/>
        <v>200</v>
      </c>
      <c r="DX190">
        <f t="shared" si="382"/>
        <v>55798</v>
      </c>
      <c r="DY190">
        <f t="shared" si="383"/>
        <v>711084</v>
      </c>
      <c r="DZ190">
        <f t="shared" si="315"/>
        <v>2400</v>
      </c>
      <c r="EA190">
        <f t="shared" si="316"/>
        <v>50000</v>
      </c>
      <c r="EB190">
        <v>0</v>
      </c>
      <c r="EC190">
        <f t="shared" si="317"/>
        <v>658684</v>
      </c>
      <c r="ED190">
        <f t="shared" si="318"/>
        <v>48000</v>
      </c>
      <c r="EE190">
        <f t="shared" si="319"/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f t="shared" si="320"/>
        <v>48000</v>
      </c>
      <c r="EQ190">
        <f t="shared" si="384"/>
        <v>48000</v>
      </c>
      <c r="ER190">
        <f t="shared" si="321"/>
        <v>610684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f t="shared" si="385"/>
        <v>0</v>
      </c>
      <c r="FA190">
        <f t="shared" si="386"/>
        <v>610684</v>
      </c>
      <c r="FB190">
        <f t="shared" si="387"/>
        <v>12500</v>
      </c>
      <c r="FC190">
        <f t="shared" si="388"/>
        <v>22137</v>
      </c>
      <c r="FD190">
        <f t="shared" si="389"/>
        <v>34637</v>
      </c>
      <c r="FE190">
        <f t="shared" si="390"/>
        <v>34637</v>
      </c>
      <c r="FF190">
        <f t="shared" si="391"/>
        <v>1385.48</v>
      </c>
      <c r="FG190">
        <f t="shared" si="392"/>
        <v>36022</v>
      </c>
      <c r="FH190">
        <v>0</v>
      </c>
      <c r="FI190">
        <f t="shared" si="393"/>
        <v>36022</v>
      </c>
      <c r="FJ190" t="b">
        <f t="shared" si="394"/>
        <v>1</v>
      </c>
      <c r="FK190">
        <f t="shared" ca="1" si="395"/>
        <v>901</v>
      </c>
      <c r="FL190">
        <f t="shared" ca="1" si="396"/>
        <v>711985</v>
      </c>
      <c r="FM190">
        <f t="shared" si="397"/>
        <v>75000</v>
      </c>
      <c r="FN190">
        <f t="shared" ca="1" si="398"/>
        <v>636985</v>
      </c>
      <c r="FO190">
        <f t="shared" ca="1" si="399"/>
        <v>0</v>
      </c>
      <c r="FP190">
        <f t="shared" ca="1" si="400"/>
        <v>0</v>
      </c>
      <c r="FQ190">
        <f t="shared" ca="1" si="401"/>
        <v>0</v>
      </c>
      <c r="FR190">
        <f t="shared" ca="1" si="402"/>
        <v>0</v>
      </c>
      <c r="FS190">
        <f t="shared" ca="1" si="403"/>
        <v>0</v>
      </c>
      <c r="FT190">
        <f t="shared" ca="1" si="404"/>
        <v>0</v>
      </c>
      <c r="FU190">
        <f t="shared" ca="1" si="405"/>
        <v>0</v>
      </c>
      <c r="FV190">
        <f t="shared" ca="1" si="406"/>
        <v>0</v>
      </c>
      <c r="FW190">
        <f t="shared" ca="1" si="407"/>
        <v>336985</v>
      </c>
      <c r="FX190">
        <f t="shared" ca="1" si="408"/>
        <v>16849.25</v>
      </c>
      <c r="FY190">
        <f t="shared" ca="1" si="409"/>
        <v>16849</v>
      </c>
      <c r="FZ190">
        <f t="shared" ca="1" si="410"/>
        <v>0</v>
      </c>
      <c r="GA190">
        <f t="shared" ca="1" si="411"/>
        <v>0</v>
      </c>
      <c r="GB190">
        <f t="shared" ca="1" si="412"/>
        <v>16849</v>
      </c>
      <c r="GC190">
        <f t="shared" ca="1" si="413"/>
        <v>0</v>
      </c>
      <c r="GD190" t="b">
        <f t="shared" ca="1" si="414"/>
        <v>0</v>
      </c>
      <c r="GE190">
        <f t="shared" ca="1" si="415"/>
        <v>0</v>
      </c>
      <c r="GF190">
        <f t="shared" ca="1" si="416"/>
        <v>16849</v>
      </c>
      <c r="GG190">
        <f t="shared" ca="1" si="417"/>
        <v>0</v>
      </c>
      <c r="GH190">
        <f t="shared" ca="1" si="418"/>
        <v>0</v>
      </c>
      <c r="GI190">
        <f t="shared" ca="1" si="419"/>
        <v>0</v>
      </c>
    </row>
    <row r="191" spans="1:191" x14ac:dyDescent="0.25">
      <c r="A191">
        <f>_xlfn.AGGREGATE(3,5,$B$2:B191)</f>
        <v>190</v>
      </c>
      <c r="B191" t="s">
        <v>500</v>
      </c>
      <c r="C191" t="s">
        <v>501</v>
      </c>
      <c r="D191" t="s">
        <v>811</v>
      </c>
      <c r="E191" t="s">
        <v>843</v>
      </c>
      <c r="F191">
        <v>0</v>
      </c>
      <c r="G191">
        <v>6000</v>
      </c>
      <c r="H191">
        <v>32500</v>
      </c>
      <c r="I191">
        <f t="shared" si="322"/>
        <v>3250</v>
      </c>
      <c r="J191">
        <f t="shared" si="323"/>
        <v>3900</v>
      </c>
      <c r="K191">
        <v>0</v>
      </c>
      <c r="L191">
        <v>500</v>
      </c>
      <c r="M191">
        <f t="shared" si="324"/>
        <v>40150</v>
      </c>
      <c r="N191">
        <v>3000</v>
      </c>
      <c r="O191">
        <v>0</v>
      </c>
      <c r="P191">
        <f t="shared" si="325"/>
        <v>200</v>
      </c>
      <c r="Q191">
        <f t="shared" si="326"/>
        <v>36950</v>
      </c>
      <c r="R191">
        <v>32500</v>
      </c>
      <c r="S191">
        <f t="shared" si="327"/>
        <v>3250</v>
      </c>
      <c r="T191">
        <f t="shared" si="328"/>
        <v>3900</v>
      </c>
      <c r="U191">
        <v>0</v>
      </c>
      <c r="V191">
        <v>500</v>
      </c>
      <c r="W191">
        <f t="shared" si="329"/>
        <v>40150</v>
      </c>
      <c r="X191">
        <v>3000</v>
      </c>
      <c r="Y191">
        <v>0</v>
      </c>
      <c r="Z191">
        <f t="shared" si="330"/>
        <v>200</v>
      </c>
      <c r="AA191">
        <f t="shared" si="331"/>
        <v>36950</v>
      </c>
      <c r="AB191">
        <v>32500</v>
      </c>
      <c r="AC191">
        <f t="shared" si="332"/>
        <v>4550</v>
      </c>
      <c r="AD191">
        <f t="shared" si="333"/>
        <v>3900</v>
      </c>
      <c r="AE191">
        <v>0</v>
      </c>
      <c r="AF191">
        <v>500</v>
      </c>
      <c r="AG191">
        <f t="shared" si="334"/>
        <v>41450</v>
      </c>
      <c r="AH191">
        <v>3000</v>
      </c>
      <c r="AI191">
        <v>0</v>
      </c>
      <c r="AJ191">
        <f t="shared" si="335"/>
        <v>200</v>
      </c>
      <c r="AK191">
        <f t="shared" si="336"/>
        <v>38250</v>
      </c>
      <c r="AL191">
        <v>32500</v>
      </c>
      <c r="AM191">
        <f t="shared" si="337"/>
        <v>4550</v>
      </c>
      <c r="AN191">
        <f t="shared" si="338"/>
        <v>3900</v>
      </c>
      <c r="AO191">
        <v>0</v>
      </c>
      <c r="AP191">
        <v>500</v>
      </c>
      <c r="AQ191">
        <f t="shared" si="339"/>
        <v>41450</v>
      </c>
      <c r="AR191">
        <v>3000</v>
      </c>
      <c r="AS191">
        <v>0</v>
      </c>
      <c r="AT191">
        <f t="shared" si="340"/>
        <v>200</v>
      </c>
      <c r="AU191">
        <f t="shared" si="341"/>
        <v>38250</v>
      </c>
      <c r="AV191">
        <v>33500</v>
      </c>
      <c r="AW191">
        <f t="shared" si="342"/>
        <v>4690</v>
      </c>
      <c r="AX191">
        <f t="shared" si="343"/>
        <v>1300</v>
      </c>
      <c r="AY191">
        <f t="shared" si="344"/>
        <v>4020</v>
      </c>
      <c r="AZ191">
        <v>0</v>
      </c>
      <c r="BA191">
        <v>500</v>
      </c>
      <c r="BB191">
        <f t="shared" si="345"/>
        <v>44010</v>
      </c>
      <c r="BC191">
        <v>3000</v>
      </c>
      <c r="BD191">
        <v>0</v>
      </c>
      <c r="BE191">
        <f t="shared" si="346"/>
        <v>200</v>
      </c>
      <c r="BF191">
        <f t="shared" si="347"/>
        <v>40810</v>
      </c>
      <c r="BG191">
        <v>33500</v>
      </c>
      <c r="BH191">
        <f t="shared" si="348"/>
        <v>4690</v>
      </c>
      <c r="BI191">
        <f t="shared" si="349"/>
        <v>4020</v>
      </c>
      <c r="BJ191">
        <v>0</v>
      </c>
      <c r="BK191">
        <v>500</v>
      </c>
      <c r="BL191">
        <f t="shared" si="350"/>
        <v>42710</v>
      </c>
      <c r="BM191">
        <v>3000</v>
      </c>
      <c r="BN191">
        <v>0</v>
      </c>
      <c r="BO191">
        <f t="shared" si="351"/>
        <v>200</v>
      </c>
      <c r="BP191">
        <f t="shared" si="352"/>
        <v>39510</v>
      </c>
      <c r="BQ191">
        <v>33500</v>
      </c>
      <c r="BR191">
        <f t="shared" si="353"/>
        <v>4690</v>
      </c>
      <c r="BS191">
        <f t="shared" si="354"/>
        <v>4020</v>
      </c>
      <c r="BT191">
        <v>0</v>
      </c>
      <c r="BU191">
        <v>500</v>
      </c>
      <c r="BV191">
        <f t="shared" si="355"/>
        <v>42710</v>
      </c>
      <c r="BW191">
        <v>3000</v>
      </c>
      <c r="BX191">
        <v>0</v>
      </c>
      <c r="BY191">
        <f t="shared" si="356"/>
        <v>200</v>
      </c>
      <c r="BZ191">
        <f t="shared" si="357"/>
        <v>39510</v>
      </c>
      <c r="CA191">
        <v>33500</v>
      </c>
      <c r="CB191">
        <f t="shared" si="358"/>
        <v>4690</v>
      </c>
      <c r="CC191">
        <f t="shared" si="359"/>
        <v>4020</v>
      </c>
      <c r="CD191">
        <v>0</v>
      </c>
      <c r="CE191">
        <v>500</v>
      </c>
      <c r="CF191">
        <f t="shared" si="360"/>
        <v>42710</v>
      </c>
      <c r="CG191">
        <v>3000</v>
      </c>
      <c r="CH191">
        <v>0</v>
      </c>
      <c r="CI191">
        <f t="shared" si="361"/>
        <v>200</v>
      </c>
      <c r="CJ191">
        <f t="shared" si="362"/>
        <v>39510</v>
      </c>
      <c r="CK191">
        <v>33500</v>
      </c>
      <c r="CL191">
        <f t="shared" si="363"/>
        <v>4690</v>
      </c>
      <c r="CM191">
        <f t="shared" si="364"/>
        <v>4020</v>
      </c>
      <c r="CN191">
        <v>0</v>
      </c>
      <c r="CO191">
        <v>500</v>
      </c>
      <c r="CP191">
        <f t="shared" si="365"/>
        <v>42710</v>
      </c>
      <c r="CQ191">
        <v>3000</v>
      </c>
      <c r="CR191">
        <v>0</v>
      </c>
      <c r="CS191">
        <f t="shared" si="366"/>
        <v>200</v>
      </c>
      <c r="CT191">
        <f t="shared" si="367"/>
        <v>39510</v>
      </c>
      <c r="CU191">
        <v>33500</v>
      </c>
      <c r="CV191">
        <f t="shared" si="368"/>
        <v>4690</v>
      </c>
      <c r="CW191">
        <f t="shared" si="369"/>
        <v>4020</v>
      </c>
      <c r="CX191">
        <v>0</v>
      </c>
      <c r="CY191">
        <v>500</v>
      </c>
      <c r="CZ191">
        <f t="shared" si="370"/>
        <v>42710</v>
      </c>
      <c r="DA191">
        <v>3000</v>
      </c>
      <c r="DB191">
        <v>0</v>
      </c>
      <c r="DC191">
        <f t="shared" si="371"/>
        <v>200</v>
      </c>
      <c r="DD191">
        <f t="shared" si="372"/>
        <v>39510</v>
      </c>
      <c r="DE191">
        <v>33500</v>
      </c>
      <c r="DF191">
        <f t="shared" si="373"/>
        <v>4690</v>
      </c>
      <c r="DG191">
        <f t="shared" si="374"/>
        <v>4020</v>
      </c>
      <c r="DH191">
        <v>0</v>
      </c>
      <c r="DI191">
        <v>500</v>
      </c>
      <c r="DJ191">
        <f t="shared" si="375"/>
        <v>42710</v>
      </c>
      <c r="DK191">
        <v>3000</v>
      </c>
      <c r="DL191">
        <v>0</v>
      </c>
      <c r="DM191">
        <f t="shared" si="376"/>
        <v>200</v>
      </c>
      <c r="DN191">
        <f t="shared" si="377"/>
        <v>39510</v>
      </c>
      <c r="DO191">
        <v>33500</v>
      </c>
      <c r="DP191">
        <f t="shared" si="378"/>
        <v>4690</v>
      </c>
      <c r="DQ191">
        <f t="shared" si="379"/>
        <v>4020</v>
      </c>
      <c r="DR191">
        <v>0</v>
      </c>
      <c r="DS191">
        <v>500</v>
      </c>
      <c r="DT191">
        <f t="shared" si="380"/>
        <v>42710</v>
      </c>
      <c r="DU191">
        <v>3000</v>
      </c>
      <c r="DV191">
        <v>0</v>
      </c>
      <c r="DW191">
        <f t="shared" si="381"/>
        <v>200</v>
      </c>
      <c r="DX191">
        <f t="shared" si="382"/>
        <v>39510</v>
      </c>
      <c r="DY191">
        <f t="shared" si="383"/>
        <v>512180</v>
      </c>
      <c r="DZ191">
        <f t="shared" si="315"/>
        <v>2400</v>
      </c>
      <c r="EA191">
        <f t="shared" si="316"/>
        <v>50000</v>
      </c>
      <c r="EB191">
        <v>0</v>
      </c>
      <c r="EC191">
        <f t="shared" si="317"/>
        <v>459780</v>
      </c>
      <c r="ED191">
        <f t="shared" si="318"/>
        <v>36000</v>
      </c>
      <c r="EE191">
        <f t="shared" si="319"/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f t="shared" si="320"/>
        <v>36000</v>
      </c>
      <c r="EQ191">
        <f t="shared" si="384"/>
        <v>36000</v>
      </c>
      <c r="ER191">
        <f t="shared" si="321"/>
        <v>423780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f t="shared" si="385"/>
        <v>0</v>
      </c>
      <c r="FA191">
        <f t="shared" si="386"/>
        <v>423780</v>
      </c>
      <c r="FB191">
        <f t="shared" si="387"/>
        <v>8689</v>
      </c>
      <c r="FC191">
        <f t="shared" si="388"/>
        <v>0</v>
      </c>
      <c r="FD191">
        <f t="shared" si="389"/>
        <v>8689</v>
      </c>
      <c r="FE191">
        <f t="shared" si="390"/>
        <v>0</v>
      </c>
      <c r="FF191">
        <f t="shared" si="391"/>
        <v>0</v>
      </c>
      <c r="FG191">
        <f t="shared" si="392"/>
        <v>0</v>
      </c>
      <c r="FH191">
        <v>0</v>
      </c>
      <c r="FI191">
        <f t="shared" si="393"/>
        <v>0</v>
      </c>
      <c r="FJ191" t="b">
        <f t="shared" si="394"/>
        <v>1</v>
      </c>
      <c r="FK191">
        <f t="shared" ca="1" si="395"/>
        <v>552</v>
      </c>
      <c r="FL191">
        <f t="shared" ca="1" si="396"/>
        <v>512732</v>
      </c>
      <c r="FM191">
        <f t="shared" si="397"/>
        <v>75000</v>
      </c>
      <c r="FN191">
        <f t="shared" ca="1" si="398"/>
        <v>437732</v>
      </c>
      <c r="FO191">
        <f t="shared" ca="1" si="399"/>
        <v>0</v>
      </c>
      <c r="FP191">
        <f t="shared" ca="1" si="400"/>
        <v>0</v>
      </c>
      <c r="FQ191">
        <f t="shared" ca="1" si="401"/>
        <v>0</v>
      </c>
      <c r="FR191">
        <f t="shared" ca="1" si="402"/>
        <v>0</v>
      </c>
      <c r="FS191">
        <f t="shared" ca="1" si="403"/>
        <v>0</v>
      </c>
      <c r="FT191">
        <f t="shared" ca="1" si="404"/>
        <v>0</v>
      </c>
      <c r="FU191">
        <f t="shared" ca="1" si="405"/>
        <v>0</v>
      </c>
      <c r="FV191">
        <f t="shared" ca="1" si="406"/>
        <v>0</v>
      </c>
      <c r="FW191">
        <f t="shared" ca="1" si="407"/>
        <v>137732</v>
      </c>
      <c r="FX191">
        <f t="shared" ca="1" si="408"/>
        <v>6886.6</v>
      </c>
      <c r="FY191">
        <f t="shared" ca="1" si="409"/>
        <v>6887</v>
      </c>
      <c r="FZ191">
        <f t="shared" ca="1" si="410"/>
        <v>0</v>
      </c>
      <c r="GA191">
        <f t="shared" ca="1" si="411"/>
        <v>0</v>
      </c>
      <c r="GB191">
        <f t="shared" ca="1" si="412"/>
        <v>6887</v>
      </c>
      <c r="GC191">
        <f t="shared" ca="1" si="413"/>
        <v>0</v>
      </c>
      <c r="GD191" t="b">
        <f t="shared" ca="1" si="414"/>
        <v>0</v>
      </c>
      <c r="GE191">
        <f t="shared" ca="1" si="415"/>
        <v>0</v>
      </c>
      <c r="GF191">
        <f t="shared" ca="1" si="416"/>
        <v>6887</v>
      </c>
      <c r="GG191">
        <f t="shared" ca="1" si="417"/>
        <v>0</v>
      </c>
      <c r="GH191">
        <f t="shared" ca="1" si="418"/>
        <v>0</v>
      </c>
      <c r="GI191">
        <f t="shared" ca="1" si="419"/>
        <v>0</v>
      </c>
    </row>
    <row r="192" spans="1:191" x14ac:dyDescent="0.25">
      <c r="A192">
        <f>_xlfn.AGGREGATE(3,5,$B$2:B192)</f>
        <v>191</v>
      </c>
      <c r="B192" t="s">
        <v>502</v>
      </c>
      <c r="C192" t="s">
        <v>503</v>
      </c>
      <c r="D192" t="s">
        <v>811</v>
      </c>
      <c r="E192" t="s">
        <v>843</v>
      </c>
      <c r="F192">
        <v>0</v>
      </c>
      <c r="G192">
        <v>6000</v>
      </c>
      <c r="H192">
        <v>27800</v>
      </c>
      <c r="I192">
        <f t="shared" si="322"/>
        <v>2780</v>
      </c>
      <c r="J192">
        <f t="shared" si="323"/>
        <v>3336</v>
      </c>
      <c r="K192">
        <v>0</v>
      </c>
      <c r="L192">
        <v>0</v>
      </c>
      <c r="M192">
        <f t="shared" si="324"/>
        <v>33916</v>
      </c>
      <c r="N192">
        <v>5000</v>
      </c>
      <c r="O192">
        <v>0</v>
      </c>
      <c r="P192">
        <f t="shared" si="325"/>
        <v>150</v>
      </c>
      <c r="Q192">
        <f t="shared" si="326"/>
        <v>28766</v>
      </c>
      <c r="R192">
        <v>27800</v>
      </c>
      <c r="S192">
        <f t="shared" si="327"/>
        <v>2780</v>
      </c>
      <c r="T192">
        <f t="shared" si="328"/>
        <v>3336</v>
      </c>
      <c r="U192">
        <v>0</v>
      </c>
      <c r="V192">
        <v>0</v>
      </c>
      <c r="W192">
        <f t="shared" si="329"/>
        <v>33916</v>
      </c>
      <c r="X192">
        <v>5000</v>
      </c>
      <c r="Y192">
        <v>0</v>
      </c>
      <c r="Z192">
        <f t="shared" si="330"/>
        <v>150</v>
      </c>
      <c r="AA192">
        <f t="shared" si="331"/>
        <v>28766</v>
      </c>
      <c r="AB192">
        <v>27800</v>
      </c>
      <c r="AC192">
        <f t="shared" si="332"/>
        <v>3892.0000000000005</v>
      </c>
      <c r="AD192">
        <f t="shared" si="333"/>
        <v>3336</v>
      </c>
      <c r="AE192">
        <v>0</v>
      </c>
      <c r="AF192">
        <v>0</v>
      </c>
      <c r="AG192">
        <f t="shared" si="334"/>
        <v>35028</v>
      </c>
      <c r="AH192">
        <v>5000</v>
      </c>
      <c r="AI192">
        <v>0</v>
      </c>
      <c r="AJ192">
        <f t="shared" si="335"/>
        <v>150</v>
      </c>
      <c r="AK192">
        <f t="shared" si="336"/>
        <v>29878</v>
      </c>
      <c r="AL192">
        <v>27800</v>
      </c>
      <c r="AM192">
        <f t="shared" si="337"/>
        <v>3892.0000000000005</v>
      </c>
      <c r="AN192">
        <f t="shared" si="338"/>
        <v>3336</v>
      </c>
      <c r="AO192">
        <v>0</v>
      </c>
      <c r="AP192">
        <v>0</v>
      </c>
      <c r="AQ192">
        <f t="shared" si="339"/>
        <v>35028</v>
      </c>
      <c r="AR192">
        <v>5000</v>
      </c>
      <c r="AS192">
        <v>0</v>
      </c>
      <c r="AT192">
        <f t="shared" si="340"/>
        <v>150</v>
      </c>
      <c r="AU192">
        <f t="shared" si="341"/>
        <v>29878</v>
      </c>
      <c r="AV192">
        <v>28600</v>
      </c>
      <c r="AW192">
        <f t="shared" si="342"/>
        <v>4004.0000000000005</v>
      </c>
      <c r="AX192">
        <f t="shared" si="343"/>
        <v>1112</v>
      </c>
      <c r="AY192">
        <f t="shared" si="344"/>
        <v>3432</v>
      </c>
      <c r="AZ192">
        <v>0</v>
      </c>
      <c r="BA192">
        <v>0</v>
      </c>
      <c r="BB192">
        <f t="shared" si="345"/>
        <v>37148</v>
      </c>
      <c r="BC192">
        <v>5000</v>
      </c>
      <c r="BD192">
        <v>0</v>
      </c>
      <c r="BE192">
        <f t="shared" si="346"/>
        <v>150</v>
      </c>
      <c r="BF192">
        <f t="shared" si="347"/>
        <v>31998</v>
      </c>
      <c r="BG192">
        <v>28600</v>
      </c>
      <c r="BH192">
        <f t="shared" si="348"/>
        <v>4004.0000000000005</v>
      </c>
      <c r="BI192">
        <f t="shared" si="349"/>
        <v>3432</v>
      </c>
      <c r="BJ192">
        <v>0</v>
      </c>
      <c r="BK192">
        <v>0</v>
      </c>
      <c r="BL192">
        <f t="shared" si="350"/>
        <v>36036</v>
      </c>
      <c r="BM192">
        <v>5000</v>
      </c>
      <c r="BN192">
        <v>0</v>
      </c>
      <c r="BO192">
        <f t="shared" si="351"/>
        <v>150</v>
      </c>
      <c r="BP192">
        <f t="shared" si="352"/>
        <v>30886</v>
      </c>
      <c r="BQ192">
        <v>28600</v>
      </c>
      <c r="BR192">
        <f t="shared" si="353"/>
        <v>4004.0000000000005</v>
      </c>
      <c r="BS192">
        <f t="shared" si="354"/>
        <v>3432</v>
      </c>
      <c r="BT192">
        <v>0</v>
      </c>
      <c r="BU192">
        <v>0</v>
      </c>
      <c r="BV192">
        <f t="shared" si="355"/>
        <v>36036</v>
      </c>
      <c r="BW192">
        <v>5000</v>
      </c>
      <c r="BX192">
        <v>0</v>
      </c>
      <c r="BY192">
        <f t="shared" si="356"/>
        <v>150</v>
      </c>
      <c r="BZ192">
        <f t="shared" si="357"/>
        <v>30886</v>
      </c>
      <c r="CA192">
        <v>28600</v>
      </c>
      <c r="CB192">
        <f t="shared" si="358"/>
        <v>4004.0000000000005</v>
      </c>
      <c r="CC192">
        <f t="shared" si="359"/>
        <v>3432</v>
      </c>
      <c r="CD192">
        <v>0</v>
      </c>
      <c r="CE192">
        <v>0</v>
      </c>
      <c r="CF192">
        <f t="shared" si="360"/>
        <v>36036</v>
      </c>
      <c r="CG192">
        <v>5000</v>
      </c>
      <c r="CH192">
        <v>0</v>
      </c>
      <c r="CI192">
        <f t="shared" si="361"/>
        <v>150</v>
      </c>
      <c r="CJ192">
        <f t="shared" si="362"/>
        <v>30886</v>
      </c>
      <c r="CK192">
        <v>28600</v>
      </c>
      <c r="CL192">
        <f t="shared" si="363"/>
        <v>4004.0000000000005</v>
      </c>
      <c r="CM192">
        <f t="shared" si="364"/>
        <v>3432</v>
      </c>
      <c r="CN192">
        <v>0</v>
      </c>
      <c r="CO192">
        <v>0</v>
      </c>
      <c r="CP192">
        <f t="shared" si="365"/>
        <v>36036</v>
      </c>
      <c r="CQ192">
        <v>5000</v>
      </c>
      <c r="CR192">
        <v>0</v>
      </c>
      <c r="CS192">
        <f t="shared" si="366"/>
        <v>150</v>
      </c>
      <c r="CT192">
        <f t="shared" si="367"/>
        <v>30886</v>
      </c>
      <c r="CU192">
        <v>28600</v>
      </c>
      <c r="CV192">
        <f t="shared" si="368"/>
        <v>4004</v>
      </c>
      <c r="CW192">
        <f t="shared" si="369"/>
        <v>3432</v>
      </c>
      <c r="CX192">
        <v>0</v>
      </c>
      <c r="CY192">
        <v>0</v>
      </c>
      <c r="CZ192">
        <f t="shared" si="370"/>
        <v>36036</v>
      </c>
      <c r="DA192">
        <v>5000</v>
      </c>
      <c r="DB192">
        <v>0</v>
      </c>
      <c r="DC192">
        <f t="shared" si="371"/>
        <v>150</v>
      </c>
      <c r="DD192">
        <f t="shared" si="372"/>
        <v>30886</v>
      </c>
      <c r="DE192">
        <v>28600</v>
      </c>
      <c r="DF192">
        <f t="shared" si="373"/>
        <v>4004.0000000000005</v>
      </c>
      <c r="DG192">
        <f t="shared" si="374"/>
        <v>3432</v>
      </c>
      <c r="DH192">
        <v>0</v>
      </c>
      <c r="DI192">
        <v>0</v>
      </c>
      <c r="DJ192">
        <f t="shared" si="375"/>
        <v>36036</v>
      </c>
      <c r="DK192">
        <v>5000</v>
      </c>
      <c r="DL192">
        <v>0</v>
      </c>
      <c r="DM192">
        <f t="shared" si="376"/>
        <v>150</v>
      </c>
      <c r="DN192">
        <f t="shared" si="377"/>
        <v>30886</v>
      </c>
      <c r="DO192">
        <v>28600</v>
      </c>
      <c r="DP192">
        <f t="shared" si="378"/>
        <v>4004.0000000000005</v>
      </c>
      <c r="DQ192">
        <f t="shared" si="379"/>
        <v>3432</v>
      </c>
      <c r="DR192">
        <v>0</v>
      </c>
      <c r="DS192">
        <v>0</v>
      </c>
      <c r="DT192">
        <f t="shared" si="380"/>
        <v>36036</v>
      </c>
      <c r="DU192">
        <v>5000</v>
      </c>
      <c r="DV192">
        <v>0</v>
      </c>
      <c r="DW192">
        <f t="shared" si="381"/>
        <v>150</v>
      </c>
      <c r="DX192">
        <f t="shared" si="382"/>
        <v>30886</v>
      </c>
      <c r="DY192">
        <f t="shared" si="383"/>
        <v>433288</v>
      </c>
      <c r="DZ192">
        <f t="shared" si="315"/>
        <v>1800</v>
      </c>
      <c r="EA192">
        <f t="shared" si="316"/>
        <v>50000</v>
      </c>
      <c r="EB192">
        <v>0</v>
      </c>
      <c r="EC192">
        <f t="shared" si="317"/>
        <v>381488</v>
      </c>
      <c r="ED192">
        <f t="shared" si="318"/>
        <v>60000</v>
      </c>
      <c r="EE192">
        <f t="shared" si="319"/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f t="shared" si="320"/>
        <v>60000</v>
      </c>
      <c r="EQ192">
        <f t="shared" si="384"/>
        <v>60000</v>
      </c>
      <c r="ER192">
        <f t="shared" si="321"/>
        <v>321488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f t="shared" si="385"/>
        <v>0</v>
      </c>
      <c r="FA192">
        <f t="shared" si="386"/>
        <v>321488</v>
      </c>
      <c r="FB192">
        <f t="shared" si="387"/>
        <v>3574</v>
      </c>
      <c r="FC192">
        <f t="shared" si="388"/>
        <v>0</v>
      </c>
      <c r="FD192">
        <f t="shared" si="389"/>
        <v>3574</v>
      </c>
      <c r="FE192">
        <f t="shared" si="390"/>
        <v>0</v>
      </c>
      <c r="FF192">
        <f t="shared" si="391"/>
        <v>0</v>
      </c>
      <c r="FG192">
        <f t="shared" si="392"/>
        <v>0</v>
      </c>
      <c r="FH192">
        <v>0</v>
      </c>
      <c r="FI192">
        <f t="shared" si="393"/>
        <v>0</v>
      </c>
      <c r="FJ192" t="b">
        <f t="shared" si="394"/>
        <v>0</v>
      </c>
      <c r="FK192">
        <f t="shared" ca="1" si="395"/>
        <v>1945</v>
      </c>
      <c r="FL192">
        <f t="shared" ca="1" si="396"/>
        <v>435233</v>
      </c>
      <c r="FM192">
        <f t="shared" si="397"/>
        <v>75000</v>
      </c>
      <c r="FN192">
        <f t="shared" ca="1" si="398"/>
        <v>360233</v>
      </c>
      <c r="FO192">
        <f t="shared" ca="1" si="399"/>
        <v>0</v>
      </c>
      <c r="FP192">
        <f t="shared" ca="1" si="400"/>
        <v>0</v>
      </c>
      <c r="FQ192">
        <f t="shared" ca="1" si="401"/>
        <v>0</v>
      </c>
      <c r="FR192">
        <f t="shared" ca="1" si="402"/>
        <v>0</v>
      </c>
      <c r="FS192">
        <f t="shared" ca="1" si="403"/>
        <v>0</v>
      </c>
      <c r="FT192">
        <f t="shared" ca="1" si="404"/>
        <v>0</v>
      </c>
      <c r="FU192">
        <f t="shared" ca="1" si="405"/>
        <v>0</v>
      </c>
      <c r="FV192">
        <f t="shared" ca="1" si="406"/>
        <v>0</v>
      </c>
      <c r="FW192">
        <f t="shared" ca="1" si="407"/>
        <v>60233</v>
      </c>
      <c r="FX192">
        <f t="shared" ca="1" si="408"/>
        <v>3011.65</v>
      </c>
      <c r="FY192">
        <f t="shared" ca="1" si="409"/>
        <v>3012</v>
      </c>
      <c r="FZ192">
        <f t="shared" ca="1" si="410"/>
        <v>0</v>
      </c>
      <c r="GA192">
        <f t="shared" ca="1" si="411"/>
        <v>0</v>
      </c>
      <c r="GB192">
        <f t="shared" ca="1" si="412"/>
        <v>3012</v>
      </c>
      <c r="GC192">
        <f t="shared" ca="1" si="413"/>
        <v>0</v>
      </c>
      <c r="GD192" t="b">
        <f t="shared" ca="1" si="414"/>
        <v>0</v>
      </c>
      <c r="GE192">
        <f t="shared" ca="1" si="415"/>
        <v>0</v>
      </c>
      <c r="GF192">
        <f t="shared" ca="1" si="416"/>
        <v>3012</v>
      </c>
      <c r="GG192">
        <f t="shared" ca="1" si="417"/>
        <v>0</v>
      </c>
      <c r="GH192">
        <f t="shared" ca="1" si="418"/>
        <v>0</v>
      </c>
      <c r="GI192">
        <f t="shared" ca="1" si="419"/>
        <v>0</v>
      </c>
    </row>
    <row r="193" spans="1:191" x14ac:dyDescent="0.25">
      <c r="A193">
        <f>_xlfn.AGGREGATE(3,5,$B$2:B193)</f>
        <v>192</v>
      </c>
      <c r="B193" t="s">
        <v>504</v>
      </c>
      <c r="C193" t="s">
        <v>505</v>
      </c>
      <c r="D193" t="s">
        <v>812</v>
      </c>
      <c r="E193" t="s">
        <v>843</v>
      </c>
      <c r="F193">
        <v>50000</v>
      </c>
      <c r="G193">
        <v>0</v>
      </c>
      <c r="H193">
        <v>57100</v>
      </c>
      <c r="I193">
        <f t="shared" si="322"/>
        <v>5710</v>
      </c>
      <c r="J193">
        <f t="shared" si="323"/>
        <v>6852</v>
      </c>
      <c r="K193">
        <v>400</v>
      </c>
      <c r="L193">
        <v>500</v>
      </c>
      <c r="M193">
        <f t="shared" si="324"/>
        <v>70562</v>
      </c>
      <c r="N193">
        <v>10000</v>
      </c>
      <c r="O193">
        <v>0</v>
      </c>
      <c r="P193">
        <f t="shared" si="325"/>
        <v>0</v>
      </c>
      <c r="Q193">
        <f t="shared" si="326"/>
        <v>60562</v>
      </c>
      <c r="R193">
        <v>57100</v>
      </c>
      <c r="S193">
        <f t="shared" si="327"/>
        <v>5710</v>
      </c>
      <c r="T193">
        <f t="shared" si="328"/>
        <v>6852</v>
      </c>
      <c r="U193">
        <v>400</v>
      </c>
      <c r="V193">
        <v>500</v>
      </c>
      <c r="W193">
        <f t="shared" si="329"/>
        <v>70562</v>
      </c>
      <c r="X193">
        <v>10000</v>
      </c>
      <c r="Y193">
        <v>0</v>
      </c>
      <c r="Z193">
        <f t="shared" si="330"/>
        <v>0</v>
      </c>
      <c r="AA193">
        <f t="shared" si="331"/>
        <v>60562</v>
      </c>
      <c r="AB193">
        <v>57100</v>
      </c>
      <c r="AC193">
        <f t="shared" si="332"/>
        <v>7994.0000000000009</v>
      </c>
      <c r="AD193">
        <f t="shared" si="333"/>
        <v>6852</v>
      </c>
      <c r="AE193">
        <v>400</v>
      </c>
      <c r="AF193">
        <v>500</v>
      </c>
      <c r="AG193">
        <f t="shared" si="334"/>
        <v>72846</v>
      </c>
      <c r="AH193">
        <v>10000</v>
      </c>
      <c r="AI193">
        <v>0</v>
      </c>
      <c r="AJ193">
        <f t="shared" si="335"/>
        <v>0</v>
      </c>
      <c r="AK193">
        <f t="shared" si="336"/>
        <v>62846</v>
      </c>
      <c r="AL193">
        <v>57100</v>
      </c>
      <c r="AM193">
        <f t="shared" si="337"/>
        <v>7994.0000000000009</v>
      </c>
      <c r="AN193">
        <f t="shared" si="338"/>
        <v>6852</v>
      </c>
      <c r="AO193">
        <v>400</v>
      </c>
      <c r="AP193">
        <v>500</v>
      </c>
      <c r="AQ193">
        <f t="shared" si="339"/>
        <v>72846</v>
      </c>
      <c r="AR193">
        <v>10000</v>
      </c>
      <c r="AS193">
        <v>0</v>
      </c>
      <c r="AT193">
        <f t="shared" si="340"/>
        <v>0</v>
      </c>
      <c r="AU193">
        <f t="shared" si="341"/>
        <v>62846</v>
      </c>
      <c r="AV193">
        <v>58800</v>
      </c>
      <c r="AW193">
        <f t="shared" si="342"/>
        <v>8232</v>
      </c>
      <c r="AX193">
        <f t="shared" si="343"/>
        <v>2284</v>
      </c>
      <c r="AY193">
        <f t="shared" si="344"/>
        <v>7056</v>
      </c>
      <c r="AZ193">
        <v>400</v>
      </c>
      <c r="BA193">
        <v>500</v>
      </c>
      <c r="BB193">
        <f t="shared" si="345"/>
        <v>77272</v>
      </c>
      <c r="BC193">
        <v>10000</v>
      </c>
      <c r="BD193">
        <v>0</v>
      </c>
      <c r="BE193">
        <f t="shared" si="346"/>
        <v>0</v>
      </c>
      <c r="BF193">
        <f t="shared" si="347"/>
        <v>67272</v>
      </c>
      <c r="BG193">
        <v>58800</v>
      </c>
      <c r="BH193">
        <f t="shared" si="348"/>
        <v>8232</v>
      </c>
      <c r="BI193">
        <f t="shared" si="349"/>
        <v>7056</v>
      </c>
      <c r="BJ193">
        <v>400</v>
      </c>
      <c r="BK193">
        <v>500</v>
      </c>
      <c r="BL193">
        <f t="shared" si="350"/>
        <v>74988</v>
      </c>
      <c r="BM193">
        <v>10000</v>
      </c>
      <c r="BN193">
        <v>0</v>
      </c>
      <c r="BO193">
        <f t="shared" si="351"/>
        <v>0</v>
      </c>
      <c r="BP193">
        <f t="shared" si="352"/>
        <v>64988</v>
      </c>
      <c r="BQ193">
        <v>58800</v>
      </c>
      <c r="BR193">
        <f t="shared" si="353"/>
        <v>8232</v>
      </c>
      <c r="BS193">
        <f t="shared" si="354"/>
        <v>7056</v>
      </c>
      <c r="BT193">
        <v>400</v>
      </c>
      <c r="BU193">
        <v>500</v>
      </c>
      <c r="BV193">
        <f t="shared" si="355"/>
        <v>74988</v>
      </c>
      <c r="BW193">
        <v>10000</v>
      </c>
      <c r="BX193">
        <v>0</v>
      </c>
      <c r="BY193">
        <f t="shared" si="356"/>
        <v>0</v>
      </c>
      <c r="BZ193">
        <f t="shared" si="357"/>
        <v>64988</v>
      </c>
      <c r="CA193">
        <v>58800</v>
      </c>
      <c r="CB193">
        <f t="shared" si="358"/>
        <v>8232</v>
      </c>
      <c r="CC193">
        <f t="shared" si="359"/>
        <v>7056</v>
      </c>
      <c r="CD193">
        <v>400</v>
      </c>
      <c r="CE193">
        <v>500</v>
      </c>
      <c r="CF193">
        <f t="shared" si="360"/>
        <v>74988</v>
      </c>
      <c r="CG193">
        <v>10000</v>
      </c>
      <c r="CH193">
        <v>0</v>
      </c>
      <c r="CI193">
        <f t="shared" si="361"/>
        <v>0</v>
      </c>
      <c r="CJ193">
        <f t="shared" si="362"/>
        <v>64988</v>
      </c>
      <c r="CK193">
        <v>58800</v>
      </c>
      <c r="CL193">
        <f t="shared" si="363"/>
        <v>8232</v>
      </c>
      <c r="CM193">
        <f t="shared" si="364"/>
        <v>7056</v>
      </c>
      <c r="CN193">
        <v>400</v>
      </c>
      <c r="CO193">
        <v>500</v>
      </c>
      <c r="CP193">
        <f t="shared" si="365"/>
        <v>74988</v>
      </c>
      <c r="CQ193">
        <v>10000</v>
      </c>
      <c r="CR193">
        <v>0</v>
      </c>
      <c r="CS193">
        <f t="shared" si="366"/>
        <v>0</v>
      </c>
      <c r="CT193">
        <f t="shared" si="367"/>
        <v>64988</v>
      </c>
      <c r="CU193">
        <v>58800</v>
      </c>
      <c r="CV193">
        <f t="shared" si="368"/>
        <v>8232</v>
      </c>
      <c r="CW193">
        <f t="shared" si="369"/>
        <v>7056</v>
      </c>
      <c r="CX193">
        <v>400</v>
      </c>
      <c r="CY193">
        <v>500</v>
      </c>
      <c r="CZ193">
        <f t="shared" si="370"/>
        <v>74988</v>
      </c>
      <c r="DA193">
        <v>10000</v>
      </c>
      <c r="DB193">
        <v>0</v>
      </c>
      <c r="DC193">
        <f t="shared" si="371"/>
        <v>0</v>
      </c>
      <c r="DD193">
        <f t="shared" si="372"/>
        <v>64988</v>
      </c>
      <c r="DE193">
        <v>58800</v>
      </c>
      <c r="DF193">
        <f t="shared" si="373"/>
        <v>8232</v>
      </c>
      <c r="DG193">
        <f t="shared" si="374"/>
        <v>7056</v>
      </c>
      <c r="DH193">
        <v>400</v>
      </c>
      <c r="DI193">
        <v>500</v>
      </c>
      <c r="DJ193">
        <f t="shared" si="375"/>
        <v>74988</v>
      </c>
      <c r="DK193">
        <v>10000</v>
      </c>
      <c r="DL193">
        <v>0</v>
      </c>
      <c r="DM193">
        <f t="shared" si="376"/>
        <v>0</v>
      </c>
      <c r="DN193">
        <f t="shared" si="377"/>
        <v>64988</v>
      </c>
      <c r="DO193">
        <v>58800</v>
      </c>
      <c r="DP193">
        <f t="shared" si="378"/>
        <v>8232</v>
      </c>
      <c r="DQ193">
        <f t="shared" si="379"/>
        <v>7056</v>
      </c>
      <c r="DR193">
        <v>400</v>
      </c>
      <c r="DS193">
        <v>500</v>
      </c>
      <c r="DT193">
        <f t="shared" si="380"/>
        <v>74988</v>
      </c>
      <c r="DU193">
        <v>10000</v>
      </c>
      <c r="DV193">
        <v>0</v>
      </c>
      <c r="DW193">
        <f t="shared" si="381"/>
        <v>0</v>
      </c>
      <c r="DX193">
        <f t="shared" si="382"/>
        <v>64988</v>
      </c>
      <c r="DY193">
        <f t="shared" si="383"/>
        <v>889004</v>
      </c>
      <c r="DZ193">
        <f t="shared" si="315"/>
        <v>0</v>
      </c>
      <c r="EA193">
        <f t="shared" si="316"/>
        <v>50000</v>
      </c>
      <c r="EB193">
        <v>0</v>
      </c>
      <c r="EC193">
        <f t="shared" si="317"/>
        <v>839004</v>
      </c>
      <c r="ED193">
        <f t="shared" si="318"/>
        <v>120000</v>
      </c>
      <c r="EE193">
        <f t="shared" si="319"/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f t="shared" si="320"/>
        <v>120000</v>
      </c>
      <c r="EQ193">
        <f t="shared" si="384"/>
        <v>120000</v>
      </c>
      <c r="ER193">
        <f t="shared" si="321"/>
        <v>719004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f t="shared" si="385"/>
        <v>50000</v>
      </c>
      <c r="FA193">
        <f t="shared" si="386"/>
        <v>669004</v>
      </c>
      <c r="FB193">
        <f t="shared" si="387"/>
        <v>12500</v>
      </c>
      <c r="FC193">
        <f t="shared" si="388"/>
        <v>33801</v>
      </c>
      <c r="FD193">
        <f t="shared" si="389"/>
        <v>46301</v>
      </c>
      <c r="FE193">
        <f t="shared" si="390"/>
        <v>46301</v>
      </c>
      <c r="FF193">
        <f t="shared" si="391"/>
        <v>1852.04</v>
      </c>
      <c r="FG193">
        <f t="shared" si="392"/>
        <v>48153</v>
      </c>
      <c r="FH193">
        <v>0</v>
      </c>
      <c r="FI193">
        <f t="shared" si="393"/>
        <v>48153</v>
      </c>
      <c r="FJ193" t="b">
        <f t="shared" si="394"/>
        <v>1</v>
      </c>
      <c r="FK193">
        <f t="shared" ca="1" si="395"/>
        <v>607</v>
      </c>
      <c r="FL193">
        <f t="shared" ca="1" si="396"/>
        <v>889611</v>
      </c>
      <c r="FM193">
        <f t="shared" si="397"/>
        <v>75000</v>
      </c>
      <c r="FN193">
        <f t="shared" ca="1" si="398"/>
        <v>814611</v>
      </c>
      <c r="FO193">
        <f t="shared" ca="1" si="399"/>
        <v>0</v>
      </c>
      <c r="FP193">
        <f t="shared" ca="1" si="400"/>
        <v>0</v>
      </c>
      <c r="FQ193">
        <f t="shared" ca="1" si="401"/>
        <v>0</v>
      </c>
      <c r="FR193">
        <f t="shared" ca="1" si="402"/>
        <v>0</v>
      </c>
      <c r="FS193">
        <f t="shared" ca="1" si="403"/>
        <v>0</v>
      </c>
      <c r="FT193">
        <f t="shared" ca="1" si="404"/>
        <v>0</v>
      </c>
      <c r="FU193">
        <f t="shared" ca="1" si="405"/>
        <v>114611</v>
      </c>
      <c r="FV193">
        <f t="shared" ca="1" si="406"/>
        <v>11461.1</v>
      </c>
      <c r="FW193">
        <f t="shared" ca="1" si="407"/>
        <v>400000</v>
      </c>
      <c r="FX193">
        <f t="shared" ca="1" si="408"/>
        <v>20000</v>
      </c>
      <c r="FY193">
        <f t="shared" ca="1" si="409"/>
        <v>31461</v>
      </c>
      <c r="FZ193">
        <f t="shared" ca="1" si="410"/>
        <v>814611</v>
      </c>
      <c r="GA193">
        <f t="shared" ca="1" si="411"/>
        <v>114611</v>
      </c>
      <c r="GB193">
        <f t="shared" ca="1" si="412"/>
        <v>0</v>
      </c>
      <c r="GC193">
        <f t="shared" ca="1" si="413"/>
        <v>-83150</v>
      </c>
      <c r="GD193" t="b">
        <f t="shared" ca="1" si="414"/>
        <v>0</v>
      </c>
      <c r="GE193">
        <f t="shared" ca="1" si="415"/>
        <v>0</v>
      </c>
      <c r="GF193">
        <f t="shared" ca="1" si="416"/>
        <v>0</v>
      </c>
      <c r="GG193">
        <f t="shared" ca="1" si="417"/>
        <v>31461</v>
      </c>
      <c r="GH193">
        <f t="shared" ca="1" si="418"/>
        <v>1258.44</v>
      </c>
      <c r="GI193">
        <f t="shared" ca="1" si="419"/>
        <v>32720</v>
      </c>
    </row>
    <row r="194" spans="1:191" x14ac:dyDescent="0.25">
      <c r="A194">
        <f>_xlfn.AGGREGATE(3,5,$B$2:B194)</f>
        <v>193</v>
      </c>
      <c r="B194" t="s">
        <v>506</v>
      </c>
      <c r="C194" t="s">
        <v>507</v>
      </c>
      <c r="D194" t="s">
        <v>812</v>
      </c>
      <c r="E194" t="s">
        <v>843</v>
      </c>
      <c r="F194">
        <v>0</v>
      </c>
      <c r="G194">
        <v>6000</v>
      </c>
      <c r="H194">
        <v>32500</v>
      </c>
      <c r="I194">
        <f t="shared" si="322"/>
        <v>3250</v>
      </c>
      <c r="J194">
        <f t="shared" si="323"/>
        <v>3900</v>
      </c>
      <c r="K194">
        <v>0</v>
      </c>
      <c r="L194">
        <v>500</v>
      </c>
      <c r="M194">
        <f t="shared" si="324"/>
        <v>40150</v>
      </c>
      <c r="N194">
        <v>3000</v>
      </c>
      <c r="O194">
        <v>0</v>
      </c>
      <c r="P194">
        <f t="shared" si="325"/>
        <v>200</v>
      </c>
      <c r="Q194">
        <f t="shared" si="326"/>
        <v>36950</v>
      </c>
      <c r="R194">
        <v>32500</v>
      </c>
      <c r="S194">
        <f t="shared" si="327"/>
        <v>3250</v>
      </c>
      <c r="T194">
        <f t="shared" si="328"/>
        <v>3900</v>
      </c>
      <c r="U194">
        <v>0</v>
      </c>
      <c r="V194">
        <v>500</v>
      </c>
      <c r="W194">
        <f t="shared" si="329"/>
        <v>40150</v>
      </c>
      <c r="X194">
        <v>3000</v>
      </c>
      <c r="Y194">
        <v>0</v>
      </c>
      <c r="Z194">
        <f t="shared" si="330"/>
        <v>200</v>
      </c>
      <c r="AA194">
        <f t="shared" si="331"/>
        <v>36950</v>
      </c>
      <c r="AB194">
        <v>32500</v>
      </c>
      <c r="AC194">
        <f t="shared" si="332"/>
        <v>4550</v>
      </c>
      <c r="AD194">
        <f t="shared" si="333"/>
        <v>3900</v>
      </c>
      <c r="AE194">
        <v>0</v>
      </c>
      <c r="AF194">
        <v>500</v>
      </c>
      <c r="AG194">
        <f t="shared" si="334"/>
        <v>41450</v>
      </c>
      <c r="AH194">
        <v>3000</v>
      </c>
      <c r="AI194">
        <v>0</v>
      </c>
      <c r="AJ194">
        <f t="shared" si="335"/>
        <v>200</v>
      </c>
      <c r="AK194">
        <f t="shared" si="336"/>
        <v>38250</v>
      </c>
      <c r="AL194">
        <v>32500</v>
      </c>
      <c r="AM194">
        <f t="shared" si="337"/>
        <v>4550</v>
      </c>
      <c r="AN194">
        <f t="shared" si="338"/>
        <v>3900</v>
      </c>
      <c r="AO194">
        <v>0</v>
      </c>
      <c r="AP194">
        <v>500</v>
      </c>
      <c r="AQ194">
        <f t="shared" si="339"/>
        <v>41450</v>
      </c>
      <c r="AR194">
        <v>3000</v>
      </c>
      <c r="AS194">
        <v>0</v>
      </c>
      <c r="AT194">
        <f t="shared" si="340"/>
        <v>200</v>
      </c>
      <c r="AU194">
        <f t="shared" si="341"/>
        <v>38250</v>
      </c>
      <c r="AV194">
        <v>33500</v>
      </c>
      <c r="AW194">
        <f t="shared" si="342"/>
        <v>4690</v>
      </c>
      <c r="AX194">
        <f t="shared" si="343"/>
        <v>1300</v>
      </c>
      <c r="AY194">
        <f t="shared" si="344"/>
        <v>4020</v>
      </c>
      <c r="AZ194">
        <v>0</v>
      </c>
      <c r="BA194">
        <v>500</v>
      </c>
      <c r="BB194">
        <f t="shared" si="345"/>
        <v>44010</v>
      </c>
      <c r="BC194">
        <v>3000</v>
      </c>
      <c r="BD194">
        <v>0</v>
      </c>
      <c r="BE194">
        <f t="shared" si="346"/>
        <v>200</v>
      </c>
      <c r="BF194">
        <f t="shared" si="347"/>
        <v>40810</v>
      </c>
      <c r="BG194">
        <v>33500</v>
      </c>
      <c r="BH194">
        <f t="shared" si="348"/>
        <v>4690</v>
      </c>
      <c r="BI194">
        <f t="shared" si="349"/>
        <v>4020</v>
      </c>
      <c r="BJ194">
        <v>0</v>
      </c>
      <c r="BK194">
        <v>500</v>
      </c>
      <c r="BL194">
        <f t="shared" si="350"/>
        <v>42710</v>
      </c>
      <c r="BM194">
        <v>3000</v>
      </c>
      <c r="BN194">
        <v>0</v>
      </c>
      <c r="BO194">
        <f t="shared" si="351"/>
        <v>200</v>
      </c>
      <c r="BP194">
        <f t="shared" si="352"/>
        <v>39510</v>
      </c>
      <c r="BQ194">
        <v>33500</v>
      </c>
      <c r="BR194">
        <f t="shared" si="353"/>
        <v>4690</v>
      </c>
      <c r="BS194">
        <f t="shared" si="354"/>
        <v>4020</v>
      </c>
      <c r="BT194">
        <v>0</v>
      </c>
      <c r="BU194">
        <v>500</v>
      </c>
      <c r="BV194">
        <f t="shared" si="355"/>
        <v>42710</v>
      </c>
      <c r="BW194">
        <v>3000</v>
      </c>
      <c r="BX194">
        <v>0</v>
      </c>
      <c r="BY194">
        <f t="shared" si="356"/>
        <v>200</v>
      </c>
      <c r="BZ194">
        <f t="shared" si="357"/>
        <v>39510</v>
      </c>
      <c r="CA194">
        <v>33500</v>
      </c>
      <c r="CB194">
        <f t="shared" si="358"/>
        <v>4690</v>
      </c>
      <c r="CC194">
        <f t="shared" si="359"/>
        <v>4020</v>
      </c>
      <c r="CD194">
        <v>0</v>
      </c>
      <c r="CE194">
        <v>500</v>
      </c>
      <c r="CF194">
        <f t="shared" si="360"/>
        <v>42710</v>
      </c>
      <c r="CG194">
        <v>3000</v>
      </c>
      <c r="CH194">
        <v>0</v>
      </c>
      <c r="CI194">
        <f t="shared" si="361"/>
        <v>200</v>
      </c>
      <c r="CJ194">
        <f t="shared" si="362"/>
        <v>39510</v>
      </c>
      <c r="CK194">
        <v>33500</v>
      </c>
      <c r="CL194">
        <f t="shared" si="363"/>
        <v>4690</v>
      </c>
      <c r="CM194">
        <f t="shared" si="364"/>
        <v>4020</v>
      </c>
      <c r="CN194">
        <v>0</v>
      </c>
      <c r="CO194">
        <v>500</v>
      </c>
      <c r="CP194">
        <f t="shared" si="365"/>
        <v>42710</v>
      </c>
      <c r="CQ194">
        <v>3000</v>
      </c>
      <c r="CR194">
        <v>0</v>
      </c>
      <c r="CS194">
        <f t="shared" si="366"/>
        <v>200</v>
      </c>
      <c r="CT194">
        <f t="shared" si="367"/>
        <v>39510</v>
      </c>
      <c r="CU194">
        <v>34371</v>
      </c>
      <c r="CV194">
        <f t="shared" si="368"/>
        <v>4812</v>
      </c>
      <c r="CW194">
        <f t="shared" si="369"/>
        <v>4125</v>
      </c>
      <c r="CX194">
        <v>0</v>
      </c>
      <c r="CY194">
        <v>500</v>
      </c>
      <c r="CZ194">
        <f t="shared" si="370"/>
        <v>43808</v>
      </c>
      <c r="DA194">
        <v>3000</v>
      </c>
      <c r="DB194">
        <v>0</v>
      </c>
      <c r="DC194">
        <f t="shared" si="371"/>
        <v>200</v>
      </c>
      <c r="DD194">
        <f t="shared" si="372"/>
        <v>40608</v>
      </c>
      <c r="DE194">
        <v>34500</v>
      </c>
      <c r="DF194">
        <f t="shared" si="373"/>
        <v>4830.0000000000009</v>
      </c>
      <c r="DG194">
        <f t="shared" si="374"/>
        <v>4140</v>
      </c>
      <c r="DH194">
        <v>0</v>
      </c>
      <c r="DI194">
        <v>500</v>
      </c>
      <c r="DJ194">
        <f t="shared" si="375"/>
        <v>43970</v>
      </c>
      <c r="DK194">
        <v>3000</v>
      </c>
      <c r="DL194">
        <v>0</v>
      </c>
      <c r="DM194">
        <f t="shared" si="376"/>
        <v>200</v>
      </c>
      <c r="DN194">
        <f t="shared" si="377"/>
        <v>40770</v>
      </c>
      <c r="DO194">
        <v>34500</v>
      </c>
      <c r="DP194">
        <f t="shared" si="378"/>
        <v>4830.0000000000009</v>
      </c>
      <c r="DQ194">
        <f t="shared" si="379"/>
        <v>4140</v>
      </c>
      <c r="DR194">
        <v>0</v>
      </c>
      <c r="DS194">
        <v>500</v>
      </c>
      <c r="DT194">
        <f t="shared" si="380"/>
        <v>43970</v>
      </c>
      <c r="DU194">
        <v>3000</v>
      </c>
      <c r="DV194">
        <v>0</v>
      </c>
      <c r="DW194">
        <f t="shared" si="381"/>
        <v>200</v>
      </c>
      <c r="DX194">
        <f t="shared" si="382"/>
        <v>40770</v>
      </c>
      <c r="DY194">
        <f t="shared" si="383"/>
        <v>515798</v>
      </c>
      <c r="DZ194">
        <f t="shared" ref="DZ194:DZ257" si="420">DW194+DM194+DC194+CS194+CI194+BY194+BO194+BE194+AT194+AJ194+Z194+P194</f>
        <v>2400</v>
      </c>
      <c r="EA194">
        <f t="shared" ref="EA194:EA257" si="421">IF(DY194&gt;0,50000,0)</f>
        <v>50000</v>
      </c>
      <c r="EB194">
        <v>0</v>
      </c>
      <c r="EC194">
        <f t="shared" ref="EC194:EC257" si="422">DY194-DZ194-EA194</f>
        <v>463398</v>
      </c>
      <c r="ED194">
        <f t="shared" ref="ED194:ED257" si="423">DU194+DK194+DA194+CQ194+CG194+BW194+BM194+BC194+AR194+AH194+X194+N194</f>
        <v>36000</v>
      </c>
      <c r="EE194">
        <f t="shared" ref="EE194:EE257" si="424">DV194+DL194+DB194+CR194+CH194+BX194+BN194+BD194+AS194+AI194+Y194+O194</f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f t="shared" ref="EP194:EP257" si="425">SUM(ED194:EO194)</f>
        <v>36000</v>
      </c>
      <c r="EQ194">
        <f t="shared" si="384"/>
        <v>36000</v>
      </c>
      <c r="ER194">
        <f t="shared" ref="ER194:ER257" si="426">EC194-EQ194</f>
        <v>427398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f t="shared" si="385"/>
        <v>0</v>
      </c>
      <c r="FA194">
        <f t="shared" si="386"/>
        <v>427398</v>
      </c>
      <c r="FB194">
        <f t="shared" si="387"/>
        <v>8870</v>
      </c>
      <c r="FC194">
        <f t="shared" si="388"/>
        <v>0</v>
      </c>
      <c r="FD194">
        <f t="shared" si="389"/>
        <v>8870</v>
      </c>
      <c r="FE194">
        <f t="shared" si="390"/>
        <v>0</v>
      </c>
      <c r="FF194">
        <f t="shared" si="391"/>
        <v>0</v>
      </c>
      <c r="FG194">
        <f t="shared" si="392"/>
        <v>0</v>
      </c>
      <c r="FH194">
        <v>0</v>
      </c>
      <c r="FI194">
        <f t="shared" si="393"/>
        <v>0</v>
      </c>
      <c r="FJ194" t="b">
        <f t="shared" si="394"/>
        <v>1</v>
      </c>
      <c r="FK194">
        <f t="shared" ca="1" si="395"/>
        <v>806</v>
      </c>
      <c r="FL194">
        <f t="shared" ca="1" si="396"/>
        <v>516604</v>
      </c>
      <c r="FM194">
        <f t="shared" si="397"/>
        <v>75000</v>
      </c>
      <c r="FN194">
        <f t="shared" ca="1" si="398"/>
        <v>441604</v>
      </c>
      <c r="FO194">
        <f t="shared" ca="1" si="399"/>
        <v>0</v>
      </c>
      <c r="FP194">
        <f t="shared" ca="1" si="400"/>
        <v>0</v>
      </c>
      <c r="FQ194">
        <f t="shared" ca="1" si="401"/>
        <v>0</v>
      </c>
      <c r="FR194">
        <f t="shared" ca="1" si="402"/>
        <v>0</v>
      </c>
      <c r="FS194">
        <f t="shared" ca="1" si="403"/>
        <v>0</v>
      </c>
      <c r="FT194">
        <f t="shared" ca="1" si="404"/>
        <v>0</v>
      </c>
      <c r="FU194">
        <f t="shared" ca="1" si="405"/>
        <v>0</v>
      </c>
      <c r="FV194">
        <f t="shared" ca="1" si="406"/>
        <v>0</v>
      </c>
      <c r="FW194">
        <f t="shared" ca="1" si="407"/>
        <v>141604</v>
      </c>
      <c r="FX194">
        <f t="shared" ca="1" si="408"/>
        <v>7080.2000000000007</v>
      </c>
      <c r="FY194">
        <f t="shared" ca="1" si="409"/>
        <v>7080</v>
      </c>
      <c r="FZ194">
        <f t="shared" ca="1" si="410"/>
        <v>0</v>
      </c>
      <c r="GA194">
        <f t="shared" ca="1" si="411"/>
        <v>0</v>
      </c>
      <c r="GB194">
        <f t="shared" ca="1" si="412"/>
        <v>7080</v>
      </c>
      <c r="GC194">
        <f t="shared" ca="1" si="413"/>
        <v>0</v>
      </c>
      <c r="GD194" t="b">
        <f t="shared" ca="1" si="414"/>
        <v>0</v>
      </c>
      <c r="GE194">
        <f t="shared" ca="1" si="415"/>
        <v>0</v>
      </c>
      <c r="GF194">
        <f t="shared" ca="1" si="416"/>
        <v>7080</v>
      </c>
      <c r="GG194">
        <f t="shared" ca="1" si="417"/>
        <v>0</v>
      </c>
      <c r="GH194">
        <f t="shared" ca="1" si="418"/>
        <v>0</v>
      </c>
      <c r="GI194">
        <f t="shared" ca="1" si="419"/>
        <v>0</v>
      </c>
    </row>
    <row r="195" spans="1:191" x14ac:dyDescent="0.25">
      <c r="A195">
        <f>_xlfn.AGGREGATE(3,5,$B$2:B195)</f>
        <v>194</v>
      </c>
      <c r="B195" t="s">
        <v>508</v>
      </c>
      <c r="C195" t="s">
        <v>509</v>
      </c>
      <c r="D195" t="s">
        <v>812</v>
      </c>
      <c r="E195" t="s">
        <v>843</v>
      </c>
      <c r="F195">
        <v>0</v>
      </c>
      <c r="G195">
        <v>0</v>
      </c>
      <c r="H195">
        <v>48700</v>
      </c>
      <c r="I195">
        <f t="shared" ref="I195:I258" si="427">H195*0.1</f>
        <v>4870</v>
      </c>
      <c r="J195">
        <f t="shared" ref="J195:J258" si="428">H195*0.12</f>
        <v>5844</v>
      </c>
      <c r="K195">
        <v>0</v>
      </c>
      <c r="L195">
        <v>500</v>
      </c>
      <c r="M195">
        <f t="shared" ref="M195:M258" si="429">SUM(H195:L195)</f>
        <v>59914</v>
      </c>
      <c r="N195">
        <v>5000</v>
      </c>
      <c r="O195">
        <v>0</v>
      </c>
      <c r="P195">
        <f t="shared" ref="P195:P258" si="430">IF($F195=50000,0,IF(M195&gt;40000,200,IF(M195&gt;25000,150,IF(M195&gt;15000,130,IF(M195&gt;10000,110,0)))))</f>
        <v>200</v>
      </c>
      <c r="Q195">
        <f t="shared" ref="Q195:Q258" si="431">M195-N195-O195-P195</f>
        <v>54714</v>
      </c>
      <c r="R195">
        <v>48700</v>
      </c>
      <c r="S195">
        <f t="shared" ref="S195:S258" si="432">R195*0.1</f>
        <v>4870</v>
      </c>
      <c r="T195">
        <f t="shared" ref="T195:T258" si="433">R195*0.12</f>
        <v>5844</v>
      </c>
      <c r="U195">
        <v>0</v>
      </c>
      <c r="V195">
        <v>500</v>
      </c>
      <c r="W195">
        <f t="shared" ref="W195:W258" si="434">SUM(R195:V195)</f>
        <v>59914</v>
      </c>
      <c r="X195">
        <v>5000</v>
      </c>
      <c r="Y195">
        <v>0</v>
      </c>
      <c r="Z195">
        <f t="shared" ref="Z195:Z258" si="435">IF($F195=50000,0,IF(W195&gt;40000,200,IF(W195&gt;25000,150,IF(W195&gt;15000,130,IF(W195&gt;10000,110,0)))))</f>
        <v>200</v>
      </c>
      <c r="AA195">
        <f t="shared" ref="AA195:AA258" si="436">W195-X195-Y195-Z195</f>
        <v>54714</v>
      </c>
      <c r="AB195">
        <v>48700</v>
      </c>
      <c r="AC195">
        <f t="shared" ref="AC195:AC258" si="437">AB195*0.14</f>
        <v>6818.0000000000009</v>
      </c>
      <c r="AD195">
        <f t="shared" ref="AD195:AD258" si="438">AB195*0.12</f>
        <v>5844</v>
      </c>
      <c r="AE195">
        <v>0</v>
      </c>
      <c r="AF195">
        <v>500</v>
      </c>
      <c r="AG195">
        <f t="shared" ref="AG195:AG258" si="439">SUM(AB195:AF195)</f>
        <v>61862</v>
      </c>
      <c r="AH195">
        <v>5000</v>
      </c>
      <c r="AI195">
        <v>0</v>
      </c>
      <c r="AJ195">
        <f t="shared" ref="AJ195:AJ258" si="440">IF($F195=50000,0,IF(AG195&gt;40000,200,IF(AG195&gt;25000,150,IF(AG195&gt;15000,130,IF(AG195&gt;10000,110,0)))))</f>
        <v>200</v>
      </c>
      <c r="AK195">
        <f t="shared" ref="AK195:AK258" si="441">AG195-AH195-AI195-AJ195</f>
        <v>56662</v>
      </c>
      <c r="AL195">
        <v>48700</v>
      </c>
      <c r="AM195">
        <f t="shared" ref="AM195:AM258" si="442">AL195*0.14</f>
        <v>6818.0000000000009</v>
      </c>
      <c r="AN195">
        <f t="shared" ref="AN195:AN258" si="443">AL195*0.12</f>
        <v>5844</v>
      </c>
      <c r="AO195">
        <v>0</v>
      </c>
      <c r="AP195">
        <v>500</v>
      </c>
      <c r="AQ195">
        <f t="shared" ref="AQ195:AQ258" si="444">SUM(AL195:AP195)</f>
        <v>61862</v>
      </c>
      <c r="AR195">
        <v>5000</v>
      </c>
      <c r="AS195">
        <v>0</v>
      </c>
      <c r="AT195">
        <f t="shared" ref="AT195:AT258" si="445">IF($F195=50000,0,IF(AQ195&gt;40000,200,IF(AQ195&gt;25000,150,IF(AQ195&gt;15000,130,IF(AQ195&gt;10000,110,0)))))</f>
        <v>200</v>
      </c>
      <c r="AU195">
        <f t="shared" ref="AU195:AU258" si="446">AQ195-AR195-AS195-AT195</f>
        <v>56662</v>
      </c>
      <c r="AV195">
        <v>50200</v>
      </c>
      <c r="AW195">
        <f t="shared" ref="AW195:AW258" si="447">AV195*0.14</f>
        <v>7028.0000000000009</v>
      </c>
      <c r="AX195">
        <f t="shared" ref="AX195:AX258" si="448">R195*0.04</f>
        <v>1948</v>
      </c>
      <c r="AY195">
        <f t="shared" ref="AY195:AY258" si="449">AV195*0.12</f>
        <v>6024</v>
      </c>
      <c r="AZ195">
        <v>0</v>
      </c>
      <c r="BA195">
        <v>500</v>
      </c>
      <c r="BB195">
        <f t="shared" ref="BB195:BB258" si="450">SUM(AV195:BA195)</f>
        <v>65700</v>
      </c>
      <c r="BC195">
        <v>5000</v>
      </c>
      <c r="BD195">
        <v>0</v>
      </c>
      <c r="BE195">
        <f t="shared" ref="BE195:BE258" si="451">IF($F195=50000,0,IF(BB195&gt;40000,200,IF(BB195&gt;25000,150,IF(BB195&gt;15000,130,IF(BB195&gt;10000,110,0)))))</f>
        <v>200</v>
      </c>
      <c r="BF195">
        <f t="shared" ref="BF195:BF258" si="452">BB195-BC195-BD195-BE195</f>
        <v>60500</v>
      </c>
      <c r="BG195">
        <v>50200</v>
      </c>
      <c r="BH195">
        <f t="shared" ref="BH195:BH258" si="453">BG195*0.14</f>
        <v>7028.0000000000009</v>
      </c>
      <c r="BI195">
        <f t="shared" ref="BI195:BI258" si="454">BG195*0.12</f>
        <v>6024</v>
      </c>
      <c r="BJ195">
        <v>0</v>
      </c>
      <c r="BK195">
        <v>500</v>
      </c>
      <c r="BL195">
        <f t="shared" ref="BL195:BL258" si="455">SUM(BG195:BK195)</f>
        <v>63752</v>
      </c>
      <c r="BM195">
        <v>5000</v>
      </c>
      <c r="BN195">
        <v>0</v>
      </c>
      <c r="BO195">
        <f t="shared" ref="BO195:BO258" si="456">IF($F195=50000,0,IF(BL195&gt;40000,200,IF(BL195&gt;25000,150,IF(BL195&gt;15000,130,IF(BL195&gt;10000,110,0)))))</f>
        <v>200</v>
      </c>
      <c r="BP195">
        <f t="shared" ref="BP195:BP258" si="457">BL195-BM195-BN195-BO195</f>
        <v>58552</v>
      </c>
      <c r="BQ195">
        <v>50200</v>
      </c>
      <c r="BR195">
        <f t="shared" ref="BR195:BR258" si="458">BQ195*0.14</f>
        <v>7028.0000000000009</v>
      </c>
      <c r="BS195">
        <f t="shared" ref="BS195:BS258" si="459">BQ195*0.12</f>
        <v>6024</v>
      </c>
      <c r="BT195">
        <v>0</v>
      </c>
      <c r="BU195">
        <v>500</v>
      </c>
      <c r="BV195">
        <f t="shared" ref="BV195:BV258" si="460">SUM(BQ195:BU195)</f>
        <v>63752</v>
      </c>
      <c r="BW195">
        <v>5000</v>
      </c>
      <c r="BX195">
        <v>0</v>
      </c>
      <c r="BY195">
        <f t="shared" ref="BY195:BY258" si="461">IF($F195=50000,0,IF(BV195&gt;40000,200,IF(BV195&gt;25000,150,IF(BV195&gt;15000,130,IF(BV195&gt;10000,110,0)))))</f>
        <v>200</v>
      </c>
      <c r="BZ195">
        <f t="shared" ref="BZ195:BZ258" si="462">BV195-BW195-BX195-BY195</f>
        <v>58552</v>
      </c>
      <c r="CA195">
        <v>50200</v>
      </c>
      <c r="CB195">
        <f t="shared" ref="CB195:CB258" si="463">CA195*0.14</f>
        <v>7028.0000000000009</v>
      </c>
      <c r="CC195">
        <f t="shared" ref="CC195:CC258" si="464">CA195*0.12</f>
        <v>6024</v>
      </c>
      <c r="CD195">
        <v>0</v>
      </c>
      <c r="CE195">
        <v>500</v>
      </c>
      <c r="CF195">
        <f t="shared" ref="CF195:CF258" si="465">SUM(CA195:CE195)</f>
        <v>63752</v>
      </c>
      <c r="CG195">
        <v>5000</v>
      </c>
      <c r="CH195">
        <v>0</v>
      </c>
      <c r="CI195">
        <f t="shared" ref="CI195:CI258" si="466">IF($F195=50000,0,IF(CF195&gt;40000,200,IF(CF195&gt;25000,150,IF(CF195&gt;15000,130,IF(CF195&gt;10000,110,0)))))</f>
        <v>200</v>
      </c>
      <c r="CJ195">
        <f t="shared" ref="CJ195:CJ258" si="467">CF195-CG195-CH195-CI195</f>
        <v>58552</v>
      </c>
      <c r="CK195">
        <v>50200</v>
      </c>
      <c r="CL195">
        <f t="shared" ref="CL195:CL258" si="468">CK195*0.14</f>
        <v>7028.0000000000009</v>
      </c>
      <c r="CM195">
        <f t="shared" ref="CM195:CM258" si="469">CK195*0.12</f>
        <v>6024</v>
      </c>
      <c r="CN195">
        <v>0</v>
      </c>
      <c r="CO195">
        <v>500</v>
      </c>
      <c r="CP195">
        <f t="shared" ref="CP195:CP258" si="470">SUM(CK195:CO195)</f>
        <v>63752</v>
      </c>
      <c r="CQ195">
        <v>5000</v>
      </c>
      <c r="CR195">
        <v>0</v>
      </c>
      <c r="CS195">
        <f t="shared" ref="CS195:CS258" si="471">IF($F195=50000,0,IF(CP195&gt;40000,200,IF(CP195&gt;25000,150,IF(CP195&gt;15000,130,IF(CP195&gt;10000,110,0)))))</f>
        <v>200</v>
      </c>
      <c r="CT195">
        <f t="shared" ref="CT195:CT258" si="472">CP195-CQ195-CR195-CS195</f>
        <v>58552</v>
      </c>
      <c r="CU195">
        <v>50200</v>
      </c>
      <c r="CV195">
        <f t="shared" ref="CV195:CV258" si="473">ROUND(CU195*0.14,0)</f>
        <v>7028</v>
      </c>
      <c r="CW195">
        <f t="shared" ref="CW195:CW258" si="474">ROUND(CU195*0.12,0)</f>
        <v>6024</v>
      </c>
      <c r="CX195">
        <v>0</v>
      </c>
      <c r="CY195">
        <v>500</v>
      </c>
      <c r="CZ195">
        <f t="shared" ref="CZ195:CZ258" si="475">SUM(CU195:CY195)</f>
        <v>63752</v>
      </c>
      <c r="DA195">
        <v>5000</v>
      </c>
      <c r="DB195">
        <v>0</v>
      </c>
      <c r="DC195">
        <f t="shared" ref="DC195:DC258" si="476">IF($F195=50000,0,IF(CZ195&gt;40000,200,IF(CZ195&gt;25000,150,IF(CZ195&gt;15000,130,IF(CZ195&gt;10000,110,0)))))</f>
        <v>200</v>
      </c>
      <c r="DD195">
        <f t="shared" ref="DD195:DD258" si="477">CZ195-DA195-DB195-DC195</f>
        <v>58552</v>
      </c>
      <c r="DE195">
        <v>50200</v>
      </c>
      <c r="DF195">
        <f t="shared" ref="DF195:DF258" si="478">DE195*0.14</f>
        <v>7028.0000000000009</v>
      </c>
      <c r="DG195">
        <f t="shared" ref="DG195:DG258" si="479">DE195*0.12</f>
        <v>6024</v>
      </c>
      <c r="DH195">
        <v>0</v>
      </c>
      <c r="DI195">
        <v>500</v>
      </c>
      <c r="DJ195">
        <f t="shared" ref="DJ195:DJ258" si="480">SUM(DE195:DI195)</f>
        <v>63752</v>
      </c>
      <c r="DK195">
        <v>5000</v>
      </c>
      <c r="DL195">
        <v>0</v>
      </c>
      <c r="DM195">
        <f t="shared" ref="DM195:DM258" si="481">IF($F195=50000,0,IF(DJ195&gt;40000,200,IF(DJ195&gt;25000,150,IF(DJ195&gt;15000,130,IF(DJ195&gt;10000,110,0)))))</f>
        <v>200</v>
      </c>
      <c r="DN195">
        <f t="shared" ref="DN195:DN258" si="482">DJ195-DK195-DL195-DM195</f>
        <v>58552</v>
      </c>
      <c r="DO195">
        <v>50200</v>
      </c>
      <c r="DP195">
        <f t="shared" ref="DP195:DP258" si="483">DO195*0.14</f>
        <v>7028.0000000000009</v>
      </c>
      <c r="DQ195">
        <f t="shared" ref="DQ195:DQ258" si="484">DO195*0.12</f>
        <v>6024</v>
      </c>
      <c r="DR195">
        <v>0</v>
      </c>
      <c r="DS195">
        <v>500</v>
      </c>
      <c r="DT195">
        <f t="shared" ref="DT195:DT258" si="485">SUM(DO195:DS195)</f>
        <v>63752</v>
      </c>
      <c r="DU195">
        <v>5000</v>
      </c>
      <c r="DV195">
        <v>0</v>
      </c>
      <c r="DW195">
        <f t="shared" ref="DW195:DW258" si="486">IF($F195=50000,0,IF(DT195&gt;40000,200,IF(DT195&gt;25000,150,IF(DT195&gt;15000,130,IF(DT195&gt;10000,110,0)))))</f>
        <v>200</v>
      </c>
      <c r="DX195">
        <f t="shared" ref="DX195:DX258" si="487">DT195-DU195-DV195-DW195</f>
        <v>58552</v>
      </c>
      <c r="DY195">
        <f t="shared" ref="DY195:DY258" si="488">DT195+DJ195+CZ195+CP195+CF195+BV195+BL195+BB195+AQ195+AG195+W195+M195+G195</f>
        <v>755516</v>
      </c>
      <c r="DZ195">
        <f t="shared" si="420"/>
        <v>2400</v>
      </c>
      <c r="EA195">
        <f t="shared" si="421"/>
        <v>50000</v>
      </c>
      <c r="EB195">
        <v>0</v>
      </c>
      <c r="EC195">
        <f t="shared" si="422"/>
        <v>703116</v>
      </c>
      <c r="ED195">
        <f t="shared" si="423"/>
        <v>60000</v>
      </c>
      <c r="EE195">
        <f t="shared" si="424"/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f t="shared" si="425"/>
        <v>60000</v>
      </c>
      <c r="EQ195">
        <f t="shared" ref="EQ195:EQ258" si="489">IF(EP195&gt;=150000,150000,EP195)</f>
        <v>60000</v>
      </c>
      <c r="ER195">
        <f t="shared" si="426"/>
        <v>643116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f t="shared" ref="EZ195:EZ258" si="490">SUM(ES195:EY195)+F195</f>
        <v>0</v>
      </c>
      <c r="FA195">
        <f t="shared" ref="FA195:FA258" si="491">ER195-EZ195</f>
        <v>643116</v>
      </c>
      <c r="FB195">
        <f t="shared" ref="FB195:FB258" si="492">ROUND(IF(FA195&gt;0,IF(FA195&gt;500000,12500,(FA195-250000)*0.05),0),0)</f>
        <v>12500</v>
      </c>
      <c r="FC195">
        <f t="shared" ref="FC195:FC258" si="493">IF(ROUND(IF(FA195&gt;0,IF(FA195&gt;1000000,25000,(FA195-500000)*0.2),0),0)&lt;0,0,ROUND(IF(FA195&gt;0,IF(FA195&gt;1000000,25000,(FA195-500000)*0.2),0),0))</f>
        <v>28623</v>
      </c>
      <c r="FD195">
        <f t="shared" ref="FD195:FD258" si="494">FB195+FC195</f>
        <v>41123</v>
      </c>
      <c r="FE195">
        <f t="shared" ref="FE195:FE258" si="495">IF(FD195&lt;12500,0,FD195)</f>
        <v>41123</v>
      </c>
      <c r="FF195">
        <f t="shared" ref="FF195:FF258" si="496">FE195*0.04</f>
        <v>1644.92</v>
      </c>
      <c r="FG195">
        <f t="shared" ref="FG195:FG258" si="497">ROUND(FF195+FE195,0)</f>
        <v>42768</v>
      </c>
      <c r="FH195">
        <v>0</v>
      </c>
      <c r="FI195">
        <f t="shared" ref="FI195:FI258" si="498">FG195-FH195</f>
        <v>42768</v>
      </c>
      <c r="FJ195" t="b">
        <f t="shared" ref="FJ195:FJ258" si="499">IF(DY195&gt;500000,TRUE,FALSE)</f>
        <v>1</v>
      </c>
      <c r="FK195">
        <f t="shared" ref="FK195:FK258" ca="1" si="500">IF(FJ195,RANDBETWEEN(500,1000),RANDBETWEEN(1000,3000))</f>
        <v>590</v>
      </c>
      <c r="FL195">
        <f t="shared" ref="FL195:FL258" ca="1" si="501">DY195+FK195</f>
        <v>756106</v>
      </c>
      <c r="FM195">
        <f t="shared" ref="FM195:FM258" si="502">IF(DY195&gt;0,75000,0)</f>
        <v>75000</v>
      </c>
      <c r="FN195">
        <f t="shared" ref="FN195:FN258" ca="1" si="503">FL195-FM195</f>
        <v>681106</v>
      </c>
      <c r="FO195">
        <f t="shared" ref="FO195:FO258" ca="1" si="504">IF(FN195&gt;1500000,FN195-1500000,0)</f>
        <v>0</v>
      </c>
      <c r="FP195">
        <f t="shared" ref="FP195:FP258" ca="1" si="505">FO195*0.3</f>
        <v>0</v>
      </c>
      <c r="FQ195">
        <f t="shared" ref="FQ195:FQ258" ca="1" si="506">IF(FN195&gt;1200000,FN195-1200000-FO195,0)</f>
        <v>0</v>
      </c>
      <c r="FR195">
        <f t="shared" ref="FR195:FR258" ca="1" si="507">FQ195*0.2</f>
        <v>0</v>
      </c>
      <c r="FS195">
        <f t="shared" ref="FS195:FS258" ca="1" si="508">IF(FN195&gt;1000000,FN195-1000000-F195-FQ195,0)</f>
        <v>0</v>
      </c>
      <c r="FT195">
        <f t="shared" ref="FT195:FT258" ca="1" si="509">FS195*0.15</f>
        <v>0</v>
      </c>
      <c r="FU195">
        <f t="shared" ref="FU195:FU258" ca="1" si="510">IF(FN195&gt;700000,FN195-700000-FO195-FQ195-FS195,0)</f>
        <v>0</v>
      </c>
      <c r="FV195">
        <f t="shared" ref="FV195:FV258" ca="1" si="511">FU195*0.1</f>
        <v>0</v>
      </c>
      <c r="FW195">
        <f t="shared" ref="FW195:FW258" ca="1" si="512">IF(FN195&gt;300000,FN195-300000-FO195-FQ195-FS195-FU195,0)</f>
        <v>381106</v>
      </c>
      <c r="FX195">
        <f t="shared" ref="FX195:FX258" ca="1" si="513">FW195*0.05</f>
        <v>19055.3</v>
      </c>
      <c r="FY195">
        <f t="shared" ref="FY195:FY258" ca="1" si="514">ROUND(FP195+FR195+FT195+FV195+FX195,0)</f>
        <v>19055</v>
      </c>
      <c r="FZ195">
        <f t="shared" ref="FZ195:FZ258" ca="1" si="515">IF(FN195&gt;700000,FN195,0)</f>
        <v>0</v>
      </c>
      <c r="GA195">
        <f t="shared" ref="GA195:GA258" ca="1" si="516">IF(FN195&gt;700000,FZ195-700000,0)</f>
        <v>0</v>
      </c>
      <c r="GB195">
        <f t="shared" ref="GB195:GB258" ca="1" si="517">IF(FN195&lt;700001,MIN(FY195,25000),0)</f>
        <v>19055</v>
      </c>
      <c r="GC195">
        <f t="shared" ref="GC195:GC258" ca="1" si="518">IF(FN195&gt;700000,FY195-GA195,0)</f>
        <v>0</v>
      </c>
      <c r="GD195" t="b">
        <f t="shared" ref="GD195:GD258" ca="1" si="519">IF(GC195&gt;0,TRUE,FALSE)</f>
        <v>0</v>
      </c>
      <c r="GE195">
        <f t="shared" ref="GE195:GE258" ca="1" si="520">IF(GD195,GC195,0)</f>
        <v>0</v>
      </c>
      <c r="GF195">
        <f t="shared" ref="GF195:GF258" ca="1" si="521">GB195+GE195</f>
        <v>19055</v>
      </c>
      <c r="GG195">
        <f t="shared" ref="GG195:GG258" ca="1" si="522">ROUND(FY195-GF195,0)</f>
        <v>0</v>
      </c>
      <c r="GH195">
        <f t="shared" ref="GH195:GH258" ca="1" si="523">GG195*0.04</f>
        <v>0</v>
      </c>
      <c r="GI195">
        <f t="shared" ref="GI195:GI258" ca="1" si="524">ROUNDUP(GG195+GH195,0)</f>
        <v>0</v>
      </c>
    </row>
    <row r="196" spans="1:191" x14ac:dyDescent="0.25">
      <c r="A196">
        <f>_xlfn.AGGREGATE(3,5,$B$2:B196)</f>
        <v>195</v>
      </c>
      <c r="B196" t="s">
        <v>510</v>
      </c>
      <c r="C196" t="s">
        <v>511</v>
      </c>
      <c r="D196" t="s">
        <v>812</v>
      </c>
      <c r="E196" t="s">
        <v>843</v>
      </c>
      <c r="F196">
        <v>0</v>
      </c>
      <c r="G196">
        <v>6000</v>
      </c>
      <c r="H196">
        <v>32500</v>
      </c>
      <c r="I196">
        <f t="shared" si="427"/>
        <v>3250</v>
      </c>
      <c r="J196">
        <f t="shared" si="428"/>
        <v>3900</v>
      </c>
      <c r="K196">
        <v>0</v>
      </c>
      <c r="L196">
        <v>500</v>
      </c>
      <c r="M196">
        <f t="shared" si="429"/>
        <v>40150</v>
      </c>
      <c r="N196">
        <v>3000</v>
      </c>
      <c r="O196">
        <v>0</v>
      </c>
      <c r="P196">
        <f t="shared" si="430"/>
        <v>200</v>
      </c>
      <c r="Q196">
        <f t="shared" si="431"/>
        <v>36950</v>
      </c>
      <c r="R196">
        <v>32500</v>
      </c>
      <c r="S196">
        <f t="shared" si="432"/>
        <v>3250</v>
      </c>
      <c r="T196">
        <f t="shared" si="433"/>
        <v>3900</v>
      </c>
      <c r="U196">
        <v>0</v>
      </c>
      <c r="V196">
        <v>500</v>
      </c>
      <c r="W196">
        <f t="shared" si="434"/>
        <v>40150</v>
      </c>
      <c r="X196">
        <v>3000</v>
      </c>
      <c r="Y196">
        <v>0</v>
      </c>
      <c r="Z196">
        <f t="shared" si="435"/>
        <v>200</v>
      </c>
      <c r="AA196">
        <f t="shared" si="436"/>
        <v>36950</v>
      </c>
      <c r="AB196">
        <v>32500</v>
      </c>
      <c r="AC196">
        <f t="shared" si="437"/>
        <v>4550</v>
      </c>
      <c r="AD196">
        <f t="shared" si="438"/>
        <v>3900</v>
      </c>
      <c r="AE196">
        <v>0</v>
      </c>
      <c r="AF196">
        <v>500</v>
      </c>
      <c r="AG196">
        <f t="shared" si="439"/>
        <v>41450</v>
      </c>
      <c r="AH196">
        <v>3000</v>
      </c>
      <c r="AI196">
        <v>0</v>
      </c>
      <c r="AJ196">
        <f t="shared" si="440"/>
        <v>200</v>
      </c>
      <c r="AK196">
        <f t="shared" si="441"/>
        <v>38250</v>
      </c>
      <c r="AL196">
        <v>32500</v>
      </c>
      <c r="AM196">
        <f t="shared" si="442"/>
        <v>4550</v>
      </c>
      <c r="AN196">
        <f t="shared" si="443"/>
        <v>3900</v>
      </c>
      <c r="AO196">
        <v>0</v>
      </c>
      <c r="AP196">
        <v>500</v>
      </c>
      <c r="AQ196">
        <f t="shared" si="444"/>
        <v>41450</v>
      </c>
      <c r="AR196">
        <v>3000</v>
      </c>
      <c r="AS196">
        <v>0</v>
      </c>
      <c r="AT196">
        <f t="shared" si="445"/>
        <v>200</v>
      </c>
      <c r="AU196">
        <f t="shared" si="446"/>
        <v>38250</v>
      </c>
      <c r="AV196">
        <v>33500</v>
      </c>
      <c r="AW196">
        <f t="shared" si="447"/>
        <v>4690</v>
      </c>
      <c r="AX196">
        <f t="shared" si="448"/>
        <v>1300</v>
      </c>
      <c r="AY196">
        <f t="shared" si="449"/>
        <v>4020</v>
      </c>
      <c r="AZ196">
        <v>0</v>
      </c>
      <c r="BA196">
        <v>500</v>
      </c>
      <c r="BB196">
        <f t="shared" si="450"/>
        <v>44010</v>
      </c>
      <c r="BC196">
        <v>3000</v>
      </c>
      <c r="BD196">
        <v>0</v>
      </c>
      <c r="BE196">
        <f t="shared" si="451"/>
        <v>200</v>
      </c>
      <c r="BF196">
        <f t="shared" si="452"/>
        <v>40810</v>
      </c>
      <c r="BG196">
        <v>33500</v>
      </c>
      <c r="BH196">
        <f t="shared" si="453"/>
        <v>4690</v>
      </c>
      <c r="BI196">
        <f t="shared" si="454"/>
        <v>4020</v>
      </c>
      <c r="BJ196">
        <v>0</v>
      </c>
      <c r="BK196">
        <v>500</v>
      </c>
      <c r="BL196">
        <f t="shared" si="455"/>
        <v>42710</v>
      </c>
      <c r="BM196">
        <v>3000</v>
      </c>
      <c r="BN196">
        <v>0</v>
      </c>
      <c r="BO196">
        <f t="shared" si="456"/>
        <v>200</v>
      </c>
      <c r="BP196">
        <f t="shared" si="457"/>
        <v>39510</v>
      </c>
      <c r="BQ196">
        <v>33500</v>
      </c>
      <c r="BR196">
        <f t="shared" si="458"/>
        <v>4690</v>
      </c>
      <c r="BS196">
        <f t="shared" si="459"/>
        <v>4020</v>
      </c>
      <c r="BT196">
        <v>0</v>
      </c>
      <c r="BU196">
        <v>500</v>
      </c>
      <c r="BV196">
        <f t="shared" si="460"/>
        <v>42710</v>
      </c>
      <c r="BW196">
        <v>3000</v>
      </c>
      <c r="BX196">
        <v>0</v>
      </c>
      <c r="BY196">
        <f t="shared" si="461"/>
        <v>200</v>
      </c>
      <c r="BZ196">
        <f t="shared" si="462"/>
        <v>39510</v>
      </c>
      <c r="CA196">
        <v>33500</v>
      </c>
      <c r="CB196">
        <f t="shared" si="463"/>
        <v>4690</v>
      </c>
      <c r="CC196">
        <f t="shared" si="464"/>
        <v>4020</v>
      </c>
      <c r="CD196">
        <v>0</v>
      </c>
      <c r="CE196">
        <v>500</v>
      </c>
      <c r="CF196">
        <f t="shared" si="465"/>
        <v>42710</v>
      </c>
      <c r="CG196">
        <v>3000</v>
      </c>
      <c r="CH196">
        <v>0</v>
      </c>
      <c r="CI196">
        <f t="shared" si="466"/>
        <v>200</v>
      </c>
      <c r="CJ196">
        <f t="shared" si="467"/>
        <v>39510</v>
      </c>
      <c r="CK196">
        <v>33500</v>
      </c>
      <c r="CL196">
        <f t="shared" si="468"/>
        <v>4690</v>
      </c>
      <c r="CM196">
        <f t="shared" si="469"/>
        <v>4020</v>
      </c>
      <c r="CN196">
        <v>0</v>
      </c>
      <c r="CO196">
        <v>500</v>
      </c>
      <c r="CP196">
        <f t="shared" si="470"/>
        <v>42710</v>
      </c>
      <c r="CQ196">
        <v>3000</v>
      </c>
      <c r="CR196">
        <v>0</v>
      </c>
      <c r="CS196">
        <f t="shared" si="471"/>
        <v>200</v>
      </c>
      <c r="CT196">
        <f t="shared" si="472"/>
        <v>39510</v>
      </c>
      <c r="CU196">
        <v>33500</v>
      </c>
      <c r="CV196">
        <f t="shared" si="473"/>
        <v>4690</v>
      </c>
      <c r="CW196">
        <f t="shared" si="474"/>
        <v>4020</v>
      </c>
      <c r="CX196">
        <v>0</v>
      </c>
      <c r="CY196">
        <v>500</v>
      </c>
      <c r="CZ196">
        <f t="shared" si="475"/>
        <v>42710</v>
      </c>
      <c r="DA196">
        <v>3000</v>
      </c>
      <c r="DB196">
        <v>0</v>
      </c>
      <c r="DC196">
        <f t="shared" si="476"/>
        <v>200</v>
      </c>
      <c r="DD196">
        <f t="shared" si="477"/>
        <v>39510</v>
      </c>
      <c r="DE196">
        <v>33500</v>
      </c>
      <c r="DF196">
        <f t="shared" si="478"/>
        <v>4690</v>
      </c>
      <c r="DG196">
        <f t="shared" si="479"/>
        <v>4020</v>
      </c>
      <c r="DH196">
        <v>0</v>
      </c>
      <c r="DI196">
        <v>500</v>
      </c>
      <c r="DJ196">
        <f t="shared" si="480"/>
        <v>42710</v>
      </c>
      <c r="DK196">
        <v>3000</v>
      </c>
      <c r="DL196">
        <v>0</v>
      </c>
      <c r="DM196">
        <f t="shared" si="481"/>
        <v>200</v>
      </c>
      <c r="DN196">
        <f t="shared" si="482"/>
        <v>39510</v>
      </c>
      <c r="DO196">
        <v>33500</v>
      </c>
      <c r="DP196">
        <f t="shared" si="483"/>
        <v>4690</v>
      </c>
      <c r="DQ196">
        <f t="shared" si="484"/>
        <v>4020</v>
      </c>
      <c r="DR196">
        <v>0</v>
      </c>
      <c r="DS196">
        <v>500</v>
      </c>
      <c r="DT196">
        <f t="shared" si="485"/>
        <v>42710</v>
      </c>
      <c r="DU196">
        <v>3000</v>
      </c>
      <c r="DV196">
        <v>0</v>
      </c>
      <c r="DW196">
        <f t="shared" si="486"/>
        <v>200</v>
      </c>
      <c r="DX196">
        <f t="shared" si="487"/>
        <v>39510</v>
      </c>
      <c r="DY196">
        <f t="shared" si="488"/>
        <v>512180</v>
      </c>
      <c r="DZ196">
        <f t="shared" si="420"/>
        <v>2400</v>
      </c>
      <c r="EA196">
        <f t="shared" si="421"/>
        <v>50000</v>
      </c>
      <c r="EB196">
        <v>0</v>
      </c>
      <c r="EC196">
        <f t="shared" si="422"/>
        <v>459780</v>
      </c>
      <c r="ED196">
        <f t="shared" si="423"/>
        <v>36000</v>
      </c>
      <c r="EE196">
        <f t="shared" si="424"/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f t="shared" si="425"/>
        <v>36000</v>
      </c>
      <c r="EQ196">
        <f t="shared" si="489"/>
        <v>36000</v>
      </c>
      <c r="ER196">
        <f t="shared" si="426"/>
        <v>423780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f t="shared" si="490"/>
        <v>0</v>
      </c>
      <c r="FA196">
        <f t="shared" si="491"/>
        <v>423780</v>
      </c>
      <c r="FB196">
        <f t="shared" si="492"/>
        <v>8689</v>
      </c>
      <c r="FC196">
        <f t="shared" si="493"/>
        <v>0</v>
      </c>
      <c r="FD196">
        <f t="shared" si="494"/>
        <v>8689</v>
      </c>
      <c r="FE196">
        <f t="shared" si="495"/>
        <v>0</v>
      </c>
      <c r="FF196">
        <f t="shared" si="496"/>
        <v>0</v>
      </c>
      <c r="FG196">
        <f t="shared" si="497"/>
        <v>0</v>
      </c>
      <c r="FH196">
        <v>0</v>
      </c>
      <c r="FI196">
        <f t="shared" si="498"/>
        <v>0</v>
      </c>
      <c r="FJ196" t="b">
        <f t="shared" si="499"/>
        <v>1</v>
      </c>
      <c r="FK196">
        <f t="shared" ca="1" si="500"/>
        <v>786</v>
      </c>
      <c r="FL196">
        <f t="shared" ca="1" si="501"/>
        <v>512966</v>
      </c>
      <c r="FM196">
        <f t="shared" si="502"/>
        <v>75000</v>
      </c>
      <c r="FN196">
        <f t="shared" ca="1" si="503"/>
        <v>437966</v>
      </c>
      <c r="FO196">
        <f t="shared" ca="1" si="504"/>
        <v>0</v>
      </c>
      <c r="FP196">
        <f t="shared" ca="1" si="505"/>
        <v>0</v>
      </c>
      <c r="FQ196">
        <f t="shared" ca="1" si="506"/>
        <v>0</v>
      </c>
      <c r="FR196">
        <f t="shared" ca="1" si="507"/>
        <v>0</v>
      </c>
      <c r="FS196">
        <f t="shared" ca="1" si="508"/>
        <v>0</v>
      </c>
      <c r="FT196">
        <f t="shared" ca="1" si="509"/>
        <v>0</v>
      </c>
      <c r="FU196">
        <f t="shared" ca="1" si="510"/>
        <v>0</v>
      </c>
      <c r="FV196">
        <f t="shared" ca="1" si="511"/>
        <v>0</v>
      </c>
      <c r="FW196">
        <f t="shared" ca="1" si="512"/>
        <v>137966</v>
      </c>
      <c r="FX196">
        <f t="shared" ca="1" si="513"/>
        <v>6898.3</v>
      </c>
      <c r="FY196">
        <f t="shared" ca="1" si="514"/>
        <v>6898</v>
      </c>
      <c r="FZ196">
        <f t="shared" ca="1" si="515"/>
        <v>0</v>
      </c>
      <c r="GA196">
        <f t="shared" ca="1" si="516"/>
        <v>0</v>
      </c>
      <c r="GB196">
        <f t="shared" ca="1" si="517"/>
        <v>6898</v>
      </c>
      <c r="GC196">
        <f t="shared" ca="1" si="518"/>
        <v>0</v>
      </c>
      <c r="GD196" t="b">
        <f t="shared" ca="1" si="519"/>
        <v>0</v>
      </c>
      <c r="GE196">
        <f t="shared" ca="1" si="520"/>
        <v>0</v>
      </c>
      <c r="GF196">
        <f t="shared" ca="1" si="521"/>
        <v>6898</v>
      </c>
      <c r="GG196">
        <f t="shared" ca="1" si="522"/>
        <v>0</v>
      </c>
      <c r="GH196">
        <f t="shared" ca="1" si="523"/>
        <v>0</v>
      </c>
      <c r="GI196">
        <f t="shared" ca="1" si="524"/>
        <v>0</v>
      </c>
    </row>
    <row r="197" spans="1:191" x14ac:dyDescent="0.25">
      <c r="A197">
        <f>_xlfn.AGGREGATE(3,5,$B$2:B197)</f>
        <v>196</v>
      </c>
      <c r="B197" t="s">
        <v>512</v>
      </c>
      <c r="C197" t="s">
        <v>513</v>
      </c>
      <c r="D197" t="s">
        <v>812</v>
      </c>
      <c r="E197" t="s">
        <v>843</v>
      </c>
      <c r="F197">
        <v>0</v>
      </c>
      <c r="G197">
        <v>6000</v>
      </c>
      <c r="H197">
        <v>32500</v>
      </c>
      <c r="I197">
        <f t="shared" si="427"/>
        <v>3250</v>
      </c>
      <c r="J197">
        <f t="shared" si="428"/>
        <v>3900</v>
      </c>
      <c r="K197">
        <v>0</v>
      </c>
      <c r="L197">
        <v>500</v>
      </c>
      <c r="M197">
        <f t="shared" si="429"/>
        <v>40150</v>
      </c>
      <c r="N197">
        <v>2000</v>
      </c>
      <c r="O197">
        <v>0</v>
      </c>
      <c r="P197">
        <f t="shared" si="430"/>
        <v>200</v>
      </c>
      <c r="Q197">
        <f t="shared" si="431"/>
        <v>37950</v>
      </c>
      <c r="R197">
        <v>32500</v>
      </c>
      <c r="S197">
        <f t="shared" si="432"/>
        <v>3250</v>
      </c>
      <c r="T197">
        <f t="shared" si="433"/>
        <v>3900</v>
      </c>
      <c r="U197">
        <v>0</v>
      </c>
      <c r="V197">
        <v>500</v>
      </c>
      <c r="W197">
        <f t="shared" si="434"/>
        <v>40150</v>
      </c>
      <c r="X197">
        <v>2000</v>
      </c>
      <c r="Y197">
        <v>0</v>
      </c>
      <c r="Z197">
        <f t="shared" si="435"/>
        <v>200</v>
      </c>
      <c r="AA197">
        <f t="shared" si="436"/>
        <v>37950</v>
      </c>
      <c r="AB197">
        <v>32500</v>
      </c>
      <c r="AC197">
        <f t="shared" si="437"/>
        <v>4550</v>
      </c>
      <c r="AD197">
        <f t="shared" si="438"/>
        <v>3900</v>
      </c>
      <c r="AE197">
        <v>0</v>
      </c>
      <c r="AF197">
        <v>500</v>
      </c>
      <c r="AG197">
        <f t="shared" si="439"/>
        <v>41450</v>
      </c>
      <c r="AH197">
        <v>2000</v>
      </c>
      <c r="AI197">
        <v>0</v>
      </c>
      <c r="AJ197">
        <f t="shared" si="440"/>
        <v>200</v>
      </c>
      <c r="AK197">
        <f t="shared" si="441"/>
        <v>39250</v>
      </c>
      <c r="AL197">
        <v>32500</v>
      </c>
      <c r="AM197">
        <f t="shared" si="442"/>
        <v>4550</v>
      </c>
      <c r="AN197">
        <f t="shared" si="443"/>
        <v>3900</v>
      </c>
      <c r="AO197">
        <v>0</v>
      </c>
      <c r="AP197">
        <v>500</v>
      </c>
      <c r="AQ197">
        <f t="shared" si="444"/>
        <v>41450</v>
      </c>
      <c r="AR197">
        <v>2000</v>
      </c>
      <c r="AS197">
        <v>0</v>
      </c>
      <c r="AT197">
        <f t="shared" si="445"/>
        <v>200</v>
      </c>
      <c r="AU197">
        <f t="shared" si="446"/>
        <v>39250</v>
      </c>
      <c r="AV197">
        <v>33500</v>
      </c>
      <c r="AW197">
        <f t="shared" si="447"/>
        <v>4690</v>
      </c>
      <c r="AX197">
        <f t="shared" si="448"/>
        <v>1300</v>
      </c>
      <c r="AY197">
        <f t="shared" si="449"/>
        <v>4020</v>
      </c>
      <c r="AZ197">
        <v>0</v>
      </c>
      <c r="BA197">
        <v>500</v>
      </c>
      <c r="BB197">
        <f t="shared" si="450"/>
        <v>44010</v>
      </c>
      <c r="BC197">
        <v>2500</v>
      </c>
      <c r="BD197">
        <v>0</v>
      </c>
      <c r="BE197">
        <f t="shared" si="451"/>
        <v>200</v>
      </c>
      <c r="BF197">
        <f t="shared" si="452"/>
        <v>41310</v>
      </c>
      <c r="BG197">
        <v>33500</v>
      </c>
      <c r="BH197">
        <f t="shared" si="453"/>
        <v>4690</v>
      </c>
      <c r="BI197">
        <f t="shared" si="454"/>
        <v>4020</v>
      </c>
      <c r="BJ197">
        <v>0</v>
      </c>
      <c r="BK197">
        <v>500</v>
      </c>
      <c r="BL197">
        <f t="shared" si="455"/>
        <v>42710</v>
      </c>
      <c r="BM197">
        <v>2500</v>
      </c>
      <c r="BN197">
        <v>0</v>
      </c>
      <c r="BO197">
        <f t="shared" si="456"/>
        <v>200</v>
      </c>
      <c r="BP197">
        <f t="shared" si="457"/>
        <v>40010</v>
      </c>
      <c r="BQ197">
        <v>33500</v>
      </c>
      <c r="BR197">
        <f t="shared" si="458"/>
        <v>4690</v>
      </c>
      <c r="BS197">
        <f t="shared" si="459"/>
        <v>4020</v>
      </c>
      <c r="BT197">
        <v>0</v>
      </c>
      <c r="BU197">
        <v>500</v>
      </c>
      <c r="BV197">
        <f t="shared" si="460"/>
        <v>42710</v>
      </c>
      <c r="BW197">
        <v>2500</v>
      </c>
      <c r="BX197">
        <v>0</v>
      </c>
      <c r="BY197">
        <f t="shared" si="461"/>
        <v>200</v>
      </c>
      <c r="BZ197">
        <f t="shared" si="462"/>
        <v>40010</v>
      </c>
      <c r="CA197">
        <v>33500</v>
      </c>
      <c r="CB197">
        <f t="shared" si="463"/>
        <v>4690</v>
      </c>
      <c r="CC197">
        <f t="shared" si="464"/>
        <v>4020</v>
      </c>
      <c r="CD197">
        <v>0</v>
      </c>
      <c r="CE197">
        <v>500</v>
      </c>
      <c r="CF197">
        <f t="shared" si="465"/>
        <v>42710</v>
      </c>
      <c r="CG197">
        <v>2500</v>
      </c>
      <c r="CH197">
        <v>0</v>
      </c>
      <c r="CI197">
        <f t="shared" si="466"/>
        <v>200</v>
      </c>
      <c r="CJ197">
        <f t="shared" si="467"/>
        <v>40010</v>
      </c>
      <c r="CK197">
        <v>33500</v>
      </c>
      <c r="CL197">
        <f t="shared" si="468"/>
        <v>4690</v>
      </c>
      <c r="CM197">
        <f t="shared" si="469"/>
        <v>4020</v>
      </c>
      <c r="CN197">
        <v>0</v>
      </c>
      <c r="CO197">
        <v>500</v>
      </c>
      <c r="CP197">
        <f t="shared" si="470"/>
        <v>42710</v>
      </c>
      <c r="CQ197">
        <v>2500</v>
      </c>
      <c r="CR197">
        <v>0</v>
      </c>
      <c r="CS197">
        <f t="shared" si="471"/>
        <v>200</v>
      </c>
      <c r="CT197">
        <f t="shared" si="472"/>
        <v>40010</v>
      </c>
      <c r="CU197">
        <v>33500</v>
      </c>
      <c r="CV197">
        <f t="shared" si="473"/>
        <v>4690</v>
      </c>
      <c r="CW197">
        <f t="shared" si="474"/>
        <v>4020</v>
      </c>
      <c r="CX197">
        <v>0</v>
      </c>
      <c r="CY197">
        <v>500</v>
      </c>
      <c r="CZ197">
        <f t="shared" si="475"/>
        <v>42710</v>
      </c>
      <c r="DA197">
        <v>2500</v>
      </c>
      <c r="DB197">
        <v>0</v>
      </c>
      <c r="DC197">
        <f t="shared" si="476"/>
        <v>200</v>
      </c>
      <c r="DD197">
        <f t="shared" si="477"/>
        <v>40010</v>
      </c>
      <c r="DE197">
        <v>33500</v>
      </c>
      <c r="DF197">
        <f t="shared" si="478"/>
        <v>4690</v>
      </c>
      <c r="DG197">
        <f t="shared" si="479"/>
        <v>4020</v>
      </c>
      <c r="DH197">
        <v>0</v>
      </c>
      <c r="DI197">
        <v>500</v>
      </c>
      <c r="DJ197">
        <f t="shared" si="480"/>
        <v>42710</v>
      </c>
      <c r="DK197">
        <v>2500</v>
      </c>
      <c r="DL197">
        <v>0</v>
      </c>
      <c r="DM197">
        <f t="shared" si="481"/>
        <v>200</v>
      </c>
      <c r="DN197">
        <f t="shared" si="482"/>
        <v>40010</v>
      </c>
      <c r="DO197">
        <v>33500</v>
      </c>
      <c r="DP197">
        <f t="shared" si="483"/>
        <v>4690</v>
      </c>
      <c r="DQ197">
        <f t="shared" si="484"/>
        <v>4020</v>
      </c>
      <c r="DR197">
        <v>0</v>
      </c>
      <c r="DS197">
        <v>500</v>
      </c>
      <c r="DT197">
        <f t="shared" si="485"/>
        <v>42710</v>
      </c>
      <c r="DU197">
        <v>2500</v>
      </c>
      <c r="DV197">
        <v>0</v>
      </c>
      <c r="DW197">
        <f t="shared" si="486"/>
        <v>200</v>
      </c>
      <c r="DX197">
        <f t="shared" si="487"/>
        <v>40010</v>
      </c>
      <c r="DY197">
        <f t="shared" si="488"/>
        <v>512180</v>
      </c>
      <c r="DZ197">
        <f t="shared" si="420"/>
        <v>2400</v>
      </c>
      <c r="EA197">
        <f t="shared" si="421"/>
        <v>50000</v>
      </c>
      <c r="EB197">
        <v>0</v>
      </c>
      <c r="EC197">
        <f t="shared" si="422"/>
        <v>459780</v>
      </c>
      <c r="ED197">
        <f t="shared" si="423"/>
        <v>28000</v>
      </c>
      <c r="EE197">
        <f t="shared" si="424"/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f t="shared" si="425"/>
        <v>28000</v>
      </c>
      <c r="EQ197">
        <f t="shared" si="489"/>
        <v>28000</v>
      </c>
      <c r="ER197">
        <f t="shared" si="426"/>
        <v>431780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f t="shared" si="490"/>
        <v>0</v>
      </c>
      <c r="FA197">
        <f t="shared" si="491"/>
        <v>431780</v>
      </c>
      <c r="FB197">
        <f t="shared" si="492"/>
        <v>9089</v>
      </c>
      <c r="FC197">
        <f t="shared" si="493"/>
        <v>0</v>
      </c>
      <c r="FD197">
        <f t="shared" si="494"/>
        <v>9089</v>
      </c>
      <c r="FE197">
        <f t="shared" si="495"/>
        <v>0</v>
      </c>
      <c r="FF197">
        <f t="shared" si="496"/>
        <v>0</v>
      </c>
      <c r="FG197">
        <f t="shared" si="497"/>
        <v>0</v>
      </c>
      <c r="FH197">
        <v>0</v>
      </c>
      <c r="FI197">
        <f t="shared" si="498"/>
        <v>0</v>
      </c>
      <c r="FJ197" t="b">
        <f t="shared" si="499"/>
        <v>1</v>
      </c>
      <c r="FK197">
        <f t="shared" ca="1" si="500"/>
        <v>843</v>
      </c>
      <c r="FL197">
        <f t="shared" ca="1" si="501"/>
        <v>513023</v>
      </c>
      <c r="FM197">
        <f t="shared" si="502"/>
        <v>75000</v>
      </c>
      <c r="FN197">
        <f t="shared" ca="1" si="503"/>
        <v>438023</v>
      </c>
      <c r="FO197">
        <f t="shared" ca="1" si="504"/>
        <v>0</v>
      </c>
      <c r="FP197">
        <f t="shared" ca="1" si="505"/>
        <v>0</v>
      </c>
      <c r="FQ197">
        <f t="shared" ca="1" si="506"/>
        <v>0</v>
      </c>
      <c r="FR197">
        <f t="shared" ca="1" si="507"/>
        <v>0</v>
      </c>
      <c r="FS197">
        <f t="shared" ca="1" si="508"/>
        <v>0</v>
      </c>
      <c r="FT197">
        <f t="shared" ca="1" si="509"/>
        <v>0</v>
      </c>
      <c r="FU197">
        <f t="shared" ca="1" si="510"/>
        <v>0</v>
      </c>
      <c r="FV197">
        <f t="shared" ca="1" si="511"/>
        <v>0</v>
      </c>
      <c r="FW197">
        <f t="shared" ca="1" si="512"/>
        <v>138023</v>
      </c>
      <c r="FX197">
        <f t="shared" ca="1" si="513"/>
        <v>6901.1500000000005</v>
      </c>
      <c r="FY197">
        <f t="shared" ca="1" si="514"/>
        <v>6901</v>
      </c>
      <c r="FZ197">
        <f t="shared" ca="1" si="515"/>
        <v>0</v>
      </c>
      <c r="GA197">
        <f t="shared" ca="1" si="516"/>
        <v>0</v>
      </c>
      <c r="GB197">
        <f t="shared" ca="1" si="517"/>
        <v>6901</v>
      </c>
      <c r="GC197">
        <f t="shared" ca="1" si="518"/>
        <v>0</v>
      </c>
      <c r="GD197" t="b">
        <f t="shared" ca="1" si="519"/>
        <v>0</v>
      </c>
      <c r="GE197">
        <f t="shared" ca="1" si="520"/>
        <v>0</v>
      </c>
      <c r="GF197">
        <f t="shared" ca="1" si="521"/>
        <v>6901</v>
      </c>
      <c r="GG197">
        <f t="shared" ca="1" si="522"/>
        <v>0</v>
      </c>
      <c r="GH197">
        <f t="shared" ca="1" si="523"/>
        <v>0</v>
      </c>
      <c r="GI197">
        <f t="shared" ca="1" si="524"/>
        <v>0</v>
      </c>
    </row>
    <row r="198" spans="1:191" x14ac:dyDescent="0.25">
      <c r="A198">
        <f>_xlfn.AGGREGATE(3,5,$B$2:B198)</f>
        <v>197</v>
      </c>
      <c r="B198" t="s">
        <v>514</v>
      </c>
      <c r="C198" t="s">
        <v>515</v>
      </c>
      <c r="D198" t="s">
        <v>812</v>
      </c>
      <c r="E198" t="s">
        <v>843</v>
      </c>
      <c r="F198">
        <v>0</v>
      </c>
      <c r="G198">
        <v>6000</v>
      </c>
      <c r="H198">
        <v>32500</v>
      </c>
      <c r="I198">
        <f t="shared" si="427"/>
        <v>3250</v>
      </c>
      <c r="J198">
        <f t="shared" si="428"/>
        <v>3900</v>
      </c>
      <c r="K198">
        <v>0</v>
      </c>
      <c r="L198">
        <v>500</v>
      </c>
      <c r="M198">
        <f t="shared" si="429"/>
        <v>40150</v>
      </c>
      <c r="N198">
        <v>2000</v>
      </c>
      <c r="O198">
        <v>0</v>
      </c>
      <c r="P198">
        <f t="shared" si="430"/>
        <v>200</v>
      </c>
      <c r="Q198">
        <f t="shared" si="431"/>
        <v>37950</v>
      </c>
      <c r="R198">
        <v>32500</v>
      </c>
      <c r="S198">
        <f t="shared" si="432"/>
        <v>3250</v>
      </c>
      <c r="T198">
        <f t="shared" si="433"/>
        <v>3900</v>
      </c>
      <c r="U198">
        <v>0</v>
      </c>
      <c r="V198">
        <v>500</v>
      </c>
      <c r="W198">
        <f t="shared" si="434"/>
        <v>40150</v>
      </c>
      <c r="X198">
        <v>2000</v>
      </c>
      <c r="Y198">
        <v>0</v>
      </c>
      <c r="Z198">
        <f t="shared" si="435"/>
        <v>200</v>
      </c>
      <c r="AA198">
        <f t="shared" si="436"/>
        <v>37950</v>
      </c>
      <c r="AB198">
        <v>32500</v>
      </c>
      <c r="AC198">
        <f t="shared" si="437"/>
        <v>4550</v>
      </c>
      <c r="AD198">
        <f t="shared" si="438"/>
        <v>3900</v>
      </c>
      <c r="AE198">
        <v>0</v>
      </c>
      <c r="AF198">
        <v>500</v>
      </c>
      <c r="AG198">
        <f t="shared" si="439"/>
        <v>41450</v>
      </c>
      <c r="AH198">
        <v>2000</v>
      </c>
      <c r="AI198">
        <v>0</v>
      </c>
      <c r="AJ198">
        <f t="shared" si="440"/>
        <v>200</v>
      </c>
      <c r="AK198">
        <f t="shared" si="441"/>
        <v>39250</v>
      </c>
      <c r="AL198">
        <v>32500</v>
      </c>
      <c r="AM198">
        <f t="shared" si="442"/>
        <v>4550</v>
      </c>
      <c r="AN198">
        <f t="shared" si="443"/>
        <v>3900</v>
      </c>
      <c r="AO198">
        <v>0</v>
      </c>
      <c r="AP198">
        <v>500</v>
      </c>
      <c r="AQ198">
        <f t="shared" si="444"/>
        <v>41450</v>
      </c>
      <c r="AR198">
        <v>2000</v>
      </c>
      <c r="AS198">
        <v>0</v>
      </c>
      <c r="AT198">
        <f t="shared" si="445"/>
        <v>200</v>
      </c>
      <c r="AU198">
        <f t="shared" si="446"/>
        <v>39250</v>
      </c>
      <c r="AV198">
        <v>33500</v>
      </c>
      <c r="AW198">
        <f t="shared" si="447"/>
        <v>4690</v>
      </c>
      <c r="AX198">
        <f t="shared" si="448"/>
        <v>1300</v>
      </c>
      <c r="AY198">
        <f t="shared" si="449"/>
        <v>4020</v>
      </c>
      <c r="AZ198">
        <v>0</v>
      </c>
      <c r="BA198">
        <v>500</v>
      </c>
      <c r="BB198">
        <f t="shared" si="450"/>
        <v>44010</v>
      </c>
      <c r="BC198">
        <v>2500</v>
      </c>
      <c r="BD198">
        <v>0</v>
      </c>
      <c r="BE198">
        <f t="shared" si="451"/>
        <v>200</v>
      </c>
      <c r="BF198">
        <f t="shared" si="452"/>
        <v>41310</v>
      </c>
      <c r="BG198">
        <v>33500</v>
      </c>
      <c r="BH198">
        <f t="shared" si="453"/>
        <v>4690</v>
      </c>
      <c r="BI198">
        <f t="shared" si="454"/>
        <v>4020</v>
      </c>
      <c r="BJ198">
        <v>0</v>
      </c>
      <c r="BK198">
        <v>500</v>
      </c>
      <c r="BL198">
        <f t="shared" si="455"/>
        <v>42710</v>
      </c>
      <c r="BM198">
        <v>2500</v>
      </c>
      <c r="BN198">
        <v>0</v>
      </c>
      <c r="BO198">
        <f t="shared" si="456"/>
        <v>200</v>
      </c>
      <c r="BP198">
        <f t="shared" si="457"/>
        <v>40010</v>
      </c>
      <c r="BQ198">
        <v>33500</v>
      </c>
      <c r="BR198">
        <f t="shared" si="458"/>
        <v>4690</v>
      </c>
      <c r="BS198">
        <f t="shared" si="459"/>
        <v>4020</v>
      </c>
      <c r="BT198">
        <v>0</v>
      </c>
      <c r="BU198">
        <v>500</v>
      </c>
      <c r="BV198">
        <f t="shared" si="460"/>
        <v>42710</v>
      </c>
      <c r="BW198">
        <v>2500</v>
      </c>
      <c r="BX198">
        <v>0</v>
      </c>
      <c r="BY198">
        <f t="shared" si="461"/>
        <v>200</v>
      </c>
      <c r="BZ198">
        <f t="shared" si="462"/>
        <v>40010</v>
      </c>
      <c r="CA198">
        <v>33500</v>
      </c>
      <c r="CB198">
        <f t="shared" si="463"/>
        <v>4690</v>
      </c>
      <c r="CC198">
        <f t="shared" si="464"/>
        <v>4020</v>
      </c>
      <c r="CD198">
        <v>0</v>
      </c>
      <c r="CE198">
        <v>500</v>
      </c>
      <c r="CF198">
        <f t="shared" si="465"/>
        <v>42710</v>
      </c>
      <c r="CG198">
        <v>2500</v>
      </c>
      <c r="CH198">
        <v>0</v>
      </c>
      <c r="CI198">
        <f t="shared" si="466"/>
        <v>200</v>
      </c>
      <c r="CJ198">
        <f t="shared" si="467"/>
        <v>40010</v>
      </c>
      <c r="CK198">
        <v>33500</v>
      </c>
      <c r="CL198">
        <f t="shared" si="468"/>
        <v>4690</v>
      </c>
      <c r="CM198">
        <f t="shared" si="469"/>
        <v>4020</v>
      </c>
      <c r="CN198">
        <v>0</v>
      </c>
      <c r="CO198">
        <v>500</v>
      </c>
      <c r="CP198">
        <f t="shared" si="470"/>
        <v>42710</v>
      </c>
      <c r="CQ198">
        <v>2500</v>
      </c>
      <c r="CR198">
        <v>0</v>
      </c>
      <c r="CS198">
        <f t="shared" si="471"/>
        <v>200</v>
      </c>
      <c r="CT198">
        <f t="shared" si="472"/>
        <v>40010</v>
      </c>
      <c r="CU198">
        <v>33500</v>
      </c>
      <c r="CV198">
        <f t="shared" si="473"/>
        <v>4690</v>
      </c>
      <c r="CW198">
        <f t="shared" si="474"/>
        <v>4020</v>
      </c>
      <c r="CX198">
        <v>0</v>
      </c>
      <c r="CY198">
        <v>500</v>
      </c>
      <c r="CZ198">
        <f t="shared" si="475"/>
        <v>42710</v>
      </c>
      <c r="DA198">
        <v>2500</v>
      </c>
      <c r="DB198">
        <v>0</v>
      </c>
      <c r="DC198">
        <f t="shared" si="476"/>
        <v>200</v>
      </c>
      <c r="DD198">
        <f t="shared" si="477"/>
        <v>40010</v>
      </c>
      <c r="DE198">
        <v>33500</v>
      </c>
      <c r="DF198">
        <f t="shared" si="478"/>
        <v>4690</v>
      </c>
      <c r="DG198">
        <f t="shared" si="479"/>
        <v>4020</v>
      </c>
      <c r="DH198">
        <v>0</v>
      </c>
      <c r="DI198">
        <v>500</v>
      </c>
      <c r="DJ198">
        <f t="shared" si="480"/>
        <v>42710</v>
      </c>
      <c r="DK198">
        <v>2500</v>
      </c>
      <c r="DL198">
        <v>0</v>
      </c>
      <c r="DM198">
        <f t="shared" si="481"/>
        <v>200</v>
      </c>
      <c r="DN198">
        <f t="shared" si="482"/>
        <v>40010</v>
      </c>
      <c r="DO198">
        <v>33500</v>
      </c>
      <c r="DP198">
        <f t="shared" si="483"/>
        <v>4690</v>
      </c>
      <c r="DQ198">
        <f t="shared" si="484"/>
        <v>4020</v>
      </c>
      <c r="DR198">
        <v>0</v>
      </c>
      <c r="DS198">
        <v>500</v>
      </c>
      <c r="DT198">
        <f t="shared" si="485"/>
        <v>42710</v>
      </c>
      <c r="DU198">
        <v>2500</v>
      </c>
      <c r="DV198">
        <v>0</v>
      </c>
      <c r="DW198">
        <f t="shared" si="486"/>
        <v>200</v>
      </c>
      <c r="DX198">
        <f t="shared" si="487"/>
        <v>40010</v>
      </c>
      <c r="DY198">
        <f t="shared" si="488"/>
        <v>512180</v>
      </c>
      <c r="DZ198">
        <f t="shared" si="420"/>
        <v>2400</v>
      </c>
      <c r="EA198">
        <f t="shared" si="421"/>
        <v>50000</v>
      </c>
      <c r="EB198">
        <v>0</v>
      </c>
      <c r="EC198">
        <f t="shared" si="422"/>
        <v>459780</v>
      </c>
      <c r="ED198">
        <f t="shared" si="423"/>
        <v>28000</v>
      </c>
      <c r="EE198">
        <f t="shared" si="424"/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f t="shared" si="425"/>
        <v>28000</v>
      </c>
      <c r="EQ198">
        <f t="shared" si="489"/>
        <v>28000</v>
      </c>
      <c r="ER198">
        <f t="shared" si="426"/>
        <v>431780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f t="shared" si="490"/>
        <v>0</v>
      </c>
      <c r="FA198">
        <f t="shared" si="491"/>
        <v>431780</v>
      </c>
      <c r="FB198">
        <f t="shared" si="492"/>
        <v>9089</v>
      </c>
      <c r="FC198">
        <f t="shared" si="493"/>
        <v>0</v>
      </c>
      <c r="FD198">
        <f t="shared" si="494"/>
        <v>9089</v>
      </c>
      <c r="FE198">
        <f t="shared" si="495"/>
        <v>0</v>
      </c>
      <c r="FF198">
        <f t="shared" si="496"/>
        <v>0</v>
      </c>
      <c r="FG198">
        <f t="shared" si="497"/>
        <v>0</v>
      </c>
      <c r="FH198">
        <v>0</v>
      </c>
      <c r="FI198">
        <f t="shared" si="498"/>
        <v>0</v>
      </c>
      <c r="FJ198" t="b">
        <f t="shared" si="499"/>
        <v>1</v>
      </c>
      <c r="FK198">
        <f t="shared" ca="1" si="500"/>
        <v>522</v>
      </c>
      <c r="FL198">
        <f t="shared" ca="1" si="501"/>
        <v>512702</v>
      </c>
      <c r="FM198">
        <f t="shared" si="502"/>
        <v>75000</v>
      </c>
      <c r="FN198">
        <f t="shared" ca="1" si="503"/>
        <v>437702</v>
      </c>
      <c r="FO198">
        <f t="shared" ca="1" si="504"/>
        <v>0</v>
      </c>
      <c r="FP198">
        <f t="shared" ca="1" si="505"/>
        <v>0</v>
      </c>
      <c r="FQ198">
        <f t="shared" ca="1" si="506"/>
        <v>0</v>
      </c>
      <c r="FR198">
        <f t="shared" ca="1" si="507"/>
        <v>0</v>
      </c>
      <c r="FS198">
        <f t="shared" ca="1" si="508"/>
        <v>0</v>
      </c>
      <c r="FT198">
        <f t="shared" ca="1" si="509"/>
        <v>0</v>
      </c>
      <c r="FU198">
        <f t="shared" ca="1" si="510"/>
        <v>0</v>
      </c>
      <c r="FV198">
        <f t="shared" ca="1" si="511"/>
        <v>0</v>
      </c>
      <c r="FW198">
        <f t="shared" ca="1" si="512"/>
        <v>137702</v>
      </c>
      <c r="FX198">
        <f t="shared" ca="1" si="513"/>
        <v>6885.1</v>
      </c>
      <c r="FY198">
        <f t="shared" ca="1" si="514"/>
        <v>6885</v>
      </c>
      <c r="FZ198">
        <f t="shared" ca="1" si="515"/>
        <v>0</v>
      </c>
      <c r="GA198">
        <f t="shared" ca="1" si="516"/>
        <v>0</v>
      </c>
      <c r="GB198">
        <f t="shared" ca="1" si="517"/>
        <v>6885</v>
      </c>
      <c r="GC198">
        <f t="shared" ca="1" si="518"/>
        <v>0</v>
      </c>
      <c r="GD198" t="b">
        <f t="shared" ca="1" si="519"/>
        <v>0</v>
      </c>
      <c r="GE198">
        <f t="shared" ca="1" si="520"/>
        <v>0</v>
      </c>
      <c r="GF198">
        <f t="shared" ca="1" si="521"/>
        <v>6885</v>
      </c>
      <c r="GG198">
        <f t="shared" ca="1" si="522"/>
        <v>0</v>
      </c>
      <c r="GH198">
        <f t="shared" ca="1" si="523"/>
        <v>0</v>
      </c>
      <c r="GI198">
        <f t="shared" ca="1" si="524"/>
        <v>0</v>
      </c>
    </row>
    <row r="199" spans="1:191" x14ac:dyDescent="0.25">
      <c r="A199">
        <f>_xlfn.AGGREGATE(3,5,$B$2:B199)</f>
        <v>198</v>
      </c>
      <c r="B199" t="s">
        <v>516</v>
      </c>
      <c r="C199" t="s">
        <v>517</v>
      </c>
      <c r="D199" t="s">
        <v>812</v>
      </c>
      <c r="E199" t="s">
        <v>843</v>
      </c>
      <c r="F199">
        <v>50000</v>
      </c>
      <c r="G199">
        <v>6000</v>
      </c>
      <c r="H199">
        <v>36600</v>
      </c>
      <c r="I199">
        <f t="shared" si="427"/>
        <v>3660</v>
      </c>
      <c r="J199">
        <f t="shared" si="428"/>
        <v>4392</v>
      </c>
      <c r="K199">
        <v>0</v>
      </c>
      <c r="L199">
        <v>500</v>
      </c>
      <c r="M199">
        <f t="shared" si="429"/>
        <v>45152</v>
      </c>
      <c r="N199">
        <v>5000</v>
      </c>
      <c r="O199">
        <v>0</v>
      </c>
      <c r="P199">
        <f t="shared" si="430"/>
        <v>0</v>
      </c>
      <c r="Q199">
        <f t="shared" si="431"/>
        <v>40152</v>
      </c>
      <c r="R199">
        <v>36600</v>
      </c>
      <c r="S199">
        <f t="shared" si="432"/>
        <v>3660</v>
      </c>
      <c r="T199">
        <f t="shared" si="433"/>
        <v>4392</v>
      </c>
      <c r="U199">
        <v>0</v>
      </c>
      <c r="V199">
        <v>500</v>
      </c>
      <c r="W199">
        <f t="shared" si="434"/>
        <v>45152</v>
      </c>
      <c r="X199">
        <v>5000</v>
      </c>
      <c r="Y199">
        <v>0</v>
      </c>
      <c r="Z199">
        <f t="shared" si="435"/>
        <v>0</v>
      </c>
      <c r="AA199">
        <f t="shared" si="436"/>
        <v>40152</v>
      </c>
      <c r="AB199">
        <v>36600</v>
      </c>
      <c r="AC199">
        <f t="shared" si="437"/>
        <v>5124.0000000000009</v>
      </c>
      <c r="AD199">
        <f t="shared" si="438"/>
        <v>4392</v>
      </c>
      <c r="AE199">
        <v>0</v>
      </c>
      <c r="AF199">
        <v>500</v>
      </c>
      <c r="AG199">
        <f t="shared" si="439"/>
        <v>46616</v>
      </c>
      <c r="AH199">
        <v>5000</v>
      </c>
      <c r="AI199">
        <v>0</v>
      </c>
      <c r="AJ199">
        <f t="shared" si="440"/>
        <v>0</v>
      </c>
      <c r="AK199">
        <f t="shared" si="441"/>
        <v>41616</v>
      </c>
      <c r="AL199">
        <v>36600</v>
      </c>
      <c r="AM199">
        <f t="shared" si="442"/>
        <v>5124.0000000000009</v>
      </c>
      <c r="AN199">
        <f t="shared" si="443"/>
        <v>4392</v>
      </c>
      <c r="AO199">
        <v>0</v>
      </c>
      <c r="AP199">
        <v>500</v>
      </c>
      <c r="AQ199">
        <f t="shared" si="444"/>
        <v>46616</v>
      </c>
      <c r="AR199">
        <v>5000</v>
      </c>
      <c r="AS199">
        <v>0</v>
      </c>
      <c r="AT199">
        <f t="shared" si="445"/>
        <v>0</v>
      </c>
      <c r="AU199">
        <f t="shared" si="446"/>
        <v>41616</v>
      </c>
      <c r="AV199">
        <v>37700</v>
      </c>
      <c r="AW199">
        <f t="shared" si="447"/>
        <v>5278.0000000000009</v>
      </c>
      <c r="AX199">
        <f t="shared" si="448"/>
        <v>1464</v>
      </c>
      <c r="AY199">
        <f t="shared" si="449"/>
        <v>4524</v>
      </c>
      <c r="AZ199">
        <v>0</v>
      </c>
      <c r="BA199">
        <v>500</v>
      </c>
      <c r="BB199">
        <f t="shared" si="450"/>
        <v>49466</v>
      </c>
      <c r="BC199">
        <v>5000</v>
      </c>
      <c r="BD199">
        <v>0</v>
      </c>
      <c r="BE199">
        <f t="shared" si="451"/>
        <v>0</v>
      </c>
      <c r="BF199">
        <f t="shared" si="452"/>
        <v>44466</v>
      </c>
      <c r="BG199">
        <v>37700</v>
      </c>
      <c r="BH199">
        <f t="shared" si="453"/>
        <v>5278.0000000000009</v>
      </c>
      <c r="BI199">
        <f t="shared" si="454"/>
        <v>4524</v>
      </c>
      <c r="BJ199">
        <v>0</v>
      </c>
      <c r="BK199">
        <v>500</v>
      </c>
      <c r="BL199">
        <f t="shared" si="455"/>
        <v>48002</v>
      </c>
      <c r="BM199">
        <v>5000</v>
      </c>
      <c r="BN199">
        <v>0</v>
      </c>
      <c r="BO199">
        <f t="shared" si="456"/>
        <v>0</v>
      </c>
      <c r="BP199">
        <f t="shared" si="457"/>
        <v>43002</v>
      </c>
      <c r="BQ199">
        <v>37700</v>
      </c>
      <c r="BR199">
        <f t="shared" si="458"/>
        <v>5278.0000000000009</v>
      </c>
      <c r="BS199">
        <f t="shared" si="459"/>
        <v>4524</v>
      </c>
      <c r="BT199">
        <v>0</v>
      </c>
      <c r="BU199">
        <v>500</v>
      </c>
      <c r="BV199">
        <f t="shared" si="460"/>
        <v>48002</v>
      </c>
      <c r="BW199">
        <v>5000</v>
      </c>
      <c r="BX199">
        <v>0</v>
      </c>
      <c r="BY199">
        <f t="shared" si="461"/>
        <v>0</v>
      </c>
      <c r="BZ199">
        <f t="shared" si="462"/>
        <v>43002</v>
      </c>
      <c r="CA199">
        <v>37700</v>
      </c>
      <c r="CB199">
        <f t="shared" si="463"/>
        <v>5278.0000000000009</v>
      </c>
      <c r="CC199">
        <f t="shared" si="464"/>
        <v>4524</v>
      </c>
      <c r="CD199">
        <v>0</v>
      </c>
      <c r="CE199">
        <v>500</v>
      </c>
      <c r="CF199">
        <f t="shared" si="465"/>
        <v>48002</v>
      </c>
      <c r="CG199">
        <v>5000</v>
      </c>
      <c r="CH199">
        <v>0</v>
      </c>
      <c r="CI199">
        <f t="shared" si="466"/>
        <v>0</v>
      </c>
      <c r="CJ199">
        <f t="shared" si="467"/>
        <v>43002</v>
      </c>
      <c r="CK199">
        <v>37700</v>
      </c>
      <c r="CL199">
        <f t="shared" si="468"/>
        <v>5278.0000000000009</v>
      </c>
      <c r="CM199">
        <f t="shared" si="469"/>
        <v>4524</v>
      </c>
      <c r="CN199">
        <v>0</v>
      </c>
      <c r="CO199">
        <v>500</v>
      </c>
      <c r="CP199">
        <f t="shared" si="470"/>
        <v>48002</v>
      </c>
      <c r="CQ199">
        <v>5000</v>
      </c>
      <c r="CR199">
        <v>0</v>
      </c>
      <c r="CS199">
        <f t="shared" si="471"/>
        <v>0</v>
      </c>
      <c r="CT199">
        <f t="shared" si="472"/>
        <v>43002</v>
      </c>
      <c r="CU199">
        <v>37700</v>
      </c>
      <c r="CV199">
        <f t="shared" si="473"/>
        <v>5278</v>
      </c>
      <c r="CW199">
        <f t="shared" si="474"/>
        <v>4524</v>
      </c>
      <c r="CX199">
        <v>0</v>
      </c>
      <c r="CY199">
        <v>500</v>
      </c>
      <c r="CZ199">
        <f t="shared" si="475"/>
        <v>48002</v>
      </c>
      <c r="DA199">
        <v>5000</v>
      </c>
      <c r="DB199">
        <v>0</v>
      </c>
      <c r="DC199">
        <f t="shared" si="476"/>
        <v>0</v>
      </c>
      <c r="DD199">
        <f t="shared" si="477"/>
        <v>43002</v>
      </c>
      <c r="DE199">
        <v>37700</v>
      </c>
      <c r="DF199">
        <f t="shared" si="478"/>
        <v>5278.0000000000009</v>
      </c>
      <c r="DG199">
        <f t="shared" si="479"/>
        <v>4524</v>
      </c>
      <c r="DH199">
        <v>0</v>
      </c>
      <c r="DI199">
        <v>500</v>
      </c>
      <c r="DJ199">
        <f t="shared" si="480"/>
        <v>48002</v>
      </c>
      <c r="DK199">
        <v>5000</v>
      </c>
      <c r="DL199">
        <v>0</v>
      </c>
      <c r="DM199">
        <f t="shared" si="481"/>
        <v>0</v>
      </c>
      <c r="DN199">
        <f t="shared" si="482"/>
        <v>43002</v>
      </c>
      <c r="DO199">
        <v>37700</v>
      </c>
      <c r="DP199">
        <f t="shared" si="483"/>
        <v>5278.0000000000009</v>
      </c>
      <c r="DQ199">
        <f t="shared" si="484"/>
        <v>4524</v>
      </c>
      <c r="DR199">
        <v>0</v>
      </c>
      <c r="DS199">
        <v>500</v>
      </c>
      <c r="DT199">
        <f t="shared" si="485"/>
        <v>48002</v>
      </c>
      <c r="DU199">
        <v>5000</v>
      </c>
      <c r="DV199">
        <v>0</v>
      </c>
      <c r="DW199">
        <f t="shared" si="486"/>
        <v>0</v>
      </c>
      <c r="DX199">
        <f t="shared" si="487"/>
        <v>43002</v>
      </c>
      <c r="DY199">
        <f t="shared" si="488"/>
        <v>575016</v>
      </c>
      <c r="DZ199">
        <f t="shared" si="420"/>
        <v>0</v>
      </c>
      <c r="EA199">
        <f t="shared" si="421"/>
        <v>50000</v>
      </c>
      <c r="EB199">
        <v>0</v>
      </c>
      <c r="EC199">
        <f t="shared" si="422"/>
        <v>525016</v>
      </c>
      <c r="ED199">
        <f t="shared" si="423"/>
        <v>60000</v>
      </c>
      <c r="EE199">
        <f t="shared" si="424"/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f t="shared" si="425"/>
        <v>60000</v>
      </c>
      <c r="EQ199">
        <f t="shared" si="489"/>
        <v>60000</v>
      </c>
      <c r="ER199">
        <f t="shared" si="426"/>
        <v>465016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f t="shared" si="490"/>
        <v>50000</v>
      </c>
      <c r="FA199">
        <f t="shared" si="491"/>
        <v>415016</v>
      </c>
      <c r="FB199">
        <f t="shared" si="492"/>
        <v>8251</v>
      </c>
      <c r="FC199">
        <f t="shared" si="493"/>
        <v>0</v>
      </c>
      <c r="FD199">
        <f t="shared" si="494"/>
        <v>8251</v>
      </c>
      <c r="FE199">
        <f t="shared" si="495"/>
        <v>0</v>
      </c>
      <c r="FF199">
        <f t="shared" si="496"/>
        <v>0</v>
      </c>
      <c r="FG199">
        <f t="shared" si="497"/>
        <v>0</v>
      </c>
      <c r="FH199">
        <v>0</v>
      </c>
      <c r="FI199">
        <f t="shared" si="498"/>
        <v>0</v>
      </c>
      <c r="FJ199" t="b">
        <f t="shared" si="499"/>
        <v>1</v>
      </c>
      <c r="FK199">
        <f t="shared" ca="1" si="500"/>
        <v>806</v>
      </c>
      <c r="FL199">
        <f t="shared" ca="1" si="501"/>
        <v>575822</v>
      </c>
      <c r="FM199">
        <f t="shared" si="502"/>
        <v>75000</v>
      </c>
      <c r="FN199">
        <f t="shared" ca="1" si="503"/>
        <v>500822</v>
      </c>
      <c r="FO199">
        <f t="shared" ca="1" si="504"/>
        <v>0</v>
      </c>
      <c r="FP199">
        <f t="shared" ca="1" si="505"/>
        <v>0</v>
      </c>
      <c r="FQ199">
        <f t="shared" ca="1" si="506"/>
        <v>0</v>
      </c>
      <c r="FR199">
        <f t="shared" ca="1" si="507"/>
        <v>0</v>
      </c>
      <c r="FS199">
        <f t="shared" ca="1" si="508"/>
        <v>0</v>
      </c>
      <c r="FT199">
        <f t="shared" ca="1" si="509"/>
        <v>0</v>
      </c>
      <c r="FU199">
        <f t="shared" ca="1" si="510"/>
        <v>0</v>
      </c>
      <c r="FV199">
        <f t="shared" ca="1" si="511"/>
        <v>0</v>
      </c>
      <c r="FW199">
        <f t="shared" ca="1" si="512"/>
        <v>200822</v>
      </c>
      <c r="FX199">
        <f t="shared" ca="1" si="513"/>
        <v>10041.1</v>
      </c>
      <c r="FY199">
        <f t="shared" ca="1" si="514"/>
        <v>10041</v>
      </c>
      <c r="FZ199">
        <f t="shared" ca="1" si="515"/>
        <v>0</v>
      </c>
      <c r="GA199">
        <f t="shared" ca="1" si="516"/>
        <v>0</v>
      </c>
      <c r="GB199">
        <f t="shared" ca="1" si="517"/>
        <v>10041</v>
      </c>
      <c r="GC199">
        <f t="shared" ca="1" si="518"/>
        <v>0</v>
      </c>
      <c r="GD199" t="b">
        <f t="shared" ca="1" si="519"/>
        <v>0</v>
      </c>
      <c r="GE199">
        <f t="shared" ca="1" si="520"/>
        <v>0</v>
      </c>
      <c r="GF199">
        <f t="shared" ca="1" si="521"/>
        <v>10041</v>
      </c>
      <c r="GG199">
        <f t="shared" ca="1" si="522"/>
        <v>0</v>
      </c>
      <c r="GH199">
        <f t="shared" ca="1" si="523"/>
        <v>0</v>
      </c>
      <c r="GI199">
        <f t="shared" ca="1" si="524"/>
        <v>0</v>
      </c>
    </row>
    <row r="200" spans="1:191" x14ac:dyDescent="0.25">
      <c r="A200">
        <f>_xlfn.AGGREGATE(3,5,$B$2:B200)</f>
        <v>199</v>
      </c>
      <c r="B200" t="s">
        <v>518</v>
      </c>
      <c r="C200" t="s">
        <v>519</v>
      </c>
      <c r="D200" t="s">
        <v>812</v>
      </c>
      <c r="E200" t="s">
        <v>843</v>
      </c>
      <c r="F200">
        <v>0</v>
      </c>
      <c r="G200">
        <v>0</v>
      </c>
      <c r="H200">
        <v>0</v>
      </c>
      <c r="I200">
        <f t="shared" si="427"/>
        <v>0</v>
      </c>
      <c r="J200">
        <f t="shared" si="428"/>
        <v>0</v>
      </c>
      <c r="K200">
        <v>0</v>
      </c>
      <c r="L200">
        <v>0</v>
      </c>
      <c r="M200">
        <f t="shared" si="429"/>
        <v>0</v>
      </c>
      <c r="N200">
        <v>0</v>
      </c>
      <c r="O200">
        <v>0</v>
      </c>
      <c r="P200">
        <f t="shared" si="430"/>
        <v>0</v>
      </c>
      <c r="Q200">
        <f t="shared" si="431"/>
        <v>0</v>
      </c>
      <c r="R200">
        <v>28900</v>
      </c>
      <c r="S200">
        <f t="shared" si="432"/>
        <v>2890</v>
      </c>
      <c r="T200">
        <f t="shared" si="433"/>
        <v>3468</v>
      </c>
      <c r="U200">
        <v>0</v>
      </c>
      <c r="V200">
        <v>500</v>
      </c>
      <c r="W200">
        <f t="shared" si="434"/>
        <v>35758</v>
      </c>
      <c r="X200">
        <v>0</v>
      </c>
      <c r="Y200">
        <v>0</v>
      </c>
      <c r="Z200">
        <f t="shared" si="435"/>
        <v>150</v>
      </c>
      <c r="AA200">
        <f t="shared" si="436"/>
        <v>35608</v>
      </c>
      <c r="AB200">
        <v>28900</v>
      </c>
      <c r="AC200">
        <f t="shared" si="437"/>
        <v>4046.0000000000005</v>
      </c>
      <c r="AD200">
        <f t="shared" si="438"/>
        <v>3468</v>
      </c>
      <c r="AE200">
        <v>0</v>
      </c>
      <c r="AF200">
        <v>500</v>
      </c>
      <c r="AG200">
        <f t="shared" si="439"/>
        <v>36914</v>
      </c>
      <c r="AH200">
        <v>0</v>
      </c>
      <c r="AI200">
        <v>0</v>
      </c>
      <c r="AJ200">
        <f t="shared" si="440"/>
        <v>150</v>
      </c>
      <c r="AK200">
        <f t="shared" si="441"/>
        <v>36764</v>
      </c>
      <c r="AL200">
        <v>28900</v>
      </c>
      <c r="AM200">
        <f t="shared" si="442"/>
        <v>4046.0000000000005</v>
      </c>
      <c r="AN200">
        <f t="shared" si="443"/>
        <v>3468</v>
      </c>
      <c r="AO200">
        <v>0</v>
      </c>
      <c r="AP200">
        <v>500</v>
      </c>
      <c r="AQ200">
        <f t="shared" si="444"/>
        <v>36914</v>
      </c>
      <c r="AR200">
        <v>0</v>
      </c>
      <c r="AS200">
        <v>0</v>
      </c>
      <c r="AT200">
        <f t="shared" si="445"/>
        <v>150</v>
      </c>
      <c r="AU200">
        <f t="shared" si="446"/>
        <v>36764</v>
      </c>
      <c r="AV200">
        <v>28900</v>
      </c>
      <c r="AW200">
        <f t="shared" si="447"/>
        <v>4046.0000000000005</v>
      </c>
      <c r="AX200">
        <f t="shared" si="448"/>
        <v>1156</v>
      </c>
      <c r="AY200">
        <f t="shared" si="449"/>
        <v>3468</v>
      </c>
      <c r="AZ200">
        <v>0</v>
      </c>
      <c r="BA200">
        <v>500</v>
      </c>
      <c r="BB200">
        <f t="shared" si="450"/>
        <v>38070</v>
      </c>
      <c r="BC200">
        <v>0</v>
      </c>
      <c r="BD200">
        <v>0</v>
      </c>
      <c r="BE200">
        <f t="shared" si="451"/>
        <v>150</v>
      </c>
      <c r="BF200">
        <f t="shared" si="452"/>
        <v>37920</v>
      </c>
      <c r="BG200">
        <v>28900</v>
      </c>
      <c r="BH200">
        <f t="shared" si="453"/>
        <v>4046.0000000000005</v>
      </c>
      <c r="BI200">
        <f t="shared" si="454"/>
        <v>3468</v>
      </c>
      <c r="BJ200">
        <v>0</v>
      </c>
      <c r="BK200">
        <v>500</v>
      </c>
      <c r="BL200">
        <f t="shared" si="455"/>
        <v>36914</v>
      </c>
      <c r="BM200">
        <v>0</v>
      </c>
      <c r="BN200">
        <v>0</v>
      </c>
      <c r="BO200">
        <f t="shared" si="456"/>
        <v>150</v>
      </c>
      <c r="BP200">
        <f t="shared" si="457"/>
        <v>36764</v>
      </c>
      <c r="BQ200">
        <v>28900</v>
      </c>
      <c r="BR200">
        <f t="shared" si="458"/>
        <v>4046.0000000000005</v>
      </c>
      <c r="BS200">
        <f t="shared" si="459"/>
        <v>3468</v>
      </c>
      <c r="BT200">
        <v>0</v>
      </c>
      <c r="BU200">
        <v>500</v>
      </c>
      <c r="BV200">
        <f t="shared" si="460"/>
        <v>36914</v>
      </c>
      <c r="BW200">
        <v>0</v>
      </c>
      <c r="BX200">
        <v>0</v>
      </c>
      <c r="BY200">
        <f t="shared" si="461"/>
        <v>150</v>
      </c>
      <c r="BZ200">
        <f t="shared" si="462"/>
        <v>36764</v>
      </c>
      <c r="CA200">
        <v>28900</v>
      </c>
      <c r="CB200">
        <f t="shared" si="463"/>
        <v>4046.0000000000005</v>
      </c>
      <c r="CC200">
        <f t="shared" si="464"/>
        <v>3468</v>
      </c>
      <c r="CD200">
        <v>0</v>
      </c>
      <c r="CE200">
        <v>500</v>
      </c>
      <c r="CF200">
        <f t="shared" si="465"/>
        <v>36914</v>
      </c>
      <c r="CG200">
        <v>0</v>
      </c>
      <c r="CH200">
        <v>0</v>
      </c>
      <c r="CI200">
        <f t="shared" si="466"/>
        <v>150</v>
      </c>
      <c r="CJ200">
        <f t="shared" si="467"/>
        <v>36764</v>
      </c>
      <c r="CK200">
        <v>28900</v>
      </c>
      <c r="CL200">
        <f t="shared" si="468"/>
        <v>4046.0000000000005</v>
      </c>
      <c r="CM200">
        <f t="shared" si="469"/>
        <v>3468</v>
      </c>
      <c r="CN200">
        <v>0</v>
      </c>
      <c r="CO200">
        <v>500</v>
      </c>
      <c r="CP200">
        <f t="shared" si="470"/>
        <v>36914</v>
      </c>
      <c r="CQ200">
        <v>0</v>
      </c>
      <c r="CR200">
        <v>0</v>
      </c>
      <c r="CS200">
        <f t="shared" si="471"/>
        <v>150</v>
      </c>
      <c r="CT200">
        <f t="shared" si="472"/>
        <v>36764</v>
      </c>
      <c r="CU200">
        <v>28900</v>
      </c>
      <c r="CV200">
        <f t="shared" si="473"/>
        <v>4046</v>
      </c>
      <c r="CW200">
        <f t="shared" si="474"/>
        <v>3468</v>
      </c>
      <c r="CX200">
        <v>0</v>
      </c>
      <c r="CY200">
        <v>500</v>
      </c>
      <c r="CZ200">
        <f t="shared" si="475"/>
        <v>36914</v>
      </c>
      <c r="DA200">
        <v>0</v>
      </c>
      <c r="DB200">
        <v>0</v>
      </c>
      <c r="DC200">
        <f t="shared" si="476"/>
        <v>150</v>
      </c>
      <c r="DD200">
        <f t="shared" si="477"/>
        <v>36764</v>
      </c>
      <c r="DE200">
        <v>28900</v>
      </c>
      <c r="DF200">
        <f t="shared" si="478"/>
        <v>4046.0000000000005</v>
      </c>
      <c r="DG200">
        <f t="shared" si="479"/>
        <v>3468</v>
      </c>
      <c r="DH200">
        <v>0</v>
      </c>
      <c r="DI200">
        <v>500</v>
      </c>
      <c r="DJ200">
        <f t="shared" si="480"/>
        <v>36914</v>
      </c>
      <c r="DK200">
        <v>0</v>
      </c>
      <c r="DL200">
        <v>0</v>
      </c>
      <c r="DM200">
        <f t="shared" si="481"/>
        <v>150</v>
      </c>
      <c r="DN200">
        <f t="shared" si="482"/>
        <v>36764</v>
      </c>
      <c r="DO200">
        <v>28900</v>
      </c>
      <c r="DP200">
        <f t="shared" si="483"/>
        <v>4046.0000000000005</v>
      </c>
      <c r="DQ200">
        <f t="shared" si="484"/>
        <v>3468</v>
      </c>
      <c r="DR200">
        <v>0</v>
      </c>
      <c r="DS200">
        <v>500</v>
      </c>
      <c r="DT200">
        <f t="shared" si="485"/>
        <v>36914</v>
      </c>
      <c r="DU200">
        <v>2000</v>
      </c>
      <c r="DV200">
        <v>0</v>
      </c>
      <c r="DW200">
        <f t="shared" si="486"/>
        <v>150</v>
      </c>
      <c r="DX200">
        <f t="shared" si="487"/>
        <v>34764</v>
      </c>
      <c r="DY200">
        <f t="shared" si="488"/>
        <v>406054</v>
      </c>
      <c r="DZ200">
        <f t="shared" si="420"/>
        <v>1650</v>
      </c>
      <c r="EA200">
        <f t="shared" si="421"/>
        <v>50000</v>
      </c>
      <c r="EB200">
        <v>0</v>
      </c>
      <c r="EC200">
        <f t="shared" si="422"/>
        <v>354404</v>
      </c>
      <c r="ED200">
        <f t="shared" si="423"/>
        <v>2000</v>
      </c>
      <c r="EE200">
        <f t="shared" si="424"/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f t="shared" si="425"/>
        <v>2000</v>
      </c>
      <c r="EQ200">
        <f t="shared" si="489"/>
        <v>2000</v>
      </c>
      <c r="ER200">
        <f t="shared" si="426"/>
        <v>352404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f t="shared" si="490"/>
        <v>0</v>
      </c>
      <c r="FA200">
        <f t="shared" si="491"/>
        <v>352404</v>
      </c>
      <c r="FB200">
        <f t="shared" si="492"/>
        <v>5120</v>
      </c>
      <c r="FC200">
        <f t="shared" si="493"/>
        <v>0</v>
      </c>
      <c r="FD200">
        <f t="shared" si="494"/>
        <v>5120</v>
      </c>
      <c r="FE200">
        <f t="shared" si="495"/>
        <v>0</v>
      </c>
      <c r="FF200">
        <f t="shared" si="496"/>
        <v>0</v>
      </c>
      <c r="FG200">
        <f t="shared" si="497"/>
        <v>0</v>
      </c>
      <c r="FH200">
        <v>0</v>
      </c>
      <c r="FI200">
        <f t="shared" si="498"/>
        <v>0</v>
      </c>
      <c r="FJ200" t="b">
        <f t="shared" si="499"/>
        <v>0</v>
      </c>
      <c r="FK200">
        <f t="shared" ca="1" si="500"/>
        <v>2498</v>
      </c>
      <c r="FL200">
        <f t="shared" ca="1" si="501"/>
        <v>408552</v>
      </c>
      <c r="FM200">
        <f t="shared" si="502"/>
        <v>75000</v>
      </c>
      <c r="FN200">
        <f t="shared" ca="1" si="503"/>
        <v>333552</v>
      </c>
      <c r="FO200">
        <f t="shared" ca="1" si="504"/>
        <v>0</v>
      </c>
      <c r="FP200">
        <f t="shared" ca="1" si="505"/>
        <v>0</v>
      </c>
      <c r="FQ200">
        <f t="shared" ca="1" si="506"/>
        <v>0</v>
      </c>
      <c r="FR200">
        <f t="shared" ca="1" si="507"/>
        <v>0</v>
      </c>
      <c r="FS200">
        <f t="shared" ca="1" si="508"/>
        <v>0</v>
      </c>
      <c r="FT200">
        <f t="shared" ca="1" si="509"/>
        <v>0</v>
      </c>
      <c r="FU200">
        <f t="shared" ca="1" si="510"/>
        <v>0</v>
      </c>
      <c r="FV200">
        <f t="shared" ca="1" si="511"/>
        <v>0</v>
      </c>
      <c r="FW200">
        <f t="shared" ca="1" si="512"/>
        <v>33552</v>
      </c>
      <c r="FX200">
        <f t="shared" ca="1" si="513"/>
        <v>1677.6000000000001</v>
      </c>
      <c r="FY200">
        <f t="shared" ca="1" si="514"/>
        <v>1678</v>
      </c>
      <c r="FZ200">
        <f t="shared" ca="1" si="515"/>
        <v>0</v>
      </c>
      <c r="GA200">
        <f t="shared" ca="1" si="516"/>
        <v>0</v>
      </c>
      <c r="GB200">
        <f t="shared" ca="1" si="517"/>
        <v>1678</v>
      </c>
      <c r="GC200">
        <f t="shared" ca="1" si="518"/>
        <v>0</v>
      </c>
      <c r="GD200" t="b">
        <f t="shared" ca="1" si="519"/>
        <v>0</v>
      </c>
      <c r="GE200">
        <f t="shared" ca="1" si="520"/>
        <v>0</v>
      </c>
      <c r="GF200">
        <f t="shared" ca="1" si="521"/>
        <v>1678</v>
      </c>
      <c r="GG200">
        <f t="shared" ca="1" si="522"/>
        <v>0</v>
      </c>
      <c r="GH200">
        <f t="shared" ca="1" si="523"/>
        <v>0</v>
      </c>
      <c r="GI200">
        <f t="shared" ca="1" si="524"/>
        <v>0</v>
      </c>
    </row>
    <row r="201" spans="1:191" x14ac:dyDescent="0.25">
      <c r="A201">
        <f>_xlfn.AGGREGATE(3,5,$B$2:B201)</f>
        <v>200</v>
      </c>
      <c r="B201" t="s">
        <v>520</v>
      </c>
      <c r="C201" t="s">
        <v>521</v>
      </c>
      <c r="D201" t="s">
        <v>813</v>
      </c>
      <c r="E201" t="s">
        <v>843</v>
      </c>
      <c r="F201">
        <v>0</v>
      </c>
      <c r="G201">
        <v>6000</v>
      </c>
      <c r="H201">
        <v>32500</v>
      </c>
      <c r="I201">
        <f t="shared" si="427"/>
        <v>3250</v>
      </c>
      <c r="J201">
        <f t="shared" si="428"/>
        <v>3900</v>
      </c>
      <c r="K201">
        <v>400</v>
      </c>
      <c r="L201">
        <v>500</v>
      </c>
      <c r="M201">
        <f t="shared" si="429"/>
        <v>40550</v>
      </c>
      <c r="N201">
        <v>3000</v>
      </c>
      <c r="O201">
        <v>0</v>
      </c>
      <c r="P201">
        <f t="shared" si="430"/>
        <v>200</v>
      </c>
      <c r="Q201">
        <f t="shared" si="431"/>
        <v>37350</v>
      </c>
      <c r="R201">
        <v>32500</v>
      </c>
      <c r="S201">
        <f t="shared" si="432"/>
        <v>3250</v>
      </c>
      <c r="T201">
        <f t="shared" si="433"/>
        <v>3900</v>
      </c>
      <c r="U201">
        <v>400</v>
      </c>
      <c r="V201">
        <v>500</v>
      </c>
      <c r="W201">
        <f t="shared" si="434"/>
        <v>40550</v>
      </c>
      <c r="X201">
        <v>3000</v>
      </c>
      <c r="Y201">
        <v>0</v>
      </c>
      <c r="Z201">
        <f t="shared" si="435"/>
        <v>200</v>
      </c>
      <c r="AA201">
        <f t="shared" si="436"/>
        <v>37350</v>
      </c>
      <c r="AB201">
        <v>32500</v>
      </c>
      <c r="AC201">
        <f t="shared" si="437"/>
        <v>4550</v>
      </c>
      <c r="AD201">
        <f t="shared" si="438"/>
        <v>3900</v>
      </c>
      <c r="AE201">
        <v>400</v>
      </c>
      <c r="AF201">
        <v>500</v>
      </c>
      <c r="AG201">
        <f t="shared" si="439"/>
        <v>41850</v>
      </c>
      <c r="AH201">
        <v>3000</v>
      </c>
      <c r="AI201">
        <v>0</v>
      </c>
      <c r="AJ201">
        <f t="shared" si="440"/>
        <v>200</v>
      </c>
      <c r="AK201">
        <f t="shared" si="441"/>
        <v>38650</v>
      </c>
      <c r="AL201">
        <v>32500</v>
      </c>
      <c r="AM201">
        <f t="shared" si="442"/>
        <v>4550</v>
      </c>
      <c r="AN201">
        <f t="shared" si="443"/>
        <v>3900</v>
      </c>
      <c r="AO201">
        <v>400</v>
      </c>
      <c r="AP201">
        <v>500</v>
      </c>
      <c r="AQ201">
        <f t="shared" si="444"/>
        <v>41850</v>
      </c>
      <c r="AR201">
        <v>3000</v>
      </c>
      <c r="AS201">
        <v>0</v>
      </c>
      <c r="AT201">
        <f t="shared" si="445"/>
        <v>200</v>
      </c>
      <c r="AU201">
        <f t="shared" si="446"/>
        <v>38650</v>
      </c>
      <c r="AV201">
        <v>33500</v>
      </c>
      <c r="AW201">
        <f t="shared" si="447"/>
        <v>4690</v>
      </c>
      <c r="AX201">
        <f t="shared" si="448"/>
        <v>1300</v>
      </c>
      <c r="AY201">
        <f t="shared" si="449"/>
        <v>4020</v>
      </c>
      <c r="AZ201">
        <v>400</v>
      </c>
      <c r="BA201">
        <v>500</v>
      </c>
      <c r="BB201">
        <f t="shared" si="450"/>
        <v>44410</v>
      </c>
      <c r="BC201">
        <v>3000</v>
      </c>
      <c r="BD201">
        <v>0</v>
      </c>
      <c r="BE201">
        <f t="shared" si="451"/>
        <v>200</v>
      </c>
      <c r="BF201">
        <f t="shared" si="452"/>
        <v>41210</v>
      </c>
      <c r="BG201">
        <v>33500</v>
      </c>
      <c r="BH201">
        <f t="shared" si="453"/>
        <v>4690</v>
      </c>
      <c r="BI201">
        <f t="shared" si="454"/>
        <v>4020</v>
      </c>
      <c r="BJ201">
        <v>400</v>
      </c>
      <c r="BK201">
        <v>500</v>
      </c>
      <c r="BL201">
        <f t="shared" si="455"/>
        <v>43110</v>
      </c>
      <c r="BM201">
        <v>3000</v>
      </c>
      <c r="BN201">
        <v>0</v>
      </c>
      <c r="BO201">
        <f t="shared" si="456"/>
        <v>200</v>
      </c>
      <c r="BP201">
        <f t="shared" si="457"/>
        <v>39910</v>
      </c>
      <c r="BQ201">
        <v>33500</v>
      </c>
      <c r="BR201">
        <f t="shared" si="458"/>
        <v>4690</v>
      </c>
      <c r="BS201">
        <f t="shared" si="459"/>
        <v>4020</v>
      </c>
      <c r="BT201">
        <v>400</v>
      </c>
      <c r="BU201">
        <v>500</v>
      </c>
      <c r="BV201">
        <f t="shared" si="460"/>
        <v>43110</v>
      </c>
      <c r="BW201">
        <v>3000</v>
      </c>
      <c r="BX201">
        <v>0</v>
      </c>
      <c r="BY201">
        <f t="shared" si="461"/>
        <v>200</v>
      </c>
      <c r="BZ201">
        <f t="shared" si="462"/>
        <v>39910</v>
      </c>
      <c r="CA201">
        <v>33500</v>
      </c>
      <c r="CB201">
        <f t="shared" si="463"/>
        <v>4690</v>
      </c>
      <c r="CC201">
        <f t="shared" si="464"/>
        <v>4020</v>
      </c>
      <c r="CD201">
        <v>400</v>
      </c>
      <c r="CE201">
        <v>500</v>
      </c>
      <c r="CF201">
        <f t="shared" si="465"/>
        <v>43110</v>
      </c>
      <c r="CG201">
        <v>3000</v>
      </c>
      <c r="CH201">
        <v>0</v>
      </c>
      <c r="CI201">
        <f t="shared" si="466"/>
        <v>200</v>
      </c>
      <c r="CJ201">
        <f t="shared" si="467"/>
        <v>39910</v>
      </c>
      <c r="CK201">
        <v>33500</v>
      </c>
      <c r="CL201">
        <f t="shared" si="468"/>
        <v>4690</v>
      </c>
      <c r="CM201">
        <f t="shared" si="469"/>
        <v>4020</v>
      </c>
      <c r="CN201">
        <v>400</v>
      </c>
      <c r="CO201">
        <v>500</v>
      </c>
      <c r="CP201">
        <f t="shared" si="470"/>
        <v>43110</v>
      </c>
      <c r="CQ201">
        <v>3000</v>
      </c>
      <c r="CR201">
        <v>0</v>
      </c>
      <c r="CS201">
        <f t="shared" si="471"/>
        <v>200</v>
      </c>
      <c r="CT201">
        <f t="shared" si="472"/>
        <v>39910</v>
      </c>
      <c r="CU201">
        <v>33500</v>
      </c>
      <c r="CV201">
        <f t="shared" si="473"/>
        <v>4690</v>
      </c>
      <c r="CW201">
        <f t="shared" si="474"/>
        <v>4020</v>
      </c>
      <c r="CX201">
        <v>400</v>
      </c>
      <c r="CY201">
        <v>500</v>
      </c>
      <c r="CZ201">
        <f t="shared" si="475"/>
        <v>43110</v>
      </c>
      <c r="DA201">
        <v>3000</v>
      </c>
      <c r="DB201">
        <v>0</v>
      </c>
      <c r="DC201">
        <f t="shared" si="476"/>
        <v>200</v>
      </c>
      <c r="DD201">
        <f t="shared" si="477"/>
        <v>39910</v>
      </c>
      <c r="DE201">
        <v>33500</v>
      </c>
      <c r="DF201">
        <f t="shared" si="478"/>
        <v>4690</v>
      </c>
      <c r="DG201">
        <f t="shared" si="479"/>
        <v>4020</v>
      </c>
      <c r="DH201">
        <v>400</v>
      </c>
      <c r="DI201">
        <v>500</v>
      </c>
      <c r="DJ201">
        <f t="shared" si="480"/>
        <v>43110</v>
      </c>
      <c r="DK201">
        <v>3000</v>
      </c>
      <c r="DL201">
        <v>0</v>
      </c>
      <c r="DM201">
        <f t="shared" si="481"/>
        <v>200</v>
      </c>
      <c r="DN201">
        <f t="shared" si="482"/>
        <v>39910</v>
      </c>
      <c r="DO201">
        <v>33500</v>
      </c>
      <c r="DP201">
        <f t="shared" si="483"/>
        <v>4690</v>
      </c>
      <c r="DQ201">
        <f t="shared" si="484"/>
        <v>4020</v>
      </c>
      <c r="DR201">
        <v>400</v>
      </c>
      <c r="DS201">
        <v>500</v>
      </c>
      <c r="DT201">
        <f t="shared" si="485"/>
        <v>43110</v>
      </c>
      <c r="DU201">
        <v>3000</v>
      </c>
      <c r="DV201">
        <v>0</v>
      </c>
      <c r="DW201">
        <f t="shared" si="486"/>
        <v>200</v>
      </c>
      <c r="DX201">
        <f t="shared" si="487"/>
        <v>39910</v>
      </c>
      <c r="DY201">
        <f t="shared" si="488"/>
        <v>516980</v>
      </c>
      <c r="DZ201">
        <f t="shared" si="420"/>
        <v>2400</v>
      </c>
      <c r="EA201">
        <f t="shared" si="421"/>
        <v>50000</v>
      </c>
      <c r="EB201">
        <v>0</v>
      </c>
      <c r="EC201">
        <f t="shared" si="422"/>
        <v>464580</v>
      </c>
      <c r="ED201">
        <f t="shared" si="423"/>
        <v>36000</v>
      </c>
      <c r="EE201">
        <f t="shared" si="424"/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f t="shared" si="425"/>
        <v>36000</v>
      </c>
      <c r="EQ201">
        <f t="shared" si="489"/>
        <v>36000</v>
      </c>
      <c r="ER201">
        <f t="shared" si="426"/>
        <v>428580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f t="shared" si="490"/>
        <v>0</v>
      </c>
      <c r="FA201">
        <f t="shared" si="491"/>
        <v>428580</v>
      </c>
      <c r="FB201">
        <f t="shared" si="492"/>
        <v>8929</v>
      </c>
      <c r="FC201">
        <f t="shared" si="493"/>
        <v>0</v>
      </c>
      <c r="FD201">
        <f t="shared" si="494"/>
        <v>8929</v>
      </c>
      <c r="FE201">
        <f t="shared" si="495"/>
        <v>0</v>
      </c>
      <c r="FF201">
        <f t="shared" si="496"/>
        <v>0</v>
      </c>
      <c r="FG201">
        <f t="shared" si="497"/>
        <v>0</v>
      </c>
      <c r="FH201">
        <v>0</v>
      </c>
      <c r="FI201">
        <f t="shared" si="498"/>
        <v>0</v>
      </c>
      <c r="FJ201" t="b">
        <f t="shared" si="499"/>
        <v>1</v>
      </c>
      <c r="FK201">
        <f t="shared" ca="1" si="500"/>
        <v>886</v>
      </c>
      <c r="FL201">
        <f t="shared" ca="1" si="501"/>
        <v>517866</v>
      </c>
      <c r="FM201">
        <f t="shared" si="502"/>
        <v>75000</v>
      </c>
      <c r="FN201">
        <f t="shared" ca="1" si="503"/>
        <v>442866</v>
      </c>
      <c r="FO201">
        <f t="shared" ca="1" si="504"/>
        <v>0</v>
      </c>
      <c r="FP201">
        <f t="shared" ca="1" si="505"/>
        <v>0</v>
      </c>
      <c r="FQ201">
        <f t="shared" ca="1" si="506"/>
        <v>0</v>
      </c>
      <c r="FR201">
        <f t="shared" ca="1" si="507"/>
        <v>0</v>
      </c>
      <c r="FS201">
        <f t="shared" ca="1" si="508"/>
        <v>0</v>
      </c>
      <c r="FT201">
        <f t="shared" ca="1" si="509"/>
        <v>0</v>
      </c>
      <c r="FU201">
        <f t="shared" ca="1" si="510"/>
        <v>0</v>
      </c>
      <c r="FV201">
        <f t="shared" ca="1" si="511"/>
        <v>0</v>
      </c>
      <c r="FW201">
        <f t="shared" ca="1" si="512"/>
        <v>142866</v>
      </c>
      <c r="FX201">
        <f t="shared" ca="1" si="513"/>
        <v>7143.3</v>
      </c>
      <c r="FY201">
        <f t="shared" ca="1" si="514"/>
        <v>7143</v>
      </c>
      <c r="FZ201">
        <f t="shared" ca="1" si="515"/>
        <v>0</v>
      </c>
      <c r="GA201">
        <f t="shared" ca="1" si="516"/>
        <v>0</v>
      </c>
      <c r="GB201">
        <f t="shared" ca="1" si="517"/>
        <v>7143</v>
      </c>
      <c r="GC201">
        <f t="shared" ca="1" si="518"/>
        <v>0</v>
      </c>
      <c r="GD201" t="b">
        <f t="shared" ca="1" si="519"/>
        <v>0</v>
      </c>
      <c r="GE201">
        <f t="shared" ca="1" si="520"/>
        <v>0</v>
      </c>
      <c r="GF201">
        <f t="shared" ca="1" si="521"/>
        <v>7143</v>
      </c>
      <c r="GG201">
        <f t="shared" ca="1" si="522"/>
        <v>0</v>
      </c>
      <c r="GH201">
        <f t="shared" ca="1" si="523"/>
        <v>0</v>
      </c>
      <c r="GI201">
        <f t="shared" ca="1" si="524"/>
        <v>0</v>
      </c>
    </row>
    <row r="202" spans="1:191" x14ac:dyDescent="0.25">
      <c r="A202">
        <f>_xlfn.AGGREGATE(3,5,$B$2:B202)</f>
        <v>201</v>
      </c>
      <c r="B202" t="s">
        <v>522</v>
      </c>
      <c r="C202" t="s">
        <v>523</v>
      </c>
      <c r="D202" t="s">
        <v>813</v>
      </c>
      <c r="E202" t="s">
        <v>843</v>
      </c>
      <c r="F202">
        <v>0</v>
      </c>
      <c r="G202">
        <v>6000</v>
      </c>
      <c r="H202">
        <v>26200</v>
      </c>
      <c r="I202">
        <f t="shared" si="427"/>
        <v>2620</v>
      </c>
      <c r="J202">
        <f t="shared" si="428"/>
        <v>3144</v>
      </c>
      <c r="K202">
        <v>0</v>
      </c>
      <c r="L202">
        <v>500</v>
      </c>
      <c r="M202">
        <f t="shared" si="429"/>
        <v>32464</v>
      </c>
      <c r="N202">
        <v>2000</v>
      </c>
      <c r="O202">
        <v>0</v>
      </c>
      <c r="P202">
        <f t="shared" si="430"/>
        <v>150</v>
      </c>
      <c r="Q202">
        <f t="shared" si="431"/>
        <v>30314</v>
      </c>
      <c r="R202">
        <v>26200</v>
      </c>
      <c r="S202">
        <f t="shared" si="432"/>
        <v>2620</v>
      </c>
      <c r="T202">
        <f t="shared" si="433"/>
        <v>3144</v>
      </c>
      <c r="U202">
        <v>0</v>
      </c>
      <c r="V202">
        <v>500</v>
      </c>
      <c r="W202">
        <f t="shared" si="434"/>
        <v>32464</v>
      </c>
      <c r="X202">
        <v>2000</v>
      </c>
      <c r="Y202">
        <v>0</v>
      </c>
      <c r="Z202">
        <f t="shared" si="435"/>
        <v>150</v>
      </c>
      <c r="AA202">
        <f t="shared" si="436"/>
        <v>30314</v>
      </c>
      <c r="AB202">
        <v>26200</v>
      </c>
      <c r="AC202">
        <f t="shared" si="437"/>
        <v>3668.0000000000005</v>
      </c>
      <c r="AD202">
        <f t="shared" si="438"/>
        <v>3144</v>
      </c>
      <c r="AE202">
        <v>0</v>
      </c>
      <c r="AF202">
        <v>500</v>
      </c>
      <c r="AG202">
        <f t="shared" si="439"/>
        <v>33512</v>
      </c>
      <c r="AH202">
        <v>2000</v>
      </c>
      <c r="AI202">
        <v>0</v>
      </c>
      <c r="AJ202">
        <f t="shared" si="440"/>
        <v>150</v>
      </c>
      <c r="AK202">
        <f t="shared" si="441"/>
        <v>31362</v>
      </c>
      <c r="AL202">
        <v>26200</v>
      </c>
      <c r="AM202">
        <f t="shared" si="442"/>
        <v>3668.0000000000005</v>
      </c>
      <c r="AN202">
        <f t="shared" si="443"/>
        <v>3144</v>
      </c>
      <c r="AO202">
        <v>0</v>
      </c>
      <c r="AP202">
        <v>500</v>
      </c>
      <c r="AQ202">
        <f t="shared" si="444"/>
        <v>33512</v>
      </c>
      <c r="AR202">
        <v>2000</v>
      </c>
      <c r="AS202">
        <v>0</v>
      </c>
      <c r="AT202">
        <f t="shared" si="445"/>
        <v>150</v>
      </c>
      <c r="AU202">
        <f t="shared" si="446"/>
        <v>31362</v>
      </c>
      <c r="AV202">
        <v>27000</v>
      </c>
      <c r="AW202">
        <f t="shared" si="447"/>
        <v>3780.0000000000005</v>
      </c>
      <c r="AX202">
        <f t="shared" si="448"/>
        <v>1048</v>
      </c>
      <c r="AY202">
        <f t="shared" si="449"/>
        <v>3240</v>
      </c>
      <c r="AZ202">
        <v>0</v>
      </c>
      <c r="BA202">
        <v>500</v>
      </c>
      <c r="BB202">
        <f t="shared" si="450"/>
        <v>35568</v>
      </c>
      <c r="BC202">
        <v>2000</v>
      </c>
      <c r="BD202">
        <v>0</v>
      </c>
      <c r="BE202">
        <f t="shared" si="451"/>
        <v>150</v>
      </c>
      <c r="BF202">
        <f t="shared" si="452"/>
        <v>33418</v>
      </c>
      <c r="BG202">
        <v>27000</v>
      </c>
      <c r="BH202">
        <f t="shared" si="453"/>
        <v>3780.0000000000005</v>
      </c>
      <c r="BI202">
        <f t="shared" si="454"/>
        <v>3240</v>
      </c>
      <c r="BJ202">
        <v>0</v>
      </c>
      <c r="BK202">
        <v>500</v>
      </c>
      <c r="BL202">
        <f t="shared" si="455"/>
        <v>34520</v>
      </c>
      <c r="BM202">
        <v>2000</v>
      </c>
      <c r="BN202">
        <v>0</v>
      </c>
      <c r="BO202">
        <f t="shared" si="456"/>
        <v>150</v>
      </c>
      <c r="BP202">
        <f t="shared" si="457"/>
        <v>32370</v>
      </c>
      <c r="BQ202">
        <v>27000</v>
      </c>
      <c r="BR202">
        <f t="shared" si="458"/>
        <v>3780.0000000000005</v>
      </c>
      <c r="BS202">
        <f t="shared" si="459"/>
        <v>3240</v>
      </c>
      <c r="BT202">
        <v>0</v>
      </c>
      <c r="BU202">
        <v>500</v>
      </c>
      <c r="BV202">
        <f t="shared" si="460"/>
        <v>34520</v>
      </c>
      <c r="BW202">
        <v>2000</v>
      </c>
      <c r="BX202">
        <v>0</v>
      </c>
      <c r="BY202">
        <f t="shared" si="461"/>
        <v>150</v>
      </c>
      <c r="BZ202">
        <f t="shared" si="462"/>
        <v>32370</v>
      </c>
      <c r="CA202">
        <v>27000</v>
      </c>
      <c r="CB202">
        <f t="shared" si="463"/>
        <v>3780.0000000000005</v>
      </c>
      <c r="CC202">
        <f t="shared" si="464"/>
        <v>3240</v>
      </c>
      <c r="CD202">
        <v>0</v>
      </c>
      <c r="CE202">
        <v>500</v>
      </c>
      <c r="CF202">
        <f t="shared" si="465"/>
        <v>34520</v>
      </c>
      <c r="CG202">
        <v>2000</v>
      </c>
      <c r="CH202">
        <v>0</v>
      </c>
      <c r="CI202">
        <f t="shared" si="466"/>
        <v>150</v>
      </c>
      <c r="CJ202">
        <f t="shared" si="467"/>
        <v>32370</v>
      </c>
      <c r="CK202">
        <v>27000</v>
      </c>
      <c r="CL202">
        <f t="shared" si="468"/>
        <v>3780.0000000000005</v>
      </c>
      <c r="CM202">
        <f t="shared" si="469"/>
        <v>3240</v>
      </c>
      <c r="CN202">
        <v>0</v>
      </c>
      <c r="CO202">
        <v>500</v>
      </c>
      <c r="CP202">
        <f t="shared" si="470"/>
        <v>34520</v>
      </c>
      <c r="CQ202">
        <v>2000</v>
      </c>
      <c r="CR202">
        <v>0</v>
      </c>
      <c r="CS202">
        <f t="shared" si="471"/>
        <v>150</v>
      </c>
      <c r="CT202">
        <f t="shared" si="472"/>
        <v>32370</v>
      </c>
      <c r="CU202">
        <v>27000</v>
      </c>
      <c r="CV202">
        <f t="shared" si="473"/>
        <v>3780</v>
      </c>
      <c r="CW202">
        <f t="shared" si="474"/>
        <v>3240</v>
      </c>
      <c r="CX202">
        <v>0</v>
      </c>
      <c r="CY202">
        <v>500</v>
      </c>
      <c r="CZ202">
        <f t="shared" si="475"/>
        <v>34520</v>
      </c>
      <c r="DA202">
        <v>2000</v>
      </c>
      <c r="DB202">
        <v>0</v>
      </c>
      <c r="DC202">
        <f t="shared" si="476"/>
        <v>150</v>
      </c>
      <c r="DD202">
        <f t="shared" si="477"/>
        <v>32370</v>
      </c>
      <c r="DE202">
        <v>27000</v>
      </c>
      <c r="DF202">
        <f t="shared" si="478"/>
        <v>3780.0000000000005</v>
      </c>
      <c r="DG202">
        <f t="shared" si="479"/>
        <v>3240</v>
      </c>
      <c r="DH202">
        <v>0</v>
      </c>
      <c r="DI202">
        <v>500</v>
      </c>
      <c r="DJ202">
        <f t="shared" si="480"/>
        <v>34520</v>
      </c>
      <c r="DK202">
        <v>2000</v>
      </c>
      <c r="DL202">
        <v>0</v>
      </c>
      <c r="DM202">
        <f t="shared" si="481"/>
        <v>150</v>
      </c>
      <c r="DN202">
        <f t="shared" si="482"/>
        <v>32370</v>
      </c>
      <c r="DO202">
        <v>27000</v>
      </c>
      <c r="DP202">
        <f t="shared" si="483"/>
        <v>3780.0000000000005</v>
      </c>
      <c r="DQ202">
        <f t="shared" si="484"/>
        <v>3240</v>
      </c>
      <c r="DR202">
        <v>0</v>
      </c>
      <c r="DS202">
        <v>500</v>
      </c>
      <c r="DT202">
        <f t="shared" si="485"/>
        <v>34520</v>
      </c>
      <c r="DU202">
        <v>2000</v>
      </c>
      <c r="DV202">
        <v>0</v>
      </c>
      <c r="DW202">
        <f t="shared" si="486"/>
        <v>150</v>
      </c>
      <c r="DX202">
        <f t="shared" si="487"/>
        <v>32370</v>
      </c>
      <c r="DY202">
        <f t="shared" si="488"/>
        <v>415160</v>
      </c>
      <c r="DZ202">
        <f t="shared" si="420"/>
        <v>1800</v>
      </c>
      <c r="EA202">
        <f t="shared" si="421"/>
        <v>50000</v>
      </c>
      <c r="EB202">
        <v>0</v>
      </c>
      <c r="EC202">
        <f t="shared" si="422"/>
        <v>363360</v>
      </c>
      <c r="ED202">
        <f t="shared" si="423"/>
        <v>24000</v>
      </c>
      <c r="EE202">
        <f t="shared" si="424"/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f t="shared" si="425"/>
        <v>24000</v>
      </c>
      <c r="EQ202">
        <f t="shared" si="489"/>
        <v>24000</v>
      </c>
      <c r="ER202">
        <f t="shared" si="426"/>
        <v>339360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f t="shared" si="490"/>
        <v>0</v>
      </c>
      <c r="FA202">
        <f t="shared" si="491"/>
        <v>339360</v>
      </c>
      <c r="FB202">
        <f t="shared" si="492"/>
        <v>4468</v>
      </c>
      <c r="FC202">
        <f t="shared" si="493"/>
        <v>0</v>
      </c>
      <c r="FD202">
        <f t="shared" si="494"/>
        <v>4468</v>
      </c>
      <c r="FE202">
        <f t="shared" si="495"/>
        <v>0</v>
      </c>
      <c r="FF202">
        <f t="shared" si="496"/>
        <v>0</v>
      </c>
      <c r="FG202">
        <f t="shared" si="497"/>
        <v>0</v>
      </c>
      <c r="FH202">
        <v>0</v>
      </c>
      <c r="FI202">
        <f t="shared" si="498"/>
        <v>0</v>
      </c>
      <c r="FJ202" t="b">
        <f t="shared" si="499"/>
        <v>0</v>
      </c>
      <c r="FK202">
        <f t="shared" ca="1" si="500"/>
        <v>2939</v>
      </c>
      <c r="FL202">
        <f t="shared" ca="1" si="501"/>
        <v>418099</v>
      </c>
      <c r="FM202">
        <f t="shared" si="502"/>
        <v>75000</v>
      </c>
      <c r="FN202">
        <f t="shared" ca="1" si="503"/>
        <v>343099</v>
      </c>
      <c r="FO202">
        <f t="shared" ca="1" si="504"/>
        <v>0</v>
      </c>
      <c r="FP202">
        <f t="shared" ca="1" si="505"/>
        <v>0</v>
      </c>
      <c r="FQ202">
        <f t="shared" ca="1" si="506"/>
        <v>0</v>
      </c>
      <c r="FR202">
        <f t="shared" ca="1" si="507"/>
        <v>0</v>
      </c>
      <c r="FS202">
        <f t="shared" ca="1" si="508"/>
        <v>0</v>
      </c>
      <c r="FT202">
        <f t="shared" ca="1" si="509"/>
        <v>0</v>
      </c>
      <c r="FU202">
        <f t="shared" ca="1" si="510"/>
        <v>0</v>
      </c>
      <c r="FV202">
        <f t="shared" ca="1" si="511"/>
        <v>0</v>
      </c>
      <c r="FW202">
        <f t="shared" ca="1" si="512"/>
        <v>43099</v>
      </c>
      <c r="FX202">
        <f t="shared" ca="1" si="513"/>
        <v>2154.9500000000003</v>
      </c>
      <c r="FY202">
        <f t="shared" ca="1" si="514"/>
        <v>2155</v>
      </c>
      <c r="FZ202">
        <f t="shared" ca="1" si="515"/>
        <v>0</v>
      </c>
      <c r="GA202">
        <f t="shared" ca="1" si="516"/>
        <v>0</v>
      </c>
      <c r="GB202">
        <f t="shared" ca="1" si="517"/>
        <v>2155</v>
      </c>
      <c r="GC202">
        <f t="shared" ca="1" si="518"/>
        <v>0</v>
      </c>
      <c r="GD202" t="b">
        <f t="shared" ca="1" si="519"/>
        <v>0</v>
      </c>
      <c r="GE202">
        <f t="shared" ca="1" si="520"/>
        <v>0</v>
      </c>
      <c r="GF202">
        <f t="shared" ca="1" si="521"/>
        <v>2155</v>
      </c>
      <c r="GG202">
        <f t="shared" ca="1" si="522"/>
        <v>0</v>
      </c>
      <c r="GH202">
        <f t="shared" ca="1" si="523"/>
        <v>0</v>
      </c>
      <c r="GI202">
        <f t="shared" ca="1" si="524"/>
        <v>0</v>
      </c>
    </row>
    <row r="203" spans="1:191" x14ac:dyDescent="0.25">
      <c r="A203">
        <f>_xlfn.AGGREGATE(3,5,$B$2:B203)</f>
        <v>202</v>
      </c>
      <c r="B203" t="s">
        <v>524</v>
      </c>
      <c r="C203" t="s">
        <v>525</v>
      </c>
      <c r="D203" t="s">
        <v>814</v>
      </c>
      <c r="E203" t="s">
        <v>844</v>
      </c>
      <c r="F203">
        <v>0</v>
      </c>
      <c r="G203">
        <v>0</v>
      </c>
      <c r="H203">
        <v>50200</v>
      </c>
      <c r="I203">
        <f t="shared" si="427"/>
        <v>5020</v>
      </c>
      <c r="J203">
        <f t="shared" si="428"/>
        <v>6024</v>
      </c>
      <c r="K203">
        <v>400</v>
      </c>
      <c r="L203">
        <v>500</v>
      </c>
      <c r="M203">
        <f t="shared" si="429"/>
        <v>62144</v>
      </c>
      <c r="N203">
        <v>7000</v>
      </c>
      <c r="O203">
        <v>0</v>
      </c>
      <c r="P203">
        <f t="shared" si="430"/>
        <v>200</v>
      </c>
      <c r="Q203">
        <f t="shared" si="431"/>
        <v>54944</v>
      </c>
      <c r="R203">
        <v>50200</v>
      </c>
      <c r="S203">
        <f t="shared" si="432"/>
        <v>5020</v>
      </c>
      <c r="T203">
        <f t="shared" si="433"/>
        <v>6024</v>
      </c>
      <c r="U203">
        <v>400</v>
      </c>
      <c r="V203">
        <v>500</v>
      </c>
      <c r="W203">
        <f t="shared" si="434"/>
        <v>62144</v>
      </c>
      <c r="X203">
        <v>7000</v>
      </c>
      <c r="Y203">
        <v>0</v>
      </c>
      <c r="Z203">
        <f t="shared" si="435"/>
        <v>200</v>
      </c>
      <c r="AA203">
        <f t="shared" si="436"/>
        <v>54944</v>
      </c>
      <c r="AB203">
        <v>50200</v>
      </c>
      <c r="AC203">
        <f t="shared" si="437"/>
        <v>7028.0000000000009</v>
      </c>
      <c r="AD203">
        <f t="shared" si="438"/>
        <v>6024</v>
      </c>
      <c r="AE203">
        <v>400</v>
      </c>
      <c r="AF203">
        <v>500</v>
      </c>
      <c r="AG203">
        <f t="shared" si="439"/>
        <v>64152</v>
      </c>
      <c r="AH203">
        <v>7000</v>
      </c>
      <c r="AI203">
        <v>0</v>
      </c>
      <c r="AJ203">
        <f t="shared" si="440"/>
        <v>200</v>
      </c>
      <c r="AK203">
        <f t="shared" si="441"/>
        <v>56952</v>
      </c>
      <c r="AL203">
        <v>50200</v>
      </c>
      <c r="AM203">
        <f t="shared" si="442"/>
        <v>7028.0000000000009</v>
      </c>
      <c r="AN203">
        <f t="shared" si="443"/>
        <v>6024</v>
      </c>
      <c r="AO203">
        <v>400</v>
      </c>
      <c r="AP203">
        <v>500</v>
      </c>
      <c r="AQ203">
        <f t="shared" si="444"/>
        <v>64152</v>
      </c>
      <c r="AR203">
        <v>7000</v>
      </c>
      <c r="AS203">
        <v>0</v>
      </c>
      <c r="AT203">
        <f t="shared" si="445"/>
        <v>200</v>
      </c>
      <c r="AU203">
        <f t="shared" si="446"/>
        <v>56952</v>
      </c>
      <c r="AV203">
        <v>51700</v>
      </c>
      <c r="AW203">
        <f t="shared" si="447"/>
        <v>7238.0000000000009</v>
      </c>
      <c r="AX203">
        <f t="shared" si="448"/>
        <v>2008</v>
      </c>
      <c r="AY203">
        <f t="shared" si="449"/>
        <v>6204</v>
      </c>
      <c r="AZ203">
        <v>400</v>
      </c>
      <c r="BA203">
        <v>500</v>
      </c>
      <c r="BB203">
        <f t="shared" si="450"/>
        <v>68050</v>
      </c>
      <c r="BC203">
        <v>7000</v>
      </c>
      <c r="BD203">
        <v>0</v>
      </c>
      <c r="BE203">
        <f t="shared" si="451"/>
        <v>200</v>
      </c>
      <c r="BF203">
        <f t="shared" si="452"/>
        <v>60850</v>
      </c>
      <c r="BG203">
        <v>51700</v>
      </c>
      <c r="BH203">
        <f t="shared" si="453"/>
        <v>7238.0000000000009</v>
      </c>
      <c r="BI203">
        <f t="shared" si="454"/>
        <v>6204</v>
      </c>
      <c r="BJ203">
        <v>400</v>
      </c>
      <c r="BK203">
        <v>500</v>
      </c>
      <c r="BL203">
        <f t="shared" si="455"/>
        <v>66042</v>
      </c>
      <c r="BM203">
        <v>7000</v>
      </c>
      <c r="BN203">
        <v>0</v>
      </c>
      <c r="BO203">
        <f t="shared" si="456"/>
        <v>200</v>
      </c>
      <c r="BP203">
        <f t="shared" si="457"/>
        <v>58842</v>
      </c>
      <c r="BQ203">
        <v>51700</v>
      </c>
      <c r="BR203">
        <f t="shared" si="458"/>
        <v>7238.0000000000009</v>
      </c>
      <c r="BS203">
        <f t="shared" si="459"/>
        <v>6204</v>
      </c>
      <c r="BT203">
        <v>400</v>
      </c>
      <c r="BU203">
        <v>500</v>
      </c>
      <c r="BV203">
        <f t="shared" si="460"/>
        <v>66042</v>
      </c>
      <c r="BW203">
        <v>7000</v>
      </c>
      <c r="BX203">
        <v>0</v>
      </c>
      <c r="BY203">
        <f t="shared" si="461"/>
        <v>200</v>
      </c>
      <c r="BZ203">
        <f t="shared" si="462"/>
        <v>58842</v>
      </c>
      <c r="CA203">
        <v>51700</v>
      </c>
      <c r="CB203">
        <f t="shared" si="463"/>
        <v>7238.0000000000009</v>
      </c>
      <c r="CC203">
        <f t="shared" si="464"/>
        <v>6204</v>
      </c>
      <c r="CD203">
        <v>400</v>
      </c>
      <c r="CE203">
        <v>500</v>
      </c>
      <c r="CF203">
        <f t="shared" si="465"/>
        <v>66042</v>
      </c>
      <c r="CG203">
        <v>7000</v>
      </c>
      <c r="CH203">
        <v>0</v>
      </c>
      <c r="CI203">
        <f t="shared" si="466"/>
        <v>200</v>
      </c>
      <c r="CJ203">
        <f t="shared" si="467"/>
        <v>58842</v>
      </c>
      <c r="CK203">
        <v>51700</v>
      </c>
      <c r="CL203">
        <f t="shared" si="468"/>
        <v>7238.0000000000009</v>
      </c>
      <c r="CM203">
        <f t="shared" si="469"/>
        <v>6204</v>
      </c>
      <c r="CN203">
        <v>400</v>
      </c>
      <c r="CO203">
        <v>500</v>
      </c>
      <c r="CP203">
        <f t="shared" si="470"/>
        <v>66042</v>
      </c>
      <c r="CQ203">
        <v>7000</v>
      </c>
      <c r="CR203">
        <v>0</v>
      </c>
      <c r="CS203">
        <f t="shared" si="471"/>
        <v>200</v>
      </c>
      <c r="CT203">
        <f t="shared" si="472"/>
        <v>58842</v>
      </c>
      <c r="CU203">
        <v>51700</v>
      </c>
      <c r="CV203">
        <f t="shared" si="473"/>
        <v>7238</v>
      </c>
      <c r="CW203">
        <f t="shared" si="474"/>
        <v>6204</v>
      </c>
      <c r="CX203">
        <v>400</v>
      </c>
      <c r="CY203">
        <v>500</v>
      </c>
      <c r="CZ203">
        <f t="shared" si="475"/>
        <v>66042</v>
      </c>
      <c r="DA203">
        <v>7000</v>
      </c>
      <c r="DB203">
        <v>0</v>
      </c>
      <c r="DC203">
        <f t="shared" si="476"/>
        <v>200</v>
      </c>
      <c r="DD203">
        <f t="shared" si="477"/>
        <v>58842</v>
      </c>
      <c r="DE203">
        <v>51700</v>
      </c>
      <c r="DF203">
        <f t="shared" si="478"/>
        <v>7238.0000000000009</v>
      </c>
      <c r="DG203">
        <f t="shared" si="479"/>
        <v>6204</v>
      </c>
      <c r="DH203">
        <v>400</v>
      </c>
      <c r="DI203">
        <v>500</v>
      </c>
      <c r="DJ203">
        <f t="shared" si="480"/>
        <v>66042</v>
      </c>
      <c r="DK203">
        <v>7000</v>
      </c>
      <c r="DL203">
        <v>0</v>
      </c>
      <c r="DM203">
        <f t="shared" si="481"/>
        <v>200</v>
      </c>
      <c r="DN203">
        <f t="shared" si="482"/>
        <v>58842</v>
      </c>
      <c r="DO203">
        <v>51700</v>
      </c>
      <c r="DP203">
        <f t="shared" si="483"/>
        <v>7238.0000000000009</v>
      </c>
      <c r="DQ203">
        <f t="shared" si="484"/>
        <v>6204</v>
      </c>
      <c r="DR203">
        <v>400</v>
      </c>
      <c r="DS203">
        <v>500</v>
      </c>
      <c r="DT203">
        <f t="shared" si="485"/>
        <v>66042</v>
      </c>
      <c r="DU203">
        <v>7000</v>
      </c>
      <c r="DV203">
        <v>0</v>
      </c>
      <c r="DW203">
        <f t="shared" si="486"/>
        <v>200</v>
      </c>
      <c r="DX203">
        <f t="shared" si="487"/>
        <v>58842</v>
      </c>
      <c r="DY203">
        <f t="shared" si="488"/>
        <v>782936</v>
      </c>
      <c r="DZ203">
        <f t="shared" si="420"/>
        <v>2400</v>
      </c>
      <c r="EA203">
        <f t="shared" si="421"/>
        <v>50000</v>
      </c>
      <c r="EB203">
        <v>0</v>
      </c>
      <c r="EC203">
        <f t="shared" si="422"/>
        <v>730536</v>
      </c>
      <c r="ED203">
        <f t="shared" si="423"/>
        <v>84000</v>
      </c>
      <c r="EE203">
        <f t="shared" si="424"/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f t="shared" si="425"/>
        <v>84000</v>
      </c>
      <c r="EQ203">
        <f t="shared" si="489"/>
        <v>84000</v>
      </c>
      <c r="ER203">
        <f t="shared" si="426"/>
        <v>646536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f t="shared" si="490"/>
        <v>0</v>
      </c>
      <c r="FA203">
        <f t="shared" si="491"/>
        <v>646536</v>
      </c>
      <c r="FB203">
        <f t="shared" si="492"/>
        <v>12500</v>
      </c>
      <c r="FC203">
        <f t="shared" si="493"/>
        <v>29307</v>
      </c>
      <c r="FD203">
        <f t="shared" si="494"/>
        <v>41807</v>
      </c>
      <c r="FE203">
        <f t="shared" si="495"/>
        <v>41807</v>
      </c>
      <c r="FF203">
        <f t="shared" si="496"/>
        <v>1672.28</v>
      </c>
      <c r="FG203">
        <f t="shared" si="497"/>
        <v>43479</v>
      </c>
      <c r="FH203">
        <v>0</v>
      </c>
      <c r="FI203">
        <f t="shared" si="498"/>
        <v>43479</v>
      </c>
      <c r="FJ203" t="b">
        <f t="shared" si="499"/>
        <v>1</v>
      </c>
      <c r="FK203">
        <f t="shared" ca="1" si="500"/>
        <v>547</v>
      </c>
      <c r="FL203">
        <f t="shared" ca="1" si="501"/>
        <v>783483</v>
      </c>
      <c r="FM203">
        <f t="shared" si="502"/>
        <v>75000</v>
      </c>
      <c r="FN203">
        <f t="shared" ca="1" si="503"/>
        <v>708483</v>
      </c>
      <c r="FO203">
        <f t="shared" ca="1" si="504"/>
        <v>0</v>
      </c>
      <c r="FP203">
        <f t="shared" ca="1" si="505"/>
        <v>0</v>
      </c>
      <c r="FQ203">
        <f t="shared" ca="1" si="506"/>
        <v>0</v>
      </c>
      <c r="FR203">
        <f t="shared" ca="1" si="507"/>
        <v>0</v>
      </c>
      <c r="FS203">
        <f t="shared" ca="1" si="508"/>
        <v>0</v>
      </c>
      <c r="FT203">
        <f t="shared" ca="1" si="509"/>
        <v>0</v>
      </c>
      <c r="FU203">
        <f t="shared" ca="1" si="510"/>
        <v>8483</v>
      </c>
      <c r="FV203">
        <f t="shared" ca="1" si="511"/>
        <v>848.30000000000007</v>
      </c>
      <c r="FW203">
        <f t="shared" ca="1" si="512"/>
        <v>400000</v>
      </c>
      <c r="FX203">
        <f t="shared" ca="1" si="513"/>
        <v>20000</v>
      </c>
      <c r="FY203">
        <f t="shared" ca="1" si="514"/>
        <v>20848</v>
      </c>
      <c r="FZ203">
        <f t="shared" ca="1" si="515"/>
        <v>708483</v>
      </c>
      <c r="GA203">
        <f t="shared" ca="1" si="516"/>
        <v>8483</v>
      </c>
      <c r="GB203">
        <f t="shared" ca="1" si="517"/>
        <v>0</v>
      </c>
      <c r="GC203">
        <f t="shared" ca="1" si="518"/>
        <v>12365</v>
      </c>
      <c r="GD203" t="b">
        <f t="shared" ca="1" si="519"/>
        <v>1</v>
      </c>
      <c r="GE203">
        <f t="shared" ca="1" si="520"/>
        <v>12365</v>
      </c>
      <c r="GF203">
        <f t="shared" ca="1" si="521"/>
        <v>12365</v>
      </c>
      <c r="GG203">
        <f t="shared" ca="1" si="522"/>
        <v>8483</v>
      </c>
      <c r="GH203">
        <f t="shared" ca="1" si="523"/>
        <v>339.32</v>
      </c>
      <c r="GI203">
        <f t="shared" ca="1" si="524"/>
        <v>8823</v>
      </c>
    </row>
    <row r="204" spans="1:191" x14ac:dyDescent="0.25">
      <c r="A204">
        <f>_xlfn.AGGREGATE(3,5,$B$2:B204)</f>
        <v>203</v>
      </c>
      <c r="B204" t="s">
        <v>526</v>
      </c>
      <c r="C204" t="s">
        <v>527</v>
      </c>
      <c r="D204" t="s">
        <v>814</v>
      </c>
      <c r="E204" t="s">
        <v>843</v>
      </c>
      <c r="F204">
        <v>0</v>
      </c>
      <c r="G204">
        <v>0</v>
      </c>
      <c r="H204">
        <v>45900</v>
      </c>
      <c r="I204">
        <f t="shared" si="427"/>
        <v>4590</v>
      </c>
      <c r="J204">
        <f t="shared" si="428"/>
        <v>5508</v>
      </c>
      <c r="K204">
        <v>0</v>
      </c>
      <c r="L204">
        <v>500</v>
      </c>
      <c r="M204">
        <f t="shared" si="429"/>
        <v>56498</v>
      </c>
      <c r="N204">
        <v>5000</v>
      </c>
      <c r="O204">
        <v>0</v>
      </c>
      <c r="P204">
        <f t="shared" si="430"/>
        <v>200</v>
      </c>
      <c r="Q204">
        <f t="shared" si="431"/>
        <v>51298</v>
      </c>
      <c r="R204">
        <v>45900</v>
      </c>
      <c r="S204">
        <f t="shared" si="432"/>
        <v>4590</v>
      </c>
      <c r="T204">
        <f t="shared" si="433"/>
        <v>5508</v>
      </c>
      <c r="U204">
        <v>0</v>
      </c>
      <c r="V204">
        <v>500</v>
      </c>
      <c r="W204">
        <f t="shared" si="434"/>
        <v>56498</v>
      </c>
      <c r="X204">
        <v>5000</v>
      </c>
      <c r="Y204">
        <v>0</v>
      </c>
      <c r="Z204">
        <f t="shared" si="435"/>
        <v>200</v>
      </c>
      <c r="AA204">
        <f t="shared" si="436"/>
        <v>51298</v>
      </c>
      <c r="AB204">
        <v>45900</v>
      </c>
      <c r="AC204">
        <f t="shared" si="437"/>
        <v>6426.0000000000009</v>
      </c>
      <c r="AD204">
        <f t="shared" si="438"/>
        <v>5508</v>
      </c>
      <c r="AE204">
        <v>0</v>
      </c>
      <c r="AF204">
        <v>500</v>
      </c>
      <c r="AG204">
        <f t="shared" si="439"/>
        <v>58334</v>
      </c>
      <c r="AH204">
        <v>5000</v>
      </c>
      <c r="AI204">
        <v>0</v>
      </c>
      <c r="AJ204">
        <f t="shared" si="440"/>
        <v>200</v>
      </c>
      <c r="AK204">
        <f t="shared" si="441"/>
        <v>53134</v>
      </c>
      <c r="AL204">
        <v>45900</v>
      </c>
      <c r="AM204">
        <f t="shared" si="442"/>
        <v>6426.0000000000009</v>
      </c>
      <c r="AN204">
        <f t="shared" si="443"/>
        <v>5508</v>
      </c>
      <c r="AO204">
        <v>0</v>
      </c>
      <c r="AP204">
        <v>500</v>
      </c>
      <c r="AQ204">
        <f t="shared" si="444"/>
        <v>58334</v>
      </c>
      <c r="AR204">
        <v>5000</v>
      </c>
      <c r="AS204">
        <v>0</v>
      </c>
      <c r="AT204">
        <f t="shared" si="445"/>
        <v>200</v>
      </c>
      <c r="AU204">
        <f t="shared" si="446"/>
        <v>53134</v>
      </c>
      <c r="AV204">
        <v>47300</v>
      </c>
      <c r="AW204">
        <f t="shared" si="447"/>
        <v>6622.0000000000009</v>
      </c>
      <c r="AX204">
        <f t="shared" si="448"/>
        <v>1836</v>
      </c>
      <c r="AY204">
        <f t="shared" si="449"/>
        <v>5676</v>
      </c>
      <c r="AZ204">
        <v>0</v>
      </c>
      <c r="BA204">
        <v>500</v>
      </c>
      <c r="BB204">
        <f t="shared" si="450"/>
        <v>61934</v>
      </c>
      <c r="BC204">
        <v>5000</v>
      </c>
      <c r="BD204">
        <v>0</v>
      </c>
      <c r="BE204">
        <f t="shared" si="451"/>
        <v>200</v>
      </c>
      <c r="BF204">
        <f t="shared" si="452"/>
        <v>56734</v>
      </c>
      <c r="BG204">
        <v>47300</v>
      </c>
      <c r="BH204">
        <f t="shared" si="453"/>
        <v>6622.0000000000009</v>
      </c>
      <c r="BI204">
        <f t="shared" si="454"/>
        <v>5676</v>
      </c>
      <c r="BJ204">
        <v>0</v>
      </c>
      <c r="BK204">
        <v>500</v>
      </c>
      <c r="BL204">
        <f t="shared" si="455"/>
        <v>60098</v>
      </c>
      <c r="BM204">
        <v>5000</v>
      </c>
      <c r="BN204">
        <v>0</v>
      </c>
      <c r="BO204">
        <f t="shared" si="456"/>
        <v>200</v>
      </c>
      <c r="BP204">
        <f t="shared" si="457"/>
        <v>54898</v>
      </c>
      <c r="BQ204">
        <v>47300</v>
      </c>
      <c r="BR204">
        <f t="shared" si="458"/>
        <v>6622.0000000000009</v>
      </c>
      <c r="BS204">
        <f t="shared" si="459"/>
        <v>5676</v>
      </c>
      <c r="BT204">
        <v>0</v>
      </c>
      <c r="BU204">
        <v>500</v>
      </c>
      <c r="BV204">
        <f t="shared" si="460"/>
        <v>60098</v>
      </c>
      <c r="BW204">
        <v>5000</v>
      </c>
      <c r="BX204">
        <v>0</v>
      </c>
      <c r="BY204">
        <f t="shared" si="461"/>
        <v>200</v>
      </c>
      <c r="BZ204">
        <f t="shared" si="462"/>
        <v>54898</v>
      </c>
      <c r="CA204">
        <v>47300</v>
      </c>
      <c r="CB204">
        <f t="shared" si="463"/>
        <v>6622.0000000000009</v>
      </c>
      <c r="CC204">
        <f t="shared" si="464"/>
        <v>5676</v>
      </c>
      <c r="CD204">
        <v>0</v>
      </c>
      <c r="CE204">
        <v>500</v>
      </c>
      <c r="CF204">
        <f t="shared" si="465"/>
        <v>60098</v>
      </c>
      <c r="CG204">
        <v>5000</v>
      </c>
      <c r="CH204">
        <v>0</v>
      </c>
      <c r="CI204">
        <f t="shared" si="466"/>
        <v>200</v>
      </c>
      <c r="CJ204">
        <f t="shared" si="467"/>
        <v>54898</v>
      </c>
      <c r="CK204">
        <v>47300</v>
      </c>
      <c r="CL204">
        <f t="shared" si="468"/>
        <v>6622.0000000000009</v>
      </c>
      <c r="CM204">
        <f t="shared" si="469"/>
        <v>5676</v>
      </c>
      <c r="CN204">
        <v>0</v>
      </c>
      <c r="CO204">
        <v>500</v>
      </c>
      <c r="CP204">
        <f t="shared" si="470"/>
        <v>60098</v>
      </c>
      <c r="CQ204">
        <v>5000</v>
      </c>
      <c r="CR204">
        <v>0</v>
      </c>
      <c r="CS204">
        <f t="shared" si="471"/>
        <v>200</v>
      </c>
      <c r="CT204">
        <f t="shared" si="472"/>
        <v>54898</v>
      </c>
      <c r="CU204">
        <v>47300</v>
      </c>
      <c r="CV204">
        <f t="shared" si="473"/>
        <v>6622</v>
      </c>
      <c r="CW204">
        <f t="shared" si="474"/>
        <v>5676</v>
      </c>
      <c r="CX204">
        <v>0</v>
      </c>
      <c r="CY204">
        <v>500</v>
      </c>
      <c r="CZ204">
        <f t="shared" si="475"/>
        <v>60098</v>
      </c>
      <c r="DA204">
        <v>5000</v>
      </c>
      <c r="DB204">
        <v>0</v>
      </c>
      <c r="DC204">
        <f t="shared" si="476"/>
        <v>200</v>
      </c>
      <c r="DD204">
        <f t="shared" si="477"/>
        <v>54898</v>
      </c>
      <c r="DE204">
        <v>47300</v>
      </c>
      <c r="DF204">
        <f t="shared" si="478"/>
        <v>6622.0000000000009</v>
      </c>
      <c r="DG204">
        <f t="shared" si="479"/>
        <v>5676</v>
      </c>
      <c r="DH204">
        <v>0</v>
      </c>
      <c r="DI204">
        <v>500</v>
      </c>
      <c r="DJ204">
        <f t="shared" si="480"/>
        <v>60098</v>
      </c>
      <c r="DK204">
        <v>5000</v>
      </c>
      <c r="DL204">
        <v>0</v>
      </c>
      <c r="DM204">
        <f t="shared" si="481"/>
        <v>200</v>
      </c>
      <c r="DN204">
        <f t="shared" si="482"/>
        <v>54898</v>
      </c>
      <c r="DO204">
        <v>47300</v>
      </c>
      <c r="DP204">
        <f t="shared" si="483"/>
        <v>6622.0000000000009</v>
      </c>
      <c r="DQ204">
        <f t="shared" si="484"/>
        <v>5676</v>
      </c>
      <c r="DR204">
        <v>0</v>
      </c>
      <c r="DS204">
        <v>500</v>
      </c>
      <c r="DT204">
        <f t="shared" si="485"/>
        <v>60098</v>
      </c>
      <c r="DU204">
        <v>5000</v>
      </c>
      <c r="DV204">
        <v>0</v>
      </c>
      <c r="DW204">
        <f t="shared" si="486"/>
        <v>200</v>
      </c>
      <c r="DX204">
        <f t="shared" si="487"/>
        <v>54898</v>
      </c>
      <c r="DY204">
        <f t="shared" si="488"/>
        <v>712284</v>
      </c>
      <c r="DZ204">
        <f t="shared" si="420"/>
        <v>2400</v>
      </c>
      <c r="EA204">
        <f t="shared" si="421"/>
        <v>50000</v>
      </c>
      <c r="EB204">
        <v>0</v>
      </c>
      <c r="EC204">
        <f t="shared" si="422"/>
        <v>659884</v>
      </c>
      <c r="ED204">
        <f t="shared" si="423"/>
        <v>60000</v>
      </c>
      <c r="EE204">
        <f t="shared" si="424"/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f t="shared" si="425"/>
        <v>60000</v>
      </c>
      <c r="EQ204">
        <f t="shared" si="489"/>
        <v>60000</v>
      </c>
      <c r="ER204">
        <f t="shared" si="426"/>
        <v>599884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f t="shared" si="490"/>
        <v>0</v>
      </c>
      <c r="FA204">
        <f t="shared" si="491"/>
        <v>599884</v>
      </c>
      <c r="FB204">
        <f t="shared" si="492"/>
        <v>12500</v>
      </c>
      <c r="FC204">
        <f t="shared" si="493"/>
        <v>19977</v>
      </c>
      <c r="FD204">
        <f t="shared" si="494"/>
        <v>32477</v>
      </c>
      <c r="FE204">
        <f t="shared" si="495"/>
        <v>32477</v>
      </c>
      <c r="FF204">
        <f t="shared" si="496"/>
        <v>1299.08</v>
      </c>
      <c r="FG204">
        <f t="shared" si="497"/>
        <v>33776</v>
      </c>
      <c r="FH204">
        <v>0</v>
      </c>
      <c r="FI204">
        <f t="shared" si="498"/>
        <v>33776</v>
      </c>
      <c r="FJ204" t="b">
        <f t="shared" si="499"/>
        <v>1</v>
      </c>
      <c r="FK204">
        <f t="shared" ca="1" si="500"/>
        <v>741</v>
      </c>
      <c r="FL204">
        <f t="shared" ca="1" si="501"/>
        <v>713025</v>
      </c>
      <c r="FM204">
        <f t="shared" si="502"/>
        <v>75000</v>
      </c>
      <c r="FN204">
        <f t="shared" ca="1" si="503"/>
        <v>638025</v>
      </c>
      <c r="FO204">
        <f t="shared" ca="1" si="504"/>
        <v>0</v>
      </c>
      <c r="FP204">
        <f t="shared" ca="1" si="505"/>
        <v>0</v>
      </c>
      <c r="FQ204">
        <f t="shared" ca="1" si="506"/>
        <v>0</v>
      </c>
      <c r="FR204">
        <f t="shared" ca="1" si="507"/>
        <v>0</v>
      </c>
      <c r="FS204">
        <f t="shared" ca="1" si="508"/>
        <v>0</v>
      </c>
      <c r="FT204">
        <f t="shared" ca="1" si="509"/>
        <v>0</v>
      </c>
      <c r="FU204">
        <f t="shared" ca="1" si="510"/>
        <v>0</v>
      </c>
      <c r="FV204">
        <f t="shared" ca="1" si="511"/>
        <v>0</v>
      </c>
      <c r="FW204">
        <f t="shared" ca="1" si="512"/>
        <v>338025</v>
      </c>
      <c r="FX204">
        <f t="shared" ca="1" si="513"/>
        <v>16901.25</v>
      </c>
      <c r="FY204">
        <f t="shared" ca="1" si="514"/>
        <v>16901</v>
      </c>
      <c r="FZ204">
        <f t="shared" ca="1" si="515"/>
        <v>0</v>
      </c>
      <c r="GA204">
        <f t="shared" ca="1" si="516"/>
        <v>0</v>
      </c>
      <c r="GB204">
        <f t="shared" ca="1" si="517"/>
        <v>16901</v>
      </c>
      <c r="GC204">
        <f t="shared" ca="1" si="518"/>
        <v>0</v>
      </c>
      <c r="GD204" t="b">
        <f t="shared" ca="1" si="519"/>
        <v>0</v>
      </c>
      <c r="GE204">
        <f t="shared" ca="1" si="520"/>
        <v>0</v>
      </c>
      <c r="GF204">
        <f t="shared" ca="1" si="521"/>
        <v>16901</v>
      </c>
      <c r="GG204">
        <f t="shared" ca="1" si="522"/>
        <v>0</v>
      </c>
      <c r="GH204">
        <f t="shared" ca="1" si="523"/>
        <v>0</v>
      </c>
      <c r="GI204">
        <f t="shared" ca="1" si="524"/>
        <v>0</v>
      </c>
    </row>
    <row r="205" spans="1:191" x14ac:dyDescent="0.25">
      <c r="A205">
        <f>_xlfn.AGGREGATE(3,5,$B$2:B205)</f>
        <v>204</v>
      </c>
      <c r="B205" t="s">
        <v>528</v>
      </c>
      <c r="C205" t="s">
        <v>529</v>
      </c>
      <c r="D205" t="s">
        <v>814</v>
      </c>
      <c r="E205" t="s">
        <v>843</v>
      </c>
      <c r="F205">
        <v>0</v>
      </c>
      <c r="G205">
        <v>6000</v>
      </c>
      <c r="H205">
        <v>32500</v>
      </c>
      <c r="I205">
        <f t="shared" si="427"/>
        <v>3250</v>
      </c>
      <c r="J205">
        <f t="shared" si="428"/>
        <v>3900</v>
      </c>
      <c r="K205">
        <v>0</v>
      </c>
      <c r="L205">
        <v>500</v>
      </c>
      <c r="M205">
        <f t="shared" si="429"/>
        <v>40150</v>
      </c>
      <c r="N205">
        <v>3000</v>
      </c>
      <c r="O205">
        <v>0</v>
      </c>
      <c r="P205">
        <f t="shared" si="430"/>
        <v>200</v>
      </c>
      <c r="Q205">
        <f t="shared" si="431"/>
        <v>36950</v>
      </c>
      <c r="R205">
        <v>32500</v>
      </c>
      <c r="S205">
        <f t="shared" si="432"/>
        <v>3250</v>
      </c>
      <c r="T205">
        <f t="shared" si="433"/>
        <v>3900</v>
      </c>
      <c r="U205">
        <v>0</v>
      </c>
      <c r="V205">
        <v>500</v>
      </c>
      <c r="W205">
        <f t="shared" si="434"/>
        <v>40150</v>
      </c>
      <c r="X205">
        <v>3000</v>
      </c>
      <c r="Y205">
        <v>0</v>
      </c>
      <c r="Z205">
        <f t="shared" si="435"/>
        <v>200</v>
      </c>
      <c r="AA205">
        <f t="shared" si="436"/>
        <v>36950</v>
      </c>
      <c r="AB205">
        <v>32500</v>
      </c>
      <c r="AC205">
        <f t="shared" si="437"/>
        <v>4550</v>
      </c>
      <c r="AD205">
        <f t="shared" si="438"/>
        <v>3900</v>
      </c>
      <c r="AE205">
        <v>0</v>
      </c>
      <c r="AF205">
        <v>500</v>
      </c>
      <c r="AG205">
        <f t="shared" si="439"/>
        <v>41450</v>
      </c>
      <c r="AH205">
        <v>3000</v>
      </c>
      <c r="AI205">
        <v>0</v>
      </c>
      <c r="AJ205">
        <f t="shared" si="440"/>
        <v>200</v>
      </c>
      <c r="AK205">
        <f t="shared" si="441"/>
        <v>38250</v>
      </c>
      <c r="AL205">
        <v>32500</v>
      </c>
      <c r="AM205">
        <f t="shared" si="442"/>
        <v>4550</v>
      </c>
      <c r="AN205">
        <f t="shared" si="443"/>
        <v>3900</v>
      </c>
      <c r="AO205">
        <v>0</v>
      </c>
      <c r="AP205">
        <v>500</v>
      </c>
      <c r="AQ205">
        <f t="shared" si="444"/>
        <v>41450</v>
      </c>
      <c r="AR205">
        <v>3000</v>
      </c>
      <c r="AS205">
        <v>0</v>
      </c>
      <c r="AT205">
        <f t="shared" si="445"/>
        <v>200</v>
      </c>
      <c r="AU205">
        <f t="shared" si="446"/>
        <v>38250</v>
      </c>
      <c r="AV205">
        <v>33500</v>
      </c>
      <c r="AW205">
        <f t="shared" si="447"/>
        <v>4690</v>
      </c>
      <c r="AX205">
        <f t="shared" si="448"/>
        <v>1300</v>
      </c>
      <c r="AY205">
        <f t="shared" si="449"/>
        <v>4020</v>
      </c>
      <c r="AZ205">
        <v>0</v>
      </c>
      <c r="BA205">
        <v>500</v>
      </c>
      <c r="BB205">
        <f t="shared" si="450"/>
        <v>44010</v>
      </c>
      <c r="BC205">
        <v>3000</v>
      </c>
      <c r="BD205">
        <v>0</v>
      </c>
      <c r="BE205">
        <f t="shared" si="451"/>
        <v>200</v>
      </c>
      <c r="BF205">
        <f t="shared" si="452"/>
        <v>40810</v>
      </c>
      <c r="BG205">
        <v>33500</v>
      </c>
      <c r="BH205">
        <f t="shared" si="453"/>
        <v>4690</v>
      </c>
      <c r="BI205">
        <f t="shared" si="454"/>
        <v>4020</v>
      </c>
      <c r="BJ205">
        <v>0</v>
      </c>
      <c r="BK205">
        <v>500</v>
      </c>
      <c r="BL205">
        <f t="shared" si="455"/>
        <v>42710</v>
      </c>
      <c r="BM205">
        <v>3000</v>
      </c>
      <c r="BN205">
        <v>0</v>
      </c>
      <c r="BO205">
        <f t="shared" si="456"/>
        <v>200</v>
      </c>
      <c r="BP205">
        <f t="shared" si="457"/>
        <v>39510</v>
      </c>
      <c r="BQ205">
        <v>33500</v>
      </c>
      <c r="BR205">
        <f t="shared" si="458"/>
        <v>4690</v>
      </c>
      <c r="BS205">
        <f t="shared" si="459"/>
        <v>4020</v>
      </c>
      <c r="BT205">
        <v>0</v>
      </c>
      <c r="BU205">
        <v>500</v>
      </c>
      <c r="BV205">
        <f t="shared" si="460"/>
        <v>42710</v>
      </c>
      <c r="BW205">
        <v>3000</v>
      </c>
      <c r="BX205">
        <v>0</v>
      </c>
      <c r="BY205">
        <f t="shared" si="461"/>
        <v>200</v>
      </c>
      <c r="BZ205">
        <f t="shared" si="462"/>
        <v>39510</v>
      </c>
      <c r="CA205">
        <v>33500</v>
      </c>
      <c r="CB205">
        <f t="shared" si="463"/>
        <v>4690</v>
      </c>
      <c r="CC205">
        <f t="shared" si="464"/>
        <v>4020</v>
      </c>
      <c r="CD205">
        <v>0</v>
      </c>
      <c r="CE205">
        <v>500</v>
      </c>
      <c r="CF205">
        <f t="shared" si="465"/>
        <v>42710</v>
      </c>
      <c r="CG205">
        <v>3000</v>
      </c>
      <c r="CH205">
        <v>0</v>
      </c>
      <c r="CI205">
        <f t="shared" si="466"/>
        <v>200</v>
      </c>
      <c r="CJ205">
        <f t="shared" si="467"/>
        <v>39510</v>
      </c>
      <c r="CK205">
        <v>33500</v>
      </c>
      <c r="CL205">
        <f t="shared" si="468"/>
        <v>4690</v>
      </c>
      <c r="CM205">
        <f t="shared" si="469"/>
        <v>4020</v>
      </c>
      <c r="CN205">
        <v>0</v>
      </c>
      <c r="CO205">
        <v>500</v>
      </c>
      <c r="CP205">
        <f t="shared" si="470"/>
        <v>42710</v>
      </c>
      <c r="CQ205">
        <v>3000</v>
      </c>
      <c r="CR205">
        <v>0</v>
      </c>
      <c r="CS205">
        <f t="shared" si="471"/>
        <v>200</v>
      </c>
      <c r="CT205">
        <f t="shared" si="472"/>
        <v>39510</v>
      </c>
      <c r="CU205">
        <v>33500</v>
      </c>
      <c r="CV205">
        <f t="shared" si="473"/>
        <v>4690</v>
      </c>
      <c r="CW205">
        <f t="shared" si="474"/>
        <v>4020</v>
      </c>
      <c r="CX205">
        <v>0</v>
      </c>
      <c r="CY205">
        <v>500</v>
      </c>
      <c r="CZ205">
        <f t="shared" si="475"/>
        <v>42710</v>
      </c>
      <c r="DA205">
        <v>3000</v>
      </c>
      <c r="DB205">
        <v>0</v>
      </c>
      <c r="DC205">
        <f t="shared" si="476"/>
        <v>200</v>
      </c>
      <c r="DD205">
        <f t="shared" si="477"/>
        <v>39510</v>
      </c>
      <c r="DE205">
        <v>33500</v>
      </c>
      <c r="DF205">
        <f t="shared" si="478"/>
        <v>4690</v>
      </c>
      <c r="DG205">
        <f t="shared" si="479"/>
        <v>4020</v>
      </c>
      <c r="DH205">
        <v>0</v>
      </c>
      <c r="DI205">
        <v>500</v>
      </c>
      <c r="DJ205">
        <f t="shared" si="480"/>
        <v>42710</v>
      </c>
      <c r="DK205">
        <v>3000</v>
      </c>
      <c r="DL205">
        <v>0</v>
      </c>
      <c r="DM205">
        <f t="shared" si="481"/>
        <v>200</v>
      </c>
      <c r="DN205">
        <f t="shared" si="482"/>
        <v>39510</v>
      </c>
      <c r="DO205">
        <v>33500</v>
      </c>
      <c r="DP205">
        <f t="shared" si="483"/>
        <v>4690</v>
      </c>
      <c r="DQ205">
        <f t="shared" si="484"/>
        <v>4020</v>
      </c>
      <c r="DR205">
        <v>0</v>
      </c>
      <c r="DS205">
        <v>500</v>
      </c>
      <c r="DT205">
        <f t="shared" si="485"/>
        <v>42710</v>
      </c>
      <c r="DU205">
        <v>3000</v>
      </c>
      <c r="DV205">
        <v>0</v>
      </c>
      <c r="DW205">
        <f t="shared" si="486"/>
        <v>200</v>
      </c>
      <c r="DX205">
        <f t="shared" si="487"/>
        <v>39510</v>
      </c>
      <c r="DY205">
        <f t="shared" si="488"/>
        <v>512180</v>
      </c>
      <c r="DZ205">
        <f t="shared" si="420"/>
        <v>2400</v>
      </c>
      <c r="EA205">
        <f t="shared" si="421"/>
        <v>50000</v>
      </c>
      <c r="EB205">
        <v>0</v>
      </c>
      <c r="EC205">
        <f t="shared" si="422"/>
        <v>459780</v>
      </c>
      <c r="ED205">
        <f t="shared" si="423"/>
        <v>36000</v>
      </c>
      <c r="EE205">
        <f t="shared" si="424"/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f t="shared" si="425"/>
        <v>36000</v>
      </c>
      <c r="EQ205">
        <f t="shared" si="489"/>
        <v>36000</v>
      </c>
      <c r="ER205">
        <f t="shared" si="426"/>
        <v>423780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f t="shared" si="490"/>
        <v>0</v>
      </c>
      <c r="FA205">
        <f t="shared" si="491"/>
        <v>423780</v>
      </c>
      <c r="FB205">
        <f t="shared" si="492"/>
        <v>8689</v>
      </c>
      <c r="FC205">
        <f t="shared" si="493"/>
        <v>0</v>
      </c>
      <c r="FD205">
        <f t="shared" si="494"/>
        <v>8689</v>
      </c>
      <c r="FE205">
        <f t="shared" si="495"/>
        <v>0</v>
      </c>
      <c r="FF205">
        <f t="shared" si="496"/>
        <v>0</v>
      </c>
      <c r="FG205">
        <f t="shared" si="497"/>
        <v>0</v>
      </c>
      <c r="FH205">
        <v>0</v>
      </c>
      <c r="FI205">
        <f t="shared" si="498"/>
        <v>0</v>
      </c>
      <c r="FJ205" t="b">
        <f t="shared" si="499"/>
        <v>1</v>
      </c>
      <c r="FK205">
        <f t="shared" ca="1" si="500"/>
        <v>786</v>
      </c>
      <c r="FL205">
        <f t="shared" ca="1" si="501"/>
        <v>512966</v>
      </c>
      <c r="FM205">
        <f t="shared" si="502"/>
        <v>75000</v>
      </c>
      <c r="FN205">
        <f t="shared" ca="1" si="503"/>
        <v>437966</v>
      </c>
      <c r="FO205">
        <f t="shared" ca="1" si="504"/>
        <v>0</v>
      </c>
      <c r="FP205">
        <f t="shared" ca="1" si="505"/>
        <v>0</v>
      </c>
      <c r="FQ205">
        <f t="shared" ca="1" si="506"/>
        <v>0</v>
      </c>
      <c r="FR205">
        <f t="shared" ca="1" si="507"/>
        <v>0</v>
      </c>
      <c r="FS205">
        <f t="shared" ca="1" si="508"/>
        <v>0</v>
      </c>
      <c r="FT205">
        <f t="shared" ca="1" si="509"/>
        <v>0</v>
      </c>
      <c r="FU205">
        <f t="shared" ca="1" si="510"/>
        <v>0</v>
      </c>
      <c r="FV205">
        <f t="shared" ca="1" si="511"/>
        <v>0</v>
      </c>
      <c r="FW205">
        <f t="shared" ca="1" si="512"/>
        <v>137966</v>
      </c>
      <c r="FX205">
        <f t="shared" ca="1" si="513"/>
        <v>6898.3</v>
      </c>
      <c r="FY205">
        <f t="shared" ca="1" si="514"/>
        <v>6898</v>
      </c>
      <c r="FZ205">
        <f t="shared" ca="1" si="515"/>
        <v>0</v>
      </c>
      <c r="GA205">
        <f t="shared" ca="1" si="516"/>
        <v>0</v>
      </c>
      <c r="GB205">
        <f t="shared" ca="1" si="517"/>
        <v>6898</v>
      </c>
      <c r="GC205">
        <f t="shared" ca="1" si="518"/>
        <v>0</v>
      </c>
      <c r="GD205" t="b">
        <f t="shared" ca="1" si="519"/>
        <v>0</v>
      </c>
      <c r="GE205">
        <f t="shared" ca="1" si="520"/>
        <v>0</v>
      </c>
      <c r="GF205">
        <f t="shared" ca="1" si="521"/>
        <v>6898</v>
      </c>
      <c r="GG205">
        <f t="shared" ca="1" si="522"/>
        <v>0</v>
      </c>
      <c r="GH205">
        <f t="shared" ca="1" si="523"/>
        <v>0</v>
      </c>
      <c r="GI205">
        <f t="shared" ca="1" si="524"/>
        <v>0</v>
      </c>
    </row>
    <row r="206" spans="1:191" x14ac:dyDescent="0.25">
      <c r="A206">
        <f>_xlfn.AGGREGATE(3,5,$B$2:B206)</f>
        <v>205</v>
      </c>
      <c r="B206" t="s">
        <v>530</v>
      </c>
      <c r="C206" t="s">
        <v>531</v>
      </c>
      <c r="D206" t="s">
        <v>814</v>
      </c>
      <c r="E206" t="s">
        <v>843</v>
      </c>
      <c r="F206">
        <v>0</v>
      </c>
      <c r="G206">
        <v>6000</v>
      </c>
      <c r="H206">
        <v>30700</v>
      </c>
      <c r="I206">
        <f t="shared" si="427"/>
        <v>3070</v>
      </c>
      <c r="J206">
        <f t="shared" si="428"/>
        <v>3684</v>
      </c>
      <c r="K206">
        <v>0</v>
      </c>
      <c r="L206">
        <v>500</v>
      </c>
      <c r="M206">
        <f t="shared" si="429"/>
        <v>37954</v>
      </c>
      <c r="N206">
        <v>2000</v>
      </c>
      <c r="O206">
        <v>0</v>
      </c>
      <c r="P206">
        <f t="shared" si="430"/>
        <v>150</v>
      </c>
      <c r="Q206">
        <f t="shared" si="431"/>
        <v>35804</v>
      </c>
      <c r="R206">
        <v>30700</v>
      </c>
      <c r="S206">
        <f t="shared" si="432"/>
        <v>3070</v>
      </c>
      <c r="T206">
        <f t="shared" si="433"/>
        <v>3684</v>
      </c>
      <c r="U206">
        <v>0</v>
      </c>
      <c r="V206">
        <v>500</v>
      </c>
      <c r="W206">
        <f t="shared" si="434"/>
        <v>37954</v>
      </c>
      <c r="X206">
        <v>2000</v>
      </c>
      <c r="Y206">
        <v>0</v>
      </c>
      <c r="Z206">
        <f t="shared" si="435"/>
        <v>150</v>
      </c>
      <c r="AA206">
        <f t="shared" si="436"/>
        <v>35804</v>
      </c>
      <c r="AB206">
        <v>30700</v>
      </c>
      <c r="AC206">
        <f t="shared" si="437"/>
        <v>4298</v>
      </c>
      <c r="AD206">
        <f t="shared" si="438"/>
        <v>3684</v>
      </c>
      <c r="AE206">
        <v>0</v>
      </c>
      <c r="AF206">
        <v>500</v>
      </c>
      <c r="AG206">
        <f t="shared" si="439"/>
        <v>39182</v>
      </c>
      <c r="AH206">
        <v>2000</v>
      </c>
      <c r="AI206">
        <v>0</v>
      </c>
      <c r="AJ206">
        <f t="shared" si="440"/>
        <v>150</v>
      </c>
      <c r="AK206">
        <f t="shared" si="441"/>
        <v>37032</v>
      </c>
      <c r="AL206">
        <v>30700</v>
      </c>
      <c r="AM206">
        <f t="shared" si="442"/>
        <v>4298</v>
      </c>
      <c r="AN206">
        <f t="shared" si="443"/>
        <v>3684</v>
      </c>
      <c r="AO206">
        <v>0</v>
      </c>
      <c r="AP206">
        <v>500</v>
      </c>
      <c r="AQ206">
        <f t="shared" si="444"/>
        <v>39182</v>
      </c>
      <c r="AR206">
        <v>2000</v>
      </c>
      <c r="AS206">
        <v>0</v>
      </c>
      <c r="AT206">
        <f t="shared" si="445"/>
        <v>150</v>
      </c>
      <c r="AU206">
        <f t="shared" si="446"/>
        <v>37032</v>
      </c>
      <c r="AV206">
        <v>31600</v>
      </c>
      <c r="AW206">
        <f t="shared" si="447"/>
        <v>4424</v>
      </c>
      <c r="AX206">
        <f t="shared" si="448"/>
        <v>1228</v>
      </c>
      <c r="AY206">
        <f t="shared" si="449"/>
        <v>3792</v>
      </c>
      <c r="AZ206">
        <v>0</v>
      </c>
      <c r="BA206">
        <v>500</v>
      </c>
      <c r="BB206">
        <f t="shared" si="450"/>
        <v>41544</v>
      </c>
      <c r="BC206">
        <v>2000</v>
      </c>
      <c r="BD206">
        <v>0</v>
      </c>
      <c r="BE206">
        <f t="shared" si="451"/>
        <v>200</v>
      </c>
      <c r="BF206">
        <f t="shared" si="452"/>
        <v>39344</v>
      </c>
      <c r="BG206">
        <v>31600</v>
      </c>
      <c r="BH206">
        <f t="shared" si="453"/>
        <v>4424</v>
      </c>
      <c r="BI206">
        <f t="shared" si="454"/>
        <v>3792</v>
      </c>
      <c r="BJ206">
        <v>0</v>
      </c>
      <c r="BK206">
        <v>500</v>
      </c>
      <c r="BL206">
        <f t="shared" si="455"/>
        <v>40316</v>
      </c>
      <c r="BM206">
        <v>2000</v>
      </c>
      <c r="BN206">
        <v>0</v>
      </c>
      <c r="BO206">
        <f t="shared" si="456"/>
        <v>200</v>
      </c>
      <c r="BP206">
        <f t="shared" si="457"/>
        <v>38116</v>
      </c>
      <c r="BQ206">
        <v>31600</v>
      </c>
      <c r="BR206">
        <f t="shared" si="458"/>
        <v>4424</v>
      </c>
      <c r="BS206">
        <f t="shared" si="459"/>
        <v>3792</v>
      </c>
      <c r="BT206">
        <v>0</v>
      </c>
      <c r="BU206">
        <v>500</v>
      </c>
      <c r="BV206">
        <f t="shared" si="460"/>
        <v>40316</v>
      </c>
      <c r="BW206">
        <v>2000</v>
      </c>
      <c r="BX206">
        <v>0</v>
      </c>
      <c r="BY206">
        <f t="shared" si="461"/>
        <v>200</v>
      </c>
      <c r="BZ206">
        <f t="shared" si="462"/>
        <v>38116</v>
      </c>
      <c r="CA206">
        <v>31600</v>
      </c>
      <c r="CB206">
        <f t="shared" si="463"/>
        <v>4424</v>
      </c>
      <c r="CC206">
        <f t="shared" si="464"/>
        <v>3792</v>
      </c>
      <c r="CD206">
        <v>0</v>
      </c>
      <c r="CE206">
        <v>500</v>
      </c>
      <c r="CF206">
        <f t="shared" si="465"/>
        <v>40316</v>
      </c>
      <c r="CG206">
        <v>2000</v>
      </c>
      <c r="CH206">
        <v>0</v>
      </c>
      <c r="CI206">
        <f t="shared" si="466"/>
        <v>200</v>
      </c>
      <c r="CJ206">
        <f t="shared" si="467"/>
        <v>38116</v>
      </c>
      <c r="CK206">
        <v>31600</v>
      </c>
      <c r="CL206">
        <f t="shared" si="468"/>
        <v>4424</v>
      </c>
      <c r="CM206">
        <f t="shared" si="469"/>
        <v>3792</v>
      </c>
      <c r="CN206">
        <v>0</v>
      </c>
      <c r="CO206">
        <v>500</v>
      </c>
      <c r="CP206">
        <f t="shared" si="470"/>
        <v>40316</v>
      </c>
      <c r="CQ206">
        <v>2000</v>
      </c>
      <c r="CR206">
        <v>0</v>
      </c>
      <c r="CS206">
        <f t="shared" si="471"/>
        <v>200</v>
      </c>
      <c r="CT206">
        <f t="shared" si="472"/>
        <v>38116</v>
      </c>
      <c r="CU206">
        <v>31600</v>
      </c>
      <c r="CV206">
        <f t="shared" si="473"/>
        <v>4424</v>
      </c>
      <c r="CW206">
        <f t="shared" si="474"/>
        <v>3792</v>
      </c>
      <c r="CX206">
        <v>0</v>
      </c>
      <c r="CY206">
        <v>500</v>
      </c>
      <c r="CZ206">
        <f t="shared" si="475"/>
        <v>40316</v>
      </c>
      <c r="DA206">
        <v>2000</v>
      </c>
      <c r="DB206">
        <v>0</v>
      </c>
      <c r="DC206">
        <f t="shared" si="476"/>
        <v>200</v>
      </c>
      <c r="DD206">
        <f t="shared" si="477"/>
        <v>38116</v>
      </c>
      <c r="DE206">
        <v>31600</v>
      </c>
      <c r="DF206">
        <f t="shared" si="478"/>
        <v>4424</v>
      </c>
      <c r="DG206">
        <f t="shared" si="479"/>
        <v>3792</v>
      </c>
      <c r="DH206">
        <v>0</v>
      </c>
      <c r="DI206">
        <v>500</v>
      </c>
      <c r="DJ206">
        <f t="shared" si="480"/>
        <v>40316</v>
      </c>
      <c r="DK206">
        <v>2000</v>
      </c>
      <c r="DL206">
        <v>0</v>
      </c>
      <c r="DM206">
        <f t="shared" si="481"/>
        <v>200</v>
      </c>
      <c r="DN206">
        <f t="shared" si="482"/>
        <v>38116</v>
      </c>
      <c r="DO206">
        <v>31600</v>
      </c>
      <c r="DP206">
        <f t="shared" si="483"/>
        <v>4424</v>
      </c>
      <c r="DQ206">
        <f t="shared" si="484"/>
        <v>3792</v>
      </c>
      <c r="DR206">
        <v>0</v>
      </c>
      <c r="DS206">
        <v>500</v>
      </c>
      <c r="DT206">
        <f t="shared" si="485"/>
        <v>40316</v>
      </c>
      <c r="DU206">
        <v>2000</v>
      </c>
      <c r="DV206">
        <v>0</v>
      </c>
      <c r="DW206">
        <f t="shared" si="486"/>
        <v>200</v>
      </c>
      <c r="DX206">
        <f t="shared" si="487"/>
        <v>38116</v>
      </c>
      <c r="DY206">
        <f t="shared" si="488"/>
        <v>484028</v>
      </c>
      <c r="DZ206">
        <f t="shared" si="420"/>
        <v>2200</v>
      </c>
      <c r="EA206">
        <f t="shared" si="421"/>
        <v>50000</v>
      </c>
      <c r="EB206">
        <v>0</v>
      </c>
      <c r="EC206">
        <f t="shared" si="422"/>
        <v>431828</v>
      </c>
      <c r="ED206">
        <f t="shared" si="423"/>
        <v>24000</v>
      </c>
      <c r="EE206">
        <f t="shared" si="424"/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f t="shared" si="425"/>
        <v>24000</v>
      </c>
      <c r="EQ206">
        <f t="shared" si="489"/>
        <v>24000</v>
      </c>
      <c r="ER206">
        <f t="shared" si="426"/>
        <v>407828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f t="shared" si="490"/>
        <v>0</v>
      </c>
      <c r="FA206">
        <f t="shared" si="491"/>
        <v>407828</v>
      </c>
      <c r="FB206">
        <f t="shared" si="492"/>
        <v>7891</v>
      </c>
      <c r="FC206">
        <f t="shared" si="493"/>
        <v>0</v>
      </c>
      <c r="FD206">
        <f t="shared" si="494"/>
        <v>7891</v>
      </c>
      <c r="FE206">
        <f t="shared" si="495"/>
        <v>0</v>
      </c>
      <c r="FF206">
        <f t="shared" si="496"/>
        <v>0</v>
      </c>
      <c r="FG206">
        <f t="shared" si="497"/>
        <v>0</v>
      </c>
      <c r="FH206">
        <v>0</v>
      </c>
      <c r="FI206">
        <f t="shared" si="498"/>
        <v>0</v>
      </c>
      <c r="FJ206" t="b">
        <f t="shared" si="499"/>
        <v>0</v>
      </c>
      <c r="FK206">
        <f t="shared" ca="1" si="500"/>
        <v>1529</v>
      </c>
      <c r="FL206">
        <f t="shared" ca="1" si="501"/>
        <v>485557</v>
      </c>
      <c r="FM206">
        <f t="shared" si="502"/>
        <v>75000</v>
      </c>
      <c r="FN206">
        <f t="shared" ca="1" si="503"/>
        <v>410557</v>
      </c>
      <c r="FO206">
        <f t="shared" ca="1" si="504"/>
        <v>0</v>
      </c>
      <c r="FP206">
        <f t="shared" ca="1" si="505"/>
        <v>0</v>
      </c>
      <c r="FQ206">
        <f t="shared" ca="1" si="506"/>
        <v>0</v>
      </c>
      <c r="FR206">
        <f t="shared" ca="1" si="507"/>
        <v>0</v>
      </c>
      <c r="FS206">
        <f t="shared" ca="1" si="508"/>
        <v>0</v>
      </c>
      <c r="FT206">
        <f t="shared" ca="1" si="509"/>
        <v>0</v>
      </c>
      <c r="FU206">
        <f t="shared" ca="1" si="510"/>
        <v>0</v>
      </c>
      <c r="FV206">
        <f t="shared" ca="1" si="511"/>
        <v>0</v>
      </c>
      <c r="FW206">
        <f t="shared" ca="1" si="512"/>
        <v>110557</v>
      </c>
      <c r="FX206">
        <f t="shared" ca="1" si="513"/>
        <v>5527.85</v>
      </c>
      <c r="FY206">
        <f t="shared" ca="1" si="514"/>
        <v>5528</v>
      </c>
      <c r="FZ206">
        <f t="shared" ca="1" si="515"/>
        <v>0</v>
      </c>
      <c r="GA206">
        <f t="shared" ca="1" si="516"/>
        <v>0</v>
      </c>
      <c r="GB206">
        <f t="shared" ca="1" si="517"/>
        <v>5528</v>
      </c>
      <c r="GC206">
        <f t="shared" ca="1" si="518"/>
        <v>0</v>
      </c>
      <c r="GD206" t="b">
        <f t="shared" ca="1" si="519"/>
        <v>0</v>
      </c>
      <c r="GE206">
        <f t="shared" ca="1" si="520"/>
        <v>0</v>
      </c>
      <c r="GF206">
        <f t="shared" ca="1" si="521"/>
        <v>5528</v>
      </c>
      <c r="GG206">
        <f t="shared" ca="1" si="522"/>
        <v>0</v>
      </c>
      <c r="GH206">
        <f t="shared" ca="1" si="523"/>
        <v>0</v>
      </c>
      <c r="GI206">
        <f t="shared" ca="1" si="524"/>
        <v>0</v>
      </c>
    </row>
    <row r="207" spans="1:191" x14ac:dyDescent="0.25">
      <c r="A207">
        <f>_xlfn.AGGREGATE(3,5,$B$2:B207)</f>
        <v>206</v>
      </c>
      <c r="B207" t="s">
        <v>532</v>
      </c>
      <c r="C207" t="s">
        <v>533</v>
      </c>
      <c r="D207" t="s">
        <v>815</v>
      </c>
      <c r="E207" t="s">
        <v>845</v>
      </c>
      <c r="F207">
        <v>0</v>
      </c>
      <c r="G207">
        <v>0</v>
      </c>
      <c r="H207">
        <v>45900</v>
      </c>
      <c r="I207">
        <f t="shared" si="427"/>
        <v>4590</v>
      </c>
      <c r="J207">
        <f t="shared" si="428"/>
        <v>5508</v>
      </c>
      <c r="K207">
        <v>400</v>
      </c>
      <c r="L207">
        <v>500</v>
      </c>
      <c r="M207">
        <f t="shared" si="429"/>
        <v>56898</v>
      </c>
      <c r="N207">
        <v>3000</v>
      </c>
      <c r="O207">
        <v>0</v>
      </c>
      <c r="P207">
        <f t="shared" si="430"/>
        <v>200</v>
      </c>
      <c r="Q207">
        <f t="shared" si="431"/>
        <v>53698</v>
      </c>
      <c r="R207">
        <v>45900</v>
      </c>
      <c r="S207">
        <f t="shared" si="432"/>
        <v>4590</v>
      </c>
      <c r="T207">
        <f t="shared" si="433"/>
        <v>5508</v>
      </c>
      <c r="U207">
        <v>400</v>
      </c>
      <c r="V207">
        <v>500</v>
      </c>
      <c r="W207">
        <f t="shared" si="434"/>
        <v>56898</v>
      </c>
      <c r="X207">
        <v>3000</v>
      </c>
      <c r="Y207">
        <v>0</v>
      </c>
      <c r="Z207">
        <f t="shared" si="435"/>
        <v>200</v>
      </c>
      <c r="AA207">
        <f t="shared" si="436"/>
        <v>53698</v>
      </c>
      <c r="AB207">
        <v>45900</v>
      </c>
      <c r="AC207">
        <f t="shared" si="437"/>
        <v>6426.0000000000009</v>
      </c>
      <c r="AD207">
        <f t="shared" si="438"/>
        <v>5508</v>
      </c>
      <c r="AE207">
        <v>400</v>
      </c>
      <c r="AF207">
        <v>500</v>
      </c>
      <c r="AG207">
        <f t="shared" si="439"/>
        <v>58734</v>
      </c>
      <c r="AH207">
        <v>3000</v>
      </c>
      <c r="AI207">
        <v>0</v>
      </c>
      <c r="AJ207">
        <f t="shared" si="440"/>
        <v>200</v>
      </c>
      <c r="AK207">
        <f t="shared" si="441"/>
        <v>55534</v>
      </c>
      <c r="AL207">
        <v>45900</v>
      </c>
      <c r="AM207">
        <f t="shared" si="442"/>
        <v>6426.0000000000009</v>
      </c>
      <c r="AN207">
        <f t="shared" si="443"/>
        <v>5508</v>
      </c>
      <c r="AO207">
        <v>400</v>
      </c>
      <c r="AP207">
        <v>500</v>
      </c>
      <c r="AQ207">
        <f t="shared" si="444"/>
        <v>58734</v>
      </c>
      <c r="AR207">
        <v>3000</v>
      </c>
      <c r="AS207">
        <v>0</v>
      </c>
      <c r="AT207">
        <f t="shared" si="445"/>
        <v>200</v>
      </c>
      <c r="AU207">
        <f t="shared" si="446"/>
        <v>55534</v>
      </c>
      <c r="AV207">
        <v>47300</v>
      </c>
      <c r="AW207">
        <f t="shared" si="447"/>
        <v>6622.0000000000009</v>
      </c>
      <c r="AX207">
        <f t="shared" si="448"/>
        <v>1836</v>
      </c>
      <c r="AY207">
        <f t="shared" si="449"/>
        <v>5676</v>
      </c>
      <c r="AZ207">
        <v>400</v>
      </c>
      <c r="BA207">
        <v>500</v>
      </c>
      <c r="BB207">
        <f t="shared" si="450"/>
        <v>62334</v>
      </c>
      <c r="BC207">
        <v>3000</v>
      </c>
      <c r="BD207">
        <v>0</v>
      </c>
      <c r="BE207">
        <f t="shared" si="451"/>
        <v>200</v>
      </c>
      <c r="BF207">
        <f t="shared" si="452"/>
        <v>59134</v>
      </c>
      <c r="BG207">
        <v>47300</v>
      </c>
      <c r="BH207">
        <f t="shared" si="453"/>
        <v>6622.0000000000009</v>
      </c>
      <c r="BI207">
        <f t="shared" si="454"/>
        <v>5676</v>
      </c>
      <c r="BJ207">
        <v>400</v>
      </c>
      <c r="BK207">
        <v>500</v>
      </c>
      <c r="BL207">
        <f t="shared" si="455"/>
        <v>60498</v>
      </c>
      <c r="BM207">
        <v>3000</v>
      </c>
      <c r="BN207">
        <v>0</v>
      </c>
      <c r="BO207">
        <f t="shared" si="456"/>
        <v>200</v>
      </c>
      <c r="BP207">
        <f t="shared" si="457"/>
        <v>57298</v>
      </c>
      <c r="BQ207">
        <v>47300</v>
      </c>
      <c r="BR207">
        <f t="shared" si="458"/>
        <v>6622.0000000000009</v>
      </c>
      <c r="BS207">
        <f t="shared" si="459"/>
        <v>5676</v>
      </c>
      <c r="BT207">
        <v>400</v>
      </c>
      <c r="BU207">
        <v>500</v>
      </c>
      <c r="BV207">
        <f t="shared" si="460"/>
        <v>60498</v>
      </c>
      <c r="BW207">
        <v>3000</v>
      </c>
      <c r="BX207">
        <v>0</v>
      </c>
      <c r="BY207">
        <f t="shared" si="461"/>
        <v>200</v>
      </c>
      <c r="BZ207">
        <f t="shared" si="462"/>
        <v>57298</v>
      </c>
      <c r="CA207">
        <v>47300</v>
      </c>
      <c r="CB207">
        <f t="shared" si="463"/>
        <v>6622.0000000000009</v>
      </c>
      <c r="CC207">
        <f t="shared" si="464"/>
        <v>5676</v>
      </c>
      <c r="CD207">
        <v>400</v>
      </c>
      <c r="CE207">
        <v>500</v>
      </c>
      <c r="CF207">
        <f t="shared" si="465"/>
        <v>60498</v>
      </c>
      <c r="CG207">
        <v>3000</v>
      </c>
      <c r="CH207">
        <v>0</v>
      </c>
      <c r="CI207">
        <f t="shared" si="466"/>
        <v>200</v>
      </c>
      <c r="CJ207">
        <f t="shared" si="467"/>
        <v>57298</v>
      </c>
      <c r="CK207">
        <v>47300</v>
      </c>
      <c r="CL207">
        <f t="shared" si="468"/>
        <v>6622.0000000000009</v>
      </c>
      <c r="CM207">
        <f t="shared" si="469"/>
        <v>5676</v>
      </c>
      <c r="CN207">
        <v>400</v>
      </c>
      <c r="CO207">
        <v>500</v>
      </c>
      <c r="CP207">
        <f t="shared" si="470"/>
        <v>60498</v>
      </c>
      <c r="CQ207">
        <v>3000</v>
      </c>
      <c r="CR207">
        <v>0</v>
      </c>
      <c r="CS207">
        <f t="shared" si="471"/>
        <v>200</v>
      </c>
      <c r="CT207">
        <f t="shared" si="472"/>
        <v>57298</v>
      </c>
      <c r="CU207">
        <v>47300</v>
      </c>
      <c r="CV207">
        <f t="shared" si="473"/>
        <v>6622</v>
      </c>
      <c r="CW207">
        <f t="shared" si="474"/>
        <v>5676</v>
      </c>
      <c r="CX207">
        <v>400</v>
      </c>
      <c r="CY207">
        <v>500</v>
      </c>
      <c r="CZ207">
        <f t="shared" si="475"/>
        <v>60498</v>
      </c>
      <c r="DA207">
        <v>3000</v>
      </c>
      <c r="DB207">
        <v>0</v>
      </c>
      <c r="DC207">
        <f t="shared" si="476"/>
        <v>200</v>
      </c>
      <c r="DD207">
        <f t="shared" si="477"/>
        <v>57298</v>
      </c>
      <c r="DE207">
        <v>47300</v>
      </c>
      <c r="DF207">
        <f t="shared" si="478"/>
        <v>6622.0000000000009</v>
      </c>
      <c r="DG207">
        <f t="shared" si="479"/>
        <v>5676</v>
      </c>
      <c r="DH207">
        <v>400</v>
      </c>
      <c r="DI207">
        <v>500</v>
      </c>
      <c r="DJ207">
        <f t="shared" si="480"/>
        <v>60498</v>
      </c>
      <c r="DK207">
        <v>3000</v>
      </c>
      <c r="DL207">
        <v>0</v>
      </c>
      <c r="DM207">
        <f t="shared" si="481"/>
        <v>200</v>
      </c>
      <c r="DN207">
        <f t="shared" si="482"/>
        <v>57298</v>
      </c>
      <c r="DO207">
        <v>47300</v>
      </c>
      <c r="DP207">
        <f t="shared" si="483"/>
        <v>6622.0000000000009</v>
      </c>
      <c r="DQ207">
        <f t="shared" si="484"/>
        <v>5676</v>
      </c>
      <c r="DR207">
        <v>400</v>
      </c>
      <c r="DS207">
        <v>500</v>
      </c>
      <c r="DT207">
        <f t="shared" si="485"/>
        <v>60498</v>
      </c>
      <c r="DU207">
        <v>3000</v>
      </c>
      <c r="DV207">
        <v>0</v>
      </c>
      <c r="DW207">
        <f t="shared" si="486"/>
        <v>200</v>
      </c>
      <c r="DX207">
        <f t="shared" si="487"/>
        <v>57298</v>
      </c>
      <c r="DY207">
        <f t="shared" si="488"/>
        <v>717084</v>
      </c>
      <c r="DZ207">
        <f t="shared" si="420"/>
        <v>2400</v>
      </c>
      <c r="EA207">
        <f t="shared" si="421"/>
        <v>50000</v>
      </c>
      <c r="EB207">
        <v>0</v>
      </c>
      <c r="EC207">
        <f t="shared" si="422"/>
        <v>664684</v>
      </c>
      <c r="ED207">
        <f t="shared" si="423"/>
        <v>36000</v>
      </c>
      <c r="EE207">
        <f t="shared" si="424"/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f t="shared" si="425"/>
        <v>36000</v>
      </c>
      <c r="EQ207">
        <f t="shared" si="489"/>
        <v>36000</v>
      </c>
      <c r="ER207">
        <f t="shared" si="426"/>
        <v>628684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f t="shared" si="490"/>
        <v>0</v>
      </c>
      <c r="FA207">
        <f t="shared" si="491"/>
        <v>628684</v>
      </c>
      <c r="FB207">
        <f t="shared" si="492"/>
        <v>12500</v>
      </c>
      <c r="FC207">
        <f t="shared" si="493"/>
        <v>25737</v>
      </c>
      <c r="FD207">
        <f t="shared" si="494"/>
        <v>38237</v>
      </c>
      <c r="FE207">
        <f t="shared" si="495"/>
        <v>38237</v>
      </c>
      <c r="FF207">
        <f t="shared" si="496"/>
        <v>1529.48</v>
      </c>
      <c r="FG207">
        <f t="shared" si="497"/>
        <v>39766</v>
      </c>
      <c r="FH207">
        <v>0</v>
      </c>
      <c r="FI207">
        <f t="shared" si="498"/>
        <v>39766</v>
      </c>
      <c r="FJ207" t="b">
        <f t="shared" si="499"/>
        <v>1</v>
      </c>
      <c r="FK207">
        <f t="shared" ca="1" si="500"/>
        <v>690</v>
      </c>
      <c r="FL207">
        <f t="shared" ca="1" si="501"/>
        <v>717774</v>
      </c>
      <c r="FM207">
        <f t="shared" si="502"/>
        <v>75000</v>
      </c>
      <c r="FN207">
        <f t="shared" ca="1" si="503"/>
        <v>642774</v>
      </c>
      <c r="FO207">
        <f t="shared" ca="1" si="504"/>
        <v>0</v>
      </c>
      <c r="FP207">
        <f t="shared" ca="1" si="505"/>
        <v>0</v>
      </c>
      <c r="FQ207">
        <f t="shared" ca="1" si="506"/>
        <v>0</v>
      </c>
      <c r="FR207">
        <f t="shared" ca="1" si="507"/>
        <v>0</v>
      </c>
      <c r="FS207">
        <f t="shared" ca="1" si="508"/>
        <v>0</v>
      </c>
      <c r="FT207">
        <f t="shared" ca="1" si="509"/>
        <v>0</v>
      </c>
      <c r="FU207">
        <f t="shared" ca="1" si="510"/>
        <v>0</v>
      </c>
      <c r="FV207">
        <f t="shared" ca="1" si="511"/>
        <v>0</v>
      </c>
      <c r="FW207">
        <f t="shared" ca="1" si="512"/>
        <v>342774</v>
      </c>
      <c r="FX207">
        <f t="shared" ca="1" si="513"/>
        <v>17138.7</v>
      </c>
      <c r="FY207">
        <f t="shared" ca="1" si="514"/>
        <v>17139</v>
      </c>
      <c r="FZ207">
        <f t="shared" ca="1" si="515"/>
        <v>0</v>
      </c>
      <c r="GA207">
        <f t="shared" ca="1" si="516"/>
        <v>0</v>
      </c>
      <c r="GB207">
        <f t="shared" ca="1" si="517"/>
        <v>17139</v>
      </c>
      <c r="GC207">
        <f t="shared" ca="1" si="518"/>
        <v>0</v>
      </c>
      <c r="GD207" t="b">
        <f t="shared" ca="1" si="519"/>
        <v>0</v>
      </c>
      <c r="GE207">
        <f t="shared" ca="1" si="520"/>
        <v>0</v>
      </c>
      <c r="GF207">
        <f t="shared" ca="1" si="521"/>
        <v>17139</v>
      </c>
      <c r="GG207">
        <f t="shared" ca="1" si="522"/>
        <v>0</v>
      </c>
      <c r="GH207">
        <f t="shared" ca="1" si="523"/>
        <v>0</v>
      </c>
      <c r="GI207">
        <f t="shared" ca="1" si="524"/>
        <v>0</v>
      </c>
    </row>
    <row r="208" spans="1:191" x14ac:dyDescent="0.25">
      <c r="A208">
        <f>_xlfn.AGGREGATE(3,5,$B$2:B208)</f>
        <v>207</v>
      </c>
      <c r="B208" t="s">
        <v>534</v>
      </c>
      <c r="C208" t="s">
        <v>535</v>
      </c>
      <c r="D208" t="s">
        <v>815</v>
      </c>
      <c r="E208" t="s">
        <v>843</v>
      </c>
      <c r="F208">
        <v>0</v>
      </c>
      <c r="G208">
        <v>0</v>
      </c>
      <c r="H208">
        <v>45900</v>
      </c>
      <c r="I208">
        <f t="shared" si="427"/>
        <v>4590</v>
      </c>
      <c r="J208">
        <f t="shared" si="428"/>
        <v>5508</v>
      </c>
      <c r="K208">
        <v>0</v>
      </c>
      <c r="L208">
        <v>500</v>
      </c>
      <c r="M208">
        <f t="shared" si="429"/>
        <v>56498</v>
      </c>
      <c r="N208">
        <v>3000</v>
      </c>
      <c r="O208">
        <v>0</v>
      </c>
      <c r="P208">
        <f t="shared" si="430"/>
        <v>200</v>
      </c>
      <c r="Q208">
        <f t="shared" si="431"/>
        <v>53298</v>
      </c>
      <c r="R208">
        <v>45900</v>
      </c>
      <c r="S208">
        <f t="shared" si="432"/>
        <v>4590</v>
      </c>
      <c r="T208">
        <f t="shared" si="433"/>
        <v>5508</v>
      </c>
      <c r="U208">
        <v>0</v>
      </c>
      <c r="V208">
        <v>500</v>
      </c>
      <c r="W208">
        <f t="shared" si="434"/>
        <v>56498</v>
      </c>
      <c r="X208">
        <v>3000</v>
      </c>
      <c r="Y208">
        <v>0</v>
      </c>
      <c r="Z208">
        <f t="shared" si="435"/>
        <v>200</v>
      </c>
      <c r="AA208">
        <f t="shared" si="436"/>
        <v>53298</v>
      </c>
      <c r="AB208">
        <v>45900</v>
      </c>
      <c r="AC208">
        <f t="shared" si="437"/>
        <v>6426.0000000000009</v>
      </c>
      <c r="AD208">
        <f t="shared" si="438"/>
        <v>5508</v>
      </c>
      <c r="AE208">
        <v>0</v>
      </c>
      <c r="AF208">
        <v>500</v>
      </c>
      <c r="AG208">
        <f t="shared" si="439"/>
        <v>58334</v>
      </c>
      <c r="AH208">
        <v>3000</v>
      </c>
      <c r="AI208">
        <v>0</v>
      </c>
      <c r="AJ208">
        <f t="shared" si="440"/>
        <v>200</v>
      </c>
      <c r="AK208">
        <f t="shared" si="441"/>
        <v>55134</v>
      </c>
      <c r="AL208">
        <v>45900</v>
      </c>
      <c r="AM208">
        <f t="shared" si="442"/>
        <v>6426.0000000000009</v>
      </c>
      <c r="AN208">
        <f t="shared" si="443"/>
        <v>5508</v>
      </c>
      <c r="AO208">
        <v>0</v>
      </c>
      <c r="AP208">
        <v>500</v>
      </c>
      <c r="AQ208">
        <f t="shared" si="444"/>
        <v>58334</v>
      </c>
      <c r="AR208">
        <v>3000</v>
      </c>
      <c r="AS208">
        <v>0</v>
      </c>
      <c r="AT208">
        <f t="shared" si="445"/>
        <v>200</v>
      </c>
      <c r="AU208">
        <f t="shared" si="446"/>
        <v>55134</v>
      </c>
      <c r="AV208">
        <v>47300</v>
      </c>
      <c r="AW208">
        <f t="shared" si="447"/>
        <v>6622.0000000000009</v>
      </c>
      <c r="AX208">
        <f t="shared" si="448"/>
        <v>1836</v>
      </c>
      <c r="AY208">
        <f t="shared" si="449"/>
        <v>5676</v>
      </c>
      <c r="AZ208">
        <v>0</v>
      </c>
      <c r="BA208">
        <v>500</v>
      </c>
      <c r="BB208">
        <f t="shared" si="450"/>
        <v>61934</v>
      </c>
      <c r="BC208">
        <v>3000</v>
      </c>
      <c r="BD208">
        <v>0</v>
      </c>
      <c r="BE208">
        <f t="shared" si="451"/>
        <v>200</v>
      </c>
      <c r="BF208">
        <f t="shared" si="452"/>
        <v>58734</v>
      </c>
      <c r="BG208">
        <v>47300</v>
      </c>
      <c r="BH208">
        <f t="shared" si="453"/>
        <v>6622.0000000000009</v>
      </c>
      <c r="BI208">
        <f t="shared" si="454"/>
        <v>5676</v>
      </c>
      <c r="BJ208">
        <v>0</v>
      </c>
      <c r="BK208">
        <v>500</v>
      </c>
      <c r="BL208">
        <f t="shared" si="455"/>
        <v>60098</v>
      </c>
      <c r="BM208">
        <v>3000</v>
      </c>
      <c r="BN208">
        <v>0</v>
      </c>
      <c r="BO208">
        <f t="shared" si="456"/>
        <v>200</v>
      </c>
      <c r="BP208">
        <f t="shared" si="457"/>
        <v>56898</v>
      </c>
      <c r="BQ208">
        <v>47300</v>
      </c>
      <c r="BR208">
        <f t="shared" si="458"/>
        <v>6622.0000000000009</v>
      </c>
      <c r="BS208">
        <f t="shared" si="459"/>
        <v>5676</v>
      </c>
      <c r="BT208">
        <v>0</v>
      </c>
      <c r="BU208">
        <v>500</v>
      </c>
      <c r="BV208">
        <f t="shared" si="460"/>
        <v>60098</v>
      </c>
      <c r="BW208">
        <v>3000</v>
      </c>
      <c r="BX208">
        <v>0</v>
      </c>
      <c r="BY208">
        <f t="shared" si="461"/>
        <v>200</v>
      </c>
      <c r="BZ208">
        <f t="shared" si="462"/>
        <v>56898</v>
      </c>
      <c r="CA208">
        <v>47300</v>
      </c>
      <c r="CB208">
        <f t="shared" si="463"/>
        <v>6622.0000000000009</v>
      </c>
      <c r="CC208">
        <f t="shared" si="464"/>
        <v>5676</v>
      </c>
      <c r="CD208">
        <v>0</v>
      </c>
      <c r="CE208">
        <v>500</v>
      </c>
      <c r="CF208">
        <f t="shared" si="465"/>
        <v>60098</v>
      </c>
      <c r="CG208">
        <v>3000</v>
      </c>
      <c r="CH208">
        <v>0</v>
      </c>
      <c r="CI208">
        <f t="shared" si="466"/>
        <v>200</v>
      </c>
      <c r="CJ208">
        <f t="shared" si="467"/>
        <v>56898</v>
      </c>
      <c r="CK208">
        <v>47300</v>
      </c>
      <c r="CL208">
        <f t="shared" si="468"/>
        <v>6622.0000000000009</v>
      </c>
      <c r="CM208">
        <f t="shared" si="469"/>
        <v>5676</v>
      </c>
      <c r="CN208">
        <v>0</v>
      </c>
      <c r="CO208">
        <v>500</v>
      </c>
      <c r="CP208">
        <f t="shared" si="470"/>
        <v>60098</v>
      </c>
      <c r="CQ208">
        <v>3000</v>
      </c>
      <c r="CR208">
        <v>0</v>
      </c>
      <c r="CS208">
        <f t="shared" si="471"/>
        <v>200</v>
      </c>
      <c r="CT208">
        <f t="shared" si="472"/>
        <v>56898</v>
      </c>
      <c r="CU208">
        <v>47300</v>
      </c>
      <c r="CV208">
        <f t="shared" si="473"/>
        <v>6622</v>
      </c>
      <c r="CW208">
        <f t="shared" si="474"/>
        <v>5676</v>
      </c>
      <c r="CX208">
        <v>0</v>
      </c>
      <c r="CY208">
        <v>500</v>
      </c>
      <c r="CZ208">
        <f t="shared" si="475"/>
        <v>60098</v>
      </c>
      <c r="DA208">
        <v>3000</v>
      </c>
      <c r="DB208">
        <v>0</v>
      </c>
      <c r="DC208">
        <f t="shared" si="476"/>
        <v>200</v>
      </c>
      <c r="DD208">
        <f t="shared" si="477"/>
        <v>56898</v>
      </c>
      <c r="DE208">
        <v>47300</v>
      </c>
      <c r="DF208">
        <f t="shared" si="478"/>
        <v>6622.0000000000009</v>
      </c>
      <c r="DG208">
        <f t="shared" si="479"/>
        <v>5676</v>
      </c>
      <c r="DH208">
        <v>0</v>
      </c>
      <c r="DI208">
        <v>500</v>
      </c>
      <c r="DJ208">
        <f t="shared" si="480"/>
        <v>60098</v>
      </c>
      <c r="DK208">
        <v>3000</v>
      </c>
      <c r="DL208">
        <v>0</v>
      </c>
      <c r="DM208">
        <f t="shared" si="481"/>
        <v>200</v>
      </c>
      <c r="DN208">
        <f t="shared" si="482"/>
        <v>56898</v>
      </c>
      <c r="DO208">
        <v>47300</v>
      </c>
      <c r="DP208">
        <f t="shared" si="483"/>
        <v>6622.0000000000009</v>
      </c>
      <c r="DQ208">
        <f t="shared" si="484"/>
        <v>5676</v>
      </c>
      <c r="DR208">
        <v>0</v>
      </c>
      <c r="DS208">
        <v>500</v>
      </c>
      <c r="DT208">
        <f t="shared" si="485"/>
        <v>60098</v>
      </c>
      <c r="DU208">
        <v>3000</v>
      </c>
      <c r="DV208">
        <v>0</v>
      </c>
      <c r="DW208">
        <f t="shared" si="486"/>
        <v>200</v>
      </c>
      <c r="DX208">
        <f t="shared" si="487"/>
        <v>56898</v>
      </c>
      <c r="DY208">
        <f t="shared" si="488"/>
        <v>712284</v>
      </c>
      <c r="DZ208">
        <f t="shared" si="420"/>
        <v>2400</v>
      </c>
      <c r="EA208">
        <f t="shared" si="421"/>
        <v>50000</v>
      </c>
      <c r="EB208">
        <v>0</v>
      </c>
      <c r="EC208">
        <f t="shared" si="422"/>
        <v>659884</v>
      </c>
      <c r="ED208">
        <f t="shared" si="423"/>
        <v>36000</v>
      </c>
      <c r="EE208">
        <f t="shared" si="424"/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f t="shared" si="425"/>
        <v>36000</v>
      </c>
      <c r="EQ208">
        <f t="shared" si="489"/>
        <v>36000</v>
      </c>
      <c r="ER208">
        <f t="shared" si="426"/>
        <v>623884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f t="shared" si="490"/>
        <v>0</v>
      </c>
      <c r="FA208">
        <f t="shared" si="491"/>
        <v>623884</v>
      </c>
      <c r="FB208">
        <f t="shared" si="492"/>
        <v>12500</v>
      </c>
      <c r="FC208">
        <f t="shared" si="493"/>
        <v>24777</v>
      </c>
      <c r="FD208">
        <f t="shared" si="494"/>
        <v>37277</v>
      </c>
      <c r="FE208">
        <f t="shared" si="495"/>
        <v>37277</v>
      </c>
      <c r="FF208">
        <f t="shared" si="496"/>
        <v>1491.08</v>
      </c>
      <c r="FG208">
        <f t="shared" si="497"/>
        <v>38768</v>
      </c>
      <c r="FH208">
        <v>0</v>
      </c>
      <c r="FI208">
        <f t="shared" si="498"/>
        <v>38768</v>
      </c>
      <c r="FJ208" t="b">
        <f t="shared" si="499"/>
        <v>1</v>
      </c>
      <c r="FK208">
        <f t="shared" ca="1" si="500"/>
        <v>585</v>
      </c>
      <c r="FL208">
        <f t="shared" ca="1" si="501"/>
        <v>712869</v>
      </c>
      <c r="FM208">
        <f t="shared" si="502"/>
        <v>75000</v>
      </c>
      <c r="FN208">
        <f t="shared" ca="1" si="503"/>
        <v>637869</v>
      </c>
      <c r="FO208">
        <f t="shared" ca="1" si="504"/>
        <v>0</v>
      </c>
      <c r="FP208">
        <f t="shared" ca="1" si="505"/>
        <v>0</v>
      </c>
      <c r="FQ208">
        <f t="shared" ca="1" si="506"/>
        <v>0</v>
      </c>
      <c r="FR208">
        <f t="shared" ca="1" si="507"/>
        <v>0</v>
      </c>
      <c r="FS208">
        <f t="shared" ca="1" si="508"/>
        <v>0</v>
      </c>
      <c r="FT208">
        <f t="shared" ca="1" si="509"/>
        <v>0</v>
      </c>
      <c r="FU208">
        <f t="shared" ca="1" si="510"/>
        <v>0</v>
      </c>
      <c r="FV208">
        <f t="shared" ca="1" si="511"/>
        <v>0</v>
      </c>
      <c r="FW208">
        <f t="shared" ca="1" si="512"/>
        <v>337869</v>
      </c>
      <c r="FX208">
        <f t="shared" ca="1" si="513"/>
        <v>16893.45</v>
      </c>
      <c r="FY208">
        <f t="shared" ca="1" si="514"/>
        <v>16893</v>
      </c>
      <c r="FZ208">
        <f t="shared" ca="1" si="515"/>
        <v>0</v>
      </c>
      <c r="GA208">
        <f t="shared" ca="1" si="516"/>
        <v>0</v>
      </c>
      <c r="GB208">
        <f t="shared" ca="1" si="517"/>
        <v>16893</v>
      </c>
      <c r="GC208">
        <f t="shared" ca="1" si="518"/>
        <v>0</v>
      </c>
      <c r="GD208" t="b">
        <f t="shared" ca="1" si="519"/>
        <v>0</v>
      </c>
      <c r="GE208">
        <f t="shared" ca="1" si="520"/>
        <v>0</v>
      </c>
      <c r="GF208">
        <f t="shared" ca="1" si="521"/>
        <v>16893</v>
      </c>
      <c r="GG208">
        <f t="shared" ca="1" si="522"/>
        <v>0</v>
      </c>
      <c r="GH208">
        <f t="shared" ca="1" si="523"/>
        <v>0</v>
      </c>
      <c r="GI208">
        <f t="shared" ca="1" si="524"/>
        <v>0</v>
      </c>
    </row>
    <row r="209" spans="1:191" x14ac:dyDescent="0.25">
      <c r="A209">
        <f>_xlfn.AGGREGATE(3,5,$B$2:B209)</f>
        <v>208</v>
      </c>
      <c r="B209" t="s">
        <v>536</v>
      </c>
      <c r="C209" t="s">
        <v>537</v>
      </c>
      <c r="D209" t="s">
        <v>815</v>
      </c>
      <c r="E209" t="s">
        <v>843</v>
      </c>
      <c r="F209">
        <v>0</v>
      </c>
      <c r="G209">
        <v>6000</v>
      </c>
      <c r="H209">
        <v>30700</v>
      </c>
      <c r="I209">
        <f t="shared" si="427"/>
        <v>3070</v>
      </c>
      <c r="J209">
        <f t="shared" si="428"/>
        <v>3684</v>
      </c>
      <c r="K209">
        <v>0</v>
      </c>
      <c r="L209">
        <v>500</v>
      </c>
      <c r="M209">
        <f t="shared" si="429"/>
        <v>37954</v>
      </c>
      <c r="N209">
        <v>2000</v>
      </c>
      <c r="O209">
        <v>0</v>
      </c>
      <c r="P209">
        <f t="shared" si="430"/>
        <v>150</v>
      </c>
      <c r="Q209">
        <f t="shared" si="431"/>
        <v>35804</v>
      </c>
      <c r="R209">
        <v>30700</v>
      </c>
      <c r="S209">
        <f t="shared" si="432"/>
        <v>3070</v>
      </c>
      <c r="T209">
        <f t="shared" si="433"/>
        <v>3684</v>
      </c>
      <c r="U209">
        <v>0</v>
      </c>
      <c r="V209">
        <v>500</v>
      </c>
      <c r="W209">
        <f t="shared" si="434"/>
        <v>37954</v>
      </c>
      <c r="X209">
        <v>2000</v>
      </c>
      <c r="Y209">
        <v>0</v>
      </c>
      <c r="Z209">
        <f t="shared" si="435"/>
        <v>150</v>
      </c>
      <c r="AA209">
        <f t="shared" si="436"/>
        <v>35804</v>
      </c>
      <c r="AB209">
        <v>30700</v>
      </c>
      <c r="AC209">
        <f t="shared" si="437"/>
        <v>4298</v>
      </c>
      <c r="AD209">
        <f t="shared" si="438"/>
        <v>3684</v>
      </c>
      <c r="AE209">
        <v>0</v>
      </c>
      <c r="AF209">
        <v>500</v>
      </c>
      <c r="AG209">
        <f t="shared" si="439"/>
        <v>39182</v>
      </c>
      <c r="AH209">
        <v>2000</v>
      </c>
      <c r="AI209">
        <v>0</v>
      </c>
      <c r="AJ209">
        <f t="shared" si="440"/>
        <v>150</v>
      </c>
      <c r="AK209">
        <f t="shared" si="441"/>
        <v>37032</v>
      </c>
      <c r="AL209">
        <v>30700</v>
      </c>
      <c r="AM209">
        <f t="shared" si="442"/>
        <v>4298</v>
      </c>
      <c r="AN209">
        <f t="shared" si="443"/>
        <v>3684</v>
      </c>
      <c r="AO209">
        <v>0</v>
      </c>
      <c r="AP209">
        <v>500</v>
      </c>
      <c r="AQ209">
        <f t="shared" si="444"/>
        <v>39182</v>
      </c>
      <c r="AR209">
        <v>2000</v>
      </c>
      <c r="AS209">
        <v>0</v>
      </c>
      <c r="AT209">
        <f t="shared" si="445"/>
        <v>150</v>
      </c>
      <c r="AU209">
        <f t="shared" si="446"/>
        <v>37032</v>
      </c>
      <c r="AV209">
        <v>31600</v>
      </c>
      <c r="AW209">
        <f t="shared" si="447"/>
        <v>4424</v>
      </c>
      <c r="AX209">
        <f t="shared" si="448"/>
        <v>1228</v>
      </c>
      <c r="AY209">
        <f t="shared" si="449"/>
        <v>3792</v>
      </c>
      <c r="AZ209">
        <v>0</v>
      </c>
      <c r="BA209">
        <v>500</v>
      </c>
      <c r="BB209">
        <f t="shared" si="450"/>
        <v>41544</v>
      </c>
      <c r="BC209">
        <v>2000</v>
      </c>
      <c r="BD209">
        <v>0</v>
      </c>
      <c r="BE209">
        <f t="shared" si="451"/>
        <v>200</v>
      </c>
      <c r="BF209">
        <f t="shared" si="452"/>
        <v>39344</v>
      </c>
      <c r="BG209">
        <v>31600</v>
      </c>
      <c r="BH209">
        <f t="shared" si="453"/>
        <v>4424</v>
      </c>
      <c r="BI209">
        <f t="shared" si="454"/>
        <v>3792</v>
      </c>
      <c r="BJ209">
        <v>0</v>
      </c>
      <c r="BK209">
        <v>500</v>
      </c>
      <c r="BL209">
        <f t="shared" si="455"/>
        <v>40316</v>
      </c>
      <c r="BM209">
        <v>2000</v>
      </c>
      <c r="BN209">
        <v>0</v>
      </c>
      <c r="BO209">
        <f t="shared" si="456"/>
        <v>200</v>
      </c>
      <c r="BP209">
        <f t="shared" si="457"/>
        <v>38116</v>
      </c>
      <c r="BQ209">
        <v>31600</v>
      </c>
      <c r="BR209">
        <f t="shared" si="458"/>
        <v>4424</v>
      </c>
      <c r="BS209">
        <f t="shared" si="459"/>
        <v>3792</v>
      </c>
      <c r="BT209">
        <v>0</v>
      </c>
      <c r="BU209">
        <v>500</v>
      </c>
      <c r="BV209">
        <f t="shared" si="460"/>
        <v>40316</v>
      </c>
      <c r="BW209">
        <v>2000</v>
      </c>
      <c r="BX209">
        <v>0</v>
      </c>
      <c r="BY209">
        <f t="shared" si="461"/>
        <v>200</v>
      </c>
      <c r="BZ209">
        <f t="shared" si="462"/>
        <v>38116</v>
      </c>
      <c r="CA209">
        <v>31600</v>
      </c>
      <c r="CB209">
        <f t="shared" si="463"/>
        <v>4424</v>
      </c>
      <c r="CC209">
        <f t="shared" si="464"/>
        <v>3792</v>
      </c>
      <c r="CD209">
        <v>0</v>
      </c>
      <c r="CE209">
        <v>500</v>
      </c>
      <c r="CF209">
        <f t="shared" si="465"/>
        <v>40316</v>
      </c>
      <c r="CG209">
        <v>2000</v>
      </c>
      <c r="CH209">
        <v>0</v>
      </c>
      <c r="CI209">
        <f t="shared" si="466"/>
        <v>200</v>
      </c>
      <c r="CJ209">
        <f t="shared" si="467"/>
        <v>38116</v>
      </c>
      <c r="CK209">
        <v>31600</v>
      </c>
      <c r="CL209">
        <f t="shared" si="468"/>
        <v>4424</v>
      </c>
      <c r="CM209">
        <f t="shared" si="469"/>
        <v>3792</v>
      </c>
      <c r="CN209">
        <v>0</v>
      </c>
      <c r="CO209">
        <v>500</v>
      </c>
      <c r="CP209">
        <f t="shared" si="470"/>
        <v>40316</v>
      </c>
      <c r="CQ209">
        <v>2000</v>
      </c>
      <c r="CR209">
        <v>0</v>
      </c>
      <c r="CS209">
        <f t="shared" si="471"/>
        <v>200</v>
      </c>
      <c r="CT209">
        <f t="shared" si="472"/>
        <v>38116</v>
      </c>
      <c r="CU209">
        <v>31600</v>
      </c>
      <c r="CV209">
        <f t="shared" si="473"/>
        <v>4424</v>
      </c>
      <c r="CW209">
        <f t="shared" si="474"/>
        <v>3792</v>
      </c>
      <c r="CX209">
        <v>0</v>
      </c>
      <c r="CY209">
        <v>500</v>
      </c>
      <c r="CZ209">
        <f t="shared" si="475"/>
        <v>40316</v>
      </c>
      <c r="DA209">
        <v>2000</v>
      </c>
      <c r="DB209">
        <v>0</v>
      </c>
      <c r="DC209">
        <f t="shared" si="476"/>
        <v>200</v>
      </c>
      <c r="DD209">
        <f t="shared" si="477"/>
        <v>38116</v>
      </c>
      <c r="DE209">
        <v>31600</v>
      </c>
      <c r="DF209">
        <f t="shared" si="478"/>
        <v>4424</v>
      </c>
      <c r="DG209">
        <f t="shared" si="479"/>
        <v>3792</v>
      </c>
      <c r="DH209">
        <v>0</v>
      </c>
      <c r="DI209">
        <v>500</v>
      </c>
      <c r="DJ209">
        <f t="shared" si="480"/>
        <v>40316</v>
      </c>
      <c r="DK209">
        <v>2000</v>
      </c>
      <c r="DL209">
        <v>0</v>
      </c>
      <c r="DM209">
        <f t="shared" si="481"/>
        <v>200</v>
      </c>
      <c r="DN209">
        <f t="shared" si="482"/>
        <v>38116</v>
      </c>
      <c r="DO209">
        <v>31600</v>
      </c>
      <c r="DP209">
        <f t="shared" si="483"/>
        <v>4424</v>
      </c>
      <c r="DQ209">
        <f t="shared" si="484"/>
        <v>3792</v>
      </c>
      <c r="DR209">
        <v>0</v>
      </c>
      <c r="DS209">
        <v>500</v>
      </c>
      <c r="DT209">
        <f t="shared" si="485"/>
        <v>40316</v>
      </c>
      <c r="DU209">
        <v>2000</v>
      </c>
      <c r="DV209">
        <v>0</v>
      </c>
      <c r="DW209">
        <f t="shared" si="486"/>
        <v>200</v>
      </c>
      <c r="DX209">
        <f t="shared" si="487"/>
        <v>38116</v>
      </c>
      <c r="DY209">
        <f t="shared" si="488"/>
        <v>484028</v>
      </c>
      <c r="DZ209">
        <f t="shared" si="420"/>
        <v>2200</v>
      </c>
      <c r="EA209">
        <f t="shared" si="421"/>
        <v>50000</v>
      </c>
      <c r="EB209">
        <v>0</v>
      </c>
      <c r="EC209">
        <f t="shared" si="422"/>
        <v>431828</v>
      </c>
      <c r="ED209">
        <f t="shared" si="423"/>
        <v>24000</v>
      </c>
      <c r="EE209">
        <f t="shared" si="424"/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f t="shared" si="425"/>
        <v>24000</v>
      </c>
      <c r="EQ209">
        <f t="shared" si="489"/>
        <v>24000</v>
      </c>
      <c r="ER209">
        <f t="shared" si="426"/>
        <v>407828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f t="shared" si="490"/>
        <v>0</v>
      </c>
      <c r="FA209">
        <f t="shared" si="491"/>
        <v>407828</v>
      </c>
      <c r="FB209">
        <f t="shared" si="492"/>
        <v>7891</v>
      </c>
      <c r="FC209">
        <f t="shared" si="493"/>
        <v>0</v>
      </c>
      <c r="FD209">
        <f t="shared" si="494"/>
        <v>7891</v>
      </c>
      <c r="FE209">
        <f t="shared" si="495"/>
        <v>0</v>
      </c>
      <c r="FF209">
        <f t="shared" si="496"/>
        <v>0</v>
      </c>
      <c r="FG209">
        <f t="shared" si="497"/>
        <v>0</v>
      </c>
      <c r="FH209">
        <v>0</v>
      </c>
      <c r="FI209">
        <f t="shared" si="498"/>
        <v>0</v>
      </c>
      <c r="FJ209" t="b">
        <f t="shared" si="499"/>
        <v>0</v>
      </c>
      <c r="FK209">
        <f t="shared" ca="1" si="500"/>
        <v>2383</v>
      </c>
      <c r="FL209">
        <f t="shared" ca="1" si="501"/>
        <v>486411</v>
      </c>
      <c r="FM209">
        <f t="shared" si="502"/>
        <v>75000</v>
      </c>
      <c r="FN209">
        <f t="shared" ca="1" si="503"/>
        <v>411411</v>
      </c>
      <c r="FO209">
        <f t="shared" ca="1" si="504"/>
        <v>0</v>
      </c>
      <c r="FP209">
        <f t="shared" ca="1" si="505"/>
        <v>0</v>
      </c>
      <c r="FQ209">
        <f t="shared" ca="1" si="506"/>
        <v>0</v>
      </c>
      <c r="FR209">
        <f t="shared" ca="1" si="507"/>
        <v>0</v>
      </c>
      <c r="FS209">
        <f t="shared" ca="1" si="508"/>
        <v>0</v>
      </c>
      <c r="FT209">
        <f t="shared" ca="1" si="509"/>
        <v>0</v>
      </c>
      <c r="FU209">
        <f t="shared" ca="1" si="510"/>
        <v>0</v>
      </c>
      <c r="FV209">
        <f t="shared" ca="1" si="511"/>
        <v>0</v>
      </c>
      <c r="FW209">
        <f t="shared" ca="1" si="512"/>
        <v>111411</v>
      </c>
      <c r="FX209">
        <f t="shared" ca="1" si="513"/>
        <v>5570.55</v>
      </c>
      <c r="FY209">
        <f t="shared" ca="1" si="514"/>
        <v>5571</v>
      </c>
      <c r="FZ209">
        <f t="shared" ca="1" si="515"/>
        <v>0</v>
      </c>
      <c r="GA209">
        <f t="shared" ca="1" si="516"/>
        <v>0</v>
      </c>
      <c r="GB209">
        <f t="shared" ca="1" si="517"/>
        <v>5571</v>
      </c>
      <c r="GC209">
        <f t="shared" ca="1" si="518"/>
        <v>0</v>
      </c>
      <c r="GD209" t="b">
        <f t="shared" ca="1" si="519"/>
        <v>0</v>
      </c>
      <c r="GE209">
        <f t="shared" ca="1" si="520"/>
        <v>0</v>
      </c>
      <c r="GF209">
        <f t="shared" ca="1" si="521"/>
        <v>5571</v>
      </c>
      <c r="GG209">
        <f t="shared" ca="1" si="522"/>
        <v>0</v>
      </c>
      <c r="GH209">
        <f t="shared" ca="1" si="523"/>
        <v>0</v>
      </c>
      <c r="GI209">
        <f t="shared" ca="1" si="524"/>
        <v>0</v>
      </c>
    </row>
    <row r="210" spans="1:191" x14ac:dyDescent="0.25">
      <c r="A210">
        <f>_xlfn.AGGREGATE(3,5,$B$2:B210)</f>
        <v>209</v>
      </c>
      <c r="B210" t="s">
        <v>538</v>
      </c>
      <c r="C210" t="s">
        <v>539</v>
      </c>
      <c r="D210" t="s">
        <v>816</v>
      </c>
      <c r="E210" t="s">
        <v>844</v>
      </c>
      <c r="F210">
        <v>0</v>
      </c>
      <c r="G210">
        <v>0</v>
      </c>
      <c r="H210">
        <v>47300</v>
      </c>
      <c r="I210">
        <f t="shared" si="427"/>
        <v>4730</v>
      </c>
      <c r="J210">
        <f t="shared" si="428"/>
        <v>5676</v>
      </c>
      <c r="K210">
        <v>400</v>
      </c>
      <c r="L210">
        <v>500</v>
      </c>
      <c r="M210">
        <f t="shared" si="429"/>
        <v>58606</v>
      </c>
      <c r="N210">
        <v>4000</v>
      </c>
      <c r="O210">
        <v>60</v>
      </c>
      <c r="P210">
        <f t="shared" si="430"/>
        <v>200</v>
      </c>
      <c r="Q210">
        <f t="shared" si="431"/>
        <v>54346</v>
      </c>
      <c r="R210">
        <v>47300</v>
      </c>
      <c r="S210">
        <f t="shared" si="432"/>
        <v>4730</v>
      </c>
      <c r="T210">
        <f t="shared" si="433"/>
        <v>5676</v>
      </c>
      <c r="U210">
        <v>400</v>
      </c>
      <c r="V210">
        <v>500</v>
      </c>
      <c r="W210">
        <f t="shared" si="434"/>
        <v>58606</v>
      </c>
      <c r="X210">
        <v>4000</v>
      </c>
      <c r="Y210">
        <v>60</v>
      </c>
      <c r="Z210">
        <f t="shared" si="435"/>
        <v>200</v>
      </c>
      <c r="AA210">
        <f t="shared" si="436"/>
        <v>54346</v>
      </c>
      <c r="AB210">
        <v>47300</v>
      </c>
      <c r="AC210">
        <f t="shared" si="437"/>
        <v>6622.0000000000009</v>
      </c>
      <c r="AD210">
        <f t="shared" si="438"/>
        <v>5676</v>
      </c>
      <c r="AE210">
        <v>400</v>
      </c>
      <c r="AF210">
        <v>500</v>
      </c>
      <c r="AG210">
        <f t="shared" si="439"/>
        <v>60498</v>
      </c>
      <c r="AH210">
        <v>4000</v>
      </c>
      <c r="AI210">
        <v>60</v>
      </c>
      <c r="AJ210">
        <f t="shared" si="440"/>
        <v>200</v>
      </c>
      <c r="AK210">
        <f t="shared" si="441"/>
        <v>56238</v>
      </c>
      <c r="AL210">
        <v>47300</v>
      </c>
      <c r="AM210">
        <f t="shared" si="442"/>
        <v>6622.0000000000009</v>
      </c>
      <c r="AN210">
        <f t="shared" si="443"/>
        <v>5676</v>
      </c>
      <c r="AO210">
        <v>400</v>
      </c>
      <c r="AP210">
        <v>500</v>
      </c>
      <c r="AQ210">
        <f t="shared" si="444"/>
        <v>60498</v>
      </c>
      <c r="AR210">
        <v>4000</v>
      </c>
      <c r="AS210">
        <v>60</v>
      </c>
      <c r="AT210">
        <f t="shared" si="445"/>
        <v>200</v>
      </c>
      <c r="AU210">
        <f t="shared" si="446"/>
        <v>56238</v>
      </c>
      <c r="AV210">
        <v>48700</v>
      </c>
      <c r="AW210">
        <f t="shared" si="447"/>
        <v>6818.0000000000009</v>
      </c>
      <c r="AX210">
        <f t="shared" si="448"/>
        <v>1892</v>
      </c>
      <c r="AY210">
        <f t="shared" si="449"/>
        <v>5844</v>
      </c>
      <c r="AZ210">
        <v>400</v>
      </c>
      <c r="BA210">
        <v>500</v>
      </c>
      <c r="BB210">
        <f t="shared" si="450"/>
        <v>64154</v>
      </c>
      <c r="BC210">
        <v>4000</v>
      </c>
      <c r="BD210">
        <v>60</v>
      </c>
      <c r="BE210">
        <f t="shared" si="451"/>
        <v>200</v>
      </c>
      <c r="BF210">
        <f t="shared" si="452"/>
        <v>59894</v>
      </c>
      <c r="BG210">
        <v>48700</v>
      </c>
      <c r="BH210">
        <f t="shared" si="453"/>
        <v>6818.0000000000009</v>
      </c>
      <c r="BI210">
        <f t="shared" si="454"/>
        <v>5844</v>
      </c>
      <c r="BJ210">
        <v>400</v>
      </c>
      <c r="BK210">
        <v>500</v>
      </c>
      <c r="BL210">
        <f t="shared" si="455"/>
        <v>62262</v>
      </c>
      <c r="BM210">
        <v>4000</v>
      </c>
      <c r="BN210">
        <v>60</v>
      </c>
      <c r="BO210">
        <f t="shared" si="456"/>
        <v>200</v>
      </c>
      <c r="BP210">
        <f t="shared" si="457"/>
        <v>58002</v>
      </c>
      <c r="BQ210">
        <v>48700</v>
      </c>
      <c r="BR210">
        <f t="shared" si="458"/>
        <v>6818.0000000000009</v>
      </c>
      <c r="BS210">
        <f t="shared" si="459"/>
        <v>5844</v>
      </c>
      <c r="BT210">
        <v>400</v>
      </c>
      <c r="BU210">
        <v>500</v>
      </c>
      <c r="BV210">
        <f t="shared" si="460"/>
        <v>62262</v>
      </c>
      <c r="BW210">
        <v>4000</v>
      </c>
      <c r="BX210">
        <v>60</v>
      </c>
      <c r="BY210">
        <f t="shared" si="461"/>
        <v>200</v>
      </c>
      <c r="BZ210">
        <f t="shared" si="462"/>
        <v>58002</v>
      </c>
      <c r="CA210">
        <v>48700</v>
      </c>
      <c r="CB210">
        <f t="shared" si="463"/>
        <v>6818.0000000000009</v>
      </c>
      <c r="CC210">
        <f t="shared" si="464"/>
        <v>5844</v>
      </c>
      <c r="CD210">
        <v>400</v>
      </c>
      <c r="CE210">
        <v>500</v>
      </c>
      <c r="CF210">
        <f t="shared" si="465"/>
        <v>62262</v>
      </c>
      <c r="CG210">
        <v>4000</v>
      </c>
      <c r="CH210">
        <v>60</v>
      </c>
      <c r="CI210">
        <f t="shared" si="466"/>
        <v>200</v>
      </c>
      <c r="CJ210">
        <f t="shared" si="467"/>
        <v>58002</v>
      </c>
      <c r="CK210">
        <v>48700</v>
      </c>
      <c r="CL210">
        <f t="shared" si="468"/>
        <v>6818.0000000000009</v>
      </c>
      <c r="CM210">
        <f t="shared" si="469"/>
        <v>5844</v>
      </c>
      <c r="CN210">
        <v>400</v>
      </c>
      <c r="CO210">
        <v>500</v>
      </c>
      <c r="CP210">
        <f t="shared" si="470"/>
        <v>62262</v>
      </c>
      <c r="CQ210">
        <v>4000</v>
      </c>
      <c r="CR210">
        <v>60</v>
      </c>
      <c r="CS210">
        <f t="shared" si="471"/>
        <v>200</v>
      </c>
      <c r="CT210">
        <f t="shared" si="472"/>
        <v>58002</v>
      </c>
      <c r="CU210">
        <v>48700</v>
      </c>
      <c r="CV210">
        <f t="shared" si="473"/>
        <v>6818</v>
      </c>
      <c r="CW210">
        <f t="shared" si="474"/>
        <v>5844</v>
      </c>
      <c r="CX210">
        <v>400</v>
      </c>
      <c r="CY210">
        <v>500</v>
      </c>
      <c r="CZ210">
        <f t="shared" si="475"/>
        <v>62262</v>
      </c>
      <c r="DA210">
        <v>4000</v>
      </c>
      <c r="DB210">
        <v>60</v>
      </c>
      <c r="DC210">
        <f t="shared" si="476"/>
        <v>200</v>
      </c>
      <c r="DD210">
        <f t="shared" si="477"/>
        <v>58002</v>
      </c>
      <c r="DE210">
        <v>48700</v>
      </c>
      <c r="DF210">
        <f t="shared" si="478"/>
        <v>6818.0000000000009</v>
      </c>
      <c r="DG210">
        <f t="shared" si="479"/>
        <v>5844</v>
      </c>
      <c r="DH210">
        <v>400</v>
      </c>
      <c r="DI210">
        <v>500</v>
      </c>
      <c r="DJ210">
        <f t="shared" si="480"/>
        <v>62262</v>
      </c>
      <c r="DK210">
        <v>4000</v>
      </c>
      <c r="DL210">
        <v>60</v>
      </c>
      <c r="DM210">
        <f t="shared" si="481"/>
        <v>200</v>
      </c>
      <c r="DN210">
        <f t="shared" si="482"/>
        <v>58002</v>
      </c>
      <c r="DO210">
        <v>48700</v>
      </c>
      <c r="DP210">
        <f t="shared" si="483"/>
        <v>6818.0000000000009</v>
      </c>
      <c r="DQ210">
        <f t="shared" si="484"/>
        <v>5844</v>
      </c>
      <c r="DR210">
        <v>400</v>
      </c>
      <c r="DS210">
        <v>500</v>
      </c>
      <c r="DT210">
        <f t="shared" si="485"/>
        <v>62262</v>
      </c>
      <c r="DU210">
        <v>4000</v>
      </c>
      <c r="DV210">
        <v>60</v>
      </c>
      <c r="DW210">
        <f t="shared" si="486"/>
        <v>200</v>
      </c>
      <c r="DX210">
        <f t="shared" si="487"/>
        <v>58002</v>
      </c>
      <c r="DY210">
        <f t="shared" si="488"/>
        <v>738196</v>
      </c>
      <c r="DZ210">
        <f t="shared" si="420"/>
        <v>2400</v>
      </c>
      <c r="EA210">
        <f t="shared" si="421"/>
        <v>50000</v>
      </c>
      <c r="EB210">
        <v>0</v>
      </c>
      <c r="EC210">
        <f t="shared" si="422"/>
        <v>685796</v>
      </c>
      <c r="ED210">
        <f t="shared" si="423"/>
        <v>48000</v>
      </c>
      <c r="EE210">
        <f t="shared" si="424"/>
        <v>720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f t="shared" si="425"/>
        <v>48720</v>
      </c>
      <c r="EQ210">
        <f t="shared" si="489"/>
        <v>48720</v>
      </c>
      <c r="ER210">
        <f t="shared" si="426"/>
        <v>637076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f t="shared" si="490"/>
        <v>0</v>
      </c>
      <c r="FA210">
        <f t="shared" si="491"/>
        <v>637076</v>
      </c>
      <c r="FB210">
        <f t="shared" si="492"/>
        <v>12500</v>
      </c>
      <c r="FC210">
        <f t="shared" si="493"/>
        <v>27415</v>
      </c>
      <c r="FD210">
        <f t="shared" si="494"/>
        <v>39915</v>
      </c>
      <c r="FE210">
        <f t="shared" si="495"/>
        <v>39915</v>
      </c>
      <c r="FF210">
        <f t="shared" si="496"/>
        <v>1596.6000000000001</v>
      </c>
      <c r="FG210">
        <f t="shared" si="497"/>
        <v>41512</v>
      </c>
      <c r="FH210">
        <v>0</v>
      </c>
      <c r="FI210">
        <f t="shared" si="498"/>
        <v>41512</v>
      </c>
      <c r="FJ210" t="b">
        <f t="shared" si="499"/>
        <v>1</v>
      </c>
      <c r="FK210">
        <f t="shared" ca="1" si="500"/>
        <v>954</v>
      </c>
      <c r="FL210">
        <f t="shared" ca="1" si="501"/>
        <v>739150</v>
      </c>
      <c r="FM210">
        <f t="shared" si="502"/>
        <v>75000</v>
      </c>
      <c r="FN210">
        <f t="shared" ca="1" si="503"/>
        <v>664150</v>
      </c>
      <c r="FO210">
        <f t="shared" ca="1" si="504"/>
        <v>0</v>
      </c>
      <c r="FP210">
        <f t="shared" ca="1" si="505"/>
        <v>0</v>
      </c>
      <c r="FQ210">
        <f t="shared" ca="1" si="506"/>
        <v>0</v>
      </c>
      <c r="FR210">
        <f t="shared" ca="1" si="507"/>
        <v>0</v>
      </c>
      <c r="FS210">
        <f t="shared" ca="1" si="508"/>
        <v>0</v>
      </c>
      <c r="FT210">
        <f t="shared" ca="1" si="509"/>
        <v>0</v>
      </c>
      <c r="FU210">
        <f t="shared" ca="1" si="510"/>
        <v>0</v>
      </c>
      <c r="FV210">
        <f t="shared" ca="1" si="511"/>
        <v>0</v>
      </c>
      <c r="FW210">
        <f t="shared" ca="1" si="512"/>
        <v>364150</v>
      </c>
      <c r="FX210">
        <f t="shared" ca="1" si="513"/>
        <v>18207.5</v>
      </c>
      <c r="FY210">
        <f t="shared" ca="1" si="514"/>
        <v>18208</v>
      </c>
      <c r="FZ210">
        <f t="shared" ca="1" si="515"/>
        <v>0</v>
      </c>
      <c r="GA210">
        <f t="shared" ca="1" si="516"/>
        <v>0</v>
      </c>
      <c r="GB210">
        <f t="shared" ca="1" si="517"/>
        <v>18208</v>
      </c>
      <c r="GC210">
        <f t="shared" ca="1" si="518"/>
        <v>0</v>
      </c>
      <c r="GD210" t="b">
        <f t="shared" ca="1" si="519"/>
        <v>0</v>
      </c>
      <c r="GE210">
        <f t="shared" ca="1" si="520"/>
        <v>0</v>
      </c>
      <c r="GF210">
        <f t="shared" ca="1" si="521"/>
        <v>18208</v>
      </c>
      <c r="GG210">
        <f t="shared" ca="1" si="522"/>
        <v>0</v>
      </c>
      <c r="GH210">
        <f t="shared" ca="1" si="523"/>
        <v>0</v>
      </c>
      <c r="GI210">
        <f t="shared" ca="1" si="524"/>
        <v>0</v>
      </c>
    </row>
    <row r="211" spans="1:191" x14ac:dyDescent="0.25">
      <c r="A211">
        <f>_xlfn.AGGREGATE(3,5,$B$2:B211)</f>
        <v>210</v>
      </c>
      <c r="B211" t="s">
        <v>540</v>
      </c>
      <c r="C211" t="s">
        <v>541</v>
      </c>
      <c r="D211" t="s">
        <v>816</v>
      </c>
      <c r="E211" t="s">
        <v>843</v>
      </c>
      <c r="F211">
        <v>0</v>
      </c>
      <c r="G211">
        <v>6000</v>
      </c>
      <c r="H211">
        <v>32500</v>
      </c>
      <c r="I211">
        <f t="shared" si="427"/>
        <v>3250</v>
      </c>
      <c r="J211">
        <f t="shared" si="428"/>
        <v>3900</v>
      </c>
      <c r="K211">
        <v>0</v>
      </c>
      <c r="L211">
        <v>500</v>
      </c>
      <c r="M211">
        <f t="shared" si="429"/>
        <v>40150</v>
      </c>
      <c r="N211">
        <v>2000</v>
      </c>
      <c r="O211">
        <v>0</v>
      </c>
      <c r="P211">
        <f t="shared" si="430"/>
        <v>200</v>
      </c>
      <c r="Q211">
        <f t="shared" si="431"/>
        <v>37950</v>
      </c>
      <c r="R211">
        <v>32500</v>
      </c>
      <c r="S211">
        <f t="shared" si="432"/>
        <v>3250</v>
      </c>
      <c r="T211">
        <f t="shared" si="433"/>
        <v>3900</v>
      </c>
      <c r="U211">
        <v>0</v>
      </c>
      <c r="V211">
        <v>500</v>
      </c>
      <c r="W211">
        <f t="shared" si="434"/>
        <v>40150</v>
      </c>
      <c r="X211">
        <v>2000</v>
      </c>
      <c r="Y211">
        <v>0</v>
      </c>
      <c r="Z211">
        <f t="shared" si="435"/>
        <v>200</v>
      </c>
      <c r="AA211">
        <f t="shared" si="436"/>
        <v>37950</v>
      </c>
      <c r="AB211">
        <v>32500</v>
      </c>
      <c r="AC211">
        <f t="shared" si="437"/>
        <v>4550</v>
      </c>
      <c r="AD211">
        <f t="shared" si="438"/>
        <v>3900</v>
      </c>
      <c r="AE211">
        <v>0</v>
      </c>
      <c r="AF211">
        <v>500</v>
      </c>
      <c r="AG211">
        <f t="shared" si="439"/>
        <v>41450</v>
      </c>
      <c r="AH211">
        <v>2000</v>
      </c>
      <c r="AI211">
        <v>0</v>
      </c>
      <c r="AJ211">
        <f t="shared" si="440"/>
        <v>200</v>
      </c>
      <c r="AK211">
        <f t="shared" si="441"/>
        <v>39250</v>
      </c>
      <c r="AL211">
        <v>32500</v>
      </c>
      <c r="AM211">
        <f t="shared" si="442"/>
        <v>4550</v>
      </c>
      <c r="AN211">
        <f t="shared" si="443"/>
        <v>3900</v>
      </c>
      <c r="AO211">
        <v>0</v>
      </c>
      <c r="AP211">
        <v>500</v>
      </c>
      <c r="AQ211">
        <f t="shared" si="444"/>
        <v>41450</v>
      </c>
      <c r="AR211">
        <v>2000</v>
      </c>
      <c r="AS211">
        <v>0</v>
      </c>
      <c r="AT211">
        <f t="shared" si="445"/>
        <v>200</v>
      </c>
      <c r="AU211">
        <f t="shared" si="446"/>
        <v>39250</v>
      </c>
      <c r="AV211">
        <v>33500</v>
      </c>
      <c r="AW211">
        <f t="shared" si="447"/>
        <v>4690</v>
      </c>
      <c r="AX211">
        <f t="shared" si="448"/>
        <v>1300</v>
      </c>
      <c r="AY211">
        <f t="shared" si="449"/>
        <v>4020</v>
      </c>
      <c r="AZ211">
        <v>0</v>
      </c>
      <c r="BA211">
        <v>500</v>
      </c>
      <c r="BB211">
        <f t="shared" si="450"/>
        <v>44010</v>
      </c>
      <c r="BC211">
        <v>2500</v>
      </c>
      <c r="BD211">
        <v>0</v>
      </c>
      <c r="BE211">
        <f t="shared" si="451"/>
        <v>200</v>
      </c>
      <c r="BF211">
        <f t="shared" si="452"/>
        <v>41310</v>
      </c>
      <c r="BG211">
        <v>33500</v>
      </c>
      <c r="BH211">
        <f t="shared" si="453"/>
        <v>4690</v>
      </c>
      <c r="BI211">
        <f t="shared" si="454"/>
        <v>4020</v>
      </c>
      <c r="BJ211">
        <v>0</v>
      </c>
      <c r="BK211">
        <v>500</v>
      </c>
      <c r="BL211">
        <f t="shared" si="455"/>
        <v>42710</v>
      </c>
      <c r="BM211">
        <v>2500</v>
      </c>
      <c r="BN211">
        <v>0</v>
      </c>
      <c r="BO211">
        <f t="shared" si="456"/>
        <v>200</v>
      </c>
      <c r="BP211">
        <f t="shared" si="457"/>
        <v>40010</v>
      </c>
      <c r="BQ211">
        <v>33500</v>
      </c>
      <c r="BR211">
        <f t="shared" si="458"/>
        <v>4690</v>
      </c>
      <c r="BS211">
        <f t="shared" si="459"/>
        <v>4020</v>
      </c>
      <c r="BT211">
        <v>0</v>
      </c>
      <c r="BU211">
        <v>500</v>
      </c>
      <c r="BV211">
        <f t="shared" si="460"/>
        <v>42710</v>
      </c>
      <c r="BW211">
        <v>2500</v>
      </c>
      <c r="BX211">
        <v>0</v>
      </c>
      <c r="BY211">
        <f t="shared" si="461"/>
        <v>200</v>
      </c>
      <c r="BZ211">
        <f t="shared" si="462"/>
        <v>40010</v>
      </c>
      <c r="CA211">
        <v>33500</v>
      </c>
      <c r="CB211">
        <f t="shared" si="463"/>
        <v>4690</v>
      </c>
      <c r="CC211">
        <f t="shared" si="464"/>
        <v>4020</v>
      </c>
      <c r="CD211">
        <v>0</v>
      </c>
      <c r="CE211">
        <v>500</v>
      </c>
      <c r="CF211">
        <f t="shared" si="465"/>
        <v>42710</v>
      </c>
      <c r="CG211">
        <v>2500</v>
      </c>
      <c r="CH211">
        <v>0</v>
      </c>
      <c r="CI211">
        <f t="shared" si="466"/>
        <v>200</v>
      </c>
      <c r="CJ211">
        <f t="shared" si="467"/>
        <v>40010</v>
      </c>
      <c r="CK211">
        <v>33500</v>
      </c>
      <c r="CL211">
        <f t="shared" si="468"/>
        <v>4690</v>
      </c>
      <c r="CM211">
        <f t="shared" si="469"/>
        <v>4020</v>
      </c>
      <c r="CN211">
        <v>0</v>
      </c>
      <c r="CO211">
        <v>500</v>
      </c>
      <c r="CP211">
        <f t="shared" si="470"/>
        <v>42710</v>
      </c>
      <c r="CQ211">
        <v>2500</v>
      </c>
      <c r="CR211">
        <v>0</v>
      </c>
      <c r="CS211">
        <f t="shared" si="471"/>
        <v>200</v>
      </c>
      <c r="CT211">
        <f t="shared" si="472"/>
        <v>40010</v>
      </c>
      <c r="CU211">
        <v>34403</v>
      </c>
      <c r="CV211">
        <f t="shared" si="473"/>
        <v>4816</v>
      </c>
      <c r="CW211">
        <f t="shared" si="474"/>
        <v>4128</v>
      </c>
      <c r="CX211">
        <v>0</v>
      </c>
      <c r="CY211">
        <v>500</v>
      </c>
      <c r="CZ211">
        <f t="shared" si="475"/>
        <v>43847</v>
      </c>
      <c r="DA211">
        <v>2500</v>
      </c>
      <c r="DB211">
        <v>0</v>
      </c>
      <c r="DC211">
        <f t="shared" si="476"/>
        <v>200</v>
      </c>
      <c r="DD211">
        <f t="shared" si="477"/>
        <v>41147</v>
      </c>
      <c r="DE211">
        <v>34500</v>
      </c>
      <c r="DF211">
        <f t="shared" si="478"/>
        <v>4830.0000000000009</v>
      </c>
      <c r="DG211">
        <f t="shared" si="479"/>
        <v>4140</v>
      </c>
      <c r="DH211">
        <v>0</v>
      </c>
      <c r="DI211">
        <v>500</v>
      </c>
      <c r="DJ211">
        <f t="shared" si="480"/>
        <v>43970</v>
      </c>
      <c r="DK211">
        <v>2500</v>
      </c>
      <c r="DL211">
        <v>0</v>
      </c>
      <c r="DM211">
        <f t="shared" si="481"/>
        <v>200</v>
      </c>
      <c r="DN211">
        <f t="shared" si="482"/>
        <v>41270</v>
      </c>
      <c r="DO211">
        <v>34500</v>
      </c>
      <c r="DP211">
        <f t="shared" si="483"/>
        <v>4830.0000000000009</v>
      </c>
      <c r="DQ211">
        <f t="shared" si="484"/>
        <v>4140</v>
      </c>
      <c r="DR211">
        <v>0</v>
      </c>
      <c r="DS211">
        <v>500</v>
      </c>
      <c r="DT211">
        <f t="shared" si="485"/>
        <v>43970</v>
      </c>
      <c r="DU211">
        <v>2500</v>
      </c>
      <c r="DV211">
        <v>0</v>
      </c>
      <c r="DW211">
        <f t="shared" si="486"/>
        <v>200</v>
      </c>
      <c r="DX211">
        <f t="shared" si="487"/>
        <v>41270</v>
      </c>
      <c r="DY211">
        <f t="shared" si="488"/>
        <v>515837</v>
      </c>
      <c r="DZ211">
        <f t="shared" si="420"/>
        <v>2400</v>
      </c>
      <c r="EA211">
        <f t="shared" si="421"/>
        <v>50000</v>
      </c>
      <c r="EB211">
        <v>0</v>
      </c>
      <c r="EC211">
        <f t="shared" si="422"/>
        <v>463437</v>
      </c>
      <c r="ED211">
        <f t="shared" si="423"/>
        <v>28000</v>
      </c>
      <c r="EE211">
        <f t="shared" si="424"/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f t="shared" si="425"/>
        <v>28000</v>
      </c>
      <c r="EQ211">
        <f t="shared" si="489"/>
        <v>28000</v>
      </c>
      <c r="ER211">
        <f t="shared" si="426"/>
        <v>435437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f t="shared" si="490"/>
        <v>0</v>
      </c>
      <c r="FA211">
        <f t="shared" si="491"/>
        <v>435437</v>
      </c>
      <c r="FB211">
        <f t="shared" si="492"/>
        <v>9272</v>
      </c>
      <c r="FC211">
        <f t="shared" si="493"/>
        <v>0</v>
      </c>
      <c r="FD211">
        <f t="shared" si="494"/>
        <v>9272</v>
      </c>
      <c r="FE211">
        <f t="shared" si="495"/>
        <v>0</v>
      </c>
      <c r="FF211">
        <f t="shared" si="496"/>
        <v>0</v>
      </c>
      <c r="FG211">
        <f t="shared" si="497"/>
        <v>0</v>
      </c>
      <c r="FH211">
        <v>0</v>
      </c>
      <c r="FI211">
        <f t="shared" si="498"/>
        <v>0</v>
      </c>
      <c r="FJ211" t="b">
        <f t="shared" si="499"/>
        <v>1</v>
      </c>
      <c r="FK211">
        <f t="shared" ca="1" si="500"/>
        <v>837</v>
      </c>
      <c r="FL211">
        <f t="shared" ca="1" si="501"/>
        <v>516674</v>
      </c>
      <c r="FM211">
        <f t="shared" si="502"/>
        <v>75000</v>
      </c>
      <c r="FN211">
        <f t="shared" ca="1" si="503"/>
        <v>441674</v>
      </c>
      <c r="FO211">
        <f t="shared" ca="1" si="504"/>
        <v>0</v>
      </c>
      <c r="FP211">
        <f t="shared" ca="1" si="505"/>
        <v>0</v>
      </c>
      <c r="FQ211">
        <f t="shared" ca="1" si="506"/>
        <v>0</v>
      </c>
      <c r="FR211">
        <f t="shared" ca="1" si="507"/>
        <v>0</v>
      </c>
      <c r="FS211">
        <f t="shared" ca="1" si="508"/>
        <v>0</v>
      </c>
      <c r="FT211">
        <f t="shared" ca="1" si="509"/>
        <v>0</v>
      </c>
      <c r="FU211">
        <f t="shared" ca="1" si="510"/>
        <v>0</v>
      </c>
      <c r="FV211">
        <f t="shared" ca="1" si="511"/>
        <v>0</v>
      </c>
      <c r="FW211">
        <f t="shared" ca="1" si="512"/>
        <v>141674</v>
      </c>
      <c r="FX211">
        <f t="shared" ca="1" si="513"/>
        <v>7083.7000000000007</v>
      </c>
      <c r="FY211">
        <f t="shared" ca="1" si="514"/>
        <v>7084</v>
      </c>
      <c r="FZ211">
        <f t="shared" ca="1" si="515"/>
        <v>0</v>
      </c>
      <c r="GA211">
        <f t="shared" ca="1" si="516"/>
        <v>0</v>
      </c>
      <c r="GB211">
        <f t="shared" ca="1" si="517"/>
        <v>7084</v>
      </c>
      <c r="GC211">
        <f t="shared" ca="1" si="518"/>
        <v>0</v>
      </c>
      <c r="GD211" t="b">
        <f t="shared" ca="1" si="519"/>
        <v>0</v>
      </c>
      <c r="GE211">
        <f t="shared" ca="1" si="520"/>
        <v>0</v>
      </c>
      <c r="GF211">
        <f t="shared" ca="1" si="521"/>
        <v>7084</v>
      </c>
      <c r="GG211">
        <f t="shared" ca="1" si="522"/>
        <v>0</v>
      </c>
      <c r="GH211">
        <f t="shared" ca="1" si="523"/>
        <v>0</v>
      </c>
      <c r="GI211">
        <f t="shared" ca="1" si="524"/>
        <v>0</v>
      </c>
    </row>
    <row r="212" spans="1:191" x14ac:dyDescent="0.25">
      <c r="A212">
        <f>_xlfn.AGGREGATE(3,5,$B$2:B212)</f>
        <v>211</v>
      </c>
      <c r="B212" t="s">
        <v>542</v>
      </c>
      <c r="C212" t="s">
        <v>543</v>
      </c>
      <c r="D212" t="s">
        <v>816</v>
      </c>
      <c r="E212" t="s">
        <v>843</v>
      </c>
      <c r="F212">
        <v>0</v>
      </c>
      <c r="G212">
        <v>6000</v>
      </c>
      <c r="H212">
        <v>32500</v>
      </c>
      <c r="I212">
        <f t="shared" si="427"/>
        <v>3250</v>
      </c>
      <c r="J212">
        <f t="shared" si="428"/>
        <v>3900</v>
      </c>
      <c r="K212">
        <v>0</v>
      </c>
      <c r="L212">
        <v>500</v>
      </c>
      <c r="M212">
        <f t="shared" si="429"/>
        <v>40150</v>
      </c>
      <c r="N212">
        <v>2000</v>
      </c>
      <c r="O212">
        <v>0</v>
      </c>
      <c r="P212">
        <f t="shared" si="430"/>
        <v>200</v>
      </c>
      <c r="Q212">
        <f t="shared" si="431"/>
        <v>37950</v>
      </c>
      <c r="R212">
        <v>32500</v>
      </c>
      <c r="S212">
        <f t="shared" si="432"/>
        <v>3250</v>
      </c>
      <c r="T212">
        <f t="shared" si="433"/>
        <v>3900</v>
      </c>
      <c r="U212">
        <v>0</v>
      </c>
      <c r="V212">
        <v>500</v>
      </c>
      <c r="W212">
        <f t="shared" si="434"/>
        <v>40150</v>
      </c>
      <c r="X212">
        <v>2000</v>
      </c>
      <c r="Y212">
        <v>0</v>
      </c>
      <c r="Z212">
        <f t="shared" si="435"/>
        <v>200</v>
      </c>
      <c r="AA212">
        <f t="shared" si="436"/>
        <v>37950</v>
      </c>
      <c r="AB212">
        <v>32500</v>
      </c>
      <c r="AC212">
        <f t="shared" si="437"/>
        <v>4550</v>
      </c>
      <c r="AD212">
        <f t="shared" si="438"/>
        <v>3900</v>
      </c>
      <c r="AE212">
        <v>0</v>
      </c>
      <c r="AF212">
        <v>500</v>
      </c>
      <c r="AG212">
        <f t="shared" si="439"/>
        <v>41450</v>
      </c>
      <c r="AH212">
        <v>2000</v>
      </c>
      <c r="AI212">
        <v>0</v>
      </c>
      <c r="AJ212">
        <f t="shared" si="440"/>
        <v>200</v>
      </c>
      <c r="AK212">
        <f t="shared" si="441"/>
        <v>39250</v>
      </c>
      <c r="AL212">
        <v>32500</v>
      </c>
      <c r="AM212">
        <f t="shared" si="442"/>
        <v>4550</v>
      </c>
      <c r="AN212">
        <f t="shared" si="443"/>
        <v>3900</v>
      </c>
      <c r="AO212">
        <v>0</v>
      </c>
      <c r="AP212">
        <v>500</v>
      </c>
      <c r="AQ212">
        <f t="shared" si="444"/>
        <v>41450</v>
      </c>
      <c r="AR212">
        <v>2000</v>
      </c>
      <c r="AS212">
        <v>0</v>
      </c>
      <c r="AT212">
        <f t="shared" si="445"/>
        <v>200</v>
      </c>
      <c r="AU212">
        <f t="shared" si="446"/>
        <v>39250</v>
      </c>
      <c r="AV212">
        <v>33500</v>
      </c>
      <c r="AW212">
        <f t="shared" si="447"/>
        <v>4690</v>
      </c>
      <c r="AX212">
        <f t="shared" si="448"/>
        <v>1300</v>
      </c>
      <c r="AY212">
        <f t="shared" si="449"/>
        <v>4020</v>
      </c>
      <c r="AZ212">
        <v>0</v>
      </c>
      <c r="BA212">
        <v>500</v>
      </c>
      <c r="BB212">
        <f t="shared" si="450"/>
        <v>44010</v>
      </c>
      <c r="BC212">
        <v>2500</v>
      </c>
      <c r="BD212">
        <v>0</v>
      </c>
      <c r="BE212">
        <f t="shared" si="451"/>
        <v>200</v>
      </c>
      <c r="BF212">
        <f t="shared" si="452"/>
        <v>41310</v>
      </c>
      <c r="BG212">
        <v>33500</v>
      </c>
      <c r="BH212">
        <f t="shared" si="453"/>
        <v>4690</v>
      </c>
      <c r="BI212">
        <f t="shared" si="454"/>
        <v>4020</v>
      </c>
      <c r="BJ212">
        <v>0</v>
      </c>
      <c r="BK212">
        <v>500</v>
      </c>
      <c r="BL212">
        <f t="shared" si="455"/>
        <v>42710</v>
      </c>
      <c r="BM212">
        <v>2500</v>
      </c>
      <c r="BN212">
        <v>0</v>
      </c>
      <c r="BO212">
        <f t="shared" si="456"/>
        <v>200</v>
      </c>
      <c r="BP212">
        <f t="shared" si="457"/>
        <v>40010</v>
      </c>
      <c r="BQ212">
        <v>33500</v>
      </c>
      <c r="BR212">
        <f t="shared" si="458"/>
        <v>4690</v>
      </c>
      <c r="BS212">
        <f t="shared" si="459"/>
        <v>4020</v>
      </c>
      <c r="BT212">
        <v>0</v>
      </c>
      <c r="BU212">
        <v>500</v>
      </c>
      <c r="BV212">
        <f t="shared" si="460"/>
        <v>42710</v>
      </c>
      <c r="BW212">
        <v>2500</v>
      </c>
      <c r="BX212">
        <v>0</v>
      </c>
      <c r="BY212">
        <f t="shared" si="461"/>
        <v>200</v>
      </c>
      <c r="BZ212">
        <f t="shared" si="462"/>
        <v>40010</v>
      </c>
      <c r="CA212">
        <v>33500</v>
      </c>
      <c r="CB212">
        <f t="shared" si="463"/>
        <v>4690</v>
      </c>
      <c r="CC212">
        <f t="shared" si="464"/>
        <v>4020</v>
      </c>
      <c r="CD212">
        <v>0</v>
      </c>
      <c r="CE212">
        <v>500</v>
      </c>
      <c r="CF212">
        <f t="shared" si="465"/>
        <v>42710</v>
      </c>
      <c r="CG212">
        <v>2500</v>
      </c>
      <c r="CH212">
        <v>0</v>
      </c>
      <c r="CI212">
        <f t="shared" si="466"/>
        <v>200</v>
      </c>
      <c r="CJ212">
        <f t="shared" si="467"/>
        <v>40010</v>
      </c>
      <c r="CK212">
        <v>33500</v>
      </c>
      <c r="CL212">
        <f t="shared" si="468"/>
        <v>4690</v>
      </c>
      <c r="CM212">
        <f t="shared" si="469"/>
        <v>4020</v>
      </c>
      <c r="CN212">
        <v>0</v>
      </c>
      <c r="CO212">
        <v>500</v>
      </c>
      <c r="CP212">
        <f t="shared" si="470"/>
        <v>42710</v>
      </c>
      <c r="CQ212">
        <v>2500</v>
      </c>
      <c r="CR212">
        <v>0</v>
      </c>
      <c r="CS212">
        <f t="shared" si="471"/>
        <v>200</v>
      </c>
      <c r="CT212">
        <f t="shared" si="472"/>
        <v>40010</v>
      </c>
      <c r="CU212">
        <v>34403</v>
      </c>
      <c r="CV212">
        <f t="shared" si="473"/>
        <v>4816</v>
      </c>
      <c r="CW212">
        <f t="shared" si="474"/>
        <v>4128</v>
      </c>
      <c r="CX212">
        <v>0</v>
      </c>
      <c r="CY212">
        <v>500</v>
      </c>
      <c r="CZ212">
        <f t="shared" si="475"/>
        <v>43847</v>
      </c>
      <c r="DA212">
        <v>2500</v>
      </c>
      <c r="DB212">
        <v>0</v>
      </c>
      <c r="DC212">
        <f t="shared" si="476"/>
        <v>200</v>
      </c>
      <c r="DD212">
        <f t="shared" si="477"/>
        <v>41147</v>
      </c>
      <c r="DE212">
        <v>34500</v>
      </c>
      <c r="DF212">
        <f t="shared" si="478"/>
        <v>4830.0000000000009</v>
      </c>
      <c r="DG212">
        <f t="shared" si="479"/>
        <v>4140</v>
      </c>
      <c r="DH212">
        <v>0</v>
      </c>
      <c r="DI212">
        <v>500</v>
      </c>
      <c r="DJ212">
        <f t="shared" si="480"/>
        <v>43970</v>
      </c>
      <c r="DK212">
        <v>2500</v>
      </c>
      <c r="DL212">
        <v>0</v>
      </c>
      <c r="DM212">
        <f t="shared" si="481"/>
        <v>200</v>
      </c>
      <c r="DN212">
        <f t="shared" si="482"/>
        <v>41270</v>
      </c>
      <c r="DO212">
        <v>34500</v>
      </c>
      <c r="DP212">
        <f t="shared" si="483"/>
        <v>4830.0000000000009</v>
      </c>
      <c r="DQ212">
        <f t="shared" si="484"/>
        <v>4140</v>
      </c>
      <c r="DR212">
        <v>0</v>
      </c>
      <c r="DS212">
        <v>500</v>
      </c>
      <c r="DT212">
        <f t="shared" si="485"/>
        <v>43970</v>
      </c>
      <c r="DU212">
        <v>2500</v>
      </c>
      <c r="DV212">
        <v>0</v>
      </c>
      <c r="DW212">
        <f t="shared" si="486"/>
        <v>200</v>
      </c>
      <c r="DX212">
        <f t="shared" si="487"/>
        <v>41270</v>
      </c>
      <c r="DY212">
        <f t="shared" si="488"/>
        <v>515837</v>
      </c>
      <c r="DZ212">
        <f t="shared" si="420"/>
        <v>2400</v>
      </c>
      <c r="EA212">
        <f t="shared" si="421"/>
        <v>50000</v>
      </c>
      <c r="EB212">
        <v>0</v>
      </c>
      <c r="EC212">
        <f t="shared" si="422"/>
        <v>463437</v>
      </c>
      <c r="ED212">
        <f t="shared" si="423"/>
        <v>28000</v>
      </c>
      <c r="EE212">
        <f t="shared" si="424"/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f t="shared" si="425"/>
        <v>28000</v>
      </c>
      <c r="EQ212">
        <f t="shared" si="489"/>
        <v>28000</v>
      </c>
      <c r="ER212">
        <f t="shared" si="426"/>
        <v>435437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f t="shared" si="490"/>
        <v>0</v>
      </c>
      <c r="FA212">
        <f t="shared" si="491"/>
        <v>435437</v>
      </c>
      <c r="FB212">
        <f t="shared" si="492"/>
        <v>9272</v>
      </c>
      <c r="FC212">
        <f t="shared" si="493"/>
        <v>0</v>
      </c>
      <c r="FD212">
        <f t="shared" si="494"/>
        <v>9272</v>
      </c>
      <c r="FE212">
        <f t="shared" si="495"/>
        <v>0</v>
      </c>
      <c r="FF212">
        <f t="shared" si="496"/>
        <v>0</v>
      </c>
      <c r="FG212">
        <f t="shared" si="497"/>
        <v>0</v>
      </c>
      <c r="FH212">
        <v>0</v>
      </c>
      <c r="FI212">
        <f t="shared" si="498"/>
        <v>0</v>
      </c>
      <c r="FJ212" t="b">
        <f t="shared" si="499"/>
        <v>1</v>
      </c>
      <c r="FK212">
        <f t="shared" ca="1" si="500"/>
        <v>705</v>
      </c>
      <c r="FL212">
        <f t="shared" ca="1" si="501"/>
        <v>516542</v>
      </c>
      <c r="FM212">
        <f t="shared" si="502"/>
        <v>75000</v>
      </c>
      <c r="FN212">
        <f t="shared" ca="1" si="503"/>
        <v>441542</v>
      </c>
      <c r="FO212">
        <f t="shared" ca="1" si="504"/>
        <v>0</v>
      </c>
      <c r="FP212">
        <f t="shared" ca="1" si="505"/>
        <v>0</v>
      </c>
      <c r="FQ212">
        <f t="shared" ca="1" si="506"/>
        <v>0</v>
      </c>
      <c r="FR212">
        <f t="shared" ca="1" si="507"/>
        <v>0</v>
      </c>
      <c r="FS212">
        <f t="shared" ca="1" si="508"/>
        <v>0</v>
      </c>
      <c r="FT212">
        <f t="shared" ca="1" si="509"/>
        <v>0</v>
      </c>
      <c r="FU212">
        <f t="shared" ca="1" si="510"/>
        <v>0</v>
      </c>
      <c r="FV212">
        <f t="shared" ca="1" si="511"/>
        <v>0</v>
      </c>
      <c r="FW212">
        <f t="shared" ca="1" si="512"/>
        <v>141542</v>
      </c>
      <c r="FX212">
        <f t="shared" ca="1" si="513"/>
        <v>7077.1</v>
      </c>
      <c r="FY212">
        <f t="shared" ca="1" si="514"/>
        <v>7077</v>
      </c>
      <c r="FZ212">
        <f t="shared" ca="1" si="515"/>
        <v>0</v>
      </c>
      <c r="GA212">
        <f t="shared" ca="1" si="516"/>
        <v>0</v>
      </c>
      <c r="GB212">
        <f t="shared" ca="1" si="517"/>
        <v>7077</v>
      </c>
      <c r="GC212">
        <f t="shared" ca="1" si="518"/>
        <v>0</v>
      </c>
      <c r="GD212" t="b">
        <f t="shared" ca="1" si="519"/>
        <v>0</v>
      </c>
      <c r="GE212">
        <f t="shared" ca="1" si="520"/>
        <v>0</v>
      </c>
      <c r="GF212">
        <f t="shared" ca="1" si="521"/>
        <v>7077</v>
      </c>
      <c r="GG212">
        <f t="shared" ca="1" si="522"/>
        <v>0</v>
      </c>
      <c r="GH212">
        <f t="shared" ca="1" si="523"/>
        <v>0</v>
      </c>
      <c r="GI212">
        <f t="shared" ca="1" si="524"/>
        <v>0</v>
      </c>
    </row>
    <row r="213" spans="1:191" x14ac:dyDescent="0.25">
      <c r="A213">
        <f>_xlfn.AGGREGATE(3,5,$B$2:B213)</f>
        <v>212</v>
      </c>
      <c r="B213" t="s">
        <v>544</v>
      </c>
      <c r="C213" t="s">
        <v>545</v>
      </c>
      <c r="D213" t="s">
        <v>816</v>
      </c>
      <c r="E213" t="s">
        <v>843</v>
      </c>
      <c r="F213">
        <v>0</v>
      </c>
      <c r="G213">
        <v>6000</v>
      </c>
      <c r="H213">
        <v>32500</v>
      </c>
      <c r="I213">
        <f t="shared" si="427"/>
        <v>3250</v>
      </c>
      <c r="J213">
        <f t="shared" si="428"/>
        <v>3900</v>
      </c>
      <c r="K213">
        <v>0</v>
      </c>
      <c r="L213">
        <v>0</v>
      </c>
      <c r="M213">
        <f t="shared" si="429"/>
        <v>39650</v>
      </c>
      <c r="N213">
        <v>2000</v>
      </c>
      <c r="O213">
        <v>0</v>
      </c>
      <c r="P213">
        <f t="shared" si="430"/>
        <v>150</v>
      </c>
      <c r="Q213">
        <f t="shared" si="431"/>
        <v>37500</v>
      </c>
      <c r="R213">
        <v>32500</v>
      </c>
      <c r="S213">
        <f t="shared" si="432"/>
        <v>3250</v>
      </c>
      <c r="T213">
        <f t="shared" si="433"/>
        <v>3900</v>
      </c>
      <c r="U213">
        <v>0</v>
      </c>
      <c r="V213">
        <v>0</v>
      </c>
      <c r="W213">
        <f t="shared" si="434"/>
        <v>39650</v>
      </c>
      <c r="X213">
        <v>2000</v>
      </c>
      <c r="Y213">
        <v>0</v>
      </c>
      <c r="Z213">
        <f t="shared" si="435"/>
        <v>150</v>
      </c>
      <c r="AA213">
        <f t="shared" si="436"/>
        <v>37500</v>
      </c>
      <c r="AB213">
        <v>32500</v>
      </c>
      <c r="AC213">
        <f t="shared" si="437"/>
        <v>4550</v>
      </c>
      <c r="AD213">
        <f t="shared" si="438"/>
        <v>3900</v>
      </c>
      <c r="AE213">
        <v>0</v>
      </c>
      <c r="AF213">
        <v>0</v>
      </c>
      <c r="AG213">
        <f t="shared" si="439"/>
        <v>40950</v>
      </c>
      <c r="AH213">
        <v>2000</v>
      </c>
      <c r="AI213">
        <v>0</v>
      </c>
      <c r="AJ213">
        <f t="shared" si="440"/>
        <v>200</v>
      </c>
      <c r="AK213">
        <f t="shared" si="441"/>
        <v>38750</v>
      </c>
      <c r="AL213">
        <v>32500</v>
      </c>
      <c r="AM213">
        <f t="shared" si="442"/>
        <v>4550</v>
      </c>
      <c r="AN213">
        <f t="shared" si="443"/>
        <v>3900</v>
      </c>
      <c r="AO213">
        <v>0</v>
      </c>
      <c r="AP213">
        <v>0</v>
      </c>
      <c r="AQ213">
        <f t="shared" si="444"/>
        <v>40950</v>
      </c>
      <c r="AR213">
        <v>2000</v>
      </c>
      <c r="AS213">
        <v>0</v>
      </c>
      <c r="AT213">
        <f t="shared" si="445"/>
        <v>200</v>
      </c>
      <c r="AU213">
        <f t="shared" si="446"/>
        <v>38750</v>
      </c>
      <c r="AV213">
        <v>33500</v>
      </c>
      <c r="AW213">
        <f t="shared" si="447"/>
        <v>4690</v>
      </c>
      <c r="AX213">
        <f t="shared" si="448"/>
        <v>1300</v>
      </c>
      <c r="AY213">
        <f t="shared" si="449"/>
        <v>4020</v>
      </c>
      <c r="AZ213">
        <v>0</v>
      </c>
      <c r="BA213">
        <v>0</v>
      </c>
      <c r="BB213">
        <f t="shared" si="450"/>
        <v>43510</v>
      </c>
      <c r="BC213">
        <v>2500</v>
      </c>
      <c r="BD213">
        <v>0</v>
      </c>
      <c r="BE213">
        <f t="shared" si="451"/>
        <v>200</v>
      </c>
      <c r="BF213">
        <f t="shared" si="452"/>
        <v>40810</v>
      </c>
      <c r="BG213">
        <v>33500</v>
      </c>
      <c r="BH213">
        <f t="shared" si="453"/>
        <v>4690</v>
      </c>
      <c r="BI213">
        <f t="shared" si="454"/>
        <v>4020</v>
      </c>
      <c r="BJ213">
        <v>0</v>
      </c>
      <c r="BK213">
        <v>0</v>
      </c>
      <c r="BL213">
        <f t="shared" si="455"/>
        <v>42210</v>
      </c>
      <c r="BM213">
        <v>2500</v>
      </c>
      <c r="BN213">
        <v>0</v>
      </c>
      <c r="BO213">
        <f t="shared" si="456"/>
        <v>200</v>
      </c>
      <c r="BP213">
        <f t="shared" si="457"/>
        <v>39510</v>
      </c>
      <c r="BQ213">
        <v>33500</v>
      </c>
      <c r="BR213">
        <f t="shared" si="458"/>
        <v>4690</v>
      </c>
      <c r="BS213">
        <f t="shared" si="459"/>
        <v>4020</v>
      </c>
      <c r="BT213">
        <v>0</v>
      </c>
      <c r="BU213">
        <v>0</v>
      </c>
      <c r="BV213">
        <f t="shared" si="460"/>
        <v>42210</v>
      </c>
      <c r="BW213">
        <v>2500</v>
      </c>
      <c r="BX213">
        <v>0</v>
      </c>
      <c r="BY213">
        <f t="shared" si="461"/>
        <v>200</v>
      </c>
      <c r="BZ213">
        <f t="shared" si="462"/>
        <v>39510</v>
      </c>
      <c r="CA213">
        <v>33500</v>
      </c>
      <c r="CB213">
        <f t="shared" si="463"/>
        <v>4690</v>
      </c>
      <c r="CC213">
        <f t="shared" si="464"/>
        <v>4020</v>
      </c>
      <c r="CD213">
        <v>0</v>
      </c>
      <c r="CE213">
        <v>0</v>
      </c>
      <c r="CF213">
        <f t="shared" si="465"/>
        <v>42210</v>
      </c>
      <c r="CG213">
        <v>2500</v>
      </c>
      <c r="CH213">
        <v>0</v>
      </c>
      <c r="CI213">
        <f t="shared" si="466"/>
        <v>200</v>
      </c>
      <c r="CJ213">
        <f t="shared" si="467"/>
        <v>39510</v>
      </c>
      <c r="CK213">
        <v>33500</v>
      </c>
      <c r="CL213">
        <f t="shared" si="468"/>
        <v>4690</v>
      </c>
      <c r="CM213">
        <f t="shared" si="469"/>
        <v>4020</v>
      </c>
      <c r="CN213">
        <v>0</v>
      </c>
      <c r="CO213">
        <v>0</v>
      </c>
      <c r="CP213">
        <f t="shared" si="470"/>
        <v>42210</v>
      </c>
      <c r="CQ213">
        <v>2500</v>
      </c>
      <c r="CR213">
        <v>0</v>
      </c>
      <c r="CS213">
        <f t="shared" si="471"/>
        <v>200</v>
      </c>
      <c r="CT213">
        <f t="shared" si="472"/>
        <v>39510</v>
      </c>
      <c r="CU213">
        <v>33500</v>
      </c>
      <c r="CV213">
        <f t="shared" si="473"/>
        <v>4690</v>
      </c>
      <c r="CW213">
        <f t="shared" si="474"/>
        <v>4020</v>
      </c>
      <c r="CX213">
        <v>0</v>
      </c>
      <c r="CY213">
        <v>0</v>
      </c>
      <c r="CZ213">
        <f t="shared" si="475"/>
        <v>42210</v>
      </c>
      <c r="DA213">
        <v>2500</v>
      </c>
      <c r="DB213">
        <v>0</v>
      </c>
      <c r="DC213">
        <f t="shared" si="476"/>
        <v>200</v>
      </c>
      <c r="DD213">
        <f t="shared" si="477"/>
        <v>39510</v>
      </c>
      <c r="DE213">
        <v>33500</v>
      </c>
      <c r="DF213">
        <f t="shared" si="478"/>
        <v>4690</v>
      </c>
      <c r="DG213">
        <f t="shared" si="479"/>
        <v>4020</v>
      </c>
      <c r="DH213">
        <v>0</v>
      </c>
      <c r="DI213">
        <v>0</v>
      </c>
      <c r="DJ213">
        <f t="shared" si="480"/>
        <v>42210</v>
      </c>
      <c r="DK213">
        <v>2500</v>
      </c>
      <c r="DL213">
        <v>0</v>
      </c>
      <c r="DM213">
        <f t="shared" si="481"/>
        <v>200</v>
      </c>
      <c r="DN213">
        <f t="shared" si="482"/>
        <v>39510</v>
      </c>
      <c r="DO213">
        <v>33500</v>
      </c>
      <c r="DP213">
        <f t="shared" si="483"/>
        <v>4690</v>
      </c>
      <c r="DQ213">
        <f t="shared" si="484"/>
        <v>4020</v>
      </c>
      <c r="DR213">
        <v>0</v>
      </c>
      <c r="DS213">
        <v>0</v>
      </c>
      <c r="DT213">
        <f t="shared" si="485"/>
        <v>42210</v>
      </c>
      <c r="DU213">
        <v>2500</v>
      </c>
      <c r="DV213">
        <v>0</v>
      </c>
      <c r="DW213">
        <f t="shared" si="486"/>
        <v>200</v>
      </c>
      <c r="DX213">
        <f t="shared" si="487"/>
        <v>39510</v>
      </c>
      <c r="DY213">
        <f t="shared" si="488"/>
        <v>506180</v>
      </c>
      <c r="DZ213">
        <f t="shared" si="420"/>
        <v>2300</v>
      </c>
      <c r="EA213">
        <f t="shared" si="421"/>
        <v>50000</v>
      </c>
      <c r="EB213">
        <v>0</v>
      </c>
      <c r="EC213">
        <f t="shared" si="422"/>
        <v>453880</v>
      </c>
      <c r="ED213">
        <f t="shared" si="423"/>
        <v>28000</v>
      </c>
      <c r="EE213">
        <f t="shared" si="424"/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f t="shared" si="425"/>
        <v>28000</v>
      </c>
      <c r="EQ213">
        <f t="shared" si="489"/>
        <v>28000</v>
      </c>
      <c r="ER213">
        <f t="shared" si="426"/>
        <v>425880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f t="shared" si="490"/>
        <v>0</v>
      </c>
      <c r="FA213">
        <f t="shared" si="491"/>
        <v>425880</v>
      </c>
      <c r="FB213">
        <f t="shared" si="492"/>
        <v>8794</v>
      </c>
      <c r="FC213">
        <f t="shared" si="493"/>
        <v>0</v>
      </c>
      <c r="FD213">
        <f t="shared" si="494"/>
        <v>8794</v>
      </c>
      <c r="FE213">
        <f t="shared" si="495"/>
        <v>0</v>
      </c>
      <c r="FF213">
        <f t="shared" si="496"/>
        <v>0</v>
      </c>
      <c r="FG213">
        <f t="shared" si="497"/>
        <v>0</v>
      </c>
      <c r="FH213">
        <v>0</v>
      </c>
      <c r="FI213">
        <f t="shared" si="498"/>
        <v>0</v>
      </c>
      <c r="FJ213" t="b">
        <f t="shared" si="499"/>
        <v>1</v>
      </c>
      <c r="FK213">
        <f t="shared" ca="1" si="500"/>
        <v>909</v>
      </c>
      <c r="FL213">
        <f t="shared" ca="1" si="501"/>
        <v>507089</v>
      </c>
      <c r="FM213">
        <f t="shared" si="502"/>
        <v>75000</v>
      </c>
      <c r="FN213">
        <f t="shared" ca="1" si="503"/>
        <v>432089</v>
      </c>
      <c r="FO213">
        <f t="shared" ca="1" si="504"/>
        <v>0</v>
      </c>
      <c r="FP213">
        <f t="shared" ca="1" si="505"/>
        <v>0</v>
      </c>
      <c r="FQ213">
        <f t="shared" ca="1" si="506"/>
        <v>0</v>
      </c>
      <c r="FR213">
        <f t="shared" ca="1" si="507"/>
        <v>0</v>
      </c>
      <c r="FS213">
        <f t="shared" ca="1" si="508"/>
        <v>0</v>
      </c>
      <c r="FT213">
        <f t="shared" ca="1" si="509"/>
        <v>0</v>
      </c>
      <c r="FU213">
        <f t="shared" ca="1" si="510"/>
        <v>0</v>
      </c>
      <c r="FV213">
        <f t="shared" ca="1" si="511"/>
        <v>0</v>
      </c>
      <c r="FW213">
        <f t="shared" ca="1" si="512"/>
        <v>132089</v>
      </c>
      <c r="FX213">
        <f t="shared" ca="1" si="513"/>
        <v>6604.4500000000007</v>
      </c>
      <c r="FY213">
        <f t="shared" ca="1" si="514"/>
        <v>6604</v>
      </c>
      <c r="FZ213">
        <f t="shared" ca="1" si="515"/>
        <v>0</v>
      </c>
      <c r="GA213">
        <f t="shared" ca="1" si="516"/>
        <v>0</v>
      </c>
      <c r="GB213">
        <f t="shared" ca="1" si="517"/>
        <v>6604</v>
      </c>
      <c r="GC213">
        <f t="shared" ca="1" si="518"/>
        <v>0</v>
      </c>
      <c r="GD213" t="b">
        <f t="shared" ca="1" si="519"/>
        <v>0</v>
      </c>
      <c r="GE213">
        <f t="shared" ca="1" si="520"/>
        <v>0</v>
      </c>
      <c r="GF213">
        <f t="shared" ca="1" si="521"/>
        <v>6604</v>
      </c>
      <c r="GG213">
        <f t="shared" ca="1" si="522"/>
        <v>0</v>
      </c>
      <c r="GH213">
        <f t="shared" ca="1" si="523"/>
        <v>0</v>
      </c>
      <c r="GI213">
        <f t="shared" ca="1" si="524"/>
        <v>0</v>
      </c>
    </row>
    <row r="214" spans="1:191" x14ac:dyDescent="0.25">
      <c r="A214">
        <f>_xlfn.AGGREGATE(3,5,$B$2:B214)</f>
        <v>213</v>
      </c>
      <c r="B214" t="s">
        <v>546</v>
      </c>
      <c r="C214" t="s">
        <v>547</v>
      </c>
      <c r="D214" t="s">
        <v>816</v>
      </c>
      <c r="E214" t="s">
        <v>843</v>
      </c>
      <c r="F214">
        <v>0</v>
      </c>
      <c r="G214">
        <v>6000</v>
      </c>
      <c r="H214">
        <v>32500</v>
      </c>
      <c r="I214">
        <f t="shared" si="427"/>
        <v>3250</v>
      </c>
      <c r="J214">
        <f t="shared" si="428"/>
        <v>3900</v>
      </c>
      <c r="K214">
        <v>0</v>
      </c>
      <c r="L214">
        <v>0</v>
      </c>
      <c r="M214">
        <f t="shared" si="429"/>
        <v>39650</v>
      </c>
      <c r="N214">
        <v>4000</v>
      </c>
      <c r="O214">
        <v>0</v>
      </c>
      <c r="P214">
        <f t="shared" si="430"/>
        <v>150</v>
      </c>
      <c r="Q214">
        <f t="shared" si="431"/>
        <v>35500</v>
      </c>
      <c r="R214">
        <v>32500</v>
      </c>
      <c r="S214">
        <f t="shared" si="432"/>
        <v>3250</v>
      </c>
      <c r="T214">
        <f t="shared" si="433"/>
        <v>3900</v>
      </c>
      <c r="U214">
        <v>0</v>
      </c>
      <c r="V214">
        <v>0</v>
      </c>
      <c r="W214">
        <f t="shared" si="434"/>
        <v>39650</v>
      </c>
      <c r="X214">
        <v>4000</v>
      </c>
      <c r="Y214">
        <v>0</v>
      </c>
      <c r="Z214">
        <f t="shared" si="435"/>
        <v>150</v>
      </c>
      <c r="AA214">
        <f t="shared" si="436"/>
        <v>35500</v>
      </c>
      <c r="AB214">
        <v>32500</v>
      </c>
      <c r="AC214">
        <f t="shared" si="437"/>
        <v>4550</v>
      </c>
      <c r="AD214">
        <f t="shared" si="438"/>
        <v>3900</v>
      </c>
      <c r="AE214">
        <v>0</v>
      </c>
      <c r="AF214">
        <v>0</v>
      </c>
      <c r="AG214">
        <f t="shared" si="439"/>
        <v>40950</v>
      </c>
      <c r="AH214">
        <v>4000</v>
      </c>
      <c r="AI214">
        <v>0</v>
      </c>
      <c r="AJ214">
        <f t="shared" si="440"/>
        <v>200</v>
      </c>
      <c r="AK214">
        <f t="shared" si="441"/>
        <v>36750</v>
      </c>
      <c r="AL214">
        <v>32500</v>
      </c>
      <c r="AM214">
        <f t="shared" si="442"/>
        <v>4550</v>
      </c>
      <c r="AN214">
        <f t="shared" si="443"/>
        <v>3900</v>
      </c>
      <c r="AO214">
        <v>0</v>
      </c>
      <c r="AP214">
        <v>500</v>
      </c>
      <c r="AQ214">
        <f t="shared" si="444"/>
        <v>41450</v>
      </c>
      <c r="AR214">
        <v>4000</v>
      </c>
      <c r="AS214">
        <v>0</v>
      </c>
      <c r="AT214">
        <f t="shared" si="445"/>
        <v>200</v>
      </c>
      <c r="AU214">
        <f t="shared" si="446"/>
        <v>37250</v>
      </c>
      <c r="AV214">
        <v>33500</v>
      </c>
      <c r="AW214">
        <f t="shared" si="447"/>
        <v>4690</v>
      </c>
      <c r="AX214">
        <f t="shared" si="448"/>
        <v>1300</v>
      </c>
      <c r="AY214">
        <f t="shared" si="449"/>
        <v>4020</v>
      </c>
      <c r="AZ214">
        <v>0</v>
      </c>
      <c r="BA214">
        <v>500</v>
      </c>
      <c r="BB214">
        <f t="shared" si="450"/>
        <v>44010</v>
      </c>
      <c r="BC214">
        <v>4000</v>
      </c>
      <c r="BD214">
        <v>0</v>
      </c>
      <c r="BE214">
        <f t="shared" si="451"/>
        <v>200</v>
      </c>
      <c r="BF214">
        <f t="shared" si="452"/>
        <v>39810</v>
      </c>
      <c r="BG214">
        <v>33500</v>
      </c>
      <c r="BH214">
        <f t="shared" si="453"/>
        <v>4690</v>
      </c>
      <c r="BI214">
        <f t="shared" si="454"/>
        <v>4020</v>
      </c>
      <c r="BJ214">
        <v>0</v>
      </c>
      <c r="BK214">
        <v>500</v>
      </c>
      <c r="BL214">
        <f t="shared" si="455"/>
        <v>42710</v>
      </c>
      <c r="BM214">
        <v>4000</v>
      </c>
      <c r="BN214">
        <v>0</v>
      </c>
      <c r="BO214">
        <f t="shared" si="456"/>
        <v>200</v>
      </c>
      <c r="BP214">
        <f t="shared" si="457"/>
        <v>38510</v>
      </c>
      <c r="BQ214">
        <v>33500</v>
      </c>
      <c r="BR214">
        <f t="shared" si="458"/>
        <v>4690</v>
      </c>
      <c r="BS214">
        <f t="shared" si="459"/>
        <v>4020</v>
      </c>
      <c r="BT214">
        <v>0</v>
      </c>
      <c r="BU214">
        <v>500</v>
      </c>
      <c r="BV214">
        <f t="shared" si="460"/>
        <v>42710</v>
      </c>
      <c r="BW214">
        <v>4000</v>
      </c>
      <c r="BX214">
        <v>0</v>
      </c>
      <c r="BY214">
        <f t="shared" si="461"/>
        <v>200</v>
      </c>
      <c r="BZ214">
        <f t="shared" si="462"/>
        <v>38510</v>
      </c>
      <c r="CA214">
        <v>33500</v>
      </c>
      <c r="CB214">
        <f t="shared" si="463"/>
        <v>4690</v>
      </c>
      <c r="CC214">
        <f t="shared" si="464"/>
        <v>4020</v>
      </c>
      <c r="CD214">
        <v>0</v>
      </c>
      <c r="CE214">
        <v>500</v>
      </c>
      <c r="CF214">
        <f t="shared" si="465"/>
        <v>42710</v>
      </c>
      <c r="CG214">
        <v>4000</v>
      </c>
      <c r="CH214">
        <v>0</v>
      </c>
      <c r="CI214">
        <f t="shared" si="466"/>
        <v>200</v>
      </c>
      <c r="CJ214">
        <f t="shared" si="467"/>
        <v>38510</v>
      </c>
      <c r="CK214">
        <v>33500</v>
      </c>
      <c r="CL214">
        <f t="shared" si="468"/>
        <v>4690</v>
      </c>
      <c r="CM214">
        <f t="shared" si="469"/>
        <v>4020</v>
      </c>
      <c r="CN214">
        <v>0</v>
      </c>
      <c r="CO214">
        <v>500</v>
      </c>
      <c r="CP214">
        <f t="shared" si="470"/>
        <v>42710</v>
      </c>
      <c r="CQ214">
        <v>4000</v>
      </c>
      <c r="CR214">
        <v>0</v>
      </c>
      <c r="CS214">
        <f t="shared" si="471"/>
        <v>200</v>
      </c>
      <c r="CT214">
        <f t="shared" si="472"/>
        <v>38510</v>
      </c>
      <c r="CU214">
        <v>33500</v>
      </c>
      <c r="CV214">
        <f t="shared" si="473"/>
        <v>4690</v>
      </c>
      <c r="CW214">
        <f t="shared" si="474"/>
        <v>4020</v>
      </c>
      <c r="CX214">
        <v>0</v>
      </c>
      <c r="CY214">
        <v>500</v>
      </c>
      <c r="CZ214">
        <f t="shared" si="475"/>
        <v>42710</v>
      </c>
      <c r="DA214">
        <v>4000</v>
      </c>
      <c r="DB214">
        <v>0</v>
      </c>
      <c r="DC214">
        <f t="shared" si="476"/>
        <v>200</v>
      </c>
      <c r="DD214">
        <f t="shared" si="477"/>
        <v>38510</v>
      </c>
      <c r="DE214">
        <v>33500</v>
      </c>
      <c r="DF214">
        <f t="shared" si="478"/>
        <v>4690</v>
      </c>
      <c r="DG214">
        <f t="shared" si="479"/>
        <v>4020</v>
      </c>
      <c r="DH214">
        <v>0</v>
      </c>
      <c r="DI214">
        <v>500</v>
      </c>
      <c r="DJ214">
        <f t="shared" si="480"/>
        <v>42710</v>
      </c>
      <c r="DK214">
        <v>4000</v>
      </c>
      <c r="DL214">
        <v>0</v>
      </c>
      <c r="DM214">
        <f t="shared" si="481"/>
        <v>200</v>
      </c>
      <c r="DN214">
        <f t="shared" si="482"/>
        <v>38510</v>
      </c>
      <c r="DO214">
        <v>33500</v>
      </c>
      <c r="DP214">
        <f t="shared" si="483"/>
        <v>4690</v>
      </c>
      <c r="DQ214">
        <f t="shared" si="484"/>
        <v>4020</v>
      </c>
      <c r="DR214">
        <v>0</v>
      </c>
      <c r="DS214">
        <v>500</v>
      </c>
      <c r="DT214">
        <f t="shared" si="485"/>
        <v>42710</v>
      </c>
      <c r="DU214">
        <v>4000</v>
      </c>
      <c r="DV214">
        <v>0</v>
      </c>
      <c r="DW214">
        <f t="shared" si="486"/>
        <v>200</v>
      </c>
      <c r="DX214">
        <f t="shared" si="487"/>
        <v>38510</v>
      </c>
      <c r="DY214">
        <f t="shared" si="488"/>
        <v>510680</v>
      </c>
      <c r="DZ214">
        <f t="shared" si="420"/>
        <v>2300</v>
      </c>
      <c r="EA214">
        <f t="shared" si="421"/>
        <v>50000</v>
      </c>
      <c r="EB214">
        <v>0</v>
      </c>
      <c r="EC214">
        <f t="shared" si="422"/>
        <v>458380</v>
      </c>
      <c r="ED214">
        <f t="shared" si="423"/>
        <v>48000</v>
      </c>
      <c r="EE214">
        <f t="shared" si="424"/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f t="shared" si="425"/>
        <v>48000</v>
      </c>
      <c r="EQ214">
        <f t="shared" si="489"/>
        <v>48000</v>
      </c>
      <c r="ER214">
        <f t="shared" si="426"/>
        <v>410380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f t="shared" si="490"/>
        <v>0</v>
      </c>
      <c r="FA214">
        <f t="shared" si="491"/>
        <v>410380</v>
      </c>
      <c r="FB214">
        <f t="shared" si="492"/>
        <v>8019</v>
      </c>
      <c r="FC214">
        <f t="shared" si="493"/>
        <v>0</v>
      </c>
      <c r="FD214">
        <f t="shared" si="494"/>
        <v>8019</v>
      </c>
      <c r="FE214">
        <f t="shared" si="495"/>
        <v>0</v>
      </c>
      <c r="FF214">
        <f t="shared" si="496"/>
        <v>0</v>
      </c>
      <c r="FG214">
        <f t="shared" si="497"/>
        <v>0</v>
      </c>
      <c r="FH214">
        <v>0</v>
      </c>
      <c r="FI214">
        <f t="shared" si="498"/>
        <v>0</v>
      </c>
      <c r="FJ214" t="b">
        <f t="shared" si="499"/>
        <v>1</v>
      </c>
      <c r="FK214">
        <f t="shared" ca="1" si="500"/>
        <v>820</v>
      </c>
      <c r="FL214">
        <f t="shared" ca="1" si="501"/>
        <v>511500</v>
      </c>
      <c r="FM214">
        <f t="shared" si="502"/>
        <v>75000</v>
      </c>
      <c r="FN214">
        <f t="shared" ca="1" si="503"/>
        <v>436500</v>
      </c>
      <c r="FO214">
        <f t="shared" ca="1" si="504"/>
        <v>0</v>
      </c>
      <c r="FP214">
        <f t="shared" ca="1" si="505"/>
        <v>0</v>
      </c>
      <c r="FQ214">
        <f t="shared" ca="1" si="506"/>
        <v>0</v>
      </c>
      <c r="FR214">
        <f t="shared" ca="1" si="507"/>
        <v>0</v>
      </c>
      <c r="FS214">
        <f t="shared" ca="1" si="508"/>
        <v>0</v>
      </c>
      <c r="FT214">
        <f t="shared" ca="1" si="509"/>
        <v>0</v>
      </c>
      <c r="FU214">
        <f t="shared" ca="1" si="510"/>
        <v>0</v>
      </c>
      <c r="FV214">
        <f t="shared" ca="1" si="511"/>
        <v>0</v>
      </c>
      <c r="FW214">
        <f t="shared" ca="1" si="512"/>
        <v>136500</v>
      </c>
      <c r="FX214">
        <f t="shared" ca="1" si="513"/>
        <v>6825</v>
      </c>
      <c r="FY214">
        <f t="shared" ca="1" si="514"/>
        <v>6825</v>
      </c>
      <c r="FZ214">
        <f t="shared" ca="1" si="515"/>
        <v>0</v>
      </c>
      <c r="GA214">
        <f t="shared" ca="1" si="516"/>
        <v>0</v>
      </c>
      <c r="GB214">
        <f t="shared" ca="1" si="517"/>
        <v>6825</v>
      </c>
      <c r="GC214">
        <f t="shared" ca="1" si="518"/>
        <v>0</v>
      </c>
      <c r="GD214" t="b">
        <f t="shared" ca="1" si="519"/>
        <v>0</v>
      </c>
      <c r="GE214">
        <f t="shared" ca="1" si="520"/>
        <v>0</v>
      </c>
      <c r="GF214">
        <f t="shared" ca="1" si="521"/>
        <v>6825</v>
      </c>
      <c r="GG214">
        <f t="shared" ca="1" si="522"/>
        <v>0</v>
      </c>
      <c r="GH214">
        <f t="shared" ca="1" si="523"/>
        <v>0</v>
      </c>
      <c r="GI214">
        <f t="shared" ca="1" si="524"/>
        <v>0</v>
      </c>
    </row>
    <row r="215" spans="1:191" x14ac:dyDescent="0.25">
      <c r="A215">
        <f>_xlfn.AGGREGATE(3,5,$B$2:B215)</f>
        <v>214</v>
      </c>
      <c r="B215" t="s">
        <v>548</v>
      </c>
      <c r="C215" t="s">
        <v>549</v>
      </c>
      <c r="D215" t="s">
        <v>816</v>
      </c>
      <c r="E215" t="s">
        <v>843</v>
      </c>
      <c r="F215">
        <v>0</v>
      </c>
      <c r="G215">
        <v>0</v>
      </c>
      <c r="H215">
        <v>0</v>
      </c>
      <c r="I215">
        <f t="shared" si="427"/>
        <v>0</v>
      </c>
      <c r="J215">
        <f t="shared" si="428"/>
        <v>0</v>
      </c>
      <c r="K215">
        <v>0</v>
      </c>
      <c r="L215">
        <v>0</v>
      </c>
      <c r="M215">
        <f t="shared" si="429"/>
        <v>0</v>
      </c>
      <c r="N215">
        <v>0</v>
      </c>
      <c r="O215">
        <v>0</v>
      </c>
      <c r="P215">
        <f t="shared" si="430"/>
        <v>0</v>
      </c>
      <c r="Q215">
        <f t="shared" si="431"/>
        <v>0</v>
      </c>
      <c r="R215">
        <v>0</v>
      </c>
      <c r="S215">
        <f t="shared" si="432"/>
        <v>0</v>
      </c>
      <c r="T215">
        <f t="shared" si="433"/>
        <v>0</v>
      </c>
      <c r="U215">
        <v>0</v>
      </c>
      <c r="V215">
        <v>0</v>
      </c>
      <c r="W215">
        <f t="shared" si="434"/>
        <v>0</v>
      </c>
      <c r="X215">
        <v>0</v>
      </c>
      <c r="Y215">
        <v>0</v>
      </c>
      <c r="Z215">
        <f t="shared" si="435"/>
        <v>0</v>
      </c>
      <c r="AA215">
        <f t="shared" si="436"/>
        <v>0</v>
      </c>
      <c r="AB215">
        <v>0</v>
      </c>
      <c r="AC215">
        <f t="shared" si="437"/>
        <v>0</v>
      </c>
      <c r="AD215">
        <f t="shared" si="438"/>
        <v>0</v>
      </c>
      <c r="AE215">
        <v>0</v>
      </c>
      <c r="AF215">
        <v>0</v>
      </c>
      <c r="AG215">
        <f t="shared" si="439"/>
        <v>0</v>
      </c>
      <c r="AH215">
        <v>0</v>
      </c>
      <c r="AI215">
        <v>0</v>
      </c>
      <c r="AJ215">
        <f t="shared" si="440"/>
        <v>0</v>
      </c>
      <c r="AK215">
        <f t="shared" si="441"/>
        <v>0</v>
      </c>
      <c r="AL215">
        <v>0</v>
      </c>
      <c r="AM215">
        <f t="shared" si="442"/>
        <v>0</v>
      </c>
      <c r="AN215">
        <f t="shared" si="443"/>
        <v>0</v>
      </c>
      <c r="AO215">
        <v>0</v>
      </c>
      <c r="AP215">
        <v>0</v>
      </c>
      <c r="AQ215">
        <f t="shared" si="444"/>
        <v>0</v>
      </c>
      <c r="AR215">
        <v>0</v>
      </c>
      <c r="AS215">
        <v>0</v>
      </c>
      <c r="AT215">
        <f t="shared" si="445"/>
        <v>0</v>
      </c>
      <c r="AU215">
        <f t="shared" si="446"/>
        <v>0</v>
      </c>
      <c r="AV215">
        <v>0</v>
      </c>
      <c r="AW215">
        <f t="shared" si="447"/>
        <v>0</v>
      </c>
      <c r="AX215">
        <f t="shared" si="448"/>
        <v>0</v>
      </c>
      <c r="AY215">
        <f t="shared" si="449"/>
        <v>0</v>
      </c>
      <c r="AZ215">
        <v>0</v>
      </c>
      <c r="BA215">
        <v>0</v>
      </c>
      <c r="BB215">
        <f t="shared" si="450"/>
        <v>0</v>
      </c>
      <c r="BC215">
        <v>0</v>
      </c>
      <c r="BD215">
        <v>0</v>
      </c>
      <c r="BE215">
        <f t="shared" si="451"/>
        <v>0</v>
      </c>
      <c r="BF215">
        <f t="shared" si="452"/>
        <v>0</v>
      </c>
      <c r="BG215">
        <v>24700</v>
      </c>
      <c r="BH215">
        <f t="shared" si="453"/>
        <v>3458.0000000000005</v>
      </c>
      <c r="BI215">
        <f t="shared" si="454"/>
        <v>2964</v>
      </c>
      <c r="BJ215">
        <v>0</v>
      </c>
      <c r="BK215">
        <v>500</v>
      </c>
      <c r="BL215">
        <f t="shared" si="455"/>
        <v>31622</v>
      </c>
      <c r="BM215">
        <v>0</v>
      </c>
      <c r="BN215">
        <v>0</v>
      </c>
      <c r="BO215">
        <f t="shared" si="456"/>
        <v>150</v>
      </c>
      <c r="BP215">
        <f t="shared" si="457"/>
        <v>31472</v>
      </c>
      <c r="BQ215">
        <v>24700</v>
      </c>
      <c r="BR215">
        <f t="shared" si="458"/>
        <v>3458.0000000000005</v>
      </c>
      <c r="BS215">
        <f t="shared" si="459"/>
        <v>2964</v>
      </c>
      <c r="BT215">
        <v>0</v>
      </c>
      <c r="BU215">
        <v>500</v>
      </c>
      <c r="BV215">
        <f t="shared" si="460"/>
        <v>31622</v>
      </c>
      <c r="BW215">
        <v>0</v>
      </c>
      <c r="BX215">
        <v>0</v>
      </c>
      <c r="BY215">
        <f t="shared" si="461"/>
        <v>150</v>
      </c>
      <c r="BZ215">
        <f t="shared" si="462"/>
        <v>31472</v>
      </c>
      <c r="CA215">
        <v>24700</v>
      </c>
      <c r="CB215">
        <f t="shared" si="463"/>
        <v>3458.0000000000005</v>
      </c>
      <c r="CC215">
        <f t="shared" si="464"/>
        <v>2964</v>
      </c>
      <c r="CD215">
        <v>0</v>
      </c>
      <c r="CE215">
        <v>500</v>
      </c>
      <c r="CF215">
        <f t="shared" si="465"/>
        <v>31622</v>
      </c>
      <c r="CG215">
        <v>0</v>
      </c>
      <c r="CH215">
        <v>0</v>
      </c>
      <c r="CI215">
        <f t="shared" si="466"/>
        <v>150</v>
      </c>
      <c r="CJ215">
        <f t="shared" si="467"/>
        <v>31472</v>
      </c>
      <c r="CK215">
        <v>24700</v>
      </c>
      <c r="CL215">
        <f t="shared" si="468"/>
        <v>3458.0000000000005</v>
      </c>
      <c r="CM215">
        <f t="shared" si="469"/>
        <v>2964</v>
      </c>
      <c r="CN215">
        <v>0</v>
      </c>
      <c r="CO215">
        <v>500</v>
      </c>
      <c r="CP215">
        <f t="shared" si="470"/>
        <v>31622</v>
      </c>
      <c r="CQ215">
        <v>0</v>
      </c>
      <c r="CR215">
        <v>0</v>
      </c>
      <c r="CS215">
        <f t="shared" si="471"/>
        <v>150</v>
      </c>
      <c r="CT215">
        <f t="shared" si="472"/>
        <v>31472</v>
      </c>
      <c r="CU215">
        <v>24700</v>
      </c>
      <c r="CV215">
        <f t="shared" si="473"/>
        <v>3458</v>
      </c>
      <c r="CW215">
        <f t="shared" si="474"/>
        <v>2964</v>
      </c>
      <c r="CX215">
        <v>0</v>
      </c>
      <c r="CY215">
        <v>500</v>
      </c>
      <c r="CZ215">
        <f t="shared" si="475"/>
        <v>31622</v>
      </c>
      <c r="DA215">
        <v>0</v>
      </c>
      <c r="DB215">
        <v>0</v>
      </c>
      <c r="DC215">
        <f t="shared" si="476"/>
        <v>150</v>
      </c>
      <c r="DD215">
        <f t="shared" si="477"/>
        <v>31472</v>
      </c>
      <c r="DE215">
        <v>24700</v>
      </c>
      <c r="DF215">
        <f t="shared" si="478"/>
        <v>3458.0000000000005</v>
      </c>
      <c r="DG215">
        <f t="shared" si="479"/>
        <v>2964</v>
      </c>
      <c r="DH215">
        <v>0</v>
      </c>
      <c r="DI215">
        <v>500</v>
      </c>
      <c r="DJ215">
        <f t="shared" si="480"/>
        <v>31622</v>
      </c>
      <c r="DK215">
        <v>0</v>
      </c>
      <c r="DL215">
        <v>0</v>
      </c>
      <c r="DM215">
        <f t="shared" si="481"/>
        <v>150</v>
      </c>
      <c r="DN215">
        <f t="shared" si="482"/>
        <v>31472</v>
      </c>
      <c r="DO215">
        <v>24700</v>
      </c>
      <c r="DP215">
        <f t="shared" si="483"/>
        <v>3458.0000000000005</v>
      </c>
      <c r="DQ215">
        <f t="shared" si="484"/>
        <v>2964</v>
      </c>
      <c r="DR215">
        <v>0</v>
      </c>
      <c r="DS215">
        <v>500</v>
      </c>
      <c r="DT215">
        <f t="shared" si="485"/>
        <v>31622</v>
      </c>
      <c r="DU215">
        <v>0</v>
      </c>
      <c r="DV215">
        <v>0</v>
      </c>
      <c r="DW215">
        <f t="shared" si="486"/>
        <v>150</v>
      </c>
      <c r="DX215">
        <f t="shared" si="487"/>
        <v>31472</v>
      </c>
      <c r="DY215">
        <f t="shared" si="488"/>
        <v>221354</v>
      </c>
      <c r="DZ215">
        <f t="shared" si="420"/>
        <v>1050</v>
      </c>
      <c r="EA215">
        <f t="shared" si="421"/>
        <v>50000</v>
      </c>
      <c r="EB215">
        <v>0</v>
      </c>
      <c r="EC215">
        <f t="shared" si="422"/>
        <v>170304</v>
      </c>
      <c r="ED215">
        <f t="shared" si="423"/>
        <v>0</v>
      </c>
      <c r="EE215">
        <f t="shared" si="424"/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f t="shared" si="425"/>
        <v>0</v>
      </c>
      <c r="EQ215">
        <f t="shared" si="489"/>
        <v>0</v>
      </c>
      <c r="ER215">
        <f t="shared" si="426"/>
        <v>170304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f t="shared" si="490"/>
        <v>0</v>
      </c>
      <c r="FA215">
        <f t="shared" si="491"/>
        <v>170304</v>
      </c>
      <c r="FB215">
        <f t="shared" si="492"/>
        <v>-3985</v>
      </c>
      <c r="FC215">
        <f t="shared" si="493"/>
        <v>0</v>
      </c>
      <c r="FD215">
        <f t="shared" si="494"/>
        <v>-3985</v>
      </c>
      <c r="FE215">
        <f t="shared" si="495"/>
        <v>0</v>
      </c>
      <c r="FF215">
        <f t="shared" si="496"/>
        <v>0</v>
      </c>
      <c r="FG215">
        <f t="shared" si="497"/>
        <v>0</v>
      </c>
      <c r="FH215">
        <v>0</v>
      </c>
      <c r="FI215">
        <f t="shared" si="498"/>
        <v>0</v>
      </c>
      <c r="FJ215" t="b">
        <f t="shared" si="499"/>
        <v>0</v>
      </c>
      <c r="FK215">
        <f t="shared" ca="1" si="500"/>
        <v>1143</v>
      </c>
      <c r="FL215">
        <f t="shared" ca="1" si="501"/>
        <v>222497</v>
      </c>
      <c r="FM215">
        <f t="shared" si="502"/>
        <v>75000</v>
      </c>
      <c r="FN215">
        <f t="shared" ca="1" si="503"/>
        <v>147497</v>
      </c>
      <c r="FO215">
        <f t="shared" ca="1" si="504"/>
        <v>0</v>
      </c>
      <c r="FP215">
        <f t="shared" ca="1" si="505"/>
        <v>0</v>
      </c>
      <c r="FQ215">
        <f t="shared" ca="1" si="506"/>
        <v>0</v>
      </c>
      <c r="FR215">
        <f t="shared" ca="1" si="507"/>
        <v>0</v>
      </c>
      <c r="FS215">
        <f t="shared" ca="1" si="508"/>
        <v>0</v>
      </c>
      <c r="FT215">
        <f t="shared" ca="1" si="509"/>
        <v>0</v>
      </c>
      <c r="FU215">
        <f t="shared" ca="1" si="510"/>
        <v>0</v>
      </c>
      <c r="FV215">
        <f t="shared" ca="1" si="511"/>
        <v>0</v>
      </c>
      <c r="FW215">
        <f t="shared" ca="1" si="512"/>
        <v>0</v>
      </c>
      <c r="FX215">
        <f t="shared" ca="1" si="513"/>
        <v>0</v>
      </c>
      <c r="FY215">
        <f t="shared" ca="1" si="514"/>
        <v>0</v>
      </c>
      <c r="FZ215">
        <f t="shared" ca="1" si="515"/>
        <v>0</v>
      </c>
      <c r="GA215">
        <f t="shared" ca="1" si="516"/>
        <v>0</v>
      </c>
      <c r="GB215">
        <f t="shared" ca="1" si="517"/>
        <v>0</v>
      </c>
      <c r="GC215">
        <f t="shared" ca="1" si="518"/>
        <v>0</v>
      </c>
      <c r="GD215" t="b">
        <f t="shared" ca="1" si="519"/>
        <v>0</v>
      </c>
      <c r="GE215">
        <f t="shared" ca="1" si="520"/>
        <v>0</v>
      </c>
      <c r="GF215">
        <f t="shared" ca="1" si="521"/>
        <v>0</v>
      </c>
      <c r="GG215">
        <f t="shared" ca="1" si="522"/>
        <v>0</v>
      </c>
      <c r="GH215">
        <f t="shared" ca="1" si="523"/>
        <v>0</v>
      </c>
      <c r="GI215">
        <f t="shared" ca="1" si="524"/>
        <v>0</v>
      </c>
    </row>
    <row r="216" spans="1:191" x14ac:dyDescent="0.25">
      <c r="A216">
        <f>_xlfn.AGGREGATE(3,5,$B$2:B216)</f>
        <v>215</v>
      </c>
      <c r="B216" t="s">
        <v>550</v>
      </c>
      <c r="C216" t="s">
        <v>551</v>
      </c>
      <c r="D216" t="s">
        <v>817</v>
      </c>
      <c r="E216" t="s">
        <v>844</v>
      </c>
      <c r="F216">
        <v>0</v>
      </c>
      <c r="G216">
        <v>0</v>
      </c>
      <c r="H216">
        <v>50200</v>
      </c>
      <c r="I216">
        <f t="shared" si="427"/>
        <v>5020</v>
      </c>
      <c r="J216">
        <f t="shared" si="428"/>
        <v>6024</v>
      </c>
      <c r="K216">
        <v>400</v>
      </c>
      <c r="L216">
        <v>500</v>
      </c>
      <c r="M216">
        <f t="shared" si="429"/>
        <v>62144</v>
      </c>
      <c r="N216">
        <v>10000</v>
      </c>
      <c r="O216">
        <v>0</v>
      </c>
      <c r="P216">
        <f t="shared" si="430"/>
        <v>200</v>
      </c>
      <c r="Q216">
        <f t="shared" si="431"/>
        <v>51944</v>
      </c>
      <c r="R216">
        <v>50200</v>
      </c>
      <c r="S216">
        <f t="shared" si="432"/>
        <v>5020</v>
      </c>
      <c r="T216">
        <f t="shared" si="433"/>
        <v>6024</v>
      </c>
      <c r="U216">
        <v>400</v>
      </c>
      <c r="V216">
        <v>500</v>
      </c>
      <c r="W216">
        <f t="shared" si="434"/>
        <v>62144</v>
      </c>
      <c r="X216">
        <v>10000</v>
      </c>
      <c r="Y216">
        <v>0</v>
      </c>
      <c r="Z216">
        <f t="shared" si="435"/>
        <v>200</v>
      </c>
      <c r="AA216">
        <f t="shared" si="436"/>
        <v>51944</v>
      </c>
      <c r="AB216">
        <v>50200</v>
      </c>
      <c r="AC216">
        <f t="shared" si="437"/>
        <v>7028.0000000000009</v>
      </c>
      <c r="AD216">
        <f t="shared" si="438"/>
        <v>6024</v>
      </c>
      <c r="AE216">
        <v>400</v>
      </c>
      <c r="AF216">
        <v>500</v>
      </c>
      <c r="AG216">
        <f t="shared" si="439"/>
        <v>64152</v>
      </c>
      <c r="AH216">
        <v>10000</v>
      </c>
      <c r="AI216">
        <v>0</v>
      </c>
      <c r="AJ216">
        <f t="shared" si="440"/>
        <v>200</v>
      </c>
      <c r="AK216">
        <f t="shared" si="441"/>
        <v>53952</v>
      </c>
      <c r="AL216">
        <v>50200</v>
      </c>
      <c r="AM216">
        <f t="shared" si="442"/>
        <v>7028.0000000000009</v>
      </c>
      <c r="AN216">
        <f t="shared" si="443"/>
        <v>6024</v>
      </c>
      <c r="AO216">
        <v>400</v>
      </c>
      <c r="AP216">
        <v>500</v>
      </c>
      <c r="AQ216">
        <f t="shared" si="444"/>
        <v>64152</v>
      </c>
      <c r="AR216">
        <v>10000</v>
      </c>
      <c r="AS216">
        <v>0</v>
      </c>
      <c r="AT216">
        <f t="shared" si="445"/>
        <v>200</v>
      </c>
      <c r="AU216">
        <f t="shared" si="446"/>
        <v>53952</v>
      </c>
      <c r="AV216">
        <v>51700</v>
      </c>
      <c r="AW216">
        <f t="shared" si="447"/>
        <v>7238.0000000000009</v>
      </c>
      <c r="AX216">
        <f t="shared" si="448"/>
        <v>2008</v>
      </c>
      <c r="AY216">
        <f t="shared" si="449"/>
        <v>6204</v>
      </c>
      <c r="AZ216">
        <v>400</v>
      </c>
      <c r="BA216">
        <v>500</v>
      </c>
      <c r="BB216">
        <f t="shared" si="450"/>
        <v>68050</v>
      </c>
      <c r="BC216">
        <v>10000</v>
      </c>
      <c r="BD216">
        <v>0</v>
      </c>
      <c r="BE216">
        <f t="shared" si="451"/>
        <v>200</v>
      </c>
      <c r="BF216">
        <f t="shared" si="452"/>
        <v>57850</v>
      </c>
      <c r="BG216">
        <v>51700</v>
      </c>
      <c r="BH216">
        <f t="shared" si="453"/>
        <v>7238.0000000000009</v>
      </c>
      <c r="BI216">
        <f t="shared" si="454"/>
        <v>6204</v>
      </c>
      <c r="BJ216">
        <v>400</v>
      </c>
      <c r="BK216">
        <v>500</v>
      </c>
      <c r="BL216">
        <f t="shared" si="455"/>
        <v>66042</v>
      </c>
      <c r="BM216">
        <v>10000</v>
      </c>
      <c r="BN216">
        <v>0</v>
      </c>
      <c r="BO216">
        <f t="shared" si="456"/>
        <v>200</v>
      </c>
      <c r="BP216">
        <f t="shared" si="457"/>
        <v>55842</v>
      </c>
      <c r="BQ216">
        <v>51700</v>
      </c>
      <c r="BR216">
        <f t="shared" si="458"/>
        <v>7238.0000000000009</v>
      </c>
      <c r="BS216">
        <f t="shared" si="459"/>
        <v>6204</v>
      </c>
      <c r="BT216">
        <v>400</v>
      </c>
      <c r="BU216">
        <v>500</v>
      </c>
      <c r="BV216">
        <f t="shared" si="460"/>
        <v>66042</v>
      </c>
      <c r="BW216">
        <v>10000</v>
      </c>
      <c r="BX216">
        <v>0</v>
      </c>
      <c r="BY216">
        <f t="shared" si="461"/>
        <v>200</v>
      </c>
      <c r="BZ216">
        <f t="shared" si="462"/>
        <v>55842</v>
      </c>
      <c r="CA216">
        <v>51700</v>
      </c>
      <c r="CB216">
        <f t="shared" si="463"/>
        <v>7238.0000000000009</v>
      </c>
      <c r="CC216">
        <f t="shared" si="464"/>
        <v>6204</v>
      </c>
      <c r="CD216">
        <v>400</v>
      </c>
      <c r="CE216">
        <v>500</v>
      </c>
      <c r="CF216">
        <f t="shared" si="465"/>
        <v>66042</v>
      </c>
      <c r="CG216">
        <v>10000</v>
      </c>
      <c r="CH216">
        <v>0</v>
      </c>
      <c r="CI216">
        <f t="shared" si="466"/>
        <v>200</v>
      </c>
      <c r="CJ216">
        <f t="shared" si="467"/>
        <v>55842</v>
      </c>
      <c r="CK216">
        <v>51700</v>
      </c>
      <c r="CL216">
        <f t="shared" si="468"/>
        <v>7238.0000000000009</v>
      </c>
      <c r="CM216">
        <f t="shared" si="469"/>
        <v>6204</v>
      </c>
      <c r="CN216">
        <v>400</v>
      </c>
      <c r="CO216">
        <v>500</v>
      </c>
      <c r="CP216">
        <f t="shared" si="470"/>
        <v>66042</v>
      </c>
      <c r="CQ216">
        <v>10000</v>
      </c>
      <c r="CR216">
        <v>0</v>
      </c>
      <c r="CS216">
        <f t="shared" si="471"/>
        <v>200</v>
      </c>
      <c r="CT216">
        <f t="shared" si="472"/>
        <v>55842</v>
      </c>
      <c r="CU216">
        <v>51700</v>
      </c>
      <c r="CV216">
        <f t="shared" si="473"/>
        <v>7238</v>
      </c>
      <c r="CW216">
        <f t="shared" si="474"/>
        <v>6204</v>
      </c>
      <c r="CX216">
        <v>400</v>
      </c>
      <c r="CY216">
        <v>500</v>
      </c>
      <c r="CZ216">
        <f t="shared" si="475"/>
        <v>66042</v>
      </c>
      <c r="DA216">
        <v>10000</v>
      </c>
      <c r="DB216">
        <v>0</v>
      </c>
      <c r="DC216">
        <f t="shared" si="476"/>
        <v>200</v>
      </c>
      <c r="DD216">
        <f t="shared" si="477"/>
        <v>55842</v>
      </c>
      <c r="DE216">
        <v>51700</v>
      </c>
      <c r="DF216">
        <f t="shared" si="478"/>
        <v>7238.0000000000009</v>
      </c>
      <c r="DG216">
        <f t="shared" si="479"/>
        <v>6204</v>
      </c>
      <c r="DH216">
        <v>400</v>
      </c>
      <c r="DI216">
        <v>500</v>
      </c>
      <c r="DJ216">
        <f t="shared" si="480"/>
        <v>66042</v>
      </c>
      <c r="DK216">
        <v>10000</v>
      </c>
      <c r="DL216">
        <v>0</v>
      </c>
      <c r="DM216">
        <f t="shared" si="481"/>
        <v>200</v>
      </c>
      <c r="DN216">
        <f t="shared" si="482"/>
        <v>55842</v>
      </c>
      <c r="DO216">
        <v>51700</v>
      </c>
      <c r="DP216">
        <f t="shared" si="483"/>
        <v>7238.0000000000009</v>
      </c>
      <c r="DQ216">
        <f t="shared" si="484"/>
        <v>6204</v>
      </c>
      <c r="DR216">
        <v>400</v>
      </c>
      <c r="DS216">
        <v>500</v>
      </c>
      <c r="DT216">
        <f t="shared" si="485"/>
        <v>66042</v>
      </c>
      <c r="DU216">
        <v>10000</v>
      </c>
      <c r="DV216">
        <v>0</v>
      </c>
      <c r="DW216">
        <f t="shared" si="486"/>
        <v>200</v>
      </c>
      <c r="DX216">
        <f t="shared" si="487"/>
        <v>55842</v>
      </c>
      <c r="DY216">
        <f t="shared" si="488"/>
        <v>782936</v>
      </c>
      <c r="DZ216">
        <f t="shared" si="420"/>
        <v>2400</v>
      </c>
      <c r="EA216">
        <f t="shared" si="421"/>
        <v>50000</v>
      </c>
      <c r="EB216">
        <v>0</v>
      </c>
      <c r="EC216">
        <f t="shared" si="422"/>
        <v>730536</v>
      </c>
      <c r="ED216">
        <f t="shared" si="423"/>
        <v>120000</v>
      </c>
      <c r="EE216">
        <f t="shared" si="424"/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f t="shared" si="425"/>
        <v>120000</v>
      </c>
      <c r="EQ216">
        <f t="shared" si="489"/>
        <v>120000</v>
      </c>
      <c r="ER216">
        <f t="shared" si="426"/>
        <v>610536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f t="shared" si="490"/>
        <v>0</v>
      </c>
      <c r="FA216">
        <f t="shared" si="491"/>
        <v>610536</v>
      </c>
      <c r="FB216">
        <f t="shared" si="492"/>
        <v>12500</v>
      </c>
      <c r="FC216">
        <f t="shared" si="493"/>
        <v>22107</v>
      </c>
      <c r="FD216">
        <f t="shared" si="494"/>
        <v>34607</v>
      </c>
      <c r="FE216">
        <f t="shared" si="495"/>
        <v>34607</v>
      </c>
      <c r="FF216">
        <f t="shared" si="496"/>
        <v>1384.28</v>
      </c>
      <c r="FG216">
        <f t="shared" si="497"/>
        <v>35991</v>
      </c>
      <c r="FH216">
        <v>0</v>
      </c>
      <c r="FI216">
        <f t="shared" si="498"/>
        <v>35991</v>
      </c>
      <c r="FJ216" t="b">
        <f t="shared" si="499"/>
        <v>1</v>
      </c>
      <c r="FK216">
        <f t="shared" ca="1" si="500"/>
        <v>773</v>
      </c>
      <c r="FL216">
        <f t="shared" ca="1" si="501"/>
        <v>783709</v>
      </c>
      <c r="FM216">
        <f t="shared" si="502"/>
        <v>75000</v>
      </c>
      <c r="FN216">
        <f t="shared" ca="1" si="503"/>
        <v>708709</v>
      </c>
      <c r="FO216">
        <f t="shared" ca="1" si="504"/>
        <v>0</v>
      </c>
      <c r="FP216">
        <f t="shared" ca="1" si="505"/>
        <v>0</v>
      </c>
      <c r="FQ216">
        <f t="shared" ca="1" si="506"/>
        <v>0</v>
      </c>
      <c r="FR216">
        <f t="shared" ca="1" si="507"/>
        <v>0</v>
      </c>
      <c r="FS216">
        <f t="shared" ca="1" si="508"/>
        <v>0</v>
      </c>
      <c r="FT216">
        <f t="shared" ca="1" si="509"/>
        <v>0</v>
      </c>
      <c r="FU216">
        <f t="shared" ca="1" si="510"/>
        <v>8709</v>
      </c>
      <c r="FV216">
        <f t="shared" ca="1" si="511"/>
        <v>870.90000000000009</v>
      </c>
      <c r="FW216">
        <f t="shared" ca="1" si="512"/>
        <v>400000</v>
      </c>
      <c r="FX216">
        <f t="shared" ca="1" si="513"/>
        <v>20000</v>
      </c>
      <c r="FY216">
        <f t="shared" ca="1" si="514"/>
        <v>20871</v>
      </c>
      <c r="FZ216">
        <f t="shared" ca="1" si="515"/>
        <v>708709</v>
      </c>
      <c r="GA216">
        <f t="shared" ca="1" si="516"/>
        <v>8709</v>
      </c>
      <c r="GB216">
        <f t="shared" ca="1" si="517"/>
        <v>0</v>
      </c>
      <c r="GC216">
        <f t="shared" ca="1" si="518"/>
        <v>12162</v>
      </c>
      <c r="GD216" t="b">
        <f t="shared" ca="1" si="519"/>
        <v>1</v>
      </c>
      <c r="GE216">
        <f t="shared" ca="1" si="520"/>
        <v>12162</v>
      </c>
      <c r="GF216">
        <f t="shared" ca="1" si="521"/>
        <v>12162</v>
      </c>
      <c r="GG216">
        <f t="shared" ca="1" si="522"/>
        <v>8709</v>
      </c>
      <c r="GH216">
        <f t="shared" ca="1" si="523"/>
        <v>348.36</v>
      </c>
      <c r="GI216">
        <f t="shared" ca="1" si="524"/>
        <v>9058</v>
      </c>
    </row>
    <row r="217" spans="1:191" x14ac:dyDescent="0.25">
      <c r="A217">
        <f>_xlfn.AGGREGATE(3,5,$B$2:B217)</f>
        <v>216</v>
      </c>
      <c r="B217" t="s">
        <v>552</v>
      </c>
      <c r="C217" t="s">
        <v>553</v>
      </c>
      <c r="D217" t="s">
        <v>817</v>
      </c>
      <c r="E217" t="s">
        <v>844</v>
      </c>
      <c r="F217">
        <v>0</v>
      </c>
      <c r="G217">
        <v>0</v>
      </c>
      <c r="H217">
        <v>45900</v>
      </c>
      <c r="I217">
        <f t="shared" si="427"/>
        <v>4590</v>
      </c>
      <c r="J217">
        <f t="shared" si="428"/>
        <v>5508</v>
      </c>
      <c r="K217">
        <v>0</v>
      </c>
      <c r="L217">
        <v>0</v>
      </c>
      <c r="M217">
        <f t="shared" si="429"/>
        <v>55998</v>
      </c>
      <c r="N217">
        <v>3000</v>
      </c>
      <c r="O217">
        <v>0</v>
      </c>
      <c r="P217">
        <f t="shared" si="430"/>
        <v>200</v>
      </c>
      <c r="Q217">
        <f t="shared" si="431"/>
        <v>52798</v>
      </c>
      <c r="R217">
        <v>45900</v>
      </c>
      <c r="S217">
        <f t="shared" si="432"/>
        <v>4590</v>
      </c>
      <c r="T217">
        <f t="shared" si="433"/>
        <v>5508</v>
      </c>
      <c r="U217">
        <v>0</v>
      </c>
      <c r="V217">
        <v>0</v>
      </c>
      <c r="W217">
        <f t="shared" si="434"/>
        <v>55998</v>
      </c>
      <c r="X217">
        <v>3000</v>
      </c>
      <c r="Y217">
        <v>0</v>
      </c>
      <c r="Z217">
        <f t="shared" si="435"/>
        <v>200</v>
      </c>
      <c r="AA217">
        <f t="shared" si="436"/>
        <v>52798</v>
      </c>
      <c r="AB217">
        <v>45900</v>
      </c>
      <c r="AC217">
        <f t="shared" si="437"/>
        <v>6426.0000000000009</v>
      </c>
      <c r="AD217">
        <f t="shared" si="438"/>
        <v>5508</v>
      </c>
      <c r="AE217">
        <v>0</v>
      </c>
      <c r="AF217">
        <v>0</v>
      </c>
      <c r="AG217">
        <f t="shared" si="439"/>
        <v>57834</v>
      </c>
      <c r="AH217">
        <v>3000</v>
      </c>
      <c r="AI217">
        <v>0</v>
      </c>
      <c r="AJ217">
        <f t="shared" si="440"/>
        <v>200</v>
      </c>
      <c r="AK217">
        <f t="shared" si="441"/>
        <v>54634</v>
      </c>
      <c r="AL217">
        <v>45900</v>
      </c>
      <c r="AM217">
        <f t="shared" si="442"/>
        <v>6426.0000000000009</v>
      </c>
      <c r="AN217">
        <f t="shared" si="443"/>
        <v>5508</v>
      </c>
      <c r="AO217">
        <v>0</v>
      </c>
      <c r="AP217">
        <v>0</v>
      </c>
      <c r="AQ217">
        <f t="shared" si="444"/>
        <v>57834</v>
      </c>
      <c r="AR217">
        <v>3000</v>
      </c>
      <c r="AS217">
        <v>0</v>
      </c>
      <c r="AT217">
        <f t="shared" si="445"/>
        <v>200</v>
      </c>
      <c r="AU217">
        <f t="shared" si="446"/>
        <v>54634</v>
      </c>
      <c r="AV217">
        <v>47300</v>
      </c>
      <c r="AW217">
        <f t="shared" si="447"/>
        <v>6622.0000000000009</v>
      </c>
      <c r="AX217">
        <f t="shared" si="448"/>
        <v>1836</v>
      </c>
      <c r="AY217">
        <f t="shared" si="449"/>
        <v>5676</v>
      </c>
      <c r="AZ217">
        <v>0</v>
      </c>
      <c r="BA217">
        <v>0</v>
      </c>
      <c r="BB217">
        <f t="shared" si="450"/>
        <v>61434</v>
      </c>
      <c r="BC217">
        <v>3000</v>
      </c>
      <c r="BD217">
        <v>0</v>
      </c>
      <c r="BE217">
        <f t="shared" si="451"/>
        <v>200</v>
      </c>
      <c r="BF217">
        <f t="shared" si="452"/>
        <v>58234</v>
      </c>
      <c r="BG217">
        <v>47300</v>
      </c>
      <c r="BH217">
        <f t="shared" si="453"/>
        <v>6622.0000000000009</v>
      </c>
      <c r="BI217">
        <f t="shared" si="454"/>
        <v>5676</v>
      </c>
      <c r="BJ217">
        <v>0</v>
      </c>
      <c r="BK217">
        <v>0</v>
      </c>
      <c r="BL217">
        <f t="shared" si="455"/>
        <v>59598</v>
      </c>
      <c r="BM217">
        <v>3000</v>
      </c>
      <c r="BN217">
        <v>0</v>
      </c>
      <c r="BO217">
        <f t="shared" si="456"/>
        <v>200</v>
      </c>
      <c r="BP217">
        <f t="shared" si="457"/>
        <v>56398</v>
      </c>
      <c r="BQ217">
        <v>47300</v>
      </c>
      <c r="BR217">
        <f t="shared" si="458"/>
        <v>6622.0000000000009</v>
      </c>
      <c r="BS217">
        <f t="shared" si="459"/>
        <v>5676</v>
      </c>
      <c r="BT217">
        <v>0</v>
      </c>
      <c r="BU217">
        <v>0</v>
      </c>
      <c r="BV217">
        <f t="shared" si="460"/>
        <v>59598</v>
      </c>
      <c r="BW217">
        <v>3000</v>
      </c>
      <c r="BX217">
        <v>0</v>
      </c>
      <c r="BY217">
        <f t="shared" si="461"/>
        <v>200</v>
      </c>
      <c r="BZ217">
        <f t="shared" si="462"/>
        <v>56398</v>
      </c>
      <c r="CA217">
        <v>47300</v>
      </c>
      <c r="CB217">
        <f t="shared" si="463"/>
        <v>6622.0000000000009</v>
      </c>
      <c r="CC217">
        <f t="shared" si="464"/>
        <v>5676</v>
      </c>
      <c r="CD217">
        <v>0</v>
      </c>
      <c r="CE217">
        <v>0</v>
      </c>
      <c r="CF217">
        <f t="shared" si="465"/>
        <v>59598</v>
      </c>
      <c r="CG217">
        <v>3000</v>
      </c>
      <c r="CH217">
        <v>0</v>
      </c>
      <c r="CI217">
        <f t="shared" si="466"/>
        <v>200</v>
      </c>
      <c r="CJ217">
        <f t="shared" si="467"/>
        <v>56398</v>
      </c>
      <c r="CK217">
        <v>47300</v>
      </c>
      <c r="CL217">
        <f t="shared" si="468"/>
        <v>6622.0000000000009</v>
      </c>
      <c r="CM217">
        <f t="shared" si="469"/>
        <v>5676</v>
      </c>
      <c r="CN217">
        <v>0</v>
      </c>
      <c r="CO217">
        <v>0</v>
      </c>
      <c r="CP217">
        <f t="shared" si="470"/>
        <v>59598</v>
      </c>
      <c r="CQ217">
        <v>3000</v>
      </c>
      <c r="CR217">
        <v>0</v>
      </c>
      <c r="CS217">
        <f t="shared" si="471"/>
        <v>200</v>
      </c>
      <c r="CT217">
        <f t="shared" si="472"/>
        <v>56398</v>
      </c>
      <c r="CU217">
        <v>47300</v>
      </c>
      <c r="CV217">
        <f t="shared" si="473"/>
        <v>6622</v>
      </c>
      <c r="CW217">
        <f t="shared" si="474"/>
        <v>5676</v>
      </c>
      <c r="CX217">
        <v>0</v>
      </c>
      <c r="CY217">
        <v>0</v>
      </c>
      <c r="CZ217">
        <f t="shared" si="475"/>
        <v>59598</v>
      </c>
      <c r="DA217">
        <v>3000</v>
      </c>
      <c r="DB217">
        <v>0</v>
      </c>
      <c r="DC217">
        <f t="shared" si="476"/>
        <v>200</v>
      </c>
      <c r="DD217">
        <f t="shared" si="477"/>
        <v>56398</v>
      </c>
      <c r="DE217">
        <v>47300</v>
      </c>
      <c r="DF217">
        <f t="shared" si="478"/>
        <v>6622.0000000000009</v>
      </c>
      <c r="DG217">
        <f t="shared" si="479"/>
        <v>5676</v>
      </c>
      <c r="DH217">
        <v>0</v>
      </c>
      <c r="DI217">
        <v>0</v>
      </c>
      <c r="DJ217">
        <f t="shared" si="480"/>
        <v>59598</v>
      </c>
      <c r="DK217">
        <v>3000</v>
      </c>
      <c r="DL217">
        <v>0</v>
      </c>
      <c r="DM217">
        <f t="shared" si="481"/>
        <v>200</v>
      </c>
      <c r="DN217">
        <f t="shared" si="482"/>
        <v>56398</v>
      </c>
      <c r="DO217">
        <v>47300</v>
      </c>
      <c r="DP217">
        <f t="shared" si="483"/>
        <v>6622.0000000000009</v>
      </c>
      <c r="DQ217">
        <f t="shared" si="484"/>
        <v>5676</v>
      </c>
      <c r="DR217">
        <v>0</v>
      </c>
      <c r="DS217">
        <v>0</v>
      </c>
      <c r="DT217">
        <f t="shared" si="485"/>
        <v>59598</v>
      </c>
      <c r="DU217">
        <v>3000</v>
      </c>
      <c r="DV217">
        <v>0</v>
      </c>
      <c r="DW217">
        <f t="shared" si="486"/>
        <v>200</v>
      </c>
      <c r="DX217">
        <f t="shared" si="487"/>
        <v>56398</v>
      </c>
      <c r="DY217">
        <f t="shared" si="488"/>
        <v>706284</v>
      </c>
      <c r="DZ217">
        <f t="shared" si="420"/>
        <v>2400</v>
      </c>
      <c r="EA217">
        <f t="shared" si="421"/>
        <v>50000</v>
      </c>
      <c r="EB217">
        <v>0</v>
      </c>
      <c r="EC217">
        <f t="shared" si="422"/>
        <v>653884</v>
      </c>
      <c r="ED217">
        <f t="shared" si="423"/>
        <v>36000</v>
      </c>
      <c r="EE217">
        <f t="shared" si="424"/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f t="shared" si="425"/>
        <v>36000</v>
      </c>
      <c r="EQ217">
        <f t="shared" si="489"/>
        <v>36000</v>
      </c>
      <c r="ER217">
        <f t="shared" si="426"/>
        <v>617884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f t="shared" si="490"/>
        <v>0</v>
      </c>
      <c r="FA217">
        <f t="shared" si="491"/>
        <v>617884</v>
      </c>
      <c r="FB217">
        <f t="shared" si="492"/>
        <v>12500</v>
      </c>
      <c r="FC217">
        <f t="shared" si="493"/>
        <v>23577</v>
      </c>
      <c r="FD217">
        <f t="shared" si="494"/>
        <v>36077</v>
      </c>
      <c r="FE217">
        <f t="shared" si="495"/>
        <v>36077</v>
      </c>
      <c r="FF217">
        <f t="shared" si="496"/>
        <v>1443.08</v>
      </c>
      <c r="FG217">
        <f t="shared" si="497"/>
        <v>37520</v>
      </c>
      <c r="FH217">
        <v>0</v>
      </c>
      <c r="FI217">
        <f t="shared" si="498"/>
        <v>37520</v>
      </c>
      <c r="FJ217" t="b">
        <f t="shared" si="499"/>
        <v>1</v>
      </c>
      <c r="FK217">
        <f t="shared" ca="1" si="500"/>
        <v>517</v>
      </c>
      <c r="FL217">
        <f t="shared" ca="1" si="501"/>
        <v>706801</v>
      </c>
      <c r="FM217">
        <f t="shared" si="502"/>
        <v>75000</v>
      </c>
      <c r="FN217">
        <f t="shared" ca="1" si="503"/>
        <v>631801</v>
      </c>
      <c r="FO217">
        <f t="shared" ca="1" si="504"/>
        <v>0</v>
      </c>
      <c r="FP217">
        <f t="shared" ca="1" si="505"/>
        <v>0</v>
      </c>
      <c r="FQ217">
        <f t="shared" ca="1" si="506"/>
        <v>0</v>
      </c>
      <c r="FR217">
        <f t="shared" ca="1" si="507"/>
        <v>0</v>
      </c>
      <c r="FS217">
        <f t="shared" ca="1" si="508"/>
        <v>0</v>
      </c>
      <c r="FT217">
        <f t="shared" ca="1" si="509"/>
        <v>0</v>
      </c>
      <c r="FU217">
        <f t="shared" ca="1" si="510"/>
        <v>0</v>
      </c>
      <c r="FV217">
        <f t="shared" ca="1" si="511"/>
        <v>0</v>
      </c>
      <c r="FW217">
        <f t="shared" ca="1" si="512"/>
        <v>331801</v>
      </c>
      <c r="FX217">
        <f t="shared" ca="1" si="513"/>
        <v>16590.05</v>
      </c>
      <c r="FY217">
        <f t="shared" ca="1" si="514"/>
        <v>16590</v>
      </c>
      <c r="FZ217">
        <f t="shared" ca="1" si="515"/>
        <v>0</v>
      </c>
      <c r="GA217">
        <f t="shared" ca="1" si="516"/>
        <v>0</v>
      </c>
      <c r="GB217">
        <f t="shared" ca="1" si="517"/>
        <v>16590</v>
      </c>
      <c r="GC217">
        <f t="shared" ca="1" si="518"/>
        <v>0</v>
      </c>
      <c r="GD217" t="b">
        <f t="shared" ca="1" si="519"/>
        <v>0</v>
      </c>
      <c r="GE217">
        <f t="shared" ca="1" si="520"/>
        <v>0</v>
      </c>
      <c r="GF217">
        <f t="shared" ca="1" si="521"/>
        <v>16590</v>
      </c>
      <c r="GG217">
        <f t="shared" ca="1" si="522"/>
        <v>0</v>
      </c>
      <c r="GH217">
        <f t="shared" ca="1" si="523"/>
        <v>0</v>
      </c>
      <c r="GI217">
        <f t="shared" ca="1" si="524"/>
        <v>0</v>
      </c>
    </row>
    <row r="218" spans="1:191" x14ac:dyDescent="0.25">
      <c r="A218">
        <f>_xlfn.AGGREGATE(3,5,$B$2:B218)</f>
        <v>217</v>
      </c>
      <c r="B218" t="s">
        <v>554</v>
      </c>
      <c r="C218" t="s">
        <v>555</v>
      </c>
      <c r="D218" t="s">
        <v>817</v>
      </c>
      <c r="E218" t="s">
        <v>844</v>
      </c>
      <c r="F218">
        <v>0</v>
      </c>
      <c r="G218">
        <v>0</v>
      </c>
      <c r="H218">
        <v>48700</v>
      </c>
      <c r="I218">
        <f t="shared" si="427"/>
        <v>4870</v>
      </c>
      <c r="J218">
        <f t="shared" si="428"/>
        <v>5844</v>
      </c>
      <c r="K218">
        <v>0</v>
      </c>
      <c r="L218">
        <v>0</v>
      </c>
      <c r="M218">
        <f t="shared" si="429"/>
        <v>59414</v>
      </c>
      <c r="N218">
        <v>4000</v>
      </c>
      <c r="O218">
        <v>60</v>
      </c>
      <c r="P218">
        <f t="shared" si="430"/>
        <v>200</v>
      </c>
      <c r="Q218">
        <f t="shared" si="431"/>
        <v>55154</v>
      </c>
      <c r="R218">
        <v>48700</v>
      </c>
      <c r="S218">
        <f t="shared" si="432"/>
        <v>4870</v>
      </c>
      <c r="T218">
        <f t="shared" si="433"/>
        <v>5844</v>
      </c>
      <c r="U218">
        <v>0</v>
      </c>
      <c r="V218">
        <v>0</v>
      </c>
      <c r="W218">
        <f t="shared" si="434"/>
        <v>59414</v>
      </c>
      <c r="X218">
        <v>4000</v>
      </c>
      <c r="Y218">
        <v>60</v>
      </c>
      <c r="Z218">
        <f t="shared" si="435"/>
        <v>200</v>
      </c>
      <c r="AA218">
        <f t="shared" si="436"/>
        <v>55154</v>
      </c>
      <c r="AB218">
        <v>48700</v>
      </c>
      <c r="AC218">
        <f t="shared" si="437"/>
        <v>6818.0000000000009</v>
      </c>
      <c r="AD218">
        <f t="shared" si="438"/>
        <v>5844</v>
      </c>
      <c r="AE218">
        <v>0</v>
      </c>
      <c r="AF218">
        <v>0</v>
      </c>
      <c r="AG218">
        <f t="shared" si="439"/>
        <v>61362</v>
      </c>
      <c r="AH218">
        <v>4000</v>
      </c>
      <c r="AI218">
        <v>60</v>
      </c>
      <c r="AJ218">
        <f t="shared" si="440"/>
        <v>200</v>
      </c>
      <c r="AK218">
        <f t="shared" si="441"/>
        <v>57102</v>
      </c>
      <c r="AL218">
        <v>48700</v>
      </c>
      <c r="AM218">
        <f t="shared" si="442"/>
        <v>6818.0000000000009</v>
      </c>
      <c r="AN218">
        <f t="shared" si="443"/>
        <v>5844</v>
      </c>
      <c r="AO218">
        <v>0</v>
      </c>
      <c r="AP218">
        <v>0</v>
      </c>
      <c r="AQ218">
        <f t="shared" si="444"/>
        <v>61362</v>
      </c>
      <c r="AR218">
        <v>4000</v>
      </c>
      <c r="AS218">
        <v>60</v>
      </c>
      <c r="AT218">
        <f t="shared" si="445"/>
        <v>200</v>
      </c>
      <c r="AU218">
        <f t="shared" si="446"/>
        <v>57102</v>
      </c>
      <c r="AV218">
        <v>50200</v>
      </c>
      <c r="AW218">
        <f t="shared" si="447"/>
        <v>7028.0000000000009</v>
      </c>
      <c r="AX218">
        <f t="shared" si="448"/>
        <v>1948</v>
      </c>
      <c r="AY218">
        <f t="shared" si="449"/>
        <v>6024</v>
      </c>
      <c r="AZ218">
        <v>0</v>
      </c>
      <c r="BA218">
        <v>0</v>
      </c>
      <c r="BB218">
        <f t="shared" si="450"/>
        <v>65200</v>
      </c>
      <c r="BC218">
        <v>4000</v>
      </c>
      <c r="BD218">
        <v>60</v>
      </c>
      <c r="BE218">
        <f t="shared" si="451"/>
        <v>200</v>
      </c>
      <c r="BF218">
        <f t="shared" si="452"/>
        <v>60940</v>
      </c>
      <c r="BG218">
        <v>50200</v>
      </c>
      <c r="BH218">
        <f t="shared" si="453"/>
        <v>7028.0000000000009</v>
      </c>
      <c r="BI218">
        <f t="shared" si="454"/>
        <v>6024</v>
      </c>
      <c r="BJ218">
        <v>0</v>
      </c>
      <c r="BK218">
        <v>0</v>
      </c>
      <c r="BL218">
        <f t="shared" si="455"/>
        <v>63252</v>
      </c>
      <c r="BM218">
        <v>4000</v>
      </c>
      <c r="BN218">
        <v>60</v>
      </c>
      <c r="BO218">
        <f t="shared" si="456"/>
        <v>200</v>
      </c>
      <c r="BP218">
        <f t="shared" si="457"/>
        <v>58992</v>
      </c>
      <c r="BQ218">
        <v>50200</v>
      </c>
      <c r="BR218">
        <f t="shared" si="458"/>
        <v>7028.0000000000009</v>
      </c>
      <c r="BS218">
        <f t="shared" si="459"/>
        <v>6024</v>
      </c>
      <c r="BT218">
        <v>0</v>
      </c>
      <c r="BU218">
        <v>0</v>
      </c>
      <c r="BV218">
        <f t="shared" si="460"/>
        <v>63252</v>
      </c>
      <c r="BW218">
        <v>4000</v>
      </c>
      <c r="BX218">
        <v>60</v>
      </c>
      <c r="BY218">
        <f t="shared" si="461"/>
        <v>200</v>
      </c>
      <c r="BZ218">
        <f t="shared" si="462"/>
        <v>58992</v>
      </c>
      <c r="CA218">
        <v>50200</v>
      </c>
      <c r="CB218">
        <f t="shared" si="463"/>
        <v>7028.0000000000009</v>
      </c>
      <c r="CC218">
        <f t="shared" si="464"/>
        <v>6024</v>
      </c>
      <c r="CD218">
        <v>0</v>
      </c>
      <c r="CE218">
        <v>0</v>
      </c>
      <c r="CF218">
        <f t="shared" si="465"/>
        <v>63252</v>
      </c>
      <c r="CG218">
        <v>4000</v>
      </c>
      <c r="CH218">
        <v>60</v>
      </c>
      <c r="CI218">
        <f t="shared" si="466"/>
        <v>200</v>
      </c>
      <c r="CJ218">
        <f t="shared" si="467"/>
        <v>58992</v>
      </c>
      <c r="CK218">
        <v>50200</v>
      </c>
      <c r="CL218">
        <f t="shared" si="468"/>
        <v>7028.0000000000009</v>
      </c>
      <c r="CM218">
        <f t="shared" si="469"/>
        <v>6024</v>
      </c>
      <c r="CN218">
        <v>0</v>
      </c>
      <c r="CO218">
        <v>0</v>
      </c>
      <c r="CP218">
        <f t="shared" si="470"/>
        <v>63252</v>
      </c>
      <c r="CQ218">
        <v>4000</v>
      </c>
      <c r="CR218">
        <v>60</v>
      </c>
      <c r="CS218">
        <f t="shared" si="471"/>
        <v>200</v>
      </c>
      <c r="CT218">
        <f t="shared" si="472"/>
        <v>58992</v>
      </c>
      <c r="CU218">
        <v>50200</v>
      </c>
      <c r="CV218">
        <f t="shared" si="473"/>
        <v>7028</v>
      </c>
      <c r="CW218">
        <f t="shared" si="474"/>
        <v>6024</v>
      </c>
      <c r="CX218">
        <v>0</v>
      </c>
      <c r="CY218">
        <v>0</v>
      </c>
      <c r="CZ218">
        <f t="shared" si="475"/>
        <v>63252</v>
      </c>
      <c r="DA218">
        <v>4000</v>
      </c>
      <c r="DB218">
        <v>60</v>
      </c>
      <c r="DC218">
        <f t="shared" si="476"/>
        <v>200</v>
      </c>
      <c r="DD218">
        <f t="shared" si="477"/>
        <v>58992</v>
      </c>
      <c r="DE218">
        <v>50200</v>
      </c>
      <c r="DF218">
        <f t="shared" si="478"/>
        <v>7028.0000000000009</v>
      </c>
      <c r="DG218">
        <f t="shared" si="479"/>
        <v>6024</v>
      </c>
      <c r="DH218">
        <v>0</v>
      </c>
      <c r="DI218">
        <v>0</v>
      </c>
      <c r="DJ218">
        <f t="shared" si="480"/>
        <v>63252</v>
      </c>
      <c r="DK218">
        <v>4000</v>
      </c>
      <c r="DL218">
        <v>60</v>
      </c>
      <c r="DM218">
        <f t="shared" si="481"/>
        <v>200</v>
      </c>
      <c r="DN218">
        <f t="shared" si="482"/>
        <v>58992</v>
      </c>
      <c r="DO218">
        <v>50200</v>
      </c>
      <c r="DP218">
        <f t="shared" si="483"/>
        <v>7028.0000000000009</v>
      </c>
      <c r="DQ218">
        <f t="shared" si="484"/>
        <v>6024</v>
      </c>
      <c r="DR218">
        <v>0</v>
      </c>
      <c r="DS218">
        <v>0</v>
      </c>
      <c r="DT218">
        <f t="shared" si="485"/>
        <v>63252</v>
      </c>
      <c r="DU218">
        <v>4000</v>
      </c>
      <c r="DV218">
        <v>60</v>
      </c>
      <c r="DW218">
        <f t="shared" si="486"/>
        <v>200</v>
      </c>
      <c r="DX218">
        <f t="shared" si="487"/>
        <v>58992</v>
      </c>
      <c r="DY218">
        <f t="shared" si="488"/>
        <v>749516</v>
      </c>
      <c r="DZ218">
        <f t="shared" si="420"/>
        <v>2400</v>
      </c>
      <c r="EA218">
        <f t="shared" si="421"/>
        <v>50000</v>
      </c>
      <c r="EB218">
        <v>0</v>
      </c>
      <c r="EC218">
        <f t="shared" si="422"/>
        <v>697116</v>
      </c>
      <c r="ED218">
        <f t="shared" si="423"/>
        <v>48000</v>
      </c>
      <c r="EE218">
        <f t="shared" si="424"/>
        <v>720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f t="shared" si="425"/>
        <v>48720</v>
      </c>
      <c r="EQ218">
        <f t="shared" si="489"/>
        <v>48720</v>
      </c>
      <c r="ER218">
        <f t="shared" si="426"/>
        <v>648396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f t="shared" si="490"/>
        <v>0</v>
      </c>
      <c r="FA218">
        <f t="shared" si="491"/>
        <v>648396</v>
      </c>
      <c r="FB218">
        <f t="shared" si="492"/>
        <v>12500</v>
      </c>
      <c r="FC218">
        <f t="shared" si="493"/>
        <v>29679</v>
      </c>
      <c r="FD218">
        <f t="shared" si="494"/>
        <v>42179</v>
      </c>
      <c r="FE218">
        <f t="shared" si="495"/>
        <v>42179</v>
      </c>
      <c r="FF218">
        <f t="shared" si="496"/>
        <v>1687.16</v>
      </c>
      <c r="FG218">
        <f t="shared" si="497"/>
        <v>43866</v>
      </c>
      <c r="FH218">
        <v>0</v>
      </c>
      <c r="FI218">
        <f t="shared" si="498"/>
        <v>43866</v>
      </c>
      <c r="FJ218" t="b">
        <f t="shared" si="499"/>
        <v>1</v>
      </c>
      <c r="FK218">
        <f t="shared" ca="1" si="500"/>
        <v>595</v>
      </c>
      <c r="FL218">
        <f t="shared" ca="1" si="501"/>
        <v>750111</v>
      </c>
      <c r="FM218">
        <f t="shared" si="502"/>
        <v>75000</v>
      </c>
      <c r="FN218">
        <f t="shared" ca="1" si="503"/>
        <v>675111</v>
      </c>
      <c r="FO218">
        <f t="shared" ca="1" si="504"/>
        <v>0</v>
      </c>
      <c r="FP218">
        <f t="shared" ca="1" si="505"/>
        <v>0</v>
      </c>
      <c r="FQ218">
        <f t="shared" ca="1" si="506"/>
        <v>0</v>
      </c>
      <c r="FR218">
        <f t="shared" ca="1" si="507"/>
        <v>0</v>
      </c>
      <c r="FS218">
        <f t="shared" ca="1" si="508"/>
        <v>0</v>
      </c>
      <c r="FT218">
        <f t="shared" ca="1" si="509"/>
        <v>0</v>
      </c>
      <c r="FU218">
        <f t="shared" ca="1" si="510"/>
        <v>0</v>
      </c>
      <c r="FV218">
        <f t="shared" ca="1" si="511"/>
        <v>0</v>
      </c>
      <c r="FW218">
        <f t="shared" ca="1" si="512"/>
        <v>375111</v>
      </c>
      <c r="FX218">
        <f t="shared" ca="1" si="513"/>
        <v>18755.55</v>
      </c>
      <c r="FY218">
        <f t="shared" ca="1" si="514"/>
        <v>18756</v>
      </c>
      <c r="FZ218">
        <f t="shared" ca="1" si="515"/>
        <v>0</v>
      </c>
      <c r="GA218">
        <f t="shared" ca="1" si="516"/>
        <v>0</v>
      </c>
      <c r="GB218">
        <f t="shared" ca="1" si="517"/>
        <v>18756</v>
      </c>
      <c r="GC218">
        <f t="shared" ca="1" si="518"/>
        <v>0</v>
      </c>
      <c r="GD218" t="b">
        <f t="shared" ca="1" si="519"/>
        <v>0</v>
      </c>
      <c r="GE218">
        <f t="shared" ca="1" si="520"/>
        <v>0</v>
      </c>
      <c r="GF218">
        <f t="shared" ca="1" si="521"/>
        <v>18756</v>
      </c>
      <c r="GG218">
        <f t="shared" ca="1" si="522"/>
        <v>0</v>
      </c>
      <c r="GH218">
        <f t="shared" ca="1" si="523"/>
        <v>0</v>
      </c>
      <c r="GI218">
        <f t="shared" ca="1" si="524"/>
        <v>0</v>
      </c>
    </row>
    <row r="219" spans="1:191" x14ac:dyDescent="0.25">
      <c r="A219">
        <f>_xlfn.AGGREGATE(3,5,$B$2:B219)</f>
        <v>218</v>
      </c>
      <c r="B219" t="s">
        <v>556</v>
      </c>
      <c r="C219" t="s">
        <v>557</v>
      </c>
      <c r="D219" t="s">
        <v>817</v>
      </c>
      <c r="E219" t="s">
        <v>843</v>
      </c>
      <c r="F219">
        <v>0</v>
      </c>
      <c r="G219">
        <v>6000</v>
      </c>
      <c r="H219">
        <v>32500</v>
      </c>
      <c r="I219">
        <f t="shared" si="427"/>
        <v>3250</v>
      </c>
      <c r="J219">
        <f t="shared" si="428"/>
        <v>3900</v>
      </c>
      <c r="K219">
        <v>0</v>
      </c>
      <c r="L219">
        <v>0</v>
      </c>
      <c r="M219">
        <f t="shared" si="429"/>
        <v>39650</v>
      </c>
      <c r="N219">
        <v>5000</v>
      </c>
      <c r="O219">
        <v>0</v>
      </c>
      <c r="P219">
        <f t="shared" si="430"/>
        <v>150</v>
      </c>
      <c r="Q219">
        <f t="shared" si="431"/>
        <v>34500</v>
      </c>
      <c r="R219">
        <v>32500</v>
      </c>
      <c r="S219">
        <f t="shared" si="432"/>
        <v>3250</v>
      </c>
      <c r="T219">
        <f t="shared" si="433"/>
        <v>3900</v>
      </c>
      <c r="U219">
        <v>0</v>
      </c>
      <c r="V219">
        <v>0</v>
      </c>
      <c r="W219">
        <f t="shared" si="434"/>
        <v>39650</v>
      </c>
      <c r="X219">
        <v>5000</v>
      </c>
      <c r="Y219">
        <v>0</v>
      </c>
      <c r="Z219">
        <f t="shared" si="435"/>
        <v>150</v>
      </c>
      <c r="AA219">
        <f t="shared" si="436"/>
        <v>34500</v>
      </c>
      <c r="AB219">
        <v>32500</v>
      </c>
      <c r="AC219">
        <f t="shared" si="437"/>
        <v>4550</v>
      </c>
      <c r="AD219">
        <f t="shared" si="438"/>
        <v>3900</v>
      </c>
      <c r="AE219">
        <v>0</v>
      </c>
      <c r="AF219">
        <v>0</v>
      </c>
      <c r="AG219">
        <f t="shared" si="439"/>
        <v>40950</v>
      </c>
      <c r="AH219">
        <v>5000</v>
      </c>
      <c r="AI219">
        <v>0</v>
      </c>
      <c r="AJ219">
        <f t="shared" si="440"/>
        <v>200</v>
      </c>
      <c r="AK219">
        <f t="shared" si="441"/>
        <v>35750</v>
      </c>
      <c r="AL219">
        <v>32500</v>
      </c>
      <c r="AM219">
        <f t="shared" si="442"/>
        <v>4550</v>
      </c>
      <c r="AN219">
        <f t="shared" si="443"/>
        <v>3900</v>
      </c>
      <c r="AO219">
        <v>0</v>
      </c>
      <c r="AP219">
        <v>0</v>
      </c>
      <c r="AQ219">
        <f t="shared" si="444"/>
        <v>40950</v>
      </c>
      <c r="AR219">
        <v>5000</v>
      </c>
      <c r="AS219">
        <v>0</v>
      </c>
      <c r="AT219">
        <f t="shared" si="445"/>
        <v>200</v>
      </c>
      <c r="AU219">
        <f t="shared" si="446"/>
        <v>35750</v>
      </c>
      <c r="AV219">
        <v>33500</v>
      </c>
      <c r="AW219">
        <f t="shared" si="447"/>
        <v>4690</v>
      </c>
      <c r="AX219">
        <f t="shared" si="448"/>
        <v>1300</v>
      </c>
      <c r="AY219">
        <f t="shared" si="449"/>
        <v>4020</v>
      </c>
      <c r="AZ219">
        <v>0</v>
      </c>
      <c r="BA219">
        <v>0</v>
      </c>
      <c r="BB219">
        <f t="shared" si="450"/>
        <v>43510</v>
      </c>
      <c r="BC219">
        <v>5000</v>
      </c>
      <c r="BD219">
        <v>0</v>
      </c>
      <c r="BE219">
        <f t="shared" si="451"/>
        <v>200</v>
      </c>
      <c r="BF219">
        <f t="shared" si="452"/>
        <v>38310</v>
      </c>
      <c r="BG219">
        <v>33500</v>
      </c>
      <c r="BH219">
        <f t="shared" si="453"/>
        <v>4690</v>
      </c>
      <c r="BI219">
        <f t="shared" si="454"/>
        <v>4020</v>
      </c>
      <c r="BJ219">
        <v>0</v>
      </c>
      <c r="BK219">
        <v>0</v>
      </c>
      <c r="BL219">
        <f t="shared" si="455"/>
        <v>42210</v>
      </c>
      <c r="BM219">
        <v>5000</v>
      </c>
      <c r="BN219">
        <v>0</v>
      </c>
      <c r="BO219">
        <f t="shared" si="456"/>
        <v>200</v>
      </c>
      <c r="BP219">
        <f t="shared" si="457"/>
        <v>37010</v>
      </c>
      <c r="BQ219">
        <v>33500</v>
      </c>
      <c r="BR219">
        <f t="shared" si="458"/>
        <v>4690</v>
      </c>
      <c r="BS219">
        <f t="shared" si="459"/>
        <v>4020</v>
      </c>
      <c r="BT219">
        <v>0</v>
      </c>
      <c r="BU219">
        <v>0</v>
      </c>
      <c r="BV219">
        <f t="shared" si="460"/>
        <v>42210</v>
      </c>
      <c r="BW219">
        <v>5000</v>
      </c>
      <c r="BX219">
        <v>0</v>
      </c>
      <c r="BY219">
        <f t="shared" si="461"/>
        <v>200</v>
      </c>
      <c r="BZ219">
        <f t="shared" si="462"/>
        <v>37010</v>
      </c>
      <c r="CA219">
        <v>33500</v>
      </c>
      <c r="CB219">
        <f t="shared" si="463"/>
        <v>4690</v>
      </c>
      <c r="CC219">
        <f t="shared" si="464"/>
        <v>4020</v>
      </c>
      <c r="CD219">
        <v>0</v>
      </c>
      <c r="CE219">
        <v>0</v>
      </c>
      <c r="CF219">
        <f t="shared" si="465"/>
        <v>42210</v>
      </c>
      <c r="CG219">
        <v>5000</v>
      </c>
      <c r="CH219">
        <v>0</v>
      </c>
      <c r="CI219">
        <f t="shared" si="466"/>
        <v>200</v>
      </c>
      <c r="CJ219">
        <f t="shared" si="467"/>
        <v>37010</v>
      </c>
      <c r="CK219">
        <v>33500</v>
      </c>
      <c r="CL219">
        <f t="shared" si="468"/>
        <v>4690</v>
      </c>
      <c r="CM219">
        <f t="shared" si="469"/>
        <v>4020</v>
      </c>
      <c r="CN219">
        <v>0</v>
      </c>
      <c r="CO219">
        <v>0</v>
      </c>
      <c r="CP219">
        <f t="shared" si="470"/>
        <v>42210</v>
      </c>
      <c r="CQ219">
        <v>5000</v>
      </c>
      <c r="CR219">
        <v>0</v>
      </c>
      <c r="CS219">
        <f t="shared" si="471"/>
        <v>200</v>
      </c>
      <c r="CT219">
        <f t="shared" si="472"/>
        <v>37010</v>
      </c>
      <c r="CU219">
        <v>33500</v>
      </c>
      <c r="CV219">
        <f t="shared" si="473"/>
        <v>4690</v>
      </c>
      <c r="CW219">
        <f t="shared" si="474"/>
        <v>4020</v>
      </c>
      <c r="CX219">
        <v>0</v>
      </c>
      <c r="CY219">
        <v>0</v>
      </c>
      <c r="CZ219">
        <f t="shared" si="475"/>
        <v>42210</v>
      </c>
      <c r="DA219">
        <v>5000</v>
      </c>
      <c r="DB219">
        <v>0</v>
      </c>
      <c r="DC219">
        <f t="shared" si="476"/>
        <v>200</v>
      </c>
      <c r="DD219">
        <f t="shared" si="477"/>
        <v>37010</v>
      </c>
      <c r="DE219">
        <v>33500</v>
      </c>
      <c r="DF219">
        <f t="shared" si="478"/>
        <v>4690</v>
      </c>
      <c r="DG219">
        <f t="shared" si="479"/>
        <v>4020</v>
      </c>
      <c r="DH219">
        <v>0</v>
      </c>
      <c r="DI219">
        <v>0</v>
      </c>
      <c r="DJ219">
        <f t="shared" si="480"/>
        <v>42210</v>
      </c>
      <c r="DK219">
        <v>5000</v>
      </c>
      <c r="DL219">
        <v>0</v>
      </c>
      <c r="DM219">
        <f t="shared" si="481"/>
        <v>200</v>
      </c>
      <c r="DN219">
        <f t="shared" si="482"/>
        <v>37010</v>
      </c>
      <c r="DO219">
        <v>33500</v>
      </c>
      <c r="DP219">
        <f t="shared" si="483"/>
        <v>4690</v>
      </c>
      <c r="DQ219">
        <f t="shared" si="484"/>
        <v>4020</v>
      </c>
      <c r="DR219">
        <v>0</v>
      </c>
      <c r="DS219">
        <v>0</v>
      </c>
      <c r="DT219">
        <f t="shared" si="485"/>
        <v>42210</v>
      </c>
      <c r="DU219">
        <v>5000</v>
      </c>
      <c r="DV219">
        <v>0</v>
      </c>
      <c r="DW219">
        <f t="shared" si="486"/>
        <v>200</v>
      </c>
      <c r="DX219">
        <f t="shared" si="487"/>
        <v>37010</v>
      </c>
      <c r="DY219">
        <f t="shared" si="488"/>
        <v>506180</v>
      </c>
      <c r="DZ219">
        <f t="shared" si="420"/>
        <v>2300</v>
      </c>
      <c r="EA219">
        <f t="shared" si="421"/>
        <v>50000</v>
      </c>
      <c r="EB219">
        <v>0</v>
      </c>
      <c r="EC219">
        <f t="shared" si="422"/>
        <v>453880</v>
      </c>
      <c r="ED219">
        <f t="shared" si="423"/>
        <v>60000</v>
      </c>
      <c r="EE219">
        <f t="shared" si="424"/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f t="shared" si="425"/>
        <v>60000</v>
      </c>
      <c r="EQ219">
        <f t="shared" si="489"/>
        <v>60000</v>
      </c>
      <c r="ER219">
        <f t="shared" si="426"/>
        <v>393880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f t="shared" si="490"/>
        <v>0</v>
      </c>
      <c r="FA219">
        <f t="shared" si="491"/>
        <v>393880</v>
      </c>
      <c r="FB219">
        <f t="shared" si="492"/>
        <v>7194</v>
      </c>
      <c r="FC219">
        <f t="shared" si="493"/>
        <v>0</v>
      </c>
      <c r="FD219">
        <f t="shared" si="494"/>
        <v>7194</v>
      </c>
      <c r="FE219">
        <f t="shared" si="495"/>
        <v>0</v>
      </c>
      <c r="FF219">
        <f t="shared" si="496"/>
        <v>0</v>
      </c>
      <c r="FG219">
        <f t="shared" si="497"/>
        <v>0</v>
      </c>
      <c r="FH219">
        <v>0</v>
      </c>
      <c r="FI219">
        <f t="shared" si="498"/>
        <v>0</v>
      </c>
      <c r="FJ219" t="b">
        <f t="shared" si="499"/>
        <v>1</v>
      </c>
      <c r="FK219">
        <f t="shared" ca="1" si="500"/>
        <v>758</v>
      </c>
      <c r="FL219">
        <f t="shared" ca="1" si="501"/>
        <v>506938</v>
      </c>
      <c r="FM219">
        <f t="shared" si="502"/>
        <v>75000</v>
      </c>
      <c r="FN219">
        <f t="shared" ca="1" si="503"/>
        <v>431938</v>
      </c>
      <c r="FO219">
        <f t="shared" ca="1" si="504"/>
        <v>0</v>
      </c>
      <c r="FP219">
        <f t="shared" ca="1" si="505"/>
        <v>0</v>
      </c>
      <c r="FQ219">
        <f t="shared" ca="1" si="506"/>
        <v>0</v>
      </c>
      <c r="FR219">
        <f t="shared" ca="1" si="507"/>
        <v>0</v>
      </c>
      <c r="FS219">
        <f t="shared" ca="1" si="508"/>
        <v>0</v>
      </c>
      <c r="FT219">
        <f t="shared" ca="1" si="509"/>
        <v>0</v>
      </c>
      <c r="FU219">
        <f t="shared" ca="1" si="510"/>
        <v>0</v>
      </c>
      <c r="FV219">
        <f t="shared" ca="1" si="511"/>
        <v>0</v>
      </c>
      <c r="FW219">
        <f t="shared" ca="1" si="512"/>
        <v>131938</v>
      </c>
      <c r="FX219">
        <f t="shared" ca="1" si="513"/>
        <v>6596.9000000000005</v>
      </c>
      <c r="FY219">
        <f t="shared" ca="1" si="514"/>
        <v>6597</v>
      </c>
      <c r="FZ219">
        <f t="shared" ca="1" si="515"/>
        <v>0</v>
      </c>
      <c r="GA219">
        <f t="shared" ca="1" si="516"/>
        <v>0</v>
      </c>
      <c r="GB219">
        <f t="shared" ca="1" si="517"/>
        <v>6597</v>
      </c>
      <c r="GC219">
        <f t="shared" ca="1" si="518"/>
        <v>0</v>
      </c>
      <c r="GD219" t="b">
        <f t="shared" ca="1" si="519"/>
        <v>0</v>
      </c>
      <c r="GE219">
        <f t="shared" ca="1" si="520"/>
        <v>0</v>
      </c>
      <c r="GF219">
        <f t="shared" ca="1" si="521"/>
        <v>6597</v>
      </c>
      <c r="GG219">
        <f t="shared" ca="1" si="522"/>
        <v>0</v>
      </c>
      <c r="GH219">
        <f t="shared" ca="1" si="523"/>
        <v>0</v>
      </c>
      <c r="GI219">
        <f t="shared" ca="1" si="524"/>
        <v>0</v>
      </c>
    </row>
    <row r="220" spans="1:191" x14ac:dyDescent="0.25">
      <c r="A220">
        <f>_xlfn.AGGREGATE(3,5,$B$2:B220)</f>
        <v>219</v>
      </c>
      <c r="B220" t="s">
        <v>558</v>
      </c>
      <c r="C220" t="s">
        <v>559</v>
      </c>
      <c r="D220" t="s">
        <v>817</v>
      </c>
      <c r="E220" t="s">
        <v>843</v>
      </c>
      <c r="F220">
        <v>0</v>
      </c>
      <c r="G220">
        <v>0</v>
      </c>
      <c r="H220">
        <v>47800</v>
      </c>
      <c r="I220">
        <f t="shared" si="427"/>
        <v>4780</v>
      </c>
      <c r="J220">
        <f t="shared" si="428"/>
        <v>5736</v>
      </c>
      <c r="K220">
        <v>0</v>
      </c>
      <c r="L220">
        <v>500</v>
      </c>
      <c r="M220">
        <f t="shared" si="429"/>
        <v>58816</v>
      </c>
      <c r="N220">
        <v>10000</v>
      </c>
      <c r="O220">
        <v>0</v>
      </c>
      <c r="P220">
        <f t="shared" si="430"/>
        <v>200</v>
      </c>
      <c r="Q220">
        <f t="shared" si="431"/>
        <v>48616</v>
      </c>
      <c r="R220">
        <v>47800</v>
      </c>
      <c r="S220">
        <f t="shared" si="432"/>
        <v>4780</v>
      </c>
      <c r="T220">
        <f t="shared" si="433"/>
        <v>5736</v>
      </c>
      <c r="U220">
        <v>0</v>
      </c>
      <c r="V220">
        <v>500</v>
      </c>
      <c r="W220">
        <f t="shared" si="434"/>
        <v>58816</v>
      </c>
      <c r="X220">
        <v>10000</v>
      </c>
      <c r="Y220">
        <v>0</v>
      </c>
      <c r="Z220">
        <f t="shared" si="435"/>
        <v>200</v>
      </c>
      <c r="AA220">
        <f t="shared" si="436"/>
        <v>48616</v>
      </c>
      <c r="AB220">
        <v>47800</v>
      </c>
      <c r="AC220">
        <f t="shared" si="437"/>
        <v>6692.0000000000009</v>
      </c>
      <c r="AD220">
        <f t="shared" si="438"/>
        <v>5736</v>
      </c>
      <c r="AE220">
        <v>0</v>
      </c>
      <c r="AF220">
        <v>500</v>
      </c>
      <c r="AG220">
        <f t="shared" si="439"/>
        <v>60728</v>
      </c>
      <c r="AH220">
        <v>10000</v>
      </c>
      <c r="AI220">
        <v>0</v>
      </c>
      <c r="AJ220">
        <f t="shared" si="440"/>
        <v>200</v>
      </c>
      <c r="AK220">
        <f t="shared" si="441"/>
        <v>50528</v>
      </c>
      <c r="AL220">
        <v>47800</v>
      </c>
      <c r="AM220">
        <f t="shared" si="442"/>
        <v>6692.0000000000009</v>
      </c>
      <c r="AN220">
        <f t="shared" si="443"/>
        <v>5736</v>
      </c>
      <c r="AO220">
        <v>0</v>
      </c>
      <c r="AP220">
        <v>500</v>
      </c>
      <c r="AQ220">
        <f t="shared" si="444"/>
        <v>60728</v>
      </c>
      <c r="AR220">
        <v>10000</v>
      </c>
      <c r="AS220">
        <v>0</v>
      </c>
      <c r="AT220">
        <f t="shared" si="445"/>
        <v>200</v>
      </c>
      <c r="AU220">
        <f t="shared" si="446"/>
        <v>50528</v>
      </c>
      <c r="AV220">
        <v>49200</v>
      </c>
      <c r="AW220">
        <f t="shared" si="447"/>
        <v>6888.0000000000009</v>
      </c>
      <c r="AX220">
        <f t="shared" si="448"/>
        <v>1912</v>
      </c>
      <c r="AY220">
        <f t="shared" si="449"/>
        <v>5904</v>
      </c>
      <c r="AZ220">
        <v>0</v>
      </c>
      <c r="BA220">
        <v>500</v>
      </c>
      <c r="BB220">
        <f t="shared" si="450"/>
        <v>64404</v>
      </c>
      <c r="BC220">
        <v>10000</v>
      </c>
      <c r="BD220">
        <v>0</v>
      </c>
      <c r="BE220">
        <f t="shared" si="451"/>
        <v>200</v>
      </c>
      <c r="BF220">
        <f t="shared" si="452"/>
        <v>54204</v>
      </c>
      <c r="BG220">
        <v>49200</v>
      </c>
      <c r="BH220">
        <f t="shared" si="453"/>
        <v>6888.0000000000009</v>
      </c>
      <c r="BI220">
        <f t="shared" si="454"/>
        <v>5904</v>
      </c>
      <c r="BJ220">
        <v>0</v>
      </c>
      <c r="BK220">
        <v>500</v>
      </c>
      <c r="BL220">
        <f t="shared" si="455"/>
        <v>62492</v>
      </c>
      <c r="BM220">
        <v>10000</v>
      </c>
      <c r="BN220">
        <v>0</v>
      </c>
      <c r="BO220">
        <f t="shared" si="456"/>
        <v>200</v>
      </c>
      <c r="BP220">
        <f t="shared" si="457"/>
        <v>52292</v>
      </c>
      <c r="BQ220">
        <v>49200</v>
      </c>
      <c r="BR220">
        <f t="shared" si="458"/>
        <v>6888.0000000000009</v>
      </c>
      <c r="BS220">
        <f t="shared" si="459"/>
        <v>5904</v>
      </c>
      <c r="BT220">
        <v>0</v>
      </c>
      <c r="BU220">
        <v>500</v>
      </c>
      <c r="BV220">
        <f t="shared" si="460"/>
        <v>62492</v>
      </c>
      <c r="BW220">
        <v>10000</v>
      </c>
      <c r="BX220">
        <v>0</v>
      </c>
      <c r="BY220">
        <f t="shared" si="461"/>
        <v>200</v>
      </c>
      <c r="BZ220">
        <f t="shared" si="462"/>
        <v>52292</v>
      </c>
      <c r="CA220">
        <v>49200</v>
      </c>
      <c r="CB220">
        <f t="shared" si="463"/>
        <v>6888.0000000000009</v>
      </c>
      <c r="CC220">
        <f t="shared" si="464"/>
        <v>5904</v>
      </c>
      <c r="CD220">
        <v>0</v>
      </c>
      <c r="CE220">
        <v>500</v>
      </c>
      <c r="CF220">
        <f t="shared" si="465"/>
        <v>62492</v>
      </c>
      <c r="CG220">
        <v>10000</v>
      </c>
      <c r="CH220">
        <v>0</v>
      </c>
      <c r="CI220">
        <f t="shared" si="466"/>
        <v>200</v>
      </c>
      <c r="CJ220">
        <f t="shared" si="467"/>
        <v>52292</v>
      </c>
      <c r="CK220">
        <v>49200</v>
      </c>
      <c r="CL220">
        <f t="shared" si="468"/>
        <v>6888.0000000000009</v>
      </c>
      <c r="CM220">
        <f t="shared" si="469"/>
        <v>5904</v>
      </c>
      <c r="CN220">
        <v>0</v>
      </c>
      <c r="CO220">
        <v>500</v>
      </c>
      <c r="CP220">
        <f t="shared" si="470"/>
        <v>62492</v>
      </c>
      <c r="CQ220">
        <v>10000</v>
      </c>
      <c r="CR220">
        <v>0</v>
      </c>
      <c r="CS220">
        <f t="shared" si="471"/>
        <v>200</v>
      </c>
      <c r="CT220">
        <f t="shared" si="472"/>
        <v>52292</v>
      </c>
      <c r="CU220">
        <v>49200</v>
      </c>
      <c r="CV220">
        <f t="shared" si="473"/>
        <v>6888</v>
      </c>
      <c r="CW220">
        <f t="shared" si="474"/>
        <v>5904</v>
      </c>
      <c r="CX220">
        <v>0</v>
      </c>
      <c r="CY220">
        <v>500</v>
      </c>
      <c r="CZ220">
        <f t="shared" si="475"/>
        <v>62492</v>
      </c>
      <c r="DA220">
        <v>10000</v>
      </c>
      <c r="DB220">
        <v>0</v>
      </c>
      <c r="DC220">
        <f t="shared" si="476"/>
        <v>200</v>
      </c>
      <c r="DD220">
        <f t="shared" si="477"/>
        <v>52292</v>
      </c>
      <c r="DE220">
        <v>49200</v>
      </c>
      <c r="DF220">
        <f t="shared" si="478"/>
        <v>6888.0000000000009</v>
      </c>
      <c r="DG220">
        <f t="shared" si="479"/>
        <v>5904</v>
      </c>
      <c r="DH220">
        <v>0</v>
      </c>
      <c r="DI220">
        <v>500</v>
      </c>
      <c r="DJ220">
        <f t="shared" si="480"/>
        <v>62492</v>
      </c>
      <c r="DK220">
        <v>10000</v>
      </c>
      <c r="DL220">
        <v>0</v>
      </c>
      <c r="DM220">
        <f t="shared" si="481"/>
        <v>200</v>
      </c>
      <c r="DN220">
        <f t="shared" si="482"/>
        <v>52292</v>
      </c>
      <c r="DO220">
        <v>49200</v>
      </c>
      <c r="DP220">
        <f t="shared" si="483"/>
        <v>6888.0000000000009</v>
      </c>
      <c r="DQ220">
        <f t="shared" si="484"/>
        <v>5904</v>
      </c>
      <c r="DR220">
        <v>0</v>
      </c>
      <c r="DS220">
        <v>500</v>
      </c>
      <c r="DT220">
        <f t="shared" si="485"/>
        <v>62492</v>
      </c>
      <c r="DU220">
        <v>10000</v>
      </c>
      <c r="DV220">
        <v>0</v>
      </c>
      <c r="DW220">
        <f t="shared" si="486"/>
        <v>200</v>
      </c>
      <c r="DX220">
        <f t="shared" si="487"/>
        <v>52292</v>
      </c>
      <c r="DY220">
        <f t="shared" si="488"/>
        <v>740936</v>
      </c>
      <c r="DZ220">
        <f t="shared" si="420"/>
        <v>2400</v>
      </c>
      <c r="EA220">
        <f t="shared" si="421"/>
        <v>50000</v>
      </c>
      <c r="EB220">
        <v>0</v>
      </c>
      <c r="EC220">
        <f t="shared" si="422"/>
        <v>688536</v>
      </c>
      <c r="ED220">
        <f t="shared" si="423"/>
        <v>120000</v>
      </c>
      <c r="EE220">
        <f t="shared" si="424"/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f t="shared" si="425"/>
        <v>120000</v>
      </c>
      <c r="EQ220">
        <f t="shared" si="489"/>
        <v>120000</v>
      </c>
      <c r="ER220">
        <f t="shared" si="426"/>
        <v>568536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f t="shared" si="490"/>
        <v>0</v>
      </c>
      <c r="FA220">
        <f t="shared" si="491"/>
        <v>568536</v>
      </c>
      <c r="FB220">
        <f t="shared" si="492"/>
        <v>12500</v>
      </c>
      <c r="FC220">
        <f t="shared" si="493"/>
        <v>13707</v>
      </c>
      <c r="FD220">
        <f t="shared" si="494"/>
        <v>26207</v>
      </c>
      <c r="FE220">
        <f t="shared" si="495"/>
        <v>26207</v>
      </c>
      <c r="FF220">
        <f t="shared" si="496"/>
        <v>1048.28</v>
      </c>
      <c r="FG220">
        <f t="shared" si="497"/>
        <v>27255</v>
      </c>
      <c r="FH220">
        <v>0</v>
      </c>
      <c r="FI220">
        <f t="shared" si="498"/>
        <v>27255</v>
      </c>
      <c r="FJ220" t="b">
        <f t="shared" si="499"/>
        <v>1</v>
      </c>
      <c r="FK220">
        <f t="shared" ca="1" si="500"/>
        <v>806</v>
      </c>
      <c r="FL220">
        <f t="shared" ca="1" si="501"/>
        <v>741742</v>
      </c>
      <c r="FM220">
        <f t="shared" si="502"/>
        <v>75000</v>
      </c>
      <c r="FN220">
        <f t="shared" ca="1" si="503"/>
        <v>666742</v>
      </c>
      <c r="FO220">
        <f t="shared" ca="1" si="504"/>
        <v>0</v>
      </c>
      <c r="FP220">
        <f t="shared" ca="1" si="505"/>
        <v>0</v>
      </c>
      <c r="FQ220">
        <f t="shared" ca="1" si="506"/>
        <v>0</v>
      </c>
      <c r="FR220">
        <f t="shared" ca="1" si="507"/>
        <v>0</v>
      </c>
      <c r="FS220">
        <f t="shared" ca="1" si="508"/>
        <v>0</v>
      </c>
      <c r="FT220">
        <f t="shared" ca="1" si="509"/>
        <v>0</v>
      </c>
      <c r="FU220">
        <f t="shared" ca="1" si="510"/>
        <v>0</v>
      </c>
      <c r="FV220">
        <f t="shared" ca="1" si="511"/>
        <v>0</v>
      </c>
      <c r="FW220">
        <f t="shared" ca="1" si="512"/>
        <v>366742</v>
      </c>
      <c r="FX220">
        <f t="shared" ca="1" si="513"/>
        <v>18337.100000000002</v>
      </c>
      <c r="FY220">
        <f t="shared" ca="1" si="514"/>
        <v>18337</v>
      </c>
      <c r="FZ220">
        <f t="shared" ca="1" si="515"/>
        <v>0</v>
      </c>
      <c r="GA220">
        <f t="shared" ca="1" si="516"/>
        <v>0</v>
      </c>
      <c r="GB220">
        <f t="shared" ca="1" si="517"/>
        <v>18337</v>
      </c>
      <c r="GC220">
        <f t="shared" ca="1" si="518"/>
        <v>0</v>
      </c>
      <c r="GD220" t="b">
        <f t="shared" ca="1" si="519"/>
        <v>0</v>
      </c>
      <c r="GE220">
        <f t="shared" ca="1" si="520"/>
        <v>0</v>
      </c>
      <c r="GF220">
        <f t="shared" ca="1" si="521"/>
        <v>18337</v>
      </c>
      <c r="GG220">
        <f t="shared" ca="1" si="522"/>
        <v>0</v>
      </c>
      <c r="GH220">
        <f t="shared" ca="1" si="523"/>
        <v>0</v>
      </c>
      <c r="GI220">
        <f t="shared" ca="1" si="524"/>
        <v>0</v>
      </c>
    </row>
    <row r="221" spans="1:191" x14ac:dyDescent="0.25">
      <c r="A221">
        <f>_xlfn.AGGREGATE(3,5,$B$2:B221)</f>
        <v>220</v>
      </c>
      <c r="B221" t="s">
        <v>560</v>
      </c>
      <c r="C221" t="s">
        <v>561</v>
      </c>
      <c r="D221" t="s">
        <v>818</v>
      </c>
      <c r="E221" t="s">
        <v>843</v>
      </c>
      <c r="F221">
        <v>0</v>
      </c>
      <c r="G221">
        <v>0</v>
      </c>
      <c r="H221">
        <v>48700</v>
      </c>
      <c r="I221">
        <f t="shared" si="427"/>
        <v>4870</v>
      </c>
      <c r="J221">
        <f t="shared" si="428"/>
        <v>5844</v>
      </c>
      <c r="K221">
        <v>400</v>
      </c>
      <c r="L221">
        <v>500</v>
      </c>
      <c r="M221">
        <f t="shared" si="429"/>
        <v>60314</v>
      </c>
      <c r="N221">
        <v>5000</v>
      </c>
      <c r="O221">
        <v>0</v>
      </c>
      <c r="P221">
        <f t="shared" si="430"/>
        <v>200</v>
      </c>
      <c r="Q221">
        <f t="shared" si="431"/>
        <v>55114</v>
      </c>
      <c r="R221">
        <v>48700</v>
      </c>
      <c r="S221">
        <f t="shared" si="432"/>
        <v>4870</v>
      </c>
      <c r="T221">
        <f t="shared" si="433"/>
        <v>5844</v>
      </c>
      <c r="U221">
        <v>400</v>
      </c>
      <c r="V221">
        <v>500</v>
      </c>
      <c r="W221">
        <f t="shared" si="434"/>
        <v>60314</v>
      </c>
      <c r="X221">
        <v>5000</v>
      </c>
      <c r="Y221">
        <v>0</v>
      </c>
      <c r="Z221">
        <f t="shared" si="435"/>
        <v>200</v>
      </c>
      <c r="AA221">
        <f t="shared" si="436"/>
        <v>55114</v>
      </c>
      <c r="AB221">
        <v>48700</v>
      </c>
      <c r="AC221">
        <f t="shared" si="437"/>
        <v>6818.0000000000009</v>
      </c>
      <c r="AD221">
        <f t="shared" si="438"/>
        <v>5844</v>
      </c>
      <c r="AE221">
        <v>400</v>
      </c>
      <c r="AF221">
        <v>500</v>
      </c>
      <c r="AG221">
        <f t="shared" si="439"/>
        <v>62262</v>
      </c>
      <c r="AH221">
        <v>5000</v>
      </c>
      <c r="AI221">
        <v>0</v>
      </c>
      <c r="AJ221">
        <f t="shared" si="440"/>
        <v>200</v>
      </c>
      <c r="AK221">
        <f t="shared" si="441"/>
        <v>57062</v>
      </c>
      <c r="AL221">
        <v>48700</v>
      </c>
      <c r="AM221">
        <f t="shared" si="442"/>
        <v>6818.0000000000009</v>
      </c>
      <c r="AN221">
        <f t="shared" si="443"/>
        <v>5844</v>
      </c>
      <c r="AO221">
        <v>400</v>
      </c>
      <c r="AP221">
        <v>500</v>
      </c>
      <c r="AQ221">
        <f t="shared" si="444"/>
        <v>62262</v>
      </c>
      <c r="AR221">
        <v>5000</v>
      </c>
      <c r="AS221">
        <v>0</v>
      </c>
      <c r="AT221">
        <f t="shared" si="445"/>
        <v>200</v>
      </c>
      <c r="AU221">
        <f t="shared" si="446"/>
        <v>57062</v>
      </c>
      <c r="AV221">
        <v>50200</v>
      </c>
      <c r="AW221">
        <f t="shared" si="447"/>
        <v>7028.0000000000009</v>
      </c>
      <c r="AX221">
        <f t="shared" si="448"/>
        <v>1948</v>
      </c>
      <c r="AY221">
        <f t="shared" si="449"/>
        <v>6024</v>
      </c>
      <c r="AZ221">
        <v>400</v>
      </c>
      <c r="BA221">
        <v>500</v>
      </c>
      <c r="BB221">
        <f t="shared" si="450"/>
        <v>66100</v>
      </c>
      <c r="BC221">
        <v>5000</v>
      </c>
      <c r="BD221">
        <v>0</v>
      </c>
      <c r="BE221">
        <f t="shared" si="451"/>
        <v>200</v>
      </c>
      <c r="BF221">
        <f t="shared" si="452"/>
        <v>60900</v>
      </c>
      <c r="BG221">
        <v>50200</v>
      </c>
      <c r="BH221">
        <f t="shared" si="453"/>
        <v>7028.0000000000009</v>
      </c>
      <c r="BI221">
        <f t="shared" si="454"/>
        <v>6024</v>
      </c>
      <c r="BJ221">
        <v>400</v>
      </c>
      <c r="BK221">
        <v>500</v>
      </c>
      <c r="BL221">
        <f t="shared" si="455"/>
        <v>64152</v>
      </c>
      <c r="BM221">
        <v>5000</v>
      </c>
      <c r="BN221">
        <v>0</v>
      </c>
      <c r="BO221">
        <f t="shared" si="456"/>
        <v>200</v>
      </c>
      <c r="BP221">
        <f t="shared" si="457"/>
        <v>58952</v>
      </c>
      <c r="BQ221">
        <v>50200</v>
      </c>
      <c r="BR221">
        <f t="shared" si="458"/>
        <v>7028.0000000000009</v>
      </c>
      <c r="BS221">
        <f t="shared" si="459"/>
        <v>6024</v>
      </c>
      <c r="BT221">
        <v>400</v>
      </c>
      <c r="BU221">
        <v>500</v>
      </c>
      <c r="BV221">
        <f t="shared" si="460"/>
        <v>64152</v>
      </c>
      <c r="BW221">
        <v>5000</v>
      </c>
      <c r="BX221">
        <v>0</v>
      </c>
      <c r="BY221">
        <f t="shared" si="461"/>
        <v>200</v>
      </c>
      <c r="BZ221">
        <f t="shared" si="462"/>
        <v>58952</v>
      </c>
      <c r="CA221">
        <v>50200</v>
      </c>
      <c r="CB221">
        <f t="shared" si="463"/>
        <v>7028.0000000000009</v>
      </c>
      <c r="CC221">
        <f t="shared" si="464"/>
        <v>6024</v>
      </c>
      <c r="CD221">
        <v>400</v>
      </c>
      <c r="CE221">
        <v>500</v>
      </c>
      <c r="CF221">
        <f t="shared" si="465"/>
        <v>64152</v>
      </c>
      <c r="CG221">
        <v>5000</v>
      </c>
      <c r="CH221">
        <v>0</v>
      </c>
      <c r="CI221">
        <f t="shared" si="466"/>
        <v>200</v>
      </c>
      <c r="CJ221">
        <f t="shared" si="467"/>
        <v>58952</v>
      </c>
      <c r="CK221">
        <v>50200</v>
      </c>
      <c r="CL221">
        <f t="shared" si="468"/>
        <v>7028.0000000000009</v>
      </c>
      <c r="CM221">
        <f t="shared" si="469"/>
        <v>6024</v>
      </c>
      <c r="CN221">
        <v>400</v>
      </c>
      <c r="CO221">
        <v>500</v>
      </c>
      <c r="CP221">
        <f t="shared" si="470"/>
        <v>64152</v>
      </c>
      <c r="CQ221">
        <v>5000</v>
      </c>
      <c r="CR221">
        <v>0</v>
      </c>
      <c r="CS221">
        <f t="shared" si="471"/>
        <v>200</v>
      </c>
      <c r="CT221">
        <f t="shared" si="472"/>
        <v>58952</v>
      </c>
      <c r="CU221">
        <v>50200</v>
      </c>
      <c r="CV221">
        <f t="shared" si="473"/>
        <v>7028</v>
      </c>
      <c r="CW221">
        <f t="shared" si="474"/>
        <v>6024</v>
      </c>
      <c r="CX221">
        <v>400</v>
      </c>
      <c r="CY221">
        <v>500</v>
      </c>
      <c r="CZ221">
        <f t="shared" si="475"/>
        <v>64152</v>
      </c>
      <c r="DA221">
        <v>5000</v>
      </c>
      <c r="DB221">
        <v>0</v>
      </c>
      <c r="DC221">
        <f t="shared" si="476"/>
        <v>200</v>
      </c>
      <c r="DD221">
        <f t="shared" si="477"/>
        <v>58952</v>
      </c>
      <c r="DE221">
        <v>50200</v>
      </c>
      <c r="DF221">
        <f t="shared" si="478"/>
        <v>7028.0000000000009</v>
      </c>
      <c r="DG221">
        <f t="shared" si="479"/>
        <v>6024</v>
      </c>
      <c r="DH221">
        <v>400</v>
      </c>
      <c r="DI221">
        <v>500</v>
      </c>
      <c r="DJ221">
        <f t="shared" si="480"/>
        <v>64152</v>
      </c>
      <c r="DK221">
        <v>5000</v>
      </c>
      <c r="DL221">
        <v>0</v>
      </c>
      <c r="DM221">
        <f t="shared" si="481"/>
        <v>200</v>
      </c>
      <c r="DN221">
        <f t="shared" si="482"/>
        <v>58952</v>
      </c>
      <c r="DO221">
        <v>50200</v>
      </c>
      <c r="DP221">
        <f t="shared" si="483"/>
        <v>7028.0000000000009</v>
      </c>
      <c r="DQ221">
        <f t="shared" si="484"/>
        <v>6024</v>
      </c>
      <c r="DR221">
        <v>400</v>
      </c>
      <c r="DS221">
        <v>500</v>
      </c>
      <c r="DT221">
        <f t="shared" si="485"/>
        <v>64152</v>
      </c>
      <c r="DU221">
        <v>5000</v>
      </c>
      <c r="DV221">
        <v>0</v>
      </c>
      <c r="DW221">
        <f t="shared" si="486"/>
        <v>200</v>
      </c>
      <c r="DX221">
        <f t="shared" si="487"/>
        <v>58952</v>
      </c>
      <c r="DY221">
        <f t="shared" si="488"/>
        <v>760316</v>
      </c>
      <c r="DZ221">
        <f t="shared" si="420"/>
        <v>2400</v>
      </c>
      <c r="EA221">
        <f t="shared" si="421"/>
        <v>50000</v>
      </c>
      <c r="EB221">
        <v>0</v>
      </c>
      <c r="EC221">
        <f t="shared" si="422"/>
        <v>707916</v>
      </c>
      <c r="ED221">
        <f t="shared" si="423"/>
        <v>60000</v>
      </c>
      <c r="EE221">
        <f t="shared" si="424"/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f t="shared" si="425"/>
        <v>60000</v>
      </c>
      <c r="EQ221">
        <f t="shared" si="489"/>
        <v>60000</v>
      </c>
      <c r="ER221">
        <f t="shared" si="426"/>
        <v>647916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f t="shared" si="490"/>
        <v>0</v>
      </c>
      <c r="FA221">
        <f t="shared" si="491"/>
        <v>647916</v>
      </c>
      <c r="FB221">
        <f t="shared" si="492"/>
        <v>12500</v>
      </c>
      <c r="FC221">
        <f t="shared" si="493"/>
        <v>29583</v>
      </c>
      <c r="FD221">
        <f t="shared" si="494"/>
        <v>42083</v>
      </c>
      <c r="FE221">
        <f t="shared" si="495"/>
        <v>42083</v>
      </c>
      <c r="FF221">
        <f t="shared" si="496"/>
        <v>1683.32</v>
      </c>
      <c r="FG221">
        <f t="shared" si="497"/>
        <v>43766</v>
      </c>
      <c r="FH221">
        <v>0</v>
      </c>
      <c r="FI221">
        <f t="shared" si="498"/>
        <v>43766</v>
      </c>
      <c r="FJ221" t="b">
        <f t="shared" si="499"/>
        <v>1</v>
      </c>
      <c r="FK221">
        <f t="shared" ca="1" si="500"/>
        <v>723</v>
      </c>
      <c r="FL221">
        <f t="shared" ca="1" si="501"/>
        <v>761039</v>
      </c>
      <c r="FM221">
        <f t="shared" si="502"/>
        <v>75000</v>
      </c>
      <c r="FN221">
        <f t="shared" ca="1" si="503"/>
        <v>686039</v>
      </c>
      <c r="FO221">
        <f t="shared" ca="1" si="504"/>
        <v>0</v>
      </c>
      <c r="FP221">
        <f t="shared" ca="1" si="505"/>
        <v>0</v>
      </c>
      <c r="FQ221">
        <f t="shared" ca="1" si="506"/>
        <v>0</v>
      </c>
      <c r="FR221">
        <f t="shared" ca="1" si="507"/>
        <v>0</v>
      </c>
      <c r="FS221">
        <f t="shared" ca="1" si="508"/>
        <v>0</v>
      </c>
      <c r="FT221">
        <f t="shared" ca="1" si="509"/>
        <v>0</v>
      </c>
      <c r="FU221">
        <f t="shared" ca="1" si="510"/>
        <v>0</v>
      </c>
      <c r="FV221">
        <f t="shared" ca="1" si="511"/>
        <v>0</v>
      </c>
      <c r="FW221">
        <f t="shared" ca="1" si="512"/>
        <v>386039</v>
      </c>
      <c r="FX221">
        <f t="shared" ca="1" si="513"/>
        <v>19301.95</v>
      </c>
      <c r="FY221">
        <f t="shared" ca="1" si="514"/>
        <v>19302</v>
      </c>
      <c r="FZ221">
        <f t="shared" ca="1" si="515"/>
        <v>0</v>
      </c>
      <c r="GA221">
        <f t="shared" ca="1" si="516"/>
        <v>0</v>
      </c>
      <c r="GB221">
        <f t="shared" ca="1" si="517"/>
        <v>19302</v>
      </c>
      <c r="GC221">
        <f t="shared" ca="1" si="518"/>
        <v>0</v>
      </c>
      <c r="GD221" t="b">
        <f t="shared" ca="1" si="519"/>
        <v>0</v>
      </c>
      <c r="GE221">
        <f t="shared" ca="1" si="520"/>
        <v>0</v>
      </c>
      <c r="GF221">
        <f t="shared" ca="1" si="521"/>
        <v>19302</v>
      </c>
      <c r="GG221">
        <f t="shared" ca="1" si="522"/>
        <v>0</v>
      </c>
      <c r="GH221">
        <f t="shared" ca="1" si="523"/>
        <v>0</v>
      </c>
      <c r="GI221">
        <f t="shared" ca="1" si="524"/>
        <v>0</v>
      </c>
    </row>
    <row r="222" spans="1:191" x14ac:dyDescent="0.25">
      <c r="A222">
        <f>_xlfn.AGGREGATE(3,5,$B$2:B222)</f>
        <v>221</v>
      </c>
      <c r="B222" t="s">
        <v>562</v>
      </c>
      <c r="C222" t="s">
        <v>563</v>
      </c>
      <c r="D222" t="s">
        <v>818</v>
      </c>
      <c r="E222" t="s">
        <v>843</v>
      </c>
      <c r="F222">
        <v>0</v>
      </c>
      <c r="G222">
        <v>6000</v>
      </c>
      <c r="H222">
        <v>32500</v>
      </c>
      <c r="I222">
        <f t="shared" si="427"/>
        <v>3250</v>
      </c>
      <c r="J222">
        <f t="shared" si="428"/>
        <v>3900</v>
      </c>
      <c r="K222">
        <v>0</v>
      </c>
      <c r="L222">
        <v>500</v>
      </c>
      <c r="M222">
        <f t="shared" si="429"/>
        <v>40150</v>
      </c>
      <c r="N222">
        <v>5000</v>
      </c>
      <c r="O222">
        <v>0</v>
      </c>
      <c r="P222">
        <f t="shared" si="430"/>
        <v>200</v>
      </c>
      <c r="Q222">
        <f t="shared" si="431"/>
        <v>34950</v>
      </c>
      <c r="R222">
        <v>32500</v>
      </c>
      <c r="S222">
        <f t="shared" si="432"/>
        <v>3250</v>
      </c>
      <c r="T222">
        <f t="shared" si="433"/>
        <v>3900</v>
      </c>
      <c r="U222">
        <v>0</v>
      </c>
      <c r="V222">
        <v>500</v>
      </c>
      <c r="W222">
        <f t="shared" si="434"/>
        <v>40150</v>
      </c>
      <c r="X222">
        <v>5000</v>
      </c>
      <c r="Y222">
        <v>0</v>
      </c>
      <c r="Z222">
        <f t="shared" si="435"/>
        <v>200</v>
      </c>
      <c r="AA222">
        <f t="shared" si="436"/>
        <v>34950</v>
      </c>
      <c r="AB222">
        <v>32500</v>
      </c>
      <c r="AC222">
        <f t="shared" si="437"/>
        <v>4550</v>
      </c>
      <c r="AD222">
        <f t="shared" si="438"/>
        <v>3900</v>
      </c>
      <c r="AE222">
        <v>0</v>
      </c>
      <c r="AF222">
        <v>500</v>
      </c>
      <c r="AG222">
        <f t="shared" si="439"/>
        <v>41450</v>
      </c>
      <c r="AH222">
        <v>5000</v>
      </c>
      <c r="AI222">
        <v>0</v>
      </c>
      <c r="AJ222">
        <f t="shared" si="440"/>
        <v>200</v>
      </c>
      <c r="AK222">
        <f t="shared" si="441"/>
        <v>36250</v>
      </c>
      <c r="AL222">
        <v>32500</v>
      </c>
      <c r="AM222">
        <f t="shared" si="442"/>
        <v>4550</v>
      </c>
      <c r="AN222">
        <f t="shared" si="443"/>
        <v>3900</v>
      </c>
      <c r="AO222">
        <v>0</v>
      </c>
      <c r="AP222">
        <v>500</v>
      </c>
      <c r="AQ222">
        <f t="shared" si="444"/>
        <v>41450</v>
      </c>
      <c r="AR222">
        <v>5000</v>
      </c>
      <c r="AS222">
        <v>0</v>
      </c>
      <c r="AT222">
        <f t="shared" si="445"/>
        <v>200</v>
      </c>
      <c r="AU222">
        <f t="shared" si="446"/>
        <v>36250</v>
      </c>
      <c r="AV222">
        <v>33500</v>
      </c>
      <c r="AW222">
        <f t="shared" si="447"/>
        <v>4690</v>
      </c>
      <c r="AX222">
        <f t="shared" si="448"/>
        <v>1300</v>
      </c>
      <c r="AY222">
        <f t="shared" si="449"/>
        <v>4020</v>
      </c>
      <c r="AZ222">
        <v>0</v>
      </c>
      <c r="BA222">
        <v>500</v>
      </c>
      <c r="BB222">
        <f t="shared" si="450"/>
        <v>44010</v>
      </c>
      <c r="BC222">
        <v>5000</v>
      </c>
      <c r="BD222">
        <v>0</v>
      </c>
      <c r="BE222">
        <f t="shared" si="451"/>
        <v>200</v>
      </c>
      <c r="BF222">
        <f t="shared" si="452"/>
        <v>38810</v>
      </c>
      <c r="BG222">
        <v>33500</v>
      </c>
      <c r="BH222">
        <f t="shared" si="453"/>
        <v>4690</v>
      </c>
      <c r="BI222">
        <f t="shared" si="454"/>
        <v>4020</v>
      </c>
      <c r="BJ222">
        <v>0</v>
      </c>
      <c r="BK222">
        <v>500</v>
      </c>
      <c r="BL222">
        <f t="shared" si="455"/>
        <v>42710</v>
      </c>
      <c r="BM222">
        <v>5000</v>
      </c>
      <c r="BN222">
        <v>0</v>
      </c>
      <c r="BO222">
        <f t="shared" si="456"/>
        <v>200</v>
      </c>
      <c r="BP222">
        <f t="shared" si="457"/>
        <v>37510</v>
      </c>
      <c r="BQ222">
        <v>33500</v>
      </c>
      <c r="BR222">
        <f t="shared" si="458"/>
        <v>4690</v>
      </c>
      <c r="BS222">
        <f t="shared" si="459"/>
        <v>4020</v>
      </c>
      <c r="BT222">
        <v>0</v>
      </c>
      <c r="BU222">
        <v>500</v>
      </c>
      <c r="BV222">
        <f t="shared" si="460"/>
        <v>42710</v>
      </c>
      <c r="BW222">
        <v>5000</v>
      </c>
      <c r="BX222">
        <v>0</v>
      </c>
      <c r="BY222">
        <f t="shared" si="461"/>
        <v>200</v>
      </c>
      <c r="BZ222">
        <f t="shared" si="462"/>
        <v>37510</v>
      </c>
      <c r="CA222">
        <v>33500</v>
      </c>
      <c r="CB222">
        <f t="shared" si="463"/>
        <v>4690</v>
      </c>
      <c r="CC222">
        <f t="shared" si="464"/>
        <v>4020</v>
      </c>
      <c r="CD222">
        <v>0</v>
      </c>
      <c r="CE222">
        <v>500</v>
      </c>
      <c r="CF222">
        <f t="shared" si="465"/>
        <v>42710</v>
      </c>
      <c r="CG222">
        <v>5000</v>
      </c>
      <c r="CH222">
        <v>0</v>
      </c>
      <c r="CI222">
        <f t="shared" si="466"/>
        <v>200</v>
      </c>
      <c r="CJ222">
        <f t="shared" si="467"/>
        <v>37510</v>
      </c>
      <c r="CK222">
        <v>33500</v>
      </c>
      <c r="CL222">
        <f t="shared" si="468"/>
        <v>4690</v>
      </c>
      <c r="CM222">
        <f t="shared" si="469"/>
        <v>4020</v>
      </c>
      <c r="CN222">
        <v>0</v>
      </c>
      <c r="CO222">
        <v>500</v>
      </c>
      <c r="CP222">
        <f t="shared" si="470"/>
        <v>42710</v>
      </c>
      <c r="CQ222">
        <v>5000</v>
      </c>
      <c r="CR222">
        <v>0</v>
      </c>
      <c r="CS222">
        <f t="shared" si="471"/>
        <v>200</v>
      </c>
      <c r="CT222">
        <f t="shared" si="472"/>
        <v>37510</v>
      </c>
      <c r="CU222">
        <v>33661</v>
      </c>
      <c r="CV222">
        <f t="shared" si="473"/>
        <v>4713</v>
      </c>
      <c r="CW222">
        <f t="shared" si="474"/>
        <v>4039</v>
      </c>
      <c r="CX222">
        <v>0</v>
      </c>
      <c r="CY222">
        <v>500</v>
      </c>
      <c r="CZ222">
        <f t="shared" si="475"/>
        <v>42913</v>
      </c>
      <c r="DA222">
        <v>5000</v>
      </c>
      <c r="DB222">
        <v>0</v>
      </c>
      <c r="DC222">
        <f t="shared" si="476"/>
        <v>200</v>
      </c>
      <c r="DD222">
        <f t="shared" si="477"/>
        <v>37713</v>
      </c>
      <c r="DE222">
        <v>34500</v>
      </c>
      <c r="DF222">
        <f t="shared" si="478"/>
        <v>4830.0000000000009</v>
      </c>
      <c r="DG222">
        <f t="shared" si="479"/>
        <v>4140</v>
      </c>
      <c r="DH222">
        <v>0</v>
      </c>
      <c r="DI222">
        <v>500</v>
      </c>
      <c r="DJ222">
        <f t="shared" si="480"/>
        <v>43970</v>
      </c>
      <c r="DK222">
        <v>5000</v>
      </c>
      <c r="DL222">
        <v>0</v>
      </c>
      <c r="DM222">
        <f t="shared" si="481"/>
        <v>200</v>
      </c>
      <c r="DN222">
        <f t="shared" si="482"/>
        <v>38770</v>
      </c>
      <c r="DO222">
        <v>34500</v>
      </c>
      <c r="DP222">
        <f t="shared" si="483"/>
        <v>4830.0000000000009</v>
      </c>
      <c r="DQ222">
        <f t="shared" si="484"/>
        <v>4140</v>
      </c>
      <c r="DR222">
        <v>0</v>
      </c>
      <c r="DS222">
        <v>500</v>
      </c>
      <c r="DT222">
        <f t="shared" si="485"/>
        <v>43970</v>
      </c>
      <c r="DU222">
        <v>5000</v>
      </c>
      <c r="DV222">
        <v>0</v>
      </c>
      <c r="DW222">
        <f t="shared" si="486"/>
        <v>200</v>
      </c>
      <c r="DX222">
        <f t="shared" si="487"/>
        <v>38770</v>
      </c>
      <c r="DY222">
        <f t="shared" si="488"/>
        <v>514903</v>
      </c>
      <c r="DZ222">
        <f t="shared" si="420"/>
        <v>2400</v>
      </c>
      <c r="EA222">
        <f t="shared" si="421"/>
        <v>50000</v>
      </c>
      <c r="EB222">
        <v>0</v>
      </c>
      <c r="EC222">
        <f t="shared" si="422"/>
        <v>462503</v>
      </c>
      <c r="ED222">
        <f t="shared" si="423"/>
        <v>60000</v>
      </c>
      <c r="EE222">
        <f t="shared" si="424"/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f t="shared" si="425"/>
        <v>60000</v>
      </c>
      <c r="EQ222">
        <f t="shared" si="489"/>
        <v>60000</v>
      </c>
      <c r="ER222">
        <f t="shared" si="426"/>
        <v>402503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f t="shared" si="490"/>
        <v>0</v>
      </c>
      <c r="FA222">
        <f t="shared" si="491"/>
        <v>402503</v>
      </c>
      <c r="FB222">
        <f t="shared" si="492"/>
        <v>7625</v>
      </c>
      <c r="FC222">
        <f t="shared" si="493"/>
        <v>0</v>
      </c>
      <c r="FD222">
        <f t="shared" si="494"/>
        <v>7625</v>
      </c>
      <c r="FE222">
        <f t="shared" si="495"/>
        <v>0</v>
      </c>
      <c r="FF222">
        <f t="shared" si="496"/>
        <v>0</v>
      </c>
      <c r="FG222">
        <f t="shared" si="497"/>
        <v>0</v>
      </c>
      <c r="FH222">
        <v>0</v>
      </c>
      <c r="FI222">
        <f t="shared" si="498"/>
        <v>0</v>
      </c>
      <c r="FJ222" t="b">
        <f t="shared" si="499"/>
        <v>1</v>
      </c>
      <c r="FK222">
        <f t="shared" ca="1" si="500"/>
        <v>854</v>
      </c>
      <c r="FL222">
        <f t="shared" ca="1" si="501"/>
        <v>515757</v>
      </c>
      <c r="FM222">
        <f t="shared" si="502"/>
        <v>75000</v>
      </c>
      <c r="FN222">
        <f t="shared" ca="1" si="503"/>
        <v>440757</v>
      </c>
      <c r="FO222">
        <f t="shared" ca="1" si="504"/>
        <v>0</v>
      </c>
      <c r="FP222">
        <f t="shared" ca="1" si="505"/>
        <v>0</v>
      </c>
      <c r="FQ222">
        <f t="shared" ca="1" si="506"/>
        <v>0</v>
      </c>
      <c r="FR222">
        <f t="shared" ca="1" si="507"/>
        <v>0</v>
      </c>
      <c r="FS222">
        <f t="shared" ca="1" si="508"/>
        <v>0</v>
      </c>
      <c r="FT222">
        <f t="shared" ca="1" si="509"/>
        <v>0</v>
      </c>
      <c r="FU222">
        <f t="shared" ca="1" si="510"/>
        <v>0</v>
      </c>
      <c r="FV222">
        <f t="shared" ca="1" si="511"/>
        <v>0</v>
      </c>
      <c r="FW222">
        <f t="shared" ca="1" si="512"/>
        <v>140757</v>
      </c>
      <c r="FX222">
        <f t="shared" ca="1" si="513"/>
        <v>7037.85</v>
      </c>
      <c r="FY222">
        <f t="shared" ca="1" si="514"/>
        <v>7038</v>
      </c>
      <c r="FZ222">
        <f t="shared" ca="1" si="515"/>
        <v>0</v>
      </c>
      <c r="GA222">
        <f t="shared" ca="1" si="516"/>
        <v>0</v>
      </c>
      <c r="GB222">
        <f t="shared" ca="1" si="517"/>
        <v>7038</v>
      </c>
      <c r="GC222">
        <f t="shared" ca="1" si="518"/>
        <v>0</v>
      </c>
      <c r="GD222" t="b">
        <f t="shared" ca="1" si="519"/>
        <v>0</v>
      </c>
      <c r="GE222">
        <f t="shared" ca="1" si="520"/>
        <v>0</v>
      </c>
      <c r="GF222">
        <f t="shared" ca="1" si="521"/>
        <v>7038</v>
      </c>
      <c r="GG222">
        <f t="shared" ca="1" si="522"/>
        <v>0</v>
      </c>
      <c r="GH222">
        <f t="shared" ca="1" si="523"/>
        <v>0</v>
      </c>
      <c r="GI222">
        <f t="shared" ca="1" si="524"/>
        <v>0</v>
      </c>
    </row>
    <row r="223" spans="1:191" x14ac:dyDescent="0.25">
      <c r="A223">
        <f>_xlfn.AGGREGATE(3,5,$B$2:B223)</f>
        <v>222</v>
      </c>
      <c r="B223" t="s">
        <v>564</v>
      </c>
      <c r="C223" t="s">
        <v>565</v>
      </c>
      <c r="D223" t="s">
        <v>818</v>
      </c>
      <c r="E223" t="s">
        <v>843</v>
      </c>
      <c r="F223">
        <v>0</v>
      </c>
      <c r="G223">
        <v>0</v>
      </c>
      <c r="H223">
        <v>0</v>
      </c>
      <c r="I223">
        <f t="shared" si="427"/>
        <v>0</v>
      </c>
      <c r="J223">
        <f t="shared" si="428"/>
        <v>0</v>
      </c>
      <c r="K223">
        <v>0</v>
      </c>
      <c r="L223">
        <v>0</v>
      </c>
      <c r="M223">
        <f t="shared" si="429"/>
        <v>0</v>
      </c>
      <c r="N223">
        <v>0</v>
      </c>
      <c r="O223">
        <v>0</v>
      </c>
      <c r="P223">
        <f t="shared" si="430"/>
        <v>0</v>
      </c>
      <c r="Q223">
        <f t="shared" si="431"/>
        <v>0</v>
      </c>
      <c r="R223">
        <v>28900</v>
      </c>
      <c r="S223">
        <f t="shared" si="432"/>
        <v>2890</v>
      </c>
      <c r="T223">
        <f t="shared" si="433"/>
        <v>3468</v>
      </c>
      <c r="U223">
        <v>0</v>
      </c>
      <c r="V223">
        <v>500</v>
      </c>
      <c r="W223">
        <f t="shared" si="434"/>
        <v>35758</v>
      </c>
      <c r="X223">
        <v>0</v>
      </c>
      <c r="Y223">
        <v>0</v>
      </c>
      <c r="Z223">
        <f t="shared" si="435"/>
        <v>150</v>
      </c>
      <c r="AA223">
        <f t="shared" si="436"/>
        <v>35608</v>
      </c>
      <c r="AB223">
        <v>28900</v>
      </c>
      <c r="AC223">
        <f t="shared" si="437"/>
        <v>4046.0000000000005</v>
      </c>
      <c r="AD223">
        <f t="shared" si="438"/>
        <v>3468</v>
      </c>
      <c r="AE223">
        <v>0</v>
      </c>
      <c r="AF223">
        <v>500</v>
      </c>
      <c r="AG223">
        <f t="shared" si="439"/>
        <v>36914</v>
      </c>
      <c r="AH223">
        <v>0</v>
      </c>
      <c r="AI223">
        <v>0</v>
      </c>
      <c r="AJ223">
        <f t="shared" si="440"/>
        <v>150</v>
      </c>
      <c r="AK223">
        <f t="shared" si="441"/>
        <v>36764</v>
      </c>
      <c r="AL223">
        <v>28900</v>
      </c>
      <c r="AM223">
        <f t="shared" si="442"/>
        <v>4046.0000000000005</v>
      </c>
      <c r="AN223">
        <f t="shared" si="443"/>
        <v>3468</v>
      </c>
      <c r="AO223">
        <v>0</v>
      </c>
      <c r="AP223">
        <v>500</v>
      </c>
      <c r="AQ223">
        <f t="shared" si="444"/>
        <v>36914</v>
      </c>
      <c r="AR223">
        <v>0</v>
      </c>
      <c r="AS223">
        <v>0</v>
      </c>
      <c r="AT223">
        <f t="shared" si="445"/>
        <v>150</v>
      </c>
      <c r="AU223">
        <f t="shared" si="446"/>
        <v>36764</v>
      </c>
      <c r="AV223">
        <v>28900</v>
      </c>
      <c r="AW223">
        <f t="shared" si="447"/>
        <v>4046.0000000000005</v>
      </c>
      <c r="AX223">
        <f t="shared" si="448"/>
        <v>1156</v>
      </c>
      <c r="AY223">
        <f t="shared" si="449"/>
        <v>3468</v>
      </c>
      <c r="AZ223">
        <v>0</v>
      </c>
      <c r="BA223">
        <v>500</v>
      </c>
      <c r="BB223">
        <f t="shared" si="450"/>
        <v>38070</v>
      </c>
      <c r="BC223">
        <v>0</v>
      </c>
      <c r="BD223">
        <v>0</v>
      </c>
      <c r="BE223">
        <f t="shared" si="451"/>
        <v>150</v>
      </c>
      <c r="BF223">
        <f t="shared" si="452"/>
        <v>37920</v>
      </c>
      <c r="BG223">
        <v>28900</v>
      </c>
      <c r="BH223">
        <f t="shared" si="453"/>
        <v>4046.0000000000005</v>
      </c>
      <c r="BI223">
        <f t="shared" si="454"/>
        <v>3468</v>
      </c>
      <c r="BJ223">
        <v>0</v>
      </c>
      <c r="BK223">
        <v>500</v>
      </c>
      <c r="BL223">
        <f t="shared" si="455"/>
        <v>36914</v>
      </c>
      <c r="BM223">
        <v>0</v>
      </c>
      <c r="BN223">
        <v>0</v>
      </c>
      <c r="BO223">
        <f t="shared" si="456"/>
        <v>150</v>
      </c>
      <c r="BP223">
        <f t="shared" si="457"/>
        <v>36764</v>
      </c>
      <c r="BQ223">
        <v>28900</v>
      </c>
      <c r="BR223">
        <f t="shared" si="458"/>
        <v>4046.0000000000005</v>
      </c>
      <c r="BS223">
        <f t="shared" si="459"/>
        <v>3468</v>
      </c>
      <c r="BT223">
        <v>0</v>
      </c>
      <c r="BU223">
        <v>500</v>
      </c>
      <c r="BV223">
        <f t="shared" si="460"/>
        <v>36914</v>
      </c>
      <c r="BW223">
        <v>0</v>
      </c>
      <c r="BX223">
        <v>0</v>
      </c>
      <c r="BY223">
        <f t="shared" si="461"/>
        <v>150</v>
      </c>
      <c r="BZ223">
        <f t="shared" si="462"/>
        <v>36764</v>
      </c>
      <c r="CA223">
        <v>28900</v>
      </c>
      <c r="CB223">
        <f t="shared" si="463"/>
        <v>4046.0000000000005</v>
      </c>
      <c r="CC223">
        <f t="shared" si="464"/>
        <v>3468</v>
      </c>
      <c r="CD223">
        <v>0</v>
      </c>
      <c r="CE223">
        <v>500</v>
      </c>
      <c r="CF223">
        <f t="shared" si="465"/>
        <v>36914</v>
      </c>
      <c r="CG223">
        <v>0</v>
      </c>
      <c r="CH223">
        <v>0</v>
      </c>
      <c r="CI223">
        <f t="shared" si="466"/>
        <v>150</v>
      </c>
      <c r="CJ223">
        <f t="shared" si="467"/>
        <v>36764</v>
      </c>
      <c r="CK223">
        <v>28900</v>
      </c>
      <c r="CL223">
        <f t="shared" si="468"/>
        <v>4046.0000000000005</v>
      </c>
      <c r="CM223">
        <f t="shared" si="469"/>
        <v>3468</v>
      </c>
      <c r="CN223">
        <v>0</v>
      </c>
      <c r="CO223">
        <v>500</v>
      </c>
      <c r="CP223">
        <f t="shared" si="470"/>
        <v>36914</v>
      </c>
      <c r="CQ223">
        <v>0</v>
      </c>
      <c r="CR223">
        <v>0</v>
      </c>
      <c r="CS223">
        <f t="shared" si="471"/>
        <v>150</v>
      </c>
      <c r="CT223">
        <f t="shared" si="472"/>
        <v>36764</v>
      </c>
      <c r="CU223">
        <v>28900</v>
      </c>
      <c r="CV223">
        <f t="shared" si="473"/>
        <v>4046</v>
      </c>
      <c r="CW223">
        <f t="shared" si="474"/>
        <v>3468</v>
      </c>
      <c r="CX223">
        <v>0</v>
      </c>
      <c r="CY223">
        <v>500</v>
      </c>
      <c r="CZ223">
        <f t="shared" si="475"/>
        <v>36914</v>
      </c>
      <c r="DA223">
        <v>0</v>
      </c>
      <c r="DB223">
        <v>0</v>
      </c>
      <c r="DC223">
        <f t="shared" si="476"/>
        <v>150</v>
      </c>
      <c r="DD223">
        <f t="shared" si="477"/>
        <v>36764</v>
      </c>
      <c r="DE223">
        <v>28900</v>
      </c>
      <c r="DF223">
        <f t="shared" si="478"/>
        <v>4046.0000000000005</v>
      </c>
      <c r="DG223">
        <f t="shared" si="479"/>
        <v>3468</v>
      </c>
      <c r="DH223">
        <v>0</v>
      </c>
      <c r="DI223">
        <v>500</v>
      </c>
      <c r="DJ223">
        <f t="shared" si="480"/>
        <v>36914</v>
      </c>
      <c r="DK223">
        <v>0</v>
      </c>
      <c r="DL223">
        <v>0</v>
      </c>
      <c r="DM223">
        <f t="shared" si="481"/>
        <v>150</v>
      </c>
      <c r="DN223">
        <f t="shared" si="482"/>
        <v>36764</v>
      </c>
      <c r="DO223">
        <v>28900</v>
      </c>
      <c r="DP223">
        <f t="shared" si="483"/>
        <v>4046.0000000000005</v>
      </c>
      <c r="DQ223">
        <f t="shared" si="484"/>
        <v>3468</v>
      </c>
      <c r="DR223">
        <v>0</v>
      </c>
      <c r="DS223">
        <v>500</v>
      </c>
      <c r="DT223">
        <f t="shared" si="485"/>
        <v>36914</v>
      </c>
      <c r="DU223">
        <v>2000</v>
      </c>
      <c r="DV223">
        <v>0</v>
      </c>
      <c r="DW223">
        <f t="shared" si="486"/>
        <v>150</v>
      </c>
      <c r="DX223">
        <f t="shared" si="487"/>
        <v>34764</v>
      </c>
      <c r="DY223">
        <f t="shared" si="488"/>
        <v>406054</v>
      </c>
      <c r="DZ223">
        <f t="shared" si="420"/>
        <v>1650</v>
      </c>
      <c r="EA223">
        <f t="shared" si="421"/>
        <v>50000</v>
      </c>
      <c r="EB223">
        <v>0</v>
      </c>
      <c r="EC223">
        <f t="shared" si="422"/>
        <v>354404</v>
      </c>
      <c r="ED223">
        <f t="shared" si="423"/>
        <v>2000</v>
      </c>
      <c r="EE223">
        <f t="shared" si="424"/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f t="shared" si="425"/>
        <v>2000</v>
      </c>
      <c r="EQ223">
        <f t="shared" si="489"/>
        <v>2000</v>
      </c>
      <c r="ER223">
        <f t="shared" si="426"/>
        <v>352404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f t="shared" si="490"/>
        <v>0</v>
      </c>
      <c r="FA223">
        <f t="shared" si="491"/>
        <v>352404</v>
      </c>
      <c r="FB223">
        <f t="shared" si="492"/>
        <v>5120</v>
      </c>
      <c r="FC223">
        <f t="shared" si="493"/>
        <v>0</v>
      </c>
      <c r="FD223">
        <f t="shared" si="494"/>
        <v>5120</v>
      </c>
      <c r="FE223">
        <f t="shared" si="495"/>
        <v>0</v>
      </c>
      <c r="FF223">
        <f t="shared" si="496"/>
        <v>0</v>
      </c>
      <c r="FG223">
        <f t="shared" si="497"/>
        <v>0</v>
      </c>
      <c r="FH223">
        <v>0</v>
      </c>
      <c r="FI223">
        <f t="shared" si="498"/>
        <v>0</v>
      </c>
      <c r="FJ223" t="b">
        <f t="shared" si="499"/>
        <v>0</v>
      </c>
      <c r="FK223">
        <f t="shared" ca="1" si="500"/>
        <v>2777</v>
      </c>
      <c r="FL223">
        <f t="shared" ca="1" si="501"/>
        <v>408831</v>
      </c>
      <c r="FM223">
        <f t="shared" si="502"/>
        <v>75000</v>
      </c>
      <c r="FN223">
        <f t="shared" ca="1" si="503"/>
        <v>333831</v>
      </c>
      <c r="FO223">
        <f t="shared" ca="1" si="504"/>
        <v>0</v>
      </c>
      <c r="FP223">
        <f t="shared" ca="1" si="505"/>
        <v>0</v>
      </c>
      <c r="FQ223">
        <f t="shared" ca="1" si="506"/>
        <v>0</v>
      </c>
      <c r="FR223">
        <f t="shared" ca="1" si="507"/>
        <v>0</v>
      </c>
      <c r="FS223">
        <f t="shared" ca="1" si="508"/>
        <v>0</v>
      </c>
      <c r="FT223">
        <f t="shared" ca="1" si="509"/>
        <v>0</v>
      </c>
      <c r="FU223">
        <f t="shared" ca="1" si="510"/>
        <v>0</v>
      </c>
      <c r="FV223">
        <f t="shared" ca="1" si="511"/>
        <v>0</v>
      </c>
      <c r="FW223">
        <f t="shared" ca="1" si="512"/>
        <v>33831</v>
      </c>
      <c r="FX223">
        <f t="shared" ca="1" si="513"/>
        <v>1691.5500000000002</v>
      </c>
      <c r="FY223">
        <f t="shared" ca="1" si="514"/>
        <v>1692</v>
      </c>
      <c r="FZ223">
        <f t="shared" ca="1" si="515"/>
        <v>0</v>
      </c>
      <c r="GA223">
        <f t="shared" ca="1" si="516"/>
        <v>0</v>
      </c>
      <c r="GB223">
        <f t="shared" ca="1" si="517"/>
        <v>1692</v>
      </c>
      <c r="GC223">
        <f t="shared" ca="1" si="518"/>
        <v>0</v>
      </c>
      <c r="GD223" t="b">
        <f t="shared" ca="1" si="519"/>
        <v>0</v>
      </c>
      <c r="GE223">
        <f t="shared" ca="1" si="520"/>
        <v>0</v>
      </c>
      <c r="GF223">
        <f t="shared" ca="1" si="521"/>
        <v>1692</v>
      </c>
      <c r="GG223">
        <f t="shared" ca="1" si="522"/>
        <v>0</v>
      </c>
      <c r="GH223">
        <f t="shared" ca="1" si="523"/>
        <v>0</v>
      </c>
      <c r="GI223">
        <f t="shared" ca="1" si="524"/>
        <v>0</v>
      </c>
    </row>
    <row r="224" spans="1:191" x14ac:dyDescent="0.25">
      <c r="A224">
        <f>_xlfn.AGGREGATE(3,5,$B$2:B224)</f>
        <v>223</v>
      </c>
      <c r="B224" t="s">
        <v>566</v>
      </c>
      <c r="C224" t="s">
        <v>567</v>
      </c>
      <c r="D224" t="s">
        <v>819</v>
      </c>
      <c r="E224" t="s">
        <v>843</v>
      </c>
      <c r="F224">
        <v>0</v>
      </c>
      <c r="G224">
        <v>6000</v>
      </c>
      <c r="H224">
        <v>33500</v>
      </c>
      <c r="I224">
        <f t="shared" si="427"/>
        <v>3350</v>
      </c>
      <c r="J224">
        <f t="shared" si="428"/>
        <v>4020</v>
      </c>
      <c r="K224">
        <v>400</v>
      </c>
      <c r="L224">
        <v>0</v>
      </c>
      <c r="M224">
        <f t="shared" si="429"/>
        <v>41270</v>
      </c>
      <c r="N224">
        <v>5000</v>
      </c>
      <c r="O224">
        <v>0</v>
      </c>
      <c r="P224">
        <f t="shared" si="430"/>
        <v>200</v>
      </c>
      <c r="Q224">
        <f t="shared" si="431"/>
        <v>36070</v>
      </c>
      <c r="R224">
        <v>33500</v>
      </c>
      <c r="S224">
        <f t="shared" si="432"/>
        <v>3350</v>
      </c>
      <c r="T224">
        <f t="shared" si="433"/>
        <v>4020</v>
      </c>
      <c r="U224">
        <v>400</v>
      </c>
      <c r="V224">
        <v>0</v>
      </c>
      <c r="W224">
        <f t="shared" si="434"/>
        <v>41270</v>
      </c>
      <c r="X224">
        <v>5000</v>
      </c>
      <c r="Y224">
        <v>0</v>
      </c>
      <c r="Z224">
        <f t="shared" si="435"/>
        <v>200</v>
      </c>
      <c r="AA224">
        <f t="shared" si="436"/>
        <v>36070</v>
      </c>
      <c r="AB224">
        <v>33500</v>
      </c>
      <c r="AC224">
        <f t="shared" si="437"/>
        <v>4690</v>
      </c>
      <c r="AD224">
        <f t="shared" si="438"/>
        <v>4020</v>
      </c>
      <c r="AE224">
        <v>400</v>
      </c>
      <c r="AF224">
        <v>0</v>
      </c>
      <c r="AG224">
        <f t="shared" si="439"/>
        <v>42610</v>
      </c>
      <c r="AH224">
        <v>5000</v>
      </c>
      <c r="AI224">
        <v>0</v>
      </c>
      <c r="AJ224">
        <f t="shared" si="440"/>
        <v>200</v>
      </c>
      <c r="AK224">
        <f t="shared" si="441"/>
        <v>37410</v>
      </c>
      <c r="AL224">
        <v>33500</v>
      </c>
      <c r="AM224">
        <f t="shared" si="442"/>
        <v>4690</v>
      </c>
      <c r="AN224">
        <f t="shared" si="443"/>
        <v>4020</v>
      </c>
      <c r="AO224">
        <v>400</v>
      </c>
      <c r="AP224">
        <v>0</v>
      </c>
      <c r="AQ224">
        <f t="shared" si="444"/>
        <v>42610</v>
      </c>
      <c r="AR224">
        <v>5000</v>
      </c>
      <c r="AS224">
        <v>0</v>
      </c>
      <c r="AT224">
        <f t="shared" si="445"/>
        <v>200</v>
      </c>
      <c r="AU224">
        <f t="shared" si="446"/>
        <v>37410</v>
      </c>
      <c r="AV224">
        <v>35500</v>
      </c>
      <c r="AW224">
        <f t="shared" si="447"/>
        <v>4970.0000000000009</v>
      </c>
      <c r="AX224">
        <f t="shared" si="448"/>
        <v>1340</v>
      </c>
      <c r="AY224">
        <f t="shared" si="449"/>
        <v>4260</v>
      </c>
      <c r="AZ224">
        <v>400</v>
      </c>
      <c r="BA224">
        <v>0</v>
      </c>
      <c r="BB224">
        <f t="shared" si="450"/>
        <v>46470</v>
      </c>
      <c r="BC224">
        <v>5000</v>
      </c>
      <c r="BD224">
        <v>0</v>
      </c>
      <c r="BE224">
        <f t="shared" si="451"/>
        <v>200</v>
      </c>
      <c r="BF224">
        <f t="shared" si="452"/>
        <v>41270</v>
      </c>
      <c r="BG224">
        <v>35500</v>
      </c>
      <c r="BH224">
        <f t="shared" si="453"/>
        <v>4970.0000000000009</v>
      </c>
      <c r="BI224">
        <f t="shared" si="454"/>
        <v>4260</v>
      </c>
      <c r="BJ224">
        <v>400</v>
      </c>
      <c r="BK224">
        <v>0</v>
      </c>
      <c r="BL224">
        <f t="shared" si="455"/>
        <v>45130</v>
      </c>
      <c r="BM224">
        <v>5000</v>
      </c>
      <c r="BN224">
        <v>0</v>
      </c>
      <c r="BO224">
        <f t="shared" si="456"/>
        <v>200</v>
      </c>
      <c r="BP224">
        <f t="shared" si="457"/>
        <v>39930</v>
      </c>
      <c r="BQ224">
        <v>35500</v>
      </c>
      <c r="BR224">
        <f t="shared" si="458"/>
        <v>4970.0000000000009</v>
      </c>
      <c r="BS224">
        <f t="shared" si="459"/>
        <v>4260</v>
      </c>
      <c r="BT224">
        <v>400</v>
      </c>
      <c r="BU224">
        <v>0</v>
      </c>
      <c r="BV224">
        <f t="shared" si="460"/>
        <v>45130</v>
      </c>
      <c r="BW224">
        <v>5000</v>
      </c>
      <c r="BX224">
        <v>0</v>
      </c>
      <c r="BY224">
        <f t="shared" si="461"/>
        <v>200</v>
      </c>
      <c r="BZ224">
        <f t="shared" si="462"/>
        <v>39930</v>
      </c>
      <c r="CA224">
        <v>35500</v>
      </c>
      <c r="CB224">
        <f t="shared" si="463"/>
        <v>4970.0000000000009</v>
      </c>
      <c r="CC224">
        <f t="shared" si="464"/>
        <v>4260</v>
      </c>
      <c r="CD224">
        <v>400</v>
      </c>
      <c r="CE224">
        <v>0</v>
      </c>
      <c r="CF224">
        <f t="shared" si="465"/>
        <v>45130</v>
      </c>
      <c r="CG224">
        <v>5000</v>
      </c>
      <c r="CH224">
        <v>0</v>
      </c>
      <c r="CI224">
        <f t="shared" si="466"/>
        <v>200</v>
      </c>
      <c r="CJ224">
        <f t="shared" si="467"/>
        <v>39930</v>
      </c>
      <c r="CK224">
        <v>35500</v>
      </c>
      <c r="CL224">
        <f t="shared" si="468"/>
        <v>4970.0000000000009</v>
      </c>
      <c r="CM224">
        <f t="shared" si="469"/>
        <v>4260</v>
      </c>
      <c r="CN224">
        <v>400</v>
      </c>
      <c r="CO224">
        <v>0</v>
      </c>
      <c r="CP224">
        <f t="shared" si="470"/>
        <v>45130</v>
      </c>
      <c r="CQ224">
        <v>5000</v>
      </c>
      <c r="CR224">
        <v>0</v>
      </c>
      <c r="CS224">
        <f t="shared" si="471"/>
        <v>200</v>
      </c>
      <c r="CT224">
        <f t="shared" si="472"/>
        <v>39930</v>
      </c>
      <c r="CU224">
        <v>35500</v>
      </c>
      <c r="CV224">
        <f t="shared" si="473"/>
        <v>4970</v>
      </c>
      <c r="CW224">
        <f t="shared" si="474"/>
        <v>4260</v>
      </c>
      <c r="CX224">
        <v>400</v>
      </c>
      <c r="CY224">
        <v>0</v>
      </c>
      <c r="CZ224">
        <f t="shared" si="475"/>
        <v>45130</v>
      </c>
      <c r="DA224">
        <v>5000</v>
      </c>
      <c r="DB224">
        <v>0</v>
      </c>
      <c r="DC224">
        <f t="shared" si="476"/>
        <v>200</v>
      </c>
      <c r="DD224">
        <f t="shared" si="477"/>
        <v>39930</v>
      </c>
      <c r="DE224">
        <v>35500</v>
      </c>
      <c r="DF224">
        <f t="shared" si="478"/>
        <v>4970.0000000000009</v>
      </c>
      <c r="DG224">
        <f t="shared" si="479"/>
        <v>4260</v>
      </c>
      <c r="DH224">
        <v>400</v>
      </c>
      <c r="DI224">
        <v>0</v>
      </c>
      <c r="DJ224">
        <f t="shared" si="480"/>
        <v>45130</v>
      </c>
      <c r="DK224">
        <v>5000</v>
      </c>
      <c r="DL224">
        <v>0</v>
      </c>
      <c r="DM224">
        <f t="shared" si="481"/>
        <v>200</v>
      </c>
      <c r="DN224">
        <f t="shared" si="482"/>
        <v>39930</v>
      </c>
      <c r="DO224">
        <v>35500</v>
      </c>
      <c r="DP224">
        <f t="shared" si="483"/>
        <v>4970.0000000000009</v>
      </c>
      <c r="DQ224">
        <f t="shared" si="484"/>
        <v>4260</v>
      </c>
      <c r="DR224">
        <v>400</v>
      </c>
      <c r="DS224">
        <v>0</v>
      </c>
      <c r="DT224">
        <f t="shared" si="485"/>
        <v>45130</v>
      </c>
      <c r="DU224">
        <v>5000</v>
      </c>
      <c r="DV224">
        <v>0</v>
      </c>
      <c r="DW224">
        <f t="shared" si="486"/>
        <v>200</v>
      </c>
      <c r="DX224">
        <f t="shared" si="487"/>
        <v>39930</v>
      </c>
      <c r="DY224">
        <f t="shared" si="488"/>
        <v>536140</v>
      </c>
      <c r="DZ224">
        <f t="shared" si="420"/>
        <v>2400</v>
      </c>
      <c r="EA224">
        <f t="shared" si="421"/>
        <v>50000</v>
      </c>
      <c r="EB224">
        <v>0</v>
      </c>
      <c r="EC224">
        <f t="shared" si="422"/>
        <v>483740</v>
      </c>
      <c r="ED224">
        <f t="shared" si="423"/>
        <v>60000</v>
      </c>
      <c r="EE224">
        <f t="shared" si="424"/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f t="shared" si="425"/>
        <v>60000</v>
      </c>
      <c r="EQ224">
        <f t="shared" si="489"/>
        <v>60000</v>
      </c>
      <c r="ER224">
        <f t="shared" si="426"/>
        <v>423740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f t="shared" si="490"/>
        <v>0</v>
      </c>
      <c r="FA224">
        <f t="shared" si="491"/>
        <v>423740</v>
      </c>
      <c r="FB224">
        <f t="shared" si="492"/>
        <v>8687</v>
      </c>
      <c r="FC224">
        <f t="shared" si="493"/>
        <v>0</v>
      </c>
      <c r="FD224">
        <f t="shared" si="494"/>
        <v>8687</v>
      </c>
      <c r="FE224">
        <f t="shared" si="495"/>
        <v>0</v>
      </c>
      <c r="FF224">
        <f t="shared" si="496"/>
        <v>0</v>
      </c>
      <c r="FG224">
        <f t="shared" si="497"/>
        <v>0</v>
      </c>
      <c r="FH224">
        <v>0</v>
      </c>
      <c r="FI224">
        <f t="shared" si="498"/>
        <v>0</v>
      </c>
      <c r="FJ224" t="b">
        <f t="shared" si="499"/>
        <v>1</v>
      </c>
      <c r="FK224">
        <f t="shared" ca="1" si="500"/>
        <v>807</v>
      </c>
      <c r="FL224">
        <f t="shared" ca="1" si="501"/>
        <v>536947</v>
      </c>
      <c r="FM224">
        <f t="shared" si="502"/>
        <v>75000</v>
      </c>
      <c r="FN224">
        <f t="shared" ca="1" si="503"/>
        <v>461947</v>
      </c>
      <c r="FO224">
        <f t="shared" ca="1" si="504"/>
        <v>0</v>
      </c>
      <c r="FP224">
        <f t="shared" ca="1" si="505"/>
        <v>0</v>
      </c>
      <c r="FQ224">
        <f t="shared" ca="1" si="506"/>
        <v>0</v>
      </c>
      <c r="FR224">
        <f t="shared" ca="1" si="507"/>
        <v>0</v>
      </c>
      <c r="FS224">
        <f t="shared" ca="1" si="508"/>
        <v>0</v>
      </c>
      <c r="FT224">
        <f t="shared" ca="1" si="509"/>
        <v>0</v>
      </c>
      <c r="FU224">
        <f t="shared" ca="1" si="510"/>
        <v>0</v>
      </c>
      <c r="FV224">
        <f t="shared" ca="1" si="511"/>
        <v>0</v>
      </c>
      <c r="FW224">
        <f t="shared" ca="1" si="512"/>
        <v>161947</v>
      </c>
      <c r="FX224">
        <f t="shared" ca="1" si="513"/>
        <v>8097.35</v>
      </c>
      <c r="FY224">
        <f t="shared" ca="1" si="514"/>
        <v>8097</v>
      </c>
      <c r="FZ224">
        <f t="shared" ca="1" si="515"/>
        <v>0</v>
      </c>
      <c r="GA224">
        <f t="shared" ca="1" si="516"/>
        <v>0</v>
      </c>
      <c r="GB224">
        <f t="shared" ca="1" si="517"/>
        <v>8097</v>
      </c>
      <c r="GC224">
        <f t="shared" ca="1" si="518"/>
        <v>0</v>
      </c>
      <c r="GD224" t="b">
        <f t="shared" ca="1" si="519"/>
        <v>0</v>
      </c>
      <c r="GE224">
        <f t="shared" ca="1" si="520"/>
        <v>0</v>
      </c>
      <c r="GF224">
        <f t="shared" ca="1" si="521"/>
        <v>8097</v>
      </c>
      <c r="GG224">
        <f t="shared" ca="1" si="522"/>
        <v>0</v>
      </c>
      <c r="GH224">
        <f t="shared" ca="1" si="523"/>
        <v>0</v>
      </c>
      <c r="GI224">
        <f t="shared" ca="1" si="524"/>
        <v>0</v>
      </c>
    </row>
    <row r="225" spans="1:191" x14ac:dyDescent="0.25">
      <c r="A225">
        <f>_xlfn.AGGREGATE(3,5,$B$2:B225)</f>
        <v>224</v>
      </c>
      <c r="B225" t="s">
        <v>568</v>
      </c>
      <c r="C225" t="s">
        <v>569</v>
      </c>
      <c r="D225" t="s">
        <v>819</v>
      </c>
      <c r="E225" t="s">
        <v>843</v>
      </c>
      <c r="F225">
        <v>0</v>
      </c>
      <c r="G225">
        <v>6000</v>
      </c>
      <c r="H225">
        <v>32500</v>
      </c>
      <c r="I225">
        <f t="shared" si="427"/>
        <v>3250</v>
      </c>
      <c r="J225">
        <f t="shared" si="428"/>
        <v>3900</v>
      </c>
      <c r="K225">
        <v>0</v>
      </c>
      <c r="L225">
        <v>500</v>
      </c>
      <c r="M225">
        <f t="shared" si="429"/>
        <v>40150</v>
      </c>
      <c r="N225">
        <v>3000</v>
      </c>
      <c r="O225">
        <v>0</v>
      </c>
      <c r="P225">
        <f t="shared" si="430"/>
        <v>200</v>
      </c>
      <c r="Q225">
        <f t="shared" si="431"/>
        <v>36950</v>
      </c>
      <c r="R225">
        <v>32500</v>
      </c>
      <c r="S225">
        <f t="shared" si="432"/>
        <v>3250</v>
      </c>
      <c r="T225">
        <f t="shared" si="433"/>
        <v>3900</v>
      </c>
      <c r="U225">
        <v>0</v>
      </c>
      <c r="V225">
        <v>500</v>
      </c>
      <c r="W225">
        <f t="shared" si="434"/>
        <v>40150</v>
      </c>
      <c r="X225">
        <v>3000</v>
      </c>
      <c r="Y225">
        <v>0</v>
      </c>
      <c r="Z225">
        <f t="shared" si="435"/>
        <v>200</v>
      </c>
      <c r="AA225">
        <f t="shared" si="436"/>
        <v>36950</v>
      </c>
      <c r="AB225">
        <v>32500</v>
      </c>
      <c r="AC225">
        <f t="shared" si="437"/>
        <v>4550</v>
      </c>
      <c r="AD225">
        <f t="shared" si="438"/>
        <v>3900</v>
      </c>
      <c r="AE225">
        <v>0</v>
      </c>
      <c r="AF225">
        <v>500</v>
      </c>
      <c r="AG225">
        <f t="shared" si="439"/>
        <v>41450</v>
      </c>
      <c r="AH225">
        <v>3000</v>
      </c>
      <c r="AI225">
        <v>0</v>
      </c>
      <c r="AJ225">
        <f t="shared" si="440"/>
        <v>200</v>
      </c>
      <c r="AK225">
        <f t="shared" si="441"/>
        <v>38250</v>
      </c>
      <c r="AL225">
        <v>32500</v>
      </c>
      <c r="AM225">
        <f t="shared" si="442"/>
        <v>4550</v>
      </c>
      <c r="AN225">
        <f t="shared" si="443"/>
        <v>3900</v>
      </c>
      <c r="AO225">
        <v>0</v>
      </c>
      <c r="AP225">
        <v>500</v>
      </c>
      <c r="AQ225">
        <f t="shared" si="444"/>
        <v>41450</v>
      </c>
      <c r="AR225">
        <v>3000</v>
      </c>
      <c r="AS225">
        <v>0</v>
      </c>
      <c r="AT225">
        <f t="shared" si="445"/>
        <v>200</v>
      </c>
      <c r="AU225">
        <f t="shared" si="446"/>
        <v>38250</v>
      </c>
      <c r="AV225">
        <v>33500</v>
      </c>
      <c r="AW225">
        <f t="shared" si="447"/>
        <v>4690</v>
      </c>
      <c r="AX225">
        <f t="shared" si="448"/>
        <v>1300</v>
      </c>
      <c r="AY225">
        <f t="shared" si="449"/>
        <v>4020</v>
      </c>
      <c r="AZ225">
        <v>0</v>
      </c>
      <c r="BA225">
        <v>500</v>
      </c>
      <c r="BB225">
        <f t="shared" si="450"/>
        <v>44010</v>
      </c>
      <c r="BC225">
        <v>3000</v>
      </c>
      <c r="BD225">
        <v>0</v>
      </c>
      <c r="BE225">
        <f t="shared" si="451"/>
        <v>200</v>
      </c>
      <c r="BF225">
        <f t="shared" si="452"/>
        <v>40810</v>
      </c>
      <c r="BG225">
        <v>33500</v>
      </c>
      <c r="BH225">
        <f t="shared" si="453"/>
        <v>4690</v>
      </c>
      <c r="BI225">
        <f t="shared" si="454"/>
        <v>4020</v>
      </c>
      <c r="BJ225">
        <v>0</v>
      </c>
      <c r="BK225">
        <v>500</v>
      </c>
      <c r="BL225">
        <f t="shared" si="455"/>
        <v>42710</v>
      </c>
      <c r="BM225">
        <v>3000</v>
      </c>
      <c r="BN225">
        <v>0</v>
      </c>
      <c r="BO225">
        <f t="shared" si="456"/>
        <v>200</v>
      </c>
      <c r="BP225">
        <f t="shared" si="457"/>
        <v>39510</v>
      </c>
      <c r="BQ225">
        <v>33500</v>
      </c>
      <c r="BR225">
        <f t="shared" si="458"/>
        <v>4690</v>
      </c>
      <c r="BS225">
        <f t="shared" si="459"/>
        <v>4020</v>
      </c>
      <c r="BT225">
        <v>0</v>
      </c>
      <c r="BU225">
        <v>500</v>
      </c>
      <c r="BV225">
        <f t="shared" si="460"/>
        <v>42710</v>
      </c>
      <c r="BW225">
        <v>3000</v>
      </c>
      <c r="BX225">
        <v>0</v>
      </c>
      <c r="BY225">
        <f t="shared" si="461"/>
        <v>200</v>
      </c>
      <c r="BZ225">
        <f t="shared" si="462"/>
        <v>39510</v>
      </c>
      <c r="CA225">
        <v>33500</v>
      </c>
      <c r="CB225">
        <f t="shared" si="463"/>
        <v>4690</v>
      </c>
      <c r="CC225">
        <f t="shared" si="464"/>
        <v>4020</v>
      </c>
      <c r="CD225">
        <v>0</v>
      </c>
      <c r="CE225">
        <v>500</v>
      </c>
      <c r="CF225">
        <f t="shared" si="465"/>
        <v>42710</v>
      </c>
      <c r="CG225">
        <v>3000</v>
      </c>
      <c r="CH225">
        <v>0</v>
      </c>
      <c r="CI225">
        <f t="shared" si="466"/>
        <v>200</v>
      </c>
      <c r="CJ225">
        <f t="shared" si="467"/>
        <v>39510</v>
      </c>
      <c r="CK225">
        <v>33500</v>
      </c>
      <c r="CL225">
        <f t="shared" si="468"/>
        <v>4690</v>
      </c>
      <c r="CM225">
        <f t="shared" si="469"/>
        <v>4020</v>
      </c>
      <c r="CN225">
        <v>0</v>
      </c>
      <c r="CO225">
        <v>500</v>
      </c>
      <c r="CP225">
        <f t="shared" si="470"/>
        <v>42710</v>
      </c>
      <c r="CQ225">
        <v>3000</v>
      </c>
      <c r="CR225">
        <v>0</v>
      </c>
      <c r="CS225">
        <f t="shared" si="471"/>
        <v>200</v>
      </c>
      <c r="CT225">
        <f t="shared" si="472"/>
        <v>39510</v>
      </c>
      <c r="CU225">
        <v>33500</v>
      </c>
      <c r="CV225">
        <f t="shared" si="473"/>
        <v>4690</v>
      </c>
      <c r="CW225">
        <f t="shared" si="474"/>
        <v>4020</v>
      </c>
      <c r="CX225">
        <v>0</v>
      </c>
      <c r="CY225">
        <v>500</v>
      </c>
      <c r="CZ225">
        <f t="shared" si="475"/>
        <v>42710</v>
      </c>
      <c r="DA225">
        <v>3000</v>
      </c>
      <c r="DB225">
        <v>0</v>
      </c>
      <c r="DC225">
        <f t="shared" si="476"/>
        <v>200</v>
      </c>
      <c r="DD225">
        <f t="shared" si="477"/>
        <v>39510</v>
      </c>
      <c r="DE225">
        <v>33500</v>
      </c>
      <c r="DF225">
        <f t="shared" si="478"/>
        <v>4690</v>
      </c>
      <c r="DG225">
        <f t="shared" si="479"/>
        <v>4020</v>
      </c>
      <c r="DH225">
        <v>0</v>
      </c>
      <c r="DI225">
        <v>500</v>
      </c>
      <c r="DJ225">
        <f t="shared" si="480"/>
        <v>42710</v>
      </c>
      <c r="DK225">
        <v>3000</v>
      </c>
      <c r="DL225">
        <v>0</v>
      </c>
      <c r="DM225">
        <f t="shared" si="481"/>
        <v>200</v>
      </c>
      <c r="DN225">
        <f t="shared" si="482"/>
        <v>39510</v>
      </c>
      <c r="DO225">
        <v>33500</v>
      </c>
      <c r="DP225">
        <f t="shared" si="483"/>
        <v>4690</v>
      </c>
      <c r="DQ225">
        <f t="shared" si="484"/>
        <v>4020</v>
      </c>
      <c r="DR225">
        <v>0</v>
      </c>
      <c r="DS225">
        <v>500</v>
      </c>
      <c r="DT225">
        <f t="shared" si="485"/>
        <v>42710</v>
      </c>
      <c r="DU225">
        <v>3000</v>
      </c>
      <c r="DV225">
        <v>0</v>
      </c>
      <c r="DW225">
        <f t="shared" si="486"/>
        <v>200</v>
      </c>
      <c r="DX225">
        <f t="shared" si="487"/>
        <v>39510</v>
      </c>
      <c r="DY225">
        <f t="shared" si="488"/>
        <v>512180</v>
      </c>
      <c r="DZ225">
        <f t="shared" si="420"/>
        <v>2400</v>
      </c>
      <c r="EA225">
        <f t="shared" si="421"/>
        <v>50000</v>
      </c>
      <c r="EB225">
        <v>0</v>
      </c>
      <c r="EC225">
        <f t="shared" si="422"/>
        <v>459780</v>
      </c>
      <c r="ED225">
        <f t="shared" si="423"/>
        <v>36000</v>
      </c>
      <c r="EE225">
        <f t="shared" si="424"/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f t="shared" si="425"/>
        <v>36000</v>
      </c>
      <c r="EQ225">
        <f t="shared" si="489"/>
        <v>36000</v>
      </c>
      <c r="ER225">
        <f t="shared" si="426"/>
        <v>423780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f t="shared" si="490"/>
        <v>0</v>
      </c>
      <c r="FA225">
        <f t="shared" si="491"/>
        <v>423780</v>
      </c>
      <c r="FB225">
        <f t="shared" si="492"/>
        <v>8689</v>
      </c>
      <c r="FC225">
        <f t="shared" si="493"/>
        <v>0</v>
      </c>
      <c r="FD225">
        <f t="shared" si="494"/>
        <v>8689</v>
      </c>
      <c r="FE225">
        <f t="shared" si="495"/>
        <v>0</v>
      </c>
      <c r="FF225">
        <f t="shared" si="496"/>
        <v>0</v>
      </c>
      <c r="FG225">
        <f t="shared" si="497"/>
        <v>0</v>
      </c>
      <c r="FH225">
        <v>0</v>
      </c>
      <c r="FI225">
        <f t="shared" si="498"/>
        <v>0</v>
      </c>
      <c r="FJ225" t="b">
        <f t="shared" si="499"/>
        <v>1</v>
      </c>
      <c r="FK225">
        <f t="shared" ca="1" si="500"/>
        <v>533</v>
      </c>
      <c r="FL225">
        <f t="shared" ca="1" si="501"/>
        <v>512713</v>
      </c>
      <c r="FM225">
        <f t="shared" si="502"/>
        <v>75000</v>
      </c>
      <c r="FN225">
        <f t="shared" ca="1" si="503"/>
        <v>437713</v>
      </c>
      <c r="FO225">
        <f t="shared" ca="1" si="504"/>
        <v>0</v>
      </c>
      <c r="FP225">
        <f t="shared" ca="1" si="505"/>
        <v>0</v>
      </c>
      <c r="FQ225">
        <f t="shared" ca="1" si="506"/>
        <v>0</v>
      </c>
      <c r="FR225">
        <f t="shared" ca="1" si="507"/>
        <v>0</v>
      </c>
      <c r="FS225">
        <f t="shared" ca="1" si="508"/>
        <v>0</v>
      </c>
      <c r="FT225">
        <f t="shared" ca="1" si="509"/>
        <v>0</v>
      </c>
      <c r="FU225">
        <f t="shared" ca="1" si="510"/>
        <v>0</v>
      </c>
      <c r="FV225">
        <f t="shared" ca="1" si="511"/>
        <v>0</v>
      </c>
      <c r="FW225">
        <f t="shared" ca="1" si="512"/>
        <v>137713</v>
      </c>
      <c r="FX225">
        <f t="shared" ca="1" si="513"/>
        <v>6885.6500000000005</v>
      </c>
      <c r="FY225">
        <f t="shared" ca="1" si="514"/>
        <v>6886</v>
      </c>
      <c r="FZ225">
        <f t="shared" ca="1" si="515"/>
        <v>0</v>
      </c>
      <c r="GA225">
        <f t="shared" ca="1" si="516"/>
        <v>0</v>
      </c>
      <c r="GB225">
        <f t="shared" ca="1" si="517"/>
        <v>6886</v>
      </c>
      <c r="GC225">
        <f t="shared" ca="1" si="518"/>
        <v>0</v>
      </c>
      <c r="GD225" t="b">
        <f t="shared" ca="1" si="519"/>
        <v>0</v>
      </c>
      <c r="GE225">
        <f t="shared" ca="1" si="520"/>
        <v>0</v>
      </c>
      <c r="GF225">
        <f t="shared" ca="1" si="521"/>
        <v>6886</v>
      </c>
      <c r="GG225">
        <f t="shared" ca="1" si="522"/>
        <v>0</v>
      </c>
      <c r="GH225">
        <f t="shared" ca="1" si="523"/>
        <v>0</v>
      </c>
      <c r="GI225">
        <f t="shared" ca="1" si="524"/>
        <v>0</v>
      </c>
    </row>
    <row r="226" spans="1:191" x14ac:dyDescent="0.25">
      <c r="A226">
        <f>_xlfn.AGGREGATE(3,5,$B$2:B226)</f>
        <v>225</v>
      </c>
      <c r="B226" t="s">
        <v>570</v>
      </c>
      <c r="C226" t="s">
        <v>571</v>
      </c>
      <c r="D226" t="s">
        <v>819</v>
      </c>
      <c r="E226" t="s">
        <v>843</v>
      </c>
      <c r="F226">
        <v>0</v>
      </c>
      <c r="G226">
        <v>6000</v>
      </c>
      <c r="H226">
        <v>30700</v>
      </c>
      <c r="I226">
        <f t="shared" si="427"/>
        <v>3070</v>
      </c>
      <c r="J226">
        <f t="shared" si="428"/>
        <v>3684</v>
      </c>
      <c r="K226">
        <v>0</v>
      </c>
      <c r="L226">
        <v>0</v>
      </c>
      <c r="M226">
        <f t="shared" si="429"/>
        <v>37454</v>
      </c>
      <c r="N226">
        <v>2000</v>
      </c>
      <c r="O226">
        <v>0</v>
      </c>
      <c r="P226">
        <f t="shared" si="430"/>
        <v>150</v>
      </c>
      <c r="Q226">
        <f t="shared" si="431"/>
        <v>35304</v>
      </c>
      <c r="R226">
        <v>30700</v>
      </c>
      <c r="S226">
        <f t="shared" si="432"/>
        <v>3070</v>
      </c>
      <c r="T226">
        <f t="shared" si="433"/>
        <v>3684</v>
      </c>
      <c r="U226">
        <v>0</v>
      </c>
      <c r="V226">
        <v>0</v>
      </c>
      <c r="W226">
        <f t="shared" si="434"/>
        <v>37454</v>
      </c>
      <c r="X226">
        <v>2000</v>
      </c>
      <c r="Y226">
        <v>0</v>
      </c>
      <c r="Z226">
        <f t="shared" si="435"/>
        <v>150</v>
      </c>
      <c r="AA226">
        <f t="shared" si="436"/>
        <v>35304</v>
      </c>
      <c r="AB226">
        <v>30700</v>
      </c>
      <c r="AC226">
        <f t="shared" si="437"/>
        <v>4298</v>
      </c>
      <c r="AD226">
        <f t="shared" si="438"/>
        <v>3684</v>
      </c>
      <c r="AE226">
        <v>0</v>
      </c>
      <c r="AF226">
        <v>0</v>
      </c>
      <c r="AG226">
        <f t="shared" si="439"/>
        <v>38682</v>
      </c>
      <c r="AH226">
        <v>2000</v>
      </c>
      <c r="AI226">
        <v>0</v>
      </c>
      <c r="AJ226">
        <f t="shared" si="440"/>
        <v>150</v>
      </c>
      <c r="AK226">
        <f t="shared" si="441"/>
        <v>36532</v>
      </c>
      <c r="AL226">
        <v>30700</v>
      </c>
      <c r="AM226">
        <f t="shared" si="442"/>
        <v>4298</v>
      </c>
      <c r="AN226">
        <f t="shared" si="443"/>
        <v>3684</v>
      </c>
      <c r="AO226">
        <v>0</v>
      </c>
      <c r="AP226">
        <v>0</v>
      </c>
      <c r="AQ226">
        <f t="shared" si="444"/>
        <v>38682</v>
      </c>
      <c r="AR226">
        <v>2000</v>
      </c>
      <c r="AS226">
        <v>0</v>
      </c>
      <c r="AT226">
        <f t="shared" si="445"/>
        <v>150</v>
      </c>
      <c r="AU226">
        <f t="shared" si="446"/>
        <v>36532</v>
      </c>
      <c r="AV226">
        <v>31600</v>
      </c>
      <c r="AW226">
        <f t="shared" si="447"/>
        <v>4424</v>
      </c>
      <c r="AX226">
        <f t="shared" si="448"/>
        <v>1228</v>
      </c>
      <c r="AY226">
        <f t="shared" si="449"/>
        <v>3792</v>
      </c>
      <c r="AZ226">
        <v>0</v>
      </c>
      <c r="BA226">
        <v>0</v>
      </c>
      <c r="BB226">
        <f t="shared" si="450"/>
        <v>41044</v>
      </c>
      <c r="BC226">
        <v>2000</v>
      </c>
      <c r="BD226">
        <v>0</v>
      </c>
      <c r="BE226">
        <f t="shared" si="451"/>
        <v>200</v>
      </c>
      <c r="BF226">
        <f t="shared" si="452"/>
        <v>38844</v>
      </c>
      <c r="BG226">
        <v>31600</v>
      </c>
      <c r="BH226">
        <f t="shared" si="453"/>
        <v>4424</v>
      </c>
      <c r="BI226">
        <f t="shared" si="454"/>
        <v>3792</v>
      </c>
      <c r="BJ226">
        <v>0</v>
      </c>
      <c r="BK226">
        <v>0</v>
      </c>
      <c r="BL226">
        <f t="shared" si="455"/>
        <v>39816</v>
      </c>
      <c r="BM226">
        <v>2000</v>
      </c>
      <c r="BN226">
        <v>0</v>
      </c>
      <c r="BO226">
        <f t="shared" si="456"/>
        <v>150</v>
      </c>
      <c r="BP226">
        <f t="shared" si="457"/>
        <v>37666</v>
      </c>
      <c r="BQ226">
        <v>31600</v>
      </c>
      <c r="BR226">
        <f t="shared" si="458"/>
        <v>4424</v>
      </c>
      <c r="BS226">
        <f t="shared" si="459"/>
        <v>3792</v>
      </c>
      <c r="BT226">
        <v>0</v>
      </c>
      <c r="BU226">
        <v>0</v>
      </c>
      <c r="BV226">
        <f t="shared" si="460"/>
        <v>39816</v>
      </c>
      <c r="BW226">
        <v>2000</v>
      </c>
      <c r="BX226">
        <v>0</v>
      </c>
      <c r="BY226">
        <f t="shared" si="461"/>
        <v>150</v>
      </c>
      <c r="BZ226">
        <f t="shared" si="462"/>
        <v>37666</v>
      </c>
      <c r="CA226">
        <v>31600</v>
      </c>
      <c r="CB226">
        <f t="shared" si="463"/>
        <v>4424</v>
      </c>
      <c r="CC226">
        <f t="shared" si="464"/>
        <v>3792</v>
      </c>
      <c r="CD226">
        <v>0</v>
      </c>
      <c r="CE226">
        <v>0</v>
      </c>
      <c r="CF226">
        <f t="shared" si="465"/>
        <v>39816</v>
      </c>
      <c r="CG226">
        <v>2000</v>
      </c>
      <c r="CH226">
        <v>0</v>
      </c>
      <c r="CI226">
        <f t="shared" si="466"/>
        <v>150</v>
      </c>
      <c r="CJ226">
        <f t="shared" si="467"/>
        <v>37666</v>
      </c>
      <c r="CK226">
        <v>31600</v>
      </c>
      <c r="CL226">
        <f t="shared" si="468"/>
        <v>4424</v>
      </c>
      <c r="CM226">
        <f t="shared" si="469"/>
        <v>3792</v>
      </c>
      <c r="CN226">
        <v>0</v>
      </c>
      <c r="CO226">
        <v>0</v>
      </c>
      <c r="CP226">
        <f t="shared" si="470"/>
        <v>39816</v>
      </c>
      <c r="CQ226">
        <v>2000</v>
      </c>
      <c r="CR226">
        <v>0</v>
      </c>
      <c r="CS226">
        <f t="shared" si="471"/>
        <v>150</v>
      </c>
      <c r="CT226">
        <f t="shared" si="472"/>
        <v>37666</v>
      </c>
      <c r="CU226">
        <v>31600</v>
      </c>
      <c r="CV226">
        <f t="shared" si="473"/>
        <v>4424</v>
      </c>
      <c r="CW226">
        <f t="shared" si="474"/>
        <v>3792</v>
      </c>
      <c r="CX226">
        <v>0</v>
      </c>
      <c r="CY226">
        <v>500</v>
      </c>
      <c r="CZ226">
        <f t="shared" si="475"/>
        <v>40316</v>
      </c>
      <c r="DA226">
        <v>2000</v>
      </c>
      <c r="DB226">
        <v>0</v>
      </c>
      <c r="DC226">
        <f t="shared" si="476"/>
        <v>200</v>
      </c>
      <c r="DD226">
        <f t="shared" si="477"/>
        <v>38116</v>
      </c>
      <c r="DE226">
        <v>31600</v>
      </c>
      <c r="DF226">
        <f t="shared" si="478"/>
        <v>4424</v>
      </c>
      <c r="DG226">
        <f t="shared" si="479"/>
        <v>3792</v>
      </c>
      <c r="DH226">
        <v>0</v>
      </c>
      <c r="DI226">
        <v>500</v>
      </c>
      <c r="DJ226">
        <f t="shared" si="480"/>
        <v>40316</v>
      </c>
      <c r="DK226">
        <v>2000</v>
      </c>
      <c r="DL226">
        <v>0</v>
      </c>
      <c r="DM226">
        <f t="shared" si="481"/>
        <v>200</v>
      </c>
      <c r="DN226">
        <f t="shared" si="482"/>
        <v>38116</v>
      </c>
      <c r="DO226">
        <v>31600</v>
      </c>
      <c r="DP226">
        <f t="shared" si="483"/>
        <v>4424</v>
      </c>
      <c r="DQ226">
        <f t="shared" si="484"/>
        <v>3792</v>
      </c>
      <c r="DR226">
        <v>0</v>
      </c>
      <c r="DS226">
        <v>500</v>
      </c>
      <c r="DT226">
        <f t="shared" si="485"/>
        <v>40316</v>
      </c>
      <c r="DU226">
        <v>2000</v>
      </c>
      <c r="DV226">
        <v>0</v>
      </c>
      <c r="DW226">
        <f t="shared" si="486"/>
        <v>200</v>
      </c>
      <c r="DX226">
        <f t="shared" si="487"/>
        <v>38116</v>
      </c>
      <c r="DY226">
        <f t="shared" si="488"/>
        <v>479528</v>
      </c>
      <c r="DZ226">
        <f t="shared" si="420"/>
        <v>2000</v>
      </c>
      <c r="EA226">
        <f t="shared" si="421"/>
        <v>50000</v>
      </c>
      <c r="EB226">
        <v>0</v>
      </c>
      <c r="EC226">
        <f t="shared" si="422"/>
        <v>427528</v>
      </c>
      <c r="ED226">
        <f t="shared" si="423"/>
        <v>24000</v>
      </c>
      <c r="EE226">
        <f t="shared" si="424"/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f t="shared" si="425"/>
        <v>24000</v>
      </c>
      <c r="EQ226">
        <f t="shared" si="489"/>
        <v>24000</v>
      </c>
      <c r="ER226">
        <f t="shared" si="426"/>
        <v>403528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f t="shared" si="490"/>
        <v>0</v>
      </c>
      <c r="FA226">
        <f t="shared" si="491"/>
        <v>403528</v>
      </c>
      <c r="FB226">
        <f t="shared" si="492"/>
        <v>7676</v>
      </c>
      <c r="FC226">
        <f t="shared" si="493"/>
        <v>0</v>
      </c>
      <c r="FD226">
        <f t="shared" si="494"/>
        <v>7676</v>
      </c>
      <c r="FE226">
        <f t="shared" si="495"/>
        <v>0</v>
      </c>
      <c r="FF226">
        <f t="shared" si="496"/>
        <v>0</v>
      </c>
      <c r="FG226">
        <f t="shared" si="497"/>
        <v>0</v>
      </c>
      <c r="FH226">
        <v>0</v>
      </c>
      <c r="FI226">
        <f t="shared" si="498"/>
        <v>0</v>
      </c>
      <c r="FJ226" t="b">
        <f t="shared" si="499"/>
        <v>0</v>
      </c>
      <c r="FK226">
        <f t="shared" ca="1" si="500"/>
        <v>1264</v>
      </c>
      <c r="FL226">
        <f t="shared" ca="1" si="501"/>
        <v>480792</v>
      </c>
      <c r="FM226">
        <f t="shared" si="502"/>
        <v>75000</v>
      </c>
      <c r="FN226">
        <f t="shared" ca="1" si="503"/>
        <v>405792</v>
      </c>
      <c r="FO226">
        <f t="shared" ca="1" si="504"/>
        <v>0</v>
      </c>
      <c r="FP226">
        <f t="shared" ca="1" si="505"/>
        <v>0</v>
      </c>
      <c r="FQ226">
        <f t="shared" ca="1" si="506"/>
        <v>0</v>
      </c>
      <c r="FR226">
        <f t="shared" ca="1" si="507"/>
        <v>0</v>
      </c>
      <c r="FS226">
        <f t="shared" ca="1" si="508"/>
        <v>0</v>
      </c>
      <c r="FT226">
        <f t="shared" ca="1" si="509"/>
        <v>0</v>
      </c>
      <c r="FU226">
        <f t="shared" ca="1" si="510"/>
        <v>0</v>
      </c>
      <c r="FV226">
        <f t="shared" ca="1" si="511"/>
        <v>0</v>
      </c>
      <c r="FW226">
        <f t="shared" ca="1" si="512"/>
        <v>105792</v>
      </c>
      <c r="FX226">
        <f t="shared" ca="1" si="513"/>
        <v>5289.6</v>
      </c>
      <c r="FY226">
        <f t="shared" ca="1" si="514"/>
        <v>5290</v>
      </c>
      <c r="FZ226">
        <f t="shared" ca="1" si="515"/>
        <v>0</v>
      </c>
      <c r="GA226">
        <f t="shared" ca="1" si="516"/>
        <v>0</v>
      </c>
      <c r="GB226">
        <f t="shared" ca="1" si="517"/>
        <v>5290</v>
      </c>
      <c r="GC226">
        <f t="shared" ca="1" si="518"/>
        <v>0</v>
      </c>
      <c r="GD226" t="b">
        <f t="shared" ca="1" si="519"/>
        <v>0</v>
      </c>
      <c r="GE226">
        <f t="shared" ca="1" si="520"/>
        <v>0</v>
      </c>
      <c r="GF226">
        <f t="shared" ca="1" si="521"/>
        <v>5290</v>
      </c>
      <c r="GG226">
        <f t="shared" ca="1" si="522"/>
        <v>0</v>
      </c>
      <c r="GH226">
        <f t="shared" ca="1" si="523"/>
        <v>0</v>
      </c>
      <c r="GI226">
        <f t="shared" ca="1" si="524"/>
        <v>0</v>
      </c>
    </row>
    <row r="227" spans="1:191" x14ac:dyDescent="0.25">
      <c r="A227">
        <f>_xlfn.AGGREGATE(3,5,$B$2:B227)</f>
        <v>226</v>
      </c>
      <c r="B227" t="s">
        <v>572</v>
      </c>
      <c r="C227" t="s">
        <v>573</v>
      </c>
      <c r="D227" t="s">
        <v>820</v>
      </c>
      <c r="E227" t="s">
        <v>843</v>
      </c>
      <c r="F227">
        <v>0</v>
      </c>
      <c r="G227">
        <v>6000</v>
      </c>
      <c r="H227">
        <v>32500</v>
      </c>
      <c r="I227">
        <f t="shared" si="427"/>
        <v>3250</v>
      </c>
      <c r="J227">
        <f t="shared" si="428"/>
        <v>3900</v>
      </c>
      <c r="K227">
        <v>400</v>
      </c>
      <c r="L227">
        <v>500</v>
      </c>
      <c r="M227">
        <f t="shared" si="429"/>
        <v>40550</v>
      </c>
      <c r="N227">
        <v>3000</v>
      </c>
      <c r="O227">
        <v>0</v>
      </c>
      <c r="P227">
        <f t="shared" si="430"/>
        <v>200</v>
      </c>
      <c r="Q227">
        <f t="shared" si="431"/>
        <v>37350</v>
      </c>
      <c r="R227">
        <v>32500</v>
      </c>
      <c r="S227">
        <f t="shared" si="432"/>
        <v>3250</v>
      </c>
      <c r="T227">
        <f t="shared" si="433"/>
        <v>3900</v>
      </c>
      <c r="U227">
        <v>400</v>
      </c>
      <c r="V227">
        <v>500</v>
      </c>
      <c r="W227">
        <f t="shared" si="434"/>
        <v>40550</v>
      </c>
      <c r="X227">
        <v>3000</v>
      </c>
      <c r="Y227">
        <v>0</v>
      </c>
      <c r="Z227">
        <f t="shared" si="435"/>
        <v>200</v>
      </c>
      <c r="AA227">
        <f t="shared" si="436"/>
        <v>37350</v>
      </c>
      <c r="AB227">
        <v>32500</v>
      </c>
      <c r="AC227">
        <f t="shared" si="437"/>
        <v>4550</v>
      </c>
      <c r="AD227">
        <f t="shared" si="438"/>
        <v>3900</v>
      </c>
      <c r="AE227">
        <v>400</v>
      </c>
      <c r="AF227">
        <v>500</v>
      </c>
      <c r="AG227">
        <f t="shared" si="439"/>
        <v>41850</v>
      </c>
      <c r="AH227">
        <v>3000</v>
      </c>
      <c r="AI227">
        <v>0</v>
      </c>
      <c r="AJ227">
        <f t="shared" si="440"/>
        <v>200</v>
      </c>
      <c r="AK227">
        <f t="shared" si="441"/>
        <v>38650</v>
      </c>
      <c r="AL227">
        <v>32500</v>
      </c>
      <c r="AM227">
        <f t="shared" si="442"/>
        <v>4550</v>
      </c>
      <c r="AN227">
        <f t="shared" si="443"/>
        <v>3900</v>
      </c>
      <c r="AO227">
        <v>400</v>
      </c>
      <c r="AP227">
        <v>500</v>
      </c>
      <c r="AQ227">
        <f t="shared" si="444"/>
        <v>41850</v>
      </c>
      <c r="AR227">
        <v>3000</v>
      </c>
      <c r="AS227">
        <v>0</v>
      </c>
      <c r="AT227">
        <f t="shared" si="445"/>
        <v>200</v>
      </c>
      <c r="AU227">
        <f t="shared" si="446"/>
        <v>38650</v>
      </c>
      <c r="AV227">
        <v>33500</v>
      </c>
      <c r="AW227">
        <f t="shared" si="447"/>
        <v>4690</v>
      </c>
      <c r="AX227">
        <f t="shared" si="448"/>
        <v>1300</v>
      </c>
      <c r="AY227">
        <f t="shared" si="449"/>
        <v>4020</v>
      </c>
      <c r="AZ227">
        <v>400</v>
      </c>
      <c r="BA227">
        <v>500</v>
      </c>
      <c r="BB227">
        <f t="shared" si="450"/>
        <v>44410</v>
      </c>
      <c r="BC227">
        <v>3000</v>
      </c>
      <c r="BD227">
        <v>0</v>
      </c>
      <c r="BE227">
        <f t="shared" si="451"/>
        <v>200</v>
      </c>
      <c r="BF227">
        <f t="shared" si="452"/>
        <v>41210</v>
      </c>
      <c r="BG227">
        <v>33500</v>
      </c>
      <c r="BH227">
        <f t="shared" si="453"/>
        <v>4690</v>
      </c>
      <c r="BI227">
        <f t="shared" si="454"/>
        <v>4020</v>
      </c>
      <c r="BJ227">
        <v>400</v>
      </c>
      <c r="BK227">
        <v>500</v>
      </c>
      <c r="BL227">
        <f t="shared" si="455"/>
        <v>43110</v>
      </c>
      <c r="BM227">
        <v>3000</v>
      </c>
      <c r="BN227">
        <v>0</v>
      </c>
      <c r="BO227">
        <f t="shared" si="456"/>
        <v>200</v>
      </c>
      <c r="BP227">
        <f t="shared" si="457"/>
        <v>39910</v>
      </c>
      <c r="BQ227">
        <v>33500</v>
      </c>
      <c r="BR227">
        <f t="shared" si="458"/>
        <v>4690</v>
      </c>
      <c r="BS227">
        <f t="shared" si="459"/>
        <v>4020</v>
      </c>
      <c r="BT227">
        <v>400</v>
      </c>
      <c r="BU227">
        <v>500</v>
      </c>
      <c r="BV227">
        <f t="shared" si="460"/>
        <v>43110</v>
      </c>
      <c r="BW227">
        <v>3000</v>
      </c>
      <c r="BX227">
        <v>0</v>
      </c>
      <c r="BY227">
        <f t="shared" si="461"/>
        <v>200</v>
      </c>
      <c r="BZ227">
        <f t="shared" si="462"/>
        <v>39910</v>
      </c>
      <c r="CA227">
        <v>33500</v>
      </c>
      <c r="CB227">
        <f t="shared" si="463"/>
        <v>4690</v>
      </c>
      <c r="CC227">
        <f t="shared" si="464"/>
        <v>4020</v>
      </c>
      <c r="CD227">
        <v>400</v>
      </c>
      <c r="CE227">
        <v>500</v>
      </c>
      <c r="CF227">
        <f t="shared" si="465"/>
        <v>43110</v>
      </c>
      <c r="CG227">
        <v>3000</v>
      </c>
      <c r="CH227">
        <v>0</v>
      </c>
      <c r="CI227">
        <f t="shared" si="466"/>
        <v>200</v>
      </c>
      <c r="CJ227">
        <f t="shared" si="467"/>
        <v>39910</v>
      </c>
      <c r="CK227">
        <v>33500</v>
      </c>
      <c r="CL227">
        <f t="shared" si="468"/>
        <v>4690</v>
      </c>
      <c r="CM227">
        <f t="shared" si="469"/>
        <v>4020</v>
      </c>
      <c r="CN227">
        <v>400</v>
      </c>
      <c r="CO227">
        <v>500</v>
      </c>
      <c r="CP227">
        <f t="shared" si="470"/>
        <v>43110</v>
      </c>
      <c r="CQ227">
        <v>3000</v>
      </c>
      <c r="CR227">
        <v>0</v>
      </c>
      <c r="CS227">
        <f t="shared" si="471"/>
        <v>200</v>
      </c>
      <c r="CT227">
        <f t="shared" si="472"/>
        <v>39910</v>
      </c>
      <c r="CU227">
        <v>34371</v>
      </c>
      <c r="CV227">
        <f t="shared" si="473"/>
        <v>4812</v>
      </c>
      <c r="CW227">
        <f t="shared" si="474"/>
        <v>4125</v>
      </c>
      <c r="CX227">
        <v>400</v>
      </c>
      <c r="CY227">
        <v>500</v>
      </c>
      <c r="CZ227">
        <f t="shared" si="475"/>
        <v>44208</v>
      </c>
      <c r="DA227">
        <v>3000</v>
      </c>
      <c r="DB227">
        <v>0</v>
      </c>
      <c r="DC227">
        <f t="shared" si="476"/>
        <v>200</v>
      </c>
      <c r="DD227">
        <f t="shared" si="477"/>
        <v>41008</v>
      </c>
      <c r="DE227">
        <v>34500</v>
      </c>
      <c r="DF227">
        <f t="shared" si="478"/>
        <v>4830.0000000000009</v>
      </c>
      <c r="DG227">
        <f t="shared" si="479"/>
        <v>4140</v>
      </c>
      <c r="DH227">
        <v>400</v>
      </c>
      <c r="DI227">
        <v>500</v>
      </c>
      <c r="DJ227">
        <f t="shared" si="480"/>
        <v>44370</v>
      </c>
      <c r="DK227">
        <v>3000</v>
      </c>
      <c r="DL227">
        <v>0</v>
      </c>
      <c r="DM227">
        <f t="shared" si="481"/>
        <v>200</v>
      </c>
      <c r="DN227">
        <f t="shared" si="482"/>
        <v>41170</v>
      </c>
      <c r="DO227">
        <v>34500</v>
      </c>
      <c r="DP227">
        <f t="shared" si="483"/>
        <v>4830.0000000000009</v>
      </c>
      <c r="DQ227">
        <f t="shared" si="484"/>
        <v>4140</v>
      </c>
      <c r="DR227">
        <v>400</v>
      </c>
      <c r="DS227">
        <v>500</v>
      </c>
      <c r="DT227">
        <f t="shared" si="485"/>
        <v>44370</v>
      </c>
      <c r="DU227">
        <v>3000</v>
      </c>
      <c r="DV227">
        <v>0</v>
      </c>
      <c r="DW227">
        <f t="shared" si="486"/>
        <v>200</v>
      </c>
      <c r="DX227">
        <f t="shared" si="487"/>
        <v>41170</v>
      </c>
      <c r="DY227">
        <f t="shared" si="488"/>
        <v>520598</v>
      </c>
      <c r="DZ227">
        <f t="shared" si="420"/>
        <v>2400</v>
      </c>
      <c r="EA227">
        <f t="shared" si="421"/>
        <v>50000</v>
      </c>
      <c r="EB227">
        <v>0</v>
      </c>
      <c r="EC227">
        <f t="shared" si="422"/>
        <v>468198</v>
      </c>
      <c r="ED227">
        <f t="shared" si="423"/>
        <v>36000</v>
      </c>
      <c r="EE227">
        <f t="shared" si="424"/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f t="shared" si="425"/>
        <v>36000</v>
      </c>
      <c r="EQ227">
        <f t="shared" si="489"/>
        <v>36000</v>
      </c>
      <c r="ER227">
        <f t="shared" si="426"/>
        <v>432198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f t="shared" si="490"/>
        <v>0</v>
      </c>
      <c r="FA227">
        <f t="shared" si="491"/>
        <v>432198</v>
      </c>
      <c r="FB227">
        <f t="shared" si="492"/>
        <v>9110</v>
      </c>
      <c r="FC227">
        <f t="shared" si="493"/>
        <v>0</v>
      </c>
      <c r="FD227">
        <f t="shared" si="494"/>
        <v>9110</v>
      </c>
      <c r="FE227">
        <f t="shared" si="495"/>
        <v>0</v>
      </c>
      <c r="FF227">
        <f t="shared" si="496"/>
        <v>0</v>
      </c>
      <c r="FG227">
        <f t="shared" si="497"/>
        <v>0</v>
      </c>
      <c r="FH227">
        <v>0</v>
      </c>
      <c r="FI227">
        <f t="shared" si="498"/>
        <v>0</v>
      </c>
      <c r="FJ227" t="b">
        <f t="shared" si="499"/>
        <v>1</v>
      </c>
      <c r="FK227">
        <f t="shared" ca="1" si="500"/>
        <v>578</v>
      </c>
      <c r="FL227">
        <f t="shared" ca="1" si="501"/>
        <v>521176</v>
      </c>
      <c r="FM227">
        <f t="shared" si="502"/>
        <v>75000</v>
      </c>
      <c r="FN227">
        <f t="shared" ca="1" si="503"/>
        <v>446176</v>
      </c>
      <c r="FO227">
        <f t="shared" ca="1" si="504"/>
        <v>0</v>
      </c>
      <c r="FP227">
        <f t="shared" ca="1" si="505"/>
        <v>0</v>
      </c>
      <c r="FQ227">
        <f t="shared" ca="1" si="506"/>
        <v>0</v>
      </c>
      <c r="FR227">
        <f t="shared" ca="1" si="507"/>
        <v>0</v>
      </c>
      <c r="FS227">
        <f t="shared" ca="1" si="508"/>
        <v>0</v>
      </c>
      <c r="FT227">
        <f t="shared" ca="1" si="509"/>
        <v>0</v>
      </c>
      <c r="FU227">
        <f t="shared" ca="1" si="510"/>
        <v>0</v>
      </c>
      <c r="FV227">
        <f t="shared" ca="1" si="511"/>
        <v>0</v>
      </c>
      <c r="FW227">
        <f t="shared" ca="1" si="512"/>
        <v>146176</v>
      </c>
      <c r="FX227">
        <f t="shared" ca="1" si="513"/>
        <v>7308.8</v>
      </c>
      <c r="FY227">
        <f t="shared" ca="1" si="514"/>
        <v>7309</v>
      </c>
      <c r="FZ227">
        <f t="shared" ca="1" si="515"/>
        <v>0</v>
      </c>
      <c r="GA227">
        <f t="shared" ca="1" si="516"/>
        <v>0</v>
      </c>
      <c r="GB227">
        <f t="shared" ca="1" si="517"/>
        <v>7309</v>
      </c>
      <c r="GC227">
        <f t="shared" ca="1" si="518"/>
        <v>0</v>
      </c>
      <c r="GD227" t="b">
        <f t="shared" ca="1" si="519"/>
        <v>0</v>
      </c>
      <c r="GE227">
        <f t="shared" ca="1" si="520"/>
        <v>0</v>
      </c>
      <c r="GF227">
        <f t="shared" ca="1" si="521"/>
        <v>7309</v>
      </c>
      <c r="GG227">
        <f t="shared" ca="1" si="522"/>
        <v>0</v>
      </c>
      <c r="GH227">
        <f t="shared" ca="1" si="523"/>
        <v>0</v>
      </c>
      <c r="GI227">
        <f t="shared" ca="1" si="524"/>
        <v>0</v>
      </c>
    </row>
    <row r="228" spans="1:191" x14ac:dyDescent="0.25">
      <c r="A228">
        <f>_xlfn.AGGREGATE(3,5,$B$2:B228)</f>
        <v>227</v>
      </c>
      <c r="B228" t="s">
        <v>574</v>
      </c>
      <c r="C228" t="s">
        <v>575</v>
      </c>
      <c r="D228" t="s">
        <v>820</v>
      </c>
      <c r="E228" t="s">
        <v>843</v>
      </c>
      <c r="F228">
        <v>0</v>
      </c>
      <c r="G228">
        <v>6000</v>
      </c>
      <c r="H228">
        <v>33500</v>
      </c>
      <c r="I228">
        <f t="shared" si="427"/>
        <v>3350</v>
      </c>
      <c r="J228">
        <f t="shared" si="428"/>
        <v>4020</v>
      </c>
      <c r="K228">
        <v>0</v>
      </c>
      <c r="L228">
        <v>0</v>
      </c>
      <c r="M228">
        <f t="shared" si="429"/>
        <v>40870</v>
      </c>
      <c r="N228">
        <v>3000</v>
      </c>
      <c r="O228">
        <v>0</v>
      </c>
      <c r="P228">
        <f t="shared" si="430"/>
        <v>200</v>
      </c>
      <c r="Q228">
        <f t="shared" si="431"/>
        <v>37670</v>
      </c>
      <c r="R228">
        <v>33500</v>
      </c>
      <c r="S228">
        <f t="shared" si="432"/>
        <v>3350</v>
      </c>
      <c r="T228">
        <f t="shared" si="433"/>
        <v>4020</v>
      </c>
      <c r="U228">
        <v>0</v>
      </c>
      <c r="V228">
        <v>0</v>
      </c>
      <c r="W228">
        <f t="shared" si="434"/>
        <v>40870</v>
      </c>
      <c r="X228">
        <v>3000</v>
      </c>
      <c r="Y228">
        <v>0</v>
      </c>
      <c r="Z228">
        <f t="shared" si="435"/>
        <v>200</v>
      </c>
      <c r="AA228">
        <f t="shared" si="436"/>
        <v>37670</v>
      </c>
      <c r="AB228">
        <v>33500</v>
      </c>
      <c r="AC228">
        <f t="shared" si="437"/>
        <v>4690</v>
      </c>
      <c r="AD228">
        <f t="shared" si="438"/>
        <v>4020</v>
      </c>
      <c r="AE228">
        <v>0</v>
      </c>
      <c r="AF228">
        <v>0</v>
      </c>
      <c r="AG228">
        <f t="shared" si="439"/>
        <v>42210</v>
      </c>
      <c r="AH228">
        <v>3000</v>
      </c>
      <c r="AI228">
        <v>0</v>
      </c>
      <c r="AJ228">
        <f t="shared" si="440"/>
        <v>200</v>
      </c>
      <c r="AK228">
        <f t="shared" si="441"/>
        <v>39010</v>
      </c>
      <c r="AL228">
        <v>33500</v>
      </c>
      <c r="AM228">
        <f t="shared" si="442"/>
        <v>4690</v>
      </c>
      <c r="AN228">
        <f t="shared" si="443"/>
        <v>4020</v>
      </c>
      <c r="AO228">
        <v>0</v>
      </c>
      <c r="AP228">
        <v>500</v>
      </c>
      <c r="AQ228">
        <f t="shared" si="444"/>
        <v>42710</v>
      </c>
      <c r="AR228">
        <v>3000</v>
      </c>
      <c r="AS228">
        <v>0</v>
      </c>
      <c r="AT228">
        <f t="shared" si="445"/>
        <v>200</v>
      </c>
      <c r="AU228">
        <f t="shared" si="446"/>
        <v>39510</v>
      </c>
      <c r="AV228">
        <v>34500</v>
      </c>
      <c r="AW228">
        <f t="shared" si="447"/>
        <v>4830.0000000000009</v>
      </c>
      <c r="AX228">
        <f t="shared" si="448"/>
        <v>1340</v>
      </c>
      <c r="AY228">
        <f t="shared" si="449"/>
        <v>4140</v>
      </c>
      <c r="AZ228">
        <v>0</v>
      </c>
      <c r="BA228">
        <v>500</v>
      </c>
      <c r="BB228">
        <f t="shared" si="450"/>
        <v>45310</v>
      </c>
      <c r="BC228">
        <v>3000</v>
      </c>
      <c r="BD228">
        <v>0</v>
      </c>
      <c r="BE228">
        <f t="shared" si="451"/>
        <v>200</v>
      </c>
      <c r="BF228">
        <f t="shared" si="452"/>
        <v>42110</v>
      </c>
      <c r="BG228">
        <v>34500</v>
      </c>
      <c r="BH228">
        <f t="shared" si="453"/>
        <v>4830.0000000000009</v>
      </c>
      <c r="BI228">
        <f t="shared" si="454"/>
        <v>4140</v>
      </c>
      <c r="BJ228">
        <v>0</v>
      </c>
      <c r="BK228">
        <v>500</v>
      </c>
      <c r="BL228">
        <f t="shared" si="455"/>
        <v>43970</v>
      </c>
      <c r="BM228">
        <v>3000</v>
      </c>
      <c r="BN228">
        <v>0</v>
      </c>
      <c r="BO228">
        <f t="shared" si="456"/>
        <v>200</v>
      </c>
      <c r="BP228">
        <f t="shared" si="457"/>
        <v>40770</v>
      </c>
      <c r="BQ228">
        <v>34500</v>
      </c>
      <c r="BR228">
        <f t="shared" si="458"/>
        <v>4830.0000000000009</v>
      </c>
      <c r="BS228">
        <f t="shared" si="459"/>
        <v>4140</v>
      </c>
      <c r="BT228">
        <v>0</v>
      </c>
      <c r="BU228">
        <v>500</v>
      </c>
      <c r="BV228">
        <f t="shared" si="460"/>
        <v>43970</v>
      </c>
      <c r="BW228">
        <v>3000</v>
      </c>
      <c r="BX228">
        <v>0</v>
      </c>
      <c r="BY228">
        <f t="shared" si="461"/>
        <v>200</v>
      </c>
      <c r="BZ228">
        <f t="shared" si="462"/>
        <v>40770</v>
      </c>
      <c r="CA228">
        <v>34500</v>
      </c>
      <c r="CB228">
        <f t="shared" si="463"/>
        <v>4830.0000000000009</v>
      </c>
      <c r="CC228">
        <f t="shared" si="464"/>
        <v>4140</v>
      </c>
      <c r="CD228">
        <v>0</v>
      </c>
      <c r="CE228">
        <v>500</v>
      </c>
      <c r="CF228">
        <f t="shared" si="465"/>
        <v>43970</v>
      </c>
      <c r="CG228">
        <v>3000</v>
      </c>
      <c r="CH228">
        <v>0</v>
      </c>
      <c r="CI228">
        <f t="shared" si="466"/>
        <v>200</v>
      </c>
      <c r="CJ228">
        <f t="shared" si="467"/>
        <v>40770</v>
      </c>
      <c r="CK228">
        <v>34500</v>
      </c>
      <c r="CL228">
        <f t="shared" si="468"/>
        <v>4830.0000000000009</v>
      </c>
      <c r="CM228">
        <f t="shared" si="469"/>
        <v>4140</v>
      </c>
      <c r="CN228">
        <v>0</v>
      </c>
      <c r="CO228">
        <v>500</v>
      </c>
      <c r="CP228">
        <f t="shared" si="470"/>
        <v>43970</v>
      </c>
      <c r="CQ228">
        <v>3000</v>
      </c>
      <c r="CR228">
        <v>0</v>
      </c>
      <c r="CS228">
        <f t="shared" si="471"/>
        <v>200</v>
      </c>
      <c r="CT228">
        <f t="shared" si="472"/>
        <v>40770</v>
      </c>
      <c r="CU228">
        <v>34500</v>
      </c>
      <c r="CV228">
        <f t="shared" si="473"/>
        <v>4830</v>
      </c>
      <c r="CW228">
        <f t="shared" si="474"/>
        <v>4140</v>
      </c>
      <c r="CX228">
        <v>0</v>
      </c>
      <c r="CY228">
        <v>500</v>
      </c>
      <c r="CZ228">
        <f t="shared" si="475"/>
        <v>43970</v>
      </c>
      <c r="DA228">
        <v>3000</v>
      </c>
      <c r="DB228">
        <v>0</v>
      </c>
      <c r="DC228">
        <f t="shared" si="476"/>
        <v>200</v>
      </c>
      <c r="DD228">
        <f t="shared" si="477"/>
        <v>40770</v>
      </c>
      <c r="DE228">
        <v>34500</v>
      </c>
      <c r="DF228">
        <f t="shared" si="478"/>
        <v>4830.0000000000009</v>
      </c>
      <c r="DG228">
        <f t="shared" si="479"/>
        <v>4140</v>
      </c>
      <c r="DH228">
        <v>0</v>
      </c>
      <c r="DI228">
        <v>500</v>
      </c>
      <c r="DJ228">
        <f t="shared" si="480"/>
        <v>43970</v>
      </c>
      <c r="DK228">
        <v>3000</v>
      </c>
      <c r="DL228">
        <v>0</v>
      </c>
      <c r="DM228">
        <f t="shared" si="481"/>
        <v>200</v>
      </c>
      <c r="DN228">
        <f t="shared" si="482"/>
        <v>40770</v>
      </c>
      <c r="DO228">
        <v>34500</v>
      </c>
      <c r="DP228">
        <f t="shared" si="483"/>
        <v>4830.0000000000009</v>
      </c>
      <c r="DQ228">
        <f t="shared" si="484"/>
        <v>4140</v>
      </c>
      <c r="DR228">
        <v>0</v>
      </c>
      <c r="DS228">
        <v>500</v>
      </c>
      <c r="DT228">
        <f t="shared" si="485"/>
        <v>43970</v>
      </c>
      <c r="DU228">
        <v>3000</v>
      </c>
      <c r="DV228">
        <v>0</v>
      </c>
      <c r="DW228">
        <f t="shared" si="486"/>
        <v>200</v>
      </c>
      <c r="DX228">
        <f t="shared" si="487"/>
        <v>40770</v>
      </c>
      <c r="DY228">
        <f t="shared" si="488"/>
        <v>525760</v>
      </c>
      <c r="DZ228">
        <f t="shared" si="420"/>
        <v>2400</v>
      </c>
      <c r="EA228">
        <f t="shared" si="421"/>
        <v>50000</v>
      </c>
      <c r="EB228">
        <v>0</v>
      </c>
      <c r="EC228">
        <f t="shared" si="422"/>
        <v>473360</v>
      </c>
      <c r="ED228">
        <f t="shared" si="423"/>
        <v>36000</v>
      </c>
      <c r="EE228">
        <f t="shared" si="424"/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f t="shared" si="425"/>
        <v>36000</v>
      </c>
      <c r="EQ228">
        <f t="shared" si="489"/>
        <v>36000</v>
      </c>
      <c r="ER228">
        <f t="shared" si="426"/>
        <v>437360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f t="shared" si="490"/>
        <v>0</v>
      </c>
      <c r="FA228">
        <f t="shared" si="491"/>
        <v>437360</v>
      </c>
      <c r="FB228">
        <f t="shared" si="492"/>
        <v>9368</v>
      </c>
      <c r="FC228">
        <f t="shared" si="493"/>
        <v>0</v>
      </c>
      <c r="FD228">
        <f t="shared" si="494"/>
        <v>9368</v>
      </c>
      <c r="FE228">
        <f t="shared" si="495"/>
        <v>0</v>
      </c>
      <c r="FF228">
        <f t="shared" si="496"/>
        <v>0</v>
      </c>
      <c r="FG228">
        <f t="shared" si="497"/>
        <v>0</v>
      </c>
      <c r="FH228">
        <v>0</v>
      </c>
      <c r="FI228">
        <f t="shared" si="498"/>
        <v>0</v>
      </c>
      <c r="FJ228" t="b">
        <f t="shared" si="499"/>
        <v>1</v>
      </c>
      <c r="FK228">
        <f t="shared" ca="1" si="500"/>
        <v>565</v>
      </c>
      <c r="FL228">
        <f t="shared" ca="1" si="501"/>
        <v>526325</v>
      </c>
      <c r="FM228">
        <f t="shared" si="502"/>
        <v>75000</v>
      </c>
      <c r="FN228">
        <f t="shared" ca="1" si="503"/>
        <v>451325</v>
      </c>
      <c r="FO228">
        <f t="shared" ca="1" si="504"/>
        <v>0</v>
      </c>
      <c r="FP228">
        <f t="shared" ca="1" si="505"/>
        <v>0</v>
      </c>
      <c r="FQ228">
        <f t="shared" ca="1" si="506"/>
        <v>0</v>
      </c>
      <c r="FR228">
        <f t="shared" ca="1" si="507"/>
        <v>0</v>
      </c>
      <c r="FS228">
        <f t="shared" ca="1" si="508"/>
        <v>0</v>
      </c>
      <c r="FT228">
        <f t="shared" ca="1" si="509"/>
        <v>0</v>
      </c>
      <c r="FU228">
        <f t="shared" ca="1" si="510"/>
        <v>0</v>
      </c>
      <c r="FV228">
        <f t="shared" ca="1" si="511"/>
        <v>0</v>
      </c>
      <c r="FW228">
        <f t="shared" ca="1" si="512"/>
        <v>151325</v>
      </c>
      <c r="FX228">
        <f t="shared" ca="1" si="513"/>
        <v>7566.25</v>
      </c>
      <c r="FY228">
        <f t="shared" ca="1" si="514"/>
        <v>7566</v>
      </c>
      <c r="FZ228">
        <f t="shared" ca="1" si="515"/>
        <v>0</v>
      </c>
      <c r="GA228">
        <f t="shared" ca="1" si="516"/>
        <v>0</v>
      </c>
      <c r="GB228">
        <f t="shared" ca="1" si="517"/>
        <v>7566</v>
      </c>
      <c r="GC228">
        <f t="shared" ca="1" si="518"/>
        <v>0</v>
      </c>
      <c r="GD228" t="b">
        <f t="shared" ca="1" si="519"/>
        <v>0</v>
      </c>
      <c r="GE228">
        <f t="shared" ca="1" si="520"/>
        <v>0</v>
      </c>
      <c r="GF228">
        <f t="shared" ca="1" si="521"/>
        <v>7566</v>
      </c>
      <c r="GG228">
        <f t="shared" ca="1" si="522"/>
        <v>0</v>
      </c>
      <c r="GH228">
        <f t="shared" ca="1" si="523"/>
        <v>0</v>
      </c>
      <c r="GI228">
        <f t="shared" ca="1" si="524"/>
        <v>0</v>
      </c>
    </row>
    <row r="229" spans="1:191" x14ac:dyDescent="0.25">
      <c r="A229">
        <f>_xlfn.AGGREGATE(3,5,$B$2:B229)</f>
        <v>228</v>
      </c>
      <c r="B229" t="s">
        <v>576</v>
      </c>
      <c r="C229" t="s">
        <v>577</v>
      </c>
      <c r="D229" t="s">
        <v>821</v>
      </c>
      <c r="E229" t="s">
        <v>845</v>
      </c>
      <c r="F229">
        <v>0</v>
      </c>
      <c r="G229">
        <v>6000</v>
      </c>
      <c r="H229">
        <v>32500</v>
      </c>
      <c r="I229">
        <f t="shared" si="427"/>
        <v>3250</v>
      </c>
      <c r="J229">
        <f t="shared" si="428"/>
        <v>3900</v>
      </c>
      <c r="K229">
        <v>400</v>
      </c>
      <c r="L229">
        <v>500</v>
      </c>
      <c r="M229">
        <f t="shared" si="429"/>
        <v>40550</v>
      </c>
      <c r="N229">
        <v>2000</v>
      </c>
      <c r="O229">
        <v>0</v>
      </c>
      <c r="P229">
        <f t="shared" si="430"/>
        <v>200</v>
      </c>
      <c r="Q229">
        <f t="shared" si="431"/>
        <v>38350</v>
      </c>
      <c r="R229">
        <v>32500</v>
      </c>
      <c r="S229">
        <f t="shared" si="432"/>
        <v>3250</v>
      </c>
      <c r="T229">
        <f t="shared" si="433"/>
        <v>3900</v>
      </c>
      <c r="U229">
        <v>400</v>
      </c>
      <c r="V229">
        <v>500</v>
      </c>
      <c r="W229">
        <f t="shared" si="434"/>
        <v>40550</v>
      </c>
      <c r="X229">
        <v>2000</v>
      </c>
      <c r="Y229">
        <v>0</v>
      </c>
      <c r="Z229">
        <f t="shared" si="435"/>
        <v>200</v>
      </c>
      <c r="AA229">
        <f t="shared" si="436"/>
        <v>38350</v>
      </c>
      <c r="AB229">
        <v>32500</v>
      </c>
      <c r="AC229">
        <f t="shared" si="437"/>
        <v>4550</v>
      </c>
      <c r="AD229">
        <f t="shared" si="438"/>
        <v>3900</v>
      </c>
      <c r="AE229">
        <v>400</v>
      </c>
      <c r="AF229">
        <v>500</v>
      </c>
      <c r="AG229">
        <f t="shared" si="439"/>
        <v>41850</v>
      </c>
      <c r="AH229">
        <v>2000</v>
      </c>
      <c r="AI229">
        <v>0</v>
      </c>
      <c r="AJ229">
        <f t="shared" si="440"/>
        <v>200</v>
      </c>
      <c r="AK229">
        <f t="shared" si="441"/>
        <v>39650</v>
      </c>
      <c r="AL229">
        <v>32500</v>
      </c>
      <c r="AM229">
        <f t="shared" si="442"/>
        <v>4550</v>
      </c>
      <c r="AN229">
        <f t="shared" si="443"/>
        <v>3900</v>
      </c>
      <c r="AO229">
        <v>400</v>
      </c>
      <c r="AP229">
        <v>500</v>
      </c>
      <c r="AQ229">
        <f t="shared" si="444"/>
        <v>41850</v>
      </c>
      <c r="AR229">
        <v>2000</v>
      </c>
      <c r="AS229">
        <v>0</v>
      </c>
      <c r="AT229">
        <f t="shared" si="445"/>
        <v>200</v>
      </c>
      <c r="AU229">
        <f t="shared" si="446"/>
        <v>39650</v>
      </c>
      <c r="AV229">
        <v>33500</v>
      </c>
      <c r="AW229">
        <f t="shared" si="447"/>
        <v>4690</v>
      </c>
      <c r="AX229">
        <f t="shared" si="448"/>
        <v>1300</v>
      </c>
      <c r="AY229">
        <f t="shared" si="449"/>
        <v>4020</v>
      </c>
      <c r="AZ229">
        <v>400</v>
      </c>
      <c r="BA229">
        <v>500</v>
      </c>
      <c r="BB229">
        <f t="shared" si="450"/>
        <v>44410</v>
      </c>
      <c r="BC229">
        <v>2500</v>
      </c>
      <c r="BD229">
        <v>0</v>
      </c>
      <c r="BE229">
        <f t="shared" si="451"/>
        <v>200</v>
      </c>
      <c r="BF229">
        <f t="shared" si="452"/>
        <v>41710</v>
      </c>
      <c r="BG229">
        <v>33500</v>
      </c>
      <c r="BH229">
        <f t="shared" si="453"/>
        <v>4690</v>
      </c>
      <c r="BI229">
        <f t="shared" si="454"/>
        <v>4020</v>
      </c>
      <c r="BJ229">
        <v>400</v>
      </c>
      <c r="BK229">
        <v>500</v>
      </c>
      <c r="BL229">
        <f t="shared" si="455"/>
        <v>43110</v>
      </c>
      <c r="BM229">
        <v>2500</v>
      </c>
      <c r="BN229">
        <v>0</v>
      </c>
      <c r="BO229">
        <f t="shared" si="456"/>
        <v>200</v>
      </c>
      <c r="BP229">
        <f t="shared" si="457"/>
        <v>40410</v>
      </c>
      <c r="BQ229">
        <v>33500</v>
      </c>
      <c r="BR229">
        <f t="shared" si="458"/>
        <v>4690</v>
      </c>
      <c r="BS229">
        <f t="shared" si="459"/>
        <v>4020</v>
      </c>
      <c r="BT229">
        <v>400</v>
      </c>
      <c r="BU229">
        <v>500</v>
      </c>
      <c r="BV229">
        <f t="shared" si="460"/>
        <v>43110</v>
      </c>
      <c r="BW229">
        <v>2500</v>
      </c>
      <c r="BX229">
        <v>0</v>
      </c>
      <c r="BY229">
        <f t="shared" si="461"/>
        <v>200</v>
      </c>
      <c r="BZ229">
        <f t="shared" si="462"/>
        <v>40410</v>
      </c>
      <c r="CA229">
        <v>33500</v>
      </c>
      <c r="CB229">
        <f t="shared" si="463"/>
        <v>4690</v>
      </c>
      <c r="CC229">
        <f t="shared" si="464"/>
        <v>4020</v>
      </c>
      <c r="CD229">
        <v>400</v>
      </c>
      <c r="CE229">
        <v>500</v>
      </c>
      <c r="CF229">
        <f t="shared" si="465"/>
        <v>43110</v>
      </c>
      <c r="CG229">
        <v>2500</v>
      </c>
      <c r="CH229">
        <v>0</v>
      </c>
      <c r="CI229">
        <f t="shared" si="466"/>
        <v>200</v>
      </c>
      <c r="CJ229">
        <f t="shared" si="467"/>
        <v>40410</v>
      </c>
      <c r="CK229">
        <v>33500</v>
      </c>
      <c r="CL229">
        <f t="shared" si="468"/>
        <v>4690</v>
      </c>
      <c r="CM229">
        <f t="shared" si="469"/>
        <v>4020</v>
      </c>
      <c r="CN229">
        <v>400</v>
      </c>
      <c r="CO229">
        <v>500</v>
      </c>
      <c r="CP229">
        <f t="shared" si="470"/>
        <v>43110</v>
      </c>
      <c r="CQ229">
        <v>2500</v>
      </c>
      <c r="CR229">
        <v>0</v>
      </c>
      <c r="CS229">
        <f t="shared" si="471"/>
        <v>200</v>
      </c>
      <c r="CT229">
        <f t="shared" si="472"/>
        <v>40410</v>
      </c>
      <c r="CU229">
        <v>34371</v>
      </c>
      <c r="CV229">
        <f t="shared" si="473"/>
        <v>4812</v>
      </c>
      <c r="CW229">
        <f t="shared" si="474"/>
        <v>4125</v>
      </c>
      <c r="CX229">
        <v>400</v>
      </c>
      <c r="CY229">
        <v>500</v>
      </c>
      <c r="CZ229">
        <f t="shared" si="475"/>
        <v>44208</v>
      </c>
      <c r="DA229">
        <v>2500</v>
      </c>
      <c r="DB229">
        <v>0</v>
      </c>
      <c r="DC229">
        <f t="shared" si="476"/>
        <v>200</v>
      </c>
      <c r="DD229">
        <f t="shared" si="477"/>
        <v>41508</v>
      </c>
      <c r="DE229">
        <v>33500</v>
      </c>
      <c r="DF229">
        <f t="shared" si="478"/>
        <v>4690</v>
      </c>
      <c r="DG229">
        <f t="shared" si="479"/>
        <v>4020</v>
      </c>
      <c r="DH229">
        <v>400</v>
      </c>
      <c r="DI229">
        <v>500</v>
      </c>
      <c r="DJ229">
        <f t="shared" si="480"/>
        <v>43110</v>
      </c>
      <c r="DK229">
        <v>2500</v>
      </c>
      <c r="DL229">
        <v>0</v>
      </c>
      <c r="DM229">
        <f t="shared" si="481"/>
        <v>200</v>
      </c>
      <c r="DN229">
        <f t="shared" si="482"/>
        <v>40410</v>
      </c>
      <c r="DO229">
        <v>33500</v>
      </c>
      <c r="DP229">
        <f t="shared" si="483"/>
        <v>4690</v>
      </c>
      <c r="DQ229">
        <f t="shared" si="484"/>
        <v>4020</v>
      </c>
      <c r="DR229">
        <v>400</v>
      </c>
      <c r="DS229">
        <v>500</v>
      </c>
      <c r="DT229">
        <f t="shared" si="485"/>
        <v>43110</v>
      </c>
      <c r="DU229">
        <v>2500</v>
      </c>
      <c r="DV229">
        <v>0</v>
      </c>
      <c r="DW229">
        <f t="shared" si="486"/>
        <v>200</v>
      </c>
      <c r="DX229">
        <f t="shared" si="487"/>
        <v>40410</v>
      </c>
      <c r="DY229">
        <f t="shared" si="488"/>
        <v>518078</v>
      </c>
      <c r="DZ229">
        <f t="shared" si="420"/>
        <v>2400</v>
      </c>
      <c r="EA229">
        <f t="shared" si="421"/>
        <v>50000</v>
      </c>
      <c r="EB229">
        <v>0</v>
      </c>
      <c r="EC229">
        <f t="shared" si="422"/>
        <v>465678</v>
      </c>
      <c r="ED229">
        <f t="shared" si="423"/>
        <v>28000</v>
      </c>
      <c r="EE229">
        <f t="shared" si="424"/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f t="shared" si="425"/>
        <v>28000</v>
      </c>
      <c r="EQ229">
        <f t="shared" si="489"/>
        <v>28000</v>
      </c>
      <c r="ER229">
        <f t="shared" si="426"/>
        <v>437678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f t="shared" si="490"/>
        <v>0</v>
      </c>
      <c r="FA229">
        <f t="shared" si="491"/>
        <v>437678</v>
      </c>
      <c r="FB229">
        <f t="shared" si="492"/>
        <v>9384</v>
      </c>
      <c r="FC229">
        <f t="shared" si="493"/>
        <v>0</v>
      </c>
      <c r="FD229">
        <f t="shared" si="494"/>
        <v>9384</v>
      </c>
      <c r="FE229">
        <f t="shared" si="495"/>
        <v>0</v>
      </c>
      <c r="FF229">
        <f t="shared" si="496"/>
        <v>0</v>
      </c>
      <c r="FG229">
        <f t="shared" si="497"/>
        <v>0</v>
      </c>
      <c r="FH229">
        <v>0</v>
      </c>
      <c r="FI229">
        <f t="shared" si="498"/>
        <v>0</v>
      </c>
      <c r="FJ229" t="b">
        <f t="shared" si="499"/>
        <v>1</v>
      </c>
      <c r="FK229">
        <f t="shared" ca="1" si="500"/>
        <v>513</v>
      </c>
      <c r="FL229">
        <f t="shared" ca="1" si="501"/>
        <v>518591</v>
      </c>
      <c r="FM229">
        <f t="shared" si="502"/>
        <v>75000</v>
      </c>
      <c r="FN229">
        <f t="shared" ca="1" si="503"/>
        <v>443591</v>
      </c>
      <c r="FO229">
        <f t="shared" ca="1" si="504"/>
        <v>0</v>
      </c>
      <c r="FP229">
        <f t="shared" ca="1" si="505"/>
        <v>0</v>
      </c>
      <c r="FQ229">
        <f t="shared" ca="1" si="506"/>
        <v>0</v>
      </c>
      <c r="FR229">
        <f t="shared" ca="1" si="507"/>
        <v>0</v>
      </c>
      <c r="FS229">
        <f t="shared" ca="1" si="508"/>
        <v>0</v>
      </c>
      <c r="FT229">
        <f t="shared" ca="1" si="509"/>
        <v>0</v>
      </c>
      <c r="FU229">
        <f t="shared" ca="1" si="510"/>
        <v>0</v>
      </c>
      <c r="FV229">
        <f t="shared" ca="1" si="511"/>
        <v>0</v>
      </c>
      <c r="FW229">
        <f t="shared" ca="1" si="512"/>
        <v>143591</v>
      </c>
      <c r="FX229">
        <f t="shared" ca="1" si="513"/>
        <v>7179.55</v>
      </c>
      <c r="FY229">
        <f t="shared" ca="1" si="514"/>
        <v>7180</v>
      </c>
      <c r="FZ229">
        <f t="shared" ca="1" si="515"/>
        <v>0</v>
      </c>
      <c r="GA229">
        <f t="shared" ca="1" si="516"/>
        <v>0</v>
      </c>
      <c r="GB229">
        <f t="shared" ca="1" si="517"/>
        <v>7180</v>
      </c>
      <c r="GC229">
        <f t="shared" ca="1" si="518"/>
        <v>0</v>
      </c>
      <c r="GD229" t="b">
        <f t="shared" ca="1" si="519"/>
        <v>0</v>
      </c>
      <c r="GE229">
        <f t="shared" ca="1" si="520"/>
        <v>0</v>
      </c>
      <c r="GF229">
        <f t="shared" ca="1" si="521"/>
        <v>7180</v>
      </c>
      <c r="GG229">
        <f t="shared" ca="1" si="522"/>
        <v>0</v>
      </c>
      <c r="GH229">
        <f t="shared" ca="1" si="523"/>
        <v>0</v>
      </c>
      <c r="GI229">
        <f t="shared" ca="1" si="524"/>
        <v>0</v>
      </c>
    </row>
    <row r="230" spans="1:191" x14ac:dyDescent="0.25">
      <c r="A230">
        <f>_xlfn.AGGREGATE(3,5,$B$2:B230)</f>
        <v>229</v>
      </c>
      <c r="B230" t="s">
        <v>578</v>
      </c>
      <c r="C230" t="s">
        <v>579</v>
      </c>
      <c r="D230" t="s">
        <v>821</v>
      </c>
      <c r="E230" t="s">
        <v>843</v>
      </c>
      <c r="F230">
        <v>0</v>
      </c>
      <c r="G230">
        <v>6000</v>
      </c>
      <c r="H230">
        <v>32500</v>
      </c>
      <c r="I230">
        <f t="shared" si="427"/>
        <v>3250</v>
      </c>
      <c r="J230">
        <f t="shared" si="428"/>
        <v>3900</v>
      </c>
      <c r="K230">
        <v>0</v>
      </c>
      <c r="L230">
        <v>500</v>
      </c>
      <c r="M230">
        <f t="shared" si="429"/>
        <v>40150</v>
      </c>
      <c r="N230">
        <v>2000</v>
      </c>
      <c r="O230">
        <v>0</v>
      </c>
      <c r="P230">
        <f t="shared" si="430"/>
        <v>200</v>
      </c>
      <c r="Q230">
        <f t="shared" si="431"/>
        <v>37950</v>
      </c>
      <c r="R230">
        <v>32500</v>
      </c>
      <c r="S230">
        <f t="shared" si="432"/>
        <v>3250</v>
      </c>
      <c r="T230">
        <f t="shared" si="433"/>
        <v>3900</v>
      </c>
      <c r="U230">
        <v>0</v>
      </c>
      <c r="V230">
        <v>500</v>
      </c>
      <c r="W230">
        <f t="shared" si="434"/>
        <v>40150</v>
      </c>
      <c r="X230">
        <v>2000</v>
      </c>
      <c r="Y230">
        <v>0</v>
      </c>
      <c r="Z230">
        <f t="shared" si="435"/>
        <v>200</v>
      </c>
      <c r="AA230">
        <f t="shared" si="436"/>
        <v>37950</v>
      </c>
      <c r="AB230">
        <v>32500</v>
      </c>
      <c r="AC230">
        <f t="shared" si="437"/>
        <v>4550</v>
      </c>
      <c r="AD230">
        <f t="shared" si="438"/>
        <v>3900</v>
      </c>
      <c r="AE230">
        <v>0</v>
      </c>
      <c r="AF230">
        <v>500</v>
      </c>
      <c r="AG230">
        <f t="shared" si="439"/>
        <v>41450</v>
      </c>
      <c r="AH230">
        <v>2000</v>
      </c>
      <c r="AI230">
        <v>0</v>
      </c>
      <c r="AJ230">
        <f t="shared" si="440"/>
        <v>200</v>
      </c>
      <c r="AK230">
        <f t="shared" si="441"/>
        <v>39250</v>
      </c>
      <c r="AL230">
        <v>32500</v>
      </c>
      <c r="AM230">
        <f t="shared" si="442"/>
        <v>4550</v>
      </c>
      <c r="AN230">
        <f t="shared" si="443"/>
        <v>3900</v>
      </c>
      <c r="AO230">
        <v>0</v>
      </c>
      <c r="AP230">
        <v>500</v>
      </c>
      <c r="AQ230">
        <f t="shared" si="444"/>
        <v>41450</v>
      </c>
      <c r="AR230">
        <v>2000</v>
      </c>
      <c r="AS230">
        <v>0</v>
      </c>
      <c r="AT230">
        <f t="shared" si="445"/>
        <v>200</v>
      </c>
      <c r="AU230">
        <f t="shared" si="446"/>
        <v>39250</v>
      </c>
      <c r="AV230">
        <v>33500</v>
      </c>
      <c r="AW230">
        <f t="shared" si="447"/>
        <v>4690</v>
      </c>
      <c r="AX230">
        <f t="shared" si="448"/>
        <v>1300</v>
      </c>
      <c r="AY230">
        <f t="shared" si="449"/>
        <v>4020</v>
      </c>
      <c r="AZ230">
        <v>0</v>
      </c>
      <c r="BA230">
        <v>500</v>
      </c>
      <c r="BB230">
        <f t="shared" si="450"/>
        <v>44010</v>
      </c>
      <c r="BC230">
        <v>2500</v>
      </c>
      <c r="BD230">
        <v>0</v>
      </c>
      <c r="BE230">
        <f t="shared" si="451"/>
        <v>200</v>
      </c>
      <c r="BF230">
        <f t="shared" si="452"/>
        <v>41310</v>
      </c>
      <c r="BG230">
        <v>33500</v>
      </c>
      <c r="BH230">
        <f t="shared" si="453"/>
        <v>4690</v>
      </c>
      <c r="BI230">
        <f t="shared" si="454"/>
        <v>4020</v>
      </c>
      <c r="BJ230">
        <v>0</v>
      </c>
      <c r="BK230">
        <v>500</v>
      </c>
      <c r="BL230">
        <f t="shared" si="455"/>
        <v>42710</v>
      </c>
      <c r="BM230">
        <v>2500</v>
      </c>
      <c r="BN230">
        <v>0</v>
      </c>
      <c r="BO230">
        <f t="shared" si="456"/>
        <v>200</v>
      </c>
      <c r="BP230">
        <f t="shared" si="457"/>
        <v>40010</v>
      </c>
      <c r="BQ230">
        <v>33500</v>
      </c>
      <c r="BR230">
        <f t="shared" si="458"/>
        <v>4690</v>
      </c>
      <c r="BS230">
        <f t="shared" si="459"/>
        <v>4020</v>
      </c>
      <c r="BT230">
        <v>0</v>
      </c>
      <c r="BU230">
        <v>500</v>
      </c>
      <c r="BV230">
        <f t="shared" si="460"/>
        <v>42710</v>
      </c>
      <c r="BW230">
        <v>2500</v>
      </c>
      <c r="BX230">
        <v>0</v>
      </c>
      <c r="BY230">
        <f t="shared" si="461"/>
        <v>200</v>
      </c>
      <c r="BZ230">
        <f t="shared" si="462"/>
        <v>40010</v>
      </c>
      <c r="CA230">
        <v>33500</v>
      </c>
      <c r="CB230">
        <f t="shared" si="463"/>
        <v>4690</v>
      </c>
      <c r="CC230">
        <f t="shared" si="464"/>
        <v>4020</v>
      </c>
      <c r="CD230">
        <v>0</v>
      </c>
      <c r="CE230">
        <v>500</v>
      </c>
      <c r="CF230">
        <f t="shared" si="465"/>
        <v>42710</v>
      </c>
      <c r="CG230">
        <v>2500</v>
      </c>
      <c r="CH230">
        <v>0</v>
      </c>
      <c r="CI230">
        <f t="shared" si="466"/>
        <v>200</v>
      </c>
      <c r="CJ230">
        <f t="shared" si="467"/>
        <v>40010</v>
      </c>
      <c r="CK230">
        <v>33500</v>
      </c>
      <c r="CL230">
        <f t="shared" si="468"/>
        <v>4690</v>
      </c>
      <c r="CM230">
        <f t="shared" si="469"/>
        <v>4020</v>
      </c>
      <c r="CN230">
        <v>0</v>
      </c>
      <c r="CO230">
        <v>500</v>
      </c>
      <c r="CP230">
        <f t="shared" si="470"/>
        <v>42710</v>
      </c>
      <c r="CQ230">
        <v>2500</v>
      </c>
      <c r="CR230">
        <v>0</v>
      </c>
      <c r="CS230">
        <f t="shared" si="471"/>
        <v>200</v>
      </c>
      <c r="CT230">
        <f t="shared" si="472"/>
        <v>40010</v>
      </c>
      <c r="CU230">
        <v>33500</v>
      </c>
      <c r="CV230">
        <f t="shared" si="473"/>
        <v>4690</v>
      </c>
      <c r="CW230">
        <f t="shared" si="474"/>
        <v>4020</v>
      </c>
      <c r="CX230">
        <v>0</v>
      </c>
      <c r="CY230">
        <v>500</v>
      </c>
      <c r="CZ230">
        <f t="shared" si="475"/>
        <v>42710</v>
      </c>
      <c r="DA230">
        <v>2500</v>
      </c>
      <c r="DB230">
        <v>0</v>
      </c>
      <c r="DC230">
        <f t="shared" si="476"/>
        <v>200</v>
      </c>
      <c r="DD230">
        <f t="shared" si="477"/>
        <v>40010</v>
      </c>
      <c r="DE230">
        <v>33500</v>
      </c>
      <c r="DF230">
        <f t="shared" si="478"/>
        <v>4690</v>
      </c>
      <c r="DG230">
        <f t="shared" si="479"/>
        <v>4020</v>
      </c>
      <c r="DH230">
        <v>0</v>
      </c>
      <c r="DI230">
        <v>500</v>
      </c>
      <c r="DJ230">
        <f t="shared" si="480"/>
        <v>42710</v>
      </c>
      <c r="DK230">
        <v>2500</v>
      </c>
      <c r="DL230">
        <v>0</v>
      </c>
      <c r="DM230">
        <f t="shared" si="481"/>
        <v>200</v>
      </c>
      <c r="DN230">
        <f t="shared" si="482"/>
        <v>40010</v>
      </c>
      <c r="DO230">
        <v>33500</v>
      </c>
      <c r="DP230">
        <f t="shared" si="483"/>
        <v>4690</v>
      </c>
      <c r="DQ230">
        <f t="shared" si="484"/>
        <v>4020</v>
      </c>
      <c r="DR230">
        <v>0</v>
      </c>
      <c r="DS230">
        <v>500</v>
      </c>
      <c r="DT230">
        <f t="shared" si="485"/>
        <v>42710</v>
      </c>
      <c r="DU230">
        <v>2500</v>
      </c>
      <c r="DV230">
        <v>0</v>
      </c>
      <c r="DW230">
        <f t="shared" si="486"/>
        <v>200</v>
      </c>
      <c r="DX230">
        <f t="shared" si="487"/>
        <v>40010</v>
      </c>
      <c r="DY230">
        <f t="shared" si="488"/>
        <v>512180</v>
      </c>
      <c r="DZ230">
        <f t="shared" si="420"/>
        <v>2400</v>
      </c>
      <c r="EA230">
        <f t="shared" si="421"/>
        <v>50000</v>
      </c>
      <c r="EB230">
        <v>0</v>
      </c>
      <c r="EC230">
        <f t="shared" si="422"/>
        <v>459780</v>
      </c>
      <c r="ED230">
        <f t="shared" si="423"/>
        <v>28000</v>
      </c>
      <c r="EE230">
        <f t="shared" si="424"/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f t="shared" si="425"/>
        <v>28000</v>
      </c>
      <c r="EQ230">
        <f t="shared" si="489"/>
        <v>28000</v>
      </c>
      <c r="ER230">
        <f t="shared" si="426"/>
        <v>431780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f t="shared" si="490"/>
        <v>0</v>
      </c>
      <c r="FA230">
        <f t="shared" si="491"/>
        <v>431780</v>
      </c>
      <c r="FB230">
        <f t="shared" si="492"/>
        <v>9089</v>
      </c>
      <c r="FC230">
        <f t="shared" si="493"/>
        <v>0</v>
      </c>
      <c r="FD230">
        <f t="shared" si="494"/>
        <v>9089</v>
      </c>
      <c r="FE230">
        <f t="shared" si="495"/>
        <v>0</v>
      </c>
      <c r="FF230">
        <f t="shared" si="496"/>
        <v>0</v>
      </c>
      <c r="FG230">
        <f t="shared" si="497"/>
        <v>0</v>
      </c>
      <c r="FH230">
        <v>0</v>
      </c>
      <c r="FI230">
        <f t="shared" si="498"/>
        <v>0</v>
      </c>
      <c r="FJ230" t="b">
        <f t="shared" si="499"/>
        <v>1</v>
      </c>
      <c r="FK230">
        <f t="shared" ca="1" si="500"/>
        <v>701</v>
      </c>
      <c r="FL230">
        <f t="shared" ca="1" si="501"/>
        <v>512881</v>
      </c>
      <c r="FM230">
        <f t="shared" si="502"/>
        <v>75000</v>
      </c>
      <c r="FN230">
        <f t="shared" ca="1" si="503"/>
        <v>437881</v>
      </c>
      <c r="FO230">
        <f t="shared" ca="1" si="504"/>
        <v>0</v>
      </c>
      <c r="FP230">
        <f t="shared" ca="1" si="505"/>
        <v>0</v>
      </c>
      <c r="FQ230">
        <f t="shared" ca="1" si="506"/>
        <v>0</v>
      </c>
      <c r="FR230">
        <f t="shared" ca="1" si="507"/>
        <v>0</v>
      </c>
      <c r="FS230">
        <f t="shared" ca="1" si="508"/>
        <v>0</v>
      </c>
      <c r="FT230">
        <f t="shared" ca="1" si="509"/>
        <v>0</v>
      </c>
      <c r="FU230">
        <f t="shared" ca="1" si="510"/>
        <v>0</v>
      </c>
      <c r="FV230">
        <f t="shared" ca="1" si="511"/>
        <v>0</v>
      </c>
      <c r="FW230">
        <f t="shared" ca="1" si="512"/>
        <v>137881</v>
      </c>
      <c r="FX230">
        <f t="shared" ca="1" si="513"/>
        <v>6894.05</v>
      </c>
      <c r="FY230">
        <f t="shared" ca="1" si="514"/>
        <v>6894</v>
      </c>
      <c r="FZ230">
        <f t="shared" ca="1" si="515"/>
        <v>0</v>
      </c>
      <c r="GA230">
        <f t="shared" ca="1" si="516"/>
        <v>0</v>
      </c>
      <c r="GB230">
        <f t="shared" ca="1" si="517"/>
        <v>6894</v>
      </c>
      <c r="GC230">
        <f t="shared" ca="1" si="518"/>
        <v>0</v>
      </c>
      <c r="GD230" t="b">
        <f t="shared" ca="1" si="519"/>
        <v>0</v>
      </c>
      <c r="GE230">
        <f t="shared" ca="1" si="520"/>
        <v>0</v>
      </c>
      <c r="GF230">
        <f t="shared" ca="1" si="521"/>
        <v>6894</v>
      </c>
      <c r="GG230">
        <f t="shared" ca="1" si="522"/>
        <v>0</v>
      </c>
      <c r="GH230">
        <f t="shared" ca="1" si="523"/>
        <v>0</v>
      </c>
      <c r="GI230">
        <f t="shared" ca="1" si="524"/>
        <v>0</v>
      </c>
    </row>
    <row r="231" spans="1:191" x14ac:dyDescent="0.25">
      <c r="A231">
        <f>_xlfn.AGGREGATE(3,5,$B$2:B231)</f>
        <v>230</v>
      </c>
      <c r="B231" t="s">
        <v>580</v>
      </c>
      <c r="C231" t="s">
        <v>581</v>
      </c>
      <c r="D231" t="s">
        <v>821</v>
      </c>
      <c r="E231" t="s">
        <v>843</v>
      </c>
      <c r="F231">
        <v>0</v>
      </c>
      <c r="G231">
        <v>0</v>
      </c>
      <c r="H231">
        <v>0</v>
      </c>
      <c r="I231">
        <f t="shared" si="427"/>
        <v>0</v>
      </c>
      <c r="J231">
        <f t="shared" si="428"/>
        <v>0</v>
      </c>
      <c r="K231">
        <v>0</v>
      </c>
      <c r="L231">
        <v>0</v>
      </c>
      <c r="M231">
        <f t="shared" si="429"/>
        <v>0</v>
      </c>
      <c r="N231">
        <v>0</v>
      </c>
      <c r="O231">
        <v>0</v>
      </c>
      <c r="P231">
        <f t="shared" si="430"/>
        <v>0</v>
      </c>
      <c r="Q231">
        <f t="shared" si="431"/>
        <v>0</v>
      </c>
      <c r="R231">
        <v>28900</v>
      </c>
      <c r="S231">
        <f t="shared" si="432"/>
        <v>2890</v>
      </c>
      <c r="T231">
        <f t="shared" si="433"/>
        <v>3468</v>
      </c>
      <c r="U231">
        <v>0</v>
      </c>
      <c r="V231">
        <v>500</v>
      </c>
      <c r="W231">
        <f t="shared" si="434"/>
        <v>35758</v>
      </c>
      <c r="X231">
        <v>0</v>
      </c>
      <c r="Y231">
        <v>0</v>
      </c>
      <c r="Z231">
        <f t="shared" si="435"/>
        <v>150</v>
      </c>
      <c r="AA231">
        <f t="shared" si="436"/>
        <v>35608</v>
      </c>
      <c r="AB231">
        <v>28900</v>
      </c>
      <c r="AC231">
        <f t="shared" si="437"/>
        <v>4046.0000000000005</v>
      </c>
      <c r="AD231">
        <f t="shared" si="438"/>
        <v>3468</v>
      </c>
      <c r="AE231">
        <v>0</v>
      </c>
      <c r="AF231">
        <v>500</v>
      </c>
      <c r="AG231">
        <f t="shared" si="439"/>
        <v>36914</v>
      </c>
      <c r="AH231">
        <v>0</v>
      </c>
      <c r="AI231">
        <v>0</v>
      </c>
      <c r="AJ231">
        <f t="shared" si="440"/>
        <v>150</v>
      </c>
      <c r="AK231">
        <f t="shared" si="441"/>
        <v>36764</v>
      </c>
      <c r="AL231">
        <v>28900</v>
      </c>
      <c r="AM231">
        <f t="shared" si="442"/>
        <v>4046.0000000000005</v>
      </c>
      <c r="AN231">
        <f t="shared" si="443"/>
        <v>3468</v>
      </c>
      <c r="AO231">
        <v>0</v>
      </c>
      <c r="AP231">
        <v>500</v>
      </c>
      <c r="AQ231">
        <f t="shared" si="444"/>
        <v>36914</v>
      </c>
      <c r="AR231">
        <v>0</v>
      </c>
      <c r="AS231">
        <v>0</v>
      </c>
      <c r="AT231">
        <f t="shared" si="445"/>
        <v>150</v>
      </c>
      <c r="AU231">
        <f t="shared" si="446"/>
        <v>36764</v>
      </c>
      <c r="AV231">
        <v>28900</v>
      </c>
      <c r="AW231">
        <f t="shared" si="447"/>
        <v>4046.0000000000005</v>
      </c>
      <c r="AX231">
        <f t="shared" si="448"/>
        <v>1156</v>
      </c>
      <c r="AY231">
        <f t="shared" si="449"/>
        <v>3468</v>
      </c>
      <c r="AZ231">
        <v>0</v>
      </c>
      <c r="BA231">
        <v>500</v>
      </c>
      <c r="BB231">
        <f t="shared" si="450"/>
        <v>38070</v>
      </c>
      <c r="BC231">
        <v>0</v>
      </c>
      <c r="BD231">
        <v>0</v>
      </c>
      <c r="BE231">
        <f t="shared" si="451"/>
        <v>150</v>
      </c>
      <c r="BF231">
        <f t="shared" si="452"/>
        <v>37920</v>
      </c>
      <c r="BG231">
        <v>28900</v>
      </c>
      <c r="BH231">
        <f t="shared" si="453"/>
        <v>4046.0000000000005</v>
      </c>
      <c r="BI231">
        <f t="shared" si="454"/>
        <v>3468</v>
      </c>
      <c r="BJ231">
        <v>0</v>
      </c>
      <c r="BK231">
        <v>500</v>
      </c>
      <c r="BL231">
        <f t="shared" si="455"/>
        <v>36914</v>
      </c>
      <c r="BM231">
        <v>0</v>
      </c>
      <c r="BN231">
        <v>0</v>
      </c>
      <c r="BO231">
        <f t="shared" si="456"/>
        <v>150</v>
      </c>
      <c r="BP231">
        <f t="shared" si="457"/>
        <v>36764</v>
      </c>
      <c r="BQ231">
        <v>28900</v>
      </c>
      <c r="BR231">
        <f t="shared" si="458"/>
        <v>4046.0000000000005</v>
      </c>
      <c r="BS231">
        <f t="shared" si="459"/>
        <v>3468</v>
      </c>
      <c r="BT231">
        <v>0</v>
      </c>
      <c r="BU231">
        <v>500</v>
      </c>
      <c r="BV231">
        <f t="shared" si="460"/>
        <v>36914</v>
      </c>
      <c r="BW231">
        <v>0</v>
      </c>
      <c r="BX231">
        <v>0</v>
      </c>
      <c r="BY231">
        <f t="shared" si="461"/>
        <v>150</v>
      </c>
      <c r="BZ231">
        <f t="shared" si="462"/>
        <v>36764</v>
      </c>
      <c r="CA231">
        <v>28900</v>
      </c>
      <c r="CB231">
        <f t="shared" si="463"/>
        <v>4046.0000000000005</v>
      </c>
      <c r="CC231">
        <f t="shared" si="464"/>
        <v>3468</v>
      </c>
      <c r="CD231">
        <v>0</v>
      </c>
      <c r="CE231">
        <v>500</v>
      </c>
      <c r="CF231">
        <f t="shared" si="465"/>
        <v>36914</v>
      </c>
      <c r="CG231">
        <v>0</v>
      </c>
      <c r="CH231">
        <v>0</v>
      </c>
      <c r="CI231">
        <f t="shared" si="466"/>
        <v>150</v>
      </c>
      <c r="CJ231">
        <f t="shared" si="467"/>
        <v>36764</v>
      </c>
      <c r="CK231">
        <v>28900</v>
      </c>
      <c r="CL231">
        <f t="shared" si="468"/>
        <v>4046.0000000000005</v>
      </c>
      <c r="CM231">
        <f t="shared" si="469"/>
        <v>3468</v>
      </c>
      <c r="CN231">
        <v>0</v>
      </c>
      <c r="CO231">
        <v>500</v>
      </c>
      <c r="CP231">
        <f t="shared" si="470"/>
        <v>36914</v>
      </c>
      <c r="CQ231">
        <v>0</v>
      </c>
      <c r="CR231">
        <v>0</v>
      </c>
      <c r="CS231">
        <f t="shared" si="471"/>
        <v>150</v>
      </c>
      <c r="CT231">
        <f t="shared" si="472"/>
        <v>36764</v>
      </c>
      <c r="CU231">
        <v>28900</v>
      </c>
      <c r="CV231">
        <f t="shared" si="473"/>
        <v>4046</v>
      </c>
      <c r="CW231">
        <f t="shared" si="474"/>
        <v>3468</v>
      </c>
      <c r="CX231">
        <v>0</v>
      </c>
      <c r="CY231">
        <v>500</v>
      </c>
      <c r="CZ231">
        <f t="shared" si="475"/>
        <v>36914</v>
      </c>
      <c r="DA231">
        <v>0</v>
      </c>
      <c r="DB231">
        <v>0</v>
      </c>
      <c r="DC231">
        <f t="shared" si="476"/>
        <v>150</v>
      </c>
      <c r="DD231">
        <f t="shared" si="477"/>
        <v>36764</v>
      </c>
      <c r="DE231">
        <v>28900</v>
      </c>
      <c r="DF231">
        <f t="shared" si="478"/>
        <v>4046.0000000000005</v>
      </c>
      <c r="DG231">
        <f t="shared" si="479"/>
        <v>3468</v>
      </c>
      <c r="DH231">
        <v>0</v>
      </c>
      <c r="DI231">
        <v>500</v>
      </c>
      <c r="DJ231">
        <f t="shared" si="480"/>
        <v>36914</v>
      </c>
      <c r="DK231">
        <v>0</v>
      </c>
      <c r="DL231">
        <v>0</v>
      </c>
      <c r="DM231">
        <f t="shared" si="481"/>
        <v>150</v>
      </c>
      <c r="DN231">
        <f t="shared" si="482"/>
        <v>36764</v>
      </c>
      <c r="DO231">
        <v>28900</v>
      </c>
      <c r="DP231">
        <f t="shared" si="483"/>
        <v>4046.0000000000005</v>
      </c>
      <c r="DQ231">
        <f t="shared" si="484"/>
        <v>3468</v>
      </c>
      <c r="DR231">
        <v>0</v>
      </c>
      <c r="DS231">
        <v>500</v>
      </c>
      <c r="DT231">
        <f t="shared" si="485"/>
        <v>36914</v>
      </c>
      <c r="DU231">
        <v>2000</v>
      </c>
      <c r="DV231">
        <v>0</v>
      </c>
      <c r="DW231">
        <f t="shared" si="486"/>
        <v>150</v>
      </c>
      <c r="DX231">
        <f t="shared" si="487"/>
        <v>34764</v>
      </c>
      <c r="DY231">
        <f t="shared" si="488"/>
        <v>406054</v>
      </c>
      <c r="DZ231">
        <f t="shared" si="420"/>
        <v>1650</v>
      </c>
      <c r="EA231">
        <f t="shared" si="421"/>
        <v>50000</v>
      </c>
      <c r="EB231">
        <v>0</v>
      </c>
      <c r="EC231">
        <f t="shared" si="422"/>
        <v>354404</v>
      </c>
      <c r="ED231">
        <f t="shared" si="423"/>
        <v>2000</v>
      </c>
      <c r="EE231">
        <f t="shared" si="424"/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f t="shared" si="425"/>
        <v>2000</v>
      </c>
      <c r="EQ231">
        <f t="shared" si="489"/>
        <v>2000</v>
      </c>
      <c r="ER231">
        <f t="shared" si="426"/>
        <v>352404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f t="shared" si="490"/>
        <v>0</v>
      </c>
      <c r="FA231">
        <f t="shared" si="491"/>
        <v>352404</v>
      </c>
      <c r="FB231">
        <f t="shared" si="492"/>
        <v>5120</v>
      </c>
      <c r="FC231">
        <f t="shared" si="493"/>
        <v>0</v>
      </c>
      <c r="FD231">
        <f t="shared" si="494"/>
        <v>5120</v>
      </c>
      <c r="FE231">
        <f t="shared" si="495"/>
        <v>0</v>
      </c>
      <c r="FF231">
        <f t="shared" si="496"/>
        <v>0</v>
      </c>
      <c r="FG231">
        <f t="shared" si="497"/>
        <v>0</v>
      </c>
      <c r="FH231">
        <v>0</v>
      </c>
      <c r="FI231">
        <f t="shared" si="498"/>
        <v>0</v>
      </c>
      <c r="FJ231" t="b">
        <f t="shared" si="499"/>
        <v>0</v>
      </c>
      <c r="FK231">
        <f t="shared" ca="1" si="500"/>
        <v>2786</v>
      </c>
      <c r="FL231">
        <f t="shared" ca="1" si="501"/>
        <v>408840</v>
      </c>
      <c r="FM231">
        <f t="shared" si="502"/>
        <v>75000</v>
      </c>
      <c r="FN231">
        <f t="shared" ca="1" si="503"/>
        <v>333840</v>
      </c>
      <c r="FO231">
        <f t="shared" ca="1" si="504"/>
        <v>0</v>
      </c>
      <c r="FP231">
        <f t="shared" ca="1" si="505"/>
        <v>0</v>
      </c>
      <c r="FQ231">
        <f t="shared" ca="1" si="506"/>
        <v>0</v>
      </c>
      <c r="FR231">
        <f t="shared" ca="1" si="507"/>
        <v>0</v>
      </c>
      <c r="FS231">
        <f t="shared" ca="1" si="508"/>
        <v>0</v>
      </c>
      <c r="FT231">
        <f t="shared" ca="1" si="509"/>
        <v>0</v>
      </c>
      <c r="FU231">
        <f t="shared" ca="1" si="510"/>
        <v>0</v>
      </c>
      <c r="FV231">
        <f t="shared" ca="1" si="511"/>
        <v>0</v>
      </c>
      <c r="FW231">
        <f t="shared" ca="1" si="512"/>
        <v>33840</v>
      </c>
      <c r="FX231">
        <f t="shared" ca="1" si="513"/>
        <v>1692</v>
      </c>
      <c r="FY231">
        <f t="shared" ca="1" si="514"/>
        <v>1692</v>
      </c>
      <c r="FZ231">
        <f t="shared" ca="1" si="515"/>
        <v>0</v>
      </c>
      <c r="GA231">
        <f t="shared" ca="1" si="516"/>
        <v>0</v>
      </c>
      <c r="GB231">
        <f t="shared" ca="1" si="517"/>
        <v>1692</v>
      </c>
      <c r="GC231">
        <f t="shared" ca="1" si="518"/>
        <v>0</v>
      </c>
      <c r="GD231" t="b">
        <f t="shared" ca="1" si="519"/>
        <v>0</v>
      </c>
      <c r="GE231">
        <f t="shared" ca="1" si="520"/>
        <v>0</v>
      </c>
      <c r="GF231">
        <f t="shared" ca="1" si="521"/>
        <v>1692</v>
      </c>
      <c r="GG231">
        <f t="shared" ca="1" si="522"/>
        <v>0</v>
      </c>
      <c r="GH231">
        <f t="shared" ca="1" si="523"/>
        <v>0</v>
      </c>
      <c r="GI231">
        <f t="shared" ca="1" si="524"/>
        <v>0</v>
      </c>
    </row>
    <row r="232" spans="1:191" x14ac:dyDescent="0.25">
      <c r="A232">
        <f>_xlfn.AGGREGATE(3,5,$B$2:B232)</f>
        <v>231</v>
      </c>
      <c r="B232" t="s">
        <v>582</v>
      </c>
      <c r="C232" t="s">
        <v>583</v>
      </c>
      <c r="D232" t="s">
        <v>822</v>
      </c>
      <c r="E232" t="s">
        <v>843</v>
      </c>
      <c r="F232">
        <v>0</v>
      </c>
      <c r="G232">
        <v>0</v>
      </c>
      <c r="H232">
        <v>45900</v>
      </c>
      <c r="I232">
        <f t="shared" si="427"/>
        <v>4590</v>
      </c>
      <c r="J232">
        <f t="shared" si="428"/>
        <v>5508</v>
      </c>
      <c r="K232">
        <v>0</v>
      </c>
      <c r="L232">
        <v>0</v>
      </c>
      <c r="M232">
        <f t="shared" si="429"/>
        <v>55998</v>
      </c>
      <c r="N232">
        <v>8000</v>
      </c>
      <c r="O232">
        <v>60</v>
      </c>
      <c r="P232">
        <f t="shared" si="430"/>
        <v>200</v>
      </c>
      <c r="Q232">
        <f t="shared" si="431"/>
        <v>47738</v>
      </c>
      <c r="R232">
        <v>45900</v>
      </c>
      <c r="S232">
        <f t="shared" si="432"/>
        <v>4590</v>
      </c>
      <c r="T232">
        <f t="shared" si="433"/>
        <v>5508</v>
      </c>
      <c r="U232">
        <v>0</v>
      </c>
      <c r="V232">
        <v>0</v>
      </c>
      <c r="W232">
        <f t="shared" si="434"/>
        <v>55998</v>
      </c>
      <c r="X232">
        <v>8000</v>
      </c>
      <c r="Y232">
        <v>60</v>
      </c>
      <c r="Z232">
        <f t="shared" si="435"/>
        <v>200</v>
      </c>
      <c r="AA232">
        <f t="shared" si="436"/>
        <v>47738</v>
      </c>
      <c r="AB232">
        <v>45900</v>
      </c>
      <c r="AC232">
        <f t="shared" si="437"/>
        <v>6426.0000000000009</v>
      </c>
      <c r="AD232">
        <f t="shared" si="438"/>
        <v>5508</v>
      </c>
      <c r="AE232">
        <v>0</v>
      </c>
      <c r="AF232">
        <v>0</v>
      </c>
      <c r="AG232">
        <f t="shared" si="439"/>
        <v>57834</v>
      </c>
      <c r="AH232">
        <v>8000</v>
      </c>
      <c r="AI232">
        <v>60</v>
      </c>
      <c r="AJ232">
        <f t="shared" si="440"/>
        <v>200</v>
      </c>
      <c r="AK232">
        <f t="shared" si="441"/>
        <v>49574</v>
      </c>
      <c r="AL232">
        <v>45900</v>
      </c>
      <c r="AM232">
        <f t="shared" si="442"/>
        <v>6426.0000000000009</v>
      </c>
      <c r="AN232">
        <f t="shared" si="443"/>
        <v>5508</v>
      </c>
      <c r="AO232">
        <v>0</v>
      </c>
      <c r="AP232">
        <v>0</v>
      </c>
      <c r="AQ232">
        <f t="shared" si="444"/>
        <v>57834</v>
      </c>
      <c r="AR232">
        <v>8000</v>
      </c>
      <c r="AS232">
        <v>60</v>
      </c>
      <c r="AT232">
        <f t="shared" si="445"/>
        <v>200</v>
      </c>
      <c r="AU232">
        <f t="shared" si="446"/>
        <v>49574</v>
      </c>
      <c r="AV232">
        <v>47300</v>
      </c>
      <c r="AW232">
        <f t="shared" si="447"/>
        <v>6622.0000000000009</v>
      </c>
      <c r="AX232">
        <f t="shared" si="448"/>
        <v>1836</v>
      </c>
      <c r="AY232">
        <f t="shared" si="449"/>
        <v>5676</v>
      </c>
      <c r="AZ232">
        <v>0</v>
      </c>
      <c r="BA232">
        <v>0</v>
      </c>
      <c r="BB232">
        <f t="shared" si="450"/>
        <v>61434</v>
      </c>
      <c r="BC232">
        <v>8000</v>
      </c>
      <c r="BD232">
        <v>60</v>
      </c>
      <c r="BE232">
        <f t="shared" si="451"/>
        <v>200</v>
      </c>
      <c r="BF232">
        <f t="shared" si="452"/>
        <v>53174</v>
      </c>
      <c r="BG232">
        <v>47300</v>
      </c>
      <c r="BH232">
        <f t="shared" si="453"/>
        <v>6622.0000000000009</v>
      </c>
      <c r="BI232">
        <f t="shared" si="454"/>
        <v>5676</v>
      </c>
      <c r="BJ232">
        <v>0</v>
      </c>
      <c r="BK232">
        <v>0</v>
      </c>
      <c r="BL232">
        <f t="shared" si="455"/>
        <v>59598</v>
      </c>
      <c r="BM232">
        <v>8000</v>
      </c>
      <c r="BN232">
        <v>60</v>
      </c>
      <c r="BO232">
        <f t="shared" si="456"/>
        <v>200</v>
      </c>
      <c r="BP232">
        <f t="shared" si="457"/>
        <v>51338</v>
      </c>
      <c r="BQ232">
        <v>47300</v>
      </c>
      <c r="BR232">
        <f t="shared" si="458"/>
        <v>6622.0000000000009</v>
      </c>
      <c r="BS232">
        <f t="shared" si="459"/>
        <v>5676</v>
      </c>
      <c r="BT232">
        <v>0</v>
      </c>
      <c r="BU232">
        <v>0</v>
      </c>
      <c r="BV232">
        <f t="shared" si="460"/>
        <v>59598</v>
      </c>
      <c r="BW232">
        <v>8000</v>
      </c>
      <c r="BX232">
        <v>60</v>
      </c>
      <c r="BY232">
        <f t="shared" si="461"/>
        <v>200</v>
      </c>
      <c r="BZ232">
        <f t="shared" si="462"/>
        <v>51338</v>
      </c>
      <c r="CA232">
        <v>47300</v>
      </c>
      <c r="CB232">
        <f t="shared" si="463"/>
        <v>6622.0000000000009</v>
      </c>
      <c r="CC232">
        <f t="shared" si="464"/>
        <v>5676</v>
      </c>
      <c r="CD232">
        <v>0</v>
      </c>
      <c r="CE232">
        <v>0</v>
      </c>
      <c r="CF232">
        <f t="shared" si="465"/>
        <v>59598</v>
      </c>
      <c r="CG232">
        <v>8000</v>
      </c>
      <c r="CH232">
        <v>60</v>
      </c>
      <c r="CI232">
        <f t="shared" si="466"/>
        <v>200</v>
      </c>
      <c r="CJ232">
        <f t="shared" si="467"/>
        <v>51338</v>
      </c>
      <c r="CK232">
        <v>47300</v>
      </c>
      <c r="CL232">
        <f t="shared" si="468"/>
        <v>6622.0000000000009</v>
      </c>
      <c r="CM232">
        <f t="shared" si="469"/>
        <v>5676</v>
      </c>
      <c r="CN232">
        <v>0</v>
      </c>
      <c r="CO232">
        <v>0</v>
      </c>
      <c r="CP232">
        <f t="shared" si="470"/>
        <v>59598</v>
      </c>
      <c r="CQ232">
        <v>8000</v>
      </c>
      <c r="CR232">
        <v>60</v>
      </c>
      <c r="CS232">
        <f t="shared" si="471"/>
        <v>200</v>
      </c>
      <c r="CT232">
        <f t="shared" si="472"/>
        <v>51338</v>
      </c>
      <c r="CU232">
        <v>47300</v>
      </c>
      <c r="CV232">
        <f t="shared" si="473"/>
        <v>6622</v>
      </c>
      <c r="CW232">
        <f t="shared" si="474"/>
        <v>5676</v>
      </c>
      <c r="CX232">
        <v>0</v>
      </c>
      <c r="CY232">
        <v>0</v>
      </c>
      <c r="CZ232">
        <f t="shared" si="475"/>
        <v>59598</v>
      </c>
      <c r="DA232">
        <v>8000</v>
      </c>
      <c r="DB232">
        <v>60</v>
      </c>
      <c r="DC232">
        <f t="shared" si="476"/>
        <v>200</v>
      </c>
      <c r="DD232">
        <f t="shared" si="477"/>
        <v>51338</v>
      </c>
      <c r="DE232">
        <v>47300</v>
      </c>
      <c r="DF232">
        <f t="shared" si="478"/>
        <v>6622.0000000000009</v>
      </c>
      <c r="DG232">
        <f t="shared" si="479"/>
        <v>5676</v>
      </c>
      <c r="DH232">
        <v>0</v>
      </c>
      <c r="DI232">
        <v>0</v>
      </c>
      <c r="DJ232">
        <f t="shared" si="480"/>
        <v>59598</v>
      </c>
      <c r="DK232">
        <v>8000</v>
      </c>
      <c r="DL232">
        <v>60</v>
      </c>
      <c r="DM232">
        <f t="shared" si="481"/>
        <v>200</v>
      </c>
      <c r="DN232">
        <f t="shared" si="482"/>
        <v>51338</v>
      </c>
      <c r="DO232">
        <v>47300</v>
      </c>
      <c r="DP232">
        <f t="shared" si="483"/>
        <v>6622.0000000000009</v>
      </c>
      <c r="DQ232">
        <f t="shared" si="484"/>
        <v>5676</v>
      </c>
      <c r="DR232">
        <v>0</v>
      </c>
      <c r="DS232">
        <v>0</v>
      </c>
      <c r="DT232">
        <f t="shared" si="485"/>
        <v>59598</v>
      </c>
      <c r="DU232">
        <v>8000</v>
      </c>
      <c r="DV232">
        <v>60</v>
      </c>
      <c r="DW232">
        <f t="shared" si="486"/>
        <v>200</v>
      </c>
      <c r="DX232">
        <f t="shared" si="487"/>
        <v>51338</v>
      </c>
      <c r="DY232">
        <f t="shared" si="488"/>
        <v>706284</v>
      </c>
      <c r="DZ232">
        <f t="shared" si="420"/>
        <v>2400</v>
      </c>
      <c r="EA232">
        <f t="shared" si="421"/>
        <v>50000</v>
      </c>
      <c r="EB232">
        <v>0</v>
      </c>
      <c r="EC232">
        <f t="shared" si="422"/>
        <v>653884</v>
      </c>
      <c r="ED232">
        <f t="shared" si="423"/>
        <v>96000</v>
      </c>
      <c r="EE232">
        <f t="shared" si="424"/>
        <v>720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f t="shared" si="425"/>
        <v>96720</v>
      </c>
      <c r="EQ232">
        <f t="shared" si="489"/>
        <v>96720</v>
      </c>
      <c r="ER232">
        <f t="shared" si="426"/>
        <v>557164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f t="shared" si="490"/>
        <v>0</v>
      </c>
      <c r="FA232">
        <f t="shared" si="491"/>
        <v>557164</v>
      </c>
      <c r="FB232">
        <f t="shared" si="492"/>
        <v>12500</v>
      </c>
      <c r="FC232">
        <f t="shared" si="493"/>
        <v>11433</v>
      </c>
      <c r="FD232">
        <f t="shared" si="494"/>
        <v>23933</v>
      </c>
      <c r="FE232">
        <f t="shared" si="495"/>
        <v>23933</v>
      </c>
      <c r="FF232">
        <f t="shared" si="496"/>
        <v>957.32</v>
      </c>
      <c r="FG232">
        <f t="shared" si="497"/>
        <v>24890</v>
      </c>
      <c r="FH232">
        <v>0</v>
      </c>
      <c r="FI232">
        <f t="shared" si="498"/>
        <v>24890</v>
      </c>
      <c r="FJ232" t="b">
        <f t="shared" si="499"/>
        <v>1</v>
      </c>
      <c r="FK232">
        <f t="shared" ca="1" si="500"/>
        <v>963</v>
      </c>
      <c r="FL232">
        <f t="shared" ca="1" si="501"/>
        <v>707247</v>
      </c>
      <c r="FM232">
        <f t="shared" si="502"/>
        <v>75000</v>
      </c>
      <c r="FN232">
        <f t="shared" ca="1" si="503"/>
        <v>632247</v>
      </c>
      <c r="FO232">
        <f t="shared" ca="1" si="504"/>
        <v>0</v>
      </c>
      <c r="FP232">
        <f t="shared" ca="1" si="505"/>
        <v>0</v>
      </c>
      <c r="FQ232">
        <f t="shared" ca="1" si="506"/>
        <v>0</v>
      </c>
      <c r="FR232">
        <f t="shared" ca="1" si="507"/>
        <v>0</v>
      </c>
      <c r="FS232">
        <f t="shared" ca="1" si="508"/>
        <v>0</v>
      </c>
      <c r="FT232">
        <f t="shared" ca="1" si="509"/>
        <v>0</v>
      </c>
      <c r="FU232">
        <f t="shared" ca="1" si="510"/>
        <v>0</v>
      </c>
      <c r="FV232">
        <f t="shared" ca="1" si="511"/>
        <v>0</v>
      </c>
      <c r="FW232">
        <f t="shared" ca="1" si="512"/>
        <v>332247</v>
      </c>
      <c r="FX232">
        <f t="shared" ca="1" si="513"/>
        <v>16612.350000000002</v>
      </c>
      <c r="FY232">
        <f t="shared" ca="1" si="514"/>
        <v>16612</v>
      </c>
      <c r="FZ232">
        <f t="shared" ca="1" si="515"/>
        <v>0</v>
      </c>
      <c r="GA232">
        <f t="shared" ca="1" si="516"/>
        <v>0</v>
      </c>
      <c r="GB232">
        <f t="shared" ca="1" si="517"/>
        <v>16612</v>
      </c>
      <c r="GC232">
        <f t="shared" ca="1" si="518"/>
        <v>0</v>
      </c>
      <c r="GD232" t="b">
        <f t="shared" ca="1" si="519"/>
        <v>0</v>
      </c>
      <c r="GE232">
        <f t="shared" ca="1" si="520"/>
        <v>0</v>
      </c>
      <c r="GF232">
        <f t="shared" ca="1" si="521"/>
        <v>16612</v>
      </c>
      <c r="GG232">
        <f t="shared" ca="1" si="522"/>
        <v>0</v>
      </c>
      <c r="GH232">
        <f t="shared" ca="1" si="523"/>
        <v>0</v>
      </c>
      <c r="GI232">
        <f t="shared" ca="1" si="524"/>
        <v>0</v>
      </c>
    </row>
    <row r="233" spans="1:191" x14ac:dyDescent="0.25">
      <c r="A233">
        <f>_xlfn.AGGREGATE(3,5,$B$2:B233)</f>
        <v>232</v>
      </c>
      <c r="B233" t="s">
        <v>584</v>
      </c>
      <c r="C233" t="s">
        <v>585</v>
      </c>
      <c r="D233" t="s">
        <v>822</v>
      </c>
      <c r="E233" t="s">
        <v>843</v>
      </c>
      <c r="F233">
        <v>0</v>
      </c>
      <c r="G233">
        <v>6000</v>
      </c>
      <c r="H233">
        <v>32500</v>
      </c>
      <c r="I233">
        <f t="shared" si="427"/>
        <v>3250</v>
      </c>
      <c r="J233">
        <f t="shared" si="428"/>
        <v>3900</v>
      </c>
      <c r="K233">
        <v>0</v>
      </c>
      <c r="L233">
        <v>500</v>
      </c>
      <c r="M233">
        <f t="shared" si="429"/>
        <v>40150</v>
      </c>
      <c r="N233">
        <v>2000</v>
      </c>
      <c r="O233">
        <v>0</v>
      </c>
      <c r="P233">
        <f t="shared" si="430"/>
        <v>200</v>
      </c>
      <c r="Q233">
        <f t="shared" si="431"/>
        <v>37950</v>
      </c>
      <c r="R233">
        <v>32500</v>
      </c>
      <c r="S233">
        <f t="shared" si="432"/>
        <v>3250</v>
      </c>
      <c r="T233">
        <f t="shared" si="433"/>
        <v>3900</v>
      </c>
      <c r="U233">
        <v>0</v>
      </c>
      <c r="V233">
        <v>500</v>
      </c>
      <c r="W233">
        <f t="shared" si="434"/>
        <v>40150</v>
      </c>
      <c r="X233">
        <v>2000</v>
      </c>
      <c r="Y233">
        <v>0</v>
      </c>
      <c r="Z233">
        <f t="shared" si="435"/>
        <v>200</v>
      </c>
      <c r="AA233">
        <f t="shared" si="436"/>
        <v>37950</v>
      </c>
      <c r="AB233">
        <v>32500</v>
      </c>
      <c r="AC233">
        <f t="shared" si="437"/>
        <v>4550</v>
      </c>
      <c r="AD233">
        <f t="shared" si="438"/>
        <v>3900</v>
      </c>
      <c r="AE233">
        <v>0</v>
      </c>
      <c r="AF233">
        <v>500</v>
      </c>
      <c r="AG233">
        <f t="shared" si="439"/>
        <v>41450</v>
      </c>
      <c r="AH233">
        <v>2000</v>
      </c>
      <c r="AI233">
        <v>0</v>
      </c>
      <c r="AJ233">
        <f t="shared" si="440"/>
        <v>200</v>
      </c>
      <c r="AK233">
        <f t="shared" si="441"/>
        <v>39250</v>
      </c>
      <c r="AL233">
        <v>32500</v>
      </c>
      <c r="AM233">
        <f t="shared" si="442"/>
        <v>4550</v>
      </c>
      <c r="AN233">
        <f t="shared" si="443"/>
        <v>3900</v>
      </c>
      <c r="AO233">
        <v>0</v>
      </c>
      <c r="AP233">
        <v>500</v>
      </c>
      <c r="AQ233">
        <f t="shared" si="444"/>
        <v>41450</v>
      </c>
      <c r="AR233">
        <v>2000</v>
      </c>
      <c r="AS233">
        <v>0</v>
      </c>
      <c r="AT233">
        <f t="shared" si="445"/>
        <v>200</v>
      </c>
      <c r="AU233">
        <f t="shared" si="446"/>
        <v>39250</v>
      </c>
      <c r="AV233">
        <v>34500</v>
      </c>
      <c r="AW233">
        <f t="shared" si="447"/>
        <v>4830.0000000000009</v>
      </c>
      <c r="AX233">
        <f t="shared" si="448"/>
        <v>1300</v>
      </c>
      <c r="AY233">
        <f t="shared" si="449"/>
        <v>4140</v>
      </c>
      <c r="AZ233">
        <v>0</v>
      </c>
      <c r="BA233">
        <v>500</v>
      </c>
      <c r="BB233">
        <f t="shared" si="450"/>
        <v>45270</v>
      </c>
      <c r="BC233">
        <v>2500</v>
      </c>
      <c r="BD233">
        <v>0</v>
      </c>
      <c r="BE233">
        <f t="shared" si="451"/>
        <v>200</v>
      </c>
      <c r="BF233">
        <f t="shared" si="452"/>
        <v>42570</v>
      </c>
      <c r="BG233">
        <v>34500</v>
      </c>
      <c r="BH233">
        <f t="shared" si="453"/>
        <v>4830.0000000000009</v>
      </c>
      <c r="BI233">
        <f t="shared" si="454"/>
        <v>4140</v>
      </c>
      <c r="BJ233">
        <v>0</v>
      </c>
      <c r="BK233">
        <v>500</v>
      </c>
      <c r="BL233">
        <f t="shared" si="455"/>
        <v>43970</v>
      </c>
      <c r="BM233">
        <v>2500</v>
      </c>
      <c r="BN233">
        <v>0</v>
      </c>
      <c r="BO233">
        <f t="shared" si="456"/>
        <v>200</v>
      </c>
      <c r="BP233">
        <f t="shared" si="457"/>
        <v>41270</v>
      </c>
      <c r="BQ233">
        <v>34500</v>
      </c>
      <c r="BR233">
        <f t="shared" si="458"/>
        <v>4830.0000000000009</v>
      </c>
      <c r="BS233">
        <f t="shared" si="459"/>
        <v>4140</v>
      </c>
      <c r="BT233">
        <v>0</v>
      </c>
      <c r="BU233">
        <v>500</v>
      </c>
      <c r="BV233">
        <f t="shared" si="460"/>
        <v>43970</v>
      </c>
      <c r="BW233">
        <v>2500</v>
      </c>
      <c r="BX233">
        <v>0</v>
      </c>
      <c r="BY233">
        <f t="shared" si="461"/>
        <v>200</v>
      </c>
      <c r="BZ233">
        <f t="shared" si="462"/>
        <v>41270</v>
      </c>
      <c r="CA233">
        <v>34500</v>
      </c>
      <c r="CB233">
        <f t="shared" si="463"/>
        <v>4830.0000000000009</v>
      </c>
      <c r="CC233">
        <f t="shared" si="464"/>
        <v>4140</v>
      </c>
      <c r="CD233">
        <v>0</v>
      </c>
      <c r="CE233">
        <v>500</v>
      </c>
      <c r="CF233">
        <f t="shared" si="465"/>
        <v>43970</v>
      </c>
      <c r="CG233">
        <v>2500</v>
      </c>
      <c r="CH233">
        <v>0</v>
      </c>
      <c r="CI233">
        <f t="shared" si="466"/>
        <v>200</v>
      </c>
      <c r="CJ233">
        <f t="shared" si="467"/>
        <v>41270</v>
      </c>
      <c r="CK233">
        <v>34500</v>
      </c>
      <c r="CL233">
        <f t="shared" si="468"/>
        <v>4830.0000000000009</v>
      </c>
      <c r="CM233">
        <f t="shared" si="469"/>
        <v>4140</v>
      </c>
      <c r="CN233">
        <v>0</v>
      </c>
      <c r="CO233">
        <v>500</v>
      </c>
      <c r="CP233">
        <f t="shared" si="470"/>
        <v>43970</v>
      </c>
      <c r="CQ233">
        <v>2500</v>
      </c>
      <c r="CR233">
        <v>0</v>
      </c>
      <c r="CS233">
        <f t="shared" si="471"/>
        <v>200</v>
      </c>
      <c r="CT233">
        <f t="shared" si="472"/>
        <v>41270</v>
      </c>
      <c r="CU233">
        <v>34500</v>
      </c>
      <c r="CV233">
        <f t="shared" si="473"/>
        <v>4830</v>
      </c>
      <c r="CW233">
        <f t="shared" si="474"/>
        <v>4140</v>
      </c>
      <c r="CX233">
        <v>0</v>
      </c>
      <c r="CY233">
        <v>500</v>
      </c>
      <c r="CZ233">
        <f t="shared" si="475"/>
        <v>43970</v>
      </c>
      <c r="DA233">
        <v>2500</v>
      </c>
      <c r="DB233">
        <v>0</v>
      </c>
      <c r="DC233">
        <f t="shared" si="476"/>
        <v>200</v>
      </c>
      <c r="DD233">
        <f t="shared" si="477"/>
        <v>41270</v>
      </c>
      <c r="DE233">
        <v>34500</v>
      </c>
      <c r="DF233">
        <f t="shared" si="478"/>
        <v>4830.0000000000009</v>
      </c>
      <c r="DG233">
        <f t="shared" si="479"/>
        <v>4140</v>
      </c>
      <c r="DH233">
        <v>0</v>
      </c>
      <c r="DI233">
        <v>500</v>
      </c>
      <c r="DJ233">
        <f t="shared" si="480"/>
        <v>43970</v>
      </c>
      <c r="DK233">
        <v>2500</v>
      </c>
      <c r="DL233">
        <v>0</v>
      </c>
      <c r="DM233">
        <f t="shared" si="481"/>
        <v>200</v>
      </c>
      <c r="DN233">
        <f t="shared" si="482"/>
        <v>41270</v>
      </c>
      <c r="DO233">
        <v>34500</v>
      </c>
      <c r="DP233">
        <f t="shared" si="483"/>
        <v>4830.0000000000009</v>
      </c>
      <c r="DQ233">
        <f t="shared" si="484"/>
        <v>4140</v>
      </c>
      <c r="DR233">
        <v>0</v>
      </c>
      <c r="DS233">
        <v>500</v>
      </c>
      <c r="DT233">
        <f t="shared" si="485"/>
        <v>43970</v>
      </c>
      <c r="DU233">
        <v>2500</v>
      </c>
      <c r="DV233">
        <v>0</v>
      </c>
      <c r="DW233">
        <f t="shared" si="486"/>
        <v>200</v>
      </c>
      <c r="DX233">
        <f t="shared" si="487"/>
        <v>41270</v>
      </c>
      <c r="DY233">
        <f t="shared" si="488"/>
        <v>522260</v>
      </c>
      <c r="DZ233">
        <f t="shared" si="420"/>
        <v>2400</v>
      </c>
      <c r="EA233">
        <f t="shared" si="421"/>
        <v>50000</v>
      </c>
      <c r="EB233">
        <v>0</v>
      </c>
      <c r="EC233">
        <f t="shared" si="422"/>
        <v>469860</v>
      </c>
      <c r="ED233">
        <f t="shared" si="423"/>
        <v>28000</v>
      </c>
      <c r="EE233">
        <f t="shared" si="424"/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f t="shared" si="425"/>
        <v>28000</v>
      </c>
      <c r="EQ233">
        <f t="shared" si="489"/>
        <v>28000</v>
      </c>
      <c r="ER233">
        <f t="shared" si="426"/>
        <v>441860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f t="shared" si="490"/>
        <v>0</v>
      </c>
      <c r="FA233">
        <f t="shared" si="491"/>
        <v>441860</v>
      </c>
      <c r="FB233">
        <f t="shared" si="492"/>
        <v>9593</v>
      </c>
      <c r="FC233">
        <f t="shared" si="493"/>
        <v>0</v>
      </c>
      <c r="FD233">
        <f t="shared" si="494"/>
        <v>9593</v>
      </c>
      <c r="FE233">
        <f t="shared" si="495"/>
        <v>0</v>
      </c>
      <c r="FF233">
        <f t="shared" si="496"/>
        <v>0</v>
      </c>
      <c r="FG233">
        <f t="shared" si="497"/>
        <v>0</v>
      </c>
      <c r="FH233">
        <v>0</v>
      </c>
      <c r="FI233">
        <f t="shared" si="498"/>
        <v>0</v>
      </c>
      <c r="FJ233" t="b">
        <f t="shared" si="499"/>
        <v>1</v>
      </c>
      <c r="FK233">
        <f t="shared" ca="1" si="500"/>
        <v>996</v>
      </c>
      <c r="FL233">
        <f t="shared" ca="1" si="501"/>
        <v>523256</v>
      </c>
      <c r="FM233">
        <f t="shared" si="502"/>
        <v>75000</v>
      </c>
      <c r="FN233">
        <f t="shared" ca="1" si="503"/>
        <v>448256</v>
      </c>
      <c r="FO233">
        <f t="shared" ca="1" si="504"/>
        <v>0</v>
      </c>
      <c r="FP233">
        <f t="shared" ca="1" si="505"/>
        <v>0</v>
      </c>
      <c r="FQ233">
        <f t="shared" ca="1" si="506"/>
        <v>0</v>
      </c>
      <c r="FR233">
        <f t="shared" ca="1" si="507"/>
        <v>0</v>
      </c>
      <c r="FS233">
        <f t="shared" ca="1" si="508"/>
        <v>0</v>
      </c>
      <c r="FT233">
        <f t="shared" ca="1" si="509"/>
        <v>0</v>
      </c>
      <c r="FU233">
        <f t="shared" ca="1" si="510"/>
        <v>0</v>
      </c>
      <c r="FV233">
        <f t="shared" ca="1" si="511"/>
        <v>0</v>
      </c>
      <c r="FW233">
        <f t="shared" ca="1" si="512"/>
        <v>148256</v>
      </c>
      <c r="FX233">
        <f t="shared" ca="1" si="513"/>
        <v>7412.8</v>
      </c>
      <c r="FY233">
        <f t="shared" ca="1" si="514"/>
        <v>7413</v>
      </c>
      <c r="FZ233">
        <f t="shared" ca="1" si="515"/>
        <v>0</v>
      </c>
      <c r="GA233">
        <f t="shared" ca="1" si="516"/>
        <v>0</v>
      </c>
      <c r="GB233">
        <f t="shared" ca="1" si="517"/>
        <v>7413</v>
      </c>
      <c r="GC233">
        <f t="shared" ca="1" si="518"/>
        <v>0</v>
      </c>
      <c r="GD233" t="b">
        <f t="shared" ca="1" si="519"/>
        <v>0</v>
      </c>
      <c r="GE233">
        <f t="shared" ca="1" si="520"/>
        <v>0</v>
      </c>
      <c r="GF233">
        <f t="shared" ca="1" si="521"/>
        <v>7413</v>
      </c>
      <c r="GG233">
        <f t="shared" ca="1" si="522"/>
        <v>0</v>
      </c>
      <c r="GH233">
        <f t="shared" ca="1" si="523"/>
        <v>0</v>
      </c>
      <c r="GI233">
        <f t="shared" ca="1" si="524"/>
        <v>0</v>
      </c>
    </row>
    <row r="234" spans="1:191" x14ac:dyDescent="0.25">
      <c r="A234">
        <f>_xlfn.AGGREGATE(3,5,$B$2:B234)</f>
        <v>233</v>
      </c>
      <c r="B234" t="s">
        <v>586</v>
      </c>
      <c r="C234" t="s">
        <v>587</v>
      </c>
      <c r="D234" t="s">
        <v>822</v>
      </c>
      <c r="E234" t="s">
        <v>843</v>
      </c>
      <c r="F234">
        <v>0</v>
      </c>
      <c r="G234">
        <v>0</v>
      </c>
      <c r="H234">
        <v>0</v>
      </c>
      <c r="I234">
        <f t="shared" si="427"/>
        <v>0</v>
      </c>
      <c r="J234">
        <f t="shared" si="428"/>
        <v>0</v>
      </c>
      <c r="K234">
        <v>0</v>
      </c>
      <c r="L234">
        <v>0</v>
      </c>
      <c r="M234">
        <f t="shared" si="429"/>
        <v>0</v>
      </c>
      <c r="N234">
        <v>0</v>
      </c>
      <c r="O234">
        <v>0</v>
      </c>
      <c r="P234">
        <f t="shared" si="430"/>
        <v>0</v>
      </c>
      <c r="Q234">
        <f t="shared" si="431"/>
        <v>0</v>
      </c>
      <c r="R234">
        <v>28900</v>
      </c>
      <c r="S234">
        <f t="shared" si="432"/>
        <v>2890</v>
      </c>
      <c r="T234">
        <f t="shared" si="433"/>
        <v>3468</v>
      </c>
      <c r="U234">
        <v>0</v>
      </c>
      <c r="V234">
        <v>500</v>
      </c>
      <c r="W234">
        <f t="shared" si="434"/>
        <v>35758</v>
      </c>
      <c r="X234">
        <v>0</v>
      </c>
      <c r="Y234">
        <v>0</v>
      </c>
      <c r="Z234">
        <f t="shared" si="435"/>
        <v>150</v>
      </c>
      <c r="AA234">
        <f t="shared" si="436"/>
        <v>35608</v>
      </c>
      <c r="AB234">
        <v>28900</v>
      </c>
      <c r="AC234">
        <f t="shared" si="437"/>
        <v>4046.0000000000005</v>
      </c>
      <c r="AD234">
        <f t="shared" si="438"/>
        <v>3468</v>
      </c>
      <c r="AE234">
        <v>0</v>
      </c>
      <c r="AF234">
        <v>500</v>
      </c>
      <c r="AG234">
        <f t="shared" si="439"/>
        <v>36914</v>
      </c>
      <c r="AH234">
        <v>0</v>
      </c>
      <c r="AI234">
        <v>0</v>
      </c>
      <c r="AJ234">
        <f t="shared" si="440"/>
        <v>150</v>
      </c>
      <c r="AK234">
        <f t="shared" si="441"/>
        <v>36764</v>
      </c>
      <c r="AL234">
        <v>28900</v>
      </c>
      <c r="AM234">
        <f t="shared" si="442"/>
        <v>4046.0000000000005</v>
      </c>
      <c r="AN234">
        <f t="shared" si="443"/>
        <v>3468</v>
      </c>
      <c r="AO234">
        <v>0</v>
      </c>
      <c r="AP234">
        <v>500</v>
      </c>
      <c r="AQ234">
        <f t="shared" si="444"/>
        <v>36914</v>
      </c>
      <c r="AR234">
        <v>0</v>
      </c>
      <c r="AS234">
        <v>0</v>
      </c>
      <c r="AT234">
        <f t="shared" si="445"/>
        <v>150</v>
      </c>
      <c r="AU234">
        <f t="shared" si="446"/>
        <v>36764</v>
      </c>
      <c r="AV234">
        <v>28900</v>
      </c>
      <c r="AW234">
        <f t="shared" si="447"/>
        <v>4046.0000000000005</v>
      </c>
      <c r="AX234">
        <f t="shared" si="448"/>
        <v>1156</v>
      </c>
      <c r="AY234">
        <f t="shared" si="449"/>
        <v>3468</v>
      </c>
      <c r="AZ234">
        <v>0</v>
      </c>
      <c r="BA234">
        <v>500</v>
      </c>
      <c r="BB234">
        <f t="shared" si="450"/>
        <v>38070</v>
      </c>
      <c r="BC234">
        <v>0</v>
      </c>
      <c r="BD234">
        <v>0</v>
      </c>
      <c r="BE234">
        <f t="shared" si="451"/>
        <v>150</v>
      </c>
      <c r="BF234">
        <f t="shared" si="452"/>
        <v>37920</v>
      </c>
      <c r="BG234">
        <v>28900</v>
      </c>
      <c r="BH234">
        <f t="shared" si="453"/>
        <v>4046.0000000000005</v>
      </c>
      <c r="BI234">
        <f t="shared" si="454"/>
        <v>3468</v>
      </c>
      <c r="BJ234">
        <v>0</v>
      </c>
      <c r="BK234">
        <v>500</v>
      </c>
      <c r="BL234">
        <f t="shared" si="455"/>
        <v>36914</v>
      </c>
      <c r="BM234">
        <v>0</v>
      </c>
      <c r="BN234">
        <v>0</v>
      </c>
      <c r="BO234">
        <f t="shared" si="456"/>
        <v>150</v>
      </c>
      <c r="BP234">
        <f t="shared" si="457"/>
        <v>36764</v>
      </c>
      <c r="BQ234">
        <v>28900</v>
      </c>
      <c r="BR234">
        <f t="shared" si="458"/>
        <v>4046.0000000000005</v>
      </c>
      <c r="BS234">
        <f t="shared" si="459"/>
        <v>3468</v>
      </c>
      <c r="BT234">
        <v>0</v>
      </c>
      <c r="BU234">
        <v>500</v>
      </c>
      <c r="BV234">
        <f t="shared" si="460"/>
        <v>36914</v>
      </c>
      <c r="BW234">
        <v>0</v>
      </c>
      <c r="BX234">
        <v>0</v>
      </c>
      <c r="BY234">
        <f t="shared" si="461"/>
        <v>150</v>
      </c>
      <c r="BZ234">
        <f t="shared" si="462"/>
        <v>36764</v>
      </c>
      <c r="CA234">
        <v>28900</v>
      </c>
      <c r="CB234">
        <f t="shared" si="463"/>
        <v>4046.0000000000005</v>
      </c>
      <c r="CC234">
        <f t="shared" si="464"/>
        <v>3468</v>
      </c>
      <c r="CD234">
        <v>0</v>
      </c>
      <c r="CE234">
        <v>500</v>
      </c>
      <c r="CF234">
        <f t="shared" si="465"/>
        <v>36914</v>
      </c>
      <c r="CG234">
        <v>0</v>
      </c>
      <c r="CH234">
        <v>0</v>
      </c>
      <c r="CI234">
        <f t="shared" si="466"/>
        <v>150</v>
      </c>
      <c r="CJ234">
        <f t="shared" si="467"/>
        <v>36764</v>
      </c>
      <c r="CK234">
        <v>28900</v>
      </c>
      <c r="CL234">
        <f t="shared" si="468"/>
        <v>4046.0000000000005</v>
      </c>
      <c r="CM234">
        <f t="shared" si="469"/>
        <v>3468</v>
      </c>
      <c r="CN234">
        <v>0</v>
      </c>
      <c r="CO234">
        <v>500</v>
      </c>
      <c r="CP234">
        <f t="shared" si="470"/>
        <v>36914</v>
      </c>
      <c r="CQ234">
        <v>0</v>
      </c>
      <c r="CR234">
        <v>0</v>
      </c>
      <c r="CS234">
        <f t="shared" si="471"/>
        <v>150</v>
      </c>
      <c r="CT234">
        <f t="shared" si="472"/>
        <v>36764</v>
      </c>
      <c r="CU234">
        <v>28900</v>
      </c>
      <c r="CV234">
        <f t="shared" si="473"/>
        <v>4046</v>
      </c>
      <c r="CW234">
        <f t="shared" si="474"/>
        <v>3468</v>
      </c>
      <c r="CX234">
        <v>0</v>
      </c>
      <c r="CY234">
        <v>500</v>
      </c>
      <c r="CZ234">
        <f t="shared" si="475"/>
        <v>36914</v>
      </c>
      <c r="DA234">
        <v>0</v>
      </c>
      <c r="DB234">
        <v>0</v>
      </c>
      <c r="DC234">
        <f t="shared" si="476"/>
        <v>150</v>
      </c>
      <c r="DD234">
        <f t="shared" si="477"/>
        <v>36764</v>
      </c>
      <c r="DE234">
        <v>28900</v>
      </c>
      <c r="DF234">
        <f t="shared" si="478"/>
        <v>4046.0000000000005</v>
      </c>
      <c r="DG234">
        <f t="shared" si="479"/>
        <v>3468</v>
      </c>
      <c r="DH234">
        <v>0</v>
      </c>
      <c r="DI234">
        <v>500</v>
      </c>
      <c r="DJ234">
        <f t="shared" si="480"/>
        <v>36914</v>
      </c>
      <c r="DK234">
        <v>0</v>
      </c>
      <c r="DL234">
        <v>0</v>
      </c>
      <c r="DM234">
        <f t="shared" si="481"/>
        <v>150</v>
      </c>
      <c r="DN234">
        <f t="shared" si="482"/>
        <v>36764</v>
      </c>
      <c r="DO234">
        <v>28900</v>
      </c>
      <c r="DP234">
        <f t="shared" si="483"/>
        <v>4046.0000000000005</v>
      </c>
      <c r="DQ234">
        <f t="shared" si="484"/>
        <v>3468</v>
      </c>
      <c r="DR234">
        <v>0</v>
      </c>
      <c r="DS234">
        <v>500</v>
      </c>
      <c r="DT234">
        <f t="shared" si="485"/>
        <v>36914</v>
      </c>
      <c r="DU234">
        <v>0</v>
      </c>
      <c r="DV234">
        <v>0</v>
      </c>
      <c r="DW234">
        <f t="shared" si="486"/>
        <v>150</v>
      </c>
      <c r="DX234">
        <f t="shared" si="487"/>
        <v>36764</v>
      </c>
      <c r="DY234">
        <f t="shared" si="488"/>
        <v>406054</v>
      </c>
      <c r="DZ234">
        <f t="shared" si="420"/>
        <v>1650</v>
      </c>
      <c r="EA234">
        <f t="shared" si="421"/>
        <v>50000</v>
      </c>
      <c r="EB234">
        <v>0</v>
      </c>
      <c r="EC234">
        <f t="shared" si="422"/>
        <v>354404</v>
      </c>
      <c r="ED234">
        <f t="shared" si="423"/>
        <v>0</v>
      </c>
      <c r="EE234">
        <f t="shared" si="424"/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f t="shared" si="425"/>
        <v>0</v>
      </c>
      <c r="EQ234">
        <f t="shared" si="489"/>
        <v>0</v>
      </c>
      <c r="ER234">
        <f t="shared" si="426"/>
        <v>354404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f t="shared" si="490"/>
        <v>0</v>
      </c>
      <c r="FA234">
        <f t="shared" si="491"/>
        <v>354404</v>
      </c>
      <c r="FB234">
        <f t="shared" si="492"/>
        <v>5220</v>
      </c>
      <c r="FC234">
        <f t="shared" si="493"/>
        <v>0</v>
      </c>
      <c r="FD234">
        <f t="shared" si="494"/>
        <v>5220</v>
      </c>
      <c r="FE234">
        <f t="shared" si="495"/>
        <v>0</v>
      </c>
      <c r="FF234">
        <f t="shared" si="496"/>
        <v>0</v>
      </c>
      <c r="FG234">
        <f t="shared" si="497"/>
        <v>0</v>
      </c>
      <c r="FH234">
        <v>0</v>
      </c>
      <c r="FI234">
        <f t="shared" si="498"/>
        <v>0</v>
      </c>
      <c r="FJ234" t="b">
        <f t="shared" si="499"/>
        <v>0</v>
      </c>
      <c r="FK234">
        <f t="shared" ca="1" si="500"/>
        <v>1665</v>
      </c>
      <c r="FL234">
        <f t="shared" ca="1" si="501"/>
        <v>407719</v>
      </c>
      <c r="FM234">
        <f t="shared" si="502"/>
        <v>75000</v>
      </c>
      <c r="FN234">
        <f t="shared" ca="1" si="503"/>
        <v>332719</v>
      </c>
      <c r="FO234">
        <f t="shared" ca="1" si="504"/>
        <v>0</v>
      </c>
      <c r="FP234">
        <f t="shared" ca="1" si="505"/>
        <v>0</v>
      </c>
      <c r="FQ234">
        <f t="shared" ca="1" si="506"/>
        <v>0</v>
      </c>
      <c r="FR234">
        <f t="shared" ca="1" si="507"/>
        <v>0</v>
      </c>
      <c r="FS234">
        <f t="shared" ca="1" si="508"/>
        <v>0</v>
      </c>
      <c r="FT234">
        <f t="shared" ca="1" si="509"/>
        <v>0</v>
      </c>
      <c r="FU234">
        <f t="shared" ca="1" si="510"/>
        <v>0</v>
      </c>
      <c r="FV234">
        <f t="shared" ca="1" si="511"/>
        <v>0</v>
      </c>
      <c r="FW234">
        <f t="shared" ca="1" si="512"/>
        <v>32719</v>
      </c>
      <c r="FX234">
        <f t="shared" ca="1" si="513"/>
        <v>1635.95</v>
      </c>
      <c r="FY234">
        <f t="shared" ca="1" si="514"/>
        <v>1636</v>
      </c>
      <c r="FZ234">
        <f t="shared" ca="1" si="515"/>
        <v>0</v>
      </c>
      <c r="GA234">
        <f t="shared" ca="1" si="516"/>
        <v>0</v>
      </c>
      <c r="GB234">
        <f t="shared" ca="1" si="517"/>
        <v>1636</v>
      </c>
      <c r="GC234">
        <f t="shared" ca="1" si="518"/>
        <v>0</v>
      </c>
      <c r="GD234" t="b">
        <f t="shared" ca="1" si="519"/>
        <v>0</v>
      </c>
      <c r="GE234">
        <f t="shared" ca="1" si="520"/>
        <v>0</v>
      </c>
      <c r="GF234">
        <f t="shared" ca="1" si="521"/>
        <v>1636</v>
      </c>
      <c r="GG234">
        <f t="shared" ca="1" si="522"/>
        <v>0</v>
      </c>
      <c r="GH234">
        <f t="shared" ca="1" si="523"/>
        <v>0</v>
      </c>
      <c r="GI234">
        <f t="shared" ca="1" si="524"/>
        <v>0</v>
      </c>
    </row>
    <row r="235" spans="1:191" x14ac:dyDescent="0.25">
      <c r="A235">
        <f>_xlfn.AGGREGATE(3,5,$B$2:B235)</f>
        <v>234</v>
      </c>
      <c r="B235" t="s">
        <v>588</v>
      </c>
      <c r="C235" t="s">
        <v>589</v>
      </c>
      <c r="D235" t="s">
        <v>823</v>
      </c>
      <c r="E235" t="s">
        <v>843</v>
      </c>
      <c r="F235">
        <v>0</v>
      </c>
      <c r="G235">
        <v>0</v>
      </c>
      <c r="H235">
        <v>47300</v>
      </c>
      <c r="I235">
        <f t="shared" si="427"/>
        <v>4730</v>
      </c>
      <c r="J235">
        <f t="shared" si="428"/>
        <v>5676</v>
      </c>
      <c r="K235">
        <v>400</v>
      </c>
      <c r="L235">
        <v>500</v>
      </c>
      <c r="M235">
        <f t="shared" si="429"/>
        <v>58606</v>
      </c>
      <c r="N235">
        <v>6000</v>
      </c>
      <c r="O235">
        <v>0</v>
      </c>
      <c r="P235">
        <f t="shared" si="430"/>
        <v>200</v>
      </c>
      <c r="Q235">
        <f t="shared" si="431"/>
        <v>52406</v>
      </c>
      <c r="R235">
        <v>47300</v>
      </c>
      <c r="S235">
        <f t="shared" si="432"/>
        <v>4730</v>
      </c>
      <c r="T235">
        <f t="shared" si="433"/>
        <v>5676</v>
      </c>
      <c r="U235">
        <v>400</v>
      </c>
      <c r="V235">
        <v>500</v>
      </c>
      <c r="W235">
        <f t="shared" si="434"/>
        <v>58606</v>
      </c>
      <c r="X235">
        <v>6000</v>
      </c>
      <c r="Y235">
        <v>0</v>
      </c>
      <c r="Z235">
        <f t="shared" si="435"/>
        <v>200</v>
      </c>
      <c r="AA235">
        <f t="shared" si="436"/>
        <v>52406</v>
      </c>
      <c r="AB235">
        <v>47300</v>
      </c>
      <c r="AC235">
        <f t="shared" si="437"/>
        <v>6622.0000000000009</v>
      </c>
      <c r="AD235">
        <f t="shared" si="438"/>
        <v>5676</v>
      </c>
      <c r="AE235">
        <v>400</v>
      </c>
      <c r="AF235">
        <v>500</v>
      </c>
      <c r="AG235">
        <f t="shared" si="439"/>
        <v>60498</v>
      </c>
      <c r="AH235">
        <v>6000</v>
      </c>
      <c r="AI235">
        <v>0</v>
      </c>
      <c r="AJ235">
        <f t="shared" si="440"/>
        <v>200</v>
      </c>
      <c r="AK235">
        <f t="shared" si="441"/>
        <v>54298</v>
      </c>
      <c r="AL235">
        <v>47300</v>
      </c>
      <c r="AM235">
        <f t="shared" si="442"/>
        <v>6622.0000000000009</v>
      </c>
      <c r="AN235">
        <f t="shared" si="443"/>
        <v>5676</v>
      </c>
      <c r="AO235">
        <v>400</v>
      </c>
      <c r="AP235">
        <v>500</v>
      </c>
      <c r="AQ235">
        <f t="shared" si="444"/>
        <v>60498</v>
      </c>
      <c r="AR235">
        <v>6000</v>
      </c>
      <c r="AS235">
        <v>0</v>
      </c>
      <c r="AT235">
        <f t="shared" si="445"/>
        <v>200</v>
      </c>
      <c r="AU235">
        <f t="shared" si="446"/>
        <v>54298</v>
      </c>
      <c r="AV235">
        <v>48700</v>
      </c>
      <c r="AW235">
        <f t="shared" si="447"/>
        <v>6818.0000000000009</v>
      </c>
      <c r="AX235">
        <f t="shared" si="448"/>
        <v>1892</v>
      </c>
      <c r="AY235">
        <f t="shared" si="449"/>
        <v>5844</v>
      </c>
      <c r="AZ235">
        <v>400</v>
      </c>
      <c r="BA235">
        <v>500</v>
      </c>
      <c r="BB235">
        <f t="shared" si="450"/>
        <v>64154</v>
      </c>
      <c r="BC235">
        <v>6000</v>
      </c>
      <c r="BD235">
        <v>0</v>
      </c>
      <c r="BE235">
        <f t="shared" si="451"/>
        <v>200</v>
      </c>
      <c r="BF235">
        <f t="shared" si="452"/>
        <v>57954</v>
      </c>
      <c r="BG235">
        <v>48700</v>
      </c>
      <c r="BH235">
        <f t="shared" si="453"/>
        <v>6818.0000000000009</v>
      </c>
      <c r="BI235">
        <f t="shared" si="454"/>
        <v>5844</v>
      </c>
      <c r="BJ235">
        <v>400</v>
      </c>
      <c r="BK235">
        <v>500</v>
      </c>
      <c r="BL235">
        <f t="shared" si="455"/>
        <v>62262</v>
      </c>
      <c r="BM235">
        <v>6000</v>
      </c>
      <c r="BN235">
        <v>0</v>
      </c>
      <c r="BO235">
        <f t="shared" si="456"/>
        <v>200</v>
      </c>
      <c r="BP235">
        <f t="shared" si="457"/>
        <v>56062</v>
      </c>
      <c r="BQ235">
        <v>48700</v>
      </c>
      <c r="BR235">
        <f t="shared" si="458"/>
        <v>6818.0000000000009</v>
      </c>
      <c r="BS235">
        <f t="shared" si="459"/>
        <v>5844</v>
      </c>
      <c r="BT235">
        <v>400</v>
      </c>
      <c r="BU235">
        <v>500</v>
      </c>
      <c r="BV235">
        <f t="shared" si="460"/>
        <v>62262</v>
      </c>
      <c r="BW235">
        <v>6000</v>
      </c>
      <c r="BX235">
        <v>0</v>
      </c>
      <c r="BY235">
        <f t="shared" si="461"/>
        <v>200</v>
      </c>
      <c r="BZ235">
        <f t="shared" si="462"/>
        <v>56062</v>
      </c>
      <c r="CA235">
        <v>48700</v>
      </c>
      <c r="CB235">
        <f t="shared" si="463"/>
        <v>6818.0000000000009</v>
      </c>
      <c r="CC235">
        <f t="shared" si="464"/>
        <v>5844</v>
      </c>
      <c r="CD235">
        <v>400</v>
      </c>
      <c r="CE235">
        <v>500</v>
      </c>
      <c r="CF235">
        <f t="shared" si="465"/>
        <v>62262</v>
      </c>
      <c r="CG235">
        <v>6000</v>
      </c>
      <c r="CH235">
        <v>0</v>
      </c>
      <c r="CI235">
        <f t="shared" si="466"/>
        <v>200</v>
      </c>
      <c r="CJ235">
        <f t="shared" si="467"/>
        <v>56062</v>
      </c>
      <c r="CK235">
        <v>48700</v>
      </c>
      <c r="CL235">
        <f t="shared" si="468"/>
        <v>6818.0000000000009</v>
      </c>
      <c r="CM235">
        <f t="shared" si="469"/>
        <v>5844</v>
      </c>
      <c r="CN235">
        <v>400</v>
      </c>
      <c r="CO235">
        <v>500</v>
      </c>
      <c r="CP235">
        <f t="shared" si="470"/>
        <v>62262</v>
      </c>
      <c r="CQ235">
        <v>6000</v>
      </c>
      <c r="CR235">
        <v>0</v>
      </c>
      <c r="CS235">
        <f t="shared" si="471"/>
        <v>200</v>
      </c>
      <c r="CT235">
        <f t="shared" si="472"/>
        <v>56062</v>
      </c>
      <c r="CU235">
        <v>48700</v>
      </c>
      <c r="CV235">
        <f t="shared" si="473"/>
        <v>6818</v>
      </c>
      <c r="CW235">
        <f t="shared" si="474"/>
        <v>5844</v>
      </c>
      <c r="CX235">
        <v>400</v>
      </c>
      <c r="CY235">
        <v>500</v>
      </c>
      <c r="CZ235">
        <f t="shared" si="475"/>
        <v>62262</v>
      </c>
      <c r="DA235">
        <v>6000</v>
      </c>
      <c r="DB235">
        <v>0</v>
      </c>
      <c r="DC235">
        <f t="shared" si="476"/>
        <v>200</v>
      </c>
      <c r="DD235">
        <f t="shared" si="477"/>
        <v>56062</v>
      </c>
      <c r="DE235">
        <v>48700</v>
      </c>
      <c r="DF235">
        <f t="shared" si="478"/>
        <v>6818.0000000000009</v>
      </c>
      <c r="DG235">
        <f t="shared" si="479"/>
        <v>5844</v>
      </c>
      <c r="DH235">
        <v>400</v>
      </c>
      <c r="DI235">
        <v>500</v>
      </c>
      <c r="DJ235">
        <f t="shared" si="480"/>
        <v>62262</v>
      </c>
      <c r="DK235">
        <v>6000</v>
      </c>
      <c r="DL235">
        <v>0</v>
      </c>
      <c r="DM235">
        <f t="shared" si="481"/>
        <v>200</v>
      </c>
      <c r="DN235">
        <f t="shared" si="482"/>
        <v>56062</v>
      </c>
      <c r="DO235">
        <v>48700</v>
      </c>
      <c r="DP235">
        <f t="shared" si="483"/>
        <v>6818.0000000000009</v>
      </c>
      <c r="DQ235">
        <f t="shared" si="484"/>
        <v>5844</v>
      </c>
      <c r="DR235">
        <v>400</v>
      </c>
      <c r="DS235">
        <v>500</v>
      </c>
      <c r="DT235">
        <f t="shared" si="485"/>
        <v>62262</v>
      </c>
      <c r="DU235">
        <v>6000</v>
      </c>
      <c r="DV235">
        <v>0</v>
      </c>
      <c r="DW235">
        <f t="shared" si="486"/>
        <v>200</v>
      </c>
      <c r="DX235">
        <f t="shared" si="487"/>
        <v>56062</v>
      </c>
      <c r="DY235">
        <f t="shared" si="488"/>
        <v>738196</v>
      </c>
      <c r="DZ235">
        <f t="shared" si="420"/>
        <v>2400</v>
      </c>
      <c r="EA235">
        <f t="shared" si="421"/>
        <v>50000</v>
      </c>
      <c r="EB235">
        <v>0</v>
      </c>
      <c r="EC235">
        <f t="shared" si="422"/>
        <v>685796</v>
      </c>
      <c r="ED235">
        <f t="shared" si="423"/>
        <v>72000</v>
      </c>
      <c r="EE235">
        <f t="shared" si="424"/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f t="shared" si="425"/>
        <v>72000</v>
      </c>
      <c r="EQ235">
        <f t="shared" si="489"/>
        <v>72000</v>
      </c>
      <c r="ER235">
        <f t="shared" si="426"/>
        <v>613796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f t="shared" si="490"/>
        <v>0</v>
      </c>
      <c r="FA235">
        <f t="shared" si="491"/>
        <v>613796</v>
      </c>
      <c r="FB235">
        <f t="shared" si="492"/>
        <v>12500</v>
      </c>
      <c r="FC235">
        <f t="shared" si="493"/>
        <v>22759</v>
      </c>
      <c r="FD235">
        <f t="shared" si="494"/>
        <v>35259</v>
      </c>
      <c r="FE235">
        <f t="shared" si="495"/>
        <v>35259</v>
      </c>
      <c r="FF235">
        <f t="shared" si="496"/>
        <v>1410.3600000000001</v>
      </c>
      <c r="FG235">
        <f t="shared" si="497"/>
        <v>36669</v>
      </c>
      <c r="FH235">
        <v>0</v>
      </c>
      <c r="FI235">
        <f t="shared" si="498"/>
        <v>36669</v>
      </c>
      <c r="FJ235" t="b">
        <f t="shared" si="499"/>
        <v>1</v>
      </c>
      <c r="FK235">
        <f t="shared" ca="1" si="500"/>
        <v>810</v>
      </c>
      <c r="FL235">
        <f t="shared" ca="1" si="501"/>
        <v>739006</v>
      </c>
      <c r="FM235">
        <f t="shared" si="502"/>
        <v>75000</v>
      </c>
      <c r="FN235">
        <f t="shared" ca="1" si="503"/>
        <v>664006</v>
      </c>
      <c r="FO235">
        <f t="shared" ca="1" si="504"/>
        <v>0</v>
      </c>
      <c r="FP235">
        <f t="shared" ca="1" si="505"/>
        <v>0</v>
      </c>
      <c r="FQ235">
        <f t="shared" ca="1" si="506"/>
        <v>0</v>
      </c>
      <c r="FR235">
        <f t="shared" ca="1" si="507"/>
        <v>0</v>
      </c>
      <c r="FS235">
        <f t="shared" ca="1" si="508"/>
        <v>0</v>
      </c>
      <c r="FT235">
        <f t="shared" ca="1" si="509"/>
        <v>0</v>
      </c>
      <c r="FU235">
        <f t="shared" ca="1" si="510"/>
        <v>0</v>
      </c>
      <c r="FV235">
        <f t="shared" ca="1" si="511"/>
        <v>0</v>
      </c>
      <c r="FW235">
        <f t="shared" ca="1" si="512"/>
        <v>364006</v>
      </c>
      <c r="FX235">
        <f t="shared" ca="1" si="513"/>
        <v>18200.3</v>
      </c>
      <c r="FY235">
        <f t="shared" ca="1" si="514"/>
        <v>18200</v>
      </c>
      <c r="FZ235">
        <f t="shared" ca="1" si="515"/>
        <v>0</v>
      </c>
      <c r="GA235">
        <f t="shared" ca="1" si="516"/>
        <v>0</v>
      </c>
      <c r="GB235">
        <f t="shared" ca="1" si="517"/>
        <v>18200</v>
      </c>
      <c r="GC235">
        <f t="shared" ca="1" si="518"/>
        <v>0</v>
      </c>
      <c r="GD235" t="b">
        <f t="shared" ca="1" si="519"/>
        <v>0</v>
      </c>
      <c r="GE235">
        <f t="shared" ca="1" si="520"/>
        <v>0</v>
      </c>
      <c r="GF235">
        <f t="shared" ca="1" si="521"/>
        <v>18200</v>
      </c>
      <c r="GG235">
        <f t="shared" ca="1" si="522"/>
        <v>0</v>
      </c>
      <c r="GH235">
        <f t="shared" ca="1" si="523"/>
        <v>0</v>
      </c>
      <c r="GI235">
        <f t="shared" ca="1" si="524"/>
        <v>0</v>
      </c>
    </row>
    <row r="236" spans="1:191" x14ac:dyDescent="0.25">
      <c r="A236">
        <f>_xlfn.AGGREGATE(3,5,$B$2:B236)</f>
        <v>235</v>
      </c>
      <c r="B236" t="s">
        <v>590</v>
      </c>
      <c r="C236" t="s">
        <v>591</v>
      </c>
      <c r="D236" t="s">
        <v>823</v>
      </c>
      <c r="E236" t="s">
        <v>843</v>
      </c>
      <c r="F236">
        <v>0</v>
      </c>
      <c r="G236">
        <v>0</v>
      </c>
      <c r="H236">
        <v>45900</v>
      </c>
      <c r="I236">
        <f t="shared" si="427"/>
        <v>4590</v>
      </c>
      <c r="J236">
        <f t="shared" si="428"/>
        <v>5508</v>
      </c>
      <c r="K236">
        <v>0</v>
      </c>
      <c r="L236">
        <v>0</v>
      </c>
      <c r="M236">
        <f t="shared" si="429"/>
        <v>55998</v>
      </c>
      <c r="N236">
        <v>6000</v>
      </c>
      <c r="O236">
        <v>0</v>
      </c>
      <c r="P236">
        <f t="shared" si="430"/>
        <v>200</v>
      </c>
      <c r="Q236">
        <f t="shared" si="431"/>
        <v>49798</v>
      </c>
      <c r="R236">
        <v>45900</v>
      </c>
      <c r="S236">
        <f t="shared" si="432"/>
        <v>4590</v>
      </c>
      <c r="T236">
        <f t="shared" si="433"/>
        <v>5508</v>
      </c>
      <c r="U236">
        <v>0</v>
      </c>
      <c r="V236">
        <v>0</v>
      </c>
      <c r="W236">
        <f t="shared" si="434"/>
        <v>55998</v>
      </c>
      <c r="X236">
        <v>6000</v>
      </c>
      <c r="Y236">
        <v>0</v>
      </c>
      <c r="Z236">
        <f t="shared" si="435"/>
        <v>200</v>
      </c>
      <c r="AA236">
        <f t="shared" si="436"/>
        <v>49798</v>
      </c>
      <c r="AB236">
        <v>45900</v>
      </c>
      <c r="AC236">
        <f t="shared" si="437"/>
        <v>6426.0000000000009</v>
      </c>
      <c r="AD236">
        <f t="shared" si="438"/>
        <v>5508</v>
      </c>
      <c r="AE236">
        <v>0</v>
      </c>
      <c r="AF236">
        <v>0</v>
      </c>
      <c r="AG236">
        <f t="shared" si="439"/>
        <v>57834</v>
      </c>
      <c r="AH236">
        <v>6000</v>
      </c>
      <c r="AI236">
        <v>0</v>
      </c>
      <c r="AJ236">
        <f t="shared" si="440"/>
        <v>200</v>
      </c>
      <c r="AK236">
        <f t="shared" si="441"/>
        <v>51634</v>
      </c>
      <c r="AL236">
        <v>45900</v>
      </c>
      <c r="AM236">
        <f t="shared" si="442"/>
        <v>6426.0000000000009</v>
      </c>
      <c r="AN236">
        <f t="shared" si="443"/>
        <v>5508</v>
      </c>
      <c r="AO236">
        <v>0</v>
      </c>
      <c r="AP236">
        <v>0</v>
      </c>
      <c r="AQ236">
        <f t="shared" si="444"/>
        <v>57834</v>
      </c>
      <c r="AR236">
        <v>6000</v>
      </c>
      <c r="AS236">
        <v>0</v>
      </c>
      <c r="AT236">
        <f t="shared" si="445"/>
        <v>200</v>
      </c>
      <c r="AU236">
        <f t="shared" si="446"/>
        <v>51634</v>
      </c>
      <c r="AV236">
        <v>47300</v>
      </c>
      <c r="AW236">
        <f t="shared" si="447"/>
        <v>6622.0000000000009</v>
      </c>
      <c r="AX236">
        <f t="shared" si="448"/>
        <v>1836</v>
      </c>
      <c r="AY236">
        <f t="shared" si="449"/>
        <v>5676</v>
      </c>
      <c r="AZ236">
        <v>0</v>
      </c>
      <c r="BA236">
        <v>0</v>
      </c>
      <c r="BB236">
        <f t="shared" si="450"/>
        <v>61434</v>
      </c>
      <c r="BC236">
        <v>6000</v>
      </c>
      <c r="BD236">
        <v>0</v>
      </c>
      <c r="BE236">
        <f t="shared" si="451"/>
        <v>200</v>
      </c>
      <c r="BF236">
        <f t="shared" si="452"/>
        <v>55234</v>
      </c>
      <c r="BG236">
        <v>47300</v>
      </c>
      <c r="BH236">
        <f t="shared" si="453"/>
        <v>6622.0000000000009</v>
      </c>
      <c r="BI236">
        <f t="shared" si="454"/>
        <v>5676</v>
      </c>
      <c r="BJ236">
        <v>0</v>
      </c>
      <c r="BK236">
        <v>0</v>
      </c>
      <c r="BL236">
        <f t="shared" si="455"/>
        <v>59598</v>
      </c>
      <c r="BM236">
        <v>6000</v>
      </c>
      <c r="BN236">
        <v>0</v>
      </c>
      <c r="BO236">
        <f t="shared" si="456"/>
        <v>200</v>
      </c>
      <c r="BP236">
        <f t="shared" si="457"/>
        <v>53398</v>
      </c>
      <c r="BQ236">
        <v>47300</v>
      </c>
      <c r="BR236">
        <f t="shared" si="458"/>
        <v>6622.0000000000009</v>
      </c>
      <c r="BS236">
        <f t="shared" si="459"/>
        <v>5676</v>
      </c>
      <c r="BT236">
        <v>0</v>
      </c>
      <c r="BU236">
        <v>0</v>
      </c>
      <c r="BV236">
        <f t="shared" si="460"/>
        <v>59598</v>
      </c>
      <c r="BW236">
        <v>6000</v>
      </c>
      <c r="BX236">
        <v>0</v>
      </c>
      <c r="BY236">
        <f t="shared" si="461"/>
        <v>200</v>
      </c>
      <c r="BZ236">
        <f t="shared" si="462"/>
        <v>53398</v>
      </c>
      <c r="CA236">
        <v>47300</v>
      </c>
      <c r="CB236">
        <f t="shared" si="463"/>
        <v>6622.0000000000009</v>
      </c>
      <c r="CC236">
        <f t="shared" si="464"/>
        <v>5676</v>
      </c>
      <c r="CD236">
        <v>0</v>
      </c>
      <c r="CE236">
        <v>0</v>
      </c>
      <c r="CF236">
        <f t="shared" si="465"/>
        <v>59598</v>
      </c>
      <c r="CG236">
        <v>6000</v>
      </c>
      <c r="CH236">
        <v>0</v>
      </c>
      <c r="CI236">
        <f t="shared" si="466"/>
        <v>200</v>
      </c>
      <c r="CJ236">
        <f t="shared" si="467"/>
        <v>53398</v>
      </c>
      <c r="CK236">
        <v>47300</v>
      </c>
      <c r="CL236">
        <f t="shared" si="468"/>
        <v>6622.0000000000009</v>
      </c>
      <c r="CM236">
        <f t="shared" si="469"/>
        <v>5676</v>
      </c>
      <c r="CN236">
        <v>0</v>
      </c>
      <c r="CO236">
        <v>0</v>
      </c>
      <c r="CP236">
        <f t="shared" si="470"/>
        <v>59598</v>
      </c>
      <c r="CQ236">
        <v>6000</v>
      </c>
      <c r="CR236">
        <v>0</v>
      </c>
      <c r="CS236">
        <f t="shared" si="471"/>
        <v>200</v>
      </c>
      <c r="CT236">
        <f t="shared" si="472"/>
        <v>53398</v>
      </c>
      <c r="CU236">
        <v>47300</v>
      </c>
      <c r="CV236">
        <f t="shared" si="473"/>
        <v>6622</v>
      </c>
      <c r="CW236">
        <f t="shared" si="474"/>
        <v>5676</v>
      </c>
      <c r="CX236">
        <v>0</v>
      </c>
      <c r="CY236">
        <v>0</v>
      </c>
      <c r="CZ236">
        <f t="shared" si="475"/>
        <v>59598</v>
      </c>
      <c r="DA236">
        <v>6000</v>
      </c>
      <c r="DB236">
        <v>0</v>
      </c>
      <c r="DC236">
        <f t="shared" si="476"/>
        <v>200</v>
      </c>
      <c r="DD236">
        <f t="shared" si="477"/>
        <v>53398</v>
      </c>
      <c r="DE236">
        <v>47300</v>
      </c>
      <c r="DF236">
        <f t="shared" si="478"/>
        <v>6622.0000000000009</v>
      </c>
      <c r="DG236">
        <f t="shared" si="479"/>
        <v>5676</v>
      </c>
      <c r="DH236">
        <v>0</v>
      </c>
      <c r="DI236">
        <v>0</v>
      </c>
      <c r="DJ236">
        <f t="shared" si="480"/>
        <v>59598</v>
      </c>
      <c r="DK236">
        <v>6000</v>
      </c>
      <c r="DL236">
        <v>0</v>
      </c>
      <c r="DM236">
        <f t="shared" si="481"/>
        <v>200</v>
      </c>
      <c r="DN236">
        <f t="shared" si="482"/>
        <v>53398</v>
      </c>
      <c r="DO236">
        <v>47300</v>
      </c>
      <c r="DP236">
        <f t="shared" si="483"/>
        <v>6622.0000000000009</v>
      </c>
      <c r="DQ236">
        <f t="shared" si="484"/>
        <v>5676</v>
      </c>
      <c r="DR236">
        <v>0</v>
      </c>
      <c r="DS236">
        <v>0</v>
      </c>
      <c r="DT236">
        <f t="shared" si="485"/>
        <v>59598</v>
      </c>
      <c r="DU236">
        <v>6000</v>
      </c>
      <c r="DV236">
        <v>0</v>
      </c>
      <c r="DW236">
        <f t="shared" si="486"/>
        <v>200</v>
      </c>
      <c r="DX236">
        <f t="shared" si="487"/>
        <v>53398</v>
      </c>
      <c r="DY236">
        <f t="shared" si="488"/>
        <v>706284</v>
      </c>
      <c r="DZ236">
        <f t="shared" si="420"/>
        <v>2400</v>
      </c>
      <c r="EA236">
        <f t="shared" si="421"/>
        <v>50000</v>
      </c>
      <c r="EB236">
        <v>0</v>
      </c>
      <c r="EC236">
        <f t="shared" si="422"/>
        <v>653884</v>
      </c>
      <c r="ED236">
        <f t="shared" si="423"/>
        <v>72000</v>
      </c>
      <c r="EE236">
        <f t="shared" si="424"/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f t="shared" si="425"/>
        <v>72000</v>
      </c>
      <c r="EQ236">
        <f t="shared" si="489"/>
        <v>72000</v>
      </c>
      <c r="ER236">
        <f t="shared" si="426"/>
        <v>581884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f t="shared" si="490"/>
        <v>0</v>
      </c>
      <c r="FA236">
        <f t="shared" si="491"/>
        <v>581884</v>
      </c>
      <c r="FB236">
        <f t="shared" si="492"/>
        <v>12500</v>
      </c>
      <c r="FC236">
        <f t="shared" si="493"/>
        <v>16377</v>
      </c>
      <c r="FD236">
        <f t="shared" si="494"/>
        <v>28877</v>
      </c>
      <c r="FE236">
        <f t="shared" si="495"/>
        <v>28877</v>
      </c>
      <c r="FF236">
        <f t="shared" si="496"/>
        <v>1155.08</v>
      </c>
      <c r="FG236">
        <f t="shared" si="497"/>
        <v>30032</v>
      </c>
      <c r="FH236">
        <v>0</v>
      </c>
      <c r="FI236">
        <f t="shared" si="498"/>
        <v>30032</v>
      </c>
      <c r="FJ236" t="b">
        <f t="shared" si="499"/>
        <v>1</v>
      </c>
      <c r="FK236">
        <f t="shared" ca="1" si="500"/>
        <v>882</v>
      </c>
      <c r="FL236">
        <f t="shared" ca="1" si="501"/>
        <v>707166</v>
      </c>
      <c r="FM236">
        <f t="shared" si="502"/>
        <v>75000</v>
      </c>
      <c r="FN236">
        <f t="shared" ca="1" si="503"/>
        <v>632166</v>
      </c>
      <c r="FO236">
        <f t="shared" ca="1" si="504"/>
        <v>0</v>
      </c>
      <c r="FP236">
        <f t="shared" ca="1" si="505"/>
        <v>0</v>
      </c>
      <c r="FQ236">
        <f t="shared" ca="1" si="506"/>
        <v>0</v>
      </c>
      <c r="FR236">
        <f t="shared" ca="1" si="507"/>
        <v>0</v>
      </c>
      <c r="FS236">
        <f t="shared" ca="1" si="508"/>
        <v>0</v>
      </c>
      <c r="FT236">
        <f t="shared" ca="1" si="509"/>
        <v>0</v>
      </c>
      <c r="FU236">
        <f t="shared" ca="1" si="510"/>
        <v>0</v>
      </c>
      <c r="FV236">
        <f t="shared" ca="1" si="511"/>
        <v>0</v>
      </c>
      <c r="FW236">
        <f t="shared" ca="1" si="512"/>
        <v>332166</v>
      </c>
      <c r="FX236">
        <f t="shared" ca="1" si="513"/>
        <v>16608.3</v>
      </c>
      <c r="FY236">
        <f t="shared" ca="1" si="514"/>
        <v>16608</v>
      </c>
      <c r="FZ236">
        <f t="shared" ca="1" si="515"/>
        <v>0</v>
      </c>
      <c r="GA236">
        <f t="shared" ca="1" si="516"/>
        <v>0</v>
      </c>
      <c r="GB236">
        <f t="shared" ca="1" si="517"/>
        <v>16608</v>
      </c>
      <c r="GC236">
        <f t="shared" ca="1" si="518"/>
        <v>0</v>
      </c>
      <c r="GD236" t="b">
        <f t="shared" ca="1" si="519"/>
        <v>0</v>
      </c>
      <c r="GE236">
        <f t="shared" ca="1" si="520"/>
        <v>0</v>
      </c>
      <c r="GF236">
        <f t="shared" ca="1" si="521"/>
        <v>16608</v>
      </c>
      <c r="GG236">
        <f t="shared" ca="1" si="522"/>
        <v>0</v>
      </c>
      <c r="GH236">
        <f t="shared" ca="1" si="523"/>
        <v>0</v>
      </c>
      <c r="GI236">
        <f t="shared" ca="1" si="524"/>
        <v>0</v>
      </c>
    </row>
    <row r="237" spans="1:191" x14ac:dyDescent="0.25">
      <c r="A237">
        <f>_xlfn.AGGREGATE(3,5,$B$2:B237)</f>
        <v>236</v>
      </c>
      <c r="B237" t="s">
        <v>592</v>
      </c>
      <c r="C237" t="s">
        <v>593</v>
      </c>
      <c r="D237" t="s">
        <v>823</v>
      </c>
      <c r="E237" t="s">
        <v>843</v>
      </c>
      <c r="F237">
        <v>0</v>
      </c>
      <c r="G237">
        <v>6000</v>
      </c>
      <c r="H237">
        <v>32500</v>
      </c>
      <c r="I237">
        <f t="shared" si="427"/>
        <v>3250</v>
      </c>
      <c r="J237">
        <f t="shared" si="428"/>
        <v>3900</v>
      </c>
      <c r="K237">
        <v>0</v>
      </c>
      <c r="L237">
        <v>500</v>
      </c>
      <c r="M237">
        <f t="shared" si="429"/>
        <v>40150</v>
      </c>
      <c r="N237">
        <v>2000</v>
      </c>
      <c r="O237">
        <v>0</v>
      </c>
      <c r="P237">
        <f t="shared" si="430"/>
        <v>200</v>
      </c>
      <c r="Q237">
        <f t="shared" si="431"/>
        <v>37950</v>
      </c>
      <c r="R237">
        <v>32500</v>
      </c>
      <c r="S237">
        <f t="shared" si="432"/>
        <v>3250</v>
      </c>
      <c r="T237">
        <f t="shared" si="433"/>
        <v>3900</v>
      </c>
      <c r="U237">
        <v>0</v>
      </c>
      <c r="V237">
        <v>500</v>
      </c>
      <c r="W237">
        <f t="shared" si="434"/>
        <v>40150</v>
      </c>
      <c r="X237">
        <v>2000</v>
      </c>
      <c r="Y237">
        <v>0</v>
      </c>
      <c r="Z237">
        <f t="shared" si="435"/>
        <v>200</v>
      </c>
      <c r="AA237">
        <f t="shared" si="436"/>
        <v>37950</v>
      </c>
      <c r="AB237">
        <v>32500</v>
      </c>
      <c r="AC237">
        <f t="shared" si="437"/>
        <v>4550</v>
      </c>
      <c r="AD237">
        <f t="shared" si="438"/>
        <v>3900</v>
      </c>
      <c r="AE237">
        <v>0</v>
      </c>
      <c r="AF237">
        <v>500</v>
      </c>
      <c r="AG237">
        <f t="shared" si="439"/>
        <v>41450</v>
      </c>
      <c r="AH237">
        <v>2000</v>
      </c>
      <c r="AI237">
        <v>0</v>
      </c>
      <c r="AJ237">
        <f t="shared" si="440"/>
        <v>200</v>
      </c>
      <c r="AK237">
        <f t="shared" si="441"/>
        <v>39250</v>
      </c>
      <c r="AL237">
        <v>32500</v>
      </c>
      <c r="AM237">
        <f t="shared" si="442"/>
        <v>4550</v>
      </c>
      <c r="AN237">
        <f t="shared" si="443"/>
        <v>3900</v>
      </c>
      <c r="AO237">
        <v>0</v>
      </c>
      <c r="AP237">
        <v>500</v>
      </c>
      <c r="AQ237">
        <f t="shared" si="444"/>
        <v>41450</v>
      </c>
      <c r="AR237">
        <v>2000</v>
      </c>
      <c r="AS237">
        <v>0</v>
      </c>
      <c r="AT237">
        <f t="shared" si="445"/>
        <v>200</v>
      </c>
      <c r="AU237">
        <f t="shared" si="446"/>
        <v>39250</v>
      </c>
      <c r="AV237">
        <v>33500</v>
      </c>
      <c r="AW237">
        <f t="shared" si="447"/>
        <v>4690</v>
      </c>
      <c r="AX237">
        <f t="shared" si="448"/>
        <v>1300</v>
      </c>
      <c r="AY237">
        <f t="shared" si="449"/>
        <v>4020</v>
      </c>
      <c r="AZ237">
        <v>0</v>
      </c>
      <c r="BA237">
        <v>500</v>
      </c>
      <c r="BB237">
        <f t="shared" si="450"/>
        <v>44010</v>
      </c>
      <c r="BC237">
        <v>2500</v>
      </c>
      <c r="BD237">
        <v>0</v>
      </c>
      <c r="BE237">
        <f t="shared" si="451"/>
        <v>200</v>
      </c>
      <c r="BF237">
        <f t="shared" si="452"/>
        <v>41310</v>
      </c>
      <c r="BG237">
        <v>33500</v>
      </c>
      <c r="BH237">
        <f t="shared" si="453"/>
        <v>4690</v>
      </c>
      <c r="BI237">
        <f t="shared" si="454"/>
        <v>4020</v>
      </c>
      <c r="BJ237">
        <v>0</v>
      </c>
      <c r="BK237">
        <v>500</v>
      </c>
      <c r="BL237">
        <f t="shared" si="455"/>
        <v>42710</v>
      </c>
      <c r="BM237">
        <v>2500</v>
      </c>
      <c r="BN237">
        <v>0</v>
      </c>
      <c r="BO237">
        <f t="shared" si="456"/>
        <v>200</v>
      </c>
      <c r="BP237">
        <f t="shared" si="457"/>
        <v>40010</v>
      </c>
      <c r="BQ237">
        <v>33500</v>
      </c>
      <c r="BR237">
        <f t="shared" si="458"/>
        <v>4690</v>
      </c>
      <c r="BS237">
        <f t="shared" si="459"/>
        <v>4020</v>
      </c>
      <c r="BT237">
        <v>0</v>
      </c>
      <c r="BU237">
        <v>500</v>
      </c>
      <c r="BV237">
        <f t="shared" si="460"/>
        <v>42710</v>
      </c>
      <c r="BW237">
        <v>2500</v>
      </c>
      <c r="BX237">
        <v>0</v>
      </c>
      <c r="BY237">
        <f t="shared" si="461"/>
        <v>200</v>
      </c>
      <c r="BZ237">
        <f t="shared" si="462"/>
        <v>40010</v>
      </c>
      <c r="CA237">
        <v>33500</v>
      </c>
      <c r="CB237">
        <f t="shared" si="463"/>
        <v>4690</v>
      </c>
      <c r="CC237">
        <f t="shared" si="464"/>
        <v>4020</v>
      </c>
      <c r="CD237">
        <v>0</v>
      </c>
      <c r="CE237">
        <v>500</v>
      </c>
      <c r="CF237">
        <f t="shared" si="465"/>
        <v>42710</v>
      </c>
      <c r="CG237">
        <v>2500</v>
      </c>
      <c r="CH237">
        <v>0</v>
      </c>
      <c r="CI237">
        <f t="shared" si="466"/>
        <v>200</v>
      </c>
      <c r="CJ237">
        <f t="shared" si="467"/>
        <v>40010</v>
      </c>
      <c r="CK237">
        <v>33500</v>
      </c>
      <c r="CL237">
        <f t="shared" si="468"/>
        <v>4690</v>
      </c>
      <c r="CM237">
        <f t="shared" si="469"/>
        <v>4020</v>
      </c>
      <c r="CN237">
        <v>0</v>
      </c>
      <c r="CO237">
        <v>500</v>
      </c>
      <c r="CP237">
        <f t="shared" si="470"/>
        <v>42710</v>
      </c>
      <c r="CQ237">
        <v>2500</v>
      </c>
      <c r="CR237">
        <v>0</v>
      </c>
      <c r="CS237">
        <f t="shared" si="471"/>
        <v>200</v>
      </c>
      <c r="CT237">
        <f t="shared" si="472"/>
        <v>40010</v>
      </c>
      <c r="CU237">
        <v>33500</v>
      </c>
      <c r="CV237">
        <f t="shared" si="473"/>
        <v>4690</v>
      </c>
      <c r="CW237">
        <f t="shared" si="474"/>
        <v>4020</v>
      </c>
      <c r="CX237">
        <v>0</v>
      </c>
      <c r="CY237">
        <v>500</v>
      </c>
      <c r="CZ237">
        <f t="shared" si="475"/>
        <v>42710</v>
      </c>
      <c r="DA237">
        <v>2500</v>
      </c>
      <c r="DB237">
        <v>0</v>
      </c>
      <c r="DC237">
        <f t="shared" si="476"/>
        <v>200</v>
      </c>
      <c r="DD237">
        <f t="shared" si="477"/>
        <v>40010</v>
      </c>
      <c r="DE237">
        <v>33500</v>
      </c>
      <c r="DF237">
        <f t="shared" si="478"/>
        <v>4690</v>
      </c>
      <c r="DG237">
        <f t="shared" si="479"/>
        <v>4020</v>
      </c>
      <c r="DH237">
        <v>0</v>
      </c>
      <c r="DI237">
        <v>500</v>
      </c>
      <c r="DJ237">
        <f t="shared" si="480"/>
        <v>42710</v>
      </c>
      <c r="DK237">
        <v>2500</v>
      </c>
      <c r="DL237">
        <v>0</v>
      </c>
      <c r="DM237">
        <f t="shared" si="481"/>
        <v>200</v>
      </c>
      <c r="DN237">
        <f t="shared" si="482"/>
        <v>40010</v>
      </c>
      <c r="DO237">
        <v>33500</v>
      </c>
      <c r="DP237">
        <f t="shared" si="483"/>
        <v>4690</v>
      </c>
      <c r="DQ237">
        <f t="shared" si="484"/>
        <v>4020</v>
      </c>
      <c r="DR237">
        <v>0</v>
      </c>
      <c r="DS237">
        <v>500</v>
      </c>
      <c r="DT237">
        <f t="shared" si="485"/>
        <v>42710</v>
      </c>
      <c r="DU237">
        <v>2500</v>
      </c>
      <c r="DV237">
        <v>0</v>
      </c>
      <c r="DW237">
        <f t="shared" si="486"/>
        <v>200</v>
      </c>
      <c r="DX237">
        <f t="shared" si="487"/>
        <v>40010</v>
      </c>
      <c r="DY237">
        <f t="shared" si="488"/>
        <v>512180</v>
      </c>
      <c r="DZ237">
        <f t="shared" si="420"/>
        <v>2400</v>
      </c>
      <c r="EA237">
        <f t="shared" si="421"/>
        <v>50000</v>
      </c>
      <c r="EB237">
        <v>0</v>
      </c>
      <c r="EC237">
        <f t="shared" si="422"/>
        <v>459780</v>
      </c>
      <c r="ED237">
        <f t="shared" si="423"/>
        <v>28000</v>
      </c>
      <c r="EE237">
        <f t="shared" si="424"/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f t="shared" si="425"/>
        <v>28000</v>
      </c>
      <c r="EQ237">
        <f t="shared" si="489"/>
        <v>28000</v>
      </c>
      <c r="ER237">
        <f t="shared" si="426"/>
        <v>431780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f t="shared" si="490"/>
        <v>0</v>
      </c>
      <c r="FA237">
        <f t="shared" si="491"/>
        <v>431780</v>
      </c>
      <c r="FB237">
        <f t="shared" si="492"/>
        <v>9089</v>
      </c>
      <c r="FC237">
        <f t="shared" si="493"/>
        <v>0</v>
      </c>
      <c r="FD237">
        <f t="shared" si="494"/>
        <v>9089</v>
      </c>
      <c r="FE237">
        <f t="shared" si="495"/>
        <v>0</v>
      </c>
      <c r="FF237">
        <f t="shared" si="496"/>
        <v>0</v>
      </c>
      <c r="FG237">
        <f t="shared" si="497"/>
        <v>0</v>
      </c>
      <c r="FH237">
        <v>0</v>
      </c>
      <c r="FI237">
        <f t="shared" si="498"/>
        <v>0</v>
      </c>
      <c r="FJ237" t="b">
        <f t="shared" si="499"/>
        <v>1</v>
      </c>
      <c r="FK237">
        <f t="shared" ca="1" si="500"/>
        <v>607</v>
      </c>
      <c r="FL237">
        <f t="shared" ca="1" si="501"/>
        <v>512787</v>
      </c>
      <c r="FM237">
        <f t="shared" si="502"/>
        <v>75000</v>
      </c>
      <c r="FN237">
        <f t="shared" ca="1" si="503"/>
        <v>437787</v>
      </c>
      <c r="FO237">
        <f t="shared" ca="1" si="504"/>
        <v>0</v>
      </c>
      <c r="FP237">
        <f t="shared" ca="1" si="505"/>
        <v>0</v>
      </c>
      <c r="FQ237">
        <f t="shared" ca="1" si="506"/>
        <v>0</v>
      </c>
      <c r="FR237">
        <f t="shared" ca="1" si="507"/>
        <v>0</v>
      </c>
      <c r="FS237">
        <f t="shared" ca="1" si="508"/>
        <v>0</v>
      </c>
      <c r="FT237">
        <f t="shared" ca="1" si="509"/>
        <v>0</v>
      </c>
      <c r="FU237">
        <f t="shared" ca="1" si="510"/>
        <v>0</v>
      </c>
      <c r="FV237">
        <f t="shared" ca="1" si="511"/>
        <v>0</v>
      </c>
      <c r="FW237">
        <f t="shared" ca="1" si="512"/>
        <v>137787</v>
      </c>
      <c r="FX237">
        <f t="shared" ca="1" si="513"/>
        <v>6889.35</v>
      </c>
      <c r="FY237">
        <f t="shared" ca="1" si="514"/>
        <v>6889</v>
      </c>
      <c r="FZ237">
        <f t="shared" ca="1" si="515"/>
        <v>0</v>
      </c>
      <c r="GA237">
        <f t="shared" ca="1" si="516"/>
        <v>0</v>
      </c>
      <c r="GB237">
        <f t="shared" ca="1" si="517"/>
        <v>6889</v>
      </c>
      <c r="GC237">
        <f t="shared" ca="1" si="518"/>
        <v>0</v>
      </c>
      <c r="GD237" t="b">
        <f t="shared" ca="1" si="519"/>
        <v>0</v>
      </c>
      <c r="GE237">
        <f t="shared" ca="1" si="520"/>
        <v>0</v>
      </c>
      <c r="GF237">
        <f t="shared" ca="1" si="521"/>
        <v>6889</v>
      </c>
      <c r="GG237">
        <f t="shared" ca="1" si="522"/>
        <v>0</v>
      </c>
      <c r="GH237">
        <f t="shared" ca="1" si="523"/>
        <v>0</v>
      </c>
      <c r="GI237">
        <f t="shared" ca="1" si="524"/>
        <v>0</v>
      </c>
    </row>
    <row r="238" spans="1:191" x14ac:dyDescent="0.25">
      <c r="A238">
        <f>_xlfn.AGGREGATE(3,5,$B$2:B238)</f>
        <v>237</v>
      </c>
      <c r="B238" t="s">
        <v>594</v>
      </c>
      <c r="C238" t="s">
        <v>595</v>
      </c>
      <c r="D238" t="s">
        <v>823</v>
      </c>
      <c r="E238" t="s">
        <v>843</v>
      </c>
      <c r="F238">
        <v>0</v>
      </c>
      <c r="G238">
        <v>6000</v>
      </c>
      <c r="H238">
        <v>32500</v>
      </c>
      <c r="I238">
        <f t="shared" si="427"/>
        <v>3250</v>
      </c>
      <c r="J238">
        <f t="shared" si="428"/>
        <v>3900</v>
      </c>
      <c r="K238">
        <v>0</v>
      </c>
      <c r="L238">
        <v>500</v>
      </c>
      <c r="M238">
        <f t="shared" si="429"/>
        <v>40150</v>
      </c>
      <c r="N238">
        <v>2000</v>
      </c>
      <c r="O238">
        <v>0</v>
      </c>
      <c r="P238">
        <f t="shared" si="430"/>
        <v>200</v>
      </c>
      <c r="Q238">
        <f t="shared" si="431"/>
        <v>37950</v>
      </c>
      <c r="R238">
        <v>32500</v>
      </c>
      <c r="S238">
        <f t="shared" si="432"/>
        <v>3250</v>
      </c>
      <c r="T238">
        <f t="shared" si="433"/>
        <v>3900</v>
      </c>
      <c r="U238">
        <v>0</v>
      </c>
      <c r="V238">
        <v>500</v>
      </c>
      <c r="W238">
        <f t="shared" si="434"/>
        <v>40150</v>
      </c>
      <c r="X238">
        <v>2000</v>
      </c>
      <c r="Y238">
        <v>0</v>
      </c>
      <c r="Z238">
        <f t="shared" si="435"/>
        <v>200</v>
      </c>
      <c r="AA238">
        <f t="shared" si="436"/>
        <v>37950</v>
      </c>
      <c r="AB238">
        <v>32500</v>
      </c>
      <c r="AC238">
        <f t="shared" si="437"/>
        <v>4550</v>
      </c>
      <c r="AD238">
        <f t="shared" si="438"/>
        <v>3900</v>
      </c>
      <c r="AE238">
        <v>0</v>
      </c>
      <c r="AF238">
        <v>500</v>
      </c>
      <c r="AG238">
        <f t="shared" si="439"/>
        <v>41450</v>
      </c>
      <c r="AH238">
        <v>2000</v>
      </c>
      <c r="AI238">
        <v>0</v>
      </c>
      <c r="AJ238">
        <f t="shared" si="440"/>
        <v>200</v>
      </c>
      <c r="AK238">
        <f t="shared" si="441"/>
        <v>39250</v>
      </c>
      <c r="AL238">
        <v>32500</v>
      </c>
      <c r="AM238">
        <f t="shared" si="442"/>
        <v>4550</v>
      </c>
      <c r="AN238">
        <f t="shared" si="443"/>
        <v>3900</v>
      </c>
      <c r="AO238">
        <v>0</v>
      </c>
      <c r="AP238">
        <v>500</v>
      </c>
      <c r="AQ238">
        <f t="shared" si="444"/>
        <v>41450</v>
      </c>
      <c r="AR238">
        <v>2000</v>
      </c>
      <c r="AS238">
        <v>0</v>
      </c>
      <c r="AT238">
        <f t="shared" si="445"/>
        <v>200</v>
      </c>
      <c r="AU238">
        <f t="shared" si="446"/>
        <v>39250</v>
      </c>
      <c r="AV238">
        <v>33500</v>
      </c>
      <c r="AW238">
        <f t="shared" si="447"/>
        <v>4690</v>
      </c>
      <c r="AX238">
        <f t="shared" si="448"/>
        <v>1300</v>
      </c>
      <c r="AY238">
        <f t="shared" si="449"/>
        <v>4020</v>
      </c>
      <c r="AZ238">
        <v>0</v>
      </c>
      <c r="BA238">
        <v>500</v>
      </c>
      <c r="BB238">
        <f t="shared" si="450"/>
        <v>44010</v>
      </c>
      <c r="BC238">
        <v>2500</v>
      </c>
      <c r="BD238">
        <v>0</v>
      </c>
      <c r="BE238">
        <f t="shared" si="451"/>
        <v>200</v>
      </c>
      <c r="BF238">
        <f t="shared" si="452"/>
        <v>41310</v>
      </c>
      <c r="BG238">
        <v>33500</v>
      </c>
      <c r="BH238">
        <f t="shared" si="453"/>
        <v>4690</v>
      </c>
      <c r="BI238">
        <f t="shared" si="454"/>
        <v>4020</v>
      </c>
      <c r="BJ238">
        <v>0</v>
      </c>
      <c r="BK238">
        <v>500</v>
      </c>
      <c r="BL238">
        <f t="shared" si="455"/>
        <v>42710</v>
      </c>
      <c r="BM238">
        <v>2500</v>
      </c>
      <c r="BN238">
        <v>0</v>
      </c>
      <c r="BO238">
        <f t="shared" si="456"/>
        <v>200</v>
      </c>
      <c r="BP238">
        <f t="shared" si="457"/>
        <v>40010</v>
      </c>
      <c r="BQ238">
        <v>33500</v>
      </c>
      <c r="BR238">
        <f t="shared" si="458"/>
        <v>4690</v>
      </c>
      <c r="BS238">
        <f t="shared" si="459"/>
        <v>4020</v>
      </c>
      <c r="BT238">
        <v>0</v>
      </c>
      <c r="BU238">
        <v>500</v>
      </c>
      <c r="BV238">
        <f t="shared" si="460"/>
        <v>42710</v>
      </c>
      <c r="BW238">
        <v>2500</v>
      </c>
      <c r="BX238">
        <v>0</v>
      </c>
      <c r="BY238">
        <f t="shared" si="461"/>
        <v>200</v>
      </c>
      <c r="BZ238">
        <f t="shared" si="462"/>
        <v>40010</v>
      </c>
      <c r="CA238">
        <v>33500</v>
      </c>
      <c r="CB238">
        <f t="shared" si="463"/>
        <v>4690</v>
      </c>
      <c r="CC238">
        <f t="shared" si="464"/>
        <v>4020</v>
      </c>
      <c r="CD238">
        <v>0</v>
      </c>
      <c r="CE238">
        <v>500</v>
      </c>
      <c r="CF238">
        <f t="shared" si="465"/>
        <v>42710</v>
      </c>
      <c r="CG238">
        <v>2500</v>
      </c>
      <c r="CH238">
        <v>0</v>
      </c>
      <c r="CI238">
        <f t="shared" si="466"/>
        <v>200</v>
      </c>
      <c r="CJ238">
        <f t="shared" si="467"/>
        <v>40010</v>
      </c>
      <c r="CK238">
        <v>33500</v>
      </c>
      <c r="CL238">
        <f t="shared" si="468"/>
        <v>4690</v>
      </c>
      <c r="CM238">
        <f t="shared" si="469"/>
        <v>4020</v>
      </c>
      <c r="CN238">
        <v>0</v>
      </c>
      <c r="CO238">
        <v>500</v>
      </c>
      <c r="CP238">
        <f t="shared" si="470"/>
        <v>42710</v>
      </c>
      <c r="CQ238">
        <v>2500</v>
      </c>
      <c r="CR238">
        <v>0</v>
      </c>
      <c r="CS238">
        <f t="shared" si="471"/>
        <v>200</v>
      </c>
      <c r="CT238">
        <f t="shared" si="472"/>
        <v>40010</v>
      </c>
      <c r="CU238">
        <v>33500</v>
      </c>
      <c r="CV238">
        <f t="shared" si="473"/>
        <v>4690</v>
      </c>
      <c r="CW238">
        <f t="shared" si="474"/>
        <v>4020</v>
      </c>
      <c r="CX238">
        <v>0</v>
      </c>
      <c r="CY238">
        <v>500</v>
      </c>
      <c r="CZ238">
        <f t="shared" si="475"/>
        <v>42710</v>
      </c>
      <c r="DA238">
        <v>2500</v>
      </c>
      <c r="DB238">
        <v>0</v>
      </c>
      <c r="DC238">
        <f t="shared" si="476"/>
        <v>200</v>
      </c>
      <c r="DD238">
        <f t="shared" si="477"/>
        <v>40010</v>
      </c>
      <c r="DE238">
        <v>33500</v>
      </c>
      <c r="DF238">
        <f t="shared" si="478"/>
        <v>4690</v>
      </c>
      <c r="DG238">
        <f t="shared" si="479"/>
        <v>4020</v>
      </c>
      <c r="DH238">
        <v>0</v>
      </c>
      <c r="DI238">
        <v>500</v>
      </c>
      <c r="DJ238">
        <f t="shared" si="480"/>
        <v>42710</v>
      </c>
      <c r="DK238">
        <v>2500</v>
      </c>
      <c r="DL238">
        <v>0</v>
      </c>
      <c r="DM238">
        <f t="shared" si="481"/>
        <v>200</v>
      </c>
      <c r="DN238">
        <f t="shared" si="482"/>
        <v>40010</v>
      </c>
      <c r="DO238">
        <v>33500</v>
      </c>
      <c r="DP238">
        <f t="shared" si="483"/>
        <v>4690</v>
      </c>
      <c r="DQ238">
        <f t="shared" si="484"/>
        <v>4020</v>
      </c>
      <c r="DR238">
        <v>0</v>
      </c>
      <c r="DS238">
        <v>500</v>
      </c>
      <c r="DT238">
        <f t="shared" si="485"/>
        <v>42710</v>
      </c>
      <c r="DU238">
        <v>2500</v>
      </c>
      <c r="DV238">
        <v>0</v>
      </c>
      <c r="DW238">
        <f t="shared" si="486"/>
        <v>200</v>
      </c>
      <c r="DX238">
        <f t="shared" si="487"/>
        <v>40010</v>
      </c>
      <c r="DY238">
        <f t="shared" si="488"/>
        <v>512180</v>
      </c>
      <c r="DZ238">
        <f t="shared" si="420"/>
        <v>2400</v>
      </c>
      <c r="EA238">
        <f t="shared" si="421"/>
        <v>50000</v>
      </c>
      <c r="EB238">
        <v>0</v>
      </c>
      <c r="EC238">
        <f t="shared" si="422"/>
        <v>459780</v>
      </c>
      <c r="ED238">
        <f t="shared" si="423"/>
        <v>28000</v>
      </c>
      <c r="EE238">
        <f t="shared" si="424"/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f t="shared" si="425"/>
        <v>28000</v>
      </c>
      <c r="EQ238">
        <f t="shared" si="489"/>
        <v>28000</v>
      </c>
      <c r="ER238">
        <f t="shared" si="426"/>
        <v>431780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f t="shared" si="490"/>
        <v>0</v>
      </c>
      <c r="FA238">
        <f t="shared" si="491"/>
        <v>431780</v>
      </c>
      <c r="FB238">
        <f t="shared" si="492"/>
        <v>9089</v>
      </c>
      <c r="FC238">
        <f t="shared" si="493"/>
        <v>0</v>
      </c>
      <c r="FD238">
        <f t="shared" si="494"/>
        <v>9089</v>
      </c>
      <c r="FE238">
        <f t="shared" si="495"/>
        <v>0</v>
      </c>
      <c r="FF238">
        <f t="shared" si="496"/>
        <v>0</v>
      </c>
      <c r="FG238">
        <f t="shared" si="497"/>
        <v>0</v>
      </c>
      <c r="FH238">
        <v>0</v>
      </c>
      <c r="FI238">
        <f t="shared" si="498"/>
        <v>0</v>
      </c>
      <c r="FJ238" t="b">
        <f t="shared" si="499"/>
        <v>1</v>
      </c>
      <c r="FK238">
        <f t="shared" ca="1" si="500"/>
        <v>849</v>
      </c>
      <c r="FL238">
        <f t="shared" ca="1" si="501"/>
        <v>513029</v>
      </c>
      <c r="FM238">
        <f t="shared" si="502"/>
        <v>75000</v>
      </c>
      <c r="FN238">
        <f t="shared" ca="1" si="503"/>
        <v>438029</v>
      </c>
      <c r="FO238">
        <f t="shared" ca="1" si="504"/>
        <v>0</v>
      </c>
      <c r="FP238">
        <f t="shared" ca="1" si="505"/>
        <v>0</v>
      </c>
      <c r="FQ238">
        <f t="shared" ca="1" si="506"/>
        <v>0</v>
      </c>
      <c r="FR238">
        <f t="shared" ca="1" si="507"/>
        <v>0</v>
      </c>
      <c r="FS238">
        <f t="shared" ca="1" si="508"/>
        <v>0</v>
      </c>
      <c r="FT238">
        <f t="shared" ca="1" si="509"/>
        <v>0</v>
      </c>
      <c r="FU238">
        <f t="shared" ca="1" si="510"/>
        <v>0</v>
      </c>
      <c r="FV238">
        <f t="shared" ca="1" si="511"/>
        <v>0</v>
      </c>
      <c r="FW238">
        <f t="shared" ca="1" si="512"/>
        <v>138029</v>
      </c>
      <c r="FX238">
        <f t="shared" ca="1" si="513"/>
        <v>6901.4500000000007</v>
      </c>
      <c r="FY238">
        <f t="shared" ca="1" si="514"/>
        <v>6901</v>
      </c>
      <c r="FZ238">
        <f t="shared" ca="1" si="515"/>
        <v>0</v>
      </c>
      <c r="GA238">
        <f t="shared" ca="1" si="516"/>
        <v>0</v>
      </c>
      <c r="GB238">
        <f t="shared" ca="1" si="517"/>
        <v>6901</v>
      </c>
      <c r="GC238">
        <f t="shared" ca="1" si="518"/>
        <v>0</v>
      </c>
      <c r="GD238" t="b">
        <f t="shared" ca="1" si="519"/>
        <v>0</v>
      </c>
      <c r="GE238">
        <f t="shared" ca="1" si="520"/>
        <v>0</v>
      </c>
      <c r="GF238">
        <f t="shared" ca="1" si="521"/>
        <v>6901</v>
      </c>
      <c r="GG238">
        <f t="shared" ca="1" si="522"/>
        <v>0</v>
      </c>
      <c r="GH238">
        <f t="shared" ca="1" si="523"/>
        <v>0</v>
      </c>
      <c r="GI238">
        <f t="shared" ca="1" si="524"/>
        <v>0</v>
      </c>
    </row>
    <row r="239" spans="1:191" x14ac:dyDescent="0.25">
      <c r="A239">
        <f>_xlfn.AGGREGATE(3,5,$B$2:B239)</f>
        <v>238</v>
      </c>
      <c r="B239" t="s">
        <v>596</v>
      </c>
      <c r="C239" t="s">
        <v>597</v>
      </c>
      <c r="D239" t="s">
        <v>823</v>
      </c>
      <c r="E239" t="s">
        <v>843</v>
      </c>
      <c r="F239">
        <v>0</v>
      </c>
      <c r="G239">
        <v>6000</v>
      </c>
      <c r="H239">
        <v>36600</v>
      </c>
      <c r="I239">
        <f t="shared" si="427"/>
        <v>3660</v>
      </c>
      <c r="J239">
        <f t="shared" si="428"/>
        <v>4392</v>
      </c>
      <c r="K239">
        <v>0</v>
      </c>
      <c r="L239">
        <v>500</v>
      </c>
      <c r="M239">
        <f t="shared" si="429"/>
        <v>45152</v>
      </c>
      <c r="N239">
        <v>3000</v>
      </c>
      <c r="O239">
        <v>0</v>
      </c>
      <c r="P239">
        <f t="shared" si="430"/>
        <v>200</v>
      </c>
      <c r="Q239">
        <f t="shared" si="431"/>
        <v>41952</v>
      </c>
      <c r="R239">
        <v>36600</v>
      </c>
      <c r="S239">
        <f t="shared" si="432"/>
        <v>3660</v>
      </c>
      <c r="T239">
        <f t="shared" si="433"/>
        <v>4392</v>
      </c>
      <c r="U239">
        <v>0</v>
      </c>
      <c r="V239">
        <v>500</v>
      </c>
      <c r="W239">
        <f t="shared" si="434"/>
        <v>45152</v>
      </c>
      <c r="X239">
        <v>3000</v>
      </c>
      <c r="Y239">
        <v>0</v>
      </c>
      <c r="Z239">
        <f t="shared" si="435"/>
        <v>200</v>
      </c>
      <c r="AA239">
        <f t="shared" si="436"/>
        <v>41952</v>
      </c>
      <c r="AB239">
        <v>36600</v>
      </c>
      <c r="AC239">
        <f t="shared" si="437"/>
        <v>5124.0000000000009</v>
      </c>
      <c r="AD239">
        <f t="shared" si="438"/>
        <v>4392</v>
      </c>
      <c r="AE239">
        <v>0</v>
      </c>
      <c r="AF239">
        <v>500</v>
      </c>
      <c r="AG239">
        <f t="shared" si="439"/>
        <v>46616</v>
      </c>
      <c r="AH239">
        <v>3000</v>
      </c>
      <c r="AI239">
        <v>0</v>
      </c>
      <c r="AJ239">
        <f t="shared" si="440"/>
        <v>200</v>
      </c>
      <c r="AK239">
        <f t="shared" si="441"/>
        <v>43416</v>
      </c>
      <c r="AL239">
        <v>36600</v>
      </c>
      <c r="AM239">
        <f t="shared" si="442"/>
        <v>5124.0000000000009</v>
      </c>
      <c r="AN239">
        <f t="shared" si="443"/>
        <v>4392</v>
      </c>
      <c r="AO239">
        <v>0</v>
      </c>
      <c r="AP239">
        <v>500</v>
      </c>
      <c r="AQ239">
        <f t="shared" si="444"/>
        <v>46616</v>
      </c>
      <c r="AR239">
        <v>3000</v>
      </c>
      <c r="AS239">
        <v>0</v>
      </c>
      <c r="AT239">
        <f t="shared" si="445"/>
        <v>200</v>
      </c>
      <c r="AU239">
        <f t="shared" si="446"/>
        <v>43416</v>
      </c>
      <c r="AV239">
        <v>37700</v>
      </c>
      <c r="AW239">
        <f t="shared" si="447"/>
        <v>5278.0000000000009</v>
      </c>
      <c r="AX239">
        <f t="shared" si="448"/>
        <v>1464</v>
      </c>
      <c r="AY239">
        <f t="shared" si="449"/>
        <v>4524</v>
      </c>
      <c r="AZ239">
        <v>0</v>
      </c>
      <c r="BA239">
        <v>500</v>
      </c>
      <c r="BB239">
        <f t="shared" si="450"/>
        <v>49466</v>
      </c>
      <c r="BC239">
        <v>3000</v>
      </c>
      <c r="BD239">
        <v>0</v>
      </c>
      <c r="BE239">
        <f t="shared" si="451"/>
        <v>200</v>
      </c>
      <c r="BF239">
        <f t="shared" si="452"/>
        <v>46266</v>
      </c>
      <c r="BG239">
        <v>37700</v>
      </c>
      <c r="BH239">
        <f t="shared" si="453"/>
        <v>5278.0000000000009</v>
      </c>
      <c r="BI239">
        <f t="shared" si="454"/>
        <v>4524</v>
      </c>
      <c r="BJ239">
        <v>0</v>
      </c>
      <c r="BK239">
        <v>500</v>
      </c>
      <c r="BL239">
        <f t="shared" si="455"/>
        <v>48002</v>
      </c>
      <c r="BM239">
        <v>3000</v>
      </c>
      <c r="BN239">
        <v>0</v>
      </c>
      <c r="BO239">
        <f t="shared" si="456"/>
        <v>200</v>
      </c>
      <c r="BP239">
        <f t="shared" si="457"/>
        <v>44802</v>
      </c>
      <c r="BQ239">
        <v>37700</v>
      </c>
      <c r="BR239">
        <f t="shared" si="458"/>
        <v>5278.0000000000009</v>
      </c>
      <c r="BS239">
        <f t="shared" si="459"/>
        <v>4524</v>
      </c>
      <c r="BT239">
        <v>0</v>
      </c>
      <c r="BU239">
        <v>500</v>
      </c>
      <c r="BV239">
        <f t="shared" si="460"/>
        <v>48002</v>
      </c>
      <c r="BW239">
        <v>3000</v>
      </c>
      <c r="BX239">
        <v>0</v>
      </c>
      <c r="BY239">
        <f t="shared" si="461"/>
        <v>200</v>
      </c>
      <c r="BZ239">
        <f t="shared" si="462"/>
        <v>44802</v>
      </c>
      <c r="CA239">
        <v>37700</v>
      </c>
      <c r="CB239">
        <f t="shared" si="463"/>
        <v>5278.0000000000009</v>
      </c>
      <c r="CC239">
        <f t="shared" si="464"/>
        <v>4524</v>
      </c>
      <c r="CD239">
        <v>0</v>
      </c>
      <c r="CE239">
        <v>500</v>
      </c>
      <c r="CF239">
        <f t="shared" si="465"/>
        <v>48002</v>
      </c>
      <c r="CG239">
        <v>3000</v>
      </c>
      <c r="CH239">
        <v>0</v>
      </c>
      <c r="CI239">
        <f t="shared" si="466"/>
        <v>200</v>
      </c>
      <c r="CJ239">
        <f t="shared" si="467"/>
        <v>44802</v>
      </c>
      <c r="CK239">
        <v>37700</v>
      </c>
      <c r="CL239">
        <f t="shared" si="468"/>
        <v>5278.0000000000009</v>
      </c>
      <c r="CM239">
        <f t="shared" si="469"/>
        <v>4524</v>
      </c>
      <c r="CN239">
        <v>0</v>
      </c>
      <c r="CO239">
        <v>500</v>
      </c>
      <c r="CP239">
        <f t="shared" si="470"/>
        <v>48002</v>
      </c>
      <c r="CQ239">
        <v>3000</v>
      </c>
      <c r="CR239">
        <v>0</v>
      </c>
      <c r="CS239">
        <f t="shared" si="471"/>
        <v>200</v>
      </c>
      <c r="CT239">
        <f t="shared" si="472"/>
        <v>44802</v>
      </c>
      <c r="CU239">
        <v>37700</v>
      </c>
      <c r="CV239">
        <f t="shared" si="473"/>
        <v>5278</v>
      </c>
      <c r="CW239">
        <f t="shared" si="474"/>
        <v>4524</v>
      </c>
      <c r="CX239">
        <v>0</v>
      </c>
      <c r="CY239">
        <v>500</v>
      </c>
      <c r="CZ239">
        <f t="shared" si="475"/>
        <v>48002</v>
      </c>
      <c r="DA239">
        <v>3000</v>
      </c>
      <c r="DB239">
        <v>0</v>
      </c>
      <c r="DC239">
        <f t="shared" si="476"/>
        <v>200</v>
      </c>
      <c r="DD239">
        <f t="shared" si="477"/>
        <v>44802</v>
      </c>
      <c r="DE239">
        <v>37700</v>
      </c>
      <c r="DF239">
        <f t="shared" si="478"/>
        <v>5278.0000000000009</v>
      </c>
      <c r="DG239">
        <f t="shared" si="479"/>
        <v>4524</v>
      </c>
      <c r="DH239">
        <v>0</v>
      </c>
      <c r="DI239">
        <v>500</v>
      </c>
      <c r="DJ239">
        <f t="shared" si="480"/>
        <v>48002</v>
      </c>
      <c r="DK239">
        <v>3000</v>
      </c>
      <c r="DL239">
        <v>0</v>
      </c>
      <c r="DM239">
        <f t="shared" si="481"/>
        <v>200</v>
      </c>
      <c r="DN239">
        <f t="shared" si="482"/>
        <v>44802</v>
      </c>
      <c r="DO239">
        <v>37700</v>
      </c>
      <c r="DP239">
        <f t="shared" si="483"/>
        <v>5278.0000000000009</v>
      </c>
      <c r="DQ239">
        <f t="shared" si="484"/>
        <v>4524</v>
      </c>
      <c r="DR239">
        <v>0</v>
      </c>
      <c r="DS239">
        <v>500</v>
      </c>
      <c r="DT239">
        <f t="shared" si="485"/>
        <v>48002</v>
      </c>
      <c r="DU239">
        <v>3000</v>
      </c>
      <c r="DV239">
        <v>0</v>
      </c>
      <c r="DW239">
        <f t="shared" si="486"/>
        <v>200</v>
      </c>
      <c r="DX239">
        <f t="shared" si="487"/>
        <v>44802</v>
      </c>
      <c r="DY239">
        <f t="shared" si="488"/>
        <v>575016</v>
      </c>
      <c r="DZ239">
        <f t="shared" si="420"/>
        <v>2400</v>
      </c>
      <c r="EA239">
        <f t="shared" si="421"/>
        <v>50000</v>
      </c>
      <c r="EB239">
        <v>0</v>
      </c>
      <c r="EC239">
        <f t="shared" si="422"/>
        <v>522616</v>
      </c>
      <c r="ED239">
        <f t="shared" si="423"/>
        <v>36000</v>
      </c>
      <c r="EE239">
        <f t="shared" si="424"/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f t="shared" si="425"/>
        <v>36000</v>
      </c>
      <c r="EQ239">
        <f t="shared" si="489"/>
        <v>36000</v>
      </c>
      <c r="ER239">
        <f t="shared" si="426"/>
        <v>486616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f t="shared" si="490"/>
        <v>0</v>
      </c>
      <c r="FA239">
        <f t="shared" si="491"/>
        <v>486616</v>
      </c>
      <c r="FB239">
        <f t="shared" si="492"/>
        <v>11831</v>
      </c>
      <c r="FC239">
        <f t="shared" si="493"/>
        <v>0</v>
      </c>
      <c r="FD239">
        <f t="shared" si="494"/>
        <v>11831</v>
      </c>
      <c r="FE239">
        <f t="shared" si="495"/>
        <v>0</v>
      </c>
      <c r="FF239">
        <f t="shared" si="496"/>
        <v>0</v>
      </c>
      <c r="FG239">
        <f t="shared" si="497"/>
        <v>0</v>
      </c>
      <c r="FH239">
        <v>0</v>
      </c>
      <c r="FI239">
        <f t="shared" si="498"/>
        <v>0</v>
      </c>
      <c r="FJ239" t="b">
        <f t="shared" si="499"/>
        <v>1</v>
      </c>
      <c r="FK239">
        <f t="shared" ca="1" si="500"/>
        <v>752</v>
      </c>
      <c r="FL239">
        <f t="shared" ca="1" si="501"/>
        <v>575768</v>
      </c>
      <c r="FM239">
        <f t="shared" si="502"/>
        <v>75000</v>
      </c>
      <c r="FN239">
        <f t="shared" ca="1" si="503"/>
        <v>500768</v>
      </c>
      <c r="FO239">
        <f t="shared" ca="1" si="504"/>
        <v>0</v>
      </c>
      <c r="FP239">
        <f t="shared" ca="1" si="505"/>
        <v>0</v>
      </c>
      <c r="FQ239">
        <f t="shared" ca="1" si="506"/>
        <v>0</v>
      </c>
      <c r="FR239">
        <f t="shared" ca="1" si="507"/>
        <v>0</v>
      </c>
      <c r="FS239">
        <f t="shared" ca="1" si="508"/>
        <v>0</v>
      </c>
      <c r="FT239">
        <f t="shared" ca="1" si="509"/>
        <v>0</v>
      </c>
      <c r="FU239">
        <f t="shared" ca="1" si="510"/>
        <v>0</v>
      </c>
      <c r="FV239">
        <f t="shared" ca="1" si="511"/>
        <v>0</v>
      </c>
      <c r="FW239">
        <f t="shared" ca="1" si="512"/>
        <v>200768</v>
      </c>
      <c r="FX239">
        <f t="shared" ca="1" si="513"/>
        <v>10038.400000000001</v>
      </c>
      <c r="FY239">
        <f t="shared" ca="1" si="514"/>
        <v>10038</v>
      </c>
      <c r="FZ239">
        <f t="shared" ca="1" si="515"/>
        <v>0</v>
      </c>
      <c r="GA239">
        <f t="shared" ca="1" si="516"/>
        <v>0</v>
      </c>
      <c r="GB239">
        <f t="shared" ca="1" si="517"/>
        <v>10038</v>
      </c>
      <c r="GC239">
        <f t="shared" ca="1" si="518"/>
        <v>0</v>
      </c>
      <c r="GD239" t="b">
        <f t="shared" ca="1" si="519"/>
        <v>0</v>
      </c>
      <c r="GE239">
        <f t="shared" ca="1" si="520"/>
        <v>0</v>
      </c>
      <c r="GF239">
        <f t="shared" ca="1" si="521"/>
        <v>10038</v>
      </c>
      <c r="GG239">
        <f t="shared" ca="1" si="522"/>
        <v>0</v>
      </c>
      <c r="GH239">
        <f t="shared" ca="1" si="523"/>
        <v>0</v>
      </c>
      <c r="GI239">
        <f t="shared" ca="1" si="524"/>
        <v>0</v>
      </c>
    </row>
    <row r="240" spans="1:191" x14ac:dyDescent="0.25">
      <c r="A240">
        <f>_xlfn.AGGREGATE(3,5,$B$2:B240)</f>
        <v>239</v>
      </c>
      <c r="B240" t="s">
        <v>598</v>
      </c>
      <c r="C240" t="s">
        <v>599</v>
      </c>
      <c r="D240" t="s">
        <v>824</v>
      </c>
      <c r="E240" t="s">
        <v>843</v>
      </c>
      <c r="F240">
        <v>0</v>
      </c>
      <c r="G240">
        <v>0</v>
      </c>
      <c r="H240">
        <v>53800</v>
      </c>
      <c r="I240">
        <f t="shared" si="427"/>
        <v>5380</v>
      </c>
      <c r="J240">
        <f t="shared" si="428"/>
        <v>6456</v>
      </c>
      <c r="K240">
        <v>400</v>
      </c>
      <c r="L240">
        <v>0</v>
      </c>
      <c r="M240">
        <f t="shared" si="429"/>
        <v>66036</v>
      </c>
      <c r="N240">
        <v>3500</v>
      </c>
      <c r="O240">
        <v>0</v>
      </c>
      <c r="P240">
        <f t="shared" si="430"/>
        <v>200</v>
      </c>
      <c r="Q240">
        <f t="shared" si="431"/>
        <v>62336</v>
      </c>
      <c r="R240">
        <v>53800</v>
      </c>
      <c r="S240">
        <f t="shared" si="432"/>
        <v>5380</v>
      </c>
      <c r="T240">
        <f t="shared" si="433"/>
        <v>6456</v>
      </c>
      <c r="U240">
        <v>400</v>
      </c>
      <c r="V240">
        <v>0</v>
      </c>
      <c r="W240">
        <f t="shared" si="434"/>
        <v>66036</v>
      </c>
      <c r="X240">
        <v>3500</v>
      </c>
      <c r="Y240">
        <v>0</v>
      </c>
      <c r="Z240">
        <f t="shared" si="435"/>
        <v>200</v>
      </c>
      <c r="AA240">
        <f t="shared" si="436"/>
        <v>62336</v>
      </c>
      <c r="AB240">
        <v>53800</v>
      </c>
      <c r="AC240">
        <f t="shared" si="437"/>
        <v>7532.0000000000009</v>
      </c>
      <c r="AD240">
        <f t="shared" si="438"/>
        <v>6456</v>
      </c>
      <c r="AE240">
        <v>400</v>
      </c>
      <c r="AF240">
        <v>0</v>
      </c>
      <c r="AG240">
        <f t="shared" si="439"/>
        <v>68188</v>
      </c>
      <c r="AH240">
        <v>3500</v>
      </c>
      <c r="AI240">
        <v>0</v>
      </c>
      <c r="AJ240">
        <f t="shared" si="440"/>
        <v>200</v>
      </c>
      <c r="AK240">
        <f t="shared" si="441"/>
        <v>64488</v>
      </c>
      <c r="AL240">
        <v>53800</v>
      </c>
      <c r="AM240">
        <f t="shared" si="442"/>
        <v>7532.0000000000009</v>
      </c>
      <c r="AN240">
        <f t="shared" si="443"/>
        <v>6456</v>
      </c>
      <c r="AO240">
        <v>400</v>
      </c>
      <c r="AP240">
        <v>0</v>
      </c>
      <c r="AQ240">
        <f t="shared" si="444"/>
        <v>68188</v>
      </c>
      <c r="AR240">
        <v>3500</v>
      </c>
      <c r="AS240">
        <v>0</v>
      </c>
      <c r="AT240">
        <f t="shared" si="445"/>
        <v>200</v>
      </c>
      <c r="AU240">
        <f t="shared" si="446"/>
        <v>64488</v>
      </c>
      <c r="AV240">
        <v>55400</v>
      </c>
      <c r="AW240">
        <f t="shared" si="447"/>
        <v>7756.0000000000009</v>
      </c>
      <c r="AX240">
        <f t="shared" si="448"/>
        <v>2152</v>
      </c>
      <c r="AY240">
        <f t="shared" si="449"/>
        <v>6648</v>
      </c>
      <c r="AZ240">
        <v>400</v>
      </c>
      <c r="BA240">
        <v>0</v>
      </c>
      <c r="BB240">
        <f t="shared" si="450"/>
        <v>72356</v>
      </c>
      <c r="BC240">
        <v>3500</v>
      </c>
      <c r="BD240">
        <v>0</v>
      </c>
      <c r="BE240">
        <f t="shared" si="451"/>
        <v>200</v>
      </c>
      <c r="BF240">
        <f t="shared" si="452"/>
        <v>68656</v>
      </c>
      <c r="BG240">
        <v>55400</v>
      </c>
      <c r="BH240">
        <f t="shared" si="453"/>
        <v>7756.0000000000009</v>
      </c>
      <c r="BI240">
        <f t="shared" si="454"/>
        <v>6648</v>
      </c>
      <c r="BJ240">
        <v>400</v>
      </c>
      <c r="BK240">
        <v>0</v>
      </c>
      <c r="BL240">
        <f t="shared" si="455"/>
        <v>70204</v>
      </c>
      <c r="BM240">
        <v>3500</v>
      </c>
      <c r="BN240">
        <v>0</v>
      </c>
      <c r="BO240">
        <f t="shared" si="456"/>
        <v>200</v>
      </c>
      <c r="BP240">
        <f t="shared" si="457"/>
        <v>66504</v>
      </c>
      <c r="BQ240">
        <v>55400</v>
      </c>
      <c r="BR240">
        <f t="shared" si="458"/>
        <v>7756.0000000000009</v>
      </c>
      <c r="BS240">
        <f t="shared" si="459"/>
        <v>6648</v>
      </c>
      <c r="BT240">
        <v>400</v>
      </c>
      <c r="BU240">
        <v>0</v>
      </c>
      <c r="BV240">
        <f t="shared" si="460"/>
        <v>70204</v>
      </c>
      <c r="BW240">
        <v>3500</v>
      </c>
      <c r="BX240">
        <v>0</v>
      </c>
      <c r="BY240">
        <f t="shared" si="461"/>
        <v>200</v>
      </c>
      <c r="BZ240">
        <f t="shared" si="462"/>
        <v>66504</v>
      </c>
      <c r="CA240">
        <v>55400</v>
      </c>
      <c r="CB240">
        <f t="shared" si="463"/>
        <v>7756.0000000000009</v>
      </c>
      <c r="CC240">
        <f t="shared" si="464"/>
        <v>6648</v>
      </c>
      <c r="CD240">
        <v>400</v>
      </c>
      <c r="CE240">
        <v>0</v>
      </c>
      <c r="CF240">
        <f t="shared" si="465"/>
        <v>70204</v>
      </c>
      <c r="CG240">
        <v>3500</v>
      </c>
      <c r="CH240">
        <v>0</v>
      </c>
      <c r="CI240">
        <f t="shared" si="466"/>
        <v>200</v>
      </c>
      <c r="CJ240">
        <f t="shared" si="467"/>
        <v>66504</v>
      </c>
      <c r="CK240">
        <v>55400</v>
      </c>
      <c r="CL240">
        <f t="shared" si="468"/>
        <v>7756.0000000000009</v>
      </c>
      <c r="CM240">
        <f t="shared" si="469"/>
        <v>6648</v>
      </c>
      <c r="CN240">
        <v>400</v>
      </c>
      <c r="CO240">
        <v>0</v>
      </c>
      <c r="CP240">
        <f t="shared" si="470"/>
        <v>70204</v>
      </c>
      <c r="CQ240">
        <v>3500</v>
      </c>
      <c r="CR240">
        <v>0</v>
      </c>
      <c r="CS240">
        <f t="shared" si="471"/>
        <v>200</v>
      </c>
      <c r="CT240">
        <f t="shared" si="472"/>
        <v>66504</v>
      </c>
      <c r="CU240">
        <v>55400</v>
      </c>
      <c r="CV240">
        <f t="shared" si="473"/>
        <v>7756</v>
      </c>
      <c r="CW240">
        <f t="shared" si="474"/>
        <v>6648</v>
      </c>
      <c r="CX240">
        <v>400</v>
      </c>
      <c r="CY240">
        <v>0</v>
      </c>
      <c r="CZ240">
        <f t="shared" si="475"/>
        <v>70204</v>
      </c>
      <c r="DA240">
        <v>3500</v>
      </c>
      <c r="DB240">
        <v>0</v>
      </c>
      <c r="DC240">
        <f t="shared" si="476"/>
        <v>200</v>
      </c>
      <c r="DD240">
        <f t="shared" si="477"/>
        <v>66504</v>
      </c>
      <c r="DE240">
        <v>55400</v>
      </c>
      <c r="DF240">
        <f t="shared" si="478"/>
        <v>7756.0000000000009</v>
      </c>
      <c r="DG240">
        <f t="shared" si="479"/>
        <v>6648</v>
      </c>
      <c r="DH240">
        <v>400</v>
      </c>
      <c r="DI240">
        <v>0</v>
      </c>
      <c r="DJ240">
        <f t="shared" si="480"/>
        <v>70204</v>
      </c>
      <c r="DK240">
        <v>3500</v>
      </c>
      <c r="DL240">
        <v>0</v>
      </c>
      <c r="DM240">
        <f t="shared" si="481"/>
        <v>200</v>
      </c>
      <c r="DN240">
        <f t="shared" si="482"/>
        <v>66504</v>
      </c>
      <c r="DO240">
        <v>55400</v>
      </c>
      <c r="DP240">
        <f t="shared" si="483"/>
        <v>7756.0000000000009</v>
      </c>
      <c r="DQ240">
        <f t="shared" si="484"/>
        <v>6648</v>
      </c>
      <c r="DR240">
        <v>400</v>
      </c>
      <c r="DS240">
        <v>0</v>
      </c>
      <c r="DT240">
        <f t="shared" si="485"/>
        <v>70204</v>
      </c>
      <c r="DU240">
        <v>3500</v>
      </c>
      <c r="DV240">
        <v>0</v>
      </c>
      <c r="DW240">
        <f t="shared" si="486"/>
        <v>200</v>
      </c>
      <c r="DX240">
        <f t="shared" si="487"/>
        <v>66504</v>
      </c>
      <c r="DY240">
        <f t="shared" si="488"/>
        <v>832232</v>
      </c>
      <c r="DZ240">
        <f t="shared" si="420"/>
        <v>2400</v>
      </c>
      <c r="EA240">
        <f t="shared" si="421"/>
        <v>50000</v>
      </c>
      <c r="EB240">
        <v>0</v>
      </c>
      <c r="EC240">
        <f t="shared" si="422"/>
        <v>779832</v>
      </c>
      <c r="ED240">
        <f t="shared" si="423"/>
        <v>42000</v>
      </c>
      <c r="EE240">
        <f t="shared" si="424"/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f t="shared" si="425"/>
        <v>42000</v>
      </c>
      <c r="EQ240">
        <f t="shared" si="489"/>
        <v>42000</v>
      </c>
      <c r="ER240">
        <f t="shared" si="426"/>
        <v>737832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f t="shared" si="490"/>
        <v>0</v>
      </c>
      <c r="FA240">
        <f t="shared" si="491"/>
        <v>737832</v>
      </c>
      <c r="FB240">
        <f t="shared" si="492"/>
        <v>12500</v>
      </c>
      <c r="FC240">
        <f t="shared" si="493"/>
        <v>47566</v>
      </c>
      <c r="FD240">
        <f t="shared" si="494"/>
        <v>60066</v>
      </c>
      <c r="FE240">
        <f t="shared" si="495"/>
        <v>60066</v>
      </c>
      <c r="FF240">
        <f t="shared" si="496"/>
        <v>2402.64</v>
      </c>
      <c r="FG240">
        <f t="shared" si="497"/>
        <v>62469</v>
      </c>
      <c r="FH240">
        <v>0</v>
      </c>
      <c r="FI240">
        <f t="shared" si="498"/>
        <v>62469</v>
      </c>
      <c r="FJ240" t="b">
        <f t="shared" si="499"/>
        <v>1</v>
      </c>
      <c r="FK240">
        <f t="shared" ca="1" si="500"/>
        <v>632</v>
      </c>
      <c r="FL240">
        <f t="shared" ca="1" si="501"/>
        <v>832864</v>
      </c>
      <c r="FM240">
        <f t="shared" si="502"/>
        <v>75000</v>
      </c>
      <c r="FN240">
        <f t="shared" ca="1" si="503"/>
        <v>757864</v>
      </c>
      <c r="FO240">
        <f t="shared" ca="1" si="504"/>
        <v>0</v>
      </c>
      <c r="FP240">
        <f t="shared" ca="1" si="505"/>
        <v>0</v>
      </c>
      <c r="FQ240">
        <f t="shared" ca="1" si="506"/>
        <v>0</v>
      </c>
      <c r="FR240">
        <f t="shared" ca="1" si="507"/>
        <v>0</v>
      </c>
      <c r="FS240">
        <f t="shared" ca="1" si="508"/>
        <v>0</v>
      </c>
      <c r="FT240">
        <f t="shared" ca="1" si="509"/>
        <v>0</v>
      </c>
      <c r="FU240">
        <f t="shared" ca="1" si="510"/>
        <v>57864</v>
      </c>
      <c r="FV240">
        <f t="shared" ca="1" si="511"/>
        <v>5786.4000000000005</v>
      </c>
      <c r="FW240">
        <f t="shared" ca="1" si="512"/>
        <v>400000</v>
      </c>
      <c r="FX240">
        <f t="shared" ca="1" si="513"/>
        <v>20000</v>
      </c>
      <c r="FY240">
        <f t="shared" ca="1" si="514"/>
        <v>25786</v>
      </c>
      <c r="FZ240">
        <f t="shared" ca="1" si="515"/>
        <v>757864</v>
      </c>
      <c r="GA240">
        <f t="shared" ca="1" si="516"/>
        <v>57864</v>
      </c>
      <c r="GB240">
        <f t="shared" ca="1" si="517"/>
        <v>0</v>
      </c>
      <c r="GC240">
        <f t="shared" ca="1" si="518"/>
        <v>-32078</v>
      </c>
      <c r="GD240" t="b">
        <f t="shared" ca="1" si="519"/>
        <v>0</v>
      </c>
      <c r="GE240">
        <f t="shared" ca="1" si="520"/>
        <v>0</v>
      </c>
      <c r="GF240">
        <f t="shared" ca="1" si="521"/>
        <v>0</v>
      </c>
      <c r="GG240">
        <f t="shared" ca="1" si="522"/>
        <v>25786</v>
      </c>
      <c r="GH240">
        <f t="shared" ca="1" si="523"/>
        <v>1031.44</v>
      </c>
      <c r="GI240">
        <f t="shared" ca="1" si="524"/>
        <v>26818</v>
      </c>
    </row>
    <row r="241" spans="1:191" x14ac:dyDescent="0.25">
      <c r="A241">
        <f>_xlfn.AGGREGATE(3,5,$B$2:B241)</f>
        <v>240</v>
      </c>
      <c r="B241" t="s">
        <v>600</v>
      </c>
      <c r="C241" t="s">
        <v>601</v>
      </c>
      <c r="D241" t="s">
        <v>824</v>
      </c>
      <c r="E241" t="s">
        <v>843</v>
      </c>
      <c r="F241">
        <v>0</v>
      </c>
      <c r="G241">
        <v>6000</v>
      </c>
      <c r="H241">
        <v>28900</v>
      </c>
      <c r="I241">
        <f t="shared" si="427"/>
        <v>2890</v>
      </c>
      <c r="J241">
        <f t="shared" si="428"/>
        <v>3468</v>
      </c>
      <c r="K241">
        <v>0</v>
      </c>
      <c r="L241">
        <v>500</v>
      </c>
      <c r="M241">
        <f t="shared" si="429"/>
        <v>35758</v>
      </c>
      <c r="N241">
        <v>0</v>
      </c>
      <c r="O241">
        <v>0</v>
      </c>
      <c r="P241">
        <f t="shared" si="430"/>
        <v>150</v>
      </c>
      <c r="Q241">
        <f t="shared" si="431"/>
        <v>35608</v>
      </c>
      <c r="R241">
        <v>28900</v>
      </c>
      <c r="S241">
        <f t="shared" si="432"/>
        <v>2890</v>
      </c>
      <c r="T241">
        <f t="shared" si="433"/>
        <v>3468</v>
      </c>
      <c r="U241">
        <v>0</v>
      </c>
      <c r="V241">
        <v>500</v>
      </c>
      <c r="W241">
        <f t="shared" si="434"/>
        <v>35758</v>
      </c>
      <c r="X241">
        <v>0</v>
      </c>
      <c r="Y241">
        <v>0</v>
      </c>
      <c r="Z241">
        <f t="shared" si="435"/>
        <v>150</v>
      </c>
      <c r="AA241">
        <f t="shared" si="436"/>
        <v>35608</v>
      </c>
      <c r="AB241">
        <v>28900</v>
      </c>
      <c r="AC241">
        <f t="shared" si="437"/>
        <v>4046.0000000000005</v>
      </c>
      <c r="AD241">
        <f t="shared" si="438"/>
        <v>3468</v>
      </c>
      <c r="AE241">
        <v>0</v>
      </c>
      <c r="AF241">
        <v>500</v>
      </c>
      <c r="AG241">
        <f t="shared" si="439"/>
        <v>36914</v>
      </c>
      <c r="AH241">
        <v>0</v>
      </c>
      <c r="AI241">
        <v>0</v>
      </c>
      <c r="AJ241">
        <f t="shared" si="440"/>
        <v>150</v>
      </c>
      <c r="AK241">
        <f t="shared" si="441"/>
        <v>36764</v>
      </c>
      <c r="AL241">
        <v>28900</v>
      </c>
      <c r="AM241">
        <f t="shared" si="442"/>
        <v>4046.0000000000005</v>
      </c>
      <c r="AN241">
        <f t="shared" si="443"/>
        <v>3468</v>
      </c>
      <c r="AO241">
        <v>0</v>
      </c>
      <c r="AP241">
        <v>500</v>
      </c>
      <c r="AQ241">
        <f t="shared" si="444"/>
        <v>36914</v>
      </c>
      <c r="AR241">
        <v>0</v>
      </c>
      <c r="AS241">
        <v>0</v>
      </c>
      <c r="AT241">
        <f t="shared" si="445"/>
        <v>150</v>
      </c>
      <c r="AU241">
        <f t="shared" si="446"/>
        <v>36764</v>
      </c>
      <c r="AV241">
        <v>29800</v>
      </c>
      <c r="AW241">
        <f t="shared" si="447"/>
        <v>4172</v>
      </c>
      <c r="AX241">
        <f t="shared" si="448"/>
        <v>1156</v>
      </c>
      <c r="AY241">
        <f t="shared" si="449"/>
        <v>3576</v>
      </c>
      <c r="AZ241">
        <v>0</v>
      </c>
      <c r="BA241">
        <v>500</v>
      </c>
      <c r="BB241">
        <f t="shared" si="450"/>
        <v>39204</v>
      </c>
      <c r="BC241">
        <v>2000</v>
      </c>
      <c r="BD241">
        <v>0</v>
      </c>
      <c r="BE241">
        <f t="shared" si="451"/>
        <v>150</v>
      </c>
      <c r="BF241">
        <f t="shared" si="452"/>
        <v>37054</v>
      </c>
      <c r="BG241">
        <v>29800</v>
      </c>
      <c r="BH241">
        <f t="shared" si="453"/>
        <v>4172</v>
      </c>
      <c r="BI241">
        <f t="shared" si="454"/>
        <v>3576</v>
      </c>
      <c r="BJ241">
        <v>0</v>
      </c>
      <c r="BK241">
        <v>500</v>
      </c>
      <c r="BL241">
        <f t="shared" si="455"/>
        <v>38048</v>
      </c>
      <c r="BM241">
        <v>2000</v>
      </c>
      <c r="BN241">
        <v>0</v>
      </c>
      <c r="BO241">
        <f t="shared" si="456"/>
        <v>150</v>
      </c>
      <c r="BP241">
        <f t="shared" si="457"/>
        <v>35898</v>
      </c>
      <c r="BQ241">
        <v>29800</v>
      </c>
      <c r="BR241">
        <f t="shared" si="458"/>
        <v>4172</v>
      </c>
      <c r="BS241">
        <f t="shared" si="459"/>
        <v>3576</v>
      </c>
      <c r="BT241">
        <v>0</v>
      </c>
      <c r="BU241">
        <v>500</v>
      </c>
      <c r="BV241">
        <f t="shared" si="460"/>
        <v>38048</v>
      </c>
      <c r="BW241">
        <v>2000</v>
      </c>
      <c r="BX241">
        <v>0</v>
      </c>
      <c r="BY241">
        <f t="shared" si="461"/>
        <v>150</v>
      </c>
      <c r="BZ241">
        <f t="shared" si="462"/>
        <v>35898</v>
      </c>
      <c r="CA241">
        <v>29800</v>
      </c>
      <c r="CB241">
        <f t="shared" si="463"/>
        <v>4172</v>
      </c>
      <c r="CC241">
        <f t="shared" si="464"/>
        <v>3576</v>
      </c>
      <c r="CD241">
        <v>0</v>
      </c>
      <c r="CE241">
        <v>500</v>
      </c>
      <c r="CF241">
        <f t="shared" si="465"/>
        <v>38048</v>
      </c>
      <c r="CG241">
        <v>2000</v>
      </c>
      <c r="CH241">
        <v>0</v>
      </c>
      <c r="CI241">
        <f t="shared" si="466"/>
        <v>150</v>
      </c>
      <c r="CJ241">
        <f t="shared" si="467"/>
        <v>35898</v>
      </c>
      <c r="CK241">
        <v>29800</v>
      </c>
      <c r="CL241">
        <f t="shared" si="468"/>
        <v>4172</v>
      </c>
      <c r="CM241">
        <f t="shared" si="469"/>
        <v>3576</v>
      </c>
      <c r="CN241">
        <v>0</v>
      </c>
      <c r="CO241">
        <v>500</v>
      </c>
      <c r="CP241">
        <f t="shared" si="470"/>
        <v>38048</v>
      </c>
      <c r="CQ241">
        <v>2000</v>
      </c>
      <c r="CR241">
        <v>0</v>
      </c>
      <c r="CS241">
        <f t="shared" si="471"/>
        <v>150</v>
      </c>
      <c r="CT241">
        <f t="shared" si="472"/>
        <v>35898</v>
      </c>
      <c r="CU241">
        <v>29800</v>
      </c>
      <c r="CV241">
        <f t="shared" si="473"/>
        <v>4172</v>
      </c>
      <c r="CW241">
        <f t="shared" si="474"/>
        <v>3576</v>
      </c>
      <c r="CX241">
        <v>0</v>
      </c>
      <c r="CY241">
        <v>500</v>
      </c>
      <c r="CZ241">
        <f t="shared" si="475"/>
        <v>38048</v>
      </c>
      <c r="DA241">
        <v>2000</v>
      </c>
      <c r="DB241">
        <v>0</v>
      </c>
      <c r="DC241">
        <f t="shared" si="476"/>
        <v>150</v>
      </c>
      <c r="DD241">
        <f t="shared" si="477"/>
        <v>35898</v>
      </c>
      <c r="DE241">
        <v>29800</v>
      </c>
      <c r="DF241">
        <f t="shared" si="478"/>
        <v>4172</v>
      </c>
      <c r="DG241">
        <f t="shared" si="479"/>
        <v>3576</v>
      </c>
      <c r="DH241">
        <v>0</v>
      </c>
      <c r="DI241">
        <v>500</v>
      </c>
      <c r="DJ241">
        <f t="shared" si="480"/>
        <v>38048</v>
      </c>
      <c r="DK241">
        <v>2000</v>
      </c>
      <c r="DL241">
        <v>0</v>
      </c>
      <c r="DM241">
        <f t="shared" si="481"/>
        <v>150</v>
      </c>
      <c r="DN241">
        <f t="shared" si="482"/>
        <v>35898</v>
      </c>
      <c r="DO241">
        <v>29800</v>
      </c>
      <c r="DP241">
        <f t="shared" si="483"/>
        <v>4172</v>
      </c>
      <c r="DQ241">
        <f t="shared" si="484"/>
        <v>3576</v>
      </c>
      <c r="DR241">
        <v>0</v>
      </c>
      <c r="DS241">
        <v>500</v>
      </c>
      <c r="DT241">
        <f t="shared" si="485"/>
        <v>38048</v>
      </c>
      <c r="DU241">
        <v>2000</v>
      </c>
      <c r="DV241">
        <v>0</v>
      </c>
      <c r="DW241">
        <f t="shared" si="486"/>
        <v>150</v>
      </c>
      <c r="DX241">
        <f t="shared" si="487"/>
        <v>35898</v>
      </c>
      <c r="DY241">
        <f t="shared" si="488"/>
        <v>456884</v>
      </c>
      <c r="DZ241">
        <f t="shared" si="420"/>
        <v>1800</v>
      </c>
      <c r="EA241">
        <f t="shared" si="421"/>
        <v>50000</v>
      </c>
      <c r="EB241">
        <v>0</v>
      </c>
      <c r="EC241">
        <f t="shared" si="422"/>
        <v>405084</v>
      </c>
      <c r="ED241">
        <f t="shared" si="423"/>
        <v>16000</v>
      </c>
      <c r="EE241">
        <f t="shared" si="424"/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f t="shared" si="425"/>
        <v>16000</v>
      </c>
      <c r="EQ241">
        <f t="shared" si="489"/>
        <v>16000</v>
      </c>
      <c r="ER241">
        <f t="shared" si="426"/>
        <v>389084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f t="shared" si="490"/>
        <v>0</v>
      </c>
      <c r="FA241">
        <f t="shared" si="491"/>
        <v>389084</v>
      </c>
      <c r="FB241">
        <f t="shared" si="492"/>
        <v>6954</v>
      </c>
      <c r="FC241">
        <f t="shared" si="493"/>
        <v>0</v>
      </c>
      <c r="FD241">
        <f t="shared" si="494"/>
        <v>6954</v>
      </c>
      <c r="FE241">
        <f t="shared" si="495"/>
        <v>0</v>
      </c>
      <c r="FF241">
        <f t="shared" si="496"/>
        <v>0</v>
      </c>
      <c r="FG241">
        <f t="shared" si="497"/>
        <v>0</v>
      </c>
      <c r="FH241">
        <v>0</v>
      </c>
      <c r="FI241">
        <f t="shared" si="498"/>
        <v>0</v>
      </c>
      <c r="FJ241" t="b">
        <f t="shared" si="499"/>
        <v>0</v>
      </c>
      <c r="FK241">
        <f t="shared" ca="1" si="500"/>
        <v>1228</v>
      </c>
      <c r="FL241">
        <f t="shared" ca="1" si="501"/>
        <v>458112</v>
      </c>
      <c r="FM241">
        <f t="shared" si="502"/>
        <v>75000</v>
      </c>
      <c r="FN241">
        <f t="shared" ca="1" si="503"/>
        <v>383112</v>
      </c>
      <c r="FO241">
        <f t="shared" ca="1" si="504"/>
        <v>0</v>
      </c>
      <c r="FP241">
        <f t="shared" ca="1" si="505"/>
        <v>0</v>
      </c>
      <c r="FQ241">
        <f t="shared" ca="1" si="506"/>
        <v>0</v>
      </c>
      <c r="FR241">
        <f t="shared" ca="1" si="507"/>
        <v>0</v>
      </c>
      <c r="FS241">
        <f t="shared" ca="1" si="508"/>
        <v>0</v>
      </c>
      <c r="FT241">
        <f t="shared" ca="1" si="509"/>
        <v>0</v>
      </c>
      <c r="FU241">
        <f t="shared" ca="1" si="510"/>
        <v>0</v>
      </c>
      <c r="FV241">
        <f t="shared" ca="1" si="511"/>
        <v>0</v>
      </c>
      <c r="FW241">
        <f t="shared" ca="1" si="512"/>
        <v>83112</v>
      </c>
      <c r="FX241">
        <f t="shared" ca="1" si="513"/>
        <v>4155.6000000000004</v>
      </c>
      <c r="FY241">
        <f t="shared" ca="1" si="514"/>
        <v>4156</v>
      </c>
      <c r="FZ241">
        <f t="shared" ca="1" si="515"/>
        <v>0</v>
      </c>
      <c r="GA241">
        <f t="shared" ca="1" si="516"/>
        <v>0</v>
      </c>
      <c r="GB241">
        <f t="shared" ca="1" si="517"/>
        <v>4156</v>
      </c>
      <c r="GC241">
        <f t="shared" ca="1" si="518"/>
        <v>0</v>
      </c>
      <c r="GD241" t="b">
        <f t="shared" ca="1" si="519"/>
        <v>0</v>
      </c>
      <c r="GE241">
        <f t="shared" ca="1" si="520"/>
        <v>0</v>
      </c>
      <c r="GF241">
        <f t="shared" ca="1" si="521"/>
        <v>4156</v>
      </c>
      <c r="GG241">
        <f t="shared" ca="1" si="522"/>
        <v>0</v>
      </c>
      <c r="GH241">
        <f t="shared" ca="1" si="523"/>
        <v>0</v>
      </c>
      <c r="GI241">
        <f t="shared" ca="1" si="524"/>
        <v>0</v>
      </c>
    </row>
    <row r="242" spans="1:191" x14ac:dyDescent="0.25">
      <c r="A242">
        <f>_xlfn.AGGREGATE(3,5,$B$2:B242)</f>
        <v>241</v>
      </c>
      <c r="B242" t="s">
        <v>602</v>
      </c>
      <c r="C242" t="s">
        <v>603</v>
      </c>
      <c r="D242" t="s">
        <v>824</v>
      </c>
      <c r="E242" t="s">
        <v>843</v>
      </c>
      <c r="F242">
        <v>0</v>
      </c>
      <c r="G242">
        <v>0</v>
      </c>
      <c r="H242">
        <v>0</v>
      </c>
      <c r="I242">
        <f t="shared" si="427"/>
        <v>0</v>
      </c>
      <c r="J242">
        <f t="shared" si="428"/>
        <v>0</v>
      </c>
      <c r="K242">
        <v>0</v>
      </c>
      <c r="L242">
        <v>0</v>
      </c>
      <c r="M242">
        <f t="shared" si="429"/>
        <v>0</v>
      </c>
      <c r="N242">
        <v>0</v>
      </c>
      <c r="O242">
        <v>0</v>
      </c>
      <c r="P242">
        <f t="shared" si="430"/>
        <v>0</v>
      </c>
      <c r="Q242">
        <f t="shared" si="431"/>
        <v>0</v>
      </c>
      <c r="R242">
        <v>28900</v>
      </c>
      <c r="S242">
        <f t="shared" si="432"/>
        <v>2890</v>
      </c>
      <c r="T242">
        <f t="shared" si="433"/>
        <v>3468</v>
      </c>
      <c r="U242">
        <v>0</v>
      </c>
      <c r="V242">
        <v>0</v>
      </c>
      <c r="W242">
        <f t="shared" si="434"/>
        <v>35258</v>
      </c>
      <c r="X242">
        <v>0</v>
      </c>
      <c r="Y242">
        <v>0</v>
      </c>
      <c r="Z242">
        <f t="shared" si="435"/>
        <v>150</v>
      </c>
      <c r="AA242">
        <f t="shared" si="436"/>
        <v>35108</v>
      </c>
      <c r="AB242">
        <v>28900</v>
      </c>
      <c r="AC242">
        <f t="shared" si="437"/>
        <v>4046.0000000000005</v>
      </c>
      <c r="AD242">
        <f t="shared" si="438"/>
        <v>3468</v>
      </c>
      <c r="AE242">
        <v>0</v>
      </c>
      <c r="AF242">
        <v>0</v>
      </c>
      <c r="AG242">
        <f t="shared" si="439"/>
        <v>36414</v>
      </c>
      <c r="AH242">
        <v>0</v>
      </c>
      <c r="AI242">
        <v>0</v>
      </c>
      <c r="AJ242">
        <f t="shared" si="440"/>
        <v>150</v>
      </c>
      <c r="AK242">
        <f t="shared" si="441"/>
        <v>36264</v>
      </c>
      <c r="AL242">
        <v>28900</v>
      </c>
      <c r="AM242">
        <f t="shared" si="442"/>
        <v>4046.0000000000005</v>
      </c>
      <c r="AN242">
        <f t="shared" si="443"/>
        <v>3468</v>
      </c>
      <c r="AO242">
        <v>0</v>
      </c>
      <c r="AP242">
        <v>0</v>
      </c>
      <c r="AQ242">
        <f t="shared" si="444"/>
        <v>36414</v>
      </c>
      <c r="AR242">
        <v>0</v>
      </c>
      <c r="AS242">
        <v>0</v>
      </c>
      <c r="AT242">
        <f t="shared" si="445"/>
        <v>150</v>
      </c>
      <c r="AU242">
        <f t="shared" si="446"/>
        <v>36264</v>
      </c>
      <c r="AV242">
        <v>28900</v>
      </c>
      <c r="AW242">
        <f t="shared" si="447"/>
        <v>4046.0000000000005</v>
      </c>
      <c r="AX242">
        <f t="shared" si="448"/>
        <v>1156</v>
      </c>
      <c r="AY242">
        <f t="shared" si="449"/>
        <v>3468</v>
      </c>
      <c r="AZ242">
        <v>0</v>
      </c>
      <c r="BA242">
        <v>0</v>
      </c>
      <c r="BB242">
        <f t="shared" si="450"/>
        <v>37570</v>
      </c>
      <c r="BC242">
        <v>0</v>
      </c>
      <c r="BD242">
        <v>0</v>
      </c>
      <c r="BE242">
        <f t="shared" si="451"/>
        <v>150</v>
      </c>
      <c r="BF242">
        <f t="shared" si="452"/>
        <v>37420</v>
      </c>
      <c r="BG242">
        <v>28900</v>
      </c>
      <c r="BH242">
        <f t="shared" si="453"/>
        <v>4046.0000000000005</v>
      </c>
      <c r="BI242">
        <f t="shared" si="454"/>
        <v>3468</v>
      </c>
      <c r="BJ242">
        <v>0</v>
      </c>
      <c r="BK242">
        <v>0</v>
      </c>
      <c r="BL242">
        <f t="shared" si="455"/>
        <v>36414</v>
      </c>
      <c r="BM242">
        <v>0</v>
      </c>
      <c r="BN242">
        <v>0</v>
      </c>
      <c r="BO242">
        <f t="shared" si="456"/>
        <v>150</v>
      </c>
      <c r="BP242">
        <f t="shared" si="457"/>
        <v>36264</v>
      </c>
      <c r="BQ242">
        <v>28900</v>
      </c>
      <c r="BR242">
        <f t="shared" si="458"/>
        <v>4046.0000000000005</v>
      </c>
      <c r="BS242">
        <f t="shared" si="459"/>
        <v>3468</v>
      </c>
      <c r="BT242">
        <v>0</v>
      </c>
      <c r="BU242">
        <v>0</v>
      </c>
      <c r="BV242">
        <f t="shared" si="460"/>
        <v>36414</v>
      </c>
      <c r="BW242">
        <v>0</v>
      </c>
      <c r="BX242">
        <v>0</v>
      </c>
      <c r="BY242">
        <f t="shared" si="461"/>
        <v>150</v>
      </c>
      <c r="BZ242">
        <f t="shared" si="462"/>
        <v>36264</v>
      </c>
      <c r="CA242">
        <v>28900</v>
      </c>
      <c r="CB242">
        <f t="shared" si="463"/>
        <v>4046.0000000000005</v>
      </c>
      <c r="CC242">
        <f t="shared" si="464"/>
        <v>3468</v>
      </c>
      <c r="CD242">
        <v>0</v>
      </c>
      <c r="CE242">
        <v>0</v>
      </c>
      <c r="CF242">
        <f t="shared" si="465"/>
        <v>36414</v>
      </c>
      <c r="CG242">
        <v>0</v>
      </c>
      <c r="CH242">
        <v>0</v>
      </c>
      <c r="CI242">
        <f t="shared" si="466"/>
        <v>150</v>
      </c>
      <c r="CJ242">
        <f t="shared" si="467"/>
        <v>36264</v>
      </c>
      <c r="CK242">
        <v>28900</v>
      </c>
      <c r="CL242">
        <f t="shared" si="468"/>
        <v>4046.0000000000005</v>
      </c>
      <c r="CM242">
        <f t="shared" si="469"/>
        <v>3468</v>
      </c>
      <c r="CN242">
        <v>0</v>
      </c>
      <c r="CO242">
        <v>0</v>
      </c>
      <c r="CP242">
        <f t="shared" si="470"/>
        <v>36414</v>
      </c>
      <c r="CQ242">
        <v>0</v>
      </c>
      <c r="CR242">
        <v>0</v>
      </c>
      <c r="CS242">
        <f t="shared" si="471"/>
        <v>150</v>
      </c>
      <c r="CT242">
        <f t="shared" si="472"/>
        <v>36264</v>
      </c>
      <c r="CU242">
        <v>28900</v>
      </c>
      <c r="CV242">
        <f t="shared" si="473"/>
        <v>4046</v>
      </c>
      <c r="CW242">
        <f t="shared" si="474"/>
        <v>3468</v>
      </c>
      <c r="CX242">
        <v>0</v>
      </c>
      <c r="CY242">
        <v>0</v>
      </c>
      <c r="CZ242">
        <f t="shared" si="475"/>
        <v>36414</v>
      </c>
      <c r="DA242">
        <v>0</v>
      </c>
      <c r="DB242">
        <v>0</v>
      </c>
      <c r="DC242">
        <f t="shared" si="476"/>
        <v>150</v>
      </c>
      <c r="DD242">
        <f t="shared" si="477"/>
        <v>36264</v>
      </c>
      <c r="DE242">
        <v>28900</v>
      </c>
      <c r="DF242">
        <f t="shared" si="478"/>
        <v>4046.0000000000005</v>
      </c>
      <c r="DG242">
        <f t="shared" si="479"/>
        <v>3468</v>
      </c>
      <c r="DH242">
        <v>0</v>
      </c>
      <c r="DI242">
        <v>0</v>
      </c>
      <c r="DJ242">
        <f t="shared" si="480"/>
        <v>36414</v>
      </c>
      <c r="DK242">
        <v>0</v>
      </c>
      <c r="DL242">
        <v>0</v>
      </c>
      <c r="DM242">
        <f t="shared" si="481"/>
        <v>150</v>
      </c>
      <c r="DN242">
        <f t="shared" si="482"/>
        <v>36264</v>
      </c>
      <c r="DO242">
        <v>28900</v>
      </c>
      <c r="DP242">
        <f t="shared" si="483"/>
        <v>4046.0000000000005</v>
      </c>
      <c r="DQ242">
        <f t="shared" si="484"/>
        <v>3468</v>
      </c>
      <c r="DR242">
        <v>0</v>
      </c>
      <c r="DS242">
        <v>0</v>
      </c>
      <c r="DT242">
        <f t="shared" si="485"/>
        <v>36414</v>
      </c>
      <c r="DU242">
        <v>2000</v>
      </c>
      <c r="DV242">
        <v>0</v>
      </c>
      <c r="DW242">
        <f t="shared" si="486"/>
        <v>150</v>
      </c>
      <c r="DX242">
        <f t="shared" si="487"/>
        <v>34264</v>
      </c>
      <c r="DY242">
        <f t="shared" si="488"/>
        <v>400554</v>
      </c>
      <c r="DZ242">
        <f t="shared" si="420"/>
        <v>1650</v>
      </c>
      <c r="EA242">
        <f t="shared" si="421"/>
        <v>50000</v>
      </c>
      <c r="EB242">
        <v>0</v>
      </c>
      <c r="EC242">
        <f t="shared" si="422"/>
        <v>348904</v>
      </c>
      <c r="ED242">
        <f t="shared" si="423"/>
        <v>2000</v>
      </c>
      <c r="EE242">
        <f t="shared" si="424"/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f t="shared" si="425"/>
        <v>2000</v>
      </c>
      <c r="EQ242">
        <f t="shared" si="489"/>
        <v>2000</v>
      </c>
      <c r="ER242">
        <f t="shared" si="426"/>
        <v>346904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f t="shared" si="490"/>
        <v>0</v>
      </c>
      <c r="FA242">
        <f t="shared" si="491"/>
        <v>346904</v>
      </c>
      <c r="FB242">
        <f t="shared" si="492"/>
        <v>4845</v>
      </c>
      <c r="FC242">
        <f t="shared" si="493"/>
        <v>0</v>
      </c>
      <c r="FD242">
        <f t="shared" si="494"/>
        <v>4845</v>
      </c>
      <c r="FE242">
        <f t="shared" si="495"/>
        <v>0</v>
      </c>
      <c r="FF242">
        <f t="shared" si="496"/>
        <v>0</v>
      </c>
      <c r="FG242">
        <f t="shared" si="497"/>
        <v>0</v>
      </c>
      <c r="FH242">
        <v>0</v>
      </c>
      <c r="FI242">
        <f t="shared" si="498"/>
        <v>0</v>
      </c>
      <c r="FJ242" t="b">
        <f t="shared" si="499"/>
        <v>0</v>
      </c>
      <c r="FK242">
        <f t="shared" ca="1" si="500"/>
        <v>2055</v>
      </c>
      <c r="FL242">
        <f t="shared" ca="1" si="501"/>
        <v>402609</v>
      </c>
      <c r="FM242">
        <f t="shared" si="502"/>
        <v>75000</v>
      </c>
      <c r="FN242">
        <f t="shared" ca="1" si="503"/>
        <v>327609</v>
      </c>
      <c r="FO242">
        <f t="shared" ca="1" si="504"/>
        <v>0</v>
      </c>
      <c r="FP242">
        <f t="shared" ca="1" si="505"/>
        <v>0</v>
      </c>
      <c r="FQ242">
        <f t="shared" ca="1" si="506"/>
        <v>0</v>
      </c>
      <c r="FR242">
        <f t="shared" ca="1" si="507"/>
        <v>0</v>
      </c>
      <c r="FS242">
        <f t="shared" ca="1" si="508"/>
        <v>0</v>
      </c>
      <c r="FT242">
        <f t="shared" ca="1" si="509"/>
        <v>0</v>
      </c>
      <c r="FU242">
        <f t="shared" ca="1" si="510"/>
        <v>0</v>
      </c>
      <c r="FV242">
        <f t="shared" ca="1" si="511"/>
        <v>0</v>
      </c>
      <c r="FW242">
        <f t="shared" ca="1" si="512"/>
        <v>27609</v>
      </c>
      <c r="FX242">
        <f t="shared" ca="1" si="513"/>
        <v>1380.45</v>
      </c>
      <c r="FY242">
        <f t="shared" ca="1" si="514"/>
        <v>1380</v>
      </c>
      <c r="FZ242">
        <f t="shared" ca="1" si="515"/>
        <v>0</v>
      </c>
      <c r="GA242">
        <f t="shared" ca="1" si="516"/>
        <v>0</v>
      </c>
      <c r="GB242">
        <f t="shared" ca="1" si="517"/>
        <v>1380</v>
      </c>
      <c r="GC242">
        <f t="shared" ca="1" si="518"/>
        <v>0</v>
      </c>
      <c r="GD242" t="b">
        <f t="shared" ca="1" si="519"/>
        <v>0</v>
      </c>
      <c r="GE242">
        <f t="shared" ca="1" si="520"/>
        <v>0</v>
      </c>
      <c r="GF242">
        <f t="shared" ca="1" si="521"/>
        <v>1380</v>
      </c>
      <c r="GG242">
        <f t="shared" ca="1" si="522"/>
        <v>0</v>
      </c>
      <c r="GH242">
        <f t="shared" ca="1" si="523"/>
        <v>0</v>
      </c>
      <c r="GI242">
        <f t="shared" ca="1" si="524"/>
        <v>0</v>
      </c>
    </row>
    <row r="243" spans="1:191" x14ac:dyDescent="0.25">
      <c r="A243">
        <f>_xlfn.AGGREGATE(3,5,$B$2:B243)</f>
        <v>242</v>
      </c>
      <c r="B243" t="s">
        <v>604</v>
      </c>
      <c r="C243" t="s">
        <v>605</v>
      </c>
      <c r="D243" t="s">
        <v>824</v>
      </c>
      <c r="E243" t="s">
        <v>843</v>
      </c>
      <c r="F243">
        <v>0</v>
      </c>
      <c r="G243">
        <v>0</v>
      </c>
      <c r="H243">
        <v>0</v>
      </c>
      <c r="I243">
        <f t="shared" si="427"/>
        <v>0</v>
      </c>
      <c r="J243">
        <f t="shared" si="428"/>
        <v>0</v>
      </c>
      <c r="K243">
        <v>0</v>
      </c>
      <c r="L243">
        <v>0</v>
      </c>
      <c r="M243">
        <f t="shared" si="429"/>
        <v>0</v>
      </c>
      <c r="N243">
        <v>0</v>
      </c>
      <c r="O243">
        <v>0</v>
      </c>
      <c r="P243">
        <f t="shared" si="430"/>
        <v>0</v>
      </c>
      <c r="Q243">
        <f t="shared" si="431"/>
        <v>0</v>
      </c>
      <c r="R243">
        <v>28900</v>
      </c>
      <c r="S243">
        <f t="shared" si="432"/>
        <v>2890</v>
      </c>
      <c r="T243">
        <f t="shared" si="433"/>
        <v>3468</v>
      </c>
      <c r="U243">
        <v>0</v>
      </c>
      <c r="V243">
        <v>500</v>
      </c>
      <c r="W243">
        <f t="shared" si="434"/>
        <v>35758</v>
      </c>
      <c r="X243">
        <v>0</v>
      </c>
      <c r="Y243">
        <v>0</v>
      </c>
      <c r="Z243">
        <f t="shared" si="435"/>
        <v>150</v>
      </c>
      <c r="AA243">
        <f t="shared" si="436"/>
        <v>35608</v>
      </c>
      <c r="AB243">
        <v>28900</v>
      </c>
      <c r="AC243">
        <f t="shared" si="437"/>
        <v>4046.0000000000005</v>
      </c>
      <c r="AD243">
        <f t="shared" si="438"/>
        <v>3468</v>
      </c>
      <c r="AE243">
        <v>0</v>
      </c>
      <c r="AF243">
        <v>500</v>
      </c>
      <c r="AG243">
        <f t="shared" si="439"/>
        <v>36914</v>
      </c>
      <c r="AH243">
        <v>0</v>
      </c>
      <c r="AI243">
        <v>0</v>
      </c>
      <c r="AJ243">
        <f t="shared" si="440"/>
        <v>150</v>
      </c>
      <c r="AK243">
        <f t="shared" si="441"/>
        <v>36764</v>
      </c>
      <c r="AL243">
        <v>28900</v>
      </c>
      <c r="AM243">
        <f t="shared" si="442"/>
        <v>4046.0000000000005</v>
      </c>
      <c r="AN243">
        <f t="shared" si="443"/>
        <v>3468</v>
      </c>
      <c r="AO243">
        <v>0</v>
      </c>
      <c r="AP243">
        <v>500</v>
      </c>
      <c r="AQ243">
        <f t="shared" si="444"/>
        <v>36914</v>
      </c>
      <c r="AR243">
        <v>0</v>
      </c>
      <c r="AS243">
        <v>0</v>
      </c>
      <c r="AT243">
        <f t="shared" si="445"/>
        <v>150</v>
      </c>
      <c r="AU243">
        <f t="shared" si="446"/>
        <v>36764</v>
      </c>
      <c r="AV243">
        <v>28900</v>
      </c>
      <c r="AW243">
        <f t="shared" si="447"/>
        <v>4046.0000000000005</v>
      </c>
      <c r="AX243">
        <f t="shared" si="448"/>
        <v>1156</v>
      </c>
      <c r="AY243">
        <f t="shared" si="449"/>
        <v>3468</v>
      </c>
      <c r="AZ243">
        <v>0</v>
      </c>
      <c r="BA243">
        <v>500</v>
      </c>
      <c r="BB243">
        <f t="shared" si="450"/>
        <v>38070</v>
      </c>
      <c r="BC243">
        <v>0</v>
      </c>
      <c r="BD243">
        <v>0</v>
      </c>
      <c r="BE243">
        <f t="shared" si="451"/>
        <v>150</v>
      </c>
      <c r="BF243">
        <f t="shared" si="452"/>
        <v>37920</v>
      </c>
      <c r="BG243">
        <v>28900</v>
      </c>
      <c r="BH243">
        <f t="shared" si="453"/>
        <v>4046.0000000000005</v>
      </c>
      <c r="BI243">
        <f t="shared" si="454"/>
        <v>3468</v>
      </c>
      <c r="BJ243">
        <v>0</v>
      </c>
      <c r="BK243">
        <v>500</v>
      </c>
      <c r="BL243">
        <f t="shared" si="455"/>
        <v>36914</v>
      </c>
      <c r="BM243">
        <v>0</v>
      </c>
      <c r="BN243">
        <v>0</v>
      </c>
      <c r="BO243">
        <f t="shared" si="456"/>
        <v>150</v>
      </c>
      <c r="BP243">
        <f t="shared" si="457"/>
        <v>36764</v>
      </c>
      <c r="BQ243">
        <v>28900</v>
      </c>
      <c r="BR243">
        <f t="shared" si="458"/>
        <v>4046.0000000000005</v>
      </c>
      <c r="BS243">
        <f t="shared" si="459"/>
        <v>3468</v>
      </c>
      <c r="BT243">
        <v>0</v>
      </c>
      <c r="BU243">
        <v>500</v>
      </c>
      <c r="BV243">
        <f t="shared" si="460"/>
        <v>36914</v>
      </c>
      <c r="BW243">
        <v>0</v>
      </c>
      <c r="BX243">
        <v>0</v>
      </c>
      <c r="BY243">
        <f t="shared" si="461"/>
        <v>150</v>
      </c>
      <c r="BZ243">
        <f t="shared" si="462"/>
        <v>36764</v>
      </c>
      <c r="CA243">
        <v>28900</v>
      </c>
      <c r="CB243">
        <f t="shared" si="463"/>
        <v>4046.0000000000005</v>
      </c>
      <c r="CC243">
        <f t="shared" si="464"/>
        <v>3468</v>
      </c>
      <c r="CD243">
        <v>0</v>
      </c>
      <c r="CE243">
        <v>500</v>
      </c>
      <c r="CF243">
        <f t="shared" si="465"/>
        <v>36914</v>
      </c>
      <c r="CG243">
        <v>0</v>
      </c>
      <c r="CH243">
        <v>0</v>
      </c>
      <c r="CI243">
        <f t="shared" si="466"/>
        <v>150</v>
      </c>
      <c r="CJ243">
        <f t="shared" si="467"/>
        <v>36764</v>
      </c>
      <c r="CK243">
        <v>28900</v>
      </c>
      <c r="CL243">
        <f t="shared" si="468"/>
        <v>4046.0000000000005</v>
      </c>
      <c r="CM243">
        <f t="shared" si="469"/>
        <v>3468</v>
      </c>
      <c r="CN243">
        <v>0</v>
      </c>
      <c r="CO243">
        <v>500</v>
      </c>
      <c r="CP243">
        <f t="shared" si="470"/>
        <v>36914</v>
      </c>
      <c r="CQ243">
        <v>0</v>
      </c>
      <c r="CR243">
        <v>0</v>
      </c>
      <c r="CS243">
        <f t="shared" si="471"/>
        <v>150</v>
      </c>
      <c r="CT243">
        <f t="shared" si="472"/>
        <v>36764</v>
      </c>
      <c r="CU243">
        <v>28900</v>
      </c>
      <c r="CV243">
        <f t="shared" si="473"/>
        <v>4046</v>
      </c>
      <c r="CW243">
        <f t="shared" si="474"/>
        <v>3468</v>
      </c>
      <c r="CX243">
        <v>0</v>
      </c>
      <c r="CY243">
        <v>500</v>
      </c>
      <c r="CZ243">
        <f t="shared" si="475"/>
        <v>36914</v>
      </c>
      <c r="DA243">
        <v>0</v>
      </c>
      <c r="DB243">
        <v>0</v>
      </c>
      <c r="DC243">
        <f t="shared" si="476"/>
        <v>150</v>
      </c>
      <c r="DD243">
        <f t="shared" si="477"/>
        <v>36764</v>
      </c>
      <c r="DE243">
        <v>28900</v>
      </c>
      <c r="DF243">
        <f t="shared" si="478"/>
        <v>4046.0000000000005</v>
      </c>
      <c r="DG243">
        <f t="shared" si="479"/>
        <v>3468</v>
      </c>
      <c r="DH243">
        <v>0</v>
      </c>
      <c r="DI243">
        <v>500</v>
      </c>
      <c r="DJ243">
        <f t="shared" si="480"/>
        <v>36914</v>
      </c>
      <c r="DK243">
        <v>0</v>
      </c>
      <c r="DL243">
        <v>0</v>
      </c>
      <c r="DM243">
        <f t="shared" si="481"/>
        <v>150</v>
      </c>
      <c r="DN243">
        <f t="shared" si="482"/>
        <v>36764</v>
      </c>
      <c r="DO243">
        <v>28900</v>
      </c>
      <c r="DP243">
        <f t="shared" si="483"/>
        <v>4046.0000000000005</v>
      </c>
      <c r="DQ243">
        <f t="shared" si="484"/>
        <v>3468</v>
      </c>
      <c r="DR243">
        <v>0</v>
      </c>
      <c r="DS243">
        <v>500</v>
      </c>
      <c r="DT243">
        <f t="shared" si="485"/>
        <v>36914</v>
      </c>
      <c r="DU243">
        <v>2000</v>
      </c>
      <c r="DV243">
        <v>0</v>
      </c>
      <c r="DW243">
        <f t="shared" si="486"/>
        <v>150</v>
      </c>
      <c r="DX243">
        <f t="shared" si="487"/>
        <v>34764</v>
      </c>
      <c r="DY243">
        <f t="shared" si="488"/>
        <v>406054</v>
      </c>
      <c r="DZ243">
        <f t="shared" si="420"/>
        <v>1650</v>
      </c>
      <c r="EA243">
        <f t="shared" si="421"/>
        <v>50000</v>
      </c>
      <c r="EB243">
        <v>0</v>
      </c>
      <c r="EC243">
        <f t="shared" si="422"/>
        <v>354404</v>
      </c>
      <c r="ED243">
        <f t="shared" si="423"/>
        <v>2000</v>
      </c>
      <c r="EE243">
        <f t="shared" si="424"/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f t="shared" si="425"/>
        <v>2000</v>
      </c>
      <c r="EQ243">
        <f t="shared" si="489"/>
        <v>2000</v>
      </c>
      <c r="ER243">
        <f t="shared" si="426"/>
        <v>352404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f t="shared" si="490"/>
        <v>0</v>
      </c>
      <c r="FA243">
        <f t="shared" si="491"/>
        <v>352404</v>
      </c>
      <c r="FB243">
        <f t="shared" si="492"/>
        <v>5120</v>
      </c>
      <c r="FC243">
        <f t="shared" si="493"/>
        <v>0</v>
      </c>
      <c r="FD243">
        <f t="shared" si="494"/>
        <v>5120</v>
      </c>
      <c r="FE243">
        <f t="shared" si="495"/>
        <v>0</v>
      </c>
      <c r="FF243">
        <f t="shared" si="496"/>
        <v>0</v>
      </c>
      <c r="FG243">
        <f t="shared" si="497"/>
        <v>0</v>
      </c>
      <c r="FH243">
        <v>0</v>
      </c>
      <c r="FI243">
        <f t="shared" si="498"/>
        <v>0</v>
      </c>
      <c r="FJ243" t="b">
        <f t="shared" si="499"/>
        <v>0</v>
      </c>
      <c r="FK243">
        <f t="shared" ca="1" si="500"/>
        <v>2363</v>
      </c>
      <c r="FL243">
        <f t="shared" ca="1" si="501"/>
        <v>408417</v>
      </c>
      <c r="FM243">
        <f t="shared" si="502"/>
        <v>75000</v>
      </c>
      <c r="FN243">
        <f t="shared" ca="1" si="503"/>
        <v>333417</v>
      </c>
      <c r="FO243">
        <f t="shared" ca="1" si="504"/>
        <v>0</v>
      </c>
      <c r="FP243">
        <f t="shared" ca="1" si="505"/>
        <v>0</v>
      </c>
      <c r="FQ243">
        <f t="shared" ca="1" si="506"/>
        <v>0</v>
      </c>
      <c r="FR243">
        <f t="shared" ca="1" si="507"/>
        <v>0</v>
      </c>
      <c r="FS243">
        <f t="shared" ca="1" si="508"/>
        <v>0</v>
      </c>
      <c r="FT243">
        <f t="shared" ca="1" si="509"/>
        <v>0</v>
      </c>
      <c r="FU243">
        <f t="shared" ca="1" si="510"/>
        <v>0</v>
      </c>
      <c r="FV243">
        <f t="shared" ca="1" si="511"/>
        <v>0</v>
      </c>
      <c r="FW243">
        <f t="shared" ca="1" si="512"/>
        <v>33417</v>
      </c>
      <c r="FX243">
        <f t="shared" ca="1" si="513"/>
        <v>1670.8500000000001</v>
      </c>
      <c r="FY243">
        <f t="shared" ca="1" si="514"/>
        <v>1671</v>
      </c>
      <c r="FZ243">
        <f t="shared" ca="1" si="515"/>
        <v>0</v>
      </c>
      <c r="GA243">
        <f t="shared" ca="1" si="516"/>
        <v>0</v>
      </c>
      <c r="GB243">
        <f t="shared" ca="1" si="517"/>
        <v>1671</v>
      </c>
      <c r="GC243">
        <f t="shared" ca="1" si="518"/>
        <v>0</v>
      </c>
      <c r="GD243" t="b">
        <f t="shared" ca="1" si="519"/>
        <v>0</v>
      </c>
      <c r="GE243">
        <f t="shared" ca="1" si="520"/>
        <v>0</v>
      </c>
      <c r="GF243">
        <f t="shared" ca="1" si="521"/>
        <v>1671</v>
      </c>
      <c r="GG243">
        <f t="shared" ca="1" si="522"/>
        <v>0</v>
      </c>
      <c r="GH243">
        <f t="shared" ca="1" si="523"/>
        <v>0</v>
      </c>
      <c r="GI243">
        <f t="shared" ca="1" si="524"/>
        <v>0</v>
      </c>
    </row>
    <row r="244" spans="1:191" x14ac:dyDescent="0.25">
      <c r="A244">
        <f>_xlfn.AGGREGATE(3,5,$B$2:B244)</f>
        <v>243</v>
      </c>
      <c r="B244" t="s">
        <v>606</v>
      </c>
      <c r="C244" t="s">
        <v>607</v>
      </c>
      <c r="D244" t="s">
        <v>825</v>
      </c>
      <c r="E244" t="s">
        <v>843</v>
      </c>
      <c r="F244">
        <v>0</v>
      </c>
      <c r="G244">
        <v>6000</v>
      </c>
      <c r="H244">
        <v>36600</v>
      </c>
      <c r="I244">
        <f t="shared" si="427"/>
        <v>3660</v>
      </c>
      <c r="J244">
        <f t="shared" si="428"/>
        <v>4392</v>
      </c>
      <c r="K244">
        <v>400</v>
      </c>
      <c r="L244">
        <v>500</v>
      </c>
      <c r="M244">
        <f t="shared" si="429"/>
        <v>45552</v>
      </c>
      <c r="N244">
        <v>3000</v>
      </c>
      <c r="O244">
        <v>0</v>
      </c>
      <c r="P244">
        <f t="shared" si="430"/>
        <v>200</v>
      </c>
      <c r="Q244">
        <f t="shared" si="431"/>
        <v>42352</v>
      </c>
      <c r="R244">
        <v>36600</v>
      </c>
      <c r="S244">
        <f t="shared" si="432"/>
        <v>3660</v>
      </c>
      <c r="T244">
        <f t="shared" si="433"/>
        <v>4392</v>
      </c>
      <c r="U244">
        <v>400</v>
      </c>
      <c r="V244">
        <v>500</v>
      </c>
      <c r="W244">
        <f t="shared" si="434"/>
        <v>45552</v>
      </c>
      <c r="X244">
        <v>3000</v>
      </c>
      <c r="Y244">
        <v>0</v>
      </c>
      <c r="Z244">
        <f t="shared" si="435"/>
        <v>200</v>
      </c>
      <c r="AA244">
        <f t="shared" si="436"/>
        <v>42352</v>
      </c>
      <c r="AB244">
        <v>36600</v>
      </c>
      <c r="AC244">
        <f t="shared" si="437"/>
        <v>5124.0000000000009</v>
      </c>
      <c r="AD244">
        <f t="shared" si="438"/>
        <v>4392</v>
      </c>
      <c r="AE244">
        <v>400</v>
      </c>
      <c r="AF244">
        <v>500</v>
      </c>
      <c r="AG244">
        <f t="shared" si="439"/>
        <v>47016</v>
      </c>
      <c r="AH244">
        <v>3000</v>
      </c>
      <c r="AI244">
        <v>0</v>
      </c>
      <c r="AJ244">
        <f t="shared" si="440"/>
        <v>200</v>
      </c>
      <c r="AK244">
        <f t="shared" si="441"/>
        <v>43816</v>
      </c>
      <c r="AL244">
        <v>36600</v>
      </c>
      <c r="AM244">
        <f t="shared" si="442"/>
        <v>5124.0000000000009</v>
      </c>
      <c r="AN244">
        <f t="shared" si="443"/>
        <v>4392</v>
      </c>
      <c r="AO244">
        <v>400</v>
      </c>
      <c r="AP244">
        <v>500</v>
      </c>
      <c r="AQ244">
        <f t="shared" si="444"/>
        <v>47016</v>
      </c>
      <c r="AR244">
        <v>3000</v>
      </c>
      <c r="AS244">
        <v>0</v>
      </c>
      <c r="AT244">
        <f t="shared" si="445"/>
        <v>200</v>
      </c>
      <c r="AU244">
        <f t="shared" si="446"/>
        <v>43816</v>
      </c>
      <c r="AV244">
        <v>37700</v>
      </c>
      <c r="AW244">
        <f t="shared" si="447"/>
        <v>5278.0000000000009</v>
      </c>
      <c r="AX244">
        <f t="shared" si="448"/>
        <v>1464</v>
      </c>
      <c r="AY244">
        <f t="shared" si="449"/>
        <v>4524</v>
      </c>
      <c r="AZ244">
        <v>400</v>
      </c>
      <c r="BA244">
        <v>500</v>
      </c>
      <c r="BB244">
        <f t="shared" si="450"/>
        <v>49866</v>
      </c>
      <c r="BC244">
        <v>3000</v>
      </c>
      <c r="BD244">
        <v>0</v>
      </c>
      <c r="BE244">
        <f t="shared" si="451"/>
        <v>200</v>
      </c>
      <c r="BF244">
        <f t="shared" si="452"/>
        <v>46666</v>
      </c>
      <c r="BG244">
        <v>37700</v>
      </c>
      <c r="BH244">
        <f t="shared" si="453"/>
        <v>5278.0000000000009</v>
      </c>
      <c r="BI244">
        <f t="shared" si="454"/>
        <v>4524</v>
      </c>
      <c r="BJ244">
        <v>400</v>
      </c>
      <c r="BK244">
        <v>500</v>
      </c>
      <c r="BL244">
        <f t="shared" si="455"/>
        <v>48402</v>
      </c>
      <c r="BM244">
        <v>3000</v>
      </c>
      <c r="BN244">
        <v>0</v>
      </c>
      <c r="BO244">
        <f t="shared" si="456"/>
        <v>200</v>
      </c>
      <c r="BP244">
        <f t="shared" si="457"/>
        <v>45202</v>
      </c>
      <c r="BQ244">
        <v>37700</v>
      </c>
      <c r="BR244">
        <f t="shared" si="458"/>
        <v>5278.0000000000009</v>
      </c>
      <c r="BS244">
        <f t="shared" si="459"/>
        <v>4524</v>
      </c>
      <c r="BT244">
        <v>400</v>
      </c>
      <c r="BU244">
        <v>500</v>
      </c>
      <c r="BV244">
        <f t="shared" si="460"/>
        <v>48402</v>
      </c>
      <c r="BW244">
        <v>3000</v>
      </c>
      <c r="BX244">
        <v>0</v>
      </c>
      <c r="BY244">
        <f t="shared" si="461"/>
        <v>200</v>
      </c>
      <c r="BZ244">
        <f t="shared" si="462"/>
        <v>45202</v>
      </c>
      <c r="CA244">
        <v>37700</v>
      </c>
      <c r="CB244">
        <f t="shared" si="463"/>
        <v>5278.0000000000009</v>
      </c>
      <c r="CC244">
        <f t="shared" si="464"/>
        <v>4524</v>
      </c>
      <c r="CD244">
        <v>400</v>
      </c>
      <c r="CE244">
        <v>500</v>
      </c>
      <c r="CF244">
        <f t="shared" si="465"/>
        <v>48402</v>
      </c>
      <c r="CG244">
        <v>3000</v>
      </c>
      <c r="CH244">
        <v>0</v>
      </c>
      <c r="CI244">
        <f t="shared" si="466"/>
        <v>200</v>
      </c>
      <c r="CJ244">
        <f t="shared" si="467"/>
        <v>45202</v>
      </c>
      <c r="CK244">
        <v>37700</v>
      </c>
      <c r="CL244">
        <f t="shared" si="468"/>
        <v>5278.0000000000009</v>
      </c>
      <c r="CM244">
        <f t="shared" si="469"/>
        <v>4524</v>
      </c>
      <c r="CN244">
        <v>400</v>
      </c>
      <c r="CO244">
        <v>500</v>
      </c>
      <c r="CP244">
        <f t="shared" si="470"/>
        <v>48402</v>
      </c>
      <c r="CQ244">
        <v>3000</v>
      </c>
      <c r="CR244">
        <v>0</v>
      </c>
      <c r="CS244">
        <f t="shared" si="471"/>
        <v>200</v>
      </c>
      <c r="CT244">
        <f t="shared" si="472"/>
        <v>45202</v>
      </c>
      <c r="CU244">
        <v>37700</v>
      </c>
      <c r="CV244">
        <f t="shared" si="473"/>
        <v>5278</v>
      </c>
      <c r="CW244">
        <f t="shared" si="474"/>
        <v>4524</v>
      </c>
      <c r="CX244">
        <v>400</v>
      </c>
      <c r="CY244">
        <v>500</v>
      </c>
      <c r="CZ244">
        <f t="shared" si="475"/>
        <v>48402</v>
      </c>
      <c r="DA244">
        <v>3000</v>
      </c>
      <c r="DB244">
        <v>0</v>
      </c>
      <c r="DC244">
        <f t="shared" si="476"/>
        <v>200</v>
      </c>
      <c r="DD244">
        <f t="shared" si="477"/>
        <v>45202</v>
      </c>
      <c r="DE244">
        <v>37700</v>
      </c>
      <c r="DF244">
        <f t="shared" si="478"/>
        <v>5278.0000000000009</v>
      </c>
      <c r="DG244">
        <f t="shared" si="479"/>
        <v>4524</v>
      </c>
      <c r="DH244">
        <v>400</v>
      </c>
      <c r="DI244">
        <v>500</v>
      </c>
      <c r="DJ244">
        <f t="shared" si="480"/>
        <v>48402</v>
      </c>
      <c r="DK244">
        <v>3000</v>
      </c>
      <c r="DL244">
        <v>0</v>
      </c>
      <c r="DM244">
        <f t="shared" si="481"/>
        <v>200</v>
      </c>
      <c r="DN244">
        <f t="shared" si="482"/>
        <v>45202</v>
      </c>
      <c r="DO244">
        <v>37700</v>
      </c>
      <c r="DP244">
        <f t="shared" si="483"/>
        <v>5278.0000000000009</v>
      </c>
      <c r="DQ244">
        <f t="shared" si="484"/>
        <v>4524</v>
      </c>
      <c r="DR244">
        <v>400</v>
      </c>
      <c r="DS244">
        <v>500</v>
      </c>
      <c r="DT244">
        <f t="shared" si="485"/>
        <v>48402</v>
      </c>
      <c r="DU244">
        <v>3000</v>
      </c>
      <c r="DV244">
        <v>0</v>
      </c>
      <c r="DW244">
        <f t="shared" si="486"/>
        <v>200</v>
      </c>
      <c r="DX244">
        <f t="shared" si="487"/>
        <v>45202</v>
      </c>
      <c r="DY244">
        <f t="shared" si="488"/>
        <v>579816</v>
      </c>
      <c r="DZ244">
        <f t="shared" si="420"/>
        <v>2400</v>
      </c>
      <c r="EA244">
        <f t="shared" si="421"/>
        <v>50000</v>
      </c>
      <c r="EB244">
        <v>0</v>
      </c>
      <c r="EC244">
        <f t="shared" si="422"/>
        <v>527416</v>
      </c>
      <c r="ED244">
        <f t="shared" si="423"/>
        <v>36000</v>
      </c>
      <c r="EE244">
        <f t="shared" si="424"/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f t="shared" si="425"/>
        <v>36000</v>
      </c>
      <c r="EQ244">
        <f t="shared" si="489"/>
        <v>36000</v>
      </c>
      <c r="ER244">
        <f t="shared" si="426"/>
        <v>491416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f t="shared" si="490"/>
        <v>0</v>
      </c>
      <c r="FA244">
        <f t="shared" si="491"/>
        <v>491416</v>
      </c>
      <c r="FB244">
        <f t="shared" si="492"/>
        <v>12071</v>
      </c>
      <c r="FC244">
        <f t="shared" si="493"/>
        <v>0</v>
      </c>
      <c r="FD244">
        <f t="shared" si="494"/>
        <v>12071</v>
      </c>
      <c r="FE244">
        <f t="shared" si="495"/>
        <v>0</v>
      </c>
      <c r="FF244">
        <f t="shared" si="496"/>
        <v>0</v>
      </c>
      <c r="FG244">
        <f t="shared" si="497"/>
        <v>0</v>
      </c>
      <c r="FH244">
        <v>0</v>
      </c>
      <c r="FI244">
        <f t="shared" si="498"/>
        <v>0</v>
      </c>
      <c r="FJ244" t="b">
        <f t="shared" si="499"/>
        <v>1</v>
      </c>
      <c r="FK244">
        <f t="shared" ca="1" si="500"/>
        <v>609</v>
      </c>
      <c r="FL244">
        <f t="shared" ca="1" si="501"/>
        <v>580425</v>
      </c>
      <c r="FM244">
        <f t="shared" si="502"/>
        <v>75000</v>
      </c>
      <c r="FN244">
        <f t="shared" ca="1" si="503"/>
        <v>505425</v>
      </c>
      <c r="FO244">
        <f t="shared" ca="1" si="504"/>
        <v>0</v>
      </c>
      <c r="FP244">
        <f t="shared" ca="1" si="505"/>
        <v>0</v>
      </c>
      <c r="FQ244">
        <f t="shared" ca="1" si="506"/>
        <v>0</v>
      </c>
      <c r="FR244">
        <f t="shared" ca="1" si="507"/>
        <v>0</v>
      </c>
      <c r="FS244">
        <f t="shared" ca="1" si="508"/>
        <v>0</v>
      </c>
      <c r="FT244">
        <f t="shared" ca="1" si="509"/>
        <v>0</v>
      </c>
      <c r="FU244">
        <f t="shared" ca="1" si="510"/>
        <v>0</v>
      </c>
      <c r="FV244">
        <f t="shared" ca="1" si="511"/>
        <v>0</v>
      </c>
      <c r="FW244">
        <f t="shared" ca="1" si="512"/>
        <v>205425</v>
      </c>
      <c r="FX244">
        <f t="shared" ca="1" si="513"/>
        <v>10271.25</v>
      </c>
      <c r="FY244">
        <f t="shared" ca="1" si="514"/>
        <v>10271</v>
      </c>
      <c r="FZ244">
        <f t="shared" ca="1" si="515"/>
        <v>0</v>
      </c>
      <c r="GA244">
        <f t="shared" ca="1" si="516"/>
        <v>0</v>
      </c>
      <c r="GB244">
        <f t="shared" ca="1" si="517"/>
        <v>10271</v>
      </c>
      <c r="GC244">
        <f t="shared" ca="1" si="518"/>
        <v>0</v>
      </c>
      <c r="GD244" t="b">
        <f t="shared" ca="1" si="519"/>
        <v>0</v>
      </c>
      <c r="GE244">
        <f t="shared" ca="1" si="520"/>
        <v>0</v>
      </c>
      <c r="GF244">
        <f t="shared" ca="1" si="521"/>
        <v>10271</v>
      </c>
      <c r="GG244">
        <f t="shared" ca="1" si="522"/>
        <v>0</v>
      </c>
      <c r="GH244">
        <f t="shared" ca="1" si="523"/>
        <v>0</v>
      </c>
      <c r="GI244">
        <f t="shared" ca="1" si="524"/>
        <v>0</v>
      </c>
    </row>
    <row r="245" spans="1:191" x14ac:dyDescent="0.25">
      <c r="A245">
        <f>_xlfn.AGGREGATE(3,5,$B$2:B245)</f>
        <v>244</v>
      </c>
      <c r="B245" t="s">
        <v>608</v>
      </c>
      <c r="C245" t="s">
        <v>609</v>
      </c>
      <c r="D245" t="s">
        <v>825</v>
      </c>
      <c r="E245" t="s">
        <v>843</v>
      </c>
      <c r="F245">
        <v>0</v>
      </c>
      <c r="G245">
        <v>0</v>
      </c>
      <c r="H245">
        <v>45900</v>
      </c>
      <c r="I245">
        <f t="shared" si="427"/>
        <v>4590</v>
      </c>
      <c r="J245">
        <f t="shared" si="428"/>
        <v>5508</v>
      </c>
      <c r="K245">
        <v>0</v>
      </c>
      <c r="L245">
        <v>500</v>
      </c>
      <c r="M245">
        <f t="shared" si="429"/>
        <v>56498</v>
      </c>
      <c r="N245">
        <v>3000</v>
      </c>
      <c r="O245">
        <v>0</v>
      </c>
      <c r="P245">
        <f t="shared" si="430"/>
        <v>200</v>
      </c>
      <c r="Q245">
        <f t="shared" si="431"/>
        <v>53298</v>
      </c>
      <c r="R245">
        <v>45900</v>
      </c>
      <c r="S245">
        <f t="shared" si="432"/>
        <v>4590</v>
      </c>
      <c r="T245">
        <f t="shared" si="433"/>
        <v>5508</v>
      </c>
      <c r="U245">
        <v>0</v>
      </c>
      <c r="V245">
        <v>500</v>
      </c>
      <c r="W245">
        <f t="shared" si="434"/>
        <v>56498</v>
      </c>
      <c r="X245">
        <v>3000</v>
      </c>
      <c r="Y245">
        <v>0</v>
      </c>
      <c r="Z245">
        <f t="shared" si="435"/>
        <v>200</v>
      </c>
      <c r="AA245">
        <f t="shared" si="436"/>
        <v>53298</v>
      </c>
      <c r="AB245">
        <v>45900</v>
      </c>
      <c r="AC245">
        <f t="shared" si="437"/>
        <v>6426.0000000000009</v>
      </c>
      <c r="AD245">
        <f t="shared" si="438"/>
        <v>5508</v>
      </c>
      <c r="AE245">
        <v>0</v>
      </c>
      <c r="AF245">
        <v>500</v>
      </c>
      <c r="AG245">
        <f t="shared" si="439"/>
        <v>58334</v>
      </c>
      <c r="AH245">
        <v>3000</v>
      </c>
      <c r="AI245">
        <v>0</v>
      </c>
      <c r="AJ245">
        <f t="shared" si="440"/>
        <v>200</v>
      </c>
      <c r="AK245">
        <f t="shared" si="441"/>
        <v>55134</v>
      </c>
      <c r="AL245">
        <v>45900</v>
      </c>
      <c r="AM245">
        <f t="shared" si="442"/>
        <v>6426.0000000000009</v>
      </c>
      <c r="AN245">
        <f t="shared" si="443"/>
        <v>5508</v>
      </c>
      <c r="AO245">
        <v>0</v>
      </c>
      <c r="AP245">
        <v>500</v>
      </c>
      <c r="AQ245">
        <f t="shared" si="444"/>
        <v>58334</v>
      </c>
      <c r="AR245">
        <v>3000</v>
      </c>
      <c r="AS245">
        <v>0</v>
      </c>
      <c r="AT245">
        <f t="shared" si="445"/>
        <v>200</v>
      </c>
      <c r="AU245">
        <f t="shared" si="446"/>
        <v>55134</v>
      </c>
      <c r="AV245">
        <v>47300</v>
      </c>
      <c r="AW245">
        <f t="shared" si="447"/>
        <v>6622.0000000000009</v>
      </c>
      <c r="AX245">
        <f t="shared" si="448"/>
        <v>1836</v>
      </c>
      <c r="AY245">
        <f t="shared" si="449"/>
        <v>5676</v>
      </c>
      <c r="AZ245">
        <v>0</v>
      </c>
      <c r="BA245">
        <v>500</v>
      </c>
      <c r="BB245">
        <f t="shared" si="450"/>
        <v>61934</v>
      </c>
      <c r="BC245">
        <v>3000</v>
      </c>
      <c r="BD245">
        <v>0</v>
      </c>
      <c r="BE245">
        <f t="shared" si="451"/>
        <v>200</v>
      </c>
      <c r="BF245">
        <f t="shared" si="452"/>
        <v>58734</v>
      </c>
      <c r="BG245">
        <v>47300</v>
      </c>
      <c r="BH245">
        <f t="shared" si="453"/>
        <v>6622.0000000000009</v>
      </c>
      <c r="BI245">
        <f t="shared" si="454"/>
        <v>5676</v>
      </c>
      <c r="BJ245">
        <v>0</v>
      </c>
      <c r="BK245">
        <v>500</v>
      </c>
      <c r="BL245">
        <f t="shared" si="455"/>
        <v>60098</v>
      </c>
      <c r="BM245">
        <v>3000</v>
      </c>
      <c r="BN245">
        <v>0</v>
      </c>
      <c r="BO245">
        <f t="shared" si="456"/>
        <v>200</v>
      </c>
      <c r="BP245">
        <f t="shared" si="457"/>
        <v>56898</v>
      </c>
      <c r="BQ245">
        <v>47300</v>
      </c>
      <c r="BR245">
        <f t="shared" si="458"/>
        <v>6622.0000000000009</v>
      </c>
      <c r="BS245">
        <f t="shared" si="459"/>
        <v>5676</v>
      </c>
      <c r="BT245">
        <v>0</v>
      </c>
      <c r="BU245">
        <v>500</v>
      </c>
      <c r="BV245">
        <f t="shared" si="460"/>
        <v>60098</v>
      </c>
      <c r="BW245">
        <v>3000</v>
      </c>
      <c r="BX245">
        <v>0</v>
      </c>
      <c r="BY245">
        <f t="shared" si="461"/>
        <v>200</v>
      </c>
      <c r="BZ245">
        <f t="shared" si="462"/>
        <v>56898</v>
      </c>
      <c r="CA245">
        <v>47300</v>
      </c>
      <c r="CB245">
        <f t="shared" si="463"/>
        <v>6622.0000000000009</v>
      </c>
      <c r="CC245">
        <f t="shared" si="464"/>
        <v>5676</v>
      </c>
      <c r="CD245">
        <v>0</v>
      </c>
      <c r="CE245">
        <v>500</v>
      </c>
      <c r="CF245">
        <f t="shared" si="465"/>
        <v>60098</v>
      </c>
      <c r="CG245">
        <v>3000</v>
      </c>
      <c r="CH245">
        <v>0</v>
      </c>
      <c r="CI245">
        <f t="shared" si="466"/>
        <v>200</v>
      </c>
      <c r="CJ245">
        <f t="shared" si="467"/>
        <v>56898</v>
      </c>
      <c r="CK245">
        <v>47300</v>
      </c>
      <c r="CL245">
        <f t="shared" si="468"/>
        <v>6622.0000000000009</v>
      </c>
      <c r="CM245">
        <f t="shared" si="469"/>
        <v>5676</v>
      </c>
      <c r="CN245">
        <v>0</v>
      </c>
      <c r="CO245">
        <v>500</v>
      </c>
      <c r="CP245">
        <f t="shared" si="470"/>
        <v>60098</v>
      </c>
      <c r="CQ245">
        <v>3000</v>
      </c>
      <c r="CR245">
        <v>0</v>
      </c>
      <c r="CS245">
        <f t="shared" si="471"/>
        <v>200</v>
      </c>
      <c r="CT245">
        <f t="shared" si="472"/>
        <v>56898</v>
      </c>
      <c r="CU245">
        <v>47300</v>
      </c>
      <c r="CV245">
        <f t="shared" si="473"/>
        <v>6622</v>
      </c>
      <c r="CW245">
        <f t="shared" si="474"/>
        <v>5676</v>
      </c>
      <c r="CX245">
        <v>0</v>
      </c>
      <c r="CY245">
        <v>500</v>
      </c>
      <c r="CZ245">
        <f t="shared" si="475"/>
        <v>60098</v>
      </c>
      <c r="DA245">
        <v>3000</v>
      </c>
      <c r="DB245">
        <v>0</v>
      </c>
      <c r="DC245">
        <f t="shared" si="476"/>
        <v>200</v>
      </c>
      <c r="DD245">
        <f t="shared" si="477"/>
        <v>56898</v>
      </c>
      <c r="DE245">
        <v>47300</v>
      </c>
      <c r="DF245">
        <f t="shared" si="478"/>
        <v>6622.0000000000009</v>
      </c>
      <c r="DG245">
        <f t="shared" si="479"/>
        <v>5676</v>
      </c>
      <c r="DH245">
        <v>0</v>
      </c>
      <c r="DI245">
        <v>500</v>
      </c>
      <c r="DJ245">
        <f t="shared" si="480"/>
        <v>60098</v>
      </c>
      <c r="DK245">
        <v>3000</v>
      </c>
      <c r="DL245">
        <v>0</v>
      </c>
      <c r="DM245">
        <f t="shared" si="481"/>
        <v>200</v>
      </c>
      <c r="DN245">
        <f t="shared" si="482"/>
        <v>56898</v>
      </c>
      <c r="DO245">
        <v>47300</v>
      </c>
      <c r="DP245">
        <f t="shared" si="483"/>
        <v>6622.0000000000009</v>
      </c>
      <c r="DQ245">
        <f t="shared" si="484"/>
        <v>5676</v>
      </c>
      <c r="DR245">
        <v>0</v>
      </c>
      <c r="DS245">
        <v>500</v>
      </c>
      <c r="DT245">
        <f t="shared" si="485"/>
        <v>60098</v>
      </c>
      <c r="DU245">
        <v>3000</v>
      </c>
      <c r="DV245">
        <v>0</v>
      </c>
      <c r="DW245">
        <f t="shared" si="486"/>
        <v>200</v>
      </c>
      <c r="DX245">
        <f t="shared" si="487"/>
        <v>56898</v>
      </c>
      <c r="DY245">
        <f t="shared" si="488"/>
        <v>712284</v>
      </c>
      <c r="DZ245">
        <f t="shared" si="420"/>
        <v>2400</v>
      </c>
      <c r="EA245">
        <f t="shared" si="421"/>
        <v>50000</v>
      </c>
      <c r="EB245">
        <v>0</v>
      </c>
      <c r="EC245">
        <f t="shared" si="422"/>
        <v>659884</v>
      </c>
      <c r="ED245">
        <f t="shared" si="423"/>
        <v>36000</v>
      </c>
      <c r="EE245">
        <f t="shared" si="424"/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f t="shared" si="425"/>
        <v>36000</v>
      </c>
      <c r="EQ245">
        <f t="shared" si="489"/>
        <v>36000</v>
      </c>
      <c r="ER245">
        <f t="shared" si="426"/>
        <v>623884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f t="shared" si="490"/>
        <v>0</v>
      </c>
      <c r="FA245">
        <f t="shared" si="491"/>
        <v>623884</v>
      </c>
      <c r="FB245">
        <f t="shared" si="492"/>
        <v>12500</v>
      </c>
      <c r="FC245">
        <f t="shared" si="493"/>
        <v>24777</v>
      </c>
      <c r="FD245">
        <f t="shared" si="494"/>
        <v>37277</v>
      </c>
      <c r="FE245">
        <f t="shared" si="495"/>
        <v>37277</v>
      </c>
      <c r="FF245">
        <f t="shared" si="496"/>
        <v>1491.08</v>
      </c>
      <c r="FG245">
        <f t="shared" si="497"/>
        <v>38768</v>
      </c>
      <c r="FH245">
        <v>0</v>
      </c>
      <c r="FI245">
        <f t="shared" si="498"/>
        <v>38768</v>
      </c>
      <c r="FJ245" t="b">
        <f t="shared" si="499"/>
        <v>1</v>
      </c>
      <c r="FK245">
        <f t="shared" ca="1" si="500"/>
        <v>508</v>
      </c>
      <c r="FL245">
        <f t="shared" ca="1" si="501"/>
        <v>712792</v>
      </c>
      <c r="FM245">
        <f t="shared" si="502"/>
        <v>75000</v>
      </c>
      <c r="FN245">
        <f t="shared" ca="1" si="503"/>
        <v>637792</v>
      </c>
      <c r="FO245">
        <f t="shared" ca="1" si="504"/>
        <v>0</v>
      </c>
      <c r="FP245">
        <f t="shared" ca="1" si="505"/>
        <v>0</v>
      </c>
      <c r="FQ245">
        <f t="shared" ca="1" si="506"/>
        <v>0</v>
      </c>
      <c r="FR245">
        <f t="shared" ca="1" si="507"/>
        <v>0</v>
      </c>
      <c r="FS245">
        <f t="shared" ca="1" si="508"/>
        <v>0</v>
      </c>
      <c r="FT245">
        <f t="shared" ca="1" si="509"/>
        <v>0</v>
      </c>
      <c r="FU245">
        <f t="shared" ca="1" si="510"/>
        <v>0</v>
      </c>
      <c r="FV245">
        <f t="shared" ca="1" si="511"/>
        <v>0</v>
      </c>
      <c r="FW245">
        <f t="shared" ca="1" si="512"/>
        <v>337792</v>
      </c>
      <c r="FX245">
        <f t="shared" ca="1" si="513"/>
        <v>16889.600000000002</v>
      </c>
      <c r="FY245">
        <f t="shared" ca="1" si="514"/>
        <v>16890</v>
      </c>
      <c r="FZ245">
        <f t="shared" ca="1" si="515"/>
        <v>0</v>
      </c>
      <c r="GA245">
        <f t="shared" ca="1" si="516"/>
        <v>0</v>
      </c>
      <c r="GB245">
        <f t="shared" ca="1" si="517"/>
        <v>16890</v>
      </c>
      <c r="GC245">
        <f t="shared" ca="1" si="518"/>
        <v>0</v>
      </c>
      <c r="GD245" t="b">
        <f t="shared" ca="1" si="519"/>
        <v>0</v>
      </c>
      <c r="GE245">
        <f t="shared" ca="1" si="520"/>
        <v>0</v>
      </c>
      <c r="GF245">
        <f t="shared" ca="1" si="521"/>
        <v>16890</v>
      </c>
      <c r="GG245">
        <f t="shared" ca="1" si="522"/>
        <v>0</v>
      </c>
      <c r="GH245">
        <f t="shared" ca="1" si="523"/>
        <v>0</v>
      </c>
      <c r="GI245">
        <f t="shared" ca="1" si="524"/>
        <v>0</v>
      </c>
    </row>
    <row r="246" spans="1:191" x14ac:dyDescent="0.25">
      <c r="A246">
        <f>_xlfn.AGGREGATE(3,5,$B$2:B246)</f>
        <v>245</v>
      </c>
      <c r="B246" t="s">
        <v>610</v>
      </c>
      <c r="C246" t="s">
        <v>611</v>
      </c>
      <c r="D246" t="s">
        <v>825</v>
      </c>
      <c r="E246" t="s">
        <v>843</v>
      </c>
      <c r="F246">
        <v>0</v>
      </c>
      <c r="G246">
        <v>6000</v>
      </c>
      <c r="H246">
        <v>32500</v>
      </c>
      <c r="I246">
        <f t="shared" si="427"/>
        <v>3250</v>
      </c>
      <c r="J246">
        <f t="shared" si="428"/>
        <v>3900</v>
      </c>
      <c r="K246">
        <v>0</v>
      </c>
      <c r="L246">
        <v>500</v>
      </c>
      <c r="M246">
        <f t="shared" si="429"/>
        <v>40150</v>
      </c>
      <c r="N246">
        <v>2000</v>
      </c>
      <c r="O246">
        <v>0</v>
      </c>
      <c r="P246">
        <f t="shared" si="430"/>
        <v>200</v>
      </c>
      <c r="Q246">
        <f t="shared" si="431"/>
        <v>37950</v>
      </c>
      <c r="R246">
        <v>32500</v>
      </c>
      <c r="S246">
        <f t="shared" si="432"/>
        <v>3250</v>
      </c>
      <c r="T246">
        <f t="shared" si="433"/>
        <v>3900</v>
      </c>
      <c r="U246">
        <v>0</v>
      </c>
      <c r="V246">
        <v>500</v>
      </c>
      <c r="W246">
        <f t="shared" si="434"/>
        <v>40150</v>
      </c>
      <c r="X246">
        <v>2000</v>
      </c>
      <c r="Y246">
        <v>0</v>
      </c>
      <c r="Z246">
        <f t="shared" si="435"/>
        <v>200</v>
      </c>
      <c r="AA246">
        <f t="shared" si="436"/>
        <v>37950</v>
      </c>
      <c r="AB246">
        <v>32500</v>
      </c>
      <c r="AC246">
        <f t="shared" si="437"/>
        <v>4550</v>
      </c>
      <c r="AD246">
        <f t="shared" si="438"/>
        <v>3900</v>
      </c>
      <c r="AE246">
        <v>0</v>
      </c>
      <c r="AF246">
        <v>500</v>
      </c>
      <c r="AG246">
        <f t="shared" si="439"/>
        <v>41450</v>
      </c>
      <c r="AH246">
        <v>2000</v>
      </c>
      <c r="AI246">
        <v>0</v>
      </c>
      <c r="AJ246">
        <f t="shared" si="440"/>
        <v>200</v>
      </c>
      <c r="AK246">
        <f t="shared" si="441"/>
        <v>39250</v>
      </c>
      <c r="AL246">
        <v>32500</v>
      </c>
      <c r="AM246">
        <f t="shared" si="442"/>
        <v>4550</v>
      </c>
      <c r="AN246">
        <f t="shared" si="443"/>
        <v>3900</v>
      </c>
      <c r="AO246">
        <v>0</v>
      </c>
      <c r="AP246">
        <v>500</v>
      </c>
      <c r="AQ246">
        <f t="shared" si="444"/>
        <v>41450</v>
      </c>
      <c r="AR246">
        <v>2000</v>
      </c>
      <c r="AS246">
        <v>0</v>
      </c>
      <c r="AT246">
        <f t="shared" si="445"/>
        <v>200</v>
      </c>
      <c r="AU246">
        <f t="shared" si="446"/>
        <v>39250</v>
      </c>
      <c r="AV246">
        <v>33500</v>
      </c>
      <c r="AW246">
        <f t="shared" si="447"/>
        <v>4690</v>
      </c>
      <c r="AX246">
        <f t="shared" si="448"/>
        <v>1300</v>
      </c>
      <c r="AY246">
        <f t="shared" si="449"/>
        <v>4020</v>
      </c>
      <c r="AZ246">
        <v>0</v>
      </c>
      <c r="BA246">
        <v>500</v>
      </c>
      <c r="BB246">
        <f t="shared" si="450"/>
        <v>44010</v>
      </c>
      <c r="BC246">
        <v>2500</v>
      </c>
      <c r="BD246">
        <v>0</v>
      </c>
      <c r="BE246">
        <f t="shared" si="451"/>
        <v>200</v>
      </c>
      <c r="BF246">
        <f t="shared" si="452"/>
        <v>41310</v>
      </c>
      <c r="BG246">
        <v>33500</v>
      </c>
      <c r="BH246">
        <f t="shared" si="453"/>
        <v>4690</v>
      </c>
      <c r="BI246">
        <f t="shared" si="454"/>
        <v>4020</v>
      </c>
      <c r="BJ246">
        <v>0</v>
      </c>
      <c r="BK246">
        <v>500</v>
      </c>
      <c r="BL246">
        <f t="shared" si="455"/>
        <v>42710</v>
      </c>
      <c r="BM246">
        <v>2500</v>
      </c>
      <c r="BN246">
        <v>0</v>
      </c>
      <c r="BO246">
        <f t="shared" si="456"/>
        <v>200</v>
      </c>
      <c r="BP246">
        <f t="shared" si="457"/>
        <v>40010</v>
      </c>
      <c r="BQ246">
        <v>33500</v>
      </c>
      <c r="BR246">
        <f t="shared" si="458"/>
        <v>4690</v>
      </c>
      <c r="BS246">
        <f t="shared" si="459"/>
        <v>4020</v>
      </c>
      <c r="BT246">
        <v>0</v>
      </c>
      <c r="BU246">
        <v>500</v>
      </c>
      <c r="BV246">
        <f t="shared" si="460"/>
        <v>42710</v>
      </c>
      <c r="BW246">
        <v>2500</v>
      </c>
      <c r="BX246">
        <v>0</v>
      </c>
      <c r="BY246">
        <f t="shared" si="461"/>
        <v>200</v>
      </c>
      <c r="BZ246">
        <f t="shared" si="462"/>
        <v>40010</v>
      </c>
      <c r="CA246">
        <v>33500</v>
      </c>
      <c r="CB246">
        <f t="shared" si="463"/>
        <v>4690</v>
      </c>
      <c r="CC246">
        <f t="shared" si="464"/>
        <v>4020</v>
      </c>
      <c r="CD246">
        <v>0</v>
      </c>
      <c r="CE246">
        <v>500</v>
      </c>
      <c r="CF246">
        <f t="shared" si="465"/>
        <v>42710</v>
      </c>
      <c r="CG246">
        <v>2500</v>
      </c>
      <c r="CH246">
        <v>0</v>
      </c>
      <c r="CI246">
        <f t="shared" si="466"/>
        <v>200</v>
      </c>
      <c r="CJ246">
        <f t="shared" si="467"/>
        <v>40010</v>
      </c>
      <c r="CK246">
        <v>33500</v>
      </c>
      <c r="CL246">
        <f t="shared" si="468"/>
        <v>4690</v>
      </c>
      <c r="CM246">
        <f t="shared" si="469"/>
        <v>4020</v>
      </c>
      <c r="CN246">
        <v>0</v>
      </c>
      <c r="CO246">
        <v>500</v>
      </c>
      <c r="CP246">
        <f t="shared" si="470"/>
        <v>42710</v>
      </c>
      <c r="CQ246">
        <v>2500</v>
      </c>
      <c r="CR246">
        <v>0</v>
      </c>
      <c r="CS246">
        <f t="shared" si="471"/>
        <v>200</v>
      </c>
      <c r="CT246">
        <f t="shared" si="472"/>
        <v>40010</v>
      </c>
      <c r="CU246">
        <v>33500</v>
      </c>
      <c r="CV246">
        <f t="shared" si="473"/>
        <v>4690</v>
      </c>
      <c r="CW246">
        <f t="shared" si="474"/>
        <v>4020</v>
      </c>
      <c r="CX246">
        <v>0</v>
      </c>
      <c r="CY246">
        <v>500</v>
      </c>
      <c r="CZ246">
        <f t="shared" si="475"/>
        <v>42710</v>
      </c>
      <c r="DA246">
        <v>2500</v>
      </c>
      <c r="DB246">
        <v>0</v>
      </c>
      <c r="DC246">
        <f t="shared" si="476"/>
        <v>200</v>
      </c>
      <c r="DD246">
        <f t="shared" si="477"/>
        <v>40010</v>
      </c>
      <c r="DE246">
        <v>33500</v>
      </c>
      <c r="DF246">
        <f t="shared" si="478"/>
        <v>4690</v>
      </c>
      <c r="DG246">
        <f t="shared" si="479"/>
        <v>4020</v>
      </c>
      <c r="DH246">
        <v>0</v>
      </c>
      <c r="DI246">
        <v>500</v>
      </c>
      <c r="DJ246">
        <f t="shared" si="480"/>
        <v>42710</v>
      </c>
      <c r="DK246">
        <v>2500</v>
      </c>
      <c r="DL246">
        <v>0</v>
      </c>
      <c r="DM246">
        <f t="shared" si="481"/>
        <v>200</v>
      </c>
      <c r="DN246">
        <f t="shared" si="482"/>
        <v>40010</v>
      </c>
      <c r="DO246">
        <v>33500</v>
      </c>
      <c r="DP246">
        <f t="shared" si="483"/>
        <v>4690</v>
      </c>
      <c r="DQ246">
        <f t="shared" si="484"/>
        <v>4020</v>
      </c>
      <c r="DR246">
        <v>0</v>
      </c>
      <c r="DS246">
        <v>500</v>
      </c>
      <c r="DT246">
        <f t="shared" si="485"/>
        <v>42710</v>
      </c>
      <c r="DU246">
        <v>2500</v>
      </c>
      <c r="DV246">
        <v>0</v>
      </c>
      <c r="DW246">
        <f t="shared" si="486"/>
        <v>200</v>
      </c>
      <c r="DX246">
        <f t="shared" si="487"/>
        <v>40010</v>
      </c>
      <c r="DY246">
        <f t="shared" si="488"/>
        <v>512180</v>
      </c>
      <c r="DZ246">
        <f t="shared" si="420"/>
        <v>2400</v>
      </c>
      <c r="EA246">
        <f t="shared" si="421"/>
        <v>50000</v>
      </c>
      <c r="EB246">
        <v>0</v>
      </c>
      <c r="EC246">
        <f t="shared" si="422"/>
        <v>459780</v>
      </c>
      <c r="ED246">
        <f t="shared" si="423"/>
        <v>28000</v>
      </c>
      <c r="EE246">
        <f t="shared" si="424"/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f t="shared" si="425"/>
        <v>28000</v>
      </c>
      <c r="EQ246">
        <f t="shared" si="489"/>
        <v>28000</v>
      </c>
      <c r="ER246">
        <f t="shared" si="426"/>
        <v>431780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f t="shared" si="490"/>
        <v>0</v>
      </c>
      <c r="FA246">
        <f t="shared" si="491"/>
        <v>431780</v>
      </c>
      <c r="FB246">
        <f t="shared" si="492"/>
        <v>9089</v>
      </c>
      <c r="FC246">
        <f t="shared" si="493"/>
        <v>0</v>
      </c>
      <c r="FD246">
        <f t="shared" si="494"/>
        <v>9089</v>
      </c>
      <c r="FE246">
        <f t="shared" si="495"/>
        <v>0</v>
      </c>
      <c r="FF246">
        <f t="shared" si="496"/>
        <v>0</v>
      </c>
      <c r="FG246">
        <f t="shared" si="497"/>
        <v>0</v>
      </c>
      <c r="FH246">
        <v>0</v>
      </c>
      <c r="FI246">
        <f t="shared" si="498"/>
        <v>0</v>
      </c>
      <c r="FJ246" t="b">
        <f t="shared" si="499"/>
        <v>1</v>
      </c>
      <c r="FK246">
        <f t="shared" ca="1" si="500"/>
        <v>573</v>
      </c>
      <c r="FL246">
        <f t="shared" ca="1" si="501"/>
        <v>512753</v>
      </c>
      <c r="FM246">
        <f t="shared" si="502"/>
        <v>75000</v>
      </c>
      <c r="FN246">
        <f t="shared" ca="1" si="503"/>
        <v>437753</v>
      </c>
      <c r="FO246">
        <f t="shared" ca="1" si="504"/>
        <v>0</v>
      </c>
      <c r="FP246">
        <f t="shared" ca="1" si="505"/>
        <v>0</v>
      </c>
      <c r="FQ246">
        <f t="shared" ca="1" si="506"/>
        <v>0</v>
      </c>
      <c r="FR246">
        <f t="shared" ca="1" si="507"/>
        <v>0</v>
      </c>
      <c r="FS246">
        <f t="shared" ca="1" si="508"/>
        <v>0</v>
      </c>
      <c r="FT246">
        <f t="shared" ca="1" si="509"/>
        <v>0</v>
      </c>
      <c r="FU246">
        <f t="shared" ca="1" si="510"/>
        <v>0</v>
      </c>
      <c r="FV246">
        <f t="shared" ca="1" si="511"/>
        <v>0</v>
      </c>
      <c r="FW246">
        <f t="shared" ca="1" si="512"/>
        <v>137753</v>
      </c>
      <c r="FX246">
        <f t="shared" ca="1" si="513"/>
        <v>6887.6500000000005</v>
      </c>
      <c r="FY246">
        <f t="shared" ca="1" si="514"/>
        <v>6888</v>
      </c>
      <c r="FZ246">
        <f t="shared" ca="1" si="515"/>
        <v>0</v>
      </c>
      <c r="GA246">
        <f t="shared" ca="1" si="516"/>
        <v>0</v>
      </c>
      <c r="GB246">
        <f t="shared" ca="1" si="517"/>
        <v>6888</v>
      </c>
      <c r="GC246">
        <f t="shared" ca="1" si="518"/>
        <v>0</v>
      </c>
      <c r="GD246" t="b">
        <f t="shared" ca="1" si="519"/>
        <v>0</v>
      </c>
      <c r="GE246">
        <f t="shared" ca="1" si="520"/>
        <v>0</v>
      </c>
      <c r="GF246">
        <f t="shared" ca="1" si="521"/>
        <v>6888</v>
      </c>
      <c r="GG246">
        <f t="shared" ca="1" si="522"/>
        <v>0</v>
      </c>
      <c r="GH246">
        <f t="shared" ca="1" si="523"/>
        <v>0</v>
      </c>
      <c r="GI246">
        <f t="shared" ca="1" si="524"/>
        <v>0</v>
      </c>
    </row>
    <row r="247" spans="1:191" x14ac:dyDescent="0.25">
      <c r="A247">
        <f>_xlfn.AGGREGATE(3,5,$B$2:B247)</f>
        <v>246</v>
      </c>
      <c r="B247" t="s">
        <v>612</v>
      </c>
      <c r="C247" t="s">
        <v>613</v>
      </c>
      <c r="D247" t="s">
        <v>825</v>
      </c>
      <c r="E247" t="s">
        <v>843</v>
      </c>
      <c r="F247">
        <v>0</v>
      </c>
      <c r="G247">
        <v>6000</v>
      </c>
      <c r="H247">
        <v>32500</v>
      </c>
      <c r="I247">
        <f t="shared" si="427"/>
        <v>3250</v>
      </c>
      <c r="J247">
        <f t="shared" si="428"/>
        <v>3900</v>
      </c>
      <c r="K247">
        <v>0</v>
      </c>
      <c r="L247">
        <v>500</v>
      </c>
      <c r="M247">
        <f t="shared" si="429"/>
        <v>40150</v>
      </c>
      <c r="N247">
        <v>2000</v>
      </c>
      <c r="O247">
        <v>0</v>
      </c>
      <c r="P247">
        <f t="shared" si="430"/>
        <v>200</v>
      </c>
      <c r="Q247">
        <f t="shared" si="431"/>
        <v>37950</v>
      </c>
      <c r="R247">
        <v>32500</v>
      </c>
      <c r="S247">
        <f t="shared" si="432"/>
        <v>3250</v>
      </c>
      <c r="T247">
        <f t="shared" si="433"/>
        <v>3900</v>
      </c>
      <c r="U247">
        <v>0</v>
      </c>
      <c r="V247">
        <v>500</v>
      </c>
      <c r="W247">
        <f t="shared" si="434"/>
        <v>40150</v>
      </c>
      <c r="X247">
        <v>2000</v>
      </c>
      <c r="Y247">
        <v>0</v>
      </c>
      <c r="Z247">
        <f t="shared" si="435"/>
        <v>200</v>
      </c>
      <c r="AA247">
        <f t="shared" si="436"/>
        <v>37950</v>
      </c>
      <c r="AB247">
        <v>32500</v>
      </c>
      <c r="AC247">
        <f t="shared" si="437"/>
        <v>4550</v>
      </c>
      <c r="AD247">
        <f t="shared" si="438"/>
        <v>3900</v>
      </c>
      <c r="AE247">
        <v>0</v>
      </c>
      <c r="AF247">
        <v>500</v>
      </c>
      <c r="AG247">
        <f t="shared" si="439"/>
        <v>41450</v>
      </c>
      <c r="AH247">
        <v>2000</v>
      </c>
      <c r="AI247">
        <v>0</v>
      </c>
      <c r="AJ247">
        <f t="shared" si="440"/>
        <v>200</v>
      </c>
      <c r="AK247">
        <f t="shared" si="441"/>
        <v>39250</v>
      </c>
      <c r="AL247">
        <v>32500</v>
      </c>
      <c r="AM247">
        <f t="shared" si="442"/>
        <v>4550</v>
      </c>
      <c r="AN247">
        <f t="shared" si="443"/>
        <v>3900</v>
      </c>
      <c r="AO247">
        <v>0</v>
      </c>
      <c r="AP247">
        <v>500</v>
      </c>
      <c r="AQ247">
        <f t="shared" si="444"/>
        <v>41450</v>
      </c>
      <c r="AR247">
        <v>2000</v>
      </c>
      <c r="AS247">
        <v>0</v>
      </c>
      <c r="AT247">
        <f t="shared" si="445"/>
        <v>200</v>
      </c>
      <c r="AU247">
        <f t="shared" si="446"/>
        <v>39250</v>
      </c>
      <c r="AV247">
        <v>33500</v>
      </c>
      <c r="AW247">
        <f t="shared" si="447"/>
        <v>4690</v>
      </c>
      <c r="AX247">
        <f t="shared" si="448"/>
        <v>1300</v>
      </c>
      <c r="AY247">
        <f t="shared" si="449"/>
        <v>4020</v>
      </c>
      <c r="AZ247">
        <v>0</v>
      </c>
      <c r="BA247">
        <v>500</v>
      </c>
      <c r="BB247">
        <f t="shared" si="450"/>
        <v>44010</v>
      </c>
      <c r="BC247">
        <v>2500</v>
      </c>
      <c r="BD247">
        <v>0</v>
      </c>
      <c r="BE247">
        <f t="shared" si="451"/>
        <v>200</v>
      </c>
      <c r="BF247">
        <f t="shared" si="452"/>
        <v>41310</v>
      </c>
      <c r="BG247">
        <v>33500</v>
      </c>
      <c r="BH247">
        <f t="shared" si="453"/>
        <v>4690</v>
      </c>
      <c r="BI247">
        <f t="shared" si="454"/>
        <v>4020</v>
      </c>
      <c r="BJ247">
        <v>0</v>
      </c>
      <c r="BK247">
        <v>500</v>
      </c>
      <c r="BL247">
        <f t="shared" si="455"/>
        <v>42710</v>
      </c>
      <c r="BM247">
        <v>2500</v>
      </c>
      <c r="BN247">
        <v>0</v>
      </c>
      <c r="BO247">
        <f t="shared" si="456"/>
        <v>200</v>
      </c>
      <c r="BP247">
        <f t="shared" si="457"/>
        <v>40010</v>
      </c>
      <c r="BQ247">
        <v>33500</v>
      </c>
      <c r="BR247">
        <f t="shared" si="458"/>
        <v>4690</v>
      </c>
      <c r="BS247">
        <f t="shared" si="459"/>
        <v>4020</v>
      </c>
      <c r="BT247">
        <v>0</v>
      </c>
      <c r="BU247">
        <v>500</v>
      </c>
      <c r="BV247">
        <f t="shared" si="460"/>
        <v>42710</v>
      </c>
      <c r="BW247">
        <v>2500</v>
      </c>
      <c r="BX247">
        <v>0</v>
      </c>
      <c r="BY247">
        <f t="shared" si="461"/>
        <v>200</v>
      </c>
      <c r="BZ247">
        <f t="shared" si="462"/>
        <v>40010</v>
      </c>
      <c r="CA247">
        <v>33500</v>
      </c>
      <c r="CB247">
        <f t="shared" si="463"/>
        <v>4690</v>
      </c>
      <c r="CC247">
        <f t="shared" si="464"/>
        <v>4020</v>
      </c>
      <c r="CD247">
        <v>0</v>
      </c>
      <c r="CE247">
        <v>500</v>
      </c>
      <c r="CF247">
        <f t="shared" si="465"/>
        <v>42710</v>
      </c>
      <c r="CG247">
        <v>2500</v>
      </c>
      <c r="CH247">
        <v>0</v>
      </c>
      <c r="CI247">
        <f t="shared" si="466"/>
        <v>200</v>
      </c>
      <c r="CJ247">
        <f t="shared" si="467"/>
        <v>40010</v>
      </c>
      <c r="CK247">
        <v>33500</v>
      </c>
      <c r="CL247">
        <f t="shared" si="468"/>
        <v>4690</v>
      </c>
      <c r="CM247">
        <f t="shared" si="469"/>
        <v>4020</v>
      </c>
      <c r="CN247">
        <v>0</v>
      </c>
      <c r="CO247">
        <v>500</v>
      </c>
      <c r="CP247">
        <f t="shared" si="470"/>
        <v>42710</v>
      </c>
      <c r="CQ247">
        <v>2500</v>
      </c>
      <c r="CR247">
        <v>0</v>
      </c>
      <c r="CS247">
        <f t="shared" si="471"/>
        <v>200</v>
      </c>
      <c r="CT247">
        <f t="shared" si="472"/>
        <v>40010</v>
      </c>
      <c r="CU247">
        <v>33500</v>
      </c>
      <c r="CV247">
        <f t="shared" si="473"/>
        <v>4690</v>
      </c>
      <c r="CW247">
        <f t="shared" si="474"/>
        <v>4020</v>
      </c>
      <c r="CX247">
        <v>0</v>
      </c>
      <c r="CY247">
        <v>500</v>
      </c>
      <c r="CZ247">
        <f t="shared" si="475"/>
        <v>42710</v>
      </c>
      <c r="DA247">
        <v>2500</v>
      </c>
      <c r="DB247">
        <v>0</v>
      </c>
      <c r="DC247">
        <f t="shared" si="476"/>
        <v>200</v>
      </c>
      <c r="DD247">
        <f t="shared" si="477"/>
        <v>40010</v>
      </c>
      <c r="DE247">
        <v>33500</v>
      </c>
      <c r="DF247">
        <f t="shared" si="478"/>
        <v>4690</v>
      </c>
      <c r="DG247">
        <f t="shared" si="479"/>
        <v>4020</v>
      </c>
      <c r="DH247">
        <v>0</v>
      </c>
      <c r="DI247">
        <v>500</v>
      </c>
      <c r="DJ247">
        <f t="shared" si="480"/>
        <v>42710</v>
      </c>
      <c r="DK247">
        <v>2500</v>
      </c>
      <c r="DL247">
        <v>0</v>
      </c>
      <c r="DM247">
        <f t="shared" si="481"/>
        <v>200</v>
      </c>
      <c r="DN247">
        <f t="shared" si="482"/>
        <v>40010</v>
      </c>
      <c r="DO247">
        <v>33500</v>
      </c>
      <c r="DP247">
        <f t="shared" si="483"/>
        <v>4690</v>
      </c>
      <c r="DQ247">
        <f t="shared" si="484"/>
        <v>4020</v>
      </c>
      <c r="DR247">
        <v>0</v>
      </c>
      <c r="DS247">
        <v>500</v>
      </c>
      <c r="DT247">
        <f t="shared" si="485"/>
        <v>42710</v>
      </c>
      <c r="DU247">
        <v>2500</v>
      </c>
      <c r="DV247">
        <v>0</v>
      </c>
      <c r="DW247">
        <f t="shared" si="486"/>
        <v>200</v>
      </c>
      <c r="DX247">
        <f t="shared" si="487"/>
        <v>40010</v>
      </c>
      <c r="DY247">
        <f t="shared" si="488"/>
        <v>512180</v>
      </c>
      <c r="DZ247">
        <f t="shared" si="420"/>
        <v>2400</v>
      </c>
      <c r="EA247">
        <f t="shared" si="421"/>
        <v>50000</v>
      </c>
      <c r="EB247">
        <v>0</v>
      </c>
      <c r="EC247">
        <f t="shared" si="422"/>
        <v>459780</v>
      </c>
      <c r="ED247">
        <f t="shared" si="423"/>
        <v>28000</v>
      </c>
      <c r="EE247">
        <f t="shared" si="424"/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f t="shared" si="425"/>
        <v>28000</v>
      </c>
      <c r="EQ247">
        <f t="shared" si="489"/>
        <v>28000</v>
      </c>
      <c r="ER247">
        <f t="shared" si="426"/>
        <v>431780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f t="shared" si="490"/>
        <v>0</v>
      </c>
      <c r="FA247">
        <f t="shared" si="491"/>
        <v>431780</v>
      </c>
      <c r="FB247">
        <f t="shared" si="492"/>
        <v>9089</v>
      </c>
      <c r="FC247">
        <f t="shared" si="493"/>
        <v>0</v>
      </c>
      <c r="FD247">
        <f t="shared" si="494"/>
        <v>9089</v>
      </c>
      <c r="FE247">
        <f t="shared" si="495"/>
        <v>0</v>
      </c>
      <c r="FF247">
        <f t="shared" si="496"/>
        <v>0</v>
      </c>
      <c r="FG247">
        <f t="shared" si="497"/>
        <v>0</v>
      </c>
      <c r="FH247">
        <v>0</v>
      </c>
      <c r="FI247">
        <f t="shared" si="498"/>
        <v>0</v>
      </c>
      <c r="FJ247" t="b">
        <f t="shared" si="499"/>
        <v>1</v>
      </c>
      <c r="FK247">
        <f t="shared" ca="1" si="500"/>
        <v>622</v>
      </c>
      <c r="FL247">
        <f t="shared" ca="1" si="501"/>
        <v>512802</v>
      </c>
      <c r="FM247">
        <f t="shared" si="502"/>
        <v>75000</v>
      </c>
      <c r="FN247">
        <f t="shared" ca="1" si="503"/>
        <v>437802</v>
      </c>
      <c r="FO247">
        <f t="shared" ca="1" si="504"/>
        <v>0</v>
      </c>
      <c r="FP247">
        <f t="shared" ca="1" si="505"/>
        <v>0</v>
      </c>
      <c r="FQ247">
        <f t="shared" ca="1" si="506"/>
        <v>0</v>
      </c>
      <c r="FR247">
        <f t="shared" ca="1" si="507"/>
        <v>0</v>
      </c>
      <c r="FS247">
        <f t="shared" ca="1" si="508"/>
        <v>0</v>
      </c>
      <c r="FT247">
        <f t="shared" ca="1" si="509"/>
        <v>0</v>
      </c>
      <c r="FU247">
        <f t="shared" ca="1" si="510"/>
        <v>0</v>
      </c>
      <c r="FV247">
        <f t="shared" ca="1" si="511"/>
        <v>0</v>
      </c>
      <c r="FW247">
        <f t="shared" ca="1" si="512"/>
        <v>137802</v>
      </c>
      <c r="FX247">
        <f t="shared" ca="1" si="513"/>
        <v>6890.1</v>
      </c>
      <c r="FY247">
        <f t="shared" ca="1" si="514"/>
        <v>6890</v>
      </c>
      <c r="FZ247">
        <f t="shared" ca="1" si="515"/>
        <v>0</v>
      </c>
      <c r="GA247">
        <f t="shared" ca="1" si="516"/>
        <v>0</v>
      </c>
      <c r="GB247">
        <f t="shared" ca="1" si="517"/>
        <v>6890</v>
      </c>
      <c r="GC247">
        <f t="shared" ca="1" si="518"/>
        <v>0</v>
      </c>
      <c r="GD247" t="b">
        <f t="shared" ca="1" si="519"/>
        <v>0</v>
      </c>
      <c r="GE247">
        <f t="shared" ca="1" si="520"/>
        <v>0</v>
      </c>
      <c r="GF247">
        <f t="shared" ca="1" si="521"/>
        <v>6890</v>
      </c>
      <c r="GG247">
        <f t="shared" ca="1" si="522"/>
        <v>0</v>
      </c>
      <c r="GH247">
        <f t="shared" ca="1" si="523"/>
        <v>0</v>
      </c>
      <c r="GI247">
        <f t="shared" ca="1" si="524"/>
        <v>0</v>
      </c>
    </row>
    <row r="248" spans="1:191" x14ac:dyDescent="0.25">
      <c r="A248">
        <f>_xlfn.AGGREGATE(3,5,$B$2:B248)</f>
        <v>247</v>
      </c>
      <c r="B248" t="s">
        <v>614</v>
      </c>
      <c r="C248" t="s">
        <v>615</v>
      </c>
      <c r="D248" t="s">
        <v>825</v>
      </c>
      <c r="E248" t="s">
        <v>843</v>
      </c>
      <c r="F248">
        <v>0</v>
      </c>
      <c r="G248">
        <v>0</v>
      </c>
      <c r="H248">
        <v>0</v>
      </c>
      <c r="I248">
        <f t="shared" si="427"/>
        <v>0</v>
      </c>
      <c r="J248">
        <f t="shared" si="428"/>
        <v>0</v>
      </c>
      <c r="K248">
        <v>0</v>
      </c>
      <c r="L248">
        <v>0</v>
      </c>
      <c r="M248">
        <f t="shared" si="429"/>
        <v>0</v>
      </c>
      <c r="N248">
        <v>0</v>
      </c>
      <c r="O248">
        <v>0</v>
      </c>
      <c r="P248">
        <f t="shared" si="430"/>
        <v>0</v>
      </c>
      <c r="Q248">
        <f t="shared" si="431"/>
        <v>0</v>
      </c>
      <c r="R248">
        <v>28900</v>
      </c>
      <c r="S248">
        <f t="shared" si="432"/>
        <v>2890</v>
      </c>
      <c r="T248">
        <f t="shared" si="433"/>
        <v>3468</v>
      </c>
      <c r="U248">
        <v>0</v>
      </c>
      <c r="V248">
        <v>500</v>
      </c>
      <c r="W248">
        <f t="shared" si="434"/>
        <v>35758</v>
      </c>
      <c r="X248">
        <v>0</v>
      </c>
      <c r="Y248">
        <v>0</v>
      </c>
      <c r="Z248">
        <f t="shared" si="435"/>
        <v>150</v>
      </c>
      <c r="AA248">
        <f t="shared" si="436"/>
        <v>35608</v>
      </c>
      <c r="AB248">
        <v>28900</v>
      </c>
      <c r="AC248">
        <f t="shared" si="437"/>
        <v>4046.0000000000005</v>
      </c>
      <c r="AD248">
        <f t="shared" si="438"/>
        <v>3468</v>
      </c>
      <c r="AE248">
        <v>0</v>
      </c>
      <c r="AF248">
        <v>500</v>
      </c>
      <c r="AG248">
        <f t="shared" si="439"/>
        <v>36914</v>
      </c>
      <c r="AH248">
        <v>0</v>
      </c>
      <c r="AI248">
        <v>0</v>
      </c>
      <c r="AJ248">
        <f t="shared" si="440"/>
        <v>150</v>
      </c>
      <c r="AK248">
        <f t="shared" si="441"/>
        <v>36764</v>
      </c>
      <c r="AL248">
        <v>28900</v>
      </c>
      <c r="AM248">
        <f t="shared" si="442"/>
        <v>4046.0000000000005</v>
      </c>
      <c r="AN248">
        <f t="shared" si="443"/>
        <v>3468</v>
      </c>
      <c r="AO248">
        <v>0</v>
      </c>
      <c r="AP248">
        <v>500</v>
      </c>
      <c r="AQ248">
        <f t="shared" si="444"/>
        <v>36914</v>
      </c>
      <c r="AR248">
        <v>0</v>
      </c>
      <c r="AS248">
        <v>0</v>
      </c>
      <c r="AT248">
        <f t="shared" si="445"/>
        <v>150</v>
      </c>
      <c r="AU248">
        <f t="shared" si="446"/>
        <v>36764</v>
      </c>
      <c r="AV248">
        <v>28900</v>
      </c>
      <c r="AW248">
        <f t="shared" si="447"/>
        <v>4046.0000000000005</v>
      </c>
      <c r="AX248">
        <f t="shared" si="448"/>
        <v>1156</v>
      </c>
      <c r="AY248">
        <f t="shared" si="449"/>
        <v>3468</v>
      </c>
      <c r="AZ248">
        <v>0</v>
      </c>
      <c r="BA248">
        <v>500</v>
      </c>
      <c r="BB248">
        <f t="shared" si="450"/>
        <v>38070</v>
      </c>
      <c r="BC248">
        <v>0</v>
      </c>
      <c r="BD248">
        <v>0</v>
      </c>
      <c r="BE248">
        <f t="shared" si="451"/>
        <v>150</v>
      </c>
      <c r="BF248">
        <f t="shared" si="452"/>
        <v>37920</v>
      </c>
      <c r="BG248">
        <v>28900</v>
      </c>
      <c r="BH248">
        <f t="shared" si="453"/>
        <v>4046.0000000000005</v>
      </c>
      <c r="BI248">
        <f t="shared" si="454"/>
        <v>3468</v>
      </c>
      <c r="BJ248">
        <v>0</v>
      </c>
      <c r="BK248">
        <v>500</v>
      </c>
      <c r="BL248">
        <f t="shared" si="455"/>
        <v>36914</v>
      </c>
      <c r="BM248">
        <v>0</v>
      </c>
      <c r="BN248">
        <v>0</v>
      </c>
      <c r="BO248">
        <f t="shared" si="456"/>
        <v>150</v>
      </c>
      <c r="BP248">
        <f t="shared" si="457"/>
        <v>36764</v>
      </c>
      <c r="BQ248">
        <v>28900</v>
      </c>
      <c r="BR248">
        <f t="shared" si="458"/>
        <v>4046.0000000000005</v>
      </c>
      <c r="BS248">
        <f t="shared" si="459"/>
        <v>3468</v>
      </c>
      <c r="BT248">
        <v>0</v>
      </c>
      <c r="BU248">
        <v>500</v>
      </c>
      <c r="BV248">
        <f t="shared" si="460"/>
        <v>36914</v>
      </c>
      <c r="BW248">
        <v>0</v>
      </c>
      <c r="BX248">
        <v>0</v>
      </c>
      <c r="BY248">
        <f t="shared" si="461"/>
        <v>150</v>
      </c>
      <c r="BZ248">
        <f t="shared" si="462"/>
        <v>36764</v>
      </c>
      <c r="CA248">
        <v>28900</v>
      </c>
      <c r="CB248">
        <f t="shared" si="463"/>
        <v>4046.0000000000005</v>
      </c>
      <c r="CC248">
        <f t="shared" si="464"/>
        <v>3468</v>
      </c>
      <c r="CD248">
        <v>0</v>
      </c>
      <c r="CE248">
        <v>500</v>
      </c>
      <c r="CF248">
        <f t="shared" si="465"/>
        <v>36914</v>
      </c>
      <c r="CG248">
        <v>0</v>
      </c>
      <c r="CH248">
        <v>0</v>
      </c>
      <c r="CI248">
        <f t="shared" si="466"/>
        <v>150</v>
      </c>
      <c r="CJ248">
        <f t="shared" si="467"/>
        <v>36764</v>
      </c>
      <c r="CK248">
        <v>28900</v>
      </c>
      <c r="CL248">
        <f t="shared" si="468"/>
        <v>4046.0000000000005</v>
      </c>
      <c r="CM248">
        <f t="shared" si="469"/>
        <v>3468</v>
      </c>
      <c r="CN248">
        <v>0</v>
      </c>
      <c r="CO248">
        <v>500</v>
      </c>
      <c r="CP248">
        <f t="shared" si="470"/>
        <v>36914</v>
      </c>
      <c r="CQ248">
        <v>0</v>
      </c>
      <c r="CR248">
        <v>0</v>
      </c>
      <c r="CS248">
        <f t="shared" si="471"/>
        <v>150</v>
      </c>
      <c r="CT248">
        <f t="shared" si="472"/>
        <v>36764</v>
      </c>
      <c r="CU248">
        <v>28900</v>
      </c>
      <c r="CV248">
        <f t="shared" si="473"/>
        <v>4046</v>
      </c>
      <c r="CW248">
        <f t="shared" si="474"/>
        <v>3468</v>
      </c>
      <c r="CX248">
        <v>0</v>
      </c>
      <c r="CY248">
        <v>500</v>
      </c>
      <c r="CZ248">
        <f t="shared" si="475"/>
        <v>36914</v>
      </c>
      <c r="DA248">
        <v>0</v>
      </c>
      <c r="DB248">
        <v>0</v>
      </c>
      <c r="DC248">
        <f t="shared" si="476"/>
        <v>150</v>
      </c>
      <c r="DD248">
        <f t="shared" si="477"/>
        <v>36764</v>
      </c>
      <c r="DE248">
        <v>28900</v>
      </c>
      <c r="DF248">
        <f t="shared" si="478"/>
        <v>4046.0000000000005</v>
      </c>
      <c r="DG248">
        <f t="shared" si="479"/>
        <v>3468</v>
      </c>
      <c r="DH248">
        <v>0</v>
      </c>
      <c r="DI248">
        <v>500</v>
      </c>
      <c r="DJ248">
        <f t="shared" si="480"/>
        <v>36914</v>
      </c>
      <c r="DK248">
        <v>0</v>
      </c>
      <c r="DL248">
        <v>0</v>
      </c>
      <c r="DM248">
        <f t="shared" si="481"/>
        <v>150</v>
      </c>
      <c r="DN248">
        <f t="shared" si="482"/>
        <v>36764</v>
      </c>
      <c r="DO248">
        <v>28900</v>
      </c>
      <c r="DP248">
        <f t="shared" si="483"/>
        <v>4046.0000000000005</v>
      </c>
      <c r="DQ248">
        <f t="shared" si="484"/>
        <v>3468</v>
      </c>
      <c r="DR248">
        <v>0</v>
      </c>
      <c r="DS248">
        <v>500</v>
      </c>
      <c r="DT248">
        <f t="shared" si="485"/>
        <v>36914</v>
      </c>
      <c r="DU248">
        <v>2000</v>
      </c>
      <c r="DV248">
        <v>0</v>
      </c>
      <c r="DW248">
        <f t="shared" si="486"/>
        <v>150</v>
      </c>
      <c r="DX248">
        <f t="shared" si="487"/>
        <v>34764</v>
      </c>
      <c r="DY248">
        <f t="shared" si="488"/>
        <v>406054</v>
      </c>
      <c r="DZ248">
        <f t="shared" si="420"/>
        <v>1650</v>
      </c>
      <c r="EA248">
        <f t="shared" si="421"/>
        <v>50000</v>
      </c>
      <c r="EB248">
        <v>0</v>
      </c>
      <c r="EC248">
        <f t="shared" si="422"/>
        <v>354404</v>
      </c>
      <c r="ED248">
        <f t="shared" si="423"/>
        <v>2000</v>
      </c>
      <c r="EE248">
        <f t="shared" si="424"/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f t="shared" si="425"/>
        <v>2000</v>
      </c>
      <c r="EQ248">
        <f t="shared" si="489"/>
        <v>2000</v>
      </c>
      <c r="ER248">
        <f t="shared" si="426"/>
        <v>352404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f t="shared" si="490"/>
        <v>0</v>
      </c>
      <c r="FA248">
        <f t="shared" si="491"/>
        <v>352404</v>
      </c>
      <c r="FB248">
        <f t="shared" si="492"/>
        <v>5120</v>
      </c>
      <c r="FC248">
        <f t="shared" si="493"/>
        <v>0</v>
      </c>
      <c r="FD248">
        <f t="shared" si="494"/>
        <v>5120</v>
      </c>
      <c r="FE248">
        <f t="shared" si="495"/>
        <v>0</v>
      </c>
      <c r="FF248">
        <f t="shared" si="496"/>
        <v>0</v>
      </c>
      <c r="FG248">
        <f t="shared" si="497"/>
        <v>0</v>
      </c>
      <c r="FH248">
        <v>0</v>
      </c>
      <c r="FI248">
        <f t="shared" si="498"/>
        <v>0</v>
      </c>
      <c r="FJ248" t="b">
        <f t="shared" si="499"/>
        <v>0</v>
      </c>
      <c r="FK248">
        <f t="shared" ca="1" si="500"/>
        <v>1068</v>
      </c>
      <c r="FL248">
        <f t="shared" ca="1" si="501"/>
        <v>407122</v>
      </c>
      <c r="FM248">
        <f t="shared" si="502"/>
        <v>75000</v>
      </c>
      <c r="FN248">
        <f t="shared" ca="1" si="503"/>
        <v>332122</v>
      </c>
      <c r="FO248">
        <f t="shared" ca="1" si="504"/>
        <v>0</v>
      </c>
      <c r="FP248">
        <f t="shared" ca="1" si="505"/>
        <v>0</v>
      </c>
      <c r="FQ248">
        <f t="shared" ca="1" si="506"/>
        <v>0</v>
      </c>
      <c r="FR248">
        <f t="shared" ca="1" si="507"/>
        <v>0</v>
      </c>
      <c r="FS248">
        <f t="shared" ca="1" si="508"/>
        <v>0</v>
      </c>
      <c r="FT248">
        <f t="shared" ca="1" si="509"/>
        <v>0</v>
      </c>
      <c r="FU248">
        <f t="shared" ca="1" si="510"/>
        <v>0</v>
      </c>
      <c r="FV248">
        <f t="shared" ca="1" si="511"/>
        <v>0</v>
      </c>
      <c r="FW248">
        <f t="shared" ca="1" si="512"/>
        <v>32122</v>
      </c>
      <c r="FX248">
        <f t="shared" ca="1" si="513"/>
        <v>1606.1000000000001</v>
      </c>
      <c r="FY248">
        <f t="shared" ca="1" si="514"/>
        <v>1606</v>
      </c>
      <c r="FZ248">
        <f t="shared" ca="1" si="515"/>
        <v>0</v>
      </c>
      <c r="GA248">
        <f t="shared" ca="1" si="516"/>
        <v>0</v>
      </c>
      <c r="GB248">
        <f t="shared" ca="1" si="517"/>
        <v>1606</v>
      </c>
      <c r="GC248">
        <f t="shared" ca="1" si="518"/>
        <v>0</v>
      </c>
      <c r="GD248" t="b">
        <f t="shared" ca="1" si="519"/>
        <v>0</v>
      </c>
      <c r="GE248">
        <f t="shared" ca="1" si="520"/>
        <v>0</v>
      </c>
      <c r="GF248">
        <f t="shared" ca="1" si="521"/>
        <v>1606</v>
      </c>
      <c r="GG248">
        <f t="shared" ca="1" si="522"/>
        <v>0</v>
      </c>
      <c r="GH248">
        <f t="shared" ca="1" si="523"/>
        <v>0</v>
      </c>
      <c r="GI248">
        <f t="shared" ca="1" si="524"/>
        <v>0</v>
      </c>
    </row>
    <row r="249" spans="1:191" x14ac:dyDescent="0.25">
      <c r="A249">
        <f>_xlfn.AGGREGATE(3,5,$B$2:B249)</f>
        <v>248</v>
      </c>
      <c r="B249" t="s">
        <v>616</v>
      </c>
      <c r="C249" t="s">
        <v>617</v>
      </c>
      <c r="D249" t="s">
        <v>826</v>
      </c>
      <c r="E249" t="s">
        <v>843</v>
      </c>
      <c r="F249">
        <v>0</v>
      </c>
      <c r="G249">
        <v>0</v>
      </c>
      <c r="H249">
        <v>47300</v>
      </c>
      <c r="I249">
        <f t="shared" si="427"/>
        <v>4730</v>
      </c>
      <c r="J249">
        <f t="shared" si="428"/>
        <v>5676</v>
      </c>
      <c r="K249">
        <v>400</v>
      </c>
      <c r="L249">
        <v>500</v>
      </c>
      <c r="M249">
        <f t="shared" si="429"/>
        <v>58606</v>
      </c>
      <c r="N249">
        <v>3000</v>
      </c>
      <c r="O249">
        <v>0</v>
      </c>
      <c r="P249">
        <f t="shared" si="430"/>
        <v>200</v>
      </c>
      <c r="Q249">
        <f t="shared" si="431"/>
        <v>55406</v>
      </c>
      <c r="R249">
        <v>47300</v>
      </c>
      <c r="S249">
        <f t="shared" si="432"/>
        <v>4730</v>
      </c>
      <c r="T249">
        <f t="shared" si="433"/>
        <v>5676</v>
      </c>
      <c r="U249">
        <v>400</v>
      </c>
      <c r="V249">
        <v>500</v>
      </c>
      <c r="W249">
        <f t="shared" si="434"/>
        <v>58606</v>
      </c>
      <c r="X249">
        <v>3000</v>
      </c>
      <c r="Y249">
        <v>0</v>
      </c>
      <c r="Z249">
        <f t="shared" si="435"/>
        <v>200</v>
      </c>
      <c r="AA249">
        <f t="shared" si="436"/>
        <v>55406</v>
      </c>
      <c r="AB249">
        <v>47300</v>
      </c>
      <c r="AC249">
        <f t="shared" si="437"/>
        <v>6622.0000000000009</v>
      </c>
      <c r="AD249">
        <f t="shared" si="438"/>
        <v>5676</v>
      </c>
      <c r="AE249">
        <v>400</v>
      </c>
      <c r="AF249">
        <v>500</v>
      </c>
      <c r="AG249">
        <f t="shared" si="439"/>
        <v>60498</v>
      </c>
      <c r="AH249">
        <v>3000</v>
      </c>
      <c r="AI249">
        <v>0</v>
      </c>
      <c r="AJ249">
        <f t="shared" si="440"/>
        <v>200</v>
      </c>
      <c r="AK249">
        <f t="shared" si="441"/>
        <v>57298</v>
      </c>
      <c r="AL249">
        <v>47300</v>
      </c>
      <c r="AM249">
        <f t="shared" si="442"/>
        <v>6622.0000000000009</v>
      </c>
      <c r="AN249">
        <f t="shared" si="443"/>
        <v>5676</v>
      </c>
      <c r="AO249">
        <v>400</v>
      </c>
      <c r="AP249">
        <v>500</v>
      </c>
      <c r="AQ249">
        <f t="shared" si="444"/>
        <v>60498</v>
      </c>
      <c r="AR249">
        <v>3000</v>
      </c>
      <c r="AS249">
        <v>0</v>
      </c>
      <c r="AT249">
        <f t="shared" si="445"/>
        <v>200</v>
      </c>
      <c r="AU249">
        <f t="shared" si="446"/>
        <v>57298</v>
      </c>
      <c r="AV249">
        <v>48700</v>
      </c>
      <c r="AW249">
        <f t="shared" si="447"/>
        <v>6818.0000000000009</v>
      </c>
      <c r="AX249">
        <f t="shared" si="448"/>
        <v>1892</v>
      </c>
      <c r="AY249">
        <f t="shared" si="449"/>
        <v>5844</v>
      </c>
      <c r="AZ249">
        <v>400</v>
      </c>
      <c r="BA249">
        <v>500</v>
      </c>
      <c r="BB249">
        <f t="shared" si="450"/>
        <v>64154</v>
      </c>
      <c r="BC249">
        <v>3000</v>
      </c>
      <c r="BD249">
        <v>0</v>
      </c>
      <c r="BE249">
        <f t="shared" si="451"/>
        <v>200</v>
      </c>
      <c r="BF249">
        <f t="shared" si="452"/>
        <v>60954</v>
      </c>
      <c r="BG249">
        <v>48700</v>
      </c>
      <c r="BH249">
        <f t="shared" si="453"/>
        <v>6818.0000000000009</v>
      </c>
      <c r="BI249">
        <f t="shared" si="454"/>
        <v>5844</v>
      </c>
      <c r="BJ249">
        <v>400</v>
      </c>
      <c r="BK249">
        <v>500</v>
      </c>
      <c r="BL249">
        <f t="shared" si="455"/>
        <v>62262</v>
      </c>
      <c r="BM249">
        <v>3000</v>
      </c>
      <c r="BN249">
        <v>0</v>
      </c>
      <c r="BO249">
        <f t="shared" si="456"/>
        <v>200</v>
      </c>
      <c r="BP249">
        <f t="shared" si="457"/>
        <v>59062</v>
      </c>
      <c r="BQ249">
        <v>48700</v>
      </c>
      <c r="BR249">
        <f t="shared" si="458"/>
        <v>6818.0000000000009</v>
      </c>
      <c r="BS249">
        <f t="shared" si="459"/>
        <v>5844</v>
      </c>
      <c r="BT249">
        <v>400</v>
      </c>
      <c r="BU249">
        <v>500</v>
      </c>
      <c r="BV249">
        <f t="shared" si="460"/>
        <v>62262</v>
      </c>
      <c r="BW249">
        <v>3000</v>
      </c>
      <c r="BX249">
        <v>0</v>
      </c>
      <c r="BY249">
        <f t="shared" si="461"/>
        <v>200</v>
      </c>
      <c r="BZ249">
        <f t="shared" si="462"/>
        <v>59062</v>
      </c>
      <c r="CA249">
        <v>48700</v>
      </c>
      <c r="CB249">
        <f t="shared" si="463"/>
        <v>6818.0000000000009</v>
      </c>
      <c r="CC249">
        <f t="shared" si="464"/>
        <v>5844</v>
      </c>
      <c r="CD249">
        <v>400</v>
      </c>
      <c r="CE249">
        <v>500</v>
      </c>
      <c r="CF249">
        <f t="shared" si="465"/>
        <v>62262</v>
      </c>
      <c r="CG249">
        <v>3000</v>
      </c>
      <c r="CH249">
        <v>0</v>
      </c>
      <c r="CI249">
        <f t="shared" si="466"/>
        <v>200</v>
      </c>
      <c r="CJ249">
        <f t="shared" si="467"/>
        <v>59062</v>
      </c>
      <c r="CK249">
        <v>48700</v>
      </c>
      <c r="CL249">
        <f t="shared" si="468"/>
        <v>6818.0000000000009</v>
      </c>
      <c r="CM249">
        <f t="shared" si="469"/>
        <v>5844</v>
      </c>
      <c r="CN249">
        <v>400</v>
      </c>
      <c r="CO249">
        <v>500</v>
      </c>
      <c r="CP249">
        <f t="shared" si="470"/>
        <v>62262</v>
      </c>
      <c r="CQ249">
        <v>3000</v>
      </c>
      <c r="CR249">
        <v>0</v>
      </c>
      <c r="CS249">
        <f t="shared" si="471"/>
        <v>200</v>
      </c>
      <c r="CT249">
        <f t="shared" si="472"/>
        <v>59062</v>
      </c>
      <c r="CU249">
        <v>48700</v>
      </c>
      <c r="CV249">
        <f t="shared" si="473"/>
        <v>6818</v>
      </c>
      <c r="CW249">
        <f t="shared" si="474"/>
        <v>5844</v>
      </c>
      <c r="CX249">
        <v>400</v>
      </c>
      <c r="CY249">
        <v>500</v>
      </c>
      <c r="CZ249">
        <f t="shared" si="475"/>
        <v>62262</v>
      </c>
      <c r="DA249">
        <v>3000</v>
      </c>
      <c r="DB249">
        <v>0</v>
      </c>
      <c r="DC249">
        <f t="shared" si="476"/>
        <v>200</v>
      </c>
      <c r="DD249">
        <f t="shared" si="477"/>
        <v>59062</v>
      </c>
      <c r="DE249">
        <v>48700</v>
      </c>
      <c r="DF249">
        <f t="shared" si="478"/>
        <v>6818.0000000000009</v>
      </c>
      <c r="DG249">
        <f t="shared" si="479"/>
        <v>5844</v>
      </c>
      <c r="DH249">
        <v>400</v>
      </c>
      <c r="DI249">
        <v>500</v>
      </c>
      <c r="DJ249">
        <f t="shared" si="480"/>
        <v>62262</v>
      </c>
      <c r="DK249">
        <v>3000</v>
      </c>
      <c r="DL249">
        <v>0</v>
      </c>
      <c r="DM249">
        <f t="shared" si="481"/>
        <v>200</v>
      </c>
      <c r="DN249">
        <f t="shared" si="482"/>
        <v>59062</v>
      </c>
      <c r="DO249">
        <v>48700</v>
      </c>
      <c r="DP249">
        <f t="shared" si="483"/>
        <v>6818.0000000000009</v>
      </c>
      <c r="DQ249">
        <f t="shared" si="484"/>
        <v>5844</v>
      </c>
      <c r="DR249">
        <v>400</v>
      </c>
      <c r="DS249">
        <v>500</v>
      </c>
      <c r="DT249">
        <f t="shared" si="485"/>
        <v>62262</v>
      </c>
      <c r="DU249">
        <v>3000</v>
      </c>
      <c r="DV249">
        <v>0</v>
      </c>
      <c r="DW249">
        <f t="shared" si="486"/>
        <v>200</v>
      </c>
      <c r="DX249">
        <f t="shared" si="487"/>
        <v>59062</v>
      </c>
      <c r="DY249">
        <f t="shared" si="488"/>
        <v>738196</v>
      </c>
      <c r="DZ249">
        <f t="shared" si="420"/>
        <v>2400</v>
      </c>
      <c r="EA249">
        <f t="shared" si="421"/>
        <v>50000</v>
      </c>
      <c r="EB249">
        <v>0</v>
      </c>
      <c r="EC249">
        <f t="shared" si="422"/>
        <v>685796</v>
      </c>
      <c r="ED249">
        <f t="shared" si="423"/>
        <v>36000</v>
      </c>
      <c r="EE249">
        <f t="shared" si="424"/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f t="shared" si="425"/>
        <v>36000</v>
      </c>
      <c r="EQ249">
        <f t="shared" si="489"/>
        <v>36000</v>
      </c>
      <c r="ER249">
        <f t="shared" si="426"/>
        <v>649796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f t="shared" si="490"/>
        <v>0</v>
      </c>
      <c r="FA249">
        <f t="shared" si="491"/>
        <v>649796</v>
      </c>
      <c r="FB249">
        <f t="shared" si="492"/>
        <v>12500</v>
      </c>
      <c r="FC249">
        <f t="shared" si="493"/>
        <v>29959</v>
      </c>
      <c r="FD249">
        <f t="shared" si="494"/>
        <v>42459</v>
      </c>
      <c r="FE249">
        <f t="shared" si="495"/>
        <v>42459</v>
      </c>
      <c r="FF249">
        <f t="shared" si="496"/>
        <v>1698.3600000000001</v>
      </c>
      <c r="FG249">
        <f t="shared" si="497"/>
        <v>44157</v>
      </c>
      <c r="FH249">
        <v>0</v>
      </c>
      <c r="FI249">
        <f t="shared" si="498"/>
        <v>44157</v>
      </c>
      <c r="FJ249" t="b">
        <f t="shared" si="499"/>
        <v>1</v>
      </c>
      <c r="FK249">
        <f t="shared" ca="1" si="500"/>
        <v>601</v>
      </c>
      <c r="FL249">
        <f t="shared" ca="1" si="501"/>
        <v>738797</v>
      </c>
      <c r="FM249">
        <f t="shared" si="502"/>
        <v>75000</v>
      </c>
      <c r="FN249">
        <f t="shared" ca="1" si="503"/>
        <v>663797</v>
      </c>
      <c r="FO249">
        <f t="shared" ca="1" si="504"/>
        <v>0</v>
      </c>
      <c r="FP249">
        <f t="shared" ca="1" si="505"/>
        <v>0</v>
      </c>
      <c r="FQ249">
        <f t="shared" ca="1" si="506"/>
        <v>0</v>
      </c>
      <c r="FR249">
        <f t="shared" ca="1" si="507"/>
        <v>0</v>
      </c>
      <c r="FS249">
        <f t="shared" ca="1" si="508"/>
        <v>0</v>
      </c>
      <c r="FT249">
        <f t="shared" ca="1" si="509"/>
        <v>0</v>
      </c>
      <c r="FU249">
        <f t="shared" ca="1" si="510"/>
        <v>0</v>
      </c>
      <c r="FV249">
        <f t="shared" ca="1" si="511"/>
        <v>0</v>
      </c>
      <c r="FW249">
        <f t="shared" ca="1" si="512"/>
        <v>363797</v>
      </c>
      <c r="FX249">
        <f t="shared" ca="1" si="513"/>
        <v>18189.850000000002</v>
      </c>
      <c r="FY249">
        <f t="shared" ca="1" si="514"/>
        <v>18190</v>
      </c>
      <c r="FZ249">
        <f t="shared" ca="1" si="515"/>
        <v>0</v>
      </c>
      <c r="GA249">
        <f t="shared" ca="1" si="516"/>
        <v>0</v>
      </c>
      <c r="GB249">
        <f t="shared" ca="1" si="517"/>
        <v>18190</v>
      </c>
      <c r="GC249">
        <f t="shared" ca="1" si="518"/>
        <v>0</v>
      </c>
      <c r="GD249" t="b">
        <f t="shared" ca="1" si="519"/>
        <v>0</v>
      </c>
      <c r="GE249">
        <f t="shared" ca="1" si="520"/>
        <v>0</v>
      </c>
      <c r="GF249">
        <f t="shared" ca="1" si="521"/>
        <v>18190</v>
      </c>
      <c r="GG249">
        <f t="shared" ca="1" si="522"/>
        <v>0</v>
      </c>
      <c r="GH249">
        <f t="shared" ca="1" si="523"/>
        <v>0</v>
      </c>
      <c r="GI249">
        <f t="shared" ca="1" si="524"/>
        <v>0</v>
      </c>
    </row>
    <row r="250" spans="1:191" x14ac:dyDescent="0.25">
      <c r="A250">
        <f>_xlfn.AGGREGATE(3,5,$B$2:B250)</f>
        <v>249</v>
      </c>
      <c r="B250" t="s">
        <v>618</v>
      </c>
      <c r="C250" t="s">
        <v>619</v>
      </c>
      <c r="D250" t="s">
        <v>826</v>
      </c>
      <c r="E250" t="s">
        <v>843</v>
      </c>
      <c r="F250">
        <v>0</v>
      </c>
      <c r="G250">
        <v>6000</v>
      </c>
      <c r="H250">
        <v>32500</v>
      </c>
      <c r="I250">
        <f t="shared" si="427"/>
        <v>3250</v>
      </c>
      <c r="J250">
        <f t="shared" si="428"/>
        <v>3900</v>
      </c>
      <c r="K250">
        <v>0</v>
      </c>
      <c r="L250">
        <v>500</v>
      </c>
      <c r="M250">
        <f t="shared" si="429"/>
        <v>40150</v>
      </c>
      <c r="N250">
        <v>4000</v>
      </c>
      <c r="O250">
        <v>0</v>
      </c>
      <c r="P250">
        <f t="shared" si="430"/>
        <v>200</v>
      </c>
      <c r="Q250">
        <f t="shared" si="431"/>
        <v>35950</v>
      </c>
      <c r="R250">
        <v>32500</v>
      </c>
      <c r="S250">
        <f t="shared" si="432"/>
        <v>3250</v>
      </c>
      <c r="T250">
        <f t="shared" si="433"/>
        <v>3900</v>
      </c>
      <c r="U250">
        <v>0</v>
      </c>
      <c r="V250">
        <v>500</v>
      </c>
      <c r="W250">
        <f t="shared" si="434"/>
        <v>40150</v>
      </c>
      <c r="X250">
        <v>4000</v>
      </c>
      <c r="Y250">
        <v>0</v>
      </c>
      <c r="Z250">
        <f t="shared" si="435"/>
        <v>200</v>
      </c>
      <c r="AA250">
        <f t="shared" si="436"/>
        <v>35950</v>
      </c>
      <c r="AB250">
        <v>32500</v>
      </c>
      <c r="AC250">
        <f t="shared" si="437"/>
        <v>4550</v>
      </c>
      <c r="AD250">
        <f t="shared" si="438"/>
        <v>3900</v>
      </c>
      <c r="AE250">
        <v>0</v>
      </c>
      <c r="AF250">
        <v>500</v>
      </c>
      <c r="AG250">
        <f t="shared" si="439"/>
        <v>41450</v>
      </c>
      <c r="AH250">
        <v>4000</v>
      </c>
      <c r="AI250">
        <v>0</v>
      </c>
      <c r="AJ250">
        <f t="shared" si="440"/>
        <v>200</v>
      </c>
      <c r="AK250">
        <f t="shared" si="441"/>
        <v>37250</v>
      </c>
      <c r="AL250">
        <v>32500</v>
      </c>
      <c r="AM250">
        <f t="shared" si="442"/>
        <v>4550</v>
      </c>
      <c r="AN250">
        <f t="shared" si="443"/>
        <v>3900</v>
      </c>
      <c r="AO250">
        <v>0</v>
      </c>
      <c r="AP250">
        <v>500</v>
      </c>
      <c r="AQ250">
        <f t="shared" si="444"/>
        <v>41450</v>
      </c>
      <c r="AR250">
        <v>4000</v>
      </c>
      <c r="AS250">
        <v>0</v>
      </c>
      <c r="AT250">
        <f t="shared" si="445"/>
        <v>200</v>
      </c>
      <c r="AU250">
        <f t="shared" si="446"/>
        <v>37250</v>
      </c>
      <c r="AV250">
        <v>34500</v>
      </c>
      <c r="AW250">
        <f t="shared" si="447"/>
        <v>4830.0000000000009</v>
      </c>
      <c r="AX250">
        <f t="shared" si="448"/>
        <v>1300</v>
      </c>
      <c r="AY250">
        <f t="shared" si="449"/>
        <v>4140</v>
      </c>
      <c r="AZ250">
        <v>0</v>
      </c>
      <c r="BA250">
        <v>500</v>
      </c>
      <c r="BB250">
        <f t="shared" si="450"/>
        <v>45270</v>
      </c>
      <c r="BC250">
        <v>4000</v>
      </c>
      <c r="BD250">
        <v>0</v>
      </c>
      <c r="BE250">
        <f t="shared" si="451"/>
        <v>200</v>
      </c>
      <c r="BF250">
        <f t="shared" si="452"/>
        <v>41070</v>
      </c>
      <c r="BG250">
        <v>34500</v>
      </c>
      <c r="BH250">
        <f t="shared" si="453"/>
        <v>4830.0000000000009</v>
      </c>
      <c r="BI250">
        <f t="shared" si="454"/>
        <v>4140</v>
      </c>
      <c r="BJ250">
        <v>0</v>
      </c>
      <c r="BK250">
        <v>500</v>
      </c>
      <c r="BL250">
        <f t="shared" si="455"/>
        <v>43970</v>
      </c>
      <c r="BM250">
        <v>4000</v>
      </c>
      <c r="BN250">
        <v>0</v>
      </c>
      <c r="BO250">
        <f t="shared" si="456"/>
        <v>200</v>
      </c>
      <c r="BP250">
        <f t="shared" si="457"/>
        <v>39770</v>
      </c>
      <c r="BQ250">
        <v>34500</v>
      </c>
      <c r="BR250">
        <f t="shared" si="458"/>
        <v>4830.0000000000009</v>
      </c>
      <c r="BS250">
        <f t="shared" si="459"/>
        <v>4140</v>
      </c>
      <c r="BT250">
        <v>0</v>
      </c>
      <c r="BU250">
        <v>500</v>
      </c>
      <c r="BV250">
        <f t="shared" si="460"/>
        <v>43970</v>
      </c>
      <c r="BW250">
        <v>4000</v>
      </c>
      <c r="BX250">
        <v>0</v>
      </c>
      <c r="BY250">
        <f t="shared" si="461"/>
        <v>200</v>
      </c>
      <c r="BZ250">
        <f t="shared" si="462"/>
        <v>39770</v>
      </c>
      <c r="CA250">
        <v>34500</v>
      </c>
      <c r="CB250">
        <f t="shared" si="463"/>
        <v>4830.0000000000009</v>
      </c>
      <c r="CC250">
        <f t="shared" si="464"/>
        <v>4140</v>
      </c>
      <c r="CD250">
        <v>0</v>
      </c>
      <c r="CE250">
        <v>500</v>
      </c>
      <c r="CF250">
        <f t="shared" si="465"/>
        <v>43970</v>
      </c>
      <c r="CG250">
        <v>4000</v>
      </c>
      <c r="CH250">
        <v>0</v>
      </c>
      <c r="CI250">
        <f t="shared" si="466"/>
        <v>200</v>
      </c>
      <c r="CJ250">
        <f t="shared" si="467"/>
        <v>39770</v>
      </c>
      <c r="CK250">
        <v>34500</v>
      </c>
      <c r="CL250">
        <f t="shared" si="468"/>
        <v>4830.0000000000009</v>
      </c>
      <c r="CM250">
        <f t="shared" si="469"/>
        <v>4140</v>
      </c>
      <c r="CN250">
        <v>0</v>
      </c>
      <c r="CO250">
        <v>500</v>
      </c>
      <c r="CP250">
        <f t="shared" si="470"/>
        <v>43970</v>
      </c>
      <c r="CQ250">
        <v>4000</v>
      </c>
      <c r="CR250">
        <v>0</v>
      </c>
      <c r="CS250">
        <f t="shared" si="471"/>
        <v>200</v>
      </c>
      <c r="CT250">
        <f t="shared" si="472"/>
        <v>39770</v>
      </c>
      <c r="CU250">
        <v>34500</v>
      </c>
      <c r="CV250">
        <f t="shared" si="473"/>
        <v>4830</v>
      </c>
      <c r="CW250">
        <f t="shared" si="474"/>
        <v>4140</v>
      </c>
      <c r="CX250">
        <v>0</v>
      </c>
      <c r="CY250">
        <v>500</v>
      </c>
      <c r="CZ250">
        <f t="shared" si="475"/>
        <v>43970</v>
      </c>
      <c r="DA250">
        <v>4000</v>
      </c>
      <c r="DB250">
        <v>0</v>
      </c>
      <c r="DC250">
        <f t="shared" si="476"/>
        <v>200</v>
      </c>
      <c r="DD250">
        <f t="shared" si="477"/>
        <v>39770</v>
      </c>
      <c r="DE250">
        <v>34500</v>
      </c>
      <c r="DF250">
        <f t="shared" si="478"/>
        <v>4830.0000000000009</v>
      </c>
      <c r="DG250">
        <f t="shared" si="479"/>
        <v>4140</v>
      </c>
      <c r="DH250">
        <v>0</v>
      </c>
      <c r="DI250">
        <v>500</v>
      </c>
      <c r="DJ250">
        <f t="shared" si="480"/>
        <v>43970</v>
      </c>
      <c r="DK250">
        <v>4000</v>
      </c>
      <c r="DL250">
        <v>0</v>
      </c>
      <c r="DM250">
        <f t="shared" si="481"/>
        <v>200</v>
      </c>
      <c r="DN250">
        <f t="shared" si="482"/>
        <v>39770</v>
      </c>
      <c r="DO250">
        <v>34500</v>
      </c>
      <c r="DP250">
        <f t="shared" si="483"/>
        <v>4830.0000000000009</v>
      </c>
      <c r="DQ250">
        <f t="shared" si="484"/>
        <v>4140</v>
      </c>
      <c r="DR250">
        <v>0</v>
      </c>
      <c r="DS250">
        <v>500</v>
      </c>
      <c r="DT250">
        <f t="shared" si="485"/>
        <v>43970</v>
      </c>
      <c r="DU250">
        <v>4000</v>
      </c>
      <c r="DV250">
        <v>0</v>
      </c>
      <c r="DW250">
        <f t="shared" si="486"/>
        <v>200</v>
      </c>
      <c r="DX250">
        <f t="shared" si="487"/>
        <v>39770</v>
      </c>
      <c r="DY250">
        <f t="shared" si="488"/>
        <v>522260</v>
      </c>
      <c r="DZ250">
        <f t="shared" si="420"/>
        <v>2400</v>
      </c>
      <c r="EA250">
        <f t="shared" si="421"/>
        <v>50000</v>
      </c>
      <c r="EB250">
        <v>0</v>
      </c>
      <c r="EC250">
        <f t="shared" si="422"/>
        <v>469860</v>
      </c>
      <c r="ED250">
        <f t="shared" si="423"/>
        <v>48000</v>
      </c>
      <c r="EE250">
        <f t="shared" si="424"/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f t="shared" si="425"/>
        <v>48000</v>
      </c>
      <c r="EQ250">
        <f t="shared" si="489"/>
        <v>48000</v>
      </c>
      <c r="ER250">
        <f t="shared" si="426"/>
        <v>421860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f t="shared" si="490"/>
        <v>0</v>
      </c>
      <c r="FA250">
        <f t="shared" si="491"/>
        <v>421860</v>
      </c>
      <c r="FB250">
        <f t="shared" si="492"/>
        <v>8593</v>
      </c>
      <c r="FC250">
        <f t="shared" si="493"/>
        <v>0</v>
      </c>
      <c r="FD250">
        <f t="shared" si="494"/>
        <v>8593</v>
      </c>
      <c r="FE250">
        <f t="shared" si="495"/>
        <v>0</v>
      </c>
      <c r="FF250">
        <f t="shared" si="496"/>
        <v>0</v>
      </c>
      <c r="FG250">
        <f t="shared" si="497"/>
        <v>0</v>
      </c>
      <c r="FH250">
        <v>0</v>
      </c>
      <c r="FI250">
        <f t="shared" si="498"/>
        <v>0</v>
      </c>
      <c r="FJ250" t="b">
        <f t="shared" si="499"/>
        <v>1</v>
      </c>
      <c r="FK250">
        <f t="shared" ca="1" si="500"/>
        <v>605</v>
      </c>
      <c r="FL250">
        <f t="shared" ca="1" si="501"/>
        <v>522865</v>
      </c>
      <c r="FM250">
        <f t="shared" si="502"/>
        <v>75000</v>
      </c>
      <c r="FN250">
        <f t="shared" ca="1" si="503"/>
        <v>447865</v>
      </c>
      <c r="FO250">
        <f t="shared" ca="1" si="504"/>
        <v>0</v>
      </c>
      <c r="FP250">
        <f t="shared" ca="1" si="505"/>
        <v>0</v>
      </c>
      <c r="FQ250">
        <f t="shared" ca="1" si="506"/>
        <v>0</v>
      </c>
      <c r="FR250">
        <f t="shared" ca="1" si="507"/>
        <v>0</v>
      </c>
      <c r="FS250">
        <f t="shared" ca="1" si="508"/>
        <v>0</v>
      </c>
      <c r="FT250">
        <f t="shared" ca="1" si="509"/>
        <v>0</v>
      </c>
      <c r="FU250">
        <f t="shared" ca="1" si="510"/>
        <v>0</v>
      </c>
      <c r="FV250">
        <f t="shared" ca="1" si="511"/>
        <v>0</v>
      </c>
      <c r="FW250">
        <f t="shared" ca="1" si="512"/>
        <v>147865</v>
      </c>
      <c r="FX250">
        <f t="shared" ca="1" si="513"/>
        <v>7393.25</v>
      </c>
      <c r="FY250">
        <f t="shared" ca="1" si="514"/>
        <v>7393</v>
      </c>
      <c r="FZ250">
        <f t="shared" ca="1" si="515"/>
        <v>0</v>
      </c>
      <c r="GA250">
        <f t="shared" ca="1" si="516"/>
        <v>0</v>
      </c>
      <c r="GB250">
        <f t="shared" ca="1" si="517"/>
        <v>7393</v>
      </c>
      <c r="GC250">
        <f t="shared" ca="1" si="518"/>
        <v>0</v>
      </c>
      <c r="GD250" t="b">
        <f t="shared" ca="1" si="519"/>
        <v>0</v>
      </c>
      <c r="GE250">
        <f t="shared" ca="1" si="520"/>
        <v>0</v>
      </c>
      <c r="GF250">
        <f t="shared" ca="1" si="521"/>
        <v>7393</v>
      </c>
      <c r="GG250">
        <f t="shared" ca="1" si="522"/>
        <v>0</v>
      </c>
      <c r="GH250">
        <f t="shared" ca="1" si="523"/>
        <v>0</v>
      </c>
      <c r="GI250">
        <f t="shared" ca="1" si="524"/>
        <v>0</v>
      </c>
    </row>
    <row r="251" spans="1:191" x14ac:dyDescent="0.25">
      <c r="A251">
        <f>_xlfn.AGGREGATE(3,5,$B$2:B251)</f>
        <v>250</v>
      </c>
      <c r="B251" t="s">
        <v>620</v>
      </c>
      <c r="C251" t="s">
        <v>621</v>
      </c>
      <c r="D251" t="s">
        <v>826</v>
      </c>
      <c r="E251" t="s">
        <v>843</v>
      </c>
      <c r="F251">
        <v>0</v>
      </c>
      <c r="G251">
        <v>6000</v>
      </c>
      <c r="H251">
        <v>32500</v>
      </c>
      <c r="I251">
        <f t="shared" si="427"/>
        <v>3250</v>
      </c>
      <c r="J251">
        <f t="shared" si="428"/>
        <v>3900</v>
      </c>
      <c r="K251">
        <v>0</v>
      </c>
      <c r="L251">
        <v>500</v>
      </c>
      <c r="M251">
        <f t="shared" si="429"/>
        <v>40150</v>
      </c>
      <c r="N251">
        <v>2000</v>
      </c>
      <c r="O251">
        <v>0</v>
      </c>
      <c r="P251">
        <f t="shared" si="430"/>
        <v>200</v>
      </c>
      <c r="Q251">
        <f t="shared" si="431"/>
        <v>37950</v>
      </c>
      <c r="R251">
        <v>32500</v>
      </c>
      <c r="S251">
        <f t="shared" si="432"/>
        <v>3250</v>
      </c>
      <c r="T251">
        <f t="shared" si="433"/>
        <v>3900</v>
      </c>
      <c r="U251">
        <v>0</v>
      </c>
      <c r="V251">
        <v>500</v>
      </c>
      <c r="W251">
        <f t="shared" si="434"/>
        <v>40150</v>
      </c>
      <c r="X251">
        <v>2000</v>
      </c>
      <c r="Y251">
        <v>0</v>
      </c>
      <c r="Z251">
        <f t="shared" si="435"/>
        <v>200</v>
      </c>
      <c r="AA251">
        <f t="shared" si="436"/>
        <v>37950</v>
      </c>
      <c r="AB251">
        <v>32500</v>
      </c>
      <c r="AC251">
        <f t="shared" si="437"/>
        <v>4550</v>
      </c>
      <c r="AD251">
        <f t="shared" si="438"/>
        <v>3900</v>
      </c>
      <c r="AE251">
        <v>0</v>
      </c>
      <c r="AF251">
        <v>500</v>
      </c>
      <c r="AG251">
        <f t="shared" si="439"/>
        <v>41450</v>
      </c>
      <c r="AH251">
        <v>2000</v>
      </c>
      <c r="AI251">
        <v>0</v>
      </c>
      <c r="AJ251">
        <f t="shared" si="440"/>
        <v>200</v>
      </c>
      <c r="AK251">
        <f t="shared" si="441"/>
        <v>39250</v>
      </c>
      <c r="AL251">
        <v>32500</v>
      </c>
      <c r="AM251">
        <f t="shared" si="442"/>
        <v>4550</v>
      </c>
      <c r="AN251">
        <f t="shared" si="443"/>
        <v>3900</v>
      </c>
      <c r="AO251">
        <v>0</v>
      </c>
      <c r="AP251">
        <v>500</v>
      </c>
      <c r="AQ251">
        <f t="shared" si="444"/>
        <v>41450</v>
      </c>
      <c r="AR251">
        <v>2000</v>
      </c>
      <c r="AS251">
        <v>0</v>
      </c>
      <c r="AT251">
        <f t="shared" si="445"/>
        <v>200</v>
      </c>
      <c r="AU251">
        <f t="shared" si="446"/>
        <v>39250</v>
      </c>
      <c r="AV251">
        <v>34500</v>
      </c>
      <c r="AW251">
        <f t="shared" si="447"/>
        <v>4830.0000000000009</v>
      </c>
      <c r="AX251">
        <f t="shared" si="448"/>
        <v>1300</v>
      </c>
      <c r="AY251">
        <f t="shared" si="449"/>
        <v>4140</v>
      </c>
      <c r="AZ251">
        <v>0</v>
      </c>
      <c r="BA251">
        <v>500</v>
      </c>
      <c r="BB251">
        <f t="shared" si="450"/>
        <v>45270</v>
      </c>
      <c r="BC251">
        <v>2500</v>
      </c>
      <c r="BD251">
        <v>0</v>
      </c>
      <c r="BE251">
        <f t="shared" si="451"/>
        <v>200</v>
      </c>
      <c r="BF251">
        <f t="shared" si="452"/>
        <v>42570</v>
      </c>
      <c r="BG251">
        <v>34500</v>
      </c>
      <c r="BH251">
        <f t="shared" si="453"/>
        <v>4830.0000000000009</v>
      </c>
      <c r="BI251">
        <f t="shared" si="454"/>
        <v>4140</v>
      </c>
      <c r="BJ251">
        <v>0</v>
      </c>
      <c r="BK251">
        <v>500</v>
      </c>
      <c r="BL251">
        <f t="shared" si="455"/>
        <v>43970</v>
      </c>
      <c r="BM251">
        <v>2500</v>
      </c>
      <c r="BN251">
        <v>0</v>
      </c>
      <c r="BO251">
        <f t="shared" si="456"/>
        <v>200</v>
      </c>
      <c r="BP251">
        <f t="shared" si="457"/>
        <v>41270</v>
      </c>
      <c r="BQ251">
        <v>34500</v>
      </c>
      <c r="BR251">
        <f t="shared" si="458"/>
        <v>4830.0000000000009</v>
      </c>
      <c r="BS251">
        <f t="shared" si="459"/>
        <v>4140</v>
      </c>
      <c r="BT251">
        <v>0</v>
      </c>
      <c r="BU251">
        <v>500</v>
      </c>
      <c r="BV251">
        <f t="shared" si="460"/>
        <v>43970</v>
      </c>
      <c r="BW251">
        <v>2500</v>
      </c>
      <c r="BX251">
        <v>0</v>
      </c>
      <c r="BY251">
        <f t="shared" si="461"/>
        <v>200</v>
      </c>
      <c r="BZ251">
        <f t="shared" si="462"/>
        <v>41270</v>
      </c>
      <c r="CA251">
        <v>34500</v>
      </c>
      <c r="CB251">
        <f t="shared" si="463"/>
        <v>4830.0000000000009</v>
      </c>
      <c r="CC251">
        <f t="shared" si="464"/>
        <v>4140</v>
      </c>
      <c r="CD251">
        <v>0</v>
      </c>
      <c r="CE251">
        <v>500</v>
      </c>
      <c r="CF251">
        <f t="shared" si="465"/>
        <v>43970</v>
      </c>
      <c r="CG251">
        <v>2500</v>
      </c>
      <c r="CH251">
        <v>0</v>
      </c>
      <c r="CI251">
        <f t="shared" si="466"/>
        <v>200</v>
      </c>
      <c r="CJ251">
        <f t="shared" si="467"/>
        <v>41270</v>
      </c>
      <c r="CK251">
        <v>34500</v>
      </c>
      <c r="CL251">
        <f t="shared" si="468"/>
        <v>4830.0000000000009</v>
      </c>
      <c r="CM251">
        <f t="shared" si="469"/>
        <v>4140</v>
      </c>
      <c r="CN251">
        <v>0</v>
      </c>
      <c r="CO251">
        <v>500</v>
      </c>
      <c r="CP251">
        <f t="shared" si="470"/>
        <v>43970</v>
      </c>
      <c r="CQ251">
        <v>2500</v>
      </c>
      <c r="CR251">
        <v>0</v>
      </c>
      <c r="CS251">
        <f t="shared" si="471"/>
        <v>200</v>
      </c>
      <c r="CT251">
        <f t="shared" si="472"/>
        <v>41270</v>
      </c>
      <c r="CU251">
        <v>34500</v>
      </c>
      <c r="CV251">
        <f t="shared" si="473"/>
        <v>4830</v>
      </c>
      <c r="CW251">
        <f t="shared" si="474"/>
        <v>4140</v>
      </c>
      <c r="CX251">
        <v>0</v>
      </c>
      <c r="CY251">
        <v>500</v>
      </c>
      <c r="CZ251">
        <f t="shared" si="475"/>
        <v>43970</v>
      </c>
      <c r="DA251">
        <v>2500</v>
      </c>
      <c r="DB251">
        <v>0</v>
      </c>
      <c r="DC251">
        <f t="shared" si="476"/>
        <v>200</v>
      </c>
      <c r="DD251">
        <f t="shared" si="477"/>
        <v>41270</v>
      </c>
      <c r="DE251">
        <v>34500</v>
      </c>
      <c r="DF251">
        <f t="shared" si="478"/>
        <v>4830.0000000000009</v>
      </c>
      <c r="DG251">
        <f t="shared" si="479"/>
        <v>4140</v>
      </c>
      <c r="DH251">
        <v>0</v>
      </c>
      <c r="DI251">
        <v>500</v>
      </c>
      <c r="DJ251">
        <f t="shared" si="480"/>
        <v>43970</v>
      </c>
      <c r="DK251">
        <v>2500</v>
      </c>
      <c r="DL251">
        <v>0</v>
      </c>
      <c r="DM251">
        <f t="shared" si="481"/>
        <v>200</v>
      </c>
      <c r="DN251">
        <f t="shared" si="482"/>
        <v>41270</v>
      </c>
      <c r="DO251">
        <v>34500</v>
      </c>
      <c r="DP251">
        <f t="shared" si="483"/>
        <v>4830.0000000000009</v>
      </c>
      <c r="DQ251">
        <f t="shared" si="484"/>
        <v>4140</v>
      </c>
      <c r="DR251">
        <v>0</v>
      </c>
      <c r="DS251">
        <v>500</v>
      </c>
      <c r="DT251">
        <f t="shared" si="485"/>
        <v>43970</v>
      </c>
      <c r="DU251">
        <v>2500</v>
      </c>
      <c r="DV251">
        <v>0</v>
      </c>
      <c r="DW251">
        <f t="shared" si="486"/>
        <v>200</v>
      </c>
      <c r="DX251">
        <f t="shared" si="487"/>
        <v>41270</v>
      </c>
      <c r="DY251">
        <f t="shared" si="488"/>
        <v>522260</v>
      </c>
      <c r="DZ251">
        <f t="shared" si="420"/>
        <v>2400</v>
      </c>
      <c r="EA251">
        <f t="shared" si="421"/>
        <v>50000</v>
      </c>
      <c r="EB251">
        <v>0</v>
      </c>
      <c r="EC251">
        <f t="shared" si="422"/>
        <v>469860</v>
      </c>
      <c r="ED251">
        <f t="shared" si="423"/>
        <v>28000</v>
      </c>
      <c r="EE251">
        <f t="shared" si="424"/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f t="shared" si="425"/>
        <v>28000</v>
      </c>
      <c r="EQ251">
        <f t="shared" si="489"/>
        <v>28000</v>
      </c>
      <c r="ER251">
        <f t="shared" si="426"/>
        <v>441860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f t="shared" si="490"/>
        <v>0</v>
      </c>
      <c r="FA251">
        <f t="shared" si="491"/>
        <v>441860</v>
      </c>
      <c r="FB251">
        <f t="shared" si="492"/>
        <v>9593</v>
      </c>
      <c r="FC251">
        <f t="shared" si="493"/>
        <v>0</v>
      </c>
      <c r="FD251">
        <f t="shared" si="494"/>
        <v>9593</v>
      </c>
      <c r="FE251">
        <f t="shared" si="495"/>
        <v>0</v>
      </c>
      <c r="FF251">
        <f t="shared" si="496"/>
        <v>0</v>
      </c>
      <c r="FG251">
        <f t="shared" si="497"/>
        <v>0</v>
      </c>
      <c r="FH251">
        <v>0</v>
      </c>
      <c r="FI251">
        <f t="shared" si="498"/>
        <v>0</v>
      </c>
      <c r="FJ251" t="b">
        <f t="shared" si="499"/>
        <v>1</v>
      </c>
      <c r="FK251">
        <f t="shared" ca="1" si="500"/>
        <v>547</v>
      </c>
      <c r="FL251">
        <f t="shared" ca="1" si="501"/>
        <v>522807</v>
      </c>
      <c r="FM251">
        <f t="shared" si="502"/>
        <v>75000</v>
      </c>
      <c r="FN251">
        <f t="shared" ca="1" si="503"/>
        <v>447807</v>
      </c>
      <c r="FO251">
        <f t="shared" ca="1" si="504"/>
        <v>0</v>
      </c>
      <c r="FP251">
        <f t="shared" ca="1" si="505"/>
        <v>0</v>
      </c>
      <c r="FQ251">
        <f t="shared" ca="1" si="506"/>
        <v>0</v>
      </c>
      <c r="FR251">
        <f t="shared" ca="1" si="507"/>
        <v>0</v>
      </c>
      <c r="FS251">
        <f t="shared" ca="1" si="508"/>
        <v>0</v>
      </c>
      <c r="FT251">
        <f t="shared" ca="1" si="509"/>
        <v>0</v>
      </c>
      <c r="FU251">
        <f t="shared" ca="1" si="510"/>
        <v>0</v>
      </c>
      <c r="FV251">
        <f t="shared" ca="1" si="511"/>
        <v>0</v>
      </c>
      <c r="FW251">
        <f t="shared" ca="1" si="512"/>
        <v>147807</v>
      </c>
      <c r="FX251">
        <f t="shared" ca="1" si="513"/>
        <v>7390.35</v>
      </c>
      <c r="FY251">
        <f t="shared" ca="1" si="514"/>
        <v>7390</v>
      </c>
      <c r="FZ251">
        <f t="shared" ca="1" si="515"/>
        <v>0</v>
      </c>
      <c r="GA251">
        <f t="shared" ca="1" si="516"/>
        <v>0</v>
      </c>
      <c r="GB251">
        <f t="shared" ca="1" si="517"/>
        <v>7390</v>
      </c>
      <c r="GC251">
        <f t="shared" ca="1" si="518"/>
        <v>0</v>
      </c>
      <c r="GD251" t="b">
        <f t="shared" ca="1" si="519"/>
        <v>0</v>
      </c>
      <c r="GE251">
        <f t="shared" ca="1" si="520"/>
        <v>0</v>
      </c>
      <c r="GF251">
        <f t="shared" ca="1" si="521"/>
        <v>7390</v>
      </c>
      <c r="GG251">
        <f t="shared" ca="1" si="522"/>
        <v>0</v>
      </c>
      <c r="GH251">
        <f t="shared" ca="1" si="523"/>
        <v>0</v>
      </c>
      <c r="GI251">
        <f t="shared" ca="1" si="524"/>
        <v>0</v>
      </c>
    </row>
    <row r="252" spans="1:191" x14ac:dyDescent="0.25">
      <c r="A252">
        <f>_xlfn.AGGREGATE(3,5,$B$2:B252)</f>
        <v>251</v>
      </c>
      <c r="B252" t="s">
        <v>622</v>
      </c>
      <c r="C252" t="s">
        <v>623</v>
      </c>
      <c r="D252" t="s">
        <v>826</v>
      </c>
      <c r="E252" t="s">
        <v>843</v>
      </c>
      <c r="F252">
        <v>0</v>
      </c>
      <c r="G252">
        <v>0</v>
      </c>
      <c r="H252">
        <v>0</v>
      </c>
      <c r="I252">
        <f t="shared" si="427"/>
        <v>0</v>
      </c>
      <c r="J252">
        <f t="shared" si="428"/>
        <v>0</v>
      </c>
      <c r="K252">
        <v>0</v>
      </c>
      <c r="L252">
        <v>0</v>
      </c>
      <c r="M252">
        <f t="shared" si="429"/>
        <v>0</v>
      </c>
      <c r="N252">
        <v>0</v>
      </c>
      <c r="O252">
        <v>0</v>
      </c>
      <c r="P252">
        <f t="shared" si="430"/>
        <v>0</v>
      </c>
      <c r="Q252">
        <f t="shared" si="431"/>
        <v>0</v>
      </c>
      <c r="R252">
        <v>28900</v>
      </c>
      <c r="S252">
        <f t="shared" si="432"/>
        <v>2890</v>
      </c>
      <c r="T252">
        <f t="shared" si="433"/>
        <v>3468</v>
      </c>
      <c r="U252">
        <v>0</v>
      </c>
      <c r="V252">
        <v>500</v>
      </c>
      <c r="W252">
        <f t="shared" si="434"/>
        <v>35758</v>
      </c>
      <c r="X252">
        <v>0</v>
      </c>
      <c r="Y252">
        <v>0</v>
      </c>
      <c r="Z252">
        <f t="shared" si="435"/>
        <v>150</v>
      </c>
      <c r="AA252">
        <f t="shared" si="436"/>
        <v>35608</v>
      </c>
      <c r="AB252">
        <v>28900</v>
      </c>
      <c r="AC252">
        <f t="shared" si="437"/>
        <v>4046.0000000000005</v>
      </c>
      <c r="AD252">
        <f t="shared" si="438"/>
        <v>3468</v>
      </c>
      <c r="AE252">
        <v>0</v>
      </c>
      <c r="AF252">
        <v>500</v>
      </c>
      <c r="AG252">
        <f t="shared" si="439"/>
        <v>36914</v>
      </c>
      <c r="AH252">
        <v>0</v>
      </c>
      <c r="AI252">
        <v>0</v>
      </c>
      <c r="AJ252">
        <f t="shared" si="440"/>
        <v>150</v>
      </c>
      <c r="AK252">
        <f t="shared" si="441"/>
        <v>36764</v>
      </c>
      <c r="AL252">
        <v>28900</v>
      </c>
      <c r="AM252">
        <f t="shared" si="442"/>
        <v>4046.0000000000005</v>
      </c>
      <c r="AN252">
        <f t="shared" si="443"/>
        <v>3468</v>
      </c>
      <c r="AO252">
        <v>0</v>
      </c>
      <c r="AP252">
        <v>500</v>
      </c>
      <c r="AQ252">
        <f t="shared" si="444"/>
        <v>36914</v>
      </c>
      <c r="AR252">
        <v>0</v>
      </c>
      <c r="AS252">
        <v>0</v>
      </c>
      <c r="AT252">
        <f t="shared" si="445"/>
        <v>150</v>
      </c>
      <c r="AU252">
        <f t="shared" si="446"/>
        <v>36764</v>
      </c>
      <c r="AV252">
        <v>28900</v>
      </c>
      <c r="AW252">
        <f t="shared" si="447"/>
        <v>4046.0000000000005</v>
      </c>
      <c r="AX252">
        <f t="shared" si="448"/>
        <v>1156</v>
      </c>
      <c r="AY252">
        <f t="shared" si="449"/>
        <v>3468</v>
      </c>
      <c r="AZ252">
        <v>0</v>
      </c>
      <c r="BA252">
        <v>500</v>
      </c>
      <c r="BB252">
        <f t="shared" si="450"/>
        <v>38070</v>
      </c>
      <c r="BC252">
        <v>0</v>
      </c>
      <c r="BD252">
        <v>0</v>
      </c>
      <c r="BE252">
        <f t="shared" si="451"/>
        <v>150</v>
      </c>
      <c r="BF252">
        <f t="shared" si="452"/>
        <v>37920</v>
      </c>
      <c r="BG252">
        <v>28900</v>
      </c>
      <c r="BH252">
        <f t="shared" si="453"/>
        <v>4046.0000000000005</v>
      </c>
      <c r="BI252">
        <f t="shared" si="454"/>
        <v>3468</v>
      </c>
      <c r="BJ252">
        <v>0</v>
      </c>
      <c r="BK252">
        <v>500</v>
      </c>
      <c r="BL252">
        <f t="shared" si="455"/>
        <v>36914</v>
      </c>
      <c r="BM252">
        <v>0</v>
      </c>
      <c r="BN252">
        <v>0</v>
      </c>
      <c r="BO252">
        <f t="shared" si="456"/>
        <v>150</v>
      </c>
      <c r="BP252">
        <f t="shared" si="457"/>
        <v>36764</v>
      </c>
      <c r="BQ252">
        <v>28900</v>
      </c>
      <c r="BR252">
        <f t="shared" si="458"/>
        <v>4046.0000000000005</v>
      </c>
      <c r="BS252">
        <f t="shared" si="459"/>
        <v>3468</v>
      </c>
      <c r="BT252">
        <v>0</v>
      </c>
      <c r="BU252">
        <v>500</v>
      </c>
      <c r="BV252">
        <f t="shared" si="460"/>
        <v>36914</v>
      </c>
      <c r="BW252">
        <v>0</v>
      </c>
      <c r="BX252">
        <v>0</v>
      </c>
      <c r="BY252">
        <f t="shared" si="461"/>
        <v>150</v>
      </c>
      <c r="BZ252">
        <f t="shared" si="462"/>
        <v>36764</v>
      </c>
      <c r="CA252">
        <v>28900</v>
      </c>
      <c r="CB252">
        <f t="shared" si="463"/>
        <v>4046.0000000000005</v>
      </c>
      <c r="CC252">
        <f t="shared" si="464"/>
        <v>3468</v>
      </c>
      <c r="CD252">
        <v>0</v>
      </c>
      <c r="CE252">
        <v>500</v>
      </c>
      <c r="CF252">
        <f t="shared" si="465"/>
        <v>36914</v>
      </c>
      <c r="CG252">
        <v>0</v>
      </c>
      <c r="CH252">
        <v>0</v>
      </c>
      <c r="CI252">
        <f t="shared" si="466"/>
        <v>150</v>
      </c>
      <c r="CJ252">
        <f t="shared" si="467"/>
        <v>36764</v>
      </c>
      <c r="CK252">
        <v>28900</v>
      </c>
      <c r="CL252">
        <f t="shared" si="468"/>
        <v>4046.0000000000005</v>
      </c>
      <c r="CM252">
        <f t="shared" si="469"/>
        <v>3468</v>
      </c>
      <c r="CN252">
        <v>0</v>
      </c>
      <c r="CO252">
        <v>500</v>
      </c>
      <c r="CP252">
        <f t="shared" si="470"/>
        <v>36914</v>
      </c>
      <c r="CQ252">
        <v>0</v>
      </c>
      <c r="CR252">
        <v>0</v>
      </c>
      <c r="CS252">
        <f t="shared" si="471"/>
        <v>150</v>
      </c>
      <c r="CT252">
        <f t="shared" si="472"/>
        <v>36764</v>
      </c>
      <c r="CU252">
        <v>28900</v>
      </c>
      <c r="CV252">
        <f t="shared" si="473"/>
        <v>4046</v>
      </c>
      <c r="CW252">
        <f t="shared" si="474"/>
        <v>3468</v>
      </c>
      <c r="CX252">
        <v>0</v>
      </c>
      <c r="CY252">
        <v>500</v>
      </c>
      <c r="CZ252">
        <f t="shared" si="475"/>
        <v>36914</v>
      </c>
      <c r="DA252">
        <v>0</v>
      </c>
      <c r="DB252">
        <v>0</v>
      </c>
      <c r="DC252">
        <f t="shared" si="476"/>
        <v>150</v>
      </c>
      <c r="DD252">
        <f t="shared" si="477"/>
        <v>36764</v>
      </c>
      <c r="DE252">
        <v>28900</v>
      </c>
      <c r="DF252">
        <f t="shared" si="478"/>
        <v>4046.0000000000005</v>
      </c>
      <c r="DG252">
        <f t="shared" si="479"/>
        <v>3468</v>
      </c>
      <c r="DH252">
        <v>0</v>
      </c>
      <c r="DI252">
        <v>500</v>
      </c>
      <c r="DJ252">
        <f t="shared" si="480"/>
        <v>36914</v>
      </c>
      <c r="DK252">
        <v>0</v>
      </c>
      <c r="DL252">
        <v>0</v>
      </c>
      <c r="DM252">
        <f t="shared" si="481"/>
        <v>150</v>
      </c>
      <c r="DN252">
        <f t="shared" si="482"/>
        <v>36764</v>
      </c>
      <c r="DO252">
        <v>28900</v>
      </c>
      <c r="DP252">
        <f t="shared" si="483"/>
        <v>4046.0000000000005</v>
      </c>
      <c r="DQ252">
        <f t="shared" si="484"/>
        <v>3468</v>
      </c>
      <c r="DR252">
        <v>0</v>
      </c>
      <c r="DS252">
        <v>500</v>
      </c>
      <c r="DT252">
        <f t="shared" si="485"/>
        <v>36914</v>
      </c>
      <c r="DU252">
        <v>0</v>
      </c>
      <c r="DV252">
        <v>0</v>
      </c>
      <c r="DW252">
        <f t="shared" si="486"/>
        <v>150</v>
      </c>
      <c r="DX252">
        <f t="shared" si="487"/>
        <v>36764</v>
      </c>
      <c r="DY252">
        <f t="shared" si="488"/>
        <v>406054</v>
      </c>
      <c r="DZ252">
        <f t="shared" si="420"/>
        <v>1650</v>
      </c>
      <c r="EA252">
        <f t="shared" si="421"/>
        <v>50000</v>
      </c>
      <c r="EB252">
        <v>0</v>
      </c>
      <c r="EC252">
        <f t="shared" si="422"/>
        <v>354404</v>
      </c>
      <c r="ED252">
        <f t="shared" si="423"/>
        <v>0</v>
      </c>
      <c r="EE252">
        <f t="shared" si="424"/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f t="shared" si="425"/>
        <v>0</v>
      </c>
      <c r="EQ252">
        <f t="shared" si="489"/>
        <v>0</v>
      </c>
      <c r="ER252">
        <f t="shared" si="426"/>
        <v>354404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f t="shared" si="490"/>
        <v>0</v>
      </c>
      <c r="FA252">
        <f t="shared" si="491"/>
        <v>354404</v>
      </c>
      <c r="FB252">
        <f t="shared" si="492"/>
        <v>5220</v>
      </c>
      <c r="FC252">
        <f t="shared" si="493"/>
        <v>0</v>
      </c>
      <c r="FD252">
        <f t="shared" si="494"/>
        <v>5220</v>
      </c>
      <c r="FE252">
        <f t="shared" si="495"/>
        <v>0</v>
      </c>
      <c r="FF252">
        <f t="shared" si="496"/>
        <v>0</v>
      </c>
      <c r="FG252">
        <f t="shared" si="497"/>
        <v>0</v>
      </c>
      <c r="FH252">
        <v>0</v>
      </c>
      <c r="FI252">
        <f t="shared" si="498"/>
        <v>0</v>
      </c>
      <c r="FJ252" t="b">
        <f t="shared" si="499"/>
        <v>0</v>
      </c>
      <c r="FK252">
        <f t="shared" ca="1" si="500"/>
        <v>1418</v>
      </c>
      <c r="FL252">
        <f t="shared" ca="1" si="501"/>
        <v>407472</v>
      </c>
      <c r="FM252">
        <f t="shared" si="502"/>
        <v>75000</v>
      </c>
      <c r="FN252">
        <f t="shared" ca="1" si="503"/>
        <v>332472</v>
      </c>
      <c r="FO252">
        <f t="shared" ca="1" si="504"/>
        <v>0</v>
      </c>
      <c r="FP252">
        <f t="shared" ca="1" si="505"/>
        <v>0</v>
      </c>
      <c r="FQ252">
        <f t="shared" ca="1" si="506"/>
        <v>0</v>
      </c>
      <c r="FR252">
        <f t="shared" ca="1" si="507"/>
        <v>0</v>
      </c>
      <c r="FS252">
        <f t="shared" ca="1" si="508"/>
        <v>0</v>
      </c>
      <c r="FT252">
        <f t="shared" ca="1" si="509"/>
        <v>0</v>
      </c>
      <c r="FU252">
        <f t="shared" ca="1" si="510"/>
        <v>0</v>
      </c>
      <c r="FV252">
        <f t="shared" ca="1" si="511"/>
        <v>0</v>
      </c>
      <c r="FW252">
        <f t="shared" ca="1" si="512"/>
        <v>32472</v>
      </c>
      <c r="FX252">
        <f t="shared" ca="1" si="513"/>
        <v>1623.6000000000001</v>
      </c>
      <c r="FY252">
        <f t="shared" ca="1" si="514"/>
        <v>1624</v>
      </c>
      <c r="FZ252">
        <f t="shared" ca="1" si="515"/>
        <v>0</v>
      </c>
      <c r="GA252">
        <f t="shared" ca="1" si="516"/>
        <v>0</v>
      </c>
      <c r="GB252">
        <f t="shared" ca="1" si="517"/>
        <v>1624</v>
      </c>
      <c r="GC252">
        <f t="shared" ca="1" si="518"/>
        <v>0</v>
      </c>
      <c r="GD252" t="b">
        <f t="shared" ca="1" si="519"/>
        <v>0</v>
      </c>
      <c r="GE252">
        <f t="shared" ca="1" si="520"/>
        <v>0</v>
      </c>
      <c r="GF252">
        <f t="shared" ca="1" si="521"/>
        <v>1624</v>
      </c>
      <c r="GG252">
        <f t="shared" ca="1" si="522"/>
        <v>0</v>
      </c>
      <c r="GH252">
        <f t="shared" ca="1" si="523"/>
        <v>0</v>
      </c>
      <c r="GI252">
        <f t="shared" ca="1" si="524"/>
        <v>0</v>
      </c>
    </row>
    <row r="253" spans="1:191" x14ac:dyDescent="0.25">
      <c r="A253">
        <f>_xlfn.AGGREGATE(3,5,$B$2:B253)</f>
        <v>252</v>
      </c>
      <c r="B253" t="s">
        <v>624</v>
      </c>
      <c r="C253" t="s">
        <v>625</v>
      </c>
      <c r="D253" t="s">
        <v>827</v>
      </c>
      <c r="E253" t="s">
        <v>843</v>
      </c>
      <c r="F253">
        <v>0</v>
      </c>
      <c r="G253">
        <v>6000</v>
      </c>
      <c r="H253">
        <v>32500</v>
      </c>
      <c r="I253">
        <f t="shared" si="427"/>
        <v>3250</v>
      </c>
      <c r="J253">
        <f t="shared" si="428"/>
        <v>3900</v>
      </c>
      <c r="K253">
        <v>400</v>
      </c>
      <c r="L253">
        <v>0</v>
      </c>
      <c r="M253">
        <f t="shared" si="429"/>
        <v>40050</v>
      </c>
      <c r="N253">
        <v>2500</v>
      </c>
      <c r="O253">
        <v>0</v>
      </c>
      <c r="P253">
        <f t="shared" si="430"/>
        <v>200</v>
      </c>
      <c r="Q253">
        <f t="shared" si="431"/>
        <v>37350</v>
      </c>
      <c r="R253">
        <v>32500</v>
      </c>
      <c r="S253">
        <f t="shared" si="432"/>
        <v>3250</v>
      </c>
      <c r="T253">
        <f t="shared" si="433"/>
        <v>3900</v>
      </c>
      <c r="U253">
        <v>400</v>
      </c>
      <c r="V253">
        <v>0</v>
      </c>
      <c r="W253">
        <f t="shared" si="434"/>
        <v>40050</v>
      </c>
      <c r="X253">
        <v>2500</v>
      </c>
      <c r="Y253">
        <v>0</v>
      </c>
      <c r="Z253">
        <f t="shared" si="435"/>
        <v>200</v>
      </c>
      <c r="AA253">
        <f t="shared" si="436"/>
        <v>37350</v>
      </c>
      <c r="AB253">
        <v>32500</v>
      </c>
      <c r="AC253">
        <f t="shared" si="437"/>
        <v>4550</v>
      </c>
      <c r="AD253">
        <f t="shared" si="438"/>
        <v>3900</v>
      </c>
      <c r="AE253">
        <v>400</v>
      </c>
      <c r="AF253">
        <v>0</v>
      </c>
      <c r="AG253">
        <f t="shared" si="439"/>
        <v>41350</v>
      </c>
      <c r="AH253">
        <v>2500</v>
      </c>
      <c r="AI253">
        <v>0</v>
      </c>
      <c r="AJ253">
        <f t="shared" si="440"/>
        <v>200</v>
      </c>
      <c r="AK253">
        <f t="shared" si="441"/>
        <v>38650</v>
      </c>
      <c r="AL253">
        <v>32500</v>
      </c>
      <c r="AM253">
        <f t="shared" si="442"/>
        <v>4550</v>
      </c>
      <c r="AN253">
        <f t="shared" si="443"/>
        <v>3900</v>
      </c>
      <c r="AO253">
        <v>400</v>
      </c>
      <c r="AP253">
        <v>0</v>
      </c>
      <c r="AQ253">
        <f t="shared" si="444"/>
        <v>41350</v>
      </c>
      <c r="AR253">
        <v>2500</v>
      </c>
      <c r="AS253">
        <v>0</v>
      </c>
      <c r="AT253">
        <f t="shared" si="445"/>
        <v>200</v>
      </c>
      <c r="AU253">
        <f t="shared" si="446"/>
        <v>38650</v>
      </c>
      <c r="AV253">
        <v>34500</v>
      </c>
      <c r="AW253">
        <f t="shared" si="447"/>
        <v>4830.0000000000009</v>
      </c>
      <c r="AX253">
        <f t="shared" si="448"/>
        <v>1300</v>
      </c>
      <c r="AY253">
        <f t="shared" si="449"/>
        <v>4140</v>
      </c>
      <c r="AZ253">
        <v>400</v>
      </c>
      <c r="BA253">
        <v>0</v>
      </c>
      <c r="BB253">
        <f t="shared" si="450"/>
        <v>45170</v>
      </c>
      <c r="BC253">
        <v>2500</v>
      </c>
      <c r="BD253">
        <v>0</v>
      </c>
      <c r="BE253">
        <f t="shared" si="451"/>
        <v>200</v>
      </c>
      <c r="BF253">
        <f t="shared" si="452"/>
        <v>42470</v>
      </c>
      <c r="BG253">
        <v>34500</v>
      </c>
      <c r="BH253">
        <f t="shared" si="453"/>
        <v>4830.0000000000009</v>
      </c>
      <c r="BI253">
        <f t="shared" si="454"/>
        <v>4140</v>
      </c>
      <c r="BJ253">
        <v>400</v>
      </c>
      <c r="BK253">
        <v>0</v>
      </c>
      <c r="BL253">
        <f t="shared" si="455"/>
        <v>43870</v>
      </c>
      <c r="BM253">
        <v>2500</v>
      </c>
      <c r="BN253">
        <v>0</v>
      </c>
      <c r="BO253">
        <f t="shared" si="456"/>
        <v>200</v>
      </c>
      <c r="BP253">
        <f t="shared" si="457"/>
        <v>41170</v>
      </c>
      <c r="BQ253">
        <v>34500</v>
      </c>
      <c r="BR253">
        <f t="shared" si="458"/>
        <v>4830.0000000000009</v>
      </c>
      <c r="BS253">
        <f t="shared" si="459"/>
        <v>4140</v>
      </c>
      <c r="BT253">
        <v>400</v>
      </c>
      <c r="BU253">
        <v>0</v>
      </c>
      <c r="BV253">
        <f t="shared" si="460"/>
        <v>43870</v>
      </c>
      <c r="BW253">
        <v>2500</v>
      </c>
      <c r="BX253">
        <v>0</v>
      </c>
      <c r="BY253">
        <f t="shared" si="461"/>
        <v>200</v>
      </c>
      <c r="BZ253">
        <f t="shared" si="462"/>
        <v>41170</v>
      </c>
      <c r="CA253">
        <v>34500</v>
      </c>
      <c r="CB253">
        <f t="shared" si="463"/>
        <v>4830.0000000000009</v>
      </c>
      <c r="CC253">
        <f t="shared" si="464"/>
        <v>4140</v>
      </c>
      <c r="CD253">
        <v>400</v>
      </c>
      <c r="CE253">
        <v>0</v>
      </c>
      <c r="CF253">
        <f t="shared" si="465"/>
        <v>43870</v>
      </c>
      <c r="CG253">
        <v>2500</v>
      </c>
      <c r="CH253">
        <v>0</v>
      </c>
      <c r="CI253">
        <f t="shared" si="466"/>
        <v>200</v>
      </c>
      <c r="CJ253">
        <f t="shared" si="467"/>
        <v>41170</v>
      </c>
      <c r="CK253">
        <v>34500</v>
      </c>
      <c r="CL253">
        <f t="shared" si="468"/>
        <v>4830.0000000000009</v>
      </c>
      <c r="CM253">
        <f t="shared" si="469"/>
        <v>4140</v>
      </c>
      <c r="CN253">
        <v>400</v>
      </c>
      <c r="CO253">
        <v>0</v>
      </c>
      <c r="CP253">
        <f t="shared" si="470"/>
        <v>43870</v>
      </c>
      <c r="CQ253">
        <v>2500</v>
      </c>
      <c r="CR253">
        <v>0</v>
      </c>
      <c r="CS253">
        <f t="shared" si="471"/>
        <v>200</v>
      </c>
      <c r="CT253">
        <f t="shared" si="472"/>
        <v>41170</v>
      </c>
      <c r="CU253">
        <v>34500</v>
      </c>
      <c r="CV253">
        <f t="shared" si="473"/>
        <v>4830</v>
      </c>
      <c r="CW253">
        <f t="shared" si="474"/>
        <v>4140</v>
      </c>
      <c r="CX253">
        <v>400</v>
      </c>
      <c r="CY253">
        <v>0</v>
      </c>
      <c r="CZ253">
        <f t="shared" si="475"/>
        <v>43870</v>
      </c>
      <c r="DA253">
        <v>2500</v>
      </c>
      <c r="DB253">
        <v>0</v>
      </c>
      <c r="DC253">
        <f t="shared" si="476"/>
        <v>200</v>
      </c>
      <c r="DD253">
        <f t="shared" si="477"/>
        <v>41170</v>
      </c>
      <c r="DE253">
        <v>34500</v>
      </c>
      <c r="DF253">
        <f t="shared" si="478"/>
        <v>4830.0000000000009</v>
      </c>
      <c r="DG253">
        <f t="shared" si="479"/>
        <v>4140</v>
      </c>
      <c r="DH253">
        <v>400</v>
      </c>
      <c r="DI253">
        <v>0</v>
      </c>
      <c r="DJ253">
        <f t="shared" si="480"/>
        <v>43870</v>
      </c>
      <c r="DK253">
        <v>2500</v>
      </c>
      <c r="DL253">
        <v>0</v>
      </c>
      <c r="DM253">
        <f t="shared" si="481"/>
        <v>200</v>
      </c>
      <c r="DN253">
        <f t="shared" si="482"/>
        <v>41170</v>
      </c>
      <c r="DO253">
        <v>34500</v>
      </c>
      <c r="DP253">
        <f t="shared" si="483"/>
        <v>4830.0000000000009</v>
      </c>
      <c r="DQ253">
        <f t="shared" si="484"/>
        <v>4140</v>
      </c>
      <c r="DR253">
        <v>400</v>
      </c>
      <c r="DS253">
        <v>0</v>
      </c>
      <c r="DT253">
        <f t="shared" si="485"/>
        <v>43870</v>
      </c>
      <c r="DU253">
        <v>2500</v>
      </c>
      <c r="DV253">
        <v>0</v>
      </c>
      <c r="DW253">
        <f t="shared" si="486"/>
        <v>200</v>
      </c>
      <c r="DX253">
        <f t="shared" si="487"/>
        <v>41170</v>
      </c>
      <c r="DY253">
        <f t="shared" si="488"/>
        <v>521060</v>
      </c>
      <c r="DZ253">
        <f t="shared" si="420"/>
        <v>2400</v>
      </c>
      <c r="EA253">
        <f t="shared" si="421"/>
        <v>50000</v>
      </c>
      <c r="EB253">
        <v>0</v>
      </c>
      <c r="EC253">
        <f t="shared" si="422"/>
        <v>468660</v>
      </c>
      <c r="ED253">
        <f t="shared" si="423"/>
        <v>30000</v>
      </c>
      <c r="EE253">
        <f t="shared" si="424"/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f t="shared" si="425"/>
        <v>30000</v>
      </c>
      <c r="EQ253">
        <f t="shared" si="489"/>
        <v>30000</v>
      </c>
      <c r="ER253">
        <f t="shared" si="426"/>
        <v>438660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f t="shared" si="490"/>
        <v>0</v>
      </c>
      <c r="FA253">
        <f t="shared" si="491"/>
        <v>438660</v>
      </c>
      <c r="FB253">
        <f t="shared" si="492"/>
        <v>9433</v>
      </c>
      <c r="FC253">
        <f t="shared" si="493"/>
        <v>0</v>
      </c>
      <c r="FD253">
        <f t="shared" si="494"/>
        <v>9433</v>
      </c>
      <c r="FE253">
        <f t="shared" si="495"/>
        <v>0</v>
      </c>
      <c r="FF253">
        <f t="shared" si="496"/>
        <v>0</v>
      </c>
      <c r="FG253">
        <f t="shared" si="497"/>
        <v>0</v>
      </c>
      <c r="FH253">
        <v>0</v>
      </c>
      <c r="FI253">
        <f t="shared" si="498"/>
        <v>0</v>
      </c>
      <c r="FJ253" t="b">
        <f t="shared" si="499"/>
        <v>1</v>
      </c>
      <c r="FK253">
        <f t="shared" ca="1" si="500"/>
        <v>740</v>
      </c>
      <c r="FL253">
        <f t="shared" ca="1" si="501"/>
        <v>521800</v>
      </c>
      <c r="FM253">
        <f t="shared" si="502"/>
        <v>75000</v>
      </c>
      <c r="FN253">
        <f t="shared" ca="1" si="503"/>
        <v>446800</v>
      </c>
      <c r="FO253">
        <f t="shared" ca="1" si="504"/>
        <v>0</v>
      </c>
      <c r="FP253">
        <f t="shared" ca="1" si="505"/>
        <v>0</v>
      </c>
      <c r="FQ253">
        <f t="shared" ca="1" si="506"/>
        <v>0</v>
      </c>
      <c r="FR253">
        <f t="shared" ca="1" si="507"/>
        <v>0</v>
      </c>
      <c r="FS253">
        <f t="shared" ca="1" si="508"/>
        <v>0</v>
      </c>
      <c r="FT253">
        <f t="shared" ca="1" si="509"/>
        <v>0</v>
      </c>
      <c r="FU253">
        <f t="shared" ca="1" si="510"/>
        <v>0</v>
      </c>
      <c r="FV253">
        <f t="shared" ca="1" si="511"/>
        <v>0</v>
      </c>
      <c r="FW253">
        <f t="shared" ca="1" si="512"/>
        <v>146800</v>
      </c>
      <c r="FX253">
        <f t="shared" ca="1" si="513"/>
        <v>7340</v>
      </c>
      <c r="FY253">
        <f t="shared" ca="1" si="514"/>
        <v>7340</v>
      </c>
      <c r="FZ253">
        <f t="shared" ca="1" si="515"/>
        <v>0</v>
      </c>
      <c r="GA253">
        <f t="shared" ca="1" si="516"/>
        <v>0</v>
      </c>
      <c r="GB253">
        <f t="shared" ca="1" si="517"/>
        <v>7340</v>
      </c>
      <c r="GC253">
        <f t="shared" ca="1" si="518"/>
        <v>0</v>
      </c>
      <c r="GD253" t="b">
        <f t="shared" ca="1" si="519"/>
        <v>0</v>
      </c>
      <c r="GE253">
        <f t="shared" ca="1" si="520"/>
        <v>0</v>
      </c>
      <c r="GF253">
        <f t="shared" ca="1" si="521"/>
        <v>7340</v>
      </c>
      <c r="GG253">
        <f t="shared" ca="1" si="522"/>
        <v>0</v>
      </c>
      <c r="GH253">
        <f t="shared" ca="1" si="523"/>
        <v>0</v>
      </c>
      <c r="GI253">
        <f t="shared" ca="1" si="524"/>
        <v>0</v>
      </c>
    </row>
    <row r="254" spans="1:191" x14ac:dyDescent="0.25">
      <c r="A254">
        <f>_xlfn.AGGREGATE(3,5,$B$2:B254)</f>
        <v>253</v>
      </c>
      <c r="B254" t="s">
        <v>626</v>
      </c>
      <c r="C254" t="s">
        <v>627</v>
      </c>
      <c r="D254" t="s">
        <v>827</v>
      </c>
      <c r="E254" t="s">
        <v>843</v>
      </c>
      <c r="F254">
        <v>0</v>
      </c>
      <c r="G254">
        <v>6000</v>
      </c>
      <c r="H254">
        <v>32500</v>
      </c>
      <c r="I254">
        <f t="shared" si="427"/>
        <v>3250</v>
      </c>
      <c r="J254">
        <f t="shared" si="428"/>
        <v>3900</v>
      </c>
      <c r="K254">
        <v>0</v>
      </c>
      <c r="L254">
        <v>0</v>
      </c>
      <c r="M254">
        <f t="shared" si="429"/>
        <v>39650</v>
      </c>
      <c r="N254">
        <v>5000</v>
      </c>
      <c r="O254">
        <v>0</v>
      </c>
      <c r="P254">
        <f t="shared" si="430"/>
        <v>150</v>
      </c>
      <c r="Q254">
        <f t="shared" si="431"/>
        <v>34500</v>
      </c>
      <c r="R254">
        <v>32500</v>
      </c>
      <c r="S254">
        <f t="shared" si="432"/>
        <v>3250</v>
      </c>
      <c r="T254">
        <f t="shared" si="433"/>
        <v>3900</v>
      </c>
      <c r="U254">
        <v>0</v>
      </c>
      <c r="V254">
        <v>0</v>
      </c>
      <c r="W254">
        <f t="shared" si="434"/>
        <v>39650</v>
      </c>
      <c r="X254">
        <v>5000</v>
      </c>
      <c r="Y254">
        <v>0</v>
      </c>
      <c r="Z254">
        <f t="shared" si="435"/>
        <v>150</v>
      </c>
      <c r="AA254">
        <f t="shared" si="436"/>
        <v>34500</v>
      </c>
      <c r="AB254">
        <v>32500</v>
      </c>
      <c r="AC254">
        <f t="shared" si="437"/>
        <v>4550</v>
      </c>
      <c r="AD254">
        <f t="shared" si="438"/>
        <v>3900</v>
      </c>
      <c r="AE254">
        <v>0</v>
      </c>
      <c r="AF254">
        <v>0</v>
      </c>
      <c r="AG254">
        <f t="shared" si="439"/>
        <v>40950</v>
      </c>
      <c r="AH254">
        <v>5000</v>
      </c>
      <c r="AI254">
        <v>0</v>
      </c>
      <c r="AJ254">
        <f t="shared" si="440"/>
        <v>200</v>
      </c>
      <c r="AK254">
        <f t="shared" si="441"/>
        <v>35750</v>
      </c>
      <c r="AL254">
        <v>32500</v>
      </c>
      <c r="AM254">
        <f t="shared" si="442"/>
        <v>4550</v>
      </c>
      <c r="AN254">
        <f t="shared" si="443"/>
        <v>3900</v>
      </c>
      <c r="AO254">
        <v>0</v>
      </c>
      <c r="AP254">
        <v>0</v>
      </c>
      <c r="AQ254">
        <f t="shared" si="444"/>
        <v>40950</v>
      </c>
      <c r="AR254">
        <v>5000</v>
      </c>
      <c r="AS254">
        <v>0</v>
      </c>
      <c r="AT254">
        <f t="shared" si="445"/>
        <v>200</v>
      </c>
      <c r="AU254">
        <f t="shared" si="446"/>
        <v>35750</v>
      </c>
      <c r="AV254">
        <v>34500</v>
      </c>
      <c r="AW254">
        <f t="shared" si="447"/>
        <v>4830.0000000000009</v>
      </c>
      <c r="AX254">
        <f t="shared" si="448"/>
        <v>1300</v>
      </c>
      <c r="AY254">
        <f t="shared" si="449"/>
        <v>4140</v>
      </c>
      <c r="AZ254">
        <v>0</v>
      </c>
      <c r="BA254">
        <v>0</v>
      </c>
      <c r="BB254">
        <f t="shared" si="450"/>
        <v>44770</v>
      </c>
      <c r="BC254">
        <v>5000</v>
      </c>
      <c r="BD254">
        <v>0</v>
      </c>
      <c r="BE254">
        <f t="shared" si="451"/>
        <v>200</v>
      </c>
      <c r="BF254">
        <f t="shared" si="452"/>
        <v>39570</v>
      </c>
      <c r="BG254">
        <v>34500</v>
      </c>
      <c r="BH254">
        <f t="shared" si="453"/>
        <v>4830.0000000000009</v>
      </c>
      <c r="BI254">
        <f t="shared" si="454"/>
        <v>4140</v>
      </c>
      <c r="BJ254">
        <v>0</v>
      </c>
      <c r="BK254">
        <v>0</v>
      </c>
      <c r="BL254">
        <f t="shared" si="455"/>
        <v>43470</v>
      </c>
      <c r="BM254">
        <v>5000</v>
      </c>
      <c r="BN254">
        <v>0</v>
      </c>
      <c r="BO254">
        <f t="shared" si="456"/>
        <v>200</v>
      </c>
      <c r="BP254">
        <f t="shared" si="457"/>
        <v>38270</v>
      </c>
      <c r="BQ254">
        <v>34500</v>
      </c>
      <c r="BR254">
        <f t="shared" si="458"/>
        <v>4830.0000000000009</v>
      </c>
      <c r="BS254">
        <f t="shared" si="459"/>
        <v>4140</v>
      </c>
      <c r="BT254">
        <v>0</v>
      </c>
      <c r="BU254">
        <v>0</v>
      </c>
      <c r="BV254">
        <f t="shared" si="460"/>
        <v>43470</v>
      </c>
      <c r="BW254">
        <v>5000</v>
      </c>
      <c r="BX254">
        <v>0</v>
      </c>
      <c r="BY254">
        <f t="shared" si="461"/>
        <v>200</v>
      </c>
      <c r="BZ254">
        <f t="shared" si="462"/>
        <v>38270</v>
      </c>
      <c r="CA254">
        <v>34500</v>
      </c>
      <c r="CB254">
        <f t="shared" si="463"/>
        <v>4830.0000000000009</v>
      </c>
      <c r="CC254">
        <f t="shared" si="464"/>
        <v>4140</v>
      </c>
      <c r="CD254">
        <v>0</v>
      </c>
      <c r="CE254">
        <v>0</v>
      </c>
      <c r="CF254">
        <f t="shared" si="465"/>
        <v>43470</v>
      </c>
      <c r="CG254">
        <v>5000</v>
      </c>
      <c r="CH254">
        <v>0</v>
      </c>
      <c r="CI254">
        <f t="shared" si="466"/>
        <v>200</v>
      </c>
      <c r="CJ254">
        <f t="shared" si="467"/>
        <v>38270</v>
      </c>
      <c r="CK254">
        <v>34500</v>
      </c>
      <c r="CL254">
        <f t="shared" si="468"/>
        <v>4830.0000000000009</v>
      </c>
      <c r="CM254">
        <f t="shared" si="469"/>
        <v>4140</v>
      </c>
      <c r="CN254">
        <v>0</v>
      </c>
      <c r="CO254">
        <v>0</v>
      </c>
      <c r="CP254">
        <f t="shared" si="470"/>
        <v>43470</v>
      </c>
      <c r="CQ254">
        <v>5000</v>
      </c>
      <c r="CR254">
        <v>0</v>
      </c>
      <c r="CS254">
        <f t="shared" si="471"/>
        <v>200</v>
      </c>
      <c r="CT254">
        <f t="shared" si="472"/>
        <v>38270</v>
      </c>
      <c r="CU254">
        <v>34500</v>
      </c>
      <c r="CV254">
        <f t="shared" si="473"/>
        <v>4830</v>
      </c>
      <c r="CW254">
        <f t="shared" si="474"/>
        <v>4140</v>
      </c>
      <c r="CX254">
        <v>0</v>
      </c>
      <c r="CY254">
        <v>0</v>
      </c>
      <c r="CZ254">
        <f t="shared" si="475"/>
        <v>43470</v>
      </c>
      <c r="DA254">
        <v>5000</v>
      </c>
      <c r="DB254">
        <v>0</v>
      </c>
      <c r="DC254">
        <f t="shared" si="476"/>
        <v>200</v>
      </c>
      <c r="DD254">
        <f t="shared" si="477"/>
        <v>38270</v>
      </c>
      <c r="DE254">
        <v>34500</v>
      </c>
      <c r="DF254">
        <f t="shared" si="478"/>
        <v>4830.0000000000009</v>
      </c>
      <c r="DG254">
        <f t="shared" si="479"/>
        <v>4140</v>
      </c>
      <c r="DH254">
        <v>0</v>
      </c>
      <c r="DI254">
        <v>0</v>
      </c>
      <c r="DJ254">
        <f t="shared" si="480"/>
        <v>43470</v>
      </c>
      <c r="DK254">
        <v>5000</v>
      </c>
      <c r="DL254">
        <v>0</v>
      </c>
      <c r="DM254">
        <f t="shared" si="481"/>
        <v>200</v>
      </c>
      <c r="DN254">
        <f t="shared" si="482"/>
        <v>38270</v>
      </c>
      <c r="DO254">
        <v>34500</v>
      </c>
      <c r="DP254">
        <f t="shared" si="483"/>
        <v>4830.0000000000009</v>
      </c>
      <c r="DQ254">
        <f t="shared" si="484"/>
        <v>4140</v>
      </c>
      <c r="DR254">
        <v>0</v>
      </c>
      <c r="DS254">
        <v>0</v>
      </c>
      <c r="DT254">
        <f t="shared" si="485"/>
        <v>43470</v>
      </c>
      <c r="DU254">
        <v>5000</v>
      </c>
      <c r="DV254">
        <v>0</v>
      </c>
      <c r="DW254">
        <f t="shared" si="486"/>
        <v>200</v>
      </c>
      <c r="DX254">
        <f t="shared" si="487"/>
        <v>38270</v>
      </c>
      <c r="DY254">
        <f t="shared" si="488"/>
        <v>516260</v>
      </c>
      <c r="DZ254">
        <f t="shared" si="420"/>
        <v>2300</v>
      </c>
      <c r="EA254">
        <f t="shared" si="421"/>
        <v>50000</v>
      </c>
      <c r="EB254">
        <v>0</v>
      </c>
      <c r="EC254">
        <f t="shared" si="422"/>
        <v>463960</v>
      </c>
      <c r="ED254">
        <f t="shared" si="423"/>
        <v>60000</v>
      </c>
      <c r="EE254">
        <f t="shared" si="424"/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f t="shared" si="425"/>
        <v>60000</v>
      </c>
      <c r="EQ254">
        <f t="shared" si="489"/>
        <v>60000</v>
      </c>
      <c r="ER254">
        <f t="shared" si="426"/>
        <v>403960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f t="shared" si="490"/>
        <v>0</v>
      </c>
      <c r="FA254">
        <f t="shared" si="491"/>
        <v>403960</v>
      </c>
      <c r="FB254">
        <f t="shared" si="492"/>
        <v>7698</v>
      </c>
      <c r="FC254">
        <f t="shared" si="493"/>
        <v>0</v>
      </c>
      <c r="FD254">
        <f t="shared" si="494"/>
        <v>7698</v>
      </c>
      <c r="FE254">
        <f t="shared" si="495"/>
        <v>0</v>
      </c>
      <c r="FF254">
        <f t="shared" si="496"/>
        <v>0</v>
      </c>
      <c r="FG254">
        <f t="shared" si="497"/>
        <v>0</v>
      </c>
      <c r="FH254">
        <v>0</v>
      </c>
      <c r="FI254">
        <f t="shared" si="498"/>
        <v>0</v>
      </c>
      <c r="FJ254" t="b">
        <f t="shared" si="499"/>
        <v>1</v>
      </c>
      <c r="FK254">
        <f t="shared" ca="1" si="500"/>
        <v>940</v>
      </c>
      <c r="FL254">
        <f t="shared" ca="1" si="501"/>
        <v>517200</v>
      </c>
      <c r="FM254">
        <f t="shared" si="502"/>
        <v>75000</v>
      </c>
      <c r="FN254">
        <f t="shared" ca="1" si="503"/>
        <v>442200</v>
      </c>
      <c r="FO254">
        <f t="shared" ca="1" si="504"/>
        <v>0</v>
      </c>
      <c r="FP254">
        <f t="shared" ca="1" si="505"/>
        <v>0</v>
      </c>
      <c r="FQ254">
        <f t="shared" ca="1" si="506"/>
        <v>0</v>
      </c>
      <c r="FR254">
        <f t="shared" ca="1" si="507"/>
        <v>0</v>
      </c>
      <c r="FS254">
        <f t="shared" ca="1" si="508"/>
        <v>0</v>
      </c>
      <c r="FT254">
        <f t="shared" ca="1" si="509"/>
        <v>0</v>
      </c>
      <c r="FU254">
        <f t="shared" ca="1" si="510"/>
        <v>0</v>
      </c>
      <c r="FV254">
        <f t="shared" ca="1" si="511"/>
        <v>0</v>
      </c>
      <c r="FW254">
        <f t="shared" ca="1" si="512"/>
        <v>142200</v>
      </c>
      <c r="FX254">
        <f t="shared" ca="1" si="513"/>
        <v>7110</v>
      </c>
      <c r="FY254">
        <f t="shared" ca="1" si="514"/>
        <v>7110</v>
      </c>
      <c r="FZ254">
        <f t="shared" ca="1" si="515"/>
        <v>0</v>
      </c>
      <c r="GA254">
        <f t="shared" ca="1" si="516"/>
        <v>0</v>
      </c>
      <c r="GB254">
        <f t="shared" ca="1" si="517"/>
        <v>7110</v>
      </c>
      <c r="GC254">
        <f t="shared" ca="1" si="518"/>
        <v>0</v>
      </c>
      <c r="GD254" t="b">
        <f t="shared" ca="1" si="519"/>
        <v>0</v>
      </c>
      <c r="GE254">
        <f t="shared" ca="1" si="520"/>
        <v>0</v>
      </c>
      <c r="GF254">
        <f t="shared" ca="1" si="521"/>
        <v>7110</v>
      </c>
      <c r="GG254">
        <f t="shared" ca="1" si="522"/>
        <v>0</v>
      </c>
      <c r="GH254">
        <f t="shared" ca="1" si="523"/>
        <v>0</v>
      </c>
      <c r="GI254">
        <f t="shared" ca="1" si="524"/>
        <v>0</v>
      </c>
    </row>
    <row r="255" spans="1:191" x14ac:dyDescent="0.25">
      <c r="A255">
        <f>_xlfn.AGGREGATE(3,5,$B$2:B255)</f>
        <v>254</v>
      </c>
      <c r="B255" t="s">
        <v>628</v>
      </c>
      <c r="C255" t="s">
        <v>629</v>
      </c>
      <c r="D255" t="s">
        <v>828</v>
      </c>
      <c r="E255" t="s">
        <v>843</v>
      </c>
      <c r="F255">
        <v>0</v>
      </c>
      <c r="G255">
        <v>0</v>
      </c>
      <c r="H255">
        <v>50200</v>
      </c>
      <c r="I255">
        <f t="shared" si="427"/>
        <v>5020</v>
      </c>
      <c r="J255">
        <f t="shared" si="428"/>
        <v>6024</v>
      </c>
      <c r="K255">
        <v>400</v>
      </c>
      <c r="L255">
        <v>500</v>
      </c>
      <c r="M255">
        <f t="shared" si="429"/>
        <v>62144</v>
      </c>
      <c r="N255">
        <v>5000</v>
      </c>
      <c r="O255">
        <v>0</v>
      </c>
      <c r="P255">
        <f t="shared" si="430"/>
        <v>200</v>
      </c>
      <c r="Q255">
        <f t="shared" si="431"/>
        <v>56944</v>
      </c>
      <c r="R255">
        <v>50200</v>
      </c>
      <c r="S255">
        <f t="shared" si="432"/>
        <v>5020</v>
      </c>
      <c r="T255">
        <f t="shared" si="433"/>
        <v>6024</v>
      </c>
      <c r="U255">
        <v>400</v>
      </c>
      <c r="V255">
        <v>500</v>
      </c>
      <c r="W255">
        <f t="shared" si="434"/>
        <v>62144</v>
      </c>
      <c r="X255">
        <v>5000</v>
      </c>
      <c r="Y255">
        <v>0</v>
      </c>
      <c r="Z255">
        <f t="shared" si="435"/>
        <v>200</v>
      </c>
      <c r="AA255">
        <f t="shared" si="436"/>
        <v>56944</v>
      </c>
      <c r="AB255">
        <v>50200</v>
      </c>
      <c r="AC255">
        <f t="shared" si="437"/>
        <v>7028.0000000000009</v>
      </c>
      <c r="AD255">
        <f t="shared" si="438"/>
        <v>6024</v>
      </c>
      <c r="AE255">
        <v>400</v>
      </c>
      <c r="AF255">
        <v>500</v>
      </c>
      <c r="AG255">
        <f t="shared" si="439"/>
        <v>64152</v>
      </c>
      <c r="AH255">
        <v>5000</v>
      </c>
      <c r="AI255">
        <v>0</v>
      </c>
      <c r="AJ255">
        <f t="shared" si="440"/>
        <v>200</v>
      </c>
      <c r="AK255">
        <f t="shared" si="441"/>
        <v>58952</v>
      </c>
      <c r="AL255">
        <v>50200</v>
      </c>
      <c r="AM255">
        <f t="shared" si="442"/>
        <v>7028.0000000000009</v>
      </c>
      <c r="AN255">
        <f t="shared" si="443"/>
        <v>6024</v>
      </c>
      <c r="AO255">
        <v>400</v>
      </c>
      <c r="AP255">
        <v>500</v>
      </c>
      <c r="AQ255">
        <f t="shared" si="444"/>
        <v>64152</v>
      </c>
      <c r="AR255">
        <v>5000</v>
      </c>
      <c r="AS255">
        <v>0</v>
      </c>
      <c r="AT255">
        <f t="shared" si="445"/>
        <v>200</v>
      </c>
      <c r="AU255">
        <f t="shared" si="446"/>
        <v>58952</v>
      </c>
      <c r="AV255">
        <v>51700</v>
      </c>
      <c r="AW255">
        <f t="shared" si="447"/>
        <v>7238.0000000000009</v>
      </c>
      <c r="AX255">
        <f t="shared" si="448"/>
        <v>2008</v>
      </c>
      <c r="AY255">
        <f t="shared" si="449"/>
        <v>6204</v>
      </c>
      <c r="AZ255">
        <v>400</v>
      </c>
      <c r="BA255">
        <v>500</v>
      </c>
      <c r="BB255">
        <f t="shared" si="450"/>
        <v>68050</v>
      </c>
      <c r="BC255">
        <v>5000</v>
      </c>
      <c r="BD255">
        <v>0</v>
      </c>
      <c r="BE255">
        <f t="shared" si="451"/>
        <v>200</v>
      </c>
      <c r="BF255">
        <f t="shared" si="452"/>
        <v>62850</v>
      </c>
      <c r="BG255">
        <v>51700</v>
      </c>
      <c r="BH255">
        <f t="shared" si="453"/>
        <v>7238.0000000000009</v>
      </c>
      <c r="BI255">
        <f t="shared" si="454"/>
        <v>6204</v>
      </c>
      <c r="BJ255">
        <v>400</v>
      </c>
      <c r="BK255">
        <v>500</v>
      </c>
      <c r="BL255">
        <f t="shared" si="455"/>
        <v>66042</v>
      </c>
      <c r="BM255">
        <v>5000</v>
      </c>
      <c r="BN255">
        <v>0</v>
      </c>
      <c r="BO255">
        <f t="shared" si="456"/>
        <v>200</v>
      </c>
      <c r="BP255">
        <f t="shared" si="457"/>
        <v>60842</v>
      </c>
      <c r="BQ255">
        <v>51700</v>
      </c>
      <c r="BR255">
        <f t="shared" si="458"/>
        <v>7238.0000000000009</v>
      </c>
      <c r="BS255">
        <f t="shared" si="459"/>
        <v>6204</v>
      </c>
      <c r="BT255">
        <v>400</v>
      </c>
      <c r="BU255">
        <v>500</v>
      </c>
      <c r="BV255">
        <f t="shared" si="460"/>
        <v>66042</v>
      </c>
      <c r="BW255">
        <v>5000</v>
      </c>
      <c r="BX255">
        <v>0</v>
      </c>
      <c r="BY255">
        <f t="shared" si="461"/>
        <v>200</v>
      </c>
      <c r="BZ255">
        <f t="shared" si="462"/>
        <v>60842</v>
      </c>
      <c r="CA255">
        <v>51700</v>
      </c>
      <c r="CB255">
        <f t="shared" si="463"/>
        <v>7238.0000000000009</v>
      </c>
      <c r="CC255">
        <f t="shared" si="464"/>
        <v>6204</v>
      </c>
      <c r="CD255">
        <v>400</v>
      </c>
      <c r="CE255">
        <v>500</v>
      </c>
      <c r="CF255">
        <f t="shared" si="465"/>
        <v>66042</v>
      </c>
      <c r="CG255">
        <v>5000</v>
      </c>
      <c r="CH255">
        <v>0</v>
      </c>
      <c r="CI255">
        <f t="shared" si="466"/>
        <v>200</v>
      </c>
      <c r="CJ255">
        <f t="shared" si="467"/>
        <v>60842</v>
      </c>
      <c r="CK255">
        <v>51700</v>
      </c>
      <c r="CL255">
        <f t="shared" si="468"/>
        <v>7238.0000000000009</v>
      </c>
      <c r="CM255">
        <f t="shared" si="469"/>
        <v>6204</v>
      </c>
      <c r="CN255">
        <v>400</v>
      </c>
      <c r="CO255">
        <v>500</v>
      </c>
      <c r="CP255">
        <f t="shared" si="470"/>
        <v>66042</v>
      </c>
      <c r="CQ255">
        <v>5000</v>
      </c>
      <c r="CR255">
        <v>0</v>
      </c>
      <c r="CS255">
        <f t="shared" si="471"/>
        <v>200</v>
      </c>
      <c r="CT255">
        <f t="shared" si="472"/>
        <v>60842</v>
      </c>
      <c r="CU255">
        <v>51700</v>
      </c>
      <c r="CV255">
        <f t="shared" si="473"/>
        <v>7238</v>
      </c>
      <c r="CW255">
        <f t="shared" si="474"/>
        <v>6204</v>
      </c>
      <c r="CX255">
        <v>400</v>
      </c>
      <c r="CY255">
        <v>500</v>
      </c>
      <c r="CZ255">
        <f t="shared" si="475"/>
        <v>66042</v>
      </c>
      <c r="DA255">
        <v>5000</v>
      </c>
      <c r="DB255">
        <v>0</v>
      </c>
      <c r="DC255">
        <f t="shared" si="476"/>
        <v>200</v>
      </c>
      <c r="DD255">
        <f t="shared" si="477"/>
        <v>60842</v>
      </c>
      <c r="DE255">
        <v>51700</v>
      </c>
      <c r="DF255">
        <f t="shared" si="478"/>
        <v>7238.0000000000009</v>
      </c>
      <c r="DG255">
        <f t="shared" si="479"/>
        <v>6204</v>
      </c>
      <c r="DH255">
        <v>400</v>
      </c>
      <c r="DI255">
        <v>500</v>
      </c>
      <c r="DJ255">
        <f t="shared" si="480"/>
        <v>66042</v>
      </c>
      <c r="DK255">
        <v>5000</v>
      </c>
      <c r="DL255">
        <v>0</v>
      </c>
      <c r="DM255">
        <f t="shared" si="481"/>
        <v>200</v>
      </c>
      <c r="DN255">
        <f t="shared" si="482"/>
        <v>60842</v>
      </c>
      <c r="DO255">
        <v>51700</v>
      </c>
      <c r="DP255">
        <f t="shared" si="483"/>
        <v>7238.0000000000009</v>
      </c>
      <c r="DQ255">
        <f t="shared" si="484"/>
        <v>6204</v>
      </c>
      <c r="DR255">
        <v>400</v>
      </c>
      <c r="DS255">
        <v>500</v>
      </c>
      <c r="DT255">
        <f t="shared" si="485"/>
        <v>66042</v>
      </c>
      <c r="DU255">
        <v>5000</v>
      </c>
      <c r="DV255">
        <v>0</v>
      </c>
      <c r="DW255">
        <f t="shared" si="486"/>
        <v>200</v>
      </c>
      <c r="DX255">
        <f t="shared" si="487"/>
        <v>60842</v>
      </c>
      <c r="DY255">
        <f t="shared" si="488"/>
        <v>782936</v>
      </c>
      <c r="DZ255">
        <f t="shared" si="420"/>
        <v>2400</v>
      </c>
      <c r="EA255">
        <f t="shared" si="421"/>
        <v>50000</v>
      </c>
      <c r="EB255">
        <v>0</v>
      </c>
      <c r="EC255">
        <f t="shared" si="422"/>
        <v>730536</v>
      </c>
      <c r="ED255">
        <f t="shared" si="423"/>
        <v>60000</v>
      </c>
      <c r="EE255">
        <f t="shared" si="424"/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f t="shared" si="425"/>
        <v>60000</v>
      </c>
      <c r="EQ255">
        <f t="shared" si="489"/>
        <v>60000</v>
      </c>
      <c r="ER255">
        <f t="shared" si="426"/>
        <v>670536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f t="shared" si="490"/>
        <v>0</v>
      </c>
      <c r="FA255">
        <f t="shared" si="491"/>
        <v>670536</v>
      </c>
      <c r="FB255">
        <f t="shared" si="492"/>
        <v>12500</v>
      </c>
      <c r="FC255">
        <f t="shared" si="493"/>
        <v>34107</v>
      </c>
      <c r="FD255">
        <f t="shared" si="494"/>
        <v>46607</v>
      </c>
      <c r="FE255">
        <f t="shared" si="495"/>
        <v>46607</v>
      </c>
      <c r="FF255">
        <f t="shared" si="496"/>
        <v>1864.28</v>
      </c>
      <c r="FG255">
        <f t="shared" si="497"/>
        <v>48471</v>
      </c>
      <c r="FH255">
        <v>0</v>
      </c>
      <c r="FI255">
        <f t="shared" si="498"/>
        <v>48471</v>
      </c>
      <c r="FJ255" t="b">
        <f t="shared" si="499"/>
        <v>1</v>
      </c>
      <c r="FK255">
        <f t="shared" ca="1" si="500"/>
        <v>791</v>
      </c>
      <c r="FL255">
        <f t="shared" ca="1" si="501"/>
        <v>783727</v>
      </c>
      <c r="FM255">
        <f t="shared" si="502"/>
        <v>75000</v>
      </c>
      <c r="FN255">
        <f t="shared" ca="1" si="503"/>
        <v>708727</v>
      </c>
      <c r="FO255">
        <f t="shared" ca="1" si="504"/>
        <v>0</v>
      </c>
      <c r="FP255">
        <f t="shared" ca="1" si="505"/>
        <v>0</v>
      </c>
      <c r="FQ255">
        <f t="shared" ca="1" si="506"/>
        <v>0</v>
      </c>
      <c r="FR255">
        <f t="shared" ca="1" si="507"/>
        <v>0</v>
      </c>
      <c r="FS255">
        <f t="shared" ca="1" si="508"/>
        <v>0</v>
      </c>
      <c r="FT255">
        <f t="shared" ca="1" si="509"/>
        <v>0</v>
      </c>
      <c r="FU255">
        <f t="shared" ca="1" si="510"/>
        <v>8727</v>
      </c>
      <c r="FV255">
        <f t="shared" ca="1" si="511"/>
        <v>872.7</v>
      </c>
      <c r="FW255">
        <f t="shared" ca="1" si="512"/>
        <v>400000</v>
      </c>
      <c r="FX255">
        <f t="shared" ca="1" si="513"/>
        <v>20000</v>
      </c>
      <c r="FY255">
        <f t="shared" ca="1" si="514"/>
        <v>20873</v>
      </c>
      <c r="FZ255">
        <f t="shared" ca="1" si="515"/>
        <v>708727</v>
      </c>
      <c r="GA255">
        <f t="shared" ca="1" si="516"/>
        <v>8727</v>
      </c>
      <c r="GB255">
        <f t="shared" ca="1" si="517"/>
        <v>0</v>
      </c>
      <c r="GC255">
        <f t="shared" ca="1" si="518"/>
        <v>12146</v>
      </c>
      <c r="GD255" t="b">
        <f t="shared" ca="1" si="519"/>
        <v>1</v>
      </c>
      <c r="GE255">
        <f t="shared" ca="1" si="520"/>
        <v>12146</v>
      </c>
      <c r="GF255">
        <f t="shared" ca="1" si="521"/>
        <v>12146</v>
      </c>
      <c r="GG255">
        <f t="shared" ca="1" si="522"/>
        <v>8727</v>
      </c>
      <c r="GH255">
        <f t="shared" ca="1" si="523"/>
        <v>349.08</v>
      </c>
      <c r="GI255">
        <f t="shared" ca="1" si="524"/>
        <v>9077</v>
      </c>
    </row>
    <row r="256" spans="1:191" x14ac:dyDescent="0.25">
      <c r="A256">
        <f>_xlfn.AGGREGATE(3,5,$B$2:B256)</f>
        <v>255</v>
      </c>
      <c r="B256" t="s">
        <v>630</v>
      </c>
      <c r="C256" t="s">
        <v>631</v>
      </c>
      <c r="D256" t="s">
        <v>828</v>
      </c>
      <c r="E256" t="s">
        <v>843</v>
      </c>
      <c r="F256">
        <v>0</v>
      </c>
      <c r="G256">
        <v>6000</v>
      </c>
      <c r="H256">
        <v>32500</v>
      </c>
      <c r="I256">
        <f t="shared" si="427"/>
        <v>3250</v>
      </c>
      <c r="J256">
        <f t="shared" si="428"/>
        <v>3900</v>
      </c>
      <c r="K256">
        <v>0</v>
      </c>
      <c r="L256">
        <v>500</v>
      </c>
      <c r="M256">
        <f t="shared" si="429"/>
        <v>40150</v>
      </c>
      <c r="N256">
        <v>3000</v>
      </c>
      <c r="O256">
        <v>0</v>
      </c>
      <c r="P256">
        <f t="shared" si="430"/>
        <v>200</v>
      </c>
      <c r="Q256">
        <f t="shared" si="431"/>
        <v>36950</v>
      </c>
      <c r="R256">
        <v>32500</v>
      </c>
      <c r="S256">
        <f t="shared" si="432"/>
        <v>3250</v>
      </c>
      <c r="T256">
        <f t="shared" si="433"/>
        <v>3900</v>
      </c>
      <c r="U256">
        <v>0</v>
      </c>
      <c r="V256">
        <v>500</v>
      </c>
      <c r="W256">
        <f t="shared" si="434"/>
        <v>40150</v>
      </c>
      <c r="X256">
        <v>3000</v>
      </c>
      <c r="Y256">
        <v>0</v>
      </c>
      <c r="Z256">
        <f t="shared" si="435"/>
        <v>200</v>
      </c>
      <c r="AA256">
        <f t="shared" si="436"/>
        <v>36950</v>
      </c>
      <c r="AB256">
        <v>32500</v>
      </c>
      <c r="AC256">
        <f t="shared" si="437"/>
        <v>4550</v>
      </c>
      <c r="AD256">
        <f t="shared" si="438"/>
        <v>3900</v>
      </c>
      <c r="AE256">
        <v>0</v>
      </c>
      <c r="AF256">
        <v>500</v>
      </c>
      <c r="AG256">
        <f t="shared" si="439"/>
        <v>41450</v>
      </c>
      <c r="AH256">
        <v>3000</v>
      </c>
      <c r="AI256">
        <v>0</v>
      </c>
      <c r="AJ256">
        <f t="shared" si="440"/>
        <v>200</v>
      </c>
      <c r="AK256">
        <f t="shared" si="441"/>
        <v>38250</v>
      </c>
      <c r="AL256">
        <v>32500</v>
      </c>
      <c r="AM256">
        <f t="shared" si="442"/>
        <v>4550</v>
      </c>
      <c r="AN256">
        <f t="shared" si="443"/>
        <v>3900</v>
      </c>
      <c r="AO256">
        <v>0</v>
      </c>
      <c r="AP256">
        <v>500</v>
      </c>
      <c r="AQ256">
        <f t="shared" si="444"/>
        <v>41450</v>
      </c>
      <c r="AR256">
        <v>3000</v>
      </c>
      <c r="AS256">
        <v>0</v>
      </c>
      <c r="AT256">
        <f t="shared" si="445"/>
        <v>200</v>
      </c>
      <c r="AU256">
        <f t="shared" si="446"/>
        <v>38250</v>
      </c>
      <c r="AV256">
        <v>34500</v>
      </c>
      <c r="AW256">
        <f t="shared" si="447"/>
        <v>4830.0000000000009</v>
      </c>
      <c r="AX256">
        <f t="shared" si="448"/>
        <v>1300</v>
      </c>
      <c r="AY256">
        <f t="shared" si="449"/>
        <v>4140</v>
      </c>
      <c r="AZ256">
        <v>0</v>
      </c>
      <c r="BA256">
        <v>500</v>
      </c>
      <c r="BB256">
        <f t="shared" si="450"/>
        <v>45270</v>
      </c>
      <c r="BC256">
        <v>3000</v>
      </c>
      <c r="BD256">
        <v>0</v>
      </c>
      <c r="BE256">
        <f t="shared" si="451"/>
        <v>200</v>
      </c>
      <c r="BF256">
        <f t="shared" si="452"/>
        <v>42070</v>
      </c>
      <c r="BG256">
        <v>34500</v>
      </c>
      <c r="BH256">
        <f t="shared" si="453"/>
        <v>4830.0000000000009</v>
      </c>
      <c r="BI256">
        <f t="shared" si="454"/>
        <v>4140</v>
      </c>
      <c r="BJ256">
        <v>0</v>
      </c>
      <c r="BK256">
        <v>500</v>
      </c>
      <c r="BL256">
        <f t="shared" si="455"/>
        <v>43970</v>
      </c>
      <c r="BM256">
        <v>3000</v>
      </c>
      <c r="BN256">
        <v>0</v>
      </c>
      <c r="BO256">
        <f t="shared" si="456"/>
        <v>200</v>
      </c>
      <c r="BP256">
        <f t="shared" si="457"/>
        <v>40770</v>
      </c>
      <c r="BQ256">
        <v>34500</v>
      </c>
      <c r="BR256">
        <f t="shared" si="458"/>
        <v>4830.0000000000009</v>
      </c>
      <c r="BS256">
        <f t="shared" si="459"/>
        <v>4140</v>
      </c>
      <c r="BT256">
        <v>0</v>
      </c>
      <c r="BU256">
        <v>500</v>
      </c>
      <c r="BV256">
        <f t="shared" si="460"/>
        <v>43970</v>
      </c>
      <c r="BW256">
        <v>3000</v>
      </c>
      <c r="BX256">
        <v>0</v>
      </c>
      <c r="BY256">
        <f t="shared" si="461"/>
        <v>200</v>
      </c>
      <c r="BZ256">
        <f t="shared" si="462"/>
        <v>40770</v>
      </c>
      <c r="CA256">
        <v>34500</v>
      </c>
      <c r="CB256">
        <f t="shared" si="463"/>
        <v>4830.0000000000009</v>
      </c>
      <c r="CC256">
        <f t="shared" si="464"/>
        <v>4140</v>
      </c>
      <c r="CD256">
        <v>0</v>
      </c>
      <c r="CE256">
        <v>500</v>
      </c>
      <c r="CF256">
        <f t="shared" si="465"/>
        <v>43970</v>
      </c>
      <c r="CG256">
        <v>3000</v>
      </c>
      <c r="CH256">
        <v>0</v>
      </c>
      <c r="CI256">
        <f t="shared" si="466"/>
        <v>200</v>
      </c>
      <c r="CJ256">
        <f t="shared" si="467"/>
        <v>40770</v>
      </c>
      <c r="CK256">
        <v>34500</v>
      </c>
      <c r="CL256">
        <f t="shared" si="468"/>
        <v>4830.0000000000009</v>
      </c>
      <c r="CM256">
        <f t="shared" si="469"/>
        <v>4140</v>
      </c>
      <c r="CN256">
        <v>0</v>
      </c>
      <c r="CO256">
        <v>500</v>
      </c>
      <c r="CP256">
        <f t="shared" si="470"/>
        <v>43970</v>
      </c>
      <c r="CQ256">
        <v>3000</v>
      </c>
      <c r="CR256">
        <v>0</v>
      </c>
      <c r="CS256">
        <f t="shared" si="471"/>
        <v>200</v>
      </c>
      <c r="CT256">
        <f t="shared" si="472"/>
        <v>40770</v>
      </c>
      <c r="CU256">
        <v>34500</v>
      </c>
      <c r="CV256">
        <f t="shared" si="473"/>
        <v>4830</v>
      </c>
      <c r="CW256">
        <f t="shared" si="474"/>
        <v>4140</v>
      </c>
      <c r="CX256">
        <v>0</v>
      </c>
      <c r="CY256">
        <v>500</v>
      </c>
      <c r="CZ256">
        <f t="shared" si="475"/>
        <v>43970</v>
      </c>
      <c r="DA256">
        <v>3000</v>
      </c>
      <c r="DB256">
        <v>0</v>
      </c>
      <c r="DC256">
        <f t="shared" si="476"/>
        <v>200</v>
      </c>
      <c r="DD256">
        <f t="shared" si="477"/>
        <v>40770</v>
      </c>
      <c r="DE256">
        <v>34500</v>
      </c>
      <c r="DF256">
        <f t="shared" si="478"/>
        <v>4830.0000000000009</v>
      </c>
      <c r="DG256">
        <f t="shared" si="479"/>
        <v>4140</v>
      </c>
      <c r="DH256">
        <v>0</v>
      </c>
      <c r="DI256">
        <v>500</v>
      </c>
      <c r="DJ256">
        <f t="shared" si="480"/>
        <v>43970</v>
      </c>
      <c r="DK256">
        <v>3000</v>
      </c>
      <c r="DL256">
        <v>0</v>
      </c>
      <c r="DM256">
        <f t="shared" si="481"/>
        <v>200</v>
      </c>
      <c r="DN256">
        <f t="shared" si="482"/>
        <v>40770</v>
      </c>
      <c r="DO256">
        <v>34500</v>
      </c>
      <c r="DP256">
        <f t="shared" si="483"/>
        <v>4830.0000000000009</v>
      </c>
      <c r="DQ256">
        <f t="shared" si="484"/>
        <v>4140</v>
      </c>
      <c r="DR256">
        <v>0</v>
      </c>
      <c r="DS256">
        <v>500</v>
      </c>
      <c r="DT256">
        <f t="shared" si="485"/>
        <v>43970</v>
      </c>
      <c r="DU256">
        <v>3000</v>
      </c>
      <c r="DV256">
        <v>0</v>
      </c>
      <c r="DW256">
        <f t="shared" si="486"/>
        <v>200</v>
      </c>
      <c r="DX256">
        <f t="shared" si="487"/>
        <v>40770</v>
      </c>
      <c r="DY256">
        <f t="shared" si="488"/>
        <v>522260</v>
      </c>
      <c r="DZ256">
        <f t="shared" si="420"/>
        <v>2400</v>
      </c>
      <c r="EA256">
        <f t="shared" si="421"/>
        <v>50000</v>
      </c>
      <c r="EB256">
        <v>0</v>
      </c>
      <c r="EC256">
        <f t="shared" si="422"/>
        <v>469860</v>
      </c>
      <c r="ED256">
        <f t="shared" si="423"/>
        <v>36000</v>
      </c>
      <c r="EE256">
        <f t="shared" si="424"/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f t="shared" si="425"/>
        <v>36000</v>
      </c>
      <c r="EQ256">
        <f t="shared" si="489"/>
        <v>36000</v>
      </c>
      <c r="ER256">
        <f t="shared" si="426"/>
        <v>433860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f t="shared" si="490"/>
        <v>0</v>
      </c>
      <c r="FA256">
        <f t="shared" si="491"/>
        <v>433860</v>
      </c>
      <c r="FB256">
        <f t="shared" si="492"/>
        <v>9193</v>
      </c>
      <c r="FC256">
        <f t="shared" si="493"/>
        <v>0</v>
      </c>
      <c r="FD256">
        <f t="shared" si="494"/>
        <v>9193</v>
      </c>
      <c r="FE256">
        <f t="shared" si="495"/>
        <v>0</v>
      </c>
      <c r="FF256">
        <f t="shared" si="496"/>
        <v>0</v>
      </c>
      <c r="FG256">
        <f t="shared" si="497"/>
        <v>0</v>
      </c>
      <c r="FH256">
        <v>0</v>
      </c>
      <c r="FI256">
        <f t="shared" si="498"/>
        <v>0</v>
      </c>
      <c r="FJ256" t="b">
        <f t="shared" si="499"/>
        <v>1</v>
      </c>
      <c r="FK256">
        <f t="shared" ca="1" si="500"/>
        <v>830</v>
      </c>
      <c r="FL256">
        <f t="shared" ca="1" si="501"/>
        <v>523090</v>
      </c>
      <c r="FM256">
        <f t="shared" si="502"/>
        <v>75000</v>
      </c>
      <c r="FN256">
        <f t="shared" ca="1" si="503"/>
        <v>448090</v>
      </c>
      <c r="FO256">
        <f t="shared" ca="1" si="504"/>
        <v>0</v>
      </c>
      <c r="FP256">
        <f t="shared" ca="1" si="505"/>
        <v>0</v>
      </c>
      <c r="FQ256">
        <f t="shared" ca="1" si="506"/>
        <v>0</v>
      </c>
      <c r="FR256">
        <f t="shared" ca="1" si="507"/>
        <v>0</v>
      </c>
      <c r="FS256">
        <f t="shared" ca="1" si="508"/>
        <v>0</v>
      </c>
      <c r="FT256">
        <f t="shared" ca="1" si="509"/>
        <v>0</v>
      </c>
      <c r="FU256">
        <f t="shared" ca="1" si="510"/>
        <v>0</v>
      </c>
      <c r="FV256">
        <f t="shared" ca="1" si="511"/>
        <v>0</v>
      </c>
      <c r="FW256">
        <f t="shared" ca="1" si="512"/>
        <v>148090</v>
      </c>
      <c r="FX256">
        <f t="shared" ca="1" si="513"/>
        <v>7404.5</v>
      </c>
      <c r="FY256">
        <f t="shared" ca="1" si="514"/>
        <v>7405</v>
      </c>
      <c r="FZ256">
        <f t="shared" ca="1" si="515"/>
        <v>0</v>
      </c>
      <c r="GA256">
        <f t="shared" ca="1" si="516"/>
        <v>0</v>
      </c>
      <c r="GB256">
        <f t="shared" ca="1" si="517"/>
        <v>7405</v>
      </c>
      <c r="GC256">
        <f t="shared" ca="1" si="518"/>
        <v>0</v>
      </c>
      <c r="GD256" t="b">
        <f t="shared" ca="1" si="519"/>
        <v>0</v>
      </c>
      <c r="GE256">
        <f t="shared" ca="1" si="520"/>
        <v>0</v>
      </c>
      <c r="GF256">
        <f t="shared" ca="1" si="521"/>
        <v>7405</v>
      </c>
      <c r="GG256">
        <f t="shared" ca="1" si="522"/>
        <v>0</v>
      </c>
      <c r="GH256">
        <f t="shared" ca="1" si="523"/>
        <v>0</v>
      </c>
      <c r="GI256">
        <f t="shared" ca="1" si="524"/>
        <v>0</v>
      </c>
    </row>
    <row r="257" spans="1:191" x14ac:dyDescent="0.25">
      <c r="A257">
        <f>_xlfn.AGGREGATE(3,5,$B$2:B257)</f>
        <v>256</v>
      </c>
      <c r="B257" t="s">
        <v>632</v>
      </c>
      <c r="C257" t="s">
        <v>633</v>
      </c>
      <c r="D257" t="s">
        <v>828</v>
      </c>
      <c r="E257" t="s">
        <v>843</v>
      </c>
      <c r="F257">
        <v>0</v>
      </c>
      <c r="G257">
        <v>0</v>
      </c>
      <c r="H257">
        <v>0</v>
      </c>
      <c r="I257">
        <f t="shared" si="427"/>
        <v>0</v>
      </c>
      <c r="J257">
        <f t="shared" si="428"/>
        <v>0</v>
      </c>
      <c r="K257">
        <v>0</v>
      </c>
      <c r="L257">
        <v>0</v>
      </c>
      <c r="M257">
        <f t="shared" si="429"/>
        <v>0</v>
      </c>
      <c r="N257">
        <v>0</v>
      </c>
      <c r="O257">
        <v>0</v>
      </c>
      <c r="P257">
        <f t="shared" si="430"/>
        <v>0</v>
      </c>
      <c r="Q257">
        <f t="shared" si="431"/>
        <v>0</v>
      </c>
      <c r="R257">
        <v>28900</v>
      </c>
      <c r="S257">
        <f t="shared" si="432"/>
        <v>2890</v>
      </c>
      <c r="T257">
        <f t="shared" si="433"/>
        <v>3468</v>
      </c>
      <c r="U257">
        <v>0</v>
      </c>
      <c r="V257">
        <v>500</v>
      </c>
      <c r="W257">
        <f t="shared" si="434"/>
        <v>35758</v>
      </c>
      <c r="X257">
        <v>0</v>
      </c>
      <c r="Y257">
        <v>0</v>
      </c>
      <c r="Z257">
        <f t="shared" si="435"/>
        <v>150</v>
      </c>
      <c r="AA257">
        <f t="shared" si="436"/>
        <v>35608</v>
      </c>
      <c r="AB257">
        <v>28900</v>
      </c>
      <c r="AC257">
        <f t="shared" si="437"/>
        <v>4046.0000000000005</v>
      </c>
      <c r="AD257">
        <f t="shared" si="438"/>
        <v>3468</v>
      </c>
      <c r="AE257">
        <v>0</v>
      </c>
      <c r="AF257">
        <v>500</v>
      </c>
      <c r="AG257">
        <f t="shared" si="439"/>
        <v>36914</v>
      </c>
      <c r="AH257">
        <v>0</v>
      </c>
      <c r="AI257">
        <v>0</v>
      </c>
      <c r="AJ257">
        <f t="shared" si="440"/>
        <v>150</v>
      </c>
      <c r="AK257">
        <f t="shared" si="441"/>
        <v>36764</v>
      </c>
      <c r="AL257">
        <v>28900</v>
      </c>
      <c r="AM257">
        <f t="shared" si="442"/>
        <v>4046.0000000000005</v>
      </c>
      <c r="AN257">
        <f t="shared" si="443"/>
        <v>3468</v>
      </c>
      <c r="AO257">
        <v>0</v>
      </c>
      <c r="AP257">
        <v>500</v>
      </c>
      <c r="AQ257">
        <f t="shared" si="444"/>
        <v>36914</v>
      </c>
      <c r="AR257">
        <v>0</v>
      </c>
      <c r="AS257">
        <v>0</v>
      </c>
      <c r="AT257">
        <f t="shared" si="445"/>
        <v>150</v>
      </c>
      <c r="AU257">
        <f t="shared" si="446"/>
        <v>36764</v>
      </c>
      <c r="AV257">
        <v>28900</v>
      </c>
      <c r="AW257">
        <f t="shared" si="447"/>
        <v>4046.0000000000005</v>
      </c>
      <c r="AX257">
        <f t="shared" si="448"/>
        <v>1156</v>
      </c>
      <c r="AY257">
        <f t="shared" si="449"/>
        <v>3468</v>
      </c>
      <c r="AZ257">
        <v>0</v>
      </c>
      <c r="BA257">
        <v>500</v>
      </c>
      <c r="BB257">
        <f t="shared" si="450"/>
        <v>38070</v>
      </c>
      <c r="BC257">
        <v>0</v>
      </c>
      <c r="BD257">
        <v>0</v>
      </c>
      <c r="BE257">
        <f t="shared" si="451"/>
        <v>150</v>
      </c>
      <c r="BF257">
        <f t="shared" si="452"/>
        <v>37920</v>
      </c>
      <c r="BG257">
        <v>28900</v>
      </c>
      <c r="BH257">
        <f t="shared" si="453"/>
        <v>4046.0000000000005</v>
      </c>
      <c r="BI257">
        <f t="shared" si="454"/>
        <v>3468</v>
      </c>
      <c r="BJ257">
        <v>0</v>
      </c>
      <c r="BK257">
        <v>500</v>
      </c>
      <c r="BL257">
        <f t="shared" si="455"/>
        <v>36914</v>
      </c>
      <c r="BM257">
        <v>0</v>
      </c>
      <c r="BN257">
        <v>0</v>
      </c>
      <c r="BO257">
        <f t="shared" si="456"/>
        <v>150</v>
      </c>
      <c r="BP257">
        <f t="shared" si="457"/>
        <v>36764</v>
      </c>
      <c r="BQ257">
        <v>28900</v>
      </c>
      <c r="BR257">
        <f t="shared" si="458"/>
        <v>4046.0000000000005</v>
      </c>
      <c r="BS257">
        <f t="shared" si="459"/>
        <v>3468</v>
      </c>
      <c r="BT257">
        <v>0</v>
      </c>
      <c r="BU257">
        <v>500</v>
      </c>
      <c r="BV257">
        <f t="shared" si="460"/>
        <v>36914</v>
      </c>
      <c r="BW257">
        <v>0</v>
      </c>
      <c r="BX257">
        <v>0</v>
      </c>
      <c r="BY257">
        <f t="shared" si="461"/>
        <v>150</v>
      </c>
      <c r="BZ257">
        <f t="shared" si="462"/>
        <v>36764</v>
      </c>
      <c r="CA257">
        <v>28900</v>
      </c>
      <c r="CB257">
        <f t="shared" si="463"/>
        <v>4046.0000000000005</v>
      </c>
      <c r="CC257">
        <f t="shared" si="464"/>
        <v>3468</v>
      </c>
      <c r="CD257">
        <v>0</v>
      </c>
      <c r="CE257">
        <v>500</v>
      </c>
      <c r="CF257">
        <f t="shared" si="465"/>
        <v>36914</v>
      </c>
      <c r="CG257">
        <v>0</v>
      </c>
      <c r="CH257">
        <v>0</v>
      </c>
      <c r="CI257">
        <f t="shared" si="466"/>
        <v>150</v>
      </c>
      <c r="CJ257">
        <f t="shared" si="467"/>
        <v>36764</v>
      </c>
      <c r="CK257">
        <v>28900</v>
      </c>
      <c r="CL257">
        <f t="shared" si="468"/>
        <v>4046.0000000000005</v>
      </c>
      <c r="CM257">
        <f t="shared" si="469"/>
        <v>3468</v>
      </c>
      <c r="CN257">
        <v>0</v>
      </c>
      <c r="CO257">
        <v>500</v>
      </c>
      <c r="CP257">
        <f t="shared" si="470"/>
        <v>36914</v>
      </c>
      <c r="CQ257">
        <v>0</v>
      </c>
      <c r="CR257">
        <v>0</v>
      </c>
      <c r="CS257">
        <f t="shared" si="471"/>
        <v>150</v>
      </c>
      <c r="CT257">
        <f t="shared" si="472"/>
        <v>36764</v>
      </c>
      <c r="CU257">
        <v>28900</v>
      </c>
      <c r="CV257">
        <f t="shared" si="473"/>
        <v>4046</v>
      </c>
      <c r="CW257">
        <f t="shared" si="474"/>
        <v>3468</v>
      </c>
      <c r="CX257">
        <v>0</v>
      </c>
      <c r="CY257">
        <v>500</v>
      </c>
      <c r="CZ257">
        <f t="shared" si="475"/>
        <v>36914</v>
      </c>
      <c r="DA257">
        <v>0</v>
      </c>
      <c r="DB257">
        <v>0</v>
      </c>
      <c r="DC257">
        <f t="shared" si="476"/>
        <v>150</v>
      </c>
      <c r="DD257">
        <f t="shared" si="477"/>
        <v>36764</v>
      </c>
      <c r="DE257">
        <v>28900</v>
      </c>
      <c r="DF257">
        <f t="shared" si="478"/>
        <v>4046.0000000000005</v>
      </c>
      <c r="DG257">
        <f t="shared" si="479"/>
        <v>3468</v>
      </c>
      <c r="DH257">
        <v>0</v>
      </c>
      <c r="DI257">
        <v>500</v>
      </c>
      <c r="DJ257">
        <f t="shared" si="480"/>
        <v>36914</v>
      </c>
      <c r="DK257">
        <v>0</v>
      </c>
      <c r="DL257">
        <v>0</v>
      </c>
      <c r="DM257">
        <f t="shared" si="481"/>
        <v>150</v>
      </c>
      <c r="DN257">
        <f t="shared" si="482"/>
        <v>36764</v>
      </c>
      <c r="DO257">
        <v>28900</v>
      </c>
      <c r="DP257">
        <f t="shared" si="483"/>
        <v>4046.0000000000005</v>
      </c>
      <c r="DQ257">
        <f t="shared" si="484"/>
        <v>3468</v>
      </c>
      <c r="DR257">
        <v>0</v>
      </c>
      <c r="DS257">
        <v>500</v>
      </c>
      <c r="DT257">
        <f t="shared" si="485"/>
        <v>36914</v>
      </c>
      <c r="DU257">
        <v>2000</v>
      </c>
      <c r="DV257">
        <v>0</v>
      </c>
      <c r="DW257">
        <f t="shared" si="486"/>
        <v>150</v>
      </c>
      <c r="DX257">
        <f t="shared" si="487"/>
        <v>34764</v>
      </c>
      <c r="DY257">
        <f t="shared" si="488"/>
        <v>406054</v>
      </c>
      <c r="DZ257">
        <f t="shared" si="420"/>
        <v>1650</v>
      </c>
      <c r="EA257">
        <f t="shared" si="421"/>
        <v>50000</v>
      </c>
      <c r="EB257">
        <v>0</v>
      </c>
      <c r="EC257">
        <f t="shared" si="422"/>
        <v>354404</v>
      </c>
      <c r="ED257">
        <f t="shared" si="423"/>
        <v>2000</v>
      </c>
      <c r="EE257">
        <f t="shared" si="424"/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f t="shared" si="425"/>
        <v>2000</v>
      </c>
      <c r="EQ257">
        <f t="shared" si="489"/>
        <v>2000</v>
      </c>
      <c r="ER257">
        <f t="shared" si="426"/>
        <v>352404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f t="shared" si="490"/>
        <v>0</v>
      </c>
      <c r="FA257">
        <f t="shared" si="491"/>
        <v>352404</v>
      </c>
      <c r="FB257">
        <f t="shared" si="492"/>
        <v>5120</v>
      </c>
      <c r="FC257">
        <f t="shared" si="493"/>
        <v>0</v>
      </c>
      <c r="FD257">
        <f t="shared" si="494"/>
        <v>5120</v>
      </c>
      <c r="FE257">
        <f t="shared" si="495"/>
        <v>0</v>
      </c>
      <c r="FF257">
        <f t="shared" si="496"/>
        <v>0</v>
      </c>
      <c r="FG257">
        <f t="shared" si="497"/>
        <v>0</v>
      </c>
      <c r="FH257">
        <v>0</v>
      </c>
      <c r="FI257">
        <f t="shared" si="498"/>
        <v>0</v>
      </c>
      <c r="FJ257" t="b">
        <f t="shared" si="499"/>
        <v>0</v>
      </c>
      <c r="FK257">
        <f t="shared" ca="1" si="500"/>
        <v>1682</v>
      </c>
      <c r="FL257">
        <f t="shared" ca="1" si="501"/>
        <v>407736</v>
      </c>
      <c r="FM257">
        <f t="shared" si="502"/>
        <v>75000</v>
      </c>
      <c r="FN257">
        <f t="shared" ca="1" si="503"/>
        <v>332736</v>
      </c>
      <c r="FO257">
        <f t="shared" ca="1" si="504"/>
        <v>0</v>
      </c>
      <c r="FP257">
        <f t="shared" ca="1" si="505"/>
        <v>0</v>
      </c>
      <c r="FQ257">
        <f t="shared" ca="1" si="506"/>
        <v>0</v>
      </c>
      <c r="FR257">
        <f t="shared" ca="1" si="507"/>
        <v>0</v>
      </c>
      <c r="FS257">
        <f t="shared" ca="1" si="508"/>
        <v>0</v>
      </c>
      <c r="FT257">
        <f t="shared" ca="1" si="509"/>
        <v>0</v>
      </c>
      <c r="FU257">
        <f t="shared" ca="1" si="510"/>
        <v>0</v>
      </c>
      <c r="FV257">
        <f t="shared" ca="1" si="511"/>
        <v>0</v>
      </c>
      <c r="FW257">
        <f t="shared" ca="1" si="512"/>
        <v>32736</v>
      </c>
      <c r="FX257">
        <f t="shared" ca="1" si="513"/>
        <v>1636.8000000000002</v>
      </c>
      <c r="FY257">
        <f t="shared" ca="1" si="514"/>
        <v>1637</v>
      </c>
      <c r="FZ257">
        <f t="shared" ca="1" si="515"/>
        <v>0</v>
      </c>
      <c r="GA257">
        <f t="shared" ca="1" si="516"/>
        <v>0</v>
      </c>
      <c r="GB257">
        <f t="shared" ca="1" si="517"/>
        <v>1637</v>
      </c>
      <c r="GC257">
        <f t="shared" ca="1" si="518"/>
        <v>0</v>
      </c>
      <c r="GD257" t="b">
        <f t="shared" ca="1" si="519"/>
        <v>0</v>
      </c>
      <c r="GE257">
        <f t="shared" ca="1" si="520"/>
        <v>0</v>
      </c>
      <c r="GF257">
        <f t="shared" ca="1" si="521"/>
        <v>1637</v>
      </c>
      <c r="GG257">
        <f t="shared" ca="1" si="522"/>
        <v>0</v>
      </c>
      <c r="GH257">
        <f t="shared" ca="1" si="523"/>
        <v>0</v>
      </c>
      <c r="GI257">
        <f t="shared" ca="1" si="524"/>
        <v>0</v>
      </c>
    </row>
    <row r="258" spans="1:191" x14ac:dyDescent="0.25">
      <c r="A258">
        <f>_xlfn.AGGREGATE(3,5,$B$2:B258)</f>
        <v>257</v>
      </c>
      <c r="B258" t="s">
        <v>634</v>
      </c>
      <c r="C258" t="s">
        <v>635</v>
      </c>
      <c r="D258" t="s">
        <v>829</v>
      </c>
      <c r="E258" t="s">
        <v>843</v>
      </c>
      <c r="F258">
        <v>0</v>
      </c>
      <c r="G258">
        <v>6000</v>
      </c>
      <c r="H258">
        <v>32500</v>
      </c>
      <c r="I258">
        <f t="shared" si="427"/>
        <v>3250</v>
      </c>
      <c r="J258">
        <f t="shared" si="428"/>
        <v>3900</v>
      </c>
      <c r="K258">
        <v>400</v>
      </c>
      <c r="L258">
        <v>500</v>
      </c>
      <c r="M258">
        <f t="shared" si="429"/>
        <v>40550</v>
      </c>
      <c r="N258">
        <v>3000</v>
      </c>
      <c r="O258">
        <v>0</v>
      </c>
      <c r="P258">
        <f t="shared" si="430"/>
        <v>200</v>
      </c>
      <c r="Q258">
        <f t="shared" si="431"/>
        <v>37350</v>
      </c>
      <c r="R258">
        <v>32500</v>
      </c>
      <c r="S258">
        <f t="shared" si="432"/>
        <v>3250</v>
      </c>
      <c r="T258">
        <f t="shared" si="433"/>
        <v>3900</v>
      </c>
      <c r="U258">
        <v>400</v>
      </c>
      <c r="V258">
        <v>500</v>
      </c>
      <c r="W258">
        <f t="shared" si="434"/>
        <v>40550</v>
      </c>
      <c r="X258">
        <v>3000</v>
      </c>
      <c r="Y258">
        <v>0</v>
      </c>
      <c r="Z258">
        <f t="shared" si="435"/>
        <v>200</v>
      </c>
      <c r="AA258">
        <f t="shared" si="436"/>
        <v>37350</v>
      </c>
      <c r="AB258">
        <v>32500</v>
      </c>
      <c r="AC258">
        <f t="shared" si="437"/>
        <v>4550</v>
      </c>
      <c r="AD258">
        <f t="shared" si="438"/>
        <v>3900</v>
      </c>
      <c r="AE258">
        <v>400</v>
      </c>
      <c r="AF258">
        <v>500</v>
      </c>
      <c r="AG258">
        <f t="shared" si="439"/>
        <v>41850</v>
      </c>
      <c r="AH258">
        <v>3000</v>
      </c>
      <c r="AI258">
        <v>0</v>
      </c>
      <c r="AJ258">
        <f t="shared" si="440"/>
        <v>200</v>
      </c>
      <c r="AK258">
        <f t="shared" si="441"/>
        <v>38650</v>
      </c>
      <c r="AL258">
        <v>32500</v>
      </c>
      <c r="AM258">
        <f t="shared" si="442"/>
        <v>4550</v>
      </c>
      <c r="AN258">
        <f t="shared" si="443"/>
        <v>3900</v>
      </c>
      <c r="AO258">
        <v>400</v>
      </c>
      <c r="AP258">
        <v>500</v>
      </c>
      <c r="AQ258">
        <f t="shared" si="444"/>
        <v>41850</v>
      </c>
      <c r="AR258">
        <v>3000</v>
      </c>
      <c r="AS258">
        <v>0</v>
      </c>
      <c r="AT258">
        <f t="shared" si="445"/>
        <v>200</v>
      </c>
      <c r="AU258">
        <f t="shared" si="446"/>
        <v>38650</v>
      </c>
      <c r="AV258">
        <v>34500</v>
      </c>
      <c r="AW258">
        <f t="shared" si="447"/>
        <v>4830.0000000000009</v>
      </c>
      <c r="AX258">
        <f t="shared" si="448"/>
        <v>1300</v>
      </c>
      <c r="AY258">
        <f t="shared" si="449"/>
        <v>4140</v>
      </c>
      <c r="AZ258">
        <v>400</v>
      </c>
      <c r="BA258">
        <v>500</v>
      </c>
      <c r="BB258">
        <f t="shared" si="450"/>
        <v>45670</v>
      </c>
      <c r="BC258">
        <v>3000</v>
      </c>
      <c r="BD258">
        <v>0</v>
      </c>
      <c r="BE258">
        <f t="shared" si="451"/>
        <v>200</v>
      </c>
      <c r="BF258">
        <f t="shared" si="452"/>
        <v>42470</v>
      </c>
      <c r="BG258">
        <v>34500</v>
      </c>
      <c r="BH258">
        <f t="shared" si="453"/>
        <v>4830.0000000000009</v>
      </c>
      <c r="BI258">
        <f t="shared" si="454"/>
        <v>4140</v>
      </c>
      <c r="BJ258">
        <v>400</v>
      </c>
      <c r="BK258">
        <v>500</v>
      </c>
      <c r="BL258">
        <f t="shared" si="455"/>
        <v>44370</v>
      </c>
      <c r="BM258">
        <v>3000</v>
      </c>
      <c r="BN258">
        <v>0</v>
      </c>
      <c r="BO258">
        <f t="shared" si="456"/>
        <v>200</v>
      </c>
      <c r="BP258">
        <f t="shared" si="457"/>
        <v>41170</v>
      </c>
      <c r="BQ258">
        <v>34500</v>
      </c>
      <c r="BR258">
        <f t="shared" si="458"/>
        <v>4830.0000000000009</v>
      </c>
      <c r="BS258">
        <f t="shared" si="459"/>
        <v>4140</v>
      </c>
      <c r="BT258">
        <v>400</v>
      </c>
      <c r="BU258">
        <v>500</v>
      </c>
      <c r="BV258">
        <f t="shared" si="460"/>
        <v>44370</v>
      </c>
      <c r="BW258">
        <v>3000</v>
      </c>
      <c r="BX258">
        <v>0</v>
      </c>
      <c r="BY258">
        <f t="shared" si="461"/>
        <v>200</v>
      </c>
      <c r="BZ258">
        <f t="shared" si="462"/>
        <v>41170</v>
      </c>
      <c r="CA258">
        <v>34500</v>
      </c>
      <c r="CB258">
        <f t="shared" si="463"/>
        <v>4830.0000000000009</v>
      </c>
      <c r="CC258">
        <f t="shared" si="464"/>
        <v>4140</v>
      </c>
      <c r="CD258">
        <v>400</v>
      </c>
      <c r="CE258">
        <v>500</v>
      </c>
      <c r="CF258">
        <f t="shared" si="465"/>
        <v>44370</v>
      </c>
      <c r="CG258">
        <v>3000</v>
      </c>
      <c r="CH258">
        <v>0</v>
      </c>
      <c r="CI258">
        <f t="shared" si="466"/>
        <v>200</v>
      </c>
      <c r="CJ258">
        <f t="shared" si="467"/>
        <v>41170</v>
      </c>
      <c r="CK258">
        <v>34500</v>
      </c>
      <c r="CL258">
        <f t="shared" si="468"/>
        <v>4830.0000000000009</v>
      </c>
      <c r="CM258">
        <f t="shared" si="469"/>
        <v>4140</v>
      </c>
      <c r="CN258">
        <v>400</v>
      </c>
      <c r="CO258">
        <v>500</v>
      </c>
      <c r="CP258">
        <f t="shared" si="470"/>
        <v>44370</v>
      </c>
      <c r="CQ258">
        <v>3000</v>
      </c>
      <c r="CR258">
        <v>0</v>
      </c>
      <c r="CS258">
        <f t="shared" si="471"/>
        <v>200</v>
      </c>
      <c r="CT258">
        <f t="shared" si="472"/>
        <v>41170</v>
      </c>
      <c r="CU258">
        <v>34500</v>
      </c>
      <c r="CV258">
        <f t="shared" si="473"/>
        <v>4830</v>
      </c>
      <c r="CW258">
        <f t="shared" si="474"/>
        <v>4140</v>
      </c>
      <c r="CX258">
        <v>400</v>
      </c>
      <c r="CY258">
        <v>500</v>
      </c>
      <c r="CZ258">
        <f t="shared" si="475"/>
        <v>44370</v>
      </c>
      <c r="DA258">
        <v>3000</v>
      </c>
      <c r="DB258">
        <v>0</v>
      </c>
      <c r="DC258">
        <f t="shared" si="476"/>
        <v>200</v>
      </c>
      <c r="DD258">
        <f t="shared" si="477"/>
        <v>41170</v>
      </c>
      <c r="DE258">
        <v>34500</v>
      </c>
      <c r="DF258">
        <f t="shared" si="478"/>
        <v>4830.0000000000009</v>
      </c>
      <c r="DG258">
        <f t="shared" si="479"/>
        <v>4140</v>
      </c>
      <c r="DH258">
        <v>400</v>
      </c>
      <c r="DI258">
        <v>500</v>
      </c>
      <c r="DJ258">
        <f t="shared" si="480"/>
        <v>44370</v>
      </c>
      <c r="DK258">
        <v>3000</v>
      </c>
      <c r="DL258">
        <v>0</v>
      </c>
      <c r="DM258">
        <f t="shared" si="481"/>
        <v>200</v>
      </c>
      <c r="DN258">
        <f t="shared" si="482"/>
        <v>41170</v>
      </c>
      <c r="DO258">
        <v>34500</v>
      </c>
      <c r="DP258">
        <f t="shared" si="483"/>
        <v>4830.0000000000009</v>
      </c>
      <c r="DQ258">
        <f t="shared" si="484"/>
        <v>4140</v>
      </c>
      <c r="DR258">
        <v>400</v>
      </c>
      <c r="DS258">
        <v>500</v>
      </c>
      <c r="DT258">
        <f t="shared" si="485"/>
        <v>44370</v>
      </c>
      <c r="DU258">
        <v>3000</v>
      </c>
      <c r="DV258">
        <v>0</v>
      </c>
      <c r="DW258">
        <f t="shared" si="486"/>
        <v>200</v>
      </c>
      <c r="DX258">
        <f t="shared" si="487"/>
        <v>41170</v>
      </c>
      <c r="DY258">
        <f t="shared" si="488"/>
        <v>527060</v>
      </c>
      <c r="DZ258">
        <f t="shared" ref="DZ258:DZ299" si="525">DW258+DM258+DC258+CS258+CI258+BY258+BO258+BE258+AT258+AJ258+Z258+P258</f>
        <v>2400</v>
      </c>
      <c r="EA258">
        <f t="shared" ref="EA258:EA299" si="526">IF(DY258&gt;0,50000,0)</f>
        <v>50000</v>
      </c>
      <c r="EB258">
        <v>0</v>
      </c>
      <c r="EC258">
        <f t="shared" ref="EC258:EC299" si="527">DY258-DZ258-EA258</f>
        <v>474660</v>
      </c>
      <c r="ED258">
        <f t="shared" ref="ED258:ED299" si="528">DU258+DK258+DA258+CQ258+CG258+BW258+BM258+BC258+AR258+AH258+X258+N258</f>
        <v>36000</v>
      </c>
      <c r="EE258">
        <f t="shared" ref="EE258:EE299" si="529">DV258+DL258+DB258+CR258+CH258+BX258+BN258+BD258+AS258+AI258+Y258+O258</f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f t="shared" ref="EP258:EP299" si="530">SUM(ED258:EO258)</f>
        <v>36000</v>
      </c>
      <c r="EQ258">
        <f t="shared" si="489"/>
        <v>36000</v>
      </c>
      <c r="ER258">
        <f t="shared" ref="ER258:ER299" si="531">EC258-EQ258</f>
        <v>438660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f t="shared" si="490"/>
        <v>0</v>
      </c>
      <c r="FA258">
        <f t="shared" si="491"/>
        <v>438660</v>
      </c>
      <c r="FB258">
        <f t="shared" si="492"/>
        <v>9433</v>
      </c>
      <c r="FC258">
        <f t="shared" si="493"/>
        <v>0</v>
      </c>
      <c r="FD258">
        <f t="shared" si="494"/>
        <v>9433</v>
      </c>
      <c r="FE258">
        <f t="shared" si="495"/>
        <v>0</v>
      </c>
      <c r="FF258">
        <f t="shared" si="496"/>
        <v>0</v>
      </c>
      <c r="FG258">
        <f t="shared" si="497"/>
        <v>0</v>
      </c>
      <c r="FH258">
        <v>0</v>
      </c>
      <c r="FI258">
        <f t="shared" si="498"/>
        <v>0</v>
      </c>
      <c r="FJ258" t="b">
        <f t="shared" si="499"/>
        <v>1</v>
      </c>
      <c r="FK258">
        <f t="shared" ca="1" si="500"/>
        <v>607</v>
      </c>
      <c r="FL258">
        <f t="shared" ca="1" si="501"/>
        <v>527667</v>
      </c>
      <c r="FM258">
        <f t="shared" si="502"/>
        <v>75000</v>
      </c>
      <c r="FN258">
        <f t="shared" ca="1" si="503"/>
        <v>452667</v>
      </c>
      <c r="FO258">
        <f t="shared" ca="1" si="504"/>
        <v>0</v>
      </c>
      <c r="FP258">
        <f t="shared" ca="1" si="505"/>
        <v>0</v>
      </c>
      <c r="FQ258">
        <f t="shared" ca="1" si="506"/>
        <v>0</v>
      </c>
      <c r="FR258">
        <f t="shared" ca="1" si="507"/>
        <v>0</v>
      </c>
      <c r="FS258">
        <f t="shared" ca="1" si="508"/>
        <v>0</v>
      </c>
      <c r="FT258">
        <f t="shared" ca="1" si="509"/>
        <v>0</v>
      </c>
      <c r="FU258">
        <f t="shared" ca="1" si="510"/>
        <v>0</v>
      </c>
      <c r="FV258">
        <f t="shared" ca="1" si="511"/>
        <v>0</v>
      </c>
      <c r="FW258">
        <f t="shared" ca="1" si="512"/>
        <v>152667</v>
      </c>
      <c r="FX258">
        <f t="shared" ca="1" si="513"/>
        <v>7633.35</v>
      </c>
      <c r="FY258">
        <f t="shared" ca="1" si="514"/>
        <v>7633</v>
      </c>
      <c r="FZ258">
        <f t="shared" ca="1" si="515"/>
        <v>0</v>
      </c>
      <c r="GA258">
        <f t="shared" ca="1" si="516"/>
        <v>0</v>
      </c>
      <c r="GB258">
        <f t="shared" ca="1" si="517"/>
        <v>7633</v>
      </c>
      <c r="GC258">
        <f t="shared" ca="1" si="518"/>
        <v>0</v>
      </c>
      <c r="GD258" t="b">
        <f t="shared" ca="1" si="519"/>
        <v>0</v>
      </c>
      <c r="GE258">
        <f t="shared" ca="1" si="520"/>
        <v>0</v>
      </c>
      <c r="GF258">
        <f t="shared" ca="1" si="521"/>
        <v>7633</v>
      </c>
      <c r="GG258">
        <f t="shared" ca="1" si="522"/>
        <v>0</v>
      </c>
      <c r="GH258">
        <f t="shared" ca="1" si="523"/>
        <v>0</v>
      </c>
      <c r="GI258">
        <f t="shared" ca="1" si="524"/>
        <v>0</v>
      </c>
    </row>
    <row r="259" spans="1:191" x14ac:dyDescent="0.25">
      <c r="A259">
        <f>_xlfn.AGGREGATE(3,5,$B$2:B259)</f>
        <v>258</v>
      </c>
      <c r="B259" t="s">
        <v>636</v>
      </c>
      <c r="C259" t="s">
        <v>637</v>
      </c>
      <c r="D259" t="s">
        <v>829</v>
      </c>
      <c r="E259" t="s">
        <v>843</v>
      </c>
      <c r="F259">
        <v>0</v>
      </c>
      <c r="G259">
        <v>6000</v>
      </c>
      <c r="H259">
        <v>30700</v>
      </c>
      <c r="I259">
        <f t="shared" ref="I259:I299" si="532">H259*0.1</f>
        <v>3070</v>
      </c>
      <c r="J259">
        <f t="shared" ref="J259:J299" si="533">H259*0.12</f>
        <v>3684</v>
      </c>
      <c r="K259">
        <v>0</v>
      </c>
      <c r="L259">
        <v>0</v>
      </c>
      <c r="M259">
        <f t="shared" ref="M259:M299" si="534">SUM(H259:L259)</f>
        <v>37454</v>
      </c>
      <c r="N259">
        <v>2000</v>
      </c>
      <c r="O259">
        <v>0</v>
      </c>
      <c r="P259">
        <f t="shared" ref="P259:P299" si="535">IF($F259=50000,0,IF(M259&gt;40000,200,IF(M259&gt;25000,150,IF(M259&gt;15000,130,IF(M259&gt;10000,110,0)))))</f>
        <v>150</v>
      </c>
      <c r="Q259">
        <f t="shared" ref="Q259:Q299" si="536">M259-N259-O259-P259</f>
        <v>35304</v>
      </c>
      <c r="R259">
        <v>30700</v>
      </c>
      <c r="S259">
        <f t="shared" ref="S259:S299" si="537">R259*0.1</f>
        <v>3070</v>
      </c>
      <c r="T259">
        <f t="shared" ref="T259:T299" si="538">R259*0.12</f>
        <v>3684</v>
      </c>
      <c r="U259">
        <v>0</v>
      </c>
      <c r="V259">
        <v>0</v>
      </c>
      <c r="W259">
        <f t="shared" ref="W259:W299" si="539">SUM(R259:V259)</f>
        <v>37454</v>
      </c>
      <c r="X259">
        <v>2000</v>
      </c>
      <c r="Y259">
        <v>0</v>
      </c>
      <c r="Z259">
        <f t="shared" ref="Z259:Z299" si="540">IF($F259=50000,0,IF(W259&gt;40000,200,IF(W259&gt;25000,150,IF(W259&gt;15000,130,IF(W259&gt;10000,110,0)))))</f>
        <v>150</v>
      </c>
      <c r="AA259">
        <f t="shared" ref="AA259:AA299" si="541">W259-X259-Y259-Z259</f>
        <v>35304</v>
      </c>
      <c r="AB259">
        <v>30700</v>
      </c>
      <c r="AC259">
        <f t="shared" ref="AC259:AC299" si="542">AB259*0.14</f>
        <v>4298</v>
      </c>
      <c r="AD259">
        <f t="shared" ref="AD259:AD299" si="543">AB259*0.12</f>
        <v>3684</v>
      </c>
      <c r="AE259">
        <v>0</v>
      </c>
      <c r="AF259">
        <v>0</v>
      </c>
      <c r="AG259">
        <f t="shared" ref="AG259:AG299" si="544">SUM(AB259:AF259)</f>
        <v>38682</v>
      </c>
      <c r="AH259">
        <v>2000</v>
      </c>
      <c r="AI259">
        <v>0</v>
      </c>
      <c r="AJ259">
        <f t="shared" ref="AJ259:AJ299" si="545">IF($F259=50000,0,IF(AG259&gt;40000,200,IF(AG259&gt;25000,150,IF(AG259&gt;15000,130,IF(AG259&gt;10000,110,0)))))</f>
        <v>150</v>
      </c>
      <c r="AK259">
        <f t="shared" ref="AK259:AK299" si="546">AG259-AH259-AI259-AJ259</f>
        <v>36532</v>
      </c>
      <c r="AL259">
        <v>30700</v>
      </c>
      <c r="AM259">
        <f t="shared" ref="AM259:AM299" si="547">AL259*0.14</f>
        <v>4298</v>
      </c>
      <c r="AN259">
        <f t="shared" ref="AN259:AN299" si="548">AL259*0.12</f>
        <v>3684</v>
      </c>
      <c r="AO259">
        <v>0</v>
      </c>
      <c r="AP259">
        <v>0</v>
      </c>
      <c r="AQ259">
        <f t="shared" ref="AQ259:AQ299" si="549">SUM(AL259:AP259)</f>
        <v>38682</v>
      </c>
      <c r="AR259">
        <v>2000</v>
      </c>
      <c r="AS259">
        <v>0</v>
      </c>
      <c r="AT259">
        <f t="shared" ref="AT259:AT299" si="550">IF($F259=50000,0,IF(AQ259&gt;40000,200,IF(AQ259&gt;25000,150,IF(AQ259&gt;15000,130,IF(AQ259&gt;10000,110,0)))))</f>
        <v>150</v>
      </c>
      <c r="AU259">
        <f t="shared" ref="AU259:AU299" si="551">AQ259-AR259-AS259-AT259</f>
        <v>36532</v>
      </c>
      <c r="AV259">
        <v>31600</v>
      </c>
      <c r="AW259">
        <f t="shared" ref="AW259:AW299" si="552">AV259*0.14</f>
        <v>4424</v>
      </c>
      <c r="AX259">
        <f t="shared" ref="AX259:AX299" si="553">R259*0.04</f>
        <v>1228</v>
      </c>
      <c r="AY259">
        <f t="shared" ref="AY259:AY299" si="554">AV259*0.12</f>
        <v>3792</v>
      </c>
      <c r="AZ259">
        <v>0</v>
      </c>
      <c r="BA259">
        <v>0</v>
      </c>
      <c r="BB259">
        <f t="shared" ref="BB259:BB299" si="555">SUM(AV259:BA259)</f>
        <v>41044</v>
      </c>
      <c r="BC259">
        <v>2000</v>
      </c>
      <c r="BD259">
        <v>0</v>
      </c>
      <c r="BE259">
        <f t="shared" ref="BE259:BE299" si="556">IF($F259=50000,0,IF(BB259&gt;40000,200,IF(BB259&gt;25000,150,IF(BB259&gt;15000,130,IF(BB259&gt;10000,110,0)))))</f>
        <v>200</v>
      </c>
      <c r="BF259">
        <f t="shared" ref="BF259:BF299" si="557">BB259-BC259-BD259-BE259</f>
        <v>38844</v>
      </c>
      <c r="BG259">
        <v>31600</v>
      </c>
      <c r="BH259">
        <f t="shared" ref="BH259:BH299" si="558">BG259*0.14</f>
        <v>4424</v>
      </c>
      <c r="BI259">
        <f t="shared" ref="BI259:BI299" si="559">BG259*0.12</f>
        <v>3792</v>
      </c>
      <c r="BJ259">
        <v>0</v>
      </c>
      <c r="BK259">
        <v>0</v>
      </c>
      <c r="BL259">
        <f t="shared" ref="BL259:BL299" si="560">SUM(BG259:BK259)</f>
        <v>39816</v>
      </c>
      <c r="BM259">
        <v>2000</v>
      </c>
      <c r="BN259">
        <v>0</v>
      </c>
      <c r="BO259">
        <f t="shared" ref="BO259:BO299" si="561">IF($F259=50000,0,IF(BL259&gt;40000,200,IF(BL259&gt;25000,150,IF(BL259&gt;15000,130,IF(BL259&gt;10000,110,0)))))</f>
        <v>150</v>
      </c>
      <c r="BP259">
        <f t="shared" ref="BP259:BP299" si="562">BL259-BM259-BN259-BO259</f>
        <v>37666</v>
      </c>
      <c r="BQ259">
        <v>31600</v>
      </c>
      <c r="BR259">
        <f t="shared" ref="BR259:BR299" si="563">BQ259*0.14</f>
        <v>4424</v>
      </c>
      <c r="BS259">
        <f t="shared" ref="BS259:BS299" si="564">BQ259*0.12</f>
        <v>3792</v>
      </c>
      <c r="BT259">
        <v>0</v>
      </c>
      <c r="BU259">
        <v>0</v>
      </c>
      <c r="BV259">
        <f t="shared" ref="BV259:BV299" si="565">SUM(BQ259:BU259)</f>
        <v>39816</v>
      </c>
      <c r="BW259">
        <v>2000</v>
      </c>
      <c r="BX259">
        <v>0</v>
      </c>
      <c r="BY259">
        <f t="shared" ref="BY259:BY299" si="566">IF($F259=50000,0,IF(BV259&gt;40000,200,IF(BV259&gt;25000,150,IF(BV259&gt;15000,130,IF(BV259&gt;10000,110,0)))))</f>
        <v>150</v>
      </c>
      <c r="BZ259">
        <f t="shared" ref="BZ259:BZ299" si="567">BV259-BW259-BX259-BY259</f>
        <v>37666</v>
      </c>
      <c r="CA259">
        <v>31600</v>
      </c>
      <c r="CB259">
        <f t="shared" ref="CB259:CB299" si="568">CA259*0.14</f>
        <v>4424</v>
      </c>
      <c r="CC259">
        <f t="shared" ref="CC259:CC299" si="569">CA259*0.12</f>
        <v>3792</v>
      </c>
      <c r="CD259">
        <v>0</v>
      </c>
      <c r="CE259">
        <v>0</v>
      </c>
      <c r="CF259">
        <f t="shared" ref="CF259:CF299" si="570">SUM(CA259:CE259)</f>
        <v>39816</v>
      </c>
      <c r="CG259">
        <v>2000</v>
      </c>
      <c r="CH259">
        <v>0</v>
      </c>
      <c r="CI259">
        <f t="shared" ref="CI259:CI299" si="571">IF($F259=50000,0,IF(CF259&gt;40000,200,IF(CF259&gt;25000,150,IF(CF259&gt;15000,130,IF(CF259&gt;10000,110,0)))))</f>
        <v>150</v>
      </c>
      <c r="CJ259">
        <f t="shared" ref="CJ259:CJ299" si="572">CF259-CG259-CH259-CI259</f>
        <v>37666</v>
      </c>
      <c r="CK259">
        <v>31600</v>
      </c>
      <c r="CL259">
        <f t="shared" ref="CL259:CL299" si="573">CK259*0.14</f>
        <v>4424</v>
      </c>
      <c r="CM259">
        <f t="shared" ref="CM259:CM299" si="574">CK259*0.12</f>
        <v>3792</v>
      </c>
      <c r="CN259">
        <v>0</v>
      </c>
      <c r="CO259">
        <v>0</v>
      </c>
      <c r="CP259">
        <f t="shared" ref="CP259:CP299" si="575">SUM(CK259:CO259)</f>
        <v>39816</v>
      </c>
      <c r="CQ259">
        <v>2000</v>
      </c>
      <c r="CR259">
        <v>0</v>
      </c>
      <c r="CS259">
        <f t="shared" ref="CS259:CS299" si="576">IF($F259=50000,0,IF(CP259&gt;40000,200,IF(CP259&gt;25000,150,IF(CP259&gt;15000,130,IF(CP259&gt;10000,110,0)))))</f>
        <v>150</v>
      </c>
      <c r="CT259">
        <f t="shared" ref="CT259:CT299" si="577">CP259-CQ259-CR259-CS259</f>
        <v>37666</v>
      </c>
      <c r="CU259">
        <v>31600</v>
      </c>
      <c r="CV259">
        <f t="shared" ref="CV259:CV299" si="578">ROUND(CU259*0.14,0)</f>
        <v>4424</v>
      </c>
      <c r="CW259">
        <f t="shared" ref="CW259:CW299" si="579">ROUND(CU259*0.12,0)</f>
        <v>3792</v>
      </c>
      <c r="CX259">
        <v>0</v>
      </c>
      <c r="CY259">
        <v>0</v>
      </c>
      <c r="CZ259">
        <f t="shared" ref="CZ259:CZ299" si="580">SUM(CU259:CY259)</f>
        <v>39816</v>
      </c>
      <c r="DA259">
        <v>2000</v>
      </c>
      <c r="DB259">
        <v>0</v>
      </c>
      <c r="DC259">
        <f t="shared" ref="DC259:DC299" si="581">IF($F259=50000,0,IF(CZ259&gt;40000,200,IF(CZ259&gt;25000,150,IF(CZ259&gt;15000,130,IF(CZ259&gt;10000,110,0)))))</f>
        <v>150</v>
      </c>
      <c r="DD259">
        <f t="shared" ref="DD259:DD299" si="582">CZ259-DA259-DB259-DC259</f>
        <v>37666</v>
      </c>
      <c r="DE259">
        <v>31600</v>
      </c>
      <c r="DF259">
        <f t="shared" ref="DF259:DF299" si="583">DE259*0.14</f>
        <v>4424</v>
      </c>
      <c r="DG259">
        <f t="shared" ref="DG259:DG299" si="584">DE259*0.12</f>
        <v>3792</v>
      </c>
      <c r="DH259">
        <v>0</v>
      </c>
      <c r="DI259">
        <v>0</v>
      </c>
      <c r="DJ259">
        <f t="shared" ref="DJ259:DJ299" si="585">SUM(DE259:DI259)</f>
        <v>39816</v>
      </c>
      <c r="DK259">
        <v>2000</v>
      </c>
      <c r="DL259">
        <v>0</v>
      </c>
      <c r="DM259">
        <f t="shared" ref="DM259:DM299" si="586">IF($F259=50000,0,IF(DJ259&gt;40000,200,IF(DJ259&gt;25000,150,IF(DJ259&gt;15000,130,IF(DJ259&gt;10000,110,0)))))</f>
        <v>150</v>
      </c>
      <c r="DN259">
        <f t="shared" ref="DN259:DN299" si="587">DJ259-DK259-DL259-DM259</f>
        <v>37666</v>
      </c>
      <c r="DO259">
        <v>31600</v>
      </c>
      <c r="DP259">
        <f t="shared" ref="DP259:DP299" si="588">DO259*0.14</f>
        <v>4424</v>
      </c>
      <c r="DQ259">
        <f t="shared" ref="DQ259:DQ299" si="589">DO259*0.12</f>
        <v>3792</v>
      </c>
      <c r="DR259">
        <v>0</v>
      </c>
      <c r="DS259">
        <v>0</v>
      </c>
      <c r="DT259">
        <f t="shared" ref="DT259:DT299" si="590">SUM(DO259:DS259)</f>
        <v>39816</v>
      </c>
      <c r="DU259">
        <v>2000</v>
      </c>
      <c r="DV259">
        <v>0</v>
      </c>
      <c r="DW259">
        <f t="shared" ref="DW259:DW299" si="591">IF($F259=50000,0,IF(DT259&gt;40000,200,IF(DT259&gt;25000,150,IF(DT259&gt;15000,130,IF(DT259&gt;10000,110,0)))))</f>
        <v>150</v>
      </c>
      <c r="DX259">
        <f t="shared" ref="DX259:DX299" si="592">DT259-DU259-DV259-DW259</f>
        <v>37666</v>
      </c>
      <c r="DY259">
        <f t="shared" ref="DY259:DY299" si="593">DT259+DJ259+CZ259+CP259+CF259+BV259+BL259+BB259+AQ259+AG259+W259+M259+G259</f>
        <v>478028</v>
      </c>
      <c r="DZ259">
        <f t="shared" si="525"/>
        <v>1850</v>
      </c>
      <c r="EA259">
        <f t="shared" si="526"/>
        <v>50000</v>
      </c>
      <c r="EB259">
        <v>0</v>
      </c>
      <c r="EC259">
        <f t="shared" si="527"/>
        <v>426178</v>
      </c>
      <c r="ED259">
        <f t="shared" si="528"/>
        <v>24000</v>
      </c>
      <c r="EE259">
        <f t="shared" si="529"/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f t="shared" si="530"/>
        <v>24000</v>
      </c>
      <c r="EQ259">
        <f t="shared" ref="EQ259:EQ299" si="594">IF(EP259&gt;=150000,150000,EP259)</f>
        <v>24000</v>
      </c>
      <c r="ER259">
        <f t="shared" si="531"/>
        <v>402178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f t="shared" ref="EZ259:EZ299" si="595">SUM(ES259:EY259)+F259</f>
        <v>0</v>
      </c>
      <c r="FA259">
        <f t="shared" ref="FA259:FA299" si="596">ER259-EZ259</f>
        <v>402178</v>
      </c>
      <c r="FB259">
        <f t="shared" ref="FB259:FB299" si="597">ROUND(IF(FA259&gt;0,IF(FA259&gt;500000,12500,(FA259-250000)*0.05),0),0)</f>
        <v>7609</v>
      </c>
      <c r="FC259">
        <f t="shared" ref="FC259:FC299" si="598">IF(ROUND(IF(FA259&gt;0,IF(FA259&gt;1000000,25000,(FA259-500000)*0.2),0),0)&lt;0,0,ROUND(IF(FA259&gt;0,IF(FA259&gt;1000000,25000,(FA259-500000)*0.2),0),0))</f>
        <v>0</v>
      </c>
      <c r="FD259">
        <f t="shared" ref="FD259:FD299" si="599">FB259+FC259</f>
        <v>7609</v>
      </c>
      <c r="FE259">
        <f t="shared" ref="FE259:FE299" si="600">IF(FD259&lt;12500,0,FD259)</f>
        <v>0</v>
      </c>
      <c r="FF259">
        <f t="shared" ref="FF259:FF299" si="601">FE259*0.04</f>
        <v>0</v>
      </c>
      <c r="FG259">
        <f t="shared" ref="FG259:FG299" si="602">ROUND(FF259+FE259,0)</f>
        <v>0</v>
      </c>
      <c r="FH259">
        <v>0</v>
      </c>
      <c r="FI259">
        <f t="shared" ref="FI259:FI299" si="603">FG259-FH259</f>
        <v>0</v>
      </c>
      <c r="FJ259" t="b">
        <f t="shared" ref="FJ259:FJ299" si="604">IF(DY259&gt;500000,TRUE,FALSE)</f>
        <v>0</v>
      </c>
      <c r="FK259">
        <f t="shared" ref="FK259:FK299" ca="1" si="605">IF(FJ259,RANDBETWEEN(500,1000),RANDBETWEEN(1000,3000))</f>
        <v>2092</v>
      </c>
      <c r="FL259">
        <f t="shared" ref="FL259:FL299" ca="1" si="606">DY259+FK259</f>
        <v>480120</v>
      </c>
      <c r="FM259">
        <f t="shared" ref="FM259:FM299" si="607">IF(DY259&gt;0,75000,0)</f>
        <v>75000</v>
      </c>
      <c r="FN259">
        <f t="shared" ref="FN259:FN299" ca="1" si="608">FL259-FM259</f>
        <v>405120</v>
      </c>
      <c r="FO259">
        <f t="shared" ref="FO259:FO299" ca="1" si="609">IF(FN259&gt;1500000,FN259-1500000,0)</f>
        <v>0</v>
      </c>
      <c r="FP259">
        <f t="shared" ref="FP259:FP299" ca="1" si="610">FO259*0.3</f>
        <v>0</v>
      </c>
      <c r="FQ259">
        <f t="shared" ref="FQ259:FQ299" ca="1" si="611">IF(FN259&gt;1200000,FN259-1200000-FO259,0)</f>
        <v>0</v>
      </c>
      <c r="FR259">
        <f t="shared" ref="FR259:FR299" ca="1" si="612">FQ259*0.2</f>
        <v>0</v>
      </c>
      <c r="FS259">
        <f t="shared" ref="FS259:FS299" ca="1" si="613">IF(FN259&gt;1000000,FN259-1000000-F259-FQ259,0)</f>
        <v>0</v>
      </c>
      <c r="FT259">
        <f t="shared" ref="FT259:FT299" ca="1" si="614">FS259*0.15</f>
        <v>0</v>
      </c>
      <c r="FU259">
        <f t="shared" ref="FU259:FU299" ca="1" si="615">IF(FN259&gt;700000,FN259-700000-FO259-FQ259-FS259,0)</f>
        <v>0</v>
      </c>
      <c r="FV259">
        <f t="shared" ref="FV259:FV299" ca="1" si="616">FU259*0.1</f>
        <v>0</v>
      </c>
      <c r="FW259">
        <f t="shared" ref="FW259:FW299" ca="1" si="617">IF(FN259&gt;300000,FN259-300000-FO259-FQ259-FS259-FU259,0)</f>
        <v>105120</v>
      </c>
      <c r="FX259">
        <f t="shared" ref="FX259:FX299" ca="1" si="618">FW259*0.05</f>
        <v>5256</v>
      </c>
      <c r="FY259">
        <f t="shared" ref="FY259:FY299" ca="1" si="619">ROUND(FP259+FR259+FT259+FV259+FX259,0)</f>
        <v>5256</v>
      </c>
      <c r="FZ259">
        <f t="shared" ref="FZ259:FZ299" ca="1" si="620">IF(FN259&gt;700000,FN259,0)</f>
        <v>0</v>
      </c>
      <c r="GA259">
        <f t="shared" ref="GA259:GA299" ca="1" si="621">IF(FN259&gt;700000,FZ259-700000,0)</f>
        <v>0</v>
      </c>
      <c r="GB259">
        <f t="shared" ref="GB259:GB299" ca="1" si="622">IF(FN259&lt;700001,MIN(FY259,25000),0)</f>
        <v>5256</v>
      </c>
      <c r="GC259">
        <f t="shared" ref="GC259:GC299" ca="1" si="623">IF(FN259&gt;700000,FY259-GA259,0)</f>
        <v>0</v>
      </c>
      <c r="GD259" t="b">
        <f t="shared" ref="GD259:GD299" ca="1" si="624">IF(GC259&gt;0,TRUE,FALSE)</f>
        <v>0</v>
      </c>
      <c r="GE259">
        <f t="shared" ref="GE259:GE299" ca="1" si="625">IF(GD259,GC259,0)</f>
        <v>0</v>
      </c>
      <c r="GF259">
        <f t="shared" ref="GF259:GF299" ca="1" si="626">GB259+GE259</f>
        <v>5256</v>
      </c>
      <c r="GG259">
        <f t="shared" ref="GG259:GG299" ca="1" si="627">ROUND(FY259-GF259,0)</f>
        <v>0</v>
      </c>
      <c r="GH259">
        <f t="shared" ref="GH259:GH299" ca="1" si="628">GG259*0.04</f>
        <v>0</v>
      </c>
      <c r="GI259">
        <f t="shared" ref="GI259:GI299" ca="1" si="629">ROUNDUP(GG259+GH259,0)</f>
        <v>0</v>
      </c>
    </row>
    <row r="260" spans="1:191" x14ac:dyDescent="0.25">
      <c r="A260">
        <f>_xlfn.AGGREGATE(3,5,$B$2:B260)</f>
        <v>259</v>
      </c>
      <c r="B260" t="s">
        <v>638</v>
      </c>
      <c r="C260" t="s">
        <v>639</v>
      </c>
      <c r="D260" t="s">
        <v>829</v>
      </c>
      <c r="E260" t="s">
        <v>843</v>
      </c>
      <c r="F260">
        <v>0</v>
      </c>
      <c r="G260">
        <v>6000</v>
      </c>
      <c r="H260">
        <v>26200</v>
      </c>
      <c r="I260">
        <f t="shared" si="532"/>
        <v>2620</v>
      </c>
      <c r="J260">
        <f t="shared" si="533"/>
        <v>3144</v>
      </c>
      <c r="K260">
        <v>0</v>
      </c>
      <c r="L260">
        <v>500</v>
      </c>
      <c r="M260">
        <f t="shared" si="534"/>
        <v>32464</v>
      </c>
      <c r="N260">
        <v>2000</v>
      </c>
      <c r="O260">
        <v>0</v>
      </c>
      <c r="P260">
        <f t="shared" si="535"/>
        <v>150</v>
      </c>
      <c r="Q260">
        <f t="shared" si="536"/>
        <v>30314</v>
      </c>
      <c r="R260">
        <v>26200</v>
      </c>
      <c r="S260">
        <f t="shared" si="537"/>
        <v>2620</v>
      </c>
      <c r="T260">
        <f t="shared" si="538"/>
        <v>3144</v>
      </c>
      <c r="U260">
        <v>0</v>
      </c>
      <c r="V260">
        <v>500</v>
      </c>
      <c r="W260">
        <f t="shared" si="539"/>
        <v>32464</v>
      </c>
      <c r="X260">
        <v>2000</v>
      </c>
      <c r="Y260">
        <v>0</v>
      </c>
      <c r="Z260">
        <f t="shared" si="540"/>
        <v>150</v>
      </c>
      <c r="AA260">
        <f t="shared" si="541"/>
        <v>30314</v>
      </c>
      <c r="AB260">
        <v>26200</v>
      </c>
      <c r="AC260">
        <f t="shared" si="542"/>
        <v>3668.0000000000005</v>
      </c>
      <c r="AD260">
        <f t="shared" si="543"/>
        <v>3144</v>
      </c>
      <c r="AE260">
        <v>0</v>
      </c>
      <c r="AF260">
        <v>500</v>
      </c>
      <c r="AG260">
        <f t="shared" si="544"/>
        <v>33512</v>
      </c>
      <c r="AH260">
        <v>2000</v>
      </c>
      <c r="AI260">
        <v>0</v>
      </c>
      <c r="AJ260">
        <f t="shared" si="545"/>
        <v>150</v>
      </c>
      <c r="AK260">
        <f t="shared" si="546"/>
        <v>31362</v>
      </c>
      <c r="AL260">
        <v>26200</v>
      </c>
      <c r="AM260">
        <f t="shared" si="547"/>
        <v>3668.0000000000005</v>
      </c>
      <c r="AN260">
        <f t="shared" si="548"/>
        <v>3144</v>
      </c>
      <c r="AO260">
        <v>0</v>
      </c>
      <c r="AP260">
        <v>500</v>
      </c>
      <c r="AQ260">
        <f t="shared" si="549"/>
        <v>33512</v>
      </c>
      <c r="AR260">
        <v>2000</v>
      </c>
      <c r="AS260">
        <v>0</v>
      </c>
      <c r="AT260">
        <f t="shared" si="550"/>
        <v>150</v>
      </c>
      <c r="AU260">
        <f t="shared" si="551"/>
        <v>31362</v>
      </c>
      <c r="AV260">
        <v>27000</v>
      </c>
      <c r="AW260">
        <f t="shared" si="552"/>
        <v>3780.0000000000005</v>
      </c>
      <c r="AX260">
        <f t="shared" si="553"/>
        <v>1048</v>
      </c>
      <c r="AY260">
        <f t="shared" si="554"/>
        <v>3240</v>
      </c>
      <c r="AZ260">
        <v>0</v>
      </c>
      <c r="BA260">
        <v>500</v>
      </c>
      <c r="BB260">
        <f t="shared" si="555"/>
        <v>35568</v>
      </c>
      <c r="BC260">
        <v>2000</v>
      </c>
      <c r="BD260">
        <v>0</v>
      </c>
      <c r="BE260">
        <f t="shared" si="556"/>
        <v>150</v>
      </c>
      <c r="BF260">
        <f t="shared" si="557"/>
        <v>33418</v>
      </c>
      <c r="BG260">
        <v>27000</v>
      </c>
      <c r="BH260">
        <f t="shared" si="558"/>
        <v>3780.0000000000005</v>
      </c>
      <c r="BI260">
        <f t="shared" si="559"/>
        <v>3240</v>
      </c>
      <c r="BJ260">
        <v>0</v>
      </c>
      <c r="BK260">
        <v>500</v>
      </c>
      <c r="BL260">
        <f t="shared" si="560"/>
        <v>34520</v>
      </c>
      <c r="BM260">
        <v>2000</v>
      </c>
      <c r="BN260">
        <v>0</v>
      </c>
      <c r="BO260">
        <f t="shared" si="561"/>
        <v>150</v>
      </c>
      <c r="BP260">
        <f t="shared" si="562"/>
        <v>32370</v>
      </c>
      <c r="BQ260">
        <v>27000</v>
      </c>
      <c r="BR260">
        <f t="shared" si="563"/>
        <v>3780.0000000000005</v>
      </c>
      <c r="BS260">
        <f t="shared" si="564"/>
        <v>3240</v>
      </c>
      <c r="BT260">
        <v>0</v>
      </c>
      <c r="BU260">
        <v>500</v>
      </c>
      <c r="BV260">
        <f t="shared" si="565"/>
        <v>34520</v>
      </c>
      <c r="BW260">
        <v>2000</v>
      </c>
      <c r="BX260">
        <v>0</v>
      </c>
      <c r="BY260">
        <f t="shared" si="566"/>
        <v>150</v>
      </c>
      <c r="BZ260">
        <f t="shared" si="567"/>
        <v>32370</v>
      </c>
      <c r="CA260">
        <v>27000</v>
      </c>
      <c r="CB260">
        <f t="shared" si="568"/>
        <v>3780.0000000000005</v>
      </c>
      <c r="CC260">
        <f t="shared" si="569"/>
        <v>3240</v>
      </c>
      <c r="CD260">
        <v>0</v>
      </c>
      <c r="CE260">
        <v>500</v>
      </c>
      <c r="CF260">
        <f t="shared" si="570"/>
        <v>34520</v>
      </c>
      <c r="CG260">
        <v>2000</v>
      </c>
      <c r="CH260">
        <v>0</v>
      </c>
      <c r="CI260">
        <f t="shared" si="571"/>
        <v>150</v>
      </c>
      <c r="CJ260">
        <f t="shared" si="572"/>
        <v>32370</v>
      </c>
      <c r="CK260">
        <v>27000</v>
      </c>
      <c r="CL260">
        <f t="shared" si="573"/>
        <v>3780.0000000000005</v>
      </c>
      <c r="CM260">
        <f t="shared" si="574"/>
        <v>3240</v>
      </c>
      <c r="CN260">
        <v>0</v>
      </c>
      <c r="CO260">
        <v>500</v>
      </c>
      <c r="CP260">
        <f t="shared" si="575"/>
        <v>34520</v>
      </c>
      <c r="CQ260">
        <v>2000</v>
      </c>
      <c r="CR260">
        <v>0</v>
      </c>
      <c r="CS260">
        <f t="shared" si="576"/>
        <v>150</v>
      </c>
      <c r="CT260">
        <f t="shared" si="577"/>
        <v>32370</v>
      </c>
      <c r="CU260">
        <v>27000</v>
      </c>
      <c r="CV260">
        <f t="shared" si="578"/>
        <v>3780</v>
      </c>
      <c r="CW260">
        <f t="shared" si="579"/>
        <v>3240</v>
      </c>
      <c r="CX260">
        <v>0</v>
      </c>
      <c r="CY260">
        <v>500</v>
      </c>
      <c r="CZ260">
        <f t="shared" si="580"/>
        <v>34520</v>
      </c>
      <c r="DA260">
        <v>2000</v>
      </c>
      <c r="DB260">
        <v>0</v>
      </c>
      <c r="DC260">
        <f t="shared" si="581"/>
        <v>150</v>
      </c>
      <c r="DD260">
        <f t="shared" si="582"/>
        <v>32370</v>
      </c>
      <c r="DE260">
        <v>27000</v>
      </c>
      <c r="DF260">
        <f t="shared" si="583"/>
        <v>3780.0000000000005</v>
      </c>
      <c r="DG260">
        <f t="shared" si="584"/>
        <v>3240</v>
      </c>
      <c r="DH260">
        <v>0</v>
      </c>
      <c r="DI260">
        <v>500</v>
      </c>
      <c r="DJ260">
        <f t="shared" si="585"/>
        <v>34520</v>
      </c>
      <c r="DK260">
        <v>2000</v>
      </c>
      <c r="DL260">
        <v>0</v>
      </c>
      <c r="DM260">
        <f t="shared" si="586"/>
        <v>150</v>
      </c>
      <c r="DN260">
        <f t="shared" si="587"/>
        <v>32370</v>
      </c>
      <c r="DO260">
        <v>27000</v>
      </c>
      <c r="DP260">
        <f t="shared" si="588"/>
        <v>3780.0000000000005</v>
      </c>
      <c r="DQ260">
        <f t="shared" si="589"/>
        <v>3240</v>
      </c>
      <c r="DR260">
        <v>0</v>
      </c>
      <c r="DS260">
        <v>500</v>
      </c>
      <c r="DT260">
        <f t="shared" si="590"/>
        <v>34520</v>
      </c>
      <c r="DU260">
        <v>2000</v>
      </c>
      <c r="DV260">
        <v>0</v>
      </c>
      <c r="DW260">
        <f t="shared" si="591"/>
        <v>150</v>
      </c>
      <c r="DX260">
        <f t="shared" si="592"/>
        <v>32370</v>
      </c>
      <c r="DY260">
        <f t="shared" si="593"/>
        <v>415160</v>
      </c>
      <c r="DZ260">
        <f t="shared" si="525"/>
        <v>1800</v>
      </c>
      <c r="EA260">
        <f t="shared" si="526"/>
        <v>50000</v>
      </c>
      <c r="EB260">
        <v>0</v>
      </c>
      <c r="EC260">
        <f t="shared" si="527"/>
        <v>363360</v>
      </c>
      <c r="ED260">
        <f t="shared" si="528"/>
        <v>24000</v>
      </c>
      <c r="EE260">
        <f t="shared" si="529"/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f t="shared" si="530"/>
        <v>24000</v>
      </c>
      <c r="EQ260">
        <f t="shared" si="594"/>
        <v>24000</v>
      </c>
      <c r="ER260">
        <f t="shared" si="531"/>
        <v>339360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f t="shared" si="595"/>
        <v>0</v>
      </c>
      <c r="FA260">
        <f t="shared" si="596"/>
        <v>339360</v>
      </c>
      <c r="FB260">
        <f t="shared" si="597"/>
        <v>4468</v>
      </c>
      <c r="FC260">
        <f t="shared" si="598"/>
        <v>0</v>
      </c>
      <c r="FD260">
        <f t="shared" si="599"/>
        <v>4468</v>
      </c>
      <c r="FE260">
        <f t="shared" si="600"/>
        <v>0</v>
      </c>
      <c r="FF260">
        <f t="shared" si="601"/>
        <v>0</v>
      </c>
      <c r="FG260">
        <f t="shared" si="602"/>
        <v>0</v>
      </c>
      <c r="FH260">
        <v>0</v>
      </c>
      <c r="FI260">
        <f t="shared" si="603"/>
        <v>0</v>
      </c>
      <c r="FJ260" t="b">
        <f t="shared" si="604"/>
        <v>0</v>
      </c>
      <c r="FK260">
        <f t="shared" ca="1" si="605"/>
        <v>2644</v>
      </c>
      <c r="FL260">
        <f t="shared" ca="1" si="606"/>
        <v>417804</v>
      </c>
      <c r="FM260">
        <f t="shared" si="607"/>
        <v>75000</v>
      </c>
      <c r="FN260">
        <f t="shared" ca="1" si="608"/>
        <v>342804</v>
      </c>
      <c r="FO260">
        <f t="shared" ca="1" si="609"/>
        <v>0</v>
      </c>
      <c r="FP260">
        <f t="shared" ca="1" si="610"/>
        <v>0</v>
      </c>
      <c r="FQ260">
        <f t="shared" ca="1" si="611"/>
        <v>0</v>
      </c>
      <c r="FR260">
        <f t="shared" ca="1" si="612"/>
        <v>0</v>
      </c>
      <c r="FS260">
        <f t="shared" ca="1" si="613"/>
        <v>0</v>
      </c>
      <c r="FT260">
        <f t="shared" ca="1" si="614"/>
        <v>0</v>
      </c>
      <c r="FU260">
        <f t="shared" ca="1" si="615"/>
        <v>0</v>
      </c>
      <c r="FV260">
        <f t="shared" ca="1" si="616"/>
        <v>0</v>
      </c>
      <c r="FW260">
        <f t="shared" ca="1" si="617"/>
        <v>42804</v>
      </c>
      <c r="FX260">
        <f t="shared" ca="1" si="618"/>
        <v>2140.2000000000003</v>
      </c>
      <c r="FY260">
        <f t="shared" ca="1" si="619"/>
        <v>2140</v>
      </c>
      <c r="FZ260">
        <f t="shared" ca="1" si="620"/>
        <v>0</v>
      </c>
      <c r="GA260">
        <f t="shared" ca="1" si="621"/>
        <v>0</v>
      </c>
      <c r="GB260">
        <f t="shared" ca="1" si="622"/>
        <v>2140</v>
      </c>
      <c r="GC260">
        <f t="shared" ca="1" si="623"/>
        <v>0</v>
      </c>
      <c r="GD260" t="b">
        <f t="shared" ca="1" si="624"/>
        <v>0</v>
      </c>
      <c r="GE260">
        <f t="shared" ca="1" si="625"/>
        <v>0</v>
      </c>
      <c r="GF260">
        <f t="shared" ca="1" si="626"/>
        <v>2140</v>
      </c>
      <c r="GG260">
        <f t="shared" ca="1" si="627"/>
        <v>0</v>
      </c>
      <c r="GH260">
        <f t="shared" ca="1" si="628"/>
        <v>0</v>
      </c>
      <c r="GI260">
        <f t="shared" ca="1" si="629"/>
        <v>0</v>
      </c>
    </row>
    <row r="261" spans="1:191" x14ac:dyDescent="0.25">
      <c r="A261">
        <f>_xlfn.AGGREGATE(3,5,$B$2:B261)</f>
        <v>260</v>
      </c>
      <c r="B261" t="s">
        <v>640</v>
      </c>
      <c r="C261" t="s">
        <v>641</v>
      </c>
      <c r="D261" t="s">
        <v>830</v>
      </c>
      <c r="E261" t="s">
        <v>844</v>
      </c>
      <c r="F261">
        <v>0</v>
      </c>
      <c r="G261">
        <v>0</v>
      </c>
      <c r="H261">
        <v>0</v>
      </c>
      <c r="I261">
        <f t="shared" si="532"/>
        <v>0</v>
      </c>
      <c r="J261">
        <f t="shared" si="533"/>
        <v>0</v>
      </c>
      <c r="K261">
        <v>0</v>
      </c>
      <c r="L261">
        <v>0</v>
      </c>
      <c r="M261">
        <f t="shared" si="534"/>
        <v>0</v>
      </c>
      <c r="N261">
        <v>0</v>
      </c>
      <c r="O261">
        <v>0</v>
      </c>
      <c r="P261">
        <f t="shared" si="535"/>
        <v>0</v>
      </c>
      <c r="Q261">
        <f t="shared" si="536"/>
        <v>0</v>
      </c>
      <c r="R261">
        <v>0</v>
      </c>
      <c r="S261">
        <f t="shared" si="537"/>
        <v>0</v>
      </c>
      <c r="T261">
        <f t="shared" si="538"/>
        <v>0</v>
      </c>
      <c r="U261">
        <v>0</v>
      </c>
      <c r="V261">
        <v>0</v>
      </c>
      <c r="W261">
        <f t="shared" si="539"/>
        <v>0</v>
      </c>
      <c r="X261">
        <v>0</v>
      </c>
      <c r="Y261">
        <v>0</v>
      </c>
      <c r="Z261">
        <f t="shared" si="540"/>
        <v>0</v>
      </c>
      <c r="AA261">
        <f t="shared" si="541"/>
        <v>0</v>
      </c>
      <c r="AB261">
        <v>0</v>
      </c>
      <c r="AC261">
        <f t="shared" si="542"/>
        <v>0</v>
      </c>
      <c r="AD261">
        <f t="shared" si="543"/>
        <v>0</v>
      </c>
      <c r="AE261">
        <v>0</v>
      </c>
      <c r="AF261">
        <v>0</v>
      </c>
      <c r="AG261">
        <f t="shared" si="544"/>
        <v>0</v>
      </c>
      <c r="AH261">
        <v>0</v>
      </c>
      <c r="AI261">
        <v>0</v>
      </c>
      <c r="AJ261">
        <f t="shared" si="545"/>
        <v>0</v>
      </c>
      <c r="AK261">
        <f t="shared" si="546"/>
        <v>0</v>
      </c>
      <c r="AL261">
        <v>0</v>
      </c>
      <c r="AM261">
        <f t="shared" si="547"/>
        <v>0</v>
      </c>
      <c r="AN261">
        <f t="shared" si="548"/>
        <v>0</v>
      </c>
      <c r="AO261">
        <v>0</v>
      </c>
      <c r="AP261">
        <v>0</v>
      </c>
      <c r="AQ261">
        <f t="shared" si="549"/>
        <v>0</v>
      </c>
      <c r="AR261">
        <v>0</v>
      </c>
      <c r="AS261">
        <v>0</v>
      </c>
      <c r="AT261">
        <f t="shared" si="550"/>
        <v>0</v>
      </c>
      <c r="AU261">
        <f t="shared" si="551"/>
        <v>0</v>
      </c>
      <c r="AV261">
        <v>0</v>
      </c>
      <c r="AW261">
        <f t="shared" si="552"/>
        <v>0</v>
      </c>
      <c r="AX261">
        <f t="shared" si="553"/>
        <v>0</v>
      </c>
      <c r="AY261">
        <f t="shared" si="554"/>
        <v>0</v>
      </c>
      <c r="AZ261">
        <v>0</v>
      </c>
      <c r="BA261">
        <v>0</v>
      </c>
      <c r="BB261">
        <f t="shared" si="555"/>
        <v>0</v>
      </c>
      <c r="BC261">
        <v>0</v>
      </c>
      <c r="BD261">
        <v>0</v>
      </c>
      <c r="BE261">
        <f t="shared" si="556"/>
        <v>0</v>
      </c>
      <c r="BF261">
        <f t="shared" si="557"/>
        <v>0</v>
      </c>
      <c r="BG261">
        <v>0</v>
      </c>
      <c r="BH261">
        <f t="shared" si="558"/>
        <v>0</v>
      </c>
      <c r="BI261">
        <f t="shared" si="559"/>
        <v>0</v>
      </c>
      <c r="BJ261">
        <v>0</v>
      </c>
      <c r="BK261">
        <v>0</v>
      </c>
      <c r="BL261">
        <f t="shared" si="560"/>
        <v>0</v>
      </c>
      <c r="BM261">
        <v>0</v>
      </c>
      <c r="BN261">
        <v>0</v>
      </c>
      <c r="BO261">
        <f t="shared" si="561"/>
        <v>0</v>
      </c>
      <c r="BP261">
        <f t="shared" si="562"/>
        <v>0</v>
      </c>
      <c r="BQ261">
        <v>0</v>
      </c>
      <c r="BR261">
        <f t="shared" si="563"/>
        <v>0</v>
      </c>
      <c r="BS261">
        <f t="shared" si="564"/>
        <v>0</v>
      </c>
      <c r="BT261">
        <v>0</v>
      </c>
      <c r="BU261">
        <v>0</v>
      </c>
      <c r="BV261">
        <f t="shared" si="565"/>
        <v>0</v>
      </c>
      <c r="BW261">
        <v>0</v>
      </c>
      <c r="BX261">
        <v>0</v>
      </c>
      <c r="BY261">
        <f t="shared" si="566"/>
        <v>0</v>
      </c>
      <c r="BZ261">
        <f t="shared" si="567"/>
        <v>0</v>
      </c>
      <c r="CA261">
        <v>0</v>
      </c>
      <c r="CB261">
        <f t="shared" si="568"/>
        <v>0</v>
      </c>
      <c r="CC261">
        <f t="shared" si="569"/>
        <v>0</v>
      </c>
      <c r="CD261">
        <v>0</v>
      </c>
      <c r="CE261">
        <v>0</v>
      </c>
      <c r="CF261">
        <f t="shared" si="570"/>
        <v>0</v>
      </c>
      <c r="CG261">
        <v>0</v>
      </c>
      <c r="CH261">
        <v>0</v>
      </c>
      <c r="CI261">
        <f t="shared" si="571"/>
        <v>0</v>
      </c>
      <c r="CJ261">
        <f t="shared" si="572"/>
        <v>0</v>
      </c>
      <c r="CK261">
        <v>0</v>
      </c>
      <c r="CL261">
        <f t="shared" si="573"/>
        <v>0</v>
      </c>
      <c r="CM261">
        <f t="shared" si="574"/>
        <v>0</v>
      </c>
      <c r="CN261">
        <v>0</v>
      </c>
      <c r="CO261">
        <v>0</v>
      </c>
      <c r="CP261">
        <f t="shared" si="575"/>
        <v>0</v>
      </c>
      <c r="CQ261">
        <v>0</v>
      </c>
      <c r="CR261">
        <v>0</v>
      </c>
      <c r="CS261">
        <f t="shared" si="576"/>
        <v>0</v>
      </c>
      <c r="CT261">
        <f t="shared" si="577"/>
        <v>0</v>
      </c>
      <c r="CU261">
        <v>0</v>
      </c>
      <c r="CV261">
        <f t="shared" si="578"/>
        <v>0</v>
      </c>
      <c r="CW261">
        <f t="shared" si="579"/>
        <v>0</v>
      </c>
      <c r="CX261">
        <v>0</v>
      </c>
      <c r="CY261">
        <v>0</v>
      </c>
      <c r="CZ261">
        <f t="shared" si="580"/>
        <v>0</v>
      </c>
      <c r="DA261">
        <v>0</v>
      </c>
      <c r="DB261">
        <v>0</v>
      </c>
      <c r="DC261">
        <f t="shared" si="581"/>
        <v>0</v>
      </c>
      <c r="DD261">
        <f t="shared" si="582"/>
        <v>0</v>
      </c>
      <c r="DE261">
        <v>0</v>
      </c>
      <c r="DF261">
        <f t="shared" si="583"/>
        <v>0</v>
      </c>
      <c r="DG261">
        <f t="shared" si="584"/>
        <v>0</v>
      </c>
      <c r="DH261">
        <v>0</v>
      </c>
      <c r="DI261">
        <v>0</v>
      </c>
      <c r="DJ261">
        <f t="shared" si="585"/>
        <v>0</v>
      </c>
      <c r="DK261">
        <v>0</v>
      </c>
      <c r="DL261">
        <v>0</v>
      </c>
      <c r="DM261">
        <f t="shared" si="586"/>
        <v>0</v>
      </c>
      <c r="DN261">
        <f t="shared" si="587"/>
        <v>0</v>
      </c>
      <c r="DO261">
        <v>0</v>
      </c>
      <c r="DP261">
        <f t="shared" si="588"/>
        <v>0</v>
      </c>
      <c r="DQ261">
        <f t="shared" si="589"/>
        <v>0</v>
      </c>
      <c r="DR261">
        <v>0</v>
      </c>
      <c r="DS261">
        <v>0</v>
      </c>
      <c r="DT261">
        <f t="shared" si="590"/>
        <v>0</v>
      </c>
      <c r="DU261">
        <v>0</v>
      </c>
      <c r="DV261">
        <v>0</v>
      </c>
      <c r="DW261">
        <f t="shared" si="591"/>
        <v>0</v>
      </c>
      <c r="DX261">
        <f t="shared" si="592"/>
        <v>0</v>
      </c>
      <c r="DY261">
        <f t="shared" si="593"/>
        <v>0</v>
      </c>
      <c r="DZ261">
        <f t="shared" si="525"/>
        <v>0</v>
      </c>
      <c r="EA261">
        <f t="shared" si="526"/>
        <v>0</v>
      </c>
      <c r="EB261">
        <v>0</v>
      </c>
      <c r="EC261">
        <f t="shared" si="527"/>
        <v>0</v>
      </c>
      <c r="ED261">
        <f t="shared" si="528"/>
        <v>0</v>
      </c>
      <c r="EE261">
        <f t="shared" si="529"/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f t="shared" si="530"/>
        <v>0</v>
      </c>
      <c r="EQ261">
        <f t="shared" si="594"/>
        <v>0</v>
      </c>
      <c r="ER261">
        <f t="shared" si="531"/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f t="shared" si="595"/>
        <v>0</v>
      </c>
      <c r="FA261">
        <f t="shared" si="596"/>
        <v>0</v>
      </c>
      <c r="FB261">
        <f t="shared" si="597"/>
        <v>0</v>
      </c>
      <c r="FC261">
        <f t="shared" si="598"/>
        <v>0</v>
      </c>
      <c r="FD261">
        <f t="shared" si="599"/>
        <v>0</v>
      </c>
      <c r="FE261">
        <f t="shared" si="600"/>
        <v>0</v>
      </c>
      <c r="FF261">
        <f t="shared" si="601"/>
        <v>0</v>
      </c>
      <c r="FG261">
        <f t="shared" si="602"/>
        <v>0</v>
      </c>
      <c r="FH261">
        <v>0</v>
      </c>
      <c r="FI261">
        <f t="shared" si="603"/>
        <v>0</v>
      </c>
      <c r="FJ261" t="b">
        <f t="shared" si="604"/>
        <v>0</v>
      </c>
      <c r="FK261">
        <f t="shared" ca="1" si="605"/>
        <v>1223</v>
      </c>
      <c r="FL261">
        <f t="shared" ca="1" si="606"/>
        <v>1223</v>
      </c>
      <c r="FM261">
        <f t="shared" si="607"/>
        <v>0</v>
      </c>
      <c r="FN261">
        <f t="shared" ca="1" si="608"/>
        <v>1223</v>
      </c>
      <c r="FO261">
        <f t="shared" ca="1" si="609"/>
        <v>0</v>
      </c>
      <c r="FP261">
        <f t="shared" ca="1" si="610"/>
        <v>0</v>
      </c>
      <c r="FQ261">
        <f t="shared" ca="1" si="611"/>
        <v>0</v>
      </c>
      <c r="FR261">
        <f t="shared" ca="1" si="612"/>
        <v>0</v>
      </c>
      <c r="FS261">
        <f t="shared" ca="1" si="613"/>
        <v>0</v>
      </c>
      <c r="FT261">
        <f t="shared" ca="1" si="614"/>
        <v>0</v>
      </c>
      <c r="FU261">
        <f t="shared" ca="1" si="615"/>
        <v>0</v>
      </c>
      <c r="FV261">
        <f t="shared" ca="1" si="616"/>
        <v>0</v>
      </c>
      <c r="FW261">
        <f t="shared" ca="1" si="617"/>
        <v>0</v>
      </c>
      <c r="FX261">
        <f t="shared" ca="1" si="618"/>
        <v>0</v>
      </c>
      <c r="FY261">
        <f t="shared" ca="1" si="619"/>
        <v>0</v>
      </c>
      <c r="FZ261">
        <f t="shared" ca="1" si="620"/>
        <v>0</v>
      </c>
      <c r="GA261">
        <f t="shared" ca="1" si="621"/>
        <v>0</v>
      </c>
      <c r="GB261">
        <f t="shared" ca="1" si="622"/>
        <v>0</v>
      </c>
      <c r="GC261">
        <f t="shared" ca="1" si="623"/>
        <v>0</v>
      </c>
      <c r="GD261" t="b">
        <f t="shared" ca="1" si="624"/>
        <v>0</v>
      </c>
      <c r="GE261">
        <f t="shared" ca="1" si="625"/>
        <v>0</v>
      </c>
      <c r="GF261">
        <f t="shared" ca="1" si="626"/>
        <v>0</v>
      </c>
      <c r="GG261">
        <f t="shared" ca="1" si="627"/>
        <v>0</v>
      </c>
      <c r="GH261">
        <f t="shared" ca="1" si="628"/>
        <v>0</v>
      </c>
      <c r="GI261">
        <f t="shared" ca="1" si="629"/>
        <v>0</v>
      </c>
    </row>
    <row r="262" spans="1:191" x14ac:dyDescent="0.25">
      <c r="A262">
        <f>_xlfn.AGGREGATE(3,5,$B$2:B262)</f>
        <v>261</v>
      </c>
      <c r="B262" t="s">
        <v>642</v>
      </c>
      <c r="C262" t="s">
        <v>643</v>
      </c>
      <c r="D262" t="s">
        <v>830</v>
      </c>
      <c r="E262" t="s">
        <v>843</v>
      </c>
      <c r="F262">
        <v>0</v>
      </c>
      <c r="G262">
        <v>6000</v>
      </c>
      <c r="H262">
        <v>26200</v>
      </c>
      <c r="I262">
        <f t="shared" si="532"/>
        <v>2620</v>
      </c>
      <c r="J262">
        <f t="shared" si="533"/>
        <v>3144</v>
      </c>
      <c r="K262">
        <v>0</v>
      </c>
      <c r="L262">
        <v>0</v>
      </c>
      <c r="M262">
        <f t="shared" si="534"/>
        <v>31964</v>
      </c>
      <c r="N262">
        <v>3000</v>
      </c>
      <c r="O262">
        <v>0</v>
      </c>
      <c r="P262">
        <f t="shared" si="535"/>
        <v>150</v>
      </c>
      <c r="Q262">
        <f t="shared" si="536"/>
        <v>28814</v>
      </c>
      <c r="R262">
        <v>26200</v>
      </c>
      <c r="S262">
        <f t="shared" si="537"/>
        <v>2620</v>
      </c>
      <c r="T262">
        <f t="shared" si="538"/>
        <v>3144</v>
      </c>
      <c r="U262">
        <v>0</v>
      </c>
      <c r="V262">
        <v>0</v>
      </c>
      <c r="W262">
        <f t="shared" si="539"/>
        <v>31964</v>
      </c>
      <c r="X262">
        <v>3000</v>
      </c>
      <c r="Y262">
        <v>0</v>
      </c>
      <c r="Z262">
        <f t="shared" si="540"/>
        <v>150</v>
      </c>
      <c r="AA262">
        <f t="shared" si="541"/>
        <v>28814</v>
      </c>
      <c r="AB262">
        <v>26200</v>
      </c>
      <c r="AC262">
        <f t="shared" si="542"/>
        <v>3668.0000000000005</v>
      </c>
      <c r="AD262">
        <f t="shared" si="543"/>
        <v>3144</v>
      </c>
      <c r="AE262">
        <v>0</v>
      </c>
      <c r="AF262">
        <v>0</v>
      </c>
      <c r="AG262">
        <f t="shared" si="544"/>
        <v>33012</v>
      </c>
      <c r="AH262">
        <v>3000</v>
      </c>
      <c r="AI262">
        <v>0</v>
      </c>
      <c r="AJ262">
        <f t="shared" si="545"/>
        <v>150</v>
      </c>
      <c r="AK262">
        <f t="shared" si="546"/>
        <v>29862</v>
      </c>
      <c r="AL262">
        <v>26200</v>
      </c>
      <c r="AM262">
        <f t="shared" si="547"/>
        <v>3668.0000000000005</v>
      </c>
      <c r="AN262">
        <f t="shared" si="548"/>
        <v>3144</v>
      </c>
      <c r="AO262">
        <v>0</v>
      </c>
      <c r="AP262">
        <v>0</v>
      </c>
      <c r="AQ262">
        <f t="shared" si="549"/>
        <v>33012</v>
      </c>
      <c r="AR262">
        <v>3000</v>
      </c>
      <c r="AS262">
        <v>0</v>
      </c>
      <c r="AT262">
        <f t="shared" si="550"/>
        <v>150</v>
      </c>
      <c r="AU262">
        <f t="shared" si="551"/>
        <v>29862</v>
      </c>
      <c r="AV262">
        <v>27000</v>
      </c>
      <c r="AW262">
        <f t="shared" si="552"/>
        <v>3780.0000000000005</v>
      </c>
      <c r="AX262">
        <f t="shared" si="553"/>
        <v>1048</v>
      </c>
      <c r="AY262">
        <f t="shared" si="554"/>
        <v>3240</v>
      </c>
      <c r="AZ262">
        <v>0</v>
      </c>
      <c r="BA262">
        <v>0</v>
      </c>
      <c r="BB262">
        <f t="shared" si="555"/>
        <v>35068</v>
      </c>
      <c r="BC262">
        <v>3000</v>
      </c>
      <c r="BD262">
        <v>0</v>
      </c>
      <c r="BE262">
        <f t="shared" si="556"/>
        <v>150</v>
      </c>
      <c r="BF262">
        <f t="shared" si="557"/>
        <v>31918</v>
      </c>
      <c r="BG262">
        <v>27000</v>
      </c>
      <c r="BH262">
        <f t="shared" si="558"/>
        <v>3780.0000000000005</v>
      </c>
      <c r="BI262">
        <f t="shared" si="559"/>
        <v>3240</v>
      </c>
      <c r="BJ262">
        <v>0</v>
      </c>
      <c r="BK262">
        <v>0</v>
      </c>
      <c r="BL262">
        <f t="shared" si="560"/>
        <v>34020</v>
      </c>
      <c r="BM262">
        <v>3000</v>
      </c>
      <c r="BN262">
        <v>0</v>
      </c>
      <c r="BO262">
        <f t="shared" si="561"/>
        <v>150</v>
      </c>
      <c r="BP262">
        <f t="shared" si="562"/>
        <v>30870</v>
      </c>
      <c r="BQ262">
        <v>27000</v>
      </c>
      <c r="BR262">
        <f t="shared" si="563"/>
        <v>3780.0000000000005</v>
      </c>
      <c r="BS262">
        <f t="shared" si="564"/>
        <v>3240</v>
      </c>
      <c r="BT262">
        <v>0</v>
      </c>
      <c r="BU262">
        <v>0</v>
      </c>
      <c r="BV262">
        <f t="shared" si="565"/>
        <v>34020</v>
      </c>
      <c r="BW262">
        <v>3000</v>
      </c>
      <c r="BX262">
        <v>0</v>
      </c>
      <c r="BY262">
        <f t="shared" si="566"/>
        <v>150</v>
      </c>
      <c r="BZ262">
        <f t="shared" si="567"/>
        <v>30870</v>
      </c>
      <c r="CA262">
        <v>27000</v>
      </c>
      <c r="CB262">
        <f t="shared" si="568"/>
        <v>3780.0000000000005</v>
      </c>
      <c r="CC262">
        <f t="shared" si="569"/>
        <v>3240</v>
      </c>
      <c r="CD262">
        <v>0</v>
      </c>
      <c r="CE262">
        <v>0</v>
      </c>
      <c r="CF262">
        <f t="shared" si="570"/>
        <v>34020</v>
      </c>
      <c r="CG262">
        <v>3000</v>
      </c>
      <c r="CH262">
        <v>0</v>
      </c>
      <c r="CI262">
        <f t="shared" si="571"/>
        <v>150</v>
      </c>
      <c r="CJ262">
        <f t="shared" si="572"/>
        <v>30870</v>
      </c>
      <c r="CK262">
        <v>27000</v>
      </c>
      <c r="CL262">
        <f t="shared" si="573"/>
        <v>3780.0000000000005</v>
      </c>
      <c r="CM262">
        <f t="shared" si="574"/>
        <v>3240</v>
      </c>
      <c r="CN262">
        <v>0</v>
      </c>
      <c r="CO262">
        <v>0</v>
      </c>
      <c r="CP262">
        <f t="shared" si="575"/>
        <v>34020</v>
      </c>
      <c r="CQ262">
        <v>3000</v>
      </c>
      <c r="CR262">
        <v>0</v>
      </c>
      <c r="CS262">
        <f t="shared" si="576"/>
        <v>150</v>
      </c>
      <c r="CT262">
        <f t="shared" si="577"/>
        <v>30870</v>
      </c>
      <c r="CU262">
        <v>27000</v>
      </c>
      <c r="CV262">
        <f t="shared" si="578"/>
        <v>3780</v>
      </c>
      <c r="CW262">
        <f t="shared" si="579"/>
        <v>3240</v>
      </c>
      <c r="CX262">
        <v>0</v>
      </c>
      <c r="CY262">
        <v>0</v>
      </c>
      <c r="CZ262">
        <f t="shared" si="580"/>
        <v>34020</v>
      </c>
      <c r="DA262">
        <v>3000</v>
      </c>
      <c r="DB262">
        <v>0</v>
      </c>
      <c r="DC262">
        <f t="shared" si="581"/>
        <v>150</v>
      </c>
      <c r="DD262">
        <f t="shared" si="582"/>
        <v>30870</v>
      </c>
      <c r="DE262">
        <v>27000</v>
      </c>
      <c r="DF262">
        <f t="shared" si="583"/>
        <v>3780.0000000000005</v>
      </c>
      <c r="DG262">
        <f t="shared" si="584"/>
        <v>3240</v>
      </c>
      <c r="DH262">
        <v>0</v>
      </c>
      <c r="DI262">
        <v>0</v>
      </c>
      <c r="DJ262">
        <f t="shared" si="585"/>
        <v>34020</v>
      </c>
      <c r="DK262">
        <v>3000</v>
      </c>
      <c r="DL262">
        <v>0</v>
      </c>
      <c r="DM262">
        <f t="shared" si="586"/>
        <v>150</v>
      </c>
      <c r="DN262">
        <f t="shared" si="587"/>
        <v>30870</v>
      </c>
      <c r="DO262">
        <v>27000</v>
      </c>
      <c r="DP262">
        <f t="shared" si="588"/>
        <v>3780.0000000000005</v>
      </c>
      <c r="DQ262">
        <f t="shared" si="589"/>
        <v>3240</v>
      </c>
      <c r="DR262">
        <v>0</v>
      </c>
      <c r="DS262">
        <v>0</v>
      </c>
      <c r="DT262">
        <f t="shared" si="590"/>
        <v>34020</v>
      </c>
      <c r="DU262">
        <v>3000</v>
      </c>
      <c r="DV262">
        <v>0</v>
      </c>
      <c r="DW262">
        <f t="shared" si="591"/>
        <v>150</v>
      </c>
      <c r="DX262">
        <f t="shared" si="592"/>
        <v>30870</v>
      </c>
      <c r="DY262">
        <f t="shared" si="593"/>
        <v>409160</v>
      </c>
      <c r="DZ262">
        <f t="shared" si="525"/>
        <v>1800</v>
      </c>
      <c r="EA262">
        <f t="shared" si="526"/>
        <v>50000</v>
      </c>
      <c r="EB262">
        <v>0</v>
      </c>
      <c r="EC262">
        <f t="shared" si="527"/>
        <v>357360</v>
      </c>
      <c r="ED262">
        <f t="shared" si="528"/>
        <v>36000</v>
      </c>
      <c r="EE262">
        <f t="shared" si="529"/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f t="shared" si="530"/>
        <v>36000</v>
      </c>
      <c r="EQ262">
        <f t="shared" si="594"/>
        <v>36000</v>
      </c>
      <c r="ER262">
        <f t="shared" si="531"/>
        <v>321360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f t="shared" si="595"/>
        <v>0</v>
      </c>
      <c r="FA262">
        <f t="shared" si="596"/>
        <v>321360</v>
      </c>
      <c r="FB262">
        <f t="shared" si="597"/>
        <v>3568</v>
      </c>
      <c r="FC262">
        <f t="shared" si="598"/>
        <v>0</v>
      </c>
      <c r="FD262">
        <f t="shared" si="599"/>
        <v>3568</v>
      </c>
      <c r="FE262">
        <f t="shared" si="600"/>
        <v>0</v>
      </c>
      <c r="FF262">
        <f t="shared" si="601"/>
        <v>0</v>
      </c>
      <c r="FG262">
        <f t="shared" si="602"/>
        <v>0</v>
      </c>
      <c r="FH262">
        <v>0</v>
      </c>
      <c r="FI262">
        <f t="shared" si="603"/>
        <v>0</v>
      </c>
      <c r="FJ262" t="b">
        <f t="shared" si="604"/>
        <v>0</v>
      </c>
      <c r="FK262">
        <f t="shared" ca="1" si="605"/>
        <v>2648</v>
      </c>
      <c r="FL262">
        <f t="shared" ca="1" si="606"/>
        <v>411808</v>
      </c>
      <c r="FM262">
        <f t="shared" si="607"/>
        <v>75000</v>
      </c>
      <c r="FN262">
        <f t="shared" ca="1" si="608"/>
        <v>336808</v>
      </c>
      <c r="FO262">
        <f t="shared" ca="1" si="609"/>
        <v>0</v>
      </c>
      <c r="FP262">
        <f t="shared" ca="1" si="610"/>
        <v>0</v>
      </c>
      <c r="FQ262">
        <f t="shared" ca="1" si="611"/>
        <v>0</v>
      </c>
      <c r="FR262">
        <f t="shared" ca="1" si="612"/>
        <v>0</v>
      </c>
      <c r="FS262">
        <f t="shared" ca="1" si="613"/>
        <v>0</v>
      </c>
      <c r="FT262">
        <f t="shared" ca="1" si="614"/>
        <v>0</v>
      </c>
      <c r="FU262">
        <f t="shared" ca="1" si="615"/>
        <v>0</v>
      </c>
      <c r="FV262">
        <f t="shared" ca="1" si="616"/>
        <v>0</v>
      </c>
      <c r="FW262">
        <f t="shared" ca="1" si="617"/>
        <v>36808</v>
      </c>
      <c r="FX262">
        <f t="shared" ca="1" si="618"/>
        <v>1840.4</v>
      </c>
      <c r="FY262">
        <f t="shared" ca="1" si="619"/>
        <v>1840</v>
      </c>
      <c r="FZ262">
        <f t="shared" ca="1" si="620"/>
        <v>0</v>
      </c>
      <c r="GA262">
        <f t="shared" ca="1" si="621"/>
        <v>0</v>
      </c>
      <c r="GB262">
        <f t="shared" ca="1" si="622"/>
        <v>1840</v>
      </c>
      <c r="GC262">
        <f t="shared" ca="1" si="623"/>
        <v>0</v>
      </c>
      <c r="GD262" t="b">
        <f t="shared" ca="1" si="624"/>
        <v>0</v>
      </c>
      <c r="GE262">
        <f t="shared" ca="1" si="625"/>
        <v>0</v>
      </c>
      <c r="GF262">
        <f t="shared" ca="1" si="626"/>
        <v>1840</v>
      </c>
      <c r="GG262">
        <f t="shared" ca="1" si="627"/>
        <v>0</v>
      </c>
      <c r="GH262">
        <f t="shared" ca="1" si="628"/>
        <v>0</v>
      </c>
      <c r="GI262">
        <f t="shared" ca="1" si="629"/>
        <v>0</v>
      </c>
    </row>
    <row r="263" spans="1:191" x14ac:dyDescent="0.25">
      <c r="A263">
        <f>_xlfn.AGGREGATE(3,5,$B$2:B263)</f>
        <v>262</v>
      </c>
      <c r="B263" t="s">
        <v>644</v>
      </c>
      <c r="C263" t="s">
        <v>645</v>
      </c>
      <c r="D263" t="s">
        <v>830</v>
      </c>
      <c r="E263" t="s">
        <v>843</v>
      </c>
      <c r="F263">
        <v>0</v>
      </c>
      <c r="G263">
        <v>0</v>
      </c>
      <c r="H263">
        <v>0</v>
      </c>
      <c r="I263">
        <f t="shared" si="532"/>
        <v>0</v>
      </c>
      <c r="J263">
        <f t="shared" si="533"/>
        <v>0</v>
      </c>
      <c r="K263">
        <v>0</v>
      </c>
      <c r="L263">
        <v>0</v>
      </c>
      <c r="M263">
        <f t="shared" si="534"/>
        <v>0</v>
      </c>
      <c r="N263">
        <v>0</v>
      </c>
      <c r="O263">
        <v>0</v>
      </c>
      <c r="P263">
        <f t="shared" si="535"/>
        <v>0</v>
      </c>
      <c r="Q263">
        <f t="shared" si="536"/>
        <v>0</v>
      </c>
      <c r="R263">
        <v>28900</v>
      </c>
      <c r="S263">
        <f t="shared" si="537"/>
        <v>2890</v>
      </c>
      <c r="T263">
        <f t="shared" si="538"/>
        <v>3468</v>
      </c>
      <c r="U263">
        <v>0</v>
      </c>
      <c r="V263">
        <v>500</v>
      </c>
      <c r="W263">
        <f t="shared" si="539"/>
        <v>35758</v>
      </c>
      <c r="X263">
        <v>0</v>
      </c>
      <c r="Y263">
        <v>0</v>
      </c>
      <c r="Z263">
        <f t="shared" si="540"/>
        <v>150</v>
      </c>
      <c r="AA263">
        <f t="shared" si="541"/>
        <v>35608</v>
      </c>
      <c r="AB263">
        <v>28900</v>
      </c>
      <c r="AC263">
        <f t="shared" si="542"/>
        <v>4046.0000000000005</v>
      </c>
      <c r="AD263">
        <f t="shared" si="543"/>
        <v>3468</v>
      </c>
      <c r="AE263">
        <v>0</v>
      </c>
      <c r="AF263">
        <v>500</v>
      </c>
      <c r="AG263">
        <f t="shared" si="544"/>
        <v>36914</v>
      </c>
      <c r="AH263">
        <v>0</v>
      </c>
      <c r="AI263">
        <v>0</v>
      </c>
      <c r="AJ263">
        <f t="shared" si="545"/>
        <v>150</v>
      </c>
      <c r="AK263">
        <f t="shared" si="546"/>
        <v>36764</v>
      </c>
      <c r="AL263">
        <v>28900</v>
      </c>
      <c r="AM263">
        <f t="shared" si="547"/>
        <v>4046.0000000000005</v>
      </c>
      <c r="AN263">
        <f t="shared" si="548"/>
        <v>3468</v>
      </c>
      <c r="AO263">
        <v>0</v>
      </c>
      <c r="AP263">
        <v>500</v>
      </c>
      <c r="AQ263">
        <f t="shared" si="549"/>
        <v>36914</v>
      </c>
      <c r="AR263">
        <v>0</v>
      </c>
      <c r="AS263">
        <v>0</v>
      </c>
      <c r="AT263">
        <f t="shared" si="550"/>
        <v>150</v>
      </c>
      <c r="AU263">
        <f t="shared" si="551"/>
        <v>36764</v>
      </c>
      <c r="AV263">
        <v>28900</v>
      </c>
      <c r="AW263">
        <f t="shared" si="552"/>
        <v>4046.0000000000005</v>
      </c>
      <c r="AX263">
        <f t="shared" si="553"/>
        <v>1156</v>
      </c>
      <c r="AY263">
        <f t="shared" si="554"/>
        <v>3468</v>
      </c>
      <c r="AZ263">
        <v>0</v>
      </c>
      <c r="BA263">
        <v>500</v>
      </c>
      <c r="BB263">
        <f t="shared" si="555"/>
        <v>38070</v>
      </c>
      <c r="BC263">
        <v>0</v>
      </c>
      <c r="BD263">
        <v>0</v>
      </c>
      <c r="BE263">
        <f t="shared" si="556"/>
        <v>150</v>
      </c>
      <c r="BF263">
        <f t="shared" si="557"/>
        <v>37920</v>
      </c>
      <c r="BG263">
        <v>28900</v>
      </c>
      <c r="BH263">
        <f t="shared" si="558"/>
        <v>4046.0000000000005</v>
      </c>
      <c r="BI263">
        <f t="shared" si="559"/>
        <v>3468</v>
      </c>
      <c r="BJ263">
        <v>0</v>
      </c>
      <c r="BK263">
        <v>500</v>
      </c>
      <c r="BL263">
        <f t="shared" si="560"/>
        <v>36914</v>
      </c>
      <c r="BM263">
        <v>0</v>
      </c>
      <c r="BN263">
        <v>0</v>
      </c>
      <c r="BO263">
        <f t="shared" si="561"/>
        <v>150</v>
      </c>
      <c r="BP263">
        <f t="shared" si="562"/>
        <v>36764</v>
      </c>
      <c r="BQ263">
        <v>28900</v>
      </c>
      <c r="BR263">
        <f t="shared" si="563"/>
        <v>4046.0000000000005</v>
      </c>
      <c r="BS263">
        <f t="shared" si="564"/>
        <v>3468</v>
      </c>
      <c r="BT263">
        <v>0</v>
      </c>
      <c r="BU263">
        <v>500</v>
      </c>
      <c r="BV263">
        <f t="shared" si="565"/>
        <v>36914</v>
      </c>
      <c r="BW263">
        <v>0</v>
      </c>
      <c r="BX263">
        <v>0</v>
      </c>
      <c r="BY263">
        <f t="shared" si="566"/>
        <v>150</v>
      </c>
      <c r="BZ263">
        <f t="shared" si="567"/>
        <v>36764</v>
      </c>
      <c r="CA263">
        <v>28900</v>
      </c>
      <c r="CB263">
        <f t="shared" si="568"/>
        <v>4046.0000000000005</v>
      </c>
      <c r="CC263">
        <f t="shared" si="569"/>
        <v>3468</v>
      </c>
      <c r="CD263">
        <v>0</v>
      </c>
      <c r="CE263">
        <v>500</v>
      </c>
      <c r="CF263">
        <f t="shared" si="570"/>
        <v>36914</v>
      </c>
      <c r="CG263">
        <v>0</v>
      </c>
      <c r="CH263">
        <v>0</v>
      </c>
      <c r="CI263">
        <f t="shared" si="571"/>
        <v>150</v>
      </c>
      <c r="CJ263">
        <f t="shared" si="572"/>
        <v>36764</v>
      </c>
      <c r="CK263">
        <v>28900</v>
      </c>
      <c r="CL263">
        <f t="shared" si="573"/>
        <v>4046.0000000000005</v>
      </c>
      <c r="CM263">
        <f t="shared" si="574"/>
        <v>3468</v>
      </c>
      <c r="CN263">
        <v>0</v>
      </c>
      <c r="CO263">
        <v>500</v>
      </c>
      <c r="CP263">
        <f t="shared" si="575"/>
        <v>36914</v>
      </c>
      <c r="CQ263">
        <v>0</v>
      </c>
      <c r="CR263">
        <v>0</v>
      </c>
      <c r="CS263">
        <f t="shared" si="576"/>
        <v>150</v>
      </c>
      <c r="CT263">
        <f t="shared" si="577"/>
        <v>36764</v>
      </c>
      <c r="CU263">
        <v>28900</v>
      </c>
      <c r="CV263">
        <f t="shared" si="578"/>
        <v>4046</v>
      </c>
      <c r="CW263">
        <f t="shared" si="579"/>
        <v>3468</v>
      </c>
      <c r="CX263">
        <v>0</v>
      </c>
      <c r="CY263">
        <v>500</v>
      </c>
      <c r="CZ263">
        <f t="shared" si="580"/>
        <v>36914</v>
      </c>
      <c r="DA263">
        <v>0</v>
      </c>
      <c r="DB263">
        <v>0</v>
      </c>
      <c r="DC263">
        <f t="shared" si="581"/>
        <v>150</v>
      </c>
      <c r="DD263">
        <f t="shared" si="582"/>
        <v>36764</v>
      </c>
      <c r="DE263">
        <v>28900</v>
      </c>
      <c r="DF263">
        <f t="shared" si="583"/>
        <v>4046.0000000000005</v>
      </c>
      <c r="DG263">
        <f t="shared" si="584"/>
        <v>3468</v>
      </c>
      <c r="DH263">
        <v>0</v>
      </c>
      <c r="DI263">
        <v>500</v>
      </c>
      <c r="DJ263">
        <f t="shared" si="585"/>
        <v>36914</v>
      </c>
      <c r="DK263">
        <v>0</v>
      </c>
      <c r="DL263">
        <v>0</v>
      </c>
      <c r="DM263">
        <f t="shared" si="586"/>
        <v>150</v>
      </c>
      <c r="DN263">
        <f t="shared" si="587"/>
        <v>36764</v>
      </c>
      <c r="DO263">
        <v>28900</v>
      </c>
      <c r="DP263">
        <f t="shared" si="588"/>
        <v>4046.0000000000005</v>
      </c>
      <c r="DQ263">
        <f t="shared" si="589"/>
        <v>3468</v>
      </c>
      <c r="DR263">
        <v>0</v>
      </c>
      <c r="DS263">
        <v>500</v>
      </c>
      <c r="DT263">
        <f t="shared" si="590"/>
        <v>36914</v>
      </c>
      <c r="DU263">
        <v>2000</v>
      </c>
      <c r="DV263">
        <v>0</v>
      </c>
      <c r="DW263">
        <f t="shared" si="591"/>
        <v>150</v>
      </c>
      <c r="DX263">
        <f t="shared" si="592"/>
        <v>34764</v>
      </c>
      <c r="DY263">
        <f t="shared" si="593"/>
        <v>406054</v>
      </c>
      <c r="DZ263">
        <f t="shared" si="525"/>
        <v>1650</v>
      </c>
      <c r="EA263">
        <f t="shared" si="526"/>
        <v>50000</v>
      </c>
      <c r="EB263">
        <v>0</v>
      </c>
      <c r="EC263">
        <f t="shared" si="527"/>
        <v>354404</v>
      </c>
      <c r="ED263">
        <f t="shared" si="528"/>
        <v>2000</v>
      </c>
      <c r="EE263">
        <f t="shared" si="529"/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f t="shared" si="530"/>
        <v>2000</v>
      </c>
      <c r="EQ263">
        <f t="shared" si="594"/>
        <v>2000</v>
      </c>
      <c r="ER263">
        <f t="shared" si="531"/>
        <v>352404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f t="shared" si="595"/>
        <v>0</v>
      </c>
      <c r="FA263">
        <f t="shared" si="596"/>
        <v>352404</v>
      </c>
      <c r="FB263">
        <f t="shared" si="597"/>
        <v>5120</v>
      </c>
      <c r="FC263">
        <f t="shared" si="598"/>
        <v>0</v>
      </c>
      <c r="FD263">
        <f t="shared" si="599"/>
        <v>5120</v>
      </c>
      <c r="FE263">
        <f t="shared" si="600"/>
        <v>0</v>
      </c>
      <c r="FF263">
        <f t="shared" si="601"/>
        <v>0</v>
      </c>
      <c r="FG263">
        <f t="shared" si="602"/>
        <v>0</v>
      </c>
      <c r="FH263">
        <v>0</v>
      </c>
      <c r="FI263">
        <f t="shared" si="603"/>
        <v>0</v>
      </c>
      <c r="FJ263" t="b">
        <f t="shared" si="604"/>
        <v>0</v>
      </c>
      <c r="FK263">
        <f t="shared" ca="1" si="605"/>
        <v>1627</v>
      </c>
      <c r="FL263">
        <f t="shared" ca="1" si="606"/>
        <v>407681</v>
      </c>
      <c r="FM263">
        <f t="shared" si="607"/>
        <v>75000</v>
      </c>
      <c r="FN263">
        <f t="shared" ca="1" si="608"/>
        <v>332681</v>
      </c>
      <c r="FO263">
        <f t="shared" ca="1" si="609"/>
        <v>0</v>
      </c>
      <c r="FP263">
        <f t="shared" ca="1" si="610"/>
        <v>0</v>
      </c>
      <c r="FQ263">
        <f t="shared" ca="1" si="611"/>
        <v>0</v>
      </c>
      <c r="FR263">
        <f t="shared" ca="1" si="612"/>
        <v>0</v>
      </c>
      <c r="FS263">
        <f t="shared" ca="1" si="613"/>
        <v>0</v>
      </c>
      <c r="FT263">
        <f t="shared" ca="1" si="614"/>
        <v>0</v>
      </c>
      <c r="FU263">
        <f t="shared" ca="1" si="615"/>
        <v>0</v>
      </c>
      <c r="FV263">
        <f t="shared" ca="1" si="616"/>
        <v>0</v>
      </c>
      <c r="FW263">
        <f t="shared" ca="1" si="617"/>
        <v>32681</v>
      </c>
      <c r="FX263">
        <f t="shared" ca="1" si="618"/>
        <v>1634.0500000000002</v>
      </c>
      <c r="FY263">
        <f t="shared" ca="1" si="619"/>
        <v>1634</v>
      </c>
      <c r="FZ263">
        <f t="shared" ca="1" si="620"/>
        <v>0</v>
      </c>
      <c r="GA263">
        <f t="shared" ca="1" si="621"/>
        <v>0</v>
      </c>
      <c r="GB263">
        <f t="shared" ca="1" si="622"/>
        <v>1634</v>
      </c>
      <c r="GC263">
        <f t="shared" ca="1" si="623"/>
        <v>0</v>
      </c>
      <c r="GD263" t="b">
        <f t="shared" ca="1" si="624"/>
        <v>0</v>
      </c>
      <c r="GE263">
        <f t="shared" ca="1" si="625"/>
        <v>0</v>
      </c>
      <c r="GF263">
        <f t="shared" ca="1" si="626"/>
        <v>1634</v>
      </c>
      <c r="GG263">
        <f t="shared" ca="1" si="627"/>
        <v>0</v>
      </c>
      <c r="GH263">
        <f t="shared" ca="1" si="628"/>
        <v>0</v>
      </c>
      <c r="GI263">
        <f t="shared" ca="1" si="629"/>
        <v>0</v>
      </c>
    </row>
    <row r="264" spans="1:191" x14ac:dyDescent="0.25">
      <c r="A264">
        <f>_xlfn.AGGREGATE(3,5,$B$2:B264)</f>
        <v>263</v>
      </c>
      <c r="B264" t="s">
        <v>646</v>
      </c>
      <c r="C264" t="s">
        <v>647</v>
      </c>
      <c r="D264" t="s">
        <v>831</v>
      </c>
      <c r="E264" t="s">
        <v>843</v>
      </c>
      <c r="F264">
        <v>0</v>
      </c>
      <c r="G264">
        <v>0</v>
      </c>
      <c r="H264">
        <v>45900</v>
      </c>
      <c r="I264">
        <f t="shared" si="532"/>
        <v>4590</v>
      </c>
      <c r="J264">
        <f t="shared" si="533"/>
        <v>5508</v>
      </c>
      <c r="K264">
        <v>400</v>
      </c>
      <c r="L264">
        <v>500</v>
      </c>
      <c r="M264">
        <f t="shared" si="534"/>
        <v>56898</v>
      </c>
      <c r="N264">
        <v>4000</v>
      </c>
      <c r="O264">
        <v>60</v>
      </c>
      <c r="P264">
        <f t="shared" si="535"/>
        <v>200</v>
      </c>
      <c r="Q264">
        <f t="shared" si="536"/>
        <v>52638</v>
      </c>
      <c r="R264">
        <v>45900</v>
      </c>
      <c r="S264">
        <f t="shared" si="537"/>
        <v>4590</v>
      </c>
      <c r="T264">
        <f t="shared" si="538"/>
        <v>5508</v>
      </c>
      <c r="U264">
        <v>400</v>
      </c>
      <c r="V264">
        <v>500</v>
      </c>
      <c r="W264">
        <f t="shared" si="539"/>
        <v>56898</v>
      </c>
      <c r="X264">
        <v>4000</v>
      </c>
      <c r="Y264">
        <v>60</v>
      </c>
      <c r="Z264">
        <f t="shared" si="540"/>
        <v>200</v>
      </c>
      <c r="AA264">
        <f t="shared" si="541"/>
        <v>52638</v>
      </c>
      <c r="AB264">
        <v>45900</v>
      </c>
      <c r="AC264">
        <f t="shared" si="542"/>
        <v>6426.0000000000009</v>
      </c>
      <c r="AD264">
        <f t="shared" si="543"/>
        <v>5508</v>
      </c>
      <c r="AE264">
        <v>400</v>
      </c>
      <c r="AF264">
        <v>500</v>
      </c>
      <c r="AG264">
        <f t="shared" si="544"/>
        <v>58734</v>
      </c>
      <c r="AH264">
        <v>4000</v>
      </c>
      <c r="AI264">
        <v>60</v>
      </c>
      <c r="AJ264">
        <f t="shared" si="545"/>
        <v>200</v>
      </c>
      <c r="AK264">
        <f t="shared" si="546"/>
        <v>54474</v>
      </c>
      <c r="AL264">
        <v>45900</v>
      </c>
      <c r="AM264">
        <f t="shared" si="547"/>
        <v>6426.0000000000009</v>
      </c>
      <c r="AN264">
        <f t="shared" si="548"/>
        <v>5508</v>
      </c>
      <c r="AO264">
        <v>400</v>
      </c>
      <c r="AP264">
        <v>500</v>
      </c>
      <c r="AQ264">
        <f t="shared" si="549"/>
        <v>58734</v>
      </c>
      <c r="AR264">
        <v>4000</v>
      </c>
      <c r="AS264">
        <v>60</v>
      </c>
      <c r="AT264">
        <f t="shared" si="550"/>
        <v>200</v>
      </c>
      <c r="AU264">
        <f t="shared" si="551"/>
        <v>54474</v>
      </c>
      <c r="AV264">
        <v>47300</v>
      </c>
      <c r="AW264">
        <f t="shared" si="552"/>
        <v>6622.0000000000009</v>
      </c>
      <c r="AX264">
        <f t="shared" si="553"/>
        <v>1836</v>
      </c>
      <c r="AY264">
        <f t="shared" si="554"/>
        <v>5676</v>
      </c>
      <c r="AZ264">
        <v>400</v>
      </c>
      <c r="BA264">
        <v>500</v>
      </c>
      <c r="BB264">
        <f t="shared" si="555"/>
        <v>62334</v>
      </c>
      <c r="BC264">
        <v>4000</v>
      </c>
      <c r="BD264">
        <v>60</v>
      </c>
      <c r="BE264">
        <f t="shared" si="556"/>
        <v>200</v>
      </c>
      <c r="BF264">
        <f t="shared" si="557"/>
        <v>58074</v>
      </c>
      <c r="BG264">
        <v>47300</v>
      </c>
      <c r="BH264">
        <f t="shared" si="558"/>
        <v>6622.0000000000009</v>
      </c>
      <c r="BI264">
        <f t="shared" si="559"/>
        <v>5676</v>
      </c>
      <c r="BJ264">
        <v>400</v>
      </c>
      <c r="BK264">
        <v>500</v>
      </c>
      <c r="BL264">
        <f t="shared" si="560"/>
        <v>60498</v>
      </c>
      <c r="BM264">
        <v>4000</v>
      </c>
      <c r="BN264">
        <v>60</v>
      </c>
      <c r="BO264">
        <f t="shared" si="561"/>
        <v>200</v>
      </c>
      <c r="BP264">
        <f t="shared" si="562"/>
        <v>56238</v>
      </c>
      <c r="BQ264">
        <v>47300</v>
      </c>
      <c r="BR264">
        <f t="shared" si="563"/>
        <v>6622.0000000000009</v>
      </c>
      <c r="BS264">
        <f t="shared" si="564"/>
        <v>5676</v>
      </c>
      <c r="BT264">
        <v>400</v>
      </c>
      <c r="BU264">
        <v>500</v>
      </c>
      <c r="BV264">
        <f t="shared" si="565"/>
        <v>60498</v>
      </c>
      <c r="BW264">
        <v>4000</v>
      </c>
      <c r="BX264">
        <v>60</v>
      </c>
      <c r="BY264">
        <f t="shared" si="566"/>
        <v>200</v>
      </c>
      <c r="BZ264">
        <f t="shared" si="567"/>
        <v>56238</v>
      </c>
      <c r="CA264">
        <v>47300</v>
      </c>
      <c r="CB264">
        <f t="shared" si="568"/>
        <v>6622.0000000000009</v>
      </c>
      <c r="CC264">
        <f t="shared" si="569"/>
        <v>5676</v>
      </c>
      <c r="CD264">
        <v>400</v>
      </c>
      <c r="CE264">
        <v>500</v>
      </c>
      <c r="CF264">
        <f t="shared" si="570"/>
        <v>60498</v>
      </c>
      <c r="CG264">
        <v>4000</v>
      </c>
      <c r="CH264">
        <v>60</v>
      </c>
      <c r="CI264">
        <f t="shared" si="571"/>
        <v>200</v>
      </c>
      <c r="CJ264">
        <f t="shared" si="572"/>
        <v>56238</v>
      </c>
      <c r="CK264">
        <v>47300</v>
      </c>
      <c r="CL264">
        <f t="shared" si="573"/>
        <v>6622.0000000000009</v>
      </c>
      <c r="CM264">
        <f t="shared" si="574"/>
        <v>5676</v>
      </c>
      <c r="CN264">
        <v>400</v>
      </c>
      <c r="CO264">
        <v>500</v>
      </c>
      <c r="CP264">
        <f t="shared" si="575"/>
        <v>60498</v>
      </c>
      <c r="CQ264">
        <v>4000</v>
      </c>
      <c r="CR264">
        <v>60</v>
      </c>
      <c r="CS264">
        <f t="shared" si="576"/>
        <v>200</v>
      </c>
      <c r="CT264">
        <f t="shared" si="577"/>
        <v>56238</v>
      </c>
      <c r="CU264">
        <v>47300</v>
      </c>
      <c r="CV264">
        <f t="shared" si="578"/>
        <v>6622</v>
      </c>
      <c r="CW264">
        <f t="shared" si="579"/>
        <v>5676</v>
      </c>
      <c r="CX264">
        <v>400</v>
      </c>
      <c r="CY264">
        <v>500</v>
      </c>
      <c r="CZ264">
        <f t="shared" si="580"/>
        <v>60498</v>
      </c>
      <c r="DA264">
        <v>4000</v>
      </c>
      <c r="DB264">
        <v>60</v>
      </c>
      <c r="DC264">
        <f t="shared" si="581"/>
        <v>200</v>
      </c>
      <c r="DD264">
        <f t="shared" si="582"/>
        <v>56238</v>
      </c>
      <c r="DE264">
        <v>47300</v>
      </c>
      <c r="DF264">
        <f t="shared" si="583"/>
        <v>6622.0000000000009</v>
      </c>
      <c r="DG264">
        <f t="shared" si="584"/>
        <v>5676</v>
      </c>
      <c r="DH264">
        <v>400</v>
      </c>
      <c r="DI264">
        <v>500</v>
      </c>
      <c r="DJ264">
        <f t="shared" si="585"/>
        <v>60498</v>
      </c>
      <c r="DK264">
        <v>4000</v>
      </c>
      <c r="DL264">
        <v>60</v>
      </c>
      <c r="DM264">
        <f t="shared" si="586"/>
        <v>200</v>
      </c>
      <c r="DN264">
        <f t="shared" si="587"/>
        <v>56238</v>
      </c>
      <c r="DO264">
        <v>47300</v>
      </c>
      <c r="DP264">
        <f t="shared" si="588"/>
        <v>6622.0000000000009</v>
      </c>
      <c r="DQ264">
        <f t="shared" si="589"/>
        <v>5676</v>
      </c>
      <c r="DR264">
        <v>400</v>
      </c>
      <c r="DS264">
        <v>500</v>
      </c>
      <c r="DT264">
        <f t="shared" si="590"/>
        <v>60498</v>
      </c>
      <c r="DU264">
        <v>4000</v>
      </c>
      <c r="DV264">
        <v>60</v>
      </c>
      <c r="DW264">
        <f t="shared" si="591"/>
        <v>200</v>
      </c>
      <c r="DX264">
        <f t="shared" si="592"/>
        <v>56238</v>
      </c>
      <c r="DY264">
        <f t="shared" si="593"/>
        <v>717084</v>
      </c>
      <c r="DZ264">
        <f t="shared" si="525"/>
        <v>2400</v>
      </c>
      <c r="EA264">
        <f t="shared" si="526"/>
        <v>50000</v>
      </c>
      <c r="EB264">
        <v>0</v>
      </c>
      <c r="EC264">
        <f t="shared" si="527"/>
        <v>664684</v>
      </c>
      <c r="ED264">
        <f t="shared" si="528"/>
        <v>48000</v>
      </c>
      <c r="EE264">
        <f t="shared" si="529"/>
        <v>720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f t="shared" si="530"/>
        <v>48720</v>
      </c>
      <c r="EQ264">
        <f t="shared" si="594"/>
        <v>48720</v>
      </c>
      <c r="ER264">
        <f t="shared" si="531"/>
        <v>615964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f t="shared" si="595"/>
        <v>0</v>
      </c>
      <c r="FA264">
        <f t="shared" si="596"/>
        <v>615964</v>
      </c>
      <c r="FB264">
        <f t="shared" si="597"/>
        <v>12500</v>
      </c>
      <c r="FC264">
        <f t="shared" si="598"/>
        <v>23193</v>
      </c>
      <c r="FD264">
        <f t="shared" si="599"/>
        <v>35693</v>
      </c>
      <c r="FE264">
        <f t="shared" si="600"/>
        <v>35693</v>
      </c>
      <c r="FF264">
        <f t="shared" si="601"/>
        <v>1427.72</v>
      </c>
      <c r="FG264">
        <f t="shared" si="602"/>
        <v>37121</v>
      </c>
      <c r="FH264">
        <v>0</v>
      </c>
      <c r="FI264">
        <f t="shared" si="603"/>
        <v>37121</v>
      </c>
      <c r="FJ264" t="b">
        <f t="shared" si="604"/>
        <v>1</v>
      </c>
      <c r="FK264">
        <f t="shared" ca="1" si="605"/>
        <v>930</v>
      </c>
      <c r="FL264">
        <f t="shared" ca="1" si="606"/>
        <v>718014</v>
      </c>
      <c r="FM264">
        <f t="shared" si="607"/>
        <v>75000</v>
      </c>
      <c r="FN264">
        <f t="shared" ca="1" si="608"/>
        <v>643014</v>
      </c>
      <c r="FO264">
        <f t="shared" ca="1" si="609"/>
        <v>0</v>
      </c>
      <c r="FP264">
        <f t="shared" ca="1" si="610"/>
        <v>0</v>
      </c>
      <c r="FQ264">
        <f t="shared" ca="1" si="611"/>
        <v>0</v>
      </c>
      <c r="FR264">
        <f t="shared" ca="1" si="612"/>
        <v>0</v>
      </c>
      <c r="FS264">
        <f t="shared" ca="1" si="613"/>
        <v>0</v>
      </c>
      <c r="FT264">
        <f t="shared" ca="1" si="614"/>
        <v>0</v>
      </c>
      <c r="FU264">
        <f t="shared" ca="1" si="615"/>
        <v>0</v>
      </c>
      <c r="FV264">
        <f t="shared" ca="1" si="616"/>
        <v>0</v>
      </c>
      <c r="FW264">
        <f t="shared" ca="1" si="617"/>
        <v>343014</v>
      </c>
      <c r="FX264">
        <f t="shared" ca="1" si="618"/>
        <v>17150.7</v>
      </c>
      <c r="FY264">
        <f t="shared" ca="1" si="619"/>
        <v>17151</v>
      </c>
      <c r="FZ264">
        <f t="shared" ca="1" si="620"/>
        <v>0</v>
      </c>
      <c r="GA264">
        <f t="shared" ca="1" si="621"/>
        <v>0</v>
      </c>
      <c r="GB264">
        <f t="shared" ca="1" si="622"/>
        <v>17151</v>
      </c>
      <c r="GC264">
        <f t="shared" ca="1" si="623"/>
        <v>0</v>
      </c>
      <c r="GD264" t="b">
        <f t="shared" ca="1" si="624"/>
        <v>0</v>
      </c>
      <c r="GE264">
        <f t="shared" ca="1" si="625"/>
        <v>0</v>
      </c>
      <c r="GF264">
        <f t="shared" ca="1" si="626"/>
        <v>17151</v>
      </c>
      <c r="GG264">
        <f t="shared" ca="1" si="627"/>
        <v>0</v>
      </c>
      <c r="GH264">
        <f t="shared" ca="1" si="628"/>
        <v>0</v>
      </c>
      <c r="GI264">
        <f t="shared" ca="1" si="629"/>
        <v>0</v>
      </c>
    </row>
    <row r="265" spans="1:191" x14ac:dyDescent="0.25">
      <c r="A265">
        <f>_xlfn.AGGREGATE(3,5,$B$2:B265)</f>
        <v>264</v>
      </c>
      <c r="B265" t="s">
        <v>648</v>
      </c>
      <c r="C265" t="s">
        <v>649</v>
      </c>
      <c r="D265" t="s">
        <v>831</v>
      </c>
      <c r="E265" t="s">
        <v>843</v>
      </c>
      <c r="F265">
        <v>0</v>
      </c>
      <c r="G265">
        <v>6000</v>
      </c>
      <c r="H265">
        <v>26200</v>
      </c>
      <c r="I265">
        <f t="shared" si="532"/>
        <v>2620</v>
      </c>
      <c r="J265">
        <f t="shared" si="533"/>
        <v>3144</v>
      </c>
      <c r="K265">
        <v>0</v>
      </c>
      <c r="L265">
        <v>500</v>
      </c>
      <c r="M265">
        <f t="shared" si="534"/>
        <v>32464</v>
      </c>
      <c r="N265">
        <v>2000</v>
      </c>
      <c r="O265">
        <v>0</v>
      </c>
      <c r="P265">
        <f t="shared" si="535"/>
        <v>150</v>
      </c>
      <c r="Q265">
        <f t="shared" si="536"/>
        <v>30314</v>
      </c>
      <c r="R265">
        <v>26200</v>
      </c>
      <c r="S265">
        <f t="shared" si="537"/>
        <v>2620</v>
      </c>
      <c r="T265">
        <f t="shared" si="538"/>
        <v>3144</v>
      </c>
      <c r="U265">
        <v>0</v>
      </c>
      <c r="V265">
        <v>500</v>
      </c>
      <c r="W265">
        <f t="shared" si="539"/>
        <v>32464</v>
      </c>
      <c r="X265">
        <v>2000</v>
      </c>
      <c r="Y265">
        <v>0</v>
      </c>
      <c r="Z265">
        <f t="shared" si="540"/>
        <v>150</v>
      </c>
      <c r="AA265">
        <f t="shared" si="541"/>
        <v>30314</v>
      </c>
      <c r="AB265">
        <v>26200</v>
      </c>
      <c r="AC265">
        <f t="shared" si="542"/>
        <v>3668.0000000000005</v>
      </c>
      <c r="AD265">
        <f t="shared" si="543"/>
        <v>3144</v>
      </c>
      <c r="AE265">
        <v>0</v>
      </c>
      <c r="AF265">
        <v>500</v>
      </c>
      <c r="AG265">
        <f t="shared" si="544"/>
        <v>33512</v>
      </c>
      <c r="AH265">
        <v>2000</v>
      </c>
      <c r="AI265">
        <v>0</v>
      </c>
      <c r="AJ265">
        <f t="shared" si="545"/>
        <v>150</v>
      </c>
      <c r="AK265">
        <f t="shared" si="546"/>
        <v>31362</v>
      </c>
      <c r="AL265">
        <v>26200</v>
      </c>
      <c r="AM265">
        <f t="shared" si="547"/>
        <v>3668.0000000000005</v>
      </c>
      <c r="AN265">
        <f t="shared" si="548"/>
        <v>3144</v>
      </c>
      <c r="AO265">
        <v>0</v>
      </c>
      <c r="AP265">
        <v>500</v>
      </c>
      <c r="AQ265">
        <f t="shared" si="549"/>
        <v>33512</v>
      </c>
      <c r="AR265">
        <v>2000</v>
      </c>
      <c r="AS265">
        <v>0</v>
      </c>
      <c r="AT265">
        <f t="shared" si="550"/>
        <v>150</v>
      </c>
      <c r="AU265">
        <f t="shared" si="551"/>
        <v>31362</v>
      </c>
      <c r="AV265">
        <v>27000</v>
      </c>
      <c r="AW265">
        <f t="shared" si="552"/>
        <v>3780.0000000000005</v>
      </c>
      <c r="AX265">
        <f t="shared" si="553"/>
        <v>1048</v>
      </c>
      <c r="AY265">
        <f t="shared" si="554"/>
        <v>3240</v>
      </c>
      <c r="AZ265">
        <v>0</v>
      </c>
      <c r="BA265">
        <v>500</v>
      </c>
      <c r="BB265">
        <f t="shared" si="555"/>
        <v>35568</v>
      </c>
      <c r="BC265">
        <v>2000</v>
      </c>
      <c r="BD265">
        <v>0</v>
      </c>
      <c r="BE265">
        <f t="shared" si="556"/>
        <v>150</v>
      </c>
      <c r="BF265">
        <f t="shared" si="557"/>
        <v>33418</v>
      </c>
      <c r="BG265">
        <v>27000</v>
      </c>
      <c r="BH265">
        <f t="shared" si="558"/>
        <v>3780.0000000000005</v>
      </c>
      <c r="BI265">
        <f t="shared" si="559"/>
        <v>3240</v>
      </c>
      <c r="BJ265">
        <v>0</v>
      </c>
      <c r="BK265">
        <v>500</v>
      </c>
      <c r="BL265">
        <f t="shared" si="560"/>
        <v>34520</v>
      </c>
      <c r="BM265">
        <v>2000</v>
      </c>
      <c r="BN265">
        <v>0</v>
      </c>
      <c r="BO265">
        <f t="shared" si="561"/>
        <v>150</v>
      </c>
      <c r="BP265">
        <f t="shared" si="562"/>
        <v>32370</v>
      </c>
      <c r="BQ265">
        <v>27000</v>
      </c>
      <c r="BR265">
        <f t="shared" si="563"/>
        <v>3780.0000000000005</v>
      </c>
      <c r="BS265">
        <f t="shared" si="564"/>
        <v>3240</v>
      </c>
      <c r="BT265">
        <v>0</v>
      </c>
      <c r="BU265">
        <v>500</v>
      </c>
      <c r="BV265">
        <f t="shared" si="565"/>
        <v>34520</v>
      </c>
      <c r="BW265">
        <v>2000</v>
      </c>
      <c r="BX265">
        <v>0</v>
      </c>
      <c r="BY265">
        <f t="shared" si="566"/>
        <v>150</v>
      </c>
      <c r="BZ265">
        <f t="shared" si="567"/>
        <v>32370</v>
      </c>
      <c r="CA265">
        <v>27000</v>
      </c>
      <c r="CB265">
        <f t="shared" si="568"/>
        <v>3780.0000000000005</v>
      </c>
      <c r="CC265">
        <f t="shared" si="569"/>
        <v>3240</v>
      </c>
      <c r="CD265">
        <v>0</v>
      </c>
      <c r="CE265">
        <v>500</v>
      </c>
      <c r="CF265">
        <f t="shared" si="570"/>
        <v>34520</v>
      </c>
      <c r="CG265">
        <v>2000</v>
      </c>
      <c r="CH265">
        <v>0</v>
      </c>
      <c r="CI265">
        <f t="shared" si="571"/>
        <v>150</v>
      </c>
      <c r="CJ265">
        <f t="shared" si="572"/>
        <v>32370</v>
      </c>
      <c r="CK265">
        <v>27000</v>
      </c>
      <c r="CL265">
        <f t="shared" si="573"/>
        <v>3780.0000000000005</v>
      </c>
      <c r="CM265">
        <f t="shared" si="574"/>
        <v>3240</v>
      </c>
      <c r="CN265">
        <v>0</v>
      </c>
      <c r="CO265">
        <v>500</v>
      </c>
      <c r="CP265">
        <f t="shared" si="575"/>
        <v>34520</v>
      </c>
      <c r="CQ265">
        <v>2000</v>
      </c>
      <c r="CR265">
        <v>0</v>
      </c>
      <c r="CS265">
        <f t="shared" si="576"/>
        <v>150</v>
      </c>
      <c r="CT265">
        <f t="shared" si="577"/>
        <v>32370</v>
      </c>
      <c r="CU265">
        <v>27000</v>
      </c>
      <c r="CV265">
        <f t="shared" si="578"/>
        <v>3780</v>
      </c>
      <c r="CW265">
        <f t="shared" si="579"/>
        <v>3240</v>
      </c>
      <c r="CX265">
        <v>0</v>
      </c>
      <c r="CY265">
        <v>500</v>
      </c>
      <c r="CZ265">
        <f t="shared" si="580"/>
        <v>34520</v>
      </c>
      <c r="DA265">
        <v>2000</v>
      </c>
      <c r="DB265">
        <v>0</v>
      </c>
      <c r="DC265">
        <f t="shared" si="581"/>
        <v>150</v>
      </c>
      <c r="DD265">
        <f t="shared" si="582"/>
        <v>32370</v>
      </c>
      <c r="DE265">
        <v>27000</v>
      </c>
      <c r="DF265">
        <f t="shared" si="583"/>
        <v>3780.0000000000005</v>
      </c>
      <c r="DG265">
        <f t="shared" si="584"/>
        <v>3240</v>
      </c>
      <c r="DH265">
        <v>0</v>
      </c>
      <c r="DI265">
        <v>500</v>
      </c>
      <c r="DJ265">
        <f t="shared" si="585"/>
        <v>34520</v>
      </c>
      <c r="DK265">
        <v>2000</v>
      </c>
      <c r="DL265">
        <v>0</v>
      </c>
      <c r="DM265">
        <f t="shared" si="586"/>
        <v>150</v>
      </c>
      <c r="DN265">
        <f t="shared" si="587"/>
        <v>32370</v>
      </c>
      <c r="DO265">
        <v>27000</v>
      </c>
      <c r="DP265">
        <f t="shared" si="588"/>
        <v>3780.0000000000005</v>
      </c>
      <c r="DQ265">
        <f t="shared" si="589"/>
        <v>3240</v>
      </c>
      <c r="DR265">
        <v>0</v>
      </c>
      <c r="DS265">
        <v>500</v>
      </c>
      <c r="DT265">
        <f t="shared" si="590"/>
        <v>34520</v>
      </c>
      <c r="DU265">
        <v>2000</v>
      </c>
      <c r="DV265">
        <v>0</v>
      </c>
      <c r="DW265">
        <f t="shared" si="591"/>
        <v>150</v>
      </c>
      <c r="DX265">
        <f t="shared" si="592"/>
        <v>32370</v>
      </c>
      <c r="DY265">
        <f t="shared" si="593"/>
        <v>415160</v>
      </c>
      <c r="DZ265">
        <f t="shared" si="525"/>
        <v>1800</v>
      </c>
      <c r="EA265">
        <f t="shared" si="526"/>
        <v>50000</v>
      </c>
      <c r="EB265">
        <v>0</v>
      </c>
      <c r="EC265">
        <f t="shared" si="527"/>
        <v>363360</v>
      </c>
      <c r="ED265">
        <f t="shared" si="528"/>
        <v>24000</v>
      </c>
      <c r="EE265">
        <f t="shared" si="529"/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f t="shared" si="530"/>
        <v>24000</v>
      </c>
      <c r="EQ265">
        <f t="shared" si="594"/>
        <v>24000</v>
      </c>
      <c r="ER265">
        <f t="shared" si="531"/>
        <v>339360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f t="shared" si="595"/>
        <v>0</v>
      </c>
      <c r="FA265">
        <f t="shared" si="596"/>
        <v>339360</v>
      </c>
      <c r="FB265">
        <f t="shared" si="597"/>
        <v>4468</v>
      </c>
      <c r="FC265">
        <f t="shared" si="598"/>
        <v>0</v>
      </c>
      <c r="FD265">
        <f t="shared" si="599"/>
        <v>4468</v>
      </c>
      <c r="FE265">
        <f t="shared" si="600"/>
        <v>0</v>
      </c>
      <c r="FF265">
        <f t="shared" si="601"/>
        <v>0</v>
      </c>
      <c r="FG265">
        <f t="shared" si="602"/>
        <v>0</v>
      </c>
      <c r="FH265">
        <v>0</v>
      </c>
      <c r="FI265">
        <f t="shared" si="603"/>
        <v>0</v>
      </c>
      <c r="FJ265" t="b">
        <f t="shared" si="604"/>
        <v>0</v>
      </c>
      <c r="FK265">
        <f t="shared" ca="1" si="605"/>
        <v>1284</v>
      </c>
      <c r="FL265">
        <f t="shared" ca="1" si="606"/>
        <v>416444</v>
      </c>
      <c r="FM265">
        <f t="shared" si="607"/>
        <v>75000</v>
      </c>
      <c r="FN265">
        <f t="shared" ca="1" si="608"/>
        <v>341444</v>
      </c>
      <c r="FO265">
        <f t="shared" ca="1" si="609"/>
        <v>0</v>
      </c>
      <c r="FP265">
        <f t="shared" ca="1" si="610"/>
        <v>0</v>
      </c>
      <c r="FQ265">
        <f t="shared" ca="1" si="611"/>
        <v>0</v>
      </c>
      <c r="FR265">
        <f t="shared" ca="1" si="612"/>
        <v>0</v>
      </c>
      <c r="FS265">
        <f t="shared" ca="1" si="613"/>
        <v>0</v>
      </c>
      <c r="FT265">
        <f t="shared" ca="1" si="614"/>
        <v>0</v>
      </c>
      <c r="FU265">
        <f t="shared" ca="1" si="615"/>
        <v>0</v>
      </c>
      <c r="FV265">
        <f t="shared" ca="1" si="616"/>
        <v>0</v>
      </c>
      <c r="FW265">
        <f t="shared" ca="1" si="617"/>
        <v>41444</v>
      </c>
      <c r="FX265">
        <f t="shared" ca="1" si="618"/>
        <v>2072.2000000000003</v>
      </c>
      <c r="FY265">
        <f t="shared" ca="1" si="619"/>
        <v>2072</v>
      </c>
      <c r="FZ265">
        <f t="shared" ca="1" si="620"/>
        <v>0</v>
      </c>
      <c r="GA265">
        <f t="shared" ca="1" si="621"/>
        <v>0</v>
      </c>
      <c r="GB265">
        <f t="shared" ca="1" si="622"/>
        <v>2072</v>
      </c>
      <c r="GC265">
        <f t="shared" ca="1" si="623"/>
        <v>0</v>
      </c>
      <c r="GD265" t="b">
        <f t="shared" ca="1" si="624"/>
        <v>0</v>
      </c>
      <c r="GE265">
        <f t="shared" ca="1" si="625"/>
        <v>0</v>
      </c>
      <c r="GF265">
        <f t="shared" ca="1" si="626"/>
        <v>2072</v>
      </c>
      <c r="GG265">
        <f t="shared" ca="1" si="627"/>
        <v>0</v>
      </c>
      <c r="GH265">
        <f t="shared" ca="1" si="628"/>
        <v>0</v>
      </c>
      <c r="GI265">
        <f t="shared" ca="1" si="629"/>
        <v>0</v>
      </c>
    </row>
    <row r="266" spans="1:191" x14ac:dyDescent="0.25">
      <c r="A266">
        <f>_xlfn.AGGREGATE(3,5,$B$2:B266)</f>
        <v>265</v>
      </c>
      <c r="B266" t="s">
        <v>650</v>
      </c>
      <c r="C266" t="s">
        <v>651</v>
      </c>
      <c r="D266" t="s">
        <v>831</v>
      </c>
      <c r="E266" t="s">
        <v>843</v>
      </c>
      <c r="F266">
        <v>0</v>
      </c>
      <c r="G266">
        <v>0</v>
      </c>
      <c r="H266">
        <v>0</v>
      </c>
      <c r="I266">
        <f t="shared" si="532"/>
        <v>0</v>
      </c>
      <c r="J266">
        <f t="shared" si="533"/>
        <v>0</v>
      </c>
      <c r="K266">
        <v>0</v>
      </c>
      <c r="L266">
        <v>0</v>
      </c>
      <c r="M266">
        <f t="shared" si="534"/>
        <v>0</v>
      </c>
      <c r="N266">
        <v>0</v>
      </c>
      <c r="O266">
        <v>0</v>
      </c>
      <c r="P266">
        <f t="shared" si="535"/>
        <v>0</v>
      </c>
      <c r="Q266">
        <f t="shared" si="536"/>
        <v>0</v>
      </c>
      <c r="R266">
        <v>28900</v>
      </c>
      <c r="S266">
        <f t="shared" si="537"/>
        <v>2890</v>
      </c>
      <c r="T266">
        <f t="shared" si="538"/>
        <v>3468</v>
      </c>
      <c r="U266">
        <v>0</v>
      </c>
      <c r="V266">
        <v>500</v>
      </c>
      <c r="W266">
        <f t="shared" si="539"/>
        <v>35758</v>
      </c>
      <c r="X266">
        <v>0</v>
      </c>
      <c r="Y266">
        <v>0</v>
      </c>
      <c r="Z266">
        <f t="shared" si="540"/>
        <v>150</v>
      </c>
      <c r="AA266">
        <f t="shared" si="541"/>
        <v>35608</v>
      </c>
      <c r="AB266">
        <v>28900</v>
      </c>
      <c r="AC266">
        <f t="shared" si="542"/>
        <v>4046.0000000000005</v>
      </c>
      <c r="AD266">
        <f t="shared" si="543"/>
        <v>3468</v>
      </c>
      <c r="AE266">
        <v>0</v>
      </c>
      <c r="AF266">
        <v>500</v>
      </c>
      <c r="AG266">
        <f t="shared" si="544"/>
        <v>36914</v>
      </c>
      <c r="AH266">
        <v>0</v>
      </c>
      <c r="AI266">
        <v>0</v>
      </c>
      <c r="AJ266">
        <f t="shared" si="545"/>
        <v>150</v>
      </c>
      <c r="AK266">
        <f t="shared" si="546"/>
        <v>36764</v>
      </c>
      <c r="AL266">
        <v>28900</v>
      </c>
      <c r="AM266">
        <f t="shared" si="547"/>
        <v>4046.0000000000005</v>
      </c>
      <c r="AN266">
        <f t="shared" si="548"/>
        <v>3468</v>
      </c>
      <c r="AO266">
        <v>0</v>
      </c>
      <c r="AP266">
        <v>500</v>
      </c>
      <c r="AQ266">
        <f t="shared" si="549"/>
        <v>36914</v>
      </c>
      <c r="AR266">
        <v>0</v>
      </c>
      <c r="AS266">
        <v>0</v>
      </c>
      <c r="AT266">
        <f t="shared" si="550"/>
        <v>150</v>
      </c>
      <c r="AU266">
        <f t="shared" si="551"/>
        <v>36764</v>
      </c>
      <c r="AV266">
        <v>28900</v>
      </c>
      <c r="AW266">
        <f t="shared" si="552"/>
        <v>4046.0000000000005</v>
      </c>
      <c r="AX266">
        <f t="shared" si="553"/>
        <v>1156</v>
      </c>
      <c r="AY266">
        <f t="shared" si="554"/>
        <v>3468</v>
      </c>
      <c r="AZ266">
        <v>0</v>
      </c>
      <c r="BA266">
        <v>500</v>
      </c>
      <c r="BB266">
        <f t="shared" si="555"/>
        <v>38070</v>
      </c>
      <c r="BC266">
        <v>0</v>
      </c>
      <c r="BD266">
        <v>0</v>
      </c>
      <c r="BE266">
        <f t="shared" si="556"/>
        <v>150</v>
      </c>
      <c r="BF266">
        <f t="shared" si="557"/>
        <v>37920</v>
      </c>
      <c r="BG266">
        <v>28900</v>
      </c>
      <c r="BH266">
        <f t="shared" si="558"/>
        <v>4046.0000000000005</v>
      </c>
      <c r="BI266">
        <f t="shared" si="559"/>
        <v>3468</v>
      </c>
      <c r="BJ266">
        <v>0</v>
      </c>
      <c r="BK266">
        <v>500</v>
      </c>
      <c r="BL266">
        <f t="shared" si="560"/>
        <v>36914</v>
      </c>
      <c r="BM266">
        <v>0</v>
      </c>
      <c r="BN266">
        <v>0</v>
      </c>
      <c r="BO266">
        <f t="shared" si="561"/>
        <v>150</v>
      </c>
      <c r="BP266">
        <f t="shared" si="562"/>
        <v>36764</v>
      </c>
      <c r="BQ266">
        <v>28900</v>
      </c>
      <c r="BR266">
        <f t="shared" si="563"/>
        <v>4046.0000000000005</v>
      </c>
      <c r="BS266">
        <f t="shared" si="564"/>
        <v>3468</v>
      </c>
      <c r="BT266">
        <v>0</v>
      </c>
      <c r="BU266">
        <v>500</v>
      </c>
      <c r="BV266">
        <f t="shared" si="565"/>
        <v>36914</v>
      </c>
      <c r="BW266">
        <v>0</v>
      </c>
      <c r="BX266">
        <v>0</v>
      </c>
      <c r="BY266">
        <f t="shared" si="566"/>
        <v>150</v>
      </c>
      <c r="BZ266">
        <f t="shared" si="567"/>
        <v>36764</v>
      </c>
      <c r="CA266">
        <v>28900</v>
      </c>
      <c r="CB266">
        <f t="shared" si="568"/>
        <v>4046.0000000000005</v>
      </c>
      <c r="CC266">
        <f t="shared" si="569"/>
        <v>3468</v>
      </c>
      <c r="CD266">
        <v>0</v>
      </c>
      <c r="CE266">
        <v>500</v>
      </c>
      <c r="CF266">
        <f t="shared" si="570"/>
        <v>36914</v>
      </c>
      <c r="CG266">
        <v>0</v>
      </c>
      <c r="CH266">
        <v>0</v>
      </c>
      <c r="CI266">
        <f t="shared" si="571"/>
        <v>150</v>
      </c>
      <c r="CJ266">
        <f t="shared" si="572"/>
        <v>36764</v>
      </c>
      <c r="CK266">
        <v>28900</v>
      </c>
      <c r="CL266">
        <f t="shared" si="573"/>
        <v>4046.0000000000005</v>
      </c>
      <c r="CM266">
        <f t="shared" si="574"/>
        <v>3468</v>
      </c>
      <c r="CN266">
        <v>0</v>
      </c>
      <c r="CO266">
        <v>500</v>
      </c>
      <c r="CP266">
        <f t="shared" si="575"/>
        <v>36914</v>
      </c>
      <c r="CQ266">
        <v>0</v>
      </c>
      <c r="CR266">
        <v>0</v>
      </c>
      <c r="CS266">
        <f t="shared" si="576"/>
        <v>150</v>
      </c>
      <c r="CT266">
        <f t="shared" si="577"/>
        <v>36764</v>
      </c>
      <c r="CU266">
        <v>28900</v>
      </c>
      <c r="CV266">
        <f t="shared" si="578"/>
        <v>4046</v>
      </c>
      <c r="CW266">
        <f t="shared" si="579"/>
        <v>3468</v>
      </c>
      <c r="CX266">
        <v>0</v>
      </c>
      <c r="CY266">
        <v>500</v>
      </c>
      <c r="CZ266">
        <f t="shared" si="580"/>
        <v>36914</v>
      </c>
      <c r="DA266">
        <v>0</v>
      </c>
      <c r="DB266">
        <v>0</v>
      </c>
      <c r="DC266">
        <f t="shared" si="581"/>
        <v>150</v>
      </c>
      <c r="DD266">
        <f t="shared" si="582"/>
        <v>36764</v>
      </c>
      <c r="DE266">
        <v>28900</v>
      </c>
      <c r="DF266">
        <f t="shared" si="583"/>
        <v>4046.0000000000005</v>
      </c>
      <c r="DG266">
        <f t="shared" si="584"/>
        <v>3468</v>
      </c>
      <c r="DH266">
        <v>0</v>
      </c>
      <c r="DI266">
        <v>500</v>
      </c>
      <c r="DJ266">
        <f t="shared" si="585"/>
        <v>36914</v>
      </c>
      <c r="DK266">
        <v>0</v>
      </c>
      <c r="DL266">
        <v>0</v>
      </c>
      <c r="DM266">
        <f t="shared" si="586"/>
        <v>150</v>
      </c>
      <c r="DN266">
        <f t="shared" si="587"/>
        <v>36764</v>
      </c>
      <c r="DO266">
        <v>28900</v>
      </c>
      <c r="DP266">
        <f t="shared" si="588"/>
        <v>4046.0000000000005</v>
      </c>
      <c r="DQ266">
        <f t="shared" si="589"/>
        <v>3468</v>
      </c>
      <c r="DR266">
        <v>0</v>
      </c>
      <c r="DS266">
        <v>500</v>
      </c>
      <c r="DT266">
        <f t="shared" si="590"/>
        <v>36914</v>
      </c>
      <c r="DU266">
        <v>2000</v>
      </c>
      <c r="DV266">
        <v>0</v>
      </c>
      <c r="DW266">
        <f t="shared" si="591"/>
        <v>150</v>
      </c>
      <c r="DX266">
        <f t="shared" si="592"/>
        <v>34764</v>
      </c>
      <c r="DY266">
        <f t="shared" si="593"/>
        <v>406054</v>
      </c>
      <c r="DZ266">
        <f t="shared" si="525"/>
        <v>1650</v>
      </c>
      <c r="EA266">
        <f t="shared" si="526"/>
        <v>50000</v>
      </c>
      <c r="EB266">
        <v>0</v>
      </c>
      <c r="EC266">
        <f t="shared" si="527"/>
        <v>354404</v>
      </c>
      <c r="ED266">
        <f t="shared" si="528"/>
        <v>2000</v>
      </c>
      <c r="EE266">
        <f t="shared" si="529"/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f t="shared" si="530"/>
        <v>2000</v>
      </c>
      <c r="EQ266">
        <f t="shared" si="594"/>
        <v>2000</v>
      </c>
      <c r="ER266">
        <f t="shared" si="531"/>
        <v>352404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f t="shared" si="595"/>
        <v>0</v>
      </c>
      <c r="FA266">
        <f t="shared" si="596"/>
        <v>352404</v>
      </c>
      <c r="FB266">
        <f t="shared" si="597"/>
        <v>5120</v>
      </c>
      <c r="FC266">
        <f t="shared" si="598"/>
        <v>0</v>
      </c>
      <c r="FD266">
        <f t="shared" si="599"/>
        <v>5120</v>
      </c>
      <c r="FE266">
        <f t="shared" si="600"/>
        <v>0</v>
      </c>
      <c r="FF266">
        <f t="shared" si="601"/>
        <v>0</v>
      </c>
      <c r="FG266">
        <f t="shared" si="602"/>
        <v>0</v>
      </c>
      <c r="FH266">
        <v>0</v>
      </c>
      <c r="FI266">
        <f t="shared" si="603"/>
        <v>0</v>
      </c>
      <c r="FJ266" t="b">
        <f t="shared" si="604"/>
        <v>0</v>
      </c>
      <c r="FK266">
        <f t="shared" ca="1" si="605"/>
        <v>1379</v>
      </c>
      <c r="FL266">
        <f t="shared" ca="1" si="606"/>
        <v>407433</v>
      </c>
      <c r="FM266">
        <f t="shared" si="607"/>
        <v>75000</v>
      </c>
      <c r="FN266">
        <f t="shared" ca="1" si="608"/>
        <v>332433</v>
      </c>
      <c r="FO266">
        <f t="shared" ca="1" si="609"/>
        <v>0</v>
      </c>
      <c r="FP266">
        <f t="shared" ca="1" si="610"/>
        <v>0</v>
      </c>
      <c r="FQ266">
        <f t="shared" ca="1" si="611"/>
        <v>0</v>
      </c>
      <c r="FR266">
        <f t="shared" ca="1" si="612"/>
        <v>0</v>
      </c>
      <c r="FS266">
        <f t="shared" ca="1" si="613"/>
        <v>0</v>
      </c>
      <c r="FT266">
        <f t="shared" ca="1" si="614"/>
        <v>0</v>
      </c>
      <c r="FU266">
        <f t="shared" ca="1" si="615"/>
        <v>0</v>
      </c>
      <c r="FV266">
        <f t="shared" ca="1" si="616"/>
        <v>0</v>
      </c>
      <c r="FW266">
        <f t="shared" ca="1" si="617"/>
        <v>32433</v>
      </c>
      <c r="FX266">
        <f t="shared" ca="1" si="618"/>
        <v>1621.65</v>
      </c>
      <c r="FY266">
        <f t="shared" ca="1" si="619"/>
        <v>1622</v>
      </c>
      <c r="FZ266">
        <f t="shared" ca="1" si="620"/>
        <v>0</v>
      </c>
      <c r="GA266">
        <f t="shared" ca="1" si="621"/>
        <v>0</v>
      </c>
      <c r="GB266">
        <f t="shared" ca="1" si="622"/>
        <v>1622</v>
      </c>
      <c r="GC266">
        <f t="shared" ca="1" si="623"/>
        <v>0</v>
      </c>
      <c r="GD266" t="b">
        <f t="shared" ca="1" si="624"/>
        <v>0</v>
      </c>
      <c r="GE266">
        <f t="shared" ca="1" si="625"/>
        <v>0</v>
      </c>
      <c r="GF266">
        <f t="shared" ca="1" si="626"/>
        <v>1622</v>
      </c>
      <c r="GG266">
        <f t="shared" ca="1" si="627"/>
        <v>0</v>
      </c>
      <c r="GH266">
        <f t="shared" ca="1" si="628"/>
        <v>0</v>
      </c>
      <c r="GI266">
        <f t="shared" ca="1" si="629"/>
        <v>0</v>
      </c>
    </row>
    <row r="267" spans="1:191" x14ac:dyDescent="0.25">
      <c r="A267">
        <f>_xlfn.AGGREGATE(3,5,$B$2:B267)</f>
        <v>266</v>
      </c>
      <c r="B267" t="s">
        <v>652</v>
      </c>
      <c r="C267" t="s">
        <v>653</v>
      </c>
      <c r="D267" t="s">
        <v>832</v>
      </c>
      <c r="E267" t="s">
        <v>843</v>
      </c>
      <c r="F267">
        <v>0</v>
      </c>
      <c r="G267">
        <v>0</v>
      </c>
      <c r="H267">
        <v>47300</v>
      </c>
      <c r="I267">
        <f t="shared" si="532"/>
        <v>4730</v>
      </c>
      <c r="J267">
        <f t="shared" si="533"/>
        <v>5676</v>
      </c>
      <c r="K267">
        <v>400</v>
      </c>
      <c r="L267">
        <v>0</v>
      </c>
      <c r="M267">
        <f t="shared" si="534"/>
        <v>58106</v>
      </c>
      <c r="N267">
        <v>5000</v>
      </c>
      <c r="O267">
        <v>60</v>
      </c>
      <c r="P267">
        <f t="shared" si="535"/>
        <v>200</v>
      </c>
      <c r="Q267">
        <f t="shared" si="536"/>
        <v>52846</v>
      </c>
      <c r="R267">
        <v>47300</v>
      </c>
      <c r="S267">
        <f t="shared" si="537"/>
        <v>4730</v>
      </c>
      <c r="T267">
        <f t="shared" si="538"/>
        <v>5676</v>
      </c>
      <c r="U267">
        <v>400</v>
      </c>
      <c r="V267">
        <v>0</v>
      </c>
      <c r="W267">
        <f t="shared" si="539"/>
        <v>58106</v>
      </c>
      <c r="X267">
        <v>5000</v>
      </c>
      <c r="Y267">
        <v>60</v>
      </c>
      <c r="Z267">
        <f t="shared" si="540"/>
        <v>200</v>
      </c>
      <c r="AA267">
        <f t="shared" si="541"/>
        <v>52846</v>
      </c>
      <c r="AB267">
        <v>47300</v>
      </c>
      <c r="AC267">
        <f t="shared" si="542"/>
        <v>6622.0000000000009</v>
      </c>
      <c r="AD267">
        <f t="shared" si="543"/>
        <v>5676</v>
      </c>
      <c r="AE267">
        <v>400</v>
      </c>
      <c r="AF267">
        <v>0</v>
      </c>
      <c r="AG267">
        <f t="shared" si="544"/>
        <v>59998</v>
      </c>
      <c r="AH267">
        <v>5000</v>
      </c>
      <c r="AI267">
        <v>60</v>
      </c>
      <c r="AJ267">
        <f t="shared" si="545"/>
        <v>200</v>
      </c>
      <c r="AK267">
        <f t="shared" si="546"/>
        <v>54738</v>
      </c>
      <c r="AL267">
        <v>47300</v>
      </c>
      <c r="AM267">
        <f t="shared" si="547"/>
        <v>6622.0000000000009</v>
      </c>
      <c r="AN267">
        <f t="shared" si="548"/>
        <v>5676</v>
      </c>
      <c r="AO267">
        <v>400</v>
      </c>
      <c r="AP267">
        <v>0</v>
      </c>
      <c r="AQ267">
        <f t="shared" si="549"/>
        <v>59998</v>
      </c>
      <c r="AR267">
        <v>5000</v>
      </c>
      <c r="AS267">
        <v>60</v>
      </c>
      <c r="AT267">
        <f t="shared" si="550"/>
        <v>200</v>
      </c>
      <c r="AU267">
        <f t="shared" si="551"/>
        <v>54738</v>
      </c>
      <c r="AV267">
        <v>48700</v>
      </c>
      <c r="AW267">
        <f t="shared" si="552"/>
        <v>6818.0000000000009</v>
      </c>
      <c r="AX267">
        <f t="shared" si="553"/>
        <v>1892</v>
      </c>
      <c r="AY267">
        <f t="shared" si="554"/>
        <v>5844</v>
      </c>
      <c r="AZ267">
        <v>400</v>
      </c>
      <c r="BA267">
        <v>0</v>
      </c>
      <c r="BB267">
        <f t="shared" si="555"/>
        <v>63654</v>
      </c>
      <c r="BC267">
        <v>5000</v>
      </c>
      <c r="BD267">
        <v>60</v>
      </c>
      <c r="BE267">
        <f t="shared" si="556"/>
        <v>200</v>
      </c>
      <c r="BF267">
        <f t="shared" si="557"/>
        <v>58394</v>
      </c>
      <c r="BG267">
        <v>48700</v>
      </c>
      <c r="BH267">
        <f t="shared" si="558"/>
        <v>6818.0000000000009</v>
      </c>
      <c r="BI267">
        <f t="shared" si="559"/>
        <v>5844</v>
      </c>
      <c r="BJ267">
        <v>400</v>
      </c>
      <c r="BK267">
        <v>0</v>
      </c>
      <c r="BL267">
        <f t="shared" si="560"/>
        <v>61762</v>
      </c>
      <c r="BM267">
        <v>5000</v>
      </c>
      <c r="BN267">
        <v>60</v>
      </c>
      <c r="BO267">
        <f t="shared" si="561"/>
        <v>200</v>
      </c>
      <c r="BP267">
        <f t="shared" si="562"/>
        <v>56502</v>
      </c>
      <c r="BQ267">
        <v>48700</v>
      </c>
      <c r="BR267">
        <f t="shared" si="563"/>
        <v>6818.0000000000009</v>
      </c>
      <c r="BS267">
        <f t="shared" si="564"/>
        <v>5844</v>
      </c>
      <c r="BT267">
        <v>400</v>
      </c>
      <c r="BU267">
        <v>0</v>
      </c>
      <c r="BV267">
        <f t="shared" si="565"/>
        <v>61762</v>
      </c>
      <c r="BW267">
        <v>5000</v>
      </c>
      <c r="BX267">
        <v>60</v>
      </c>
      <c r="BY267">
        <f t="shared" si="566"/>
        <v>200</v>
      </c>
      <c r="BZ267">
        <f t="shared" si="567"/>
        <v>56502</v>
      </c>
      <c r="CA267">
        <v>48700</v>
      </c>
      <c r="CB267">
        <f t="shared" si="568"/>
        <v>6818.0000000000009</v>
      </c>
      <c r="CC267">
        <f t="shared" si="569"/>
        <v>5844</v>
      </c>
      <c r="CD267">
        <v>400</v>
      </c>
      <c r="CE267">
        <v>0</v>
      </c>
      <c r="CF267">
        <f t="shared" si="570"/>
        <v>61762</v>
      </c>
      <c r="CG267">
        <v>5000</v>
      </c>
      <c r="CH267">
        <v>60</v>
      </c>
      <c r="CI267">
        <f t="shared" si="571"/>
        <v>200</v>
      </c>
      <c r="CJ267">
        <f t="shared" si="572"/>
        <v>56502</v>
      </c>
      <c r="CK267">
        <v>48700</v>
      </c>
      <c r="CL267">
        <f t="shared" si="573"/>
        <v>6818.0000000000009</v>
      </c>
      <c r="CM267">
        <f t="shared" si="574"/>
        <v>5844</v>
      </c>
      <c r="CN267">
        <v>400</v>
      </c>
      <c r="CO267">
        <v>0</v>
      </c>
      <c r="CP267">
        <f t="shared" si="575"/>
        <v>61762</v>
      </c>
      <c r="CQ267">
        <v>5000</v>
      </c>
      <c r="CR267">
        <v>60</v>
      </c>
      <c r="CS267">
        <f t="shared" si="576"/>
        <v>200</v>
      </c>
      <c r="CT267">
        <f t="shared" si="577"/>
        <v>56502</v>
      </c>
      <c r="CU267">
        <v>48700</v>
      </c>
      <c r="CV267">
        <f t="shared" si="578"/>
        <v>6818</v>
      </c>
      <c r="CW267">
        <f t="shared" si="579"/>
        <v>5844</v>
      </c>
      <c r="CX267">
        <v>400</v>
      </c>
      <c r="CY267">
        <v>0</v>
      </c>
      <c r="CZ267">
        <f t="shared" si="580"/>
        <v>61762</v>
      </c>
      <c r="DA267">
        <v>5000</v>
      </c>
      <c r="DB267">
        <v>60</v>
      </c>
      <c r="DC267">
        <f t="shared" si="581"/>
        <v>200</v>
      </c>
      <c r="DD267">
        <f t="shared" si="582"/>
        <v>56502</v>
      </c>
      <c r="DE267">
        <v>48700</v>
      </c>
      <c r="DF267">
        <f t="shared" si="583"/>
        <v>6818.0000000000009</v>
      </c>
      <c r="DG267">
        <f t="shared" si="584"/>
        <v>5844</v>
      </c>
      <c r="DH267">
        <v>400</v>
      </c>
      <c r="DI267">
        <v>0</v>
      </c>
      <c r="DJ267">
        <f t="shared" si="585"/>
        <v>61762</v>
      </c>
      <c r="DK267">
        <v>5000</v>
      </c>
      <c r="DL267">
        <v>60</v>
      </c>
      <c r="DM267">
        <f t="shared" si="586"/>
        <v>200</v>
      </c>
      <c r="DN267">
        <f t="shared" si="587"/>
        <v>56502</v>
      </c>
      <c r="DO267">
        <v>48700</v>
      </c>
      <c r="DP267">
        <f t="shared" si="588"/>
        <v>6818.0000000000009</v>
      </c>
      <c r="DQ267">
        <f t="shared" si="589"/>
        <v>5844</v>
      </c>
      <c r="DR267">
        <v>400</v>
      </c>
      <c r="DS267">
        <v>0</v>
      </c>
      <c r="DT267">
        <f t="shared" si="590"/>
        <v>61762</v>
      </c>
      <c r="DU267">
        <v>5000</v>
      </c>
      <c r="DV267">
        <v>60</v>
      </c>
      <c r="DW267">
        <f t="shared" si="591"/>
        <v>200</v>
      </c>
      <c r="DX267">
        <f t="shared" si="592"/>
        <v>56502</v>
      </c>
      <c r="DY267">
        <f t="shared" si="593"/>
        <v>732196</v>
      </c>
      <c r="DZ267">
        <f t="shared" si="525"/>
        <v>2400</v>
      </c>
      <c r="EA267">
        <f t="shared" si="526"/>
        <v>50000</v>
      </c>
      <c r="EB267">
        <v>0</v>
      </c>
      <c r="EC267">
        <f t="shared" si="527"/>
        <v>679796</v>
      </c>
      <c r="ED267">
        <f t="shared" si="528"/>
        <v>60000</v>
      </c>
      <c r="EE267">
        <f t="shared" si="529"/>
        <v>720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f t="shared" si="530"/>
        <v>60720</v>
      </c>
      <c r="EQ267">
        <f t="shared" si="594"/>
        <v>60720</v>
      </c>
      <c r="ER267">
        <f t="shared" si="531"/>
        <v>619076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f t="shared" si="595"/>
        <v>0</v>
      </c>
      <c r="FA267">
        <f t="shared" si="596"/>
        <v>619076</v>
      </c>
      <c r="FB267">
        <f t="shared" si="597"/>
        <v>12500</v>
      </c>
      <c r="FC267">
        <f t="shared" si="598"/>
        <v>23815</v>
      </c>
      <c r="FD267">
        <f t="shared" si="599"/>
        <v>36315</v>
      </c>
      <c r="FE267">
        <f t="shared" si="600"/>
        <v>36315</v>
      </c>
      <c r="FF267">
        <f t="shared" si="601"/>
        <v>1452.6000000000001</v>
      </c>
      <c r="FG267">
        <f t="shared" si="602"/>
        <v>37768</v>
      </c>
      <c r="FH267">
        <v>0</v>
      </c>
      <c r="FI267">
        <f t="shared" si="603"/>
        <v>37768</v>
      </c>
      <c r="FJ267" t="b">
        <f t="shared" si="604"/>
        <v>1</v>
      </c>
      <c r="FK267">
        <f t="shared" ca="1" si="605"/>
        <v>619</v>
      </c>
      <c r="FL267">
        <f t="shared" ca="1" si="606"/>
        <v>732815</v>
      </c>
      <c r="FM267">
        <f t="shared" si="607"/>
        <v>75000</v>
      </c>
      <c r="FN267">
        <f t="shared" ca="1" si="608"/>
        <v>657815</v>
      </c>
      <c r="FO267">
        <f t="shared" ca="1" si="609"/>
        <v>0</v>
      </c>
      <c r="FP267">
        <f t="shared" ca="1" si="610"/>
        <v>0</v>
      </c>
      <c r="FQ267">
        <f t="shared" ca="1" si="611"/>
        <v>0</v>
      </c>
      <c r="FR267">
        <f t="shared" ca="1" si="612"/>
        <v>0</v>
      </c>
      <c r="FS267">
        <f t="shared" ca="1" si="613"/>
        <v>0</v>
      </c>
      <c r="FT267">
        <f t="shared" ca="1" si="614"/>
        <v>0</v>
      </c>
      <c r="FU267">
        <f t="shared" ca="1" si="615"/>
        <v>0</v>
      </c>
      <c r="FV267">
        <f t="shared" ca="1" si="616"/>
        <v>0</v>
      </c>
      <c r="FW267">
        <f t="shared" ca="1" si="617"/>
        <v>357815</v>
      </c>
      <c r="FX267">
        <f t="shared" ca="1" si="618"/>
        <v>17890.75</v>
      </c>
      <c r="FY267">
        <f t="shared" ca="1" si="619"/>
        <v>17891</v>
      </c>
      <c r="FZ267">
        <f t="shared" ca="1" si="620"/>
        <v>0</v>
      </c>
      <c r="GA267">
        <f t="shared" ca="1" si="621"/>
        <v>0</v>
      </c>
      <c r="GB267">
        <f t="shared" ca="1" si="622"/>
        <v>17891</v>
      </c>
      <c r="GC267">
        <f t="shared" ca="1" si="623"/>
        <v>0</v>
      </c>
      <c r="GD267" t="b">
        <f t="shared" ca="1" si="624"/>
        <v>0</v>
      </c>
      <c r="GE267">
        <f t="shared" ca="1" si="625"/>
        <v>0</v>
      </c>
      <c r="GF267">
        <f t="shared" ca="1" si="626"/>
        <v>17891</v>
      </c>
      <c r="GG267">
        <f t="shared" ca="1" si="627"/>
        <v>0</v>
      </c>
      <c r="GH267">
        <f t="shared" ca="1" si="628"/>
        <v>0</v>
      </c>
      <c r="GI267">
        <f t="shared" ca="1" si="629"/>
        <v>0</v>
      </c>
    </row>
    <row r="268" spans="1:191" x14ac:dyDescent="0.25">
      <c r="A268">
        <f>_xlfn.AGGREGATE(3,5,$B$2:B268)</f>
        <v>267</v>
      </c>
      <c r="B268" t="s">
        <v>654</v>
      </c>
      <c r="C268" t="s">
        <v>655</v>
      </c>
      <c r="D268" t="s">
        <v>832</v>
      </c>
      <c r="E268" t="s">
        <v>843</v>
      </c>
      <c r="F268">
        <v>0</v>
      </c>
      <c r="G268">
        <v>0</v>
      </c>
      <c r="H268">
        <v>45900</v>
      </c>
      <c r="I268">
        <f t="shared" si="532"/>
        <v>4590</v>
      </c>
      <c r="J268">
        <f t="shared" si="533"/>
        <v>5508</v>
      </c>
      <c r="K268">
        <v>0</v>
      </c>
      <c r="L268">
        <v>500</v>
      </c>
      <c r="M268">
        <f t="shared" si="534"/>
        <v>56498</v>
      </c>
      <c r="N268">
        <v>12000</v>
      </c>
      <c r="O268">
        <v>0</v>
      </c>
      <c r="P268">
        <f t="shared" si="535"/>
        <v>200</v>
      </c>
      <c r="Q268">
        <f t="shared" si="536"/>
        <v>44298</v>
      </c>
      <c r="R268">
        <v>45900</v>
      </c>
      <c r="S268">
        <f t="shared" si="537"/>
        <v>4590</v>
      </c>
      <c r="T268">
        <f t="shared" si="538"/>
        <v>5508</v>
      </c>
      <c r="U268">
        <v>0</v>
      </c>
      <c r="V268">
        <v>500</v>
      </c>
      <c r="W268">
        <f t="shared" si="539"/>
        <v>56498</v>
      </c>
      <c r="X268">
        <v>12000</v>
      </c>
      <c r="Y268">
        <v>0</v>
      </c>
      <c r="Z268">
        <f t="shared" si="540"/>
        <v>200</v>
      </c>
      <c r="AA268">
        <f t="shared" si="541"/>
        <v>44298</v>
      </c>
      <c r="AB268">
        <v>45900</v>
      </c>
      <c r="AC268">
        <f t="shared" si="542"/>
        <v>6426.0000000000009</v>
      </c>
      <c r="AD268">
        <f t="shared" si="543"/>
        <v>5508</v>
      </c>
      <c r="AE268">
        <v>0</v>
      </c>
      <c r="AF268">
        <v>500</v>
      </c>
      <c r="AG268">
        <f t="shared" si="544"/>
        <v>58334</v>
      </c>
      <c r="AH268">
        <v>12000</v>
      </c>
      <c r="AI268">
        <v>0</v>
      </c>
      <c r="AJ268">
        <f t="shared" si="545"/>
        <v>200</v>
      </c>
      <c r="AK268">
        <f t="shared" si="546"/>
        <v>46134</v>
      </c>
      <c r="AL268">
        <v>45900</v>
      </c>
      <c r="AM268">
        <f t="shared" si="547"/>
        <v>6426.0000000000009</v>
      </c>
      <c r="AN268">
        <f t="shared" si="548"/>
        <v>5508</v>
      </c>
      <c r="AO268">
        <v>0</v>
      </c>
      <c r="AP268">
        <v>500</v>
      </c>
      <c r="AQ268">
        <f t="shared" si="549"/>
        <v>58334</v>
      </c>
      <c r="AR268">
        <v>12000</v>
      </c>
      <c r="AS268">
        <v>0</v>
      </c>
      <c r="AT268">
        <f t="shared" si="550"/>
        <v>200</v>
      </c>
      <c r="AU268">
        <f t="shared" si="551"/>
        <v>46134</v>
      </c>
      <c r="AV268">
        <v>47300</v>
      </c>
      <c r="AW268">
        <f t="shared" si="552"/>
        <v>6622.0000000000009</v>
      </c>
      <c r="AX268">
        <f t="shared" si="553"/>
        <v>1836</v>
      </c>
      <c r="AY268">
        <f t="shared" si="554"/>
        <v>5676</v>
      </c>
      <c r="AZ268">
        <v>0</v>
      </c>
      <c r="BA268">
        <v>500</v>
      </c>
      <c r="BB268">
        <f t="shared" si="555"/>
        <v>61934</v>
      </c>
      <c r="BC268">
        <v>12000</v>
      </c>
      <c r="BD268">
        <v>0</v>
      </c>
      <c r="BE268">
        <f t="shared" si="556"/>
        <v>200</v>
      </c>
      <c r="BF268">
        <f t="shared" si="557"/>
        <v>49734</v>
      </c>
      <c r="BG268">
        <v>47300</v>
      </c>
      <c r="BH268">
        <f t="shared" si="558"/>
        <v>6622.0000000000009</v>
      </c>
      <c r="BI268">
        <f t="shared" si="559"/>
        <v>5676</v>
      </c>
      <c r="BJ268">
        <v>0</v>
      </c>
      <c r="BK268">
        <v>500</v>
      </c>
      <c r="BL268">
        <f t="shared" si="560"/>
        <v>60098</v>
      </c>
      <c r="BM268">
        <v>12000</v>
      </c>
      <c r="BN268">
        <v>0</v>
      </c>
      <c r="BO268">
        <f t="shared" si="561"/>
        <v>200</v>
      </c>
      <c r="BP268">
        <f t="shared" si="562"/>
        <v>47898</v>
      </c>
      <c r="BQ268">
        <v>47300</v>
      </c>
      <c r="BR268">
        <f t="shared" si="563"/>
        <v>6622.0000000000009</v>
      </c>
      <c r="BS268">
        <f t="shared" si="564"/>
        <v>5676</v>
      </c>
      <c r="BT268">
        <v>0</v>
      </c>
      <c r="BU268">
        <v>500</v>
      </c>
      <c r="BV268">
        <f t="shared" si="565"/>
        <v>60098</v>
      </c>
      <c r="BW268">
        <v>12000</v>
      </c>
      <c r="BX268">
        <v>0</v>
      </c>
      <c r="BY268">
        <f t="shared" si="566"/>
        <v>200</v>
      </c>
      <c r="BZ268">
        <f t="shared" si="567"/>
        <v>47898</v>
      </c>
      <c r="CA268">
        <v>47300</v>
      </c>
      <c r="CB268">
        <f t="shared" si="568"/>
        <v>6622.0000000000009</v>
      </c>
      <c r="CC268">
        <f t="shared" si="569"/>
        <v>5676</v>
      </c>
      <c r="CD268">
        <v>0</v>
      </c>
      <c r="CE268">
        <v>500</v>
      </c>
      <c r="CF268">
        <f t="shared" si="570"/>
        <v>60098</v>
      </c>
      <c r="CG268">
        <v>12000</v>
      </c>
      <c r="CH268">
        <v>0</v>
      </c>
      <c r="CI268">
        <f t="shared" si="571"/>
        <v>200</v>
      </c>
      <c r="CJ268">
        <f t="shared" si="572"/>
        <v>47898</v>
      </c>
      <c r="CK268">
        <v>47300</v>
      </c>
      <c r="CL268">
        <f t="shared" si="573"/>
        <v>6622.0000000000009</v>
      </c>
      <c r="CM268">
        <f t="shared" si="574"/>
        <v>5676</v>
      </c>
      <c r="CN268">
        <v>0</v>
      </c>
      <c r="CO268">
        <v>500</v>
      </c>
      <c r="CP268">
        <f t="shared" si="575"/>
        <v>60098</v>
      </c>
      <c r="CQ268">
        <v>12000</v>
      </c>
      <c r="CR268">
        <v>0</v>
      </c>
      <c r="CS268">
        <f t="shared" si="576"/>
        <v>200</v>
      </c>
      <c r="CT268">
        <f t="shared" si="577"/>
        <v>47898</v>
      </c>
      <c r="CU268">
        <v>47300</v>
      </c>
      <c r="CV268">
        <f t="shared" si="578"/>
        <v>6622</v>
      </c>
      <c r="CW268">
        <f t="shared" si="579"/>
        <v>5676</v>
      </c>
      <c r="CX268">
        <v>0</v>
      </c>
      <c r="CY268">
        <v>500</v>
      </c>
      <c r="CZ268">
        <f t="shared" si="580"/>
        <v>60098</v>
      </c>
      <c r="DA268">
        <v>12000</v>
      </c>
      <c r="DB268">
        <v>0</v>
      </c>
      <c r="DC268">
        <f t="shared" si="581"/>
        <v>200</v>
      </c>
      <c r="DD268">
        <f t="shared" si="582"/>
        <v>47898</v>
      </c>
      <c r="DE268">
        <v>47300</v>
      </c>
      <c r="DF268">
        <f t="shared" si="583"/>
        <v>6622.0000000000009</v>
      </c>
      <c r="DG268">
        <f t="shared" si="584"/>
        <v>5676</v>
      </c>
      <c r="DH268">
        <v>0</v>
      </c>
      <c r="DI268">
        <v>500</v>
      </c>
      <c r="DJ268">
        <f t="shared" si="585"/>
        <v>60098</v>
      </c>
      <c r="DK268">
        <v>12000</v>
      </c>
      <c r="DL268">
        <v>0</v>
      </c>
      <c r="DM268">
        <f t="shared" si="586"/>
        <v>200</v>
      </c>
      <c r="DN268">
        <f t="shared" si="587"/>
        <v>47898</v>
      </c>
      <c r="DO268">
        <v>47300</v>
      </c>
      <c r="DP268">
        <f t="shared" si="588"/>
        <v>6622.0000000000009</v>
      </c>
      <c r="DQ268">
        <f t="shared" si="589"/>
        <v>5676</v>
      </c>
      <c r="DR268">
        <v>0</v>
      </c>
      <c r="DS268">
        <v>500</v>
      </c>
      <c r="DT268">
        <f t="shared" si="590"/>
        <v>60098</v>
      </c>
      <c r="DU268">
        <v>12000</v>
      </c>
      <c r="DV268">
        <v>0</v>
      </c>
      <c r="DW268">
        <f t="shared" si="591"/>
        <v>200</v>
      </c>
      <c r="DX268">
        <f t="shared" si="592"/>
        <v>47898</v>
      </c>
      <c r="DY268">
        <f t="shared" si="593"/>
        <v>712284</v>
      </c>
      <c r="DZ268">
        <f t="shared" si="525"/>
        <v>2400</v>
      </c>
      <c r="EA268">
        <f t="shared" si="526"/>
        <v>50000</v>
      </c>
      <c r="EB268">
        <v>0</v>
      </c>
      <c r="EC268">
        <f t="shared" si="527"/>
        <v>659884</v>
      </c>
      <c r="ED268">
        <f t="shared" si="528"/>
        <v>144000</v>
      </c>
      <c r="EE268">
        <f t="shared" si="529"/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f t="shared" si="530"/>
        <v>144000</v>
      </c>
      <c r="EQ268">
        <f t="shared" si="594"/>
        <v>144000</v>
      </c>
      <c r="ER268">
        <f t="shared" si="531"/>
        <v>515884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f t="shared" si="595"/>
        <v>0</v>
      </c>
      <c r="FA268">
        <f t="shared" si="596"/>
        <v>515884</v>
      </c>
      <c r="FB268">
        <f t="shared" si="597"/>
        <v>12500</v>
      </c>
      <c r="FC268">
        <f t="shared" si="598"/>
        <v>3177</v>
      </c>
      <c r="FD268">
        <f t="shared" si="599"/>
        <v>15677</v>
      </c>
      <c r="FE268">
        <f t="shared" si="600"/>
        <v>15677</v>
      </c>
      <c r="FF268">
        <f t="shared" si="601"/>
        <v>627.08000000000004</v>
      </c>
      <c r="FG268">
        <f t="shared" si="602"/>
        <v>16304</v>
      </c>
      <c r="FH268">
        <v>0</v>
      </c>
      <c r="FI268">
        <f t="shared" si="603"/>
        <v>16304</v>
      </c>
      <c r="FJ268" t="b">
        <f t="shared" si="604"/>
        <v>1</v>
      </c>
      <c r="FK268">
        <f t="shared" ca="1" si="605"/>
        <v>979</v>
      </c>
      <c r="FL268">
        <f t="shared" ca="1" si="606"/>
        <v>713263</v>
      </c>
      <c r="FM268">
        <f t="shared" si="607"/>
        <v>75000</v>
      </c>
      <c r="FN268">
        <f t="shared" ca="1" si="608"/>
        <v>638263</v>
      </c>
      <c r="FO268">
        <f t="shared" ca="1" si="609"/>
        <v>0</v>
      </c>
      <c r="FP268">
        <f t="shared" ca="1" si="610"/>
        <v>0</v>
      </c>
      <c r="FQ268">
        <f t="shared" ca="1" si="611"/>
        <v>0</v>
      </c>
      <c r="FR268">
        <f t="shared" ca="1" si="612"/>
        <v>0</v>
      </c>
      <c r="FS268">
        <f t="shared" ca="1" si="613"/>
        <v>0</v>
      </c>
      <c r="FT268">
        <f t="shared" ca="1" si="614"/>
        <v>0</v>
      </c>
      <c r="FU268">
        <f t="shared" ca="1" si="615"/>
        <v>0</v>
      </c>
      <c r="FV268">
        <f t="shared" ca="1" si="616"/>
        <v>0</v>
      </c>
      <c r="FW268">
        <f t="shared" ca="1" si="617"/>
        <v>338263</v>
      </c>
      <c r="FX268">
        <f t="shared" ca="1" si="618"/>
        <v>16913.150000000001</v>
      </c>
      <c r="FY268">
        <f t="shared" ca="1" si="619"/>
        <v>16913</v>
      </c>
      <c r="FZ268">
        <f t="shared" ca="1" si="620"/>
        <v>0</v>
      </c>
      <c r="GA268">
        <f t="shared" ca="1" si="621"/>
        <v>0</v>
      </c>
      <c r="GB268">
        <f t="shared" ca="1" si="622"/>
        <v>16913</v>
      </c>
      <c r="GC268">
        <f t="shared" ca="1" si="623"/>
        <v>0</v>
      </c>
      <c r="GD268" t="b">
        <f t="shared" ca="1" si="624"/>
        <v>0</v>
      </c>
      <c r="GE268">
        <f t="shared" ca="1" si="625"/>
        <v>0</v>
      </c>
      <c r="GF268">
        <f t="shared" ca="1" si="626"/>
        <v>16913</v>
      </c>
      <c r="GG268">
        <f t="shared" ca="1" si="627"/>
        <v>0</v>
      </c>
      <c r="GH268">
        <f t="shared" ca="1" si="628"/>
        <v>0</v>
      </c>
      <c r="GI268">
        <f t="shared" ca="1" si="629"/>
        <v>0</v>
      </c>
    </row>
    <row r="269" spans="1:191" x14ac:dyDescent="0.25">
      <c r="A269">
        <f>_xlfn.AGGREGATE(3,5,$B$2:B269)</f>
        <v>268</v>
      </c>
      <c r="B269" t="s">
        <v>656</v>
      </c>
      <c r="C269" t="s">
        <v>657</v>
      </c>
      <c r="D269" t="s">
        <v>833</v>
      </c>
      <c r="E269" t="s">
        <v>844</v>
      </c>
      <c r="F269">
        <v>0</v>
      </c>
      <c r="G269">
        <v>0</v>
      </c>
      <c r="H269">
        <v>50200</v>
      </c>
      <c r="I269">
        <f t="shared" si="532"/>
        <v>5020</v>
      </c>
      <c r="J269">
        <f t="shared" si="533"/>
        <v>6024</v>
      </c>
      <c r="K269">
        <v>400</v>
      </c>
      <c r="L269">
        <v>500</v>
      </c>
      <c r="M269">
        <f t="shared" si="534"/>
        <v>62144</v>
      </c>
      <c r="N269">
        <v>5000</v>
      </c>
      <c r="O269">
        <v>60</v>
      </c>
      <c r="P269">
        <f t="shared" si="535"/>
        <v>200</v>
      </c>
      <c r="Q269">
        <f t="shared" si="536"/>
        <v>56884</v>
      </c>
      <c r="R269">
        <v>50200</v>
      </c>
      <c r="S269">
        <f t="shared" si="537"/>
        <v>5020</v>
      </c>
      <c r="T269">
        <f t="shared" si="538"/>
        <v>6024</v>
      </c>
      <c r="U269">
        <v>400</v>
      </c>
      <c r="V269">
        <v>500</v>
      </c>
      <c r="W269">
        <f t="shared" si="539"/>
        <v>62144</v>
      </c>
      <c r="X269">
        <v>5000</v>
      </c>
      <c r="Y269">
        <v>60</v>
      </c>
      <c r="Z269">
        <f t="shared" si="540"/>
        <v>200</v>
      </c>
      <c r="AA269">
        <f t="shared" si="541"/>
        <v>56884</v>
      </c>
      <c r="AB269">
        <v>50200</v>
      </c>
      <c r="AC269">
        <f t="shared" si="542"/>
        <v>7028.0000000000009</v>
      </c>
      <c r="AD269">
        <f t="shared" si="543"/>
        <v>6024</v>
      </c>
      <c r="AE269">
        <v>400</v>
      </c>
      <c r="AF269">
        <v>500</v>
      </c>
      <c r="AG269">
        <f t="shared" si="544"/>
        <v>64152</v>
      </c>
      <c r="AH269">
        <v>5000</v>
      </c>
      <c r="AI269">
        <v>60</v>
      </c>
      <c r="AJ269">
        <f t="shared" si="545"/>
        <v>200</v>
      </c>
      <c r="AK269">
        <f t="shared" si="546"/>
        <v>58892</v>
      </c>
      <c r="AL269">
        <v>50200</v>
      </c>
      <c r="AM269">
        <f t="shared" si="547"/>
        <v>7028.0000000000009</v>
      </c>
      <c r="AN269">
        <f t="shared" si="548"/>
        <v>6024</v>
      </c>
      <c r="AO269">
        <v>400</v>
      </c>
      <c r="AP269">
        <v>500</v>
      </c>
      <c r="AQ269">
        <f t="shared" si="549"/>
        <v>64152</v>
      </c>
      <c r="AR269">
        <v>5000</v>
      </c>
      <c r="AS269">
        <v>60</v>
      </c>
      <c r="AT269">
        <f t="shared" si="550"/>
        <v>200</v>
      </c>
      <c r="AU269">
        <f t="shared" si="551"/>
        <v>58892</v>
      </c>
      <c r="AV269">
        <v>51700</v>
      </c>
      <c r="AW269">
        <f t="shared" si="552"/>
        <v>7238.0000000000009</v>
      </c>
      <c r="AX269">
        <f t="shared" si="553"/>
        <v>2008</v>
      </c>
      <c r="AY269">
        <f t="shared" si="554"/>
        <v>6204</v>
      </c>
      <c r="AZ269">
        <v>400</v>
      </c>
      <c r="BA269">
        <v>500</v>
      </c>
      <c r="BB269">
        <f t="shared" si="555"/>
        <v>68050</v>
      </c>
      <c r="BC269">
        <v>5000</v>
      </c>
      <c r="BD269">
        <v>60</v>
      </c>
      <c r="BE269">
        <f t="shared" si="556"/>
        <v>200</v>
      </c>
      <c r="BF269">
        <f t="shared" si="557"/>
        <v>62790</v>
      </c>
      <c r="BG269">
        <v>51700</v>
      </c>
      <c r="BH269">
        <f t="shared" si="558"/>
        <v>7238.0000000000009</v>
      </c>
      <c r="BI269">
        <f t="shared" si="559"/>
        <v>6204</v>
      </c>
      <c r="BJ269">
        <v>400</v>
      </c>
      <c r="BK269">
        <v>500</v>
      </c>
      <c r="BL269">
        <f t="shared" si="560"/>
        <v>66042</v>
      </c>
      <c r="BM269">
        <v>5000</v>
      </c>
      <c r="BN269">
        <v>60</v>
      </c>
      <c r="BO269">
        <f t="shared" si="561"/>
        <v>200</v>
      </c>
      <c r="BP269">
        <f t="shared" si="562"/>
        <v>60782</v>
      </c>
      <c r="BQ269">
        <v>51700</v>
      </c>
      <c r="BR269">
        <f t="shared" si="563"/>
        <v>7238.0000000000009</v>
      </c>
      <c r="BS269">
        <f t="shared" si="564"/>
        <v>6204</v>
      </c>
      <c r="BT269">
        <v>400</v>
      </c>
      <c r="BU269">
        <v>500</v>
      </c>
      <c r="BV269">
        <f t="shared" si="565"/>
        <v>66042</v>
      </c>
      <c r="BW269">
        <v>5000</v>
      </c>
      <c r="BX269">
        <v>60</v>
      </c>
      <c r="BY269">
        <f t="shared" si="566"/>
        <v>200</v>
      </c>
      <c r="BZ269">
        <f t="shared" si="567"/>
        <v>60782</v>
      </c>
      <c r="CA269">
        <v>51700</v>
      </c>
      <c r="CB269">
        <f t="shared" si="568"/>
        <v>7238.0000000000009</v>
      </c>
      <c r="CC269">
        <f t="shared" si="569"/>
        <v>6204</v>
      </c>
      <c r="CD269">
        <v>400</v>
      </c>
      <c r="CE269">
        <v>500</v>
      </c>
      <c r="CF269">
        <f t="shared" si="570"/>
        <v>66042</v>
      </c>
      <c r="CG269">
        <v>5000</v>
      </c>
      <c r="CH269">
        <v>60</v>
      </c>
      <c r="CI269">
        <f t="shared" si="571"/>
        <v>200</v>
      </c>
      <c r="CJ269">
        <f t="shared" si="572"/>
        <v>60782</v>
      </c>
      <c r="CK269">
        <v>51700</v>
      </c>
      <c r="CL269">
        <f t="shared" si="573"/>
        <v>7238.0000000000009</v>
      </c>
      <c r="CM269">
        <f t="shared" si="574"/>
        <v>6204</v>
      </c>
      <c r="CN269">
        <v>400</v>
      </c>
      <c r="CO269">
        <v>500</v>
      </c>
      <c r="CP269">
        <f t="shared" si="575"/>
        <v>66042</v>
      </c>
      <c r="CQ269">
        <v>5000</v>
      </c>
      <c r="CR269">
        <v>60</v>
      </c>
      <c r="CS269">
        <f t="shared" si="576"/>
        <v>200</v>
      </c>
      <c r="CT269">
        <f t="shared" si="577"/>
        <v>60782</v>
      </c>
      <c r="CU269">
        <v>51700</v>
      </c>
      <c r="CV269">
        <f t="shared" si="578"/>
        <v>7238</v>
      </c>
      <c r="CW269">
        <f t="shared" si="579"/>
        <v>6204</v>
      </c>
      <c r="CX269">
        <v>400</v>
      </c>
      <c r="CY269">
        <v>500</v>
      </c>
      <c r="CZ269">
        <f t="shared" si="580"/>
        <v>66042</v>
      </c>
      <c r="DA269">
        <v>5000</v>
      </c>
      <c r="DB269">
        <v>60</v>
      </c>
      <c r="DC269">
        <f t="shared" si="581"/>
        <v>200</v>
      </c>
      <c r="DD269">
        <f t="shared" si="582"/>
        <v>60782</v>
      </c>
      <c r="DE269">
        <v>51700</v>
      </c>
      <c r="DF269">
        <f t="shared" si="583"/>
        <v>7238.0000000000009</v>
      </c>
      <c r="DG269">
        <f t="shared" si="584"/>
        <v>6204</v>
      </c>
      <c r="DH269">
        <v>400</v>
      </c>
      <c r="DI269">
        <v>500</v>
      </c>
      <c r="DJ269">
        <f t="shared" si="585"/>
        <v>66042</v>
      </c>
      <c r="DK269">
        <v>5000</v>
      </c>
      <c r="DL269">
        <v>60</v>
      </c>
      <c r="DM269">
        <f t="shared" si="586"/>
        <v>200</v>
      </c>
      <c r="DN269">
        <f t="shared" si="587"/>
        <v>60782</v>
      </c>
      <c r="DO269">
        <v>51700</v>
      </c>
      <c r="DP269">
        <f t="shared" si="588"/>
        <v>7238.0000000000009</v>
      </c>
      <c r="DQ269">
        <f t="shared" si="589"/>
        <v>6204</v>
      </c>
      <c r="DR269">
        <v>400</v>
      </c>
      <c r="DS269">
        <v>500</v>
      </c>
      <c r="DT269">
        <f t="shared" si="590"/>
        <v>66042</v>
      </c>
      <c r="DU269">
        <v>5000</v>
      </c>
      <c r="DV269">
        <v>60</v>
      </c>
      <c r="DW269">
        <f t="shared" si="591"/>
        <v>200</v>
      </c>
      <c r="DX269">
        <f t="shared" si="592"/>
        <v>60782</v>
      </c>
      <c r="DY269">
        <f t="shared" si="593"/>
        <v>782936</v>
      </c>
      <c r="DZ269">
        <f t="shared" si="525"/>
        <v>2400</v>
      </c>
      <c r="EA269">
        <f t="shared" si="526"/>
        <v>50000</v>
      </c>
      <c r="EB269">
        <v>0</v>
      </c>
      <c r="EC269">
        <f t="shared" si="527"/>
        <v>730536</v>
      </c>
      <c r="ED269">
        <f t="shared" si="528"/>
        <v>60000</v>
      </c>
      <c r="EE269">
        <f t="shared" si="529"/>
        <v>720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f t="shared" si="530"/>
        <v>60720</v>
      </c>
      <c r="EQ269">
        <f t="shared" si="594"/>
        <v>60720</v>
      </c>
      <c r="ER269">
        <f t="shared" si="531"/>
        <v>669816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f t="shared" si="595"/>
        <v>0</v>
      </c>
      <c r="FA269">
        <f t="shared" si="596"/>
        <v>669816</v>
      </c>
      <c r="FB269">
        <f t="shared" si="597"/>
        <v>12500</v>
      </c>
      <c r="FC269">
        <f t="shared" si="598"/>
        <v>33963</v>
      </c>
      <c r="FD269">
        <f t="shared" si="599"/>
        <v>46463</v>
      </c>
      <c r="FE269">
        <f t="shared" si="600"/>
        <v>46463</v>
      </c>
      <c r="FF269">
        <f t="shared" si="601"/>
        <v>1858.52</v>
      </c>
      <c r="FG269">
        <f t="shared" si="602"/>
        <v>48322</v>
      </c>
      <c r="FH269">
        <v>0</v>
      </c>
      <c r="FI269">
        <f t="shared" si="603"/>
        <v>48322</v>
      </c>
      <c r="FJ269" t="b">
        <f t="shared" si="604"/>
        <v>1</v>
      </c>
      <c r="FK269">
        <f t="shared" ca="1" si="605"/>
        <v>924</v>
      </c>
      <c r="FL269">
        <f t="shared" ca="1" si="606"/>
        <v>783860</v>
      </c>
      <c r="FM269">
        <f t="shared" si="607"/>
        <v>75000</v>
      </c>
      <c r="FN269">
        <f t="shared" ca="1" si="608"/>
        <v>708860</v>
      </c>
      <c r="FO269">
        <f t="shared" ca="1" si="609"/>
        <v>0</v>
      </c>
      <c r="FP269">
        <f t="shared" ca="1" si="610"/>
        <v>0</v>
      </c>
      <c r="FQ269">
        <f t="shared" ca="1" si="611"/>
        <v>0</v>
      </c>
      <c r="FR269">
        <f t="shared" ca="1" si="612"/>
        <v>0</v>
      </c>
      <c r="FS269">
        <f t="shared" ca="1" si="613"/>
        <v>0</v>
      </c>
      <c r="FT269">
        <f t="shared" ca="1" si="614"/>
        <v>0</v>
      </c>
      <c r="FU269">
        <f t="shared" ca="1" si="615"/>
        <v>8860</v>
      </c>
      <c r="FV269">
        <f t="shared" ca="1" si="616"/>
        <v>886</v>
      </c>
      <c r="FW269">
        <f t="shared" ca="1" si="617"/>
        <v>400000</v>
      </c>
      <c r="FX269">
        <f t="shared" ca="1" si="618"/>
        <v>20000</v>
      </c>
      <c r="FY269">
        <f t="shared" ca="1" si="619"/>
        <v>20886</v>
      </c>
      <c r="FZ269">
        <f t="shared" ca="1" si="620"/>
        <v>708860</v>
      </c>
      <c r="GA269">
        <f t="shared" ca="1" si="621"/>
        <v>8860</v>
      </c>
      <c r="GB269">
        <f t="shared" ca="1" si="622"/>
        <v>0</v>
      </c>
      <c r="GC269">
        <f t="shared" ca="1" si="623"/>
        <v>12026</v>
      </c>
      <c r="GD269" t="b">
        <f t="shared" ca="1" si="624"/>
        <v>1</v>
      </c>
      <c r="GE269">
        <f t="shared" ca="1" si="625"/>
        <v>12026</v>
      </c>
      <c r="GF269">
        <f t="shared" ca="1" si="626"/>
        <v>12026</v>
      </c>
      <c r="GG269">
        <f t="shared" ca="1" si="627"/>
        <v>8860</v>
      </c>
      <c r="GH269">
        <f t="shared" ca="1" si="628"/>
        <v>354.40000000000003</v>
      </c>
      <c r="GI269">
        <f t="shared" ca="1" si="629"/>
        <v>9215</v>
      </c>
    </row>
    <row r="270" spans="1:191" x14ac:dyDescent="0.25">
      <c r="A270">
        <f>_xlfn.AGGREGATE(3,5,$B$2:B270)</f>
        <v>269</v>
      </c>
      <c r="B270" t="s">
        <v>658</v>
      </c>
      <c r="C270" t="s">
        <v>659</v>
      </c>
      <c r="D270" t="s">
        <v>833</v>
      </c>
      <c r="E270" t="s">
        <v>844</v>
      </c>
      <c r="F270">
        <v>0</v>
      </c>
      <c r="G270">
        <v>6000</v>
      </c>
      <c r="H270">
        <v>36600</v>
      </c>
      <c r="I270">
        <f t="shared" si="532"/>
        <v>3660</v>
      </c>
      <c r="J270">
        <f t="shared" si="533"/>
        <v>4392</v>
      </c>
      <c r="K270">
        <v>0</v>
      </c>
      <c r="L270">
        <v>500</v>
      </c>
      <c r="M270">
        <f t="shared" si="534"/>
        <v>45152</v>
      </c>
      <c r="N270">
        <v>5000</v>
      </c>
      <c r="O270">
        <v>0</v>
      </c>
      <c r="P270">
        <f t="shared" si="535"/>
        <v>200</v>
      </c>
      <c r="Q270">
        <f t="shared" si="536"/>
        <v>39952</v>
      </c>
      <c r="R270">
        <v>36600</v>
      </c>
      <c r="S270">
        <f t="shared" si="537"/>
        <v>3660</v>
      </c>
      <c r="T270">
        <f t="shared" si="538"/>
        <v>4392</v>
      </c>
      <c r="U270">
        <v>0</v>
      </c>
      <c r="V270">
        <v>500</v>
      </c>
      <c r="W270">
        <f t="shared" si="539"/>
        <v>45152</v>
      </c>
      <c r="X270">
        <v>5000</v>
      </c>
      <c r="Y270">
        <v>0</v>
      </c>
      <c r="Z270">
        <f t="shared" si="540"/>
        <v>200</v>
      </c>
      <c r="AA270">
        <f t="shared" si="541"/>
        <v>39952</v>
      </c>
      <c r="AB270">
        <v>36600</v>
      </c>
      <c r="AC270">
        <f t="shared" si="542"/>
        <v>5124.0000000000009</v>
      </c>
      <c r="AD270">
        <f t="shared" si="543"/>
        <v>4392</v>
      </c>
      <c r="AE270">
        <v>0</v>
      </c>
      <c r="AF270">
        <v>500</v>
      </c>
      <c r="AG270">
        <f t="shared" si="544"/>
        <v>46616</v>
      </c>
      <c r="AH270">
        <v>5000</v>
      </c>
      <c r="AI270">
        <v>0</v>
      </c>
      <c r="AJ270">
        <f t="shared" si="545"/>
        <v>200</v>
      </c>
      <c r="AK270">
        <f t="shared" si="546"/>
        <v>41416</v>
      </c>
      <c r="AL270">
        <v>36600</v>
      </c>
      <c r="AM270">
        <f t="shared" si="547"/>
        <v>5124.0000000000009</v>
      </c>
      <c r="AN270">
        <f t="shared" si="548"/>
        <v>4392</v>
      </c>
      <c r="AO270">
        <v>0</v>
      </c>
      <c r="AP270">
        <v>500</v>
      </c>
      <c r="AQ270">
        <f t="shared" si="549"/>
        <v>46616</v>
      </c>
      <c r="AR270">
        <v>5000</v>
      </c>
      <c r="AS270">
        <v>0</v>
      </c>
      <c r="AT270">
        <f t="shared" si="550"/>
        <v>200</v>
      </c>
      <c r="AU270">
        <f t="shared" si="551"/>
        <v>41416</v>
      </c>
      <c r="AV270">
        <v>37700</v>
      </c>
      <c r="AW270">
        <f t="shared" si="552"/>
        <v>5278.0000000000009</v>
      </c>
      <c r="AX270">
        <f t="shared" si="553"/>
        <v>1464</v>
      </c>
      <c r="AY270">
        <f t="shared" si="554"/>
        <v>4524</v>
      </c>
      <c r="AZ270">
        <v>0</v>
      </c>
      <c r="BA270">
        <v>500</v>
      </c>
      <c r="BB270">
        <f t="shared" si="555"/>
        <v>49466</v>
      </c>
      <c r="BC270">
        <v>5000</v>
      </c>
      <c r="BD270">
        <v>0</v>
      </c>
      <c r="BE270">
        <f t="shared" si="556"/>
        <v>200</v>
      </c>
      <c r="BF270">
        <f t="shared" si="557"/>
        <v>44266</v>
      </c>
      <c r="BG270">
        <v>37700</v>
      </c>
      <c r="BH270">
        <f t="shared" si="558"/>
        <v>5278.0000000000009</v>
      </c>
      <c r="BI270">
        <f t="shared" si="559"/>
        <v>4524</v>
      </c>
      <c r="BJ270">
        <v>0</v>
      </c>
      <c r="BK270">
        <v>500</v>
      </c>
      <c r="BL270">
        <f t="shared" si="560"/>
        <v>48002</v>
      </c>
      <c r="BM270">
        <v>5000</v>
      </c>
      <c r="BN270">
        <v>0</v>
      </c>
      <c r="BO270">
        <f t="shared" si="561"/>
        <v>200</v>
      </c>
      <c r="BP270">
        <f t="shared" si="562"/>
        <v>42802</v>
      </c>
      <c r="BQ270">
        <v>37700</v>
      </c>
      <c r="BR270">
        <f t="shared" si="563"/>
        <v>5278.0000000000009</v>
      </c>
      <c r="BS270">
        <f t="shared" si="564"/>
        <v>4524</v>
      </c>
      <c r="BT270">
        <v>0</v>
      </c>
      <c r="BU270">
        <v>500</v>
      </c>
      <c r="BV270">
        <f t="shared" si="565"/>
        <v>48002</v>
      </c>
      <c r="BW270">
        <v>5000</v>
      </c>
      <c r="BX270">
        <v>0</v>
      </c>
      <c r="BY270">
        <f t="shared" si="566"/>
        <v>200</v>
      </c>
      <c r="BZ270">
        <f t="shared" si="567"/>
        <v>42802</v>
      </c>
      <c r="CA270">
        <v>37700</v>
      </c>
      <c r="CB270">
        <f t="shared" si="568"/>
        <v>5278.0000000000009</v>
      </c>
      <c r="CC270">
        <f t="shared" si="569"/>
        <v>4524</v>
      </c>
      <c r="CD270">
        <v>0</v>
      </c>
      <c r="CE270">
        <v>500</v>
      </c>
      <c r="CF270">
        <f t="shared" si="570"/>
        <v>48002</v>
      </c>
      <c r="CG270">
        <v>5000</v>
      </c>
      <c r="CH270">
        <v>0</v>
      </c>
      <c r="CI270">
        <f t="shared" si="571"/>
        <v>200</v>
      </c>
      <c r="CJ270">
        <f t="shared" si="572"/>
        <v>42802</v>
      </c>
      <c r="CK270">
        <v>37700</v>
      </c>
      <c r="CL270">
        <f t="shared" si="573"/>
        <v>5278.0000000000009</v>
      </c>
      <c r="CM270">
        <f t="shared" si="574"/>
        <v>4524</v>
      </c>
      <c r="CN270">
        <v>0</v>
      </c>
      <c r="CO270">
        <v>500</v>
      </c>
      <c r="CP270">
        <f t="shared" si="575"/>
        <v>48002</v>
      </c>
      <c r="CQ270">
        <v>5000</v>
      </c>
      <c r="CR270">
        <v>0</v>
      </c>
      <c r="CS270">
        <f t="shared" si="576"/>
        <v>200</v>
      </c>
      <c r="CT270">
        <f t="shared" si="577"/>
        <v>42802</v>
      </c>
      <c r="CU270">
        <v>37700</v>
      </c>
      <c r="CV270">
        <f t="shared" si="578"/>
        <v>5278</v>
      </c>
      <c r="CW270">
        <f t="shared" si="579"/>
        <v>4524</v>
      </c>
      <c r="CX270">
        <v>0</v>
      </c>
      <c r="CY270">
        <v>500</v>
      </c>
      <c r="CZ270">
        <f t="shared" si="580"/>
        <v>48002</v>
      </c>
      <c r="DA270">
        <v>5000</v>
      </c>
      <c r="DB270">
        <v>0</v>
      </c>
      <c r="DC270">
        <f t="shared" si="581"/>
        <v>200</v>
      </c>
      <c r="DD270">
        <f t="shared" si="582"/>
        <v>42802</v>
      </c>
      <c r="DE270">
        <v>37700</v>
      </c>
      <c r="DF270">
        <f t="shared" si="583"/>
        <v>5278.0000000000009</v>
      </c>
      <c r="DG270">
        <f t="shared" si="584"/>
        <v>4524</v>
      </c>
      <c r="DH270">
        <v>0</v>
      </c>
      <c r="DI270">
        <v>500</v>
      </c>
      <c r="DJ270">
        <f t="shared" si="585"/>
        <v>48002</v>
      </c>
      <c r="DK270">
        <v>5000</v>
      </c>
      <c r="DL270">
        <v>0</v>
      </c>
      <c r="DM270">
        <f t="shared" si="586"/>
        <v>200</v>
      </c>
      <c r="DN270">
        <f t="shared" si="587"/>
        <v>42802</v>
      </c>
      <c r="DO270">
        <v>37700</v>
      </c>
      <c r="DP270">
        <f t="shared" si="588"/>
        <v>5278.0000000000009</v>
      </c>
      <c r="DQ270">
        <f t="shared" si="589"/>
        <v>4524</v>
      </c>
      <c r="DR270">
        <v>0</v>
      </c>
      <c r="DS270">
        <v>500</v>
      </c>
      <c r="DT270">
        <f t="shared" si="590"/>
        <v>48002</v>
      </c>
      <c r="DU270">
        <v>5000</v>
      </c>
      <c r="DV270">
        <v>0</v>
      </c>
      <c r="DW270">
        <f t="shared" si="591"/>
        <v>200</v>
      </c>
      <c r="DX270">
        <f t="shared" si="592"/>
        <v>42802</v>
      </c>
      <c r="DY270">
        <f t="shared" si="593"/>
        <v>575016</v>
      </c>
      <c r="DZ270">
        <f t="shared" si="525"/>
        <v>2400</v>
      </c>
      <c r="EA270">
        <f t="shared" si="526"/>
        <v>50000</v>
      </c>
      <c r="EB270">
        <v>0</v>
      </c>
      <c r="EC270">
        <f t="shared" si="527"/>
        <v>522616</v>
      </c>
      <c r="ED270">
        <f t="shared" si="528"/>
        <v>60000</v>
      </c>
      <c r="EE270">
        <f t="shared" si="529"/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f t="shared" si="530"/>
        <v>60000</v>
      </c>
      <c r="EQ270">
        <f t="shared" si="594"/>
        <v>60000</v>
      </c>
      <c r="ER270">
        <f t="shared" si="531"/>
        <v>462616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f t="shared" si="595"/>
        <v>0</v>
      </c>
      <c r="FA270">
        <f t="shared" si="596"/>
        <v>462616</v>
      </c>
      <c r="FB270">
        <f t="shared" si="597"/>
        <v>10631</v>
      </c>
      <c r="FC270">
        <f t="shared" si="598"/>
        <v>0</v>
      </c>
      <c r="FD270">
        <f t="shared" si="599"/>
        <v>10631</v>
      </c>
      <c r="FE270">
        <f t="shared" si="600"/>
        <v>0</v>
      </c>
      <c r="FF270">
        <f t="shared" si="601"/>
        <v>0</v>
      </c>
      <c r="FG270">
        <f t="shared" si="602"/>
        <v>0</v>
      </c>
      <c r="FH270">
        <v>0</v>
      </c>
      <c r="FI270">
        <f t="shared" si="603"/>
        <v>0</v>
      </c>
      <c r="FJ270" t="b">
        <f t="shared" si="604"/>
        <v>1</v>
      </c>
      <c r="FK270">
        <f t="shared" ca="1" si="605"/>
        <v>955</v>
      </c>
      <c r="FL270">
        <f t="shared" ca="1" si="606"/>
        <v>575971</v>
      </c>
      <c r="FM270">
        <f t="shared" si="607"/>
        <v>75000</v>
      </c>
      <c r="FN270">
        <f t="shared" ca="1" si="608"/>
        <v>500971</v>
      </c>
      <c r="FO270">
        <f t="shared" ca="1" si="609"/>
        <v>0</v>
      </c>
      <c r="FP270">
        <f t="shared" ca="1" si="610"/>
        <v>0</v>
      </c>
      <c r="FQ270">
        <f t="shared" ca="1" si="611"/>
        <v>0</v>
      </c>
      <c r="FR270">
        <f t="shared" ca="1" si="612"/>
        <v>0</v>
      </c>
      <c r="FS270">
        <f t="shared" ca="1" si="613"/>
        <v>0</v>
      </c>
      <c r="FT270">
        <f t="shared" ca="1" si="614"/>
        <v>0</v>
      </c>
      <c r="FU270">
        <f t="shared" ca="1" si="615"/>
        <v>0</v>
      </c>
      <c r="FV270">
        <f t="shared" ca="1" si="616"/>
        <v>0</v>
      </c>
      <c r="FW270">
        <f t="shared" ca="1" si="617"/>
        <v>200971</v>
      </c>
      <c r="FX270">
        <f t="shared" ca="1" si="618"/>
        <v>10048.550000000001</v>
      </c>
      <c r="FY270">
        <f t="shared" ca="1" si="619"/>
        <v>10049</v>
      </c>
      <c r="FZ270">
        <f t="shared" ca="1" si="620"/>
        <v>0</v>
      </c>
      <c r="GA270">
        <f t="shared" ca="1" si="621"/>
        <v>0</v>
      </c>
      <c r="GB270">
        <f t="shared" ca="1" si="622"/>
        <v>10049</v>
      </c>
      <c r="GC270">
        <f t="shared" ca="1" si="623"/>
        <v>0</v>
      </c>
      <c r="GD270" t="b">
        <f t="shared" ca="1" si="624"/>
        <v>0</v>
      </c>
      <c r="GE270">
        <f t="shared" ca="1" si="625"/>
        <v>0</v>
      </c>
      <c r="GF270">
        <f t="shared" ca="1" si="626"/>
        <v>10049</v>
      </c>
      <c r="GG270">
        <f t="shared" ca="1" si="627"/>
        <v>0</v>
      </c>
      <c r="GH270">
        <f t="shared" ca="1" si="628"/>
        <v>0</v>
      </c>
      <c r="GI270">
        <f t="shared" ca="1" si="629"/>
        <v>0</v>
      </c>
    </row>
    <row r="271" spans="1:191" x14ac:dyDescent="0.25">
      <c r="A271">
        <f>_xlfn.AGGREGATE(3,5,$B$2:B271)</f>
        <v>270</v>
      </c>
      <c r="B271" t="s">
        <v>660</v>
      </c>
      <c r="C271" t="s">
        <v>661</v>
      </c>
      <c r="D271" t="s">
        <v>834</v>
      </c>
      <c r="E271" t="s">
        <v>843</v>
      </c>
      <c r="F271">
        <v>0</v>
      </c>
      <c r="G271">
        <v>0</v>
      </c>
      <c r="H271">
        <v>50200</v>
      </c>
      <c r="I271">
        <f t="shared" si="532"/>
        <v>5020</v>
      </c>
      <c r="J271">
        <f t="shared" si="533"/>
        <v>6024</v>
      </c>
      <c r="K271">
        <v>400</v>
      </c>
      <c r="L271">
        <v>500</v>
      </c>
      <c r="M271">
        <f t="shared" si="534"/>
        <v>62144</v>
      </c>
      <c r="N271">
        <v>4000</v>
      </c>
      <c r="O271">
        <v>0</v>
      </c>
      <c r="P271">
        <f t="shared" si="535"/>
        <v>200</v>
      </c>
      <c r="Q271">
        <f t="shared" si="536"/>
        <v>57944</v>
      </c>
      <c r="R271">
        <v>50200</v>
      </c>
      <c r="S271">
        <f t="shared" si="537"/>
        <v>5020</v>
      </c>
      <c r="T271">
        <f t="shared" si="538"/>
        <v>6024</v>
      </c>
      <c r="U271">
        <v>400</v>
      </c>
      <c r="V271">
        <v>500</v>
      </c>
      <c r="W271">
        <f t="shared" si="539"/>
        <v>62144</v>
      </c>
      <c r="X271">
        <v>4000</v>
      </c>
      <c r="Y271">
        <v>0</v>
      </c>
      <c r="Z271">
        <f t="shared" si="540"/>
        <v>200</v>
      </c>
      <c r="AA271">
        <f t="shared" si="541"/>
        <v>57944</v>
      </c>
      <c r="AB271">
        <v>50200</v>
      </c>
      <c r="AC271">
        <f t="shared" si="542"/>
        <v>7028.0000000000009</v>
      </c>
      <c r="AD271">
        <f t="shared" si="543"/>
        <v>6024</v>
      </c>
      <c r="AE271">
        <v>400</v>
      </c>
      <c r="AF271">
        <v>500</v>
      </c>
      <c r="AG271">
        <f t="shared" si="544"/>
        <v>64152</v>
      </c>
      <c r="AH271">
        <v>4000</v>
      </c>
      <c r="AI271">
        <v>0</v>
      </c>
      <c r="AJ271">
        <f t="shared" si="545"/>
        <v>200</v>
      </c>
      <c r="AK271">
        <f t="shared" si="546"/>
        <v>59952</v>
      </c>
      <c r="AL271">
        <v>50200</v>
      </c>
      <c r="AM271">
        <f t="shared" si="547"/>
        <v>7028.0000000000009</v>
      </c>
      <c r="AN271">
        <f t="shared" si="548"/>
        <v>6024</v>
      </c>
      <c r="AO271">
        <v>400</v>
      </c>
      <c r="AP271">
        <v>500</v>
      </c>
      <c r="AQ271">
        <f t="shared" si="549"/>
        <v>64152</v>
      </c>
      <c r="AR271">
        <v>4000</v>
      </c>
      <c r="AS271">
        <v>0</v>
      </c>
      <c r="AT271">
        <f t="shared" si="550"/>
        <v>200</v>
      </c>
      <c r="AU271">
        <f t="shared" si="551"/>
        <v>59952</v>
      </c>
      <c r="AV271">
        <v>51700</v>
      </c>
      <c r="AW271">
        <f t="shared" si="552"/>
        <v>7238.0000000000009</v>
      </c>
      <c r="AX271">
        <f t="shared" si="553"/>
        <v>2008</v>
      </c>
      <c r="AY271">
        <f t="shared" si="554"/>
        <v>6204</v>
      </c>
      <c r="AZ271">
        <v>400</v>
      </c>
      <c r="BA271">
        <v>500</v>
      </c>
      <c r="BB271">
        <f t="shared" si="555"/>
        <v>68050</v>
      </c>
      <c r="BC271">
        <v>4000</v>
      </c>
      <c r="BD271">
        <v>0</v>
      </c>
      <c r="BE271">
        <f t="shared" si="556"/>
        <v>200</v>
      </c>
      <c r="BF271">
        <f t="shared" si="557"/>
        <v>63850</v>
      </c>
      <c r="BG271">
        <v>51700</v>
      </c>
      <c r="BH271">
        <f t="shared" si="558"/>
        <v>7238.0000000000009</v>
      </c>
      <c r="BI271">
        <f t="shared" si="559"/>
        <v>6204</v>
      </c>
      <c r="BJ271">
        <v>400</v>
      </c>
      <c r="BK271">
        <v>500</v>
      </c>
      <c r="BL271">
        <f t="shared" si="560"/>
        <v>66042</v>
      </c>
      <c r="BM271">
        <v>4000</v>
      </c>
      <c r="BN271">
        <v>0</v>
      </c>
      <c r="BO271">
        <f t="shared" si="561"/>
        <v>200</v>
      </c>
      <c r="BP271">
        <f t="shared" si="562"/>
        <v>61842</v>
      </c>
      <c r="BQ271">
        <v>51700</v>
      </c>
      <c r="BR271">
        <f t="shared" si="563"/>
        <v>7238.0000000000009</v>
      </c>
      <c r="BS271">
        <f t="shared" si="564"/>
        <v>6204</v>
      </c>
      <c r="BT271">
        <v>400</v>
      </c>
      <c r="BU271">
        <v>500</v>
      </c>
      <c r="BV271">
        <f t="shared" si="565"/>
        <v>66042</v>
      </c>
      <c r="BW271">
        <v>4000</v>
      </c>
      <c r="BX271">
        <v>0</v>
      </c>
      <c r="BY271">
        <f t="shared" si="566"/>
        <v>200</v>
      </c>
      <c r="BZ271">
        <f t="shared" si="567"/>
        <v>61842</v>
      </c>
      <c r="CA271">
        <v>51700</v>
      </c>
      <c r="CB271">
        <f t="shared" si="568"/>
        <v>7238.0000000000009</v>
      </c>
      <c r="CC271">
        <f t="shared" si="569"/>
        <v>6204</v>
      </c>
      <c r="CD271">
        <v>400</v>
      </c>
      <c r="CE271">
        <v>500</v>
      </c>
      <c r="CF271">
        <f t="shared" si="570"/>
        <v>66042</v>
      </c>
      <c r="CG271">
        <v>4000</v>
      </c>
      <c r="CH271">
        <v>0</v>
      </c>
      <c r="CI271">
        <f t="shared" si="571"/>
        <v>200</v>
      </c>
      <c r="CJ271">
        <f t="shared" si="572"/>
        <v>61842</v>
      </c>
      <c r="CK271">
        <v>51700</v>
      </c>
      <c r="CL271">
        <f t="shared" si="573"/>
        <v>7238.0000000000009</v>
      </c>
      <c r="CM271">
        <f t="shared" si="574"/>
        <v>6204</v>
      </c>
      <c r="CN271">
        <v>400</v>
      </c>
      <c r="CO271">
        <v>500</v>
      </c>
      <c r="CP271">
        <f t="shared" si="575"/>
        <v>66042</v>
      </c>
      <c r="CQ271">
        <v>4000</v>
      </c>
      <c r="CR271">
        <v>0</v>
      </c>
      <c r="CS271">
        <f t="shared" si="576"/>
        <v>200</v>
      </c>
      <c r="CT271">
        <f t="shared" si="577"/>
        <v>61842</v>
      </c>
      <c r="CU271">
        <v>51700</v>
      </c>
      <c r="CV271">
        <f t="shared" si="578"/>
        <v>7238</v>
      </c>
      <c r="CW271">
        <f t="shared" si="579"/>
        <v>6204</v>
      </c>
      <c r="CX271">
        <v>400</v>
      </c>
      <c r="CY271">
        <v>500</v>
      </c>
      <c r="CZ271">
        <f t="shared" si="580"/>
        <v>66042</v>
      </c>
      <c r="DA271">
        <v>4000</v>
      </c>
      <c r="DB271">
        <v>0</v>
      </c>
      <c r="DC271">
        <f t="shared" si="581"/>
        <v>200</v>
      </c>
      <c r="DD271">
        <f t="shared" si="582"/>
        <v>61842</v>
      </c>
      <c r="DE271">
        <v>51700</v>
      </c>
      <c r="DF271">
        <f t="shared" si="583"/>
        <v>7238.0000000000009</v>
      </c>
      <c r="DG271">
        <f t="shared" si="584"/>
        <v>6204</v>
      </c>
      <c r="DH271">
        <v>400</v>
      </c>
      <c r="DI271">
        <v>500</v>
      </c>
      <c r="DJ271">
        <f t="shared" si="585"/>
        <v>66042</v>
      </c>
      <c r="DK271">
        <v>4000</v>
      </c>
      <c r="DL271">
        <v>0</v>
      </c>
      <c r="DM271">
        <f t="shared" si="586"/>
        <v>200</v>
      </c>
      <c r="DN271">
        <f t="shared" si="587"/>
        <v>61842</v>
      </c>
      <c r="DO271">
        <v>51700</v>
      </c>
      <c r="DP271">
        <f t="shared" si="588"/>
        <v>7238.0000000000009</v>
      </c>
      <c r="DQ271">
        <f t="shared" si="589"/>
        <v>6204</v>
      </c>
      <c r="DR271">
        <v>400</v>
      </c>
      <c r="DS271">
        <v>500</v>
      </c>
      <c r="DT271">
        <f t="shared" si="590"/>
        <v>66042</v>
      </c>
      <c r="DU271">
        <v>4000</v>
      </c>
      <c r="DV271">
        <v>0</v>
      </c>
      <c r="DW271">
        <f t="shared" si="591"/>
        <v>200</v>
      </c>
      <c r="DX271">
        <f t="shared" si="592"/>
        <v>61842</v>
      </c>
      <c r="DY271">
        <f t="shared" si="593"/>
        <v>782936</v>
      </c>
      <c r="DZ271">
        <f t="shared" si="525"/>
        <v>2400</v>
      </c>
      <c r="EA271">
        <f t="shared" si="526"/>
        <v>50000</v>
      </c>
      <c r="EB271">
        <v>0</v>
      </c>
      <c r="EC271">
        <f t="shared" si="527"/>
        <v>730536</v>
      </c>
      <c r="ED271">
        <f t="shared" si="528"/>
        <v>48000</v>
      </c>
      <c r="EE271">
        <f t="shared" si="529"/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f t="shared" si="530"/>
        <v>48000</v>
      </c>
      <c r="EQ271">
        <f t="shared" si="594"/>
        <v>48000</v>
      </c>
      <c r="ER271">
        <f t="shared" si="531"/>
        <v>682536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f t="shared" si="595"/>
        <v>0</v>
      </c>
      <c r="FA271">
        <f t="shared" si="596"/>
        <v>682536</v>
      </c>
      <c r="FB271">
        <f t="shared" si="597"/>
        <v>12500</v>
      </c>
      <c r="FC271">
        <f t="shared" si="598"/>
        <v>36507</v>
      </c>
      <c r="FD271">
        <f t="shared" si="599"/>
        <v>49007</v>
      </c>
      <c r="FE271">
        <f t="shared" si="600"/>
        <v>49007</v>
      </c>
      <c r="FF271">
        <f t="shared" si="601"/>
        <v>1960.28</v>
      </c>
      <c r="FG271">
        <f t="shared" si="602"/>
        <v>50967</v>
      </c>
      <c r="FH271">
        <v>0</v>
      </c>
      <c r="FI271">
        <f t="shared" si="603"/>
        <v>50967</v>
      </c>
      <c r="FJ271" t="b">
        <f t="shared" si="604"/>
        <v>1</v>
      </c>
      <c r="FK271">
        <f t="shared" ca="1" si="605"/>
        <v>693</v>
      </c>
      <c r="FL271">
        <f t="shared" ca="1" si="606"/>
        <v>783629</v>
      </c>
      <c r="FM271">
        <f t="shared" si="607"/>
        <v>75000</v>
      </c>
      <c r="FN271">
        <f t="shared" ca="1" si="608"/>
        <v>708629</v>
      </c>
      <c r="FO271">
        <f t="shared" ca="1" si="609"/>
        <v>0</v>
      </c>
      <c r="FP271">
        <f t="shared" ca="1" si="610"/>
        <v>0</v>
      </c>
      <c r="FQ271">
        <f t="shared" ca="1" si="611"/>
        <v>0</v>
      </c>
      <c r="FR271">
        <f t="shared" ca="1" si="612"/>
        <v>0</v>
      </c>
      <c r="FS271">
        <f t="shared" ca="1" si="613"/>
        <v>0</v>
      </c>
      <c r="FT271">
        <f t="shared" ca="1" si="614"/>
        <v>0</v>
      </c>
      <c r="FU271">
        <f t="shared" ca="1" si="615"/>
        <v>8629</v>
      </c>
      <c r="FV271">
        <f t="shared" ca="1" si="616"/>
        <v>862.90000000000009</v>
      </c>
      <c r="FW271">
        <f t="shared" ca="1" si="617"/>
        <v>400000</v>
      </c>
      <c r="FX271">
        <f t="shared" ca="1" si="618"/>
        <v>20000</v>
      </c>
      <c r="FY271">
        <f t="shared" ca="1" si="619"/>
        <v>20863</v>
      </c>
      <c r="FZ271">
        <f t="shared" ca="1" si="620"/>
        <v>708629</v>
      </c>
      <c r="GA271">
        <f t="shared" ca="1" si="621"/>
        <v>8629</v>
      </c>
      <c r="GB271">
        <f t="shared" ca="1" si="622"/>
        <v>0</v>
      </c>
      <c r="GC271">
        <f t="shared" ca="1" si="623"/>
        <v>12234</v>
      </c>
      <c r="GD271" t="b">
        <f t="shared" ca="1" si="624"/>
        <v>1</v>
      </c>
      <c r="GE271">
        <f t="shared" ca="1" si="625"/>
        <v>12234</v>
      </c>
      <c r="GF271">
        <f t="shared" ca="1" si="626"/>
        <v>12234</v>
      </c>
      <c r="GG271">
        <f t="shared" ca="1" si="627"/>
        <v>8629</v>
      </c>
      <c r="GH271">
        <f t="shared" ca="1" si="628"/>
        <v>345.16</v>
      </c>
      <c r="GI271">
        <f t="shared" ca="1" si="629"/>
        <v>8975</v>
      </c>
    </row>
    <row r="272" spans="1:191" x14ac:dyDescent="0.25">
      <c r="A272">
        <f>_xlfn.AGGREGATE(3,5,$B$2:B272)</f>
        <v>271</v>
      </c>
      <c r="B272" t="s">
        <v>662</v>
      </c>
      <c r="C272" t="s">
        <v>663</v>
      </c>
      <c r="D272" t="s">
        <v>834</v>
      </c>
      <c r="E272" t="s">
        <v>843</v>
      </c>
      <c r="F272">
        <v>0</v>
      </c>
      <c r="G272">
        <v>0</v>
      </c>
      <c r="H272">
        <v>28900</v>
      </c>
      <c r="I272">
        <f t="shared" si="532"/>
        <v>2890</v>
      </c>
      <c r="J272">
        <f t="shared" si="533"/>
        <v>3468</v>
      </c>
      <c r="K272">
        <v>0</v>
      </c>
      <c r="L272">
        <v>500</v>
      </c>
      <c r="M272">
        <f t="shared" si="534"/>
        <v>35758</v>
      </c>
      <c r="N272">
        <v>0</v>
      </c>
      <c r="O272">
        <v>0</v>
      </c>
      <c r="P272">
        <f t="shared" si="535"/>
        <v>150</v>
      </c>
      <c r="Q272">
        <f t="shared" si="536"/>
        <v>35608</v>
      </c>
      <c r="R272">
        <v>28900</v>
      </c>
      <c r="S272">
        <f t="shared" si="537"/>
        <v>2890</v>
      </c>
      <c r="T272">
        <f t="shared" si="538"/>
        <v>3468</v>
      </c>
      <c r="U272">
        <v>0</v>
      </c>
      <c r="V272">
        <v>500</v>
      </c>
      <c r="W272">
        <f t="shared" si="539"/>
        <v>35758</v>
      </c>
      <c r="X272">
        <v>0</v>
      </c>
      <c r="Y272">
        <v>0</v>
      </c>
      <c r="Z272">
        <f t="shared" si="540"/>
        <v>150</v>
      </c>
      <c r="AA272">
        <f t="shared" si="541"/>
        <v>35608</v>
      </c>
      <c r="AB272">
        <v>28900</v>
      </c>
      <c r="AC272">
        <f t="shared" si="542"/>
        <v>4046.0000000000005</v>
      </c>
      <c r="AD272">
        <f t="shared" si="543"/>
        <v>3468</v>
      </c>
      <c r="AE272">
        <v>0</v>
      </c>
      <c r="AF272">
        <v>500</v>
      </c>
      <c r="AG272">
        <f t="shared" si="544"/>
        <v>36914</v>
      </c>
      <c r="AH272">
        <v>0</v>
      </c>
      <c r="AI272">
        <v>0</v>
      </c>
      <c r="AJ272">
        <f t="shared" si="545"/>
        <v>150</v>
      </c>
      <c r="AK272">
        <f t="shared" si="546"/>
        <v>36764</v>
      </c>
      <c r="AL272">
        <v>28900</v>
      </c>
      <c r="AM272">
        <f t="shared" si="547"/>
        <v>4046.0000000000005</v>
      </c>
      <c r="AN272">
        <f t="shared" si="548"/>
        <v>3468</v>
      </c>
      <c r="AO272">
        <v>0</v>
      </c>
      <c r="AP272">
        <v>500</v>
      </c>
      <c r="AQ272">
        <f t="shared" si="549"/>
        <v>36914</v>
      </c>
      <c r="AR272">
        <v>0</v>
      </c>
      <c r="AS272">
        <v>0</v>
      </c>
      <c r="AT272">
        <f t="shared" si="550"/>
        <v>150</v>
      </c>
      <c r="AU272">
        <f t="shared" si="551"/>
        <v>36764</v>
      </c>
      <c r="AV272">
        <v>29800</v>
      </c>
      <c r="AW272">
        <f t="shared" si="552"/>
        <v>4172</v>
      </c>
      <c r="AX272">
        <f t="shared" si="553"/>
        <v>1156</v>
      </c>
      <c r="AY272">
        <f t="shared" si="554"/>
        <v>3576</v>
      </c>
      <c r="AZ272">
        <v>0</v>
      </c>
      <c r="BA272">
        <v>500</v>
      </c>
      <c r="BB272">
        <f t="shared" si="555"/>
        <v>39204</v>
      </c>
      <c r="BC272">
        <v>0</v>
      </c>
      <c r="BD272">
        <v>0</v>
      </c>
      <c r="BE272">
        <f t="shared" si="556"/>
        <v>150</v>
      </c>
      <c r="BF272">
        <f t="shared" si="557"/>
        <v>39054</v>
      </c>
      <c r="BG272">
        <v>29800</v>
      </c>
      <c r="BH272">
        <f t="shared" si="558"/>
        <v>4172</v>
      </c>
      <c r="BI272">
        <f t="shared" si="559"/>
        <v>3576</v>
      </c>
      <c r="BJ272">
        <v>0</v>
      </c>
      <c r="BK272">
        <v>500</v>
      </c>
      <c r="BL272">
        <f t="shared" si="560"/>
        <v>38048</v>
      </c>
      <c r="BM272">
        <v>0</v>
      </c>
      <c r="BN272">
        <v>0</v>
      </c>
      <c r="BO272">
        <f t="shared" si="561"/>
        <v>150</v>
      </c>
      <c r="BP272">
        <f t="shared" si="562"/>
        <v>37898</v>
      </c>
      <c r="BQ272">
        <v>29800</v>
      </c>
      <c r="BR272">
        <f t="shared" si="563"/>
        <v>4172</v>
      </c>
      <c r="BS272">
        <f t="shared" si="564"/>
        <v>3576</v>
      </c>
      <c r="BT272">
        <v>0</v>
      </c>
      <c r="BU272">
        <v>500</v>
      </c>
      <c r="BV272">
        <f t="shared" si="565"/>
        <v>38048</v>
      </c>
      <c r="BW272">
        <v>0</v>
      </c>
      <c r="BX272">
        <v>0</v>
      </c>
      <c r="BY272">
        <f t="shared" si="566"/>
        <v>150</v>
      </c>
      <c r="BZ272">
        <f t="shared" si="567"/>
        <v>37898</v>
      </c>
      <c r="CA272">
        <v>29800</v>
      </c>
      <c r="CB272">
        <f t="shared" si="568"/>
        <v>4172</v>
      </c>
      <c r="CC272">
        <f t="shared" si="569"/>
        <v>3576</v>
      </c>
      <c r="CD272">
        <v>0</v>
      </c>
      <c r="CE272">
        <v>500</v>
      </c>
      <c r="CF272">
        <f t="shared" si="570"/>
        <v>38048</v>
      </c>
      <c r="CG272">
        <v>0</v>
      </c>
      <c r="CH272">
        <v>0</v>
      </c>
      <c r="CI272">
        <f t="shared" si="571"/>
        <v>150</v>
      </c>
      <c r="CJ272">
        <f t="shared" si="572"/>
        <v>37898</v>
      </c>
      <c r="CK272">
        <v>29800</v>
      </c>
      <c r="CL272">
        <f t="shared" si="573"/>
        <v>4172</v>
      </c>
      <c r="CM272">
        <f t="shared" si="574"/>
        <v>3576</v>
      </c>
      <c r="CN272">
        <v>0</v>
      </c>
      <c r="CO272">
        <v>500</v>
      </c>
      <c r="CP272">
        <f t="shared" si="575"/>
        <v>38048</v>
      </c>
      <c r="CQ272">
        <v>2000</v>
      </c>
      <c r="CR272">
        <v>0</v>
      </c>
      <c r="CS272">
        <f t="shared" si="576"/>
        <v>150</v>
      </c>
      <c r="CT272">
        <f t="shared" si="577"/>
        <v>35898</v>
      </c>
      <c r="CU272">
        <v>29800</v>
      </c>
      <c r="CV272">
        <f t="shared" si="578"/>
        <v>4172</v>
      </c>
      <c r="CW272">
        <f t="shared" si="579"/>
        <v>3576</v>
      </c>
      <c r="CX272">
        <v>0</v>
      </c>
      <c r="CY272">
        <v>500</v>
      </c>
      <c r="CZ272">
        <f t="shared" si="580"/>
        <v>38048</v>
      </c>
      <c r="DA272">
        <v>2000</v>
      </c>
      <c r="DB272">
        <v>0</v>
      </c>
      <c r="DC272">
        <f t="shared" si="581"/>
        <v>150</v>
      </c>
      <c r="DD272">
        <f t="shared" si="582"/>
        <v>35898</v>
      </c>
      <c r="DE272">
        <v>29800</v>
      </c>
      <c r="DF272">
        <f t="shared" si="583"/>
        <v>4172</v>
      </c>
      <c r="DG272">
        <f t="shared" si="584"/>
        <v>3576</v>
      </c>
      <c r="DH272">
        <v>0</v>
      </c>
      <c r="DI272">
        <v>500</v>
      </c>
      <c r="DJ272">
        <f t="shared" si="585"/>
        <v>38048</v>
      </c>
      <c r="DK272">
        <v>2000</v>
      </c>
      <c r="DL272">
        <v>0</v>
      </c>
      <c r="DM272">
        <f t="shared" si="586"/>
        <v>150</v>
      </c>
      <c r="DN272">
        <f t="shared" si="587"/>
        <v>35898</v>
      </c>
      <c r="DO272">
        <v>29800</v>
      </c>
      <c r="DP272">
        <f t="shared" si="588"/>
        <v>4172</v>
      </c>
      <c r="DQ272">
        <f t="shared" si="589"/>
        <v>3576</v>
      </c>
      <c r="DR272">
        <v>0</v>
      </c>
      <c r="DS272">
        <v>500</v>
      </c>
      <c r="DT272">
        <f t="shared" si="590"/>
        <v>38048</v>
      </c>
      <c r="DU272">
        <v>2000</v>
      </c>
      <c r="DV272">
        <v>0</v>
      </c>
      <c r="DW272">
        <f t="shared" si="591"/>
        <v>150</v>
      </c>
      <c r="DX272">
        <f t="shared" si="592"/>
        <v>35898</v>
      </c>
      <c r="DY272">
        <f t="shared" si="593"/>
        <v>450884</v>
      </c>
      <c r="DZ272">
        <f t="shared" si="525"/>
        <v>1800</v>
      </c>
      <c r="EA272">
        <f t="shared" si="526"/>
        <v>50000</v>
      </c>
      <c r="EB272">
        <v>0</v>
      </c>
      <c r="EC272">
        <f t="shared" si="527"/>
        <v>399084</v>
      </c>
      <c r="ED272">
        <f t="shared" si="528"/>
        <v>8000</v>
      </c>
      <c r="EE272">
        <f t="shared" si="529"/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f t="shared" si="530"/>
        <v>8000</v>
      </c>
      <c r="EQ272">
        <f t="shared" si="594"/>
        <v>8000</v>
      </c>
      <c r="ER272">
        <f t="shared" si="531"/>
        <v>391084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f t="shared" si="595"/>
        <v>0</v>
      </c>
      <c r="FA272">
        <f t="shared" si="596"/>
        <v>391084</v>
      </c>
      <c r="FB272">
        <f t="shared" si="597"/>
        <v>7054</v>
      </c>
      <c r="FC272">
        <f t="shared" si="598"/>
        <v>0</v>
      </c>
      <c r="FD272">
        <f t="shared" si="599"/>
        <v>7054</v>
      </c>
      <c r="FE272">
        <f t="shared" si="600"/>
        <v>0</v>
      </c>
      <c r="FF272">
        <f t="shared" si="601"/>
        <v>0</v>
      </c>
      <c r="FG272">
        <f t="shared" si="602"/>
        <v>0</v>
      </c>
      <c r="FH272">
        <v>0</v>
      </c>
      <c r="FI272">
        <f t="shared" si="603"/>
        <v>0</v>
      </c>
      <c r="FJ272" t="b">
        <f t="shared" si="604"/>
        <v>0</v>
      </c>
      <c r="FK272">
        <f t="shared" ca="1" si="605"/>
        <v>2486</v>
      </c>
      <c r="FL272">
        <f t="shared" ca="1" si="606"/>
        <v>453370</v>
      </c>
      <c r="FM272">
        <f t="shared" si="607"/>
        <v>75000</v>
      </c>
      <c r="FN272">
        <f t="shared" ca="1" si="608"/>
        <v>378370</v>
      </c>
      <c r="FO272">
        <f t="shared" ca="1" si="609"/>
        <v>0</v>
      </c>
      <c r="FP272">
        <f t="shared" ca="1" si="610"/>
        <v>0</v>
      </c>
      <c r="FQ272">
        <f t="shared" ca="1" si="611"/>
        <v>0</v>
      </c>
      <c r="FR272">
        <f t="shared" ca="1" si="612"/>
        <v>0</v>
      </c>
      <c r="FS272">
        <f t="shared" ca="1" si="613"/>
        <v>0</v>
      </c>
      <c r="FT272">
        <f t="shared" ca="1" si="614"/>
        <v>0</v>
      </c>
      <c r="FU272">
        <f t="shared" ca="1" si="615"/>
        <v>0</v>
      </c>
      <c r="FV272">
        <f t="shared" ca="1" si="616"/>
        <v>0</v>
      </c>
      <c r="FW272">
        <f t="shared" ca="1" si="617"/>
        <v>78370</v>
      </c>
      <c r="FX272">
        <f t="shared" ca="1" si="618"/>
        <v>3918.5</v>
      </c>
      <c r="FY272">
        <f t="shared" ca="1" si="619"/>
        <v>3919</v>
      </c>
      <c r="FZ272">
        <f t="shared" ca="1" si="620"/>
        <v>0</v>
      </c>
      <c r="GA272">
        <f t="shared" ca="1" si="621"/>
        <v>0</v>
      </c>
      <c r="GB272">
        <f t="shared" ca="1" si="622"/>
        <v>3919</v>
      </c>
      <c r="GC272">
        <f t="shared" ca="1" si="623"/>
        <v>0</v>
      </c>
      <c r="GD272" t="b">
        <f t="shared" ca="1" si="624"/>
        <v>0</v>
      </c>
      <c r="GE272">
        <f t="shared" ca="1" si="625"/>
        <v>0</v>
      </c>
      <c r="GF272">
        <f t="shared" ca="1" si="626"/>
        <v>3919</v>
      </c>
      <c r="GG272">
        <f t="shared" ca="1" si="627"/>
        <v>0</v>
      </c>
      <c r="GH272">
        <f t="shared" ca="1" si="628"/>
        <v>0</v>
      </c>
      <c r="GI272">
        <f t="shared" ca="1" si="629"/>
        <v>0</v>
      </c>
    </row>
    <row r="273" spans="1:191" x14ac:dyDescent="0.25">
      <c r="A273">
        <f>_xlfn.AGGREGATE(3,5,$B$2:B273)</f>
        <v>272</v>
      </c>
      <c r="B273" t="s">
        <v>664</v>
      </c>
      <c r="C273" t="s">
        <v>665</v>
      </c>
      <c r="D273" t="s">
        <v>835</v>
      </c>
      <c r="E273" t="s">
        <v>843</v>
      </c>
      <c r="F273">
        <v>0</v>
      </c>
      <c r="G273">
        <v>0</v>
      </c>
      <c r="H273">
        <v>45900</v>
      </c>
      <c r="I273">
        <f t="shared" si="532"/>
        <v>4590</v>
      </c>
      <c r="J273">
        <f t="shared" si="533"/>
        <v>5508</v>
      </c>
      <c r="K273">
        <v>400</v>
      </c>
      <c r="L273">
        <v>0</v>
      </c>
      <c r="M273">
        <f t="shared" si="534"/>
        <v>56398</v>
      </c>
      <c r="N273">
        <v>7000</v>
      </c>
      <c r="O273">
        <v>60</v>
      </c>
      <c r="P273">
        <f t="shared" si="535"/>
        <v>200</v>
      </c>
      <c r="Q273">
        <f t="shared" si="536"/>
        <v>49138</v>
      </c>
      <c r="R273">
        <v>45900</v>
      </c>
      <c r="S273">
        <f t="shared" si="537"/>
        <v>4590</v>
      </c>
      <c r="T273">
        <f t="shared" si="538"/>
        <v>5508</v>
      </c>
      <c r="U273">
        <v>400</v>
      </c>
      <c r="V273">
        <v>0</v>
      </c>
      <c r="W273">
        <f t="shared" si="539"/>
        <v>56398</v>
      </c>
      <c r="X273">
        <v>7000</v>
      </c>
      <c r="Y273">
        <v>60</v>
      </c>
      <c r="Z273">
        <f t="shared" si="540"/>
        <v>200</v>
      </c>
      <c r="AA273">
        <f t="shared" si="541"/>
        <v>49138</v>
      </c>
      <c r="AB273">
        <v>45900</v>
      </c>
      <c r="AC273">
        <f t="shared" si="542"/>
        <v>6426.0000000000009</v>
      </c>
      <c r="AD273">
        <f t="shared" si="543"/>
        <v>5508</v>
      </c>
      <c r="AE273">
        <v>400</v>
      </c>
      <c r="AF273">
        <v>0</v>
      </c>
      <c r="AG273">
        <f t="shared" si="544"/>
        <v>58234</v>
      </c>
      <c r="AH273">
        <v>7000</v>
      </c>
      <c r="AI273">
        <v>60</v>
      </c>
      <c r="AJ273">
        <f t="shared" si="545"/>
        <v>200</v>
      </c>
      <c r="AK273">
        <f t="shared" si="546"/>
        <v>50974</v>
      </c>
      <c r="AL273">
        <v>45900</v>
      </c>
      <c r="AM273">
        <f t="shared" si="547"/>
        <v>6426.0000000000009</v>
      </c>
      <c r="AN273">
        <f t="shared" si="548"/>
        <v>5508</v>
      </c>
      <c r="AO273">
        <v>400</v>
      </c>
      <c r="AP273">
        <v>0</v>
      </c>
      <c r="AQ273">
        <f t="shared" si="549"/>
        <v>58234</v>
      </c>
      <c r="AR273">
        <v>7000</v>
      </c>
      <c r="AS273">
        <v>60</v>
      </c>
      <c r="AT273">
        <f t="shared" si="550"/>
        <v>200</v>
      </c>
      <c r="AU273">
        <f t="shared" si="551"/>
        <v>50974</v>
      </c>
      <c r="AV273">
        <v>47300</v>
      </c>
      <c r="AW273">
        <f t="shared" si="552"/>
        <v>6622.0000000000009</v>
      </c>
      <c r="AX273">
        <f t="shared" si="553"/>
        <v>1836</v>
      </c>
      <c r="AY273">
        <f t="shared" si="554"/>
        <v>5676</v>
      </c>
      <c r="AZ273">
        <v>400</v>
      </c>
      <c r="BA273">
        <v>0</v>
      </c>
      <c r="BB273">
        <f t="shared" si="555"/>
        <v>61834</v>
      </c>
      <c r="BC273">
        <v>7000</v>
      </c>
      <c r="BD273">
        <v>60</v>
      </c>
      <c r="BE273">
        <f t="shared" si="556"/>
        <v>200</v>
      </c>
      <c r="BF273">
        <f t="shared" si="557"/>
        <v>54574</v>
      </c>
      <c r="BG273">
        <v>47300</v>
      </c>
      <c r="BH273">
        <f t="shared" si="558"/>
        <v>6622.0000000000009</v>
      </c>
      <c r="BI273">
        <f t="shared" si="559"/>
        <v>5676</v>
      </c>
      <c r="BJ273">
        <v>400</v>
      </c>
      <c r="BK273">
        <v>0</v>
      </c>
      <c r="BL273">
        <f t="shared" si="560"/>
        <v>59998</v>
      </c>
      <c r="BM273">
        <v>7000</v>
      </c>
      <c r="BN273">
        <v>60</v>
      </c>
      <c r="BO273">
        <f t="shared" si="561"/>
        <v>200</v>
      </c>
      <c r="BP273">
        <f t="shared" si="562"/>
        <v>52738</v>
      </c>
      <c r="BQ273">
        <v>47300</v>
      </c>
      <c r="BR273">
        <f t="shared" si="563"/>
        <v>6622.0000000000009</v>
      </c>
      <c r="BS273">
        <f t="shared" si="564"/>
        <v>5676</v>
      </c>
      <c r="BT273">
        <v>400</v>
      </c>
      <c r="BU273">
        <v>0</v>
      </c>
      <c r="BV273">
        <f t="shared" si="565"/>
        <v>59998</v>
      </c>
      <c r="BW273">
        <v>7000</v>
      </c>
      <c r="BX273">
        <v>60</v>
      </c>
      <c r="BY273">
        <f t="shared" si="566"/>
        <v>200</v>
      </c>
      <c r="BZ273">
        <f t="shared" si="567"/>
        <v>52738</v>
      </c>
      <c r="CA273">
        <v>47300</v>
      </c>
      <c r="CB273">
        <f t="shared" si="568"/>
        <v>6622.0000000000009</v>
      </c>
      <c r="CC273">
        <f t="shared" si="569"/>
        <v>5676</v>
      </c>
      <c r="CD273">
        <v>400</v>
      </c>
      <c r="CE273">
        <v>0</v>
      </c>
      <c r="CF273">
        <f t="shared" si="570"/>
        <v>59998</v>
      </c>
      <c r="CG273">
        <v>7000</v>
      </c>
      <c r="CH273">
        <v>60</v>
      </c>
      <c r="CI273">
        <f t="shared" si="571"/>
        <v>200</v>
      </c>
      <c r="CJ273">
        <f t="shared" si="572"/>
        <v>52738</v>
      </c>
      <c r="CK273">
        <v>47300</v>
      </c>
      <c r="CL273">
        <f t="shared" si="573"/>
        <v>6622.0000000000009</v>
      </c>
      <c r="CM273">
        <f t="shared" si="574"/>
        <v>5676</v>
      </c>
      <c r="CN273">
        <v>400</v>
      </c>
      <c r="CO273">
        <v>0</v>
      </c>
      <c r="CP273">
        <f t="shared" si="575"/>
        <v>59998</v>
      </c>
      <c r="CQ273">
        <v>7000</v>
      </c>
      <c r="CR273">
        <v>60</v>
      </c>
      <c r="CS273">
        <f t="shared" si="576"/>
        <v>200</v>
      </c>
      <c r="CT273">
        <f t="shared" si="577"/>
        <v>52738</v>
      </c>
      <c r="CU273">
        <v>47300</v>
      </c>
      <c r="CV273">
        <f t="shared" si="578"/>
        <v>6622</v>
      </c>
      <c r="CW273">
        <f t="shared" si="579"/>
        <v>5676</v>
      </c>
      <c r="CX273">
        <v>400</v>
      </c>
      <c r="CY273">
        <v>0</v>
      </c>
      <c r="CZ273">
        <f t="shared" si="580"/>
        <v>59998</v>
      </c>
      <c r="DA273">
        <v>7000</v>
      </c>
      <c r="DB273">
        <v>60</v>
      </c>
      <c r="DC273">
        <f t="shared" si="581"/>
        <v>200</v>
      </c>
      <c r="DD273">
        <f t="shared" si="582"/>
        <v>52738</v>
      </c>
      <c r="DE273">
        <v>47300</v>
      </c>
      <c r="DF273">
        <f t="shared" si="583"/>
        <v>6622.0000000000009</v>
      </c>
      <c r="DG273">
        <f t="shared" si="584"/>
        <v>5676</v>
      </c>
      <c r="DH273">
        <v>400</v>
      </c>
      <c r="DI273">
        <v>0</v>
      </c>
      <c r="DJ273">
        <f t="shared" si="585"/>
        <v>59998</v>
      </c>
      <c r="DK273">
        <v>7000</v>
      </c>
      <c r="DL273">
        <v>60</v>
      </c>
      <c r="DM273">
        <f t="shared" si="586"/>
        <v>200</v>
      </c>
      <c r="DN273">
        <f t="shared" si="587"/>
        <v>52738</v>
      </c>
      <c r="DO273">
        <v>47300</v>
      </c>
      <c r="DP273">
        <f t="shared" si="588"/>
        <v>6622.0000000000009</v>
      </c>
      <c r="DQ273">
        <f t="shared" si="589"/>
        <v>5676</v>
      </c>
      <c r="DR273">
        <v>400</v>
      </c>
      <c r="DS273">
        <v>0</v>
      </c>
      <c r="DT273">
        <f t="shared" si="590"/>
        <v>59998</v>
      </c>
      <c r="DU273">
        <v>7000</v>
      </c>
      <c r="DV273">
        <v>60</v>
      </c>
      <c r="DW273">
        <f t="shared" si="591"/>
        <v>200</v>
      </c>
      <c r="DX273">
        <f t="shared" si="592"/>
        <v>52738</v>
      </c>
      <c r="DY273">
        <f t="shared" si="593"/>
        <v>711084</v>
      </c>
      <c r="DZ273">
        <f t="shared" si="525"/>
        <v>2400</v>
      </c>
      <c r="EA273">
        <f t="shared" si="526"/>
        <v>50000</v>
      </c>
      <c r="EB273">
        <v>0</v>
      </c>
      <c r="EC273">
        <f t="shared" si="527"/>
        <v>658684</v>
      </c>
      <c r="ED273">
        <f t="shared" si="528"/>
        <v>84000</v>
      </c>
      <c r="EE273">
        <f t="shared" si="529"/>
        <v>720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f t="shared" si="530"/>
        <v>84720</v>
      </c>
      <c r="EQ273">
        <f t="shared" si="594"/>
        <v>84720</v>
      </c>
      <c r="ER273">
        <f t="shared" si="531"/>
        <v>573964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f t="shared" si="595"/>
        <v>0</v>
      </c>
      <c r="FA273">
        <f t="shared" si="596"/>
        <v>573964</v>
      </c>
      <c r="FB273">
        <f t="shared" si="597"/>
        <v>12500</v>
      </c>
      <c r="FC273">
        <f t="shared" si="598"/>
        <v>14793</v>
      </c>
      <c r="FD273">
        <f t="shared" si="599"/>
        <v>27293</v>
      </c>
      <c r="FE273">
        <f t="shared" si="600"/>
        <v>27293</v>
      </c>
      <c r="FF273">
        <f t="shared" si="601"/>
        <v>1091.72</v>
      </c>
      <c r="FG273">
        <f t="shared" si="602"/>
        <v>28385</v>
      </c>
      <c r="FH273">
        <v>0</v>
      </c>
      <c r="FI273">
        <f t="shared" si="603"/>
        <v>28385</v>
      </c>
      <c r="FJ273" t="b">
        <f t="shared" si="604"/>
        <v>1</v>
      </c>
      <c r="FK273">
        <f t="shared" ca="1" si="605"/>
        <v>703</v>
      </c>
      <c r="FL273">
        <f t="shared" ca="1" si="606"/>
        <v>711787</v>
      </c>
      <c r="FM273">
        <f t="shared" si="607"/>
        <v>75000</v>
      </c>
      <c r="FN273">
        <f t="shared" ca="1" si="608"/>
        <v>636787</v>
      </c>
      <c r="FO273">
        <f t="shared" ca="1" si="609"/>
        <v>0</v>
      </c>
      <c r="FP273">
        <f t="shared" ca="1" si="610"/>
        <v>0</v>
      </c>
      <c r="FQ273">
        <f t="shared" ca="1" si="611"/>
        <v>0</v>
      </c>
      <c r="FR273">
        <f t="shared" ca="1" si="612"/>
        <v>0</v>
      </c>
      <c r="FS273">
        <f t="shared" ca="1" si="613"/>
        <v>0</v>
      </c>
      <c r="FT273">
        <f t="shared" ca="1" si="614"/>
        <v>0</v>
      </c>
      <c r="FU273">
        <f t="shared" ca="1" si="615"/>
        <v>0</v>
      </c>
      <c r="FV273">
        <f t="shared" ca="1" si="616"/>
        <v>0</v>
      </c>
      <c r="FW273">
        <f t="shared" ca="1" si="617"/>
        <v>336787</v>
      </c>
      <c r="FX273">
        <f t="shared" ca="1" si="618"/>
        <v>16839.350000000002</v>
      </c>
      <c r="FY273">
        <f t="shared" ca="1" si="619"/>
        <v>16839</v>
      </c>
      <c r="FZ273">
        <f t="shared" ca="1" si="620"/>
        <v>0</v>
      </c>
      <c r="GA273">
        <f t="shared" ca="1" si="621"/>
        <v>0</v>
      </c>
      <c r="GB273">
        <f t="shared" ca="1" si="622"/>
        <v>16839</v>
      </c>
      <c r="GC273">
        <f t="shared" ca="1" si="623"/>
        <v>0</v>
      </c>
      <c r="GD273" t="b">
        <f t="shared" ca="1" si="624"/>
        <v>0</v>
      </c>
      <c r="GE273">
        <f t="shared" ca="1" si="625"/>
        <v>0</v>
      </c>
      <c r="GF273">
        <f t="shared" ca="1" si="626"/>
        <v>16839</v>
      </c>
      <c r="GG273">
        <f t="shared" ca="1" si="627"/>
        <v>0</v>
      </c>
      <c r="GH273">
        <f t="shared" ca="1" si="628"/>
        <v>0</v>
      </c>
      <c r="GI273">
        <f t="shared" ca="1" si="629"/>
        <v>0</v>
      </c>
    </row>
    <row r="274" spans="1:191" x14ac:dyDescent="0.25">
      <c r="A274">
        <f>_xlfn.AGGREGATE(3,5,$B$2:B274)</f>
        <v>273</v>
      </c>
      <c r="B274" t="s">
        <v>666</v>
      </c>
      <c r="C274" t="s">
        <v>667</v>
      </c>
      <c r="D274" t="s">
        <v>835</v>
      </c>
      <c r="E274" t="s">
        <v>844</v>
      </c>
      <c r="F274">
        <v>0</v>
      </c>
      <c r="G274">
        <v>0</v>
      </c>
      <c r="H274">
        <v>48700</v>
      </c>
      <c r="I274">
        <f t="shared" si="532"/>
        <v>4870</v>
      </c>
      <c r="J274">
        <f t="shared" si="533"/>
        <v>5844</v>
      </c>
      <c r="K274">
        <v>0</v>
      </c>
      <c r="L274">
        <v>500</v>
      </c>
      <c r="M274">
        <f t="shared" si="534"/>
        <v>59914</v>
      </c>
      <c r="N274">
        <v>5000</v>
      </c>
      <c r="O274">
        <v>0</v>
      </c>
      <c r="P274">
        <f t="shared" si="535"/>
        <v>200</v>
      </c>
      <c r="Q274">
        <f t="shared" si="536"/>
        <v>54714</v>
      </c>
      <c r="R274">
        <v>48700</v>
      </c>
      <c r="S274">
        <f t="shared" si="537"/>
        <v>4870</v>
      </c>
      <c r="T274">
        <f t="shared" si="538"/>
        <v>5844</v>
      </c>
      <c r="U274">
        <v>0</v>
      </c>
      <c r="V274">
        <v>500</v>
      </c>
      <c r="W274">
        <f t="shared" si="539"/>
        <v>59914</v>
      </c>
      <c r="X274">
        <v>5000</v>
      </c>
      <c r="Y274">
        <v>0</v>
      </c>
      <c r="Z274">
        <f t="shared" si="540"/>
        <v>200</v>
      </c>
      <c r="AA274">
        <f t="shared" si="541"/>
        <v>54714</v>
      </c>
      <c r="AB274">
        <v>48700</v>
      </c>
      <c r="AC274">
        <f t="shared" si="542"/>
        <v>6818.0000000000009</v>
      </c>
      <c r="AD274">
        <f t="shared" si="543"/>
        <v>5844</v>
      </c>
      <c r="AE274">
        <v>0</v>
      </c>
      <c r="AF274">
        <v>500</v>
      </c>
      <c r="AG274">
        <f t="shared" si="544"/>
        <v>61862</v>
      </c>
      <c r="AH274">
        <v>5000</v>
      </c>
      <c r="AI274">
        <v>0</v>
      </c>
      <c r="AJ274">
        <f t="shared" si="545"/>
        <v>200</v>
      </c>
      <c r="AK274">
        <f t="shared" si="546"/>
        <v>56662</v>
      </c>
      <c r="AL274">
        <v>48700</v>
      </c>
      <c r="AM274">
        <f t="shared" si="547"/>
        <v>6818.0000000000009</v>
      </c>
      <c r="AN274">
        <f t="shared" si="548"/>
        <v>5844</v>
      </c>
      <c r="AO274">
        <v>0</v>
      </c>
      <c r="AP274">
        <v>500</v>
      </c>
      <c r="AQ274">
        <f t="shared" si="549"/>
        <v>61862</v>
      </c>
      <c r="AR274">
        <v>5000</v>
      </c>
      <c r="AS274">
        <v>0</v>
      </c>
      <c r="AT274">
        <f t="shared" si="550"/>
        <v>200</v>
      </c>
      <c r="AU274">
        <f t="shared" si="551"/>
        <v>56662</v>
      </c>
      <c r="AV274">
        <v>50200</v>
      </c>
      <c r="AW274">
        <f t="shared" si="552"/>
        <v>7028.0000000000009</v>
      </c>
      <c r="AX274">
        <f t="shared" si="553"/>
        <v>1948</v>
      </c>
      <c r="AY274">
        <f t="shared" si="554"/>
        <v>6024</v>
      </c>
      <c r="AZ274">
        <v>0</v>
      </c>
      <c r="BA274">
        <v>500</v>
      </c>
      <c r="BB274">
        <f t="shared" si="555"/>
        <v>65700</v>
      </c>
      <c r="BC274">
        <v>5000</v>
      </c>
      <c r="BD274">
        <v>0</v>
      </c>
      <c r="BE274">
        <f t="shared" si="556"/>
        <v>200</v>
      </c>
      <c r="BF274">
        <f t="shared" si="557"/>
        <v>60500</v>
      </c>
      <c r="BG274">
        <v>50200</v>
      </c>
      <c r="BH274">
        <f t="shared" si="558"/>
        <v>7028.0000000000009</v>
      </c>
      <c r="BI274">
        <f t="shared" si="559"/>
        <v>6024</v>
      </c>
      <c r="BJ274">
        <v>0</v>
      </c>
      <c r="BK274">
        <v>500</v>
      </c>
      <c r="BL274">
        <f t="shared" si="560"/>
        <v>63752</v>
      </c>
      <c r="BM274">
        <v>5000</v>
      </c>
      <c r="BN274">
        <v>0</v>
      </c>
      <c r="BO274">
        <f t="shared" si="561"/>
        <v>200</v>
      </c>
      <c r="BP274">
        <f t="shared" si="562"/>
        <v>58552</v>
      </c>
      <c r="BQ274">
        <v>50200</v>
      </c>
      <c r="BR274">
        <f t="shared" si="563"/>
        <v>7028.0000000000009</v>
      </c>
      <c r="BS274">
        <f t="shared" si="564"/>
        <v>6024</v>
      </c>
      <c r="BT274">
        <v>0</v>
      </c>
      <c r="BU274">
        <v>500</v>
      </c>
      <c r="BV274">
        <f t="shared" si="565"/>
        <v>63752</v>
      </c>
      <c r="BW274">
        <v>5000</v>
      </c>
      <c r="BX274">
        <v>0</v>
      </c>
      <c r="BY274">
        <f t="shared" si="566"/>
        <v>200</v>
      </c>
      <c r="BZ274">
        <f t="shared" si="567"/>
        <v>58552</v>
      </c>
      <c r="CA274">
        <v>50200</v>
      </c>
      <c r="CB274">
        <f t="shared" si="568"/>
        <v>7028.0000000000009</v>
      </c>
      <c r="CC274">
        <f t="shared" si="569"/>
        <v>6024</v>
      </c>
      <c r="CD274">
        <v>0</v>
      </c>
      <c r="CE274">
        <v>500</v>
      </c>
      <c r="CF274">
        <f t="shared" si="570"/>
        <v>63752</v>
      </c>
      <c r="CG274">
        <v>5000</v>
      </c>
      <c r="CH274">
        <v>0</v>
      </c>
      <c r="CI274">
        <f t="shared" si="571"/>
        <v>200</v>
      </c>
      <c r="CJ274">
        <f t="shared" si="572"/>
        <v>58552</v>
      </c>
      <c r="CK274">
        <v>50200</v>
      </c>
      <c r="CL274">
        <f t="shared" si="573"/>
        <v>7028.0000000000009</v>
      </c>
      <c r="CM274">
        <f t="shared" si="574"/>
        <v>6024</v>
      </c>
      <c r="CN274">
        <v>0</v>
      </c>
      <c r="CO274">
        <v>500</v>
      </c>
      <c r="CP274">
        <f t="shared" si="575"/>
        <v>63752</v>
      </c>
      <c r="CQ274">
        <v>5000</v>
      </c>
      <c r="CR274">
        <v>0</v>
      </c>
      <c r="CS274">
        <f t="shared" si="576"/>
        <v>200</v>
      </c>
      <c r="CT274">
        <f t="shared" si="577"/>
        <v>58552</v>
      </c>
      <c r="CU274">
        <v>50200</v>
      </c>
      <c r="CV274">
        <f t="shared" si="578"/>
        <v>7028</v>
      </c>
      <c r="CW274">
        <f t="shared" si="579"/>
        <v>6024</v>
      </c>
      <c r="CX274">
        <v>0</v>
      </c>
      <c r="CY274">
        <v>500</v>
      </c>
      <c r="CZ274">
        <f t="shared" si="580"/>
        <v>63752</v>
      </c>
      <c r="DA274">
        <v>5000</v>
      </c>
      <c r="DB274">
        <v>0</v>
      </c>
      <c r="DC274">
        <f t="shared" si="581"/>
        <v>200</v>
      </c>
      <c r="DD274">
        <f t="shared" si="582"/>
        <v>58552</v>
      </c>
      <c r="DE274">
        <v>50200</v>
      </c>
      <c r="DF274">
        <f t="shared" si="583"/>
        <v>7028.0000000000009</v>
      </c>
      <c r="DG274">
        <f t="shared" si="584"/>
        <v>6024</v>
      </c>
      <c r="DH274">
        <v>0</v>
      </c>
      <c r="DI274">
        <v>500</v>
      </c>
      <c r="DJ274">
        <f t="shared" si="585"/>
        <v>63752</v>
      </c>
      <c r="DK274">
        <v>5000</v>
      </c>
      <c r="DL274">
        <v>0</v>
      </c>
      <c r="DM274">
        <f t="shared" si="586"/>
        <v>200</v>
      </c>
      <c r="DN274">
        <f t="shared" si="587"/>
        <v>58552</v>
      </c>
      <c r="DO274">
        <v>50200</v>
      </c>
      <c r="DP274">
        <f t="shared" si="588"/>
        <v>7028.0000000000009</v>
      </c>
      <c r="DQ274">
        <f t="shared" si="589"/>
        <v>6024</v>
      </c>
      <c r="DR274">
        <v>0</v>
      </c>
      <c r="DS274">
        <v>500</v>
      </c>
      <c r="DT274">
        <f t="shared" si="590"/>
        <v>63752</v>
      </c>
      <c r="DU274">
        <v>5000</v>
      </c>
      <c r="DV274">
        <v>0</v>
      </c>
      <c r="DW274">
        <f t="shared" si="591"/>
        <v>200</v>
      </c>
      <c r="DX274">
        <f t="shared" si="592"/>
        <v>58552</v>
      </c>
      <c r="DY274">
        <f t="shared" si="593"/>
        <v>755516</v>
      </c>
      <c r="DZ274">
        <f t="shared" si="525"/>
        <v>2400</v>
      </c>
      <c r="EA274">
        <f t="shared" si="526"/>
        <v>50000</v>
      </c>
      <c r="EB274">
        <v>0</v>
      </c>
      <c r="EC274">
        <f t="shared" si="527"/>
        <v>703116</v>
      </c>
      <c r="ED274">
        <f t="shared" si="528"/>
        <v>60000</v>
      </c>
      <c r="EE274">
        <f t="shared" si="529"/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f t="shared" si="530"/>
        <v>60000</v>
      </c>
      <c r="EQ274">
        <f t="shared" si="594"/>
        <v>60000</v>
      </c>
      <c r="ER274">
        <f t="shared" si="531"/>
        <v>643116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f t="shared" si="595"/>
        <v>0</v>
      </c>
      <c r="FA274">
        <f t="shared" si="596"/>
        <v>643116</v>
      </c>
      <c r="FB274">
        <f t="shared" si="597"/>
        <v>12500</v>
      </c>
      <c r="FC274">
        <f t="shared" si="598"/>
        <v>28623</v>
      </c>
      <c r="FD274">
        <f t="shared" si="599"/>
        <v>41123</v>
      </c>
      <c r="FE274">
        <f t="shared" si="600"/>
        <v>41123</v>
      </c>
      <c r="FF274">
        <f t="shared" si="601"/>
        <v>1644.92</v>
      </c>
      <c r="FG274">
        <f t="shared" si="602"/>
        <v>42768</v>
      </c>
      <c r="FH274">
        <v>0</v>
      </c>
      <c r="FI274">
        <f t="shared" si="603"/>
        <v>42768</v>
      </c>
      <c r="FJ274" t="b">
        <f t="shared" si="604"/>
        <v>1</v>
      </c>
      <c r="FK274">
        <f t="shared" ca="1" si="605"/>
        <v>656</v>
      </c>
      <c r="FL274">
        <f t="shared" ca="1" si="606"/>
        <v>756172</v>
      </c>
      <c r="FM274">
        <f t="shared" si="607"/>
        <v>75000</v>
      </c>
      <c r="FN274">
        <f t="shared" ca="1" si="608"/>
        <v>681172</v>
      </c>
      <c r="FO274">
        <f t="shared" ca="1" si="609"/>
        <v>0</v>
      </c>
      <c r="FP274">
        <f t="shared" ca="1" si="610"/>
        <v>0</v>
      </c>
      <c r="FQ274">
        <f t="shared" ca="1" si="611"/>
        <v>0</v>
      </c>
      <c r="FR274">
        <f t="shared" ca="1" si="612"/>
        <v>0</v>
      </c>
      <c r="FS274">
        <f t="shared" ca="1" si="613"/>
        <v>0</v>
      </c>
      <c r="FT274">
        <f t="shared" ca="1" si="614"/>
        <v>0</v>
      </c>
      <c r="FU274">
        <f t="shared" ca="1" si="615"/>
        <v>0</v>
      </c>
      <c r="FV274">
        <f t="shared" ca="1" si="616"/>
        <v>0</v>
      </c>
      <c r="FW274">
        <f t="shared" ca="1" si="617"/>
        <v>381172</v>
      </c>
      <c r="FX274">
        <f t="shared" ca="1" si="618"/>
        <v>19058.600000000002</v>
      </c>
      <c r="FY274">
        <f t="shared" ca="1" si="619"/>
        <v>19059</v>
      </c>
      <c r="FZ274">
        <f t="shared" ca="1" si="620"/>
        <v>0</v>
      </c>
      <c r="GA274">
        <f t="shared" ca="1" si="621"/>
        <v>0</v>
      </c>
      <c r="GB274">
        <f t="shared" ca="1" si="622"/>
        <v>19059</v>
      </c>
      <c r="GC274">
        <f t="shared" ca="1" si="623"/>
        <v>0</v>
      </c>
      <c r="GD274" t="b">
        <f t="shared" ca="1" si="624"/>
        <v>0</v>
      </c>
      <c r="GE274">
        <f t="shared" ca="1" si="625"/>
        <v>0</v>
      </c>
      <c r="GF274">
        <f t="shared" ca="1" si="626"/>
        <v>19059</v>
      </c>
      <c r="GG274">
        <f t="shared" ca="1" si="627"/>
        <v>0</v>
      </c>
      <c r="GH274">
        <f t="shared" ca="1" si="628"/>
        <v>0</v>
      </c>
      <c r="GI274">
        <f t="shared" ca="1" si="629"/>
        <v>0</v>
      </c>
    </row>
    <row r="275" spans="1:191" x14ac:dyDescent="0.25">
      <c r="A275">
        <f>_xlfn.AGGREGATE(3,5,$B$2:B275)</f>
        <v>274</v>
      </c>
      <c r="B275" t="s">
        <v>668</v>
      </c>
      <c r="C275" t="s">
        <v>669</v>
      </c>
      <c r="D275" t="s">
        <v>835</v>
      </c>
      <c r="E275" t="s">
        <v>843</v>
      </c>
      <c r="F275">
        <v>0</v>
      </c>
      <c r="G275">
        <v>6000</v>
      </c>
      <c r="H275">
        <v>32500</v>
      </c>
      <c r="I275">
        <f t="shared" si="532"/>
        <v>3250</v>
      </c>
      <c r="J275">
        <f t="shared" si="533"/>
        <v>3900</v>
      </c>
      <c r="K275">
        <v>0</v>
      </c>
      <c r="L275">
        <v>500</v>
      </c>
      <c r="M275">
        <f t="shared" si="534"/>
        <v>40150</v>
      </c>
      <c r="N275">
        <v>5000</v>
      </c>
      <c r="O275">
        <v>0</v>
      </c>
      <c r="P275">
        <f t="shared" si="535"/>
        <v>200</v>
      </c>
      <c r="Q275">
        <f t="shared" si="536"/>
        <v>34950</v>
      </c>
      <c r="R275">
        <v>32500</v>
      </c>
      <c r="S275">
        <f t="shared" si="537"/>
        <v>3250</v>
      </c>
      <c r="T275">
        <f t="shared" si="538"/>
        <v>3900</v>
      </c>
      <c r="U275">
        <v>0</v>
      </c>
      <c r="V275">
        <v>500</v>
      </c>
      <c r="W275">
        <f t="shared" si="539"/>
        <v>40150</v>
      </c>
      <c r="X275">
        <v>5000</v>
      </c>
      <c r="Y275">
        <v>0</v>
      </c>
      <c r="Z275">
        <f t="shared" si="540"/>
        <v>200</v>
      </c>
      <c r="AA275">
        <f t="shared" si="541"/>
        <v>34950</v>
      </c>
      <c r="AB275">
        <v>32500</v>
      </c>
      <c r="AC275">
        <f t="shared" si="542"/>
        <v>4550</v>
      </c>
      <c r="AD275">
        <f t="shared" si="543"/>
        <v>3900</v>
      </c>
      <c r="AE275">
        <v>0</v>
      </c>
      <c r="AF275">
        <v>500</v>
      </c>
      <c r="AG275">
        <f t="shared" si="544"/>
        <v>41450</v>
      </c>
      <c r="AH275">
        <v>5000</v>
      </c>
      <c r="AI275">
        <v>0</v>
      </c>
      <c r="AJ275">
        <f t="shared" si="545"/>
        <v>200</v>
      </c>
      <c r="AK275">
        <f t="shared" si="546"/>
        <v>36250</v>
      </c>
      <c r="AL275">
        <v>32500</v>
      </c>
      <c r="AM275">
        <f t="shared" si="547"/>
        <v>4550</v>
      </c>
      <c r="AN275">
        <f t="shared" si="548"/>
        <v>3900</v>
      </c>
      <c r="AO275">
        <v>0</v>
      </c>
      <c r="AP275">
        <v>500</v>
      </c>
      <c r="AQ275">
        <f t="shared" si="549"/>
        <v>41450</v>
      </c>
      <c r="AR275">
        <v>5000</v>
      </c>
      <c r="AS275">
        <v>0</v>
      </c>
      <c r="AT275">
        <f t="shared" si="550"/>
        <v>200</v>
      </c>
      <c r="AU275">
        <f t="shared" si="551"/>
        <v>36250</v>
      </c>
      <c r="AV275">
        <v>33500</v>
      </c>
      <c r="AW275">
        <f t="shared" si="552"/>
        <v>4690</v>
      </c>
      <c r="AX275">
        <f t="shared" si="553"/>
        <v>1300</v>
      </c>
      <c r="AY275">
        <f t="shared" si="554"/>
        <v>4020</v>
      </c>
      <c r="AZ275">
        <v>0</v>
      </c>
      <c r="BA275">
        <v>500</v>
      </c>
      <c r="BB275">
        <f t="shared" si="555"/>
        <v>44010</v>
      </c>
      <c r="BC275">
        <v>5000</v>
      </c>
      <c r="BD275">
        <v>0</v>
      </c>
      <c r="BE275">
        <f t="shared" si="556"/>
        <v>200</v>
      </c>
      <c r="BF275">
        <f t="shared" si="557"/>
        <v>38810</v>
      </c>
      <c r="BG275">
        <v>33500</v>
      </c>
      <c r="BH275">
        <f t="shared" si="558"/>
        <v>4690</v>
      </c>
      <c r="BI275">
        <f t="shared" si="559"/>
        <v>4020</v>
      </c>
      <c r="BJ275">
        <v>0</v>
      </c>
      <c r="BK275">
        <v>500</v>
      </c>
      <c r="BL275">
        <f t="shared" si="560"/>
        <v>42710</v>
      </c>
      <c r="BM275">
        <v>5000</v>
      </c>
      <c r="BN275">
        <v>0</v>
      </c>
      <c r="BO275">
        <f t="shared" si="561"/>
        <v>200</v>
      </c>
      <c r="BP275">
        <f t="shared" si="562"/>
        <v>37510</v>
      </c>
      <c r="BQ275">
        <v>33500</v>
      </c>
      <c r="BR275">
        <f t="shared" si="563"/>
        <v>4690</v>
      </c>
      <c r="BS275">
        <f t="shared" si="564"/>
        <v>4020</v>
      </c>
      <c r="BT275">
        <v>0</v>
      </c>
      <c r="BU275">
        <v>500</v>
      </c>
      <c r="BV275">
        <f t="shared" si="565"/>
        <v>42710</v>
      </c>
      <c r="BW275">
        <v>5000</v>
      </c>
      <c r="BX275">
        <v>0</v>
      </c>
      <c r="BY275">
        <f t="shared" si="566"/>
        <v>200</v>
      </c>
      <c r="BZ275">
        <f t="shared" si="567"/>
        <v>37510</v>
      </c>
      <c r="CA275">
        <v>33500</v>
      </c>
      <c r="CB275">
        <f t="shared" si="568"/>
        <v>4690</v>
      </c>
      <c r="CC275">
        <f t="shared" si="569"/>
        <v>4020</v>
      </c>
      <c r="CD275">
        <v>0</v>
      </c>
      <c r="CE275">
        <v>500</v>
      </c>
      <c r="CF275">
        <f t="shared" si="570"/>
        <v>42710</v>
      </c>
      <c r="CG275">
        <v>5000</v>
      </c>
      <c r="CH275">
        <v>0</v>
      </c>
      <c r="CI275">
        <f t="shared" si="571"/>
        <v>200</v>
      </c>
      <c r="CJ275">
        <f t="shared" si="572"/>
        <v>37510</v>
      </c>
      <c r="CK275">
        <v>33500</v>
      </c>
      <c r="CL275">
        <f t="shared" si="573"/>
        <v>4690</v>
      </c>
      <c r="CM275">
        <f t="shared" si="574"/>
        <v>4020</v>
      </c>
      <c r="CN275">
        <v>0</v>
      </c>
      <c r="CO275">
        <v>500</v>
      </c>
      <c r="CP275">
        <f t="shared" si="575"/>
        <v>42710</v>
      </c>
      <c r="CQ275">
        <v>5000</v>
      </c>
      <c r="CR275">
        <v>0</v>
      </c>
      <c r="CS275">
        <f t="shared" si="576"/>
        <v>200</v>
      </c>
      <c r="CT275">
        <f t="shared" si="577"/>
        <v>37510</v>
      </c>
      <c r="CU275">
        <v>33500</v>
      </c>
      <c r="CV275">
        <f t="shared" si="578"/>
        <v>4690</v>
      </c>
      <c r="CW275">
        <f t="shared" si="579"/>
        <v>4020</v>
      </c>
      <c r="CX275">
        <v>0</v>
      </c>
      <c r="CY275">
        <v>500</v>
      </c>
      <c r="CZ275">
        <f t="shared" si="580"/>
        <v>42710</v>
      </c>
      <c r="DA275">
        <v>5000</v>
      </c>
      <c r="DB275">
        <v>0</v>
      </c>
      <c r="DC275">
        <f t="shared" si="581"/>
        <v>200</v>
      </c>
      <c r="DD275">
        <f t="shared" si="582"/>
        <v>37510</v>
      </c>
      <c r="DE275">
        <v>33500</v>
      </c>
      <c r="DF275">
        <f t="shared" si="583"/>
        <v>4690</v>
      </c>
      <c r="DG275">
        <f t="shared" si="584"/>
        <v>4020</v>
      </c>
      <c r="DH275">
        <v>0</v>
      </c>
      <c r="DI275">
        <v>500</v>
      </c>
      <c r="DJ275">
        <f t="shared" si="585"/>
        <v>42710</v>
      </c>
      <c r="DK275">
        <v>5000</v>
      </c>
      <c r="DL275">
        <v>0</v>
      </c>
      <c r="DM275">
        <f t="shared" si="586"/>
        <v>200</v>
      </c>
      <c r="DN275">
        <f t="shared" si="587"/>
        <v>37510</v>
      </c>
      <c r="DO275">
        <v>33500</v>
      </c>
      <c r="DP275">
        <f t="shared" si="588"/>
        <v>4690</v>
      </c>
      <c r="DQ275">
        <f t="shared" si="589"/>
        <v>4020</v>
      </c>
      <c r="DR275">
        <v>0</v>
      </c>
      <c r="DS275">
        <v>500</v>
      </c>
      <c r="DT275">
        <f t="shared" si="590"/>
        <v>42710</v>
      </c>
      <c r="DU275">
        <v>5000</v>
      </c>
      <c r="DV275">
        <v>0</v>
      </c>
      <c r="DW275">
        <f t="shared" si="591"/>
        <v>200</v>
      </c>
      <c r="DX275">
        <f t="shared" si="592"/>
        <v>37510</v>
      </c>
      <c r="DY275">
        <f t="shared" si="593"/>
        <v>512180</v>
      </c>
      <c r="DZ275">
        <f t="shared" si="525"/>
        <v>2400</v>
      </c>
      <c r="EA275">
        <f t="shared" si="526"/>
        <v>50000</v>
      </c>
      <c r="EB275">
        <v>0</v>
      </c>
      <c r="EC275">
        <f t="shared" si="527"/>
        <v>459780</v>
      </c>
      <c r="ED275">
        <f t="shared" si="528"/>
        <v>60000</v>
      </c>
      <c r="EE275">
        <f t="shared" si="529"/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f t="shared" si="530"/>
        <v>60000</v>
      </c>
      <c r="EQ275">
        <f t="shared" si="594"/>
        <v>60000</v>
      </c>
      <c r="ER275">
        <f t="shared" si="531"/>
        <v>399780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f t="shared" si="595"/>
        <v>0</v>
      </c>
      <c r="FA275">
        <f t="shared" si="596"/>
        <v>399780</v>
      </c>
      <c r="FB275">
        <f t="shared" si="597"/>
        <v>7489</v>
      </c>
      <c r="FC275">
        <f t="shared" si="598"/>
        <v>0</v>
      </c>
      <c r="FD275">
        <f t="shared" si="599"/>
        <v>7489</v>
      </c>
      <c r="FE275">
        <f t="shared" si="600"/>
        <v>0</v>
      </c>
      <c r="FF275">
        <f t="shared" si="601"/>
        <v>0</v>
      </c>
      <c r="FG275">
        <f t="shared" si="602"/>
        <v>0</v>
      </c>
      <c r="FH275">
        <v>0</v>
      </c>
      <c r="FI275">
        <f t="shared" si="603"/>
        <v>0</v>
      </c>
      <c r="FJ275" t="b">
        <f t="shared" si="604"/>
        <v>1</v>
      </c>
      <c r="FK275">
        <f t="shared" ca="1" si="605"/>
        <v>621</v>
      </c>
      <c r="FL275">
        <f t="shared" ca="1" si="606"/>
        <v>512801</v>
      </c>
      <c r="FM275">
        <f t="shared" si="607"/>
        <v>75000</v>
      </c>
      <c r="FN275">
        <f t="shared" ca="1" si="608"/>
        <v>437801</v>
      </c>
      <c r="FO275">
        <f t="shared" ca="1" si="609"/>
        <v>0</v>
      </c>
      <c r="FP275">
        <f t="shared" ca="1" si="610"/>
        <v>0</v>
      </c>
      <c r="FQ275">
        <f t="shared" ca="1" si="611"/>
        <v>0</v>
      </c>
      <c r="FR275">
        <f t="shared" ca="1" si="612"/>
        <v>0</v>
      </c>
      <c r="FS275">
        <f t="shared" ca="1" si="613"/>
        <v>0</v>
      </c>
      <c r="FT275">
        <f t="shared" ca="1" si="614"/>
        <v>0</v>
      </c>
      <c r="FU275">
        <f t="shared" ca="1" si="615"/>
        <v>0</v>
      </c>
      <c r="FV275">
        <f t="shared" ca="1" si="616"/>
        <v>0</v>
      </c>
      <c r="FW275">
        <f t="shared" ca="1" si="617"/>
        <v>137801</v>
      </c>
      <c r="FX275">
        <f t="shared" ca="1" si="618"/>
        <v>6890.05</v>
      </c>
      <c r="FY275">
        <f t="shared" ca="1" si="619"/>
        <v>6890</v>
      </c>
      <c r="FZ275">
        <f t="shared" ca="1" si="620"/>
        <v>0</v>
      </c>
      <c r="GA275">
        <f t="shared" ca="1" si="621"/>
        <v>0</v>
      </c>
      <c r="GB275">
        <f t="shared" ca="1" si="622"/>
        <v>6890</v>
      </c>
      <c r="GC275">
        <f t="shared" ca="1" si="623"/>
        <v>0</v>
      </c>
      <c r="GD275" t="b">
        <f t="shared" ca="1" si="624"/>
        <v>0</v>
      </c>
      <c r="GE275">
        <f t="shared" ca="1" si="625"/>
        <v>0</v>
      </c>
      <c r="GF275">
        <f t="shared" ca="1" si="626"/>
        <v>6890</v>
      </c>
      <c r="GG275">
        <f t="shared" ca="1" si="627"/>
        <v>0</v>
      </c>
      <c r="GH275">
        <f t="shared" ca="1" si="628"/>
        <v>0</v>
      </c>
      <c r="GI275">
        <f t="shared" ca="1" si="629"/>
        <v>0</v>
      </c>
    </row>
    <row r="276" spans="1:191" x14ac:dyDescent="0.25">
      <c r="A276">
        <f>_xlfn.AGGREGATE(3,5,$B$2:B276)</f>
        <v>275</v>
      </c>
      <c r="B276" t="s">
        <v>670</v>
      </c>
      <c r="C276" t="s">
        <v>671</v>
      </c>
      <c r="D276" t="s">
        <v>835</v>
      </c>
      <c r="E276" t="s">
        <v>843</v>
      </c>
      <c r="F276">
        <v>0</v>
      </c>
      <c r="G276">
        <v>6000</v>
      </c>
      <c r="H276">
        <v>32500</v>
      </c>
      <c r="I276">
        <f t="shared" si="532"/>
        <v>3250</v>
      </c>
      <c r="J276">
        <f t="shared" si="533"/>
        <v>3900</v>
      </c>
      <c r="K276">
        <v>0</v>
      </c>
      <c r="L276">
        <v>500</v>
      </c>
      <c r="M276">
        <f t="shared" si="534"/>
        <v>40150</v>
      </c>
      <c r="N276">
        <v>2500</v>
      </c>
      <c r="O276">
        <v>0</v>
      </c>
      <c r="P276">
        <f t="shared" si="535"/>
        <v>200</v>
      </c>
      <c r="Q276">
        <f t="shared" si="536"/>
        <v>37450</v>
      </c>
      <c r="R276">
        <v>32500</v>
      </c>
      <c r="S276">
        <f t="shared" si="537"/>
        <v>3250</v>
      </c>
      <c r="T276">
        <f t="shared" si="538"/>
        <v>3900</v>
      </c>
      <c r="U276">
        <v>0</v>
      </c>
      <c r="V276">
        <v>500</v>
      </c>
      <c r="W276">
        <f t="shared" si="539"/>
        <v>40150</v>
      </c>
      <c r="X276">
        <v>2500</v>
      </c>
      <c r="Y276">
        <v>0</v>
      </c>
      <c r="Z276">
        <f t="shared" si="540"/>
        <v>200</v>
      </c>
      <c r="AA276">
        <f t="shared" si="541"/>
        <v>37450</v>
      </c>
      <c r="AB276">
        <v>32500</v>
      </c>
      <c r="AC276">
        <f t="shared" si="542"/>
        <v>4550</v>
      </c>
      <c r="AD276">
        <f t="shared" si="543"/>
        <v>3900</v>
      </c>
      <c r="AE276">
        <v>0</v>
      </c>
      <c r="AF276">
        <v>500</v>
      </c>
      <c r="AG276">
        <f t="shared" si="544"/>
        <v>41450</v>
      </c>
      <c r="AH276">
        <v>2500</v>
      </c>
      <c r="AI276">
        <v>0</v>
      </c>
      <c r="AJ276">
        <f t="shared" si="545"/>
        <v>200</v>
      </c>
      <c r="AK276">
        <f t="shared" si="546"/>
        <v>38750</v>
      </c>
      <c r="AL276">
        <v>32500</v>
      </c>
      <c r="AM276">
        <f t="shared" si="547"/>
        <v>4550</v>
      </c>
      <c r="AN276">
        <f t="shared" si="548"/>
        <v>3900</v>
      </c>
      <c r="AO276">
        <v>0</v>
      </c>
      <c r="AP276">
        <v>500</v>
      </c>
      <c r="AQ276">
        <f t="shared" si="549"/>
        <v>41450</v>
      </c>
      <c r="AR276">
        <v>2500</v>
      </c>
      <c r="AS276">
        <v>0</v>
      </c>
      <c r="AT276">
        <f t="shared" si="550"/>
        <v>200</v>
      </c>
      <c r="AU276">
        <f t="shared" si="551"/>
        <v>38750</v>
      </c>
      <c r="AV276">
        <v>33500</v>
      </c>
      <c r="AW276">
        <f t="shared" si="552"/>
        <v>4690</v>
      </c>
      <c r="AX276">
        <f t="shared" si="553"/>
        <v>1300</v>
      </c>
      <c r="AY276">
        <f t="shared" si="554"/>
        <v>4020</v>
      </c>
      <c r="AZ276">
        <v>0</v>
      </c>
      <c r="BA276">
        <v>500</v>
      </c>
      <c r="BB276">
        <f t="shared" si="555"/>
        <v>44010</v>
      </c>
      <c r="BC276">
        <v>2500</v>
      </c>
      <c r="BD276">
        <v>0</v>
      </c>
      <c r="BE276">
        <f t="shared" si="556"/>
        <v>200</v>
      </c>
      <c r="BF276">
        <f t="shared" si="557"/>
        <v>41310</v>
      </c>
      <c r="BG276">
        <v>33500</v>
      </c>
      <c r="BH276">
        <f t="shared" si="558"/>
        <v>4690</v>
      </c>
      <c r="BI276">
        <f t="shared" si="559"/>
        <v>4020</v>
      </c>
      <c r="BJ276">
        <v>0</v>
      </c>
      <c r="BK276">
        <v>500</v>
      </c>
      <c r="BL276">
        <f t="shared" si="560"/>
        <v>42710</v>
      </c>
      <c r="BM276">
        <v>2500</v>
      </c>
      <c r="BN276">
        <v>0</v>
      </c>
      <c r="BO276">
        <f t="shared" si="561"/>
        <v>200</v>
      </c>
      <c r="BP276">
        <f t="shared" si="562"/>
        <v>40010</v>
      </c>
      <c r="BQ276">
        <v>33500</v>
      </c>
      <c r="BR276">
        <f t="shared" si="563"/>
        <v>4690</v>
      </c>
      <c r="BS276">
        <f t="shared" si="564"/>
        <v>4020</v>
      </c>
      <c r="BT276">
        <v>0</v>
      </c>
      <c r="BU276">
        <v>500</v>
      </c>
      <c r="BV276">
        <f t="shared" si="565"/>
        <v>42710</v>
      </c>
      <c r="BW276">
        <v>2500</v>
      </c>
      <c r="BX276">
        <v>0</v>
      </c>
      <c r="BY276">
        <f t="shared" si="566"/>
        <v>200</v>
      </c>
      <c r="BZ276">
        <f t="shared" si="567"/>
        <v>40010</v>
      </c>
      <c r="CA276">
        <v>33500</v>
      </c>
      <c r="CB276">
        <f t="shared" si="568"/>
        <v>4690</v>
      </c>
      <c r="CC276">
        <f t="shared" si="569"/>
        <v>4020</v>
      </c>
      <c r="CD276">
        <v>0</v>
      </c>
      <c r="CE276">
        <v>500</v>
      </c>
      <c r="CF276">
        <f t="shared" si="570"/>
        <v>42710</v>
      </c>
      <c r="CG276">
        <v>2500</v>
      </c>
      <c r="CH276">
        <v>0</v>
      </c>
      <c r="CI276">
        <f t="shared" si="571"/>
        <v>200</v>
      </c>
      <c r="CJ276">
        <f t="shared" si="572"/>
        <v>40010</v>
      </c>
      <c r="CK276">
        <v>33500</v>
      </c>
      <c r="CL276">
        <f t="shared" si="573"/>
        <v>4690</v>
      </c>
      <c r="CM276">
        <f t="shared" si="574"/>
        <v>4020</v>
      </c>
      <c r="CN276">
        <v>0</v>
      </c>
      <c r="CO276">
        <v>500</v>
      </c>
      <c r="CP276">
        <f t="shared" si="575"/>
        <v>42710</v>
      </c>
      <c r="CQ276">
        <v>2500</v>
      </c>
      <c r="CR276">
        <v>0</v>
      </c>
      <c r="CS276">
        <f t="shared" si="576"/>
        <v>200</v>
      </c>
      <c r="CT276">
        <f t="shared" si="577"/>
        <v>40010</v>
      </c>
      <c r="CU276">
        <v>33500</v>
      </c>
      <c r="CV276">
        <f t="shared" si="578"/>
        <v>4690</v>
      </c>
      <c r="CW276">
        <f t="shared" si="579"/>
        <v>4020</v>
      </c>
      <c r="CX276">
        <v>0</v>
      </c>
      <c r="CY276">
        <v>500</v>
      </c>
      <c r="CZ276">
        <f t="shared" si="580"/>
        <v>42710</v>
      </c>
      <c r="DA276">
        <v>2500</v>
      </c>
      <c r="DB276">
        <v>0</v>
      </c>
      <c r="DC276">
        <f t="shared" si="581"/>
        <v>200</v>
      </c>
      <c r="DD276">
        <f t="shared" si="582"/>
        <v>40010</v>
      </c>
      <c r="DE276">
        <v>33500</v>
      </c>
      <c r="DF276">
        <f t="shared" si="583"/>
        <v>4690</v>
      </c>
      <c r="DG276">
        <f t="shared" si="584"/>
        <v>4020</v>
      </c>
      <c r="DH276">
        <v>0</v>
      </c>
      <c r="DI276">
        <v>500</v>
      </c>
      <c r="DJ276">
        <f t="shared" si="585"/>
        <v>42710</v>
      </c>
      <c r="DK276">
        <v>2500</v>
      </c>
      <c r="DL276">
        <v>0</v>
      </c>
      <c r="DM276">
        <f t="shared" si="586"/>
        <v>200</v>
      </c>
      <c r="DN276">
        <f t="shared" si="587"/>
        <v>40010</v>
      </c>
      <c r="DO276">
        <v>33500</v>
      </c>
      <c r="DP276">
        <f t="shared" si="588"/>
        <v>4690</v>
      </c>
      <c r="DQ276">
        <f t="shared" si="589"/>
        <v>4020</v>
      </c>
      <c r="DR276">
        <v>0</v>
      </c>
      <c r="DS276">
        <v>500</v>
      </c>
      <c r="DT276">
        <f t="shared" si="590"/>
        <v>42710</v>
      </c>
      <c r="DU276">
        <v>2500</v>
      </c>
      <c r="DV276">
        <v>0</v>
      </c>
      <c r="DW276">
        <f t="shared" si="591"/>
        <v>200</v>
      </c>
      <c r="DX276">
        <f t="shared" si="592"/>
        <v>40010</v>
      </c>
      <c r="DY276">
        <f t="shared" si="593"/>
        <v>512180</v>
      </c>
      <c r="DZ276">
        <f t="shared" si="525"/>
        <v>2400</v>
      </c>
      <c r="EA276">
        <f t="shared" si="526"/>
        <v>50000</v>
      </c>
      <c r="EB276">
        <v>0</v>
      </c>
      <c r="EC276">
        <f t="shared" si="527"/>
        <v>459780</v>
      </c>
      <c r="ED276">
        <f t="shared" si="528"/>
        <v>30000</v>
      </c>
      <c r="EE276">
        <f t="shared" si="529"/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f t="shared" si="530"/>
        <v>30000</v>
      </c>
      <c r="EQ276">
        <f t="shared" si="594"/>
        <v>30000</v>
      </c>
      <c r="ER276">
        <f t="shared" si="531"/>
        <v>429780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f t="shared" si="595"/>
        <v>0</v>
      </c>
      <c r="FA276">
        <f t="shared" si="596"/>
        <v>429780</v>
      </c>
      <c r="FB276">
        <f t="shared" si="597"/>
        <v>8989</v>
      </c>
      <c r="FC276">
        <f t="shared" si="598"/>
        <v>0</v>
      </c>
      <c r="FD276">
        <f t="shared" si="599"/>
        <v>8989</v>
      </c>
      <c r="FE276">
        <f t="shared" si="600"/>
        <v>0</v>
      </c>
      <c r="FF276">
        <f t="shared" si="601"/>
        <v>0</v>
      </c>
      <c r="FG276">
        <f t="shared" si="602"/>
        <v>0</v>
      </c>
      <c r="FH276">
        <v>0</v>
      </c>
      <c r="FI276">
        <f t="shared" si="603"/>
        <v>0</v>
      </c>
      <c r="FJ276" t="b">
        <f t="shared" si="604"/>
        <v>1</v>
      </c>
      <c r="FK276">
        <f t="shared" ca="1" si="605"/>
        <v>687</v>
      </c>
      <c r="FL276">
        <f t="shared" ca="1" si="606"/>
        <v>512867</v>
      </c>
      <c r="FM276">
        <f t="shared" si="607"/>
        <v>75000</v>
      </c>
      <c r="FN276">
        <f t="shared" ca="1" si="608"/>
        <v>437867</v>
      </c>
      <c r="FO276">
        <f t="shared" ca="1" si="609"/>
        <v>0</v>
      </c>
      <c r="FP276">
        <f t="shared" ca="1" si="610"/>
        <v>0</v>
      </c>
      <c r="FQ276">
        <f t="shared" ca="1" si="611"/>
        <v>0</v>
      </c>
      <c r="FR276">
        <f t="shared" ca="1" si="612"/>
        <v>0</v>
      </c>
      <c r="FS276">
        <f t="shared" ca="1" si="613"/>
        <v>0</v>
      </c>
      <c r="FT276">
        <f t="shared" ca="1" si="614"/>
        <v>0</v>
      </c>
      <c r="FU276">
        <f t="shared" ca="1" si="615"/>
        <v>0</v>
      </c>
      <c r="FV276">
        <f t="shared" ca="1" si="616"/>
        <v>0</v>
      </c>
      <c r="FW276">
        <f t="shared" ca="1" si="617"/>
        <v>137867</v>
      </c>
      <c r="FX276">
        <f t="shared" ca="1" si="618"/>
        <v>6893.35</v>
      </c>
      <c r="FY276">
        <f t="shared" ca="1" si="619"/>
        <v>6893</v>
      </c>
      <c r="FZ276">
        <f t="shared" ca="1" si="620"/>
        <v>0</v>
      </c>
      <c r="GA276">
        <f t="shared" ca="1" si="621"/>
        <v>0</v>
      </c>
      <c r="GB276">
        <f t="shared" ca="1" si="622"/>
        <v>6893</v>
      </c>
      <c r="GC276">
        <f t="shared" ca="1" si="623"/>
        <v>0</v>
      </c>
      <c r="GD276" t="b">
        <f t="shared" ca="1" si="624"/>
        <v>0</v>
      </c>
      <c r="GE276">
        <f t="shared" ca="1" si="625"/>
        <v>0</v>
      </c>
      <c r="GF276">
        <f t="shared" ca="1" si="626"/>
        <v>6893</v>
      </c>
      <c r="GG276">
        <f t="shared" ca="1" si="627"/>
        <v>0</v>
      </c>
      <c r="GH276">
        <f t="shared" ca="1" si="628"/>
        <v>0</v>
      </c>
      <c r="GI276">
        <f t="shared" ca="1" si="629"/>
        <v>0</v>
      </c>
    </row>
    <row r="277" spans="1:191" x14ac:dyDescent="0.25">
      <c r="A277">
        <f>_xlfn.AGGREGATE(3,5,$B$2:B277)</f>
        <v>276</v>
      </c>
      <c r="B277" t="s">
        <v>672</v>
      </c>
      <c r="C277" t="s">
        <v>673</v>
      </c>
      <c r="D277" t="s">
        <v>835</v>
      </c>
      <c r="E277" t="s">
        <v>846</v>
      </c>
      <c r="F277">
        <v>0</v>
      </c>
      <c r="G277">
        <v>6000</v>
      </c>
      <c r="H277">
        <v>26200</v>
      </c>
      <c r="I277">
        <f t="shared" si="532"/>
        <v>2620</v>
      </c>
      <c r="J277">
        <f t="shared" si="533"/>
        <v>3144</v>
      </c>
      <c r="K277">
        <v>0</v>
      </c>
      <c r="L277">
        <v>0</v>
      </c>
      <c r="M277">
        <f t="shared" si="534"/>
        <v>31964</v>
      </c>
      <c r="N277">
        <v>2000</v>
      </c>
      <c r="O277">
        <v>0</v>
      </c>
      <c r="P277">
        <f t="shared" si="535"/>
        <v>150</v>
      </c>
      <c r="Q277">
        <f t="shared" si="536"/>
        <v>29814</v>
      </c>
      <c r="R277">
        <v>26200</v>
      </c>
      <c r="S277">
        <f t="shared" si="537"/>
        <v>2620</v>
      </c>
      <c r="T277">
        <f t="shared" si="538"/>
        <v>3144</v>
      </c>
      <c r="U277">
        <v>0</v>
      </c>
      <c r="V277">
        <v>0</v>
      </c>
      <c r="W277">
        <f t="shared" si="539"/>
        <v>31964</v>
      </c>
      <c r="X277">
        <v>2000</v>
      </c>
      <c r="Y277">
        <v>0</v>
      </c>
      <c r="Z277">
        <f t="shared" si="540"/>
        <v>150</v>
      </c>
      <c r="AA277">
        <f t="shared" si="541"/>
        <v>29814</v>
      </c>
      <c r="AB277">
        <v>26200</v>
      </c>
      <c r="AC277">
        <f t="shared" si="542"/>
        <v>3668.0000000000005</v>
      </c>
      <c r="AD277">
        <f t="shared" si="543"/>
        <v>3144</v>
      </c>
      <c r="AE277">
        <v>0</v>
      </c>
      <c r="AF277">
        <v>0</v>
      </c>
      <c r="AG277">
        <f t="shared" si="544"/>
        <v>33012</v>
      </c>
      <c r="AH277">
        <v>2000</v>
      </c>
      <c r="AI277">
        <v>0</v>
      </c>
      <c r="AJ277">
        <f t="shared" si="545"/>
        <v>150</v>
      </c>
      <c r="AK277">
        <f t="shared" si="546"/>
        <v>30862</v>
      </c>
      <c r="AL277">
        <v>26200</v>
      </c>
      <c r="AM277">
        <f t="shared" si="547"/>
        <v>3668.0000000000005</v>
      </c>
      <c r="AN277">
        <f t="shared" si="548"/>
        <v>3144</v>
      </c>
      <c r="AO277">
        <v>0</v>
      </c>
      <c r="AP277">
        <v>0</v>
      </c>
      <c r="AQ277">
        <f t="shared" si="549"/>
        <v>33012</v>
      </c>
      <c r="AR277">
        <v>2000</v>
      </c>
      <c r="AS277">
        <v>0</v>
      </c>
      <c r="AT277">
        <f t="shared" si="550"/>
        <v>150</v>
      </c>
      <c r="AU277">
        <f t="shared" si="551"/>
        <v>30862</v>
      </c>
      <c r="AV277">
        <v>27000</v>
      </c>
      <c r="AW277">
        <f t="shared" si="552"/>
        <v>3780.0000000000005</v>
      </c>
      <c r="AX277">
        <f t="shared" si="553"/>
        <v>1048</v>
      </c>
      <c r="AY277">
        <f t="shared" si="554"/>
        <v>3240</v>
      </c>
      <c r="AZ277">
        <v>0</v>
      </c>
      <c r="BA277">
        <v>0</v>
      </c>
      <c r="BB277">
        <f t="shared" si="555"/>
        <v>35068</v>
      </c>
      <c r="BC277">
        <v>2000</v>
      </c>
      <c r="BD277">
        <v>0</v>
      </c>
      <c r="BE277">
        <f t="shared" si="556"/>
        <v>150</v>
      </c>
      <c r="BF277">
        <f t="shared" si="557"/>
        <v>32918</v>
      </c>
      <c r="BG277">
        <v>27000</v>
      </c>
      <c r="BH277">
        <f t="shared" si="558"/>
        <v>3780.0000000000005</v>
      </c>
      <c r="BI277">
        <f t="shared" si="559"/>
        <v>3240</v>
      </c>
      <c r="BJ277">
        <v>0</v>
      </c>
      <c r="BK277">
        <v>0</v>
      </c>
      <c r="BL277">
        <f t="shared" si="560"/>
        <v>34020</v>
      </c>
      <c r="BM277">
        <v>2000</v>
      </c>
      <c r="BN277">
        <v>0</v>
      </c>
      <c r="BO277">
        <f t="shared" si="561"/>
        <v>150</v>
      </c>
      <c r="BP277">
        <f t="shared" si="562"/>
        <v>31870</v>
      </c>
      <c r="BQ277">
        <v>27000</v>
      </c>
      <c r="BR277">
        <f t="shared" si="563"/>
        <v>3780.0000000000005</v>
      </c>
      <c r="BS277">
        <f t="shared" si="564"/>
        <v>3240</v>
      </c>
      <c r="BT277">
        <v>0</v>
      </c>
      <c r="BU277">
        <v>0</v>
      </c>
      <c r="BV277">
        <f t="shared" si="565"/>
        <v>34020</v>
      </c>
      <c r="BW277">
        <v>2000</v>
      </c>
      <c r="BX277">
        <v>0</v>
      </c>
      <c r="BY277">
        <f t="shared" si="566"/>
        <v>150</v>
      </c>
      <c r="BZ277">
        <f t="shared" si="567"/>
        <v>31870</v>
      </c>
      <c r="CA277">
        <v>27000</v>
      </c>
      <c r="CB277">
        <f t="shared" si="568"/>
        <v>3780.0000000000005</v>
      </c>
      <c r="CC277">
        <f t="shared" si="569"/>
        <v>3240</v>
      </c>
      <c r="CD277">
        <v>0</v>
      </c>
      <c r="CE277">
        <v>0</v>
      </c>
      <c r="CF277">
        <f t="shared" si="570"/>
        <v>34020</v>
      </c>
      <c r="CG277">
        <v>2000</v>
      </c>
      <c r="CH277">
        <v>0</v>
      </c>
      <c r="CI277">
        <f t="shared" si="571"/>
        <v>150</v>
      </c>
      <c r="CJ277">
        <f t="shared" si="572"/>
        <v>31870</v>
      </c>
      <c r="CK277">
        <v>27000</v>
      </c>
      <c r="CL277">
        <f t="shared" si="573"/>
        <v>3780.0000000000005</v>
      </c>
      <c r="CM277">
        <f t="shared" si="574"/>
        <v>3240</v>
      </c>
      <c r="CN277">
        <v>0</v>
      </c>
      <c r="CO277">
        <v>0</v>
      </c>
      <c r="CP277">
        <f t="shared" si="575"/>
        <v>34020</v>
      </c>
      <c r="CQ277">
        <v>2000</v>
      </c>
      <c r="CR277">
        <v>0</v>
      </c>
      <c r="CS277">
        <f t="shared" si="576"/>
        <v>150</v>
      </c>
      <c r="CT277">
        <f t="shared" si="577"/>
        <v>31870</v>
      </c>
      <c r="CU277">
        <v>27000</v>
      </c>
      <c r="CV277">
        <f t="shared" si="578"/>
        <v>3780</v>
      </c>
      <c r="CW277">
        <f t="shared" si="579"/>
        <v>3240</v>
      </c>
      <c r="CX277">
        <v>0</v>
      </c>
      <c r="CY277">
        <v>0</v>
      </c>
      <c r="CZ277">
        <f t="shared" si="580"/>
        <v>34020</v>
      </c>
      <c r="DA277">
        <v>2000</v>
      </c>
      <c r="DB277">
        <v>0</v>
      </c>
      <c r="DC277">
        <f t="shared" si="581"/>
        <v>150</v>
      </c>
      <c r="DD277">
        <f t="shared" si="582"/>
        <v>31870</v>
      </c>
      <c r="DE277">
        <v>27000</v>
      </c>
      <c r="DF277">
        <f t="shared" si="583"/>
        <v>3780.0000000000005</v>
      </c>
      <c r="DG277">
        <f t="shared" si="584"/>
        <v>3240</v>
      </c>
      <c r="DH277">
        <v>0</v>
      </c>
      <c r="DI277">
        <v>0</v>
      </c>
      <c r="DJ277">
        <f t="shared" si="585"/>
        <v>34020</v>
      </c>
      <c r="DK277">
        <v>2000</v>
      </c>
      <c r="DL277">
        <v>0</v>
      </c>
      <c r="DM277">
        <f t="shared" si="586"/>
        <v>150</v>
      </c>
      <c r="DN277">
        <f t="shared" si="587"/>
        <v>31870</v>
      </c>
      <c r="DO277">
        <v>27000</v>
      </c>
      <c r="DP277">
        <f t="shared" si="588"/>
        <v>3780.0000000000005</v>
      </c>
      <c r="DQ277">
        <f t="shared" si="589"/>
        <v>3240</v>
      </c>
      <c r="DR277">
        <v>0</v>
      </c>
      <c r="DS277">
        <v>0</v>
      </c>
      <c r="DT277">
        <f t="shared" si="590"/>
        <v>34020</v>
      </c>
      <c r="DU277">
        <v>2000</v>
      </c>
      <c r="DV277">
        <v>0</v>
      </c>
      <c r="DW277">
        <f t="shared" si="591"/>
        <v>150</v>
      </c>
      <c r="DX277">
        <f t="shared" si="592"/>
        <v>31870</v>
      </c>
      <c r="DY277">
        <f t="shared" si="593"/>
        <v>409160</v>
      </c>
      <c r="DZ277">
        <f t="shared" si="525"/>
        <v>1800</v>
      </c>
      <c r="EA277">
        <f t="shared" si="526"/>
        <v>50000</v>
      </c>
      <c r="EB277">
        <v>0</v>
      </c>
      <c r="EC277">
        <f t="shared" si="527"/>
        <v>357360</v>
      </c>
      <c r="ED277">
        <f t="shared" si="528"/>
        <v>24000</v>
      </c>
      <c r="EE277">
        <f t="shared" si="529"/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f t="shared" si="530"/>
        <v>24000</v>
      </c>
      <c r="EQ277">
        <f t="shared" si="594"/>
        <v>24000</v>
      </c>
      <c r="ER277">
        <f t="shared" si="531"/>
        <v>333360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f t="shared" si="595"/>
        <v>0</v>
      </c>
      <c r="FA277">
        <f t="shared" si="596"/>
        <v>333360</v>
      </c>
      <c r="FB277">
        <f t="shared" si="597"/>
        <v>4168</v>
      </c>
      <c r="FC277">
        <f t="shared" si="598"/>
        <v>0</v>
      </c>
      <c r="FD277">
        <f t="shared" si="599"/>
        <v>4168</v>
      </c>
      <c r="FE277">
        <f t="shared" si="600"/>
        <v>0</v>
      </c>
      <c r="FF277">
        <f t="shared" si="601"/>
        <v>0</v>
      </c>
      <c r="FG277">
        <f t="shared" si="602"/>
        <v>0</v>
      </c>
      <c r="FH277">
        <v>0</v>
      </c>
      <c r="FI277">
        <f t="shared" si="603"/>
        <v>0</v>
      </c>
      <c r="FJ277" t="b">
        <f t="shared" si="604"/>
        <v>0</v>
      </c>
      <c r="FK277">
        <f t="shared" ca="1" si="605"/>
        <v>2997</v>
      </c>
      <c r="FL277">
        <f t="shared" ca="1" si="606"/>
        <v>412157</v>
      </c>
      <c r="FM277">
        <f t="shared" si="607"/>
        <v>75000</v>
      </c>
      <c r="FN277">
        <f t="shared" ca="1" si="608"/>
        <v>337157</v>
      </c>
      <c r="FO277">
        <f t="shared" ca="1" si="609"/>
        <v>0</v>
      </c>
      <c r="FP277">
        <f t="shared" ca="1" si="610"/>
        <v>0</v>
      </c>
      <c r="FQ277">
        <f t="shared" ca="1" si="611"/>
        <v>0</v>
      </c>
      <c r="FR277">
        <f t="shared" ca="1" si="612"/>
        <v>0</v>
      </c>
      <c r="FS277">
        <f t="shared" ca="1" si="613"/>
        <v>0</v>
      </c>
      <c r="FT277">
        <f t="shared" ca="1" si="614"/>
        <v>0</v>
      </c>
      <c r="FU277">
        <f t="shared" ca="1" si="615"/>
        <v>0</v>
      </c>
      <c r="FV277">
        <f t="shared" ca="1" si="616"/>
        <v>0</v>
      </c>
      <c r="FW277">
        <f t="shared" ca="1" si="617"/>
        <v>37157</v>
      </c>
      <c r="FX277">
        <f t="shared" ca="1" si="618"/>
        <v>1857.8500000000001</v>
      </c>
      <c r="FY277">
        <f t="shared" ca="1" si="619"/>
        <v>1858</v>
      </c>
      <c r="FZ277">
        <f t="shared" ca="1" si="620"/>
        <v>0</v>
      </c>
      <c r="GA277">
        <f t="shared" ca="1" si="621"/>
        <v>0</v>
      </c>
      <c r="GB277">
        <f t="shared" ca="1" si="622"/>
        <v>1858</v>
      </c>
      <c r="GC277">
        <f t="shared" ca="1" si="623"/>
        <v>0</v>
      </c>
      <c r="GD277" t="b">
        <f t="shared" ca="1" si="624"/>
        <v>0</v>
      </c>
      <c r="GE277">
        <f t="shared" ca="1" si="625"/>
        <v>0</v>
      </c>
      <c r="GF277">
        <f t="shared" ca="1" si="626"/>
        <v>1858</v>
      </c>
      <c r="GG277">
        <f t="shared" ca="1" si="627"/>
        <v>0</v>
      </c>
      <c r="GH277">
        <f t="shared" ca="1" si="628"/>
        <v>0</v>
      </c>
      <c r="GI277">
        <f t="shared" ca="1" si="629"/>
        <v>0</v>
      </c>
    </row>
    <row r="278" spans="1:191" x14ac:dyDescent="0.25">
      <c r="A278">
        <f>_xlfn.AGGREGATE(3,5,$B$2:B278)</f>
        <v>277</v>
      </c>
      <c r="B278" t="s">
        <v>674</v>
      </c>
      <c r="C278" t="s">
        <v>675</v>
      </c>
      <c r="D278" t="s">
        <v>835</v>
      </c>
      <c r="E278" t="s">
        <v>843</v>
      </c>
      <c r="F278">
        <v>0</v>
      </c>
      <c r="G278">
        <v>6000</v>
      </c>
      <c r="H278">
        <v>26200</v>
      </c>
      <c r="I278">
        <f t="shared" si="532"/>
        <v>2620</v>
      </c>
      <c r="J278">
        <f t="shared" si="533"/>
        <v>3144</v>
      </c>
      <c r="K278">
        <v>0</v>
      </c>
      <c r="L278">
        <v>0</v>
      </c>
      <c r="M278">
        <f t="shared" si="534"/>
        <v>31964</v>
      </c>
      <c r="N278">
        <v>2000</v>
      </c>
      <c r="O278">
        <v>0</v>
      </c>
      <c r="P278">
        <f t="shared" si="535"/>
        <v>150</v>
      </c>
      <c r="Q278">
        <f t="shared" si="536"/>
        <v>29814</v>
      </c>
      <c r="R278">
        <v>26200</v>
      </c>
      <c r="S278">
        <f t="shared" si="537"/>
        <v>2620</v>
      </c>
      <c r="T278">
        <f t="shared" si="538"/>
        <v>3144</v>
      </c>
      <c r="U278">
        <v>0</v>
      </c>
      <c r="V278">
        <v>0</v>
      </c>
      <c r="W278">
        <f t="shared" si="539"/>
        <v>31964</v>
      </c>
      <c r="X278">
        <v>2000</v>
      </c>
      <c r="Y278">
        <v>0</v>
      </c>
      <c r="Z278">
        <f t="shared" si="540"/>
        <v>150</v>
      </c>
      <c r="AA278">
        <f t="shared" si="541"/>
        <v>29814</v>
      </c>
      <c r="AB278">
        <v>26200</v>
      </c>
      <c r="AC278">
        <f t="shared" si="542"/>
        <v>3668.0000000000005</v>
      </c>
      <c r="AD278">
        <f t="shared" si="543"/>
        <v>3144</v>
      </c>
      <c r="AE278">
        <v>0</v>
      </c>
      <c r="AF278">
        <v>0</v>
      </c>
      <c r="AG278">
        <f t="shared" si="544"/>
        <v>33012</v>
      </c>
      <c r="AH278">
        <v>2000</v>
      </c>
      <c r="AI278">
        <v>0</v>
      </c>
      <c r="AJ278">
        <f t="shared" si="545"/>
        <v>150</v>
      </c>
      <c r="AK278">
        <f t="shared" si="546"/>
        <v>30862</v>
      </c>
      <c r="AL278">
        <v>26200</v>
      </c>
      <c r="AM278">
        <f t="shared" si="547"/>
        <v>3668.0000000000005</v>
      </c>
      <c r="AN278">
        <f t="shared" si="548"/>
        <v>3144</v>
      </c>
      <c r="AO278">
        <v>0</v>
      </c>
      <c r="AP278">
        <v>0</v>
      </c>
      <c r="AQ278">
        <f t="shared" si="549"/>
        <v>33012</v>
      </c>
      <c r="AR278">
        <v>2000</v>
      </c>
      <c r="AS278">
        <v>0</v>
      </c>
      <c r="AT278">
        <f t="shared" si="550"/>
        <v>150</v>
      </c>
      <c r="AU278">
        <f t="shared" si="551"/>
        <v>30862</v>
      </c>
      <c r="AV278">
        <v>27000</v>
      </c>
      <c r="AW278">
        <f t="shared" si="552"/>
        <v>3780.0000000000005</v>
      </c>
      <c r="AX278">
        <f t="shared" si="553"/>
        <v>1048</v>
      </c>
      <c r="AY278">
        <f t="shared" si="554"/>
        <v>3240</v>
      </c>
      <c r="AZ278">
        <v>0</v>
      </c>
      <c r="BA278">
        <v>0</v>
      </c>
      <c r="BB278">
        <f t="shared" si="555"/>
        <v>35068</v>
      </c>
      <c r="BC278">
        <v>2000</v>
      </c>
      <c r="BD278">
        <v>0</v>
      </c>
      <c r="BE278">
        <f t="shared" si="556"/>
        <v>150</v>
      </c>
      <c r="BF278">
        <f t="shared" si="557"/>
        <v>32918</v>
      </c>
      <c r="BG278">
        <v>27000</v>
      </c>
      <c r="BH278">
        <f t="shared" si="558"/>
        <v>3780.0000000000005</v>
      </c>
      <c r="BI278">
        <f t="shared" si="559"/>
        <v>3240</v>
      </c>
      <c r="BJ278">
        <v>0</v>
      </c>
      <c r="BK278">
        <v>0</v>
      </c>
      <c r="BL278">
        <f t="shared" si="560"/>
        <v>34020</v>
      </c>
      <c r="BM278">
        <v>2000</v>
      </c>
      <c r="BN278">
        <v>0</v>
      </c>
      <c r="BO278">
        <f t="shared" si="561"/>
        <v>150</v>
      </c>
      <c r="BP278">
        <f t="shared" si="562"/>
        <v>31870</v>
      </c>
      <c r="BQ278">
        <v>27000</v>
      </c>
      <c r="BR278">
        <f t="shared" si="563"/>
        <v>3780.0000000000005</v>
      </c>
      <c r="BS278">
        <f t="shared" si="564"/>
        <v>3240</v>
      </c>
      <c r="BT278">
        <v>0</v>
      </c>
      <c r="BU278">
        <v>0</v>
      </c>
      <c r="BV278">
        <f t="shared" si="565"/>
        <v>34020</v>
      </c>
      <c r="BW278">
        <v>2000</v>
      </c>
      <c r="BX278">
        <v>0</v>
      </c>
      <c r="BY278">
        <f t="shared" si="566"/>
        <v>150</v>
      </c>
      <c r="BZ278">
        <f t="shared" si="567"/>
        <v>31870</v>
      </c>
      <c r="CA278">
        <v>27000</v>
      </c>
      <c r="CB278">
        <f t="shared" si="568"/>
        <v>3780.0000000000005</v>
      </c>
      <c r="CC278">
        <f t="shared" si="569"/>
        <v>3240</v>
      </c>
      <c r="CD278">
        <v>0</v>
      </c>
      <c r="CE278">
        <v>0</v>
      </c>
      <c r="CF278">
        <f t="shared" si="570"/>
        <v>34020</v>
      </c>
      <c r="CG278">
        <v>2000</v>
      </c>
      <c r="CH278">
        <v>0</v>
      </c>
      <c r="CI278">
        <f t="shared" si="571"/>
        <v>150</v>
      </c>
      <c r="CJ278">
        <f t="shared" si="572"/>
        <v>31870</v>
      </c>
      <c r="CK278">
        <v>27000</v>
      </c>
      <c r="CL278">
        <f t="shared" si="573"/>
        <v>3780.0000000000005</v>
      </c>
      <c r="CM278">
        <f t="shared" si="574"/>
        <v>3240</v>
      </c>
      <c r="CN278">
        <v>0</v>
      </c>
      <c r="CO278">
        <v>0</v>
      </c>
      <c r="CP278">
        <f t="shared" si="575"/>
        <v>34020</v>
      </c>
      <c r="CQ278">
        <v>2000</v>
      </c>
      <c r="CR278">
        <v>0</v>
      </c>
      <c r="CS278">
        <f t="shared" si="576"/>
        <v>150</v>
      </c>
      <c r="CT278">
        <f t="shared" si="577"/>
        <v>31870</v>
      </c>
      <c r="CU278">
        <v>27000</v>
      </c>
      <c r="CV278">
        <f t="shared" si="578"/>
        <v>3780</v>
      </c>
      <c r="CW278">
        <f t="shared" si="579"/>
        <v>3240</v>
      </c>
      <c r="CX278">
        <v>0</v>
      </c>
      <c r="CY278">
        <v>0</v>
      </c>
      <c r="CZ278">
        <f t="shared" si="580"/>
        <v>34020</v>
      </c>
      <c r="DA278">
        <v>2000</v>
      </c>
      <c r="DB278">
        <v>0</v>
      </c>
      <c r="DC278">
        <f t="shared" si="581"/>
        <v>150</v>
      </c>
      <c r="DD278">
        <f t="shared" si="582"/>
        <v>31870</v>
      </c>
      <c r="DE278">
        <v>27000</v>
      </c>
      <c r="DF278">
        <f t="shared" si="583"/>
        <v>3780.0000000000005</v>
      </c>
      <c r="DG278">
        <f t="shared" si="584"/>
        <v>3240</v>
      </c>
      <c r="DH278">
        <v>0</v>
      </c>
      <c r="DI278">
        <v>0</v>
      </c>
      <c r="DJ278">
        <f t="shared" si="585"/>
        <v>34020</v>
      </c>
      <c r="DK278">
        <v>2000</v>
      </c>
      <c r="DL278">
        <v>0</v>
      </c>
      <c r="DM278">
        <f t="shared" si="586"/>
        <v>150</v>
      </c>
      <c r="DN278">
        <f t="shared" si="587"/>
        <v>31870</v>
      </c>
      <c r="DO278">
        <v>27000</v>
      </c>
      <c r="DP278">
        <f t="shared" si="588"/>
        <v>3780.0000000000005</v>
      </c>
      <c r="DQ278">
        <f t="shared" si="589"/>
        <v>3240</v>
      </c>
      <c r="DR278">
        <v>0</v>
      </c>
      <c r="DS278">
        <v>0</v>
      </c>
      <c r="DT278">
        <f t="shared" si="590"/>
        <v>34020</v>
      </c>
      <c r="DU278">
        <v>2000</v>
      </c>
      <c r="DV278">
        <v>0</v>
      </c>
      <c r="DW278">
        <f t="shared" si="591"/>
        <v>150</v>
      </c>
      <c r="DX278">
        <f t="shared" si="592"/>
        <v>31870</v>
      </c>
      <c r="DY278">
        <f t="shared" si="593"/>
        <v>409160</v>
      </c>
      <c r="DZ278">
        <f t="shared" si="525"/>
        <v>1800</v>
      </c>
      <c r="EA278">
        <f t="shared" si="526"/>
        <v>50000</v>
      </c>
      <c r="EB278">
        <v>0</v>
      </c>
      <c r="EC278">
        <f t="shared" si="527"/>
        <v>357360</v>
      </c>
      <c r="ED278">
        <f t="shared" si="528"/>
        <v>24000</v>
      </c>
      <c r="EE278">
        <f t="shared" si="529"/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f t="shared" si="530"/>
        <v>24000</v>
      </c>
      <c r="EQ278">
        <f t="shared" si="594"/>
        <v>24000</v>
      </c>
      <c r="ER278">
        <f t="shared" si="531"/>
        <v>333360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f t="shared" si="595"/>
        <v>0</v>
      </c>
      <c r="FA278">
        <f t="shared" si="596"/>
        <v>333360</v>
      </c>
      <c r="FB278">
        <f t="shared" si="597"/>
        <v>4168</v>
      </c>
      <c r="FC278">
        <f t="shared" si="598"/>
        <v>0</v>
      </c>
      <c r="FD278">
        <f t="shared" si="599"/>
        <v>4168</v>
      </c>
      <c r="FE278">
        <f t="shared" si="600"/>
        <v>0</v>
      </c>
      <c r="FF278">
        <f t="shared" si="601"/>
        <v>0</v>
      </c>
      <c r="FG278">
        <f t="shared" si="602"/>
        <v>0</v>
      </c>
      <c r="FH278">
        <v>0</v>
      </c>
      <c r="FI278">
        <f t="shared" si="603"/>
        <v>0</v>
      </c>
      <c r="FJ278" t="b">
        <f t="shared" si="604"/>
        <v>0</v>
      </c>
      <c r="FK278">
        <f t="shared" ca="1" si="605"/>
        <v>2289</v>
      </c>
      <c r="FL278">
        <f t="shared" ca="1" si="606"/>
        <v>411449</v>
      </c>
      <c r="FM278">
        <f t="shared" si="607"/>
        <v>75000</v>
      </c>
      <c r="FN278">
        <f t="shared" ca="1" si="608"/>
        <v>336449</v>
      </c>
      <c r="FO278">
        <f t="shared" ca="1" si="609"/>
        <v>0</v>
      </c>
      <c r="FP278">
        <f t="shared" ca="1" si="610"/>
        <v>0</v>
      </c>
      <c r="FQ278">
        <f t="shared" ca="1" si="611"/>
        <v>0</v>
      </c>
      <c r="FR278">
        <f t="shared" ca="1" si="612"/>
        <v>0</v>
      </c>
      <c r="FS278">
        <f t="shared" ca="1" si="613"/>
        <v>0</v>
      </c>
      <c r="FT278">
        <f t="shared" ca="1" si="614"/>
        <v>0</v>
      </c>
      <c r="FU278">
        <f t="shared" ca="1" si="615"/>
        <v>0</v>
      </c>
      <c r="FV278">
        <f t="shared" ca="1" si="616"/>
        <v>0</v>
      </c>
      <c r="FW278">
        <f t="shared" ca="1" si="617"/>
        <v>36449</v>
      </c>
      <c r="FX278">
        <f t="shared" ca="1" si="618"/>
        <v>1822.45</v>
      </c>
      <c r="FY278">
        <f t="shared" ca="1" si="619"/>
        <v>1822</v>
      </c>
      <c r="FZ278">
        <f t="shared" ca="1" si="620"/>
        <v>0</v>
      </c>
      <c r="GA278">
        <f t="shared" ca="1" si="621"/>
        <v>0</v>
      </c>
      <c r="GB278">
        <f t="shared" ca="1" si="622"/>
        <v>1822</v>
      </c>
      <c r="GC278">
        <f t="shared" ca="1" si="623"/>
        <v>0</v>
      </c>
      <c r="GD278" t="b">
        <f t="shared" ca="1" si="624"/>
        <v>0</v>
      </c>
      <c r="GE278">
        <f t="shared" ca="1" si="625"/>
        <v>0</v>
      </c>
      <c r="GF278">
        <f t="shared" ca="1" si="626"/>
        <v>1822</v>
      </c>
      <c r="GG278">
        <f t="shared" ca="1" si="627"/>
        <v>0</v>
      </c>
      <c r="GH278">
        <f t="shared" ca="1" si="628"/>
        <v>0</v>
      </c>
      <c r="GI278">
        <f t="shared" ca="1" si="629"/>
        <v>0</v>
      </c>
    </row>
    <row r="279" spans="1:191" x14ac:dyDescent="0.25">
      <c r="A279">
        <f>_xlfn.AGGREGATE(3,5,$B$2:B279)</f>
        <v>278</v>
      </c>
      <c r="B279" t="s">
        <v>676</v>
      </c>
      <c r="C279" t="s">
        <v>677</v>
      </c>
      <c r="D279" t="s">
        <v>836</v>
      </c>
      <c r="E279" t="s">
        <v>844</v>
      </c>
      <c r="F279">
        <v>0</v>
      </c>
      <c r="G279">
        <v>0</v>
      </c>
      <c r="H279">
        <v>45900</v>
      </c>
      <c r="I279">
        <f t="shared" si="532"/>
        <v>4590</v>
      </c>
      <c r="J279">
        <f t="shared" si="533"/>
        <v>5508</v>
      </c>
      <c r="K279">
        <v>400</v>
      </c>
      <c r="L279">
        <v>500</v>
      </c>
      <c r="M279">
        <f t="shared" si="534"/>
        <v>56898</v>
      </c>
      <c r="N279">
        <v>4000</v>
      </c>
      <c r="O279">
        <v>0</v>
      </c>
      <c r="P279">
        <f t="shared" si="535"/>
        <v>200</v>
      </c>
      <c r="Q279">
        <f t="shared" si="536"/>
        <v>52698</v>
      </c>
      <c r="R279">
        <v>45900</v>
      </c>
      <c r="S279">
        <f t="shared" si="537"/>
        <v>4590</v>
      </c>
      <c r="T279">
        <f t="shared" si="538"/>
        <v>5508</v>
      </c>
      <c r="U279">
        <v>400</v>
      </c>
      <c r="V279">
        <v>500</v>
      </c>
      <c r="W279">
        <f t="shared" si="539"/>
        <v>56898</v>
      </c>
      <c r="X279">
        <v>4000</v>
      </c>
      <c r="Y279">
        <v>0</v>
      </c>
      <c r="Z279">
        <f t="shared" si="540"/>
        <v>200</v>
      </c>
      <c r="AA279">
        <f t="shared" si="541"/>
        <v>52698</v>
      </c>
      <c r="AB279">
        <v>45900</v>
      </c>
      <c r="AC279">
        <f t="shared" si="542"/>
        <v>6426.0000000000009</v>
      </c>
      <c r="AD279">
        <f t="shared" si="543"/>
        <v>5508</v>
      </c>
      <c r="AE279">
        <v>400</v>
      </c>
      <c r="AF279">
        <v>500</v>
      </c>
      <c r="AG279">
        <f t="shared" si="544"/>
        <v>58734</v>
      </c>
      <c r="AH279">
        <v>4000</v>
      </c>
      <c r="AI279">
        <v>0</v>
      </c>
      <c r="AJ279">
        <f t="shared" si="545"/>
        <v>200</v>
      </c>
      <c r="AK279">
        <f t="shared" si="546"/>
        <v>54534</v>
      </c>
      <c r="AL279">
        <v>45900</v>
      </c>
      <c r="AM279">
        <f t="shared" si="547"/>
        <v>6426.0000000000009</v>
      </c>
      <c r="AN279">
        <f t="shared" si="548"/>
        <v>5508</v>
      </c>
      <c r="AO279">
        <v>400</v>
      </c>
      <c r="AP279">
        <v>500</v>
      </c>
      <c r="AQ279">
        <f t="shared" si="549"/>
        <v>58734</v>
      </c>
      <c r="AR279">
        <v>4000</v>
      </c>
      <c r="AS279">
        <v>0</v>
      </c>
      <c r="AT279">
        <f t="shared" si="550"/>
        <v>200</v>
      </c>
      <c r="AU279">
        <f t="shared" si="551"/>
        <v>54534</v>
      </c>
      <c r="AV279">
        <v>47300</v>
      </c>
      <c r="AW279">
        <f t="shared" si="552"/>
        <v>6622.0000000000009</v>
      </c>
      <c r="AX279">
        <f t="shared" si="553"/>
        <v>1836</v>
      </c>
      <c r="AY279">
        <f t="shared" si="554"/>
        <v>5676</v>
      </c>
      <c r="AZ279">
        <v>400</v>
      </c>
      <c r="BA279">
        <v>500</v>
      </c>
      <c r="BB279">
        <f t="shared" si="555"/>
        <v>62334</v>
      </c>
      <c r="BC279">
        <v>4000</v>
      </c>
      <c r="BD279">
        <v>0</v>
      </c>
      <c r="BE279">
        <f t="shared" si="556"/>
        <v>200</v>
      </c>
      <c r="BF279">
        <f t="shared" si="557"/>
        <v>58134</v>
      </c>
      <c r="BG279">
        <v>47300</v>
      </c>
      <c r="BH279">
        <f t="shared" si="558"/>
        <v>6622.0000000000009</v>
      </c>
      <c r="BI279">
        <f t="shared" si="559"/>
        <v>5676</v>
      </c>
      <c r="BJ279">
        <v>400</v>
      </c>
      <c r="BK279">
        <v>500</v>
      </c>
      <c r="BL279">
        <f t="shared" si="560"/>
        <v>60498</v>
      </c>
      <c r="BM279">
        <v>4000</v>
      </c>
      <c r="BN279">
        <v>0</v>
      </c>
      <c r="BO279">
        <f t="shared" si="561"/>
        <v>200</v>
      </c>
      <c r="BP279">
        <f t="shared" si="562"/>
        <v>56298</v>
      </c>
      <c r="BQ279">
        <v>47300</v>
      </c>
      <c r="BR279">
        <f t="shared" si="563"/>
        <v>6622.0000000000009</v>
      </c>
      <c r="BS279">
        <f t="shared" si="564"/>
        <v>5676</v>
      </c>
      <c r="BT279">
        <v>400</v>
      </c>
      <c r="BU279">
        <v>500</v>
      </c>
      <c r="BV279">
        <f t="shared" si="565"/>
        <v>60498</v>
      </c>
      <c r="BW279">
        <v>4000</v>
      </c>
      <c r="BX279">
        <v>0</v>
      </c>
      <c r="BY279">
        <f t="shared" si="566"/>
        <v>200</v>
      </c>
      <c r="BZ279">
        <f t="shared" si="567"/>
        <v>56298</v>
      </c>
      <c r="CA279">
        <v>47300</v>
      </c>
      <c r="CB279">
        <f t="shared" si="568"/>
        <v>6622.0000000000009</v>
      </c>
      <c r="CC279">
        <f t="shared" si="569"/>
        <v>5676</v>
      </c>
      <c r="CD279">
        <v>400</v>
      </c>
      <c r="CE279">
        <v>500</v>
      </c>
      <c r="CF279">
        <f t="shared" si="570"/>
        <v>60498</v>
      </c>
      <c r="CG279">
        <v>4000</v>
      </c>
      <c r="CH279">
        <v>0</v>
      </c>
      <c r="CI279">
        <f t="shared" si="571"/>
        <v>200</v>
      </c>
      <c r="CJ279">
        <f t="shared" si="572"/>
        <v>56298</v>
      </c>
      <c r="CK279">
        <v>47300</v>
      </c>
      <c r="CL279">
        <f t="shared" si="573"/>
        <v>6622.0000000000009</v>
      </c>
      <c r="CM279">
        <f t="shared" si="574"/>
        <v>5676</v>
      </c>
      <c r="CN279">
        <v>400</v>
      </c>
      <c r="CO279">
        <v>500</v>
      </c>
      <c r="CP279">
        <f t="shared" si="575"/>
        <v>60498</v>
      </c>
      <c r="CQ279">
        <v>4000</v>
      </c>
      <c r="CR279">
        <v>0</v>
      </c>
      <c r="CS279">
        <f t="shared" si="576"/>
        <v>200</v>
      </c>
      <c r="CT279">
        <f t="shared" si="577"/>
        <v>56298</v>
      </c>
      <c r="CU279">
        <v>47300</v>
      </c>
      <c r="CV279">
        <f t="shared" si="578"/>
        <v>6622</v>
      </c>
      <c r="CW279">
        <f t="shared" si="579"/>
        <v>5676</v>
      </c>
      <c r="CX279">
        <v>400</v>
      </c>
      <c r="CY279">
        <v>500</v>
      </c>
      <c r="CZ279">
        <f t="shared" si="580"/>
        <v>60498</v>
      </c>
      <c r="DA279">
        <v>4000</v>
      </c>
      <c r="DB279">
        <v>0</v>
      </c>
      <c r="DC279">
        <f t="shared" si="581"/>
        <v>200</v>
      </c>
      <c r="DD279">
        <f t="shared" si="582"/>
        <v>56298</v>
      </c>
      <c r="DE279">
        <v>47300</v>
      </c>
      <c r="DF279">
        <f t="shared" si="583"/>
        <v>6622.0000000000009</v>
      </c>
      <c r="DG279">
        <f t="shared" si="584"/>
        <v>5676</v>
      </c>
      <c r="DH279">
        <v>400</v>
      </c>
      <c r="DI279">
        <v>500</v>
      </c>
      <c r="DJ279">
        <f t="shared" si="585"/>
        <v>60498</v>
      </c>
      <c r="DK279">
        <v>4000</v>
      </c>
      <c r="DL279">
        <v>0</v>
      </c>
      <c r="DM279">
        <f t="shared" si="586"/>
        <v>200</v>
      </c>
      <c r="DN279">
        <f t="shared" si="587"/>
        <v>56298</v>
      </c>
      <c r="DO279">
        <v>47300</v>
      </c>
      <c r="DP279">
        <f t="shared" si="588"/>
        <v>6622.0000000000009</v>
      </c>
      <c r="DQ279">
        <f t="shared" si="589"/>
        <v>5676</v>
      </c>
      <c r="DR279">
        <v>400</v>
      </c>
      <c r="DS279">
        <v>500</v>
      </c>
      <c r="DT279">
        <f t="shared" si="590"/>
        <v>60498</v>
      </c>
      <c r="DU279">
        <v>4000</v>
      </c>
      <c r="DV279">
        <v>0</v>
      </c>
      <c r="DW279">
        <f t="shared" si="591"/>
        <v>200</v>
      </c>
      <c r="DX279">
        <f t="shared" si="592"/>
        <v>56298</v>
      </c>
      <c r="DY279">
        <f t="shared" si="593"/>
        <v>717084</v>
      </c>
      <c r="DZ279">
        <f t="shared" si="525"/>
        <v>2400</v>
      </c>
      <c r="EA279">
        <f t="shared" si="526"/>
        <v>50000</v>
      </c>
      <c r="EB279">
        <v>0</v>
      </c>
      <c r="EC279">
        <f t="shared" si="527"/>
        <v>664684</v>
      </c>
      <c r="ED279">
        <f t="shared" si="528"/>
        <v>48000</v>
      </c>
      <c r="EE279">
        <f t="shared" si="529"/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f t="shared" si="530"/>
        <v>48000</v>
      </c>
      <c r="EQ279">
        <f t="shared" si="594"/>
        <v>48000</v>
      </c>
      <c r="ER279">
        <f t="shared" si="531"/>
        <v>616684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f t="shared" si="595"/>
        <v>0</v>
      </c>
      <c r="FA279">
        <f t="shared" si="596"/>
        <v>616684</v>
      </c>
      <c r="FB279">
        <f t="shared" si="597"/>
        <v>12500</v>
      </c>
      <c r="FC279">
        <f t="shared" si="598"/>
        <v>23337</v>
      </c>
      <c r="FD279">
        <f t="shared" si="599"/>
        <v>35837</v>
      </c>
      <c r="FE279">
        <f t="shared" si="600"/>
        <v>35837</v>
      </c>
      <c r="FF279">
        <f t="shared" si="601"/>
        <v>1433.48</v>
      </c>
      <c r="FG279">
        <f t="shared" si="602"/>
        <v>37270</v>
      </c>
      <c r="FH279">
        <v>0</v>
      </c>
      <c r="FI279">
        <f t="shared" si="603"/>
        <v>37270</v>
      </c>
      <c r="FJ279" t="b">
        <f t="shared" si="604"/>
        <v>1</v>
      </c>
      <c r="FK279">
        <f t="shared" ca="1" si="605"/>
        <v>587</v>
      </c>
      <c r="FL279">
        <f t="shared" ca="1" si="606"/>
        <v>717671</v>
      </c>
      <c r="FM279">
        <f t="shared" si="607"/>
        <v>75000</v>
      </c>
      <c r="FN279">
        <f t="shared" ca="1" si="608"/>
        <v>642671</v>
      </c>
      <c r="FO279">
        <f t="shared" ca="1" si="609"/>
        <v>0</v>
      </c>
      <c r="FP279">
        <f t="shared" ca="1" si="610"/>
        <v>0</v>
      </c>
      <c r="FQ279">
        <f t="shared" ca="1" si="611"/>
        <v>0</v>
      </c>
      <c r="FR279">
        <f t="shared" ca="1" si="612"/>
        <v>0</v>
      </c>
      <c r="FS279">
        <f t="shared" ca="1" si="613"/>
        <v>0</v>
      </c>
      <c r="FT279">
        <f t="shared" ca="1" si="614"/>
        <v>0</v>
      </c>
      <c r="FU279">
        <f t="shared" ca="1" si="615"/>
        <v>0</v>
      </c>
      <c r="FV279">
        <f t="shared" ca="1" si="616"/>
        <v>0</v>
      </c>
      <c r="FW279">
        <f t="shared" ca="1" si="617"/>
        <v>342671</v>
      </c>
      <c r="FX279">
        <f t="shared" ca="1" si="618"/>
        <v>17133.55</v>
      </c>
      <c r="FY279">
        <f t="shared" ca="1" si="619"/>
        <v>17134</v>
      </c>
      <c r="FZ279">
        <f t="shared" ca="1" si="620"/>
        <v>0</v>
      </c>
      <c r="GA279">
        <f t="shared" ca="1" si="621"/>
        <v>0</v>
      </c>
      <c r="GB279">
        <f t="shared" ca="1" si="622"/>
        <v>17134</v>
      </c>
      <c r="GC279">
        <f t="shared" ca="1" si="623"/>
        <v>0</v>
      </c>
      <c r="GD279" t="b">
        <f t="shared" ca="1" si="624"/>
        <v>0</v>
      </c>
      <c r="GE279">
        <f t="shared" ca="1" si="625"/>
        <v>0</v>
      </c>
      <c r="GF279">
        <f t="shared" ca="1" si="626"/>
        <v>17134</v>
      </c>
      <c r="GG279">
        <f t="shared" ca="1" si="627"/>
        <v>0</v>
      </c>
      <c r="GH279">
        <f t="shared" ca="1" si="628"/>
        <v>0</v>
      </c>
      <c r="GI279">
        <f t="shared" ca="1" si="629"/>
        <v>0</v>
      </c>
    </row>
    <row r="280" spans="1:191" x14ac:dyDescent="0.25">
      <c r="A280">
        <f>_xlfn.AGGREGATE(3,5,$B$2:B280)</f>
        <v>279</v>
      </c>
      <c r="B280" t="s">
        <v>678</v>
      </c>
      <c r="C280" t="s">
        <v>679</v>
      </c>
      <c r="D280" t="s">
        <v>836</v>
      </c>
      <c r="E280" t="s">
        <v>843</v>
      </c>
      <c r="F280">
        <v>0</v>
      </c>
      <c r="G280">
        <v>6000</v>
      </c>
      <c r="H280">
        <v>32500</v>
      </c>
      <c r="I280">
        <f t="shared" si="532"/>
        <v>3250</v>
      </c>
      <c r="J280">
        <f t="shared" si="533"/>
        <v>3900</v>
      </c>
      <c r="K280">
        <v>0</v>
      </c>
      <c r="L280">
        <v>500</v>
      </c>
      <c r="M280">
        <f t="shared" si="534"/>
        <v>40150</v>
      </c>
      <c r="N280">
        <v>2000</v>
      </c>
      <c r="O280">
        <v>0</v>
      </c>
      <c r="P280">
        <f t="shared" si="535"/>
        <v>200</v>
      </c>
      <c r="Q280">
        <f t="shared" si="536"/>
        <v>37950</v>
      </c>
      <c r="R280">
        <v>32500</v>
      </c>
      <c r="S280">
        <f t="shared" si="537"/>
        <v>3250</v>
      </c>
      <c r="T280">
        <f t="shared" si="538"/>
        <v>3900</v>
      </c>
      <c r="U280">
        <v>0</v>
      </c>
      <c r="V280">
        <v>500</v>
      </c>
      <c r="W280">
        <f t="shared" si="539"/>
        <v>40150</v>
      </c>
      <c r="X280">
        <v>2000</v>
      </c>
      <c r="Y280">
        <v>0</v>
      </c>
      <c r="Z280">
        <f t="shared" si="540"/>
        <v>200</v>
      </c>
      <c r="AA280">
        <f t="shared" si="541"/>
        <v>37950</v>
      </c>
      <c r="AB280">
        <v>32500</v>
      </c>
      <c r="AC280">
        <f t="shared" si="542"/>
        <v>4550</v>
      </c>
      <c r="AD280">
        <f t="shared" si="543"/>
        <v>3900</v>
      </c>
      <c r="AE280">
        <v>0</v>
      </c>
      <c r="AF280">
        <v>500</v>
      </c>
      <c r="AG280">
        <f t="shared" si="544"/>
        <v>41450</v>
      </c>
      <c r="AH280">
        <v>2000</v>
      </c>
      <c r="AI280">
        <v>0</v>
      </c>
      <c r="AJ280">
        <f t="shared" si="545"/>
        <v>200</v>
      </c>
      <c r="AK280">
        <f t="shared" si="546"/>
        <v>39250</v>
      </c>
      <c r="AL280">
        <v>32500</v>
      </c>
      <c r="AM280">
        <f t="shared" si="547"/>
        <v>4550</v>
      </c>
      <c r="AN280">
        <f t="shared" si="548"/>
        <v>3900</v>
      </c>
      <c r="AO280">
        <v>0</v>
      </c>
      <c r="AP280">
        <v>500</v>
      </c>
      <c r="AQ280">
        <f t="shared" si="549"/>
        <v>41450</v>
      </c>
      <c r="AR280">
        <v>2000</v>
      </c>
      <c r="AS280">
        <v>0</v>
      </c>
      <c r="AT280">
        <f t="shared" si="550"/>
        <v>200</v>
      </c>
      <c r="AU280">
        <f t="shared" si="551"/>
        <v>39250</v>
      </c>
      <c r="AV280">
        <v>33500</v>
      </c>
      <c r="AW280">
        <f t="shared" si="552"/>
        <v>4690</v>
      </c>
      <c r="AX280">
        <f t="shared" si="553"/>
        <v>1300</v>
      </c>
      <c r="AY280">
        <f t="shared" si="554"/>
        <v>4020</v>
      </c>
      <c r="AZ280">
        <v>0</v>
      </c>
      <c r="BA280">
        <v>500</v>
      </c>
      <c r="BB280">
        <f t="shared" si="555"/>
        <v>44010</v>
      </c>
      <c r="BC280">
        <v>2500</v>
      </c>
      <c r="BD280">
        <v>0</v>
      </c>
      <c r="BE280">
        <f t="shared" si="556"/>
        <v>200</v>
      </c>
      <c r="BF280">
        <f t="shared" si="557"/>
        <v>41310</v>
      </c>
      <c r="BG280">
        <v>33500</v>
      </c>
      <c r="BH280">
        <f t="shared" si="558"/>
        <v>4690</v>
      </c>
      <c r="BI280">
        <f t="shared" si="559"/>
        <v>4020</v>
      </c>
      <c r="BJ280">
        <v>0</v>
      </c>
      <c r="BK280">
        <v>500</v>
      </c>
      <c r="BL280">
        <f t="shared" si="560"/>
        <v>42710</v>
      </c>
      <c r="BM280">
        <v>2500</v>
      </c>
      <c r="BN280">
        <v>0</v>
      </c>
      <c r="BO280">
        <f t="shared" si="561"/>
        <v>200</v>
      </c>
      <c r="BP280">
        <f t="shared" si="562"/>
        <v>40010</v>
      </c>
      <c r="BQ280">
        <v>33500</v>
      </c>
      <c r="BR280">
        <f t="shared" si="563"/>
        <v>4690</v>
      </c>
      <c r="BS280">
        <f t="shared" si="564"/>
        <v>4020</v>
      </c>
      <c r="BT280">
        <v>0</v>
      </c>
      <c r="BU280">
        <v>500</v>
      </c>
      <c r="BV280">
        <f t="shared" si="565"/>
        <v>42710</v>
      </c>
      <c r="BW280">
        <v>2500</v>
      </c>
      <c r="BX280">
        <v>0</v>
      </c>
      <c r="BY280">
        <f t="shared" si="566"/>
        <v>200</v>
      </c>
      <c r="BZ280">
        <f t="shared" si="567"/>
        <v>40010</v>
      </c>
      <c r="CA280">
        <v>33500</v>
      </c>
      <c r="CB280">
        <f t="shared" si="568"/>
        <v>4690</v>
      </c>
      <c r="CC280">
        <f t="shared" si="569"/>
        <v>4020</v>
      </c>
      <c r="CD280">
        <v>0</v>
      </c>
      <c r="CE280">
        <v>500</v>
      </c>
      <c r="CF280">
        <f t="shared" si="570"/>
        <v>42710</v>
      </c>
      <c r="CG280">
        <v>2500</v>
      </c>
      <c r="CH280">
        <v>0</v>
      </c>
      <c r="CI280">
        <f t="shared" si="571"/>
        <v>200</v>
      </c>
      <c r="CJ280">
        <f t="shared" si="572"/>
        <v>40010</v>
      </c>
      <c r="CK280">
        <v>33500</v>
      </c>
      <c r="CL280">
        <f t="shared" si="573"/>
        <v>4690</v>
      </c>
      <c r="CM280">
        <f t="shared" si="574"/>
        <v>4020</v>
      </c>
      <c r="CN280">
        <v>0</v>
      </c>
      <c r="CO280">
        <v>500</v>
      </c>
      <c r="CP280">
        <f t="shared" si="575"/>
        <v>42710</v>
      </c>
      <c r="CQ280">
        <v>2500</v>
      </c>
      <c r="CR280">
        <v>0</v>
      </c>
      <c r="CS280">
        <f t="shared" si="576"/>
        <v>200</v>
      </c>
      <c r="CT280">
        <f t="shared" si="577"/>
        <v>40010</v>
      </c>
      <c r="CU280">
        <v>33500</v>
      </c>
      <c r="CV280">
        <f t="shared" si="578"/>
        <v>4690</v>
      </c>
      <c r="CW280">
        <f t="shared" si="579"/>
        <v>4020</v>
      </c>
      <c r="CX280">
        <v>0</v>
      </c>
      <c r="CY280">
        <v>500</v>
      </c>
      <c r="CZ280">
        <f t="shared" si="580"/>
        <v>42710</v>
      </c>
      <c r="DA280">
        <v>2500</v>
      </c>
      <c r="DB280">
        <v>0</v>
      </c>
      <c r="DC280">
        <f t="shared" si="581"/>
        <v>200</v>
      </c>
      <c r="DD280">
        <f t="shared" si="582"/>
        <v>40010</v>
      </c>
      <c r="DE280">
        <v>33500</v>
      </c>
      <c r="DF280">
        <f t="shared" si="583"/>
        <v>4690</v>
      </c>
      <c r="DG280">
        <f t="shared" si="584"/>
        <v>4020</v>
      </c>
      <c r="DH280">
        <v>0</v>
      </c>
      <c r="DI280">
        <v>500</v>
      </c>
      <c r="DJ280">
        <f t="shared" si="585"/>
        <v>42710</v>
      </c>
      <c r="DK280">
        <v>2500</v>
      </c>
      <c r="DL280">
        <v>0</v>
      </c>
      <c r="DM280">
        <f t="shared" si="586"/>
        <v>200</v>
      </c>
      <c r="DN280">
        <f t="shared" si="587"/>
        <v>40010</v>
      </c>
      <c r="DO280">
        <v>33500</v>
      </c>
      <c r="DP280">
        <f t="shared" si="588"/>
        <v>4690</v>
      </c>
      <c r="DQ280">
        <f t="shared" si="589"/>
        <v>4020</v>
      </c>
      <c r="DR280">
        <v>0</v>
      </c>
      <c r="DS280">
        <v>500</v>
      </c>
      <c r="DT280">
        <f t="shared" si="590"/>
        <v>42710</v>
      </c>
      <c r="DU280">
        <v>2500</v>
      </c>
      <c r="DV280">
        <v>0</v>
      </c>
      <c r="DW280">
        <f t="shared" si="591"/>
        <v>200</v>
      </c>
      <c r="DX280">
        <f t="shared" si="592"/>
        <v>40010</v>
      </c>
      <c r="DY280">
        <f t="shared" si="593"/>
        <v>512180</v>
      </c>
      <c r="DZ280">
        <f t="shared" si="525"/>
        <v>2400</v>
      </c>
      <c r="EA280">
        <f t="shared" si="526"/>
        <v>50000</v>
      </c>
      <c r="EB280">
        <v>0</v>
      </c>
      <c r="EC280">
        <f t="shared" si="527"/>
        <v>459780</v>
      </c>
      <c r="ED280">
        <f t="shared" si="528"/>
        <v>28000</v>
      </c>
      <c r="EE280">
        <f t="shared" si="529"/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f t="shared" si="530"/>
        <v>28000</v>
      </c>
      <c r="EQ280">
        <f t="shared" si="594"/>
        <v>28000</v>
      </c>
      <c r="ER280">
        <f t="shared" si="531"/>
        <v>431780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f t="shared" si="595"/>
        <v>0</v>
      </c>
      <c r="FA280">
        <f t="shared" si="596"/>
        <v>431780</v>
      </c>
      <c r="FB280">
        <f t="shared" si="597"/>
        <v>9089</v>
      </c>
      <c r="FC280">
        <f t="shared" si="598"/>
        <v>0</v>
      </c>
      <c r="FD280">
        <f t="shared" si="599"/>
        <v>9089</v>
      </c>
      <c r="FE280">
        <f t="shared" si="600"/>
        <v>0</v>
      </c>
      <c r="FF280">
        <f t="shared" si="601"/>
        <v>0</v>
      </c>
      <c r="FG280">
        <f t="shared" si="602"/>
        <v>0</v>
      </c>
      <c r="FH280">
        <v>0</v>
      </c>
      <c r="FI280">
        <f t="shared" si="603"/>
        <v>0</v>
      </c>
      <c r="FJ280" t="b">
        <f t="shared" si="604"/>
        <v>1</v>
      </c>
      <c r="FK280">
        <f t="shared" ca="1" si="605"/>
        <v>532</v>
      </c>
      <c r="FL280">
        <f t="shared" ca="1" si="606"/>
        <v>512712</v>
      </c>
      <c r="FM280">
        <f t="shared" si="607"/>
        <v>75000</v>
      </c>
      <c r="FN280">
        <f t="shared" ca="1" si="608"/>
        <v>437712</v>
      </c>
      <c r="FO280">
        <f t="shared" ca="1" si="609"/>
        <v>0</v>
      </c>
      <c r="FP280">
        <f t="shared" ca="1" si="610"/>
        <v>0</v>
      </c>
      <c r="FQ280">
        <f t="shared" ca="1" si="611"/>
        <v>0</v>
      </c>
      <c r="FR280">
        <f t="shared" ca="1" si="612"/>
        <v>0</v>
      </c>
      <c r="FS280">
        <f t="shared" ca="1" si="613"/>
        <v>0</v>
      </c>
      <c r="FT280">
        <f t="shared" ca="1" si="614"/>
        <v>0</v>
      </c>
      <c r="FU280">
        <f t="shared" ca="1" si="615"/>
        <v>0</v>
      </c>
      <c r="FV280">
        <f t="shared" ca="1" si="616"/>
        <v>0</v>
      </c>
      <c r="FW280">
        <f t="shared" ca="1" si="617"/>
        <v>137712</v>
      </c>
      <c r="FX280">
        <f t="shared" ca="1" si="618"/>
        <v>6885.6</v>
      </c>
      <c r="FY280">
        <f t="shared" ca="1" si="619"/>
        <v>6886</v>
      </c>
      <c r="FZ280">
        <f t="shared" ca="1" si="620"/>
        <v>0</v>
      </c>
      <c r="GA280">
        <f t="shared" ca="1" si="621"/>
        <v>0</v>
      </c>
      <c r="GB280">
        <f t="shared" ca="1" si="622"/>
        <v>6886</v>
      </c>
      <c r="GC280">
        <f t="shared" ca="1" si="623"/>
        <v>0</v>
      </c>
      <c r="GD280" t="b">
        <f t="shared" ca="1" si="624"/>
        <v>0</v>
      </c>
      <c r="GE280">
        <f t="shared" ca="1" si="625"/>
        <v>0</v>
      </c>
      <c r="GF280">
        <f t="shared" ca="1" si="626"/>
        <v>6886</v>
      </c>
      <c r="GG280">
        <f t="shared" ca="1" si="627"/>
        <v>0</v>
      </c>
      <c r="GH280">
        <f t="shared" ca="1" si="628"/>
        <v>0</v>
      </c>
      <c r="GI280">
        <f t="shared" ca="1" si="629"/>
        <v>0</v>
      </c>
    </row>
    <row r="281" spans="1:191" x14ac:dyDescent="0.25">
      <c r="A281">
        <f>_xlfn.AGGREGATE(3,5,$B$2:B281)</f>
        <v>280</v>
      </c>
      <c r="B281" t="s">
        <v>680</v>
      </c>
      <c r="C281" t="s">
        <v>681</v>
      </c>
      <c r="D281" t="s">
        <v>836</v>
      </c>
      <c r="E281" t="s">
        <v>843</v>
      </c>
      <c r="F281">
        <v>0</v>
      </c>
      <c r="G281">
        <v>6000</v>
      </c>
      <c r="H281">
        <v>32500</v>
      </c>
      <c r="I281">
        <f t="shared" si="532"/>
        <v>3250</v>
      </c>
      <c r="J281">
        <f t="shared" si="533"/>
        <v>3900</v>
      </c>
      <c r="K281">
        <v>0</v>
      </c>
      <c r="L281">
        <v>0</v>
      </c>
      <c r="M281">
        <f t="shared" si="534"/>
        <v>39650</v>
      </c>
      <c r="N281">
        <v>5000</v>
      </c>
      <c r="O281">
        <v>0</v>
      </c>
      <c r="P281">
        <f t="shared" si="535"/>
        <v>150</v>
      </c>
      <c r="Q281">
        <f t="shared" si="536"/>
        <v>34500</v>
      </c>
      <c r="R281">
        <v>32500</v>
      </c>
      <c r="S281">
        <f t="shared" si="537"/>
        <v>3250</v>
      </c>
      <c r="T281">
        <f t="shared" si="538"/>
        <v>3900</v>
      </c>
      <c r="U281">
        <v>0</v>
      </c>
      <c r="V281">
        <v>0</v>
      </c>
      <c r="W281">
        <f t="shared" si="539"/>
        <v>39650</v>
      </c>
      <c r="X281">
        <v>5000</v>
      </c>
      <c r="Y281">
        <v>0</v>
      </c>
      <c r="Z281">
        <f t="shared" si="540"/>
        <v>150</v>
      </c>
      <c r="AA281">
        <f t="shared" si="541"/>
        <v>34500</v>
      </c>
      <c r="AB281">
        <v>32500</v>
      </c>
      <c r="AC281">
        <f t="shared" si="542"/>
        <v>4550</v>
      </c>
      <c r="AD281">
        <f t="shared" si="543"/>
        <v>3900</v>
      </c>
      <c r="AE281">
        <v>0</v>
      </c>
      <c r="AF281">
        <v>0</v>
      </c>
      <c r="AG281">
        <f t="shared" si="544"/>
        <v>40950</v>
      </c>
      <c r="AH281">
        <v>5000</v>
      </c>
      <c r="AI281">
        <v>0</v>
      </c>
      <c r="AJ281">
        <f t="shared" si="545"/>
        <v>200</v>
      </c>
      <c r="AK281">
        <f t="shared" si="546"/>
        <v>35750</v>
      </c>
      <c r="AL281">
        <v>32500</v>
      </c>
      <c r="AM281">
        <f t="shared" si="547"/>
        <v>4550</v>
      </c>
      <c r="AN281">
        <f t="shared" si="548"/>
        <v>3900</v>
      </c>
      <c r="AO281">
        <v>0</v>
      </c>
      <c r="AP281">
        <v>0</v>
      </c>
      <c r="AQ281">
        <f t="shared" si="549"/>
        <v>40950</v>
      </c>
      <c r="AR281">
        <v>5000</v>
      </c>
      <c r="AS281">
        <v>0</v>
      </c>
      <c r="AT281">
        <f t="shared" si="550"/>
        <v>200</v>
      </c>
      <c r="AU281">
        <f t="shared" si="551"/>
        <v>35750</v>
      </c>
      <c r="AV281">
        <v>33500</v>
      </c>
      <c r="AW281">
        <f t="shared" si="552"/>
        <v>4690</v>
      </c>
      <c r="AX281">
        <f t="shared" si="553"/>
        <v>1300</v>
      </c>
      <c r="AY281">
        <f t="shared" si="554"/>
        <v>4020</v>
      </c>
      <c r="AZ281">
        <v>0</v>
      </c>
      <c r="BA281">
        <v>0</v>
      </c>
      <c r="BB281">
        <f t="shared" si="555"/>
        <v>43510</v>
      </c>
      <c r="BC281">
        <v>5000</v>
      </c>
      <c r="BD281">
        <v>0</v>
      </c>
      <c r="BE281">
        <f t="shared" si="556"/>
        <v>200</v>
      </c>
      <c r="BF281">
        <f t="shared" si="557"/>
        <v>38310</v>
      </c>
      <c r="BG281">
        <v>33500</v>
      </c>
      <c r="BH281">
        <f t="shared" si="558"/>
        <v>4690</v>
      </c>
      <c r="BI281">
        <f t="shared" si="559"/>
        <v>4020</v>
      </c>
      <c r="BJ281">
        <v>0</v>
      </c>
      <c r="BK281">
        <v>0</v>
      </c>
      <c r="BL281">
        <f t="shared" si="560"/>
        <v>42210</v>
      </c>
      <c r="BM281">
        <v>5000</v>
      </c>
      <c r="BN281">
        <v>0</v>
      </c>
      <c r="BO281">
        <f t="shared" si="561"/>
        <v>200</v>
      </c>
      <c r="BP281">
        <f t="shared" si="562"/>
        <v>37010</v>
      </c>
      <c r="BQ281">
        <v>33500</v>
      </c>
      <c r="BR281">
        <f t="shared" si="563"/>
        <v>4690</v>
      </c>
      <c r="BS281">
        <f t="shared" si="564"/>
        <v>4020</v>
      </c>
      <c r="BT281">
        <v>0</v>
      </c>
      <c r="BU281">
        <v>0</v>
      </c>
      <c r="BV281">
        <f t="shared" si="565"/>
        <v>42210</v>
      </c>
      <c r="BW281">
        <v>5000</v>
      </c>
      <c r="BX281">
        <v>0</v>
      </c>
      <c r="BY281">
        <f t="shared" si="566"/>
        <v>200</v>
      </c>
      <c r="BZ281">
        <f t="shared" si="567"/>
        <v>37010</v>
      </c>
      <c r="CA281">
        <v>33500</v>
      </c>
      <c r="CB281">
        <f t="shared" si="568"/>
        <v>4690</v>
      </c>
      <c r="CC281">
        <f t="shared" si="569"/>
        <v>4020</v>
      </c>
      <c r="CD281">
        <v>0</v>
      </c>
      <c r="CE281">
        <v>0</v>
      </c>
      <c r="CF281">
        <f t="shared" si="570"/>
        <v>42210</v>
      </c>
      <c r="CG281">
        <v>5000</v>
      </c>
      <c r="CH281">
        <v>0</v>
      </c>
      <c r="CI281">
        <f t="shared" si="571"/>
        <v>200</v>
      </c>
      <c r="CJ281">
        <f t="shared" si="572"/>
        <v>37010</v>
      </c>
      <c r="CK281">
        <v>33500</v>
      </c>
      <c r="CL281">
        <f t="shared" si="573"/>
        <v>4690</v>
      </c>
      <c r="CM281">
        <f t="shared" si="574"/>
        <v>4020</v>
      </c>
      <c r="CN281">
        <v>0</v>
      </c>
      <c r="CO281">
        <v>0</v>
      </c>
      <c r="CP281">
        <f t="shared" si="575"/>
        <v>42210</v>
      </c>
      <c r="CQ281">
        <v>5000</v>
      </c>
      <c r="CR281">
        <v>0</v>
      </c>
      <c r="CS281">
        <f t="shared" si="576"/>
        <v>200</v>
      </c>
      <c r="CT281">
        <f t="shared" si="577"/>
        <v>37010</v>
      </c>
      <c r="CU281">
        <v>33500</v>
      </c>
      <c r="CV281">
        <f t="shared" si="578"/>
        <v>4690</v>
      </c>
      <c r="CW281">
        <f t="shared" si="579"/>
        <v>4020</v>
      </c>
      <c r="CX281">
        <v>0</v>
      </c>
      <c r="CY281">
        <v>0</v>
      </c>
      <c r="CZ281">
        <f t="shared" si="580"/>
        <v>42210</v>
      </c>
      <c r="DA281">
        <v>5000</v>
      </c>
      <c r="DB281">
        <v>0</v>
      </c>
      <c r="DC281">
        <f t="shared" si="581"/>
        <v>200</v>
      </c>
      <c r="DD281">
        <f t="shared" si="582"/>
        <v>37010</v>
      </c>
      <c r="DE281">
        <v>33500</v>
      </c>
      <c r="DF281">
        <f t="shared" si="583"/>
        <v>4690</v>
      </c>
      <c r="DG281">
        <f t="shared" si="584"/>
        <v>4020</v>
      </c>
      <c r="DH281">
        <v>0</v>
      </c>
      <c r="DI281">
        <v>0</v>
      </c>
      <c r="DJ281">
        <f t="shared" si="585"/>
        <v>42210</v>
      </c>
      <c r="DK281">
        <v>5000</v>
      </c>
      <c r="DL281">
        <v>0</v>
      </c>
      <c r="DM281">
        <f t="shared" si="586"/>
        <v>200</v>
      </c>
      <c r="DN281">
        <f t="shared" si="587"/>
        <v>37010</v>
      </c>
      <c r="DO281">
        <v>33500</v>
      </c>
      <c r="DP281">
        <f t="shared" si="588"/>
        <v>4690</v>
      </c>
      <c r="DQ281">
        <f t="shared" si="589"/>
        <v>4020</v>
      </c>
      <c r="DR281">
        <v>0</v>
      </c>
      <c r="DS281">
        <v>0</v>
      </c>
      <c r="DT281">
        <f t="shared" si="590"/>
        <v>42210</v>
      </c>
      <c r="DU281">
        <v>5000</v>
      </c>
      <c r="DV281">
        <v>0</v>
      </c>
      <c r="DW281">
        <f t="shared" si="591"/>
        <v>200</v>
      </c>
      <c r="DX281">
        <f t="shared" si="592"/>
        <v>37010</v>
      </c>
      <c r="DY281">
        <f t="shared" si="593"/>
        <v>506180</v>
      </c>
      <c r="DZ281">
        <f t="shared" si="525"/>
        <v>2300</v>
      </c>
      <c r="EA281">
        <f t="shared" si="526"/>
        <v>50000</v>
      </c>
      <c r="EB281">
        <v>0</v>
      </c>
      <c r="EC281">
        <f t="shared" si="527"/>
        <v>453880</v>
      </c>
      <c r="ED281">
        <f t="shared" si="528"/>
        <v>60000</v>
      </c>
      <c r="EE281">
        <f t="shared" si="529"/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f t="shared" si="530"/>
        <v>60000</v>
      </c>
      <c r="EQ281">
        <f t="shared" si="594"/>
        <v>60000</v>
      </c>
      <c r="ER281">
        <f t="shared" si="531"/>
        <v>393880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f t="shared" si="595"/>
        <v>0</v>
      </c>
      <c r="FA281">
        <f t="shared" si="596"/>
        <v>393880</v>
      </c>
      <c r="FB281">
        <f t="shared" si="597"/>
        <v>7194</v>
      </c>
      <c r="FC281">
        <f t="shared" si="598"/>
        <v>0</v>
      </c>
      <c r="FD281">
        <f t="shared" si="599"/>
        <v>7194</v>
      </c>
      <c r="FE281">
        <f t="shared" si="600"/>
        <v>0</v>
      </c>
      <c r="FF281">
        <f t="shared" si="601"/>
        <v>0</v>
      </c>
      <c r="FG281">
        <f t="shared" si="602"/>
        <v>0</v>
      </c>
      <c r="FH281">
        <v>0</v>
      </c>
      <c r="FI281">
        <f t="shared" si="603"/>
        <v>0</v>
      </c>
      <c r="FJ281" t="b">
        <f t="shared" si="604"/>
        <v>1</v>
      </c>
      <c r="FK281">
        <f t="shared" ca="1" si="605"/>
        <v>564</v>
      </c>
      <c r="FL281">
        <f t="shared" ca="1" si="606"/>
        <v>506744</v>
      </c>
      <c r="FM281">
        <f t="shared" si="607"/>
        <v>75000</v>
      </c>
      <c r="FN281">
        <f t="shared" ca="1" si="608"/>
        <v>431744</v>
      </c>
      <c r="FO281">
        <f t="shared" ca="1" si="609"/>
        <v>0</v>
      </c>
      <c r="FP281">
        <f t="shared" ca="1" si="610"/>
        <v>0</v>
      </c>
      <c r="FQ281">
        <f t="shared" ca="1" si="611"/>
        <v>0</v>
      </c>
      <c r="FR281">
        <f t="shared" ca="1" si="612"/>
        <v>0</v>
      </c>
      <c r="FS281">
        <f t="shared" ca="1" si="613"/>
        <v>0</v>
      </c>
      <c r="FT281">
        <f t="shared" ca="1" si="614"/>
        <v>0</v>
      </c>
      <c r="FU281">
        <f t="shared" ca="1" si="615"/>
        <v>0</v>
      </c>
      <c r="FV281">
        <f t="shared" ca="1" si="616"/>
        <v>0</v>
      </c>
      <c r="FW281">
        <f t="shared" ca="1" si="617"/>
        <v>131744</v>
      </c>
      <c r="FX281">
        <f t="shared" ca="1" si="618"/>
        <v>6587.2000000000007</v>
      </c>
      <c r="FY281">
        <f t="shared" ca="1" si="619"/>
        <v>6587</v>
      </c>
      <c r="FZ281">
        <f t="shared" ca="1" si="620"/>
        <v>0</v>
      </c>
      <c r="GA281">
        <f t="shared" ca="1" si="621"/>
        <v>0</v>
      </c>
      <c r="GB281">
        <f t="shared" ca="1" si="622"/>
        <v>6587</v>
      </c>
      <c r="GC281">
        <f t="shared" ca="1" si="623"/>
        <v>0</v>
      </c>
      <c r="GD281" t="b">
        <f t="shared" ca="1" si="624"/>
        <v>0</v>
      </c>
      <c r="GE281">
        <f t="shared" ca="1" si="625"/>
        <v>0</v>
      </c>
      <c r="GF281">
        <f t="shared" ca="1" si="626"/>
        <v>6587</v>
      </c>
      <c r="GG281">
        <f t="shared" ca="1" si="627"/>
        <v>0</v>
      </c>
      <c r="GH281">
        <f t="shared" ca="1" si="628"/>
        <v>0</v>
      </c>
      <c r="GI281">
        <f t="shared" ca="1" si="629"/>
        <v>0</v>
      </c>
    </row>
    <row r="282" spans="1:191" x14ac:dyDescent="0.25">
      <c r="A282">
        <f>_xlfn.AGGREGATE(3,5,$B$2:B282)</f>
        <v>281</v>
      </c>
      <c r="B282" t="s">
        <v>682</v>
      </c>
      <c r="C282" t="s">
        <v>683</v>
      </c>
      <c r="D282" t="s">
        <v>836</v>
      </c>
      <c r="E282" t="s">
        <v>843</v>
      </c>
      <c r="F282">
        <v>0</v>
      </c>
      <c r="G282">
        <v>0</v>
      </c>
      <c r="H282">
        <v>0</v>
      </c>
      <c r="I282">
        <f t="shared" si="532"/>
        <v>0</v>
      </c>
      <c r="J282">
        <f t="shared" si="533"/>
        <v>0</v>
      </c>
      <c r="K282">
        <v>0</v>
      </c>
      <c r="L282">
        <v>0</v>
      </c>
      <c r="M282">
        <f t="shared" si="534"/>
        <v>0</v>
      </c>
      <c r="N282">
        <v>0</v>
      </c>
      <c r="O282">
        <v>0</v>
      </c>
      <c r="P282">
        <f t="shared" si="535"/>
        <v>0</v>
      </c>
      <c r="Q282">
        <f t="shared" si="536"/>
        <v>0</v>
      </c>
      <c r="R282">
        <v>0</v>
      </c>
      <c r="S282">
        <f t="shared" si="537"/>
        <v>0</v>
      </c>
      <c r="T282">
        <f t="shared" si="538"/>
        <v>0</v>
      </c>
      <c r="U282">
        <v>0</v>
      </c>
      <c r="V282">
        <v>0</v>
      </c>
      <c r="W282">
        <f t="shared" si="539"/>
        <v>0</v>
      </c>
      <c r="X282">
        <v>0</v>
      </c>
      <c r="Y282">
        <v>0</v>
      </c>
      <c r="Z282">
        <f t="shared" si="540"/>
        <v>0</v>
      </c>
      <c r="AA282">
        <f t="shared" si="541"/>
        <v>0</v>
      </c>
      <c r="AB282">
        <v>0</v>
      </c>
      <c r="AC282">
        <f t="shared" si="542"/>
        <v>0</v>
      </c>
      <c r="AD282">
        <f t="shared" si="543"/>
        <v>0</v>
      </c>
      <c r="AE282">
        <v>0</v>
      </c>
      <c r="AF282">
        <v>0</v>
      </c>
      <c r="AG282">
        <f t="shared" si="544"/>
        <v>0</v>
      </c>
      <c r="AH282">
        <v>0</v>
      </c>
      <c r="AI282">
        <v>0</v>
      </c>
      <c r="AJ282">
        <f t="shared" si="545"/>
        <v>0</v>
      </c>
      <c r="AK282">
        <f t="shared" si="546"/>
        <v>0</v>
      </c>
      <c r="AL282">
        <v>0</v>
      </c>
      <c r="AM282">
        <f t="shared" si="547"/>
        <v>0</v>
      </c>
      <c r="AN282">
        <f t="shared" si="548"/>
        <v>0</v>
      </c>
      <c r="AO282">
        <v>0</v>
      </c>
      <c r="AP282">
        <v>0</v>
      </c>
      <c r="AQ282">
        <f t="shared" si="549"/>
        <v>0</v>
      </c>
      <c r="AR282">
        <v>0</v>
      </c>
      <c r="AS282">
        <v>0</v>
      </c>
      <c r="AT282">
        <f t="shared" si="550"/>
        <v>0</v>
      </c>
      <c r="AU282">
        <f t="shared" si="551"/>
        <v>0</v>
      </c>
      <c r="AV282">
        <v>0</v>
      </c>
      <c r="AW282">
        <f t="shared" si="552"/>
        <v>0</v>
      </c>
      <c r="AX282">
        <f t="shared" si="553"/>
        <v>0</v>
      </c>
      <c r="AY282">
        <f t="shared" si="554"/>
        <v>0</v>
      </c>
      <c r="AZ282">
        <v>0</v>
      </c>
      <c r="BA282">
        <v>0</v>
      </c>
      <c r="BB282">
        <f t="shared" si="555"/>
        <v>0</v>
      </c>
      <c r="BC282">
        <v>0</v>
      </c>
      <c r="BD282">
        <v>0</v>
      </c>
      <c r="BE282">
        <f t="shared" si="556"/>
        <v>0</v>
      </c>
      <c r="BF282">
        <f t="shared" si="557"/>
        <v>0</v>
      </c>
      <c r="BG282">
        <v>0</v>
      </c>
      <c r="BH282">
        <f t="shared" si="558"/>
        <v>0</v>
      </c>
      <c r="BI282">
        <f t="shared" si="559"/>
        <v>0</v>
      </c>
      <c r="BJ282">
        <v>0</v>
      </c>
      <c r="BK282">
        <v>0</v>
      </c>
      <c r="BL282">
        <f t="shared" si="560"/>
        <v>0</v>
      </c>
      <c r="BM282">
        <v>0</v>
      </c>
      <c r="BN282">
        <v>0</v>
      </c>
      <c r="BO282">
        <f t="shared" si="561"/>
        <v>0</v>
      </c>
      <c r="BP282">
        <f t="shared" si="562"/>
        <v>0</v>
      </c>
      <c r="BQ282">
        <v>0</v>
      </c>
      <c r="BR282">
        <f t="shared" si="563"/>
        <v>0</v>
      </c>
      <c r="BS282">
        <f t="shared" si="564"/>
        <v>0</v>
      </c>
      <c r="BT282">
        <v>0</v>
      </c>
      <c r="BU282">
        <v>0</v>
      </c>
      <c r="BV282">
        <f t="shared" si="565"/>
        <v>0</v>
      </c>
      <c r="BW282">
        <v>0</v>
      </c>
      <c r="BX282">
        <v>0</v>
      </c>
      <c r="BY282">
        <f t="shared" si="566"/>
        <v>0</v>
      </c>
      <c r="BZ282">
        <f t="shared" si="567"/>
        <v>0</v>
      </c>
      <c r="CA282">
        <v>0</v>
      </c>
      <c r="CB282">
        <f t="shared" si="568"/>
        <v>0</v>
      </c>
      <c r="CC282">
        <f t="shared" si="569"/>
        <v>0</v>
      </c>
      <c r="CD282">
        <v>0</v>
      </c>
      <c r="CE282">
        <v>0</v>
      </c>
      <c r="CF282">
        <f t="shared" si="570"/>
        <v>0</v>
      </c>
      <c r="CG282">
        <v>0</v>
      </c>
      <c r="CH282">
        <v>0</v>
      </c>
      <c r="CI282">
        <f t="shared" si="571"/>
        <v>0</v>
      </c>
      <c r="CJ282">
        <f t="shared" si="572"/>
        <v>0</v>
      </c>
      <c r="CK282">
        <v>28900</v>
      </c>
      <c r="CL282">
        <f t="shared" si="573"/>
        <v>4046.0000000000005</v>
      </c>
      <c r="CM282">
        <f t="shared" si="574"/>
        <v>3468</v>
      </c>
      <c r="CN282">
        <v>0</v>
      </c>
      <c r="CO282">
        <v>0</v>
      </c>
      <c r="CP282">
        <f t="shared" si="575"/>
        <v>36414</v>
      </c>
      <c r="CQ282">
        <v>0</v>
      </c>
      <c r="CR282">
        <v>0</v>
      </c>
      <c r="CS282">
        <f t="shared" si="576"/>
        <v>150</v>
      </c>
      <c r="CT282">
        <f t="shared" si="577"/>
        <v>36264</v>
      </c>
      <c r="CU282">
        <v>28900</v>
      </c>
      <c r="CV282">
        <f t="shared" si="578"/>
        <v>4046</v>
      </c>
      <c r="CW282">
        <f t="shared" si="579"/>
        <v>3468</v>
      </c>
      <c r="CX282">
        <v>0</v>
      </c>
      <c r="CY282">
        <v>0</v>
      </c>
      <c r="CZ282">
        <f t="shared" si="580"/>
        <v>36414</v>
      </c>
      <c r="DA282">
        <v>0</v>
      </c>
      <c r="DB282">
        <v>0</v>
      </c>
      <c r="DC282">
        <f t="shared" si="581"/>
        <v>150</v>
      </c>
      <c r="DD282">
        <f t="shared" si="582"/>
        <v>36264</v>
      </c>
      <c r="DE282">
        <v>28900</v>
      </c>
      <c r="DF282">
        <f t="shared" si="583"/>
        <v>4046.0000000000005</v>
      </c>
      <c r="DG282">
        <f t="shared" si="584"/>
        <v>3468</v>
      </c>
      <c r="DH282">
        <v>0</v>
      </c>
      <c r="DI282">
        <v>0</v>
      </c>
      <c r="DJ282">
        <f t="shared" si="585"/>
        <v>36414</v>
      </c>
      <c r="DK282">
        <v>0</v>
      </c>
      <c r="DL282">
        <v>0</v>
      </c>
      <c r="DM282">
        <f t="shared" si="586"/>
        <v>150</v>
      </c>
      <c r="DN282">
        <f t="shared" si="587"/>
        <v>36264</v>
      </c>
      <c r="DO282">
        <v>28900</v>
      </c>
      <c r="DP282">
        <f t="shared" si="588"/>
        <v>4046.0000000000005</v>
      </c>
      <c r="DQ282">
        <f t="shared" si="589"/>
        <v>3468</v>
      </c>
      <c r="DR282">
        <v>0</v>
      </c>
      <c r="DS282">
        <v>0</v>
      </c>
      <c r="DT282">
        <f t="shared" si="590"/>
        <v>36414</v>
      </c>
      <c r="DU282">
        <v>0</v>
      </c>
      <c r="DV282">
        <v>0</v>
      </c>
      <c r="DW282">
        <f t="shared" si="591"/>
        <v>150</v>
      </c>
      <c r="DX282">
        <f t="shared" si="592"/>
        <v>36264</v>
      </c>
      <c r="DY282">
        <f t="shared" si="593"/>
        <v>145656</v>
      </c>
      <c r="DZ282">
        <f t="shared" si="525"/>
        <v>600</v>
      </c>
      <c r="EA282">
        <f t="shared" si="526"/>
        <v>50000</v>
      </c>
      <c r="EB282">
        <v>0</v>
      </c>
      <c r="EC282">
        <f t="shared" si="527"/>
        <v>95056</v>
      </c>
      <c r="ED282">
        <f t="shared" si="528"/>
        <v>0</v>
      </c>
      <c r="EE282">
        <f t="shared" si="529"/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f t="shared" si="530"/>
        <v>0</v>
      </c>
      <c r="EQ282">
        <f t="shared" si="594"/>
        <v>0</v>
      </c>
      <c r="ER282">
        <f t="shared" si="531"/>
        <v>95056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f t="shared" si="595"/>
        <v>0</v>
      </c>
      <c r="FA282">
        <f t="shared" si="596"/>
        <v>95056</v>
      </c>
      <c r="FB282">
        <f t="shared" si="597"/>
        <v>-7747</v>
      </c>
      <c r="FC282">
        <f t="shared" si="598"/>
        <v>0</v>
      </c>
      <c r="FD282">
        <f t="shared" si="599"/>
        <v>-7747</v>
      </c>
      <c r="FE282">
        <f t="shared" si="600"/>
        <v>0</v>
      </c>
      <c r="FF282">
        <f t="shared" si="601"/>
        <v>0</v>
      </c>
      <c r="FG282">
        <f t="shared" si="602"/>
        <v>0</v>
      </c>
      <c r="FH282">
        <v>0</v>
      </c>
      <c r="FI282">
        <f t="shared" si="603"/>
        <v>0</v>
      </c>
      <c r="FJ282" t="b">
        <f t="shared" si="604"/>
        <v>0</v>
      </c>
      <c r="FK282">
        <f t="shared" ca="1" si="605"/>
        <v>1283</v>
      </c>
      <c r="FL282">
        <f t="shared" ca="1" si="606"/>
        <v>146939</v>
      </c>
      <c r="FM282">
        <f t="shared" si="607"/>
        <v>75000</v>
      </c>
      <c r="FN282">
        <f t="shared" ca="1" si="608"/>
        <v>71939</v>
      </c>
      <c r="FO282">
        <f t="shared" ca="1" si="609"/>
        <v>0</v>
      </c>
      <c r="FP282">
        <f t="shared" ca="1" si="610"/>
        <v>0</v>
      </c>
      <c r="FQ282">
        <f t="shared" ca="1" si="611"/>
        <v>0</v>
      </c>
      <c r="FR282">
        <f t="shared" ca="1" si="612"/>
        <v>0</v>
      </c>
      <c r="FS282">
        <f t="shared" ca="1" si="613"/>
        <v>0</v>
      </c>
      <c r="FT282">
        <f t="shared" ca="1" si="614"/>
        <v>0</v>
      </c>
      <c r="FU282">
        <f t="shared" ca="1" si="615"/>
        <v>0</v>
      </c>
      <c r="FV282">
        <f t="shared" ca="1" si="616"/>
        <v>0</v>
      </c>
      <c r="FW282">
        <f t="shared" ca="1" si="617"/>
        <v>0</v>
      </c>
      <c r="FX282">
        <f t="shared" ca="1" si="618"/>
        <v>0</v>
      </c>
      <c r="FY282">
        <f t="shared" ca="1" si="619"/>
        <v>0</v>
      </c>
      <c r="FZ282">
        <f t="shared" ca="1" si="620"/>
        <v>0</v>
      </c>
      <c r="GA282">
        <f t="shared" ca="1" si="621"/>
        <v>0</v>
      </c>
      <c r="GB282">
        <f t="shared" ca="1" si="622"/>
        <v>0</v>
      </c>
      <c r="GC282">
        <f t="shared" ca="1" si="623"/>
        <v>0</v>
      </c>
      <c r="GD282" t="b">
        <f t="shared" ca="1" si="624"/>
        <v>0</v>
      </c>
      <c r="GE282">
        <f t="shared" ca="1" si="625"/>
        <v>0</v>
      </c>
      <c r="GF282">
        <f t="shared" ca="1" si="626"/>
        <v>0</v>
      </c>
      <c r="GG282">
        <f t="shared" ca="1" si="627"/>
        <v>0</v>
      </c>
      <c r="GH282">
        <f t="shared" ca="1" si="628"/>
        <v>0</v>
      </c>
      <c r="GI282">
        <f t="shared" ca="1" si="629"/>
        <v>0</v>
      </c>
    </row>
    <row r="283" spans="1:191" x14ac:dyDescent="0.25">
      <c r="A283">
        <f>_xlfn.AGGREGATE(3,5,$B$2:B283)</f>
        <v>282</v>
      </c>
      <c r="B283" t="s">
        <v>684</v>
      </c>
      <c r="C283" t="s">
        <v>685</v>
      </c>
      <c r="D283" t="s">
        <v>837</v>
      </c>
      <c r="E283" t="s">
        <v>843</v>
      </c>
      <c r="F283">
        <v>0</v>
      </c>
      <c r="G283">
        <v>0</v>
      </c>
      <c r="H283">
        <v>50200</v>
      </c>
      <c r="I283">
        <f t="shared" si="532"/>
        <v>5020</v>
      </c>
      <c r="J283">
        <f t="shared" si="533"/>
        <v>6024</v>
      </c>
      <c r="K283">
        <v>400</v>
      </c>
      <c r="L283">
        <v>0</v>
      </c>
      <c r="M283">
        <f t="shared" si="534"/>
        <v>61644</v>
      </c>
      <c r="N283">
        <v>4000</v>
      </c>
      <c r="O283">
        <v>0</v>
      </c>
      <c r="P283">
        <f t="shared" si="535"/>
        <v>200</v>
      </c>
      <c r="Q283">
        <f t="shared" si="536"/>
        <v>57444</v>
      </c>
      <c r="R283">
        <v>50200</v>
      </c>
      <c r="S283">
        <f t="shared" si="537"/>
        <v>5020</v>
      </c>
      <c r="T283">
        <f t="shared" si="538"/>
        <v>6024</v>
      </c>
      <c r="U283">
        <v>400</v>
      </c>
      <c r="V283">
        <v>0</v>
      </c>
      <c r="W283">
        <f t="shared" si="539"/>
        <v>61644</v>
      </c>
      <c r="X283">
        <v>4000</v>
      </c>
      <c r="Y283">
        <v>0</v>
      </c>
      <c r="Z283">
        <f t="shared" si="540"/>
        <v>200</v>
      </c>
      <c r="AA283">
        <f t="shared" si="541"/>
        <v>57444</v>
      </c>
      <c r="AB283">
        <v>50200</v>
      </c>
      <c r="AC283">
        <f t="shared" si="542"/>
        <v>7028.0000000000009</v>
      </c>
      <c r="AD283">
        <f t="shared" si="543"/>
        <v>6024</v>
      </c>
      <c r="AE283">
        <v>400</v>
      </c>
      <c r="AF283">
        <v>0</v>
      </c>
      <c r="AG283">
        <f t="shared" si="544"/>
        <v>63652</v>
      </c>
      <c r="AH283">
        <v>4000</v>
      </c>
      <c r="AI283">
        <v>0</v>
      </c>
      <c r="AJ283">
        <f t="shared" si="545"/>
        <v>200</v>
      </c>
      <c r="AK283">
        <f t="shared" si="546"/>
        <v>59452</v>
      </c>
      <c r="AL283">
        <v>50200</v>
      </c>
      <c r="AM283">
        <f t="shared" si="547"/>
        <v>7028.0000000000009</v>
      </c>
      <c r="AN283">
        <f t="shared" si="548"/>
        <v>6024</v>
      </c>
      <c r="AO283">
        <v>400</v>
      </c>
      <c r="AP283">
        <v>0</v>
      </c>
      <c r="AQ283">
        <f t="shared" si="549"/>
        <v>63652</v>
      </c>
      <c r="AR283">
        <v>4000</v>
      </c>
      <c r="AS283">
        <v>0</v>
      </c>
      <c r="AT283">
        <f t="shared" si="550"/>
        <v>200</v>
      </c>
      <c r="AU283">
        <f t="shared" si="551"/>
        <v>59452</v>
      </c>
      <c r="AV283">
        <v>51700</v>
      </c>
      <c r="AW283">
        <f t="shared" si="552"/>
        <v>7238.0000000000009</v>
      </c>
      <c r="AX283">
        <f t="shared" si="553"/>
        <v>2008</v>
      </c>
      <c r="AY283">
        <f t="shared" si="554"/>
        <v>6204</v>
      </c>
      <c r="AZ283">
        <v>400</v>
      </c>
      <c r="BA283">
        <v>0</v>
      </c>
      <c r="BB283">
        <f t="shared" si="555"/>
        <v>67550</v>
      </c>
      <c r="BC283">
        <v>4000</v>
      </c>
      <c r="BD283">
        <v>0</v>
      </c>
      <c r="BE283">
        <f t="shared" si="556"/>
        <v>200</v>
      </c>
      <c r="BF283">
        <f t="shared" si="557"/>
        <v>63350</v>
      </c>
      <c r="BG283">
        <v>51700</v>
      </c>
      <c r="BH283">
        <f t="shared" si="558"/>
        <v>7238.0000000000009</v>
      </c>
      <c r="BI283">
        <f t="shared" si="559"/>
        <v>6204</v>
      </c>
      <c r="BJ283">
        <v>400</v>
      </c>
      <c r="BK283">
        <v>0</v>
      </c>
      <c r="BL283">
        <f t="shared" si="560"/>
        <v>65542</v>
      </c>
      <c r="BM283">
        <v>4000</v>
      </c>
      <c r="BN283">
        <v>0</v>
      </c>
      <c r="BO283">
        <f t="shared" si="561"/>
        <v>200</v>
      </c>
      <c r="BP283">
        <f t="shared" si="562"/>
        <v>61342</v>
      </c>
      <c r="BQ283">
        <v>51700</v>
      </c>
      <c r="BR283">
        <f t="shared" si="563"/>
        <v>7238.0000000000009</v>
      </c>
      <c r="BS283">
        <f t="shared" si="564"/>
        <v>6204</v>
      </c>
      <c r="BT283">
        <v>400</v>
      </c>
      <c r="BU283">
        <v>0</v>
      </c>
      <c r="BV283">
        <f t="shared" si="565"/>
        <v>65542</v>
      </c>
      <c r="BW283">
        <v>4000</v>
      </c>
      <c r="BX283">
        <v>0</v>
      </c>
      <c r="BY283">
        <f t="shared" si="566"/>
        <v>200</v>
      </c>
      <c r="BZ283">
        <f t="shared" si="567"/>
        <v>61342</v>
      </c>
      <c r="CA283">
        <v>51700</v>
      </c>
      <c r="CB283">
        <f t="shared" si="568"/>
        <v>7238.0000000000009</v>
      </c>
      <c r="CC283">
        <f t="shared" si="569"/>
        <v>6204</v>
      </c>
      <c r="CD283">
        <v>400</v>
      </c>
      <c r="CE283">
        <v>0</v>
      </c>
      <c r="CF283">
        <f t="shared" si="570"/>
        <v>65542</v>
      </c>
      <c r="CG283">
        <v>4000</v>
      </c>
      <c r="CH283">
        <v>0</v>
      </c>
      <c r="CI283">
        <f t="shared" si="571"/>
        <v>200</v>
      </c>
      <c r="CJ283">
        <f t="shared" si="572"/>
        <v>61342</v>
      </c>
      <c r="CK283">
        <v>51700</v>
      </c>
      <c r="CL283">
        <f t="shared" si="573"/>
        <v>7238.0000000000009</v>
      </c>
      <c r="CM283">
        <f t="shared" si="574"/>
        <v>6204</v>
      </c>
      <c r="CN283">
        <v>400</v>
      </c>
      <c r="CO283">
        <v>0</v>
      </c>
      <c r="CP283">
        <f t="shared" si="575"/>
        <v>65542</v>
      </c>
      <c r="CQ283">
        <v>4000</v>
      </c>
      <c r="CR283">
        <v>0</v>
      </c>
      <c r="CS283">
        <f t="shared" si="576"/>
        <v>200</v>
      </c>
      <c r="CT283">
        <f t="shared" si="577"/>
        <v>61342</v>
      </c>
      <c r="CU283">
        <v>51700</v>
      </c>
      <c r="CV283">
        <f t="shared" si="578"/>
        <v>7238</v>
      </c>
      <c r="CW283">
        <f t="shared" si="579"/>
        <v>6204</v>
      </c>
      <c r="CX283">
        <v>400</v>
      </c>
      <c r="CY283">
        <v>0</v>
      </c>
      <c r="CZ283">
        <f t="shared" si="580"/>
        <v>65542</v>
      </c>
      <c r="DA283">
        <v>4000</v>
      </c>
      <c r="DB283">
        <v>0</v>
      </c>
      <c r="DC283">
        <f t="shared" si="581"/>
        <v>200</v>
      </c>
      <c r="DD283">
        <f t="shared" si="582"/>
        <v>61342</v>
      </c>
      <c r="DE283">
        <v>51700</v>
      </c>
      <c r="DF283">
        <f t="shared" si="583"/>
        <v>7238.0000000000009</v>
      </c>
      <c r="DG283">
        <f t="shared" si="584"/>
        <v>6204</v>
      </c>
      <c r="DH283">
        <v>400</v>
      </c>
      <c r="DI283">
        <v>0</v>
      </c>
      <c r="DJ283">
        <f t="shared" si="585"/>
        <v>65542</v>
      </c>
      <c r="DK283">
        <v>4000</v>
      </c>
      <c r="DL283">
        <v>0</v>
      </c>
      <c r="DM283">
        <f t="shared" si="586"/>
        <v>200</v>
      </c>
      <c r="DN283">
        <f t="shared" si="587"/>
        <v>61342</v>
      </c>
      <c r="DO283">
        <v>51700</v>
      </c>
      <c r="DP283">
        <f t="shared" si="588"/>
        <v>7238.0000000000009</v>
      </c>
      <c r="DQ283">
        <f t="shared" si="589"/>
        <v>6204</v>
      </c>
      <c r="DR283">
        <v>400</v>
      </c>
      <c r="DS283">
        <v>0</v>
      </c>
      <c r="DT283">
        <f t="shared" si="590"/>
        <v>65542</v>
      </c>
      <c r="DU283">
        <v>4000</v>
      </c>
      <c r="DV283">
        <v>0</v>
      </c>
      <c r="DW283">
        <f t="shared" si="591"/>
        <v>200</v>
      </c>
      <c r="DX283">
        <f t="shared" si="592"/>
        <v>61342</v>
      </c>
      <c r="DY283">
        <f t="shared" si="593"/>
        <v>776936</v>
      </c>
      <c r="DZ283">
        <f t="shared" si="525"/>
        <v>2400</v>
      </c>
      <c r="EA283">
        <f t="shared" si="526"/>
        <v>50000</v>
      </c>
      <c r="EB283">
        <v>0</v>
      </c>
      <c r="EC283">
        <f t="shared" si="527"/>
        <v>724536</v>
      </c>
      <c r="ED283">
        <f t="shared" si="528"/>
        <v>48000</v>
      </c>
      <c r="EE283">
        <f t="shared" si="529"/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f t="shared" si="530"/>
        <v>48000</v>
      </c>
      <c r="EQ283">
        <f t="shared" si="594"/>
        <v>48000</v>
      </c>
      <c r="ER283">
        <f t="shared" si="531"/>
        <v>676536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f t="shared" si="595"/>
        <v>0</v>
      </c>
      <c r="FA283">
        <f t="shared" si="596"/>
        <v>676536</v>
      </c>
      <c r="FB283">
        <f t="shared" si="597"/>
        <v>12500</v>
      </c>
      <c r="FC283">
        <f t="shared" si="598"/>
        <v>35307</v>
      </c>
      <c r="FD283">
        <f t="shared" si="599"/>
        <v>47807</v>
      </c>
      <c r="FE283">
        <f t="shared" si="600"/>
        <v>47807</v>
      </c>
      <c r="FF283">
        <f t="shared" si="601"/>
        <v>1912.28</v>
      </c>
      <c r="FG283">
        <f t="shared" si="602"/>
        <v>49719</v>
      </c>
      <c r="FH283">
        <v>0</v>
      </c>
      <c r="FI283">
        <f t="shared" si="603"/>
        <v>49719</v>
      </c>
      <c r="FJ283" t="b">
        <f t="shared" si="604"/>
        <v>1</v>
      </c>
      <c r="FK283">
        <f t="shared" ca="1" si="605"/>
        <v>772</v>
      </c>
      <c r="FL283">
        <f t="shared" ca="1" si="606"/>
        <v>777708</v>
      </c>
      <c r="FM283">
        <f t="shared" si="607"/>
        <v>75000</v>
      </c>
      <c r="FN283">
        <f t="shared" ca="1" si="608"/>
        <v>702708</v>
      </c>
      <c r="FO283">
        <f t="shared" ca="1" si="609"/>
        <v>0</v>
      </c>
      <c r="FP283">
        <f t="shared" ca="1" si="610"/>
        <v>0</v>
      </c>
      <c r="FQ283">
        <f t="shared" ca="1" si="611"/>
        <v>0</v>
      </c>
      <c r="FR283">
        <f t="shared" ca="1" si="612"/>
        <v>0</v>
      </c>
      <c r="FS283">
        <f t="shared" ca="1" si="613"/>
        <v>0</v>
      </c>
      <c r="FT283">
        <f t="shared" ca="1" si="614"/>
        <v>0</v>
      </c>
      <c r="FU283">
        <f t="shared" ca="1" si="615"/>
        <v>2708</v>
      </c>
      <c r="FV283">
        <f t="shared" ca="1" si="616"/>
        <v>270.8</v>
      </c>
      <c r="FW283">
        <f t="shared" ca="1" si="617"/>
        <v>400000</v>
      </c>
      <c r="FX283">
        <f t="shared" ca="1" si="618"/>
        <v>20000</v>
      </c>
      <c r="FY283">
        <f t="shared" ca="1" si="619"/>
        <v>20271</v>
      </c>
      <c r="FZ283">
        <f t="shared" ca="1" si="620"/>
        <v>702708</v>
      </c>
      <c r="GA283">
        <f t="shared" ca="1" si="621"/>
        <v>2708</v>
      </c>
      <c r="GB283">
        <f t="shared" ca="1" si="622"/>
        <v>0</v>
      </c>
      <c r="GC283">
        <f t="shared" ca="1" si="623"/>
        <v>17563</v>
      </c>
      <c r="GD283" t="b">
        <f t="shared" ca="1" si="624"/>
        <v>1</v>
      </c>
      <c r="GE283">
        <f t="shared" ca="1" si="625"/>
        <v>17563</v>
      </c>
      <c r="GF283">
        <f t="shared" ca="1" si="626"/>
        <v>17563</v>
      </c>
      <c r="GG283">
        <f t="shared" ca="1" si="627"/>
        <v>2708</v>
      </c>
      <c r="GH283">
        <f t="shared" ca="1" si="628"/>
        <v>108.32000000000001</v>
      </c>
      <c r="GI283">
        <f t="shared" ca="1" si="629"/>
        <v>2817</v>
      </c>
    </row>
    <row r="284" spans="1:191" x14ac:dyDescent="0.25">
      <c r="A284">
        <f>_xlfn.AGGREGATE(3,5,$B$2:B284)</f>
        <v>283</v>
      </c>
      <c r="B284" t="s">
        <v>686</v>
      </c>
      <c r="C284" t="s">
        <v>687</v>
      </c>
      <c r="D284" t="s">
        <v>837</v>
      </c>
      <c r="E284" t="s">
        <v>843</v>
      </c>
      <c r="F284">
        <v>0</v>
      </c>
      <c r="G284">
        <v>6000</v>
      </c>
      <c r="H284">
        <v>32500</v>
      </c>
      <c r="I284">
        <f t="shared" si="532"/>
        <v>3250</v>
      </c>
      <c r="J284">
        <f t="shared" si="533"/>
        <v>3900</v>
      </c>
      <c r="K284">
        <v>0</v>
      </c>
      <c r="L284">
        <v>500</v>
      </c>
      <c r="M284">
        <f t="shared" si="534"/>
        <v>40150</v>
      </c>
      <c r="N284">
        <v>3000</v>
      </c>
      <c r="O284">
        <v>0</v>
      </c>
      <c r="P284">
        <f t="shared" si="535"/>
        <v>200</v>
      </c>
      <c r="Q284">
        <f t="shared" si="536"/>
        <v>36950</v>
      </c>
      <c r="R284">
        <v>32500</v>
      </c>
      <c r="S284">
        <f t="shared" si="537"/>
        <v>3250</v>
      </c>
      <c r="T284">
        <f t="shared" si="538"/>
        <v>3900</v>
      </c>
      <c r="U284">
        <v>0</v>
      </c>
      <c r="V284">
        <v>500</v>
      </c>
      <c r="W284">
        <f t="shared" si="539"/>
        <v>40150</v>
      </c>
      <c r="X284">
        <v>3000</v>
      </c>
      <c r="Y284">
        <v>0</v>
      </c>
      <c r="Z284">
        <f t="shared" si="540"/>
        <v>200</v>
      </c>
      <c r="AA284">
        <f t="shared" si="541"/>
        <v>36950</v>
      </c>
      <c r="AB284">
        <v>32500</v>
      </c>
      <c r="AC284">
        <f t="shared" si="542"/>
        <v>4550</v>
      </c>
      <c r="AD284">
        <f t="shared" si="543"/>
        <v>3900</v>
      </c>
      <c r="AE284">
        <v>0</v>
      </c>
      <c r="AF284">
        <v>500</v>
      </c>
      <c r="AG284">
        <f t="shared" si="544"/>
        <v>41450</v>
      </c>
      <c r="AH284">
        <v>3000</v>
      </c>
      <c r="AI284">
        <v>0</v>
      </c>
      <c r="AJ284">
        <f t="shared" si="545"/>
        <v>200</v>
      </c>
      <c r="AK284">
        <f t="shared" si="546"/>
        <v>38250</v>
      </c>
      <c r="AL284">
        <v>32500</v>
      </c>
      <c r="AM284">
        <f t="shared" si="547"/>
        <v>4550</v>
      </c>
      <c r="AN284">
        <f t="shared" si="548"/>
        <v>3900</v>
      </c>
      <c r="AO284">
        <v>0</v>
      </c>
      <c r="AP284">
        <v>500</v>
      </c>
      <c r="AQ284">
        <f t="shared" si="549"/>
        <v>41450</v>
      </c>
      <c r="AR284">
        <v>3000</v>
      </c>
      <c r="AS284">
        <v>0</v>
      </c>
      <c r="AT284">
        <f t="shared" si="550"/>
        <v>200</v>
      </c>
      <c r="AU284">
        <f t="shared" si="551"/>
        <v>38250</v>
      </c>
      <c r="AV284">
        <v>34500</v>
      </c>
      <c r="AW284">
        <f t="shared" si="552"/>
        <v>4830.0000000000009</v>
      </c>
      <c r="AX284">
        <f t="shared" si="553"/>
        <v>1300</v>
      </c>
      <c r="AY284">
        <f t="shared" si="554"/>
        <v>4140</v>
      </c>
      <c r="AZ284">
        <v>0</v>
      </c>
      <c r="BA284">
        <v>500</v>
      </c>
      <c r="BB284">
        <f t="shared" si="555"/>
        <v>45270</v>
      </c>
      <c r="BC284">
        <v>3000</v>
      </c>
      <c r="BD284">
        <v>0</v>
      </c>
      <c r="BE284">
        <f t="shared" si="556"/>
        <v>200</v>
      </c>
      <c r="BF284">
        <f t="shared" si="557"/>
        <v>42070</v>
      </c>
      <c r="BG284">
        <v>34500</v>
      </c>
      <c r="BH284">
        <f t="shared" si="558"/>
        <v>4830.0000000000009</v>
      </c>
      <c r="BI284">
        <f t="shared" si="559"/>
        <v>4140</v>
      </c>
      <c r="BJ284">
        <v>0</v>
      </c>
      <c r="BK284">
        <v>500</v>
      </c>
      <c r="BL284">
        <f t="shared" si="560"/>
        <v>43970</v>
      </c>
      <c r="BM284">
        <v>3000</v>
      </c>
      <c r="BN284">
        <v>0</v>
      </c>
      <c r="BO284">
        <f t="shared" si="561"/>
        <v>200</v>
      </c>
      <c r="BP284">
        <f t="shared" si="562"/>
        <v>40770</v>
      </c>
      <c r="BQ284">
        <v>34500</v>
      </c>
      <c r="BR284">
        <f t="shared" si="563"/>
        <v>4830.0000000000009</v>
      </c>
      <c r="BS284">
        <f t="shared" si="564"/>
        <v>4140</v>
      </c>
      <c r="BT284">
        <v>0</v>
      </c>
      <c r="BU284">
        <v>500</v>
      </c>
      <c r="BV284">
        <f t="shared" si="565"/>
        <v>43970</v>
      </c>
      <c r="BW284">
        <v>3000</v>
      </c>
      <c r="BX284">
        <v>0</v>
      </c>
      <c r="BY284">
        <f t="shared" si="566"/>
        <v>200</v>
      </c>
      <c r="BZ284">
        <f t="shared" si="567"/>
        <v>40770</v>
      </c>
      <c r="CA284">
        <v>34500</v>
      </c>
      <c r="CB284">
        <f t="shared" si="568"/>
        <v>4830.0000000000009</v>
      </c>
      <c r="CC284">
        <f t="shared" si="569"/>
        <v>4140</v>
      </c>
      <c r="CD284">
        <v>0</v>
      </c>
      <c r="CE284">
        <v>500</v>
      </c>
      <c r="CF284">
        <f t="shared" si="570"/>
        <v>43970</v>
      </c>
      <c r="CG284">
        <v>3000</v>
      </c>
      <c r="CH284">
        <v>0</v>
      </c>
      <c r="CI284">
        <f t="shared" si="571"/>
        <v>200</v>
      </c>
      <c r="CJ284">
        <f t="shared" si="572"/>
        <v>40770</v>
      </c>
      <c r="CK284">
        <v>34500</v>
      </c>
      <c r="CL284">
        <f t="shared" si="573"/>
        <v>4830.0000000000009</v>
      </c>
      <c r="CM284">
        <f t="shared" si="574"/>
        <v>4140</v>
      </c>
      <c r="CN284">
        <v>0</v>
      </c>
      <c r="CO284">
        <v>500</v>
      </c>
      <c r="CP284">
        <f t="shared" si="575"/>
        <v>43970</v>
      </c>
      <c r="CQ284">
        <v>3000</v>
      </c>
      <c r="CR284">
        <v>0</v>
      </c>
      <c r="CS284">
        <f t="shared" si="576"/>
        <v>200</v>
      </c>
      <c r="CT284">
        <f t="shared" si="577"/>
        <v>40770</v>
      </c>
      <c r="CU284">
        <v>34500</v>
      </c>
      <c r="CV284">
        <f t="shared" si="578"/>
        <v>4830</v>
      </c>
      <c r="CW284">
        <f t="shared" si="579"/>
        <v>4140</v>
      </c>
      <c r="CX284">
        <v>0</v>
      </c>
      <c r="CY284">
        <v>500</v>
      </c>
      <c r="CZ284">
        <f t="shared" si="580"/>
        <v>43970</v>
      </c>
      <c r="DA284">
        <v>3000</v>
      </c>
      <c r="DB284">
        <v>0</v>
      </c>
      <c r="DC284">
        <f t="shared" si="581"/>
        <v>200</v>
      </c>
      <c r="DD284">
        <f t="shared" si="582"/>
        <v>40770</v>
      </c>
      <c r="DE284">
        <v>34500</v>
      </c>
      <c r="DF284">
        <f t="shared" si="583"/>
        <v>4830.0000000000009</v>
      </c>
      <c r="DG284">
        <f t="shared" si="584"/>
        <v>4140</v>
      </c>
      <c r="DH284">
        <v>0</v>
      </c>
      <c r="DI284">
        <v>500</v>
      </c>
      <c r="DJ284">
        <f t="shared" si="585"/>
        <v>43970</v>
      </c>
      <c r="DK284">
        <v>3000</v>
      </c>
      <c r="DL284">
        <v>0</v>
      </c>
      <c r="DM284">
        <f t="shared" si="586"/>
        <v>200</v>
      </c>
      <c r="DN284">
        <f t="shared" si="587"/>
        <v>40770</v>
      </c>
      <c r="DO284">
        <v>34500</v>
      </c>
      <c r="DP284">
        <f t="shared" si="588"/>
        <v>4830.0000000000009</v>
      </c>
      <c r="DQ284">
        <f t="shared" si="589"/>
        <v>4140</v>
      </c>
      <c r="DR284">
        <v>0</v>
      </c>
      <c r="DS284">
        <v>500</v>
      </c>
      <c r="DT284">
        <f t="shared" si="590"/>
        <v>43970</v>
      </c>
      <c r="DU284">
        <v>3000</v>
      </c>
      <c r="DV284">
        <v>0</v>
      </c>
      <c r="DW284">
        <f t="shared" si="591"/>
        <v>200</v>
      </c>
      <c r="DX284">
        <f t="shared" si="592"/>
        <v>40770</v>
      </c>
      <c r="DY284">
        <f t="shared" si="593"/>
        <v>522260</v>
      </c>
      <c r="DZ284">
        <f t="shared" si="525"/>
        <v>2400</v>
      </c>
      <c r="EA284">
        <f t="shared" si="526"/>
        <v>50000</v>
      </c>
      <c r="EB284">
        <v>0</v>
      </c>
      <c r="EC284">
        <f t="shared" si="527"/>
        <v>469860</v>
      </c>
      <c r="ED284">
        <f t="shared" si="528"/>
        <v>36000</v>
      </c>
      <c r="EE284">
        <f t="shared" si="529"/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f t="shared" si="530"/>
        <v>36000</v>
      </c>
      <c r="EQ284">
        <f t="shared" si="594"/>
        <v>36000</v>
      </c>
      <c r="ER284">
        <f t="shared" si="531"/>
        <v>433860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f t="shared" si="595"/>
        <v>0</v>
      </c>
      <c r="FA284">
        <f t="shared" si="596"/>
        <v>433860</v>
      </c>
      <c r="FB284">
        <f t="shared" si="597"/>
        <v>9193</v>
      </c>
      <c r="FC284">
        <f t="shared" si="598"/>
        <v>0</v>
      </c>
      <c r="FD284">
        <f t="shared" si="599"/>
        <v>9193</v>
      </c>
      <c r="FE284">
        <f t="shared" si="600"/>
        <v>0</v>
      </c>
      <c r="FF284">
        <f t="shared" si="601"/>
        <v>0</v>
      </c>
      <c r="FG284">
        <f t="shared" si="602"/>
        <v>0</v>
      </c>
      <c r="FH284">
        <v>0</v>
      </c>
      <c r="FI284">
        <f t="shared" si="603"/>
        <v>0</v>
      </c>
      <c r="FJ284" t="b">
        <f t="shared" si="604"/>
        <v>1</v>
      </c>
      <c r="FK284">
        <f t="shared" ca="1" si="605"/>
        <v>967</v>
      </c>
      <c r="FL284">
        <f t="shared" ca="1" si="606"/>
        <v>523227</v>
      </c>
      <c r="FM284">
        <f t="shared" si="607"/>
        <v>75000</v>
      </c>
      <c r="FN284">
        <f t="shared" ca="1" si="608"/>
        <v>448227</v>
      </c>
      <c r="FO284">
        <f t="shared" ca="1" si="609"/>
        <v>0</v>
      </c>
      <c r="FP284">
        <f t="shared" ca="1" si="610"/>
        <v>0</v>
      </c>
      <c r="FQ284">
        <f t="shared" ca="1" si="611"/>
        <v>0</v>
      </c>
      <c r="FR284">
        <f t="shared" ca="1" si="612"/>
        <v>0</v>
      </c>
      <c r="FS284">
        <f t="shared" ca="1" si="613"/>
        <v>0</v>
      </c>
      <c r="FT284">
        <f t="shared" ca="1" si="614"/>
        <v>0</v>
      </c>
      <c r="FU284">
        <f t="shared" ca="1" si="615"/>
        <v>0</v>
      </c>
      <c r="FV284">
        <f t="shared" ca="1" si="616"/>
        <v>0</v>
      </c>
      <c r="FW284">
        <f t="shared" ca="1" si="617"/>
        <v>148227</v>
      </c>
      <c r="FX284">
        <f t="shared" ca="1" si="618"/>
        <v>7411.35</v>
      </c>
      <c r="FY284">
        <f t="shared" ca="1" si="619"/>
        <v>7411</v>
      </c>
      <c r="FZ284">
        <f t="shared" ca="1" si="620"/>
        <v>0</v>
      </c>
      <c r="GA284">
        <f t="shared" ca="1" si="621"/>
        <v>0</v>
      </c>
      <c r="GB284">
        <f t="shared" ca="1" si="622"/>
        <v>7411</v>
      </c>
      <c r="GC284">
        <f t="shared" ca="1" si="623"/>
        <v>0</v>
      </c>
      <c r="GD284" t="b">
        <f t="shared" ca="1" si="624"/>
        <v>0</v>
      </c>
      <c r="GE284">
        <f t="shared" ca="1" si="625"/>
        <v>0</v>
      </c>
      <c r="GF284">
        <f t="shared" ca="1" si="626"/>
        <v>7411</v>
      </c>
      <c r="GG284">
        <f t="shared" ca="1" si="627"/>
        <v>0</v>
      </c>
      <c r="GH284">
        <f t="shared" ca="1" si="628"/>
        <v>0</v>
      </c>
      <c r="GI284">
        <f t="shared" ca="1" si="629"/>
        <v>0</v>
      </c>
    </row>
    <row r="285" spans="1:191" x14ac:dyDescent="0.25">
      <c r="A285">
        <f>_xlfn.AGGREGATE(3,5,$B$2:B285)</f>
        <v>284</v>
      </c>
      <c r="B285" t="s">
        <v>688</v>
      </c>
      <c r="C285" t="s">
        <v>689</v>
      </c>
      <c r="D285" t="s">
        <v>837</v>
      </c>
      <c r="E285" t="s">
        <v>843</v>
      </c>
      <c r="F285">
        <v>0</v>
      </c>
      <c r="G285">
        <v>6000</v>
      </c>
      <c r="H285">
        <v>32500</v>
      </c>
      <c r="I285">
        <f t="shared" si="532"/>
        <v>3250</v>
      </c>
      <c r="J285">
        <f t="shared" si="533"/>
        <v>3900</v>
      </c>
      <c r="K285">
        <v>0</v>
      </c>
      <c r="L285">
        <v>500</v>
      </c>
      <c r="M285">
        <f t="shared" si="534"/>
        <v>40150</v>
      </c>
      <c r="N285">
        <v>2000</v>
      </c>
      <c r="O285">
        <v>0</v>
      </c>
      <c r="P285">
        <f t="shared" si="535"/>
        <v>200</v>
      </c>
      <c r="Q285">
        <f t="shared" si="536"/>
        <v>37950</v>
      </c>
      <c r="R285">
        <v>32500</v>
      </c>
      <c r="S285">
        <f t="shared" si="537"/>
        <v>3250</v>
      </c>
      <c r="T285">
        <f t="shared" si="538"/>
        <v>3900</v>
      </c>
      <c r="U285">
        <v>0</v>
      </c>
      <c r="V285">
        <v>500</v>
      </c>
      <c r="W285">
        <f t="shared" si="539"/>
        <v>40150</v>
      </c>
      <c r="X285">
        <v>2000</v>
      </c>
      <c r="Y285">
        <v>0</v>
      </c>
      <c r="Z285">
        <f t="shared" si="540"/>
        <v>200</v>
      </c>
      <c r="AA285">
        <f t="shared" si="541"/>
        <v>37950</v>
      </c>
      <c r="AB285">
        <v>32500</v>
      </c>
      <c r="AC285">
        <f t="shared" si="542"/>
        <v>4550</v>
      </c>
      <c r="AD285">
        <f t="shared" si="543"/>
        <v>3900</v>
      </c>
      <c r="AE285">
        <v>0</v>
      </c>
      <c r="AF285">
        <v>500</v>
      </c>
      <c r="AG285">
        <f t="shared" si="544"/>
        <v>41450</v>
      </c>
      <c r="AH285">
        <v>2000</v>
      </c>
      <c r="AI285">
        <v>0</v>
      </c>
      <c r="AJ285">
        <f t="shared" si="545"/>
        <v>200</v>
      </c>
      <c r="AK285">
        <f t="shared" si="546"/>
        <v>39250</v>
      </c>
      <c r="AL285">
        <v>32500</v>
      </c>
      <c r="AM285">
        <f t="shared" si="547"/>
        <v>4550</v>
      </c>
      <c r="AN285">
        <f t="shared" si="548"/>
        <v>3900</v>
      </c>
      <c r="AO285">
        <v>0</v>
      </c>
      <c r="AP285">
        <v>500</v>
      </c>
      <c r="AQ285">
        <f t="shared" si="549"/>
        <v>41450</v>
      </c>
      <c r="AR285">
        <v>2000</v>
      </c>
      <c r="AS285">
        <v>0</v>
      </c>
      <c r="AT285">
        <f t="shared" si="550"/>
        <v>200</v>
      </c>
      <c r="AU285">
        <f t="shared" si="551"/>
        <v>39250</v>
      </c>
      <c r="AV285">
        <v>34500</v>
      </c>
      <c r="AW285">
        <f t="shared" si="552"/>
        <v>4830.0000000000009</v>
      </c>
      <c r="AX285">
        <f t="shared" si="553"/>
        <v>1300</v>
      </c>
      <c r="AY285">
        <f t="shared" si="554"/>
        <v>4140</v>
      </c>
      <c r="AZ285">
        <v>0</v>
      </c>
      <c r="BA285">
        <v>500</v>
      </c>
      <c r="BB285">
        <f t="shared" si="555"/>
        <v>45270</v>
      </c>
      <c r="BC285">
        <v>2500</v>
      </c>
      <c r="BD285">
        <v>0</v>
      </c>
      <c r="BE285">
        <f t="shared" si="556"/>
        <v>200</v>
      </c>
      <c r="BF285">
        <f t="shared" si="557"/>
        <v>42570</v>
      </c>
      <c r="BG285">
        <v>34500</v>
      </c>
      <c r="BH285">
        <f t="shared" si="558"/>
        <v>4830.0000000000009</v>
      </c>
      <c r="BI285">
        <f t="shared" si="559"/>
        <v>4140</v>
      </c>
      <c r="BJ285">
        <v>0</v>
      </c>
      <c r="BK285">
        <v>500</v>
      </c>
      <c r="BL285">
        <f t="shared" si="560"/>
        <v>43970</v>
      </c>
      <c r="BM285">
        <v>2500</v>
      </c>
      <c r="BN285">
        <v>0</v>
      </c>
      <c r="BO285">
        <f t="shared" si="561"/>
        <v>200</v>
      </c>
      <c r="BP285">
        <f t="shared" si="562"/>
        <v>41270</v>
      </c>
      <c r="BQ285">
        <v>34500</v>
      </c>
      <c r="BR285">
        <f t="shared" si="563"/>
        <v>4830.0000000000009</v>
      </c>
      <c r="BS285">
        <f t="shared" si="564"/>
        <v>4140</v>
      </c>
      <c r="BT285">
        <v>0</v>
      </c>
      <c r="BU285">
        <v>500</v>
      </c>
      <c r="BV285">
        <f t="shared" si="565"/>
        <v>43970</v>
      </c>
      <c r="BW285">
        <v>2500</v>
      </c>
      <c r="BX285">
        <v>0</v>
      </c>
      <c r="BY285">
        <f t="shared" si="566"/>
        <v>200</v>
      </c>
      <c r="BZ285">
        <f t="shared" si="567"/>
        <v>41270</v>
      </c>
      <c r="CA285">
        <v>34500</v>
      </c>
      <c r="CB285">
        <f t="shared" si="568"/>
        <v>4830.0000000000009</v>
      </c>
      <c r="CC285">
        <f t="shared" si="569"/>
        <v>4140</v>
      </c>
      <c r="CD285">
        <v>0</v>
      </c>
      <c r="CE285">
        <v>500</v>
      </c>
      <c r="CF285">
        <f t="shared" si="570"/>
        <v>43970</v>
      </c>
      <c r="CG285">
        <v>2500</v>
      </c>
      <c r="CH285">
        <v>0</v>
      </c>
      <c r="CI285">
        <f t="shared" si="571"/>
        <v>200</v>
      </c>
      <c r="CJ285">
        <f t="shared" si="572"/>
        <v>41270</v>
      </c>
      <c r="CK285">
        <v>34500</v>
      </c>
      <c r="CL285">
        <f t="shared" si="573"/>
        <v>4830.0000000000009</v>
      </c>
      <c r="CM285">
        <f t="shared" si="574"/>
        <v>4140</v>
      </c>
      <c r="CN285">
        <v>0</v>
      </c>
      <c r="CO285">
        <v>500</v>
      </c>
      <c r="CP285">
        <f t="shared" si="575"/>
        <v>43970</v>
      </c>
      <c r="CQ285">
        <v>2500</v>
      </c>
      <c r="CR285">
        <v>0</v>
      </c>
      <c r="CS285">
        <f t="shared" si="576"/>
        <v>200</v>
      </c>
      <c r="CT285">
        <f t="shared" si="577"/>
        <v>41270</v>
      </c>
      <c r="CU285">
        <v>34500</v>
      </c>
      <c r="CV285">
        <f t="shared" si="578"/>
        <v>4830</v>
      </c>
      <c r="CW285">
        <f t="shared" si="579"/>
        <v>4140</v>
      </c>
      <c r="CX285">
        <v>0</v>
      </c>
      <c r="CY285">
        <v>500</v>
      </c>
      <c r="CZ285">
        <f t="shared" si="580"/>
        <v>43970</v>
      </c>
      <c r="DA285">
        <v>2500</v>
      </c>
      <c r="DB285">
        <v>0</v>
      </c>
      <c r="DC285">
        <f t="shared" si="581"/>
        <v>200</v>
      </c>
      <c r="DD285">
        <f t="shared" si="582"/>
        <v>41270</v>
      </c>
      <c r="DE285">
        <v>34500</v>
      </c>
      <c r="DF285">
        <f t="shared" si="583"/>
        <v>4830.0000000000009</v>
      </c>
      <c r="DG285">
        <f t="shared" si="584"/>
        <v>4140</v>
      </c>
      <c r="DH285">
        <v>0</v>
      </c>
      <c r="DI285">
        <v>500</v>
      </c>
      <c r="DJ285">
        <f t="shared" si="585"/>
        <v>43970</v>
      </c>
      <c r="DK285">
        <v>2500</v>
      </c>
      <c r="DL285">
        <v>0</v>
      </c>
      <c r="DM285">
        <f t="shared" si="586"/>
        <v>200</v>
      </c>
      <c r="DN285">
        <f t="shared" si="587"/>
        <v>41270</v>
      </c>
      <c r="DO285">
        <v>34500</v>
      </c>
      <c r="DP285">
        <f t="shared" si="588"/>
        <v>4830.0000000000009</v>
      </c>
      <c r="DQ285">
        <f t="shared" si="589"/>
        <v>4140</v>
      </c>
      <c r="DR285">
        <v>0</v>
      </c>
      <c r="DS285">
        <v>500</v>
      </c>
      <c r="DT285">
        <f t="shared" si="590"/>
        <v>43970</v>
      </c>
      <c r="DU285">
        <v>2500</v>
      </c>
      <c r="DV285">
        <v>0</v>
      </c>
      <c r="DW285">
        <f t="shared" si="591"/>
        <v>200</v>
      </c>
      <c r="DX285">
        <f t="shared" si="592"/>
        <v>41270</v>
      </c>
      <c r="DY285">
        <f t="shared" si="593"/>
        <v>522260</v>
      </c>
      <c r="DZ285">
        <f t="shared" si="525"/>
        <v>2400</v>
      </c>
      <c r="EA285">
        <f t="shared" si="526"/>
        <v>50000</v>
      </c>
      <c r="EB285">
        <v>0</v>
      </c>
      <c r="EC285">
        <f t="shared" si="527"/>
        <v>469860</v>
      </c>
      <c r="ED285">
        <f t="shared" si="528"/>
        <v>28000</v>
      </c>
      <c r="EE285">
        <f t="shared" si="529"/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f t="shared" si="530"/>
        <v>28000</v>
      </c>
      <c r="EQ285">
        <f t="shared" si="594"/>
        <v>28000</v>
      </c>
      <c r="ER285">
        <f t="shared" si="531"/>
        <v>441860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f t="shared" si="595"/>
        <v>0</v>
      </c>
      <c r="FA285">
        <f t="shared" si="596"/>
        <v>441860</v>
      </c>
      <c r="FB285">
        <f t="shared" si="597"/>
        <v>9593</v>
      </c>
      <c r="FC285">
        <f t="shared" si="598"/>
        <v>0</v>
      </c>
      <c r="FD285">
        <f t="shared" si="599"/>
        <v>9593</v>
      </c>
      <c r="FE285">
        <f t="shared" si="600"/>
        <v>0</v>
      </c>
      <c r="FF285">
        <f t="shared" si="601"/>
        <v>0</v>
      </c>
      <c r="FG285">
        <f t="shared" si="602"/>
        <v>0</v>
      </c>
      <c r="FH285">
        <v>0</v>
      </c>
      <c r="FI285">
        <f t="shared" si="603"/>
        <v>0</v>
      </c>
      <c r="FJ285" t="b">
        <f t="shared" si="604"/>
        <v>1</v>
      </c>
      <c r="FK285">
        <f t="shared" ca="1" si="605"/>
        <v>894</v>
      </c>
      <c r="FL285">
        <f t="shared" ca="1" si="606"/>
        <v>523154</v>
      </c>
      <c r="FM285">
        <f t="shared" si="607"/>
        <v>75000</v>
      </c>
      <c r="FN285">
        <f t="shared" ca="1" si="608"/>
        <v>448154</v>
      </c>
      <c r="FO285">
        <f t="shared" ca="1" si="609"/>
        <v>0</v>
      </c>
      <c r="FP285">
        <f t="shared" ca="1" si="610"/>
        <v>0</v>
      </c>
      <c r="FQ285">
        <f t="shared" ca="1" si="611"/>
        <v>0</v>
      </c>
      <c r="FR285">
        <f t="shared" ca="1" si="612"/>
        <v>0</v>
      </c>
      <c r="FS285">
        <f t="shared" ca="1" si="613"/>
        <v>0</v>
      </c>
      <c r="FT285">
        <f t="shared" ca="1" si="614"/>
        <v>0</v>
      </c>
      <c r="FU285">
        <f t="shared" ca="1" si="615"/>
        <v>0</v>
      </c>
      <c r="FV285">
        <f t="shared" ca="1" si="616"/>
        <v>0</v>
      </c>
      <c r="FW285">
        <f t="shared" ca="1" si="617"/>
        <v>148154</v>
      </c>
      <c r="FX285">
        <f t="shared" ca="1" si="618"/>
        <v>7407.7000000000007</v>
      </c>
      <c r="FY285">
        <f t="shared" ca="1" si="619"/>
        <v>7408</v>
      </c>
      <c r="FZ285">
        <f t="shared" ca="1" si="620"/>
        <v>0</v>
      </c>
      <c r="GA285">
        <f t="shared" ca="1" si="621"/>
        <v>0</v>
      </c>
      <c r="GB285">
        <f t="shared" ca="1" si="622"/>
        <v>7408</v>
      </c>
      <c r="GC285">
        <f t="shared" ca="1" si="623"/>
        <v>0</v>
      </c>
      <c r="GD285" t="b">
        <f t="shared" ca="1" si="624"/>
        <v>0</v>
      </c>
      <c r="GE285">
        <f t="shared" ca="1" si="625"/>
        <v>0</v>
      </c>
      <c r="GF285">
        <f t="shared" ca="1" si="626"/>
        <v>7408</v>
      </c>
      <c r="GG285">
        <f t="shared" ca="1" si="627"/>
        <v>0</v>
      </c>
      <c r="GH285">
        <f t="shared" ca="1" si="628"/>
        <v>0</v>
      </c>
      <c r="GI285">
        <f t="shared" ca="1" si="629"/>
        <v>0</v>
      </c>
    </row>
    <row r="286" spans="1:191" x14ac:dyDescent="0.25">
      <c r="A286">
        <f>_xlfn.AGGREGATE(3,5,$B$2:B286)</f>
        <v>285</v>
      </c>
      <c r="B286" t="s">
        <v>690</v>
      </c>
      <c r="C286" t="s">
        <v>691</v>
      </c>
      <c r="D286" t="s">
        <v>837</v>
      </c>
      <c r="E286" t="s">
        <v>843</v>
      </c>
      <c r="F286">
        <v>0</v>
      </c>
      <c r="G286">
        <v>6000</v>
      </c>
      <c r="H286">
        <v>26200</v>
      </c>
      <c r="I286">
        <f t="shared" si="532"/>
        <v>2620</v>
      </c>
      <c r="J286">
        <f t="shared" si="533"/>
        <v>3144</v>
      </c>
      <c r="K286">
        <v>0</v>
      </c>
      <c r="L286">
        <v>500</v>
      </c>
      <c r="M286">
        <f t="shared" si="534"/>
        <v>32464</v>
      </c>
      <c r="N286">
        <v>2000</v>
      </c>
      <c r="O286">
        <v>0</v>
      </c>
      <c r="P286">
        <f t="shared" si="535"/>
        <v>150</v>
      </c>
      <c r="Q286">
        <f t="shared" si="536"/>
        <v>30314</v>
      </c>
      <c r="R286">
        <v>26200</v>
      </c>
      <c r="S286">
        <f t="shared" si="537"/>
        <v>2620</v>
      </c>
      <c r="T286">
        <f t="shared" si="538"/>
        <v>3144</v>
      </c>
      <c r="U286">
        <v>0</v>
      </c>
      <c r="V286">
        <v>500</v>
      </c>
      <c r="W286">
        <f t="shared" si="539"/>
        <v>32464</v>
      </c>
      <c r="X286">
        <v>2000</v>
      </c>
      <c r="Y286">
        <v>0</v>
      </c>
      <c r="Z286">
        <f t="shared" si="540"/>
        <v>150</v>
      </c>
      <c r="AA286">
        <f t="shared" si="541"/>
        <v>30314</v>
      </c>
      <c r="AB286">
        <v>26200</v>
      </c>
      <c r="AC286">
        <f t="shared" si="542"/>
        <v>3668.0000000000005</v>
      </c>
      <c r="AD286">
        <f t="shared" si="543"/>
        <v>3144</v>
      </c>
      <c r="AE286">
        <v>0</v>
      </c>
      <c r="AF286">
        <v>500</v>
      </c>
      <c r="AG286">
        <f t="shared" si="544"/>
        <v>33512</v>
      </c>
      <c r="AH286">
        <v>2000</v>
      </c>
      <c r="AI286">
        <v>0</v>
      </c>
      <c r="AJ286">
        <f t="shared" si="545"/>
        <v>150</v>
      </c>
      <c r="AK286">
        <f t="shared" si="546"/>
        <v>31362</v>
      </c>
      <c r="AL286">
        <v>26200</v>
      </c>
      <c r="AM286">
        <f t="shared" si="547"/>
        <v>3668.0000000000005</v>
      </c>
      <c r="AN286">
        <f t="shared" si="548"/>
        <v>3144</v>
      </c>
      <c r="AO286">
        <v>0</v>
      </c>
      <c r="AP286">
        <v>500</v>
      </c>
      <c r="AQ286">
        <f t="shared" si="549"/>
        <v>33512</v>
      </c>
      <c r="AR286">
        <v>2000</v>
      </c>
      <c r="AS286">
        <v>0</v>
      </c>
      <c r="AT286">
        <f t="shared" si="550"/>
        <v>150</v>
      </c>
      <c r="AU286">
        <f t="shared" si="551"/>
        <v>31362</v>
      </c>
      <c r="AV286">
        <v>27000</v>
      </c>
      <c r="AW286">
        <f t="shared" si="552"/>
        <v>3780.0000000000005</v>
      </c>
      <c r="AX286">
        <f t="shared" si="553"/>
        <v>1048</v>
      </c>
      <c r="AY286">
        <f t="shared" si="554"/>
        <v>3240</v>
      </c>
      <c r="AZ286">
        <v>0</v>
      </c>
      <c r="BA286">
        <v>500</v>
      </c>
      <c r="BB286">
        <f t="shared" si="555"/>
        <v>35568</v>
      </c>
      <c r="BC286">
        <v>2000</v>
      </c>
      <c r="BD286">
        <v>0</v>
      </c>
      <c r="BE286">
        <f t="shared" si="556"/>
        <v>150</v>
      </c>
      <c r="BF286">
        <f t="shared" si="557"/>
        <v>33418</v>
      </c>
      <c r="BG286">
        <v>27000</v>
      </c>
      <c r="BH286">
        <f t="shared" si="558"/>
        <v>3780.0000000000005</v>
      </c>
      <c r="BI286">
        <f t="shared" si="559"/>
        <v>3240</v>
      </c>
      <c r="BJ286">
        <v>0</v>
      </c>
      <c r="BK286">
        <v>500</v>
      </c>
      <c r="BL286">
        <f t="shared" si="560"/>
        <v>34520</v>
      </c>
      <c r="BM286">
        <v>2000</v>
      </c>
      <c r="BN286">
        <v>0</v>
      </c>
      <c r="BO286">
        <f t="shared" si="561"/>
        <v>150</v>
      </c>
      <c r="BP286">
        <f t="shared" si="562"/>
        <v>32370</v>
      </c>
      <c r="BQ286">
        <v>27000</v>
      </c>
      <c r="BR286">
        <f t="shared" si="563"/>
        <v>3780.0000000000005</v>
      </c>
      <c r="BS286">
        <f t="shared" si="564"/>
        <v>3240</v>
      </c>
      <c r="BT286">
        <v>0</v>
      </c>
      <c r="BU286">
        <v>500</v>
      </c>
      <c r="BV286">
        <f t="shared" si="565"/>
        <v>34520</v>
      </c>
      <c r="BW286">
        <v>2000</v>
      </c>
      <c r="BX286">
        <v>0</v>
      </c>
      <c r="BY286">
        <f t="shared" si="566"/>
        <v>150</v>
      </c>
      <c r="BZ286">
        <f t="shared" si="567"/>
        <v>32370</v>
      </c>
      <c r="CA286">
        <v>27000</v>
      </c>
      <c r="CB286">
        <f t="shared" si="568"/>
        <v>3780.0000000000005</v>
      </c>
      <c r="CC286">
        <f t="shared" si="569"/>
        <v>3240</v>
      </c>
      <c r="CD286">
        <v>0</v>
      </c>
      <c r="CE286">
        <v>500</v>
      </c>
      <c r="CF286">
        <f t="shared" si="570"/>
        <v>34520</v>
      </c>
      <c r="CG286">
        <v>2000</v>
      </c>
      <c r="CH286">
        <v>0</v>
      </c>
      <c r="CI286">
        <f t="shared" si="571"/>
        <v>150</v>
      </c>
      <c r="CJ286">
        <f t="shared" si="572"/>
        <v>32370</v>
      </c>
      <c r="CK286">
        <v>27000</v>
      </c>
      <c r="CL286">
        <f t="shared" si="573"/>
        <v>3780.0000000000005</v>
      </c>
      <c r="CM286">
        <f t="shared" si="574"/>
        <v>3240</v>
      </c>
      <c r="CN286">
        <v>0</v>
      </c>
      <c r="CO286">
        <v>500</v>
      </c>
      <c r="CP286">
        <f t="shared" si="575"/>
        <v>34520</v>
      </c>
      <c r="CQ286">
        <v>2000</v>
      </c>
      <c r="CR286">
        <v>0</v>
      </c>
      <c r="CS286">
        <f t="shared" si="576"/>
        <v>150</v>
      </c>
      <c r="CT286">
        <f t="shared" si="577"/>
        <v>32370</v>
      </c>
      <c r="CU286">
        <v>27000</v>
      </c>
      <c r="CV286">
        <f t="shared" si="578"/>
        <v>3780</v>
      </c>
      <c r="CW286">
        <f t="shared" si="579"/>
        <v>3240</v>
      </c>
      <c r="CX286">
        <v>0</v>
      </c>
      <c r="CY286">
        <v>500</v>
      </c>
      <c r="CZ286">
        <f t="shared" si="580"/>
        <v>34520</v>
      </c>
      <c r="DA286">
        <v>2000</v>
      </c>
      <c r="DB286">
        <v>0</v>
      </c>
      <c r="DC286">
        <f t="shared" si="581"/>
        <v>150</v>
      </c>
      <c r="DD286">
        <f t="shared" si="582"/>
        <v>32370</v>
      </c>
      <c r="DE286">
        <v>27000</v>
      </c>
      <c r="DF286">
        <f t="shared" si="583"/>
        <v>3780.0000000000005</v>
      </c>
      <c r="DG286">
        <f t="shared" si="584"/>
        <v>3240</v>
      </c>
      <c r="DH286">
        <v>0</v>
      </c>
      <c r="DI286">
        <v>500</v>
      </c>
      <c r="DJ286">
        <f t="shared" si="585"/>
        <v>34520</v>
      </c>
      <c r="DK286">
        <v>2000</v>
      </c>
      <c r="DL286">
        <v>0</v>
      </c>
      <c r="DM286">
        <f t="shared" si="586"/>
        <v>150</v>
      </c>
      <c r="DN286">
        <f t="shared" si="587"/>
        <v>32370</v>
      </c>
      <c r="DO286">
        <v>27000</v>
      </c>
      <c r="DP286">
        <f t="shared" si="588"/>
        <v>3780.0000000000005</v>
      </c>
      <c r="DQ286">
        <f t="shared" si="589"/>
        <v>3240</v>
      </c>
      <c r="DR286">
        <v>0</v>
      </c>
      <c r="DS286">
        <v>500</v>
      </c>
      <c r="DT286">
        <f t="shared" si="590"/>
        <v>34520</v>
      </c>
      <c r="DU286">
        <v>2000</v>
      </c>
      <c r="DV286">
        <v>0</v>
      </c>
      <c r="DW286">
        <f t="shared" si="591"/>
        <v>150</v>
      </c>
      <c r="DX286">
        <f t="shared" si="592"/>
        <v>32370</v>
      </c>
      <c r="DY286">
        <f t="shared" si="593"/>
        <v>415160</v>
      </c>
      <c r="DZ286">
        <f t="shared" si="525"/>
        <v>1800</v>
      </c>
      <c r="EA286">
        <f t="shared" si="526"/>
        <v>50000</v>
      </c>
      <c r="EB286">
        <v>0</v>
      </c>
      <c r="EC286">
        <f t="shared" si="527"/>
        <v>363360</v>
      </c>
      <c r="ED286">
        <f t="shared" si="528"/>
        <v>24000</v>
      </c>
      <c r="EE286">
        <f t="shared" si="529"/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f t="shared" si="530"/>
        <v>24000</v>
      </c>
      <c r="EQ286">
        <f t="shared" si="594"/>
        <v>24000</v>
      </c>
      <c r="ER286">
        <f t="shared" si="531"/>
        <v>339360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f t="shared" si="595"/>
        <v>0</v>
      </c>
      <c r="FA286">
        <f t="shared" si="596"/>
        <v>339360</v>
      </c>
      <c r="FB286">
        <f t="shared" si="597"/>
        <v>4468</v>
      </c>
      <c r="FC286">
        <f t="shared" si="598"/>
        <v>0</v>
      </c>
      <c r="FD286">
        <f t="shared" si="599"/>
        <v>4468</v>
      </c>
      <c r="FE286">
        <f t="shared" si="600"/>
        <v>0</v>
      </c>
      <c r="FF286">
        <f t="shared" si="601"/>
        <v>0</v>
      </c>
      <c r="FG286">
        <f t="shared" si="602"/>
        <v>0</v>
      </c>
      <c r="FH286">
        <v>0</v>
      </c>
      <c r="FI286">
        <f t="shared" si="603"/>
        <v>0</v>
      </c>
      <c r="FJ286" t="b">
        <f t="shared" si="604"/>
        <v>0</v>
      </c>
      <c r="FK286">
        <f t="shared" ca="1" si="605"/>
        <v>1710</v>
      </c>
      <c r="FL286">
        <f t="shared" ca="1" si="606"/>
        <v>416870</v>
      </c>
      <c r="FM286">
        <f t="shared" si="607"/>
        <v>75000</v>
      </c>
      <c r="FN286">
        <f t="shared" ca="1" si="608"/>
        <v>341870</v>
      </c>
      <c r="FO286">
        <f t="shared" ca="1" si="609"/>
        <v>0</v>
      </c>
      <c r="FP286">
        <f t="shared" ca="1" si="610"/>
        <v>0</v>
      </c>
      <c r="FQ286">
        <f t="shared" ca="1" si="611"/>
        <v>0</v>
      </c>
      <c r="FR286">
        <f t="shared" ca="1" si="612"/>
        <v>0</v>
      </c>
      <c r="FS286">
        <f t="shared" ca="1" si="613"/>
        <v>0</v>
      </c>
      <c r="FT286">
        <f t="shared" ca="1" si="614"/>
        <v>0</v>
      </c>
      <c r="FU286">
        <f t="shared" ca="1" si="615"/>
        <v>0</v>
      </c>
      <c r="FV286">
        <f t="shared" ca="1" si="616"/>
        <v>0</v>
      </c>
      <c r="FW286">
        <f t="shared" ca="1" si="617"/>
        <v>41870</v>
      </c>
      <c r="FX286">
        <f t="shared" ca="1" si="618"/>
        <v>2093.5</v>
      </c>
      <c r="FY286">
        <f t="shared" ca="1" si="619"/>
        <v>2094</v>
      </c>
      <c r="FZ286">
        <f t="shared" ca="1" si="620"/>
        <v>0</v>
      </c>
      <c r="GA286">
        <f t="shared" ca="1" si="621"/>
        <v>0</v>
      </c>
      <c r="GB286">
        <f t="shared" ca="1" si="622"/>
        <v>2094</v>
      </c>
      <c r="GC286">
        <f t="shared" ca="1" si="623"/>
        <v>0</v>
      </c>
      <c r="GD286" t="b">
        <f t="shared" ca="1" si="624"/>
        <v>0</v>
      </c>
      <c r="GE286">
        <f t="shared" ca="1" si="625"/>
        <v>0</v>
      </c>
      <c r="GF286">
        <f t="shared" ca="1" si="626"/>
        <v>2094</v>
      </c>
      <c r="GG286">
        <f t="shared" ca="1" si="627"/>
        <v>0</v>
      </c>
      <c r="GH286">
        <f t="shared" ca="1" si="628"/>
        <v>0</v>
      </c>
      <c r="GI286">
        <f t="shared" ca="1" si="629"/>
        <v>0</v>
      </c>
    </row>
    <row r="287" spans="1:191" x14ac:dyDescent="0.25">
      <c r="A287">
        <f>_xlfn.AGGREGATE(3,5,$B$2:B287)</f>
        <v>286</v>
      </c>
      <c r="B287" t="s">
        <v>692</v>
      </c>
      <c r="C287" t="s">
        <v>693</v>
      </c>
      <c r="D287" t="s">
        <v>837</v>
      </c>
      <c r="E287" t="s">
        <v>843</v>
      </c>
      <c r="F287">
        <v>0</v>
      </c>
      <c r="G287">
        <v>6000</v>
      </c>
      <c r="H287">
        <v>30700</v>
      </c>
      <c r="I287">
        <f t="shared" si="532"/>
        <v>3070</v>
      </c>
      <c r="J287">
        <f t="shared" si="533"/>
        <v>3684</v>
      </c>
      <c r="K287">
        <v>0</v>
      </c>
      <c r="L287">
        <v>0</v>
      </c>
      <c r="M287">
        <f t="shared" si="534"/>
        <v>37454</v>
      </c>
      <c r="N287">
        <v>2000</v>
      </c>
      <c r="O287">
        <v>0</v>
      </c>
      <c r="P287">
        <f t="shared" si="535"/>
        <v>150</v>
      </c>
      <c r="Q287">
        <f t="shared" si="536"/>
        <v>35304</v>
      </c>
      <c r="R287">
        <v>30700</v>
      </c>
      <c r="S287">
        <f t="shared" si="537"/>
        <v>3070</v>
      </c>
      <c r="T287">
        <f t="shared" si="538"/>
        <v>3684</v>
      </c>
      <c r="U287">
        <v>0</v>
      </c>
      <c r="V287">
        <v>0</v>
      </c>
      <c r="W287">
        <f t="shared" si="539"/>
        <v>37454</v>
      </c>
      <c r="X287">
        <v>2000</v>
      </c>
      <c r="Y287">
        <v>0</v>
      </c>
      <c r="Z287">
        <f t="shared" si="540"/>
        <v>150</v>
      </c>
      <c r="AA287">
        <f t="shared" si="541"/>
        <v>35304</v>
      </c>
      <c r="AB287">
        <v>30700</v>
      </c>
      <c r="AC287">
        <f t="shared" si="542"/>
        <v>4298</v>
      </c>
      <c r="AD287">
        <f t="shared" si="543"/>
        <v>3684</v>
      </c>
      <c r="AE287">
        <v>0</v>
      </c>
      <c r="AF287">
        <v>0</v>
      </c>
      <c r="AG287">
        <f t="shared" si="544"/>
        <v>38682</v>
      </c>
      <c r="AH287">
        <v>2000</v>
      </c>
      <c r="AI287">
        <v>0</v>
      </c>
      <c r="AJ287">
        <f t="shared" si="545"/>
        <v>150</v>
      </c>
      <c r="AK287">
        <f t="shared" si="546"/>
        <v>36532</v>
      </c>
      <c r="AL287">
        <v>30700</v>
      </c>
      <c r="AM287">
        <f t="shared" si="547"/>
        <v>4298</v>
      </c>
      <c r="AN287">
        <f t="shared" si="548"/>
        <v>3684</v>
      </c>
      <c r="AO287">
        <v>0</v>
      </c>
      <c r="AP287">
        <v>0</v>
      </c>
      <c r="AQ287">
        <f t="shared" si="549"/>
        <v>38682</v>
      </c>
      <c r="AR287">
        <v>2000</v>
      </c>
      <c r="AS287">
        <v>0</v>
      </c>
      <c r="AT287">
        <f t="shared" si="550"/>
        <v>150</v>
      </c>
      <c r="AU287">
        <f t="shared" si="551"/>
        <v>36532</v>
      </c>
      <c r="AV287">
        <v>31600</v>
      </c>
      <c r="AW287">
        <f t="shared" si="552"/>
        <v>4424</v>
      </c>
      <c r="AX287">
        <f t="shared" si="553"/>
        <v>1228</v>
      </c>
      <c r="AY287">
        <f t="shared" si="554"/>
        <v>3792</v>
      </c>
      <c r="AZ287">
        <v>0</v>
      </c>
      <c r="BA287">
        <v>0</v>
      </c>
      <c r="BB287">
        <f t="shared" si="555"/>
        <v>41044</v>
      </c>
      <c r="BC287">
        <v>2000</v>
      </c>
      <c r="BD287">
        <v>0</v>
      </c>
      <c r="BE287">
        <f t="shared" si="556"/>
        <v>200</v>
      </c>
      <c r="BF287">
        <f t="shared" si="557"/>
        <v>38844</v>
      </c>
      <c r="BG287">
        <v>31600</v>
      </c>
      <c r="BH287">
        <f t="shared" si="558"/>
        <v>4424</v>
      </c>
      <c r="BI287">
        <f t="shared" si="559"/>
        <v>3792</v>
      </c>
      <c r="BJ287">
        <v>0</v>
      </c>
      <c r="BK287">
        <v>0</v>
      </c>
      <c r="BL287">
        <f t="shared" si="560"/>
        <v>39816</v>
      </c>
      <c r="BM287">
        <v>2000</v>
      </c>
      <c r="BN287">
        <v>0</v>
      </c>
      <c r="BO287">
        <f t="shared" si="561"/>
        <v>150</v>
      </c>
      <c r="BP287">
        <f t="shared" si="562"/>
        <v>37666</v>
      </c>
      <c r="BQ287">
        <v>31600</v>
      </c>
      <c r="BR287">
        <f t="shared" si="563"/>
        <v>4424</v>
      </c>
      <c r="BS287">
        <f t="shared" si="564"/>
        <v>3792</v>
      </c>
      <c r="BT287">
        <v>0</v>
      </c>
      <c r="BU287">
        <v>0</v>
      </c>
      <c r="BV287">
        <f t="shared" si="565"/>
        <v>39816</v>
      </c>
      <c r="BW287">
        <v>2000</v>
      </c>
      <c r="BX287">
        <v>0</v>
      </c>
      <c r="BY287">
        <f t="shared" si="566"/>
        <v>150</v>
      </c>
      <c r="BZ287">
        <f t="shared" si="567"/>
        <v>37666</v>
      </c>
      <c r="CA287">
        <v>31600</v>
      </c>
      <c r="CB287">
        <f t="shared" si="568"/>
        <v>4424</v>
      </c>
      <c r="CC287">
        <f t="shared" si="569"/>
        <v>3792</v>
      </c>
      <c r="CD287">
        <v>0</v>
      </c>
      <c r="CE287">
        <v>0</v>
      </c>
      <c r="CF287">
        <f t="shared" si="570"/>
        <v>39816</v>
      </c>
      <c r="CG287">
        <v>2000</v>
      </c>
      <c r="CH287">
        <v>0</v>
      </c>
      <c r="CI287">
        <f t="shared" si="571"/>
        <v>150</v>
      </c>
      <c r="CJ287">
        <f t="shared" si="572"/>
        <v>37666</v>
      </c>
      <c r="CK287">
        <v>31600</v>
      </c>
      <c r="CL287">
        <f t="shared" si="573"/>
        <v>4424</v>
      </c>
      <c r="CM287">
        <f t="shared" si="574"/>
        <v>3792</v>
      </c>
      <c r="CN287">
        <v>0</v>
      </c>
      <c r="CO287">
        <v>0</v>
      </c>
      <c r="CP287">
        <f t="shared" si="575"/>
        <v>39816</v>
      </c>
      <c r="CQ287">
        <v>2000</v>
      </c>
      <c r="CR287">
        <v>0</v>
      </c>
      <c r="CS287">
        <f t="shared" si="576"/>
        <v>150</v>
      </c>
      <c r="CT287">
        <f t="shared" si="577"/>
        <v>37666</v>
      </c>
      <c r="CU287">
        <v>31600</v>
      </c>
      <c r="CV287">
        <f t="shared" si="578"/>
        <v>4424</v>
      </c>
      <c r="CW287">
        <f t="shared" si="579"/>
        <v>3792</v>
      </c>
      <c r="CX287">
        <v>0</v>
      </c>
      <c r="CY287">
        <v>0</v>
      </c>
      <c r="CZ287">
        <f t="shared" si="580"/>
        <v>39816</v>
      </c>
      <c r="DA287">
        <v>2000</v>
      </c>
      <c r="DB287">
        <v>0</v>
      </c>
      <c r="DC287">
        <f t="shared" si="581"/>
        <v>150</v>
      </c>
      <c r="DD287">
        <f t="shared" si="582"/>
        <v>37666</v>
      </c>
      <c r="DE287">
        <v>31600</v>
      </c>
      <c r="DF287">
        <f t="shared" si="583"/>
        <v>4424</v>
      </c>
      <c r="DG287">
        <f t="shared" si="584"/>
        <v>3792</v>
      </c>
      <c r="DH287">
        <v>0</v>
      </c>
      <c r="DI287">
        <v>0</v>
      </c>
      <c r="DJ287">
        <f t="shared" si="585"/>
        <v>39816</v>
      </c>
      <c r="DK287">
        <v>2000</v>
      </c>
      <c r="DL287">
        <v>0</v>
      </c>
      <c r="DM287">
        <f t="shared" si="586"/>
        <v>150</v>
      </c>
      <c r="DN287">
        <f t="shared" si="587"/>
        <v>37666</v>
      </c>
      <c r="DO287">
        <v>31600</v>
      </c>
      <c r="DP287">
        <f t="shared" si="588"/>
        <v>4424</v>
      </c>
      <c r="DQ287">
        <f t="shared" si="589"/>
        <v>3792</v>
      </c>
      <c r="DR287">
        <v>0</v>
      </c>
      <c r="DS287">
        <v>0</v>
      </c>
      <c r="DT287">
        <f t="shared" si="590"/>
        <v>39816</v>
      </c>
      <c r="DU287">
        <v>2000</v>
      </c>
      <c r="DV287">
        <v>0</v>
      </c>
      <c r="DW287">
        <f t="shared" si="591"/>
        <v>150</v>
      </c>
      <c r="DX287">
        <f t="shared" si="592"/>
        <v>37666</v>
      </c>
      <c r="DY287">
        <f t="shared" si="593"/>
        <v>478028</v>
      </c>
      <c r="DZ287">
        <f t="shared" si="525"/>
        <v>1850</v>
      </c>
      <c r="EA287">
        <f t="shared" si="526"/>
        <v>50000</v>
      </c>
      <c r="EB287">
        <v>0</v>
      </c>
      <c r="EC287">
        <f t="shared" si="527"/>
        <v>426178</v>
      </c>
      <c r="ED287">
        <f t="shared" si="528"/>
        <v>24000</v>
      </c>
      <c r="EE287">
        <f t="shared" si="529"/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f t="shared" si="530"/>
        <v>24000</v>
      </c>
      <c r="EQ287">
        <f t="shared" si="594"/>
        <v>24000</v>
      </c>
      <c r="ER287">
        <f t="shared" si="531"/>
        <v>402178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f t="shared" si="595"/>
        <v>0</v>
      </c>
      <c r="FA287">
        <f t="shared" si="596"/>
        <v>402178</v>
      </c>
      <c r="FB287">
        <f t="shared" si="597"/>
        <v>7609</v>
      </c>
      <c r="FC287">
        <f t="shared" si="598"/>
        <v>0</v>
      </c>
      <c r="FD287">
        <f t="shared" si="599"/>
        <v>7609</v>
      </c>
      <c r="FE287">
        <f t="shared" si="600"/>
        <v>0</v>
      </c>
      <c r="FF287">
        <f t="shared" si="601"/>
        <v>0</v>
      </c>
      <c r="FG287">
        <f t="shared" si="602"/>
        <v>0</v>
      </c>
      <c r="FH287">
        <v>0</v>
      </c>
      <c r="FI287">
        <f t="shared" si="603"/>
        <v>0</v>
      </c>
      <c r="FJ287" t="b">
        <f t="shared" si="604"/>
        <v>0</v>
      </c>
      <c r="FK287">
        <f t="shared" ca="1" si="605"/>
        <v>1350</v>
      </c>
      <c r="FL287">
        <f t="shared" ca="1" si="606"/>
        <v>479378</v>
      </c>
      <c r="FM287">
        <f t="shared" si="607"/>
        <v>75000</v>
      </c>
      <c r="FN287">
        <f t="shared" ca="1" si="608"/>
        <v>404378</v>
      </c>
      <c r="FO287">
        <f t="shared" ca="1" si="609"/>
        <v>0</v>
      </c>
      <c r="FP287">
        <f t="shared" ca="1" si="610"/>
        <v>0</v>
      </c>
      <c r="FQ287">
        <f t="shared" ca="1" si="611"/>
        <v>0</v>
      </c>
      <c r="FR287">
        <f t="shared" ca="1" si="612"/>
        <v>0</v>
      </c>
      <c r="FS287">
        <f t="shared" ca="1" si="613"/>
        <v>0</v>
      </c>
      <c r="FT287">
        <f t="shared" ca="1" si="614"/>
        <v>0</v>
      </c>
      <c r="FU287">
        <f t="shared" ca="1" si="615"/>
        <v>0</v>
      </c>
      <c r="FV287">
        <f t="shared" ca="1" si="616"/>
        <v>0</v>
      </c>
      <c r="FW287">
        <f t="shared" ca="1" si="617"/>
        <v>104378</v>
      </c>
      <c r="FX287">
        <f t="shared" ca="1" si="618"/>
        <v>5218.9000000000005</v>
      </c>
      <c r="FY287">
        <f t="shared" ca="1" si="619"/>
        <v>5219</v>
      </c>
      <c r="FZ287">
        <f t="shared" ca="1" si="620"/>
        <v>0</v>
      </c>
      <c r="GA287">
        <f t="shared" ca="1" si="621"/>
        <v>0</v>
      </c>
      <c r="GB287">
        <f t="shared" ca="1" si="622"/>
        <v>5219</v>
      </c>
      <c r="GC287">
        <f t="shared" ca="1" si="623"/>
        <v>0</v>
      </c>
      <c r="GD287" t="b">
        <f t="shared" ca="1" si="624"/>
        <v>0</v>
      </c>
      <c r="GE287">
        <f t="shared" ca="1" si="625"/>
        <v>0</v>
      </c>
      <c r="GF287">
        <f t="shared" ca="1" si="626"/>
        <v>5219</v>
      </c>
      <c r="GG287">
        <f t="shared" ca="1" si="627"/>
        <v>0</v>
      </c>
      <c r="GH287">
        <f t="shared" ca="1" si="628"/>
        <v>0</v>
      </c>
      <c r="GI287">
        <f t="shared" ca="1" si="629"/>
        <v>0</v>
      </c>
    </row>
    <row r="288" spans="1:191" x14ac:dyDescent="0.25">
      <c r="A288">
        <f>_xlfn.AGGREGATE(3,5,$B$2:B288)</f>
        <v>287</v>
      </c>
      <c r="B288" t="s">
        <v>694</v>
      </c>
      <c r="C288" t="s">
        <v>695</v>
      </c>
      <c r="D288" t="s">
        <v>838</v>
      </c>
      <c r="E288" t="s">
        <v>844</v>
      </c>
      <c r="F288">
        <v>0</v>
      </c>
      <c r="G288">
        <v>0</v>
      </c>
      <c r="H288">
        <v>50200</v>
      </c>
      <c r="I288">
        <f t="shared" si="532"/>
        <v>5020</v>
      </c>
      <c r="J288">
        <f t="shared" si="533"/>
        <v>6024</v>
      </c>
      <c r="K288">
        <v>400</v>
      </c>
      <c r="L288">
        <v>500</v>
      </c>
      <c r="M288">
        <f t="shared" si="534"/>
        <v>62144</v>
      </c>
      <c r="N288">
        <v>10000</v>
      </c>
      <c r="O288">
        <v>0</v>
      </c>
      <c r="P288">
        <f t="shared" si="535"/>
        <v>200</v>
      </c>
      <c r="Q288">
        <f t="shared" si="536"/>
        <v>51944</v>
      </c>
      <c r="R288">
        <v>50200</v>
      </c>
      <c r="S288">
        <f t="shared" si="537"/>
        <v>5020</v>
      </c>
      <c r="T288">
        <f t="shared" si="538"/>
        <v>6024</v>
      </c>
      <c r="U288">
        <v>400</v>
      </c>
      <c r="V288">
        <v>500</v>
      </c>
      <c r="W288">
        <f t="shared" si="539"/>
        <v>62144</v>
      </c>
      <c r="X288">
        <v>10000</v>
      </c>
      <c r="Y288">
        <v>0</v>
      </c>
      <c r="Z288">
        <f t="shared" si="540"/>
        <v>200</v>
      </c>
      <c r="AA288">
        <f t="shared" si="541"/>
        <v>51944</v>
      </c>
      <c r="AB288">
        <v>50200</v>
      </c>
      <c r="AC288">
        <f t="shared" si="542"/>
        <v>7028.0000000000009</v>
      </c>
      <c r="AD288">
        <f t="shared" si="543"/>
        <v>6024</v>
      </c>
      <c r="AE288">
        <v>400</v>
      </c>
      <c r="AF288">
        <v>500</v>
      </c>
      <c r="AG288">
        <f t="shared" si="544"/>
        <v>64152</v>
      </c>
      <c r="AH288">
        <v>10000</v>
      </c>
      <c r="AI288">
        <v>0</v>
      </c>
      <c r="AJ288">
        <f t="shared" si="545"/>
        <v>200</v>
      </c>
      <c r="AK288">
        <f t="shared" si="546"/>
        <v>53952</v>
      </c>
      <c r="AL288">
        <v>50200</v>
      </c>
      <c r="AM288">
        <f t="shared" si="547"/>
        <v>7028.0000000000009</v>
      </c>
      <c r="AN288">
        <f t="shared" si="548"/>
        <v>6024</v>
      </c>
      <c r="AO288">
        <v>400</v>
      </c>
      <c r="AP288">
        <v>500</v>
      </c>
      <c r="AQ288">
        <f t="shared" si="549"/>
        <v>64152</v>
      </c>
      <c r="AR288">
        <v>10000</v>
      </c>
      <c r="AS288">
        <v>0</v>
      </c>
      <c r="AT288">
        <f t="shared" si="550"/>
        <v>200</v>
      </c>
      <c r="AU288">
        <f t="shared" si="551"/>
        <v>53952</v>
      </c>
      <c r="AV288">
        <v>51700</v>
      </c>
      <c r="AW288">
        <f t="shared" si="552"/>
        <v>7238.0000000000009</v>
      </c>
      <c r="AX288">
        <f t="shared" si="553"/>
        <v>2008</v>
      </c>
      <c r="AY288">
        <f t="shared" si="554"/>
        <v>6204</v>
      </c>
      <c r="AZ288">
        <v>400</v>
      </c>
      <c r="BA288">
        <v>500</v>
      </c>
      <c r="BB288">
        <f t="shared" si="555"/>
        <v>68050</v>
      </c>
      <c r="BC288">
        <v>10000</v>
      </c>
      <c r="BD288">
        <v>0</v>
      </c>
      <c r="BE288">
        <f t="shared" si="556"/>
        <v>200</v>
      </c>
      <c r="BF288">
        <f t="shared" si="557"/>
        <v>57850</v>
      </c>
      <c r="BG288">
        <v>51700</v>
      </c>
      <c r="BH288">
        <f t="shared" si="558"/>
        <v>7238.0000000000009</v>
      </c>
      <c r="BI288">
        <f t="shared" si="559"/>
        <v>6204</v>
      </c>
      <c r="BJ288">
        <v>400</v>
      </c>
      <c r="BK288">
        <v>500</v>
      </c>
      <c r="BL288">
        <f t="shared" si="560"/>
        <v>66042</v>
      </c>
      <c r="BM288">
        <v>10000</v>
      </c>
      <c r="BN288">
        <v>0</v>
      </c>
      <c r="BO288">
        <f t="shared" si="561"/>
        <v>200</v>
      </c>
      <c r="BP288">
        <f t="shared" si="562"/>
        <v>55842</v>
      </c>
      <c r="BQ288">
        <v>51700</v>
      </c>
      <c r="BR288">
        <f t="shared" si="563"/>
        <v>7238.0000000000009</v>
      </c>
      <c r="BS288">
        <f t="shared" si="564"/>
        <v>6204</v>
      </c>
      <c r="BT288">
        <v>400</v>
      </c>
      <c r="BU288">
        <v>500</v>
      </c>
      <c r="BV288">
        <f t="shared" si="565"/>
        <v>66042</v>
      </c>
      <c r="BW288">
        <v>10000</v>
      </c>
      <c r="BX288">
        <v>0</v>
      </c>
      <c r="BY288">
        <f t="shared" si="566"/>
        <v>200</v>
      </c>
      <c r="BZ288">
        <f t="shared" si="567"/>
        <v>55842</v>
      </c>
      <c r="CA288">
        <v>51700</v>
      </c>
      <c r="CB288">
        <f t="shared" si="568"/>
        <v>7238.0000000000009</v>
      </c>
      <c r="CC288">
        <f t="shared" si="569"/>
        <v>6204</v>
      </c>
      <c r="CD288">
        <v>400</v>
      </c>
      <c r="CE288">
        <v>500</v>
      </c>
      <c r="CF288">
        <f t="shared" si="570"/>
        <v>66042</v>
      </c>
      <c r="CG288">
        <v>10000</v>
      </c>
      <c r="CH288">
        <v>0</v>
      </c>
      <c r="CI288">
        <f t="shared" si="571"/>
        <v>200</v>
      </c>
      <c r="CJ288">
        <f t="shared" si="572"/>
        <v>55842</v>
      </c>
      <c r="CK288">
        <v>51700</v>
      </c>
      <c r="CL288">
        <f t="shared" si="573"/>
        <v>7238.0000000000009</v>
      </c>
      <c r="CM288">
        <f t="shared" si="574"/>
        <v>6204</v>
      </c>
      <c r="CN288">
        <v>400</v>
      </c>
      <c r="CO288">
        <v>500</v>
      </c>
      <c r="CP288">
        <f t="shared" si="575"/>
        <v>66042</v>
      </c>
      <c r="CQ288">
        <v>10000</v>
      </c>
      <c r="CR288">
        <v>0</v>
      </c>
      <c r="CS288">
        <f t="shared" si="576"/>
        <v>200</v>
      </c>
      <c r="CT288">
        <f t="shared" si="577"/>
        <v>55842</v>
      </c>
      <c r="CU288">
        <v>51700</v>
      </c>
      <c r="CV288">
        <f t="shared" si="578"/>
        <v>7238</v>
      </c>
      <c r="CW288">
        <f t="shared" si="579"/>
        <v>6204</v>
      </c>
      <c r="CX288">
        <v>400</v>
      </c>
      <c r="CY288">
        <v>500</v>
      </c>
      <c r="CZ288">
        <f t="shared" si="580"/>
        <v>66042</v>
      </c>
      <c r="DA288">
        <v>10000</v>
      </c>
      <c r="DB288">
        <v>0</v>
      </c>
      <c r="DC288">
        <f t="shared" si="581"/>
        <v>200</v>
      </c>
      <c r="DD288">
        <f t="shared" si="582"/>
        <v>55842</v>
      </c>
      <c r="DE288">
        <v>51700</v>
      </c>
      <c r="DF288">
        <f t="shared" si="583"/>
        <v>7238.0000000000009</v>
      </c>
      <c r="DG288">
        <f t="shared" si="584"/>
        <v>6204</v>
      </c>
      <c r="DH288">
        <v>400</v>
      </c>
      <c r="DI288">
        <v>500</v>
      </c>
      <c r="DJ288">
        <f t="shared" si="585"/>
        <v>66042</v>
      </c>
      <c r="DK288">
        <v>10000</v>
      </c>
      <c r="DL288">
        <v>0</v>
      </c>
      <c r="DM288">
        <f t="shared" si="586"/>
        <v>200</v>
      </c>
      <c r="DN288">
        <f t="shared" si="587"/>
        <v>55842</v>
      </c>
      <c r="DO288">
        <v>51700</v>
      </c>
      <c r="DP288">
        <f t="shared" si="588"/>
        <v>7238.0000000000009</v>
      </c>
      <c r="DQ288">
        <f t="shared" si="589"/>
        <v>6204</v>
      </c>
      <c r="DR288">
        <v>400</v>
      </c>
      <c r="DS288">
        <v>500</v>
      </c>
      <c r="DT288">
        <f t="shared" si="590"/>
        <v>66042</v>
      </c>
      <c r="DU288">
        <v>10000</v>
      </c>
      <c r="DV288">
        <v>0</v>
      </c>
      <c r="DW288">
        <f t="shared" si="591"/>
        <v>200</v>
      </c>
      <c r="DX288">
        <f t="shared" si="592"/>
        <v>55842</v>
      </c>
      <c r="DY288">
        <f t="shared" si="593"/>
        <v>782936</v>
      </c>
      <c r="DZ288">
        <f t="shared" si="525"/>
        <v>2400</v>
      </c>
      <c r="EA288">
        <f t="shared" si="526"/>
        <v>50000</v>
      </c>
      <c r="EB288">
        <v>0</v>
      </c>
      <c r="EC288">
        <f t="shared" si="527"/>
        <v>730536</v>
      </c>
      <c r="ED288">
        <f t="shared" si="528"/>
        <v>120000</v>
      </c>
      <c r="EE288">
        <f t="shared" si="529"/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f t="shared" si="530"/>
        <v>120000</v>
      </c>
      <c r="EQ288">
        <f t="shared" si="594"/>
        <v>120000</v>
      </c>
      <c r="ER288">
        <f t="shared" si="531"/>
        <v>610536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f t="shared" si="595"/>
        <v>0</v>
      </c>
      <c r="FA288">
        <f t="shared" si="596"/>
        <v>610536</v>
      </c>
      <c r="FB288">
        <f t="shared" si="597"/>
        <v>12500</v>
      </c>
      <c r="FC288">
        <f t="shared" si="598"/>
        <v>22107</v>
      </c>
      <c r="FD288">
        <f t="shared" si="599"/>
        <v>34607</v>
      </c>
      <c r="FE288">
        <f t="shared" si="600"/>
        <v>34607</v>
      </c>
      <c r="FF288">
        <f t="shared" si="601"/>
        <v>1384.28</v>
      </c>
      <c r="FG288">
        <f t="shared" si="602"/>
        <v>35991</v>
      </c>
      <c r="FH288">
        <v>0</v>
      </c>
      <c r="FI288">
        <f t="shared" si="603"/>
        <v>35991</v>
      </c>
      <c r="FJ288" t="b">
        <f t="shared" si="604"/>
        <v>1</v>
      </c>
      <c r="FK288">
        <f t="shared" ca="1" si="605"/>
        <v>705</v>
      </c>
      <c r="FL288">
        <f t="shared" ca="1" si="606"/>
        <v>783641</v>
      </c>
      <c r="FM288">
        <f t="shared" si="607"/>
        <v>75000</v>
      </c>
      <c r="FN288">
        <f t="shared" ca="1" si="608"/>
        <v>708641</v>
      </c>
      <c r="FO288">
        <f t="shared" ca="1" si="609"/>
        <v>0</v>
      </c>
      <c r="FP288">
        <f t="shared" ca="1" si="610"/>
        <v>0</v>
      </c>
      <c r="FQ288">
        <f t="shared" ca="1" si="611"/>
        <v>0</v>
      </c>
      <c r="FR288">
        <f t="shared" ca="1" si="612"/>
        <v>0</v>
      </c>
      <c r="FS288">
        <f t="shared" ca="1" si="613"/>
        <v>0</v>
      </c>
      <c r="FT288">
        <f t="shared" ca="1" si="614"/>
        <v>0</v>
      </c>
      <c r="FU288">
        <f t="shared" ca="1" si="615"/>
        <v>8641</v>
      </c>
      <c r="FV288">
        <f t="shared" ca="1" si="616"/>
        <v>864.1</v>
      </c>
      <c r="FW288">
        <f t="shared" ca="1" si="617"/>
        <v>400000</v>
      </c>
      <c r="FX288">
        <f t="shared" ca="1" si="618"/>
        <v>20000</v>
      </c>
      <c r="FY288">
        <f t="shared" ca="1" si="619"/>
        <v>20864</v>
      </c>
      <c r="FZ288">
        <f t="shared" ca="1" si="620"/>
        <v>708641</v>
      </c>
      <c r="GA288">
        <f t="shared" ca="1" si="621"/>
        <v>8641</v>
      </c>
      <c r="GB288">
        <f t="shared" ca="1" si="622"/>
        <v>0</v>
      </c>
      <c r="GC288">
        <f t="shared" ca="1" si="623"/>
        <v>12223</v>
      </c>
      <c r="GD288" t="b">
        <f t="shared" ca="1" si="624"/>
        <v>1</v>
      </c>
      <c r="GE288">
        <f t="shared" ca="1" si="625"/>
        <v>12223</v>
      </c>
      <c r="GF288">
        <f t="shared" ca="1" si="626"/>
        <v>12223</v>
      </c>
      <c r="GG288">
        <f t="shared" ca="1" si="627"/>
        <v>8641</v>
      </c>
      <c r="GH288">
        <f t="shared" ca="1" si="628"/>
        <v>345.64</v>
      </c>
      <c r="GI288">
        <f t="shared" ca="1" si="629"/>
        <v>8987</v>
      </c>
    </row>
    <row r="289" spans="1:191" x14ac:dyDescent="0.25">
      <c r="A289">
        <f>_xlfn.AGGREGATE(3,5,$B$2:B289)</f>
        <v>288</v>
      </c>
      <c r="B289" t="s">
        <v>696</v>
      </c>
      <c r="C289" t="s">
        <v>697</v>
      </c>
      <c r="D289" t="s">
        <v>838</v>
      </c>
      <c r="E289" t="s">
        <v>844</v>
      </c>
      <c r="F289">
        <v>0</v>
      </c>
      <c r="G289">
        <v>6000</v>
      </c>
      <c r="H289">
        <v>36600</v>
      </c>
      <c r="I289">
        <f t="shared" si="532"/>
        <v>3660</v>
      </c>
      <c r="J289">
        <f t="shared" si="533"/>
        <v>4392</v>
      </c>
      <c r="K289">
        <v>0</v>
      </c>
      <c r="L289">
        <v>500</v>
      </c>
      <c r="M289">
        <f t="shared" si="534"/>
        <v>45152</v>
      </c>
      <c r="N289">
        <v>5000</v>
      </c>
      <c r="O289">
        <v>0</v>
      </c>
      <c r="P289">
        <f t="shared" si="535"/>
        <v>200</v>
      </c>
      <c r="Q289">
        <f t="shared" si="536"/>
        <v>39952</v>
      </c>
      <c r="R289">
        <v>36600</v>
      </c>
      <c r="S289">
        <f t="shared" si="537"/>
        <v>3660</v>
      </c>
      <c r="T289">
        <f t="shared" si="538"/>
        <v>4392</v>
      </c>
      <c r="U289">
        <v>0</v>
      </c>
      <c r="V289">
        <v>500</v>
      </c>
      <c r="W289">
        <f t="shared" si="539"/>
        <v>45152</v>
      </c>
      <c r="X289">
        <v>5000</v>
      </c>
      <c r="Y289">
        <v>0</v>
      </c>
      <c r="Z289">
        <f t="shared" si="540"/>
        <v>200</v>
      </c>
      <c r="AA289">
        <f t="shared" si="541"/>
        <v>39952</v>
      </c>
      <c r="AB289">
        <v>36600</v>
      </c>
      <c r="AC289">
        <f t="shared" si="542"/>
        <v>5124.0000000000009</v>
      </c>
      <c r="AD289">
        <f t="shared" si="543"/>
        <v>4392</v>
      </c>
      <c r="AE289">
        <v>0</v>
      </c>
      <c r="AF289">
        <v>500</v>
      </c>
      <c r="AG289">
        <f t="shared" si="544"/>
        <v>46616</v>
      </c>
      <c r="AH289">
        <v>5000</v>
      </c>
      <c r="AI289">
        <v>0</v>
      </c>
      <c r="AJ289">
        <f t="shared" si="545"/>
        <v>200</v>
      </c>
      <c r="AK289">
        <f t="shared" si="546"/>
        <v>41416</v>
      </c>
      <c r="AL289">
        <v>36600</v>
      </c>
      <c r="AM289">
        <f t="shared" si="547"/>
        <v>5124.0000000000009</v>
      </c>
      <c r="AN289">
        <f t="shared" si="548"/>
        <v>4392</v>
      </c>
      <c r="AO289">
        <v>0</v>
      </c>
      <c r="AP289">
        <v>500</v>
      </c>
      <c r="AQ289">
        <f t="shared" si="549"/>
        <v>46616</v>
      </c>
      <c r="AR289">
        <v>5000</v>
      </c>
      <c r="AS289">
        <v>0</v>
      </c>
      <c r="AT289">
        <f t="shared" si="550"/>
        <v>200</v>
      </c>
      <c r="AU289">
        <f t="shared" si="551"/>
        <v>41416</v>
      </c>
      <c r="AV289">
        <v>37700</v>
      </c>
      <c r="AW289">
        <f t="shared" si="552"/>
        <v>5278.0000000000009</v>
      </c>
      <c r="AX289">
        <f t="shared" si="553"/>
        <v>1464</v>
      </c>
      <c r="AY289">
        <f t="shared" si="554"/>
        <v>4524</v>
      </c>
      <c r="AZ289">
        <v>0</v>
      </c>
      <c r="BA289">
        <v>500</v>
      </c>
      <c r="BB289">
        <f t="shared" si="555"/>
        <v>49466</v>
      </c>
      <c r="BC289">
        <v>5000</v>
      </c>
      <c r="BD289">
        <v>0</v>
      </c>
      <c r="BE289">
        <f t="shared" si="556"/>
        <v>200</v>
      </c>
      <c r="BF289">
        <f t="shared" si="557"/>
        <v>44266</v>
      </c>
      <c r="BG289">
        <v>37700</v>
      </c>
      <c r="BH289">
        <f t="shared" si="558"/>
        <v>5278.0000000000009</v>
      </c>
      <c r="BI289">
        <f t="shared" si="559"/>
        <v>4524</v>
      </c>
      <c r="BJ289">
        <v>0</v>
      </c>
      <c r="BK289">
        <v>500</v>
      </c>
      <c r="BL289">
        <f t="shared" si="560"/>
        <v>48002</v>
      </c>
      <c r="BM289">
        <v>5000</v>
      </c>
      <c r="BN289">
        <v>0</v>
      </c>
      <c r="BO289">
        <f t="shared" si="561"/>
        <v>200</v>
      </c>
      <c r="BP289">
        <f t="shared" si="562"/>
        <v>42802</v>
      </c>
      <c r="BQ289">
        <v>37700</v>
      </c>
      <c r="BR289">
        <f t="shared" si="563"/>
        <v>5278.0000000000009</v>
      </c>
      <c r="BS289">
        <f t="shared" si="564"/>
        <v>4524</v>
      </c>
      <c r="BT289">
        <v>0</v>
      </c>
      <c r="BU289">
        <v>500</v>
      </c>
      <c r="BV289">
        <f t="shared" si="565"/>
        <v>48002</v>
      </c>
      <c r="BW289">
        <v>5000</v>
      </c>
      <c r="BX289">
        <v>0</v>
      </c>
      <c r="BY289">
        <f t="shared" si="566"/>
        <v>200</v>
      </c>
      <c r="BZ289">
        <f t="shared" si="567"/>
        <v>42802</v>
      </c>
      <c r="CA289">
        <v>37700</v>
      </c>
      <c r="CB289">
        <f t="shared" si="568"/>
        <v>5278.0000000000009</v>
      </c>
      <c r="CC289">
        <f t="shared" si="569"/>
        <v>4524</v>
      </c>
      <c r="CD289">
        <v>0</v>
      </c>
      <c r="CE289">
        <v>500</v>
      </c>
      <c r="CF289">
        <f t="shared" si="570"/>
        <v>48002</v>
      </c>
      <c r="CG289">
        <v>5000</v>
      </c>
      <c r="CH289">
        <v>0</v>
      </c>
      <c r="CI289">
        <f t="shared" si="571"/>
        <v>200</v>
      </c>
      <c r="CJ289">
        <f t="shared" si="572"/>
        <v>42802</v>
      </c>
      <c r="CK289">
        <v>37700</v>
      </c>
      <c r="CL289">
        <f t="shared" si="573"/>
        <v>5278.0000000000009</v>
      </c>
      <c r="CM289">
        <f t="shared" si="574"/>
        <v>4524</v>
      </c>
      <c r="CN289">
        <v>0</v>
      </c>
      <c r="CO289">
        <v>500</v>
      </c>
      <c r="CP289">
        <f t="shared" si="575"/>
        <v>48002</v>
      </c>
      <c r="CQ289">
        <v>5000</v>
      </c>
      <c r="CR289">
        <v>0</v>
      </c>
      <c r="CS289">
        <f t="shared" si="576"/>
        <v>200</v>
      </c>
      <c r="CT289">
        <f t="shared" si="577"/>
        <v>42802</v>
      </c>
      <c r="CU289">
        <v>37700</v>
      </c>
      <c r="CV289">
        <f t="shared" si="578"/>
        <v>5278</v>
      </c>
      <c r="CW289">
        <f t="shared" si="579"/>
        <v>4524</v>
      </c>
      <c r="CX289">
        <v>0</v>
      </c>
      <c r="CY289">
        <v>500</v>
      </c>
      <c r="CZ289">
        <f t="shared" si="580"/>
        <v>48002</v>
      </c>
      <c r="DA289">
        <v>5000</v>
      </c>
      <c r="DB289">
        <v>0</v>
      </c>
      <c r="DC289">
        <f t="shared" si="581"/>
        <v>200</v>
      </c>
      <c r="DD289">
        <f t="shared" si="582"/>
        <v>42802</v>
      </c>
      <c r="DE289">
        <v>37700</v>
      </c>
      <c r="DF289">
        <f t="shared" si="583"/>
        <v>5278.0000000000009</v>
      </c>
      <c r="DG289">
        <f t="shared" si="584"/>
        <v>4524</v>
      </c>
      <c r="DH289">
        <v>0</v>
      </c>
      <c r="DI289">
        <v>500</v>
      </c>
      <c r="DJ289">
        <f t="shared" si="585"/>
        <v>48002</v>
      </c>
      <c r="DK289">
        <v>5000</v>
      </c>
      <c r="DL289">
        <v>0</v>
      </c>
      <c r="DM289">
        <f t="shared" si="586"/>
        <v>200</v>
      </c>
      <c r="DN289">
        <f t="shared" si="587"/>
        <v>42802</v>
      </c>
      <c r="DO289">
        <v>37700</v>
      </c>
      <c r="DP289">
        <f t="shared" si="588"/>
        <v>5278.0000000000009</v>
      </c>
      <c r="DQ289">
        <f t="shared" si="589"/>
        <v>4524</v>
      </c>
      <c r="DR289">
        <v>0</v>
      </c>
      <c r="DS289">
        <v>500</v>
      </c>
      <c r="DT289">
        <f t="shared" si="590"/>
        <v>48002</v>
      </c>
      <c r="DU289">
        <v>5000</v>
      </c>
      <c r="DV289">
        <v>0</v>
      </c>
      <c r="DW289">
        <f t="shared" si="591"/>
        <v>200</v>
      </c>
      <c r="DX289">
        <f t="shared" si="592"/>
        <v>42802</v>
      </c>
      <c r="DY289">
        <f t="shared" si="593"/>
        <v>575016</v>
      </c>
      <c r="DZ289">
        <f t="shared" si="525"/>
        <v>2400</v>
      </c>
      <c r="EA289">
        <f t="shared" si="526"/>
        <v>50000</v>
      </c>
      <c r="EB289">
        <v>0</v>
      </c>
      <c r="EC289">
        <f t="shared" si="527"/>
        <v>522616</v>
      </c>
      <c r="ED289">
        <f t="shared" si="528"/>
        <v>60000</v>
      </c>
      <c r="EE289">
        <f t="shared" si="529"/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f t="shared" si="530"/>
        <v>60000</v>
      </c>
      <c r="EQ289">
        <f t="shared" si="594"/>
        <v>60000</v>
      </c>
      <c r="ER289">
        <f t="shared" si="531"/>
        <v>462616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f t="shared" si="595"/>
        <v>0</v>
      </c>
      <c r="FA289">
        <f t="shared" si="596"/>
        <v>462616</v>
      </c>
      <c r="FB289">
        <f t="shared" si="597"/>
        <v>10631</v>
      </c>
      <c r="FC289">
        <f t="shared" si="598"/>
        <v>0</v>
      </c>
      <c r="FD289">
        <f t="shared" si="599"/>
        <v>10631</v>
      </c>
      <c r="FE289">
        <f t="shared" si="600"/>
        <v>0</v>
      </c>
      <c r="FF289">
        <f t="shared" si="601"/>
        <v>0</v>
      </c>
      <c r="FG289">
        <f t="shared" si="602"/>
        <v>0</v>
      </c>
      <c r="FH289">
        <v>0</v>
      </c>
      <c r="FI289">
        <f t="shared" si="603"/>
        <v>0</v>
      </c>
      <c r="FJ289" t="b">
        <f t="shared" si="604"/>
        <v>1</v>
      </c>
      <c r="FK289">
        <f t="shared" ca="1" si="605"/>
        <v>941</v>
      </c>
      <c r="FL289">
        <f t="shared" ca="1" si="606"/>
        <v>575957</v>
      </c>
      <c r="FM289">
        <f t="shared" si="607"/>
        <v>75000</v>
      </c>
      <c r="FN289">
        <f t="shared" ca="1" si="608"/>
        <v>500957</v>
      </c>
      <c r="FO289">
        <f t="shared" ca="1" si="609"/>
        <v>0</v>
      </c>
      <c r="FP289">
        <f t="shared" ca="1" si="610"/>
        <v>0</v>
      </c>
      <c r="FQ289">
        <f t="shared" ca="1" si="611"/>
        <v>0</v>
      </c>
      <c r="FR289">
        <f t="shared" ca="1" si="612"/>
        <v>0</v>
      </c>
      <c r="FS289">
        <f t="shared" ca="1" si="613"/>
        <v>0</v>
      </c>
      <c r="FT289">
        <f t="shared" ca="1" si="614"/>
        <v>0</v>
      </c>
      <c r="FU289">
        <f t="shared" ca="1" si="615"/>
        <v>0</v>
      </c>
      <c r="FV289">
        <f t="shared" ca="1" si="616"/>
        <v>0</v>
      </c>
      <c r="FW289">
        <f t="shared" ca="1" si="617"/>
        <v>200957</v>
      </c>
      <c r="FX289">
        <f t="shared" ca="1" si="618"/>
        <v>10047.85</v>
      </c>
      <c r="FY289">
        <f t="shared" ca="1" si="619"/>
        <v>10048</v>
      </c>
      <c r="FZ289">
        <f t="shared" ca="1" si="620"/>
        <v>0</v>
      </c>
      <c r="GA289">
        <f t="shared" ca="1" si="621"/>
        <v>0</v>
      </c>
      <c r="GB289">
        <f t="shared" ca="1" si="622"/>
        <v>10048</v>
      </c>
      <c r="GC289">
        <f t="shared" ca="1" si="623"/>
        <v>0</v>
      </c>
      <c r="GD289" t="b">
        <f t="shared" ca="1" si="624"/>
        <v>0</v>
      </c>
      <c r="GE289">
        <f t="shared" ca="1" si="625"/>
        <v>0</v>
      </c>
      <c r="GF289">
        <f t="shared" ca="1" si="626"/>
        <v>10048</v>
      </c>
      <c r="GG289">
        <f t="shared" ca="1" si="627"/>
        <v>0</v>
      </c>
      <c r="GH289">
        <f t="shared" ca="1" si="628"/>
        <v>0</v>
      </c>
      <c r="GI289">
        <f t="shared" ca="1" si="629"/>
        <v>0</v>
      </c>
    </row>
    <row r="290" spans="1:191" x14ac:dyDescent="0.25">
      <c r="A290">
        <f>_xlfn.AGGREGATE(3,5,$B$2:B290)</f>
        <v>289</v>
      </c>
      <c r="B290" t="s">
        <v>698</v>
      </c>
      <c r="C290" t="s">
        <v>699</v>
      </c>
      <c r="D290" t="s">
        <v>838</v>
      </c>
      <c r="E290" t="s">
        <v>843</v>
      </c>
      <c r="F290">
        <v>0</v>
      </c>
      <c r="G290">
        <v>6000</v>
      </c>
      <c r="H290">
        <v>26200</v>
      </c>
      <c r="I290">
        <f t="shared" si="532"/>
        <v>2620</v>
      </c>
      <c r="J290">
        <f t="shared" si="533"/>
        <v>3144</v>
      </c>
      <c r="K290">
        <v>0</v>
      </c>
      <c r="L290">
        <v>0</v>
      </c>
      <c r="M290">
        <f t="shared" si="534"/>
        <v>31964</v>
      </c>
      <c r="N290">
        <v>2000</v>
      </c>
      <c r="O290">
        <v>0</v>
      </c>
      <c r="P290">
        <f t="shared" si="535"/>
        <v>150</v>
      </c>
      <c r="Q290">
        <f t="shared" si="536"/>
        <v>29814</v>
      </c>
      <c r="R290">
        <v>26200</v>
      </c>
      <c r="S290">
        <f t="shared" si="537"/>
        <v>2620</v>
      </c>
      <c r="T290">
        <f t="shared" si="538"/>
        <v>3144</v>
      </c>
      <c r="U290">
        <v>0</v>
      </c>
      <c r="V290">
        <v>0</v>
      </c>
      <c r="W290">
        <f t="shared" si="539"/>
        <v>31964</v>
      </c>
      <c r="X290">
        <v>2000</v>
      </c>
      <c r="Y290">
        <v>0</v>
      </c>
      <c r="Z290">
        <f t="shared" si="540"/>
        <v>150</v>
      </c>
      <c r="AA290">
        <f t="shared" si="541"/>
        <v>29814</v>
      </c>
      <c r="AB290">
        <v>26200</v>
      </c>
      <c r="AC290">
        <f t="shared" si="542"/>
        <v>3668.0000000000005</v>
      </c>
      <c r="AD290">
        <f t="shared" si="543"/>
        <v>3144</v>
      </c>
      <c r="AE290">
        <v>0</v>
      </c>
      <c r="AF290">
        <v>0</v>
      </c>
      <c r="AG290">
        <f t="shared" si="544"/>
        <v>33012</v>
      </c>
      <c r="AH290">
        <v>2000</v>
      </c>
      <c r="AI290">
        <v>0</v>
      </c>
      <c r="AJ290">
        <f t="shared" si="545"/>
        <v>150</v>
      </c>
      <c r="AK290">
        <f t="shared" si="546"/>
        <v>30862</v>
      </c>
      <c r="AL290">
        <v>26200</v>
      </c>
      <c r="AM290">
        <f t="shared" si="547"/>
        <v>3668.0000000000005</v>
      </c>
      <c r="AN290">
        <f t="shared" si="548"/>
        <v>3144</v>
      </c>
      <c r="AO290">
        <v>0</v>
      </c>
      <c r="AP290">
        <v>500</v>
      </c>
      <c r="AQ290">
        <f t="shared" si="549"/>
        <v>33512</v>
      </c>
      <c r="AR290">
        <v>2000</v>
      </c>
      <c r="AS290">
        <v>0</v>
      </c>
      <c r="AT290">
        <f t="shared" si="550"/>
        <v>150</v>
      </c>
      <c r="AU290">
        <f t="shared" si="551"/>
        <v>31362</v>
      </c>
      <c r="AV290">
        <v>27000</v>
      </c>
      <c r="AW290">
        <f t="shared" si="552"/>
        <v>3780.0000000000005</v>
      </c>
      <c r="AX290">
        <f t="shared" si="553"/>
        <v>1048</v>
      </c>
      <c r="AY290">
        <f t="shared" si="554"/>
        <v>3240</v>
      </c>
      <c r="AZ290">
        <v>0</v>
      </c>
      <c r="BA290">
        <v>500</v>
      </c>
      <c r="BB290">
        <f t="shared" si="555"/>
        <v>35568</v>
      </c>
      <c r="BC290">
        <v>2000</v>
      </c>
      <c r="BD290">
        <v>0</v>
      </c>
      <c r="BE290">
        <f t="shared" si="556"/>
        <v>150</v>
      </c>
      <c r="BF290">
        <f t="shared" si="557"/>
        <v>33418</v>
      </c>
      <c r="BG290">
        <v>27000</v>
      </c>
      <c r="BH290">
        <f t="shared" si="558"/>
        <v>3780.0000000000005</v>
      </c>
      <c r="BI290">
        <f t="shared" si="559"/>
        <v>3240</v>
      </c>
      <c r="BJ290">
        <v>0</v>
      </c>
      <c r="BK290">
        <v>500</v>
      </c>
      <c r="BL290">
        <f t="shared" si="560"/>
        <v>34520</v>
      </c>
      <c r="BM290">
        <v>2000</v>
      </c>
      <c r="BN290">
        <v>0</v>
      </c>
      <c r="BO290">
        <f t="shared" si="561"/>
        <v>150</v>
      </c>
      <c r="BP290">
        <f t="shared" si="562"/>
        <v>32370</v>
      </c>
      <c r="BQ290">
        <v>27000</v>
      </c>
      <c r="BR290">
        <f t="shared" si="563"/>
        <v>3780.0000000000005</v>
      </c>
      <c r="BS290">
        <f t="shared" si="564"/>
        <v>3240</v>
      </c>
      <c r="BT290">
        <v>0</v>
      </c>
      <c r="BU290">
        <v>500</v>
      </c>
      <c r="BV290">
        <f t="shared" si="565"/>
        <v>34520</v>
      </c>
      <c r="BW290">
        <v>2000</v>
      </c>
      <c r="BX290">
        <v>0</v>
      </c>
      <c r="BY290">
        <f t="shared" si="566"/>
        <v>150</v>
      </c>
      <c r="BZ290">
        <f t="shared" si="567"/>
        <v>32370</v>
      </c>
      <c r="CA290">
        <v>27000</v>
      </c>
      <c r="CB290">
        <f t="shared" si="568"/>
        <v>3780.0000000000005</v>
      </c>
      <c r="CC290">
        <f t="shared" si="569"/>
        <v>3240</v>
      </c>
      <c r="CD290">
        <v>0</v>
      </c>
      <c r="CE290">
        <v>500</v>
      </c>
      <c r="CF290">
        <f t="shared" si="570"/>
        <v>34520</v>
      </c>
      <c r="CG290">
        <v>2000</v>
      </c>
      <c r="CH290">
        <v>0</v>
      </c>
      <c r="CI290">
        <f t="shared" si="571"/>
        <v>150</v>
      </c>
      <c r="CJ290">
        <f t="shared" si="572"/>
        <v>32370</v>
      </c>
      <c r="CK290">
        <v>27000</v>
      </c>
      <c r="CL290">
        <f t="shared" si="573"/>
        <v>3780.0000000000005</v>
      </c>
      <c r="CM290">
        <f t="shared" si="574"/>
        <v>3240</v>
      </c>
      <c r="CN290">
        <v>0</v>
      </c>
      <c r="CO290">
        <v>500</v>
      </c>
      <c r="CP290">
        <f t="shared" si="575"/>
        <v>34520</v>
      </c>
      <c r="CQ290">
        <v>2000</v>
      </c>
      <c r="CR290">
        <v>0</v>
      </c>
      <c r="CS290">
        <f t="shared" si="576"/>
        <v>150</v>
      </c>
      <c r="CT290">
        <f t="shared" si="577"/>
        <v>32370</v>
      </c>
      <c r="CU290">
        <v>27000</v>
      </c>
      <c r="CV290">
        <f t="shared" si="578"/>
        <v>3780</v>
      </c>
      <c r="CW290">
        <f t="shared" si="579"/>
        <v>3240</v>
      </c>
      <c r="CX290">
        <v>0</v>
      </c>
      <c r="CY290">
        <v>500</v>
      </c>
      <c r="CZ290">
        <f t="shared" si="580"/>
        <v>34520</v>
      </c>
      <c r="DA290">
        <v>2000</v>
      </c>
      <c r="DB290">
        <v>0</v>
      </c>
      <c r="DC290">
        <f t="shared" si="581"/>
        <v>150</v>
      </c>
      <c r="DD290">
        <f t="shared" si="582"/>
        <v>32370</v>
      </c>
      <c r="DE290">
        <v>27000</v>
      </c>
      <c r="DF290">
        <f t="shared" si="583"/>
        <v>3780.0000000000005</v>
      </c>
      <c r="DG290">
        <f t="shared" si="584"/>
        <v>3240</v>
      </c>
      <c r="DH290">
        <v>0</v>
      </c>
      <c r="DI290">
        <v>500</v>
      </c>
      <c r="DJ290">
        <f t="shared" si="585"/>
        <v>34520</v>
      </c>
      <c r="DK290">
        <v>2000</v>
      </c>
      <c r="DL290">
        <v>0</v>
      </c>
      <c r="DM290">
        <f t="shared" si="586"/>
        <v>150</v>
      </c>
      <c r="DN290">
        <f t="shared" si="587"/>
        <v>32370</v>
      </c>
      <c r="DO290">
        <v>27000</v>
      </c>
      <c r="DP290">
        <f t="shared" si="588"/>
        <v>3780.0000000000005</v>
      </c>
      <c r="DQ290">
        <f t="shared" si="589"/>
        <v>3240</v>
      </c>
      <c r="DR290">
        <v>0</v>
      </c>
      <c r="DS290">
        <v>500</v>
      </c>
      <c r="DT290">
        <f t="shared" si="590"/>
        <v>34520</v>
      </c>
      <c r="DU290">
        <v>2000</v>
      </c>
      <c r="DV290">
        <v>0</v>
      </c>
      <c r="DW290">
        <f t="shared" si="591"/>
        <v>150</v>
      </c>
      <c r="DX290">
        <f t="shared" si="592"/>
        <v>32370</v>
      </c>
      <c r="DY290">
        <f t="shared" si="593"/>
        <v>413660</v>
      </c>
      <c r="DZ290">
        <f t="shared" si="525"/>
        <v>1800</v>
      </c>
      <c r="EA290">
        <f t="shared" si="526"/>
        <v>50000</v>
      </c>
      <c r="EB290">
        <v>0</v>
      </c>
      <c r="EC290">
        <f t="shared" si="527"/>
        <v>361860</v>
      </c>
      <c r="ED290">
        <f t="shared" si="528"/>
        <v>24000</v>
      </c>
      <c r="EE290">
        <f t="shared" si="529"/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f t="shared" si="530"/>
        <v>24000</v>
      </c>
      <c r="EQ290">
        <f t="shared" si="594"/>
        <v>24000</v>
      </c>
      <c r="ER290">
        <f t="shared" si="531"/>
        <v>337860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f t="shared" si="595"/>
        <v>0</v>
      </c>
      <c r="FA290">
        <f t="shared" si="596"/>
        <v>337860</v>
      </c>
      <c r="FB290">
        <f t="shared" si="597"/>
        <v>4393</v>
      </c>
      <c r="FC290">
        <f t="shared" si="598"/>
        <v>0</v>
      </c>
      <c r="FD290">
        <f t="shared" si="599"/>
        <v>4393</v>
      </c>
      <c r="FE290">
        <f t="shared" si="600"/>
        <v>0</v>
      </c>
      <c r="FF290">
        <f t="shared" si="601"/>
        <v>0</v>
      </c>
      <c r="FG290">
        <f t="shared" si="602"/>
        <v>0</v>
      </c>
      <c r="FH290">
        <v>0</v>
      </c>
      <c r="FI290">
        <f t="shared" si="603"/>
        <v>0</v>
      </c>
      <c r="FJ290" t="b">
        <f t="shared" si="604"/>
        <v>0</v>
      </c>
      <c r="FK290">
        <f t="shared" ca="1" si="605"/>
        <v>2492</v>
      </c>
      <c r="FL290">
        <f t="shared" ca="1" si="606"/>
        <v>416152</v>
      </c>
      <c r="FM290">
        <f t="shared" si="607"/>
        <v>75000</v>
      </c>
      <c r="FN290">
        <f t="shared" ca="1" si="608"/>
        <v>341152</v>
      </c>
      <c r="FO290">
        <f t="shared" ca="1" si="609"/>
        <v>0</v>
      </c>
      <c r="FP290">
        <f t="shared" ca="1" si="610"/>
        <v>0</v>
      </c>
      <c r="FQ290">
        <f t="shared" ca="1" si="611"/>
        <v>0</v>
      </c>
      <c r="FR290">
        <f t="shared" ca="1" si="612"/>
        <v>0</v>
      </c>
      <c r="FS290">
        <f t="shared" ca="1" si="613"/>
        <v>0</v>
      </c>
      <c r="FT290">
        <f t="shared" ca="1" si="614"/>
        <v>0</v>
      </c>
      <c r="FU290">
        <f t="shared" ca="1" si="615"/>
        <v>0</v>
      </c>
      <c r="FV290">
        <f t="shared" ca="1" si="616"/>
        <v>0</v>
      </c>
      <c r="FW290">
        <f t="shared" ca="1" si="617"/>
        <v>41152</v>
      </c>
      <c r="FX290">
        <f t="shared" ca="1" si="618"/>
        <v>2057.6</v>
      </c>
      <c r="FY290">
        <f t="shared" ca="1" si="619"/>
        <v>2058</v>
      </c>
      <c r="FZ290">
        <f t="shared" ca="1" si="620"/>
        <v>0</v>
      </c>
      <c r="GA290">
        <f t="shared" ca="1" si="621"/>
        <v>0</v>
      </c>
      <c r="GB290">
        <f t="shared" ca="1" si="622"/>
        <v>2058</v>
      </c>
      <c r="GC290">
        <f t="shared" ca="1" si="623"/>
        <v>0</v>
      </c>
      <c r="GD290" t="b">
        <f t="shared" ca="1" si="624"/>
        <v>0</v>
      </c>
      <c r="GE290">
        <f t="shared" ca="1" si="625"/>
        <v>0</v>
      </c>
      <c r="GF290">
        <f t="shared" ca="1" si="626"/>
        <v>2058</v>
      </c>
      <c r="GG290">
        <f t="shared" ca="1" si="627"/>
        <v>0</v>
      </c>
      <c r="GH290">
        <f t="shared" ca="1" si="628"/>
        <v>0</v>
      </c>
      <c r="GI290">
        <f t="shared" ca="1" si="629"/>
        <v>0</v>
      </c>
    </row>
    <row r="291" spans="1:191" x14ac:dyDescent="0.25">
      <c r="A291">
        <f>_xlfn.AGGREGATE(3,5,$B$2:B291)</f>
        <v>290</v>
      </c>
      <c r="B291" t="s">
        <v>700</v>
      </c>
      <c r="C291" t="s">
        <v>701</v>
      </c>
      <c r="D291" t="s">
        <v>839</v>
      </c>
      <c r="E291" t="s">
        <v>844</v>
      </c>
      <c r="F291">
        <v>0</v>
      </c>
      <c r="G291">
        <v>0</v>
      </c>
      <c r="H291">
        <v>50200</v>
      </c>
      <c r="I291">
        <f t="shared" si="532"/>
        <v>5020</v>
      </c>
      <c r="J291">
        <f t="shared" si="533"/>
        <v>6024</v>
      </c>
      <c r="K291">
        <v>400</v>
      </c>
      <c r="L291">
        <v>0</v>
      </c>
      <c r="M291">
        <f t="shared" si="534"/>
        <v>61644</v>
      </c>
      <c r="N291">
        <v>7000</v>
      </c>
      <c r="O291">
        <v>60</v>
      </c>
      <c r="P291">
        <f t="shared" si="535"/>
        <v>200</v>
      </c>
      <c r="Q291">
        <f t="shared" si="536"/>
        <v>54384</v>
      </c>
      <c r="R291">
        <v>50200</v>
      </c>
      <c r="S291">
        <f t="shared" si="537"/>
        <v>5020</v>
      </c>
      <c r="T291">
        <f t="shared" si="538"/>
        <v>6024</v>
      </c>
      <c r="U291">
        <v>400</v>
      </c>
      <c r="V291">
        <v>0</v>
      </c>
      <c r="W291">
        <f t="shared" si="539"/>
        <v>61644</v>
      </c>
      <c r="X291">
        <v>7000</v>
      </c>
      <c r="Y291">
        <v>60</v>
      </c>
      <c r="Z291">
        <f t="shared" si="540"/>
        <v>200</v>
      </c>
      <c r="AA291">
        <f t="shared" si="541"/>
        <v>54384</v>
      </c>
      <c r="AB291">
        <v>50200</v>
      </c>
      <c r="AC291">
        <f t="shared" si="542"/>
        <v>7028.0000000000009</v>
      </c>
      <c r="AD291">
        <f t="shared" si="543"/>
        <v>6024</v>
      </c>
      <c r="AE291">
        <v>400</v>
      </c>
      <c r="AF291">
        <v>0</v>
      </c>
      <c r="AG291">
        <f t="shared" si="544"/>
        <v>63652</v>
      </c>
      <c r="AH291">
        <v>7000</v>
      </c>
      <c r="AI291">
        <v>60</v>
      </c>
      <c r="AJ291">
        <f t="shared" si="545"/>
        <v>200</v>
      </c>
      <c r="AK291">
        <f t="shared" si="546"/>
        <v>56392</v>
      </c>
      <c r="AL291">
        <v>50200</v>
      </c>
      <c r="AM291">
        <f t="shared" si="547"/>
        <v>7028.0000000000009</v>
      </c>
      <c r="AN291">
        <f t="shared" si="548"/>
        <v>6024</v>
      </c>
      <c r="AO291">
        <v>400</v>
      </c>
      <c r="AP291">
        <v>0</v>
      </c>
      <c r="AQ291">
        <f t="shared" si="549"/>
        <v>63652</v>
      </c>
      <c r="AR291">
        <v>7000</v>
      </c>
      <c r="AS291">
        <v>60</v>
      </c>
      <c r="AT291">
        <f t="shared" si="550"/>
        <v>200</v>
      </c>
      <c r="AU291">
        <f t="shared" si="551"/>
        <v>56392</v>
      </c>
      <c r="AV291">
        <v>51700</v>
      </c>
      <c r="AW291">
        <f t="shared" si="552"/>
        <v>7238.0000000000009</v>
      </c>
      <c r="AX291">
        <f t="shared" si="553"/>
        <v>2008</v>
      </c>
      <c r="AY291">
        <f t="shared" si="554"/>
        <v>6204</v>
      </c>
      <c r="AZ291">
        <v>400</v>
      </c>
      <c r="BA291">
        <v>0</v>
      </c>
      <c r="BB291">
        <f t="shared" si="555"/>
        <v>67550</v>
      </c>
      <c r="BC291">
        <v>7000</v>
      </c>
      <c r="BD291">
        <v>60</v>
      </c>
      <c r="BE291">
        <f t="shared" si="556"/>
        <v>200</v>
      </c>
      <c r="BF291">
        <f t="shared" si="557"/>
        <v>60290</v>
      </c>
      <c r="BG291">
        <v>51700</v>
      </c>
      <c r="BH291">
        <f t="shared" si="558"/>
        <v>7238.0000000000009</v>
      </c>
      <c r="BI291">
        <f t="shared" si="559"/>
        <v>6204</v>
      </c>
      <c r="BJ291">
        <v>400</v>
      </c>
      <c r="BK291">
        <v>0</v>
      </c>
      <c r="BL291">
        <f t="shared" si="560"/>
        <v>65542</v>
      </c>
      <c r="BM291">
        <v>7000</v>
      </c>
      <c r="BN291">
        <v>60</v>
      </c>
      <c r="BO291">
        <f t="shared" si="561"/>
        <v>200</v>
      </c>
      <c r="BP291">
        <f t="shared" si="562"/>
        <v>58282</v>
      </c>
      <c r="BQ291">
        <v>51700</v>
      </c>
      <c r="BR291">
        <f t="shared" si="563"/>
        <v>7238.0000000000009</v>
      </c>
      <c r="BS291">
        <f t="shared" si="564"/>
        <v>6204</v>
      </c>
      <c r="BT291">
        <v>400</v>
      </c>
      <c r="BU291">
        <v>0</v>
      </c>
      <c r="BV291">
        <f t="shared" si="565"/>
        <v>65542</v>
      </c>
      <c r="BW291">
        <v>7000</v>
      </c>
      <c r="BX291">
        <v>60</v>
      </c>
      <c r="BY291">
        <f t="shared" si="566"/>
        <v>200</v>
      </c>
      <c r="BZ291">
        <f t="shared" si="567"/>
        <v>58282</v>
      </c>
      <c r="CA291">
        <v>51700</v>
      </c>
      <c r="CB291">
        <f t="shared" si="568"/>
        <v>7238.0000000000009</v>
      </c>
      <c r="CC291">
        <f t="shared" si="569"/>
        <v>6204</v>
      </c>
      <c r="CD291">
        <v>400</v>
      </c>
      <c r="CE291">
        <v>0</v>
      </c>
      <c r="CF291">
        <f t="shared" si="570"/>
        <v>65542</v>
      </c>
      <c r="CG291">
        <v>7000</v>
      </c>
      <c r="CH291">
        <v>60</v>
      </c>
      <c r="CI291">
        <f t="shared" si="571"/>
        <v>200</v>
      </c>
      <c r="CJ291">
        <f t="shared" si="572"/>
        <v>58282</v>
      </c>
      <c r="CK291">
        <v>51700</v>
      </c>
      <c r="CL291">
        <f t="shared" si="573"/>
        <v>7238.0000000000009</v>
      </c>
      <c r="CM291">
        <f t="shared" si="574"/>
        <v>6204</v>
      </c>
      <c r="CN291">
        <v>400</v>
      </c>
      <c r="CO291">
        <v>0</v>
      </c>
      <c r="CP291">
        <f t="shared" si="575"/>
        <v>65542</v>
      </c>
      <c r="CQ291">
        <v>7000</v>
      </c>
      <c r="CR291">
        <v>60</v>
      </c>
      <c r="CS291">
        <f t="shared" si="576"/>
        <v>200</v>
      </c>
      <c r="CT291">
        <f t="shared" si="577"/>
        <v>58282</v>
      </c>
      <c r="CU291">
        <v>51700</v>
      </c>
      <c r="CV291">
        <f t="shared" si="578"/>
        <v>7238</v>
      </c>
      <c r="CW291">
        <f t="shared" si="579"/>
        <v>6204</v>
      </c>
      <c r="CX291">
        <v>400</v>
      </c>
      <c r="CY291">
        <v>0</v>
      </c>
      <c r="CZ291">
        <f t="shared" si="580"/>
        <v>65542</v>
      </c>
      <c r="DA291">
        <v>7000</v>
      </c>
      <c r="DB291">
        <v>60</v>
      </c>
      <c r="DC291">
        <f t="shared" si="581"/>
        <v>200</v>
      </c>
      <c r="DD291">
        <f t="shared" si="582"/>
        <v>58282</v>
      </c>
      <c r="DE291">
        <v>51700</v>
      </c>
      <c r="DF291">
        <f t="shared" si="583"/>
        <v>7238.0000000000009</v>
      </c>
      <c r="DG291">
        <f t="shared" si="584"/>
        <v>6204</v>
      </c>
      <c r="DH291">
        <v>400</v>
      </c>
      <c r="DI291">
        <v>0</v>
      </c>
      <c r="DJ291">
        <f t="shared" si="585"/>
        <v>65542</v>
      </c>
      <c r="DK291">
        <v>7000</v>
      </c>
      <c r="DL291">
        <v>60</v>
      </c>
      <c r="DM291">
        <f t="shared" si="586"/>
        <v>200</v>
      </c>
      <c r="DN291">
        <f t="shared" si="587"/>
        <v>58282</v>
      </c>
      <c r="DO291">
        <v>51700</v>
      </c>
      <c r="DP291">
        <f t="shared" si="588"/>
        <v>7238.0000000000009</v>
      </c>
      <c r="DQ291">
        <f t="shared" si="589"/>
        <v>6204</v>
      </c>
      <c r="DR291">
        <v>400</v>
      </c>
      <c r="DS291">
        <v>0</v>
      </c>
      <c r="DT291">
        <f t="shared" si="590"/>
        <v>65542</v>
      </c>
      <c r="DU291">
        <v>7000</v>
      </c>
      <c r="DV291">
        <v>60</v>
      </c>
      <c r="DW291">
        <f t="shared" si="591"/>
        <v>200</v>
      </c>
      <c r="DX291">
        <f t="shared" si="592"/>
        <v>58282</v>
      </c>
      <c r="DY291">
        <f t="shared" si="593"/>
        <v>776936</v>
      </c>
      <c r="DZ291">
        <f t="shared" si="525"/>
        <v>2400</v>
      </c>
      <c r="EA291">
        <f t="shared" si="526"/>
        <v>50000</v>
      </c>
      <c r="EB291">
        <v>0</v>
      </c>
      <c r="EC291">
        <f t="shared" si="527"/>
        <v>724536</v>
      </c>
      <c r="ED291">
        <f t="shared" si="528"/>
        <v>84000</v>
      </c>
      <c r="EE291">
        <f t="shared" si="529"/>
        <v>720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f t="shared" si="530"/>
        <v>84720</v>
      </c>
      <c r="EQ291">
        <f t="shared" si="594"/>
        <v>84720</v>
      </c>
      <c r="ER291">
        <f t="shared" si="531"/>
        <v>639816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f t="shared" si="595"/>
        <v>0</v>
      </c>
      <c r="FA291">
        <f t="shared" si="596"/>
        <v>639816</v>
      </c>
      <c r="FB291">
        <f t="shared" si="597"/>
        <v>12500</v>
      </c>
      <c r="FC291">
        <f t="shared" si="598"/>
        <v>27963</v>
      </c>
      <c r="FD291">
        <f t="shared" si="599"/>
        <v>40463</v>
      </c>
      <c r="FE291">
        <f t="shared" si="600"/>
        <v>40463</v>
      </c>
      <c r="FF291">
        <f t="shared" si="601"/>
        <v>1618.52</v>
      </c>
      <c r="FG291">
        <f t="shared" si="602"/>
        <v>42082</v>
      </c>
      <c r="FH291">
        <v>0</v>
      </c>
      <c r="FI291">
        <f t="shared" si="603"/>
        <v>42082</v>
      </c>
      <c r="FJ291" t="b">
        <f t="shared" si="604"/>
        <v>1</v>
      </c>
      <c r="FK291">
        <f t="shared" ca="1" si="605"/>
        <v>934</v>
      </c>
      <c r="FL291">
        <f t="shared" ca="1" si="606"/>
        <v>777870</v>
      </c>
      <c r="FM291">
        <f t="shared" si="607"/>
        <v>75000</v>
      </c>
      <c r="FN291">
        <f t="shared" ca="1" si="608"/>
        <v>702870</v>
      </c>
      <c r="FO291">
        <f t="shared" ca="1" si="609"/>
        <v>0</v>
      </c>
      <c r="FP291">
        <f t="shared" ca="1" si="610"/>
        <v>0</v>
      </c>
      <c r="FQ291">
        <f t="shared" ca="1" si="611"/>
        <v>0</v>
      </c>
      <c r="FR291">
        <f t="shared" ca="1" si="612"/>
        <v>0</v>
      </c>
      <c r="FS291">
        <f t="shared" ca="1" si="613"/>
        <v>0</v>
      </c>
      <c r="FT291">
        <f t="shared" ca="1" si="614"/>
        <v>0</v>
      </c>
      <c r="FU291">
        <f t="shared" ca="1" si="615"/>
        <v>2870</v>
      </c>
      <c r="FV291">
        <f t="shared" ca="1" si="616"/>
        <v>287</v>
      </c>
      <c r="FW291">
        <f t="shared" ca="1" si="617"/>
        <v>400000</v>
      </c>
      <c r="FX291">
        <f t="shared" ca="1" si="618"/>
        <v>20000</v>
      </c>
      <c r="FY291">
        <f t="shared" ca="1" si="619"/>
        <v>20287</v>
      </c>
      <c r="FZ291">
        <f t="shared" ca="1" si="620"/>
        <v>702870</v>
      </c>
      <c r="GA291">
        <f t="shared" ca="1" si="621"/>
        <v>2870</v>
      </c>
      <c r="GB291">
        <f t="shared" ca="1" si="622"/>
        <v>0</v>
      </c>
      <c r="GC291">
        <f t="shared" ca="1" si="623"/>
        <v>17417</v>
      </c>
      <c r="GD291" t="b">
        <f t="shared" ca="1" si="624"/>
        <v>1</v>
      </c>
      <c r="GE291">
        <f t="shared" ca="1" si="625"/>
        <v>17417</v>
      </c>
      <c r="GF291">
        <f t="shared" ca="1" si="626"/>
        <v>17417</v>
      </c>
      <c r="GG291">
        <f t="shared" ca="1" si="627"/>
        <v>2870</v>
      </c>
      <c r="GH291">
        <f t="shared" ca="1" si="628"/>
        <v>114.8</v>
      </c>
      <c r="GI291">
        <f t="shared" ca="1" si="629"/>
        <v>2985</v>
      </c>
    </row>
    <row r="292" spans="1:191" x14ac:dyDescent="0.25">
      <c r="A292">
        <f>_xlfn.AGGREGATE(3,5,$B$2:B292)</f>
        <v>291</v>
      </c>
      <c r="B292" t="s">
        <v>702</v>
      </c>
      <c r="C292" t="s">
        <v>703</v>
      </c>
      <c r="D292" t="s">
        <v>839</v>
      </c>
      <c r="E292" t="s">
        <v>843</v>
      </c>
      <c r="F292">
        <v>0</v>
      </c>
      <c r="G292">
        <v>6000</v>
      </c>
      <c r="H292">
        <v>32500</v>
      </c>
      <c r="I292">
        <f t="shared" si="532"/>
        <v>3250</v>
      </c>
      <c r="J292">
        <f t="shared" si="533"/>
        <v>3900</v>
      </c>
      <c r="K292">
        <v>0</v>
      </c>
      <c r="L292">
        <v>0</v>
      </c>
      <c r="M292">
        <f t="shared" si="534"/>
        <v>39650</v>
      </c>
      <c r="N292">
        <v>2000</v>
      </c>
      <c r="O292">
        <v>0</v>
      </c>
      <c r="P292">
        <f t="shared" si="535"/>
        <v>150</v>
      </c>
      <c r="Q292">
        <f t="shared" si="536"/>
        <v>37500</v>
      </c>
      <c r="R292">
        <v>32500</v>
      </c>
      <c r="S292">
        <f t="shared" si="537"/>
        <v>3250</v>
      </c>
      <c r="T292">
        <f t="shared" si="538"/>
        <v>3900</v>
      </c>
      <c r="U292">
        <v>0</v>
      </c>
      <c r="V292">
        <v>0</v>
      </c>
      <c r="W292">
        <f t="shared" si="539"/>
        <v>39650</v>
      </c>
      <c r="X292">
        <v>2000</v>
      </c>
      <c r="Y292">
        <v>0</v>
      </c>
      <c r="Z292">
        <f t="shared" si="540"/>
        <v>150</v>
      </c>
      <c r="AA292">
        <f t="shared" si="541"/>
        <v>37500</v>
      </c>
      <c r="AB292">
        <v>32500</v>
      </c>
      <c r="AC292">
        <f t="shared" si="542"/>
        <v>4550</v>
      </c>
      <c r="AD292">
        <f t="shared" si="543"/>
        <v>3900</v>
      </c>
      <c r="AE292">
        <v>0</v>
      </c>
      <c r="AF292">
        <v>0</v>
      </c>
      <c r="AG292">
        <f t="shared" si="544"/>
        <v>40950</v>
      </c>
      <c r="AH292">
        <v>2000</v>
      </c>
      <c r="AI292">
        <v>0</v>
      </c>
      <c r="AJ292">
        <f t="shared" si="545"/>
        <v>200</v>
      </c>
      <c r="AK292">
        <f t="shared" si="546"/>
        <v>38750</v>
      </c>
      <c r="AL292">
        <v>32500</v>
      </c>
      <c r="AM292">
        <f t="shared" si="547"/>
        <v>4550</v>
      </c>
      <c r="AN292">
        <f t="shared" si="548"/>
        <v>3900</v>
      </c>
      <c r="AO292">
        <v>0</v>
      </c>
      <c r="AP292">
        <v>0</v>
      </c>
      <c r="AQ292">
        <f t="shared" si="549"/>
        <v>40950</v>
      </c>
      <c r="AR292">
        <v>2000</v>
      </c>
      <c r="AS292">
        <v>0</v>
      </c>
      <c r="AT292">
        <f t="shared" si="550"/>
        <v>200</v>
      </c>
      <c r="AU292">
        <f t="shared" si="551"/>
        <v>38750</v>
      </c>
      <c r="AV292">
        <v>33500</v>
      </c>
      <c r="AW292">
        <f t="shared" si="552"/>
        <v>4690</v>
      </c>
      <c r="AX292">
        <f t="shared" si="553"/>
        <v>1300</v>
      </c>
      <c r="AY292">
        <f t="shared" si="554"/>
        <v>4020</v>
      </c>
      <c r="AZ292">
        <v>0</v>
      </c>
      <c r="BA292">
        <v>0</v>
      </c>
      <c r="BB292">
        <f t="shared" si="555"/>
        <v>43510</v>
      </c>
      <c r="BC292">
        <v>2500</v>
      </c>
      <c r="BD292">
        <v>0</v>
      </c>
      <c r="BE292">
        <f t="shared" si="556"/>
        <v>200</v>
      </c>
      <c r="BF292">
        <f t="shared" si="557"/>
        <v>40810</v>
      </c>
      <c r="BG292">
        <v>33500</v>
      </c>
      <c r="BH292">
        <f t="shared" si="558"/>
        <v>4690</v>
      </c>
      <c r="BI292">
        <f t="shared" si="559"/>
        <v>4020</v>
      </c>
      <c r="BJ292">
        <v>0</v>
      </c>
      <c r="BK292">
        <v>0</v>
      </c>
      <c r="BL292">
        <f t="shared" si="560"/>
        <v>42210</v>
      </c>
      <c r="BM292">
        <v>2500</v>
      </c>
      <c r="BN292">
        <v>0</v>
      </c>
      <c r="BO292">
        <f t="shared" si="561"/>
        <v>200</v>
      </c>
      <c r="BP292">
        <f t="shared" si="562"/>
        <v>39510</v>
      </c>
      <c r="BQ292">
        <v>33500</v>
      </c>
      <c r="BR292">
        <f t="shared" si="563"/>
        <v>4690</v>
      </c>
      <c r="BS292">
        <f t="shared" si="564"/>
        <v>4020</v>
      </c>
      <c r="BT292">
        <v>0</v>
      </c>
      <c r="BU292">
        <v>0</v>
      </c>
      <c r="BV292">
        <f t="shared" si="565"/>
        <v>42210</v>
      </c>
      <c r="BW292">
        <v>2500</v>
      </c>
      <c r="BX292">
        <v>0</v>
      </c>
      <c r="BY292">
        <f t="shared" si="566"/>
        <v>200</v>
      </c>
      <c r="BZ292">
        <f t="shared" si="567"/>
        <v>39510</v>
      </c>
      <c r="CA292">
        <v>33500</v>
      </c>
      <c r="CB292">
        <f t="shared" si="568"/>
        <v>4690</v>
      </c>
      <c r="CC292">
        <f t="shared" si="569"/>
        <v>4020</v>
      </c>
      <c r="CD292">
        <v>0</v>
      </c>
      <c r="CE292">
        <v>0</v>
      </c>
      <c r="CF292">
        <f t="shared" si="570"/>
        <v>42210</v>
      </c>
      <c r="CG292">
        <v>2500</v>
      </c>
      <c r="CH292">
        <v>0</v>
      </c>
      <c r="CI292">
        <f t="shared" si="571"/>
        <v>200</v>
      </c>
      <c r="CJ292">
        <f t="shared" si="572"/>
        <v>39510</v>
      </c>
      <c r="CK292">
        <v>33500</v>
      </c>
      <c r="CL292">
        <f t="shared" si="573"/>
        <v>4690</v>
      </c>
      <c r="CM292">
        <f t="shared" si="574"/>
        <v>4020</v>
      </c>
      <c r="CN292">
        <v>0</v>
      </c>
      <c r="CO292">
        <v>0</v>
      </c>
      <c r="CP292">
        <f t="shared" si="575"/>
        <v>42210</v>
      </c>
      <c r="CQ292">
        <v>2500</v>
      </c>
      <c r="CR292">
        <v>0</v>
      </c>
      <c r="CS292">
        <f t="shared" si="576"/>
        <v>200</v>
      </c>
      <c r="CT292">
        <f t="shared" si="577"/>
        <v>39510</v>
      </c>
      <c r="CU292">
        <v>33500</v>
      </c>
      <c r="CV292">
        <f t="shared" si="578"/>
        <v>4690</v>
      </c>
      <c r="CW292">
        <f t="shared" si="579"/>
        <v>4020</v>
      </c>
      <c r="CX292">
        <v>0</v>
      </c>
      <c r="CY292">
        <v>0</v>
      </c>
      <c r="CZ292">
        <f t="shared" si="580"/>
        <v>42210</v>
      </c>
      <c r="DA292">
        <v>2500</v>
      </c>
      <c r="DB292">
        <v>0</v>
      </c>
      <c r="DC292">
        <f t="shared" si="581"/>
        <v>200</v>
      </c>
      <c r="DD292">
        <f t="shared" si="582"/>
        <v>39510</v>
      </c>
      <c r="DE292">
        <v>33500</v>
      </c>
      <c r="DF292">
        <f t="shared" si="583"/>
        <v>4690</v>
      </c>
      <c r="DG292">
        <f t="shared" si="584"/>
        <v>4020</v>
      </c>
      <c r="DH292">
        <v>0</v>
      </c>
      <c r="DI292">
        <v>0</v>
      </c>
      <c r="DJ292">
        <f t="shared" si="585"/>
        <v>42210</v>
      </c>
      <c r="DK292">
        <v>2500</v>
      </c>
      <c r="DL292">
        <v>0</v>
      </c>
      <c r="DM292">
        <f t="shared" si="586"/>
        <v>200</v>
      </c>
      <c r="DN292">
        <f t="shared" si="587"/>
        <v>39510</v>
      </c>
      <c r="DO292">
        <v>33500</v>
      </c>
      <c r="DP292">
        <f t="shared" si="588"/>
        <v>4690</v>
      </c>
      <c r="DQ292">
        <f t="shared" si="589"/>
        <v>4020</v>
      </c>
      <c r="DR292">
        <v>0</v>
      </c>
      <c r="DS292">
        <v>0</v>
      </c>
      <c r="DT292">
        <f t="shared" si="590"/>
        <v>42210</v>
      </c>
      <c r="DU292">
        <v>2500</v>
      </c>
      <c r="DV292">
        <v>0</v>
      </c>
      <c r="DW292">
        <f t="shared" si="591"/>
        <v>200</v>
      </c>
      <c r="DX292">
        <f t="shared" si="592"/>
        <v>39510</v>
      </c>
      <c r="DY292">
        <f t="shared" si="593"/>
        <v>506180</v>
      </c>
      <c r="DZ292">
        <f t="shared" si="525"/>
        <v>2300</v>
      </c>
      <c r="EA292">
        <f t="shared" si="526"/>
        <v>50000</v>
      </c>
      <c r="EB292">
        <v>0</v>
      </c>
      <c r="EC292">
        <f t="shared" si="527"/>
        <v>453880</v>
      </c>
      <c r="ED292">
        <f t="shared" si="528"/>
        <v>28000</v>
      </c>
      <c r="EE292">
        <f t="shared" si="529"/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f t="shared" si="530"/>
        <v>28000</v>
      </c>
      <c r="EQ292">
        <f t="shared" si="594"/>
        <v>28000</v>
      </c>
      <c r="ER292">
        <f t="shared" si="531"/>
        <v>425880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f t="shared" si="595"/>
        <v>0</v>
      </c>
      <c r="FA292">
        <f t="shared" si="596"/>
        <v>425880</v>
      </c>
      <c r="FB292">
        <f t="shared" si="597"/>
        <v>8794</v>
      </c>
      <c r="FC292">
        <f t="shared" si="598"/>
        <v>0</v>
      </c>
      <c r="FD292">
        <f t="shared" si="599"/>
        <v>8794</v>
      </c>
      <c r="FE292">
        <f t="shared" si="600"/>
        <v>0</v>
      </c>
      <c r="FF292">
        <f t="shared" si="601"/>
        <v>0</v>
      </c>
      <c r="FG292">
        <f t="shared" si="602"/>
        <v>0</v>
      </c>
      <c r="FH292">
        <v>0</v>
      </c>
      <c r="FI292">
        <f t="shared" si="603"/>
        <v>0</v>
      </c>
      <c r="FJ292" t="b">
        <f t="shared" si="604"/>
        <v>1</v>
      </c>
      <c r="FK292">
        <f t="shared" ca="1" si="605"/>
        <v>873</v>
      </c>
      <c r="FL292">
        <f t="shared" ca="1" si="606"/>
        <v>507053</v>
      </c>
      <c r="FM292">
        <f t="shared" si="607"/>
        <v>75000</v>
      </c>
      <c r="FN292">
        <f t="shared" ca="1" si="608"/>
        <v>432053</v>
      </c>
      <c r="FO292">
        <f t="shared" ca="1" si="609"/>
        <v>0</v>
      </c>
      <c r="FP292">
        <f t="shared" ca="1" si="610"/>
        <v>0</v>
      </c>
      <c r="FQ292">
        <f t="shared" ca="1" si="611"/>
        <v>0</v>
      </c>
      <c r="FR292">
        <f t="shared" ca="1" si="612"/>
        <v>0</v>
      </c>
      <c r="FS292">
        <f t="shared" ca="1" si="613"/>
        <v>0</v>
      </c>
      <c r="FT292">
        <f t="shared" ca="1" si="614"/>
        <v>0</v>
      </c>
      <c r="FU292">
        <f t="shared" ca="1" si="615"/>
        <v>0</v>
      </c>
      <c r="FV292">
        <f t="shared" ca="1" si="616"/>
        <v>0</v>
      </c>
      <c r="FW292">
        <f t="shared" ca="1" si="617"/>
        <v>132053</v>
      </c>
      <c r="FX292">
        <f t="shared" ca="1" si="618"/>
        <v>6602.6500000000005</v>
      </c>
      <c r="FY292">
        <f t="shared" ca="1" si="619"/>
        <v>6603</v>
      </c>
      <c r="FZ292">
        <f t="shared" ca="1" si="620"/>
        <v>0</v>
      </c>
      <c r="GA292">
        <f t="shared" ca="1" si="621"/>
        <v>0</v>
      </c>
      <c r="GB292">
        <f t="shared" ca="1" si="622"/>
        <v>6603</v>
      </c>
      <c r="GC292">
        <f t="shared" ca="1" si="623"/>
        <v>0</v>
      </c>
      <c r="GD292" t="b">
        <f t="shared" ca="1" si="624"/>
        <v>0</v>
      </c>
      <c r="GE292">
        <f t="shared" ca="1" si="625"/>
        <v>0</v>
      </c>
      <c r="GF292">
        <f t="shared" ca="1" si="626"/>
        <v>6603</v>
      </c>
      <c r="GG292">
        <f t="shared" ca="1" si="627"/>
        <v>0</v>
      </c>
      <c r="GH292">
        <f t="shared" ca="1" si="628"/>
        <v>0</v>
      </c>
      <c r="GI292">
        <f t="shared" ca="1" si="629"/>
        <v>0</v>
      </c>
    </row>
    <row r="293" spans="1:191" x14ac:dyDescent="0.25">
      <c r="A293">
        <f>_xlfn.AGGREGATE(3,5,$B$2:B293)</f>
        <v>292</v>
      </c>
      <c r="B293" t="s">
        <v>704</v>
      </c>
      <c r="C293" t="s">
        <v>705</v>
      </c>
      <c r="D293" t="s">
        <v>840</v>
      </c>
      <c r="E293" t="s">
        <v>843</v>
      </c>
      <c r="F293">
        <v>0</v>
      </c>
      <c r="G293">
        <v>0</v>
      </c>
      <c r="H293">
        <v>47300</v>
      </c>
      <c r="I293">
        <f t="shared" si="532"/>
        <v>4730</v>
      </c>
      <c r="J293">
        <f t="shared" si="533"/>
        <v>5676</v>
      </c>
      <c r="K293">
        <v>400</v>
      </c>
      <c r="L293">
        <v>0</v>
      </c>
      <c r="M293">
        <f t="shared" si="534"/>
        <v>58106</v>
      </c>
      <c r="N293">
        <v>10000</v>
      </c>
      <c r="O293">
        <v>0</v>
      </c>
      <c r="P293">
        <f t="shared" si="535"/>
        <v>200</v>
      </c>
      <c r="Q293">
        <f t="shared" si="536"/>
        <v>47906</v>
      </c>
      <c r="R293">
        <v>47300</v>
      </c>
      <c r="S293">
        <f t="shared" si="537"/>
        <v>4730</v>
      </c>
      <c r="T293">
        <f t="shared" si="538"/>
        <v>5676</v>
      </c>
      <c r="U293">
        <v>400</v>
      </c>
      <c r="V293">
        <v>0</v>
      </c>
      <c r="W293">
        <f t="shared" si="539"/>
        <v>58106</v>
      </c>
      <c r="X293">
        <v>10000</v>
      </c>
      <c r="Y293">
        <v>0</v>
      </c>
      <c r="Z293">
        <f t="shared" si="540"/>
        <v>200</v>
      </c>
      <c r="AA293">
        <f t="shared" si="541"/>
        <v>47906</v>
      </c>
      <c r="AB293">
        <v>47300</v>
      </c>
      <c r="AC293">
        <f t="shared" si="542"/>
        <v>6622.0000000000009</v>
      </c>
      <c r="AD293">
        <f t="shared" si="543"/>
        <v>5676</v>
      </c>
      <c r="AE293">
        <v>400</v>
      </c>
      <c r="AF293">
        <v>0</v>
      </c>
      <c r="AG293">
        <f t="shared" si="544"/>
        <v>59998</v>
      </c>
      <c r="AH293">
        <v>10000</v>
      </c>
      <c r="AI293">
        <v>0</v>
      </c>
      <c r="AJ293">
        <f t="shared" si="545"/>
        <v>200</v>
      </c>
      <c r="AK293">
        <f t="shared" si="546"/>
        <v>49798</v>
      </c>
      <c r="AL293">
        <v>47300</v>
      </c>
      <c r="AM293">
        <f t="shared" si="547"/>
        <v>6622.0000000000009</v>
      </c>
      <c r="AN293">
        <f t="shared" si="548"/>
        <v>5676</v>
      </c>
      <c r="AO293">
        <v>400</v>
      </c>
      <c r="AP293">
        <v>0</v>
      </c>
      <c r="AQ293">
        <f t="shared" si="549"/>
        <v>59998</v>
      </c>
      <c r="AR293">
        <v>10000</v>
      </c>
      <c r="AS293">
        <v>0</v>
      </c>
      <c r="AT293">
        <f t="shared" si="550"/>
        <v>200</v>
      </c>
      <c r="AU293">
        <f t="shared" si="551"/>
        <v>49798</v>
      </c>
      <c r="AV293">
        <v>48700</v>
      </c>
      <c r="AW293">
        <f t="shared" si="552"/>
        <v>6818.0000000000009</v>
      </c>
      <c r="AX293">
        <f t="shared" si="553"/>
        <v>1892</v>
      </c>
      <c r="AY293">
        <f t="shared" si="554"/>
        <v>5844</v>
      </c>
      <c r="AZ293">
        <v>400</v>
      </c>
      <c r="BA293">
        <v>0</v>
      </c>
      <c r="BB293">
        <f t="shared" si="555"/>
        <v>63654</v>
      </c>
      <c r="BC293">
        <v>10000</v>
      </c>
      <c r="BD293">
        <v>0</v>
      </c>
      <c r="BE293">
        <f t="shared" si="556"/>
        <v>200</v>
      </c>
      <c r="BF293">
        <f t="shared" si="557"/>
        <v>53454</v>
      </c>
      <c r="BG293">
        <v>48700</v>
      </c>
      <c r="BH293">
        <f t="shared" si="558"/>
        <v>6818.0000000000009</v>
      </c>
      <c r="BI293">
        <f t="shared" si="559"/>
        <v>5844</v>
      </c>
      <c r="BJ293">
        <v>400</v>
      </c>
      <c r="BK293">
        <v>0</v>
      </c>
      <c r="BL293">
        <f t="shared" si="560"/>
        <v>61762</v>
      </c>
      <c r="BM293">
        <v>10000</v>
      </c>
      <c r="BN293">
        <v>0</v>
      </c>
      <c r="BO293">
        <f t="shared" si="561"/>
        <v>200</v>
      </c>
      <c r="BP293">
        <f t="shared" si="562"/>
        <v>51562</v>
      </c>
      <c r="BQ293">
        <v>48700</v>
      </c>
      <c r="BR293">
        <f t="shared" si="563"/>
        <v>6818.0000000000009</v>
      </c>
      <c r="BS293">
        <f t="shared" si="564"/>
        <v>5844</v>
      </c>
      <c r="BT293">
        <v>400</v>
      </c>
      <c r="BU293">
        <v>0</v>
      </c>
      <c r="BV293">
        <f t="shared" si="565"/>
        <v>61762</v>
      </c>
      <c r="BW293">
        <v>10000</v>
      </c>
      <c r="BX293">
        <v>0</v>
      </c>
      <c r="BY293">
        <f t="shared" si="566"/>
        <v>200</v>
      </c>
      <c r="BZ293">
        <f t="shared" si="567"/>
        <v>51562</v>
      </c>
      <c r="CA293">
        <v>48700</v>
      </c>
      <c r="CB293">
        <f t="shared" si="568"/>
        <v>6818.0000000000009</v>
      </c>
      <c r="CC293">
        <f t="shared" si="569"/>
        <v>5844</v>
      </c>
      <c r="CD293">
        <v>400</v>
      </c>
      <c r="CE293">
        <v>0</v>
      </c>
      <c r="CF293">
        <f t="shared" si="570"/>
        <v>61762</v>
      </c>
      <c r="CG293">
        <v>10000</v>
      </c>
      <c r="CH293">
        <v>0</v>
      </c>
      <c r="CI293">
        <f t="shared" si="571"/>
        <v>200</v>
      </c>
      <c r="CJ293">
        <f t="shared" si="572"/>
        <v>51562</v>
      </c>
      <c r="CK293">
        <v>48700</v>
      </c>
      <c r="CL293">
        <f t="shared" si="573"/>
        <v>6818.0000000000009</v>
      </c>
      <c r="CM293">
        <f t="shared" si="574"/>
        <v>5844</v>
      </c>
      <c r="CN293">
        <v>400</v>
      </c>
      <c r="CO293">
        <v>0</v>
      </c>
      <c r="CP293">
        <f t="shared" si="575"/>
        <v>61762</v>
      </c>
      <c r="CQ293">
        <v>10000</v>
      </c>
      <c r="CR293">
        <v>0</v>
      </c>
      <c r="CS293">
        <f t="shared" si="576"/>
        <v>200</v>
      </c>
      <c r="CT293">
        <f t="shared" si="577"/>
        <v>51562</v>
      </c>
      <c r="CU293">
        <v>48700</v>
      </c>
      <c r="CV293">
        <f t="shared" si="578"/>
        <v>6818</v>
      </c>
      <c r="CW293">
        <f t="shared" si="579"/>
        <v>5844</v>
      </c>
      <c r="CX293">
        <v>400</v>
      </c>
      <c r="CY293">
        <v>0</v>
      </c>
      <c r="CZ293">
        <f t="shared" si="580"/>
        <v>61762</v>
      </c>
      <c r="DA293">
        <v>10000</v>
      </c>
      <c r="DB293">
        <v>0</v>
      </c>
      <c r="DC293">
        <f t="shared" si="581"/>
        <v>200</v>
      </c>
      <c r="DD293">
        <f t="shared" si="582"/>
        <v>51562</v>
      </c>
      <c r="DE293">
        <v>48700</v>
      </c>
      <c r="DF293">
        <f t="shared" si="583"/>
        <v>6818.0000000000009</v>
      </c>
      <c r="DG293">
        <f t="shared" si="584"/>
        <v>5844</v>
      </c>
      <c r="DH293">
        <v>400</v>
      </c>
      <c r="DI293">
        <v>0</v>
      </c>
      <c r="DJ293">
        <f t="shared" si="585"/>
        <v>61762</v>
      </c>
      <c r="DK293">
        <v>10000</v>
      </c>
      <c r="DL293">
        <v>0</v>
      </c>
      <c r="DM293">
        <f t="shared" si="586"/>
        <v>200</v>
      </c>
      <c r="DN293">
        <f t="shared" si="587"/>
        <v>51562</v>
      </c>
      <c r="DO293">
        <v>48700</v>
      </c>
      <c r="DP293">
        <f t="shared" si="588"/>
        <v>6818.0000000000009</v>
      </c>
      <c r="DQ293">
        <f t="shared" si="589"/>
        <v>5844</v>
      </c>
      <c r="DR293">
        <v>400</v>
      </c>
      <c r="DS293">
        <v>0</v>
      </c>
      <c r="DT293">
        <f t="shared" si="590"/>
        <v>61762</v>
      </c>
      <c r="DU293">
        <v>10000</v>
      </c>
      <c r="DV293">
        <v>0</v>
      </c>
      <c r="DW293">
        <f t="shared" si="591"/>
        <v>200</v>
      </c>
      <c r="DX293">
        <f t="shared" si="592"/>
        <v>51562</v>
      </c>
      <c r="DY293">
        <f t="shared" si="593"/>
        <v>732196</v>
      </c>
      <c r="DZ293">
        <f t="shared" si="525"/>
        <v>2400</v>
      </c>
      <c r="EA293">
        <f t="shared" si="526"/>
        <v>50000</v>
      </c>
      <c r="EB293">
        <v>0</v>
      </c>
      <c r="EC293">
        <f t="shared" si="527"/>
        <v>679796</v>
      </c>
      <c r="ED293">
        <f t="shared" si="528"/>
        <v>120000</v>
      </c>
      <c r="EE293">
        <f t="shared" si="529"/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f t="shared" si="530"/>
        <v>120000</v>
      </c>
      <c r="EQ293">
        <f t="shared" si="594"/>
        <v>120000</v>
      </c>
      <c r="ER293">
        <f t="shared" si="531"/>
        <v>559796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f t="shared" si="595"/>
        <v>0</v>
      </c>
      <c r="FA293">
        <f t="shared" si="596"/>
        <v>559796</v>
      </c>
      <c r="FB293">
        <f t="shared" si="597"/>
        <v>12500</v>
      </c>
      <c r="FC293">
        <f t="shared" si="598"/>
        <v>11959</v>
      </c>
      <c r="FD293">
        <f t="shared" si="599"/>
        <v>24459</v>
      </c>
      <c r="FE293">
        <f t="shared" si="600"/>
        <v>24459</v>
      </c>
      <c r="FF293">
        <f t="shared" si="601"/>
        <v>978.36</v>
      </c>
      <c r="FG293">
        <f t="shared" si="602"/>
        <v>25437</v>
      </c>
      <c r="FH293">
        <v>0</v>
      </c>
      <c r="FI293">
        <f t="shared" si="603"/>
        <v>25437</v>
      </c>
      <c r="FJ293" t="b">
        <f t="shared" si="604"/>
        <v>1</v>
      </c>
      <c r="FK293">
        <f t="shared" ca="1" si="605"/>
        <v>947</v>
      </c>
      <c r="FL293">
        <f t="shared" ca="1" si="606"/>
        <v>733143</v>
      </c>
      <c r="FM293">
        <f t="shared" si="607"/>
        <v>75000</v>
      </c>
      <c r="FN293">
        <f t="shared" ca="1" si="608"/>
        <v>658143</v>
      </c>
      <c r="FO293">
        <f t="shared" ca="1" si="609"/>
        <v>0</v>
      </c>
      <c r="FP293">
        <f t="shared" ca="1" si="610"/>
        <v>0</v>
      </c>
      <c r="FQ293">
        <f t="shared" ca="1" si="611"/>
        <v>0</v>
      </c>
      <c r="FR293">
        <f t="shared" ca="1" si="612"/>
        <v>0</v>
      </c>
      <c r="FS293">
        <f t="shared" ca="1" si="613"/>
        <v>0</v>
      </c>
      <c r="FT293">
        <f t="shared" ca="1" si="614"/>
        <v>0</v>
      </c>
      <c r="FU293">
        <f t="shared" ca="1" si="615"/>
        <v>0</v>
      </c>
      <c r="FV293">
        <f t="shared" ca="1" si="616"/>
        <v>0</v>
      </c>
      <c r="FW293">
        <f t="shared" ca="1" si="617"/>
        <v>358143</v>
      </c>
      <c r="FX293">
        <f t="shared" ca="1" si="618"/>
        <v>17907.150000000001</v>
      </c>
      <c r="FY293">
        <f t="shared" ca="1" si="619"/>
        <v>17907</v>
      </c>
      <c r="FZ293">
        <f t="shared" ca="1" si="620"/>
        <v>0</v>
      </c>
      <c r="GA293">
        <f t="shared" ca="1" si="621"/>
        <v>0</v>
      </c>
      <c r="GB293">
        <f t="shared" ca="1" si="622"/>
        <v>17907</v>
      </c>
      <c r="GC293">
        <f t="shared" ca="1" si="623"/>
        <v>0</v>
      </c>
      <c r="GD293" t="b">
        <f t="shared" ca="1" si="624"/>
        <v>0</v>
      </c>
      <c r="GE293">
        <f t="shared" ca="1" si="625"/>
        <v>0</v>
      </c>
      <c r="GF293">
        <f t="shared" ca="1" si="626"/>
        <v>17907</v>
      </c>
      <c r="GG293">
        <f t="shared" ca="1" si="627"/>
        <v>0</v>
      </c>
      <c r="GH293">
        <f t="shared" ca="1" si="628"/>
        <v>0</v>
      </c>
      <c r="GI293">
        <f t="shared" ca="1" si="629"/>
        <v>0</v>
      </c>
    </row>
    <row r="294" spans="1:191" x14ac:dyDescent="0.25">
      <c r="A294">
        <f>_xlfn.AGGREGATE(3,5,$B$2:B294)</f>
        <v>293</v>
      </c>
      <c r="B294" t="s">
        <v>706</v>
      </c>
      <c r="C294" t="s">
        <v>707</v>
      </c>
      <c r="D294" t="s">
        <v>840</v>
      </c>
      <c r="E294" t="s">
        <v>843</v>
      </c>
      <c r="F294">
        <v>0</v>
      </c>
      <c r="G294">
        <v>6000</v>
      </c>
      <c r="H294">
        <v>32500</v>
      </c>
      <c r="I294">
        <f t="shared" si="532"/>
        <v>3250</v>
      </c>
      <c r="J294">
        <f t="shared" si="533"/>
        <v>3900</v>
      </c>
      <c r="K294">
        <v>0</v>
      </c>
      <c r="L294">
        <v>500</v>
      </c>
      <c r="M294">
        <f t="shared" si="534"/>
        <v>40150</v>
      </c>
      <c r="N294">
        <v>3000</v>
      </c>
      <c r="O294">
        <v>0</v>
      </c>
      <c r="P294">
        <f t="shared" si="535"/>
        <v>200</v>
      </c>
      <c r="Q294">
        <f t="shared" si="536"/>
        <v>36950</v>
      </c>
      <c r="R294">
        <v>32500</v>
      </c>
      <c r="S294">
        <f t="shared" si="537"/>
        <v>3250</v>
      </c>
      <c r="T294">
        <f t="shared" si="538"/>
        <v>3900</v>
      </c>
      <c r="U294">
        <v>0</v>
      </c>
      <c r="V294">
        <v>500</v>
      </c>
      <c r="W294">
        <f t="shared" si="539"/>
        <v>40150</v>
      </c>
      <c r="X294">
        <v>3000</v>
      </c>
      <c r="Y294">
        <v>0</v>
      </c>
      <c r="Z294">
        <f t="shared" si="540"/>
        <v>200</v>
      </c>
      <c r="AA294">
        <f t="shared" si="541"/>
        <v>36950</v>
      </c>
      <c r="AB294">
        <v>32500</v>
      </c>
      <c r="AC294">
        <f t="shared" si="542"/>
        <v>4550</v>
      </c>
      <c r="AD294">
        <f t="shared" si="543"/>
        <v>3900</v>
      </c>
      <c r="AE294">
        <v>0</v>
      </c>
      <c r="AF294">
        <v>500</v>
      </c>
      <c r="AG294">
        <f t="shared" si="544"/>
        <v>41450</v>
      </c>
      <c r="AH294">
        <v>3000</v>
      </c>
      <c r="AI294">
        <v>0</v>
      </c>
      <c r="AJ294">
        <f t="shared" si="545"/>
        <v>200</v>
      </c>
      <c r="AK294">
        <f t="shared" si="546"/>
        <v>38250</v>
      </c>
      <c r="AL294">
        <v>32500</v>
      </c>
      <c r="AM294">
        <f t="shared" si="547"/>
        <v>4550</v>
      </c>
      <c r="AN294">
        <f t="shared" si="548"/>
        <v>3900</v>
      </c>
      <c r="AO294">
        <v>0</v>
      </c>
      <c r="AP294">
        <v>500</v>
      </c>
      <c r="AQ294">
        <f t="shared" si="549"/>
        <v>41450</v>
      </c>
      <c r="AR294">
        <v>3000</v>
      </c>
      <c r="AS294">
        <v>0</v>
      </c>
      <c r="AT294">
        <f t="shared" si="550"/>
        <v>200</v>
      </c>
      <c r="AU294">
        <f t="shared" si="551"/>
        <v>38250</v>
      </c>
      <c r="AV294">
        <v>33500</v>
      </c>
      <c r="AW294">
        <f t="shared" si="552"/>
        <v>4690</v>
      </c>
      <c r="AX294">
        <f t="shared" si="553"/>
        <v>1300</v>
      </c>
      <c r="AY294">
        <f t="shared" si="554"/>
        <v>4020</v>
      </c>
      <c r="AZ294">
        <v>0</v>
      </c>
      <c r="BA294">
        <v>500</v>
      </c>
      <c r="BB294">
        <f t="shared" si="555"/>
        <v>44010</v>
      </c>
      <c r="BC294">
        <v>3000</v>
      </c>
      <c r="BD294">
        <v>0</v>
      </c>
      <c r="BE294">
        <f t="shared" si="556"/>
        <v>200</v>
      </c>
      <c r="BF294">
        <f t="shared" si="557"/>
        <v>40810</v>
      </c>
      <c r="BG294">
        <v>33500</v>
      </c>
      <c r="BH294">
        <f t="shared" si="558"/>
        <v>4690</v>
      </c>
      <c r="BI294">
        <f t="shared" si="559"/>
        <v>4020</v>
      </c>
      <c r="BJ294">
        <v>0</v>
      </c>
      <c r="BK294">
        <v>500</v>
      </c>
      <c r="BL294">
        <f t="shared" si="560"/>
        <v>42710</v>
      </c>
      <c r="BM294">
        <v>3000</v>
      </c>
      <c r="BN294">
        <v>0</v>
      </c>
      <c r="BO294">
        <f t="shared" si="561"/>
        <v>200</v>
      </c>
      <c r="BP294">
        <f t="shared" si="562"/>
        <v>39510</v>
      </c>
      <c r="BQ294">
        <v>33500</v>
      </c>
      <c r="BR294">
        <f t="shared" si="563"/>
        <v>4690</v>
      </c>
      <c r="BS294">
        <f t="shared" si="564"/>
        <v>4020</v>
      </c>
      <c r="BT294">
        <v>0</v>
      </c>
      <c r="BU294">
        <v>500</v>
      </c>
      <c r="BV294">
        <f t="shared" si="565"/>
        <v>42710</v>
      </c>
      <c r="BW294">
        <v>3000</v>
      </c>
      <c r="BX294">
        <v>0</v>
      </c>
      <c r="BY294">
        <f t="shared" si="566"/>
        <v>200</v>
      </c>
      <c r="BZ294">
        <f t="shared" si="567"/>
        <v>39510</v>
      </c>
      <c r="CA294">
        <v>33500</v>
      </c>
      <c r="CB294">
        <f t="shared" si="568"/>
        <v>4690</v>
      </c>
      <c r="CC294">
        <f t="shared" si="569"/>
        <v>4020</v>
      </c>
      <c r="CD294">
        <v>0</v>
      </c>
      <c r="CE294">
        <v>500</v>
      </c>
      <c r="CF294">
        <f t="shared" si="570"/>
        <v>42710</v>
      </c>
      <c r="CG294">
        <v>3000</v>
      </c>
      <c r="CH294">
        <v>0</v>
      </c>
      <c r="CI294">
        <f t="shared" si="571"/>
        <v>200</v>
      </c>
      <c r="CJ294">
        <f t="shared" si="572"/>
        <v>39510</v>
      </c>
      <c r="CK294">
        <v>33500</v>
      </c>
      <c r="CL294">
        <f t="shared" si="573"/>
        <v>4690</v>
      </c>
      <c r="CM294">
        <f t="shared" si="574"/>
        <v>4020</v>
      </c>
      <c r="CN294">
        <v>0</v>
      </c>
      <c r="CO294">
        <v>500</v>
      </c>
      <c r="CP294">
        <f t="shared" si="575"/>
        <v>42710</v>
      </c>
      <c r="CQ294">
        <v>3000</v>
      </c>
      <c r="CR294">
        <v>0</v>
      </c>
      <c r="CS294">
        <f t="shared" si="576"/>
        <v>200</v>
      </c>
      <c r="CT294">
        <f t="shared" si="577"/>
        <v>39510</v>
      </c>
      <c r="CU294">
        <v>33500</v>
      </c>
      <c r="CV294">
        <f t="shared" si="578"/>
        <v>4690</v>
      </c>
      <c r="CW294">
        <f t="shared" si="579"/>
        <v>4020</v>
      </c>
      <c r="CX294">
        <v>0</v>
      </c>
      <c r="CY294">
        <v>500</v>
      </c>
      <c r="CZ294">
        <f t="shared" si="580"/>
        <v>42710</v>
      </c>
      <c r="DA294">
        <v>3000</v>
      </c>
      <c r="DB294">
        <v>0</v>
      </c>
      <c r="DC294">
        <f t="shared" si="581"/>
        <v>200</v>
      </c>
      <c r="DD294">
        <f t="shared" si="582"/>
        <v>39510</v>
      </c>
      <c r="DE294">
        <v>33500</v>
      </c>
      <c r="DF294">
        <f t="shared" si="583"/>
        <v>4690</v>
      </c>
      <c r="DG294">
        <f t="shared" si="584"/>
        <v>4020</v>
      </c>
      <c r="DH294">
        <v>0</v>
      </c>
      <c r="DI294">
        <v>500</v>
      </c>
      <c r="DJ294">
        <f t="shared" si="585"/>
        <v>42710</v>
      </c>
      <c r="DK294">
        <v>3000</v>
      </c>
      <c r="DL294">
        <v>0</v>
      </c>
      <c r="DM294">
        <f t="shared" si="586"/>
        <v>200</v>
      </c>
      <c r="DN294">
        <f t="shared" si="587"/>
        <v>39510</v>
      </c>
      <c r="DO294">
        <v>33500</v>
      </c>
      <c r="DP294">
        <f t="shared" si="588"/>
        <v>4690</v>
      </c>
      <c r="DQ294">
        <f t="shared" si="589"/>
        <v>4020</v>
      </c>
      <c r="DR294">
        <v>0</v>
      </c>
      <c r="DS294">
        <v>500</v>
      </c>
      <c r="DT294">
        <f t="shared" si="590"/>
        <v>42710</v>
      </c>
      <c r="DU294">
        <v>3000</v>
      </c>
      <c r="DV294">
        <v>0</v>
      </c>
      <c r="DW294">
        <f t="shared" si="591"/>
        <v>200</v>
      </c>
      <c r="DX294">
        <f t="shared" si="592"/>
        <v>39510</v>
      </c>
      <c r="DY294">
        <f t="shared" si="593"/>
        <v>512180</v>
      </c>
      <c r="DZ294">
        <f t="shared" si="525"/>
        <v>2400</v>
      </c>
      <c r="EA294">
        <f t="shared" si="526"/>
        <v>50000</v>
      </c>
      <c r="EB294">
        <v>0</v>
      </c>
      <c r="EC294">
        <f t="shared" si="527"/>
        <v>459780</v>
      </c>
      <c r="ED294">
        <f t="shared" si="528"/>
        <v>36000</v>
      </c>
      <c r="EE294">
        <f t="shared" si="529"/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f t="shared" si="530"/>
        <v>36000</v>
      </c>
      <c r="EQ294">
        <f t="shared" si="594"/>
        <v>36000</v>
      </c>
      <c r="ER294">
        <f t="shared" si="531"/>
        <v>423780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f t="shared" si="595"/>
        <v>0</v>
      </c>
      <c r="FA294">
        <f t="shared" si="596"/>
        <v>423780</v>
      </c>
      <c r="FB294">
        <f t="shared" si="597"/>
        <v>8689</v>
      </c>
      <c r="FC294">
        <f t="shared" si="598"/>
        <v>0</v>
      </c>
      <c r="FD294">
        <f t="shared" si="599"/>
        <v>8689</v>
      </c>
      <c r="FE294">
        <f t="shared" si="600"/>
        <v>0</v>
      </c>
      <c r="FF294">
        <f t="shared" si="601"/>
        <v>0</v>
      </c>
      <c r="FG294">
        <f t="shared" si="602"/>
        <v>0</v>
      </c>
      <c r="FH294">
        <v>0</v>
      </c>
      <c r="FI294">
        <f t="shared" si="603"/>
        <v>0</v>
      </c>
      <c r="FJ294" t="b">
        <f t="shared" si="604"/>
        <v>1</v>
      </c>
      <c r="FK294">
        <f t="shared" ca="1" si="605"/>
        <v>580</v>
      </c>
      <c r="FL294">
        <f t="shared" ca="1" si="606"/>
        <v>512760</v>
      </c>
      <c r="FM294">
        <f t="shared" si="607"/>
        <v>75000</v>
      </c>
      <c r="FN294">
        <f t="shared" ca="1" si="608"/>
        <v>437760</v>
      </c>
      <c r="FO294">
        <f t="shared" ca="1" si="609"/>
        <v>0</v>
      </c>
      <c r="FP294">
        <f t="shared" ca="1" si="610"/>
        <v>0</v>
      </c>
      <c r="FQ294">
        <f t="shared" ca="1" si="611"/>
        <v>0</v>
      </c>
      <c r="FR294">
        <f t="shared" ca="1" si="612"/>
        <v>0</v>
      </c>
      <c r="FS294">
        <f t="shared" ca="1" si="613"/>
        <v>0</v>
      </c>
      <c r="FT294">
        <f t="shared" ca="1" si="614"/>
        <v>0</v>
      </c>
      <c r="FU294">
        <f t="shared" ca="1" si="615"/>
        <v>0</v>
      </c>
      <c r="FV294">
        <f t="shared" ca="1" si="616"/>
        <v>0</v>
      </c>
      <c r="FW294">
        <f t="shared" ca="1" si="617"/>
        <v>137760</v>
      </c>
      <c r="FX294">
        <f t="shared" ca="1" si="618"/>
        <v>6888</v>
      </c>
      <c r="FY294">
        <f t="shared" ca="1" si="619"/>
        <v>6888</v>
      </c>
      <c r="FZ294">
        <f t="shared" ca="1" si="620"/>
        <v>0</v>
      </c>
      <c r="GA294">
        <f t="shared" ca="1" si="621"/>
        <v>0</v>
      </c>
      <c r="GB294">
        <f t="shared" ca="1" si="622"/>
        <v>6888</v>
      </c>
      <c r="GC294">
        <f t="shared" ca="1" si="623"/>
        <v>0</v>
      </c>
      <c r="GD294" t="b">
        <f t="shared" ca="1" si="624"/>
        <v>0</v>
      </c>
      <c r="GE294">
        <f t="shared" ca="1" si="625"/>
        <v>0</v>
      </c>
      <c r="GF294">
        <f t="shared" ca="1" si="626"/>
        <v>6888</v>
      </c>
      <c r="GG294">
        <f t="shared" ca="1" si="627"/>
        <v>0</v>
      </c>
      <c r="GH294">
        <f t="shared" ca="1" si="628"/>
        <v>0</v>
      </c>
      <c r="GI294">
        <f t="shared" ca="1" si="629"/>
        <v>0</v>
      </c>
    </row>
    <row r="295" spans="1:191" x14ac:dyDescent="0.25">
      <c r="A295">
        <f>_xlfn.AGGREGATE(3,5,$B$2:B295)</f>
        <v>294</v>
      </c>
      <c r="B295" t="s">
        <v>708</v>
      </c>
      <c r="C295" t="s">
        <v>709</v>
      </c>
      <c r="D295" t="s">
        <v>840</v>
      </c>
      <c r="E295" t="s">
        <v>843</v>
      </c>
      <c r="F295">
        <v>0</v>
      </c>
      <c r="G295">
        <v>6000</v>
      </c>
      <c r="H295">
        <v>32500</v>
      </c>
      <c r="I295">
        <f t="shared" si="532"/>
        <v>3250</v>
      </c>
      <c r="J295">
        <f t="shared" si="533"/>
        <v>3900</v>
      </c>
      <c r="K295">
        <v>0</v>
      </c>
      <c r="L295">
        <v>500</v>
      </c>
      <c r="M295">
        <f t="shared" si="534"/>
        <v>40150</v>
      </c>
      <c r="N295">
        <v>5000</v>
      </c>
      <c r="O295">
        <v>0</v>
      </c>
      <c r="P295">
        <f t="shared" si="535"/>
        <v>200</v>
      </c>
      <c r="Q295">
        <f t="shared" si="536"/>
        <v>34950</v>
      </c>
      <c r="R295">
        <v>32500</v>
      </c>
      <c r="S295">
        <f t="shared" si="537"/>
        <v>3250</v>
      </c>
      <c r="T295">
        <f t="shared" si="538"/>
        <v>3900</v>
      </c>
      <c r="U295">
        <v>0</v>
      </c>
      <c r="V295">
        <v>500</v>
      </c>
      <c r="W295">
        <f t="shared" si="539"/>
        <v>40150</v>
      </c>
      <c r="X295">
        <v>5000</v>
      </c>
      <c r="Y295">
        <v>0</v>
      </c>
      <c r="Z295">
        <f t="shared" si="540"/>
        <v>200</v>
      </c>
      <c r="AA295">
        <f t="shared" si="541"/>
        <v>34950</v>
      </c>
      <c r="AB295">
        <v>32500</v>
      </c>
      <c r="AC295">
        <f t="shared" si="542"/>
        <v>4550</v>
      </c>
      <c r="AD295">
        <f t="shared" si="543"/>
        <v>3900</v>
      </c>
      <c r="AE295">
        <v>0</v>
      </c>
      <c r="AF295">
        <v>500</v>
      </c>
      <c r="AG295">
        <f t="shared" si="544"/>
        <v>41450</v>
      </c>
      <c r="AH295">
        <v>5000</v>
      </c>
      <c r="AI295">
        <v>0</v>
      </c>
      <c r="AJ295">
        <f t="shared" si="545"/>
        <v>200</v>
      </c>
      <c r="AK295">
        <f t="shared" si="546"/>
        <v>36250</v>
      </c>
      <c r="AL295">
        <v>32500</v>
      </c>
      <c r="AM295">
        <f t="shared" si="547"/>
        <v>4550</v>
      </c>
      <c r="AN295">
        <f t="shared" si="548"/>
        <v>3900</v>
      </c>
      <c r="AO295">
        <v>0</v>
      </c>
      <c r="AP295">
        <v>500</v>
      </c>
      <c r="AQ295">
        <f t="shared" si="549"/>
        <v>41450</v>
      </c>
      <c r="AR295">
        <v>5000</v>
      </c>
      <c r="AS295">
        <v>0</v>
      </c>
      <c r="AT295">
        <f t="shared" si="550"/>
        <v>200</v>
      </c>
      <c r="AU295">
        <f t="shared" si="551"/>
        <v>36250</v>
      </c>
      <c r="AV295">
        <v>33500</v>
      </c>
      <c r="AW295">
        <f t="shared" si="552"/>
        <v>4690</v>
      </c>
      <c r="AX295">
        <f t="shared" si="553"/>
        <v>1300</v>
      </c>
      <c r="AY295">
        <f t="shared" si="554"/>
        <v>4020</v>
      </c>
      <c r="AZ295">
        <v>0</v>
      </c>
      <c r="BA295">
        <v>500</v>
      </c>
      <c r="BB295">
        <f t="shared" si="555"/>
        <v>44010</v>
      </c>
      <c r="BC295">
        <v>5000</v>
      </c>
      <c r="BD295">
        <v>0</v>
      </c>
      <c r="BE295">
        <f t="shared" si="556"/>
        <v>200</v>
      </c>
      <c r="BF295">
        <f t="shared" si="557"/>
        <v>38810</v>
      </c>
      <c r="BG295">
        <v>33500</v>
      </c>
      <c r="BH295">
        <f t="shared" si="558"/>
        <v>4690</v>
      </c>
      <c r="BI295">
        <f t="shared" si="559"/>
        <v>4020</v>
      </c>
      <c r="BJ295">
        <v>0</v>
      </c>
      <c r="BK295">
        <v>500</v>
      </c>
      <c r="BL295">
        <f t="shared" si="560"/>
        <v>42710</v>
      </c>
      <c r="BM295">
        <v>5000</v>
      </c>
      <c r="BN295">
        <v>0</v>
      </c>
      <c r="BO295">
        <f t="shared" si="561"/>
        <v>200</v>
      </c>
      <c r="BP295">
        <f t="shared" si="562"/>
        <v>37510</v>
      </c>
      <c r="BQ295">
        <v>33500</v>
      </c>
      <c r="BR295">
        <f t="shared" si="563"/>
        <v>4690</v>
      </c>
      <c r="BS295">
        <f t="shared" si="564"/>
        <v>4020</v>
      </c>
      <c r="BT295">
        <v>0</v>
      </c>
      <c r="BU295">
        <v>500</v>
      </c>
      <c r="BV295">
        <f t="shared" si="565"/>
        <v>42710</v>
      </c>
      <c r="BW295">
        <v>5000</v>
      </c>
      <c r="BX295">
        <v>0</v>
      </c>
      <c r="BY295">
        <f t="shared" si="566"/>
        <v>200</v>
      </c>
      <c r="BZ295">
        <f t="shared" si="567"/>
        <v>37510</v>
      </c>
      <c r="CA295">
        <v>33500</v>
      </c>
      <c r="CB295">
        <f t="shared" si="568"/>
        <v>4690</v>
      </c>
      <c r="CC295">
        <f t="shared" si="569"/>
        <v>4020</v>
      </c>
      <c r="CD295">
        <v>0</v>
      </c>
      <c r="CE295">
        <v>500</v>
      </c>
      <c r="CF295">
        <f t="shared" si="570"/>
        <v>42710</v>
      </c>
      <c r="CG295">
        <v>5000</v>
      </c>
      <c r="CH295">
        <v>0</v>
      </c>
      <c r="CI295">
        <f t="shared" si="571"/>
        <v>200</v>
      </c>
      <c r="CJ295">
        <f t="shared" si="572"/>
        <v>37510</v>
      </c>
      <c r="CK295">
        <v>33500</v>
      </c>
      <c r="CL295">
        <f t="shared" si="573"/>
        <v>4690</v>
      </c>
      <c r="CM295">
        <f t="shared" si="574"/>
        <v>4020</v>
      </c>
      <c r="CN295">
        <v>0</v>
      </c>
      <c r="CO295">
        <v>500</v>
      </c>
      <c r="CP295">
        <f t="shared" si="575"/>
        <v>42710</v>
      </c>
      <c r="CQ295">
        <v>5000</v>
      </c>
      <c r="CR295">
        <v>0</v>
      </c>
      <c r="CS295">
        <f t="shared" si="576"/>
        <v>200</v>
      </c>
      <c r="CT295">
        <f t="shared" si="577"/>
        <v>37510</v>
      </c>
      <c r="CU295">
        <v>33500</v>
      </c>
      <c r="CV295">
        <f t="shared" si="578"/>
        <v>4690</v>
      </c>
      <c r="CW295">
        <f t="shared" si="579"/>
        <v>4020</v>
      </c>
      <c r="CX295">
        <v>0</v>
      </c>
      <c r="CY295">
        <v>500</v>
      </c>
      <c r="CZ295">
        <f t="shared" si="580"/>
        <v>42710</v>
      </c>
      <c r="DA295">
        <v>5000</v>
      </c>
      <c r="DB295">
        <v>0</v>
      </c>
      <c r="DC295">
        <f t="shared" si="581"/>
        <v>200</v>
      </c>
      <c r="DD295">
        <f t="shared" si="582"/>
        <v>37510</v>
      </c>
      <c r="DE295">
        <v>33500</v>
      </c>
      <c r="DF295">
        <f t="shared" si="583"/>
        <v>4690</v>
      </c>
      <c r="DG295">
        <f t="shared" si="584"/>
        <v>4020</v>
      </c>
      <c r="DH295">
        <v>0</v>
      </c>
      <c r="DI295">
        <v>500</v>
      </c>
      <c r="DJ295">
        <f t="shared" si="585"/>
        <v>42710</v>
      </c>
      <c r="DK295">
        <v>5000</v>
      </c>
      <c r="DL295">
        <v>0</v>
      </c>
      <c r="DM295">
        <f t="shared" si="586"/>
        <v>200</v>
      </c>
      <c r="DN295">
        <f t="shared" si="587"/>
        <v>37510</v>
      </c>
      <c r="DO295">
        <v>33500</v>
      </c>
      <c r="DP295">
        <f t="shared" si="588"/>
        <v>4690</v>
      </c>
      <c r="DQ295">
        <f t="shared" si="589"/>
        <v>4020</v>
      </c>
      <c r="DR295">
        <v>0</v>
      </c>
      <c r="DS295">
        <v>500</v>
      </c>
      <c r="DT295">
        <f t="shared" si="590"/>
        <v>42710</v>
      </c>
      <c r="DU295">
        <v>5000</v>
      </c>
      <c r="DV295">
        <v>0</v>
      </c>
      <c r="DW295">
        <f t="shared" si="591"/>
        <v>200</v>
      </c>
      <c r="DX295">
        <f t="shared" si="592"/>
        <v>37510</v>
      </c>
      <c r="DY295">
        <f t="shared" si="593"/>
        <v>512180</v>
      </c>
      <c r="DZ295">
        <f t="shared" si="525"/>
        <v>2400</v>
      </c>
      <c r="EA295">
        <f t="shared" si="526"/>
        <v>50000</v>
      </c>
      <c r="EB295">
        <v>0</v>
      </c>
      <c r="EC295">
        <f t="shared" si="527"/>
        <v>459780</v>
      </c>
      <c r="ED295">
        <f t="shared" si="528"/>
        <v>60000</v>
      </c>
      <c r="EE295">
        <f t="shared" si="529"/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f t="shared" si="530"/>
        <v>60000</v>
      </c>
      <c r="EQ295">
        <f t="shared" si="594"/>
        <v>60000</v>
      </c>
      <c r="ER295">
        <f t="shared" si="531"/>
        <v>399780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f t="shared" si="595"/>
        <v>0</v>
      </c>
      <c r="FA295">
        <f t="shared" si="596"/>
        <v>399780</v>
      </c>
      <c r="FB295">
        <f t="shared" si="597"/>
        <v>7489</v>
      </c>
      <c r="FC295">
        <f t="shared" si="598"/>
        <v>0</v>
      </c>
      <c r="FD295">
        <f t="shared" si="599"/>
        <v>7489</v>
      </c>
      <c r="FE295">
        <f t="shared" si="600"/>
        <v>0</v>
      </c>
      <c r="FF295">
        <f t="shared" si="601"/>
        <v>0</v>
      </c>
      <c r="FG295">
        <f t="shared" si="602"/>
        <v>0</v>
      </c>
      <c r="FH295">
        <v>0</v>
      </c>
      <c r="FI295">
        <f t="shared" si="603"/>
        <v>0</v>
      </c>
      <c r="FJ295" t="b">
        <f t="shared" si="604"/>
        <v>1</v>
      </c>
      <c r="FK295">
        <f t="shared" ca="1" si="605"/>
        <v>559</v>
      </c>
      <c r="FL295">
        <f t="shared" ca="1" si="606"/>
        <v>512739</v>
      </c>
      <c r="FM295">
        <f t="shared" si="607"/>
        <v>75000</v>
      </c>
      <c r="FN295">
        <f t="shared" ca="1" si="608"/>
        <v>437739</v>
      </c>
      <c r="FO295">
        <f t="shared" ca="1" si="609"/>
        <v>0</v>
      </c>
      <c r="FP295">
        <f t="shared" ca="1" si="610"/>
        <v>0</v>
      </c>
      <c r="FQ295">
        <f t="shared" ca="1" si="611"/>
        <v>0</v>
      </c>
      <c r="FR295">
        <f t="shared" ca="1" si="612"/>
        <v>0</v>
      </c>
      <c r="FS295">
        <f t="shared" ca="1" si="613"/>
        <v>0</v>
      </c>
      <c r="FT295">
        <f t="shared" ca="1" si="614"/>
        <v>0</v>
      </c>
      <c r="FU295">
        <f t="shared" ca="1" si="615"/>
        <v>0</v>
      </c>
      <c r="FV295">
        <f t="shared" ca="1" si="616"/>
        <v>0</v>
      </c>
      <c r="FW295">
        <f t="shared" ca="1" si="617"/>
        <v>137739</v>
      </c>
      <c r="FX295">
        <f t="shared" ca="1" si="618"/>
        <v>6886.9500000000007</v>
      </c>
      <c r="FY295">
        <f t="shared" ca="1" si="619"/>
        <v>6887</v>
      </c>
      <c r="FZ295">
        <f t="shared" ca="1" si="620"/>
        <v>0</v>
      </c>
      <c r="GA295">
        <f t="shared" ca="1" si="621"/>
        <v>0</v>
      </c>
      <c r="GB295">
        <f t="shared" ca="1" si="622"/>
        <v>6887</v>
      </c>
      <c r="GC295">
        <f t="shared" ca="1" si="623"/>
        <v>0</v>
      </c>
      <c r="GD295" t="b">
        <f t="shared" ca="1" si="624"/>
        <v>0</v>
      </c>
      <c r="GE295">
        <f t="shared" ca="1" si="625"/>
        <v>0</v>
      </c>
      <c r="GF295">
        <f t="shared" ca="1" si="626"/>
        <v>6887</v>
      </c>
      <c r="GG295">
        <f t="shared" ca="1" si="627"/>
        <v>0</v>
      </c>
      <c r="GH295">
        <f t="shared" ca="1" si="628"/>
        <v>0</v>
      </c>
      <c r="GI295">
        <f t="shared" ca="1" si="629"/>
        <v>0</v>
      </c>
    </row>
    <row r="296" spans="1:191" x14ac:dyDescent="0.25">
      <c r="A296">
        <f>_xlfn.AGGREGATE(3,5,$B$2:B296)</f>
        <v>295</v>
      </c>
      <c r="B296" t="s">
        <v>710</v>
      </c>
      <c r="C296" t="s">
        <v>711</v>
      </c>
      <c r="D296" t="s">
        <v>841</v>
      </c>
      <c r="E296" t="s">
        <v>843</v>
      </c>
      <c r="F296">
        <v>0</v>
      </c>
      <c r="G296">
        <v>6000</v>
      </c>
      <c r="H296">
        <v>32500</v>
      </c>
      <c r="I296">
        <f t="shared" si="532"/>
        <v>3250</v>
      </c>
      <c r="J296">
        <f t="shared" si="533"/>
        <v>3900</v>
      </c>
      <c r="K296">
        <v>400</v>
      </c>
      <c r="L296">
        <v>0</v>
      </c>
      <c r="M296">
        <f t="shared" si="534"/>
        <v>40050</v>
      </c>
      <c r="N296">
        <v>2000</v>
      </c>
      <c r="O296">
        <v>0</v>
      </c>
      <c r="P296">
        <f t="shared" si="535"/>
        <v>200</v>
      </c>
      <c r="Q296">
        <f t="shared" si="536"/>
        <v>37850</v>
      </c>
      <c r="R296">
        <v>32500</v>
      </c>
      <c r="S296">
        <f t="shared" si="537"/>
        <v>3250</v>
      </c>
      <c r="T296">
        <f t="shared" si="538"/>
        <v>3900</v>
      </c>
      <c r="U296">
        <v>400</v>
      </c>
      <c r="V296">
        <v>0</v>
      </c>
      <c r="W296">
        <f t="shared" si="539"/>
        <v>40050</v>
      </c>
      <c r="X296">
        <v>2000</v>
      </c>
      <c r="Y296">
        <v>0</v>
      </c>
      <c r="Z296">
        <f t="shared" si="540"/>
        <v>200</v>
      </c>
      <c r="AA296">
        <f t="shared" si="541"/>
        <v>37850</v>
      </c>
      <c r="AB296">
        <v>32500</v>
      </c>
      <c r="AC296">
        <f t="shared" si="542"/>
        <v>4550</v>
      </c>
      <c r="AD296">
        <f t="shared" si="543"/>
        <v>3900</v>
      </c>
      <c r="AE296">
        <v>400</v>
      </c>
      <c r="AF296">
        <v>0</v>
      </c>
      <c r="AG296">
        <f t="shared" si="544"/>
        <v>41350</v>
      </c>
      <c r="AH296">
        <v>2000</v>
      </c>
      <c r="AI296">
        <v>0</v>
      </c>
      <c r="AJ296">
        <f t="shared" si="545"/>
        <v>200</v>
      </c>
      <c r="AK296">
        <f t="shared" si="546"/>
        <v>39150</v>
      </c>
      <c r="AL296">
        <v>32500</v>
      </c>
      <c r="AM296">
        <f t="shared" si="547"/>
        <v>4550</v>
      </c>
      <c r="AN296">
        <f t="shared" si="548"/>
        <v>3900</v>
      </c>
      <c r="AO296">
        <v>400</v>
      </c>
      <c r="AP296">
        <v>0</v>
      </c>
      <c r="AQ296">
        <f t="shared" si="549"/>
        <v>41350</v>
      </c>
      <c r="AR296">
        <v>2000</v>
      </c>
      <c r="AS296">
        <v>0</v>
      </c>
      <c r="AT296">
        <f t="shared" si="550"/>
        <v>200</v>
      </c>
      <c r="AU296">
        <f t="shared" si="551"/>
        <v>39150</v>
      </c>
      <c r="AV296">
        <v>34500</v>
      </c>
      <c r="AW296">
        <f t="shared" si="552"/>
        <v>4830.0000000000009</v>
      </c>
      <c r="AX296">
        <f t="shared" si="553"/>
        <v>1300</v>
      </c>
      <c r="AY296">
        <f t="shared" si="554"/>
        <v>4140</v>
      </c>
      <c r="AZ296">
        <v>400</v>
      </c>
      <c r="BA296">
        <v>0</v>
      </c>
      <c r="BB296">
        <f t="shared" si="555"/>
        <v>45170</v>
      </c>
      <c r="BC296">
        <v>2500</v>
      </c>
      <c r="BD296">
        <v>0</v>
      </c>
      <c r="BE296">
        <f t="shared" si="556"/>
        <v>200</v>
      </c>
      <c r="BF296">
        <f t="shared" si="557"/>
        <v>42470</v>
      </c>
      <c r="BG296">
        <v>34500</v>
      </c>
      <c r="BH296">
        <f t="shared" si="558"/>
        <v>4830.0000000000009</v>
      </c>
      <c r="BI296">
        <f t="shared" si="559"/>
        <v>4140</v>
      </c>
      <c r="BJ296">
        <v>400</v>
      </c>
      <c r="BK296">
        <v>0</v>
      </c>
      <c r="BL296">
        <f t="shared" si="560"/>
        <v>43870</v>
      </c>
      <c r="BM296">
        <v>2500</v>
      </c>
      <c r="BN296">
        <v>0</v>
      </c>
      <c r="BO296">
        <f t="shared" si="561"/>
        <v>200</v>
      </c>
      <c r="BP296">
        <f t="shared" si="562"/>
        <v>41170</v>
      </c>
      <c r="BQ296">
        <v>34500</v>
      </c>
      <c r="BR296">
        <f t="shared" si="563"/>
        <v>4830.0000000000009</v>
      </c>
      <c r="BS296">
        <f t="shared" si="564"/>
        <v>4140</v>
      </c>
      <c r="BT296">
        <v>400</v>
      </c>
      <c r="BU296">
        <v>0</v>
      </c>
      <c r="BV296">
        <f t="shared" si="565"/>
        <v>43870</v>
      </c>
      <c r="BW296">
        <v>2500</v>
      </c>
      <c r="BX296">
        <v>0</v>
      </c>
      <c r="BY296">
        <f t="shared" si="566"/>
        <v>200</v>
      </c>
      <c r="BZ296">
        <f t="shared" si="567"/>
        <v>41170</v>
      </c>
      <c r="CA296">
        <v>34500</v>
      </c>
      <c r="CB296">
        <f t="shared" si="568"/>
        <v>4830.0000000000009</v>
      </c>
      <c r="CC296">
        <f t="shared" si="569"/>
        <v>4140</v>
      </c>
      <c r="CD296">
        <v>400</v>
      </c>
      <c r="CE296">
        <v>0</v>
      </c>
      <c r="CF296">
        <f t="shared" si="570"/>
        <v>43870</v>
      </c>
      <c r="CG296">
        <v>2500</v>
      </c>
      <c r="CH296">
        <v>0</v>
      </c>
      <c r="CI296">
        <f t="shared" si="571"/>
        <v>200</v>
      </c>
      <c r="CJ296">
        <f t="shared" si="572"/>
        <v>41170</v>
      </c>
      <c r="CK296">
        <v>34500</v>
      </c>
      <c r="CL296">
        <f t="shared" si="573"/>
        <v>4830.0000000000009</v>
      </c>
      <c r="CM296">
        <f t="shared" si="574"/>
        <v>4140</v>
      </c>
      <c r="CN296">
        <v>400</v>
      </c>
      <c r="CO296">
        <v>0</v>
      </c>
      <c r="CP296">
        <f t="shared" si="575"/>
        <v>43870</v>
      </c>
      <c r="CQ296">
        <v>2500</v>
      </c>
      <c r="CR296">
        <v>0</v>
      </c>
      <c r="CS296">
        <f t="shared" si="576"/>
        <v>200</v>
      </c>
      <c r="CT296">
        <f t="shared" si="577"/>
        <v>41170</v>
      </c>
      <c r="CU296">
        <v>34500</v>
      </c>
      <c r="CV296">
        <f t="shared" si="578"/>
        <v>4830</v>
      </c>
      <c r="CW296">
        <f t="shared" si="579"/>
        <v>4140</v>
      </c>
      <c r="CX296">
        <v>400</v>
      </c>
      <c r="CY296">
        <v>0</v>
      </c>
      <c r="CZ296">
        <f t="shared" si="580"/>
        <v>43870</v>
      </c>
      <c r="DA296">
        <v>2500</v>
      </c>
      <c r="DB296">
        <v>0</v>
      </c>
      <c r="DC296">
        <f t="shared" si="581"/>
        <v>200</v>
      </c>
      <c r="DD296">
        <f t="shared" si="582"/>
        <v>41170</v>
      </c>
      <c r="DE296">
        <v>34500</v>
      </c>
      <c r="DF296">
        <f t="shared" si="583"/>
        <v>4830.0000000000009</v>
      </c>
      <c r="DG296">
        <f t="shared" si="584"/>
        <v>4140</v>
      </c>
      <c r="DH296">
        <v>400</v>
      </c>
      <c r="DI296">
        <v>0</v>
      </c>
      <c r="DJ296">
        <f t="shared" si="585"/>
        <v>43870</v>
      </c>
      <c r="DK296">
        <v>2500</v>
      </c>
      <c r="DL296">
        <v>0</v>
      </c>
      <c r="DM296">
        <f t="shared" si="586"/>
        <v>200</v>
      </c>
      <c r="DN296">
        <f t="shared" si="587"/>
        <v>41170</v>
      </c>
      <c r="DO296">
        <v>34500</v>
      </c>
      <c r="DP296">
        <f t="shared" si="588"/>
        <v>4830.0000000000009</v>
      </c>
      <c r="DQ296">
        <f t="shared" si="589"/>
        <v>4140</v>
      </c>
      <c r="DR296">
        <v>400</v>
      </c>
      <c r="DS296">
        <v>0</v>
      </c>
      <c r="DT296">
        <f t="shared" si="590"/>
        <v>43870</v>
      </c>
      <c r="DU296">
        <v>2500</v>
      </c>
      <c r="DV296">
        <v>0</v>
      </c>
      <c r="DW296">
        <f t="shared" si="591"/>
        <v>200</v>
      </c>
      <c r="DX296">
        <f t="shared" si="592"/>
        <v>41170</v>
      </c>
      <c r="DY296">
        <f t="shared" si="593"/>
        <v>521060</v>
      </c>
      <c r="DZ296">
        <f t="shared" si="525"/>
        <v>2400</v>
      </c>
      <c r="EA296">
        <f t="shared" si="526"/>
        <v>50000</v>
      </c>
      <c r="EB296">
        <v>0</v>
      </c>
      <c r="EC296">
        <f t="shared" si="527"/>
        <v>468660</v>
      </c>
      <c r="ED296">
        <f t="shared" si="528"/>
        <v>28000</v>
      </c>
      <c r="EE296">
        <f t="shared" si="529"/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f t="shared" si="530"/>
        <v>28000</v>
      </c>
      <c r="EQ296">
        <f t="shared" si="594"/>
        <v>28000</v>
      </c>
      <c r="ER296">
        <f t="shared" si="531"/>
        <v>440660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f t="shared" si="595"/>
        <v>0</v>
      </c>
      <c r="FA296">
        <f t="shared" si="596"/>
        <v>440660</v>
      </c>
      <c r="FB296">
        <f t="shared" si="597"/>
        <v>9533</v>
      </c>
      <c r="FC296">
        <f t="shared" si="598"/>
        <v>0</v>
      </c>
      <c r="FD296">
        <f t="shared" si="599"/>
        <v>9533</v>
      </c>
      <c r="FE296">
        <f t="shared" si="600"/>
        <v>0</v>
      </c>
      <c r="FF296">
        <f t="shared" si="601"/>
        <v>0</v>
      </c>
      <c r="FG296">
        <f t="shared" si="602"/>
        <v>0</v>
      </c>
      <c r="FH296">
        <v>0</v>
      </c>
      <c r="FI296">
        <f t="shared" si="603"/>
        <v>0</v>
      </c>
      <c r="FJ296" t="b">
        <f t="shared" si="604"/>
        <v>1</v>
      </c>
      <c r="FK296">
        <f t="shared" ca="1" si="605"/>
        <v>934</v>
      </c>
      <c r="FL296">
        <f t="shared" ca="1" si="606"/>
        <v>521994</v>
      </c>
      <c r="FM296">
        <f t="shared" si="607"/>
        <v>75000</v>
      </c>
      <c r="FN296">
        <f t="shared" ca="1" si="608"/>
        <v>446994</v>
      </c>
      <c r="FO296">
        <f t="shared" ca="1" si="609"/>
        <v>0</v>
      </c>
      <c r="FP296">
        <f t="shared" ca="1" si="610"/>
        <v>0</v>
      </c>
      <c r="FQ296">
        <f t="shared" ca="1" si="611"/>
        <v>0</v>
      </c>
      <c r="FR296">
        <f t="shared" ca="1" si="612"/>
        <v>0</v>
      </c>
      <c r="FS296">
        <f t="shared" ca="1" si="613"/>
        <v>0</v>
      </c>
      <c r="FT296">
        <f t="shared" ca="1" si="614"/>
        <v>0</v>
      </c>
      <c r="FU296">
        <f t="shared" ca="1" si="615"/>
        <v>0</v>
      </c>
      <c r="FV296">
        <f t="shared" ca="1" si="616"/>
        <v>0</v>
      </c>
      <c r="FW296">
        <f t="shared" ca="1" si="617"/>
        <v>146994</v>
      </c>
      <c r="FX296">
        <f t="shared" ca="1" si="618"/>
        <v>7349.7000000000007</v>
      </c>
      <c r="FY296">
        <f t="shared" ca="1" si="619"/>
        <v>7350</v>
      </c>
      <c r="FZ296">
        <f t="shared" ca="1" si="620"/>
        <v>0</v>
      </c>
      <c r="GA296">
        <f t="shared" ca="1" si="621"/>
        <v>0</v>
      </c>
      <c r="GB296">
        <f t="shared" ca="1" si="622"/>
        <v>7350</v>
      </c>
      <c r="GC296">
        <f t="shared" ca="1" si="623"/>
        <v>0</v>
      </c>
      <c r="GD296" t="b">
        <f t="shared" ca="1" si="624"/>
        <v>0</v>
      </c>
      <c r="GE296">
        <f t="shared" ca="1" si="625"/>
        <v>0</v>
      </c>
      <c r="GF296">
        <f t="shared" ca="1" si="626"/>
        <v>7350</v>
      </c>
      <c r="GG296">
        <f t="shared" ca="1" si="627"/>
        <v>0</v>
      </c>
      <c r="GH296">
        <f t="shared" ca="1" si="628"/>
        <v>0</v>
      </c>
      <c r="GI296">
        <f t="shared" ca="1" si="629"/>
        <v>0</v>
      </c>
    </row>
    <row r="297" spans="1:191" x14ac:dyDescent="0.25">
      <c r="A297">
        <f>_xlfn.AGGREGATE(3,5,$B$2:B297)</f>
        <v>296</v>
      </c>
      <c r="B297" t="s">
        <v>712</v>
      </c>
      <c r="C297" t="s">
        <v>713</v>
      </c>
      <c r="D297" t="s">
        <v>841</v>
      </c>
      <c r="E297" t="s">
        <v>843</v>
      </c>
      <c r="F297">
        <v>0</v>
      </c>
      <c r="G297">
        <v>6000</v>
      </c>
      <c r="H297">
        <v>32500</v>
      </c>
      <c r="I297">
        <f t="shared" si="532"/>
        <v>3250</v>
      </c>
      <c r="J297">
        <f t="shared" si="533"/>
        <v>3900</v>
      </c>
      <c r="K297">
        <v>0</v>
      </c>
      <c r="L297">
        <v>500</v>
      </c>
      <c r="M297">
        <f t="shared" si="534"/>
        <v>40150</v>
      </c>
      <c r="N297">
        <v>2000</v>
      </c>
      <c r="O297">
        <v>0</v>
      </c>
      <c r="P297">
        <f t="shared" si="535"/>
        <v>200</v>
      </c>
      <c r="Q297">
        <f t="shared" si="536"/>
        <v>37950</v>
      </c>
      <c r="R297">
        <v>32500</v>
      </c>
      <c r="S297">
        <f t="shared" si="537"/>
        <v>3250</v>
      </c>
      <c r="T297">
        <f t="shared" si="538"/>
        <v>3900</v>
      </c>
      <c r="U297">
        <v>0</v>
      </c>
      <c r="V297">
        <v>500</v>
      </c>
      <c r="W297">
        <f t="shared" si="539"/>
        <v>40150</v>
      </c>
      <c r="X297">
        <v>2000</v>
      </c>
      <c r="Y297">
        <v>0</v>
      </c>
      <c r="Z297">
        <f t="shared" si="540"/>
        <v>200</v>
      </c>
      <c r="AA297">
        <f t="shared" si="541"/>
        <v>37950</v>
      </c>
      <c r="AB297">
        <v>32500</v>
      </c>
      <c r="AC297">
        <f t="shared" si="542"/>
        <v>4550</v>
      </c>
      <c r="AD297">
        <f t="shared" si="543"/>
        <v>3900</v>
      </c>
      <c r="AE297">
        <v>0</v>
      </c>
      <c r="AF297">
        <v>500</v>
      </c>
      <c r="AG297">
        <f t="shared" si="544"/>
        <v>41450</v>
      </c>
      <c r="AH297">
        <v>2000</v>
      </c>
      <c r="AI297">
        <v>0</v>
      </c>
      <c r="AJ297">
        <f t="shared" si="545"/>
        <v>200</v>
      </c>
      <c r="AK297">
        <f t="shared" si="546"/>
        <v>39250</v>
      </c>
      <c r="AL297">
        <v>32500</v>
      </c>
      <c r="AM297">
        <f t="shared" si="547"/>
        <v>4550</v>
      </c>
      <c r="AN297">
        <f t="shared" si="548"/>
        <v>3900</v>
      </c>
      <c r="AO297">
        <v>0</v>
      </c>
      <c r="AP297">
        <v>500</v>
      </c>
      <c r="AQ297">
        <f t="shared" si="549"/>
        <v>41450</v>
      </c>
      <c r="AR297">
        <v>2000</v>
      </c>
      <c r="AS297">
        <v>0</v>
      </c>
      <c r="AT297">
        <f t="shared" si="550"/>
        <v>200</v>
      </c>
      <c r="AU297">
        <f t="shared" si="551"/>
        <v>39250</v>
      </c>
      <c r="AV297">
        <v>34500</v>
      </c>
      <c r="AW297">
        <f t="shared" si="552"/>
        <v>4830.0000000000009</v>
      </c>
      <c r="AX297">
        <f t="shared" si="553"/>
        <v>1300</v>
      </c>
      <c r="AY297">
        <f t="shared" si="554"/>
        <v>4140</v>
      </c>
      <c r="AZ297">
        <v>0</v>
      </c>
      <c r="BA297">
        <v>500</v>
      </c>
      <c r="BB297">
        <f t="shared" si="555"/>
        <v>45270</v>
      </c>
      <c r="BC297">
        <v>2500</v>
      </c>
      <c r="BD297">
        <v>0</v>
      </c>
      <c r="BE297">
        <f t="shared" si="556"/>
        <v>200</v>
      </c>
      <c r="BF297">
        <f t="shared" si="557"/>
        <v>42570</v>
      </c>
      <c r="BG297">
        <v>34500</v>
      </c>
      <c r="BH297">
        <f t="shared" si="558"/>
        <v>4830.0000000000009</v>
      </c>
      <c r="BI297">
        <f t="shared" si="559"/>
        <v>4140</v>
      </c>
      <c r="BJ297">
        <v>0</v>
      </c>
      <c r="BK297">
        <v>500</v>
      </c>
      <c r="BL297">
        <f t="shared" si="560"/>
        <v>43970</v>
      </c>
      <c r="BM297">
        <v>2500</v>
      </c>
      <c r="BN297">
        <v>0</v>
      </c>
      <c r="BO297">
        <f t="shared" si="561"/>
        <v>200</v>
      </c>
      <c r="BP297">
        <f t="shared" si="562"/>
        <v>41270</v>
      </c>
      <c r="BQ297">
        <v>34500</v>
      </c>
      <c r="BR297">
        <f t="shared" si="563"/>
        <v>4830.0000000000009</v>
      </c>
      <c r="BS297">
        <f t="shared" si="564"/>
        <v>4140</v>
      </c>
      <c r="BT297">
        <v>0</v>
      </c>
      <c r="BU297">
        <v>500</v>
      </c>
      <c r="BV297">
        <f t="shared" si="565"/>
        <v>43970</v>
      </c>
      <c r="BW297">
        <v>2500</v>
      </c>
      <c r="BX297">
        <v>0</v>
      </c>
      <c r="BY297">
        <f t="shared" si="566"/>
        <v>200</v>
      </c>
      <c r="BZ297">
        <f t="shared" si="567"/>
        <v>41270</v>
      </c>
      <c r="CA297">
        <v>34500</v>
      </c>
      <c r="CB297">
        <f t="shared" si="568"/>
        <v>4830.0000000000009</v>
      </c>
      <c r="CC297">
        <f t="shared" si="569"/>
        <v>4140</v>
      </c>
      <c r="CD297">
        <v>0</v>
      </c>
      <c r="CE297">
        <v>500</v>
      </c>
      <c r="CF297">
        <f t="shared" si="570"/>
        <v>43970</v>
      </c>
      <c r="CG297">
        <v>2500</v>
      </c>
      <c r="CH297">
        <v>0</v>
      </c>
      <c r="CI297">
        <f t="shared" si="571"/>
        <v>200</v>
      </c>
      <c r="CJ297">
        <f t="shared" si="572"/>
        <v>41270</v>
      </c>
      <c r="CK297">
        <v>34500</v>
      </c>
      <c r="CL297">
        <f t="shared" si="573"/>
        <v>4830.0000000000009</v>
      </c>
      <c r="CM297">
        <f t="shared" si="574"/>
        <v>4140</v>
      </c>
      <c r="CN297">
        <v>0</v>
      </c>
      <c r="CO297">
        <v>500</v>
      </c>
      <c r="CP297">
        <f t="shared" si="575"/>
        <v>43970</v>
      </c>
      <c r="CQ297">
        <v>2500</v>
      </c>
      <c r="CR297">
        <v>0</v>
      </c>
      <c r="CS297">
        <f t="shared" si="576"/>
        <v>200</v>
      </c>
      <c r="CT297">
        <f t="shared" si="577"/>
        <v>41270</v>
      </c>
      <c r="CU297">
        <v>34500</v>
      </c>
      <c r="CV297">
        <f t="shared" si="578"/>
        <v>4830</v>
      </c>
      <c r="CW297">
        <f t="shared" si="579"/>
        <v>4140</v>
      </c>
      <c r="CX297">
        <v>0</v>
      </c>
      <c r="CY297">
        <v>500</v>
      </c>
      <c r="CZ297">
        <f t="shared" si="580"/>
        <v>43970</v>
      </c>
      <c r="DA297">
        <v>2500</v>
      </c>
      <c r="DB297">
        <v>0</v>
      </c>
      <c r="DC297">
        <f t="shared" si="581"/>
        <v>200</v>
      </c>
      <c r="DD297">
        <f t="shared" si="582"/>
        <v>41270</v>
      </c>
      <c r="DE297">
        <v>34500</v>
      </c>
      <c r="DF297">
        <f t="shared" si="583"/>
        <v>4830.0000000000009</v>
      </c>
      <c r="DG297">
        <f t="shared" si="584"/>
        <v>4140</v>
      </c>
      <c r="DH297">
        <v>0</v>
      </c>
      <c r="DI297">
        <v>500</v>
      </c>
      <c r="DJ297">
        <f t="shared" si="585"/>
        <v>43970</v>
      </c>
      <c r="DK297">
        <v>2500</v>
      </c>
      <c r="DL297">
        <v>0</v>
      </c>
      <c r="DM297">
        <f t="shared" si="586"/>
        <v>200</v>
      </c>
      <c r="DN297">
        <f t="shared" si="587"/>
        <v>41270</v>
      </c>
      <c r="DO297">
        <v>34500</v>
      </c>
      <c r="DP297">
        <f t="shared" si="588"/>
        <v>4830.0000000000009</v>
      </c>
      <c r="DQ297">
        <f t="shared" si="589"/>
        <v>4140</v>
      </c>
      <c r="DR297">
        <v>0</v>
      </c>
      <c r="DS297">
        <v>500</v>
      </c>
      <c r="DT297">
        <f t="shared" si="590"/>
        <v>43970</v>
      </c>
      <c r="DU297">
        <v>2500</v>
      </c>
      <c r="DV297">
        <v>0</v>
      </c>
      <c r="DW297">
        <f t="shared" si="591"/>
        <v>200</v>
      </c>
      <c r="DX297">
        <f t="shared" si="592"/>
        <v>41270</v>
      </c>
      <c r="DY297">
        <f t="shared" si="593"/>
        <v>522260</v>
      </c>
      <c r="DZ297">
        <f t="shared" si="525"/>
        <v>2400</v>
      </c>
      <c r="EA297">
        <f t="shared" si="526"/>
        <v>50000</v>
      </c>
      <c r="EB297">
        <v>0</v>
      </c>
      <c r="EC297">
        <f t="shared" si="527"/>
        <v>469860</v>
      </c>
      <c r="ED297">
        <f t="shared" si="528"/>
        <v>28000</v>
      </c>
      <c r="EE297">
        <f t="shared" si="529"/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f t="shared" si="530"/>
        <v>28000</v>
      </c>
      <c r="EQ297">
        <f t="shared" si="594"/>
        <v>28000</v>
      </c>
      <c r="ER297">
        <f t="shared" si="531"/>
        <v>441860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f t="shared" si="595"/>
        <v>0</v>
      </c>
      <c r="FA297">
        <f t="shared" si="596"/>
        <v>441860</v>
      </c>
      <c r="FB297">
        <f t="shared" si="597"/>
        <v>9593</v>
      </c>
      <c r="FC297">
        <f t="shared" si="598"/>
        <v>0</v>
      </c>
      <c r="FD297">
        <f t="shared" si="599"/>
        <v>9593</v>
      </c>
      <c r="FE297">
        <f t="shared" si="600"/>
        <v>0</v>
      </c>
      <c r="FF297">
        <f t="shared" si="601"/>
        <v>0</v>
      </c>
      <c r="FG297">
        <f t="shared" si="602"/>
        <v>0</v>
      </c>
      <c r="FH297">
        <v>0</v>
      </c>
      <c r="FI297">
        <f t="shared" si="603"/>
        <v>0</v>
      </c>
      <c r="FJ297" t="b">
        <f t="shared" si="604"/>
        <v>1</v>
      </c>
      <c r="FK297">
        <f t="shared" ca="1" si="605"/>
        <v>857</v>
      </c>
      <c r="FL297">
        <f t="shared" ca="1" si="606"/>
        <v>523117</v>
      </c>
      <c r="FM297">
        <f t="shared" si="607"/>
        <v>75000</v>
      </c>
      <c r="FN297">
        <f t="shared" ca="1" si="608"/>
        <v>448117</v>
      </c>
      <c r="FO297">
        <f t="shared" ca="1" si="609"/>
        <v>0</v>
      </c>
      <c r="FP297">
        <f t="shared" ca="1" si="610"/>
        <v>0</v>
      </c>
      <c r="FQ297">
        <f t="shared" ca="1" si="611"/>
        <v>0</v>
      </c>
      <c r="FR297">
        <f t="shared" ca="1" si="612"/>
        <v>0</v>
      </c>
      <c r="FS297">
        <f t="shared" ca="1" si="613"/>
        <v>0</v>
      </c>
      <c r="FT297">
        <f t="shared" ca="1" si="614"/>
        <v>0</v>
      </c>
      <c r="FU297">
        <f t="shared" ca="1" si="615"/>
        <v>0</v>
      </c>
      <c r="FV297">
        <f t="shared" ca="1" si="616"/>
        <v>0</v>
      </c>
      <c r="FW297">
        <f t="shared" ca="1" si="617"/>
        <v>148117</v>
      </c>
      <c r="FX297">
        <f t="shared" ca="1" si="618"/>
        <v>7405.85</v>
      </c>
      <c r="FY297">
        <f t="shared" ca="1" si="619"/>
        <v>7406</v>
      </c>
      <c r="FZ297">
        <f t="shared" ca="1" si="620"/>
        <v>0</v>
      </c>
      <c r="GA297">
        <f t="shared" ca="1" si="621"/>
        <v>0</v>
      </c>
      <c r="GB297">
        <f t="shared" ca="1" si="622"/>
        <v>7406</v>
      </c>
      <c r="GC297">
        <f t="shared" ca="1" si="623"/>
        <v>0</v>
      </c>
      <c r="GD297" t="b">
        <f t="shared" ca="1" si="624"/>
        <v>0</v>
      </c>
      <c r="GE297">
        <f t="shared" ca="1" si="625"/>
        <v>0</v>
      </c>
      <c r="GF297">
        <f t="shared" ca="1" si="626"/>
        <v>7406</v>
      </c>
      <c r="GG297">
        <f t="shared" ca="1" si="627"/>
        <v>0</v>
      </c>
      <c r="GH297">
        <f t="shared" ca="1" si="628"/>
        <v>0</v>
      </c>
      <c r="GI297">
        <f t="shared" ca="1" si="629"/>
        <v>0</v>
      </c>
    </row>
    <row r="298" spans="1:191" x14ac:dyDescent="0.25">
      <c r="A298">
        <f>_xlfn.AGGREGATE(3,5,$B$2:B298)</f>
        <v>297</v>
      </c>
      <c r="B298" t="s">
        <v>714</v>
      </c>
      <c r="C298" t="s">
        <v>715</v>
      </c>
      <c r="D298" t="s">
        <v>841</v>
      </c>
      <c r="E298" t="s">
        <v>843</v>
      </c>
      <c r="F298">
        <v>0</v>
      </c>
      <c r="G298">
        <v>6000</v>
      </c>
      <c r="H298">
        <v>32500</v>
      </c>
      <c r="I298">
        <f t="shared" si="532"/>
        <v>3250</v>
      </c>
      <c r="J298">
        <f t="shared" si="533"/>
        <v>3900</v>
      </c>
      <c r="K298">
        <v>0</v>
      </c>
      <c r="L298">
        <v>500</v>
      </c>
      <c r="M298">
        <f t="shared" si="534"/>
        <v>40150</v>
      </c>
      <c r="N298">
        <v>2000</v>
      </c>
      <c r="O298">
        <v>0</v>
      </c>
      <c r="P298">
        <f t="shared" si="535"/>
        <v>200</v>
      </c>
      <c r="Q298">
        <f t="shared" si="536"/>
        <v>37950</v>
      </c>
      <c r="R298">
        <v>32500</v>
      </c>
      <c r="S298">
        <f t="shared" si="537"/>
        <v>3250</v>
      </c>
      <c r="T298">
        <f t="shared" si="538"/>
        <v>3900</v>
      </c>
      <c r="U298">
        <v>0</v>
      </c>
      <c r="V298">
        <v>500</v>
      </c>
      <c r="W298">
        <f t="shared" si="539"/>
        <v>40150</v>
      </c>
      <c r="X298">
        <v>2000</v>
      </c>
      <c r="Y298">
        <v>0</v>
      </c>
      <c r="Z298">
        <f t="shared" si="540"/>
        <v>200</v>
      </c>
      <c r="AA298">
        <f t="shared" si="541"/>
        <v>37950</v>
      </c>
      <c r="AB298">
        <v>32500</v>
      </c>
      <c r="AC298">
        <f t="shared" si="542"/>
        <v>4550</v>
      </c>
      <c r="AD298">
        <f t="shared" si="543"/>
        <v>3900</v>
      </c>
      <c r="AE298">
        <v>0</v>
      </c>
      <c r="AF298">
        <v>500</v>
      </c>
      <c r="AG298">
        <f t="shared" si="544"/>
        <v>41450</v>
      </c>
      <c r="AH298">
        <v>2000</v>
      </c>
      <c r="AI298">
        <v>0</v>
      </c>
      <c r="AJ298">
        <f t="shared" si="545"/>
        <v>200</v>
      </c>
      <c r="AK298">
        <f t="shared" si="546"/>
        <v>39250</v>
      </c>
      <c r="AL298">
        <v>32500</v>
      </c>
      <c r="AM298">
        <f t="shared" si="547"/>
        <v>4550</v>
      </c>
      <c r="AN298">
        <f t="shared" si="548"/>
        <v>3900</v>
      </c>
      <c r="AO298">
        <v>0</v>
      </c>
      <c r="AP298">
        <v>500</v>
      </c>
      <c r="AQ298">
        <f t="shared" si="549"/>
        <v>41450</v>
      </c>
      <c r="AR298">
        <v>2000</v>
      </c>
      <c r="AS298">
        <v>0</v>
      </c>
      <c r="AT298">
        <f t="shared" si="550"/>
        <v>200</v>
      </c>
      <c r="AU298">
        <f t="shared" si="551"/>
        <v>39250</v>
      </c>
      <c r="AV298">
        <v>34500</v>
      </c>
      <c r="AW298">
        <f t="shared" si="552"/>
        <v>4830.0000000000009</v>
      </c>
      <c r="AX298">
        <f t="shared" si="553"/>
        <v>1300</v>
      </c>
      <c r="AY298">
        <f t="shared" si="554"/>
        <v>4140</v>
      </c>
      <c r="AZ298">
        <v>0</v>
      </c>
      <c r="BA298">
        <v>500</v>
      </c>
      <c r="BB298">
        <f t="shared" si="555"/>
        <v>45270</v>
      </c>
      <c r="BC298">
        <v>2500</v>
      </c>
      <c r="BD298">
        <v>0</v>
      </c>
      <c r="BE298">
        <f t="shared" si="556"/>
        <v>200</v>
      </c>
      <c r="BF298">
        <f t="shared" si="557"/>
        <v>42570</v>
      </c>
      <c r="BG298">
        <v>34500</v>
      </c>
      <c r="BH298">
        <f t="shared" si="558"/>
        <v>4830.0000000000009</v>
      </c>
      <c r="BI298">
        <f t="shared" si="559"/>
        <v>4140</v>
      </c>
      <c r="BJ298">
        <v>0</v>
      </c>
      <c r="BK298">
        <v>500</v>
      </c>
      <c r="BL298">
        <f t="shared" si="560"/>
        <v>43970</v>
      </c>
      <c r="BM298">
        <v>2500</v>
      </c>
      <c r="BN298">
        <v>0</v>
      </c>
      <c r="BO298">
        <f t="shared" si="561"/>
        <v>200</v>
      </c>
      <c r="BP298">
        <f t="shared" si="562"/>
        <v>41270</v>
      </c>
      <c r="BQ298">
        <v>34500</v>
      </c>
      <c r="BR298">
        <f t="shared" si="563"/>
        <v>4830.0000000000009</v>
      </c>
      <c r="BS298">
        <f t="shared" si="564"/>
        <v>4140</v>
      </c>
      <c r="BT298">
        <v>0</v>
      </c>
      <c r="BU298">
        <v>500</v>
      </c>
      <c r="BV298">
        <f t="shared" si="565"/>
        <v>43970</v>
      </c>
      <c r="BW298">
        <v>2500</v>
      </c>
      <c r="BX298">
        <v>0</v>
      </c>
      <c r="BY298">
        <f t="shared" si="566"/>
        <v>200</v>
      </c>
      <c r="BZ298">
        <f t="shared" si="567"/>
        <v>41270</v>
      </c>
      <c r="CA298">
        <v>34500</v>
      </c>
      <c r="CB298">
        <f t="shared" si="568"/>
        <v>4830.0000000000009</v>
      </c>
      <c r="CC298">
        <f t="shared" si="569"/>
        <v>4140</v>
      </c>
      <c r="CD298">
        <v>0</v>
      </c>
      <c r="CE298">
        <v>500</v>
      </c>
      <c r="CF298">
        <f t="shared" si="570"/>
        <v>43970</v>
      </c>
      <c r="CG298">
        <v>2500</v>
      </c>
      <c r="CH298">
        <v>0</v>
      </c>
      <c r="CI298">
        <f t="shared" si="571"/>
        <v>200</v>
      </c>
      <c r="CJ298">
        <f t="shared" si="572"/>
        <v>41270</v>
      </c>
      <c r="CK298">
        <v>34500</v>
      </c>
      <c r="CL298">
        <f t="shared" si="573"/>
        <v>4830.0000000000009</v>
      </c>
      <c r="CM298">
        <f t="shared" si="574"/>
        <v>4140</v>
      </c>
      <c r="CN298">
        <v>0</v>
      </c>
      <c r="CO298">
        <v>500</v>
      </c>
      <c r="CP298">
        <f t="shared" si="575"/>
        <v>43970</v>
      </c>
      <c r="CQ298">
        <v>2500</v>
      </c>
      <c r="CR298">
        <v>0</v>
      </c>
      <c r="CS298">
        <f t="shared" si="576"/>
        <v>200</v>
      </c>
      <c r="CT298">
        <f t="shared" si="577"/>
        <v>41270</v>
      </c>
      <c r="CU298">
        <v>34500</v>
      </c>
      <c r="CV298">
        <f t="shared" si="578"/>
        <v>4830</v>
      </c>
      <c r="CW298">
        <f t="shared" si="579"/>
        <v>4140</v>
      </c>
      <c r="CX298">
        <v>0</v>
      </c>
      <c r="CY298">
        <v>500</v>
      </c>
      <c r="CZ298">
        <f t="shared" si="580"/>
        <v>43970</v>
      </c>
      <c r="DA298">
        <v>2500</v>
      </c>
      <c r="DB298">
        <v>0</v>
      </c>
      <c r="DC298">
        <f t="shared" si="581"/>
        <v>200</v>
      </c>
      <c r="DD298">
        <f t="shared" si="582"/>
        <v>41270</v>
      </c>
      <c r="DE298">
        <v>34500</v>
      </c>
      <c r="DF298">
        <f t="shared" si="583"/>
        <v>4830.0000000000009</v>
      </c>
      <c r="DG298">
        <f t="shared" si="584"/>
        <v>4140</v>
      </c>
      <c r="DH298">
        <v>0</v>
      </c>
      <c r="DI298">
        <v>500</v>
      </c>
      <c r="DJ298">
        <f t="shared" si="585"/>
        <v>43970</v>
      </c>
      <c r="DK298">
        <v>2500</v>
      </c>
      <c r="DL298">
        <v>0</v>
      </c>
      <c r="DM298">
        <f t="shared" si="586"/>
        <v>200</v>
      </c>
      <c r="DN298">
        <f t="shared" si="587"/>
        <v>41270</v>
      </c>
      <c r="DO298">
        <v>34500</v>
      </c>
      <c r="DP298">
        <f t="shared" si="588"/>
        <v>4830.0000000000009</v>
      </c>
      <c r="DQ298">
        <f t="shared" si="589"/>
        <v>4140</v>
      </c>
      <c r="DR298">
        <v>0</v>
      </c>
      <c r="DS298">
        <v>500</v>
      </c>
      <c r="DT298">
        <f t="shared" si="590"/>
        <v>43970</v>
      </c>
      <c r="DU298">
        <v>2500</v>
      </c>
      <c r="DV298">
        <v>0</v>
      </c>
      <c r="DW298">
        <f t="shared" si="591"/>
        <v>200</v>
      </c>
      <c r="DX298">
        <f t="shared" si="592"/>
        <v>41270</v>
      </c>
      <c r="DY298">
        <f t="shared" si="593"/>
        <v>522260</v>
      </c>
      <c r="DZ298">
        <f t="shared" si="525"/>
        <v>2400</v>
      </c>
      <c r="EA298">
        <f t="shared" si="526"/>
        <v>50000</v>
      </c>
      <c r="EB298">
        <v>0</v>
      </c>
      <c r="EC298">
        <f t="shared" si="527"/>
        <v>469860</v>
      </c>
      <c r="ED298">
        <f t="shared" si="528"/>
        <v>28000</v>
      </c>
      <c r="EE298">
        <f t="shared" si="529"/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f t="shared" si="530"/>
        <v>28000</v>
      </c>
      <c r="EQ298">
        <f t="shared" si="594"/>
        <v>28000</v>
      </c>
      <c r="ER298">
        <f t="shared" si="531"/>
        <v>441860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f t="shared" si="595"/>
        <v>0</v>
      </c>
      <c r="FA298">
        <f t="shared" si="596"/>
        <v>441860</v>
      </c>
      <c r="FB298">
        <f t="shared" si="597"/>
        <v>9593</v>
      </c>
      <c r="FC298">
        <f t="shared" si="598"/>
        <v>0</v>
      </c>
      <c r="FD298">
        <f t="shared" si="599"/>
        <v>9593</v>
      </c>
      <c r="FE298">
        <f t="shared" si="600"/>
        <v>0</v>
      </c>
      <c r="FF298">
        <f t="shared" si="601"/>
        <v>0</v>
      </c>
      <c r="FG298">
        <f t="shared" si="602"/>
        <v>0</v>
      </c>
      <c r="FH298">
        <v>0</v>
      </c>
      <c r="FI298">
        <f t="shared" si="603"/>
        <v>0</v>
      </c>
      <c r="FJ298" t="b">
        <f t="shared" si="604"/>
        <v>1</v>
      </c>
      <c r="FK298">
        <f t="shared" ca="1" si="605"/>
        <v>920</v>
      </c>
      <c r="FL298">
        <f t="shared" ca="1" si="606"/>
        <v>523180</v>
      </c>
      <c r="FM298">
        <f t="shared" si="607"/>
        <v>75000</v>
      </c>
      <c r="FN298">
        <f t="shared" ca="1" si="608"/>
        <v>448180</v>
      </c>
      <c r="FO298">
        <f t="shared" ca="1" si="609"/>
        <v>0</v>
      </c>
      <c r="FP298">
        <f t="shared" ca="1" si="610"/>
        <v>0</v>
      </c>
      <c r="FQ298">
        <f t="shared" ca="1" si="611"/>
        <v>0</v>
      </c>
      <c r="FR298">
        <f t="shared" ca="1" si="612"/>
        <v>0</v>
      </c>
      <c r="FS298">
        <f t="shared" ca="1" si="613"/>
        <v>0</v>
      </c>
      <c r="FT298">
        <f t="shared" ca="1" si="614"/>
        <v>0</v>
      </c>
      <c r="FU298">
        <f t="shared" ca="1" si="615"/>
        <v>0</v>
      </c>
      <c r="FV298">
        <f t="shared" ca="1" si="616"/>
        <v>0</v>
      </c>
      <c r="FW298">
        <f t="shared" ca="1" si="617"/>
        <v>148180</v>
      </c>
      <c r="FX298">
        <f t="shared" ca="1" si="618"/>
        <v>7409</v>
      </c>
      <c r="FY298">
        <f t="shared" ca="1" si="619"/>
        <v>7409</v>
      </c>
      <c r="FZ298">
        <f t="shared" ca="1" si="620"/>
        <v>0</v>
      </c>
      <c r="GA298">
        <f t="shared" ca="1" si="621"/>
        <v>0</v>
      </c>
      <c r="GB298">
        <f t="shared" ca="1" si="622"/>
        <v>7409</v>
      </c>
      <c r="GC298">
        <f t="shared" ca="1" si="623"/>
        <v>0</v>
      </c>
      <c r="GD298" t="b">
        <f t="shared" ca="1" si="624"/>
        <v>0</v>
      </c>
      <c r="GE298">
        <f t="shared" ca="1" si="625"/>
        <v>0</v>
      </c>
      <c r="GF298">
        <f t="shared" ca="1" si="626"/>
        <v>7409</v>
      </c>
      <c r="GG298">
        <f t="shared" ca="1" si="627"/>
        <v>0</v>
      </c>
      <c r="GH298">
        <f t="shared" ca="1" si="628"/>
        <v>0</v>
      </c>
      <c r="GI298">
        <f t="shared" ca="1" si="629"/>
        <v>0</v>
      </c>
    </row>
    <row r="299" spans="1:191" x14ac:dyDescent="0.25">
      <c r="A299">
        <f>_xlfn.AGGREGATE(3,5,$B$2:B299)</f>
        <v>298</v>
      </c>
      <c r="B299" t="s">
        <v>716</v>
      </c>
      <c r="C299" t="s">
        <v>717</v>
      </c>
      <c r="D299" t="s">
        <v>841</v>
      </c>
      <c r="E299" t="s">
        <v>843</v>
      </c>
      <c r="F299">
        <v>0</v>
      </c>
      <c r="G299">
        <v>6000</v>
      </c>
      <c r="H299">
        <v>30700</v>
      </c>
      <c r="I299">
        <f t="shared" si="532"/>
        <v>3070</v>
      </c>
      <c r="J299">
        <f t="shared" si="533"/>
        <v>3684</v>
      </c>
      <c r="K299">
        <v>0</v>
      </c>
      <c r="L299">
        <v>0</v>
      </c>
      <c r="M299">
        <f t="shared" si="534"/>
        <v>37454</v>
      </c>
      <c r="N299">
        <v>2000</v>
      </c>
      <c r="O299">
        <v>0</v>
      </c>
      <c r="P299">
        <f t="shared" si="535"/>
        <v>150</v>
      </c>
      <c r="Q299">
        <f t="shared" si="536"/>
        <v>35304</v>
      </c>
      <c r="R299">
        <v>30700</v>
      </c>
      <c r="S299">
        <f t="shared" si="537"/>
        <v>3070</v>
      </c>
      <c r="T299">
        <f t="shared" si="538"/>
        <v>3684</v>
      </c>
      <c r="U299">
        <v>0</v>
      </c>
      <c r="V299">
        <v>0</v>
      </c>
      <c r="W299">
        <f t="shared" si="539"/>
        <v>37454</v>
      </c>
      <c r="X299">
        <v>2000</v>
      </c>
      <c r="Y299">
        <v>0</v>
      </c>
      <c r="Z299">
        <f t="shared" si="540"/>
        <v>150</v>
      </c>
      <c r="AA299">
        <f t="shared" si="541"/>
        <v>35304</v>
      </c>
      <c r="AB299">
        <v>30700</v>
      </c>
      <c r="AC299">
        <f t="shared" si="542"/>
        <v>4298</v>
      </c>
      <c r="AD299">
        <f t="shared" si="543"/>
        <v>3684</v>
      </c>
      <c r="AE299">
        <v>0</v>
      </c>
      <c r="AF299">
        <v>0</v>
      </c>
      <c r="AG299">
        <f t="shared" si="544"/>
        <v>38682</v>
      </c>
      <c r="AH299">
        <v>2000</v>
      </c>
      <c r="AI299">
        <v>0</v>
      </c>
      <c r="AJ299">
        <f t="shared" si="545"/>
        <v>150</v>
      </c>
      <c r="AK299">
        <f t="shared" si="546"/>
        <v>36532</v>
      </c>
      <c r="AL299">
        <v>30700</v>
      </c>
      <c r="AM299">
        <f t="shared" si="547"/>
        <v>4298</v>
      </c>
      <c r="AN299">
        <f t="shared" si="548"/>
        <v>3684</v>
      </c>
      <c r="AO299">
        <v>0</v>
      </c>
      <c r="AP299">
        <v>0</v>
      </c>
      <c r="AQ299">
        <f t="shared" si="549"/>
        <v>38682</v>
      </c>
      <c r="AR299">
        <v>2000</v>
      </c>
      <c r="AS299">
        <v>0</v>
      </c>
      <c r="AT299">
        <f t="shared" si="550"/>
        <v>150</v>
      </c>
      <c r="AU299">
        <f t="shared" si="551"/>
        <v>36532</v>
      </c>
      <c r="AV299">
        <v>31600</v>
      </c>
      <c r="AW299">
        <f t="shared" si="552"/>
        <v>4424</v>
      </c>
      <c r="AX299">
        <f t="shared" si="553"/>
        <v>1228</v>
      </c>
      <c r="AY299">
        <f t="shared" si="554"/>
        <v>3792</v>
      </c>
      <c r="AZ299">
        <v>0</v>
      </c>
      <c r="BA299">
        <v>0</v>
      </c>
      <c r="BB299">
        <f t="shared" si="555"/>
        <v>41044</v>
      </c>
      <c r="BC299">
        <v>2000</v>
      </c>
      <c r="BD299">
        <v>0</v>
      </c>
      <c r="BE299">
        <f t="shared" si="556"/>
        <v>200</v>
      </c>
      <c r="BF299">
        <f t="shared" si="557"/>
        <v>38844</v>
      </c>
      <c r="BG299">
        <v>31600</v>
      </c>
      <c r="BH299">
        <f t="shared" si="558"/>
        <v>4424</v>
      </c>
      <c r="BI299">
        <f t="shared" si="559"/>
        <v>3792</v>
      </c>
      <c r="BJ299">
        <v>0</v>
      </c>
      <c r="BK299">
        <v>0</v>
      </c>
      <c r="BL299">
        <f t="shared" si="560"/>
        <v>39816</v>
      </c>
      <c r="BM299">
        <v>2000</v>
      </c>
      <c r="BN299">
        <v>0</v>
      </c>
      <c r="BO299">
        <f t="shared" si="561"/>
        <v>150</v>
      </c>
      <c r="BP299">
        <f t="shared" si="562"/>
        <v>37666</v>
      </c>
      <c r="BQ299">
        <v>31600</v>
      </c>
      <c r="BR299">
        <f t="shared" si="563"/>
        <v>4424</v>
      </c>
      <c r="BS299">
        <f t="shared" si="564"/>
        <v>3792</v>
      </c>
      <c r="BT299">
        <v>0</v>
      </c>
      <c r="BU299">
        <v>0</v>
      </c>
      <c r="BV299">
        <f t="shared" si="565"/>
        <v>39816</v>
      </c>
      <c r="BW299">
        <v>2000</v>
      </c>
      <c r="BX299">
        <v>0</v>
      </c>
      <c r="BY299">
        <f t="shared" si="566"/>
        <v>150</v>
      </c>
      <c r="BZ299">
        <f t="shared" si="567"/>
        <v>37666</v>
      </c>
      <c r="CA299">
        <v>31600</v>
      </c>
      <c r="CB299">
        <f t="shared" si="568"/>
        <v>4424</v>
      </c>
      <c r="CC299">
        <f t="shared" si="569"/>
        <v>3792</v>
      </c>
      <c r="CD299">
        <v>0</v>
      </c>
      <c r="CE299">
        <v>0</v>
      </c>
      <c r="CF299">
        <f t="shared" si="570"/>
        <v>39816</v>
      </c>
      <c r="CG299">
        <v>2000</v>
      </c>
      <c r="CH299">
        <v>0</v>
      </c>
      <c r="CI299">
        <f t="shared" si="571"/>
        <v>150</v>
      </c>
      <c r="CJ299">
        <f t="shared" si="572"/>
        <v>37666</v>
      </c>
      <c r="CK299">
        <v>31600</v>
      </c>
      <c r="CL299">
        <f t="shared" si="573"/>
        <v>4424</v>
      </c>
      <c r="CM299">
        <f t="shared" si="574"/>
        <v>3792</v>
      </c>
      <c r="CN299">
        <v>0</v>
      </c>
      <c r="CO299">
        <v>0</v>
      </c>
      <c r="CP299">
        <f t="shared" si="575"/>
        <v>39816</v>
      </c>
      <c r="CQ299">
        <v>2000</v>
      </c>
      <c r="CR299">
        <v>0</v>
      </c>
      <c r="CS299">
        <f t="shared" si="576"/>
        <v>150</v>
      </c>
      <c r="CT299">
        <f t="shared" si="577"/>
        <v>37666</v>
      </c>
      <c r="CU299">
        <v>31600</v>
      </c>
      <c r="CV299">
        <f t="shared" si="578"/>
        <v>4424</v>
      </c>
      <c r="CW299">
        <f t="shared" si="579"/>
        <v>3792</v>
      </c>
      <c r="CX299">
        <v>0</v>
      </c>
      <c r="CY299">
        <v>0</v>
      </c>
      <c r="CZ299">
        <f t="shared" si="580"/>
        <v>39816</v>
      </c>
      <c r="DA299">
        <v>2000</v>
      </c>
      <c r="DB299">
        <v>0</v>
      </c>
      <c r="DC299">
        <f t="shared" si="581"/>
        <v>150</v>
      </c>
      <c r="DD299">
        <f t="shared" si="582"/>
        <v>37666</v>
      </c>
      <c r="DE299">
        <v>31600</v>
      </c>
      <c r="DF299">
        <f t="shared" si="583"/>
        <v>4424</v>
      </c>
      <c r="DG299">
        <f t="shared" si="584"/>
        <v>3792</v>
      </c>
      <c r="DH299">
        <v>0</v>
      </c>
      <c r="DI299">
        <v>0</v>
      </c>
      <c r="DJ299">
        <f t="shared" si="585"/>
        <v>39816</v>
      </c>
      <c r="DK299">
        <v>2000</v>
      </c>
      <c r="DL299">
        <v>0</v>
      </c>
      <c r="DM299">
        <f t="shared" si="586"/>
        <v>150</v>
      </c>
      <c r="DN299">
        <f t="shared" si="587"/>
        <v>37666</v>
      </c>
      <c r="DO299">
        <v>31600</v>
      </c>
      <c r="DP299">
        <f t="shared" si="588"/>
        <v>4424</v>
      </c>
      <c r="DQ299">
        <f t="shared" si="589"/>
        <v>3792</v>
      </c>
      <c r="DR299">
        <v>0</v>
      </c>
      <c r="DS299">
        <v>0</v>
      </c>
      <c r="DT299">
        <f t="shared" si="590"/>
        <v>39816</v>
      </c>
      <c r="DU299">
        <v>2000</v>
      </c>
      <c r="DV299">
        <v>0</v>
      </c>
      <c r="DW299">
        <f t="shared" si="591"/>
        <v>150</v>
      </c>
      <c r="DX299">
        <f t="shared" si="592"/>
        <v>37666</v>
      </c>
      <c r="DY299">
        <f t="shared" si="593"/>
        <v>478028</v>
      </c>
      <c r="DZ299">
        <f t="shared" si="525"/>
        <v>1850</v>
      </c>
      <c r="EA299">
        <f t="shared" si="526"/>
        <v>50000</v>
      </c>
      <c r="EB299">
        <v>0</v>
      </c>
      <c r="EC299">
        <f t="shared" si="527"/>
        <v>426178</v>
      </c>
      <c r="ED299">
        <f t="shared" si="528"/>
        <v>24000</v>
      </c>
      <c r="EE299">
        <f t="shared" si="529"/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f t="shared" si="530"/>
        <v>24000</v>
      </c>
      <c r="EQ299">
        <f t="shared" si="594"/>
        <v>24000</v>
      </c>
      <c r="ER299">
        <f t="shared" si="531"/>
        <v>402178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f t="shared" si="595"/>
        <v>0</v>
      </c>
      <c r="FA299">
        <f t="shared" si="596"/>
        <v>402178</v>
      </c>
      <c r="FB299">
        <f t="shared" si="597"/>
        <v>7609</v>
      </c>
      <c r="FC299">
        <f t="shared" si="598"/>
        <v>0</v>
      </c>
      <c r="FD299">
        <f t="shared" si="599"/>
        <v>7609</v>
      </c>
      <c r="FE299">
        <f t="shared" si="600"/>
        <v>0</v>
      </c>
      <c r="FF299">
        <f t="shared" si="601"/>
        <v>0</v>
      </c>
      <c r="FG299">
        <f t="shared" si="602"/>
        <v>0</v>
      </c>
      <c r="FH299">
        <v>0</v>
      </c>
      <c r="FI299">
        <f t="shared" si="603"/>
        <v>0</v>
      </c>
      <c r="FJ299" t="b">
        <f t="shared" si="604"/>
        <v>0</v>
      </c>
      <c r="FK299">
        <f t="shared" ca="1" si="605"/>
        <v>1828</v>
      </c>
      <c r="FL299">
        <f t="shared" ca="1" si="606"/>
        <v>479856</v>
      </c>
      <c r="FM299">
        <f t="shared" si="607"/>
        <v>75000</v>
      </c>
      <c r="FN299">
        <f t="shared" ca="1" si="608"/>
        <v>404856</v>
      </c>
      <c r="FO299">
        <f t="shared" ca="1" si="609"/>
        <v>0</v>
      </c>
      <c r="FP299">
        <f t="shared" ca="1" si="610"/>
        <v>0</v>
      </c>
      <c r="FQ299">
        <f t="shared" ca="1" si="611"/>
        <v>0</v>
      </c>
      <c r="FR299">
        <f t="shared" ca="1" si="612"/>
        <v>0</v>
      </c>
      <c r="FS299">
        <f t="shared" ca="1" si="613"/>
        <v>0</v>
      </c>
      <c r="FT299">
        <f t="shared" ca="1" si="614"/>
        <v>0</v>
      </c>
      <c r="FU299">
        <f t="shared" ca="1" si="615"/>
        <v>0</v>
      </c>
      <c r="FV299">
        <f t="shared" ca="1" si="616"/>
        <v>0</v>
      </c>
      <c r="FW299">
        <f t="shared" ca="1" si="617"/>
        <v>104856</v>
      </c>
      <c r="FX299">
        <f t="shared" ca="1" si="618"/>
        <v>5242.8</v>
      </c>
      <c r="FY299">
        <f t="shared" ca="1" si="619"/>
        <v>5243</v>
      </c>
      <c r="FZ299">
        <f t="shared" ca="1" si="620"/>
        <v>0</v>
      </c>
      <c r="GA299">
        <f t="shared" ca="1" si="621"/>
        <v>0</v>
      </c>
      <c r="GB299">
        <f t="shared" ca="1" si="622"/>
        <v>5243</v>
      </c>
      <c r="GC299">
        <f t="shared" ca="1" si="623"/>
        <v>0</v>
      </c>
      <c r="GD299" t="b">
        <f t="shared" ca="1" si="624"/>
        <v>0</v>
      </c>
      <c r="GE299">
        <f t="shared" ca="1" si="625"/>
        <v>0</v>
      </c>
      <c r="GF299">
        <f t="shared" ca="1" si="626"/>
        <v>5243</v>
      </c>
      <c r="GG299">
        <f t="shared" ca="1" si="627"/>
        <v>0</v>
      </c>
      <c r="GH299">
        <f t="shared" ca="1" si="628"/>
        <v>0</v>
      </c>
      <c r="GI299">
        <f t="shared" ca="1" si="629"/>
        <v>0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USPRYS</dc:creator>
  <cp:lastModifiedBy>Islam</cp:lastModifiedBy>
  <dcterms:created xsi:type="dcterms:W3CDTF">2024-12-05T07:00:12Z</dcterms:created>
  <dcterms:modified xsi:type="dcterms:W3CDTF">2026-02-24T04:37:25Z</dcterms:modified>
</cp:coreProperties>
</file>