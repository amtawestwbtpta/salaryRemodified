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6\"/>
    </mc:Choice>
  </mc:AlternateContent>
  <xr:revisionPtr revIDLastSave="0" documentId="13_ncr:1_{DB388726-B1FC-4D55-8DC1-F2168E0B4B3A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2" i="2" l="1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M3" i="1"/>
  <c r="EM4" i="1"/>
  <c r="EM5" i="1"/>
  <c r="EM6" i="1"/>
  <c r="EM7" i="1"/>
  <c r="EM8" i="1"/>
  <c r="EM9" i="1"/>
  <c r="EM10" i="1"/>
  <c r="EM11" i="1"/>
  <c r="EM12" i="1"/>
  <c r="EM13" i="1"/>
  <c r="EM14" i="1"/>
  <c r="EM15" i="1"/>
  <c r="EM16" i="1"/>
  <c r="EM17" i="1"/>
  <c r="EM18" i="1"/>
  <c r="EM19" i="1"/>
  <c r="EM20" i="1"/>
  <c r="EM21" i="1"/>
  <c r="EM22" i="1"/>
  <c r="EM23" i="1"/>
  <c r="EM24" i="1"/>
  <c r="EM25" i="1"/>
  <c r="EM26" i="1"/>
  <c r="EM27" i="1"/>
  <c r="EM28" i="1"/>
  <c r="EM29" i="1"/>
  <c r="EM30" i="1"/>
  <c r="EM31" i="1"/>
  <c r="EM32" i="1"/>
  <c r="EM33" i="1"/>
  <c r="EM34" i="1"/>
  <c r="EM35" i="1"/>
  <c r="EM36" i="1"/>
  <c r="EM37" i="1"/>
  <c r="EM38" i="1"/>
  <c r="EM39" i="1"/>
  <c r="EM40" i="1"/>
  <c r="EM41" i="1"/>
  <c r="EM42" i="1"/>
  <c r="EM43" i="1"/>
  <c r="EM44" i="1"/>
  <c r="EM45" i="1"/>
  <c r="EM46" i="1"/>
  <c r="EM47" i="1"/>
  <c r="EM48" i="1"/>
  <c r="EM49" i="1"/>
  <c r="EM50" i="1"/>
  <c r="EM51" i="1"/>
  <c r="EM52" i="1"/>
  <c r="EM53" i="1"/>
  <c r="EM54" i="1"/>
  <c r="EM55" i="1"/>
  <c r="EM56" i="1"/>
  <c r="EM57" i="1"/>
  <c r="EM58" i="1"/>
  <c r="EM59" i="1"/>
  <c r="EM60" i="1"/>
  <c r="EM61" i="1"/>
  <c r="EM62" i="1"/>
  <c r="EM63" i="1"/>
  <c r="EM64" i="1"/>
  <c r="EM65" i="1"/>
  <c r="EM66" i="1"/>
  <c r="EM67" i="1"/>
  <c r="EM68" i="1"/>
  <c r="EM69" i="1"/>
  <c r="EM70" i="1"/>
  <c r="EM71" i="1"/>
  <c r="EM72" i="1"/>
  <c r="EM73" i="1"/>
  <c r="EM74" i="1"/>
  <c r="EM75" i="1"/>
  <c r="EM76" i="1"/>
  <c r="EM77" i="1"/>
  <c r="EM78" i="1"/>
  <c r="EM79" i="1"/>
  <c r="EM80" i="1"/>
  <c r="EM81" i="1"/>
  <c r="EM82" i="1"/>
  <c r="EM83" i="1"/>
  <c r="EM84" i="1"/>
  <c r="EM85" i="1"/>
  <c r="EM86" i="1"/>
  <c r="EM87" i="1"/>
  <c r="EM88" i="1"/>
  <c r="EM89" i="1"/>
  <c r="EM90" i="1"/>
  <c r="EM91" i="1"/>
  <c r="EM92" i="1"/>
  <c r="EM93" i="1"/>
  <c r="EM94" i="1"/>
  <c r="EM95" i="1"/>
  <c r="EM96" i="1"/>
  <c r="EM97" i="1"/>
  <c r="EM98" i="1"/>
  <c r="EM99" i="1"/>
  <c r="EM100" i="1"/>
  <c r="EM101" i="1"/>
  <c r="EM102" i="1"/>
  <c r="EM103" i="1"/>
  <c r="EM104" i="1"/>
  <c r="EM105" i="1"/>
  <c r="EM106" i="1"/>
  <c r="EM107" i="1"/>
  <c r="EM108" i="1"/>
  <c r="EM109" i="1"/>
  <c r="EM110" i="1"/>
  <c r="EM111" i="1"/>
  <c r="EM112" i="1"/>
  <c r="EM113" i="1"/>
  <c r="EM114" i="1"/>
  <c r="EM115" i="1"/>
  <c r="EM116" i="1"/>
  <c r="EM117" i="1"/>
  <c r="EM118" i="1"/>
  <c r="EM119" i="1"/>
  <c r="EM120" i="1"/>
  <c r="EM121" i="1"/>
  <c r="EM122" i="1"/>
  <c r="EM123" i="1"/>
  <c r="EM124" i="1"/>
  <c r="EM125" i="1"/>
  <c r="EM126" i="1"/>
  <c r="EM127" i="1"/>
  <c r="EM128" i="1"/>
  <c r="EM129" i="1"/>
  <c r="EM130" i="1"/>
  <c r="EM131" i="1"/>
  <c r="EM132" i="1"/>
  <c r="EM133" i="1"/>
  <c r="EM134" i="1"/>
  <c r="EM135" i="1"/>
  <c r="EM136" i="1"/>
  <c r="EM137" i="1"/>
  <c r="EM138" i="1"/>
  <c r="EM139" i="1"/>
  <c r="EM140" i="1"/>
  <c r="EM141" i="1"/>
  <c r="EM142" i="1"/>
  <c r="EM143" i="1"/>
  <c r="EM144" i="1"/>
  <c r="EM145" i="1"/>
  <c r="EM146" i="1"/>
  <c r="EM147" i="1"/>
  <c r="EM148" i="1"/>
  <c r="EM149" i="1"/>
  <c r="EM150" i="1"/>
  <c r="EM151" i="1"/>
  <c r="EM152" i="1"/>
  <c r="EM153" i="1"/>
  <c r="EM154" i="1"/>
  <c r="EM155" i="1"/>
  <c r="EM156" i="1"/>
  <c r="EM157" i="1"/>
  <c r="EM158" i="1"/>
  <c r="EM159" i="1"/>
  <c r="EM160" i="1"/>
  <c r="EM161" i="1"/>
  <c r="EM162" i="1"/>
  <c r="EM163" i="1"/>
  <c r="EM164" i="1"/>
  <c r="EM165" i="1"/>
  <c r="EM166" i="1"/>
  <c r="EM167" i="1"/>
  <c r="EM168" i="1"/>
  <c r="EM169" i="1"/>
  <c r="EM170" i="1"/>
  <c r="EM171" i="1"/>
  <c r="EM172" i="1"/>
  <c r="EM173" i="1"/>
  <c r="EM174" i="1"/>
  <c r="EM175" i="1"/>
  <c r="EM176" i="1"/>
  <c r="EM177" i="1"/>
  <c r="EM178" i="1"/>
  <c r="EM179" i="1"/>
  <c r="EM180" i="1"/>
  <c r="EM181" i="1"/>
  <c r="EM182" i="1"/>
  <c r="EM183" i="1"/>
  <c r="EM184" i="1"/>
  <c r="EM185" i="1"/>
  <c r="EM186" i="1"/>
  <c r="EM187" i="1"/>
  <c r="EM188" i="1"/>
  <c r="EM189" i="1"/>
  <c r="EM190" i="1"/>
  <c r="EM191" i="1"/>
  <c r="EM192" i="1"/>
  <c r="EM193" i="1"/>
  <c r="EM194" i="1"/>
  <c r="EM195" i="1"/>
  <c r="EM196" i="1"/>
  <c r="EM197" i="1"/>
  <c r="EM198" i="1"/>
  <c r="EM199" i="1"/>
  <c r="EM200" i="1"/>
  <c r="EM201" i="1"/>
  <c r="EM202" i="1"/>
  <c r="EM203" i="1"/>
  <c r="EM204" i="1"/>
  <c r="EM205" i="1"/>
  <c r="EM206" i="1"/>
  <c r="EM207" i="1"/>
  <c r="EM208" i="1"/>
  <c r="EM209" i="1"/>
  <c r="EM210" i="1"/>
  <c r="EM211" i="1"/>
  <c r="EM212" i="1"/>
  <c r="EM213" i="1"/>
  <c r="EM214" i="1"/>
  <c r="EM215" i="1"/>
  <c r="EM216" i="1"/>
  <c r="EM217" i="1"/>
  <c r="EM218" i="1"/>
  <c r="EM219" i="1"/>
  <c r="EM220" i="1"/>
  <c r="EM221" i="1"/>
  <c r="EM222" i="1"/>
  <c r="EM223" i="1"/>
  <c r="EM224" i="1"/>
  <c r="EM225" i="1"/>
  <c r="EM226" i="1"/>
  <c r="EM227" i="1"/>
  <c r="EM228" i="1"/>
  <c r="EM229" i="1"/>
  <c r="EM230" i="1"/>
  <c r="EM231" i="1"/>
  <c r="EM232" i="1"/>
  <c r="EM233" i="1"/>
  <c r="EM234" i="1"/>
  <c r="EM235" i="1"/>
  <c r="EM236" i="1"/>
  <c r="EM237" i="1"/>
  <c r="EM238" i="1"/>
  <c r="EM239" i="1"/>
  <c r="EM240" i="1"/>
  <c r="EM241" i="1"/>
  <c r="EM242" i="1"/>
  <c r="EM243" i="1"/>
  <c r="EM244" i="1"/>
  <c r="EM245" i="1"/>
  <c r="EM246" i="1"/>
  <c r="EM247" i="1"/>
  <c r="EM248" i="1"/>
  <c r="EM249" i="1"/>
  <c r="EM250" i="1"/>
  <c r="EM251" i="1"/>
  <c r="EM252" i="1"/>
  <c r="EM253" i="1"/>
  <c r="EM254" i="1"/>
  <c r="EM255" i="1"/>
  <c r="EM256" i="1"/>
  <c r="EM257" i="1"/>
  <c r="EM258" i="1"/>
  <c r="EM259" i="1"/>
  <c r="EM260" i="1"/>
  <c r="EM261" i="1"/>
  <c r="EM262" i="1"/>
  <c r="EM263" i="1"/>
  <c r="EM264" i="1"/>
  <c r="EM265" i="1"/>
  <c r="EM266" i="1"/>
  <c r="EM267" i="1"/>
  <c r="EM268" i="1"/>
  <c r="EM269" i="1"/>
  <c r="EM270" i="1"/>
  <c r="EM271" i="1"/>
  <c r="EM272" i="1"/>
  <c r="EM273" i="1"/>
  <c r="EM274" i="1"/>
  <c r="EM275" i="1"/>
  <c r="EM276" i="1"/>
  <c r="EM277" i="1"/>
  <c r="EM278" i="1"/>
  <c r="EM279" i="1"/>
  <c r="EM280" i="1"/>
  <c r="EM281" i="1"/>
  <c r="EM282" i="1"/>
  <c r="EM283" i="1"/>
  <c r="EM284" i="1"/>
  <c r="EM285" i="1"/>
  <c r="EM286" i="1"/>
  <c r="EM287" i="1"/>
  <c r="EM288" i="1"/>
  <c r="EM289" i="1"/>
  <c r="EM290" i="1"/>
  <c r="EM291" i="1"/>
  <c r="EM292" i="1"/>
  <c r="EM293" i="1"/>
  <c r="EM294" i="1"/>
  <c r="EM295" i="1"/>
  <c r="EM296" i="1"/>
  <c r="EM297" i="1"/>
  <c r="EM298" i="1"/>
  <c r="EM299" i="1"/>
  <c r="EM300" i="1"/>
  <c r="EM301" i="1"/>
  <c r="EM302" i="1"/>
  <c r="EM303" i="1"/>
  <c r="EM304" i="1"/>
  <c r="EM305" i="1"/>
  <c r="EM306" i="1"/>
  <c r="EM307" i="1"/>
  <c r="EM308" i="1"/>
  <c r="EM309" i="1"/>
  <c r="EM310" i="1"/>
  <c r="EM311" i="1"/>
  <c r="EM2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3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3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3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3" i="1"/>
  <c r="DF224" i="1"/>
  <c r="DF225" i="1"/>
  <c r="DF226" i="1"/>
  <c r="DG226" i="1" s="1"/>
  <c r="DF227" i="1"/>
  <c r="DF228" i="1"/>
  <c r="DF229" i="1"/>
  <c r="DH229" i="1" s="1"/>
  <c r="DF230" i="1"/>
  <c r="DF231" i="1"/>
  <c r="DH231" i="1" s="1"/>
  <c r="DF232" i="1"/>
  <c r="DF233" i="1"/>
  <c r="DG233" i="1" s="1"/>
  <c r="DF234" i="1"/>
  <c r="DF235" i="1"/>
  <c r="DG235" i="1" s="1"/>
  <c r="DF236" i="1"/>
  <c r="DF237" i="1"/>
  <c r="DH237" i="1" s="1"/>
  <c r="DF238" i="1"/>
  <c r="DF239" i="1"/>
  <c r="DH239" i="1" s="1"/>
  <c r="DF240" i="1"/>
  <c r="DG240" i="1" s="1"/>
  <c r="DF241" i="1"/>
  <c r="DF242" i="1"/>
  <c r="DF243" i="1"/>
  <c r="DH243" i="1" s="1"/>
  <c r="DF244" i="1"/>
  <c r="DF245" i="1"/>
  <c r="DF246" i="1"/>
  <c r="DF247" i="1"/>
  <c r="DF248" i="1"/>
  <c r="DF249" i="1"/>
  <c r="DH249" i="1" s="1"/>
  <c r="DF250" i="1"/>
  <c r="DG250" i="1" s="1"/>
  <c r="DF251" i="1"/>
  <c r="DG251" i="1" s="1"/>
  <c r="DF252" i="1"/>
  <c r="DF253" i="1"/>
  <c r="DF254" i="1"/>
  <c r="DG254" i="1" s="1"/>
  <c r="DF255" i="1"/>
  <c r="DF256" i="1"/>
  <c r="DH256" i="1" s="1"/>
  <c r="DF257" i="1"/>
  <c r="DF258" i="1"/>
  <c r="DG258" i="1" s="1"/>
  <c r="DF259" i="1"/>
  <c r="DH259" i="1" s="1"/>
  <c r="DF260" i="1"/>
  <c r="DG260" i="1" s="1"/>
  <c r="DF261" i="1"/>
  <c r="DF262" i="1"/>
  <c r="DG262" i="1" s="1"/>
  <c r="DF263" i="1"/>
  <c r="DG263" i="1" s="1"/>
  <c r="DF264" i="1"/>
  <c r="DF265" i="1"/>
  <c r="DF266" i="1"/>
  <c r="DF267" i="1"/>
  <c r="DF268" i="1"/>
  <c r="DF269" i="1"/>
  <c r="DF270" i="1"/>
  <c r="DG270" i="1" s="1"/>
  <c r="DF271" i="1"/>
  <c r="DH271" i="1" s="1"/>
  <c r="DF272" i="1"/>
  <c r="DF273" i="1"/>
  <c r="DG273" i="1" s="1"/>
  <c r="DF274" i="1"/>
  <c r="DG274" i="1" s="1"/>
  <c r="DF275" i="1"/>
  <c r="DG275" i="1" s="1"/>
  <c r="DF276" i="1"/>
  <c r="DG276" i="1" s="1"/>
  <c r="DF277" i="1"/>
  <c r="DF278" i="1"/>
  <c r="DF279" i="1"/>
  <c r="DG279" i="1" s="1"/>
  <c r="DF280" i="1"/>
  <c r="DH280" i="1" s="1"/>
  <c r="DF281" i="1"/>
  <c r="DG281" i="1" s="1"/>
  <c r="DF282" i="1"/>
  <c r="DG282" i="1" s="1"/>
  <c r="DF283" i="1"/>
  <c r="DG283" i="1" s="1"/>
  <c r="DF284" i="1"/>
  <c r="DH284" i="1" s="1"/>
  <c r="DF285" i="1"/>
  <c r="DF286" i="1"/>
  <c r="DF287" i="1"/>
  <c r="DG287" i="1" s="1"/>
  <c r="DF288" i="1"/>
  <c r="DF289" i="1"/>
  <c r="DF290" i="1"/>
  <c r="DF291" i="1"/>
  <c r="DF292" i="1"/>
  <c r="DG292" i="1" s="1"/>
  <c r="DF293" i="1"/>
  <c r="DF294" i="1"/>
  <c r="DF295" i="1"/>
  <c r="DH295" i="1" s="1"/>
  <c r="DF296" i="1"/>
  <c r="DG296" i="1" s="1"/>
  <c r="DF297" i="1"/>
  <c r="DF298" i="1"/>
  <c r="DF299" i="1"/>
  <c r="DH299" i="1" s="1"/>
  <c r="DF300" i="1"/>
  <c r="DG300" i="1" s="1"/>
  <c r="DF301" i="1"/>
  <c r="DG301" i="1" s="1"/>
  <c r="DF302" i="1"/>
  <c r="DF303" i="1"/>
  <c r="DG303" i="1" s="1"/>
  <c r="DF304" i="1"/>
  <c r="DG304" i="1" s="1"/>
  <c r="DF305" i="1"/>
  <c r="DG305" i="1" s="1"/>
  <c r="DF306" i="1"/>
  <c r="DF307" i="1"/>
  <c r="DH307" i="1" s="1"/>
  <c r="DF308" i="1"/>
  <c r="DG308" i="1" s="1"/>
  <c r="DF309" i="1"/>
  <c r="DF310" i="1"/>
  <c r="DG310" i="1" s="1"/>
  <c r="DF311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3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2" i="1"/>
  <c r="DP63" i="1"/>
  <c r="DP64" i="1"/>
  <c r="DP65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P89" i="1"/>
  <c r="DP90" i="1"/>
  <c r="DP91" i="1"/>
  <c r="DP92" i="1"/>
  <c r="DP93" i="1"/>
  <c r="DP94" i="1"/>
  <c r="DP95" i="1"/>
  <c r="DP96" i="1"/>
  <c r="DP97" i="1"/>
  <c r="DP98" i="1"/>
  <c r="DP99" i="1"/>
  <c r="DR99" i="1" s="1"/>
  <c r="DP100" i="1"/>
  <c r="DP101" i="1"/>
  <c r="DP102" i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3" i="1"/>
  <c r="DR223" i="1" s="1"/>
  <c r="DP224" i="1"/>
  <c r="DP225" i="1"/>
  <c r="DR225" i="1" s="1"/>
  <c r="DP226" i="1"/>
  <c r="DP227" i="1"/>
  <c r="DP228" i="1"/>
  <c r="DR228" i="1" s="1"/>
  <c r="DP229" i="1"/>
  <c r="DP230" i="1"/>
  <c r="DR230" i="1" s="1"/>
  <c r="DP231" i="1"/>
  <c r="DQ231" i="1" s="1"/>
  <c r="DP232" i="1"/>
  <c r="DP233" i="1"/>
  <c r="DQ233" i="1" s="1"/>
  <c r="DP234" i="1"/>
  <c r="DR234" i="1" s="1"/>
  <c r="DP235" i="1"/>
  <c r="DR235" i="1" s="1"/>
  <c r="DP236" i="1"/>
  <c r="DQ236" i="1" s="1"/>
  <c r="DP237" i="1"/>
  <c r="DP238" i="1"/>
  <c r="DR238" i="1" s="1"/>
  <c r="DP239" i="1"/>
  <c r="DQ239" i="1" s="1"/>
  <c r="DP240" i="1"/>
  <c r="DR240" i="1" s="1"/>
  <c r="DP241" i="1"/>
  <c r="DQ241" i="1" s="1"/>
  <c r="DP242" i="1"/>
  <c r="DP243" i="1"/>
  <c r="DR243" i="1" s="1"/>
  <c r="DP244" i="1"/>
  <c r="DQ244" i="1" s="1"/>
  <c r="DP245" i="1"/>
  <c r="DR245" i="1" s="1"/>
  <c r="DP246" i="1"/>
  <c r="DP247" i="1"/>
  <c r="DQ247" i="1" s="1"/>
  <c r="DP248" i="1"/>
  <c r="DP249" i="1"/>
  <c r="DP250" i="1"/>
  <c r="DP251" i="1"/>
  <c r="DQ251" i="1" s="1"/>
  <c r="DP252" i="1"/>
  <c r="DQ252" i="1" s="1"/>
  <c r="DP253" i="1"/>
  <c r="DP254" i="1"/>
  <c r="DP255" i="1"/>
  <c r="DQ255" i="1" s="1"/>
  <c r="DP256" i="1"/>
  <c r="DR256" i="1" s="1"/>
  <c r="DP257" i="1"/>
  <c r="DQ257" i="1" s="1"/>
  <c r="DP258" i="1"/>
  <c r="DQ258" i="1" s="1"/>
  <c r="DP259" i="1"/>
  <c r="DP260" i="1"/>
  <c r="DP261" i="1"/>
  <c r="DP262" i="1"/>
  <c r="DP263" i="1"/>
  <c r="DP264" i="1"/>
  <c r="DP265" i="1"/>
  <c r="DP266" i="1"/>
  <c r="DP267" i="1"/>
  <c r="DP268" i="1"/>
  <c r="DQ268" i="1" s="1"/>
  <c r="DP269" i="1"/>
  <c r="DP270" i="1"/>
  <c r="DP271" i="1"/>
  <c r="DQ271" i="1" s="1"/>
  <c r="DP272" i="1"/>
  <c r="DP273" i="1"/>
  <c r="DP274" i="1"/>
  <c r="DR274" i="1" s="1"/>
  <c r="DP275" i="1"/>
  <c r="DP276" i="1"/>
  <c r="DQ276" i="1" s="1"/>
  <c r="DP277" i="1"/>
  <c r="DR277" i="1" s="1"/>
  <c r="DP278" i="1"/>
  <c r="DQ278" i="1" s="1"/>
  <c r="DP279" i="1"/>
  <c r="DQ279" i="1" s="1"/>
  <c r="DP280" i="1"/>
  <c r="DP281" i="1"/>
  <c r="DP282" i="1"/>
  <c r="DQ282" i="1" s="1"/>
  <c r="DP283" i="1"/>
  <c r="DQ283" i="1" s="1"/>
  <c r="DP284" i="1"/>
  <c r="DP285" i="1"/>
  <c r="DP286" i="1"/>
  <c r="DQ286" i="1" s="1"/>
  <c r="DP287" i="1"/>
  <c r="DP288" i="1"/>
  <c r="DQ288" i="1" s="1"/>
  <c r="DP289" i="1"/>
  <c r="DR289" i="1" s="1"/>
  <c r="DP290" i="1"/>
  <c r="DQ290" i="1" s="1"/>
  <c r="DP291" i="1"/>
  <c r="DR291" i="1" s="1"/>
  <c r="DP292" i="1"/>
  <c r="DQ292" i="1" s="1"/>
  <c r="DP293" i="1"/>
  <c r="DR293" i="1" s="1"/>
  <c r="DP294" i="1"/>
  <c r="DP295" i="1"/>
  <c r="DQ295" i="1" s="1"/>
  <c r="DP296" i="1"/>
  <c r="DP297" i="1"/>
  <c r="DR297" i="1" s="1"/>
  <c r="DP298" i="1"/>
  <c r="DP299" i="1"/>
  <c r="DQ299" i="1" s="1"/>
  <c r="DP300" i="1"/>
  <c r="DQ300" i="1" s="1"/>
  <c r="DP301" i="1"/>
  <c r="DQ301" i="1" s="1"/>
  <c r="DP302" i="1"/>
  <c r="DR302" i="1" s="1"/>
  <c r="DP303" i="1"/>
  <c r="DQ303" i="1" s="1"/>
  <c r="DP304" i="1"/>
  <c r="DP305" i="1"/>
  <c r="DQ305" i="1" s="1"/>
  <c r="DP306" i="1"/>
  <c r="DR306" i="1" s="1"/>
  <c r="DP307" i="1"/>
  <c r="DP308" i="1"/>
  <c r="DQ308" i="1" s="1"/>
  <c r="DP309" i="1"/>
  <c r="DP310" i="1"/>
  <c r="DQ310" i="1" s="1"/>
  <c r="DP311" i="1"/>
  <c r="DP5" i="1"/>
  <c r="DQ102" i="1"/>
  <c r="DR101" i="1"/>
  <c r="DQ98" i="1"/>
  <c r="DR97" i="1"/>
  <c r="DQ96" i="1"/>
  <c r="DQ94" i="1"/>
  <c r="DQ88" i="1"/>
  <c r="DQ85" i="1"/>
  <c r="DQ84" i="1"/>
  <c r="DR80" i="1"/>
  <c r="DQ77" i="1"/>
  <c r="DQ76" i="1"/>
  <c r="DQ75" i="1"/>
  <c r="DQ74" i="1"/>
  <c r="DQ67" i="1"/>
  <c r="DR66" i="1"/>
  <c r="DR64" i="1"/>
  <c r="DQ63" i="1"/>
  <c r="DQ61" i="1"/>
  <c r="DQ56" i="1"/>
  <c r="DR47" i="1"/>
  <c r="DQ42" i="1"/>
  <c r="DR40" i="1"/>
  <c r="DQ38" i="1"/>
  <c r="DQ36" i="1"/>
  <c r="DR34" i="1"/>
  <c r="DR32" i="1"/>
  <c r="DQ30" i="1"/>
  <c r="DQ26" i="1"/>
  <c r="DQ21" i="1"/>
  <c r="DQ19" i="1"/>
  <c r="DQ16" i="1"/>
  <c r="DR15" i="1"/>
  <c r="DQ13" i="1"/>
  <c r="DQ12" i="1"/>
  <c r="DR11" i="1"/>
  <c r="DQ8" i="1"/>
  <c r="DQ7" i="1"/>
  <c r="DQ6" i="1"/>
  <c r="H3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H4" i="1"/>
  <c r="I4" i="1"/>
  <c r="J4" i="1" s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H5" i="1"/>
  <c r="I5" i="1"/>
  <c r="J5" i="1" s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DR5" i="1"/>
  <c r="DQ5" i="1"/>
  <c r="EA5" i="1"/>
  <c r="EB5" i="1"/>
  <c r="EC5" i="1"/>
  <c r="ED5" i="1"/>
  <c r="EE5" i="1"/>
  <c r="EF5" i="1"/>
  <c r="EG5" i="1"/>
  <c r="EH5" i="1"/>
  <c r="EI5" i="1"/>
  <c r="H6" i="1"/>
  <c r="I6" i="1"/>
  <c r="J6" i="1" s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H7" i="1"/>
  <c r="I7" i="1"/>
  <c r="J7" i="1" s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H8" i="1"/>
  <c r="I8" i="1"/>
  <c r="J8" i="1" s="1"/>
  <c r="L8" i="1"/>
  <c r="M8" i="1"/>
  <c r="O8" i="1"/>
  <c r="P8" i="1"/>
  <c r="S8" i="1"/>
  <c r="T8" i="1" s="1"/>
  <c r="V8" i="1"/>
  <c r="W8" i="1"/>
  <c r="Y8" i="1"/>
  <c r="Z8" i="1"/>
  <c r="AC8" i="1"/>
  <c r="AD8" i="1" s="1"/>
  <c r="AE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H9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H10" i="1"/>
  <c r="I10" i="1"/>
  <c r="J10" i="1" s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I10" i="1" s="1"/>
  <c r="BJ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H11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H12" i="1"/>
  <c r="I12" i="1"/>
  <c r="J12" i="1" s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H13" i="1"/>
  <c r="I13" i="1"/>
  <c r="J13" i="1" s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H14" i="1"/>
  <c r="I14" i="1"/>
  <c r="K14" i="1" s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H15" i="1"/>
  <c r="I15" i="1"/>
  <c r="K15" i="1" s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H16" i="1"/>
  <c r="I16" i="1"/>
  <c r="J16" i="1" s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H17" i="1"/>
  <c r="I17" i="1"/>
  <c r="J17" i="1" s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H18" i="1"/>
  <c r="I18" i="1"/>
  <c r="J18" i="1" s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H19" i="1"/>
  <c r="I19" i="1"/>
  <c r="J19" i="1" s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H20" i="1"/>
  <c r="I20" i="1"/>
  <c r="J20" i="1" s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H21" i="1"/>
  <c r="I21" i="1"/>
  <c r="J21" i="1" s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H22" i="1"/>
  <c r="I22" i="1"/>
  <c r="K22" i="1" s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H23" i="1"/>
  <c r="I23" i="1"/>
  <c r="K23" i="1" s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H24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H25" i="1"/>
  <c r="I25" i="1"/>
  <c r="J25" i="1" s="1"/>
  <c r="K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H26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H27" i="1"/>
  <c r="I27" i="1"/>
  <c r="J27" i="1" s="1"/>
  <c r="K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H28" i="1"/>
  <c r="I28" i="1"/>
  <c r="J28" i="1" s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H29" i="1"/>
  <c r="I29" i="1"/>
  <c r="J29" i="1" s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H30" i="1"/>
  <c r="I30" i="1"/>
  <c r="J30" i="1" s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H31" i="1"/>
  <c r="I31" i="1"/>
  <c r="J31" i="1" s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H32" i="1"/>
  <c r="I32" i="1"/>
  <c r="J32" i="1" s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H33" i="1"/>
  <c r="I33" i="1"/>
  <c r="J33" i="1" s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H34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O34" i="1" s="1"/>
  <c r="AN34" i="1"/>
  <c r="AP34" i="1"/>
  <c r="AQ34" i="1"/>
  <c r="AS34" i="1"/>
  <c r="AT34" i="1"/>
  <c r="AW34" i="1"/>
  <c r="AZ34" i="1" s="1"/>
  <c r="AX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H35" i="1"/>
  <c r="I35" i="1"/>
  <c r="J35" i="1" s="1"/>
  <c r="L35" i="1"/>
  <c r="M35" i="1"/>
  <c r="O35" i="1"/>
  <c r="P35" i="1"/>
  <c r="S35" i="1"/>
  <c r="U35" i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J35" i="1" s="1"/>
  <c r="BI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H36" i="1"/>
  <c r="I36" i="1"/>
  <c r="J36" i="1" s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AX36" i="1" s="1"/>
  <c r="AZ36" i="1"/>
  <c r="BA36" i="1"/>
  <c r="BB36" i="1"/>
  <c r="BD36" i="1"/>
  <c r="BE36" i="1"/>
  <c r="BH36" i="1"/>
  <c r="BJ36" i="1" s="1"/>
  <c r="BK36" i="1"/>
  <c r="BL36" i="1"/>
  <c r="BN36" i="1"/>
  <c r="BO36" i="1"/>
  <c r="BR36" i="1"/>
  <c r="BT36" i="1" s="1"/>
  <c r="BS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H37" i="1"/>
  <c r="I37" i="1"/>
  <c r="J37" i="1" s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AX37" i="1" s="1"/>
  <c r="AZ37" i="1"/>
  <c r="BA37" i="1"/>
  <c r="BB37" i="1"/>
  <c r="BD37" i="1"/>
  <c r="BE37" i="1"/>
  <c r="BH37" i="1"/>
  <c r="BI37" i="1" s="1"/>
  <c r="BJ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H38" i="1"/>
  <c r="I38" i="1"/>
  <c r="J38" i="1" s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AX38" i="1"/>
  <c r="AZ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H39" i="1"/>
  <c r="I39" i="1"/>
  <c r="J39" i="1" s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O39" i="1" s="1"/>
  <c r="AN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H40" i="1"/>
  <c r="I40" i="1"/>
  <c r="J40" i="1" s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N40" i="1" s="1"/>
  <c r="AO40" i="1"/>
  <c r="AP40" i="1"/>
  <c r="AQ40" i="1"/>
  <c r="AS40" i="1"/>
  <c r="AT40" i="1"/>
  <c r="AW40" i="1"/>
  <c r="AX40" i="1"/>
  <c r="AZ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H41" i="1"/>
  <c r="I41" i="1"/>
  <c r="J41" i="1" s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W41" i="1"/>
  <c r="CX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H42" i="1"/>
  <c r="I42" i="1"/>
  <c r="J42" i="1" s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X42" i="1" s="1"/>
  <c r="CW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H43" i="1"/>
  <c r="I43" i="1"/>
  <c r="J43" i="1" s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I43" i="1" s="1"/>
  <c r="BJ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H44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H45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N45" i="1" s="1"/>
  <c r="AO45" i="1"/>
  <c r="AP45" i="1"/>
  <c r="AQ45" i="1"/>
  <c r="AS45" i="1"/>
  <c r="AT45" i="1"/>
  <c r="AW45" i="1"/>
  <c r="BA45" i="1"/>
  <c r="BB45" i="1"/>
  <c r="BD45" i="1"/>
  <c r="BE45" i="1"/>
  <c r="BH45" i="1"/>
  <c r="BI45" i="1" s="1"/>
  <c r="BJ45" i="1"/>
  <c r="BK45" i="1"/>
  <c r="BL45" i="1"/>
  <c r="BN45" i="1"/>
  <c r="BO45" i="1"/>
  <c r="BR45" i="1"/>
  <c r="BT45" i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H46" i="1"/>
  <c r="I46" i="1"/>
  <c r="K46" i="1" s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H47" i="1"/>
  <c r="I47" i="1"/>
  <c r="J47" i="1" s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N47" i="1" s="1"/>
  <c r="AR47" i="1" s="1"/>
  <c r="AU47" i="1" s="1"/>
  <c r="AO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H48" i="1"/>
  <c r="I48" i="1"/>
  <c r="J48" i="1" s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H49" i="1"/>
  <c r="I49" i="1"/>
  <c r="J49" i="1" s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H50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H51" i="1"/>
  <c r="I51" i="1"/>
  <c r="J51" i="1" s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H52" i="1"/>
  <c r="I52" i="1"/>
  <c r="J52" i="1" s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H53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H54" i="1"/>
  <c r="I54" i="1"/>
  <c r="J54" i="1" s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H55" i="1"/>
  <c r="I55" i="1"/>
  <c r="J55" i="1" s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H56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H57" i="1"/>
  <c r="I57" i="1"/>
  <c r="J57" i="1" s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H58" i="1"/>
  <c r="I58" i="1"/>
  <c r="J58" i="1" s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H59" i="1"/>
  <c r="I59" i="1"/>
  <c r="J59" i="1" s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H60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H61" i="1"/>
  <c r="I61" i="1"/>
  <c r="J61" i="1" s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H62" i="1"/>
  <c r="I62" i="1"/>
  <c r="K62" i="1" s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H63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H64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H65" i="1"/>
  <c r="I65" i="1"/>
  <c r="J65" i="1" s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H66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H67" i="1"/>
  <c r="I67" i="1"/>
  <c r="J67" i="1" s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H68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H69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H70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H71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M71" i="1" s="1"/>
  <c r="CN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H72" i="1"/>
  <c r="I72" i="1"/>
  <c r="J72" i="1" s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H73" i="1"/>
  <c r="I73" i="1"/>
  <c r="J73" i="1" s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H74" i="1"/>
  <c r="I74" i="1"/>
  <c r="J74" i="1" s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H75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N75" i="1" s="1"/>
  <c r="CM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H76" i="1"/>
  <c r="I76" i="1"/>
  <c r="J76" i="1" s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H77" i="1"/>
  <c r="I77" i="1"/>
  <c r="J77" i="1" s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H78" i="1"/>
  <c r="I78" i="1"/>
  <c r="J78" i="1" s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H79" i="1"/>
  <c r="I79" i="1"/>
  <c r="J79" i="1" s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H80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N80" i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H81" i="1"/>
  <c r="I81" i="1"/>
  <c r="J81" i="1" s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H82" i="1"/>
  <c r="I82" i="1"/>
  <c r="J82" i="1" s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H83" i="1"/>
  <c r="I83" i="1"/>
  <c r="J83" i="1" s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H84" i="1"/>
  <c r="I84" i="1"/>
  <c r="J84" i="1" s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H85" i="1"/>
  <c r="I85" i="1"/>
  <c r="J85" i="1" s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H86" i="1"/>
  <c r="I86" i="1"/>
  <c r="J86" i="1" s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H87" i="1"/>
  <c r="I87" i="1"/>
  <c r="J87" i="1" s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H88" i="1"/>
  <c r="I88" i="1"/>
  <c r="J88" i="1" s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H89" i="1"/>
  <c r="I89" i="1"/>
  <c r="J89" i="1" s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M89" i="1" s="1"/>
  <c r="CN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H90" i="1"/>
  <c r="I90" i="1"/>
  <c r="J90" i="1" s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H91" i="1"/>
  <c r="I91" i="1"/>
  <c r="J91" i="1" s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M91" i="1" s="1"/>
  <c r="CN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H92" i="1"/>
  <c r="I92" i="1"/>
  <c r="J92" i="1" s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H93" i="1"/>
  <c r="I93" i="1"/>
  <c r="J93" i="1" s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H94" i="1"/>
  <c r="I94" i="1"/>
  <c r="J94" i="1" s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H95" i="1"/>
  <c r="I95" i="1"/>
  <c r="J95" i="1" s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H96" i="1"/>
  <c r="I96" i="1"/>
  <c r="J96" i="1" s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H97" i="1"/>
  <c r="I97" i="1"/>
  <c r="J97" i="1" s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H98" i="1"/>
  <c r="I98" i="1"/>
  <c r="J98" i="1" s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H99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N99" i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H100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H101" i="1"/>
  <c r="I101" i="1"/>
  <c r="J101" i="1" s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H102" i="1"/>
  <c r="I102" i="1"/>
  <c r="J102" i="1" s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H103" i="1"/>
  <c r="I103" i="1"/>
  <c r="J103" i="1" s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H104" i="1"/>
  <c r="I104" i="1"/>
  <c r="J104" i="1" s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H105" i="1"/>
  <c r="I105" i="1"/>
  <c r="J105" i="1" s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H106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H107" i="1"/>
  <c r="I107" i="1"/>
  <c r="K107" i="1" s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H108" i="1"/>
  <c r="I108" i="1"/>
  <c r="J108" i="1" s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H109" i="1"/>
  <c r="I109" i="1"/>
  <c r="J109" i="1" s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H110" i="1"/>
  <c r="I110" i="1"/>
  <c r="J110" i="1" s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H111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H112" i="1"/>
  <c r="I112" i="1"/>
  <c r="J112" i="1" s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H113" i="1"/>
  <c r="I113" i="1"/>
  <c r="J113" i="1" s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H114" i="1"/>
  <c r="I114" i="1"/>
  <c r="J114" i="1" s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H115" i="1"/>
  <c r="I115" i="1"/>
  <c r="J115" i="1" s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H116" i="1"/>
  <c r="I116" i="1"/>
  <c r="J116" i="1" s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H117" i="1"/>
  <c r="I117" i="1"/>
  <c r="J117" i="1" s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H118" i="1"/>
  <c r="I118" i="1"/>
  <c r="J118" i="1" s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H119" i="1"/>
  <c r="I119" i="1"/>
  <c r="J119" i="1" s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H120" i="1"/>
  <c r="I120" i="1"/>
  <c r="J120" i="1" s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H121" i="1"/>
  <c r="I121" i="1"/>
  <c r="J121" i="1" s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M121" i="1" s="1"/>
  <c r="CN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H122" i="1"/>
  <c r="I122" i="1"/>
  <c r="J122" i="1" s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H123" i="1"/>
  <c r="I123" i="1"/>
  <c r="J123" i="1" s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H124" i="1"/>
  <c r="I124" i="1"/>
  <c r="J124" i="1" s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H125" i="1"/>
  <c r="I125" i="1"/>
  <c r="J125" i="1" s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H126" i="1"/>
  <c r="I126" i="1"/>
  <c r="J126" i="1" s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H127" i="1"/>
  <c r="I127" i="1"/>
  <c r="J127" i="1" s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H128" i="1"/>
  <c r="I128" i="1"/>
  <c r="K128" i="1" s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H129" i="1"/>
  <c r="I129" i="1"/>
  <c r="J129" i="1" s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H130" i="1"/>
  <c r="I130" i="1"/>
  <c r="J130" i="1" s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H131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H132" i="1"/>
  <c r="I132" i="1"/>
  <c r="J132" i="1" s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H133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H134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M134" i="1"/>
  <c r="CN134" i="1"/>
  <c r="CO134" i="1"/>
  <c r="CP134" i="1"/>
  <c r="CQ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H135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H136" i="1"/>
  <c r="I136" i="1"/>
  <c r="J136" i="1" s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H137" i="1"/>
  <c r="I137" i="1"/>
  <c r="J137" i="1" s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W137" i="1"/>
  <c r="CX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H138" i="1"/>
  <c r="I138" i="1"/>
  <c r="J138" i="1" s="1"/>
  <c r="L138" i="1"/>
  <c r="M138" i="1"/>
  <c r="O138" i="1"/>
  <c r="P138" i="1"/>
  <c r="S138" i="1"/>
  <c r="U138" i="1" s="1"/>
  <c r="V138" i="1"/>
  <c r="W138" i="1"/>
  <c r="Y138" i="1"/>
  <c r="Z138" i="1"/>
  <c r="AC138" i="1"/>
  <c r="AD138" i="1" s="1"/>
  <c r="AE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H139" i="1"/>
  <c r="I139" i="1"/>
  <c r="J139" i="1" s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O139" i="1" s="1"/>
  <c r="AN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W139" i="1" s="1"/>
  <c r="CX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H140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M140" i="1"/>
  <c r="CN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H141" i="1"/>
  <c r="I141" i="1"/>
  <c r="J141" i="1" s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H142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H143" i="1"/>
  <c r="I143" i="1"/>
  <c r="J143" i="1" s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H144" i="1"/>
  <c r="I144" i="1"/>
  <c r="J144" i="1" s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H145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H146" i="1"/>
  <c r="I146" i="1"/>
  <c r="J146" i="1" s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H147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H148" i="1"/>
  <c r="I148" i="1"/>
  <c r="J148" i="1" s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H149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H150" i="1"/>
  <c r="I150" i="1"/>
  <c r="J150" i="1" s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H151" i="1"/>
  <c r="I151" i="1"/>
  <c r="J151" i="1" s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H152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H153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H154" i="1"/>
  <c r="I154" i="1"/>
  <c r="J154" i="1" s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H155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H156" i="1"/>
  <c r="I156" i="1"/>
  <c r="J156" i="1" s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H157" i="1"/>
  <c r="I157" i="1"/>
  <c r="J157" i="1" s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H158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H159" i="1"/>
  <c r="I159" i="1"/>
  <c r="J159" i="1" s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H160" i="1"/>
  <c r="I160" i="1"/>
  <c r="J160" i="1" s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H161" i="1"/>
  <c r="I161" i="1"/>
  <c r="J161" i="1" s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H162" i="1"/>
  <c r="I162" i="1"/>
  <c r="J162" i="1" s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N162" i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H163" i="1"/>
  <c r="I163" i="1"/>
  <c r="J163" i="1" s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H164" i="1"/>
  <c r="I164" i="1"/>
  <c r="J164" i="1" s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H165" i="1"/>
  <c r="I165" i="1"/>
  <c r="J165" i="1" s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H166" i="1"/>
  <c r="I166" i="1"/>
  <c r="J166" i="1" s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H167" i="1"/>
  <c r="I167" i="1"/>
  <c r="J167" i="1" s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H168" i="1"/>
  <c r="I168" i="1"/>
  <c r="J168" i="1" s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H169" i="1"/>
  <c r="I169" i="1"/>
  <c r="J169" i="1" s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H170" i="1"/>
  <c r="I170" i="1"/>
  <c r="J170" i="1" s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H171" i="1"/>
  <c r="I171" i="1"/>
  <c r="J171" i="1" s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H172" i="1"/>
  <c r="I172" i="1"/>
  <c r="J172" i="1" s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H173" i="1"/>
  <c r="I173" i="1"/>
  <c r="J173" i="1" s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H174" i="1"/>
  <c r="I174" i="1"/>
  <c r="J174" i="1" s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H175" i="1"/>
  <c r="I175" i="1"/>
  <c r="J175" i="1" s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H176" i="1"/>
  <c r="I176" i="1"/>
  <c r="J176" i="1" s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H177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H178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H179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H180" i="1"/>
  <c r="I180" i="1"/>
  <c r="J180" i="1" s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H181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H182" i="1"/>
  <c r="I182" i="1"/>
  <c r="J182" i="1" s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H183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H184" i="1"/>
  <c r="I184" i="1"/>
  <c r="L184" i="1"/>
  <c r="M184" i="1"/>
  <c r="O184" i="1"/>
  <c r="P184" i="1"/>
  <c r="S184" i="1"/>
  <c r="T184" i="1" s="1"/>
  <c r="U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H185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H186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H187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H188" i="1"/>
  <c r="I188" i="1"/>
  <c r="J188" i="1" s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H189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H190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H191" i="1"/>
  <c r="I191" i="1"/>
  <c r="K191" i="1" s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H192" i="1"/>
  <c r="I192" i="1"/>
  <c r="J192" i="1" s="1"/>
  <c r="L192" i="1"/>
  <c r="M192" i="1"/>
  <c r="O192" i="1"/>
  <c r="P192" i="1"/>
  <c r="S192" i="1"/>
  <c r="T192" i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H193" i="1"/>
  <c r="I193" i="1"/>
  <c r="J193" i="1" s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H194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H195" i="1"/>
  <c r="I195" i="1"/>
  <c r="L195" i="1"/>
  <c r="M195" i="1"/>
  <c r="O195" i="1"/>
  <c r="P195" i="1"/>
  <c r="S195" i="1"/>
  <c r="T195" i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M195" i="1"/>
  <c r="CN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H196" i="1"/>
  <c r="I196" i="1"/>
  <c r="J196" i="1" s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H197" i="1"/>
  <c r="I197" i="1"/>
  <c r="J197" i="1" s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H198" i="1"/>
  <c r="I198" i="1"/>
  <c r="J198" i="1" s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H199" i="1"/>
  <c r="I199" i="1"/>
  <c r="J199" i="1" s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N199" i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H200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H201" i="1"/>
  <c r="I201" i="1"/>
  <c r="J201" i="1" s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H202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H203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H204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H205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H206" i="1"/>
  <c r="I206" i="1"/>
  <c r="J206" i="1" s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H207" i="1"/>
  <c r="I207" i="1"/>
  <c r="J207" i="1" s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H208" i="1"/>
  <c r="I208" i="1"/>
  <c r="J208" i="1" s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H209" i="1"/>
  <c r="I209" i="1"/>
  <c r="J209" i="1" s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H210" i="1"/>
  <c r="I210" i="1"/>
  <c r="J210" i="1" s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H211" i="1"/>
  <c r="I211" i="1"/>
  <c r="J211" i="1" s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H212" i="1"/>
  <c r="I212" i="1"/>
  <c r="J212" i="1" s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H213" i="1"/>
  <c r="I213" i="1"/>
  <c r="J213" i="1" s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H214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H215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M215" i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H216" i="1"/>
  <c r="I216" i="1"/>
  <c r="J216" i="1" s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H217" i="1"/>
  <c r="I217" i="1"/>
  <c r="J217" i="1" s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H218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H219" i="1"/>
  <c r="I219" i="1"/>
  <c r="J219" i="1" s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H220" i="1"/>
  <c r="I220" i="1"/>
  <c r="J220" i="1" s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H221" i="1"/>
  <c r="I221" i="1"/>
  <c r="J221" i="1" s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H222" i="1"/>
  <c r="I222" i="1"/>
  <c r="J222" i="1" s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H223" i="1"/>
  <c r="I223" i="1"/>
  <c r="J223" i="1" s="1"/>
  <c r="L223" i="1"/>
  <c r="M223" i="1"/>
  <c r="O223" i="1"/>
  <c r="P223" i="1"/>
  <c r="S223" i="1"/>
  <c r="V223" i="1"/>
  <c r="W223" i="1"/>
  <c r="Y223" i="1"/>
  <c r="Z223" i="1"/>
  <c r="AC223" i="1"/>
  <c r="AF223" i="1"/>
  <c r="AG223" i="1"/>
  <c r="AI223" i="1"/>
  <c r="AJ223" i="1"/>
  <c r="AM223" i="1"/>
  <c r="AP223" i="1"/>
  <c r="AQ223" i="1"/>
  <c r="AS223" i="1"/>
  <c r="AT223" i="1"/>
  <c r="AW223" i="1"/>
  <c r="BA223" i="1"/>
  <c r="BB223" i="1"/>
  <c r="BD223" i="1"/>
  <c r="BE223" i="1"/>
  <c r="BH223" i="1"/>
  <c r="BJ223" i="1" s="1"/>
  <c r="BK223" i="1"/>
  <c r="BL223" i="1"/>
  <c r="BN223" i="1"/>
  <c r="BO223" i="1"/>
  <c r="BR223" i="1"/>
  <c r="BS223" i="1" s="1"/>
  <c r="BU223" i="1"/>
  <c r="BV223" i="1"/>
  <c r="BX223" i="1"/>
  <c r="BY223" i="1"/>
  <c r="CB223" i="1"/>
  <c r="CE223" i="1"/>
  <c r="CF223" i="1"/>
  <c r="CH223" i="1"/>
  <c r="CI223" i="1"/>
  <c r="CL223" i="1"/>
  <c r="CO223" i="1"/>
  <c r="CP223" i="1"/>
  <c r="CR223" i="1"/>
  <c r="CS223" i="1"/>
  <c r="CV223" i="1"/>
  <c r="CY223" i="1"/>
  <c r="CZ223" i="1"/>
  <c r="DB223" i="1"/>
  <c r="DC223" i="1"/>
  <c r="EA223" i="1"/>
  <c r="EB223" i="1"/>
  <c r="EC223" i="1"/>
  <c r="ED223" i="1"/>
  <c r="EE223" i="1"/>
  <c r="EF223" i="1"/>
  <c r="EG223" i="1"/>
  <c r="EH223" i="1"/>
  <c r="EI223" i="1"/>
  <c r="H224" i="1"/>
  <c r="I224" i="1"/>
  <c r="J224" i="1" s="1"/>
  <c r="L224" i="1"/>
  <c r="M224" i="1"/>
  <c r="O224" i="1"/>
  <c r="P224" i="1"/>
  <c r="S224" i="1"/>
  <c r="T224" i="1" s="1"/>
  <c r="V224" i="1"/>
  <c r="W224" i="1"/>
  <c r="Y224" i="1"/>
  <c r="Z224" i="1"/>
  <c r="AC224" i="1"/>
  <c r="AE224" i="1" s="1"/>
  <c r="AF224" i="1"/>
  <c r="AG224" i="1"/>
  <c r="AI224" i="1"/>
  <c r="AJ224" i="1"/>
  <c r="AM224" i="1"/>
  <c r="AN224" i="1" s="1"/>
  <c r="AP224" i="1"/>
  <c r="AQ224" i="1"/>
  <c r="AS224" i="1"/>
  <c r="AT224" i="1"/>
  <c r="AW224" i="1"/>
  <c r="BA224" i="1"/>
  <c r="BB224" i="1"/>
  <c r="BD224" i="1"/>
  <c r="BE224" i="1"/>
  <c r="BH224" i="1"/>
  <c r="BI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M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H225" i="1"/>
  <c r="I225" i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P225" i="1"/>
  <c r="AQ225" i="1"/>
  <c r="AS225" i="1"/>
  <c r="AT225" i="1"/>
  <c r="AW225" i="1"/>
  <c r="AX225" i="1" s="1"/>
  <c r="AZ225" i="1"/>
  <c r="BA225" i="1"/>
  <c r="BB225" i="1"/>
  <c r="BD225" i="1"/>
  <c r="BE225" i="1"/>
  <c r="BH225" i="1"/>
  <c r="BK225" i="1"/>
  <c r="BL225" i="1"/>
  <c r="BN225" i="1"/>
  <c r="BO225" i="1"/>
  <c r="BR225" i="1"/>
  <c r="BU225" i="1"/>
  <c r="BV225" i="1"/>
  <c r="BX225" i="1"/>
  <c r="BY225" i="1"/>
  <c r="CB225" i="1"/>
  <c r="CE225" i="1"/>
  <c r="CF225" i="1"/>
  <c r="CH225" i="1"/>
  <c r="CI225" i="1"/>
  <c r="CL225" i="1"/>
  <c r="CM225" i="1"/>
  <c r="CO225" i="1"/>
  <c r="CP225" i="1"/>
  <c r="CR225" i="1"/>
  <c r="CS225" i="1"/>
  <c r="CV225" i="1"/>
  <c r="CW225" i="1" s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H226" i="1"/>
  <c r="I226" i="1"/>
  <c r="J226" i="1" s="1"/>
  <c r="L226" i="1"/>
  <c r="M226" i="1"/>
  <c r="O226" i="1"/>
  <c r="P226" i="1"/>
  <c r="S226" i="1"/>
  <c r="U226" i="1" s="1"/>
  <c r="V226" i="1"/>
  <c r="W226" i="1"/>
  <c r="Y226" i="1"/>
  <c r="Z226" i="1"/>
  <c r="AC226" i="1"/>
  <c r="AF226" i="1"/>
  <c r="AG226" i="1"/>
  <c r="AI226" i="1"/>
  <c r="AJ226" i="1"/>
  <c r="AM226" i="1"/>
  <c r="AO226" i="1" s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C226" i="1" s="1"/>
  <c r="CE226" i="1"/>
  <c r="CF226" i="1"/>
  <c r="CH226" i="1"/>
  <c r="CI226" i="1"/>
  <c r="CL226" i="1"/>
  <c r="CM226" i="1" s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H227" i="1"/>
  <c r="I227" i="1"/>
  <c r="L227" i="1"/>
  <c r="M227" i="1"/>
  <c r="O227" i="1"/>
  <c r="P227" i="1"/>
  <c r="S227" i="1"/>
  <c r="T227" i="1" s="1"/>
  <c r="V227" i="1"/>
  <c r="W227" i="1"/>
  <c r="Y227" i="1"/>
  <c r="Z227" i="1"/>
  <c r="AC227" i="1"/>
  <c r="AF227" i="1"/>
  <c r="AG227" i="1"/>
  <c r="AI227" i="1"/>
  <c r="AJ227" i="1"/>
  <c r="AM227" i="1"/>
  <c r="AP227" i="1"/>
  <c r="AQ227" i="1"/>
  <c r="AS227" i="1"/>
  <c r="AT227" i="1"/>
  <c r="AW227" i="1"/>
  <c r="BA227" i="1"/>
  <c r="BB227" i="1"/>
  <c r="BD227" i="1"/>
  <c r="BE227" i="1"/>
  <c r="BH227" i="1"/>
  <c r="BI227" i="1" s="1"/>
  <c r="BK227" i="1"/>
  <c r="BL227" i="1"/>
  <c r="BN227" i="1"/>
  <c r="BO227" i="1"/>
  <c r="BR227" i="1"/>
  <c r="BU227" i="1"/>
  <c r="BV227" i="1"/>
  <c r="BX227" i="1"/>
  <c r="BY227" i="1"/>
  <c r="CB227" i="1"/>
  <c r="CE227" i="1"/>
  <c r="CF227" i="1"/>
  <c r="CH227" i="1"/>
  <c r="CI227" i="1"/>
  <c r="CL227" i="1"/>
  <c r="CN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H228" i="1"/>
  <c r="I228" i="1"/>
  <c r="J228" i="1" s="1"/>
  <c r="L228" i="1"/>
  <c r="M228" i="1"/>
  <c r="O228" i="1"/>
  <c r="P228" i="1"/>
  <c r="S228" i="1"/>
  <c r="U228" i="1" s="1"/>
  <c r="V228" i="1"/>
  <c r="W228" i="1"/>
  <c r="Y228" i="1"/>
  <c r="Z228" i="1"/>
  <c r="AC228" i="1"/>
  <c r="AE228" i="1" s="1"/>
  <c r="AF228" i="1"/>
  <c r="AG228" i="1"/>
  <c r="AI228" i="1"/>
  <c r="AJ228" i="1"/>
  <c r="AM228" i="1"/>
  <c r="AO228" i="1" s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C228" i="1" s="1"/>
  <c r="CE228" i="1"/>
  <c r="CF228" i="1"/>
  <c r="CH228" i="1"/>
  <c r="CI228" i="1"/>
  <c r="CL228" i="1"/>
  <c r="CO228" i="1"/>
  <c r="CP228" i="1"/>
  <c r="CR228" i="1"/>
  <c r="CS228" i="1"/>
  <c r="CV228" i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H229" i="1"/>
  <c r="I229" i="1"/>
  <c r="L229" i="1"/>
  <c r="M229" i="1"/>
  <c r="O229" i="1"/>
  <c r="P229" i="1"/>
  <c r="S229" i="1"/>
  <c r="T229" i="1" s="1"/>
  <c r="U229" i="1"/>
  <c r="V229" i="1"/>
  <c r="W229" i="1"/>
  <c r="Y229" i="1"/>
  <c r="Z229" i="1"/>
  <c r="AC229" i="1"/>
  <c r="AF229" i="1"/>
  <c r="AG229" i="1"/>
  <c r="AI229" i="1"/>
  <c r="AJ229" i="1"/>
  <c r="AM229" i="1"/>
  <c r="AP229" i="1"/>
  <c r="AQ229" i="1"/>
  <c r="AS229" i="1"/>
  <c r="AT229" i="1"/>
  <c r="AW229" i="1"/>
  <c r="AX229" i="1" s="1"/>
  <c r="BA229" i="1"/>
  <c r="BB229" i="1"/>
  <c r="BD229" i="1"/>
  <c r="BE229" i="1"/>
  <c r="BH229" i="1"/>
  <c r="BJ229" i="1" s="1"/>
  <c r="BI229" i="1"/>
  <c r="BK229" i="1"/>
  <c r="BL229" i="1"/>
  <c r="BM229" i="1"/>
  <c r="BN229" i="1"/>
  <c r="BO229" i="1"/>
  <c r="BR229" i="1"/>
  <c r="BS229" i="1" s="1"/>
  <c r="BU229" i="1"/>
  <c r="BV229" i="1"/>
  <c r="BX229" i="1"/>
  <c r="BY229" i="1"/>
  <c r="CB229" i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H230" i="1"/>
  <c r="I230" i="1"/>
  <c r="J230" i="1" s="1"/>
  <c r="L230" i="1"/>
  <c r="M230" i="1"/>
  <c r="O230" i="1"/>
  <c r="P230" i="1"/>
  <c r="S230" i="1"/>
  <c r="T230" i="1" s="1"/>
  <c r="U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Z230" i="1" s="1"/>
  <c r="BA230" i="1"/>
  <c r="BB230" i="1"/>
  <c r="BD230" i="1"/>
  <c r="BE230" i="1"/>
  <c r="BH230" i="1"/>
  <c r="BJ230" i="1"/>
  <c r="BK230" i="1"/>
  <c r="BL230" i="1"/>
  <c r="BN230" i="1"/>
  <c r="BO230" i="1"/>
  <c r="BR230" i="1"/>
  <c r="BT230" i="1" s="1"/>
  <c r="BU230" i="1"/>
  <c r="BV230" i="1"/>
  <c r="BX230" i="1"/>
  <c r="BY230" i="1"/>
  <c r="CB230" i="1"/>
  <c r="CC230" i="1" s="1"/>
  <c r="CE230" i="1"/>
  <c r="CF230" i="1"/>
  <c r="CH230" i="1"/>
  <c r="CI230" i="1"/>
  <c r="CL230" i="1"/>
  <c r="CM230" i="1" s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H231" i="1"/>
  <c r="I231" i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X231" i="1"/>
  <c r="AZ231" i="1"/>
  <c r="BA231" i="1"/>
  <c r="BB231" i="1"/>
  <c r="BD231" i="1"/>
  <c r="BE231" i="1"/>
  <c r="BH231" i="1"/>
  <c r="BI231" i="1"/>
  <c r="BJ231" i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N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H232" i="1"/>
  <c r="I232" i="1"/>
  <c r="J232" i="1" s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O232" i="1" s="1"/>
  <c r="AP232" i="1"/>
  <c r="AQ232" i="1"/>
  <c r="AS232" i="1"/>
  <c r="AT232" i="1"/>
  <c r="AW232" i="1"/>
  <c r="BA232" i="1"/>
  <c r="BB232" i="1"/>
  <c r="BD232" i="1"/>
  <c r="BE232" i="1"/>
  <c r="BH232" i="1"/>
  <c r="BI232" i="1" s="1"/>
  <c r="BJ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E232" i="1"/>
  <c r="CF232" i="1"/>
  <c r="CH232" i="1"/>
  <c r="CI232" i="1"/>
  <c r="CL232" i="1"/>
  <c r="CM232" i="1" s="1"/>
  <c r="CO232" i="1"/>
  <c r="CP232" i="1"/>
  <c r="CR232" i="1"/>
  <c r="CS232" i="1"/>
  <c r="CV232" i="1"/>
  <c r="CX232" i="1" s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H233" i="1"/>
  <c r="I233" i="1"/>
  <c r="L233" i="1"/>
  <c r="M233" i="1"/>
  <c r="O233" i="1"/>
  <c r="P233" i="1"/>
  <c r="S233" i="1"/>
  <c r="T233" i="1" s="1"/>
  <c r="V233" i="1"/>
  <c r="W233" i="1"/>
  <c r="Y233" i="1"/>
  <c r="Z233" i="1"/>
  <c r="AC233" i="1"/>
  <c r="AD233" i="1" s="1"/>
  <c r="AF233" i="1"/>
  <c r="AG233" i="1"/>
  <c r="AI233" i="1"/>
  <c r="AJ233" i="1"/>
  <c r="AM233" i="1"/>
  <c r="AP233" i="1"/>
  <c r="AQ233" i="1"/>
  <c r="AS233" i="1"/>
  <c r="AT233" i="1"/>
  <c r="AW233" i="1"/>
  <c r="BA233" i="1"/>
  <c r="BB233" i="1"/>
  <c r="BD233" i="1"/>
  <c r="BE233" i="1"/>
  <c r="BH233" i="1"/>
  <c r="BI233" i="1" s="1"/>
  <c r="BK233" i="1"/>
  <c r="BL233" i="1"/>
  <c r="BN233" i="1"/>
  <c r="BO233" i="1"/>
  <c r="BR233" i="1"/>
  <c r="BT233" i="1" s="1"/>
  <c r="BU233" i="1"/>
  <c r="BV233" i="1"/>
  <c r="BX233" i="1"/>
  <c r="BY233" i="1"/>
  <c r="CB233" i="1"/>
  <c r="CD233" i="1" s="1"/>
  <c r="CE233" i="1"/>
  <c r="CF233" i="1"/>
  <c r="CH233" i="1"/>
  <c r="CI233" i="1"/>
  <c r="CL233" i="1"/>
  <c r="CN233" i="1" s="1"/>
  <c r="CO233" i="1"/>
  <c r="CP233" i="1"/>
  <c r="CR233" i="1"/>
  <c r="CS233" i="1"/>
  <c r="CV233" i="1"/>
  <c r="CW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H234" i="1"/>
  <c r="I234" i="1"/>
  <c r="J234" i="1" s="1"/>
  <c r="L234" i="1"/>
  <c r="M234" i="1"/>
  <c r="O234" i="1"/>
  <c r="P234" i="1"/>
  <c r="S234" i="1"/>
  <c r="U234" i="1" s="1"/>
  <c r="V234" i="1"/>
  <c r="W234" i="1"/>
  <c r="Y234" i="1"/>
  <c r="Z234" i="1"/>
  <c r="AC234" i="1"/>
  <c r="AF234" i="1"/>
  <c r="AG234" i="1"/>
  <c r="AI234" i="1"/>
  <c r="AJ234" i="1"/>
  <c r="AM234" i="1"/>
  <c r="AP234" i="1"/>
  <c r="AQ234" i="1"/>
  <c r="AS234" i="1"/>
  <c r="AT234" i="1"/>
  <c r="AW234" i="1"/>
  <c r="AZ234" i="1" s="1"/>
  <c r="BA234" i="1"/>
  <c r="BB234" i="1"/>
  <c r="BD234" i="1"/>
  <c r="BE234" i="1"/>
  <c r="BH234" i="1"/>
  <c r="BI234" i="1" s="1"/>
  <c r="BK234" i="1"/>
  <c r="BL234" i="1"/>
  <c r="BN234" i="1"/>
  <c r="BO234" i="1"/>
  <c r="BR234" i="1"/>
  <c r="BU234" i="1"/>
  <c r="BV234" i="1"/>
  <c r="BX234" i="1"/>
  <c r="BY234" i="1"/>
  <c r="CB234" i="1"/>
  <c r="CE234" i="1"/>
  <c r="CF234" i="1"/>
  <c r="CH234" i="1"/>
  <c r="CI234" i="1"/>
  <c r="CL234" i="1"/>
  <c r="CN234" i="1" s="1"/>
  <c r="CO234" i="1"/>
  <c r="CP234" i="1"/>
  <c r="CR234" i="1"/>
  <c r="CS234" i="1"/>
  <c r="CV234" i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H235" i="1"/>
  <c r="I235" i="1"/>
  <c r="L235" i="1"/>
  <c r="M235" i="1"/>
  <c r="O235" i="1"/>
  <c r="P235" i="1"/>
  <c r="S235" i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BA235" i="1"/>
  <c r="BB235" i="1"/>
  <c r="BD235" i="1"/>
  <c r="BE235" i="1"/>
  <c r="BH235" i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M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H236" i="1"/>
  <c r="I236" i="1"/>
  <c r="L236" i="1"/>
  <c r="M236" i="1"/>
  <c r="O236" i="1"/>
  <c r="P236" i="1"/>
  <c r="S236" i="1"/>
  <c r="T236" i="1" s="1"/>
  <c r="V236" i="1"/>
  <c r="W236" i="1"/>
  <c r="Y236" i="1"/>
  <c r="Z236" i="1"/>
  <c r="AC236" i="1"/>
  <c r="AF236" i="1"/>
  <c r="AG236" i="1"/>
  <c r="AI236" i="1"/>
  <c r="AJ236" i="1"/>
  <c r="AM236" i="1"/>
  <c r="AN236" i="1" s="1"/>
  <c r="AP236" i="1"/>
  <c r="AQ236" i="1"/>
  <c r="AS236" i="1"/>
  <c r="AT236" i="1"/>
  <c r="AW236" i="1"/>
  <c r="AZ236" i="1" s="1"/>
  <c r="BA236" i="1"/>
  <c r="BB236" i="1"/>
  <c r="BD236" i="1"/>
  <c r="BE236" i="1"/>
  <c r="BH236" i="1"/>
  <c r="BK236" i="1"/>
  <c r="BL236" i="1"/>
  <c r="BN236" i="1"/>
  <c r="BO236" i="1"/>
  <c r="BR236" i="1"/>
  <c r="BT236" i="1" s="1"/>
  <c r="BU236" i="1"/>
  <c r="BV236" i="1"/>
  <c r="BX236" i="1"/>
  <c r="BY236" i="1"/>
  <c r="CB236" i="1"/>
  <c r="CE236" i="1"/>
  <c r="CF236" i="1"/>
  <c r="CH236" i="1"/>
  <c r="CI236" i="1"/>
  <c r="CL236" i="1"/>
  <c r="CN236" i="1" s="1"/>
  <c r="CO236" i="1"/>
  <c r="CP236" i="1"/>
  <c r="CR236" i="1"/>
  <c r="CS236" i="1"/>
  <c r="CV236" i="1"/>
  <c r="CW236" i="1" s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H237" i="1"/>
  <c r="I237" i="1"/>
  <c r="L237" i="1"/>
  <c r="M237" i="1"/>
  <c r="O237" i="1"/>
  <c r="P237" i="1"/>
  <c r="S237" i="1"/>
  <c r="V237" i="1"/>
  <c r="W237" i="1"/>
  <c r="Y237" i="1"/>
  <c r="Z237" i="1"/>
  <c r="AC237" i="1"/>
  <c r="AF237" i="1"/>
  <c r="AG237" i="1"/>
  <c r="AI237" i="1"/>
  <c r="AJ237" i="1"/>
  <c r="AM237" i="1"/>
  <c r="AP237" i="1"/>
  <c r="AQ237" i="1"/>
  <c r="AS237" i="1"/>
  <c r="AT237" i="1"/>
  <c r="AW237" i="1"/>
  <c r="AX237" i="1" s="1"/>
  <c r="BA237" i="1"/>
  <c r="BB237" i="1"/>
  <c r="BD237" i="1"/>
  <c r="BE237" i="1"/>
  <c r="BH237" i="1"/>
  <c r="BK237" i="1"/>
  <c r="BL237" i="1"/>
  <c r="BN237" i="1"/>
  <c r="BO237" i="1"/>
  <c r="BR237" i="1"/>
  <c r="BS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H238" i="1"/>
  <c r="I238" i="1"/>
  <c r="J238" i="1" s="1"/>
  <c r="L238" i="1"/>
  <c r="M238" i="1"/>
  <c r="O238" i="1"/>
  <c r="P238" i="1"/>
  <c r="S238" i="1"/>
  <c r="T238" i="1" s="1"/>
  <c r="V238" i="1"/>
  <c r="W238" i="1"/>
  <c r="Y238" i="1"/>
  <c r="Z238" i="1"/>
  <c r="AC238" i="1"/>
  <c r="AF238" i="1"/>
  <c r="AG238" i="1"/>
  <c r="AI238" i="1"/>
  <c r="AJ238" i="1"/>
  <c r="AM238" i="1"/>
  <c r="AN238" i="1" s="1"/>
  <c r="AP238" i="1"/>
  <c r="AQ238" i="1"/>
  <c r="AS238" i="1"/>
  <c r="AT238" i="1"/>
  <c r="AW238" i="1"/>
  <c r="AZ238" i="1" s="1"/>
  <c r="BA238" i="1"/>
  <c r="BB238" i="1"/>
  <c r="BD238" i="1"/>
  <c r="BE238" i="1"/>
  <c r="BH238" i="1"/>
  <c r="BJ238" i="1" s="1"/>
  <c r="BK238" i="1"/>
  <c r="BL238" i="1"/>
  <c r="BN238" i="1"/>
  <c r="BO238" i="1"/>
  <c r="BR238" i="1"/>
  <c r="BT238" i="1" s="1"/>
  <c r="BU238" i="1"/>
  <c r="BV238" i="1"/>
  <c r="BX238" i="1"/>
  <c r="BY238" i="1"/>
  <c r="CB238" i="1"/>
  <c r="CE238" i="1"/>
  <c r="CF238" i="1"/>
  <c r="CH238" i="1"/>
  <c r="CI238" i="1"/>
  <c r="CL238" i="1"/>
  <c r="CM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H239" i="1"/>
  <c r="I239" i="1"/>
  <c r="L239" i="1"/>
  <c r="M239" i="1"/>
  <c r="O239" i="1"/>
  <c r="P239" i="1"/>
  <c r="S239" i="1"/>
  <c r="V239" i="1"/>
  <c r="W239" i="1"/>
  <c r="Y239" i="1"/>
  <c r="Z239" i="1"/>
  <c r="AC239" i="1"/>
  <c r="AF239" i="1"/>
  <c r="AG239" i="1"/>
  <c r="AI239" i="1"/>
  <c r="AJ239" i="1"/>
  <c r="AM239" i="1"/>
  <c r="AP239" i="1"/>
  <c r="AQ239" i="1"/>
  <c r="AS239" i="1"/>
  <c r="AT239" i="1"/>
  <c r="AW239" i="1"/>
  <c r="BA239" i="1"/>
  <c r="BB239" i="1"/>
  <c r="BD239" i="1"/>
  <c r="BE239" i="1"/>
  <c r="BH239" i="1"/>
  <c r="BI239" i="1" s="1"/>
  <c r="BK239" i="1"/>
  <c r="BL239" i="1"/>
  <c r="BN239" i="1"/>
  <c r="BO239" i="1"/>
  <c r="BR239" i="1"/>
  <c r="BU239" i="1"/>
  <c r="BV239" i="1"/>
  <c r="BX239" i="1"/>
  <c r="BY239" i="1"/>
  <c r="CB239" i="1"/>
  <c r="CC239" i="1" s="1"/>
  <c r="CE239" i="1"/>
  <c r="CF239" i="1"/>
  <c r="CH239" i="1"/>
  <c r="CI239" i="1"/>
  <c r="CL239" i="1"/>
  <c r="CN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H240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O240" i="1" s="1"/>
  <c r="AP240" i="1"/>
  <c r="AQ240" i="1"/>
  <c r="AS240" i="1"/>
  <c r="AT240" i="1"/>
  <c r="AW240" i="1"/>
  <c r="BA240" i="1"/>
  <c r="BB240" i="1"/>
  <c r="BD240" i="1"/>
  <c r="BE240" i="1"/>
  <c r="BH240" i="1"/>
  <c r="BJ240" i="1" s="1"/>
  <c r="BK240" i="1"/>
  <c r="BL240" i="1"/>
  <c r="BN240" i="1"/>
  <c r="BO240" i="1"/>
  <c r="BR240" i="1"/>
  <c r="BT240" i="1" s="1"/>
  <c r="BU240" i="1"/>
  <c r="BV240" i="1"/>
  <c r="BX240" i="1"/>
  <c r="BY240" i="1"/>
  <c r="CB240" i="1"/>
  <c r="CC240" i="1" s="1"/>
  <c r="CE240" i="1"/>
  <c r="CF240" i="1"/>
  <c r="CH240" i="1"/>
  <c r="CI240" i="1"/>
  <c r="CL240" i="1"/>
  <c r="CM240" i="1" s="1"/>
  <c r="CO240" i="1"/>
  <c r="CP240" i="1"/>
  <c r="CR240" i="1"/>
  <c r="CS240" i="1"/>
  <c r="CV240" i="1"/>
  <c r="CW240" i="1" s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H241" i="1"/>
  <c r="I241" i="1"/>
  <c r="J241" i="1" s="1"/>
  <c r="L241" i="1"/>
  <c r="M241" i="1"/>
  <c r="O241" i="1"/>
  <c r="P241" i="1"/>
  <c r="S241" i="1"/>
  <c r="T241" i="1" s="1"/>
  <c r="U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AX241" i="1" s="1"/>
  <c r="AZ241" i="1"/>
  <c r="BA241" i="1"/>
  <c r="BB241" i="1"/>
  <c r="BD241" i="1"/>
  <c r="BE241" i="1"/>
  <c r="BH241" i="1"/>
  <c r="BK241" i="1"/>
  <c r="BL241" i="1"/>
  <c r="BN241" i="1"/>
  <c r="BO241" i="1"/>
  <c r="BR241" i="1"/>
  <c r="BT241" i="1" s="1"/>
  <c r="BU241" i="1"/>
  <c r="BV241" i="1"/>
  <c r="BX241" i="1"/>
  <c r="BY241" i="1"/>
  <c r="CB241" i="1"/>
  <c r="CE241" i="1"/>
  <c r="CF241" i="1"/>
  <c r="CH241" i="1"/>
  <c r="CI241" i="1"/>
  <c r="CL241" i="1"/>
  <c r="CM241" i="1" s="1"/>
  <c r="CO241" i="1"/>
  <c r="CP241" i="1"/>
  <c r="CR241" i="1"/>
  <c r="CS241" i="1"/>
  <c r="CV241" i="1"/>
  <c r="CX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H242" i="1"/>
  <c r="I242" i="1"/>
  <c r="L242" i="1"/>
  <c r="M242" i="1"/>
  <c r="O242" i="1"/>
  <c r="P242" i="1"/>
  <c r="S242" i="1"/>
  <c r="T242" i="1" s="1"/>
  <c r="V242" i="1"/>
  <c r="W242" i="1"/>
  <c r="Y242" i="1"/>
  <c r="Z242" i="1"/>
  <c r="AC242" i="1"/>
  <c r="AE242" i="1" s="1"/>
  <c r="AF242" i="1"/>
  <c r="AG242" i="1"/>
  <c r="AI242" i="1"/>
  <c r="AJ242" i="1"/>
  <c r="AM242" i="1"/>
  <c r="AP242" i="1"/>
  <c r="AQ242" i="1"/>
  <c r="AS242" i="1"/>
  <c r="AT242" i="1"/>
  <c r="AW242" i="1"/>
  <c r="AX242" i="1" s="1"/>
  <c r="BA242" i="1"/>
  <c r="BB242" i="1"/>
  <c r="BD242" i="1"/>
  <c r="BE242" i="1"/>
  <c r="BH242" i="1"/>
  <c r="BK242" i="1"/>
  <c r="BL242" i="1"/>
  <c r="BN242" i="1"/>
  <c r="BO242" i="1"/>
  <c r="BR242" i="1"/>
  <c r="BU242" i="1"/>
  <c r="BV242" i="1"/>
  <c r="BX242" i="1"/>
  <c r="BY242" i="1"/>
  <c r="CB242" i="1"/>
  <c r="CE242" i="1"/>
  <c r="CF242" i="1"/>
  <c r="CH242" i="1"/>
  <c r="CI242" i="1"/>
  <c r="CL242" i="1"/>
  <c r="CO242" i="1"/>
  <c r="CP242" i="1"/>
  <c r="CR242" i="1"/>
  <c r="CS242" i="1"/>
  <c r="CV242" i="1"/>
  <c r="CW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H243" i="1"/>
  <c r="I243" i="1"/>
  <c r="J243" i="1" s="1"/>
  <c r="L243" i="1"/>
  <c r="M243" i="1"/>
  <c r="O243" i="1"/>
  <c r="P243" i="1"/>
  <c r="S243" i="1"/>
  <c r="U243" i="1" s="1"/>
  <c r="T243" i="1"/>
  <c r="V243" i="1"/>
  <c r="W243" i="1"/>
  <c r="Y243" i="1"/>
  <c r="Z243" i="1"/>
  <c r="AC243" i="1"/>
  <c r="AE243" i="1" s="1"/>
  <c r="AF243" i="1"/>
  <c r="AG243" i="1"/>
  <c r="AI243" i="1"/>
  <c r="AJ243" i="1"/>
  <c r="AM243" i="1"/>
  <c r="AO243" i="1" s="1"/>
  <c r="AP243" i="1"/>
  <c r="AQ243" i="1"/>
  <c r="AS243" i="1"/>
  <c r="AT243" i="1"/>
  <c r="AW243" i="1"/>
  <c r="AX243" i="1" s="1"/>
  <c r="BA243" i="1"/>
  <c r="BB243" i="1"/>
  <c r="BD243" i="1"/>
  <c r="BE243" i="1"/>
  <c r="BH243" i="1"/>
  <c r="BI243" i="1" s="1"/>
  <c r="BK243" i="1"/>
  <c r="BL243" i="1"/>
  <c r="BN243" i="1"/>
  <c r="BO243" i="1"/>
  <c r="BR243" i="1"/>
  <c r="BS243" i="1" s="1"/>
  <c r="BU243" i="1"/>
  <c r="BV243" i="1"/>
  <c r="BX243" i="1"/>
  <c r="BY243" i="1"/>
  <c r="CB243" i="1"/>
  <c r="CE243" i="1"/>
  <c r="CF243" i="1"/>
  <c r="CH243" i="1"/>
  <c r="CI243" i="1"/>
  <c r="CL243" i="1"/>
  <c r="CM243" i="1" s="1"/>
  <c r="CO243" i="1"/>
  <c r="CP243" i="1"/>
  <c r="CR243" i="1"/>
  <c r="CS243" i="1"/>
  <c r="CV243" i="1"/>
  <c r="CX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H244" i="1"/>
  <c r="I244" i="1"/>
  <c r="L244" i="1"/>
  <c r="M244" i="1"/>
  <c r="O244" i="1"/>
  <c r="P244" i="1"/>
  <c r="S244" i="1"/>
  <c r="V244" i="1"/>
  <c r="W244" i="1"/>
  <c r="Y244" i="1"/>
  <c r="Z244" i="1"/>
  <c r="AC244" i="1"/>
  <c r="AF244" i="1"/>
  <c r="AG244" i="1"/>
  <c r="AI244" i="1"/>
  <c r="AJ244" i="1"/>
  <c r="AM244" i="1"/>
  <c r="AP244" i="1"/>
  <c r="AQ244" i="1"/>
  <c r="AS244" i="1"/>
  <c r="AT244" i="1"/>
  <c r="AW244" i="1"/>
  <c r="AZ244" i="1" s="1"/>
  <c r="AX244" i="1"/>
  <c r="BA244" i="1"/>
  <c r="BB244" i="1"/>
  <c r="BD244" i="1"/>
  <c r="BE244" i="1"/>
  <c r="BH244" i="1"/>
  <c r="BK244" i="1"/>
  <c r="BL244" i="1"/>
  <c r="BN244" i="1"/>
  <c r="BO244" i="1"/>
  <c r="BR244" i="1"/>
  <c r="BT244" i="1" s="1"/>
  <c r="BU244" i="1"/>
  <c r="BV244" i="1"/>
  <c r="BX244" i="1"/>
  <c r="BY244" i="1"/>
  <c r="CB244" i="1"/>
  <c r="CE244" i="1"/>
  <c r="CF244" i="1"/>
  <c r="CH244" i="1"/>
  <c r="CI244" i="1"/>
  <c r="CL244" i="1"/>
  <c r="CN244" i="1" s="1"/>
  <c r="CO244" i="1"/>
  <c r="CP244" i="1"/>
  <c r="CR244" i="1"/>
  <c r="CS244" i="1"/>
  <c r="CV244" i="1"/>
  <c r="CW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H245" i="1"/>
  <c r="I245" i="1"/>
  <c r="J245" i="1" s="1"/>
  <c r="L245" i="1"/>
  <c r="M245" i="1"/>
  <c r="O245" i="1"/>
  <c r="P245" i="1"/>
  <c r="S245" i="1"/>
  <c r="T245" i="1" s="1"/>
  <c r="U245" i="1"/>
  <c r="V245" i="1"/>
  <c r="W245" i="1"/>
  <c r="Y245" i="1"/>
  <c r="Z245" i="1"/>
  <c r="AC245" i="1"/>
  <c r="AF245" i="1"/>
  <c r="AG245" i="1"/>
  <c r="AI245" i="1"/>
  <c r="AJ245" i="1"/>
  <c r="AM245" i="1"/>
  <c r="AO245" i="1" s="1"/>
  <c r="AP245" i="1"/>
  <c r="AQ245" i="1"/>
  <c r="AS245" i="1"/>
  <c r="AT245" i="1"/>
  <c r="AW245" i="1"/>
  <c r="AZ245" i="1" s="1"/>
  <c r="BA245" i="1"/>
  <c r="BB245" i="1"/>
  <c r="BD245" i="1"/>
  <c r="BE245" i="1"/>
  <c r="BH245" i="1"/>
  <c r="BJ245" i="1" s="1"/>
  <c r="BK245" i="1"/>
  <c r="BL245" i="1"/>
  <c r="BN245" i="1"/>
  <c r="BO245" i="1"/>
  <c r="BR245" i="1"/>
  <c r="BU245" i="1"/>
  <c r="BV245" i="1"/>
  <c r="BX245" i="1"/>
  <c r="BY245" i="1"/>
  <c r="CB245" i="1"/>
  <c r="CE245" i="1"/>
  <c r="CF245" i="1"/>
  <c r="CH245" i="1"/>
  <c r="CI245" i="1"/>
  <c r="CL245" i="1"/>
  <c r="CM245" i="1"/>
  <c r="CN245" i="1"/>
  <c r="CO245" i="1"/>
  <c r="CP245" i="1"/>
  <c r="CQ245" i="1" s="1"/>
  <c r="CR245" i="1"/>
  <c r="CS245" i="1"/>
  <c r="CV245" i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H246" i="1"/>
  <c r="I246" i="1"/>
  <c r="L246" i="1"/>
  <c r="M246" i="1"/>
  <c r="O246" i="1"/>
  <c r="P246" i="1"/>
  <c r="S246" i="1"/>
  <c r="U246" i="1"/>
  <c r="V246" i="1"/>
  <c r="W246" i="1"/>
  <c r="Y246" i="1"/>
  <c r="Z246" i="1"/>
  <c r="AC246" i="1"/>
  <c r="AE246" i="1" s="1"/>
  <c r="AF246" i="1"/>
  <c r="AG246" i="1"/>
  <c r="AI246" i="1"/>
  <c r="AJ246" i="1"/>
  <c r="AM246" i="1"/>
  <c r="AO246" i="1" s="1"/>
  <c r="AP246" i="1"/>
  <c r="AQ246" i="1"/>
  <c r="AS246" i="1"/>
  <c r="AT246" i="1"/>
  <c r="AW246" i="1"/>
  <c r="BA246" i="1"/>
  <c r="BB246" i="1"/>
  <c r="BD246" i="1"/>
  <c r="BE246" i="1"/>
  <c r="BH246" i="1"/>
  <c r="BK246" i="1"/>
  <c r="BL246" i="1"/>
  <c r="BN246" i="1"/>
  <c r="BO246" i="1"/>
  <c r="BR246" i="1"/>
  <c r="BS246" i="1" s="1"/>
  <c r="BU246" i="1"/>
  <c r="BV246" i="1"/>
  <c r="BX246" i="1"/>
  <c r="BY246" i="1"/>
  <c r="CB246" i="1"/>
  <c r="CE246" i="1"/>
  <c r="CF246" i="1"/>
  <c r="CH246" i="1"/>
  <c r="CI246" i="1"/>
  <c r="CL246" i="1"/>
  <c r="CN246" i="1" s="1"/>
  <c r="CM246" i="1"/>
  <c r="CO246" i="1"/>
  <c r="CP246" i="1"/>
  <c r="CR246" i="1"/>
  <c r="CS246" i="1"/>
  <c r="CV246" i="1"/>
  <c r="CW246" i="1" s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H247" i="1"/>
  <c r="I247" i="1"/>
  <c r="J247" i="1" s="1"/>
  <c r="L247" i="1"/>
  <c r="M247" i="1"/>
  <c r="O247" i="1"/>
  <c r="P247" i="1"/>
  <c r="S247" i="1"/>
  <c r="T247" i="1" s="1"/>
  <c r="V247" i="1"/>
  <c r="W247" i="1"/>
  <c r="Y247" i="1"/>
  <c r="Z247" i="1"/>
  <c r="AC247" i="1"/>
  <c r="AF247" i="1"/>
  <c r="AG247" i="1"/>
  <c r="AI247" i="1"/>
  <c r="AJ247" i="1"/>
  <c r="AM247" i="1"/>
  <c r="AN247" i="1" s="1"/>
  <c r="AP247" i="1"/>
  <c r="AQ247" i="1"/>
  <c r="AS247" i="1"/>
  <c r="AT247" i="1"/>
  <c r="AW247" i="1"/>
  <c r="BA247" i="1"/>
  <c r="BB247" i="1"/>
  <c r="BD247" i="1"/>
  <c r="BE247" i="1"/>
  <c r="BH247" i="1"/>
  <c r="BJ247" i="1" s="1"/>
  <c r="BK247" i="1"/>
  <c r="BL247" i="1"/>
  <c r="BN247" i="1"/>
  <c r="BO247" i="1"/>
  <c r="BR247" i="1"/>
  <c r="BU247" i="1"/>
  <c r="BV247" i="1"/>
  <c r="BX247" i="1"/>
  <c r="BY247" i="1"/>
  <c r="CB247" i="1"/>
  <c r="CE247" i="1"/>
  <c r="CF247" i="1"/>
  <c r="CH247" i="1"/>
  <c r="CI247" i="1"/>
  <c r="CL247" i="1"/>
  <c r="CO247" i="1"/>
  <c r="CP247" i="1"/>
  <c r="CR247" i="1"/>
  <c r="CS247" i="1"/>
  <c r="CV247" i="1"/>
  <c r="CX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H248" i="1"/>
  <c r="I248" i="1"/>
  <c r="J248" i="1" s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I248" i="1" s="1"/>
  <c r="BK248" i="1"/>
  <c r="BL248" i="1"/>
  <c r="BN248" i="1"/>
  <c r="BO248" i="1"/>
  <c r="BR248" i="1"/>
  <c r="BT248" i="1" s="1"/>
  <c r="BU248" i="1"/>
  <c r="BV248" i="1"/>
  <c r="BX248" i="1"/>
  <c r="BY248" i="1"/>
  <c r="CB248" i="1"/>
  <c r="CC248" i="1" s="1"/>
  <c r="CE248" i="1"/>
  <c r="CF248" i="1"/>
  <c r="CH248" i="1"/>
  <c r="CI248" i="1"/>
  <c r="CL248" i="1"/>
  <c r="CN248" i="1" s="1"/>
  <c r="CO248" i="1"/>
  <c r="CP248" i="1"/>
  <c r="CR248" i="1"/>
  <c r="CS248" i="1"/>
  <c r="CV248" i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H249" i="1"/>
  <c r="I249" i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O249" i="1" s="1"/>
  <c r="AP249" i="1"/>
  <c r="AQ249" i="1"/>
  <c r="AS249" i="1"/>
  <c r="AT249" i="1"/>
  <c r="AW249" i="1"/>
  <c r="AX249" i="1" s="1"/>
  <c r="BA249" i="1"/>
  <c r="BB249" i="1"/>
  <c r="BD249" i="1"/>
  <c r="BE249" i="1"/>
  <c r="BH249" i="1"/>
  <c r="BK249" i="1"/>
  <c r="BL249" i="1"/>
  <c r="BN249" i="1"/>
  <c r="BO249" i="1"/>
  <c r="BR249" i="1"/>
  <c r="BU249" i="1"/>
  <c r="BV249" i="1"/>
  <c r="BX249" i="1"/>
  <c r="BY249" i="1"/>
  <c r="CB249" i="1"/>
  <c r="CD249" i="1" s="1"/>
  <c r="CE249" i="1"/>
  <c r="CF249" i="1"/>
  <c r="CH249" i="1"/>
  <c r="CI249" i="1"/>
  <c r="CL249" i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H250" i="1"/>
  <c r="I250" i="1"/>
  <c r="J250" i="1" s="1"/>
  <c r="L250" i="1"/>
  <c r="M250" i="1"/>
  <c r="O250" i="1"/>
  <c r="P250" i="1"/>
  <c r="S250" i="1"/>
  <c r="U250" i="1" s="1"/>
  <c r="V250" i="1"/>
  <c r="W250" i="1"/>
  <c r="Y250" i="1"/>
  <c r="Z250" i="1"/>
  <c r="AC250" i="1"/>
  <c r="AE250" i="1" s="1"/>
  <c r="AF250" i="1"/>
  <c r="AG250" i="1"/>
  <c r="AI250" i="1"/>
  <c r="AJ250" i="1"/>
  <c r="AM250" i="1"/>
  <c r="AP250" i="1"/>
  <c r="AQ250" i="1"/>
  <c r="AS250" i="1"/>
  <c r="AT250" i="1"/>
  <c r="AW250" i="1"/>
  <c r="BA250" i="1"/>
  <c r="BB250" i="1"/>
  <c r="BD250" i="1"/>
  <c r="BE250" i="1"/>
  <c r="BH250" i="1"/>
  <c r="BI250" i="1" s="1"/>
  <c r="BK250" i="1"/>
  <c r="BL250" i="1"/>
  <c r="BN250" i="1"/>
  <c r="BO250" i="1"/>
  <c r="BR250" i="1"/>
  <c r="BU250" i="1"/>
  <c r="BV250" i="1"/>
  <c r="BX250" i="1"/>
  <c r="BY250" i="1"/>
  <c r="CB250" i="1"/>
  <c r="CE250" i="1"/>
  <c r="CF250" i="1"/>
  <c r="CH250" i="1"/>
  <c r="CI250" i="1"/>
  <c r="CL250" i="1"/>
  <c r="CM250" i="1" s="1"/>
  <c r="CO250" i="1"/>
  <c r="CP250" i="1"/>
  <c r="CR250" i="1"/>
  <c r="CS250" i="1"/>
  <c r="CV250" i="1"/>
  <c r="CW250" i="1" s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H251" i="1"/>
  <c r="I251" i="1"/>
  <c r="J251" i="1" s="1"/>
  <c r="L251" i="1"/>
  <c r="M251" i="1"/>
  <c r="O251" i="1"/>
  <c r="P251" i="1"/>
  <c r="S251" i="1"/>
  <c r="T251" i="1" s="1"/>
  <c r="U251" i="1"/>
  <c r="V251" i="1"/>
  <c r="W251" i="1"/>
  <c r="Y251" i="1"/>
  <c r="Z251" i="1"/>
  <c r="AC251" i="1"/>
  <c r="AF251" i="1"/>
  <c r="AG251" i="1"/>
  <c r="AI251" i="1"/>
  <c r="AJ251" i="1"/>
  <c r="AM251" i="1"/>
  <c r="AO251" i="1" s="1"/>
  <c r="AP251" i="1"/>
  <c r="AQ251" i="1"/>
  <c r="AS251" i="1"/>
  <c r="AT251" i="1"/>
  <c r="AW251" i="1"/>
  <c r="AX251" i="1" s="1"/>
  <c r="BA251" i="1"/>
  <c r="BB251" i="1"/>
  <c r="BD251" i="1"/>
  <c r="BE251" i="1"/>
  <c r="BH251" i="1"/>
  <c r="BI251" i="1" s="1"/>
  <c r="BK251" i="1"/>
  <c r="BL251" i="1"/>
  <c r="BN251" i="1"/>
  <c r="BO251" i="1"/>
  <c r="BR251" i="1"/>
  <c r="BS251" i="1" s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X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H252" i="1"/>
  <c r="I252" i="1"/>
  <c r="L252" i="1"/>
  <c r="M252" i="1"/>
  <c r="O252" i="1"/>
  <c r="P252" i="1"/>
  <c r="S252" i="1"/>
  <c r="T252" i="1"/>
  <c r="V252" i="1"/>
  <c r="W252" i="1"/>
  <c r="Y252" i="1"/>
  <c r="Z252" i="1"/>
  <c r="AC252" i="1"/>
  <c r="AF252" i="1"/>
  <c r="AG252" i="1"/>
  <c r="AI252" i="1"/>
  <c r="AJ252" i="1"/>
  <c r="AM252" i="1"/>
  <c r="AP252" i="1"/>
  <c r="AQ252" i="1"/>
  <c r="AS252" i="1"/>
  <c r="AT252" i="1"/>
  <c r="AW252" i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C252" i="1" s="1"/>
  <c r="CD252" i="1"/>
  <c r="CE252" i="1"/>
  <c r="CF252" i="1"/>
  <c r="CH252" i="1"/>
  <c r="CI252" i="1"/>
  <c r="CL252" i="1"/>
  <c r="CM252" i="1" s="1"/>
  <c r="CN252" i="1"/>
  <c r="CO252" i="1"/>
  <c r="CP252" i="1"/>
  <c r="CR252" i="1"/>
  <c r="CS252" i="1"/>
  <c r="CV252" i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H253" i="1"/>
  <c r="I253" i="1"/>
  <c r="J253" i="1" s="1"/>
  <c r="L253" i="1"/>
  <c r="M253" i="1"/>
  <c r="O253" i="1"/>
  <c r="P253" i="1"/>
  <c r="S253" i="1"/>
  <c r="V253" i="1"/>
  <c r="W253" i="1"/>
  <c r="Y253" i="1"/>
  <c r="Z253" i="1"/>
  <c r="AC253" i="1"/>
  <c r="AF253" i="1"/>
  <c r="AG253" i="1"/>
  <c r="AI253" i="1"/>
  <c r="AJ253" i="1"/>
  <c r="AM253" i="1"/>
  <c r="AO253" i="1" s="1"/>
  <c r="AP253" i="1"/>
  <c r="AQ253" i="1"/>
  <c r="AS253" i="1"/>
  <c r="AT253" i="1"/>
  <c r="AW253" i="1"/>
  <c r="AZ253" i="1" s="1"/>
  <c r="BA253" i="1"/>
  <c r="BB253" i="1"/>
  <c r="BD253" i="1"/>
  <c r="BE253" i="1"/>
  <c r="BH253" i="1"/>
  <c r="BI253" i="1" s="1"/>
  <c r="BK253" i="1"/>
  <c r="BL253" i="1"/>
  <c r="BN253" i="1"/>
  <c r="BO253" i="1"/>
  <c r="BR253" i="1"/>
  <c r="BT253" i="1" s="1"/>
  <c r="BU253" i="1"/>
  <c r="BV253" i="1"/>
  <c r="BX253" i="1"/>
  <c r="BY253" i="1"/>
  <c r="CB253" i="1"/>
  <c r="CE253" i="1"/>
  <c r="CF253" i="1"/>
  <c r="CH253" i="1"/>
  <c r="CI253" i="1"/>
  <c r="CL253" i="1"/>
  <c r="CM253" i="1"/>
  <c r="CN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H254" i="1"/>
  <c r="I254" i="1"/>
  <c r="L254" i="1"/>
  <c r="M254" i="1"/>
  <c r="O254" i="1"/>
  <c r="P254" i="1"/>
  <c r="S254" i="1"/>
  <c r="T254" i="1" s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BA254" i="1"/>
  <c r="BB254" i="1"/>
  <c r="BD254" i="1"/>
  <c r="BE254" i="1"/>
  <c r="BH254" i="1"/>
  <c r="BK254" i="1"/>
  <c r="BL254" i="1"/>
  <c r="BN254" i="1"/>
  <c r="BO254" i="1"/>
  <c r="BR254" i="1"/>
  <c r="BU254" i="1"/>
  <c r="BV254" i="1"/>
  <c r="BX254" i="1"/>
  <c r="BY254" i="1"/>
  <c r="CB254" i="1"/>
  <c r="CC254" i="1" s="1"/>
  <c r="CE254" i="1"/>
  <c r="CF254" i="1"/>
  <c r="CH254" i="1"/>
  <c r="CI254" i="1"/>
  <c r="CL254" i="1"/>
  <c r="CN254" i="1" s="1"/>
  <c r="CM254" i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H255" i="1"/>
  <c r="I255" i="1"/>
  <c r="L255" i="1"/>
  <c r="M255" i="1"/>
  <c r="O255" i="1"/>
  <c r="P255" i="1"/>
  <c r="S255" i="1"/>
  <c r="V255" i="1"/>
  <c r="W255" i="1"/>
  <c r="Y255" i="1"/>
  <c r="Z255" i="1"/>
  <c r="AC255" i="1"/>
  <c r="AF255" i="1"/>
  <c r="AG255" i="1"/>
  <c r="AI255" i="1"/>
  <c r="AJ255" i="1"/>
  <c r="AM255" i="1"/>
  <c r="AP255" i="1"/>
  <c r="AQ255" i="1"/>
  <c r="AS255" i="1"/>
  <c r="AT255" i="1"/>
  <c r="AW255" i="1"/>
  <c r="AZ255" i="1" s="1"/>
  <c r="BA255" i="1"/>
  <c r="BB255" i="1"/>
  <c r="BD255" i="1"/>
  <c r="BE255" i="1"/>
  <c r="BH255" i="1"/>
  <c r="BK255" i="1"/>
  <c r="BL255" i="1"/>
  <c r="BN255" i="1"/>
  <c r="BO255" i="1"/>
  <c r="BR255" i="1"/>
  <c r="BS255" i="1" s="1"/>
  <c r="BU255" i="1"/>
  <c r="BV255" i="1"/>
  <c r="BX255" i="1"/>
  <c r="BY255" i="1"/>
  <c r="CB255" i="1"/>
  <c r="CE255" i="1"/>
  <c r="CF255" i="1"/>
  <c r="CH255" i="1"/>
  <c r="CI255" i="1"/>
  <c r="CL255" i="1"/>
  <c r="CO255" i="1"/>
  <c r="CP255" i="1"/>
  <c r="CR255" i="1"/>
  <c r="CS255" i="1"/>
  <c r="CV255" i="1"/>
  <c r="CX255" i="1" s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H256" i="1"/>
  <c r="I256" i="1"/>
  <c r="L256" i="1"/>
  <c r="M256" i="1"/>
  <c r="O256" i="1"/>
  <c r="P256" i="1"/>
  <c r="S256" i="1"/>
  <c r="T256" i="1" s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BA256" i="1"/>
  <c r="BB256" i="1"/>
  <c r="BD256" i="1"/>
  <c r="BE256" i="1"/>
  <c r="BH256" i="1"/>
  <c r="BK256" i="1"/>
  <c r="BL256" i="1"/>
  <c r="BN256" i="1"/>
  <c r="BO256" i="1"/>
  <c r="BR256" i="1"/>
  <c r="BU256" i="1"/>
  <c r="BV256" i="1"/>
  <c r="BX256" i="1"/>
  <c r="BY256" i="1"/>
  <c r="CB256" i="1"/>
  <c r="CE256" i="1"/>
  <c r="CF256" i="1"/>
  <c r="CH256" i="1"/>
  <c r="CI256" i="1"/>
  <c r="CL256" i="1"/>
  <c r="CM256" i="1"/>
  <c r="CN256" i="1"/>
  <c r="CO256" i="1"/>
  <c r="CP256" i="1"/>
  <c r="CR256" i="1"/>
  <c r="CS256" i="1"/>
  <c r="CV256" i="1"/>
  <c r="CW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H257" i="1"/>
  <c r="I257" i="1"/>
  <c r="J257" i="1" s="1"/>
  <c r="L257" i="1"/>
  <c r="M257" i="1"/>
  <c r="O257" i="1"/>
  <c r="P257" i="1"/>
  <c r="S257" i="1"/>
  <c r="U257" i="1" s="1"/>
  <c r="V257" i="1"/>
  <c r="W257" i="1"/>
  <c r="Y257" i="1"/>
  <c r="Z257" i="1"/>
  <c r="AC257" i="1"/>
  <c r="AF257" i="1"/>
  <c r="AG257" i="1"/>
  <c r="AI257" i="1"/>
  <c r="AJ257" i="1"/>
  <c r="AM257" i="1"/>
  <c r="AN257" i="1" s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S257" i="1" s="1"/>
  <c r="BU257" i="1"/>
  <c r="BV257" i="1"/>
  <c r="BX257" i="1"/>
  <c r="BY257" i="1"/>
  <c r="CB257" i="1"/>
  <c r="CC257" i="1" s="1"/>
  <c r="CE257" i="1"/>
  <c r="CF257" i="1"/>
  <c r="CH257" i="1"/>
  <c r="CI257" i="1"/>
  <c r="CL257" i="1"/>
  <c r="CM257" i="1" s="1"/>
  <c r="CO257" i="1"/>
  <c r="CP257" i="1"/>
  <c r="CR257" i="1"/>
  <c r="CS257" i="1"/>
  <c r="CV257" i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H258" i="1"/>
  <c r="I258" i="1"/>
  <c r="J258" i="1" s="1"/>
  <c r="L258" i="1"/>
  <c r="M258" i="1"/>
  <c r="O258" i="1"/>
  <c r="P258" i="1"/>
  <c r="S258" i="1"/>
  <c r="T258" i="1" s="1"/>
  <c r="V258" i="1"/>
  <c r="W258" i="1"/>
  <c r="Y258" i="1"/>
  <c r="Z258" i="1"/>
  <c r="AC258" i="1"/>
  <c r="AE258" i="1" s="1"/>
  <c r="AD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AX258" i="1" s="1"/>
  <c r="BA258" i="1"/>
  <c r="BB258" i="1"/>
  <c r="BD258" i="1"/>
  <c r="BE258" i="1"/>
  <c r="BH258" i="1"/>
  <c r="BI258" i="1" s="1"/>
  <c r="BK258" i="1"/>
  <c r="BL258" i="1"/>
  <c r="BN258" i="1"/>
  <c r="BO258" i="1"/>
  <c r="BR258" i="1"/>
  <c r="BT258" i="1" s="1"/>
  <c r="BU258" i="1"/>
  <c r="BV258" i="1"/>
  <c r="BX258" i="1"/>
  <c r="BY258" i="1"/>
  <c r="CB258" i="1"/>
  <c r="CD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W258" i="1" s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H259" i="1"/>
  <c r="I259" i="1"/>
  <c r="L259" i="1"/>
  <c r="M259" i="1"/>
  <c r="O259" i="1"/>
  <c r="P259" i="1"/>
  <c r="S259" i="1"/>
  <c r="V259" i="1"/>
  <c r="W259" i="1"/>
  <c r="Y259" i="1"/>
  <c r="Z259" i="1"/>
  <c r="AC259" i="1"/>
  <c r="AF259" i="1"/>
  <c r="AG259" i="1"/>
  <c r="AI259" i="1"/>
  <c r="AJ259" i="1"/>
  <c r="AM259" i="1"/>
  <c r="AO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U259" i="1"/>
  <c r="BV259" i="1"/>
  <c r="BX259" i="1"/>
  <c r="BY259" i="1"/>
  <c r="CB259" i="1"/>
  <c r="CC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H260" i="1"/>
  <c r="I260" i="1"/>
  <c r="J260" i="1" s="1"/>
  <c r="L260" i="1"/>
  <c r="M260" i="1"/>
  <c r="O260" i="1"/>
  <c r="P260" i="1"/>
  <c r="S260" i="1"/>
  <c r="U260" i="1" s="1"/>
  <c r="V260" i="1"/>
  <c r="W260" i="1"/>
  <c r="Y260" i="1"/>
  <c r="Z260" i="1"/>
  <c r="AC260" i="1"/>
  <c r="AD260" i="1" s="1"/>
  <c r="AF260" i="1"/>
  <c r="AG260" i="1"/>
  <c r="AI260" i="1"/>
  <c r="AJ260" i="1"/>
  <c r="AM260" i="1"/>
  <c r="AN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K260" i="1"/>
  <c r="BL260" i="1"/>
  <c r="BN260" i="1"/>
  <c r="BO260" i="1"/>
  <c r="BR260" i="1"/>
  <c r="BS260" i="1" s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H261" i="1"/>
  <c r="I261" i="1"/>
  <c r="J261" i="1" s="1"/>
  <c r="L261" i="1"/>
  <c r="M261" i="1"/>
  <c r="O261" i="1"/>
  <c r="P261" i="1"/>
  <c r="S261" i="1"/>
  <c r="T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P261" i="1"/>
  <c r="AQ261" i="1"/>
  <c r="AS261" i="1"/>
  <c r="AT261" i="1"/>
  <c r="AW261" i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H262" i="1"/>
  <c r="I262" i="1"/>
  <c r="L262" i="1"/>
  <c r="M262" i="1"/>
  <c r="O262" i="1"/>
  <c r="P262" i="1"/>
  <c r="S262" i="1"/>
  <c r="U262" i="1" s="1"/>
  <c r="T262" i="1"/>
  <c r="V262" i="1"/>
  <c r="W262" i="1"/>
  <c r="Y262" i="1"/>
  <c r="Z262" i="1"/>
  <c r="AC262" i="1"/>
  <c r="AD262" i="1" s="1"/>
  <c r="AF262" i="1"/>
  <c r="AG262" i="1"/>
  <c r="AI262" i="1"/>
  <c r="AJ262" i="1"/>
  <c r="AM262" i="1"/>
  <c r="AN262" i="1"/>
  <c r="AO262" i="1"/>
  <c r="AP262" i="1"/>
  <c r="AQ262" i="1"/>
  <c r="AS262" i="1"/>
  <c r="AT262" i="1"/>
  <c r="AW262" i="1"/>
  <c r="BA262" i="1"/>
  <c r="BB262" i="1"/>
  <c r="BD262" i="1"/>
  <c r="BE262" i="1"/>
  <c r="BH262" i="1"/>
  <c r="BI262" i="1"/>
  <c r="BJ262" i="1"/>
  <c r="BK262" i="1"/>
  <c r="BL262" i="1"/>
  <c r="BN262" i="1"/>
  <c r="BO262" i="1"/>
  <c r="BR262" i="1"/>
  <c r="BU262" i="1"/>
  <c r="BV262" i="1"/>
  <c r="BX262" i="1"/>
  <c r="BY262" i="1"/>
  <c r="CB262" i="1"/>
  <c r="CE262" i="1"/>
  <c r="CF262" i="1"/>
  <c r="CH262" i="1"/>
  <c r="CI262" i="1"/>
  <c r="CL262" i="1"/>
  <c r="CN262" i="1" s="1"/>
  <c r="CM262" i="1"/>
  <c r="CO262" i="1"/>
  <c r="CP262" i="1"/>
  <c r="CR262" i="1"/>
  <c r="CS262" i="1"/>
  <c r="CV262" i="1"/>
  <c r="CW262" i="1"/>
  <c r="CX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H263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N263" i="1" s="1"/>
  <c r="AP263" i="1"/>
  <c r="AQ263" i="1"/>
  <c r="AS263" i="1"/>
  <c r="AT263" i="1"/>
  <c r="AW263" i="1"/>
  <c r="BA263" i="1"/>
  <c r="BB263" i="1"/>
  <c r="BD263" i="1"/>
  <c r="BE263" i="1"/>
  <c r="BH263" i="1"/>
  <c r="BK263" i="1"/>
  <c r="BL263" i="1"/>
  <c r="BN263" i="1"/>
  <c r="BO263" i="1"/>
  <c r="BR263" i="1"/>
  <c r="BS263" i="1" s="1"/>
  <c r="BT263" i="1"/>
  <c r="BU263" i="1"/>
  <c r="BV263" i="1"/>
  <c r="BX263" i="1"/>
  <c r="BY263" i="1"/>
  <c r="CB263" i="1"/>
  <c r="CE263" i="1"/>
  <c r="CF263" i="1"/>
  <c r="CH263" i="1"/>
  <c r="CI263" i="1"/>
  <c r="CL263" i="1"/>
  <c r="CN263" i="1" s="1"/>
  <c r="CO263" i="1"/>
  <c r="CP263" i="1"/>
  <c r="CR263" i="1"/>
  <c r="CS263" i="1"/>
  <c r="CV263" i="1"/>
  <c r="CX263" i="1" s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H264" i="1"/>
  <c r="I264" i="1"/>
  <c r="J264" i="1" s="1"/>
  <c r="L264" i="1"/>
  <c r="M264" i="1"/>
  <c r="O264" i="1"/>
  <c r="P264" i="1"/>
  <c r="S264" i="1"/>
  <c r="U264" i="1"/>
  <c r="V264" i="1"/>
  <c r="W264" i="1"/>
  <c r="Y264" i="1"/>
  <c r="Z264" i="1"/>
  <c r="AC264" i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S264" i="1" s="1"/>
  <c r="BU264" i="1"/>
  <c r="BV264" i="1"/>
  <c r="BX264" i="1"/>
  <c r="BY264" i="1"/>
  <c r="CB264" i="1"/>
  <c r="CC264" i="1" s="1"/>
  <c r="CE264" i="1"/>
  <c r="CF264" i="1"/>
  <c r="CH264" i="1"/>
  <c r="CI264" i="1"/>
  <c r="CL264" i="1"/>
  <c r="CO264" i="1"/>
  <c r="CP264" i="1"/>
  <c r="CR264" i="1"/>
  <c r="CS264" i="1"/>
  <c r="CV264" i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H265" i="1"/>
  <c r="I265" i="1"/>
  <c r="J265" i="1" s="1"/>
  <c r="L265" i="1"/>
  <c r="M265" i="1"/>
  <c r="O265" i="1"/>
  <c r="P265" i="1"/>
  <c r="S265" i="1"/>
  <c r="V265" i="1"/>
  <c r="W265" i="1"/>
  <c r="Y265" i="1"/>
  <c r="Z265" i="1"/>
  <c r="AC265" i="1"/>
  <c r="AF265" i="1"/>
  <c r="AG265" i="1"/>
  <c r="AI265" i="1"/>
  <c r="AJ265" i="1"/>
  <c r="AM265" i="1"/>
  <c r="AN265" i="1" s="1"/>
  <c r="AO265" i="1"/>
  <c r="AP265" i="1"/>
  <c r="AQ265" i="1"/>
  <c r="AS265" i="1"/>
  <c r="AT265" i="1"/>
  <c r="AW265" i="1"/>
  <c r="AX265" i="1" s="1"/>
  <c r="BA265" i="1"/>
  <c r="BB265" i="1"/>
  <c r="BD265" i="1"/>
  <c r="BE265" i="1"/>
  <c r="BH265" i="1"/>
  <c r="BK265" i="1"/>
  <c r="BL265" i="1"/>
  <c r="BN265" i="1"/>
  <c r="BO265" i="1"/>
  <c r="BR265" i="1"/>
  <c r="BU265" i="1"/>
  <c r="BV265" i="1"/>
  <c r="BX265" i="1"/>
  <c r="BY265" i="1"/>
  <c r="CB265" i="1"/>
  <c r="CE265" i="1"/>
  <c r="CF265" i="1"/>
  <c r="CH265" i="1"/>
  <c r="CI265" i="1"/>
  <c r="CL265" i="1"/>
  <c r="CN265" i="1" s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H266" i="1"/>
  <c r="I266" i="1"/>
  <c r="J266" i="1" s="1"/>
  <c r="L266" i="1"/>
  <c r="M266" i="1"/>
  <c r="O266" i="1"/>
  <c r="P266" i="1"/>
  <c r="S266" i="1"/>
  <c r="T266" i="1" s="1"/>
  <c r="V266" i="1"/>
  <c r="W266" i="1"/>
  <c r="Y266" i="1"/>
  <c r="Z266" i="1"/>
  <c r="AC266" i="1"/>
  <c r="AF266" i="1"/>
  <c r="AG266" i="1"/>
  <c r="AI266" i="1"/>
  <c r="AJ266" i="1"/>
  <c r="AM266" i="1"/>
  <c r="AP266" i="1"/>
  <c r="AQ266" i="1"/>
  <c r="AS266" i="1"/>
  <c r="AT266" i="1"/>
  <c r="AW266" i="1"/>
  <c r="BA266" i="1"/>
  <c r="BB266" i="1"/>
  <c r="BD266" i="1"/>
  <c r="BE266" i="1"/>
  <c r="BH266" i="1"/>
  <c r="BI266" i="1" s="1"/>
  <c r="BK266" i="1"/>
  <c r="BL266" i="1"/>
  <c r="BN266" i="1"/>
  <c r="BO266" i="1"/>
  <c r="BR266" i="1"/>
  <c r="BU266" i="1"/>
  <c r="BV266" i="1"/>
  <c r="BX266" i="1"/>
  <c r="BY266" i="1"/>
  <c r="CB266" i="1"/>
  <c r="CC266" i="1" s="1"/>
  <c r="CE266" i="1"/>
  <c r="CF266" i="1"/>
  <c r="CH266" i="1"/>
  <c r="CI266" i="1"/>
  <c r="CL266" i="1"/>
  <c r="CO266" i="1"/>
  <c r="CP266" i="1"/>
  <c r="CR266" i="1"/>
  <c r="CS266" i="1"/>
  <c r="CV266" i="1"/>
  <c r="CW266" i="1" s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H267" i="1"/>
  <c r="I267" i="1"/>
  <c r="J267" i="1" s="1"/>
  <c r="L267" i="1"/>
  <c r="M267" i="1"/>
  <c r="O267" i="1"/>
  <c r="P267" i="1"/>
  <c r="S267" i="1"/>
  <c r="V267" i="1"/>
  <c r="W267" i="1"/>
  <c r="Y267" i="1"/>
  <c r="Z267" i="1"/>
  <c r="AC267" i="1"/>
  <c r="AD267" i="1" s="1"/>
  <c r="AF267" i="1"/>
  <c r="AG267" i="1"/>
  <c r="AI267" i="1"/>
  <c r="AJ267" i="1"/>
  <c r="AM267" i="1"/>
  <c r="AP267" i="1"/>
  <c r="AQ267" i="1"/>
  <c r="AS267" i="1"/>
  <c r="AT267" i="1"/>
  <c r="AW267" i="1"/>
  <c r="AX267" i="1" s="1"/>
  <c r="BA267" i="1"/>
  <c r="BB267" i="1"/>
  <c r="BD267" i="1"/>
  <c r="BE267" i="1"/>
  <c r="BH267" i="1"/>
  <c r="BK267" i="1"/>
  <c r="BL267" i="1"/>
  <c r="BN267" i="1"/>
  <c r="BO267" i="1"/>
  <c r="BR267" i="1"/>
  <c r="BS267" i="1" s="1"/>
  <c r="BU267" i="1"/>
  <c r="BV267" i="1"/>
  <c r="BX267" i="1"/>
  <c r="BY267" i="1"/>
  <c r="CB267" i="1"/>
  <c r="CC267" i="1"/>
  <c r="CE267" i="1"/>
  <c r="CF267" i="1"/>
  <c r="CH267" i="1"/>
  <c r="CI267" i="1"/>
  <c r="CL267" i="1"/>
  <c r="CN267" i="1" s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H268" i="1"/>
  <c r="I268" i="1"/>
  <c r="J268" i="1" s="1"/>
  <c r="L268" i="1"/>
  <c r="M268" i="1"/>
  <c r="O268" i="1"/>
  <c r="P268" i="1"/>
  <c r="S268" i="1"/>
  <c r="T268" i="1" s="1"/>
  <c r="V268" i="1"/>
  <c r="W268" i="1"/>
  <c r="Y268" i="1"/>
  <c r="Z268" i="1"/>
  <c r="AC268" i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I268" i="1" s="1"/>
  <c r="BJ268" i="1"/>
  <c r="BK268" i="1"/>
  <c r="BL268" i="1"/>
  <c r="BN268" i="1"/>
  <c r="BO268" i="1"/>
  <c r="BR268" i="1"/>
  <c r="BU268" i="1"/>
  <c r="BV268" i="1"/>
  <c r="BX268" i="1"/>
  <c r="BY268" i="1"/>
  <c r="CB268" i="1"/>
  <c r="CE268" i="1"/>
  <c r="CF268" i="1"/>
  <c r="CH268" i="1"/>
  <c r="CI268" i="1"/>
  <c r="CL268" i="1"/>
  <c r="CO268" i="1"/>
  <c r="CP268" i="1"/>
  <c r="CR268" i="1"/>
  <c r="CS268" i="1"/>
  <c r="CV268" i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H269" i="1"/>
  <c r="I269" i="1"/>
  <c r="L269" i="1"/>
  <c r="M269" i="1"/>
  <c r="O269" i="1"/>
  <c r="P269" i="1"/>
  <c r="S269" i="1"/>
  <c r="T269" i="1"/>
  <c r="V269" i="1"/>
  <c r="W269" i="1"/>
  <c r="Y269" i="1"/>
  <c r="Z269" i="1"/>
  <c r="AC269" i="1"/>
  <c r="AF269" i="1"/>
  <c r="AG269" i="1"/>
  <c r="AI269" i="1"/>
  <c r="AJ269" i="1"/>
  <c r="AM269" i="1"/>
  <c r="AN269" i="1" s="1"/>
  <c r="AP269" i="1"/>
  <c r="AQ269" i="1"/>
  <c r="AS269" i="1"/>
  <c r="AT269" i="1"/>
  <c r="AW269" i="1"/>
  <c r="AX269" i="1" s="1"/>
  <c r="BA269" i="1"/>
  <c r="BB269" i="1"/>
  <c r="BD269" i="1"/>
  <c r="BE269" i="1"/>
  <c r="BH269" i="1"/>
  <c r="BK269" i="1"/>
  <c r="BL269" i="1"/>
  <c r="BN269" i="1"/>
  <c r="BO269" i="1"/>
  <c r="BR269" i="1"/>
  <c r="BS269" i="1" s="1"/>
  <c r="BU269" i="1"/>
  <c r="BV269" i="1"/>
  <c r="BX269" i="1"/>
  <c r="BY269" i="1"/>
  <c r="CB269" i="1"/>
  <c r="CE269" i="1"/>
  <c r="CF269" i="1"/>
  <c r="CH269" i="1"/>
  <c r="CI269" i="1"/>
  <c r="CL269" i="1"/>
  <c r="CN269" i="1" s="1"/>
  <c r="CM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H270" i="1"/>
  <c r="I270" i="1"/>
  <c r="K270" i="1" s="1"/>
  <c r="L270" i="1"/>
  <c r="M270" i="1"/>
  <c r="O270" i="1"/>
  <c r="P270" i="1"/>
  <c r="S270" i="1"/>
  <c r="T270" i="1" s="1"/>
  <c r="U270" i="1"/>
  <c r="V270" i="1"/>
  <c r="W270" i="1"/>
  <c r="Y270" i="1"/>
  <c r="Z270" i="1"/>
  <c r="AC270" i="1"/>
  <c r="AF270" i="1"/>
  <c r="AG270" i="1"/>
  <c r="AI270" i="1"/>
  <c r="AJ270" i="1"/>
  <c r="AM270" i="1"/>
  <c r="AP270" i="1"/>
  <c r="AQ270" i="1"/>
  <c r="AS270" i="1"/>
  <c r="AT270" i="1"/>
  <c r="AW270" i="1"/>
  <c r="AX270" i="1" s="1"/>
  <c r="BA270" i="1"/>
  <c r="BB270" i="1"/>
  <c r="BD270" i="1"/>
  <c r="BE270" i="1"/>
  <c r="BH270" i="1"/>
  <c r="BI270" i="1" s="1"/>
  <c r="BK270" i="1"/>
  <c r="BL270" i="1"/>
  <c r="BN270" i="1"/>
  <c r="BO270" i="1"/>
  <c r="BR270" i="1"/>
  <c r="BU270" i="1"/>
  <c r="BV270" i="1"/>
  <c r="BX270" i="1"/>
  <c r="BY270" i="1"/>
  <c r="CB270" i="1"/>
  <c r="CC270" i="1" s="1"/>
  <c r="CD270" i="1"/>
  <c r="CE270" i="1"/>
  <c r="CF270" i="1"/>
  <c r="CH270" i="1"/>
  <c r="CI270" i="1"/>
  <c r="CL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H271" i="1"/>
  <c r="I271" i="1"/>
  <c r="L271" i="1"/>
  <c r="M271" i="1"/>
  <c r="O271" i="1"/>
  <c r="P271" i="1"/>
  <c r="S271" i="1"/>
  <c r="T271" i="1"/>
  <c r="V271" i="1"/>
  <c r="W271" i="1"/>
  <c r="Y271" i="1"/>
  <c r="Z271" i="1"/>
  <c r="AC271" i="1"/>
  <c r="AF271" i="1"/>
  <c r="AG271" i="1"/>
  <c r="AI271" i="1"/>
  <c r="AJ271" i="1"/>
  <c r="AM271" i="1"/>
  <c r="AN271" i="1" s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J271" i="1"/>
  <c r="BK271" i="1"/>
  <c r="BL271" i="1"/>
  <c r="BN271" i="1"/>
  <c r="BO271" i="1"/>
  <c r="BR271" i="1"/>
  <c r="BS271" i="1" s="1"/>
  <c r="BU271" i="1"/>
  <c r="BV271" i="1"/>
  <c r="BX271" i="1"/>
  <c r="BY271" i="1"/>
  <c r="CB271" i="1"/>
  <c r="CC271" i="1" s="1"/>
  <c r="CE271" i="1"/>
  <c r="CF271" i="1"/>
  <c r="CH271" i="1"/>
  <c r="CI271" i="1"/>
  <c r="CL271" i="1"/>
  <c r="CM271" i="1" s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H272" i="1"/>
  <c r="I272" i="1"/>
  <c r="J272" i="1" s="1"/>
  <c r="L272" i="1"/>
  <c r="M272" i="1"/>
  <c r="O272" i="1"/>
  <c r="P272" i="1"/>
  <c r="S272" i="1"/>
  <c r="T272" i="1" s="1"/>
  <c r="V272" i="1"/>
  <c r="W272" i="1"/>
  <c r="Y272" i="1"/>
  <c r="Z272" i="1"/>
  <c r="AC272" i="1"/>
  <c r="AE272" i="1" s="1"/>
  <c r="AF272" i="1"/>
  <c r="AG272" i="1"/>
  <c r="AI272" i="1"/>
  <c r="AJ272" i="1"/>
  <c r="AM272" i="1"/>
  <c r="AO272" i="1" s="1"/>
  <c r="AP272" i="1"/>
  <c r="AQ272" i="1"/>
  <c r="AS272" i="1"/>
  <c r="AT272" i="1"/>
  <c r="AW272" i="1"/>
  <c r="BA272" i="1"/>
  <c r="BB272" i="1"/>
  <c r="BD272" i="1"/>
  <c r="BE272" i="1"/>
  <c r="BH272" i="1"/>
  <c r="BK272" i="1"/>
  <c r="BL272" i="1"/>
  <c r="BN272" i="1"/>
  <c r="BO272" i="1"/>
  <c r="BR272" i="1"/>
  <c r="BT272" i="1" s="1"/>
  <c r="BS272" i="1"/>
  <c r="BU272" i="1"/>
  <c r="BV272" i="1"/>
  <c r="BX272" i="1"/>
  <c r="BY272" i="1"/>
  <c r="CB272" i="1"/>
  <c r="CE272" i="1"/>
  <c r="CF272" i="1"/>
  <c r="CH272" i="1"/>
  <c r="CI272" i="1"/>
  <c r="CL272" i="1"/>
  <c r="CO272" i="1"/>
  <c r="CP272" i="1"/>
  <c r="CR272" i="1"/>
  <c r="CS272" i="1"/>
  <c r="CV272" i="1"/>
  <c r="CX272" i="1" s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H273" i="1"/>
  <c r="I273" i="1"/>
  <c r="J273" i="1" s="1"/>
  <c r="L273" i="1"/>
  <c r="M273" i="1"/>
  <c r="O273" i="1"/>
  <c r="P273" i="1"/>
  <c r="S273" i="1"/>
  <c r="U273" i="1" s="1"/>
  <c r="T273" i="1"/>
  <c r="V273" i="1"/>
  <c r="W273" i="1"/>
  <c r="Y273" i="1"/>
  <c r="Z273" i="1"/>
  <c r="AC273" i="1"/>
  <c r="AD273" i="1" s="1"/>
  <c r="AF273" i="1"/>
  <c r="AG273" i="1"/>
  <c r="AI273" i="1"/>
  <c r="AJ273" i="1"/>
  <c r="AM273" i="1"/>
  <c r="AN273" i="1" s="1"/>
  <c r="AP273" i="1"/>
  <c r="AQ273" i="1"/>
  <c r="AS273" i="1"/>
  <c r="AT273" i="1"/>
  <c r="AW273" i="1"/>
  <c r="AX273" i="1" s="1"/>
  <c r="BA273" i="1"/>
  <c r="BB273" i="1"/>
  <c r="BD273" i="1"/>
  <c r="BE273" i="1"/>
  <c r="BH273" i="1"/>
  <c r="BJ273" i="1" s="1"/>
  <c r="BK273" i="1"/>
  <c r="BL273" i="1"/>
  <c r="BN273" i="1"/>
  <c r="BO273" i="1"/>
  <c r="BR273" i="1"/>
  <c r="BT273" i="1" s="1"/>
  <c r="BU273" i="1"/>
  <c r="BV273" i="1"/>
  <c r="BX273" i="1"/>
  <c r="BY273" i="1"/>
  <c r="CB273" i="1"/>
  <c r="CC273" i="1" s="1"/>
  <c r="CE273" i="1"/>
  <c r="CF273" i="1"/>
  <c r="CH273" i="1"/>
  <c r="CI273" i="1"/>
  <c r="CL273" i="1"/>
  <c r="CM273" i="1"/>
  <c r="CN273" i="1"/>
  <c r="CO273" i="1"/>
  <c r="CP273" i="1"/>
  <c r="CR273" i="1"/>
  <c r="CS273" i="1"/>
  <c r="CV273" i="1"/>
  <c r="CW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H274" i="1"/>
  <c r="I274" i="1"/>
  <c r="J274" i="1" s="1"/>
  <c r="L274" i="1"/>
  <c r="M274" i="1"/>
  <c r="O274" i="1"/>
  <c r="P274" i="1"/>
  <c r="S274" i="1"/>
  <c r="V274" i="1"/>
  <c r="W274" i="1"/>
  <c r="Y274" i="1"/>
  <c r="Z274" i="1"/>
  <c r="AC274" i="1"/>
  <c r="AF274" i="1"/>
  <c r="AG274" i="1"/>
  <c r="AI274" i="1"/>
  <c r="AJ274" i="1"/>
  <c r="AM274" i="1"/>
  <c r="AO274" i="1" s="1"/>
  <c r="AP274" i="1"/>
  <c r="AQ274" i="1"/>
  <c r="AS274" i="1"/>
  <c r="AT274" i="1"/>
  <c r="AW274" i="1"/>
  <c r="BA274" i="1"/>
  <c r="BB274" i="1"/>
  <c r="BD274" i="1"/>
  <c r="BE274" i="1"/>
  <c r="BH274" i="1"/>
  <c r="BI274" i="1" s="1"/>
  <c r="BK274" i="1"/>
  <c r="BL274" i="1"/>
  <c r="BN274" i="1"/>
  <c r="BO274" i="1"/>
  <c r="BR274" i="1"/>
  <c r="BS274" i="1" s="1"/>
  <c r="BT274" i="1"/>
  <c r="BU274" i="1"/>
  <c r="BV274" i="1"/>
  <c r="BX274" i="1"/>
  <c r="BY274" i="1"/>
  <c r="CB274" i="1"/>
  <c r="CC274" i="1" s="1"/>
  <c r="CE274" i="1"/>
  <c r="CF274" i="1"/>
  <c r="CH274" i="1"/>
  <c r="CI274" i="1"/>
  <c r="CL274" i="1"/>
  <c r="CN274" i="1" s="1"/>
  <c r="CO274" i="1"/>
  <c r="CP274" i="1"/>
  <c r="CR274" i="1"/>
  <c r="CS274" i="1"/>
  <c r="CV274" i="1"/>
  <c r="CX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H275" i="1"/>
  <c r="I275" i="1"/>
  <c r="L275" i="1"/>
  <c r="M275" i="1"/>
  <c r="O275" i="1"/>
  <c r="P275" i="1"/>
  <c r="S275" i="1"/>
  <c r="T275" i="1" s="1"/>
  <c r="V275" i="1"/>
  <c r="W275" i="1"/>
  <c r="Y275" i="1"/>
  <c r="Z275" i="1"/>
  <c r="AC275" i="1"/>
  <c r="AD275" i="1" s="1"/>
  <c r="AF275" i="1"/>
  <c r="AG275" i="1"/>
  <c r="AI275" i="1"/>
  <c r="AJ275" i="1"/>
  <c r="AM275" i="1"/>
  <c r="AN275" i="1" s="1"/>
  <c r="AP275" i="1"/>
  <c r="AQ275" i="1"/>
  <c r="AS275" i="1"/>
  <c r="AT275" i="1"/>
  <c r="AW275" i="1"/>
  <c r="AX275" i="1" s="1"/>
  <c r="BA275" i="1"/>
  <c r="BB275" i="1"/>
  <c r="BD275" i="1"/>
  <c r="BE275" i="1"/>
  <c r="BH275" i="1"/>
  <c r="BJ275" i="1" s="1"/>
  <c r="BK275" i="1"/>
  <c r="BL275" i="1"/>
  <c r="BN275" i="1"/>
  <c r="BO275" i="1"/>
  <c r="BR275" i="1"/>
  <c r="BT275" i="1" s="1"/>
  <c r="BU275" i="1"/>
  <c r="BV275" i="1"/>
  <c r="BX275" i="1"/>
  <c r="BY275" i="1"/>
  <c r="CB275" i="1"/>
  <c r="CC275" i="1"/>
  <c r="CD275" i="1"/>
  <c r="CE275" i="1"/>
  <c r="CF275" i="1"/>
  <c r="CH275" i="1"/>
  <c r="CI275" i="1"/>
  <c r="CL275" i="1"/>
  <c r="CM275" i="1" s="1"/>
  <c r="CO275" i="1"/>
  <c r="CP275" i="1"/>
  <c r="CR275" i="1"/>
  <c r="CS275" i="1"/>
  <c r="CV275" i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H276" i="1"/>
  <c r="I276" i="1"/>
  <c r="L276" i="1"/>
  <c r="M276" i="1"/>
  <c r="O276" i="1"/>
  <c r="P276" i="1"/>
  <c r="S276" i="1"/>
  <c r="U276" i="1" s="1"/>
  <c r="V276" i="1"/>
  <c r="W276" i="1"/>
  <c r="Y276" i="1"/>
  <c r="Z276" i="1"/>
  <c r="AA276" i="1"/>
  <c r="AC276" i="1"/>
  <c r="AD276" i="1" s="1"/>
  <c r="AF276" i="1"/>
  <c r="AG276" i="1"/>
  <c r="AI276" i="1"/>
  <c r="AJ276" i="1"/>
  <c r="AK276" i="1"/>
  <c r="AM276" i="1"/>
  <c r="AO276" i="1" s="1"/>
  <c r="AP276" i="1"/>
  <c r="AQ276" i="1"/>
  <c r="AS276" i="1"/>
  <c r="AT276" i="1"/>
  <c r="AU276" i="1"/>
  <c r="AW276" i="1"/>
  <c r="AX276" i="1" s="1"/>
  <c r="BA276" i="1"/>
  <c r="BB276" i="1"/>
  <c r="BD276" i="1"/>
  <c r="BE276" i="1"/>
  <c r="BF276" i="1"/>
  <c r="BH276" i="1"/>
  <c r="BI276" i="1" s="1"/>
  <c r="BK276" i="1"/>
  <c r="BL276" i="1"/>
  <c r="BN276" i="1"/>
  <c r="BO276" i="1"/>
  <c r="BP276" i="1"/>
  <c r="BR276" i="1"/>
  <c r="BS276" i="1" s="1"/>
  <c r="BU276" i="1"/>
  <c r="BV276" i="1"/>
  <c r="BX276" i="1"/>
  <c r="BY276" i="1"/>
  <c r="BZ276" i="1"/>
  <c r="CB276" i="1"/>
  <c r="CC276" i="1" s="1"/>
  <c r="CE276" i="1"/>
  <c r="CF276" i="1"/>
  <c r="CH276" i="1"/>
  <c r="CI276" i="1"/>
  <c r="CJ276" i="1"/>
  <c r="CL276" i="1"/>
  <c r="CO276" i="1"/>
  <c r="CP276" i="1"/>
  <c r="CR276" i="1"/>
  <c r="CS276" i="1"/>
  <c r="CT276" i="1"/>
  <c r="CV276" i="1"/>
  <c r="CX276" i="1" s="1"/>
  <c r="CY276" i="1"/>
  <c r="CZ276" i="1"/>
  <c r="DB276" i="1"/>
  <c r="DC276" i="1"/>
  <c r="DD276" i="1"/>
  <c r="DN276" i="1"/>
  <c r="DX276" i="1"/>
  <c r="EA276" i="1"/>
  <c r="EB276" i="1"/>
  <c r="EC276" i="1"/>
  <c r="ED276" i="1"/>
  <c r="EE276" i="1"/>
  <c r="EF276" i="1"/>
  <c r="EG276" i="1"/>
  <c r="EH276" i="1"/>
  <c r="EI276" i="1"/>
  <c r="H277" i="1"/>
  <c r="I277" i="1"/>
  <c r="J277" i="1" s="1"/>
  <c r="L277" i="1"/>
  <c r="M277" i="1"/>
  <c r="O277" i="1"/>
  <c r="P277" i="1"/>
  <c r="S277" i="1"/>
  <c r="V277" i="1"/>
  <c r="W277" i="1"/>
  <c r="Y277" i="1"/>
  <c r="Z277" i="1"/>
  <c r="AC277" i="1"/>
  <c r="AF277" i="1"/>
  <c r="AG277" i="1"/>
  <c r="AI277" i="1"/>
  <c r="AJ277" i="1"/>
  <c r="AM277" i="1"/>
  <c r="AP277" i="1"/>
  <c r="AQ277" i="1"/>
  <c r="AS277" i="1"/>
  <c r="AT277" i="1"/>
  <c r="AW277" i="1"/>
  <c r="AZ277" i="1" s="1"/>
  <c r="BA277" i="1"/>
  <c r="BB277" i="1"/>
  <c r="BD277" i="1"/>
  <c r="BE277" i="1"/>
  <c r="BH277" i="1"/>
  <c r="BI277" i="1" s="1"/>
  <c r="BJ277" i="1"/>
  <c r="BK277" i="1"/>
  <c r="BL277" i="1"/>
  <c r="BN277" i="1"/>
  <c r="BO277" i="1"/>
  <c r="BR277" i="1"/>
  <c r="BT277" i="1" s="1"/>
  <c r="BU277" i="1"/>
  <c r="BV277" i="1"/>
  <c r="BX277" i="1"/>
  <c r="BY277" i="1"/>
  <c r="CB277" i="1"/>
  <c r="CE277" i="1"/>
  <c r="CF277" i="1"/>
  <c r="CH277" i="1"/>
  <c r="CI277" i="1"/>
  <c r="CL277" i="1"/>
  <c r="CM277" i="1" s="1"/>
  <c r="CO277" i="1"/>
  <c r="CP277" i="1"/>
  <c r="CR277" i="1"/>
  <c r="CS277" i="1"/>
  <c r="CV277" i="1"/>
  <c r="CW277" i="1" s="1"/>
  <c r="CY277" i="1"/>
  <c r="CZ277" i="1"/>
  <c r="DB277" i="1"/>
  <c r="DC277" i="1"/>
  <c r="EA277" i="1"/>
  <c r="EB277" i="1"/>
  <c r="EC277" i="1"/>
  <c r="ED277" i="1"/>
  <c r="EE277" i="1"/>
  <c r="EF277" i="1"/>
  <c r="EG277" i="1"/>
  <c r="EH277" i="1"/>
  <c r="EI277" i="1"/>
  <c r="H278" i="1"/>
  <c r="I278" i="1"/>
  <c r="J278" i="1" s="1"/>
  <c r="L278" i="1"/>
  <c r="M278" i="1"/>
  <c r="O278" i="1"/>
  <c r="P278" i="1"/>
  <c r="S278" i="1"/>
  <c r="T278" i="1" s="1"/>
  <c r="V278" i="1"/>
  <c r="W278" i="1"/>
  <c r="Y278" i="1"/>
  <c r="Z278" i="1"/>
  <c r="AC278" i="1"/>
  <c r="AD278" i="1" s="1"/>
  <c r="AF278" i="1"/>
  <c r="AG278" i="1"/>
  <c r="AI278" i="1"/>
  <c r="AJ278" i="1"/>
  <c r="AM278" i="1"/>
  <c r="AO278" i="1" s="1"/>
  <c r="AP278" i="1"/>
  <c r="AQ278" i="1"/>
  <c r="AS278" i="1"/>
  <c r="AT278" i="1"/>
  <c r="AW278" i="1"/>
  <c r="AX278" i="1" s="1"/>
  <c r="BA278" i="1"/>
  <c r="BB278" i="1"/>
  <c r="BD278" i="1"/>
  <c r="BE278" i="1"/>
  <c r="BH278" i="1"/>
  <c r="BI278" i="1" s="1"/>
  <c r="BK278" i="1"/>
  <c r="BL278" i="1"/>
  <c r="BN278" i="1"/>
  <c r="BO278" i="1"/>
  <c r="BR278" i="1"/>
  <c r="BT278" i="1" s="1"/>
  <c r="BS278" i="1"/>
  <c r="BU278" i="1"/>
  <c r="BV278" i="1"/>
  <c r="BX278" i="1"/>
  <c r="BY278" i="1"/>
  <c r="CB278" i="1"/>
  <c r="CE278" i="1"/>
  <c r="CF278" i="1"/>
  <c r="CH278" i="1"/>
  <c r="CI278" i="1"/>
  <c r="CL278" i="1"/>
  <c r="CN278" i="1" s="1"/>
  <c r="CO278" i="1"/>
  <c r="CP278" i="1"/>
  <c r="CR278" i="1"/>
  <c r="CS278" i="1"/>
  <c r="CV278" i="1"/>
  <c r="CX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H279" i="1"/>
  <c r="I279" i="1"/>
  <c r="J279" i="1" s="1"/>
  <c r="L279" i="1"/>
  <c r="M279" i="1"/>
  <c r="O279" i="1"/>
  <c r="P279" i="1"/>
  <c r="S279" i="1"/>
  <c r="T279" i="1" s="1"/>
  <c r="V279" i="1"/>
  <c r="W279" i="1"/>
  <c r="Y279" i="1"/>
  <c r="Z279" i="1"/>
  <c r="AC279" i="1"/>
  <c r="AE279" i="1" s="1"/>
  <c r="AF279" i="1"/>
  <c r="AG279" i="1"/>
  <c r="AI279" i="1"/>
  <c r="AJ279" i="1"/>
  <c r="AM279" i="1"/>
  <c r="AN279" i="1" s="1"/>
  <c r="AP279" i="1"/>
  <c r="AQ279" i="1"/>
  <c r="AS279" i="1"/>
  <c r="AT279" i="1"/>
  <c r="AW279" i="1"/>
  <c r="AZ279" i="1" s="1"/>
  <c r="BA279" i="1"/>
  <c r="BB279" i="1"/>
  <c r="BD279" i="1"/>
  <c r="BE279" i="1"/>
  <c r="BH279" i="1"/>
  <c r="BI279" i="1" s="1"/>
  <c r="BJ279" i="1"/>
  <c r="BK279" i="1"/>
  <c r="BL279" i="1"/>
  <c r="BN279" i="1"/>
  <c r="BO279" i="1"/>
  <c r="BR279" i="1"/>
  <c r="BS279" i="1" s="1"/>
  <c r="BU279" i="1"/>
  <c r="BV279" i="1"/>
  <c r="BX279" i="1"/>
  <c r="BY279" i="1"/>
  <c r="CB279" i="1"/>
  <c r="CC279" i="1" s="1"/>
  <c r="CE279" i="1"/>
  <c r="CF279" i="1"/>
  <c r="CH279" i="1"/>
  <c r="CI279" i="1"/>
  <c r="CL279" i="1"/>
  <c r="CM279" i="1" s="1"/>
  <c r="CO279" i="1"/>
  <c r="CP279" i="1"/>
  <c r="CR279" i="1"/>
  <c r="CS279" i="1"/>
  <c r="CV279" i="1"/>
  <c r="CX279" i="1" s="1"/>
  <c r="CW279" i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H280" i="1"/>
  <c r="I280" i="1"/>
  <c r="J280" i="1" s="1"/>
  <c r="L280" i="1"/>
  <c r="M280" i="1"/>
  <c r="O280" i="1"/>
  <c r="P280" i="1"/>
  <c r="S280" i="1"/>
  <c r="V280" i="1"/>
  <c r="W280" i="1"/>
  <c r="Y280" i="1"/>
  <c r="Z280" i="1"/>
  <c r="AC280" i="1"/>
  <c r="AD280" i="1" s="1"/>
  <c r="AF280" i="1"/>
  <c r="AG280" i="1"/>
  <c r="AI280" i="1"/>
  <c r="AJ280" i="1"/>
  <c r="AM280" i="1"/>
  <c r="AP280" i="1"/>
  <c r="AQ280" i="1"/>
  <c r="AS280" i="1"/>
  <c r="AT280" i="1"/>
  <c r="AW280" i="1"/>
  <c r="BA280" i="1"/>
  <c r="BB280" i="1"/>
  <c r="BD280" i="1"/>
  <c r="BE280" i="1"/>
  <c r="BH280" i="1"/>
  <c r="BI280" i="1"/>
  <c r="BJ280" i="1"/>
  <c r="BK280" i="1"/>
  <c r="BL280" i="1"/>
  <c r="BN280" i="1"/>
  <c r="BO280" i="1"/>
  <c r="BR280" i="1"/>
  <c r="BS280" i="1" s="1"/>
  <c r="BU280" i="1"/>
  <c r="BV280" i="1"/>
  <c r="BX280" i="1"/>
  <c r="BY280" i="1"/>
  <c r="CB280" i="1"/>
  <c r="CE280" i="1"/>
  <c r="CF280" i="1"/>
  <c r="CH280" i="1"/>
  <c r="CI280" i="1"/>
  <c r="CL280" i="1"/>
  <c r="CN280" i="1"/>
  <c r="CO280" i="1"/>
  <c r="CP280" i="1"/>
  <c r="CR280" i="1"/>
  <c r="CS280" i="1"/>
  <c r="CV280" i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H281" i="1"/>
  <c r="I281" i="1"/>
  <c r="L281" i="1"/>
  <c r="M281" i="1"/>
  <c r="O281" i="1"/>
  <c r="P281" i="1"/>
  <c r="S281" i="1"/>
  <c r="T281" i="1" s="1"/>
  <c r="V281" i="1"/>
  <c r="W281" i="1"/>
  <c r="Y281" i="1"/>
  <c r="Z281" i="1"/>
  <c r="AC281" i="1"/>
  <c r="AD281" i="1" s="1"/>
  <c r="AF281" i="1"/>
  <c r="AG281" i="1"/>
  <c r="AI281" i="1"/>
  <c r="AJ281" i="1"/>
  <c r="AM281" i="1"/>
  <c r="AN281" i="1" s="1"/>
  <c r="AP281" i="1"/>
  <c r="AQ281" i="1"/>
  <c r="AS281" i="1"/>
  <c r="AT281" i="1"/>
  <c r="AW281" i="1"/>
  <c r="AZ281" i="1" s="1"/>
  <c r="BA281" i="1"/>
  <c r="BB281" i="1"/>
  <c r="BD281" i="1"/>
  <c r="BE281" i="1"/>
  <c r="BH281" i="1"/>
  <c r="BI281" i="1" s="1"/>
  <c r="BK281" i="1"/>
  <c r="BL281" i="1"/>
  <c r="BN281" i="1"/>
  <c r="BO281" i="1"/>
  <c r="BR281" i="1"/>
  <c r="BT281" i="1" s="1"/>
  <c r="BU281" i="1"/>
  <c r="BV281" i="1"/>
  <c r="BX281" i="1"/>
  <c r="BY281" i="1"/>
  <c r="CB281" i="1"/>
  <c r="CD281" i="1" s="1"/>
  <c r="CC281" i="1"/>
  <c r="CE281" i="1"/>
  <c r="CF281" i="1"/>
  <c r="CH281" i="1"/>
  <c r="CI281" i="1"/>
  <c r="CL281" i="1"/>
  <c r="CM281" i="1" s="1"/>
  <c r="CN281" i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H282" i="1"/>
  <c r="I282" i="1"/>
  <c r="J282" i="1" s="1"/>
  <c r="L282" i="1"/>
  <c r="M282" i="1"/>
  <c r="O282" i="1"/>
  <c r="P282" i="1"/>
  <c r="S282" i="1"/>
  <c r="V282" i="1"/>
  <c r="W282" i="1"/>
  <c r="Y282" i="1"/>
  <c r="Z282" i="1"/>
  <c r="AC282" i="1"/>
  <c r="AF282" i="1"/>
  <c r="AG282" i="1"/>
  <c r="AI282" i="1"/>
  <c r="AJ282" i="1"/>
  <c r="AM282" i="1"/>
  <c r="AP282" i="1"/>
  <c r="AQ282" i="1"/>
  <c r="AS282" i="1"/>
  <c r="AT282" i="1"/>
  <c r="AW282" i="1"/>
  <c r="BA282" i="1"/>
  <c r="BB282" i="1"/>
  <c r="BD282" i="1"/>
  <c r="BE282" i="1"/>
  <c r="BH282" i="1"/>
  <c r="BI282" i="1" s="1"/>
  <c r="BK282" i="1"/>
  <c r="BL282" i="1"/>
  <c r="BN282" i="1"/>
  <c r="BO282" i="1"/>
  <c r="BR282" i="1"/>
  <c r="BU282" i="1"/>
  <c r="BV282" i="1"/>
  <c r="BX282" i="1"/>
  <c r="BY282" i="1"/>
  <c r="CB282" i="1"/>
  <c r="CC282" i="1" s="1"/>
  <c r="CE282" i="1"/>
  <c r="CF282" i="1"/>
  <c r="CH282" i="1"/>
  <c r="CI282" i="1"/>
  <c r="CL282" i="1"/>
  <c r="CN282" i="1"/>
  <c r="CO282" i="1"/>
  <c r="CP282" i="1"/>
  <c r="CR282" i="1"/>
  <c r="CS282" i="1"/>
  <c r="CV282" i="1"/>
  <c r="CW282" i="1" s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H283" i="1"/>
  <c r="I283" i="1"/>
  <c r="J283" i="1" s="1"/>
  <c r="L283" i="1"/>
  <c r="M283" i="1"/>
  <c r="O283" i="1"/>
  <c r="P283" i="1"/>
  <c r="S283" i="1"/>
  <c r="U283" i="1" s="1"/>
  <c r="V283" i="1"/>
  <c r="W283" i="1"/>
  <c r="Y283" i="1"/>
  <c r="Z283" i="1"/>
  <c r="AC283" i="1"/>
  <c r="AF283" i="1"/>
  <c r="AG283" i="1"/>
  <c r="AI283" i="1"/>
  <c r="AJ283" i="1"/>
  <c r="AM283" i="1"/>
  <c r="AN283" i="1" s="1"/>
  <c r="AP283" i="1"/>
  <c r="AQ283" i="1"/>
  <c r="AS283" i="1"/>
  <c r="AT283" i="1"/>
  <c r="AW283" i="1"/>
  <c r="AX283" i="1" s="1"/>
  <c r="BA283" i="1"/>
  <c r="BB283" i="1"/>
  <c r="BD283" i="1"/>
  <c r="BE283" i="1"/>
  <c r="BH283" i="1"/>
  <c r="BI283" i="1" s="1"/>
  <c r="BK283" i="1"/>
  <c r="BL283" i="1"/>
  <c r="BN283" i="1"/>
  <c r="BO283" i="1"/>
  <c r="BR283" i="1"/>
  <c r="BS283" i="1" s="1"/>
  <c r="BU283" i="1"/>
  <c r="BV283" i="1"/>
  <c r="BX283" i="1"/>
  <c r="BY283" i="1"/>
  <c r="CB283" i="1"/>
  <c r="CE283" i="1"/>
  <c r="CF283" i="1"/>
  <c r="CH283" i="1"/>
  <c r="CI283" i="1"/>
  <c r="CL283" i="1"/>
  <c r="CM283" i="1" s="1"/>
  <c r="CO283" i="1"/>
  <c r="CP283" i="1"/>
  <c r="CR283" i="1"/>
  <c r="CS283" i="1"/>
  <c r="CV283" i="1"/>
  <c r="CX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H284" i="1"/>
  <c r="I284" i="1"/>
  <c r="J284" i="1" s="1"/>
  <c r="L284" i="1"/>
  <c r="M284" i="1"/>
  <c r="O284" i="1"/>
  <c r="P284" i="1"/>
  <c r="S284" i="1"/>
  <c r="T284" i="1" s="1"/>
  <c r="V284" i="1"/>
  <c r="W284" i="1"/>
  <c r="Y284" i="1"/>
  <c r="Z284" i="1"/>
  <c r="AC284" i="1"/>
  <c r="AE284" i="1" s="1"/>
  <c r="AF284" i="1"/>
  <c r="AG284" i="1"/>
  <c r="AI284" i="1"/>
  <c r="AJ284" i="1"/>
  <c r="AM284" i="1"/>
  <c r="AN284" i="1" s="1"/>
  <c r="AP284" i="1"/>
  <c r="AQ284" i="1"/>
  <c r="AS284" i="1"/>
  <c r="AT284" i="1"/>
  <c r="AW284" i="1"/>
  <c r="BA284" i="1"/>
  <c r="BB284" i="1"/>
  <c r="BD284" i="1"/>
  <c r="BE284" i="1"/>
  <c r="BH284" i="1"/>
  <c r="BJ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H285" i="1"/>
  <c r="I285" i="1"/>
  <c r="J285" i="1" s="1"/>
  <c r="L285" i="1"/>
  <c r="M285" i="1"/>
  <c r="O285" i="1"/>
  <c r="P285" i="1"/>
  <c r="S285" i="1"/>
  <c r="T285" i="1" s="1"/>
  <c r="V285" i="1"/>
  <c r="W285" i="1"/>
  <c r="Y285" i="1"/>
  <c r="Z285" i="1"/>
  <c r="AC285" i="1"/>
  <c r="AD285" i="1" s="1"/>
  <c r="AF285" i="1"/>
  <c r="AG285" i="1"/>
  <c r="AI285" i="1"/>
  <c r="AJ285" i="1"/>
  <c r="AM285" i="1"/>
  <c r="AP285" i="1"/>
  <c r="AQ285" i="1"/>
  <c r="AS285" i="1"/>
  <c r="AT285" i="1"/>
  <c r="AW285" i="1"/>
  <c r="AX285" i="1" s="1"/>
  <c r="BA285" i="1"/>
  <c r="BB285" i="1"/>
  <c r="BD285" i="1"/>
  <c r="BE285" i="1"/>
  <c r="BH285" i="1"/>
  <c r="BI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C285" i="1" s="1"/>
  <c r="CE285" i="1"/>
  <c r="CF285" i="1"/>
  <c r="CH285" i="1"/>
  <c r="CI285" i="1"/>
  <c r="CL285" i="1"/>
  <c r="CN285" i="1" s="1"/>
  <c r="CM285" i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H286" i="1"/>
  <c r="I286" i="1"/>
  <c r="L286" i="1"/>
  <c r="M286" i="1"/>
  <c r="O286" i="1"/>
  <c r="P286" i="1"/>
  <c r="S286" i="1"/>
  <c r="V286" i="1"/>
  <c r="W286" i="1"/>
  <c r="Y286" i="1"/>
  <c r="Z286" i="1"/>
  <c r="AC286" i="1"/>
  <c r="AE286" i="1" s="1"/>
  <c r="AF286" i="1"/>
  <c r="AG286" i="1"/>
  <c r="AI286" i="1"/>
  <c r="AJ286" i="1"/>
  <c r="AM286" i="1"/>
  <c r="AN286" i="1" s="1"/>
  <c r="AP286" i="1"/>
  <c r="AQ286" i="1"/>
  <c r="AS286" i="1"/>
  <c r="AT286" i="1"/>
  <c r="AW286" i="1"/>
  <c r="BA286" i="1"/>
  <c r="BB286" i="1"/>
  <c r="BD286" i="1"/>
  <c r="BE286" i="1"/>
  <c r="BH286" i="1"/>
  <c r="BI286" i="1" s="1"/>
  <c r="BK286" i="1"/>
  <c r="BL286" i="1"/>
  <c r="BN286" i="1"/>
  <c r="BO286" i="1"/>
  <c r="BR286" i="1"/>
  <c r="BU286" i="1"/>
  <c r="BV286" i="1"/>
  <c r="BX286" i="1"/>
  <c r="BY286" i="1"/>
  <c r="CB286" i="1"/>
  <c r="CD286" i="1" s="1"/>
  <c r="CE286" i="1"/>
  <c r="CF286" i="1"/>
  <c r="CH286" i="1"/>
  <c r="CI286" i="1"/>
  <c r="CL286" i="1"/>
  <c r="CM286" i="1" s="1"/>
  <c r="CN286" i="1"/>
  <c r="CO286" i="1"/>
  <c r="CP286" i="1"/>
  <c r="CR286" i="1"/>
  <c r="CS286" i="1"/>
  <c r="CV286" i="1"/>
  <c r="CW286" i="1" s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H287" i="1"/>
  <c r="I287" i="1"/>
  <c r="L287" i="1"/>
  <c r="M287" i="1"/>
  <c r="O287" i="1"/>
  <c r="P287" i="1"/>
  <c r="S287" i="1"/>
  <c r="T287" i="1" s="1"/>
  <c r="V287" i="1"/>
  <c r="W287" i="1"/>
  <c r="Y287" i="1"/>
  <c r="Z287" i="1"/>
  <c r="AC287" i="1"/>
  <c r="AD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J287" i="1"/>
  <c r="BK287" i="1"/>
  <c r="BL287" i="1"/>
  <c r="BN287" i="1"/>
  <c r="BO287" i="1"/>
  <c r="BR287" i="1"/>
  <c r="BU287" i="1"/>
  <c r="BV287" i="1"/>
  <c r="BX287" i="1"/>
  <c r="BY287" i="1"/>
  <c r="CB287" i="1"/>
  <c r="CC287" i="1" s="1"/>
  <c r="CE287" i="1"/>
  <c r="CF287" i="1"/>
  <c r="CH287" i="1"/>
  <c r="CI287" i="1"/>
  <c r="CL287" i="1"/>
  <c r="CN287" i="1" s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H288" i="1"/>
  <c r="I288" i="1"/>
  <c r="J288" i="1" s="1"/>
  <c r="L288" i="1"/>
  <c r="M288" i="1"/>
  <c r="O288" i="1"/>
  <c r="P288" i="1"/>
  <c r="S288" i="1"/>
  <c r="T288" i="1" s="1"/>
  <c r="V288" i="1"/>
  <c r="W288" i="1"/>
  <c r="Y288" i="1"/>
  <c r="Z288" i="1"/>
  <c r="AC288" i="1"/>
  <c r="AE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AX288" i="1" s="1"/>
  <c r="BA288" i="1"/>
  <c r="BB288" i="1"/>
  <c r="BD288" i="1"/>
  <c r="BE288" i="1"/>
  <c r="BH288" i="1"/>
  <c r="BI288" i="1"/>
  <c r="BJ288" i="1"/>
  <c r="BK288" i="1"/>
  <c r="BL288" i="1"/>
  <c r="BN288" i="1"/>
  <c r="BO288" i="1"/>
  <c r="BR288" i="1"/>
  <c r="BS288" i="1" s="1"/>
  <c r="BU288" i="1"/>
  <c r="BV288" i="1"/>
  <c r="BX288" i="1"/>
  <c r="BY288" i="1"/>
  <c r="CB288" i="1"/>
  <c r="CC288" i="1" s="1"/>
  <c r="CE288" i="1"/>
  <c r="CF288" i="1"/>
  <c r="CH288" i="1"/>
  <c r="CI288" i="1"/>
  <c r="CL288" i="1"/>
  <c r="CM288" i="1" s="1"/>
  <c r="CO288" i="1"/>
  <c r="CP288" i="1"/>
  <c r="CR288" i="1"/>
  <c r="CS288" i="1"/>
  <c r="CV288" i="1"/>
  <c r="CX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H289" i="1"/>
  <c r="I289" i="1"/>
  <c r="J289" i="1" s="1"/>
  <c r="L289" i="1"/>
  <c r="M289" i="1"/>
  <c r="O289" i="1"/>
  <c r="P289" i="1"/>
  <c r="S289" i="1"/>
  <c r="V289" i="1"/>
  <c r="W289" i="1"/>
  <c r="Y289" i="1"/>
  <c r="Z289" i="1"/>
  <c r="AC289" i="1"/>
  <c r="AD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I289" i="1" s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O289" i="1"/>
  <c r="CP289" i="1"/>
  <c r="CR289" i="1"/>
  <c r="CS289" i="1"/>
  <c r="CV289" i="1"/>
  <c r="CW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H290" i="1"/>
  <c r="I290" i="1"/>
  <c r="J290" i="1" s="1"/>
  <c r="L290" i="1"/>
  <c r="M290" i="1"/>
  <c r="O290" i="1"/>
  <c r="P290" i="1"/>
  <c r="S290" i="1"/>
  <c r="T290" i="1" s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Z290" i="1" s="1"/>
  <c r="BA290" i="1"/>
  <c r="BB290" i="1"/>
  <c r="BD290" i="1"/>
  <c r="BE290" i="1"/>
  <c r="BH290" i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H291" i="1"/>
  <c r="I291" i="1"/>
  <c r="L291" i="1"/>
  <c r="M291" i="1"/>
  <c r="O291" i="1"/>
  <c r="P291" i="1"/>
  <c r="S291" i="1"/>
  <c r="T291" i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X291" i="1" s="1"/>
  <c r="BA291" i="1"/>
  <c r="BB291" i="1"/>
  <c r="BD291" i="1"/>
  <c r="BE291" i="1"/>
  <c r="BH291" i="1"/>
  <c r="BI291" i="1" s="1"/>
  <c r="BK291" i="1"/>
  <c r="BL291" i="1"/>
  <c r="BN291" i="1"/>
  <c r="BO291" i="1"/>
  <c r="BR291" i="1"/>
  <c r="BS291" i="1" s="1"/>
  <c r="BU291" i="1"/>
  <c r="BV291" i="1"/>
  <c r="BX291" i="1"/>
  <c r="BY291" i="1"/>
  <c r="CB291" i="1"/>
  <c r="CE291" i="1"/>
  <c r="CF291" i="1"/>
  <c r="CH291" i="1"/>
  <c r="CI291" i="1"/>
  <c r="CL291" i="1"/>
  <c r="CN291" i="1" s="1"/>
  <c r="CO291" i="1"/>
  <c r="CP291" i="1"/>
  <c r="CR291" i="1"/>
  <c r="CS291" i="1"/>
  <c r="CV291" i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H292" i="1"/>
  <c r="I292" i="1"/>
  <c r="J292" i="1" s="1"/>
  <c r="L292" i="1"/>
  <c r="M292" i="1"/>
  <c r="O292" i="1"/>
  <c r="P292" i="1"/>
  <c r="S292" i="1"/>
  <c r="U292" i="1" s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/>
  <c r="BK292" i="1"/>
  <c r="BL292" i="1"/>
  <c r="BN292" i="1"/>
  <c r="BO292" i="1"/>
  <c r="BR292" i="1"/>
  <c r="BS292" i="1" s="1"/>
  <c r="BU292" i="1"/>
  <c r="BV292" i="1"/>
  <c r="BX292" i="1"/>
  <c r="BY292" i="1"/>
  <c r="CB292" i="1"/>
  <c r="CC292" i="1" s="1"/>
  <c r="CE292" i="1"/>
  <c r="CF292" i="1"/>
  <c r="CH292" i="1"/>
  <c r="CI292" i="1"/>
  <c r="CL292" i="1"/>
  <c r="CM292" i="1" s="1"/>
  <c r="CO292" i="1"/>
  <c r="CP292" i="1"/>
  <c r="CR292" i="1"/>
  <c r="CS292" i="1"/>
  <c r="CV292" i="1"/>
  <c r="CX292" i="1" s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H293" i="1"/>
  <c r="I293" i="1"/>
  <c r="J293" i="1" s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O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K293" i="1"/>
  <c r="BL293" i="1"/>
  <c r="BN293" i="1"/>
  <c r="BO293" i="1"/>
  <c r="BR293" i="1"/>
  <c r="BS293" i="1" s="1"/>
  <c r="BU293" i="1"/>
  <c r="BV293" i="1"/>
  <c r="BX293" i="1"/>
  <c r="BY293" i="1"/>
  <c r="CB293" i="1"/>
  <c r="CE293" i="1"/>
  <c r="CF293" i="1"/>
  <c r="CH293" i="1"/>
  <c r="CI293" i="1"/>
  <c r="CL293" i="1"/>
  <c r="CM293" i="1" s="1"/>
  <c r="CO293" i="1"/>
  <c r="CP293" i="1"/>
  <c r="CR293" i="1"/>
  <c r="CS293" i="1"/>
  <c r="CV293" i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H294" i="1"/>
  <c r="I294" i="1"/>
  <c r="J294" i="1" s="1"/>
  <c r="L294" i="1"/>
  <c r="M294" i="1"/>
  <c r="O294" i="1"/>
  <c r="P294" i="1"/>
  <c r="S294" i="1"/>
  <c r="T294" i="1" s="1"/>
  <c r="U294" i="1"/>
  <c r="V294" i="1"/>
  <c r="W294" i="1"/>
  <c r="Y294" i="1"/>
  <c r="Z294" i="1"/>
  <c r="AC294" i="1"/>
  <c r="AD294" i="1" s="1"/>
  <c r="AF294" i="1"/>
  <c r="AG294" i="1"/>
  <c r="AI294" i="1"/>
  <c r="AJ294" i="1"/>
  <c r="AM294" i="1"/>
  <c r="AP294" i="1"/>
  <c r="AQ294" i="1"/>
  <c r="AS294" i="1"/>
  <c r="AT294" i="1"/>
  <c r="AW294" i="1"/>
  <c r="AZ294" i="1" s="1"/>
  <c r="BA294" i="1"/>
  <c r="BB294" i="1"/>
  <c r="BD294" i="1"/>
  <c r="BE294" i="1"/>
  <c r="BH294" i="1"/>
  <c r="BI294" i="1" s="1"/>
  <c r="BJ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N294" i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H295" i="1"/>
  <c r="I295" i="1"/>
  <c r="J295" i="1" s="1"/>
  <c r="L295" i="1"/>
  <c r="M295" i="1"/>
  <c r="O295" i="1"/>
  <c r="P295" i="1"/>
  <c r="S295" i="1"/>
  <c r="U295" i="1" s="1"/>
  <c r="T295" i="1"/>
  <c r="V295" i="1"/>
  <c r="W295" i="1"/>
  <c r="Y295" i="1"/>
  <c r="Z295" i="1"/>
  <c r="AC295" i="1"/>
  <c r="AD295" i="1" s="1"/>
  <c r="AF295" i="1"/>
  <c r="AG295" i="1"/>
  <c r="AI295" i="1"/>
  <c r="AJ295" i="1"/>
  <c r="AM295" i="1"/>
  <c r="AN295" i="1" s="1"/>
  <c r="AP295" i="1"/>
  <c r="AQ295" i="1"/>
  <c r="AS295" i="1"/>
  <c r="AT295" i="1"/>
  <c r="AW295" i="1"/>
  <c r="AX295" i="1" s="1"/>
  <c r="BA295" i="1"/>
  <c r="BB295" i="1"/>
  <c r="BD295" i="1"/>
  <c r="BE295" i="1"/>
  <c r="BH295" i="1"/>
  <c r="BJ295" i="1" s="1"/>
  <c r="BK295" i="1"/>
  <c r="BL295" i="1"/>
  <c r="BN295" i="1"/>
  <c r="BO295" i="1"/>
  <c r="BR295" i="1"/>
  <c r="BU295" i="1"/>
  <c r="BV295" i="1"/>
  <c r="BX295" i="1"/>
  <c r="BY295" i="1"/>
  <c r="CB295" i="1"/>
  <c r="CE295" i="1"/>
  <c r="CF295" i="1"/>
  <c r="CH295" i="1"/>
  <c r="CI295" i="1"/>
  <c r="CL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H296" i="1"/>
  <c r="I296" i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P296" i="1"/>
  <c r="AQ296" i="1"/>
  <c r="AS296" i="1"/>
  <c r="AT296" i="1"/>
  <c r="AW296" i="1"/>
  <c r="AZ296" i="1" s="1"/>
  <c r="BA296" i="1"/>
  <c r="BB296" i="1"/>
  <c r="BD296" i="1"/>
  <c r="BE296" i="1"/>
  <c r="BH296" i="1"/>
  <c r="BJ296" i="1" s="1"/>
  <c r="BI296" i="1"/>
  <c r="BK296" i="1"/>
  <c r="BL296" i="1"/>
  <c r="BN296" i="1"/>
  <c r="BO296" i="1"/>
  <c r="BR296" i="1"/>
  <c r="BU296" i="1"/>
  <c r="BV296" i="1"/>
  <c r="BX296" i="1"/>
  <c r="BY296" i="1"/>
  <c r="CB296" i="1"/>
  <c r="CC296" i="1" s="1"/>
  <c r="CE296" i="1"/>
  <c r="CF296" i="1"/>
  <c r="CH296" i="1"/>
  <c r="CI296" i="1"/>
  <c r="CL296" i="1"/>
  <c r="CO296" i="1"/>
  <c r="CP296" i="1"/>
  <c r="CR296" i="1"/>
  <c r="CS296" i="1"/>
  <c r="CV296" i="1"/>
  <c r="CW296" i="1" s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H297" i="1"/>
  <c r="I297" i="1"/>
  <c r="L297" i="1"/>
  <c r="M297" i="1"/>
  <c r="O297" i="1"/>
  <c r="P297" i="1"/>
  <c r="S297" i="1"/>
  <c r="T297" i="1"/>
  <c r="V297" i="1"/>
  <c r="W297" i="1"/>
  <c r="Y297" i="1"/>
  <c r="Z297" i="1"/>
  <c r="AC297" i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I297" i="1" s="1"/>
  <c r="BJ297" i="1"/>
  <c r="BK297" i="1"/>
  <c r="BL297" i="1"/>
  <c r="BM297" i="1"/>
  <c r="BN297" i="1"/>
  <c r="BO297" i="1"/>
  <c r="BR297" i="1"/>
  <c r="BU297" i="1"/>
  <c r="BV297" i="1"/>
  <c r="BX297" i="1"/>
  <c r="BY297" i="1"/>
  <c r="CB297" i="1"/>
  <c r="CE297" i="1"/>
  <c r="CF297" i="1"/>
  <c r="CH297" i="1"/>
  <c r="CI297" i="1"/>
  <c r="CL297" i="1"/>
  <c r="CO297" i="1"/>
  <c r="CP297" i="1"/>
  <c r="CR297" i="1"/>
  <c r="CS297" i="1"/>
  <c r="CV297" i="1"/>
  <c r="CX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H298" i="1"/>
  <c r="I298" i="1"/>
  <c r="J298" i="1" s="1"/>
  <c r="L298" i="1"/>
  <c r="M298" i="1"/>
  <c r="O298" i="1"/>
  <c r="P298" i="1"/>
  <c r="S298" i="1"/>
  <c r="T298" i="1" s="1"/>
  <c r="V298" i="1"/>
  <c r="W298" i="1"/>
  <c r="Y298" i="1"/>
  <c r="Z298" i="1"/>
  <c r="AC298" i="1"/>
  <c r="AD298" i="1" s="1"/>
  <c r="AF298" i="1"/>
  <c r="AG298" i="1"/>
  <c r="AI298" i="1"/>
  <c r="AJ298" i="1"/>
  <c r="AM298" i="1"/>
  <c r="AO298" i="1" s="1"/>
  <c r="AP298" i="1"/>
  <c r="AQ298" i="1"/>
  <c r="AS298" i="1"/>
  <c r="AT298" i="1"/>
  <c r="AW298" i="1"/>
  <c r="AX298" i="1" s="1"/>
  <c r="BA298" i="1"/>
  <c r="BB298" i="1"/>
  <c r="BD298" i="1"/>
  <c r="BE298" i="1"/>
  <c r="BH298" i="1"/>
  <c r="BI298" i="1" s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M298" i="1" s="1"/>
  <c r="CN298" i="1"/>
  <c r="CO298" i="1"/>
  <c r="CP298" i="1"/>
  <c r="CR298" i="1"/>
  <c r="CS298" i="1"/>
  <c r="CV298" i="1"/>
  <c r="CW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H299" i="1"/>
  <c r="I299" i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P299" i="1"/>
  <c r="AQ299" i="1"/>
  <c r="AS299" i="1"/>
  <c r="AT299" i="1"/>
  <c r="AW299" i="1"/>
  <c r="AX299" i="1" s="1"/>
  <c r="BA299" i="1"/>
  <c r="BB299" i="1"/>
  <c r="BD299" i="1"/>
  <c r="BE299" i="1"/>
  <c r="BH299" i="1"/>
  <c r="BJ299" i="1" s="1"/>
  <c r="BK299" i="1"/>
  <c r="BL299" i="1"/>
  <c r="BN299" i="1"/>
  <c r="BO299" i="1"/>
  <c r="BR299" i="1"/>
  <c r="BT299" i="1" s="1"/>
  <c r="BU299" i="1"/>
  <c r="BV299" i="1"/>
  <c r="BX299" i="1"/>
  <c r="BY299" i="1"/>
  <c r="CB299" i="1"/>
  <c r="CC299" i="1" s="1"/>
  <c r="CE299" i="1"/>
  <c r="CF299" i="1"/>
  <c r="CH299" i="1"/>
  <c r="CI299" i="1"/>
  <c r="CL299" i="1"/>
  <c r="CN299" i="1" s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H300" i="1"/>
  <c r="I300" i="1"/>
  <c r="J300" i="1" s="1"/>
  <c r="L300" i="1"/>
  <c r="M300" i="1"/>
  <c r="O300" i="1"/>
  <c r="P300" i="1"/>
  <c r="S300" i="1"/>
  <c r="T300" i="1" s="1"/>
  <c r="V300" i="1"/>
  <c r="W300" i="1"/>
  <c r="Y300" i="1"/>
  <c r="Z300" i="1"/>
  <c r="AC300" i="1"/>
  <c r="AF300" i="1"/>
  <c r="AG300" i="1"/>
  <c r="AI300" i="1"/>
  <c r="AJ300" i="1"/>
  <c r="AM300" i="1"/>
  <c r="AO300" i="1" s="1"/>
  <c r="AP300" i="1"/>
  <c r="AQ300" i="1"/>
  <c r="AS300" i="1"/>
  <c r="AT300" i="1"/>
  <c r="AW300" i="1"/>
  <c r="AZ300" i="1" s="1"/>
  <c r="BA300" i="1"/>
  <c r="BB300" i="1"/>
  <c r="BD300" i="1"/>
  <c r="BE300" i="1"/>
  <c r="BH300" i="1"/>
  <c r="BI300" i="1"/>
  <c r="BJ300" i="1"/>
  <c r="BK300" i="1"/>
  <c r="BL300" i="1"/>
  <c r="BM300" i="1" s="1"/>
  <c r="BN300" i="1"/>
  <c r="BO300" i="1"/>
  <c r="BR300" i="1"/>
  <c r="BU300" i="1"/>
  <c r="BV300" i="1"/>
  <c r="BX300" i="1"/>
  <c r="BY300" i="1"/>
  <c r="CB300" i="1"/>
  <c r="CE300" i="1"/>
  <c r="CF300" i="1"/>
  <c r="CH300" i="1"/>
  <c r="CI300" i="1"/>
  <c r="CL300" i="1"/>
  <c r="CO300" i="1"/>
  <c r="CP300" i="1"/>
  <c r="CR300" i="1"/>
  <c r="CS300" i="1"/>
  <c r="CV300" i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H301" i="1"/>
  <c r="I301" i="1"/>
  <c r="L301" i="1"/>
  <c r="M301" i="1"/>
  <c r="O301" i="1"/>
  <c r="P301" i="1"/>
  <c r="S301" i="1"/>
  <c r="T301" i="1" s="1"/>
  <c r="U301" i="1"/>
  <c r="V301" i="1"/>
  <c r="W301" i="1"/>
  <c r="Y301" i="1"/>
  <c r="Z301" i="1"/>
  <c r="AC301" i="1"/>
  <c r="AF301" i="1"/>
  <c r="AG301" i="1"/>
  <c r="AI301" i="1"/>
  <c r="AJ301" i="1"/>
  <c r="AM301" i="1"/>
  <c r="AP301" i="1"/>
  <c r="AQ301" i="1"/>
  <c r="AS301" i="1"/>
  <c r="AT301" i="1"/>
  <c r="AW301" i="1"/>
  <c r="BA301" i="1"/>
  <c r="BB301" i="1"/>
  <c r="BD301" i="1"/>
  <c r="BE301" i="1"/>
  <c r="BH301" i="1"/>
  <c r="BI301" i="1" s="1"/>
  <c r="BK301" i="1"/>
  <c r="BL301" i="1"/>
  <c r="BN301" i="1"/>
  <c r="BO301" i="1"/>
  <c r="BR301" i="1"/>
  <c r="BT301" i="1" s="1"/>
  <c r="BU301" i="1"/>
  <c r="BV301" i="1"/>
  <c r="BX301" i="1"/>
  <c r="BY301" i="1"/>
  <c r="CB301" i="1"/>
  <c r="CE301" i="1"/>
  <c r="CF301" i="1"/>
  <c r="CH301" i="1"/>
  <c r="CI301" i="1"/>
  <c r="CL301" i="1"/>
  <c r="CN301" i="1" s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H302" i="1"/>
  <c r="I302" i="1"/>
  <c r="L302" i="1"/>
  <c r="M302" i="1"/>
  <c r="O302" i="1"/>
  <c r="P302" i="1"/>
  <c r="S302" i="1"/>
  <c r="T302" i="1" s="1"/>
  <c r="V302" i="1"/>
  <c r="W302" i="1"/>
  <c r="Y302" i="1"/>
  <c r="Z302" i="1"/>
  <c r="AC302" i="1"/>
  <c r="AF302" i="1"/>
  <c r="AG302" i="1"/>
  <c r="AI302" i="1"/>
  <c r="AJ302" i="1"/>
  <c r="AM302" i="1"/>
  <c r="AN302" i="1" s="1"/>
  <c r="AP302" i="1"/>
  <c r="AQ302" i="1"/>
  <c r="AS302" i="1"/>
  <c r="AT302" i="1"/>
  <c r="AW302" i="1"/>
  <c r="BA302" i="1"/>
  <c r="BB302" i="1"/>
  <c r="BD302" i="1"/>
  <c r="BE302" i="1"/>
  <c r="BH302" i="1"/>
  <c r="BK302" i="1"/>
  <c r="BL302" i="1"/>
  <c r="BN302" i="1"/>
  <c r="BO302" i="1"/>
  <c r="BR302" i="1"/>
  <c r="BS302" i="1" s="1"/>
  <c r="BU302" i="1"/>
  <c r="BV302" i="1"/>
  <c r="BX302" i="1"/>
  <c r="BY302" i="1"/>
  <c r="CB302" i="1"/>
  <c r="CD302" i="1" s="1"/>
  <c r="CE302" i="1"/>
  <c r="CF302" i="1"/>
  <c r="CH302" i="1"/>
  <c r="CI302" i="1"/>
  <c r="CL302" i="1"/>
  <c r="CN302" i="1" s="1"/>
  <c r="CO302" i="1"/>
  <c r="CP302" i="1"/>
  <c r="CR302" i="1"/>
  <c r="CS302" i="1"/>
  <c r="CV302" i="1"/>
  <c r="CW302" i="1" s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H303" i="1"/>
  <c r="I303" i="1"/>
  <c r="K303" i="1" s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O303" i="1" s="1"/>
  <c r="AP303" i="1"/>
  <c r="AQ303" i="1"/>
  <c r="AS303" i="1"/>
  <c r="AT303" i="1"/>
  <c r="AW303" i="1"/>
  <c r="AX303" i="1" s="1"/>
  <c r="BA303" i="1"/>
  <c r="BB303" i="1"/>
  <c r="BD303" i="1"/>
  <c r="BE303" i="1"/>
  <c r="BH303" i="1"/>
  <c r="BI303" i="1" s="1"/>
  <c r="BK303" i="1"/>
  <c r="BL303" i="1"/>
  <c r="BN303" i="1"/>
  <c r="BO303" i="1"/>
  <c r="BR303" i="1"/>
  <c r="BS303" i="1" s="1"/>
  <c r="BU303" i="1"/>
  <c r="BV303" i="1"/>
  <c r="BX303" i="1"/>
  <c r="BY303" i="1"/>
  <c r="CB303" i="1"/>
  <c r="CE303" i="1"/>
  <c r="CF303" i="1"/>
  <c r="CH303" i="1"/>
  <c r="CI303" i="1"/>
  <c r="CL303" i="1"/>
  <c r="CM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H304" i="1"/>
  <c r="I304" i="1"/>
  <c r="K304" i="1" s="1"/>
  <c r="L304" i="1"/>
  <c r="M304" i="1"/>
  <c r="O304" i="1"/>
  <c r="P304" i="1"/>
  <c r="S304" i="1"/>
  <c r="U304" i="1" s="1"/>
  <c r="V304" i="1"/>
  <c r="W304" i="1"/>
  <c r="Y304" i="1"/>
  <c r="Z304" i="1"/>
  <c r="AC304" i="1"/>
  <c r="AD304" i="1" s="1"/>
  <c r="AF304" i="1"/>
  <c r="AG304" i="1"/>
  <c r="AI304" i="1"/>
  <c r="AJ304" i="1"/>
  <c r="AM304" i="1"/>
  <c r="AN304" i="1" s="1"/>
  <c r="AP304" i="1"/>
  <c r="AQ304" i="1"/>
  <c r="AS304" i="1"/>
  <c r="AT304" i="1"/>
  <c r="AW304" i="1"/>
  <c r="BA304" i="1"/>
  <c r="BB304" i="1"/>
  <c r="BD304" i="1"/>
  <c r="BE304" i="1"/>
  <c r="BH304" i="1"/>
  <c r="BI304" i="1" s="1"/>
  <c r="BK304" i="1"/>
  <c r="BL304" i="1"/>
  <c r="BN304" i="1"/>
  <c r="BO304" i="1"/>
  <c r="BR304" i="1"/>
  <c r="BT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H305" i="1"/>
  <c r="I305" i="1"/>
  <c r="J305" i="1" s="1"/>
  <c r="L305" i="1"/>
  <c r="M305" i="1"/>
  <c r="O305" i="1"/>
  <c r="P305" i="1"/>
  <c r="S305" i="1"/>
  <c r="T305" i="1" s="1"/>
  <c r="V305" i="1"/>
  <c r="W305" i="1"/>
  <c r="Y305" i="1"/>
  <c r="Z305" i="1"/>
  <c r="AC305" i="1"/>
  <c r="AE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AX305" i="1" s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D305" i="1" s="1"/>
  <c r="CE305" i="1"/>
  <c r="CF305" i="1"/>
  <c r="CH305" i="1"/>
  <c r="CI305" i="1"/>
  <c r="CL305" i="1"/>
  <c r="CM305" i="1" s="1"/>
  <c r="CO305" i="1"/>
  <c r="CP305" i="1"/>
  <c r="CR305" i="1"/>
  <c r="CS305" i="1"/>
  <c r="CV305" i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H306" i="1"/>
  <c r="I306" i="1"/>
  <c r="J306" i="1" s="1"/>
  <c r="L306" i="1"/>
  <c r="M306" i="1"/>
  <c r="O306" i="1"/>
  <c r="P306" i="1"/>
  <c r="S306" i="1"/>
  <c r="V306" i="1"/>
  <c r="W306" i="1"/>
  <c r="Y306" i="1"/>
  <c r="Z306" i="1"/>
  <c r="AC306" i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K306" i="1"/>
  <c r="BL306" i="1"/>
  <c r="BN306" i="1"/>
  <c r="BO306" i="1"/>
  <c r="BR306" i="1"/>
  <c r="BU306" i="1"/>
  <c r="BV306" i="1"/>
  <c r="BX306" i="1"/>
  <c r="BY306" i="1"/>
  <c r="CB306" i="1"/>
  <c r="CD306" i="1" s="1"/>
  <c r="CE306" i="1"/>
  <c r="CF306" i="1"/>
  <c r="CH306" i="1"/>
  <c r="CI306" i="1"/>
  <c r="CL306" i="1"/>
  <c r="CN306" i="1" s="1"/>
  <c r="CM306" i="1"/>
  <c r="CO306" i="1"/>
  <c r="CP306" i="1"/>
  <c r="CR306" i="1"/>
  <c r="CS306" i="1"/>
  <c r="CV306" i="1"/>
  <c r="CW306" i="1" s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H307" i="1"/>
  <c r="I307" i="1"/>
  <c r="J307" i="1" s="1"/>
  <c r="L307" i="1"/>
  <c r="M307" i="1"/>
  <c r="O307" i="1"/>
  <c r="P307" i="1"/>
  <c r="S307" i="1"/>
  <c r="T307" i="1" s="1"/>
  <c r="V307" i="1"/>
  <c r="W307" i="1"/>
  <c r="Y307" i="1"/>
  <c r="Z307" i="1"/>
  <c r="AC307" i="1"/>
  <c r="AF307" i="1"/>
  <c r="AG307" i="1"/>
  <c r="AI307" i="1"/>
  <c r="AJ307" i="1"/>
  <c r="AM307" i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S307" i="1" s="1"/>
  <c r="BU307" i="1"/>
  <c r="BV307" i="1"/>
  <c r="BX307" i="1"/>
  <c r="BY307" i="1"/>
  <c r="CB307" i="1"/>
  <c r="CC307" i="1" s="1"/>
  <c r="CE307" i="1"/>
  <c r="CF307" i="1"/>
  <c r="CH307" i="1"/>
  <c r="CI307" i="1"/>
  <c r="CL307" i="1"/>
  <c r="CM307" i="1" s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H308" i="1"/>
  <c r="I308" i="1"/>
  <c r="J308" i="1" s="1"/>
  <c r="L308" i="1"/>
  <c r="M308" i="1"/>
  <c r="O308" i="1"/>
  <c r="P308" i="1"/>
  <c r="S308" i="1"/>
  <c r="V308" i="1"/>
  <c r="W308" i="1"/>
  <c r="Y308" i="1"/>
  <c r="Z308" i="1"/>
  <c r="AC308" i="1"/>
  <c r="AF308" i="1"/>
  <c r="AG308" i="1"/>
  <c r="AI308" i="1"/>
  <c r="AJ308" i="1"/>
  <c r="AM308" i="1"/>
  <c r="AN308" i="1" s="1"/>
  <c r="AP308" i="1"/>
  <c r="AQ308" i="1"/>
  <c r="AS308" i="1"/>
  <c r="AT308" i="1"/>
  <c r="AW308" i="1"/>
  <c r="AX308" i="1" s="1"/>
  <c r="BA308" i="1"/>
  <c r="BB308" i="1"/>
  <c r="BD308" i="1"/>
  <c r="BE308" i="1"/>
  <c r="BH308" i="1"/>
  <c r="BI308" i="1" s="1"/>
  <c r="BK308" i="1"/>
  <c r="BL308" i="1"/>
  <c r="BN308" i="1"/>
  <c r="BO308" i="1"/>
  <c r="BR308" i="1"/>
  <c r="BU308" i="1"/>
  <c r="BV308" i="1"/>
  <c r="BX308" i="1"/>
  <c r="BY308" i="1"/>
  <c r="CB308" i="1"/>
  <c r="CD308" i="1" s="1"/>
  <c r="CE308" i="1"/>
  <c r="CF308" i="1"/>
  <c r="CH308" i="1"/>
  <c r="CI308" i="1"/>
  <c r="CL308" i="1"/>
  <c r="CN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H309" i="1"/>
  <c r="I309" i="1"/>
  <c r="J309" i="1" s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P309" i="1"/>
  <c r="AQ309" i="1"/>
  <c r="AS309" i="1"/>
  <c r="AT309" i="1"/>
  <c r="AW309" i="1"/>
  <c r="AX309" i="1" s="1"/>
  <c r="BA309" i="1"/>
  <c r="BB309" i="1"/>
  <c r="BD309" i="1"/>
  <c r="BE309" i="1"/>
  <c r="BH309" i="1"/>
  <c r="BJ309" i="1" s="1"/>
  <c r="BK309" i="1"/>
  <c r="BL309" i="1"/>
  <c r="BN309" i="1"/>
  <c r="BO309" i="1"/>
  <c r="BR309" i="1"/>
  <c r="BS309" i="1" s="1"/>
  <c r="BU309" i="1"/>
  <c r="BV309" i="1"/>
  <c r="BX309" i="1"/>
  <c r="BY309" i="1"/>
  <c r="CB309" i="1"/>
  <c r="CC309" i="1" s="1"/>
  <c r="CE309" i="1"/>
  <c r="CF309" i="1"/>
  <c r="CH309" i="1"/>
  <c r="CI309" i="1"/>
  <c r="CL309" i="1"/>
  <c r="CM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H310" i="1"/>
  <c r="I310" i="1"/>
  <c r="L310" i="1"/>
  <c r="M310" i="1"/>
  <c r="O310" i="1"/>
  <c r="P310" i="1"/>
  <c r="S310" i="1"/>
  <c r="U310" i="1" s="1"/>
  <c r="V310" i="1"/>
  <c r="W310" i="1"/>
  <c r="Y310" i="1"/>
  <c r="Z310" i="1"/>
  <c r="AC310" i="1"/>
  <c r="AF310" i="1"/>
  <c r="AG310" i="1"/>
  <c r="AI310" i="1"/>
  <c r="AJ310" i="1"/>
  <c r="AM310" i="1"/>
  <c r="AN310" i="1" s="1"/>
  <c r="AP310" i="1"/>
  <c r="AQ310" i="1"/>
  <c r="AS310" i="1"/>
  <c r="AT310" i="1"/>
  <c r="AW310" i="1"/>
  <c r="AX310" i="1" s="1"/>
  <c r="BA310" i="1"/>
  <c r="BB310" i="1"/>
  <c r="BD310" i="1"/>
  <c r="BE310" i="1"/>
  <c r="BH310" i="1"/>
  <c r="BI310" i="1" s="1"/>
  <c r="BK310" i="1"/>
  <c r="BL310" i="1"/>
  <c r="BN310" i="1"/>
  <c r="BO310" i="1"/>
  <c r="BR310" i="1"/>
  <c r="BU310" i="1"/>
  <c r="BV310" i="1"/>
  <c r="BX310" i="1"/>
  <c r="BY310" i="1"/>
  <c r="CB310" i="1"/>
  <c r="CE310" i="1"/>
  <c r="CF310" i="1"/>
  <c r="CH310" i="1"/>
  <c r="CI310" i="1"/>
  <c r="CL310" i="1"/>
  <c r="CN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H311" i="1"/>
  <c r="I311" i="1"/>
  <c r="J311" i="1" s="1"/>
  <c r="L311" i="1"/>
  <c r="M311" i="1"/>
  <c r="O311" i="1"/>
  <c r="P311" i="1"/>
  <c r="S311" i="1"/>
  <c r="T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BA311" i="1"/>
  <c r="BB311" i="1"/>
  <c r="BD311" i="1"/>
  <c r="BE311" i="1"/>
  <c r="BH311" i="1"/>
  <c r="BK311" i="1"/>
  <c r="BL311" i="1"/>
  <c r="BN311" i="1"/>
  <c r="BO311" i="1"/>
  <c r="BR311" i="1"/>
  <c r="BS311" i="1" s="1"/>
  <c r="BU311" i="1"/>
  <c r="BV311" i="1"/>
  <c r="BX311" i="1"/>
  <c r="BY311" i="1"/>
  <c r="CB311" i="1"/>
  <c r="CE311" i="1"/>
  <c r="CF311" i="1"/>
  <c r="CH311" i="1"/>
  <c r="CI311" i="1"/>
  <c r="CL311" i="1"/>
  <c r="CO311" i="1"/>
  <c r="CP311" i="1"/>
  <c r="CR311" i="1"/>
  <c r="CS311" i="1"/>
  <c r="CV311" i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EA2" i="1"/>
  <c r="FN251" i="1"/>
  <c r="A251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U47" i="1" l="1"/>
  <c r="T47" i="1"/>
  <c r="CC47" i="1"/>
  <c r="CD47" i="1"/>
  <c r="CX47" i="1"/>
  <c r="CW47" i="1"/>
  <c r="AX49" i="1"/>
  <c r="AZ49" i="1"/>
  <c r="J56" i="1"/>
  <c r="K56" i="1"/>
  <c r="J60" i="1"/>
  <c r="K60" i="1"/>
  <c r="CM64" i="1"/>
  <c r="CN64" i="1"/>
  <c r="J66" i="1"/>
  <c r="K66" i="1"/>
  <c r="CN67" i="1"/>
  <c r="CM67" i="1"/>
  <c r="AE81" i="1"/>
  <c r="AD81" i="1"/>
  <c r="AN81" i="1"/>
  <c r="AO81" i="1"/>
  <c r="AO82" i="1"/>
  <c r="AN82" i="1"/>
  <c r="AX82" i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DA45" i="1" s="1"/>
  <c r="DD45" i="1" s="1"/>
  <c r="J50" i="1"/>
  <c r="K50" i="1"/>
  <c r="AN50" i="1"/>
  <c r="AO50" i="1"/>
  <c r="CC52" i="1"/>
  <c r="CD52" i="1"/>
  <c r="CN68" i="1"/>
  <c r="CM68" i="1"/>
  <c r="CN219" i="1"/>
  <c r="CM219" i="1"/>
  <c r="AX220" i="1"/>
  <c r="AZ220" i="1"/>
  <c r="BJ220" i="1"/>
  <c r="BI220" i="1"/>
  <c r="CM222" i="1"/>
  <c r="CN222" i="1"/>
  <c r="CC192" i="1"/>
  <c r="CD192" i="1"/>
  <c r="BT282" i="1"/>
  <c r="BS282" i="1"/>
  <c r="CC284" i="1"/>
  <c r="CD284" i="1"/>
  <c r="CC90" i="1"/>
  <c r="CD90" i="1"/>
  <c r="CD91" i="1"/>
  <c r="CC91" i="1"/>
  <c r="CC95" i="1"/>
  <c r="CD95" i="1"/>
  <c r="CM95" i="1"/>
  <c r="CN95" i="1"/>
  <c r="CM144" i="1"/>
  <c r="CN144" i="1"/>
  <c r="CN153" i="1"/>
  <c r="CM153" i="1"/>
  <c r="CM158" i="1"/>
  <c r="CN158" i="1"/>
  <c r="CM168" i="1"/>
  <c r="CN168" i="1"/>
  <c r="CM170" i="1"/>
  <c r="CN170" i="1"/>
  <c r="J177" i="1"/>
  <c r="K177" i="1"/>
  <c r="J183" i="1"/>
  <c r="K183" i="1"/>
  <c r="J190" i="1"/>
  <c r="N190" i="1" s="1"/>
  <c r="K190" i="1"/>
  <c r="AE191" i="1"/>
  <c r="AD191" i="1"/>
  <c r="AD200" i="1"/>
  <c r="AE200" i="1"/>
  <c r="J215" i="1"/>
  <c r="K215" i="1"/>
  <c r="AN16" i="1"/>
  <c r="AO16" i="1"/>
  <c r="AN197" i="1"/>
  <c r="AO197" i="1"/>
  <c r="AN213" i="1"/>
  <c r="AO213" i="1"/>
  <c r="AZ28" i="1"/>
  <c r="AX28" i="1"/>
  <c r="CW268" i="1"/>
  <c r="CX268" i="1"/>
  <c r="CW270" i="1"/>
  <c r="CX270" i="1"/>
  <c r="AZ274" i="1"/>
  <c r="AX274" i="1"/>
  <c r="CX275" i="1"/>
  <c r="CW275" i="1"/>
  <c r="CW280" i="1"/>
  <c r="CX280" i="1"/>
  <c r="AZ282" i="1"/>
  <c r="AX282" i="1"/>
  <c r="AX284" i="1"/>
  <c r="AZ284" i="1"/>
  <c r="CX284" i="1"/>
  <c r="CW284" i="1"/>
  <c r="AZ286" i="1"/>
  <c r="AX286" i="1"/>
  <c r="AZ287" i="1"/>
  <c r="AX287" i="1"/>
  <c r="CX291" i="1"/>
  <c r="CW291" i="1"/>
  <c r="DA291" i="1" s="1"/>
  <c r="CW295" i="1"/>
  <c r="CX295" i="1"/>
  <c r="CW300" i="1"/>
  <c r="CX300" i="1"/>
  <c r="AZ301" i="1"/>
  <c r="AX301" i="1"/>
  <c r="AZ311" i="1"/>
  <c r="AX311" i="1"/>
  <c r="BJ7" i="1"/>
  <c r="BI7" i="1"/>
  <c r="BJ19" i="1"/>
  <c r="BI19" i="1"/>
  <c r="BJ21" i="1"/>
  <c r="BI21" i="1"/>
  <c r="BJ27" i="1"/>
  <c r="BI27" i="1"/>
  <c r="BI55" i="1"/>
  <c r="BJ55" i="1"/>
  <c r="BJ139" i="1"/>
  <c r="BI139" i="1"/>
  <c r="U21" i="1"/>
  <c r="T21" i="1"/>
  <c r="AX83" i="1"/>
  <c r="AZ83" i="1"/>
  <c r="BI83" i="1"/>
  <c r="BJ83" i="1"/>
  <c r="CC83" i="1"/>
  <c r="CD83" i="1"/>
  <c r="CX84" i="1"/>
  <c r="CW84" i="1"/>
  <c r="BS85" i="1"/>
  <c r="BT85" i="1"/>
  <c r="CM85" i="1"/>
  <c r="CN85" i="1"/>
  <c r="BI86" i="1"/>
  <c r="BJ86" i="1"/>
  <c r="T88" i="1"/>
  <c r="X88" i="1" s="1"/>
  <c r="U88" i="1"/>
  <c r="CN105" i="1"/>
  <c r="CM105" i="1"/>
  <c r="CM113" i="1"/>
  <c r="CN113" i="1"/>
  <c r="AX133" i="1"/>
  <c r="AZ133" i="1"/>
  <c r="BT133" i="1"/>
  <c r="BS133" i="1"/>
  <c r="U134" i="1"/>
  <c r="T134" i="1"/>
  <c r="AO134" i="1"/>
  <c r="AN134" i="1"/>
  <c r="CX134" i="1"/>
  <c r="CW134" i="1"/>
  <c r="BJ135" i="1"/>
  <c r="BI135" i="1"/>
  <c r="BS136" i="1"/>
  <c r="BT136" i="1"/>
  <c r="BI137" i="1"/>
  <c r="BM137" i="1" s="1"/>
  <c r="BP137" i="1" s="1"/>
  <c r="BQ137" i="1" s="1"/>
  <c r="BJ137" i="1"/>
  <c r="AO144" i="1"/>
  <c r="AN144" i="1"/>
  <c r="CM152" i="1"/>
  <c r="CQ152" i="1" s="1"/>
  <c r="CT152" i="1" s="1"/>
  <c r="CU152" i="1" s="1"/>
  <c r="CN152" i="1"/>
  <c r="T204" i="1"/>
  <c r="U204" i="1"/>
  <c r="U209" i="1"/>
  <c r="T209" i="1"/>
  <c r="U215" i="1"/>
  <c r="T215" i="1"/>
  <c r="AE217" i="1"/>
  <c r="AD217" i="1"/>
  <c r="AH217" i="1" s="1"/>
  <c r="CW301" i="1"/>
  <c r="CX301" i="1"/>
  <c r="AX302" i="1"/>
  <c r="AZ302" i="1"/>
  <c r="BI302" i="1"/>
  <c r="BJ302" i="1"/>
  <c r="BS17" i="1"/>
  <c r="BT17" i="1"/>
  <c r="BS57" i="1"/>
  <c r="BT57" i="1"/>
  <c r="BT182" i="1"/>
  <c r="BS182" i="1"/>
  <c r="BT184" i="1"/>
  <c r="BS184" i="1"/>
  <c r="BT189" i="1"/>
  <c r="BS189" i="1"/>
  <c r="BW189" i="1" s="1"/>
  <c r="BZ189" i="1" s="1"/>
  <c r="CA189" i="1" s="1"/>
  <c r="BT198" i="1"/>
  <c r="BS198" i="1"/>
  <c r="BS199" i="1"/>
  <c r="BW199" i="1" s="1"/>
  <c r="BT199" i="1"/>
  <c r="BT200" i="1"/>
  <c r="BS200" i="1"/>
  <c r="BS6" i="1"/>
  <c r="BT6" i="1"/>
  <c r="BT7" i="1"/>
  <c r="BS7" i="1"/>
  <c r="BS8" i="1"/>
  <c r="BT8" i="1"/>
  <c r="BT11" i="1"/>
  <c r="BS11" i="1"/>
  <c r="BT13" i="1"/>
  <c r="BS13" i="1"/>
  <c r="CC14" i="1"/>
  <c r="CG14" i="1" s="1"/>
  <c r="CD14" i="1"/>
  <c r="CD20" i="1"/>
  <c r="CC20" i="1"/>
  <c r="BS25" i="1"/>
  <c r="BT25" i="1"/>
  <c r="CC26" i="1"/>
  <c r="CD26" i="1"/>
  <c r="BT28" i="1"/>
  <c r="BS28" i="1"/>
  <c r="BT58" i="1"/>
  <c r="BS58" i="1"/>
  <c r="CD65" i="1"/>
  <c r="CC65" i="1"/>
  <c r="CD69" i="1"/>
  <c r="CC69" i="1"/>
  <c r="CG69" i="1" s="1"/>
  <c r="CJ69" i="1" s="1"/>
  <c r="CK69" i="1" s="1"/>
  <c r="BT73" i="1"/>
  <c r="BS73" i="1"/>
  <c r="CC73" i="1"/>
  <c r="CD73" i="1"/>
  <c r="CG73" i="1" s="1"/>
  <c r="BS107" i="1"/>
  <c r="BT107" i="1"/>
  <c r="BT108" i="1"/>
  <c r="BS108" i="1"/>
  <c r="CD112" i="1"/>
  <c r="CC112" i="1"/>
  <c r="CD121" i="1"/>
  <c r="CC121" i="1"/>
  <c r="BS122" i="1"/>
  <c r="BW122" i="1" s="1"/>
  <c r="BZ122" i="1" s="1"/>
  <c r="CA122" i="1" s="1"/>
  <c r="BT122" i="1"/>
  <c r="CC144" i="1"/>
  <c r="CD144" i="1"/>
  <c r="BS206" i="1"/>
  <c r="BT206" i="1"/>
  <c r="CD209" i="1"/>
  <c r="CC209" i="1"/>
  <c r="CC215" i="1"/>
  <c r="CD215" i="1"/>
  <c r="CD291" i="1"/>
  <c r="CC291" i="1"/>
  <c r="CD293" i="1"/>
  <c r="CC293" i="1"/>
  <c r="CG293" i="1" s="1"/>
  <c r="BS295" i="1"/>
  <c r="BT295" i="1"/>
  <c r="CC295" i="1"/>
  <c r="CD295" i="1"/>
  <c r="BS297" i="1"/>
  <c r="BT297" i="1"/>
  <c r="CD297" i="1"/>
  <c r="CC297" i="1"/>
  <c r="CG297" i="1" s="1"/>
  <c r="BS298" i="1"/>
  <c r="BT298" i="1"/>
  <c r="BS300" i="1"/>
  <c r="BT300" i="1"/>
  <c r="BW300" i="1" s="1"/>
  <c r="BZ300" i="1" s="1"/>
  <c r="CD301" i="1"/>
  <c r="CC301" i="1"/>
  <c r="CG301" i="1" s="1"/>
  <c r="BS306" i="1"/>
  <c r="BT306" i="1"/>
  <c r="CD310" i="1"/>
  <c r="CC310" i="1"/>
  <c r="CG310" i="1" s="1"/>
  <c r="CD311" i="1"/>
  <c r="CC311" i="1"/>
  <c r="CG311" i="1" s="1"/>
  <c r="CJ311" i="1" s="1"/>
  <c r="CK311" i="1" s="1"/>
  <c r="CN74" i="1"/>
  <c r="CM74" i="1"/>
  <c r="AE83" i="1"/>
  <c r="AD83" i="1"/>
  <c r="AD84" i="1"/>
  <c r="AE84" i="1"/>
  <c r="AD87" i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D125" i="1"/>
  <c r="AE125" i="1"/>
  <c r="AD160" i="1"/>
  <c r="AE160" i="1"/>
  <c r="AD162" i="1"/>
  <c r="AH162" i="1" s="1"/>
  <c r="AK162" i="1" s="1"/>
  <c r="AL162" i="1" s="1"/>
  <c r="AE162" i="1"/>
  <c r="AD166" i="1"/>
  <c r="AE166" i="1"/>
  <c r="AD170" i="1"/>
  <c r="AE170" i="1"/>
  <c r="J71" i="1"/>
  <c r="K71" i="1"/>
  <c r="N71" i="1" s="1"/>
  <c r="J75" i="1"/>
  <c r="K75" i="1"/>
  <c r="AN277" i="1"/>
  <c r="AO277" i="1"/>
  <c r="AN280" i="1"/>
  <c r="AO280" i="1"/>
  <c r="J281" i="1"/>
  <c r="K281" i="1"/>
  <c r="AO282" i="1"/>
  <c r="AN282" i="1"/>
  <c r="AO285" i="1"/>
  <c r="AN285" i="1"/>
  <c r="J296" i="1"/>
  <c r="K296" i="1"/>
  <c r="AO297" i="1"/>
  <c r="AN297" i="1"/>
  <c r="AR297" i="1" s="1"/>
  <c r="AU297" i="1" s="1"/>
  <c r="AV297" i="1" s="1"/>
  <c r="AO301" i="1"/>
  <c r="AN301" i="1"/>
  <c r="AR301" i="1" s="1"/>
  <c r="AU301" i="1" s="1"/>
  <c r="AV301" i="1" s="1"/>
  <c r="J302" i="1"/>
  <c r="K302" i="1"/>
  <c r="N302" i="1" s="1"/>
  <c r="AO307" i="1"/>
  <c r="AN307" i="1"/>
  <c r="AR307" i="1" s="1"/>
  <c r="AU307" i="1" s="1"/>
  <c r="AV307" i="1" s="1"/>
  <c r="AO309" i="1"/>
  <c r="AN309" i="1"/>
  <c r="AR309" i="1" s="1"/>
  <c r="AU309" i="1" s="1"/>
  <c r="AV309" i="1" s="1"/>
  <c r="AN5" i="1"/>
  <c r="AO5" i="1"/>
  <c r="AO6" i="1"/>
  <c r="AN6" i="1"/>
  <c r="AO11" i="1"/>
  <c r="AN11" i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AO56" i="1"/>
  <c r="AN56" i="1"/>
  <c r="AZ56" i="1"/>
  <c r="AX56" i="1"/>
  <c r="AN58" i="1"/>
  <c r="AO58" i="1"/>
  <c r="AX59" i="1"/>
  <c r="AZ59" i="1"/>
  <c r="AZ60" i="1"/>
  <c r="AX60" i="1"/>
  <c r="AN61" i="1"/>
  <c r="AO61" i="1"/>
  <c r="AZ63" i="1"/>
  <c r="AX63" i="1"/>
  <c r="AN64" i="1"/>
  <c r="AO64" i="1"/>
  <c r="AN67" i="1"/>
  <c r="AO67" i="1"/>
  <c r="AN68" i="1"/>
  <c r="AO68" i="1"/>
  <c r="AZ70" i="1"/>
  <c r="AX70" i="1"/>
  <c r="AN74" i="1"/>
  <c r="AO74" i="1"/>
  <c r="AR74" i="1" s="1"/>
  <c r="AX76" i="1"/>
  <c r="AZ76" i="1"/>
  <c r="AN107" i="1"/>
  <c r="AO107" i="1"/>
  <c r="AZ107" i="1"/>
  <c r="AX107" i="1"/>
  <c r="AX109" i="1"/>
  <c r="AZ109" i="1"/>
  <c r="AN112" i="1"/>
  <c r="AO112" i="1"/>
  <c r="AN113" i="1"/>
  <c r="AO113" i="1"/>
  <c r="AO117" i="1"/>
  <c r="AN117" i="1"/>
  <c r="AN121" i="1"/>
  <c r="AO121" i="1"/>
  <c r="AX145" i="1"/>
  <c r="AZ145" i="1"/>
  <c r="AX146" i="1"/>
  <c r="BC146" i="1" s="1"/>
  <c r="BF146" i="1" s="1"/>
  <c r="BG146" i="1" s="1"/>
  <c r="AZ146" i="1"/>
  <c r="AO161" i="1"/>
  <c r="AN161" i="1"/>
  <c r="AR161" i="1" s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CX3" i="1"/>
  <c r="CW3" i="1"/>
  <c r="CW14" i="1"/>
  <c r="CX14" i="1"/>
  <c r="CW18" i="1"/>
  <c r="CX18" i="1"/>
  <c r="CX25" i="1"/>
  <c r="CW25" i="1"/>
  <c r="DA25" i="1" s="1"/>
  <c r="CW29" i="1"/>
  <c r="DA29" i="1" s="1"/>
  <c r="CX29" i="1"/>
  <c r="CW64" i="1"/>
  <c r="DA64" i="1" s="1"/>
  <c r="CX64" i="1"/>
  <c r="CX65" i="1"/>
  <c r="CW65" i="1"/>
  <c r="CW66" i="1"/>
  <c r="CX66" i="1"/>
  <c r="CX71" i="1"/>
  <c r="CW71" i="1"/>
  <c r="CX72" i="1"/>
  <c r="CW72" i="1"/>
  <c r="DA72" i="1" s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DA178" i="1" s="1"/>
  <c r="CX178" i="1"/>
  <c r="T187" i="1"/>
  <c r="U187" i="1"/>
  <c r="CW189" i="1"/>
  <c r="CX189" i="1"/>
  <c r="CW190" i="1"/>
  <c r="CX190" i="1"/>
  <c r="U306" i="1"/>
  <c r="T306" i="1"/>
  <c r="U308" i="1"/>
  <c r="T308" i="1"/>
  <c r="U14" i="1"/>
  <c r="T14" i="1"/>
  <c r="X14" i="1" s="1"/>
  <c r="U18" i="1"/>
  <c r="T18" i="1"/>
  <c r="T62" i="1"/>
  <c r="X62" i="1" s="1"/>
  <c r="U62" i="1"/>
  <c r="U65" i="1"/>
  <c r="T65" i="1"/>
  <c r="X65" i="1" s="1"/>
  <c r="T67" i="1"/>
  <c r="U67" i="1"/>
  <c r="T73" i="1"/>
  <c r="U73" i="1"/>
  <c r="T112" i="1"/>
  <c r="X112" i="1" s="1"/>
  <c r="AA112" i="1" s="1"/>
  <c r="AB112" i="1" s="1"/>
  <c r="U112" i="1"/>
  <c r="T114" i="1"/>
  <c r="X114" i="1" s="1"/>
  <c r="AA114" i="1" s="1"/>
  <c r="AB114" i="1" s="1"/>
  <c r="U114" i="1"/>
  <c r="U124" i="1"/>
  <c r="T124" i="1"/>
  <c r="T160" i="1"/>
  <c r="X160" i="1" s="1"/>
  <c r="AA160" i="1" s="1"/>
  <c r="AB160" i="1" s="1"/>
  <c r="U160" i="1"/>
  <c r="U162" i="1"/>
  <c r="T162" i="1"/>
  <c r="X162" i="1" s="1"/>
  <c r="AA162" i="1" s="1"/>
  <c r="AB162" i="1" s="1"/>
  <c r="U166" i="1"/>
  <c r="T166" i="1"/>
  <c r="X166" i="1" s="1"/>
  <c r="AA166" i="1" s="1"/>
  <c r="AB166" i="1" s="1"/>
  <c r="BJ61" i="1"/>
  <c r="BI61" i="1"/>
  <c r="BI70" i="1"/>
  <c r="BM70" i="1" s="1"/>
  <c r="BP70" i="1" s="1"/>
  <c r="BQ70" i="1" s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I216" i="1"/>
  <c r="BJ216" i="1"/>
  <c r="BI306" i="1"/>
  <c r="BJ306" i="1"/>
  <c r="BJ307" i="1"/>
  <c r="BI307" i="1"/>
  <c r="BM307" i="1" s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5" i="1"/>
  <c r="DH225" i="1"/>
  <c r="DG227" i="1"/>
  <c r="DH227" i="1"/>
  <c r="DG242" i="1"/>
  <c r="DH242" i="1"/>
  <c r="DG244" i="1"/>
  <c r="DH244" i="1"/>
  <c r="DG246" i="1"/>
  <c r="DH246" i="1"/>
  <c r="DG248" i="1"/>
  <c r="DH248" i="1"/>
  <c r="DG252" i="1"/>
  <c r="DH252" i="1"/>
  <c r="DG257" i="1"/>
  <c r="DH257" i="1"/>
  <c r="DK257" i="1"/>
  <c r="DN257" i="1" s="1"/>
  <c r="DO257" i="1" s="1"/>
  <c r="DG272" i="1"/>
  <c r="DH272" i="1"/>
  <c r="DG286" i="1"/>
  <c r="DH286" i="1"/>
  <c r="DH288" i="1"/>
  <c r="DG288" i="1"/>
  <c r="DK288" i="1" s="1"/>
  <c r="DG294" i="1"/>
  <c r="DH294" i="1"/>
  <c r="DG297" i="1"/>
  <c r="DH297" i="1"/>
  <c r="DG298" i="1"/>
  <c r="DH298" i="1"/>
  <c r="DG302" i="1"/>
  <c r="DH302" i="1"/>
  <c r="DG306" i="1"/>
  <c r="DH306" i="1"/>
  <c r="DK306" i="1"/>
  <c r="DN306" i="1" s="1"/>
  <c r="DO306" i="1" s="1"/>
  <c r="DH309" i="1"/>
  <c r="DG309" i="1"/>
  <c r="DK309" i="1"/>
  <c r="DN309" i="1" s="1"/>
  <c r="DO309" i="1" s="1"/>
  <c r="DH311" i="1"/>
  <c r="DG311" i="1"/>
  <c r="DK311" i="1" s="1"/>
  <c r="EL208" i="1"/>
  <c r="DR311" i="1"/>
  <c r="DQ311" i="1"/>
  <c r="DU311" i="1" s="1"/>
  <c r="DQ309" i="1"/>
  <c r="DR309" i="1"/>
  <c r="DQ298" i="1"/>
  <c r="DR298" i="1"/>
  <c r="DQ296" i="1"/>
  <c r="DU296" i="1" s="1"/>
  <c r="DR296" i="1"/>
  <c r="DR294" i="1"/>
  <c r="DQ294" i="1"/>
  <c r="DU294" i="1" s="1"/>
  <c r="DR281" i="1"/>
  <c r="DQ281" i="1"/>
  <c r="DU281" i="1" s="1"/>
  <c r="DR280" i="1"/>
  <c r="DQ280" i="1"/>
  <c r="DU280" i="1" s="1"/>
  <c r="DR272" i="1"/>
  <c r="DQ272" i="1"/>
  <c r="DU272" i="1" s="1"/>
  <c r="DR270" i="1"/>
  <c r="DQ270" i="1"/>
  <c r="DU270" i="1" s="1"/>
  <c r="DR266" i="1"/>
  <c r="DQ266" i="1"/>
  <c r="DU266" i="1" s="1"/>
  <c r="DQ264" i="1"/>
  <c r="DR264" i="1"/>
  <c r="DQ262" i="1"/>
  <c r="DR262" i="1"/>
  <c r="DQ249" i="1"/>
  <c r="DR249" i="1"/>
  <c r="DR246" i="1"/>
  <c r="DQ246" i="1"/>
  <c r="DU246" i="1" s="1"/>
  <c r="DR237" i="1"/>
  <c r="DQ237" i="1"/>
  <c r="DQ227" i="1"/>
  <c r="DU227" i="1" s="1"/>
  <c r="DR227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U73" i="1" s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U45" i="1" s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W51" i="1" s="1"/>
  <c r="BS177" i="1"/>
  <c r="BT177" i="1"/>
  <c r="BS308" i="1"/>
  <c r="BT308" i="1"/>
  <c r="BS310" i="1"/>
  <c r="BT310" i="1"/>
  <c r="CC54" i="1"/>
  <c r="CD54" i="1"/>
  <c r="BS79" i="1"/>
  <c r="BT79" i="1"/>
  <c r="CC79" i="1"/>
  <c r="CG79" i="1" s="1"/>
  <c r="CD79" i="1"/>
  <c r="BS105" i="1"/>
  <c r="BW105" i="1" s="1"/>
  <c r="BT105" i="1"/>
  <c r="BT106" i="1"/>
  <c r="BS106" i="1"/>
  <c r="BW106" i="1" s="1"/>
  <c r="BZ106" i="1" s="1"/>
  <c r="CA106" i="1" s="1"/>
  <c r="CD131" i="1"/>
  <c r="CC131" i="1"/>
  <c r="CG131" i="1" s="1"/>
  <c r="BT132" i="1"/>
  <c r="BS132" i="1"/>
  <c r="BW132" i="1" s="1"/>
  <c r="BT146" i="1"/>
  <c r="BS146" i="1"/>
  <c r="BW146" i="1" s="1"/>
  <c r="CC146" i="1"/>
  <c r="CD146" i="1"/>
  <c r="BS150" i="1"/>
  <c r="BT150" i="1"/>
  <c r="BW150" i="1" s="1"/>
  <c r="CA150" i="1" s="1"/>
  <c r="BS225" i="1"/>
  <c r="BT225" i="1"/>
  <c r="CC225" i="1"/>
  <c r="CD225" i="1"/>
  <c r="CC234" i="1"/>
  <c r="CD234" i="1"/>
  <c r="CC237" i="1"/>
  <c r="CD237" i="1"/>
  <c r="CC238" i="1"/>
  <c r="CD238" i="1"/>
  <c r="CD241" i="1"/>
  <c r="CC241" i="1"/>
  <c r="CG241" i="1" s="1"/>
  <c r="BT242" i="1"/>
  <c r="BS242" i="1"/>
  <c r="BW242" i="1" s="1"/>
  <c r="BZ242" i="1" s="1"/>
  <c r="CA242" i="1" s="1"/>
  <c r="BT245" i="1"/>
  <c r="BS245" i="1"/>
  <c r="BW245" i="1" s="1"/>
  <c r="CC246" i="1"/>
  <c r="CD246" i="1"/>
  <c r="CC251" i="1"/>
  <c r="CD251" i="1"/>
  <c r="BS259" i="1"/>
  <c r="BT259" i="1"/>
  <c r="CG225" i="1"/>
  <c r="CJ225" i="1" s="1"/>
  <c r="CK225" i="1" s="1"/>
  <c r="CM136" i="1"/>
  <c r="CN136" i="1"/>
  <c r="CQ136" i="1" s="1"/>
  <c r="CT136" i="1" s="1"/>
  <c r="CU136" i="1" s="1"/>
  <c r="CN148" i="1"/>
  <c r="CM148" i="1"/>
  <c r="CQ148" i="1" s="1"/>
  <c r="CT148" i="1" s="1"/>
  <c r="CU148" i="1" s="1"/>
  <c r="CC155" i="1"/>
  <c r="CD155" i="1"/>
  <c r="CG155" i="1" s="1"/>
  <c r="CN156" i="1"/>
  <c r="CM156" i="1"/>
  <c r="CQ156" i="1" s="1"/>
  <c r="CT156" i="1" s="1"/>
  <c r="CU156" i="1" s="1"/>
  <c r="CC157" i="1"/>
  <c r="CD157" i="1"/>
  <c r="CG157" i="1" s="1"/>
  <c r="CD162" i="1"/>
  <c r="CC162" i="1"/>
  <c r="CG162" i="1" s="1"/>
  <c r="CD164" i="1"/>
  <c r="CC164" i="1"/>
  <c r="CG164" i="1" s="1"/>
  <c r="CJ164" i="1" s="1"/>
  <c r="CK164" i="1" s="1"/>
  <c r="CC168" i="1"/>
  <c r="CD168" i="1"/>
  <c r="CG168" i="1" s="1"/>
  <c r="CJ168" i="1" s="1"/>
  <c r="CK168" i="1" s="1"/>
  <c r="CC174" i="1"/>
  <c r="CD174" i="1"/>
  <c r="CC176" i="1"/>
  <c r="CD176" i="1"/>
  <c r="CQ219" i="1"/>
  <c r="CT219" i="1" s="1"/>
  <c r="CU219" i="1" s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Q43" i="1" s="1"/>
  <c r="CM63" i="1"/>
  <c r="CN63" i="1"/>
  <c r="AE69" i="1"/>
  <c r="AD69" i="1"/>
  <c r="AH69" i="1" s="1"/>
  <c r="AD71" i="1"/>
  <c r="AE71" i="1"/>
  <c r="AD76" i="1"/>
  <c r="AE76" i="1"/>
  <c r="AD274" i="1"/>
  <c r="AE274" i="1"/>
  <c r="CN295" i="1"/>
  <c r="CM295" i="1"/>
  <c r="CQ295" i="1" s="1"/>
  <c r="CT295" i="1" s="1"/>
  <c r="CU295" i="1" s="1"/>
  <c r="AE301" i="1"/>
  <c r="AD301" i="1"/>
  <c r="AH301" i="1" s="1"/>
  <c r="AK301" i="1" s="1"/>
  <c r="AL301" i="1" s="1"/>
  <c r="AH200" i="1"/>
  <c r="AK200" i="1" s="1"/>
  <c r="AL200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3" i="1"/>
  <c r="AD223" i="1"/>
  <c r="AH223" i="1" s="1"/>
  <c r="AK223" i="1" s="1"/>
  <c r="AL223" i="1" s="1"/>
  <c r="AD226" i="1"/>
  <c r="AE226" i="1"/>
  <c r="AH226" i="1" s="1"/>
  <c r="AK226" i="1" s="1"/>
  <c r="AL226" i="1" s="1"/>
  <c r="AD229" i="1"/>
  <c r="AE229" i="1"/>
  <c r="AE230" i="1"/>
  <c r="AD230" i="1"/>
  <c r="AH230" i="1" s="1"/>
  <c r="J231" i="1"/>
  <c r="K231" i="1"/>
  <c r="N231" i="1" s="1"/>
  <c r="Q231" i="1" s="1"/>
  <c r="R231" i="1" s="1"/>
  <c r="AD231" i="1"/>
  <c r="AE231" i="1"/>
  <c r="J233" i="1"/>
  <c r="K233" i="1"/>
  <c r="AD234" i="1"/>
  <c r="AE234" i="1"/>
  <c r="J235" i="1"/>
  <c r="K235" i="1"/>
  <c r="AD236" i="1"/>
  <c r="AE236" i="1"/>
  <c r="AE238" i="1"/>
  <c r="AD238" i="1"/>
  <c r="AH238" i="1" s="1"/>
  <c r="AD239" i="1"/>
  <c r="AE239" i="1"/>
  <c r="J240" i="1"/>
  <c r="K240" i="1"/>
  <c r="AD241" i="1"/>
  <c r="AE241" i="1"/>
  <c r="AE245" i="1"/>
  <c r="AD245" i="1"/>
  <c r="AH245" i="1" s="1"/>
  <c r="AK245" i="1" s="1"/>
  <c r="AL245" i="1" s="1"/>
  <c r="AD248" i="1"/>
  <c r="AE248" i="1"/>
  <c r="AH248" i="1" s="1"/>
  <c r="AK248" i="1" s="1"/>
  <c r="AL248" i="1" s="1"/>
  <c r="AD249" i="1"/>
  <c r="AE249" i="1"/>
  <c r="AE252" i="1"/>
  <c r="AD252" i="1"/>
  <c r="AH252" i="1" s="1"/>
  <c r="AD253" i="1"/>
  <c r="AE253" i="1"/>
  <c r="AH253" i="1" s="1"/>
  <c r="AK253" i="1" s="1"/>
  <c r="AL253" i="1" s="1"/>
  <c r="AE255" i="1"/>
  <c r="AD255" i="1"/>
  <c r="AH255" i="1" s="1"/>
  <c r="AK255" i="1" s="1"/>
  <c r="AL255" i="1" s="1"/>
  <c r="AD257" i="1"/>
  <c r="AE257" i="1"/>
  <c r="AD259" i="1"/>
  <c r="AE259" i="1"/>
  <c r="AE306" i="1"/>
  <c r="AD306" i="1"/>
  <c r="AH306" i="1" s="1"/>
  <c r="AD307" i="1"/>
  <c r="AE307" i="1"/>
  <c r="AE308" i="1"/>
  <c r="AD308" i="1"/>
  <c r="AH308" i="1" s="1"/>
  <c r="AD309" i="1"/>
  <c r="AE309" i="1"/>
  <c r="J310" i="1"/>
  <c r="K310" i="1"/>
  <c r="AE310" i="1"/>
  <c r="AD310" i="1"/>
  <c r="AH310" i="1" s="1"/>
  <c r="AE311" i="1"/>
  <c r="AD311" i="1"/>
  <c r="AH311" i="1" s="1"/>
  <c r="AK311" i="1" s="1"/>
  <c r="AL311" i="1" s="1"/>
  <c r="AN78" i="1"/>
  <c r="AO78" i="1"/>
  <c r="AR78" i="1" s="1"/>
  <c r="AN122" i="1"/>
  <c r="AO122" i="1"/>
  <c r="AO202" i="1"/>
  <c r="AN202" i="1"/>
  <c r="AR202" i="1" s="1"/>
  <c r="AU202" i="1" s="1"/>
  <c r="AV202" i="1" s="1"/>
  <c r="AO205" i="1"/>
  <c r="AN205" i="1"/>
  <c r="AR205" i="1" s="1"/>
  <c r="AR6" i="1"/>
  <c r="AR50" i="1"/>
  <c r="AU50" i="1" s="1"/>
  <c r="AV50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R178" i="1" s="1"/>
  <c r="AU178" i="1" s="1"/>
  <c r="AV178" i="1" s="1"/>
  <c r="AO242" i="1"/>
  <c r="AN242" i="1"/>
  <c r="AR242" i="1" s="1"/>
  <c r="AN244" i="1"/>
  <c r="AO244" i="1"/>
  <c r="AZ246" i="1"/>
  <c r="AX246" i="1"/>
  <c r="BC246" i="1" s="1"/>
  <c r="BF246" i="1" s="1"/>
  <c r="BG246" i="1" s="1"/>
  <c r="AN252" i="1"/>
  <c r="AO252" i="1"/>
  <c r="AR252" i="1" s="1"/>
  <c r="AU252" i="1" s="1"/>
  <c r="AV252" i="1" s="1"/>
  <c r="AO255" i="1"/>
  <c r="AN255" i="1"/>
  <c r="AR255" i="1" s="1"/>
  <c r="AU255" i="1" s="1"/>
  <c r="AV255" i="1" s="1"/>
  <c r="AO256" i="1"/>
  <c r="AN256" i="1"/>
  <c r="AR256" i="1" s="1"/>
  <c r="BC37" i="1"/>
  <c r="BF37" i="1" s="1"/>
  <c r="BG37" i="1" s="1"/>
  <c r="AX84" i="1"/>
  <c r="AZ84" i="1"/>
  <c r="AX91" i="1"/>
  <c r="AZ91" i="1"/>
  <c r="AZ92" i="1"/>
  <c r="AX92" i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7" i="1"/>
  <c r="AZ247" i="1"/>
  <c r="AX248" i="1"/>
  <c r="AZ248" i="1"/>
  <c r="AX250" i="1"/>
  <c r="AZ250" i="1"/>
  <c r="AZ252" i="1"/>
  <c r="AX252" i="1"/>
  <c r="BC252" i="1" s="1"/>
  <c r="BF252" i="1" s="1"/>
  <c r="BG252" i="1" s="1"/>
  <c r="AX256" i="1"/>
  <c r="AZ256" i="1"/>
  <c r="AX261" i="1"/>
  <c r="AZ261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DA220" i="1" s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5" i="1"/>
  <c r="BI235" i="1"/>
  <c r="BM235" i="1" s="1"/>
  <c r="BP235" i="1" s="1"/>
  <c r="BQ235" i="1" s="1"/>
  <c r="BJ237" i="1"/>
  <c r="BI237" i="1"/>
  <c r="BM237" i="1" s="1"/>
  <c r="BP237" i="1" s="1"/>
  <c r="BQ237" i="1" s="1"/>
  <c r="CW238" i="1"/>
  <c r="CX238" i="1"/>
  <c r="BJ241" i="1"/>
  <c r="BI241" i="1"/>
  <c r="BM241" i="1" s="1"/>
  <c r="BP241" i="1" s="1"/>
  <c r="BQ241" i="1" s="1"/>
  <c r="BI242" i="1"/>
  <c r="BJ242" i="1"/>
  <c r="CX252" i="1"/>
  <c r="CW252" i="1"/>
  <c r="DA252" i="1" s="1"/>
  <c r="DD252" i="1" s="1"/>
  <c r="DE252" i="1" s="1"/>
  <c r="CW254" i="1"/>
  <c r="CX254" i="1"/>
  <c r="BJ255" i="1"/>
  <c r="BI255" i="1"/>
  <c r="BM255" i="1" s="1"/>
  <c r="BP255" i="1" s="1"/>
  <c r="BQ255" i="1" s="1"/>
  <c r="BI260" i="1"/>
  <c r="BJ260" i="1"/>
  <c r="CW311" i="1"/>
  <c r="CX311" i="1"/>
  <c r="BM27" i="1"/>
  <c r="BM277" i="1"/>
  <c r="BP277" i="1" s="1"/>
  <c r="BQ277" i="1" s="1"/>
  <c r="U49" i="1"/>
  <c r="T49" i="1"/>
  <c r="X49" i="1" s="1"/>
  <c r="BI101" i="1"/>
  <c r="BJ101" i="1"/>
  <c r="BM101" i="1" s="1"/>
  <c r="BP101" i="1" s="1"/>
  <c r="BQ101" i="1" s="1"/>
  <c r="BI104" i="1"/>
  <c r="BJ104" i="1"/>
  <c r="BM104" i="1" s="1"/>
  <c r="BI106" i="1"/>
  <c r="BJ106" i="1"/>
  <c r="BI153" i="1"/>
  <c r="BJ153" i="1"/>
  <c r="BM153" i="1" s="1"/>
  <c r="BP153" i="1" s="1"/>
  <c r="BQ153" i="1" s="1"/>
  <c r="BI155" i="1"/>
  <c r="BJ155" i="1"/>
  <c r="BI157" i="1"/>
  <c r="BJ157" i="1"/>
  <c r="U174" i="1"/>
  <c r="T174" i="1"/>
  <c r="X174" i="1" s="1"/>
  <c r="AA174" i="1" s="1"/>
  <c r="AB174" i="1" s="1"/>
  <c r="BJ311" i="1"/>
  <c r="BI311" i="1"/>
  <c r="BM311" i="1" s="1"/>
  <c r="U52" i="1"/>
  <c r="T52" i="1"/>
  <c r="X52" i="1" s="1"/>
  <c r="T80" i="1"/>
  <c r="U80" i="1"/>
  <c r="X80" i="1" s="1"/>
  <c r="AA80" i="1" s="1"/>
  <c r="AB80" i="1" s="1"/>
  <c r="U106" i="1"/>
  <c r="T106" i="1"/>
  <c r="X106" i="1" s="1"/>
  <c r="AA106" i="1" s="1"/>
  <c r="AB106" i="1" s="1"/>
  <c r="U126" i="1"/>
  <c r="T126" i="1"/>
  <c r="X126" i="1" s="1"/>
  <c r="U129" i="1"/>
  <c r="T129" i="1"/>
  <c r="X129" i="1" s="1"/>
  <c r="T131" i="1"/>
  <c r="U131" i="1"/>
  <c r="X131" i="1" s="1"/>
  <c r="T149" i="1"/>
  <c r="U149" i="1"/>
  <c r="T150" i="1"/>
  <c r="U150" i="1"/>
  <c r="X150" i="1" s="1"/>
  <c r="AB150" i="1" s="1"/>
  <c r="T235" i="1"/>
  <c r="U235" i="1"/>
  <c r="T277" i="1"/>
  <c r="U277" i="1"/>
  <c r="X277" i="1" s="1"/>
  <c r="U280" i="1"/>
  <c r="T280" i="1"/>
  <c r="X280" i="1" s="1"/>
  <c r="AA280" i="1" s="1"/>
  <c r="AB280" i="1" s="1"/>
  <c r="K267" i="1"/>
  <c r="N267" i="1" s="1"/>
  <c r="K150" i="1"/>
  <c r="N150" i="1" s="1"/>
  <c r="K102" i="1"/>
  <c r="K59" i="1"/>
  <c r="N59" i="1" s="1"/>
  <c r="Q59" i="1" s="1"/>
  <c r="R59" i="1" s="1"/>
  <c r="K55" i="1"/>
  <c r="N55" i="1" s="1"/>
  <c r="K108" i="1"/>
  <c r="N108" i="1" s="1"/>
  <c r="Q108" i="1" s="1"/>
  <c r="R108" i="1" s="1"/>
  <c r="K79" i="1"/>
  <c r="N79" i="1" s="1"/>
  <c r="K116" i="1"/>
  <c r="N116" i="1" s="1"/>
  <c r="Q116" i="1" s="1"/>
  <c r="R116" i="1" s="1"/>
  <c r="K17" i="1"/>
  <c r="N17" i="1" s="1"/>
  <c r="K5" i="1"/>
  <c r="N5" i="1" s="1"/>
  <c r="K234" i="1"/>
  <c r="N234" i="1" s="1"/>
  <c r="K221" i="1"/>
  <c r="N221" i="1" s="1"/>
  <c r="Q221" i="1" s="1"/>
  <c r="R221" i="1" s="1"/>
  <c r="K212" i="1"/>
  <c r="N212" i="1" s="1"/>
  <c r="Q212" i="1" s="1"/>
  <c r="R212" i="1" s="1"/>
  <c r="K308" i="1"/>
  <c r="N308" i="1" s="1"/>
  <c r="Q308" i="1" s="1"/>
  <c r="K174" i="1"/>
  <c r="N174" i="1" s="1"/>
  <c r="K65" i="1"/>
  <c r="N65" i="1" s="1"/>
  <c r="Q65" i="1" s="1"/>
  <c r="K13" i="1"/>
  <c r="N13" i="1" s="1"/>
  <c r="K136" i="1"/>
  <c r="N136" i="1" s="1"/>
  <c r="N102" i="1"/>
  <c r="K97" i="1"/>
  <c r="N97" i="1" s="1"/>
  <c r="K20" i="1"/>
  <c r="N20" i="1" s="1"/>
  <c r="ES206" i="1"/>
  <c r="K28" i="1"/>
  <c r="N28" i="1" s="1"/>
  <c r="K18" i="1"/>
  <c r="N18" i="1" s="1"/>
  <c r="K305" i="1"/>
  <c r="N305" i="1" s="1"/>
  <c r="Q305" i="1" s="1"/>
  <c r="R305" i="1" s="1"/>
  <c r="K282" i="1"/>
  <c r="N282" i="1" s="1"/>
  <c r="Q282" i="1" s="1"/>
  <c r="R282" i="1" s="1"/>
  <c r="K265" i="1"/>
  <c r="N265" i="1" s="1"/>
  <c r="K230" i="1"/>
  <c r="N230" i="1" s="1"/>
  <c r="K188" i="1"/>
  <c r="N188" i="1" s="1"/>
  <c r="K41" i="1"/>
  <c r="N41" i="1" s="1"/>
  <c r="K114" i="1"/>
  <c r="N114" i="1" s="1"/>
  <c r="Q114" i="1" s="1"/>
  <c r="R114" i="1" s="1"/>
  <c r="K105" i="1"/>
  <c r="N105" i="1" s="1"/>
  <c r="Q105" i="1" s="1"/>
  <c r="R105" i="1" s="1"/>
  <c r="K122" i="1"/>
  <c r="N122" i="1" s="1"/>
  <c r="K103" i="1"/>
  <c r="N103" i="1" s="1"/>
  <c r="Q103" i="1" s="1"/>
  <c r="R103" i="1" s="1"/>
  <c r="K89" i="1"/>
  <c r="N89" i="1" s="1"/>
  <c r="K124" i="1"/>
  <c r="N124" i="1" s="1"/>
  <c r="Q124" i="1" s="1"/>
  <c r="K112" i="1"/>
  <c r="N112" i="1" s="1"/>
  <c r="Q112" i="1" s="1"/>
  <c r="R112" i="1" s="1"/>
  <c r="K109" i="1"/>
  <c r="N109" i="1" s="1"/>
  <c r="Q109" i="1" s="1"/>
  <c r="R109" i="1" s="1"/>
  <c r="J15" i="1"/>
  <c r="N15" i="1" s="1"/>
  <c r="Q15" i="1" s="1"/>
  <c r="R15" i="1" s="1"/>
  <c r="K95" i="1"/>
  <c r="N95" i="1" s="1"/>
  <c r="K3" i="1"/>
  <c r="J14" i="1"/>
  <c r="N14" i="1" s="1"/>
  <c r="K306" i="1"/>
  <c r="N306" i="1" s="1"/>
  <c r="Q306" i="1" s="1"/>
  <c r="K257" i="1"/>
  <c r="N257" i="1" s="1"/>
  <c r="K223" i="1"/>
  <c r="N223" i="1" s="1"/>
  <c r="K207" i="1"/>
  <c r="N207" i="1" s="1"/>
  <c r="Q207" i="1" s="1"/>
  <c r="R207" i="1" s="1"/>
  <c r="K129" i="1"/>
  <c r="N129" i="1" s="1"/>
  <c r="Q129" i="1" s="1"/>
  <c r="R129" i="1" s="1"/>
  <c r="K51" i="1"/>
  <c r="N51" i="1" s="1"/>
  <c r="K40" i="1"/>
  <c r="N40" i="1" s="1"/>
  <c r="Q40" i="1" s="1"/>
  <c r="R40" i="1" s="1"/>
  <c r="K7" i="1"/>
  <c r="N7" i="1" s="1"/>
  <c r="Q7" i="1" s="1"/>
  <c r="R7" i="1" s="1"/>
  <c r="J3" i="1"/>
  <c r="BM280" i="1"/>
  <c r="DA262" i="1"/>
  <c r="DD262" i="1" s="1"/>
  <c r="DE262" i="1" s="1"/>
  <c r="X235" i="1"/>
  <c r="AA235" i="1" s="1"/>
  <c r="AB235" i="1" s="1"/>
  <c r="AO230" i="1"/>
  <c r="AN230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BW182" i="1"/>
  <c r="BZ182" i="1" s="1"/>
  <c r="CA182" i="1" s="1"/>
  <c r="CD181" i="1"/>
  <c r="CG181" i="1" s="1"/>
  <c r="CD179" i="1"/>
  <c r="CG179" i="1" s="1"/>
  <c r="EL286" i="1"/>
  <c r="AR262" i="1"/>
  <c r="DR310" i="1"/>
  <c r="DU310" i="1" s="1"/>
  <c r="CX307" i="1"/>
  <c r="DA307" i="1" s="1"/>
  <c r="CD307" i="1"/>
  <c r="CG307" i="1" s="1"/>
  <c r="CJ307" i="1" s="1"/>
  <c r="CK307" i="1" s="1"/>
  <c r="CX304" i="1"/>
  <c r="DA304" i="1" s="1"/>
  <c r="DD304" i="1" s="1"/>
  <c r="DE304" i="1" s="1"/>
  <c r="AO287" i="1"/>
  <c r="AR287" i="1" s="1"/>
  <c r="U287" i="1"/>
  <c r="X287" i="1" s="1"/>
  <c r="BJ286" i="1"/>
  <c r="BM286" i="1" s="1"/>
  <c r="BP286" i="1" s="1"/>
  <c r="BT284" i="1"/>
  <c r="BW284" i="1" s="1"/>
  <c r="AE273" i="1"/>
  <c r="U258" i="1"/>
  <c r="X258" i="1" s="1"/>
  <c r="AA258" i="1" s="1"/>
  <c r="AB258" i="1" s="1"/>
  <c r="BM231" i="1"/>
  <c r="AO224" i="1"/>
  <c r="AR224" i="1" s="1"/>
  <c r="CC203" i="1"/>
  <c r="CD203" i="1"/>
  <c r="BC244" i="1"/>
  <c r="EL298" i="1"/>
  <c r="DH305" i="1"/>
  <c r="DK305" i="1" s="1"/>
  <c r="DQ306" i="1"/>
  <c r="DU306" i="1" s="1"/>
  <c r="AE304" i="1"/>
  <c r="AH304" i="1" s="1"/>
  <c r="DH303" i="1"/>
  <c r="DK303" i="1" s="1"/>
  <c r="DN303" i="1" s="1"/>
  <c r="U303" i="1"/>
  <c r="X303" i="1" s="1"/>
  <c r="DG299" i="1"/>
  <c r="DK299" i="1" s="1"/>
  <c r="U299" i="1"/>
  <c r="X299" i="1" s="1"/>
  <c r="AE295" i="1"/>
  <c r="AH295" i="1" s="1"/>
  <c r="T293" i="1"/>
  <c r="X293" i="1" s="1"/>
  <c r="CW292" i="1"/>
  <c r="DA292" i="1" s="1"/>
  <c r="DD292" i="1" s="1"/>
  <c r="DE292" i="1" s="1"/>
  <c r="CX287" i="1"/>
  <c r="DA287" i="1" s="1"/>
  <c r="AZ285" i="1"/>
  <c r="BC285" i="1" s="1"/>
  <c r="BJ283" i="1"/>
  <c r="BM283" i="1" s="1"/>
  <c r="AO283" i="1"/>
  <c r="AR283" i="1" s="1"/>
  <c r="T283" i="1"/>
  <c r="X283" i="1" s="1"/>
  <c r="BT279" i="1"/>
  <c r="BW279" i="1" s="1"/>
  <c r="DH276" i="1"/>
  <c r="DK276" i="1" s="1"/>
  <c r="DO276" i="1" s="1"/>
  <c r="AZ273" i="1"/>
  <c r="BC273" i="1" s="1"/>
  <c r="AE267" i="1"/>
  <c r="AH267" i="1" s="1"/>
  <c r="CN261" i="1"/>
  <c r="CQ261" i="1" s="1"/>
  <c r="CT261" i="1" s="1"/>
  <c r="CU261" i="1" s="1"/>
  <c r="BT261" i="1"/>
  <c r="BW261" i="1" s="1"/>
  <c r="CD260" i="1"/>
  <c r="CG260" i="1" s="1"/>
  <c r="CN259" i="1"/>
  <c r="CQ259" i="1" s="1"/>
  <c r="CT259" i="1" s="1"/>
  <c r="CU259" i="1" s="1"/>
  <c r="BJ258" i="1"/>
  <c r="BM258" i="1" s="1"/>
  <c r="BP258" i="1" s="1"/>
  <c r="BQ258" i="1" s="1"/>
  <c r="ES251" i="1"/>
  <c r="EL250" i="1"/>
  <c r="CN250" i="1"/>
  <c r="CQ250" i="1" s="1"/>
  <c r="AD243" i="1"/>
  <c r="AH243" i="1" s="1"/>
  <c r="AK243" i="1" s="1"/>
  <c r="AL243" i="1" s="1"/>
  <c r="DH233" i="1"/>
  <c r="DK233" i="1" s="1"/>
  <c r="U233" i="1"/>
  <c r="X233" i="1" s="1"/>
  <c r="CW232" i="1"/>
  <c r="DA232" i="1" s="1"/>
  <c r="CD230" i="1"/>
  <c r="CG230" i="1" s="1"/>
  <c r="BJ228" i="1"/>
  <c r="BM228" i="1" s="1"/>
  <c r="BP228" i="1" s="1"/>
  <c r="BQ228" i="1" s="1"/>
  <c r="AD225" i="1"/>
  <c r="AH225" i="1" s="1"/>
  <c r="DQ223" i="1"/>
  <c r="DU223" i="1" s="1"/>
  <c r="AO222" i="1"/>
  <c r="DR219" i="1"/>
  <c r="DU219" i="1" s="1"/>
  <c r="AO218" i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6" i="1"/>
  <c r="AH296" i="1" s="1"/>
  <c r="DG295" i="1"/>
  <c r="AZ295" i="1"/>
  <c r="BC295" i="1" s="1"/>
  <c r="AN293" i="1"/>
  <c r="AR293" i="1" s="1"/>
  <c r="AU293" i="1" s="1"/>
  <c r="AV293" i="1" s="1"/>
  <c r="CD290" i="1"/>
  <c r="CG290" i="1" s="1"/>
  <c r="CJ290" i="1" s="1"/>
  <c r="CK290" i="1" s="1"/>
  <c r="AO288" i="1"/>
  <c r="AR288" i="1" s="1"/>
  <c r="AU288" i="1" s="1"/>
  <c r="AV288" i="1" s="1"/>
  <c r="BT285" i="1"/>
  <c r="U272" i="1"/>
  <c r="X272" i="1" s="1"/>
  <c r="AA272" i="1" s="1"/>
  <c r="AB272" i="1" s="1"/>
  <c r="U268" i="1"/>
  <c r="X268" i="1" s="1"/>
  <c r="AA268" i="1" s="1"/>
  <c r="AB268" i="1" s="1"/>
  <c r="EL266" i="1"/>
  <c r="CW263" i="1"/>
  <c r="DA263" i="1" s="1"/>
  <c r="DG259" i="1"/>
  <c r="DK259" i="1" s="1"/>
  <c r="CC258" i="1"/>
  <c r="CG258" i="1" s="1"/>
  <c r="CJ258" i="1" s="1"/>
  <c r="CK258" i="1" s="1"/>
  <c r="AZ251" i="1"/>
  <c r="BC251" i="1" s="1"/>
  <c r="BF251" i="1" s="1"/>
  <c r="BG251" i="1" s="1"/>
  <c r="AR222" i="1"/>
  <c r="AU222" i="1" s="1"/>
  <c r="AV222" i="1" s="1"/>
  <c r="AR218" i="1"/>
  <c r="AU218" i="1" s="1"/>
  <c r="AV218" i="1" s="1"/>
  <c r="AR213" i="1"/>
  <c r="AU213" i="1" s="1"/>
  <c r="AV213" i="1" s="1"/>
  <c r="CW207" i="1"/>
  <c r="CX207" i="1"/>
  <c r="U206" i="1"/>
  <c r="X206" i="1" s="1"/>
  <c r="AA206" i="1" s="1"/>
  <c r="AB206" i="1" s="1"/>
  <c r="CW205" i="1"/>
  <c r="DA205" i="1" s="1"/>
  <c r="T182" i="1"/>
  <c r="X182" i="1" s="1"/>
  <c r="AA182" i="1" s="1"/>
  <c r="AB182" i="1" s="1"/>
  <c r="AE178" i="1"/>
  <c r="AH178" i="1" s="1"/>
  <c r="CX309" i="1"/>
  <c r="DA309" i="1" s="1"/>
  <c r="DD309" i="1" s="1"/>
  <c r="DE309" i="1" s="1"/>
  <c r="DR308" i="1"/>
  <c r="DU308" i="1" s="1"/>
  <c r="AO289" i="1"/>
  <c r="AR289" i="1" s="1"/>
  <c r="AU289" i="1" s="1"/>
  <c r="AV289" i="1" s="1"/>
  <c r="BW285" i="1"/>
  <c r="AE281" i="1"/>
  <c r="AH281" i="1" s="1"/>
  <c r="AE263" i="1"/>
  <c r="AH263" i="1" s="1"/>
  <c r="CN251" i="1"/>
  <c r="CQ251" i="1" s="1"/>
  <c r="CT251" i="1" s="1"/>
  <c r="CU251" i="1" s="1"/>
  <c r="X245" i="1"/>
  <c r="AA245" i="1" s="1"/>
  <c r="AB245" i="1" s="1"/>
  <c r="BT243" i="1"/>
  <c r="BW243" i="1" s="1"/>
  <c r="AZ242" i="1"/>
  <c r="BC242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0" i="1"/>
  <c r="DK300" i="1" s="1"/>
  <c r="CC306" i="1"/>
  <c r="CG306" i="1" s="1"/>
  <c r="BS301" i="1"/>
  <c r="BW301" i="1" s="1"/>
  <c r="BZ301" i="1" s="1"/>
  <c r="CA301" i="1" s="1"/>
  <c r="CX298" i="1"/>
  <c r="DA298" i="1" s="1"/>
  <c r="CW288" i="1"/>
  <c r="DA288" i="1" s="1"/>
  <c r="DD288" i="1" s="1"/>
  <c r="DE288" i="1" s="1"/>
  <c r="DA284" i="1"/>
  <c r="DD284" i="1" s="1"/>
  <c r="DE284" i="1" s="1"/>
  <c r="DR283" i="1"/>
  <c r="DU283" i="1" s="1"/>
  <c r="AX281" i="1"/>
  <c r="DQ274" i="1"/>
  <c r="DU274" i="1" s="1"/>
  <c r="BT271" i="1"/>
  <c r="BW271" i="1" s="1"/>
  <c r="U266" i="1"/>
  <c r="X266" i="1" s="1"/>
  <c r="AO264" i="1"/>
  <c r="AR264" i="1" s="1"/>
  <c r="AZ249" i="1"/>
  <c r="BC249" i="1" s="1"/>
  <c r="CX244" i="1"/>
  <c r="DA244" i="1" s="1"/>
  <c r="CN243" i="1"/>
  <c r="CQ243" i="1" s="1"/>
  <c r="BJ239" i="1"/>
  <c r="BM239" i="1" s="1"/>
  <c r="CM234" i="1"/>
  <c r="CQ234" i="1" s="1"/>
  <c r="CT234" i="1" s="1"/>
  <c r="CU234" i="1" s="1"/>
  <c r="BJ233" i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G185" i="1" s="1"/>
  <c r="CW183" i="1"/>
  <c r="DA183" i="1" s="1"/>
  <c r="CC177" i="1"/>
  <c r="CG177" i="1" s="1"/>
  <c r="DG175" i="1"/>
  <c r="DK175" i="1"/>
  <c r="BM233" i="1"/>
  <c r="BP233" i="1" s="1"/>
  <c r="BQ233" i="1" s="1"/>
  <c r="T221" i="1"/>
  <c r="U221" i="1"/>
  <c r="BM210" i="1"/>
  <c r="BP210" i="1" s="1"/>
  <c r="BQ210" i="1" s="1"/>
  <c r="BW297" i="1"/>
  <c r="BT283" i="1"/>
  <c r="BW283" i="1" s="1"/>
  <c r="DH281" i="1"/>
  <c r="DK281" i="1" s="1"/>
  <c r="DN281" i="1" s="1"/>
  <c r="DO281" i="1" s="1"/>
  <c r="BJ266" i="1"/>
  <c r="BM266" i="1" s="1"/>
  <c r="CX250" i="1"/>
  <c r="DA250" i="1" s="1"/>
  <c r="T223" i="1"/>
  <c r="U223" i="1"/>
  <c r="AO216" i="1"/>
  <c r="AD305" i="1"/>
  <c r="AH305" i="1" s="1"/>
  <c r="T292" i="1"/>
  <c r="X292" i="1" s="1"/>
  <c r="BJ291" i="1"/>
  <c r="BM291" i="1" s="1"/>
  <c r="U285" i="1"/>
  <c r="X285" i="1" s="1"/>
  <c r="AZ283" i="1"/>
  <c r="CD279" i="1"/>
  <c r="CG279" i="1" s="1"/>
  <c r="AZ278" i="1"/>
  <c r="BT269" i="1"/>
  <c r="BW269" i="1" s="1"/>
  <c r="CX266" i="1"/>
  <c r="DA266" i="1" s="1"/>
  <c r="CD266" i="1"/>
  <c r="CG266" i="1" s="1"/>
  <c r="CD264" i="1"/>
  <c r="CG264" i="1" s="1"/>
  <c r="CN257" i="1"/>
  <c r="CQ257" i="1" s="1"/>
  <c r="AN254" i="1"/>
  <c r="AR254" i="1" s="1"/>
  <c r="AU254" i="1" s="1"/>
  <c r="AV254" i="1" s="1"/>
  <c r="U247" i="1"/>
  <c r="CW241" i="1"/>
  <c r="DA241" i="1" s="1"/>
  <c r="DR233" i="1"/>
  <c r="DU233" i="1" s="1"/>
  <c r="CX233" i="1"/>
  <c r="DA233" i="1" s="1"/>
  <c r="BJ227" i="1"/>
  <c r="BM227" i="1" s="1"/>
  <c r="AX224" i="1"/>
  <c r="AZ224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BW200" i="1"/>
  <c r="BZ200" i="1" s="1"/>
  <c r="CA200" i="1" s="1"/>
  <c r="DA189" i="1"/>
  <c r="DD189" i="1" s="1"/>
  <c r="DE189" i="1" s="1"/>
  <c r="AD185" i="1"/>
  <c r="AH185" i="1" s="1"/>
  <c r="AK185" i="1" s="1"/>
  <c r="AL185" i="1" s="1"/>
  <c r="U179" i="1"/>
  <c r="X179" i="1" s="1"/>
  <c r="BC283" i="1"/>
  <c r="BF283" i="1" s="1"/>
  <c r="BG283" i="1" s="1"/>
  <c r="X247" i="1"/>
  <c r="DA275" i="1"/>
  <c r="DD275" i="1" s="1"/>
  <c r="DE275" i="1" s="1"/>
  <c r="X262" i="1"/>
  <c r="AA262" i="1" s="1"/>
  <c r="AB262" i="1" s="1"/>
  <c r="T257" i="1"/>
  <c r="X257" i="1" s="1"/>
  <c r="AA257" i="1" s="1"/>
  <c r="AB257" i="1" s="1"/>
  <c r="BS253" i="1"/>
  <c r="BW253" i="1" s="1"/>
  <c r="CX242" i="1"/>
  <c r="DA242" i="1" s="1"/>
  <c r="CC227" i="1"/>
  <c r="CD227" i="1"/>
  <c r="AN226" i="1"/>
  <c r="AR226" i="1" s="1"/>
  <c r="DQ225" i="1"/>
  <c r="DU225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X192" i="1"/>
  <c r="DA192" i="1" s="1"/>
  <c r="BI186" i="1"/>
  <c r="BM186" i="1" s="1"/>
  <c r="BP186" i="1" s="1"/>
  <c r="BQ186" i="1" s="1"/>
  <c r="T183" i="1"/>
  <c r="X183" i="1" s="1"/>
  <c r="BM232" i="1"/>
  <c r="BP232" i="1" s="1"/>
  <c r="BQ232" i="1" s="1"/>
  <c r="CN228" i="1"/>
  <c r="CM228" i="1"/>
  <c r="CW201" i="1"/>
  <c r="CX201" i="1"/>
  <c r="CC94" i="1"/>
  <c r="CD94" i="1"/>
  <c r="U60" i="1"/>
  <c r="T60" i="1"/>
  <c r="X60" i="1" s="1"/>
  <c r="AE31" i="1"/>
  <c r="AD31" i="1"/>
  <c r="AH31" i="1" s="1"/>
  <c r="AK31" i="1" s="1"/>
  <c r="AL31" i="1" s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AB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DA65" i="1"/>
  <c r="AO60" i="1"/>
  <c r="AN60" i="1"/>
  <c r="AR60" i="1" s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AA116" i="1" s="1"/>
  <c r="AB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AA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DA69" i="1" s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CQ34" i="1" s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R71" i="1" s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W133" i="1"/>
  <c r="BZ133" i="1" s="1"/>
  <c r="CA133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DA113" i="1" s="1"/>
  <c r="DD113" i="1" s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DA15" i="1" s="1"/>
  <c r="BC173" i="1"/>
  <c r="BF173" i="1" s="1"/>
  <c r="BG173" i="1" s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BC86" i="1" s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BM139" i="1"/>
  <c r="BP139" i="1" s="1"/>
  <c r="BQ139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AA108" i="1" s="1"/>
  <c r="AB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AA164" i="1" s="1"/>
  <c r="AB164" i="1" s="1"/>
  <c r="BJ163" i="1"/>
  <c r="BM163" i="1" s="1"/>
  <c r="BP163" i="1" s="1"/>
  <c r="BQ163" i="1" s="1"/>
  <c r="T157" i="1"/>
  <c r="AZ143" i="1"/>
  <c r="AX143" i="1"/>
  <c r="BC143" i="1" s="1"/>
  <c r="BF143" i="1" s="1"/>
  <c r="BG143" i="1" s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AA41" i="1" s="1"/>
  <c r="AB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AR144" i="1"/>
  <c r="AU144" i="1" s="1"/>
  <c r="AV144" i="1" s="1"/>
  <c r="BC38" i="1"/>
  <c r="BF38" i="1" s="1"/>
  <c r="BG38" i="1" s="1"/>
  <c r="T31" i="1"/>
  <c r="X31" i="1" s="1"/>
  <c r="AN20" i="1"/>
  <c r="AR20" i="1" s="1"/>
  <c r="CD16" i="1"/>
  <c r="CG16" i="1" s="1"/>
  <c r="CJ16" i="1" s="1"/>
  <c r="BT15" i="1"/>
  <c r="AE15" i="1"/>
  <c r="AH15" i="1" s="1"/>
  <c r="BS14" i="1"/>
  <c r="BW14" i="1" s="1"/>
  <c r="CD10" i="1"/>
  <c r="CG10" i="1" s="1"/>
  <c r="CN9" i="1"/>
  <c r="CQ9" i="1" s="1"/>
  <c r="BT9" i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AH8" i="1"/>
  <c r="AK8" i="1" s="1"/>
  <c r="AL8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M10" i="1"/>
  <c r="CQ10" i="1" s="1"/>
  <c r="CT10" i="1" s="1"/>
  <c r="CU10" i="1" s="1"/>
  <c r="BT4" i="1"/>
  <c r="BW4" i="1" s="1"/>
  <c r="CA4" i="1" s="1"/>
  <c r="EL10" i="1"/>
  <c r="BW7" i="1"/>
  <c r="BZ7" i="1" s="1"/>
  <c r="CA7" i="1" s="1"/>
  <c r="AE297" i="1"/>
  <c r="AD297" i="1"/>
  <c r="AX294" i="1"/>
  <c r="BC294" i="1" s="1"/>
  <c r="AZ291" i="1"/>
  <c r="BC291" i="1"/>
  <c r="DQ260" i="1"/>
  <c r="DR260" i="1"/>
  <c r="AD251" i="1"/>
  <c r="AE251" i="1"/>
  <c r="J297" i="1"/>
  <c r="K297" i="1"/>
  <c r="CM278" i="1"/>
  <c r="CQ278" i="1"/>
  <c r="CT278" i="1" s="1"/>
  <c r="CU278" i="1" s="1"/>
  <c r="T244" i="1"/>
  <c r="U244" i="1"/>
  <c r="BI212" i="1"/>
  <c r="BJ212" i="1"/>
  <c r="AX188" i="1"/>
  <c r="AZ188" i="1"/>
  <c r="DQ178" i="1"/>
  <c r="DR178" i="1"/>
  <c r="CC178" i="1"/>
  <c r="CD178" i="1"/>
  <c r="U176" i="1"/>
  <c r="X176" i="1"/>
  <c r="AA176" i="1" s="1"/>
  <c r="AB176" i="1" s="1"/>
  <c r="DR307" i="1"/>
  <c r="DQ307" i="1"/>
  <c r="DU307" i="1" s="1"/>
  <c r="CW281" i="1"/>
  <c r="CX281" i="1"/>
  <c r="DG269" i="1"/>
  <c r="DH269" i="1"/>
  <c r="CC253" i="1"/>
  <c r="CD253" i="1"/>
  <c r="J236" i="1"/>
  <c r="K236" i="1"/>
  <c r="BI189" i="1"/>
  <c r="BJ189" i="1"/>
  <c r="CD298" i="1"/>
  <c r="CC298" i="1"/>
  <c r="CG298" i="1" s="1"/>
  <c r="AD279" i="1"/>
  <c r="AH279" i="1" s="1"/>
  <c r="CX261" i="1"/>
  <c r="CW261" i="1"/>
  <c r="CC261" i="1"/>
  <c r="CD261" i="1"/>
  <c r="CC244" i="1"/>
  <c r="CD244" i="1"/>
  <c r="DQ273" i="1"/>
  <c r="DR273" i="1"/>
  <c r="DR244" i="1"/>
  <c r="DU244" i="1" s="1"/>
  <c r="BS197" i="1"/>
  <c r="BT197" i="1"/>
  <c r="T296" i="1"/>
  <c r="U296" i="1"/>
  <c r="BI256" i="1"/>
  <c r="BJ256" i="1"/>
  <c r="T239" i="1"/>
  <c r="U239" i="1"/>
  <c r="CX196" i="1"/>
  <c r="CW196" i="1"/>
  <c r="DA196" i="1" s="1"/>
  <c r="CC305" i="1"/>
  <c r="CM299" i="1"/>
  <c r="CQ299" i="1" s="1"/>
  <c r="CT299" i="1" s="1"/>
  <c r="BS299" i="1"/>
  <c r="BW299" i="1" s="1"/>
  <c r="CC262" i="1"/>
  <c r="CD262" i="1"/>
  <c r="AD240" i="1"/>
  <c r="AE240" i="1"/>
  <c r="DG219" i="1"/>
  <c r="DH219" i="1"/>
  <c r="CM290" i="1"/>
  <c r="CN290" i="1"/>
  <c r="DG224" i="1"/>
  <c r="DH224" i="1"/>
  <c r="AD205" i="1"/>
  <c r="AE205" i="1"/>
  <c r="DG289" i="1"/>
  <c r="DH289" i="1"/>
  <c r="CM311" i="1"/>
  <c r="CN311" i="1"/>
  <c r="AZ309" i="1"/>
  <c r="BC309" i="1"/>
  <c r="BF309" i="1" s="1"/>
  <c r="CX305" i="1"/>
  <c r="CW305" i="1"/>
  <c r="DA305" i="1" s="1"/>
  <c r="AD300" i="1"/>
  <c r="AE300" i="1"/>
  <c r="DQ297" i="1"/>
  <c r="DU297" i="1"/>
  <c r="DG277" i="1"/>
  <c r="DH277" i="1"/>
  <c r="J304" i="1"/>
  <c r="N304" i="1" s="1"/>
  <c r="AZ307" i="1"/>
  <c r="BC307" i="1"/>
  <c r="U311" i="1"/>
  <c r="X311" i="1" s="1"/>
  <c r="AX300" i="1"/>
  <c r="BT296" i="1"/>
  <c r="CW285" i="1"/>
  <c r="CX285" i="1"/>
  <c r="J269" i="1"/>
  <c r="K269" i="1"/>
  <c r="CX248" i="1"/>
  <c r="CW248" i="1"/>
  <c r="DA248" i="1" s="1"/>
  <c r="BT205" i="1"/>
  <c r="BS205" i="1"/>
  <c r="BW205" i="1" s="1"/>
  <c r="J303" i="1"/>
  <c r="N303" i="1" s="1"/>
  <c r="Q303" i="1" s="1"/>
  <c r="R303" i="1" s="1"/>
  <c r="T309" i="1"/>
  <c r="U309" i="1"/>
  <c r="CW283" i="1"/>
  <c r="DA283" i="1"/>
  <c r="DD283" i="1" s="1"/>
  <c r="DE283" i="1" s="1"/>
  <c r="BS296" i="1"/>
  <c r="BW296" i="1" s="1"/>
  <c r="AE269" i="1"/>
  <c r="AD269" i="1"/>
  <c r="AN268" i="1"/>
  <c r="AO268" i="1"/>
  <c r="CX265" i="1"/>
  <c r="CW265" i="1"/>
  <c r="DA265" i="1" s="1"/>
  <c r="DQ285" i="1"/>
  <c r="DR285" i="1"/>
  <c r="AZ269" i="1"/>
  <c r="BC269" i="1" s="1"/>
  <c r="BF269" i="1" s="1"/>
  <c r="BG269" i="1" s="1"/>
  <c r="AN212" i="1"/>
  <c r="AO212" i="1"/>
  <c r="CN225" i="1"/>
  <c r="CQ225" i="1" s="1"/>
  <c r="K286" i="1"/>
  <c r="J286" i="1"/>
  <c r="K275" i="1"/>
  <c r="J275" i="1"/>
  <c r="CC268" i="1"/>
  <c r="CD268" i="1"/>
  <c r="AN266" i="1"/>
  <c r="AO266" i="1"/>
  <c r="AX263" i="1"/>
  <c r="AZ263" i="1"/>
  <c r="EL262" i="1"/>
  <c r="AH258" i="1"/>
  <c r="AK258" i="1" s="1"/>
  <c r="K256" i="1"/>
  <c r="J256" i="1"/>
  <c r="N256" i="1" s="1"/>
  <c r="DH255" i="1"/>
  <c r="DG255" i="1"/>
  <c r="EL252" i="1"/>
  <c r="CD247" i="1"/>
  <c r="CC247" i="1"/>
  <c r="CG247" i="1" s="1"/>
  <c r="CC235" i="1"/>
  <c r="CD235" i="1"/>
  <c r="BC226" i="1"/>
  <c r="BF226" i="1" s="1"/>
  <c r="BG226" i="1" s="1"/>
  <c r="DR218" i="1"/>
  <c r="DQ218" i="1"/>
  <c r="AN199" i="1"/>
  <c r="AR199" i="1" s="1"/>
  <c r="AU199" i="1" s="1"/>
  <c r="AV199" i="1" s="1"/>
  <c r="CW198" i="1"/>
  <c r="CX198" i="1"/>
  <c r="T180" i="1"/>
  <c r="U180" i="1"/>
  <c r="DA280" i="1"/>
  <c r="DD280" i="1" s="1"/>
  <c r="DE280" i="1" s="1"/>
  <c r="EL301" i="1"/>
  <c r="BW282" i="1"/>
  <c r="CQ252" i="1"/>
  <c r="DA300" i="1"/>
  <c r="DD300" i="1" s="1"/>
  <c r="DE300" i="1" s="1"/>
  <c r="CN305" i="1"/>
  <c r="DR292" i="1"/>
  <c r="DU292" i="1" s="1"/>
  <c r="AO290" i="1"/>
  <c r="AR290" i="1" s="1"/>
  <c r="EL288" i="1"/>
  <c r="AO279" i="1"/>
  <c r="AR279" i="1" s="1"/>
  <c r="AU279" i="1" s="1"/>
  <c r="AV279" i="1" s="1"/>
  <c r="DG267" i="1"/>
  <c r="DH267" i="1"/>
  <c r="DK267" i="1" s="1"/>
  <c r="DN267" i="1" s="1"/>
  <c r="DO267" i="1" s="1"/>
  <c r="BS265" i="1"/>
  <c r="BT265" i="1"/>
  <c r="EL260" i="1"/>
  <c r="DQ259" i="1"/>
  <c r="DR259" i="1"/>
  <c r="BT256" i="1"/>
  <c r="BS256" i="1"/>
  <c r="BW256" i="1" s="1"/>
  <c r="CN241" i="1"/>
  <c r="CQ241" i="1" s="1"/>
  <c r="CT241" i="1" s="1"/>
  <c r="CU241" i="1" s="1"/>
  <c r="J239" i="1"/>
  <c r="K239" i="1"/>
  <c r="CC232" i="1"/>
  <c r="CD232" i="1"/>
  <c r="AO227" i="1"/>
  <c r="AN227" i="1"/>
  <c r="CW224" i="1"/>
  <c r="CX224" i="1"/>
  <c r="DA224" i="1" s="1"/>
  <c r="CD219" i="1"/>
  <c r="CG219" i="1" s="1"/>
  <c r="AX204" i="1"/>
  <c r="AZ204" i="1"/>
  <c r="BT201" i="1"/>
  <c r="BW201" i="1" s="1"/>
  <c r="BZ201" i="1" s="1"/>
  <c r="CA201" i="1" s="1"/>
  <c r="DA295" i="1"/>
  <c r="DD295" i="1" s="1"/>
  <c r="DE295" i="1" s="1"/>
  <c r="CC245" i="1"/>
  <c r="CD245" i="1"/>
  <c r="AX177" i="1"/>
  <c r="AZ177" i="1"/>
  <c r="BM288" i="1"/>
  <c r="CD309" i="1"/>
  <c r="CG309" i="1" s="1"/>
  <c r="DH304" i="1"/>
  <c r="DK304" i="1" s="1"/>
  <c r="BJ304" i="1"/>
  <c r="BM304" i="1" s="1"/>
  <c r="AO304" i="1"/>
  <c r="AR304" i="1" s="1"/>
  <c r="DH301" i="1"/>
  <c r="DK301" i="1" s="1"/>
  <c r="U300" i="1"/>
  <c r="X300" i="1" s="1"/>
  <c r="BI309" i="1"/>
  <c r="BM309" i="1" s="1"/>
  <c r="CC308" i="1"/>
  <c r="CG308" i="1" s="1"/>
  <c r="EL307" i="1"/>
  <c r="DG307" i="1"/>
  <c r="DK307" i="1" s="1"/>
  <c r="BS305" i="1"/>
  <c r="T304" i="1"/>
  <c r="X304" i="1" s="1"/>
  <c r="BJ303" i="1"/>
  <c r="BM303" i="1" s="1"/>
  <c r="BP303" i="1" s="1"/>
  <c r="BW298" i="1"/>
  <c r="BZ298" i="1" s="1"/>
  <c r="AO294" i="1"/>
  <c r="AN294" i="1"/>
  <c r="CD292" i="1"/>
  <c r="AO291" i="1"/>
  <c r="AR291" i="1" s="1"/>
  <c r="AU291" i="1" s="1"/>
  <c r="AV291" i="1" s="1"/>
  <c r="BC287" i="1"/>
  <c r="BF287" i="1" s="1"/>
  <c r="BG287" i="1" s="1"/>
  <c r="DH285" i="1"/>
  <c r="DG285" i="1"/>
  <c r="CN283" i="1"/>
  <c r="CQ283" i="1" s="1"/>
  <c r="DR282" i="1"/>
  <c r="DU282" i="1" s="1"/>
  <c r="BS281" i="1"/>
  <c r="BW281" i="1" s="1"/>
  <c r="BZ281" i="1" s="1"/>
  <c r="CA281" i="1" s="1"/>
  <c r="U279" i="1"/>
  <c r="X279" i="1" s="1"/>
  <c r="CX277" i="1"/>
  <c r="DA277" i="1" s="1"/>
  <c r="AR277" i="1"/>
  <c r="J276" i="1"/>
  <c r="K276" i="1"/>
  <c r="AZ275" i="1"/>
  <c r="BC275" i="1" s="1"/>
  <c r="CM272" i="1"/>
  <c r="CN272" i="1"/>
  <c r="J271" i="1"/>
  <c r="K271" i="1"/>
  <c r="BS270" i="1"/>
  <c r="BT270" i="1"/>
  <c r="CM265" i="1"/>
  <c r="CQ265" i="1" s="1"/>
  <c r="DR254" i="1"/>
  <c r="DQ254" i="1"/>
  <c r="DG241" i="1"/>
  <c r="DH241" i="1"/>
  <c r="BS241" i="1"/>
  <c r="BW241" i="1" s="1"/>
  <c r="CW235" i="1"/>
  <c r="CX235" i="1"/>
  <c r="AN217" i="1"/>
  <c r="AO217" i="1"/>
  <c r="AR217" i="1" s="1"/>
  <c r="AU217" i="1" s="1"/>
  <c r="AV217" i="1" s="1"/>
  <c r="AN208" i="1"/>
  <c r="AR208" i="1" s="1"/>
  <c r="U203" i="1"/>
  <c r="X203" i="1" s="1"/>
  <c r="J202" i="1"/>
  <c r="K202" i="1"/>
  <c r="U201" i="1"/>
  <c r="T201" i="1"/>
  <c r="X201" i="1" s="1"/>
  <c r="BI198" i="1"/>
  <c r="BJ198" i="1"/>
  <c r="J185" i="1"/>
  <c r="K185" i="1"/>
  <c r="EL184" i="1"/>
  <c r="AD181" i="1"/>
  <c r="AE181" i="1"/>
  <c r="EL281" i="1"/>
  <c r="K301" i="1"/>
  <c r="J301" i="1"/>
  <c r="CD294" i="1"/>
  <c r="CC294" i="1"/>
  <c r="CG294" i="1" s="1"/>
  <c r="CG292" i="1"/>
  <c r="CC286" i="1"/>
  <c r="CG286" i="1" s="1"/>
  <c r="CX282" i="1"/>
  <c r="DA282" i="1" s="1"/>
  <c r="T282" i="1"/>
  <c r="U282" i="1"/>
  <c r="DG280" i="1"/>
  <c r="DK280" i="1" s="1"/>
  <c r="BJ278" i="1"/>
  <c r="BM278" i="1" s="1"/>
  <c r="U278" i="1"/>
  <c r="X278" i="1" s="1"/>
  <c r="AE271" i="1"/>
  <c r="AD271" i="1"/>
  <c r="AH271" i="1" s="1"/>
  <c r="EL270" i="1"/>
  <c r="K262" i="1"/>
  <c r="J262" i="1"/>
  <c r="K246" i="1"/>
  <c r="J246" i="1"/>
  <c r="DR224" i="1"/>
  <c r="DQ224" i="1"/>
  <c r="CN223" i="1"/>
  <c r="CM223" i="1"/>
  <c r="AD202" i="1"/>
  <c r="AE202" i="1"/>
  <c r="EL201" i="1"/>
  <c r="CC190" i="1"/>
  <c r="CD190" i="1"/>
  <c r="AZ183" i="1"/>
  <c r="AX183" i="1"/>
  <c r="EL309" i="1"/>
  <c r="EL311" i="1"/>
  <c r="AO311" i="1"/>
  <c r="AR311" i="1" s="1"/>
  <c r="AU311" i="1" s="1"/>
  <c r="AV311" i="1" s="1"/>
  <c r="DH308" i="1"/>
  <c r="DK308" i="1" s="1"/>
  <c r="DN308" i="1" s="1"/>
  <c r="DO308" i="1" s="1"/>
  <c r="CN307" i="1"/>
  <c r="CQ307" i="1" s="1"/>
  <c r="EL280" i="1"/>
  <c r="BT280" i="1"/>
  <c r="BW280" i="1" s="1"/>
  <c r="EL272" i="1"/>
  <c r="CX269" i="1"/>
  <c r="CW269" i="1"/>
  <c r="DA269" i="1" s="1"/>
  <c r="DG265" i="1"/>
  <c r="DH265" i="1"/>
  <c r="CW264" i="1"/>
  <c r="CX264" i="1"/>
  <c r="EL263" i="1"/>
  <c r="EL261" i="1"/>
  <c r="J237" i="1"/>
  <c r="K237" i="1"/>
  <c r="AD235" i="1"/>
  <c r="AE235" i="1"/>
  <c r="J229" i="1"/>
  <c r="K229" i="1"/>
  <c r="BM220" i="1"/>
  <c r="BP220" i="1" s="1"/>
  <c r="BQ220" i="1" s="1"/>
  <c r="CQ215" i="1"/>
  <c r="CT215" i="1" s="1"/>
  <c r="CU215" i="1" s="1"/>
  <c r="AN210" i="1"/>
  <c r="AO210" i="1"/>
  <c r="BM209" i="1"/>
  <c r="BQ209" i="1" s="1"/>
  <c r="EL196" i="1"/>
  <c r="U191" i="1"/>
  <c r="T191" i="1"/>
  <c r="K186" i="1"/>
  <c r="J186" i="1"/>
  <c r="N186" i="1" s="1"/>
  <c r="Q186" i="1" s="1"/>
  <c r="R186" i="1" s="1"/>
  <c r="CD182" i="1"/>
  <c r="CC182" i="1"/>
  <c r="CG182" i="1" s="1"/>
  <c r="BI182" i="1"/>
  <c r="BJ182" i="1"/>
  <c r="EL268" i="1"/>
  <c r="BI246" i="1"/>
  <c r="BJ246" i="1"/>
  <c r="BM246" i="1" s="1"/>
  <c r="AZ272" i="1"/>
  <c r="AX272" i="1"/>
  <c r="BC272" i="1" s="1"/>
  <c r="T264" i="1"/>
  <c r="X264" i="1" s="1"/>
  <c r="AA264" i="1" s="1"/>
  <c r="AB264" i="1" s="1"/>
  <c r="AZ233" i="1"/>
  <c r="AX233" i="1"/>
  <c r="BC233" i="1" s="1"/>
  <c r="DQ189" i="1"/>
  <c r="DR189" i="1"/>
  <c r="DU189" i="1" s="1"/>
  <c r="BW305" i="1"/>
  <c r="BZ305" i="1" s="1"/>
  <c r="CA305" i="1" s="1"/>
  <c r="BJ308" i="1"/>
  <c r="BM308" i="1" s="1"/>
  <c r="BM306" i="1"/>
  <c r="BP306" i="1" s="1"/>
  <c r="BQ306" i="1" s="1"/>
  <c r="X306" i="1"/>
  <c r="AA306" i="1" s="1"/>
  <c r="AB306" i="1" s="1"/>
  <c r="DH310" i="1"/>
  <c r="DK310" i="1" s="1"/>
  <c r="DN310" i="1" s="1"/>
  <c r="BJ310" i="1"/>
  <c r="BM310" i="1" s="1"/>
  <c r="BP310" i="1" s="1"/>
  <c r="BQ310" i="1" s="1"/>
  <c r="T310" i="1"/>
  <c r="X310" i="1" s="1"/>
  <c r="CN309" i="1"/>
  <c r="CQ309" i="1" s="1"/>
  <c r="CM308" i="1"/>
  <c r="CQ308" i="1" s="1"/>
  <c r="X308" i="1"/>
  <c r="U307" i="1"/>
  <c r="X307" i="1" s="1"/>
  <c r="EL305" i="1"/>
  <c r="CN304" i="1"/>
  <c r="CQ304" i="1" s="1"/>
  <c r="CT304" i="1" s="1"/>
  <c r="CU304" i="1" s="1"/>
  <c r="DQ302" i="1"/>
  <c r="DU302" i="1" s="1"/>
  <c r="CX302" i="1"/>
  <c r="DA302" i="1" s="1"/>
  <c r="CC302" i="1"/>
  <c r="CG302" i="1" s="1"/>
  <c r="BM302" i="1"/>
  <c r="BP302" i="1" s="1"/>
  <c r="BQ302" i="1" s="1"/>
  <c r="EL300" i="1"/>
  <c r="BM296" i="1"/>
  <c r="BP296" i="1" s="1"/>
  <c r="BQ296" i="1" s="1"/>
  <c r="BT293" i="1"/>
  <c r="BW293" i="1" s="1"/>
  <c r="AE293" i="1"/>
  <c r="AH293" i="1" s="1"/>
  <c r="AK293" i="1" s="1"/>
  <c r="AL293" i="1" s="1"/>
  <c r="AE292" i="1"/>
  <c r="AH292" i="1" s="1"/>
  <c r="AK292" i="1" s="1"/>
  <c r="AL292" i="1" s="1"/>
  <c r="K290" i="1"/>
  <c r="N290" i="1" s="1"/>
  <c r="CM287" i="1"/>
  <c r="CQ287" i="1" s="1"/>
  <c r="CT287" i="1" s="1"/>
  <c r="CU287" i="1" s="1"/>
  <c r="AE287" i="1"/>
  <c r="AH287" i="1" s="1"/>
  <c r="AO286" i="1"/>
  <c r="AR286" i="1" s="1"/>
  <c r="AU286" i="1" s="1"/>
  <c r="AV286" i="1" s="1"/>
  <c r="DG284" i="1"/>
  <c r="DK284" i="1" s="1"/>
  <c r="BI284" i="1"/>
  <c r="BM284" i="1" s="1"/>
  <c r="U284" i="1"/>
  <c r="X284" i="1" s="1"/>
  <c r="EL283" i="1"/>
  <c r="AE280" i="1"/>
  <c r="AH280" i="1" s="1"/>
  <c r="K280" i="1"/>
  <c r="N280" i="1" s="1"/>
  <c r="BJ274" i="1"/>
  <c r="BM274" i="1" s="1"/>
  <c r="EL273" i="1"/>
  <c r="AN270" i="1"/>
  <c r="AO270" i="1"/>
  <c r="AO263" i="1"/>
  <c r="AR263" i="1" s="1"/>
  <c r="U261" i="1"/>
  <c r="X261" i="1" s="1"/>
  <c r="CX256" i="1"/>
  <c r="DA256" i="1" s="1"/>
  <c r="AX254" i="1"/>
  <c r="AZ254" i="1"/>
  <c r="AD237" i="1"/>
  <c r="AE237" i="1"/>
  <c r="AO234" i="1"/>
  <c r="AN234" i="1"/>
  <c r="AR234" i="1" s="1"/>
  <c r="DQ229" i="1"/>
  <c r="DR229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X229" i="1"/>
  <c r="AA229" i="1" s="1"/>
  <c r="AB229" i="1" s="1"/>
  <c r="DG205" i="1"/>
  <c r="DH205" i="1"/>
  <c r="U197" i="1"/>
  <c r="T197" i="1"/>
  <c r="DR258" i="1"/>
  <c r="DU258" i="1" s="1"/>
  <c r="CM310" i="1"/>
  <c r="CQ310" i="1" s="1"/>
  <c r="DR305" i="1"/>
  <c r="DU305" i="1" s="1"/>
  <c r="BS304" i="1"/>
  <c r="BW304" i="1" s="1"/>
  <c r="DR301" i="1"/>
  <c r="DU301" i="1" s="1"/>
  <c r="AN298" i="1"/>
  <c r="AR298" i="1" s="1"/>
  <c r="U298" i="1"/>
  <c r="X298" i="1" s="1"/>
  <c r="AA298" i="1" s="1"/>
  <c r="AB298" i="1" s="1"/>
  <c r="EL294" i="1"/>
  <c r="EL292" i="1"/>
  <c r="CM291" i="1"/>
  <c r="CQ291" i="1" s="1"/>
  <c r="CT291" i="1" s="1"/>
  <c r="CU291" i="1" s="1"/>
  <c r="AX290" i="1"/>
  <c r="BC290" i="1" s="1"/>
  <c r="AE290" i="1"/>
  <c r="AH290" i="1" s="1"/>
  <c r="EL287" i="1"/>
  <c r="CQ286" i="1"/>
  <c r="CT286" i="1" s="1"/>
  <c r="CU286" i="1" s="1"/>
  <c r="CN284" i="1"/>
  <c r="CQ284" i="1" s="1"/>
  <c r="CT284" i="1" s="1"/>
  <c r="CU284" i="1" s="1"/>
  <c r="K283" i="1"/>
  <c r="N283" i="1" s="1"/>
  <c r="Q283" i="1" s="1"/>
  <c r="R283" i="1" s="1"/>
  <c r="DH279" i="1"/>
  <c r="DK279" i="1" s="1"/>
  <c r="DN279" i="1" s="1"/>
  <c r="DO279" i="1" s="1"/>
  <c r="K277" i="1"/>
  <c r="N277" i="1" s="1"/>
  <c r="CD276" i="1"/>
  <c r="CG276" i="1" s="1"/>
  <c r="CK276" i="1" s="1"/>
  <c r="CX273" i="1"/>
  <c r="DA273" i="1" s="1"/>
  <c r="AO273" i="1"/>
  <c r="AO261" i="1"/>
  <c r="AN261" i="1"/>
  <c r="DQ256" i="1"/>
  <c r="DU256" i="1" s="1"/>
  <c r="U256" i="1"/>
  <c r="X256" i="1" s="1"/>
  <c r="CC243" i="1"/>
  <c r="CD243" i="1"/>
  <c r="CG243" i="1"/>
  <c r="BS235" i="1"/>
  <c r="BT235" i="1"/>
  <c r="CC233" i="1"/>
  <c r="CG233" i="1" s="1"/>
  <c r="CD220" i="1"/>
  <c r="CG220" i="1"/>
  <c r="J214" i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59" i="1"/>
  <c r="U259" i="1"/>
  <c r="J189" i="1"/>
  <c r="K189" i="1"/>
  <c r="BC311" i="1"/>
  <c r="BF311" i="1" s="1"/>
  <c r="EL304" i="1"/>
  <c r="K299" i="1"/>
  <c r="J299" i="1"/>
  <c r="N299" i="1" s="1"/>
  <c r="K291" i="1"/>
  <c r="J291" i="1"/>
  <c r="EL289" i="1"/>
  <c r="CM289" i="1"/>
  <c r="CN289" i="1"/>
  <c r="K287" i="1"/>
  <c r="J287" i="1"/>
  <c r="EL284" i="1"/>
  <c r="AD277" i="1"/>
  <c r="AE277" i="1"/>
  <c r="AR273" i="1"/>
  <c r="AU273" i="1" s="1"/>
  <c r="AV273" i="1" s="1"/>
  <c r="CC272" i="1"/>
  <c r="CD272" i="1"/>
  <c r="CG270" i="1"/>
  <c r="CW260" i="1"/>
  <c r="CX260" i="1"/>
  <c r="CM247" i="1"/>
  <c r="CN247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X270" i="1"/>
  <c r="AA270" i="1" s="1"/>
  <c r="AB270" i="1" s="1"/>
  <c r="AE260" i="1"/>
  <c r="AH260" i="1" s="1"/>
  <c r="AK260" i="1" s="1"/>
  <c r="AL260" i="1" s="1"/>
  <c r="EL257" i="1"/>
  <c r="AX255" i="1"/>
  <c r="BC255" i="1" s="1"/>
  <c r="BF255" i="1" s="1"/>
  <c r="BG255" i="1" s="1"/>
  <c r="K255" i="1"/>
  <c r="J255" i="1"/>
  <c r="DH250" i="1"/>
  <c r="DK250" i="1" s="1"/>
  <c r="BT250" i="1"/>
  <c r="BS250" i="1"/>
  <c r="AD250" i="1"/>
  <c r="AH250" i="1" s="1"/>
  <c r="AK250" i="1" s="1"/>
  <c r="AL250" i="1" s="1"/>
  <c r="CM249" i="1"/>
  <c r="CN249" i="1"/>
  <c r="K249" i="1"/>
  <c r="J249" i="1"/>
  <c r="DG247" i="1"/>
  <c r="DH247" i="1"/>
  <c r="DG245" i="1"/>
  <c r="DH245" i="1"/>
  <c r="DQ242" i="1"/>
  <c r="DR242" i="1"/>
  <c r="DH240" i="1"/>
  <c r="DK240" i="1" s="1"/>
  <c r="CD239" i="1"/>
  <c r="CG239" i="1" s="1"/>
  <c r="CJ239" i="1" s="1"/>
  <c r="CK239" i="1" s="1"/>
  <c r="CM237" i="1"/>
  <c r="CQ237" i="1" s="1"/>
  <c r="CT237" i="1" s="1"/>
  <c r="CU237" i="1" s="1"/>
  <c r="BI236" i="1"/>
  <c r="BJ236" i="1"/>
  <c r="DR232" i="1"/>
  <c r="DQ232" i="1"/>
  <c r="DU232" i="1" s="1"/>
  <c r="AD232" i="1"/>
  <c r="AE232" i="1"/>
  <c r="CC229" i="1"/>
  <c r="CD229" i="1"/>
  <c r="AD228" i="1"/>
  <c r="AH228" i="1" s="1"/>
  <c r="K228" i="1"/>
  <c r="N228" i="1" s="1"/>
  <c r="DH226" i="1"/>
  <c r="CN226" i="1"/>
  <c r="CQ226" i="1" s="1"/>
  <c r="CT226" i="1" s="1"/>
  <c r="CU226" i="1" s="1"/>
  <c r="BI223" i="1"/>
  <c r="BM223" i="1" s="1"/>
  <c r="BP223" i="1" s="1"/>
  <c r="BQ223" i="1" s="1"/>
  <c r="BI222" i="1"/>
  <c r="BM222" i="1" s="1"/>
  <c r="U222" i="1"/>
  <c r="X222" i="1" s="1"/>
  <c r="AX218" i="1"/>
  <c r="BC218" i="1" s="1"/>
  <c r="BC217" i="1"/>
  <c r="BF217" i="1" s="1"/>
  <c r="BG217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AR187" i="1" s="1"/>
  <c r="BJ184" i="1"/>
  <c r="BI184" i="1"/>
  <c r="BM184" i="1" s="1"/>
  <c r="AE179" i="1"/>
  <c r="AH179" i="1" s="1"/>
  <c r="AK179" i="1" s="1"/>
  <c r="AL179" i="1" s="1"/>
  <c r="K179" i="1"/>
  <c r="J179" i="1"/>
  <c r="K259" i="1"/>
  <c r="J259" i="1"/>
  <c r="EL254" i="1"/>
  <c r="K252" i="1"/>
  <c r="J252" i="1"/>
  <c r="EL249" i="1"/>
  <c r="AX245" i="1"/>
  <c r="BC245" i="1"/>
  <c r="CC242" i="1"/>
  <c r="CD242" i="1"/>
  <c r="CC236" i="1"/>
  <c r="CD236" i="1"/>
  <c r="DK226" i="1"/>
  <c r="DN226" i="1" s="1"/>
  <c r="DO226" i="1" s="1"/>
  <c r="CC223" i="1"/>
  <c r="CD223" i="1"/>
  <c r="EL179" i="1"/>
  <c r="K178" i="1"/>
  <c r="J178" i="1"/>
  <c r="DH177" i="1"/>
  <c r="DG177" i="1"/>
  <c r="EL274" i="1"/>
  <c r="BW274" i="1"/>
  <c r="BZ274" i="1" s="1"/>
  <c r="AE261" i="1"/>
  <c r="AH261" i="1" s="1"/>
  <c r="AK261" i="1" s="1"/>
  <c r="AL261" i="1" s="1"/>
  <c r="DG256" i="1"/>
  <c r="DK256" i="1" s="1"/>
  <c r="CM255" i="1"/>
  <c r="CN255" i="1"/>
  <c r="CX253" i="1"/>
  <c r="CW253" i="1"/>
  <c r="T253" i="1"/>
  <c r="U253" i="1"/>
  <c r="DR252" i="1"/>
  <c r="DU252" i="1" s="1"/>
  <c r="CM248" i="1"/>
  <c r="CQ248" i="1" s="1"/>
  <c r="CX236" i="1"/>
  <c r="DA236" i="1" s="1"/>
  <c r="CW230" i="1"/>
  <c r="CX230" i="1"/>
  <c r="CX229" i="1"/>
  <c r="CW229" i="1"/>
  <c r="DA229" i="1" s="1"/>
  <c r="AX219" i="1"/>
  <c r="BC219" i="1" s="1"/>
  <c r="AD219" i="1"/>
  <c r="AH219" i="1" s="1"/>
  <c r="AK219" i="1" s="1"/>
  <c r="AL219" i="1" s="1"/>
  <c r="K219" i="1"/>
  <c r="N219" i="1" s="1"/>
  <c r="Q219" i="1" s="1"/>
  <c r="R219" i="1" s="1"/>
  <c r="CM218" i="1"/>
  <c r="CN218" i="1"/>
  <c r="CN209" i="1"/>
  <c r="CM209" i="1"/>
  <c r="CQ209" i="1" s="1"/>
  <c r="CU209" i="1" s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3" i="1"/>
  <c r="J263" i="1"/>
  <c r="BM262" i="1"/>
  <c r="BP262" i="1" s="1"/>
  <c r="BQ262" i="1" s="1"/>
  <c r="EL244" i="1"/>
  <c r="EL243" i="1"/>
  <c r="DG243" i="1"/>
  <c r="DK243" i="1"/>
  <c r="T237" i="1"/>
  <c r="U237" i="1"/>
  <c r="AE233" i="1"/>
  <c r="AH233" i="1" s="1"/>
  <c r="T231" i="1"/>
  <c r="U231" i="1"/>
  <c r="CC224" i="1"/>
  <c r="CD224" i="1"/>
  <c r="BJ224" i="1"/>
  <c r="BM224" i="1" s="1"/>
  <c r="BP224" i="1" s="1"/>
  <c r="BQ224" i="1" s="1"/>
  <c r="BT219" i="1"/>
  <c r="BS219" i="1"/>
  <c r="BW219" i="1"/>
  <c r="BZ219" i="1" s="1"/>
  <c r="CA219" i="1" s="1"/>
  <c r="BS208" i="1"/>
  <c r="BT208" i="1"/>
  <c r="K203" i="1"/>
  <c r="J203" i="1"/>
  <c r="N203" i="1" s="1"/>
  <c r="DG202" i="1"/>
  <c r="DH202" i="1"/>
  <c r="EL199" i="1"/>
  <c r="CM196" i="1"/>
  <c r="CN196" i="1"/>
  <c r="K194" i="1"/>
  <c r="J194" i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CG188" i="1" s="1"/>
  <c r="BJ188" i="1"/>
  <c r="BM188" i="1" s="1"/>
  <c r="DH186" i="1"/>
  <c r="DG186" i="1"/>
  <c r="EL285" i="1"/>
  <c r="EL282" i="1"/>
  <c r="BW278" i="1"/>
  <c r="EL275" i="1"/>
  <c r="K273" i="1"/>
  <c r="N273" i="1" s="1"/>
  <c r="K272" i="1"/>
  <c r="N272" i="1" s="1"/>
  <c r="Q272" i="1" s="1"/>
  <c r="R272" i="1" s="1"/>
  <c r="K268" i="1"/>
  <c r="N268" i="1" s="1"/>
  <c r="CM267" i="1"/>
  <c r="CQ267" i="1" s="1"/>
  <c r="BT267" i="1"/>
  <c r="BW267" i="1" s="1"/>
  <c r="AZ267" i="1"/>
  <c r="BC267" i="1" s="1"/>
  <c r="BF267" i="1" s="1"/>
  <c r="BG267" i="1" s="1"/>
  <c r="K266" i="1"/>
  <c r="N266" i="1" s="1"/>
  <c r="AZ265" i="1"/>
  <c r="BT264" i="1"/>
  <c r="BW264" i="1" s="1"/>
  <c r="DH263" i="1"/>
  <c r="DK263" i="1" s="1"/>
  <c r="CM263" i="1"/>
  <c r="CQ263" i="1" s="1"/>
  <c r="DH262" i="1"/>
  <c r="DK262" i="1" s="1"/>
  <c r="CQ253" i="1"/>
  <c r="CT253" i="1" s="1"/>
  <c r="CU253" i="1" s="1"/>
  <c r="BJ252" i="1"/>
  <c r="BM252" i="1" s="1"/>
  <c r="X251" i="1"/>
  <c r="DQ250" i="1"/>
  <c r="DR250" i="1"/>
  <c r="CC249" i="1"/>
  <c r="CG249" i="1" s="1"/>
  <c r="CJ249" i="1" s="1"/>
  <c r="CK249" i="1" s="1"/>
  <c r="AN249" i="1"/>
  <c r="AR249" i="1" s="1"/>
  <c r="AU249" i="1" s="1"/>
  <c r="AV249" i="1" s="1"/>
  <c r="U249" i="1"/>
  <c r="X249" i="1" s="1"/>
  <c r="AN246" i="1"/>
  <c r="AR246" i="1" s="1"/>
  <c r="T246" i="1"/>
  <c r="X246" i="1" s="1"/>
  <c r="AA246" i="1" s="1"/>
  <c r="AB246" i="1" s="1"/>
  <c r="AZ243" i="1"/>
  <c r="BC243" i="1" s="1"/>
  <c r="CD240" i="1"/>
  <c r="CG240" i="1" s="1"/>
  <c r="BI240" i="1"/>
  <c r="BM240" i="1" s="1"/>
  <c r="AZ229" i="1"/>
  <c r="BC229" i="1" s="1"/>
  <c r="BJ226" i="1"/>
  <c r="BI226" i="1"/>
  <c r="DG220" i="1"/>
  <c r="DK220" i="1" s="1"/>
  <c r="BJ218" i="1"/>
  <c r="BI218" i="1"/>
  <c r="BM218" i="1" s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1" i="1"/>
  <c r="J270" i="1"/>
  <c r="N270" i="1" s="1"/>
  <c r="Q270" i="1" s="1"/>
  <c r="R270" i="1" s="1"/>
  <c r="BC265" i="1"/>
  <c r="BF265" i="1" s="1"/>
  <c r="BG265" i="1" s="1"/>
  <c r="T260" i="1"/>
  <c r="X260" i="1" s="1"/>
  <c r="BI257" i="1"/>
  <c r="BJ257" i="1"/>
  <c r="BM257" i="1"/>
  <c r="BP257" i="1" s="1"/>
  <c r="BQ257" i="1" s="1"/>
  <c r="BI254" i="1"/>
  <c r="BJ254" i="1"/>
  <c r="BM254" i="1" s="1"/>
  <c r="EL253" i="1"/>
  <c r="BJ250" i="1"/>
  <c r="BM250" i="1" s="1"/>
  <c r="AN245" i="1"/>
  <c r="AR245" i="1" s="1"/>
  <c r="X241" i="1"/>
  <c r="AA241" i="1" s="1"/>
  <c r="AB241" i="1" s="1"/>
  <c r="DQ240" i="1"/>
  <c r="DU240" i="1" s="1"/>
  <c r="CX240" i="1"/>
  <c r="DA240" i="1" s="1"/>
  <c r="AX239" i="1"/>
  <c r="AZ239" i="1"/>
  <c r="CX237" i="1"/>
  <c r="CW237" i="1"/>
  <c r="DA237" i="1" s="1"/>
  <c r="BT223" i="1"/>
  <c r="BW223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AR186" i="1" s="1"/>
  <c r="CQ262" i="1"/>
  <c r="CC255" i="1"/>
  <c r="CD255" i="1"/>
  <c r="T250" i="1"/>
  <c r="X250" i="1" s="1"/>
  <c r="DQ248" i="1"/>
  <c r="DR248" i="1"/>
  <c r="BJ248" i="1"/>
  <c r="BM248" i="1" s="1"/>
  <c r="BP248" i="1" s="1"/>
  <c r="AD247" i="1"/>
  <c r="AE247" i="1"/>
  <c r="BI244" i="1"/>
  <c r="BJ244" i="1"/>
  <c r="AO238" i="1"/>
  <c r="AR238" i="1" s="1"/>
  <c r="AU238" i="1" s="1"/>
  <c r="CN229" i="1"/>
  <c r="CM229" i="1"/>
  <c r="DR226" i="1"/>
  <c r="DQ226" i="1"/>
  <c r="DU226" i="1" s="1"/>
  <c r="CX226" i="1"/>
  <c r="DA226" i="1" s="1"/>
  <c r="AX223" i="1"/>
  <c r="AZ223" i="1"/>
  <c r="EL221" i="1"/>
  <c r="DG221" i="1"/>
  <c r="DH221" i="1"/>
  <c r="CC218" i="1"/>
  <c r="CG218" i="1" s="1"/>
  <c r="CD218" i="1"/>
  <c r="EL212" i="1"/>
  <c r="CC202" i="1"/>
  <c r="CD202" i="1"/>
  <c r="AO189" i="1"/>
  <c r="AR189" i="1" s="1"/>
  <c r="AU189" i="1" s="1"/>
  <c r="AV189" i="1" s="1"/>
  <c r="AN251" i="1"/>
  <c r="AR251" i="1" s="1"/>
  <c r="AU251" i="1" s="1"/>
  <c r="AV251" i="1" s="1"/>
  <c r="U242" i="1"/>
  <c r="X242" i="1" s="1"/>
  <c r="DQ238" i="1"/>
  <c r="DU238" i="1" s="1"/>
  <c r="U238" i="1"/>
  <c r="X238" i="1" s="1"/>
  <c r="CM233" i="1"/>
  <c r="CQ233" i="1" s="1"/>
  <c r="CD231" i="1"/>
  <c r="CG231" i="1" s="1"/>
  <c r="CJ231" i="1" s="1"/>
  <c r="CK231" i="1" s="1"/>
  <c r="DQ228" i="1"/>
  <c r="DU228" i="1" s="1"/>
  <c r="CD228" i="1"/>
  <c r="CG228" i="1" s="1"/>
  <c r="CJ228" i="1" s="1"/>
  <c r="U227" i="1"/>
  <c r="X227" i="1" s="1"/>
  <c r="EL225" i="1"/>
  <c r="U225" i="1"/>
  <c r="X225" i="1" s="1"/>
  <c r="AA225" i="1" s="1"/>
  <c r="AB225" i="1" s="1"/>
  <c r="BC220" i="1"/>
  <c r="K218" i="1"/>
  <c r="J218" i="1"/>
  <c r="CX216" i="1"/>
  <c r="DA216" i="1" s="1"/>
  <c r="DD216" i="1" s="1"/>
  <c r="DE216" i="1" s="1"/>
  <c r="AO215" i="1"/>
  <c r="AR215" i="1" s="1"/>
  <c r="DR213" i="1"/>
  <c r="DU213" i="1" s="1"/>
  <c r="K213" i="1"/>
  <c r="N213" i="1" s="1"/>
  <c r="Q213" i="1" s="1"/>
  <c r="U208" i="1"/>
  <c r="X208" i="1" s="1"/>
  <c r="AA208" i="1" s="1"/>
  <c r="AD198" i="1"/>
  <c r="AE198" i="1"/>
  <c r="AO181" i="1"/>
  <c r="AN181" i="1"/>
  <c r="CM178" i="1"/>
  <c r="CQ178" i="1" s="1"/>
  <c r="U177" i="1"/>
  <c r="T177" i="1"/>
  <c r="X177" i="1" s="1"/>
  <c r="K254" i="1"/>
  <c r="J254" i="1"/>
  <c r="ER251" i="1"/>
  <c r="EL205" i="1"/>
  <c r="K200" i="1"/>
  <c r="J200" i="1"/>
  <c r="CD196" i="1"/>
  <c r="CC196" i="1"/>
  <c r="CG196" i="1" s="1"/>
  <c r="BM195" i="1"/>
  <c r="CC191" i="1"/>
  <c r="CD191" i="1"/>
  <c r="J187" i="1"/>
  <c r="K187" i="1"/>
  <c r="DQ183" i="1"/>
  <c r="DU183" i="1" s="1"/>
  <c r="DR183" i="1"/>
  <c r="AN177" i="1"/>
  <c r="AO177" i="1"/>
  <c r="CQ246" i="1"/>
  <c r="CT246" i="1" s="1"/>
  <c r="CU246" i="1" s="1"/>
  <c r="X230" i="1"/>
  <c r="J205" i="1"/>
  <c r="K205" i="1"/>
  <c r="AZ193" i="1"/>
  <c r="BC193" i="1" s="1"/>
  <c r="J191" i="1"/>
  <c r="N191" i="1" s="1"/>
  <c r="AZ187" i="1"/>
  <c r="BC187" i="1" s="1"/>
  <c r="CD254" i="1"/>
  <c r="CG254" i="1" s="1"/>
  <c r="AX253" i="1"/>
  <c r="BC253" i="1" s="1"/>
  <c r="EL248" i="1"/>
  <c r="U248" i="1"/>
  <c r="X248" i="1" s="1"/>
  <c r="DQ245" i="1"/>
  <c r="DU245" i="1" s="1"/>
  <c r="K245" i="1"/>
  <c r="N245" i="1" s="1"/>
  <c r="EL242" i="1"/>
  <c r="AD242" i="1"/>
  <c r="AH242" i="1" s="1"/>
  <c r="AK242" i="1" s="1"/>
  <c r="AL242" i="1" s="1"/>
  <c r="K242" i="1"/>
  <c r="J242" i="1"/>
  <c r="N242" i="1" s="1"/>
  <c r="K238" i="1"/>
  <c r="N238" i="1" s="1"/>
  <c r="K232" i="1"/>
  <c r="N232" i="1" s="1"/>
  <c r="T226" i="1"/>
  <c r="X226" i="1" s="1"/>
  <c r="AA226" i="1" s="1"/>
  <c r="AB226" i="1" s="1"/>
  <c r="K225" i="1"/>
  <c r="J225" i="1"/>
  <c r="CM221" i="1"/>
  <c r="U218" i="1"/>
  <c r="X218" i="1" s="1"/>
  <c r="DG208" i="1"/>
  <c r="DK208" i="1" s="1"/>
  <c r="K204" i="1"/>
  <c r="J204" i="1"/>
  <c r="N204" i="1" s="1"/>
  <c r="DH203" i="1"/>
  <c r="DK203" i="1" s="1"/>
  <c r="CM203" i="1"/>
  <c r="CQ203" i="1" s="1"/>
  <c r="DG195" i="1"/>
  <c r="DK195" i="1" s="1"/>
  <c r="DN195" i="1" s="1"/>
  <c r="K195" i="1"/>
  <c r="J195" i="1"/>
  <c r="DR192" i="1"/>
  <c r="DQ192" i="1"/>
  <c r="DU192" i="1" s="1"/>
  <c r="BW184" i="1"/>
  <c r="BZ184" i="1" s="1"/>
  <c r="CA184" i="1" s="1"/>
  <c r="AD184" i="1"/>
  <c r="AE184" i="1"/>
  <c r="K184" i="1"/>
  <c r="J184" i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4" i="1"/>
  <c r="J244" i="1"/>
  <c r="K227" i="1"/>
  <c r="J227" i="1"/>
  <c r="BC225" i="1"/>
  <c r="BF225" i="1" s="1"/>
  <c r="BG225" i="1" s="1"/>
  <c r="EL224" i="1"/>
  <c r="CQ221" i="1"/>
  <c r="CT221" i="1" s="1"/>
  <c r="CU221" i="1" s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BC167" i="1" s="1"/>
  <c r="BF167" i="1" s="1"/>
  <c r="BG167" i="1" s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K9" i="1"/>
  <c r="CQ199" i="1"/>
  <c r="CT199" i="1" s="1"/>
  <c r="CU199" i="1" s="1"/>
  <c r="CG198" i="1"/>
  <c r="CK198" i="1" s="1"/>
  <c r="EL195" i="1"/>
  <c r="X184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BM145" i="1"/>
  <c r="AH138" i="1"/>
  <c r="AO136" i="1"/>
  <c r="AN136" i="1"/>
  <c r="BM135" i="1"/>
  <c r="BP135" i="1" s="1"/>
  <c r="BQ135" i="1" s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W57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CQ170" i="1"/>
  <c r="CT170" i="1" s="1"/>
  <c r="CU170" i="1" s="1"/>
  <c r="AH170" i="1"/>
  <c r="AK170" i="1" s="1"/>
  <c r="AL170" i="1" s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BW11" i="1"/>
  <c r="AE172" i="1"/>
  <c r="AH172" i="1" s="1"/>
  <c r="AK172" i="1" s="1"/>
  <c r="AL172" i="1" s="1"/>
  <c r="AZ171" i="1"/>
  <c r="BC171" i="1" s="1"/>
  <c r="BF171" i="1" s="1"/>
  <c r="BG171" i="1" s="1"/>
  <c r="BC169" i="1"/>
  <c r="BF169" i="1" s="1"/>
  <c r="BG169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BJ167" i="1"/>
  <c r="AE164" i="1"/>
  <c r="BJ161" i="1"/>
  <c r="BM161" i="1" s="1"/>
  <c r="CQ158" i="1"/>
  <c r="CT158" i="1" s="1"/>
  <c r="CU158" i="1" s="1"/>
  <c r="AZ154" i="1"/>
  <c r="BC154" i="1" s="1"/>
  <c r="BS153" i="1"/>
  <c r="BW153" i="1" s="1"/>
  <c r="K153" i="1"/>
  <c r="J153" i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DA41" i="1"/>
  <c r="BI31" i="1"/>
  <c r="BJ31" i="1"/>
  <c r="DH171" i="1"/>
  <c r="DK171" i="1" s="1"/>
  <c r="DN171" i="1" s="1"/>
  <c r="DO171" i="1" s="1"/>
  <c r="X168" i="1"/>
  <c r="AA168" i="1" s="1"/>
  <c r="AB168" i="1" s="1"/>
  <c r="BM167" i="1"/>
  <c r="BP167" i="1" s="1"/>
  <c r="BQ167" i="1" s="1"/>
  <c r="AH164" i="1"/>
  <c r="AK164" i="1" s="1"/>
  <c r="AL164" i="1" s="1"/>
  <c r="BC163" i="1"/>
  <c r="BF163" i="1" s="1"/>
  <c r="BG163" i="1" s="1"/>
  <c r="EL160" i="1"/>
  <c r="AZ156" i="1"/>
  <c r="BC156" i="1" s="1"/>
  <c r="DQ151" i="1"/>
  <c r="DR151" i="1"/>
  <c r="AN119" i="1"/>
  <c r="AO119" i="1"/>
  <c r="CG118" i="1"/>
  <c r="CJ118" i="1" s="1"/>
  <c r="CK118" i="1" s="1"/>
  <c r="AH84" i="1"/>
  <c r="AK84" i="1" s="1"/>
  <c r="AL84" i="1" s="1"/>
  <c r="T75" i="1"/>
  <c r="U75" i="1"/>
  <c r="CN54" i="1"/>
  <c r="CM54" i="1"/>
  <c r="CQ54" i="1" s="1"/>
  <c r="AO33" i="1"/>
  <c r="AN33" i="1"/>
  <c r="AR33" i="1" s="1"/>
  <c r="AU33" i="1" s="1"/>
  <c r="AV33" i="1" s="1"/>
  <c r="CN174" i="1"/>
  <c r="AN165" i="1"/>
  <c r="AO165" i="1"/>
  <c r="CW161" i="1"/>
  <c r="DA161" i="1" s="1"/>
  <c r="EL158" i="1"/>
  <c r="K147" i="1"/>
  <c r="J147" i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N110" i="1" s="1"/>
  <c r="EL94" i="1"/>
  <c r="BJ80" i="1"/>
  <c r="BM80" i="1" s="1"/>
  <c r="AO80" i="1"/>
  <c r="AR80" i="1" s="1"/>
  <c r="K63" i="1"/>
  <c r="J63" i="1"/>
  <c r="CD33" i="1"/>
  <c r="CC33" i="1"/>
  <c r="CG33" i="1" s="1"/>
  <c r="CJ33" i="1" s="1"/>
  <c r="CK33" i="1" s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EL146" i="1"/>
  <c r="CN143" i="1"/>
  <c r="CQ143" i="1" s="1"/>
  <c r="CT143" i="1" s="1"/>
  <c r="CU143" i="1" s="1"/>
  <c r="T142" i="1"/>
  <c r="X142" i="1" s="1"/>
  <c r="AA142" i="1" s="1"/>
  <c r="AB142" i="1" s="1"/>
  <c r="DQ137" i="1"/>
  <c r="DU137" i="1" s="1"/>
  <c r="DQ133" i="1"/>
  <c r="DU133" i="1" s="1"/>
  <c r="CW133" i="1"/>
  <c r="DA133" i="1" s="1"/>
  <c r="CX124" i="1"/>
  <c r="CW124" i="1"/>
  <c r="DA124" i="1" s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N77" i="1" s="1"/>
  <c r="AZ66" i="1"/>
  <c r="BC66" i="1" s="1"/>
  <c r="BF66" i="1" s="1"/>
  <c r="BG66" i="1" s="1"/>
  <c r="AX65" i="1"/>
  <c r="AZ65" i="1"/>
  <c r="AD56" i="1"/>
  <c r="AE56" i="1"/>
  <c r="BM45" i="1"/>
  <c r="BP45" i="1" s="1"/>
  <c r="BQ45" i="1" s="1"/>
  <c r="U170" i="1"/>
  <c r="X170" i="1" s="1"/>
  <c r="AA170" i="1" s="1"/>
  <c r="AB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BW46" i="1" s="1"/>
  <c r="U172" i="1"/>
  <c r="X172" i="1" s="1"/>
  <c r="AA172" i="1" s="1"/>
  <c r="AB172" i="1" s="1"/>
  <c r="BJ171" i="1"/>
  <c r="BM171" i="1" s="1"/>
  <c r="BP171" i="1" s="1"/>
  <c r="BQ171" i="1" s="1"/>
  <c r="CD170" i="1"/>
  <c r="CG170" i="1" s="1"/>
  <c r="CJ170" i="1" s="1"/>
  <c r="CK170" i="1" s="1"/>
  <c r="BJ169" i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BM37" i="1"/>
  <c r="BP37" i="1" s="1"/>
  <c r="BQ37" i="1" s="1"/>
  <c r="DR36" i="1"/>
  <c r="DU36" i="1" s="1"/>
  <c r="CX36" i="1"/>
  <c r="DA36" i="1" s="1"/>
  <c r="CC36" i="1"/>
  <c r="CD36" i="1"/>
  <c r="AN36" i="1"/>
  <c r="AO36" i="1"/>
  <c r="EL209" i="1"/>
  <c r="N183" i="1"/>
  <c r="Q183" i="1" s="1"/>
  <c r="R183" i="1" s="1"/>
  <c r="EL181" i="1"/>
  <c r="K181" i="1"/>
  <c r="J181" i="1"/>
  <c r="N181" i="1" s="1"/>
  <c r="DR169" i="1"/>
  <c r="DU169" i="1" s="1"/>
  <c r="BM169" i="1"/>
  <c r="BP169" i="1" s="1"/>
  <c r="BQ169" i="1" s="1"/>
  <c r="AE168" i="1"/>
  <c r="AH168" i="1" s="1"/>
  <c r="K168" i="1"/>
  <c r="N168" i="1" s="1"/>
  <c r="EL164" i="1"/>
  <c r="T154" i="1"/>
  <c r="CD152" i="1"/>
  <c r="CC152" i="1"/>
  <c r="CG152" i="1" s="1"/>
  <c r="K152" i="1"/>
  <c r="J152" i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K111" i="1"/>
  <c r="CX106" i="1"/>
  <c r="CM103" i="1"/>
  <c r="CN103" i="1"/>
  <c r="BI96" i="1"/>
  <c r="BJ96" i="1"/>
  <c r="AN83" i="1"/>
  <c r="AO83" i="1"/>
  <c r="AR83" i="1" s="1"/>
  <c r="CW82" i="1"/>
  <c r="CX82" i="1"/>
  <c r="K69" i="1"/>
  <c r="J69" i="1"/>
  <c r="N69" i="1" s="1"/>
  <c r="K68" i="1"/>
  <c r="J68" i="1"/>
  <c r="N68" i="1" s="1"/>
  <c r="BT67" i="1"/>
  <c r="BS67" i="1"/>
  <c r="BW67" i="1" s="1"/>
  <c r="K57" i="1"/>
  <c r="N57" i="1" s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AH166" i="1"/>
  <c r="AK166" i="1" s="1"/>
  <c r="AL166" i="1" s="1"/>
  <c r="AH160" i="1"/>
  <c r="AK160" i="1" s="1"/>
  <c r="AL160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EL131" i="1"/>
  <c r="K126" i="1"/>
  <c r="N126" i="1" s="1"/>
  <c r="AX125" i="1"/>
  <c r="BC125" i="1" s="1"/>
  <c r="K125" i="1"/>
  <c r="N125" i="1" s="1"/>
  <c r="BT124" i="1"/>
  <c r="BW124" i="1" s="1"/>
  <c r="DG123" i="1"/>
  <c r="DK123" i="1" s="1"/>
  <c r="CN123" i="1"/>
  <c r="CQ123" i="1" s="1"/>
  <c r="CT123" i="1" s="1"/>
  <c r="CU123" i="1" s="1"/>
  <c r="EL121" i="1"/>
  <c r="AH119" i="1"/>
  <c r="AK119" i="1" s="1"/>
  <c r="AL119" i="1" s="1"/>
  <c r="AR112" i="1"/>
  <c r="J100" i="1"/>
  <c r="K100" i="1"/>
  <c r="EL98" i="1"/>
  <c r="DG95" i="1"/>
  <c r="DH95" i="1"/>
  <c r="DG83" i="1"/>
  <c r="DH83" i="1"/>
  <c r="BC76" i="1"/>
  <c r="BF76" i="1" s="1"/>
  <c r="BG76" i="1" s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N158" i="1" s="1"/>
  <c r="CQ142" i="1"/>
  <c r="K135" i="1"/>
  <c r="J135" i="1"/>
  <c r="N135" i="1" s="1"/>
  <c r="Q135" i="1" s="1"/>
  <c r="R135" i="1" s="1"/>
  <c r="EL123" i="1"/>
  <c r="EL120" i="1"/>
  <c r="AR113" i="1"/>
  <c r="AU113" i="1" s="1"/>
  <c r="AV113" i="1" s="1"/>
  <c r="BW108" i="1"/>
  <c r="BZ108" i="1" s="1"/>
  <c r="CA108" i="1" s="1"/>
  <c r="EL107" i="1"/>
  <c r="BC107" i="1"/>
  <c r="BF107" i="1" s="1"/>
  <c r="BG107" i="1" s="1"/>
  <c r="EL99" i="1"/>
  <c r="EL95" i="1"/>
  <c r="T94" i="1"/>
  <c r="U94" i="1"/>
  <c r="EL92" i="1"/>
  <c r="BC83" i="1"/>
  <c r="CC78" i="1"/>
  <c r="CD78" i="1"/>
  <c r="CM77" i="1"/>
  <c r="CN77" i="1"/>
  <c r="CQ64" i="1"/>
  <c r="CT64" i="1" s="1"/>
  <c r="CU64" i="1" s="1"/>
  <c r="BW58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BC145" i="1"/>
  <c r="AE142" i="1"/>
  <c r="AH142" i="1" s="1"/>
  <c r="AK142" i="1" s="1"/>
  <c r="AZ135" i="1"/>
  <c r="BC135" i="1" s="1"/>
  <c r="K133" i="1"/>
  <c r="J133" i="1"/>
  <c r="EL132" i="1"/>
  <c r="DH128" i="1"/>
  <c r="DK128" i="1" s="1"/>
  <c r="J128" i="1"/>
  <c r="N128" i="1" s="1"/>
  <c r="Q128" i="1" s="1"/>
  <c r="R128" i="1" s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N160" i="1" s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N154" i="1" s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N148" i="1" s="1"/>
  <c r="Q148" i="1" s="1"/>
  <c r="R148" i="1" s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N130" i="1" s="1"/>
  <c r="Q130" i="1" s="1"/>
  <c r="R130" i="1" s="1"/>
  <c r="BT128" i="1"/>
  <c r="BW128" i="1" s="1"/>
  <c r="BZ128" i="1" s="1"/>
  <c r="CA128" i="1" s="1"/>
  <c r="K127" i="1"/>
  <c r="N127" i="1" s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N87" i="1" s="1"/>
  <c r="T85" i="1"/>
  <c r="U85" i="1"/>
  <c r="DR84" i="1"/>
  <c r="DU84" i="1" s="1"/>
  <c r="BC82" i="1"/>
  <c r="BF82" i="1" s="1"/>
  <c r="BG82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AA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CQ144" i="1"/>
  <c r="CT144" i="1" s="1"/>
  <c r="CU144" i="1" s="1"/>
  <c r="K142" i="1"/>
  <c r="J142" i="1"/>
  <c r="N142" i="1" s="1"/>
  <c r="K117" i="1"/>
  <c r="N117" i="1" s="1"/>
  <c r="AO110" i="1"/>
  <c r="AR110" i="1" s="1"/>
  <c r="AU110" i="1" s="1"/>
  <c r="CN107" i="1"/>
  <c r="CQ107" i="1" s="1"/>
  <c r="AE107" i="1"/>
  <c r="AH107" i="1" s="1"/>
  <c r="J107" i="1"/>
  <c r="N107" i="1" s="1"/>
  <c r="Q107" i="1" s="1"/>
  <c r="R107" i="1" s="1"/>
  <c r="K104" i="1"/>
  <c r="N104" i="1" s="1"/>
  <c r="Q104" i="1" s="1"/>
  <c r="R104" i="1" s="1"/>
  <c r="BT101" i="1"/>
  <c r="BS101" i="1"/>
  <c r="BW101" i="1" s="1"/>
  <c r="AD101" i="1"/>
  <c r="AH101" i="1" s="1"/>
  <c r="K101" i="1"/>
  <c r="N101" i="1" s="1"/>
  <c r="AO98" i="1"/>
  <c r="AN98" i="1"/>
  <c r="AR98" i="1" s="1"/>
  <c r="BI88" i="1"/>
  <c r="BJ88" i="1"/>
  <c r="AZ80" i="1"/>
  <c r="AX80" i="1"/>
  <c r="T69" i="1"/>
  <c r="U69" i="1"/>
  <c r="CW60" i="1"/>
  <c r="CX60" i="1"/>
  <c r="CX55" i="1"/>
  <c r="DA55" i="1" s="1"/>
  <c r="BM55" i="1"/>
  <c r="BP55" i="1" s="1"/>
  <c r="BQ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BM35" i="1"/>
  <c r="BP35" i="1" s="1"/>
  <c r="BQ35" i="1" s="1"/>
  <c r="EL153" i="1"/>
  <c r="K149" i="1"/>
  <c r="J149" i="1"/>
  <c r="N149" i="1" s="1"/>
  <c r="K145" i="1"/>
  <c r="J145" i="1"/>
  <c r="K140" i="1"/>
  <c r="J140" i="1"/>
  <c r="K132" i="1"/>
  <c r="N132" i="1" s="1"/>
  <c r="Q132" i="1" s="1"/>
  <c r="R132" i="1" s="1"/>
  <c r="K131" i="1"/>
  <c r="J131" i="1"/>
  <c r="N131" i="1" s="1"/>
  <c r="EL129" i="1"/>
  <c r="J106" i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AH87" i="1"/>
  <c r="AK87" i="1" s="1"/>
  <c r="AL87" i="1" s="1"/>
  <c r="U86" i="1"/>
  <c r="X86" i="1" s="1"/>
  <c r="DQ83" i="1"/>
  <c r="DR83" i="1"/>
  <c r="EL71" i="1"/>
  <c r="CQ71" i="1"/>
  <c r="BI68" i="1"/>
  <c r="BJ68" i="1"/>
  <c r="BM68" i="1"/>
  <c r="BI64" i="1"/>
  <c r="BJ64" i="1"/>
  <c r="BI60" i="1"/>
  <c r="BM60" i="1"/>
  <c r="T59" i="1"/>
  <c r="U59" i="1"/>
  <c r="EL58" i="1"/>
  <c r="J53" i="1"/>
  <c r="K53" i="1"/>
  <c r="CM49" i="1"/>
  <c r="CN49" i="1"/>
  <c r="BC49" i="1"/>
  <c r="BF49" i="1" s="1"/>
  <c r="BG49" i="1" s="1"/>
  <c r="K45" i="1"/>
  <c r="J45" i="1"/>
  <c r="N45" i="1" s="1"/>
  <c r="DQ40" i="1"/>
  <c r="DU40" i="1" s="1"/>
  <c r="DX40" i="1" s="1"/>
  <c r="DY40" i="1" s="1"/>
  <c r="AE38" i="1"/>
  <c r="AH38" i="1" s="1"/>
  <c r="AK38" i="1" s="1"/>
  <c r="AL38" i="1" s="1"/>
  <c r="BS29" i="1"/>
  <c r="BT29" i="1"/>
  <c r="CQ140" i="1"/>
  <c r="CT140" i="1" s="1"/>
  <c r="CU140" i="1" s="1"/>
  <c r="AR134" i="1"/>
  <c r="CG112" i="1"/>
  <c r="CJ112" i="1" s="1"/>
  <c r="CK112" i="1" s="1"/>
  <c r="BS97" i="1"/>
  <c r="BW97" i="1" s="1"/>
  <c r="U96" i="1"/>
  <c r="X96" i="1" s="1"/>
  <c r="K91" i="1"/>
  <c r="N91" i="1" s="1"/>
  <c r="CN87" i="1"/>
  <c r="CQ87" i="1" s="1"/>
  <c r="AX74" i="1"/>
  <c r="AZ74" i="1"/>
  <c r="CC48" i="1"/>
  <c r="CD48" i="1"/>
  <c r="EL44" i="1"/>
  <c r="CW43" i="1"/>
  <c r="CX43" i="1"/>
  <c r="DA134" i="1"/>
  <c r="DD134" i="1" s="1"/>
  <c r="DE134" i="1" s="1"/>
  <c r="T102" i="1"/>
  <c r="U102" i="1"/>
  <c r="CM97" i="1"/>
  <c r="CN97" i="1"/>
  <c r="CQ91" i="1"/>
  <c r="CT91" i="1" s="1"/>
  <c r="CU91" i="1" s="1"/>
  <c r="BI77" i="1"/>
  <c r="BJ77" i="1"/>
  <c r="CC64" i="1"/>
  <c r="CD64" i="1"/>
  <c r="BC56" i="1"/>
  <c r="DQ46" i="1"/>
  <c r="DR46" i="1"/>
  <c r="CN38" i="1"/>
  <c r="CQ38" i="1"/>
  <c r="CT38" i="1" s="1"/>
  <c r="CU38" i="1" s="1"/>
  <c r="AO31" i="1"/>
  <c r="AN31" i="1"/>
  <c r="DQ28" i="1"/>
  <c r="DR28" i="1"/>
  <c r="AD49" i="1"/>
  <c r="AE49" i="1"/>
  <c r="CN48" i="1"/>
  <c r="DH41" i="1"/>
  <c r="DK41" i="1" s="1"/>
  <c r="DN41" i="1" s="1"/>
  <c r="DO41" i="1" s="1"/>
  <c r="BI39" i="1"/>
  <c r="CQ48" i="1"/>
  <c r="CT48" i="1" s="1"/>
  <c r="CU48" i="1" s="1"/>
  <c r="CG47" i="1"/>
  <c r="CJ47" i="1" s="1"/>
  <c r="CK47" i="1" s="1"/>
  <c r="BI44" i="1"/>
  <c r="BJ44" i="1"/>
  <c r="EL36" i="1"/>
  <c r="CW23" i="1"/>
  <c r="CX23" i="1"/>
  <c r="DG15" i="1"/>
  <c r="DH15" i="1"/>
  <c r="CD92" i="1"/>
  <c r="CG92" i="1" s="1"/>
  <c r="CQ89" i="1"/>
  <c r="CT89" i="1" s="1"/>
  <c r="BM86" i="1"/>
  <c r="CG65" i="1"/>
  <c r="CJ65" i="1" s="1"/>
  <c r="CK65" i="1" s="1"/>
  <c r="K64" i="1"/>
  <c r="J64" i="1"/>
  <c r="EL57" i="1"/>
  <c r="DQ49" i="1"/>
  <c r="DR49" i="1"/>
  <c r="EL34" i="1"/>
  <c r="BC34" i="1"/>
  <c r="AE34" i="1"/>
  <c r="AH34" i="1" s="1"/>
  <c r="AK34" i="1" s="1"/>
  <c r="AL34" i="1" s="1"/>
  <c r="CN33" i="1"/>
  <c r="CQ33" i="1" s="1"/>
  <c r="CT33" i="1" s="1"/>
  <c r="CU33" i="1" s="1"/>
  <c r="BC28" i="1"/>
  <c r="T24" i="1"/>
  <c r="U24" i="1"/>
  <c r="AO18" i="1"/>
  <c r="AR18" i="1" s="1"/>
  <c r="BW104" i="1"/>
  <c r="BZ104" i="1" s="1"/>
  <c r="CA104" i="1" s="1"/>
  <c r="CQ95" i="1"/>
  <c r="EL89" i="1"/>
  <c r="DA71" i="1"/>
  <c r="DD71" i="1" s="1"/>
  <c r="DE71" i="1" s="1"/>
  <c r="N66" i="1"/>
  <c r="BW55" i="1"/>
  <c r="BZ55" i="1" s="1"/>
  <c r="CA55" i="1" s="1"/>
  <c r="DQ44" i="1"/>
  <c r="DR44" i="1"/>
  <c r="T39" i="1"/>
  <c r="X39" i="1" s="1"/>
  <c r="AA39" i="1" s="1"/>
  <c r="AB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/>
  <c r="BC36" i="1"/>
  <c r="BF36" i="1" s="1"/>
  <c r="BG36" i="1" s="1"/>
  <c r="K34" i="1"/>
  <c r="J34" i="1"/>
  <c r="N34" i="1" s="1"/>
  <c r="Q34" i="1" s="1"/>
  <c r="BI26" i="1"/>
  <c r="BJ26" i="1"/>
  <c r="BI22" i="1"/>
  <c r="BJ22" i="1"/>
  <c r="CC18" i="1"/>
  <c r="CG18" i="1" s="1"/>
  <c r="AX33" i="1"/>
  <c r="AZ33" i="1"/>
  <c r="J26" i="1"/>
  <c r="K26" i="1"/>
  <c r="BI24" i="1"/>
  <c r="BJ24" i="1"/>
  <c r="BM24" i="1"/>
  <c r="BP24" i="1" s="1"/>
  <c r="BQ24" i="1" s="1"/>
  <c r="BM19" i="1"/>
  <c r="BP19" i="1" s="1"/>
  <c r="BQ19" i="1" s="1"/>
  <c r="DA18" i="1"/>
  <c r="DD18" i="1" s="1"/>
  <c r="DE18" i="1" s="1"/>
  <c r="CQ99" i="1"/>
  <c r="CQ97" i="1"/>
  <c r="CT97" i="1" s="1"/>
  <c r="CU97" i="1" s="1"/>
  <c r="CG83" i="1"/>
  <c r="CJ83" i="1" s="1"/>
  <c r="CK83" i="1" s="1"/>
  <c r="AH83" i="1"/>
  <c r="AK83" i="1" s="1"/>
  <c r="AL83" i="1" s="1"/>
  <c r="K80" i="1"/>
  <c r="J80" i="1"/>
  <c r="EL73" i="1"/>
  <c r="BC70" i="1"/>
  <c r="K70" i="1"/>
  <c r="J70" i="1"/>
  <c r="EL64" i="1"/>
  <c r="DG62" i="1"/>
  <c r="DK62" i="1" s="1"/>
  <c r="J62" i="1"/>
  <c r="N62" i="1" s="1"/>
  <c r="Q62" i="1" s="1"/>
  <c r="R62" i="1" s="1"/>
  <c r="EL61" i="1"/>
  <c r="K61" i="1"/>
  <c r="N61" i="1" s="1"/>
  <c r="Q61" i="1" s="1"/>
  <c r="R61" i="1" s="1"/>
  <c r="EL59" i="1"/>
  <c r="DH59" i="1"/>
  <c r="DK59" i="1" s="1"/>
  <c r="CW56" i="1"/>
  <c r="DA56" i="1" s="1"/>
  <c r="CD56" i="1"/>
  <c r="CG56" i="1" s="1"/>
  <c r="AR56" i="1"/>
  <c r="AU56" i="1" s="1"/>
  <c r="AV56" i="1" s="1"/>
  <c r="CN55" i="1"/>
  <c r="CQ55" i="1" s="1"/>
  <c r="EL50" i="1"/>
  <c r="BT50" i="1"/>
  <c r="BW50" i="1" s="1"/>
  <c r="AO49" i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AN41" i="1"/>
  <c r="AR41" i="1" s="1"/>
  <c r="AU41" i="1" s="1"/>
  <c r="AV41" i="1" s="1"/>
  <c r="BC40" i="1"/>
  <c r="AE36" i="1"/>
  <c r="AD36" i="1"/>
  <c r="AH36" i="1" s="1"/>
  <c r="T27" i="1"/>
  <c r="X27" i="1" s="1"/>
  <c r="AA27" i="1" s="1"/>
  <c r="AB27" i="1" s="1"/>
  <c r="K99" i="1"/>
  <c r="J99" i="1"/>
  <c r="N99" i="1" s="1"/>
  <c r="EL91" i="1"/>
  <c r="CQ85" i="1"/>
  <c r="CT85" i="1" s="1"/>
  <c r="CU85" i="1" s="1"/>
  <c r="EL82" i="1"/>
  <c r="AR81" i="1"/>
  <c r="EL77" i="1"/>
  <c r="EL54" i="1"/>
  <c r="AR49" i="1"/>
  <c r="BJ41" i="1"/>
  <c r="BI41" i="1"/>
  <c r="EL39" i="1"/>
  <c r="BI30" i="1"/>
  <c r="BM30" i="1" s="1"/>
  <c r="BP30" i="1" s="1"/>
  <c r="BQ30" i="1" s="1"/>
  <c r="J24" i="1"/>
  <c r="K24" i="1"/>
  <c r="EL23" i="1"/>
  <c r="J11" i="1"/>
  <c r="K11" i="1"/>
  <c r="BW15" i="1"/>
  <c r="EL13" i="1"/>
  <c r="BS12" i="1"/>
  <c r="BW12" i="1" s="1"/>
  <c r="AN8" i="1"/>
  <c r="AR8" i="1" s="1"/>
  <c r="CW6" i="1"/>
  <c r="DA6" i="1" s="1"/>
  <c r="DD6" i="1" s="1"/>
  <c r="DE6" i="1" s="1"/>
  <c r="DA14" i="1"/>
  <c r="BW9" i="1"/>
  <c r="BZ9" i="1" s="1"/>
  <c r="CA9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AR12" i="1"/>
  <c r="AU12" i="1" s="1"/>
  <c r="AV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N23" i="1" s="1"/>
  <c r="CQ22" i="1"/>
  <c r="CT22" i="1" s="1"/>
  <c r="CU22" i="1" s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AH4" i="1"/>
  <c r="AL4" i="1" s="1"/>
  <c r="J46" i="1"/>
  <c r="N46" i="1" s="1"/>
  <c r="Q46" i="1" s="1"/>
  <c r="R46" i="1" s="1"/>
  <c r="J22" i="1"/>
  <c r="N22" i="1" s="1"/>
  <c r="BM21" i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CG26" i="1"/>
  <c r="CJ26" i="1" s="1"/>
  <c r="CK26" i="1" s="1"/>
  <c r="AO9" i="1"/>
  <c r="AR9" i="1" s="1"/>
  <c r="DR8" i="1"/>
  <c r="DU8" i="1" s="1"/>
  <c r="BT3" i="1"/>
  <c r="BW3" i="1" s="1"/>
  <c r="BZ3" i="1" s="1"/>
  <c r="CA3" i="1" s="1"/>
  <c r="DA47" i="1"/>
  <c r="DD47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BM39" i="1"/>
  <c r="BP39" i="1" s="1"/>
  <c r="BQ39" i="1" s="1"/>
  <c r="EL38" i="1"/>
  <c r="BC32" i="1"/>
  <c r="N281" i="1"/>
  <c r="Q281" i="1" s="1"/>
  <c r="N56" i="1"/>
  <c r="Q56" i="1" s="1"/>
  <c r="R56" i="1" s="1"/>
  <c r="BZ297" i="1"/>
  <c r="CA297" i="1" s="1"/>
  <c r="CA298" i="1"/>
  <c r="AK279" i="1"/>
  <c r="AL279" i="1" s="1"/>
  <c r="CJ292" i="1"/>
  <c r="CK292" i="1" s="1"/>
  <c r="AA304" i="1"/>
  <c r="AB304" i="1" s="1"/>
  <c r="BS239" i="1"/>
  <c r="K224" i="1"/>
  <c r="N224" i="1" s="1"/>
  <c r="BP280" i="1"/>
  <c r="BQ280" i="1" s="1"/>
  <c r="T198" i="1"/>
  <c r="U198" i="1"/>
  <c r="CC303" i="1"/>
  <c r="CD303" i="1"/>
  <c r="CM264" i="1"/>
  <c r="CN264" i="1"/>
  <c r="AD224" i="1"/>
  <c r="AH224" i="1"/>
  <c r="X294" i="1"/>
  <c r="BT288" i="1"/>
  <c r="BW288" i="1" s="1"/>
  <c r="AD284" i="1"/>
  <c r="AH284" i="1" s="1"/>
  <c r="AO271" i="1"/>
  <c r="AR271" i="1" s="1"/>
  <c r="T240" i="1"/>
  <c r="U240" i="1"/>
  <c r="EL235" i="1"/>
  <c r="BS233" i="1"/>
  <c r="BW233" i="1"/>
  <c r="EL310" i="1"/>
  <c r="EL306" i="1"/>
  <c r="BS181" i="1"/>
  <c r="BW181" i="1" s="1"/>
  <c r="DQ293" i="1"/>
  <c r="DU293" i="1" s="1"/>
  <c r="BJ292" i="1"/>
  <c r="BM292" i="1" s="1"/>
  <c r="BI290" i="1"/>
  <c r="BJ290" i="1"/>
  <c r="DQ289" i="1"/>
  <c r="DU289" i="1" s="1"/>
  <c r="T289" i="1"/>
  <c r="U289" i="1"/>
  <c r="AZ276" i="1"/>
  <c r="BC276" i="1" s="1"/>
  <c r="BG276" i="1" s="1"/>
  <c r="CN275" i="1"/>
  <c r="CQ275" i="1" s="1"/>
  <c r="U275" i="1"/>
  <c r="X275" i="1" s="1"/>
  <c r="DG271" i="1"/>
  <c r="DK271" i="1" s="1"/>
  <c r="AL258" i="1"/>
  <c r="CT252" i="1"/>
  <c r="CU252" i="1" s="1"/>
  <c r="DR247" i="1"/>
  <c r="DU247" i="1" s="1"/>
  <c r="CC204" i="1"/>
  <c r="CD204" i="1"/>
  <c r="DQ195" i="1"/>
  <c r="DR195" i="1"/>
  <c r="K182" i="1"/>
  <c r="N182" i="1"/>
  <c r="DQ291" i="1"/>
  <c r="DU291" i="1" s="1"/>
  <c r="AD303" i="1"/>
  <c r="AE303" i="1"/>
  <c r="AN299" i="1"/>
  <c r="AO299" i="1"/>
  <c r="T276" i="1"/>
  <c r="X276" i="1" s="1"/>
  <c r="AB276" i="1" s="1"/>
  <c r="K264" i="1"/>
  <c r="N264" i="1" s="1"/>
  <c r="AX257" i="1"/>
  <c r="AZ257" i="1"/>
  <c r="CC256" i="1"/>
  <c r="CD256" i="1"/>
  <c r="BC241" i="1"/>
  <c r="DA301" i="1"/>
  <c r="K292" i="1"/>
  <c r="N292" i="1" s="1"/>
  <c r="CW274" i="1"/>
  <c r="DA274" i="1" s="1"/>
  <c r="BS273" i="1"/>
  <c r="BW273" i="1" s="1"/>
  <c r="BI265" i="1"/>
  <c r="BJ265" i="1"/>
  <c r="BM265" i="1"/>
  <c r="EL259" i="1"/>
  <c r="AD254" i="1"/>
  <c r="AE254" i="1"/>
  <c r="AN193" i="1"/>
  <c r="AO193" i="1"/>
  <c r="CX310" i="1"/>
  <c r="DA310" i="1" s="1"/>
  <c r="AD286" i="1"/>
  <c r="AH286" i="1" s="1"/>
  <c r="CM270" i="1"/>
  <c r="CN270" i="1"/>
  <c r="AD214" i="1"/>
  <c r="AE214" i="1"/>
  <c r="DQ304" i="1"/>
  <c r="DR304" i="1"/>
  <c r="CQ305" i="1"/>
  <c r="EL296" i="1"/>
  <c r="BM294" i="1"/>
  <c r="CW293" i="1"/>
  <c r="CX293" i="1"/>
  <c r="EL291" i="1"/>
  <c r="CG291" i="1"/>
  <c r="AE291" i="1"/>
  <c r="AH291" i="1" s="1"/>
  <c r="BT289" i="1"/>
  <c r="BW289" i="1" s="1"/>
  <c r="CD288" i="1"/>
  <c r="CG288" i="1" s="1"/>
  <c r="AO284" i="1"/>
  <c r="AR284" i="1" s="1"/>
  <c r="CM280" i="1"/>
  <c r="CQ280" i="1" s="1"/>
  <c r="CN277" i="1"/>
  <c r="CQ277" i="1" s="1"/>
  <c r="EL276" i="1"/>
  <c r="AH273" i="1"/>
  <c r="CX267" i="1"/>
  <c r="DA267" i="1" s="1"/>
  <c r="BT262" i="1"/>
  <c r="BS262" i="1"/>
  <c r="DQ261" i="1"/>
  <c r="DR261" i="1"/>
  <c r="EL255" i="1"/>
  <c r="BS249" i="1"/>
  <c r="BT249" i="1"/>
  <c r="BJ243" i="1"/>
  <c r="BM243" i="1" s="1"/>
  <c r="BS221" i="1"/>
  <c r="BW221" i="1" s="1"/>
  <c r="AE199" i="1"/>
  <c r="AH199" i="1" s="1"/>
  <c r="EL198" i="1"/>
  <c r="AN188" i="1"/>
  <c r="AR188" i="1" s="1"/>
  <c r="DH176" i="1"/>
  <c r="DK176" i="1" s="1"/>
  <c r="DH293" i="1"/>
  <c r="DH268" i="1"/>
  <c r="CW297" i="1"/>
  <c r="DA297" i="1" s="1"/>
  <c r="AX266" i="1"/>
  <c r="AZ266" i="1"/>
  <c r="K258" i="1"/>
  <c r="N258" i="1" s="1"/>
  <c r="AX200" i="1"/>
  <c r="BC200" i="1" s="1"/>
  <c r="BP297" i="1"/>
  <c r="BQ297" i="1" s="1"/>
  <c r="BW295" i="1"/>
  <c r="U291" i="1"/>
  <c r="X291" i="1" s="1"/>
  <c r="EL290" i="1"/>
  <c r="U288" i="1"/>
  <c r="X288" i="1" s="1"/>
  <c r="AR282" i="1"/>
  <c r="EL277" i="1"/>
  <c r="BI275" i="1"/>
  <c r="BM275" i="1" s="1"/>
  <c r="CG237" i="1"/>
  <c r="CD226" i="1"/>
  <c r="CG226" i="1" s="1"/>
  <c r="X295" i="1"/>
  <c r="T232" i="1"/>
  <c r="U232" i="1"/>
  <c r="AE227" i="1"/>
  <c r="AD227" i="1"/>
  <c r="AH227" i="1" s="1"/>
  <c r="CX308" i="1"/>
  <c r="DA308" i="1" s="1"/>
  <c r="AZ298" i="1"/>
  <c r="BC298" i="1" s="1"/>
  <c r="DG278" i="1"/>
  <c r="DH278" i="1"/>
  <c r="BC263" i="1"/>
  <c r="AO310" i="1"/>
  <c r="AR310" i="1" s="1"/>
  <c r="AO306" i="1"/>
  <c r="AR306" i="1" s="1"/>
  <c r="CN303" i="1"/>
  <c r="CQ303" i="1" s="1"/>
  <c r="BC301" i="1"/>
  <c r="AO305" i="1"/>
  <c r="AR305" i="1" s="1"/>
  <c r="AN303" i="1"/>
  <c r="AR303" i="1" s="1"/>
  <c r="DK295" i="1"/>
  <c r="AD288" i="1"/>
  <c r="AH288" i="1" s="1"/>
  <c r="DQ287" i="1"/>
  <c r="DR287" i="1"/>
  <c r="DU287" i="1" s="1"/>
  <c r="CQ285" i="1"/>
  <c r="AR280" i="1"/>
  <c r="DA279" i="1"/>
  <c r="AX279" i="1"/>
  <c r="BC279" i="1" s="1"/>
  <c r="AZ271" i="1"/>
  <c r="BC271" i="1" s="1"/>
  <c r="DK265" i="1"/>
  <c r="BI264" i="1"/>
  <c r="BJ264" i="1"/>
  <c r="AZ259" i="1"/>
  <c r="BC259" i="1" s="1"/>
  <c r="CX245" i="1"/>
  <c r="CW245" i="1"/>
  <c r="K208" i="1"/>
  <c r="CQ193" i="1"/>
  <c r="BI185" i="1"/>
  <c r="BM185" i="1" s="1"/>
  <c r="CM176" i="1"/>
  <c r="CN176" i="1"/>
  <c r="CN242" i="1"/>
  <c r="AO223" i="1"/>
  <c r="K192" i="1"/>
  <c r="N192" i="1" s="1"/>
  <c r="BT311" i="1"/>
  <c r="BW311" i="1" s="1"/>
  <c r="AO302" i="1"/>
  <c r="AR302" i="1" s="1"/>
  <c r="DH292" i="1"/>
  <c r="DK292" i="1" s="1"/>
  <c r="EL308" i="1"/>
  <c r="CX306" i="1"/>
  <c r="DA306" i="1" s="1"/>
  <c r="EL295" i="1"/>
  <c r="AO308" i="1"/>
  <c r="AR308" i="1" s="1"/>
  <c r="BC302" i="1"/>
  <c r="K300" i="1"/>
  <c r="N300" i="1" s="1"/>
  <c r="DR290" i="1"/>
  <c r="DU290" i="1" s="1"/>
  <c r="AD282" i="1"/>
  <c r="AE282" i="1"/>
  <c r="EL279" i="1"/>
  <c r="DR278" i="1"/>
  <c r="DU278" i="1" s="1"/>
  <c r="BJ276" i="1"/>
  <c r="BM276" i="1" s="1"/>
  <c r="BQ276" i="1" s="1"/>
  <c r="DQ275" i="1"/>
  <c r="DR275" i="1"/>
  <c r="CJ270" i="1"/>
  <c r="CK270" i="1" s="1"/>
  <c r="CD269" i="1"/>
  <c r="CC269" i="1"/>
  <c r="CX257" i="1"/>
  <c r="CW257" i="1"/>
  <c r="DA257" i="1" s="1"/>
  <c r="CX249" i="1"/>
  <c r="CW249" i="1"/>
  <c r="DA249" i="1" s="1"/>
  <c r="DR236" i="1"/>
  <c r="DU236" i="1" s="1"/>
  <c r="AX228" i="1"/>
  <c r="AZ228" i="1"/>
  <c r="BC228" i="1" s="1"/>
  <c r="DH201" i="1"/>
  <c r="DK201" i="1" s="1"/>
  <c r="AZ191" i="1"/>
  <c r="BC191" i="1" s="1"/>
  <c r="CC304" i="1"/>
  <c r="BT309" i="1"/>
  <c r="BW309" i="1" s="1"/>
  <c r="BI299" i="1"/>
  <c r="BM299" i="1" s="1"/>
  <c r="CD285" i="1"/>
  <c r="CG285" i="1" s="1"/>
  <c r="AD283" i="1"/>
  <c r="AE283" i="1"/>
  <c r="CC280" i="1"/>
  <c r="CD280" i="1"/>
  <c r="BS268" i="1"/>
  <c r="BT268" i="1"/>
  <c r="CC250" i="1"/>
  <c r="CD250" i="1"/>
  <c r="K250" i="1"/>
  <c r="N250" i="1" s="1"/>
  <c r="CW234" i="1"/>
  <c r="CX234" i="1"/>
  <c r="BS231" i="1"/>
  <c r="BW231" i="1" s="1"/>
  <c r="AN207" i="1"/>
  <c r="AO207" i="1"/>
  <c r="K309" i="1"/>
  <c r="N309" i="1" s="1"/>
  <c r="CM302" i="1"/>
  <c r="CQ302" i="1" s="1"/>
  <c r="BP300" i="1"/>
  <c r="BQ300" i="1" s="1"/>
  <c r="AX297" i="1"/>
  <c r="BC297" i="1" s="1"/>
  <c r="CM282" i="1"/>
  <c r="CQ282" i="1" s="1"/>
  <c r="EL278" i="1"/>
  <c r="BI272" i="1"/>
  <c r="BJ272" i="1"/>
  <c r="K260" i="1"/>
  <c r="N260" i="1" s="1"/>
  <c r="AN296" i="1"/>
  <c r="AO296" i="1"/>
  <c r="DG290" i="1"/>
  <c r="DH290" i="1"/>
  <c r="AE285" i="1"/>
  <c r="AH285" i="1" s="1"/>
  <c r="BC281" i="1"/>
  <c r="EL251" i="1"/>
  <c r="K199" i="1"/>
  <c r="N199" i="1" s="1"/>
  <c r="AZ310" i="1"/>
  <c r="BC310" i="1" s="1"/>
  <c r="AZ308" i="1"/>
  <c r="BC308" i="1" s="1"/>
  <c r="AZ306" i="1"/>
  <c r="BC306" i="1" s="1"/>
  <c r="EL302" i="1"/>
  <c r="CM300" i="1"/>
  <c r="CN300" i="1"/>
  <c r="CX299" i="1"/>
  <c r="DA299" i="1" s="1"/>
  <c r="AZ299" i="1"/>
  <c r="BC299" i="1" s="1"/>
  <c r="BJ298" i="1"/>
  <c r="BM298" i="1" s="1"/>
  <c r="CM297" i="1"/>
  <c r="CN297" i="1"/>
  <c r="CQ297" i="1" s="1"/>
  <c r="CX296" i="1"/>
  <c r="DA296" i="1" s="1"/>
  <c r="BI295" i="1"/>
  <c r="BM295" i="1"/>
  <c r="K294" i="1"/>
  <c r="N294" i="1" s="1"/>
  <c r="BT292" i="1"/>
  <c r="DG291" i="1"/>
  <c r="DH291" i="1"/>
  <c r="DK291" i="1" s="1"/>
  <c r="BT290" i="1"/>
  <c r="U290" i="1"/>
  <c r="X290" i="1" s="1"/>
  <c r="BS287" i="1"/>
  <c r="BT287" i="1"/>
  <c r="DQ284" i="1"/>
  <c r="DR284" i="1"/>
  <c r="DU284" i="1" s="1"/>
  <c r="CX303" i="1"/>
  <c r="DA303" i="1" s="1"/>
  <c r="CU299" i="1"/>
  <c r="AX296" i="1"/>
  <c r="BC296" i="1" s="1"/>
  <c r="BT294" i="1"/>
  <c r="BW294" i="1" s="1"/>
  <c r="EL293" i="1"/>
  <c r="DD291" i="1"/>
  <c r="DE291" i="1" s="1"/>
  <c r="CD289" i="1"/>
  <c r="CG289" i="1" s="1"/>
  <c r="AE289" i="1"/>
  <c r="AH289" i="1" s="1"/>
  <c r="DR286" i="1"/>
  <c r="DU286" i="1" s="1"/>
  <c r="BS286" i="1"/>
  <c r="BT286" i="1"/>
  <c r="AR285" i="1"/>
  <c r="CD282" i="1"/>
  <c r="CG282" i="1"/>
  <c r="CQ281" i="1"/>
  <c r="BM279" i="1"/>
  <c r="BC278" i="1"/>
  <c r="AE275" i="1"/>
  <c r="AH275" i="1" s="1"/>
  <c r="CM274" i="1"/>
  <c r="CQ274" i="1" s="1"/>
  <c r="BI273" i="1"/>
  <c r="BM273" i="1" s="1"/>
  <c r="BW272" i="1"/>
  <c r="AD270" i="1"/>
  <c r="AE270" i="1"/>
  <c r="EL267" i="1"/>
  <c r="AN267" i="1"/>
  <c r="AO267" i="1"/>
  <c r="T267" i="1"/>
  <c r="U267" i="1"/>
  <c r="AD265" i="1"/>
  <c r="AE265" i="1"/>
  <c r="EL241" i="1"/>
  <c r="CN240" i="1"/>
  <c r="CQ240" i="1" s="1"/>
  <c r="DG232" i="1"/>
  <c r="DH232" i="1"/>
  <c r="BF220" i="1"/>
  <c r="BG220" i="1" s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4" i="1"/>
  <c r="K279" i="1"/>
  <c r="N279" i="1" s="1"/>
  <c r="CW194" i="1"/>
  <c r="CX194" i="1"/>
  <c r="BT307" i="1"/>
  <c r="BW307" i="1" s="1"/>
  <c r="K278" i="1"/>
  <c r="N278" i="1" s="1"/>
  <c r="BS266" i="1"/>
  <c r="BT266" i="1"/>
  <c r="BW266" i="1" s="1"/>
  <c r="DG239" i="1"/>
  <c r="DK239" i="1" s="1"/>
  <c r="BC300" i="1"/>
  <c r="AZ268" i="1"/>
  <c r="BC268" i="1" s="1"/>
  <c r="CG234" i="1"/>
  <c r="BP229" i="1"/>
  <c r="BQ229" i="1" s="1"/>
  <c r="CM296" i="1"/>
  <c r="CN296" i="1"/>
  <c r="N296" i="1"/>
  <c r="BG309" i="1"/>
  <c r="AZ304" i="1"/>
  <c r="EL303" i="1"/>
  <c r="AZ303" i="1"/>
  <c r="BC303" i="1" s="1"/>
  <c r="AD302" i="1"/>
  <c r="AE302" i="1"/>
  <c r="BJ301" i="1"/>
  <c r="BM301" i="1" s="1"/>
  <c r="AN300" i="1"/>
  <c r="AR300" i="1" s="1"/>
  <c r="K298" i="1"/>
  <c r="N298" i="1" s="1"/>
  <c r="EL297" i="1"/>
  <c r="K295" i="1"/>
  <c r="N295" i="1" s="1"/>
  <c r="BI293" i="1"/>
  <c r="BJ293" i="1"/>
  <c r="K293" i="1"/>
  <c r="N293" i="1" s="1"/>
  <c r="BW292" i="1"/>
  <c r="BW290" i="1"/>
  <c r="CC283" i="1"/>
  <c r="CD283" i="1"/>
  <c r="AO281" i="1"/>
  <c r="AR281" i="1" s="1"/>
  <c r="AZ280" i="1"/>
  <c r="DQ277" i="1"/>
  <c r="DU277" i="1"/>
  <c r="AX277" i="1"/>
  <c r="BC277" i="1"/>
  <c r="T274" i="1"/>
  <c r="U274" i="1"/>
  <c r="CW272" i="1"/>
  <c r="DA272" i="1" s="1"/>
  <c r="AD272" i="1"/>
  <c r="AH272" i="1" s="1"/>
  <c r="BI269" i="1"/>
  <c r="BJ269" i="1"/>
  <c r="CX259" i="1"/>
  <c r="CW259" i="1"/>
  <c r="DA259" i="1" s="1"/>
  <c r="DR253" i="1"/>
  <c r="CT245" i="1"/>
  <c r="CU245" i="1" s="1"/>
  <c r="AZ237" i="1"/>
  <c r="BC237" i="1" s="1"/>
  <c r="CN232" i="1"/>
  <c r="CQ232" i="1" s="1"/>
  <c r="CX227" i="1"/>
  <c r="DA227" i="1" s="1"/>
  <c r="CW208" i="1"/>
  <c r="DA208" i="1" s="1"/>
  <c r="CC278" i="1"/>
  <c r="CM276" i="1"/>
  <c r="AE244" i="1"/>
  <c r="K311" i="1"/>
  <c r="N311" i="1" s="1"/>
  <c r="K307" i="1"/>
  <c r="N307" i="1"/>
  <c r="CN279" i="1"/>
  <c r="CQ279" i="1"/>
  <c r="CC277" i="1"/>
  <c r="CD277" i="1"/>
  <c r="DR276" i="1"/>
  <c r="DU276" i="1" s="1"/>
  <c r="DG231" i="1"/>
  <c r="DK231" i="1" s="1"/>
  <c r="BT195" i="1"/>
  <c r="BS195" i="1"/>
  <c r="BW195" i="1" s="1"/>
  <c r="CC300" i="1"/>
  <c r="CD300" i="1"/>
  <c r="CQ269" i="1"/>
  <c r="AZ305" i="1"/>
  <c r="BC305" i="1" s="1"/>
  <c r="CD304" i="1"/>
  <c r="AX304" i="1"/>
  <c r="CM301" i="1"/>
  <c r="CQ301" i="1" s="1"/>
  <c r="EL299" i="1"/>
  <c r="U297" i="1"/>
  <c r="X297" i="1" s="1"/>
  <c r="DH296" i="1"/>
  <c r="DK296" i="1" s="1"/>
  <c r="DR295" i="1"/>
  <c r="DU295" i="1" s="1"/>
  <c r="CX294" i="1"/>
  <c r="DG293" i="1"/>
  <c r="BT291" i="1"/>
  <c r="BW291" i="1" s="1"/>
  <c r="DR288" i="1"/>
  <c r="DU288" i="1" s="1"/>
  <c r="CD287" i="1"/>
  <c r="CG287" i="1" s="1"/>
  <c r="T286" i="1"/>
  <c r="U286" i="1"/>
  <c r="AX280" i="1"/>
  <c r="CD278" i="1"/>
  <c r="CN276" i="1"/>
  <c r="CQ276" i="1" s="1"/>
  <c r="CU276" i="1" s="1"/>
  <c r="CW271" i="1"/>
  <c r="CX271" i="1"/>
  <c r="CD271" i="1"/>
  <c r="CG271" i="1" s="1"/>
  <c r="BJ270" i="1"/>
  <c r="BM270" i="1" s="1"/>
  <c r="DG268" i="1"/>
  <c r="EL264" i="1"/>
  <c r="T263" i="1"/>
  <c r="U263" i="1"/>
  <c r="DH258" i="1"/>
  <c r="DK258" i="1" s="1"/>
  <c r="AD256" i="1"/>
  <c r="AE256" i="1"/>
  <c r="CQ254" i="1"/>
  <c r="DQ253" i="1"/>
  <c r="BS247" i="1"/>
  <c r="BT247" i="1"/>
  <c r="AD244" i="1"/>
  <c r="CM242" i="1"/>
  <c r="BT239" i="1"/>
  <c r="AN223" i="1"/>
  <c r="BT222" i="1"/>
  <c r="BW222" i="1" s="1"/>
  <c r="DQ212" i="1"/>
  <c r="DU212" i="1" s="1"/>
  <c r="K210" i="1"/>
  <c r="N210" i="1" s="1"/>
  <c r="K176" i="1"/>
  <c r="N176" i="1" s="1"/>
  <c r="EL175" i="1"/>
  <c r="BT254" i="1"/>
  <c r="BS254" i="1"/>
  <c r="BW254" i="1" s="1"/>
  <c r="U252" i="1"/>
  <c r="X252" i="1"/>
  <c r="EL233" i="1"/>
  <c r="AO206" i="1"/>
  <c r="AR206" i="1" s="1"/>
  <c r="EL204" i="1"/>
  <c r="AN203" i="1"/>
  <c r="AO203" i="1"/>
  <c r="BI197" i="1"/>
  <c r="BJ197" i="1"/>
  <c r="CC194" i="1"/>
  <c r="CG194" i="1"/>
  <c r="AN180" i="1"/>
  <c r="AR180" i="1" s="1"/>
  <c r="BJ305" i="1"/>
  <c r="BM305" i="1" s="1"/>
  <c r="DR299" i="1"/>
  <c r="DU299" i="1" s="1"/>
  <c r="CQ294" i="1"/>
  <c r="AE294" i="1"/>
  <c r="AH294" i="1" s="1"/>
  <c r="CN288" i="1"/>
  <c r="CQ288" i="1" s="1"/>
  <c r="BM287" i="1"/>
  <c r="BC282" i="1"/>
  <c r="BJ281" i="1"/>
  <c r="BM281" i="1" s="1"/>
  <c r="AE276" i="1"/>
  <c r="AH276" i="1" s="1"/>
  <c r="AL276" i="1" s="1"/>
  <c r="DH273" i="1"/>
  <c r="DK273" i="1" s="1"/>
  <c r="AN272" i="1"/>
  <c r="AR272" i="1" s="1"/>
  <c r="BM271" i="1"/>
  <c r="U271" i="1"/>
  <c r="X271" i="1" s="1"/>
  <c r="DQ269" i="1"/>
  <c r="DR269" i="1"/>
  <c r="CD267" i="1"/>
  <c r="CG267" i="1" s="1"/>
  <c r="AD266" i="1"/>
  <c r="AE266" i="1"/>
  <c r="AR265" i="1"/>
  <c r="AX262" i="1"/>
  <c r="AZ262" i="1"/>
  <c r="CQ256" i="1"/>
  <c r="CG252" i="1"/>
  <c r="AN250" i="1"/>
  <c r="AO250" i="1"/>
  <c r="AX240" i="1"/>
  <c r="AZ240" i="1"/>
  <c r="CN235" i="1"/>
  <c r="CQ235" i="1" s="1"/>
  <c r="AX232" i="1"/>
  <c r="AZ232" i="1"/>
  <c r="DQ230" i="1"/>
  <c r="DU230" i="1" s="1"/>
  <c r="T220" i="1"/>
  <c r="U220" i="1"/>
  <c r="EL213" i="1"/>
  <c r="K209" i="1"/>
  <c r="N209" i="1" s="1"/>
  <c r="CM188" i="1"/>
  <c r="CN188" i="1"/>
  <c r="CN185" i="1"/>
  <c r="CQ185" i="1" s="1"/>
  <c r="DH260" i="1"/>
  <c r="DK260" i="1" s="1"/>
  <c r="CW228" i="1"/>
  <c r="CX228" i="1"/>
  <c r="BI225" i="1"/>
  <c r="BJ225" i="1"/>
  <c r="CQ306" i="1"/>
  <c r="BT303" i="1"/>
  <c r="BW303" i="1" s="1"/>
  <c r="BT302" i="1"/>
  <c r="BW302" i="1" s="1"/>
  <c r="U302" i="1"/>
  <c r="X302" i="1" s="1"/>
  <c r="X301" i="1"/>
  <c r="DR300" i="1"/>
  <c r="DU300" i="1" s="1"/>
  <c r="CD299" i="1"/>
  <c r="CG299" i="1" s="1"/>
  <c r="AE299" i="1"/>
  <c r="AH299" i="1" s="1"/>
  <c r="CD296" i="1"/>
  <c r="CG296" i="1" s="1"/>
  <c r="AO295" i="1"/>
  <c r="AR295" i="1" s="1"/>
  <c r="CN293" i="1"/>
  <c r="CQ293" i="1" s="1"/>
  <c r="AO292" i="1"/>
  <c r="AR292" i="1" s="1"/>
  <c r="CX289" i="1"/>
  <c r="DA289" i="1" s="1"/>
  <c r="AZ289" i="1"/>
  <c r="BC289" i="1" s="1"/>
  <c r="AZ288" i="1"/>
  <c r="BC288" i="1" s="1"/>
  <c r="CX286" i="1"/>
  <c r="DA286" i="1" s="1"/>
  <c r="K285" i="1"/>
  <c r="N285" i="1" s="1"/>
  <c r="BC284" i="1"/>
  <c r="K284" i="1"/>
  <c r="N284" i="1" s="1"/>
  <c r="DH283" i="1"/>
  <c r="DK283" i="1" s="1"/>
  <c r="DH282" i="1"/>
  <c r="DK282" i="1" s="1"/>
  <c r="BJ282" i="1"/>
  <c r="BM282" i="1" s="1"/>
  <c r="U281" i="1"/>
  <c r="X281" i="1" s="1"/>
  <c r="CW276" i="1"/>
  <c r="DA276" i="1" s="1"/>
  <c r="DE276" i="1" s="1"/>
  <c r="BT276" i="1"/>
  <c r="BW276" i="1" s="1"/>
  <c r="CA276" i="1" s="1"/>
  <c r="BS275" i="1"/>
  <c r="BW275" i="1" s="1"/>
  <c r="AO275" i="1"/>
  <c r="AR275" i="1" s="1"/>
  <c r="DH274" i="1"/>
  <c r="DK274" i="1" s="1"/>
  <c r="CD273" i="1"/>
  <c r="CG273" i="1" s="1"/>
  <c r="CN271" i="1"/>
  <c r="CQ271" i="1" s="1"/>
  <c r="AO269" i="1"/>
  <c r="AR269" i="1" s="1"/>
  <c r="DR268" i="1"/>
  <c r="DU268" i="1" s="1"/>
  <c r="DG266" i="1"/>
  <c r="DH266" i="1"/>
  <c r="DQ265" i="1"/>
  <c r="DR265" i="1"/>
  <c r="AE262" i="1"/>
  <c r="AH262" i="1" s="1"/>
  <c r="BJ259" i="1"/>
  <c r="BM259" i="1" s="1"/>
  <c r="AZ258" i="1"/>
  <c r="BC258" i="1" s="1"/>
  <c r="AO257" i="1"/>
  <c r="AR257" i="1"/>
  <c r="EL256" i="1"/>
  <c r="T255" i="1"/>
  <c r="U255" i="1"/>
  <c r="DG249" i="1"/>
  <c r="DK249" i="1" s="1"/>
  <c r="BI249" i="1"/>
  <c r="BJ249" i="1"/>
  <c r="K248" i="1"/>
  <c r="N248" i="1"/>
  <c r="EL247" i="1"/>
  <c r="K247" i="1"/>
  <c r="K241" i="1"/>
  <c r="N241" i="1" s="1"/>
  <c r="CW239" i="1"/>
  <c r="CX239" i="1"/>
  <c r="BI238" i="1"/>
  <c r="BM238" i="1" s="1"/>
  <c r="AO236" i="1"/>
  <c r="AR236" i="1" s="1"/>
  <c r="T234" i="1"/>
  <c r="X234" i="1"/>
  <c r="CW231" i="1"/>
  <c r="CX231" i="1"/>
  <c r="AO225" i="1"/>
  <c r="AN225" i="1"/>
  <c r="CX221" i="1"/>
  <c r="DA221" i="1" s="1"/>
  <c r="AO221" i="1"/>
  <c r="AN221" i="1"/>
  <c r="AX211" i="1"/>
  <c r="BC211" i="1" s="1"/>
  <c r="CN207" i="1"/>
  <c r="CQ207" i="1"/>
  <c r="CM206" i="1"/>
  <c r="CN206" i="1"/>
  <c r="AN204" i="1"/>
  <c r="AO204" i="1"/>
  <c r="AZ202" i="1"/>
  <c r="BC202" i="1" s="1"/>
  <c r="AR197" i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5" i="1"/>
  <c r="DR303" i="1"/>
  <c r="DU303" i="1" s="1"/>
  <c r="CQ298" i="1"/>
  <c r="AE298" i="1"/>
  <c r="AH298" i="1" s="1"/>
  <c r="CN292" i="1"/>
  <c r="CQ292" i="1" s="1"/>
  <c r="BC286" i="1"/>
  <c r="BJ285" i="1"/>
  <c r="BM285" i="1" s="1"/>
  <c r="DR279" i="1"/>
  <c r="DU279" i="1" s="1"/>
  <c r="AE278" i="1"/>
  <c r="AH278" i="1" s="1"/>
  <c r="DH275" i="1"/>
  <c r="DK275" i="1" s="1"/>
  <c r="AN274" i="1"/>
  <c r="AR274" i="1" s="1"/>
  <c r="K274" i="1"/>
  <c r="N274" i="1" s="1"/>
  <c r="DR271" i="1"/>
  <c r="DU271" i="1" s="1"/>
  <c r="EL269" i="1"/>
  <c r="BM268" i="1"/>
  <c r="AD268" i="1"/>
  <c r="AE268" i="1"/>
  <c r="T265" i="1"/>
  <c r="U265" i="1"/>
  <c r="AX264" i="1"/>
  <c r="AZ264" i="1"/>
  <c r="BI263" i="1"/>
  <c r="BJ263" i="1"/>
  <c r="DG261" i="1"/>
  <c r="DH261" i="1"/>
  <c r="DK261" i="1" s="1"/>
  <c r="BT260" i="1"/>
  <c r="BW260" i="1" s="1"/>
  <c r="EL258" i="1"/>
  <c r="U254" i="1"/>
  <c r="X254" i="1" s="1"/>
  <c r="BS244" i="1"/>
  <c r="BW244" i="1" s="1"/>
  <c r="CW243" i="1"/>
  <c r="DA243" i="1" s="1"/>
  <c r="X243" i="1"/>
  <c r="EL236" i="1"/>
  <c r="BI230" i="1"/>
  <c r="BM230" i="1" s="1"/>
  <c r="T228" i="1"/>
  <c r="X228" i="1" s="1"/>
  <c r="CN224" i="1"/>
  <c r="CQ224" i="1" s="1"/>
  <c r="CM211" i="1"/>
  <c r="CN211" i="1"/>
  <c r="BS211" i="1"/>
  <c r="BT211" i="1"/>
  <c r="AZ205" i="1"/>
  <c r="BC205" i="1" s="1"/>
  <c r="EL200" i="1"/>
  <c r="K196" i="1"/>
  <c r="N196" i="1" s="1"/>
  <c r="EL192" i="1"/>
  <c r="T190" i="1"/>
  <c r="U190" i="1"/>
  <c r="X190" i="1" s="1"/>
  <c r="EL188" i="1"/>
  <c r="CC184" i="1"/>
  <c r="CD184" i="1"/>
  <c r="DH182" i="1"/>
  <c r="DK182" i="1" s="1"/>
  <c r="DQ181" i="1"/>
  <c r="DR181" i="1"/>
  <c r="X305" i="1"/>
  <c r="AZ293" i="1"/>
  <c r="BC293" i="1" s="1"/>
  <c r="AZ292" i="1"/>
  <c r="BC292" i="1" s="1"/>
  <c r="CX290" i="1"/>
  <c r="DA290" i="1" s="1"/>
  <c r="K289" i="1"/>
  <c r="N289" i="1" s="1"/>
  <c r="K288" i="1"/>
  <c r="N288" i="1" s="1"/>
  <c r="DH287" i="1"/>
  <c r="DK287" i="1" s="1"/>
  <c r="CW278" i="1"/>
  <c r="DA278" i="1" s="1"/>
  <c r="BS277" i="1"/>
  <c r="BW277" i="1" s="1"/>
  <c r="CD274" i="1"/>
  <c r="CG274" i="1" s="1"/>
  <c r="CM268" i="1"/>
  <c r="CN268" i="1"/>
  <c r="CQ268" i="1" s="1"/>
  <c r="CX258" i="1"/>
  <c r="DA258" i="1" s="1"/>
  <c r="AO247" i="1"/>
  <c r="AR247" i="1" s="1"/>
  <c r="N247" i="1"/>
  <c r="EL245" i="1"/>
  <c r="EL240" i="1"/>
  <c r="DG237" i="1"/>
  <c r="DK237" i="1"/>
  <c r="DG234" i="1"/>
  <c r="DH234" i="1"/>
  <c r="BS234" i="1"/>
  <c r="BT234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3" i="1"/>
  <c r="CD263" i="1"/>
  <c r="BT246" i="1"/>
  <c r="BW246" i="1" s="1"/>
  <c r="BJ289" i="1"/>
  <c r="BM289" i="1" s="1"/>
  <c r="AN276" i="1"/>
  <c r="AR276" i="1" s="1"/>
  <c r="AV276" i="1" s="1"/>
  <c r="BI267" i="1"/>
  <c r="BJ267" i="1"/>
  <c r="CM266" i="1"/>
  <c r="CN266" i="1"/>
  <c r="EL265" i="1"/>
  <c r="BI261" i="1"/>
  <c r="BJ261" i="1"/>
  <c r="EL246" i="1"/>
  <c r="AN239" i="1"/>
  <c r="AO239" i="1"/>
  <c r="AX235" i="1"/>
  <c r="AZ235" i="1"/>
  <c r="AX234" i="1"/>
  <c r="BC234" i="1" s="1"/>
  <c r="DG229" i="1"/>
  <c r="DK229" i="1" s="1"/>
  <c r="CW222" i="1"/>
  <c r="CX222" i="1"/>
  <c r="X204" i="1"/>
  <c r="AB204" i="1" s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CG275" i="1"/>
  <c r="AZ270" i="1"/>
  <c r="BC270" i="1" s="1"/>
  <c r="DQ267" i="1"/>
  <c r="DR267" i="1"/>
  <c r="AD264" i="1"/>
  <c r="AE264" i="1"/>
  <c r="K261" i="1"/>
  <c r="DG253" i="1"/>
  <c r="DH253" i="1"/>
  <c r="DR241" i="1"/>
  <c r="DU241" i="1" s="1"/>
  <c r="CN238" i="1"/>
  <c r="CQ238" i="1" s="1"/>
  <c r="AN233" i="1"/>
  <c r="AO233" i="1"/>
  <c r="AR233" i="1" s="1"/>
  <c r="AN231" i="1"/>
  <c r="AO231" i="1"/>
  <c r="BS227" i="1"/>
  <c r="BT227" i="1"/>
  <c r="AX227" i="1"/>
  <c r="AZ227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N180" i="1" s="1"/>
  <c r="CG305" i="1"/>
  <c r="CG281" i="1"/>
  <c r="AN278" i="1"/>
  <c r="AR278" i="1" s="1"/>
  <c r="BC274" i="1"/>
  <c r="CQ273" i="1"/>
  <c r="X273" i="1"/>
  <c r="DH270" i="1"/>
  <c r="DK270" i="1" s="1"/>
  <c r="U269" i="1"/>
  <c r="X269" i="1" s="1"/>
  <c r="CC265" i="1"/>
  <c r="CD265" i="1"/>
  <c r="DG264" i="1"/>
  <c r="DH264" i="1"/>
  <c r="DQ263" i="1"/>
  <c r="DR263" i="1"/>
  <c r="BT252" i="1"/>
  <c r="BW252" i="1" s="1"/>
  <c r="DR251" i="1"/>
  <c r="DU251" i="1" s="1"/>
  <c r="BT251" i="1"/>
  <c r="BW251" i="1" s="1"/>
  <c r="BS236" i="1"/>
  <c r="BW236" i="1" s="1"/>
  <c r="DQ235" i="1"/>
  <c r="DU235" i="1" s="1"/>
  <c r="CN230" i="1"/>
  <c r="CQ230" i="1" s="1"/>
  <c r="DG228" i="1"/>
  <c r="DH228" i="1"/>
  <c r="BS228" i="1"/>
  <c r="BT228" i="1"/>
  <c r="BW228" i="1" s="1"/>
  <c r="EL223" i="1"/>
  <c r="EL217" i="1"/>
  <c r="K206" i="1"/>
  <c r="N206" i="1" s="1"/>
  <c r="DG183" i="1"/>
  <c r="DK183" i="1" s="1"/>
  <c r="DA270" i="1"/>
  <c r="DA268" i="1"/>
  <c r="BW263" i="1"/>
  <c r="BS258" i="1"/>
  <c r="BW258" i="1" s="1"/>
  <c r="CW255" i="1"/>
  <c r="DA255" i="1" s="1"/>
  <c r="AN253" i="1"/>
  <c r="AR253" i="1" s="1"/>
  <c r="EL238" i="1"/>
  <c r="U236" i="1"/>
  <c r="X236" i="1" s="1"/>
  <c r="EL230" i="1"/>
  <c r="CD222" i="1"/>
  <c r="CG222" i="1" s="1"/>
  <c r="AX221" i="1"/>
  <c r="AZ221" i="1"/>
  <c r="EL218" i="1"/>
  <c r="BT218" i="1"/>
  <c r="BW218" i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0" i="1"/>
  <c r="CQ260" i="1" s="1"/>
  <c r="AO260" i="1"/>
  <c r="AR260" i="1" s="1"/>
  <c r="CD259" i="1"/>
  <c r="CG259" i="1" s="1"/>
  <c r="DR257" i="1"/>
  <c r="DU257" i="1" s="1"/>
  <c r="BT257" i="1"/>
  <c r="BW257" i="1" s="1"/>
  <c r="BS238" i="1"/>
  <c r="BW238" i="1" s="1"/>
  <c r="AX236" i="1"/>
  <c r="BC236" i="1" s="1"/>
  <c r="AN235" i="1"/>
  <c r="AO235" i="1"/>
  <c r="BC231" i="1"/>
  <c r="BS230" i="1"/>
  <c r="BW230" i="1" s="1"/>
  <c r="CX225" i="1"/>
  <c r="DA225" i="1" s="1"/>
  <c r="CX223" i="1"/>
  <c r="CW223" i="1"/>
  <c r="DA223" i="1" s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1" i="1"/>
  <c r="DA251" i="1" s="1"/>
  <c r="BS248" i="1"/>
  <c r="BW248" i="1" s="1"/>
  <c r="BI247" i="1"/>
  <c r="BM247" i="1" s="1"/>
  <c r="AN243" i="1"/>
  <c r="AR243" i="1" s="1"/>
  <c r="AN240" i="1"/>
  <c r="AR240" i="1" s="1"/>
  <c r="DR239" i="1"/>
  <c r="DU239" i="1" s="1"/>
  <c r="CM239" i="1"/>
  <c r="CQ239" i="1" s="1"/>
  <c r="EL237" i="1"/>
  <c r="DG236" i="1"/>
  <c r="DH236" i="1"/>
  <c r="BJ234" i="1"/>
  <c r="BM234" i="1" s="1"/>
  <c r="AN232" i="1"/>
  <c r="AR232" i="1" s="1"/>
  <c r="DR231" i="1"/>
  <c r="DU231" i="1" s="1"/>
  <c r="CM231" i="1"/>
  <c r="CQ231" i="1" s="1"/>
  <c r="EL229" i="1"/>
  <c r="BT226" i="1"/>
  <c r="BS226" i="1"/>
  <c r="BW226" i="1" s="1"/>
  <c r="EL222" i="1"/>
  <c r="CQ222" i="1"/>
  <c r="K220" i="1"/>
  <c r="N220" i="1" s="1"/>
  <c r="AO219" i="1"/>
  <c r="AR219" i="1" s="1"/>
  <c r="CM216" i="1"/>
  <c r="CN216" i="1"/>
  <c r="CM214" i="1"/>
  <c r="CQ214" i="1"/>
  <c r="T214" i="1"/>
  <c r="X214" i="1" s="1"/>
  <c r="T213" i="1"/>
  <c r="U213" i="1"/>
  <c r="K211" i="1"/>
  <c r="N211" i="1" s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4" i="1"/>
  <c r="DK254" i="1" s="1"/>
  <c r="BJ251" i="1"/>
  <c r="BM251" i="1" s="1"/>
  <c r="K251" i="1"/>
  <c r="N251" i="1" s="1"/>
  <c r="K243" i="1"/>
  <c r="N243" i="1" s="1"/>
  <c r="EL232" i="1"/>
  <c r="AN229" i="1"/>
  <c r="AO229" i="1"/>
  <c r="U224" i="1"/>
  <c r="X224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0" i="1"/>
  <c r="BC260" i="1" s="1"/>
  <c r="AN259" i="1"/>
  <c r="AR259" i="1" s="1"/>
  <c r="CN258" i="1"/>
  <c r="CQ258" i="1" s="1"/>
  <c r="AO258" i="1"/>
  <c r="AR258" i="1" s="1"/>
  <c r="CD257" i="1"/>
  <c r="CG257" i="1" s="1"/>
  <c r="DR255" i="1"/>
  <c r="DU255" i="1" s="1"/>
  <c r="BT255" i="1"/>
  <c r="BW255" i="1" s="1"/>
  <c r="BJ253" i="1"/>
  <c r="BM253" i="1" s="1"/>
  <c r="K253" i="1"/>
  <c r="N253" i="1" s="1"/>
  <c r="DH251" i="1"/>
  <c r="DK251" i="1" s="1"/>
  <c r="AO248" i="1"/>
  <c r="AR248" i="1" s="1"/>
  <c r="CW247" i="1"/>
  <c r="DA247" i="1" s="1"/>
  <c r="CX246" i="1"/>
  <c r="DA246" i="1" s="1"/>
  <c r="CM244" i="1"/>
  <c r="CQ244" i="1" s="1"/>
  <c r="DQ243" i="1"/>
  <c r="DU243" i="1" s="1"/>
  <c r="BS240" i="1"/>
  <c r="BW240" i="1" s="1"/>
  <c r="AX238" i="1"/>
  <c r="BC238" i="1" s="1"/>
  <c r="BT237" i="1"/>
  <c r="BW237" i="1" s="1"/>
  <c r="AN237" i="1"/>
  <c r="AO237" i="1"/>
  <c r="CM236" i="1"/>
  <c r="CQ236" i="1" s="1"/>
  <c r="DH235" i="1"/>
  <c r="DK235" i="1" s="1"/>
  <c r="DQ234" i="1"/>
  <c r="DU234" i="1" s="1"/>
  <c r="BS232" i="1"/>
  <c r="BW232" i="1" s="1"/>
  <c r="AX230" i="1"/>
  <c r="BC230" i="1" s="1"/>
  <c r="BT229" i="1"/>
  <c r="BW229" i="1" s="1"/>
  <c r="AN228" i="1"/>
  <c r="AR228" i="1" s="1"/>
  <c r="EL215" i="1"/>
  <c r="CG215" i="1"/>
  <c r="DQ205" i="1"/>
  <c r="DU205" i="1" s="1"/>
  <c r="AE201" i="1"/>
  <c r="AH201" i="1" s="1"/>
  <c r="K197" i="1"/>
  <c r="N197" i="1" s="1"/>
  <c r="AE195" i="1"/>
  <c r="AH195" i="1" s="1"/>
  <c r="AN191" i="1"/>
  <c r="AR191" i="1" s="1"/>
  <c r="AD187" i="1"/>
  <c r="AE187" i="1"/>
  <c r="CM186" i="1"/>
  <c r="CN186" i="1"/>
  <c r="CC183" i="1"/>
  <c r="CD183" i="1"/>
  <c r="CG183" i="1" s="1"/>
  <c r="DQ179" i="1"/>
  <c r="DU179" i="1" s="1"/>
  <c r="T178" i="1"/>
  <c r="U178" i="1"/>
  <c r="N177" i="1"/>
  <c r="CD248" i="1"/>
  <c r="CG248" i="1" s="1"/>
  <c r="AD246" i="1"/>
  <c r="AH246" i="1" s="1"/>
  <c r="BI245" i="1"/>
  <c r="BM245" i="1" s="1"/>
  <c r="AN241" i="1"/>
  <c r="AR241" i="1" s="1"/>
  <c r="EL239" i="1"/>
  <c r="DG238" i="1"/>
  <c r="DH238" i="1"/>
  <c r="EL231" i="1"/>
  <c r="DG230" i="1"/>
  <c r="DH230" i="1"/>
  <c r="EL227" i="1"/>
  <c r="EL226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4" i="1"/>
  <c r="EL228" i="1"/>
  <c r="DG223" i="1"/>
  <c r="DH223" i="1"/>
  <c r="AD218" i="1"/>
  <c r="AH218" i="1" s="1"/>
  <c r="BT217" i="1"/>
  <c r="BW217" i="1" s="1"/>
  <c r="N215" i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6" i="1"/>
  <c r="N226" i="1" s="1"/>
  <c r="K216" i="1"/>
  <c r="N216" i="1" s="1"/>
  <c r="DQ215" i="1"/>
  <c r="DR215" i="1"/>
  <c r="BI214" i="1"/>
  <c r="BJ214" i="1"/>
  <c r="CD210" i="1"/>
  <c r="CG210" i="1" s="1"/>
  <c r="BC210" i="1"/>
  <c r="AZ203" i="1"/>
  <c r="BC203" i="1" s="1"/>
  <c r="EL202" i="1"/>
  <c r="CM201" i="1"/>
  <c r="CN201" i="1"/>
  <c r="DQ193" i="1"/>
  <c r="DU193" i="1" s="1"/>
  <c r="CG192" i="1"/>
  <c r="AH191" i="1"/>
  <c r="AE189" i="1"/>
  <c r="AH189" i="1" s="1"/>
  <c r="T186" i="1"/>
  <c r="U186" i="1"/>
  <c r="CM182" i="1"/>
  <c r="CQ182" i="1" s="1"/>
  <c r="CC180" i="1"/>
  <c r="CD180" i="1"/>
  <c r="CX179" i="1"/>
  <c r="DA179" i="1" s="1"/>
  <c r="BT224" i="1"/>
  <c r="BW224" i="1" s="1"/>
  <c r="K222" i="1"/>
  <c r="N222" i="1" s="1"/>
  <c r="K217" i="1"/>
  <c r="AE213" i="1"/>
  <c r="AH213" i="1" s="1"/>
  <c r="BW198" i="1"/>
  <c r="CA198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7" i="1"/>
  <c r="CQ227" i="1" s="1"/>
  <c r="CX219" i="1"/>
  <c r="DA219" i="1" s="1"/>
  <c r="U216" i="1"/>
  <c r="X216" i="1" s="1"/>
  <c r="BT215" i="1"/>
  <c r="BW215" i="1" s="1"/>
  <c r="DG214" i="1"/>
  <c r="DH214" i="1"/>
  <c r="AD210" i="1"/>
  <c r="AE210" i="1"/>
  <c r="AH210" i="1" s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N198" i="1" s="1"/>
  <c r="DQ197" i="1"/>
  <c r="DU197" i="1"/>
  <c r="AD192" i="1"/>
  <c r="AH192" i="1" s="1"/>
  <c r="BS186" i="1"/>
  <c r="BT186" i="1"/>
  <c r="EL183" i="1"/>
  <c r="CN183" i="1"/>
  <c r="CQ183" i="1" s="1"/>
  <c r="AZ179" i="1"/>
  <c r="BC179" i="1"/>
  <c r="EL178" i="1"/>
  <c r="CM177" i="1"/>
  <c r="CN177" i="1"/>
  <c r="CG175" i="1"/>
  <c r="CC175" i="1"/>
  <c r="CD175" i="1"/>
  <c r="BC216" i="1"/>
  <c r="BJ215" i="1"/>
  <c r="BM215" i="1" s="1"/>
  <c r="DR209" i="1"/>
  <c r="DU209" i="1" s="1"/>
  <c r="X209" i="1"/>
  <c r="AB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X187" i="1"/>
  <c r="X215" i="1"/>
  <c r="CG209" i="1"/>
  <c r="CK209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N170" i="1" s="1"/>
  <c r="EL169" i="1"/>
  <c r="CX169" i="1"/>
  <c r="DA169" i="1" s="1"/>
  <c r="AO167" i="1"/>
  <c r="AR167" i="1" s="1"/>
  <c r="BT166" i="1"/>
  <c r="BW166" i="1" s="1"/>
  <c r="K164" i="1"/>
  <c r="N164" i="1" s="1"/>
  <c r="CX163" i="1"/>
  <c r="DA163" i="1" s="1"/>
  <c r="CN159" i="1"/>
  <c r="CQ159" i="1"/>
  <c r="BJ158" i="1"/>
  <c r="BM158" i="1" s="1"/>
  <c r="CD154" i="1"/>
  <c r="CG154" i="1" s="1"/>
  <c r="K151" i="1"/>
  <c r="N151" i="1" s="1"/>
  <c r="AZ150" i="1"/>
  <c r="BC150" i="1" s="1"/>
  <c r="BG150" i="1" s="1"/>
  <c r="EL148" i="1"/>
  <c r="CG146" i="1"/>
  <c r="AH146" i="1"/>
  <c r="AH134" i="1"/>
  <c r="DQ128" i="1"/>
  <c r="DR128" i="1"/>
  <c r="DU128" i="1" s="1"/>
  <c r="K120" i="1"/>
  <c r="N120" i="1" s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BW134" i="1" s="1"/>
  <c r="AD109" i="1"/>
  <c r="AE109" i="1"/>
  <c r="CX175" i="1"/>
  <c r="AO175" i="1"/>
  <c r="EL159" i="1"/>
  <c r="CX159" i="1"/>
  <c r="DR158" i="1"/>
  <c r="DU158" i="1" s="1"/>
  <c r="AO154" i="1"/>
  <c r="AR154" i="1" s="1"/>
  <c r="BT151" i="1"/>
  <c r="BW151" i="1" s="1"/>
  <c r="CC147" i="1"/>
  <c r="CD147" i="1"/>
  <c r="K144" i="1"/>
  <c r="N144" i="1" s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N143" i="1" s="1"/>
  <c r="AZ142" i="1"/>
  <c r="BC142" i="1" s="1"/>
  <c r="AD129" i="1"/>
  <c r="AE129" i="1"/>
  <c r="AH129" i="1" s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A159" i="1"/>
  <c r="DR156" i="1"/>
  <c r="DU156" i="1" s="1"/>
  <c r="BJ156" i="1"/>
  <c r="BM156" i="1" s="1"/>
  <c r="CQ153" i="1"/>
  <c r="EL149" i="1"/>
  <c r="AD147" i="1"/>
  <c r="AE147" i="1"/>
  <c r="AH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N162" i="1" s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N141" i="1" s="1"/>
  <c r="AX139" i="1"/>
  <c r="AZ139" i="1"/>
  <c r="AD139" i="1"/>
  <c r="AE139" i="1"/>
  <c r="DG138" i="1"/>
  <c r="DH138" i="1"/>
  <c r="K138" i="1"/>
  <c r="N138" i="1" s="1"/>
  <c r="AO137" i="1"/>
  <c r="AR137" i="1" s="1"/>
  <c r="CM127" i="1"/>
  <c r="CN127" i="1"/>
  <c r="BT174" i="1"/>
  <c r="K172" i="1"/>
  <c r="N172" i="1" s="1"/>
  <c r="CX171" i="1"/>
  <c r="AO169" i="1"/>
  <c r="BT168" i="1"/>
  <c r="K166" i="1"/>
  <c r="CX165" i="1"/>
  <c r="AO163" i="1"/>
  <c r="BT156" i="1"/>
  <c r="K156" i="1"/>
  <c r="N156" i="1" s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X134" i="1"/>
  <c r="CW129" i="1"/>
  <c r="CX129" i="1"/>
  <c r="U123" i="1"/>
  <c r="X123" i="1" s="1"/>
  <c r="BI118" i="1"/>
  <c r="BJ118" i="1"/>
  <c r="BM118" i="1" s="1"/>
  <c r="CQ113" i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DA137" i="1"/>
  <c r="BI136" i="1"/>
  <c r="BJ136" i="1"/>
  <c r="BM136" i="1" s="1"/>
  <c r="BS123" i="1"/>
  <c r="BT123" i="1"/>
  <c r="CQ121" i="1"/>
  <c r="AZ117" i="1"/>
  <c r="BC117" i="1" s="1"/>
  <c r="EL115" i="1"/>
  <c r="DQ104" i="1"/>
  <c r="DR104" i="1"/>
  <c r="CC93" i="1"/>
  <c r="CD93" i="1"/>
  <c r="BI93" i="1"/>
  <c r="BJ93" i="1"/>
  <c r="K90" i="1"/>
  <c r="N90" i="1" s="1"/>
  <c r="BI140" i="1"/>
  <c r="BM140" i="1" s="1"/>
  <c r="CM139" i="1"/>
  <c r="CQ139" i="1" s="1"/>
  <c r="DQ138" i="1"/>
  <c r="DU138" i="1" s="1"/>
  <c r="CT134" i="1"/>
  <c r="CU134" i="1" s="1"/>
  <c r="BI130" i="1"/>
  <c r="BJ130" i="1"/>
  <c r="EL126" i="1"/>
  <c r="AH125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N173" i="1" s="1"/>
  <c r="CX172" i="1"/>
  <c r="DA172" i="1" s="1"/>
  <c r="AO172" i="1"/>
  <c r="AR172" i="1" s="1"/>
  <c r="BT171" i="1"/>
  <c r="BW171" i="1" s="1"/>
  <c r="K171" i="1"/>
  <c r="N171" i="1" s="1"/>
  <c r="CX170" i="1"/>
  <c r="DA170" i="1" s="1"/>
  <c r="AO170" i="1"/>
  <c r="AR170" i="1" s="1"/>
  <c r="BT169" i="1"/>
  <c r="BW169" i="1" s="1"/>
  <c r="K169" i="1"/>
  <c r="N169" i="1" s="1"/>
  <c r="CX168" i="1"/>
  <c r="DA168" i="1" s="1"/>
  <c r="AO168" i="1"/>
  <c r="AR168" i="1" s="1"/>
  <c r="BT167" i="1"/>
  <c r="BW167" i="1" s="1"/>
  <c r="K167" i="1"/>
  <c r="N167" i="1" s="1"/>
  <c r="CX166" i="1"/>
  <c r="DA166" i="1" s="1"/>
  <c r="AO166" i="1"/>
  <c r="AR166" i="1" s="1"/>
  <c r="BT165" i="1"/>
  <c r="BW165" i="1" s="1"/>
  <c r="K165" i="1"/>
  <c r="N165" i="1" s="1"/>
  <c r="CX164" i="1"/>
  <c r="DA164" i="1" s="1"/>
  <c r="AO164" i="1"/>
  <c r="AR164" i="1" s="1"/>
  <c r="BT163" i="1"/>
  <c r="BW163" i="1" s="1"/>
  <c r="K163" i="1"/>
  <c r="N163" i="1" s="1"/>
  <c r="CX162" i="1"/>
  <c r="DA162" i="1" s="1"/>
  <c r="AO162" i="1"/>
  <c r="AR162" i="1" s="1"/>
  <c r="BT161" i="1"/>
  <c r="BW161" i="1" s="1"/>
  <c r="K161" i="1"/>
  <c r="N161" i="1" s="1"/>
  <c r="CX160" i="1"/>
  <c r="DA160" i="1" s="1"/>
  <c r="AO160" i="1"/>
  <c r="AR160" i="1" s="1"/>
  <c r="BT159" i="1"/>
  <c r="BW159" i="1" s="1"/>
  <c r="K159" i="1"/>
  <c r="N159" i="1" s="1"/>
  <c r="CX158" i="1"/>
  <c r="DA158" i="1" s="1"/>
  <c r="AO158" i="1"/>
  <c r="AR158" i="1" s="1"/>
  <c r="BT157" i="1"/>
  <c r="BW157" i="1" s="1"/>
  <c r="K157" i="1"/>
  <c r="N157" i="1" s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N146" i="1" s="1"/>
  <c r="CD141" i="1"/>
  <c r="CG141" i="1" s="1"/>
  <c r="CK141" i="1" s="1"/>
  <c r="CW140" i="1"/>
  <c r="CX140" i="1"/>
  <c r="AR139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M134" i="1" s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DA139" i="1"/>
  <c r="T139" i="1"/>
  <c r="U139" i="1"/>
  <c r="AX138" i="1"/>
  <c r="AZ138" i="1"/>
  <c r="DQ136" i="1"/>
  <c r="DR136" i="1"/>
  <c r="BW136" i="1"/>
  <c r="EL133" i="1"/>
  <c r="BC133" i="1"/>
  <c r="AD128" i="1"/>
  <c r="AH128" i="1" s="1"/>
  <c r="EL127" i="1"/>
  <c r="CD125" i="1"/>
  <c r="BI125" i="1"/>
  <c r="BJ125" i="1"/>
  <c r="AN116" i="1"/>
  <c r="AR116" i="1"/>
  <c r="K93" i="1"/>
  <c r="N93" i="1" s="1"/>
  <c r="T89" i="1"/>
  <c r="U89" i="1"/>
  <c r="AE131" i="1"/>
  <c r="BT130" i="1"/>
  <c r="CC125" i="1"/>
  <c r="CG125" i="1" s="1"/>
  <c r="DA123" i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N96" i="1" s="1"/>
  <c r="DQ93" i="1"/>
  <c r="DR93" i="1"/>
  <c r="BP86" i="1"/>
  <c r="BQ86" i="1" s="1"/>
  <c r="AN86" i="1"/>
  <c r="AO86" i="1"/>
  <c r="EL85" i="1"/>
  <c r="AO140" i="1"/>
  <c r="AR140" i="1" s="1"/>
  <c r="BT139" i="1"/>
  <c r="BW139" i="1" s="1"/>
  <c r="K139" i="1"/>
  <c r="N139" i="1" s="1"/>
  <c r="CX138" i="1"/>
  <c r="DA138" i="1" s="1"/>
  <c r="AO138" i="1"/>
  <c r="AR138" i="1" s="1"/>
  <c r="BT137" i="1"/>
  <c r="BW137" i="1" s="1"/>
  <c r="K137" i="1"/>
  <c r="N137" i="1" s="1"/>
  <c r="CX136" i="1"/>
  <c r="DA136" i="1" s="1"/>
  <c r="EL128" i="1"/>
  <c r="K123" i="1"/>
  <c r="N123" i="1" s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DR131" i="1"/>
  <c r="DU131" i="1" s="1"/>
  <c r="DQ129" i="1"/>
  <c r="DU129" i="1" s="1"/>
  <c r="AZ128" i="1"/>
  <c r="BC128" i="1" s="1"/>
  <c r="AO126" i="1"/>
  <c r="BT125" i="1"/>
  <c r="BW125" i="1" s="1"/>
  <c r="DH124" i="1"/>
  <c r="AD124" i="1"/>
  <c r="AE124" i="1"/>
  <c r="BI123" i="1"/>
  <c r="BJ123" i="1"/>
  <c r="BM123" i="1" s="1"/>
  <c r="DA122" i="1"/>
  <c r="BT120" i="1"/>
  <c r="BW120" i="1" s="1"/>
  <c r="BI119" i="1"/>
  <c r="BJ119" i="1"/>
  <c r="EL116" i="1"/>
  <c r="CD116" i="1"/>
  <c r="CN109" i="1"/>
  <c r="CQ109" i="1" s="1"/>
  <c r="AR107" i="1"/>
  <c r="CD103" i="1"/>
  <c r="CG103" i="1" s="1"/>
  <c r="EL102" i="1"/>
  <c r="BT102" i="1"/>
  <c r="BW102" i="1" s="1"/>
  <c r="CW92" i="1"/>
  <c r="CX92" i="1"/>
  <c r="T82" i="1"/>
  <c r="U82" i="1"/>
  <c r="CT71" i="1"/>
  <c r="CU71" i="1" s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CG121" i="1"/>
  <c r="U120" i="1"/>
  <c r="X120" i="1" s="1"/>
  <c r="DH119" i="1"/>
  <c r="DK119" i="1" s="1"/>
  <c r="CN117" i="1"/>
  <c r="CQ117" i="1" s="1"/>
  <c r="EL114" i="1"/>
  <c r="BJ114" i="1"/>
  <c r="EL108" i="1"/>
  <c r="AD88" i="1"/>
  <c r="AE88" i="1"/>
  <c r="EL83" i="1"/>
  <c r="X132" i="1"/>
  <c r="CM126" i="1"/>
  <c r="CN126" i="1"/>
  <c r="CQ126" i="1"/>
  <c r="AR126" i="1"/>
  <c r="DK124" i="1"/>
  <c r="K119" i="1"/>
  <c r="N119" i="1" s="1"/>
  <c r="AD118" i="1"/>
  <c r="AH118" i="1" s="1"/>
  <c r="DH116" i="1"/>
  <c r="DK116" i="1" s="1"/>
  <c r="CG116" i="1"/>
  <c r="AD116" i="1"/>
  <c r="AH116" i="1" s="1"/>
  <c r="DH108" i="1"/>
  <c r="DK108" i="1" s="1"/>
  <c r="CD105" i="1"/>
  <c r="CG105" i="1" s="1"/>
  <c r="AD94" i="1"/>
  <c r="AE94" i="1"/>
  <c r="T91" i="1"/>
  <c r="U91" i="1"/>
  <c r="K84" i="1"/>
  <c r="N84" i="1" s="1"/>
  <c r="AE72" i="1"/>
  <c r="AD72" i="1"/>
  <c r="AH72" i="1" s="1"/>
  <c r="BC131" i="1"/>
  <c r="CM130" i="1"/>
  <c r="CQ130" i="1" s="1"/>
  <c r="BI129" i="1"/>
  <c r="BM129" i="1" s="1"/>
  <c r="CC128" i="1"/>
  <c r="CD128" i="1"/>
  <c r="AD122" i="1"/>
  <c r="AE122" i="1"/>
  <c r="BI121" i="1"/>
  <c r="BJ121" i="1"/>
  <c r="BM114" i="1"/>
  <c r="U111" i="1"/>
  <c r="X111" i="1" s="1"/>
  <c r="T97" i="1"/>
  <c r="U97" i="1"/>
  <c r="AN89" i="1"/>
  <c r="AO89" i="1"/>
  <c r="CT87" i="1"/>
  <c r="CU87" i="1" s="1"/>
  <c r="EL62" i="1"/>
  <c r="CM124" i="1"/>
  <c r="CN124" i="1"/>
  <c r="DQ123" i="1"/>
  <c r="DR123" i="1"/>
  <c r="K121" i="1"/>
  <c r="N121" i="1" s="1"/>
  <c r="EL118" i="1"/>
  <c r="CW115" i="1"/>
  <c r="CX115" i="1"/>
  <c r="AZ112" i="1"/>
  <c r="BC112" i="1" s="1"/>
  <c r="CM101" i="1"/>
  <c r="CQ101" i="1" s="1"/>
  <c r="AN95" i="1"/>
  <c r="AO95" i="1"/>
  <c r="X124" i="1"/>
  <c r="AE120" i="1"/>
  <c r="AH120" i="1" s="1"/>
  <c r="AO118" i="1"/>
  <c r="AR118" i="1" s="1"/>
  <c r="AR117" i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AB63" i="1" s="1"/>
  <c r="EL113" i="1"/>
  <c r="EL109" i="1"/>
  <c r="CD107" i="1"/>
  <c r="CG107" i="1" s="1"/>
  <c r="U107" i="1"/>
  <c r="X107" i="1" s="1"/>
  <c r="CT95" i="1"/>
  <c r="CU95" i="1" s="1"/>
  <c r="K94" i="1"/>
  <c r="K88" i="1"/>
  <c r="N88" i="1" s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N118" i="1" s="1"/>
  <c r="AH117" i="1"/>
  <c r="CN111" i="1"/>
  <c r="CQ111" i="1" s="1"/>
  <c r="AE111" i="1"/>
  <c r="AH111" i="1" s="1"/>
  <c r="DR108" i="1"/>
  <c r="DU108" i="1" s="1"/>
  <c r="BJ108" i="1"/>
  <c r="BM108" i="1" s="1"/>
  <c r="EL106" i="1"/>
  <c r="CQ105" i="1"/>
  <c r="BS99" i="1"/>
  <c r="BT99" i="1"/>
  <c r="CW97" i="1"/>
  <c r="CX97" i="1"/>
  <c r="EL93" i="1"/>
  <c r="BS92" i="1"/>
  <c r="BT92" i="1"/>
  <c r="CW91" i="1"/>
  <c r="CX91" i="1"/>
  <c r="AR90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AH115" i="1"/>
  <c r="DH102" i="1"/>
  <c r="DK102" i="1" s="1"/>
  <c r="CC102" i="1"/>
  <c r="CG102" i="1" s="1"/>
  <c r="AX99" i="1"/>
  <c r="BC99" i="1" s="1"/>
  <c r="CW98" i="1"/>
  <c r="CX98" i="1"/>
  <c r="BW95" i="1"/>
  <c r="CW94" i="1"/>
  <c r="CX94" i="1"/>
  <c r="BW89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CG91" i="1"/>
  <c r="BI85" i="1"/>
  <c r="BJ85" i="1"/>
  <c r="AE80" i="1"/>
  <c r="AH80" i="1" s="1"/>
  <c r="EL69" i="1"/>
  <c r="BM116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X75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/>
  <c r="CW100" i="1"/>
  <c r="CX100" i="1"/>
  <c r="DA100" i="1" s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BC92" i="1"/>
  <c r="CW89" i="1"/>
  <c r="CX89" i="1"/>
  <c r="AN87" i="1"/>
  <c r="AO87" i="1"/>
  <c r="BM83" i="1"/>
  <c r="DQ81" i="1"/>
  <c r="DR81" i="1"/>
  <c r="DG76" i="1"/>
  <c r="DH76" i="1"/>
  <c r="DK76" i="1" s="1"/>
  <c r="EL72" i="1"/>
  <c r="AR68" i="1"/>
  <c r="CD61" i="1"/>
  <c r="CG61" i="1" s="1"/>
  <c r="BM61" i="1"/>
  <c r="CM59" i="1"/>
  <c r="CQ59" i="1" s="1"/>
  <c r="CW49" i="1"/>
  <c r="CX49" i="1"/>
  <c r="DA49" i="1" s="1"/>
  <c r="K73" i="1"/>
  <c r="N73" i="1" s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BW93" i="1"/>
  <c r="DH92" i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AH81" i="1"/>
  <c r="BJ79" i="1"/>
  <c r="BM79" i="1" s="1"/>
  <c r="DG75" i="1"/>
  <c r="DH75" i="1"/>
  <c r="K49" i="1"/>
  <c r="N49" i="1" s="1"/>
  <c r="CN100" i="1"/>
  <c r="CQ100" i="1" s="1"/>
  <c r="BI99" i="1"/>
  <c r="BM99" i="1" s="1"/>
  <c r="CM98" i="1"/>
  <c r="CQ98" i="1"/>
  <c r="DA96" i="1"/>
  <c r="CG95" i="1"/>
  <c r="AR94" i="1"/>
  <c r="X87" i="1"/>
  <c r="BW85" i="1"/>
  <c r="K82" i="1"/>
  <c r="N82" i="1" s="1"/>
  <c r="CQ75" i="1"/>
  <c r="AZ57" i="1"/>
  <c r="BC57" i="1" s="1"/>
  <c r="CC45" i="1"/>
  <c r="CD45" i="1"/>
  <c r="BT115" i="1"/>
  <c r="BW115" i="1" s="1"/>
  <c r="K115" i="1"/>
  <c r="N115" i="1" s="1"/>
  <c r="CX114" i="1"/>
  <c r="DA114" i="1" s="1"/>
  <c r="AO114" i="1"/>
  <c r="AR114" i="1" s="1"/>
  <c r="BT113" i="1"/>
  <c r="BW113" i="1" s="1"/>
  <c r="K113" i="1"/>
  <c r="N113" i="1" s="1"/>
  <c r="DQ99" i="1"/>
  <c r="DU99" i="1" s="1"/>
  <c r="K98" i="1"/>
  <c r="N98" i="1" s="1"/>
  <c r="AN97" i="1"/>
  <c r="AO97" i="1"/>
  <c r="CW93" i="1"/>
  <c r="CX93" i="1"/>
  <c r="DK92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BC60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BW91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Q67" i="1"/>
  <c r="CD60" i="1"/>
  <c r="CG60" i="1" s="1"/>
  <c r="X92" i="1"/>
  <c r="CG90" i="1"/>
  <c r="X90" i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CQ72" i="1" s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N42" i="1" s="1"/>
  <c r="CC41" i="1"/>
  <c r="CD41" i="1"/>
  <c r="K37" i="1"/>
  <c r="N37" i="1" s="1"/>
  <c r="K86" i="1"/>
  <c r="N86" i="1" s="1"/>
  <c r="CD85" i="1"/>
  <c r="CG85" i="1" s="1"/>
  <c r="K85" i="1"/>
  <c r="N85" i="1" s="1"/>
  <c r="T84" i="1"/>
  <c r="X84" i="1" s="1"/>
  <c r="K83" i="1"/>
  <c r="N83" i="1" s="1"/>
  <c r="K81" i="1"/>
  <c r="N81" i="1" s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N52" i="1" s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N54" i="1" s="1"/>
  <c r="CC53" i="1"/>
  <c r="CD53" i="1"/>
  <c r="CG53" i="1" s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N60" i="1"/>
  <c r="U57" i="1"/>
  <c r="T57" i="1"/>
  <c r="X57" i="1" s="1"/>
  <c r="BJ53" i="1"/>
  <c r="BM53" i="1"/>
  <c r="CG52" i="1"/>
  <c r="BI52" i="1"/>
  <c r="BJ52" i="1"/>
  <c r="BM52" i="1" s="1"/>
  <c r="AX41" i="1"/>
  <c r="AZ41" i="1"/>
  <c r="BS26" i="1"/>
  <c r="BT26" i="1"/>
  <c r="BW82" i="1"/>
  <c r="EL81" i="1"/>
  <c r="EL75" i="1"/>
  <c r="AD61" i="1"/>
  <c r="AH61" i="1" s="1"/>
  <c r="AV47" i="1"/>
  <c r="K43" i="1"/>
  <c r="N43" i="1" s="1"/>
  <c r="X83" i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AR82" i="1"/>
  <c r="DH79" i="1"/>
  <c r="DK79" i="1" s="1"/>
  <c r="CN76" i="1"/>
  <c r="CQ76" i="1" s="1"/>
  <c r="BT75" i="1"/>
  <c r="T74" i="1"/>
  <c r="U74" i="1"/>
  <c r="CC72" i="1"/>
  <c r="CD72" i="1"/>
  <c r="DG69" i="1"/>
  <c r="DH69" i="1"/>
  <c r="CQ68" i="1"/>
  <c r="AE68" i="1"/>
  <c r="AH68" i="1" s="1"/>
  <c r="CN66" i="1"/>
  <c r="CQ66" i="1" s="1"/>
  <c r="AE66" i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/>
  <c r="T36" i="1"/>
  <c r="U36" i="1"/>
  <c r="AN79" i="1"/>
  <c r="AO79" i="1"/>
  <c r="EL76" i="1"/>
  <c r="T72" i="1"/>
  <c r="U72" i="1"/>
  <c r="K58" i="1"/>
  <c r="N58" i="1" s="1"/>
  <c r="AO57" i="1"/>
  <c r="AR57" i="1" s="1"/>
  <c r="EL56" i="1"/>
  <c r="DQ50" i="1"/>
  <c r="DR50" i="1"/>
  <c r="DH47" i="1"/>
  <c r="DG47" i="1"/>
  <c r="DK47" i="1" s="1"/>
  <c r="DH46" i="1"/>
  <c r="DK46" i="1" s="1"/>
  <c r="DE45" i="1"/>
  <c r="DG77" i="1"/>
  <c r="DH77" i="1"/>
  <c r="BW75" i="1"/>
  <c r="AX69" i="1"/>
  <c r="AZ69" i="1"/>
  <c r="EL68" i="1"/>
  <c r="K67" i="1"/>
  <c r="DQ66" i="1"/>
  <c r="DU66" i="1" s="1"/>
  <c r="AH66" i="1"/>
  <c r="BT64" i="1"/>
  <c r="BW64" i="1" s="1"/>
  <c r="CM57" i="1"/>
  <c r="CQ57" i="1"/>
  <c r="CD55" i="1"/>
  <c r="CG55" i="1"/>
  <c r="AD53" i="1"/>
  <c r="AH53" i="1" s="1"/>
  <c r="DQ52" i="1"/>
  <c r="DR52" i="1"/>
  <c r="DU52" i="1" s="1"/>
  <c r="BS52" i="1"/>
  <c r="BT52" i="1"/>
  <c r="AX51" i="1"/>
  <c r="AZ51" i="1"/>
  <c r="CC43" i="1"/>
  <c r="CG43" i="1" s="1"/>
  <c r="BM43" i="1"/>
  <c r="DA84" i="1"/>
  <c r="K78" i="1"/>
  <c r="N78" i="1" s="1"/>
  <c r="N75" i="1"/>
  <c r="EL74" i="1"/>
  <c r="CQ74" i="1"/>
  <c r="BW73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BC45" i="1" s="1"/>
  <c r="EL41" i="1"/>
  <c r="AZ39" i="1"/>
  <c r="BC39" i="1" s="1"/>
  <c r="EL37" i="1"/>
  <c r="BS30" i="1"/>
  <c r="BT30" i="1"/>
  <c r="BW30" i="1" s="1"/>
  <c r="AZ30" i="1"/>
  <c r="BC30" i="1" s="1"/>
  <c r="EL25" i="1"/>
  <c r="T11" i="1"/>
  <c r="U11" i="1"/>
  <c r="DR56" i="1"/>
  <c r="DU56" i="1" s="1"/>
  <c r="K47" i="1"/>
  <c r="N47" i="1" s="1"/>
  <c r="BI42" i="1"/>
  <c r="BJ42" i="1"/>
  <c r="BI40" i="1"/>
  <c r="BJ40" i="1"/>
  <c r="AE37" i="1"/>
  <c r="AD37" i="1"/>
  <c r="AO21" i="1"/>
  <c r="AN21" i="1"/>
  <c r="X21" i="1"/>
  <c r="CN13" i="1"/>
  <c r="CM13" i="1"/>
  <c r="BC59" i="1"/>
  <c r="K48" i="1"/>
  <c r="N48" i="1" s="1"/>
  <c r="AD30" i="1"/>
  <c r="AE30" i="1"/>
  <c r="K29" i="1"/>
  <c r="N29" i="1" s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N76" i="1" s="1"/>
  <c r="CX75" i="1"/>
  <c r="DA75" i="1" s="1"/>
  <c r="AO75" i="1"/>
  <c r="AR75" i="1" s="1"/>
  <c r="BT74" i="1"/>
  <c r="BW74" i="1" s="1"/>
  <c r="K74" i="1"/>
  <c r="N74" i="1" s="1"/>
  <c r="CX73" i="1"/>
  <c r="DA73" i="1" s="1"/>
  <c r="AO73" i="1"/>
  <c r="AR73" i="1" s="1"/>
  <c r="BT72" i="1"/>
  <c r="BW72" i="1" s="1"/>
  <c r="K72" i="1"/>
  <c r="N72" i="1" s="1"/>
  <c r="BC63" i="1"/>
  <c r="BG63" i="1" s="1"/>
  <c r="BJ62" i="1"/>
  <c r="BM62" i="1" s="1"/>
  <c r="T55" i="1"/>
  <c r="X55" i="1" s="1"/>
  <c r="AX54" i="1"/>
  <c r="AZ54" i="1"/>
  <c r="BC53" i="1"/>
  <c r="U48" i="1"/>
  <c r="X48" i="1" s="1"/>
  <c r="EL47" i="1"/>
  <c r="BS47" i="1"/>
  <c r="BW47" i="1" s="1"/>
  <c r="T46" i="1"/>
  <c r="X46" i="1" s="1"/>
  <c r="AR45" i="1"/>
  <c r="CD44" i="1"/>
  <c r="CG44" i="1" s="1"/>
  <c r="CC38" i="1"/>
  <c r="CG38" i="1"/>
  <c r="AN35" i="1"/>
  <c r="AO35" i="1"/>
  <c r="BI34" i="1"/>
  <c r="BM34" i="1" s="1"/>
  <c r="AD17" i="1"/>
  <c r="AE17" i="1"/>
  <c r="AR16" i="1"/>
  <c r="T53" i="1"/>
  <c r="U53" i="1"/>
  <c r="N50" i="1"/>
  <c r="EL46" i="1"/>
  <c r="DG44" i="1"/>
  <c r="DK44" i="1"/>
  <c r="DR42" i="1"/>
  <c r="DU42" i="1" s="1"/>
  <c r="K39" i="1"/>
  <c r="N39" i="1" s="1"/>
  <c r="EL32" i="1"/>
  <c r="DR31" i="1"/>
  <c r="DQ31" i="1"/>
  <c r="X47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AR3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N38" i="1" s="1"/>
  <c r="CW37" i="1"/>
  <c r="DA37" i="1" s="1"/>
  <c r="K36" i="1"/>
  <c r="N36" i="1" s="1"/>
  <c r="T32" i="1"/>
  <c r="X32" i="1"/>
  <c r="CM31" i="1"/>
  <c r="CN31" i="1"/>
  <c r="CQ31" i="1" s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AH19" i="1" s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M27" i="1"/>
  <c r="CN27" i="1"/>
  <c r="DQ17" i="1"/>
  <c r="DR17" i="1"/>
  <c r="BI17" i="1"/>
  <c r="BJ17" i="1"/>
  <c r="BM17" i="1" s="1"/>
  <c r="CX46" i="1"/>
  <c r="DA46" i="1" s="1"/>
  <c r="DH45" i="1"/>
  <c r="DK45" i="1" s="1"/>
  <c r="T42" i="1"/>
  <c r="U42" i="1"/>
  <c r="X42" i="1" s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N31" i="1" s="1"/>
  <c r="CQ28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N35" i="1" s="1"/>
  <c r="CD31" i="1"/>
  <c r="CC31" i="1"/>
  <c r="EL30" i="1"/>
  <c r="AZ24" i="1"/>
  <c r="BC24" i="1" s="1"/>
  <c r="AN23" i="1"/>
  <c r="AR23" i="1" s="1"/>
  <c r="AR40" i="1"/>
  <c r="T35" i="1"/>
  <c r="X35" i="1" s="1"/>
  <c r="CC30" i="1"/>
  <c r="CG30" i="1" s="1"/>
  <c r="CX26" i="1"/>
  <c r="DA26" i="1" s="1"/>
  <c r="CC24" i="1"/>
  <c r="CG24" i="1" s="1"/>
  <c r="DU5" i="1"/>
  <c r="CC40" i="1"/>
  <c r="CG40" i="1" s="1"/>
  <c r="T38" i="1"/>
  <c r="U38" i="1"/>
  <c r="CC25" i="1"/>
  <c r="CD25" i="1"/>
  <c r="BI20" i="1"/>
  <c r="BJ20" i="1"/>
  <c r="DA42" i="1"/>
  <c r="BT39" i="1"/>
  <c r="BW39" i="1" s="1"/>
  <c r="CX38" i="1"/>
  <c r="DA38" i="1" s="1"/>
  <c r="DH34" i="1"/>
  <c r="DK34" i="1" s="1"/>
  <c r="BW33" i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N10" i="1" s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BW36" i="1"/>
  <c r="K33" i="1"/>
  <c r="N33" i="1" s="1"/>
  <c r="DQ32" i="1"/>
  <c r="DU32" i="1" s="1"/>
  <c r="K32" i="1"/>
  <c r="N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BW28" i="1"/>
  <c r="CD27" i="1"/>
  <c r="CG27" i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/>
  <c r="K21" i="1"/>
  <c r="N21" i="1" s="1"/>
  <c r="CW20" i="1"/>
  <c r="CX20" i="1"/>
  <c r="BS18" i="1"/>
  <c r="BW18" i="1" s="1"/>
  <c r="CW13" i="1"/>
  <c r="CX13" i="1"/>
  <c r="K30" i="1"/>
  <c r="N30" i="1" s="1"/>
  <c r="CM29" i="1"/>
  <c r="CQ29" i="1" s="1"/>
  <c r="BI29" i="1"/>
  <c r="BM29" i="1" s="1"/>
  <c r="DR13" i="1"/>
  <c r="DU13" i="1" s="1"/>
  <c r="U12" i="1"/>
  <c r="T12" i="1"/>
  <c r="K16" i="1"/>
  <c r="N16" i="1" s="1"/>
  <c r="BI8" i="1"/>
  <c r="BM8" i="1" s="1"/>
  <c r="DH5" i="1"/>
  <c r="DK5" i="1" s="1"/>
  <c r="AR34" i="1"/>
  <c r="DQ27" i="1"/>
  <c r="DR27" i="1"/>
  <c r="N27" i="1"/>
  <c r="EL26" i="1"/>
  <c r="DQ25" i="1"/>
  <c r="DR25" i="1"/>
  <c r="EL24" i="1"/>
  <c r="EL22" i="1"/>
  <c r="CW22" i="1"/>
  <c r="CX22" i="1"/>
  <c r="EL20" i="1"/>
  <c r="AE18" i="1"/>
  <c r="AH18" i="1"/>
  <c r="EL16" i="1"/>
  <c r="AX14" i="1"/>
  <c r="AZ14" i="1"/>
  <c r="T10" i="1"/>
  <c r="U10" i="1"/>
  <c r="T22" i="1"/>
  <c r="U22" i="1"/>
  <c r="CW19" i="1"/>
  <c r="DA19" i="1" s="1"/>
  <c r="BW13" i="1"/>
  <c r="CG4" i="1"/>
  <c r="CK4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CG20" i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W25" i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/>
  <c r="AH22" i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AR5" i="1"/>
  <c r="BS21" i="1"/>
  <c r="BW21" i="1" s="1"/>
  <c r="AZ20" i="1"/>
  <c r="BC20" i="1" s="1"/>
  <c r="DR19" i="1"/>
  <c r="DU19" i="1" s="1"/>
  <c r="BC19" i="1"/>
  <c r="CN18" i="1"/>
  <c r="CQ18" i="1" s="1"/>
  <c r="X18" i="1"/>
  <c r="CN15" i="1"/>
  <c r="CQ15" i="1" s="1"/>
  <c r="CC13" i="1"/>
  <c r="CD13" i="1"/>
  <c r="AX12" i="1"/>
  <c r="AZ12" i="1"/>
  <c r="CN11" i="1"/>
  <c r="CQ11" i="1" s="1"/>
  <c r="DH9" i="1"/>
  <c r="DK9" i="1" s="1"/>
  <c r="EL7" i="1"/>
  <c r="DA3" i="1"/>
  <c r="N25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BW17" i="1"/>
  <c r="U8" i="1"/>
  <c r="X8" i="1" s="1"/>
  <c r="BM7" i="1"/>
  <c r="X4" i="1"/>
  <c r="AB4" i="1" s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BW6" i="1"/>
  <c r="DA4" i="1"/>
  <c r="DE4" i="1" s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BW8" i="1"/>
  <c r="CC17" i="1"/>
  <c r="CG17" i="1" s="1"/>
  <c r="T13" i="1"/>
  <c r="U13" i="1"/>
  <c r="BM10" i="1"/>
  <c r="CX9" i="1"/>
  <c r="DA9" i="1" s="1"/>
  <c r="BJ9" i="1"/>
  <c r="BM9" i="1" s="1"/>
  <c r="T9" i="1"/>
  <c r="U9" i="1"/>
  <c r="K8" i="1"/>
  <c r="N8" i="1" s="1"/>
  <c r="AZ7" i="1"/>
  <c r="BC7" i="1" s="1"/>
  <c r="AZ3" i="1"/>
  <c r="BC3" i="1" s="1"/>
  <c r="CC15" i="1"/>
  <c r="CD15" i="1"/>
  <c r="CC11" i="1"/>
  <c r="CD11" i="1"/>
  <c r="AR11" i="1"/>
  <c r="BT10" i="1"/>
  <c r="BW10" i="1" s="1"/>
  <c r="AE10" i="1"/>
  <c r="AH10" i="1" s="1"/>
  <c r="DR7" i="1"/>
  <c r="DU7" i="1" s="1"/>
  <c r="DR4" i="1"/>
  <c r="DU4" i="1"/>
  <c r="K4" i="1"/>
  <c r="N4" i="1" s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126" i="1"/>
  <c r="A127" i="1"/>
  <c r="DU17" i="1" l="1"/>
  <c r="CQ13" i="1"/>
  <c r="CT44" i="1"/>
  <c r="CU44" i="1"/>
  <c r="DA111" i="1"/>
  <c r="DD111" i="1" s="1"/>
  <c r="DE111" i="1" s="1"/>
  <c r="BC204" i="1"/>
  <c r="BG204" i="1" s="1"/>
  <c r="BC224" i="1"/>
  <c r="CG284" i="1"/>
  <c r="CQ168" i="1"/>
  <c r="DA116" i="1"/>
  <c r="AH154" i="1"/>
  <c r="CG99" i="1"/>
  <c r="DU28" i="1"/>
  <c r="DX296" i="1"/>
  <c r="DX294" i="1"/>
  <c r="DY294" i="1" s="1"/>
  <c r="DX246" i="1"/>
  <c r="DX227" i="1"/>
  <c r="DX221" i="1"/>
  <c r="DY141" i="1"/>
  <c r="DX139" i="1"/>
  <c r="DY198" i="1"/>
  <c r="DX306" i="1"/>
  <c r="DX308" i="1"/>
  <c r="DY308" i="1" s="1"/>
  <c r="DX206" i="1"/>
  <c r="DY206" i="1" s="1"/>
  <c r="DX225" i="1"/>
  <c r="DY225" i="1" s="1"/>
  <c r="DX167" i="1"/>
  <c r="DY167" i="1" s="1"/>
  <c r="DX157" i="1"/>
  <c r="DY157" i="1" s="1"/>
  <c r="DX126" i="1"/>
  <c r="DY126" i="1" s="1"/>
  <c r="DX159" i="1"/>
  <c r="DY159" i="1" s="1"/>
  <c r="DX244" i="1"/>
  <c r="DY244" i="1" s="1"/>
  <c r="DX301" i="1"/>
  <c r="DX256" i="1"/>
  <c r="DY256" i="1" s="1"/>
  <c r="DX252" i="1"/>
  <c r="DY252" i="1" s="1"/>
  <c r="DX240" i="1"/>
  <c r="DY240" i="1" s="1"/>
  <c r="DX226" i="1"/>
  <c r="DX238" i="1"/>
  <c r="DX213" i="1"/>
  <c r="DY213" i="1" s="1"/>
  <c r="DX245" i="1"/>
  <c r="DX161" i="1"/>
  <c r="DX169" i="1"/>
  <c r="DY169" i="1" s="1"/>
  <c r="BW206" i="1"/>
  <c r="BZ206" i="1" s="1"/>
  <c r="CA206" i="1" s="1"/>
  <c r="BW259" i="1"/>
  <c r="BZ259" i="1" s="1"/>
  <c r="CA259" i="1" s="1"/>
  <c r="BW69" i="1"/>
  <c r="BW265" i="1"/>
  <c r="BW48" i="1"/>
  <c r="BW177" i="1"/>
  <c r="BZ177" i="1" s="1"/>
  <c r="CA177" i="1" s="1"/>
  <c r="BW225" i="1"/>
  <c r="CG246" i="1"/>
  <c r="CJ246" i="1" s="1"/>
  <c r="CK246" i="1" s="1"/>
  <c r="BZ11" i="1"/>
  <c r="CA11" i="1" s="1"/>
  <c r="CG295" i="1"/>
  <c r="EO295" i="1" s="1"/>
  <c r="CG54" i="1"/>
  <c r="CG94" i="1"/>
  <c r="CG96" i="1"/>
  <c r="CG88" i="1"/>
  <c r="CG304" i="1"/>
  <c r="CQ63" i="1"/>
  <c r="CU63" i="1" s="1"/>
  <c r="CQ23" i="1"/>
  <c r="CT23" i="1" s="1"/>
  <c r="CU23" i="1" s="1"/>
  <c r="CQ218" i="1"/>
  <c r="AH49" i="1"/>
  <c r="AH93" i="1"/>
  <c r="AK93" i="1" s="1"/>
  <c r="AL93" i="1" s="1"/>
  <c r="AH40" i="1"/>
  <c r="AH76" i="1"/>
  <c r="AH240" i="1"/>
  <c r="N233" i="1"/>
  <c r="N235" i="1"/>
  <c r="N240" i="1"/>
  <c r="Q240" i="1" s="1"/>
  <c r="R240" i="1" s="1"/>
  <c r="N310" i="1"/>
  <c r="BC109" i="1"/>
  <c r="BF109" i="1" s="1"/>
  <c r="BG109" i="1" s="1"/>
  <c r="AR102" i="1"/>
  <c r="AU102" i="1" s="1"/>
  <c r="AV102" i="1" s="1"/>
  <c r="BC190" i="1"/>
  <c r="BC153" i="1"/>
  <c r="BC155" i="1"/>
  <c r="BC248" i="1"/>
  <c r="BF248" i="1" s="1"/>
  <c r="BG248" i="1" s="1"/>
  <c r="BC212" i="1"/>
  <c r="DA66" i="1"/>
  <c r="DA121" i="1"/>
  <c r="DA167" i="1"/>
  <c r="DA190" i="1"/>
  <c r="DD190" i="1" s="1"/>
  <c r="DE190" i="1" s="1"/>
  <c r="DA125" i="1"/>
  <c r="DD125" i="1" s="1"/>
  <c r="DE125" i="1" s="1"/>
  <c r="DA173" i="1"/>
  <c r="EO173" i="1" s="1"/>
  <c r="DA101" i="1"/>
  <c r="DD101" i="1" s="1"/>
  <c r="DE101" i="1" s="1"/>
  <c r="DA254" i="1"/>
  <c r="DD254" i="1" s="1"/>
  <c r="DE254" i="1" s="1"/>
  <c r="X73" i="1"/>
  <c r="BM124" i="1"/>
  <c r="BP124" i="1" s="1"/>
  <c r="BQ124" i="1" s="1"/>
  <c r="BM176" i="1"/>
  <c r="BM192" i="1"/>
  <c r="BM216" i="1"/>
  <c r="BM242" i="1"/>
  <c r="BM260" i="1"/>
  <c r="BP260" i="1" s="1"/>
  <c r="BQ260" i="1" s="1"/>
  <c r="BM155" i="1"/>
  <c r="BM157" i="1"/>
  <c r="BP157" i="1" s="1"/>
  <c r="BQ157" i="1" s="1"/>
  <c r="BM49" i="1"/>
  <c r="X99" i="1"/>
  <c r="X67" i="1"/>
  <c r="AA67" i="1" s="1"/>
  <c r="AB67" i="1" s="1"/>
  <c r="DU82" i="1"/>
  <c r="DU46" i="1"/>
  <c r="DU44" i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CG251" i="1"/>
  <c r="AH274" i="1"/>
  <c r="AH158" i="1"/>
  <c r="AR104" i="1"/>
  <c r="AR230" i="1"/>
  <c r="AU230" i="1" s="1"/>
  <c r="AV230" i="1" s="1"/>
  <c r="BW77" i="1"/>
  <c r="DA78" i="1"/>
  <c r="BM236" i="1"/>
  <c r="BP236" i="1" s="1"/>
  <c r="BQ236" i="1" s="1"/>
  <c r="CQ255" i="1"/>
  <c r="CT255" i="1" s="1"/>
  <c r="CU255" i="1" s="1"/>
  <c r="BC209" i="1"/>
  <c r="BG209" i="1" s="1"/>
  <c r="AH64" i="1"/>
  <c r="AK64" i="1" s="1"/>
  <c r="AL64" i="1" s="1"/>
  <c r="CG64" i="1"/>
  <c r="BC105" i="1"/>
  <c r="DA214" i="1"/>
  <c r="DD214" i="1" s="1"/>
  <c r="DA102" i="1"/>
  <c r="DD102" i="1" s="1"/>
  <c r="DE102" i="1" s="1"/>
  <c r="DA128" i="1"/>
  <c r="AU6" i="1"/>
  <c r="AV6" i="1"/>
  <c r="BZ190" i="1"/>
  <c r="CA190" i="1" s="1"/>
  <c r="CT174" i="1"/>
  <c r="CU174" i="1" s="1"/>
  <c r="BP147" i="1"/>
  <c r="BQ147" i="1" s="1"/>
  <c r="BW306" i="1"/>
  <c r="EO306" i="1" s="1"/>
  <c r="BW308" i="1"/>
  <c r="EO308" i="1" s="1"/>
  <c r="BW310" i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8" i="1"/>
  <c r="CJ238" i="1" s="1"/>
  <c r="CK238" i="1" s="1"/>
  <c r="BW103" i="1"/>
  <c r="CG262" i="1"/>
  <c r="CJ262" i="1" s="1"/>
  <c r="CK262" i="1" s="1"/>
  <c r="CG229" i="1"/>
  <c r="CJ229" i="1" s="1"/>
  <c r="CK229" i="1" s="1"/>
  <c r="CG123" i="1"/>
  <c r="CG119" i="1"/>
  <c r="BW227" i="1"/>
  <c r="BW210" i="1"/>
  <c r="BZ210" i="1" s="1"/>
  <c r="CA210" i="1" s="1"/>
  <c r="BW31" i="1"/>
  <c r="BZ31" i="1" s="1"/>
  <c r="CA31" i="1" s="1"/>
  <c r="BZ308" i="1"/>
  <c r="CA308" i="1" s="1"/>
  <c r="BZ310" i="1"/>
  <c r="CA310" i="1" s="1"/>
  <c r="BZ57" i="1"/>
  <c r="CA57" i="1" s="1"/>
  <c r="BZ132" i="1"/>
  <c r="CA132" i="1" s="1"/>
  <c r="CG176" i="1"/>
  <c r="CJ176" i="1" s="1"/>
  <c r="CK176" i="1" s="1"/>
  <c r="CG227" i="1"/>
  <c r="CJ227" i="1" s="1"/>
  <c r="CK227" i="1" s="1"/>
  <c r="CG23" i="1"/>
  <c r="CJ23" i="1" s="1"/>
  <c r="CK23" i="1" s="1"/>
  <c r="CG84" i="1"/>
  <c r="CJ84" i="1" s="1"/>
  <c r="CK84" i="1" s="1"/>
  <c r="CG114" i="1"/>
  <c r="CQ196" i="1"/>
  <c r="CG145" i="1"/>
  <c r="CJ241" i="1"/>
  <c r="CK241" i="1" s="1"/>
  <c r="CJ79" i="1"/>
  <c r="CK79" i="1" s="1"/>
  <c r="CQ20" i="1"/>
  <c r="CT20" i="1" s="1"/>
  <c r="CU20" i="1" s="1"/>
  <c r="AH249" i="1"/>
  <c r="AK249" i="1" s="1"/>
  <c r="AL249" i="1" s="1"/>
  <c r="AH99" i="1"/>
  <c r="CQ272" i="1"/>
  <c r="AH232" i="1"/>
  <c r="CQ103" i="1"/>
  <c r="CQ157" i="1"/>
  <c r="CT157" i="1" s="1"/>
  <c r="CU157" i="1" s="1"/>
  <c r="CQ132" i="1"/>
  <c r="CT53" i="1"/>
  <c r="CU53" i="1" s="1"/>
  <c r="AH71" i="1"/>
  <c r="AH102" i="1"/>
  <c r="AK102" i="1" s="1"/>
  <c r="AL102" i="1" s="1"/>
  <c r="AH103" i="1"/>
  <c r="AK103" i="1" s="1"/>
  <c r="AL103" i="1" s="1"/>
  <c r="AH229" i="1"/>
  <c r="AK229" i="1" s="1"/>
  <c r="AL229" i="1" s="1"/>
  <c r="AH231" i="1"/>
  <c r="AK231" i="1" s="1"/>
  <c r="AL231" i="1" s="1"/>
  <c r="AH234" i="1"/>
  <c r="AH236" i="1"/>
  <c r="AH239" i="1"/>
  <c r="AH257" i="1"/>
  <c r="AK257" i="1" s="1"/>
  <c r="AL257" i="1" s="1"/>
  <c r="AH259" i="1"/>
  <c r="AK259" i="1" s="1"/>
  <c r="AL259" i="1" s="1"/>
  <c r="AH307" i="1"/>
  <c r="AH309" i="1"/>
  <c r="AK309" i="1" s="1"/>
  <c r="AL309" i="1" s="1"/>
  <c r="AH205" i="1"/>
  <c r="AK205" i="1" s="1"/>
  <c r="AL205" i="1" s="1"/>
  <c r="AH181" i="1"/>
  <c r="AK181" i="1" s="1"/>
  <c r="AL181" i="1" s="1"/>
  <c r="AH12" i="1"/>
  <c r="AH159" i="1"/>
  <c r="AH157" i="1"/>
  <c r="AK157" i="1" s="1"/>
  <c r="AL157" i="1" s="1"/>
  <c r="AH145" i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4" i="1"/>
  <c r="BC250" i="1"/>
  <c r="BF250" i="1" s="1"/>
  <c r="BG250" i="1" s="1"/>
  <c r="BC261" i="1"/>
  <c r="BF261" i="1" s="1"/>
  <c r="BG261" i="1" s="1"/>
  <c r="AR48" i="1"/>
  <c r="AU48" i="1" s="1"/>
  <c r="AV48" i="1" s="1"/>
  <c r="AR14" i="1"/>
  <c r="BC103" i="1"/>
  <c r="BF103" i="1" s="1"/>
  <c r="BG103" i="1" s="1"/>
  <c r="BC188" i="1"/>
  <c r="AR212" i="1"/>
  <c r="AU212" i="1" s="1"/>
  <c r="AV212" i="1" s="1"/>
  <c r="AR270" i="1"/>
  <c r="AU270" i="1" s="1"/>
  <c r="AV270" i="1" s="1"/>
  <c r="AR119" i="1"/>
  <c r="AU10" i="1"/>
  <c r="AV10" i="1" s="1"/>
  <c r="BC91" i="1"/>
  <c r="BC93" i="1"/>
  <c r="BC247" i="1"/>
  <c r="BF247" i="1" s="1"/>
  <c r="BG247" i="1" s="1"/>
  <c r="BC256" i="1"/>
  <c r="BC101" i="1"/>
  <c r="EO101" i="1" s="1"/>
  <c r="BC35" i="1"/>
  <c r="BF35" i="1" s="1"/>
  <c r="BG35" i="1" s="1"/>
  <c r="BF244" i="1"/>
  <c r="BG244" i="1" s="1"/>
  <c r="DK210" i="1"/>
  <c r="DK216" i="1"/>
  <c r="DK227" i="1"/>
  <c r="DK286" i="1"/>
  <c r="DU204" i="1"/>
  <c r="DU180" i="1"/>
  <c r="DU57" i="1"/>
  <c r="DX57" i="1" s="1"/>
  <c r="DY57" i="1" s="1"/>
  <c r="DK212" i="1"/>
  <c r="DN212" i="1" s="1"/>
  <c r="DO212" i="1" s="1"/>
  <c r="DU229" i="1"/>
  <c r="DK205" i="1"/>
  <c r="DK202" i="1"/>
  <c r="DU83" i="1"/>
  <c r="DU71" i="1"/>
  <c r="DU33" i="1"/>
  <c r="DU261" i="1"/>
  <c r="DU309" i="1"/>
  <c r="DU298" i="1"/>
  <c r="DU264" i="1"/>
  <c r="DU262" i="1"/>
  <c r="DU249" i="1"/>
  <c r="DU237" i="1"/>
  <c r="DU210" i="1"/>
  <c r="DU200" i="1"/>
  <c r="DU163" i="1"/>
  <c r="DU155" i="1"/>
  <c r="DU146" i="1"/>
  <c r="DU118" i="1"/>
  <c r="DX118" i="1" s="1"/>
  <c r="DU68" i="1"/>
  <c r="DX68" i="1" s="1"/>
  <c r="DY68" i="1" s="1"/>
  <c r="DU65" i="1"/>
  <c r="DX65" i="1" s="1"/>
  <c r="DY65" i="1" s="1"/>
  <c r="DA213" i="1"/>
  <c r="DD213" i="1" s="1"/>
  <c r="DE213" i="1" s="1"/>
  <c r="DA53" i="1"/>
  <c r="DA311" i="1"/>
  <c r="DA207" i="1"/>
  <c r="DU124" i="1"/>
  <c r="DU54" i="1"/>
  <c r="DX54" i="1" s="1"/>
  <c r="DY54" i="1" s="1"/>
  <c r="DU135" i="1"/>
  <c r="DU35" i="1"/>
  <c r="DX35" i="1" s="1"/>
  <c r="DY35" i="1" s="1"/>
  <c r="DU58" i="1"/>
  <c r="DU24" i="1"/>
  <c r="DU260" i="1"/>
  <c r="DU178" i="1"/>
  <c r="DU285" i="1"/>
  <c r="DU177" i="1"/>
  <c r="DU151" i="1"/>
  <c r="DU195" i="1"/>
  <c r="DU304" i="1"/>
  <c r="DU275" i="1"/>
  <c r="DU181" i="1"/>
  <c r="DU263" i="1"/>
  <c r="DU10" i="1"/>
  <c r="DX10" i="1" s="1"/>
  <c r="DY10" i="1" s="1"/>
  <c r="DA211" i="1"/>
  <c r="DA157" i="1"/>
  <c r="DA238" i="1"/>
  <c r="DD238" i="1" s="1"/>
  <c r="DA201" i="1"/>
  <c r="DA107" i="1"/>
  <c r="DD107" i="1" s="1"/>
  <c r="DE107" i="1" s="1"/>
  <c r="DA63" i="1"/>
  <c r="DE63" i="1" s="1"/>
  <c r="DA260" i="1"/>
  <c r="DD260" i="1" s="1"/>
  <c r="DE260" i="1" s="1"/>
  <c r="DA230" i="1"/>
  <c r="DD230" i="1" s="1"/>
  <c r="DE230" i="1" s="1"/>
  <c r="X181" i="1"/>
  <c r="AA181" i="1" s="1"/>
  <c r="AB181" i="1" s="1"/>
  <c r="DA195" i="1"/>
  <c r="DD195" i="1" s="1"/>
  <c r="DE195" i="1" s="1"/>
  <c r="DA57" i="1"/>
  <c r="DD57" i="1" s="1"/>
  <c r="DE57" i="1" s="1"/>
  <c r="DA82" i="1"/>
  <c r="DA43" i="1"/>
  <c r="X146" i="1"/>
  <c r="DA165" i="1"/>
  <c r="DD165" i="1" s="1"/>
  <c r="DE165" i="1" s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81" i="1" s="1"/>
  <c r="DE81" i="1" s="1"/>
  <c r="DD64" i="1"/>
  <c r="DE64" i="1" s="1"/>
  <c r="DD65" i="1"/>
  <c r="DE65" i="1"/>
  <c r="DD61" i="1"/>
  <c r="DE61" i="1" s="1"/>
  <c r="X127" i="1"/>
  <c r="AA127" i="1" s="1"/>
  <c r="AB127" i="1" s="1"/>
  <c r="X180" i="1"/>
  <c r="AA180" i="1" s="1"/>
  <c r="AB180" i="1" s="1"/>
  <c r="X85" i="1"/>
  <c r="X59" i="1"/>
  <c r="X102" i="1"/>
  <c r="X30" i="1"/>
  <c r="AA30" i="1" s="1"/>
  <c r="AB30" i="1" s="1"/>
  <c r="X89" i="1"/>
  <c r="X28" i="1"/>
  <c r="AA28" i="1" s="1"/>
  <c r="AB28" i="1" s="1"/>
  <c r="BM76" i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78" i="1" s="1"/>
  <c r="BQ78" i="1" s="1"/>
  <c r="BP80" i="1"/>
  <c r="BQ80" i="1" s="1"/>
  <c r="DK268" i="1"/>
  <c r="DN307" i="1"/>
  <c r="DO307" i="1"/>
  <c r="DN243" i="1"/>
  <c r="DO243" i="1" s="1"/>
  <c r="DK57" i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N109" i="1" s="1"/>
  <c r="DO109" i="1" s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5" i="1"/>
  <c r="DK242" i="1"/>
  <c r="DN242" i="1" s="1"/>
  <c r="DO242" i="1" s="1"/>
  <c r="DK244" i="1"/>
  <c r="DK246" i="1"/>
  <c r="DK248" i="1"/>
  <c r="DN248" i="1" s="1"/>
  <c r="DO248" i="1" s="1"/>
  <c r="DK252" i="1"/>
  <c r="DK272" i="1"/>
  <c r="DK294" i="1"/>
  <c r="DK297" i="1"/>
  <c r="DK298" i="1"/>
  <c r="DK302" i="1"/>
  <c r="DK219" i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N48" i="1" s="1"/>
  <c r="DO48" i="1" s="1"/>
  <c r="DK15" i="1"/>
  <c r="DN15" i="1" s="1"/>
  <c r="DO15" i="1" s="1"/>
  <c r="DK278" i="1"/>
  <c r="DN32" i="1"/>
  <c r="DO32" i="1" s="1"/>
  <c r="DU186" i="1"/>
  <c r="DU250" i="1"/>
  <c r="DU248" i="1"/>
  <c r="EO248" i="1" s="1"/>
  <c r="DU165" i="1"/>
  <c r="DU142" i="1"/>
  <c r="DU27" i="1"/>
  <c r="DX27" i="1" s="1"/>
  <c r="DY27" i="1" s="1"/>
  <c r="DU215" i="1"/>
  <c r="DU211" i="1"/>
  <c r="DU119" i="1"/>
  <c r="DU51" i="1"/>
  <c r="DU106" i="1"/>
  <c r="DX106" i="1" s="1"/>
  <c r="DY106" i="1" s="1"/>
  <c r="DU136" i="1"/>
  <c r="DU123" i="1"/>
  <c r="DU100" i="1"/>
  <c r="DX100" i="1" s="1"/>
  <c r="DY100" i="1" s="1"/>
  <c r="DU81" i="1"/>
  <c r="DX81" i="1" s="1"/>
  <c r="DU79" i="1"/>
  <c r="DX79" i="1" s="1"/>
  <c r="DY79" i="1" s="1"/>
  <c r="DX207" i="1"/>
  <c r="DY207" i="1"/>
  <c r="DK105" i="1"/>
  <c r="DK169" i="1"/>
  <c r="DK241" i="1"/>
  <c r="DK211" i="1"/>
  <c r="DN211" i="1" s="1"/>
  <c r="DO211" i="1" s="1"/>
  <c r="DK221" i="1"/>
  <c r="DK40" i="1"/>
  <c r="DN40" i="1" s="1"/>
  <c r="DO40" i="1" s="1"/>
  <c r="DK264" i="1"/>
  <c r="DN264" i="1" s="1"/>
  <c r="DO264" i="1" s="1"/>
  <c r="DK209" i="1"/>
  <c r="DK215" i="1"/>
  <c r="DN215" i="1" s="1"/>
  <c r="DO215" i="1" s="1"/>
  <c r="DK151" i="1"/>
  <c r="DK138" i="1"/>
  <c r="DK73" i="1"/>
  <c r="DK23" i="1"/>
  <c r="DN193" i="1"/>
  <c r="DO193" i="1" s="1"/>
  <c r="DN252" i="1"/>
  <c r="DO252" i="1" s="1"/>
  <c r="DN311" i="1"/>
  <c r="DO311" i="1" s="1"/>
  <c r="DN220" i="1"/>
  <c r="DO220" i="1" s="1"/>
  <c r="DN62" i="1"/>
  <c r="DO62" i="1" s="1"/>
  <c r="DX210" i="1"/>
  <c r="DY210" i="1" s="1"/>
  <c r="DX297" i="1"/>
  <c r="DY297" i="1" s="1"/>
  <c r="DX298" i="1"/>
  <c r="DY298" i="1" s="1"/>
  <c r="DX248" i="1"/>
  <c r="DY248" i="1" s="1"/>
  <c r="DX155" i="1"/>
  <c r="DY155" i="1" s="1"/>
  <c r="DX149" i="1"/>
  <c r="DY149" i="1" s="1"/>
  <c r="DX76" i="1"/>
  <c r="DY76" i="1" s="1"/>
  <c r="DX58" i="1"/>
  <c r="DY58" i="1" s="1"/>
  <c r="DX74" i="1"/>
  <c r="DY74" i="1" s="1"/>
  <c r="DX16" i="1"/>
  <c r="DY16" i="1" s="1"/>
  <c r="DX15" i="1"/>
  <c r="DY15" i="1" s="1"/>
  <c r="BW214" i="1"/>
  <c r="BZ214" i="1" s="1"/>
  <c r="CA214" i="1" s="1"/>
  <c r="BZ223" i="1"/>
  <c r="CA223" i="1" s="1"/>
  <c r="CG174" i="1"/>
  <c r="CG203" i="1"/>
  <c r="CJ203" i="1" s="1"/>
  <c r="CK203" i="1" s="1"/>
  <c r="CG71" i="1"/>
  <c r="CJ71" i="1" s="1"/>
  <c r="CK71" i="1" s="1"/>
  <c r="CG21" i="1"/>
  <c r="CG67" i="1"/>
  <c r="CJ67" i="1" s="1"/>
  <c r="CK67" i="1" s="1"/>
  <c r="BW197" i="1"/>
  <c r="BZ197" i="1" s="1"/>
  <c r="CA197" i="1" s="1"/>
  <c r="CG232" i="1"/>
  <c r="CJ232" i="1" s="1"/>
  <c r="CK232" i="1" s="1"/>
  <c r="BW270" i="1"/>
  <c r="BZ270" i="1" s="1"/>
  <c r="CA270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G75" i="1"/>
  <c r="CJ75" i="1" s="1"/>
  <c r="CK75" i="1" s="1"/>
  <c r="BW287" i="1"/>
  <c r="BW286" i="1"/>
  <c r="BZ286" i="1" s="1"/>
  <c r="CA286" i="1" s="1"/>
  <c r="BW247" i="1"/>
  <c r="BZ247" i="1" s="1"/>
  <c r="CA247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4" i="1"/>
  <c r="CA284" i="1" s="1"/>
  <c r="BZ285" i="1"/>
  <c r="CA285" i="1" s="1"/>
  <c r="BZ103" i="1"/>
  <c r="CA103" i="1" s="1"/>
  <c r="CJ294" i="1"/>
  <c r="CK294" i="1" s="1"/>
  <c r="BZ278" i="1"/>
  <c r="CA278" i="1" s="1"/>
  <c r="CQ62" i="1"/>
  <c r="CT62" i="1" s="1"/>
  <c r="CU62" i="1" s="1"/>
  <c r="CQ39" i="1"/>
  <c r="CT39" i="1" s="1"/>
  <c r="CU39" i="1" s="1"/>
  <c r="CG261" i="1"/>
  <c r="CJ261" i="1" s="1"/>
  <c r="CK261" i="1" s="1"/>
  <c r="CG244" i="1"/>
  <c r="CG245" i="1"/>
  <c r="CJ245" i="1" s="1"/>
  <c r="CK245" i="1" s="1"/>
  <c r="CQ192" i="1"/>
  <c r="CG242" i="1"/>
  <c r="CJ242" i="1" s="1"/>
  <c r="CK242" i="1" s="1"/>
  <c r="CG236" i="1"/>
  <c r="CJ236" i="1" s="1"/>
  <c r="CK236" i="1" s="1"/>
  <c r="CG224" i="1"/>
  <c r="CJ224" i="1" s="1"/>
  <c r="CK224" i="1" s="1"/>
  <c r="CQ49" i="1"/>
  <c r="CG280" i="1"/>
  <c r="CG250" i="1"/>
  <c r="CJ250" i="1" s="1"/>
  <c r="CK250" i="1" s="1"/>
  <c r="CG283" i="1"/>
  <c r="CG277" i="1"/>
  <c r="CJ277" i="1" s="1"/>
  <c r="CK277" i="1" s="1"/>
  <c r="CG263" i="1"/>
  <c r="CJ263" i="1" s="1"/>
  <c r="CK263" i="1" s="1"/>
  <c r="CG139" i="1"/>
  <c r="CG115" i="1"/>
  <c r="CJ115" i="1" s="1"/>
  <c r="CK115" i="1" s="1"/>
  <c r="CG68" i="1"/>
  <c r="CJ68" i="1" s="1"/>
  <c r="CK68" i="1" s="1"/>
  <c r="CJ155" i="1"/>
  <c r="CK155" i="1" s="1"/>
  <c r="CJ157" i="1"/>
  <c r="CK157" i="1" s="1"/>
  <c r="CJ162" i="1"/>
  <c r="CK162" i="1" s="1"/>
  <c r="CJ266" i="1"/>
  <c r="CK266" i="1" s="1"/>
  <c r="CJ220" i="1"/>
  <c r="CK220" i="1" s="1"/>
  <c r="CJ34" i="1"/>
  <c r="CK34" i="1" s="1"/>
  <c r="AH241" i="1"/>
  <c r="AH46" i="1"/>
  <c r="AK46" i="1" s="1"/>
  <c r="AL46" i="1" s="1"/>
  <c r="CQ81" i="1"/>
  <c r="CQ290" i="1"/>
  <c r="CQ311" i="1"/>
  <c r="AH300" i="1"/>
  <c r="AK300" i="1" s="1"/>
  <c r="AL300" i="1" s="1"/>
  <c r="AH202" i="1"/>
  <c r="AK202" i="1" s="1"/>
  <c r="AL202" i="1" s="1"/>
  <c r="AH237" i="1"/>
  <c r="AK237" i="1" s="1"/>
  <c r="AL237" i="1" s="1"/>
  <c r="CQ289" i="1"/>
  <c r="CT289" i="1" s="1"/>
  <c r="CU289" i="1" s="1"/>
  <c r="AH277" i="1"/>
  <c r="AK277" i="1" s="1"/>
  <c r="AL277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/>
  <c r="CT119" i="1"/>
  <c r="CU119" i="1" s="1"/>
  <c r="CT149" i="1"/>
  <c r="CU149" i="1" s="1"/>
  <c r="CT36" i="1"/>
  <c r="CU36" i="1" s="1"/>
  <c r="CT99" i="1"/>
  <c r="CU99" i="1" s="1"/>
  <c r="AK20" i="1"/>
  <c r="AL20" i="1" s="1"/>
  <c r="AH297" i="1"/>
  <c r="N297" i="1"/>
  <c r="N269" i="1"/>
  <c r="Q269" i="1" s="1"/>
  <c r="R269" i="1" s="1"/>
  <c r="N239" i="1"/>
  <c r="Q239" i="1" s="1"/>
  <c r="R239" i="1" s="1"/>
  <c r="N276" i="1"/>
  <c r="AH235" i="1"/>
  <c r="AK235" i="1" s="1"/>
  <c r="AL235" i="1" s="1"/>
  <c r="N259" i="1"/>
  <c r="AH209" i="1"/>
  <c r="AH56" i="1"/>
  <c r="AH44" i="1"/>
  <c r="N53" i="1"/>
  <c r="Q53" i="1" s="1"/>
  <c r="R53" i="1" s="1"/>
  <c r="AH214" i="1"/>
  <c r="AK214" i="1" s="1"/>
  <c r="AL214" i="1" s="1"/>
  <c r="AH282" i="1"/>
  <c r="AH264" i="1"/>
  <c r="AK264" i="1" s="1"/>
  <c r="AL264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K133" i="1" s="1"/>
  <c r="AL133" i="1" s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K90" i="1" s="1"/>
  <c r="AL90" i="1" s="1"/>
  <c r="AH55" i="1"/>
  <c r="AK295" i="1"/>
  <c r="AL295" i="1" s="1"/>
  <c r="AK73" i="1"/>
  <c r="AL73" i="1" s="1"/>
  <c r="AK236" i="1"/>
  <c r="AL236" i="1" s="1"/>
  <c r="AK71" i="1"/>
  <c r="AL71" i="1" s="1"/>
  <c r="AR227" i="1"/>
  <c r="N271" i="1"/>
  <c r="N185" i="1"/>
  <c r="Q185" i="1" s="1"/>
  <c r="R185" i="1" s="1"/>
  <c r="N189" i="1"/>
  <c r="Q189" i="1" s="1"/>
  <c r="R189" i="1" s="1"/>
  <c r="AR42" i="1"/>
  <c r="AU42" i="1" s="1"/>
  <c r="AV42" i="1" s="1"/>
  <c r="AR165" i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R88" i="1"/>
  <c r="AU88" i="1" s="1"/>
  <c r="AV88" i="1" s="1"/>
  <c r="N24" i="1"/>
  <c r="Q24" i="1" s="1"/>
  <c r="R24" i="1" s="1"/>
  <c r="AR179" i="1"/>
  <c r="FD206" i="1"/>
  <c r="FE206" i="1" s="1"/>
  <c r="Q102" i="1"/>
  <c r="R102" i="1" s="1"/>
  <c r="Q28" i="1"/>
  <c r="R28" i="1" s="1"/>
  <c r="AU262" i="1"/>
  <c r="AV262" i="1" s="1"/>
  <c r="AU175" i="1"/>
  <c r="AV175" i="1" s="1"/>
  <c r="Q191" i="1"/>
  <c r="R191" i="1" s="1"/>
  <c r="Q154" i="1"/>
  <c r="R154" i="1" s="1"/>
  <c r="BC84" i="1"/>
  <c r="BF84" i="1" s="1"/>
  <c r="BG84" i="1" s="1"/>
  <c r="BC81" i="1"/>
  <c r="BF81" i="1" s="1"/>
  <c r="BG81" i="1" s="1"/>
  <c r="AR294" i="1"/>
  <c r="AU294" i="1" s="1"/>
  <c r="AV294" i="1" s="1"/>
  <c r="BC239" i="1"/>
  <c r="BF239" i="1" s="1"/>
  <c r="BG239" i="1" s="1"/>
  <c r="AR181" i="1"/>
  <c r="AU181" i="1" s="1"/>
  <c r="AV181" i="1" s="1"/>
  <c r="BC111" i="1"/>
  <c r="BC43" i="1"/>
  <c r="BF43" i="1" s="1"/>
  <c r="BG43" i="1" s="1"/>
  <c r="BC115" i="1"/>
  <c r="BF115" i="1" s="1"/>
  <c r="BG115" i="1" s="1"/>
  <c r="BC65" i="1"/>
  <c r="BF65" i="1" s="1"/>
  <c r="BG65" i="1" s="1"/>
  <c r="AR125" i="1"/>
  <c r="AR229" i="1"/>
  <c r="AU229" i="1" s="1"/>
  <c r="AV229" i="1" s="1"/>
  <c r="AR250" i="1"/>
  <c r="AR225" i="1"/>
  <c r="AU225" i="1" s="1"/>
  <c r="AV225" i="1" s="1"/>
  <c r="AR124" i="1"/>
  <c r="AU124" i="1" s="1"/>
  <c r="AV124" i="1" s="1"/>
  <c r="AR86" i="1"/>
  <c r="AU86" i="1" s="1"/>
  <c r="AV86" i="1" s="1"/>
  <c r="AR92" i="1"/>
  <c r="AU92" i="1" s="1"/>
  <c r="AV92" i="1" s="1"/>
  <c r="BC58" i="1"/>
  <c r="BC73" i="1"/>
  <c r="BF73" i="1" s="1"/>
  <c r="BG73" i="1" s="1"/>
  <c r="AR93" i="1"/>
  <c r="AR99" i="1"/>
  <c r="BC61" i="1"/>
  <c r="BF61" i="1" s="1"/>
  <c r="BG61" i="1" s="1"/>
  <c r="AR21" i="1"/>
  <c r="AU21" i="1" s="1"/>
  <c r="AV21" i="1" s="1"/>
  <c r="BC33" i="1"/>
  <c r="BF295" i="1"/>
  <c r="BG295" i="1" s="1"/>
  <c r="BF291" i="1"/>
  <c r="BG291" i="1" s="1"/>
  <c r="AU277" i="1"/>
  <c r="AV277" i="1" s="1"/>
  <c r="AU149" i="1"/>
  <c r="AV149" i="1" s="1"/>
  <c r="AU52" i="1"/>
  <c r="AV52" i="1"/>
  <c r="BF145" i="1"/>
  <c r="BG145" i="1" s="1"/>
  <c r="BF102" i="1"/>
  <c r="BG102" i="1" s="1"/>
  <c r="BF42" i="1"/>
  <c r="BG42" i="1" s="1"/>
  <c r="AU134" i="1"/>
  <c r="AV134" i="1" s="1"/>
  <c r="AU71" i="1"/>
  <c r="AV71" i="1" s="1"/>
  <c r="AU81" i="1"/>
  <c r="AV81" i="1" s="1"/>
  <c r="AU49" i="1"/>
  <c r="AV49" i="1" s="1"/>
  <c r="AU8" i="1"/>
  <c r="AV8" i="1" s="1"/>
  <c r="BC147" i="1"/>
  <c r="BF147" i="1" s="1"/>
  <c r="BG147" i="1" s="1"/>
  <c r="BC195" i="1"/>
  <c r="BF195" i="1" s="1"/>
  <c r="BG195" i="1" s="1"/>
  <c r="BC80" i="1"/>
  <c r="BF80" i="1" s="1"/>
  <c r="BG80" i="1" s="1"/>
  <c r="BC257" i="1"/>
  <c r="BC280" i="1"/>
  <c r="BC232" i="1"/>
  <c r="BF232" i="1" s="1"/>
  <c r="BG232" i="1" s="1"/>
  <c r="BC235" i="1"/>
  <c r="BC227" i="1"/>
  <c r="BF227" i="1" s="1"/>
  <c r="BG227" i="1" s="1"/>
  <c r="BC141" i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56" i="1"/>
  <c r="BG256" i="1" s="1"/>
  <c r="BF285" i="1"/>
  <c r="BG285" i="1" s="1"/>
  <c r="BF132" i="1"/>
  <c r="BG132" i="1" s="1"/>
  <c r="BF68" i="1"/>
  <c r="BG68" i="1" s="1"/>
  <c r="BF34" i="1"/>
  <c r="BG34" i="1"/>
  <c r="BF70" i="1"/>
  <c r="BG70" i="1" s="1"/>
  <c r="BF40" i="1"/>
  <c r="BG40" i="1" s="1"/>
  <c r="BF72" i="1"/>
  <c r="BG72" i="1" s="1"/>
  <c r="BF32" i="1"/>
  <c r="BG32" i="1" s="1"/>
  <c r="DA204" i="1"/>
  <c r="DE204" i="1" s="1"/>
  <c r="DA21" i="1"/>
  <c r="DA32" i="1"/>
  <c r="DD32" i="1" s="1"/>
  <c r="DE32" i="1" s="1"/>
  <c r="DA27" i="1"/>
  <c r="DA24" i="1"/>
  <c r="DA59" i="1"/>
  <c r="DD59" i="1" s="1"/>
  <c r="DE59" i="1" s="1"/>
  <c r="DA281" i="1"/>
  <c r="DA198" i="1"/>
  <c r="DA235" i="1"/>
  <c r="DA264" i="1"/>
  <c r="DD241" i="1"/>
  <c r="DE241" i="1" s="1"/>
  <c r="DD52" i="1"/>
  <c r="DE52" i="1" s="1"/>
  <c r="DD56" i="1"/>
  <c r="DE56" i="1" s="1"/>
  <c r="BM106" i="1"/>
  <c r="BP106" i="1" s="1"/>
  <c r="BQ106" i="1" s="1"/>
  <c r="BM189" i="1"/>
  <c r="BM256" i="1"/>
  <c r="BP256" i="1" s="1"/>
  <c r="BQ256" i="1" s="1"/>
  <c r="BM14" i="1"/>
  <c r="DA104" i="1"/>
  <c r="DD104" i="1" s="1"/>
  <c r="DE104" i="1" s="1"/>
  <c r="BM75" i="1"/>
  <c r="BP75" i="1" s="1"/>
  <c r="BQ75" i="1" s="1"/>
  <c r="DA67" i="1"/>
  <c r="DA23" i="1"/>
  <c r="BM26" i="1"/>
  <c r="BP26" i="1" s="1"/>
  <c r="BQ26" i="1" s="1"/>
  <c r="BM22" i="1"/>
  <c r="BP22" i="1" s="1"/>
  <c r="BQ22" i="1" s="1"/>
  <c r="DA245" i="1"/>
  <c r="DA234" i="1"/>
  <c r="DD234" i="1" s="1"/>
  <c r="DE234" i="1" s="1"/>
  <c r="DA228" i="1"/>
  <c r="DA222" i="1"/>
  <c r="DA130" i="1"/>
  <c r="DA129" i="1"/>
  <c r="DA99" i="1"/>
  <c r="BM51" i="1"/>
  <c r="BP51" i="1" s="1"/>
  <c r="BQ51" i="1" s="1"/>
  <c r="DA120" i="1"/>
  <c r="BM15" i="1"/>
  <c r="BP15" i="1" s="1"/>
  <c r="BQ15" i="1" s="1"/>
  <c r="BP27" i="1"/>
  <c r="BQ27" i="1" s="1"/>
  <c r="DD192" i="1"/>
  <c r="DE192" i="1" s="1"/>
  <c r="DD69" i="1"/>
  <c r="DE69" i="1" s="1"/>
  <c r="DD121" i="1"/>
  <c r="DE121" i="1" s="1"/>
  <c r="X149" i="1"/>
  <c r="X221" i="1"/>
  <c r="AA221" i="1" s="1"/>
  <c r="AB221" i="1" s="1"/>
  <c r="X223" i="1"/>
  <c r="AA223" i="1" s="1"/>
  <c r="AB223" i="1" s="1"/>
  <c r="X259" i="1"/>
  <c r="AA259" i="1" s="1"/>
  <c r="AB259" i="1" s="1"/>
  <c r="BM244" i="1"/>
  <c r="BP244" i="1" s="1"/>
  <c r="BQ244" i="1" s="1"/>
  <c r="BM88" i="1"/>
  <c r="BP88" i="1" s="1"/>
  <c r="BQ88" i="1" s="1"/>
  <c r="BM64" i="1"/>
  <c r="BM264" i="1"/>
  <c r="BP264" i="1" s="1"/>
  <c r="BQ264" i="1" s="1"/>
  <c r="BM272" i="1"/>
  <c r="BP272" i="1" s="1"/>
  <c r="BQ272" i="1" s="1"/>
  <c r="BM199" i="1"/>
  <c r="BM225" i="1"/>
  <c r="BM267" i="1"/>
  <c r="BP267" i="1" s="1"/>
  <c r="BQ267" i="1" s="1"/>
  <c r="BM261" i="1"/>
  <c r="BP261" i="1" s="1"/>
  <c r="BQ261" i="1" s="1"/>
  <c r="BM177" i="1"/>
  <c r="BP177" i="1" s="1"/>
  <c r="BQ177" i="1" s="1"/>
  <c r="BM214" i="1"/>
  <c r="BM125" i="1"/>
  <c r="BP125" i="1" s="1"/>
  <c r="BQ125" i="1" s="1"/>
  <c r="BM121" i="1"/>
  <c r="BM97" i="1"/>
  <c r="BP97" i="1" s="1"/>
  <c r="BQ97" i="1" s="1"/>
  <c r="BM95" i="1"/>
  <c r="BM92" i="1"/>
  <c r="BP92" i="1" s="1"/>
  <c r="BQ92" i="1" s="1"/>
  <c r="BM42" i="1"/>
  <c r="BM40" i="1"/>
  <c r="BP40" i="1" s="1"/>
  <c r="BQ40" i="1" s="1"/>
  <c r="BM5" i="1"/>
  <c r="BP5" i="1" s="1"/>
  <c r="BQ5" i="1" s="1"/>
  <c r="BP231" i="1"/>
  <c r="BQ231" i="1" s="1"/>
  <c r="BP283" i="1"/>
  <c r="BQ283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AA230" i="1"/>
  <c r="AB230" i="1" s="1"/>
  <c r="BP239" i="1"/>
  <c r="BQ239" i="1" s="1"/>
  <c r="BP145" i="1"/>
  <c r="BQ145" i="1" s="1"/>
  <c r="BP68" i="1"/>
  <c r="BQ68" i="1" s="1"/>
  <c r="BP126" i="1"/>
  <c r="BQ126" i="1" s="1"/>
  <c r="BP76" i="1"/>
  <c r="BQ76" i="1" s="1"/>
  <c r="BP21" i="1"/>
  <c r="BQ21" i="1" s="1"/>
  <c r="X296" i="1"/>
  <c r="AA296" i="1" s="1"/>
  <c r="AB296" i="1" s="1"/>
  <c r="X309" i="1"/>
  <c r="X282" i="1"/>
  <c r="AA282" i="1" s="1"/>
  <c r="AB282" i="1" s="1"/>
  <c r="X191" i="1"/>
  <c r="X207" i="1"/>
  <c r="AA207" i="1" s="1"/>
  <c r="AB207" i="1" s="1"/>
  <c r="X253" i="1"/>
  <c r="AA253" i="1" s="1"/>
  <c r="AB253" i="1" s="1"/>
  <c r="FD251" i="1"/>
  <c r="FE251" i="1" s="1"/>
  <c r="X154" i="1"/>
  <c r="X24" i="1"/>
  <c r="AA24" i="1" s="1"/>
  <c r="AB24" i="1" s="1"/>
  <c r="X289" i="1"/>
  <c r="AA289" i="1" s="1"/>
  <c r="AB289" i="1" s="1"/>
  <c r="X274" i="1"/>
  <c r="X263" i="1"/>
  <c r="AA263" i="1" s="1"/>
  <c r="AB263" i="1" s="1"/>
  <c r="X220" i="1"/>
  <c r="X91" i="1"/>
  <c r="AA91" i="1" s="1"/>
  <c r="AB91" i="1" s="1"/>
  <c r="X97" i="1"/>
  <c r="AA97" i="1" s="1"/>
  <c r="AB97" i="1" s="1"/>
  <c r="X50" i="1"/>
  <c r="AA50" i="1" s="1"/>
  <c r="AB50" i="1" s="1"/>
  <c r="X11" i="1"/>
  <c r="AA11" i="1" s="1"/>
  <c r="AB11" i="1" s="1"/>
  <c r="X26" i="1"/>
  <c r="AA26" i="1" s="1"/>
  <c r="AB26" i="1" s="1"/>
  <c r="X25" i="1"/>
  <c r="AA25" i="1" s="1"/>
  <c r="AB25" i="1" s="1"/>
  <c r="X10" i="1"/>
  <c r="AA10" i="1" s="1"/>
  <c r="AB10" i="1" s="1"/>
  <c r="X6" i="1"/>
  <c r="AA6" i="1" s="1"/>
  <c r="AB6" i="1" s="1"/>
  <c r="FD30" i="1"/>
  <c r="FE30" i="1" s="1"/>
  <c r="AA233" i="1"/>
  <c r="AB233" i="1" s="1"/>
  <c r="AA266" i="1"/>
  <c r="AB266" i="1" s="1"/>
  <c r="AA247" i="1"/>
  <c r="AB247" i="1" s="1"/>
  <c r="AA307" i="1"/>
  <c r="AB307" i="1" s="1"/>
  <c r="AA156" i="1"/>
  <c r="AB156" i="1" s="1"/>
  <c r="AA110" i="1"/>
  <c r="AB110" i="1" s="1"/>
  <c r="Q257" i="1"/>
  <c r="R257" i="1" s="1"/>
  <c r="N145" i="1"/>
  <c r="R124" i="1"/>
  <c r="N134" i="1"/>
  <c r="N155" i="1"/>
  <c r="N263" i="1"/>
  <c r="Q263" i="1" s="1"/>
  <c r="N179" i="1"/>
  <c r="Q179" i="1" s="1"/>
  <c r="N246" i="1"/>
  <c r="N70" i="1"/>
  <c r="Q70" i="1" s="1"/>
  <c r="R70" i="1" s="1"/>
  <c r="N64" i="1"/>
  <c r="Q64" i="1" s="1"/>
  <c r="R64" i="1" s="1"/>
  <c r="N200" i="1"/>
  <c r="Q200" i="1" s="1"/>
  <c r="R200" i="1" s="1"/>
  <c r="N275" i="1"/>
  <c r="N3" i="1"/>
  <c r="Q3" i="1" s="1"/>
  <c r="R3" i="1" s="1"/>
  <c r="N255" i="1"/>
  <c r="Q255" i="1" s="1"/>
  <c r="R255" i="1" s="1"/>
  <c r="N214" i="1"/>
  <c r="Q214" i="1" s="1"/>
  <c r="R214" i="1" s="1"/>
  <c r="R306" i="1"/>
  <c r="N44" i="1"/>
  <c r="Q44" i="1" s="1"/>
  <c r="R44" i="1" s="1"/>
  <c r="N252" i="1"/>
  <c r="N291" i="1"/>
  <c r="R308" i="1"/>
  <c r="N184" i="1"/>
  <c r="Q184" i="1" s="1"/>
  <c r="R184" i="1" s="1"/>
  <c r="N205" i="1"/>
  <c r="N254" i="1"/>
  <c r="N194" i="1"/>
  <c r="N236" i="1"/>
  <c r="N63" i="1"/>
  <c r="N244" i="1"/>
  <c r="Q244" i="1" s="1"/>
  <c r="R244" i="1" s="1"/>
  <c r="N301" i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2" i="1"/>
  <c r="Q262" i="1" s="1"/>
  <c r="R262" i="1" s="1"/>
  <c r="R213" i="1"/>
  <c r="N80" i="1"/>
  <c r="Q80" i="1" s="1"/>
  <c r="R80" i="1" s="1"/>
  <c r="N225" i="1"/>
  <c r="N286" i="1"/>
  <c r="FD205" i="1"/>
  <c r="FE205" i="1" s="1"/>
  <c r="N140" i="1"/>
  <c r="Q140" i="1" s="1"/>
  <c r="R140" i="1" s="1"/>
  <c r="BP161" i="1"/>
  <c r="BQ161" i="1" s="1"/>
  <c r="BF187" i="1"/>
  <c r="BG187" i="1" s="1"/>
  <c r="DU9" i="1"/>
  <c r="DX9" i="1" s="1"/>
  <c r="DX258" i="1"/>
  <c r="DY258" i="1" s="1"/>
  <c r="DK14" i="1"/>
  <c r="DN14" i="1" s="1"/>
  <c r="DO14" i="1" s="1"/>
  <c r="AH9" i="1"/>
  <c r="AK9" i="1" s="1"/>
  <c r="AL9" i="1" s="1"/>
  <c r="BC10" i="1"/>
  <c r="X12" i="1"/>
  <c r="AA12" i="1" s="1"/>
  <c r="AB12" i="1" s="1"/>
  <c r="X38" i="1"/>
  <c r="AA38" i="1" s="1"/>
  <c r="AB38" i="1" s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3" i="1"/>
  <c r="AL233" i="1" s="1"/>
  <c r="BZ299" i="1"/>
  <c r="CA299" i="1" s="1"/>
  <c r="AK123" i="1"/>
  <c r="AL123" i="1" s="1"/>
  <c r="DX310" i="1"/>
  <c r="DY310" i="1" s="1"/>
  <c r="CQ3" i="1"/>
  <c r="CT3" i="1" s="1"/>
  <c r="CU3" i="1" s="1"/>
  <c r="AK296" i="1"/>
  <c r="AL296" i="1" s="1"/>
  <c r="BC16" i="1"/>
  <c r="BF16" i="1" s="1"/>
  <c r="BG16" i="1" s="1"/>
  <c r="DK122" i="1"/>
  <c r="CG100" i="1"/>
  <c r="CJ100" i="1" s="1"/>
  <c r="CK100" i="1" s="1"/>
  <c r="DD226" i="1"/>
  <c r="DE226" i="1" s="1"/>
  <c r="BZ185" i="1"/>
  <c r="CA185" i="1" s="1"/>
  <c r="DN233" i="1"/>
  <c r="DO233" i="1" s="1"/>
  <c r="DK75" i="1"/>
  <c r="AR87" i="1"/>
  <c r="AU87" i="1" s="1"/>
  <c r="AV87" i="1" s="1"/>
  <c r="DE113" i="1"/>
  <c r="BP74" i="1"/>
  <c r="BQ74" i="1" s="1"/>
  <c r="CT243" i="1"/>
  <c r="CU243" i="1" s="1"/>
  <c r="BC41" i="1"/>
  <c r="BF41" i="1" s="1"/>
  <c r="BG41" i="1" s="1"/>
  <c r="AH92" i="1"/>
  <c r="BZ70" i="1"/>
  <c r="CA70" i="1" s="1"/>
  <c r="DX147" i="1"/>
  <c r="DY147" i="1" s="1"/>
  <c r="BF242" i="1"/>
  <c r="BG242" i="1" s="1"/>
  <c r="DK223" i="1"/>
  <c r="AU83" i="1"/>
  <c r="AV83" i="1" s="1"/>
  <c r="BF249" i="1"/>
  <c r="BG249" i="1" s="1"/>
  <c r="CJ306" i="1"/>
  <c r="CK306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AA15" i="1" s="1"/>
  <c r="AB15" i="1" s="1"/>
  <c r="DU31" i="1"/>
  <c r="DX31" i="1" s="1"/>
  <c r="DY31" i="1" s="1"/>
  <c r="BM119" i="1"/>
  <c r="BF113" i="1"/>
  <c r="BG113" i="1" s="1"/>
  <c r="CT194" i="1"/>
  <c r="CU194" i="1" s="1"/>
  <c r="DD277" i="1"/>
  <c r="DE277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69" i="1"/>
  <c r="CQ242" i="1"/>
  <c r="DO161" i="1"/>
  <c r="AR95" i="1"/>
  <c r="AU95" i="1" s="1"/>
  <c r="AV95" i="1" s="1"/>
  <c r="BW156" i="1"/>
  <c r="CG211" i="1"/>
  <c r="CJ211" i="1" s="1"/>
  <c r="CK211" i="1" s="1"/>
  <c r="BC74" i="1"/>
  <c r="BF74" i="1" s="1"/>
  <c r="BG74" i="1" s="1"/>
  <c r="X69" i="1"/>
  <c r="AA69" i="1" s="1"/>
  <c r="AB69" i="1" s="1"/>
  <c r="BM96" i="1"/>
  <c r="AR136" i="1"/>
  <c r="BM226" i="1"/>
  <c r="X231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DD79" i="1" s="1"/>
  <c r="DE79" i="1" s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0" i="1"/>
  <c r="DA176" i="1"/>
  <c r="X189" i="1"/>
  <c r="BC189" i="1"/>
  <c r="BF189" i="1" s="1"/>
  <c r="BG189" i="1" s="1"/>
  <c r="BM249" i="1"/>
  <c r="BP249" i="1" s="1"/>
  <c r="BQ249" i="1" s="1"/>
  <c r="BC262" i="1"/>
  <c r="DU253" i="1"/>
  <c r="CQ296" i="1"/>
  <c r="BW262" i="1"/>
  <c r="BZ262" i="1" s="1"/>
  <c r="CA262" i="1" s="1"/>
  <c r="AH144" i="1"/>
  <c r="AR109" i="1"/>
  <c r="AU109" i="1" s="1"/>
  <c r="AV109" i="1" s="1"/>
  <c r="AR177" i="1"/>
  <c r="AU177" i="1" s="1"/>
  <c r="AV177" i="1" s="1"/>
  <c r="CG235" i="1"/>
  <c r="CJ235" i="1" s="1"/>
  <c r="CK235" i="1" s="1"/>
  <c r="AH269" i="1"/>
  <c r="AK269" i="1" s="1"/>
  <c r="AL269" i="1" s="1"/>
  <c r="AR210" i="1"/>
  <c r="CQ228" i="1"/>
  <c r="CT228" i="1" s="1"/>
  <c r="CU228" i="1" s="1"/>
  <c r="DA200" i="1"/>
  <c r="DD200" i="1" s="1"/>
  <c r="DE200" i="1" s="1"/>
  <c r="CQ206" i="1"/>
  <c r="CT206" i="1" s="1"/>
  <c r="CU206" i="1" s="1"/>
  <c r="AH256" i="1"/>
  <c r="BW208" i="1"/>
  <c r="DA261" i="1"/>
  <c r="DD261" i="1" s="1"/>
  <c r="DE261" i="1" s="1"/>
  <c r="AH57" i="1"/>
  <c r="DN175" i="1"/>
  <c r="DO175" i="1" s="1"/>
  <c r="DE47" i="1"/>
  <c r="CK16" i="1"/>
  <c r="BC240" i="1"/>
  <c r="CG208" i="1"/>
  <c r="CJ208" i="1" s="1"/>
  <c r="CK208" i="1" s="1"/>
  <c r="AH265" i="1"/>
  <c r="AK265" i="1" s="1"/>
  <c r="AL265" i="1" s="1"/>
  <c r="X71" i="1"/>
  <c r="DK113" i="1"/>
  <c r="AH198" i="1"/>
  <c r="AL198" i="1" s="1"/>
  <c r="DK247" i="1"/>
  <c r="BM198" i="1"/>
  <c r="BQ198" i="1" s="1"/>
  <c r="AR266" i="1"/>
  <c r="AU266" i="1" s="1"/>
  <c r="AV266" i="1" s="1"/>
  <c r="AH26" i="1"/>
  <c r="AK26" i="1" s="1"/>
  <c r="AL26" i="1" s="1"/>
  <c r="CG45" i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AA213" i="1" s="1"/>
  <c r="AB213" i="1" s="1"/>
  <c r="DK194" i="1"/>
  <c r="AR231" i="1"/>
  <c r="AU231" i="1" s="1"/>
  <c r="AV231" i="1" s="1"/>
  <c r="CQ211" i="1"/>
  <c r="AH266" i="1"/>
  <c r="AK266" i="1" s="1"/>
  <c r="AL266" i="1" s="1"/>
  <c r="BC304" i="1"/>
  <c r="AH244" i="1"/>
  <c r="AK244" i="1" s="1"/>
  <c r="AL244" i="1" s="1"/>
  <c r="DK290" i="1"/>
  <c r="BW249" i="1"/>
  <c r="BZ249" i="1" s="1"/>
  <c r="CA249" i="1" s="1"/>
  <c r="CQ270" i="1"/>
  <c r="AR299" i="1"/>
  <c r="DU49" i="1"/>
  <c r="DX49" i="1" s="1"/>
  <c r="DY49" i="1" s="1"/>
  <c r="AR31" i="1"/>
  <c r="AU31" i="1" s="1"/>
  <c r="AV31" i="1" s="1"/>
  <c r="BM77" i="1"/>
  <c r="X94" i="1"/>
  <c r="AA94" i="1" s="1"/>
  <c r="AB94" i="1" s="1"/>
  <c r="DU122" i="1"/>
  <c r="AR183" i="1"/>
  <c r="AU183" i="1" s="1"/>
  <c r="AV183" i="1" s="1"/>
  <c r="AH247" i="1"/>
  <c r="DA215" i="1"/>
  <c r="AR195" i="1"/>
  <c r="AU195" i="1" s="1"/>
  <c r="AV195" i="1" s="1"/>
  <c r="DA217" i="1"/>
  <c r="DD217" i="1" s="1"/>
  <c r="DE217" i="1" s="1"/>
  <c r="CQ223" i="1"/>
  <c r="CT223" i="1" s="1"/>
  <c r="CU223" i="1" s="1"/>
  <c r="DU218" i="1"/>
  <c r="DA98" i="1"/>
  <c r="BW86" i="1"/>
  <c r="BM84" i="1"/>
  <c r="AH132" i="1"/>
  <c r="AR220" i="1"/>
  <c r="DA127" i="1"/>
  <c r="AH190" i="1"/>
  <c r="AK190" i="1" s="1"/>
  <c r="AL190" i="1" s="1"/>
  <c r="DU273" i="1"/>
  <c r="DA39" i="1"/>
  <c r="DD39" i="1" s="1"/>
  <c r="DE39" i="1" s="1"/>
  <c r="CJ310" i="1"/>
  <c r="CK310" i="1" s="1"/>
  <c r="X143" i="1"/>
  <c r="BC182" i="1"/>
  <c r="BF182" i="1" s="1"/>
  <c r="BG182" i="1" s="1"/>
  <c r="CG278" i="1"/>
  <c r="X232" i="1"/>
  <c r="AA232" i="1" s="1"/>
  <c r="AB232" i="1" s="1"/>
  <c r="DK27" i="1"/>
  <c r="DN27" i="1" s="1"/>
  <c r="DO27" i="1" s="1"/>
  <c r="BM44" i="1"/>
  <c r="BP44" i="1" s="1"/>
  <c r="BQ44" i="1" s="1"/>
  <c r="BC97" i="1"/>
  <c r="CQ46" i="1"/>
  <c r="DK39" i="1"/>
  <c r="DN39" i="1" s="1"/>
  <c r="DO39" i="1" s="1"/>
  <c r="DA182" i="1"/>
  <c r="DD182" i="1" s="1"/>
  <c r="DE182" i="1" s="1"/>
  <c r="CG191" i="1"/>
  <c r="CQ247" i="1"/>
  <c r="CT247" i="1" s="1"/>
  <c r="CU247" i="1" s="1"/>
  <c r="AR261" i="1"/>
  <c r="X197" i="1"/>
  <c r="AA197" i="1" s="1"/>
  <c r="AB197" i="1" s="1"/>
  <c r="X239" i="1"/>
  <c r="AA239" i="1" s="1"/>
  <c r="AB239" i="1" s="1"/>
  <c r="AA23" i="1"/>
  <c r="AB23" i="1" s="1"/>
  <c r="DX153" i="1"/>
  <c r="DY153" i="1" s="1"/>
  <c r="BP250" i="1"/>
  <c r="BQ250" i="1" s="1"/>
  <c r="BP252" i="1"/>
  <c r="BQ252" i="1" s="1"/>
  <c r="Q290" i="1"/>
  <c r="R290" i="1" s="1"/>
  <c r="BP240" i="1"/>
  <c r="BQ240" i="1" s="1"/>
  <c r="DD55" i="1"/>
  <c r="DE55" i="1" s="1"/>
  <c r="BF243" i="1"/>
  <c r="BG243" i="1" s="1"/>
  <c r="CT309" i="1"/>
  <c r="CU309" i="1" s="1"/>
  <c r="N237" i="1"/>
  <c r="CQ127" i="1"/>
  <c r="CT127" i="1" s="1"/>
  <c r="CU127" i="1" s="1"/>
  <c r="CT203" i="1"/>
  <c r="CU203" i="1" s="1"/>
  <c r="DD287" i="1"/>
  <c r="DE287" i="1" s="1"/>
  <c r="BZ304" i="1"/>
  <c r="CA304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DO78" i="1"/>
  <c r="AR76" i="1"/>
  <c r="AU76" i="1" s="1"/>
  <c r="AV76" i="1" s="1"/>
  <c r="CG128" i="1"/>
  <c r="X82" i="1"/>
  <c r="AV108" i="1"/>
  <c r="AR115" i="1"/>
  <c r="BM93" i="1"/>
  <c r="BP93" i="1" s="1"/>
  <c r="BQ93" i="1" s="1"/>
  <c r="CG87" i="1"/>
  <c r="CQ217" i="1"/>
  <c r="BM197" i="1"/>
  <c r="DA194" i="1"/>
  <c r="DD194" i="1" s="1"/>
  <c r="DE194" i="1" s="1"/>
  <c r="BQ248" i="1"/>
  <c r="AR267" i="1"/>
  <c r="AU267" i="1" s="1"/>
  <c r="AV267" i="1" s="1"/>
  <c r="DY301" i="1"/>
  <c r="BC266" i="1"/>
  <c r="BF266" i="1" s="1"/>
  <c r="BG266" i="1" s="1"/>
  <c r="BZ105" i="1"/>
  <c r="CA105" i="1" s="1"/>
  <c r="X158" i="1"/>
  <c r="AA158" i="1" s="1"/>
  <c r="AB158" i="1" s="1"/>
  <c r="CJ260" i="1"/>
  <c r="CK260" i="1"/>
  <c r="BP195" i="1"/>
  <c r="BQ195" i="1" s="1"/>
  <c r="BW204" i="1"/>
  <c r="CA204" i="1" s="1"/>
  <c r="AA249" i="1"/>
  <c r="AB249" i="1" s="1"/>
  <c r="CA274" i="1"/>
  <c r="CG272" i="1"/>
  <c r="DN185" i="1"/>
  <c r="DO185" i="1" s="1"/>
  <c r="AA308" i="1"/>
  <c r="AB308" i="1" s="1"/>
  <c r="DX189" i="1"/>
  <c r="DY189" i="1" s="1"/>
  <c r="BP288" i="1"/>
  <c r="BQ288" i="1" s="1"/>
  <c r="DU259" i="1"/>
  <c r="CA300" i="1"/>
  <c r="CT225" i="1"/>
  <c r="CU225" i="1" s="1"/>
  <c r="BZ205" i="1"/>
  <c r="CA205" i="1" s="1"/>
  <c r="Q302" i="1"/>
  <c r="R302" i="1" s="1"/>
  <c r="BC8" i="1"/>
  <c r="CQ131" i="1"/>
  <c r="CT131" i="1" s="1"/>
  <c r="CU131" i="1" s="1"/>
  <c r="BC223" i="1"/>
  <c r="DN250" i="1"/>
  <c r="DO250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DE214" i="1"/>
  <c r="BP143" i="1"/>
  <c r="BQ143" i="1" s="1"/>
  <c r="AA248" i="1"/>
  <c r="AB248" i="1" s="1"/>
  <c r="R34" i="1"/>
  <c r="CG57" i="1"/>
  <c r="CJ57" i="1" s="1"/>
  <c r="CK57" i="1" s="1"/>
  <c r="DA92" i="1"/>
  <c r="DD92" i="1" s="1"/>
  <c r="DE92" i="1" s="1"/>
  <c r="AV110" i="1"/>
  <c r="AL142" i="1"/>
  <c r="BP155" i="1"/>
  <c r="BQ155" i="1" s="1"/>
  <c r="DD41" i="1"/>
  <c r="DE41" i="1" s="1"/>
  <c r="BF218" i="1"/>
  <c r="BG218" i="1" s="1"/>
  <c r="DX232" i="1"/>
  <c r="DY232" i="1" s="1"/>
  <c r="BZ283" i="1"/>
  <c r="CA283" i="1" s="1"/>
  <c r="CT307" i="1"/>
  <c r="CU307" i="1" s="1"/>
  <c r="DO303" i="1"/>
  <c r="AR268" i="1"/>
  <c r="AU268" i="1" s="1"/>
  <c r="AV268" i="1" s="1"/>
  <c r="BF307" i="1"/>
  <c r="BG307" i="1" s="1"/>
  <c r="CJ243" i="1"/>
  <c r="CK243" i="1" s="1"/>
  <c r="X64" i="1"/>
  <c r="AA64" i="1" s="1"/>
  <c r="CG303" i="1"/>
  <c r="BM58" i="1"/>
  <c r="DK144" i="1"/>
  <c r="FD99" i="1"/>
  <c r="FE99" i="1" s="1"/>
  <c r="DU95" i="1"/>
  <c r="AB104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AK36" i="1"/>
  <c r="AL36" i="1" s="1"/>
  <c r="DX117" i="1"/>
  <c r="DY117" i="1" s="1"/>
  <c r="DA106" i="1"/>
  <c r="AA238" i="1"/>
  <c r="AB238" i="1" s="1"/>
  <c r="AA250" i="1"/>
  <c r="AB250" i="1" s="1"/>
  <c r="BC222" i="1"/>
  <c r="BF222" i="1" s="1"/>
  <c r="BG222" i="1" s="1"/>
  <c r="AU245" i="1"/>
  <c r="AV245" i="1"/>
  <c r="BF219" i="1"/>
  <c r="BG219" i="1"/>
  <c r="AK281" i="1"/>
  <c r="AL281" i="1" s="1"/>
  <c r="AA222" i="1"/>
  <c r="AB222" i="1" s="1"/>
  <c r="N249" i="1"/>
  <c r="Q249" i="1" s="1"/>
  <c r="R249" i="1" s="1"/>
  <c r="BC254" i="1"/>
  <c r="BF254" i="1" s="1"/>
  <c r="BG254" i="1" s="1"/>
  <c r="BC177" i="1"/>
  <c r="BF177" i="1" s="1"/>
  <c r="BG177" i="1" s="1"/>
  <c r="DN305" i="1"/>
  <c r="DO305" i="1" s="1"/>
  <c r="DO156" i="1"/>
  <c r="CJ221" i="1"/>
  <c r="CK221" i="1" s="1"/>
  <c r="BF245" i="1"/>
  <c r="BG245" i="1" s="1"/>
  <c r="DN187" i="1"/>
  <c r="DO187" i="1" s="1"/>
  <c r="BM46" i="1"/>
  <c r="BP46" i="1" s="1"/>
  <c r="BQ46" i="1" s="1"/>
  <c r="DO195" i="1"/>
  <c r="DX228" i="1"/>
  <c r="DY228" i="1" s="1"/>
  <c r="CQ8" i="1"/>
  <c r="CT8" i="1" s="1"/>
  <c r="CU8" i="1" s="1"/>
  <c r="AH122" i="1"/>
  <c r="AK122" i="1" s="1"/>
  <c r="AL122" i="1" s="1"/>
  <c r="BM87" i="1"/>
  <c r="BP87" i="1" s="1"/>
  <c r="X70" i="1"/>
  <c r="AA212" i="1"/>
  <c r="AB212" i="1" s="1"/>
  <c r="DA20" i="1"/>
  <c r="DD20" i="1" s="1"/>
  <c r="DE20" i="1" s="1"/>
  <c r="DK31" i="1"/>
  <c r="DN31" i="1" s="1"/>
  <c r="DO31" i="1" s="1"/>
  <c r="BM20" i="1"/>
  <c r="BP20" i="1" s="1"/>
  <c r="BQ20" i="1" s="1"/>
  <c r="DA33" i="1"/>
  <c r="DD33" i="1" s="1"/>
  <c r="DE33" i="1" s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AB208" i="1"/>
  <c r="AB159" i="1"/>
  <c r="BF156" i="1"/>
  <c r="BG156" i="1" s="1"/>
  <c r="Q268" i="1"/>
  <c r="R268" i="1" s="1"/>
  <c r="CJ264" i="1"/>
  <c r="CK264" i="1" s="1"/>
  <c r="AA310" i="1"/>
  <c r="AB310" i="1" s="1"/>
  <c r="AA278" i="1"/>
  <c r="AB278" i="1" s="1"/>
  <c r="DO310" i="1"/>
  <c r="CQ86" i="1"/>
  <c r="CT86" i="1" s="1"/>
  <c r="CU86" i="1" s="1"/>
  <c r="X267" i="1"/>
  <c r="AA267" i="1" s="1"/>
  <c r="DD282" i="1"/>
  <c r="DE282" i="1"/>
  <c r="CJ309" i="1"/>
  <c r="CK309" i="1" s="1"/>
  <c r="AH37" i="1"/>
  <c r="X72" i="1"/>
  <c r="AA72" i="1" s="1"/>
  <c r="AB72" i="1" s="1"/>
  <c r="Q280" i="1"/>
  <c r="R280" i="1" s="1"/>
  <c r="AA284" i="1"/>
  <c r="AB284" i="1" s="1"/>
  <c r="CU89" i="1"/>
  <c r="DY85" i="1"/>
  <c r="DX173" i="1"/>
  <c r="DY173" i="1" s="1"/>
  <c r="DK228" i="1"/>
  <c r="Q66" i="1"/>
  <c r="R66" i="1" s="1"/>
  <c r="DK83" i="1"/>
  <c r="BF253" i="1"/>
  <c r="BG253" i="1"/>
  <c r="CT178" i="1"/>
  <c r="CU178" i="1"/>
  <c r="AV238" i="1"/>
  <c r="BW203" i="1"/>
  <c r="DX282" i="1"/>
  <c r="DY282" i="1" s="1"/>
  <c r="DX302" i="1"/>
  <c r="DY302" i="1" s="1"/>
  <c r="AA300" i="1"/>
  <c r="AB300" i="1" s="1"/>
  <c r="BZ296" i="1"/>
  <c r="CA296" i="1" s="1"/>
  <c r="BZ306" i="1"/>
  <c r="CA306" i="1" s="1"/>
  <c r="BF83" i="1"/>
  <c r="BG83" i="1" s="1"/>
  <c r="BC208" i="1"/>
  <c r="BF208" i="1" s="1"/>
  <c r="X76" i="1"/>
  <c r="AA76" i="1" s="1"/>
  <c r="AB76" i="1" s="1"/>
  <c r="X118" i="1"/>
  <c r="BP60" i="1"/>
  <c r="BQ60" i="1" s="1"/>
  <c r="CG223" i="1"/>
  <c r="CJ223" i="1" s="1"/>
  <c r="CK223" i="1" s="1"/>
  <c r="DD224" i="1"/>
  <c r="DE224" i="1"/>
  <c r="AA311" i="1"/>
  <c r="AB311" i="1" s="1"/>
  <c r="DY161" i="1"/>
  <c r="CK228" i="1"/>
  <c r="BG311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5" i="1"/>
  <c r="CJ255" i="1" s="1"/>
  <c r="AA251" i="1"/>
  <c r="AB251" i="1" s="1"/>
  <c r="CJ233" i="1"/>
  <c r="CK233" i="1" s="1"/>
  <c r="DD269" i="1"/>
  <c r="DE269" i="1" s="1"/>
  <c r="BQ303" i="1"/>
  <c r="DN301" i="1"/>
  <c r="DO301" i="1" s="1"/>
  <c r="Q304" i="1"/>
  <c r="R304" i="1"/>
  <c r="CG178" i="1"/>
  <c r="CJ178" i="1" s="1"/>
  <c r="CK178" i="1" s="1"/>
  <c r="BP308" i="1"/>
  <c r="BQ308" i="1"/>
  <c r="BC23" i="1"/>
  <c r="BF23" i="1" s="1"/>
  <c r="BG23" i="1" s="1"/>
  <c r="CG39" i="1"/>
  <c r="CJ39" i="1" s="1"/>
  <c r="CK39" i="1" s="1"/>
  <c r="AK174" i="1"/>
  <c r="AL174" i="1"/>
  <c r="BP246" i="1"/>
  <c r="BQ246" i="1" s="1"/>
  <c r="DA60" i="1"/>
  <c r="AH30" i="1"/>
  <c r="AK30" i="1" s="1"/>
  <c r="AL30" i="1" s="1"/>
  <c r="DA115" i="1"/>
  <c r="DU93" i="1"/>
  <c r="DX93" i="1" s="1"/>
  <c r="DY93" i="1" s="1"/>
  <c r="DN263" i="1"/>
  <c r="DO263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AA139" i="1" s="1"/>
  <c r="AB139" i="1" s="1"/>
  <c r="DU104" i="1"/>
  <c r="BW123" i="1"/>
  <c r="CA142" i="1"/>
  <c r="CQ200" i="1"/>
  <c r="CT200" i="1" s="1"/>
  <c r="CU200" i="1" s="1"/>
  <c r="CQ264" i="1"/>
  <c r="CT264" i="1" s="1"/>
  <c r="CU264" i="1" s="1"/>
  <c r="BZ15" i="1"/>
  <c r="CA15" i="1"/>
  <c r="DD48" i="1"/>
  <c r="DE48" i="1"/>
  <c r="DX148" i="1"/>
  <c r="DY148" i="1" s="1"/>
  <c r="AA175" i="1"/>
  <c r="AB175" i="1" s="1"/>
  <c r="BP188" i="1"/>
  <c r="BQ188" i="1" s="1"/>
  <c r="AK203" i="1"/>
  <c r="AL203" i="1" s="1"/>
  <c r="BP284" i="1"/>
  <c r="BQ284" i="1" s="1"/>
  <c r="CG253" i="1"/>
  <c r="DN256" i="1"/>
  <c r="DO256" i="1" s="1"/>
  <c r="DD307" i="1"/>
  <c r="DE307" i="1"/>
  <c r="BZ280" i="1"/>
  <c r="CA280" i="1" s="1"/>
  <c r="DA94" i="1"/>
  <c r="DA239" i="1"/>
  <c r="AU290" i="1"/>
  <c r="AV290" i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AA36" i="1" s="1"/>
  <c r="AB36" i="1" s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A59" i="1"/>
  <c r="AB59" i="1" s="1"/>
  <c r="AK155" i="1"/>
  <c r="AL155" i="1" s="1"/>
  <c r="DK111" i="1"/>
  <c r="DX171" i="1"/>
  <c r="DY171" i="1" s="1"/>
  <c r="N9" i="1"/>
  <c r="DN240" i="1"/>
  <c r="DO240" i="1" s="1"/>
  <c r="BW235" i="1"/>
  <c r="BC183" i="1"/>
  <c r="BP304" i="1"/>
  <c r="BQ304" i="1" s="1"/>
  <c r="BZ282" i="1"/>
  <c r="CA282" i="1" s="1"/>
  <c r="CG268" i="1"/>
  <c r="CJ268" i="1" s="1"/>
  <c r="CK268" i="1" s="1"/>
  <c r="DU208" i="1"/>
  <c r="DK238" i="1"/>
  <c r="AR237" i="1"/>
  <c r="AU237" i="1" s="1"/>
  <c r="AV237" i="1" s="1"/>
  <c r="BC221" i="1"/>
  <c r="BF221" i="1" s="1"/>
  <c r="BG221" i="1" s="1"/>
  <c r="DA209" i="1"/>
  <c r="DE209" i="1" s="1"/>
  <c r="DU267" i="1"/>
  <c r="BM201" i="1"/>
  <c r="BP201" i="1" s="1"/>
  <c r="BQ201" i="1" s="1"/>
  <c r="DA231" i="1"/>
  <c r="DU265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AK184" i="1" s="1"/>
  <c r="AL184" i="1" s="1"/>
  <c r="CT262" i="1"/>
  <c r="CU262" i="1" s="1"/>
  <c r="DA253" i="1"/>
  <c r="DK177" i="1"/>
  <c r="DN177" i="1" s="1"/>
  <c r="DO177" i="1" s="1"/>
  <c r="CQ249" i="1"/>
  <c r="DU254" i="1"/>
  <c r="DK285" i="1"/>
  <c r="DK255" i="1"/>
  <c r="DK289" i="1"/>
  <c r="DK269" i="1"/>
  <c r="BM193" i="1"/>
  <c r="BP193" i="1" s="1"/>
  <c r="BQ193" i="1" s="1"/>
  <c r="X210" i="1"/>
  <c r="DK253" i="1"/>
  <c r="DN253" i="1" s="1"/>
  <c r="DO253" i="1" s="1"/>
  <c r="DU217" i="1"/>
  <c r="BM269" i="1"/>
  <c r="BP269" i="1" s="1"/>
  <c r="BQ269" i="1" s="1"/>
  <c r="AH302" i="1"/>
  <c r="AH283" i="1"/>
  <c r="AK283" i="1" s="1"/>
  <c r="AR223" i="1"/>
  <c r="AU223" i="1" s="1"/>
  <c r="DK293" i="1"/>
  <c r="BM290" i="1"/>
  <c r="CJ148" i="1"/>
  <c r="CK148" i="1" s="1"/>
  <c r="BP254" i="1"/>
  <c r="BQ254" i="1" s="1"/>
  <c r="DA131" i="1"/>
  <c r="DD131" i="1" s="1"/>
  <c r="DE131" i="1" s="1"/>
  <c r="BC139" i="1"/>
  <c r="BF139" i="1" s="1"/>
  <c r="BG139" i="1" s="1"/>
  <c r="BM144" i="1"/>
  <c r="BP144" i="1" s="1"/>
  <c r="BM211" i="1"/>
  <c r="BP211" i="1" s="1"/>
  <c r="BQ211" i="1" s="1"/>
  <c r="DU203" i="1"/>
  <c r="AR176" i="1"/>
  <c r="X199" i="1"/>
  <c r="BM217" i="1"/>
  <c r="BP217" i="1" s="1"/>
  <c r="BQ217" i="1" s="1"/>
  <c r="DK234" i="1"/>
  <c r="BM263" i="1"/>
  <c r="DK266" i="1"/>
  <c r="AR203" i="1"/>
  <c r="AU203" i="1" s="1"/>
  <c r="AV203" i="1" s="1"/>
  <c r="DK232" i="1"/>
  <c r="AH270" i="1"/>
  <c r="AR207" i="1"/>
  <c r="AR193" i="1"/>
  <c r="AU193" i="1" s="1"/>
  <c r="AV193" i="1" s="1"/>
  <c r="R65" i="1"/>
  <c r="BZ60" i="1"/>
  <c r="CA60" i="1" s="1"/>
  <c r="DU72" i="1"/>
  <c r="DK38" i="1"/>
  <c r="CJ230" i="1"/>
  <c r="CK230" i="1"/>
  <c r="X237" i="1"/>
  <c r="AA237" i="1" s="1"/>
  <c r="AB237" i="1" s="1"/>
  <c r="DU182" i="1"/>
  <c r="BW250" i="1"/>
  <c r="CJ298" i="1"/>
  <c r="CK298" i="1" s="1"/>
  <c r="BZ109" i="1"/>
  <c r="CA109" i="1"/>
  <c r="DX145" i="1"/>
  <c r="DY145" i="1" s="1"/>
  <c r="CT257" i="1"/>
  <c r="CU257" i="1" s="1"/>
  <c r="CQ186" i="1"/>
  <c r="CT186" i="1" s="1"/>
  <c r="CU186" i="1" s="1"/>
  <c r="BC197" i="1"/>
  <c r="BF197" i="1" s="1"/>
  <c r="BG197" i="1" s="1"/>
  <c r="X193" i="1"/>
  <c r="AA193" i="1" s="1"/>
  <c r="AB193" i="1" s="1"/>
  <c r="BC264" i="1"/>
  <c r="BF264" i="1" s="1"/>
  <c r="BG264" i="1" s="1"/>
  <c r="BM293" i="1"/>
  <c r="CG269" i="1"/>
  <c r="DD14" i="1"/>
  <c r="DE14" i="1" s="1"/>
  <c r="BM72" i="1"/>
  <c r="N152" i="1"/>
  <c r="BM152" i="1"/>
  <c r="EO152" i="1" s="1"/>
  <c r="N218" i="1"/>
  <c r="Q218" i="1" s="1"/>
  <c r="R218" i="1" s="1"/>
  <c r="DU242" i="1"/>
  <c r="DX283" i="1"/>
  <c r="DY283" i="1" s="1"/>
  <c r="N229" i="1"/>
  <c r="DA285" i="1"/>
  <c r="DD285" i="1" s="1"/>
  <c r="DE285" i="1" s="1"/>
  <c r="BF56" i="1"/>
  <c r="BG56" i="1" s="1"/>
  <c r="AU112" i="1"/>
  <c r="AV112" i="1" s="1"/>
  <c r="DK224" i="1"/>
  <c r="BM212" i="1"/>
  <c r="AH251" i="1"/>
  <c r="CG138" i="1"/>
  <c r="CJ138" i="1" s="1"/>
  <c r="AR200" i="1"/>
  <c r="AU200" i="1" s="1"/>
  <c r="CQ204" i="1"/>
  <c r="CU204" i="1" s="1"/>
  <c r="AR235" i="1"/>
  <c r="DA197" i="1"/>
  <c r="X265" i="1"/>
  <c r="DA271" i="1"/>
  <c r="DA294" i="1"/>
  <c r="DD294" i="1" s="1"/>
  <c r="DE294" i="1" s="1"/>
  <c r="CQ300" i="1"/>
  <c r="DA293" i="1"/>
  <c r="DD293" i="1" s="1"/>
  <c r="DE293" i="1" s="1"/>
  <c r="AH254" i="1"/>
  <c r="CG256" i="1"/>
  <c r="AH303" i="1"/>
  <c r="CG78" i="1"/>
  <c r="CT142" i="1"/>
  <c r="CU142" i="1" s="1"/>
  <c r="BM31" i="1"/>
  <c r="N187" i="1"/>
  <c r="Q187" i="1" s="1"/>
  <c r="R187" i="1" s="1"/>
  <c r="CQ229" i="1"/>
  <c r="CT229" i="1" s="1"/>
  <c r="CU229" i="1" s="1"/>
  <c r="DK245" i="1"/>
  <c r="CJ308" i="1"/>
  <c r="CK308" i="1" s="1"/>
  <c r="BZ256" i="1"/>
  <c r="CA256" i="1" s="1"/>
  <c r="BQ286" i="1"/>
  <c r="DK190" i="1"/>
  <c r="AR204" i="1"/>
  <c r="AV204" i="1" s="1"/>
  <c r="X198" i="1"/>
  <c r="BM41" i="1"/>
  <c r="BP41" i="1" s="1"/>
  <c r="BQ41" i="1" s="1"/>
  <c r="DN42" i="1"/>
  <c r="DO42" i="1" s="1"/>
  <c r="N147" i="1"/>
  <c r="N227" i="1"/>
  <c r="N287" i="1"/>
  <c r="Q287" i="1" s="1"/>
  <c r="R287" i="1" s="1"/>
  <c r="DU224" i="1"/>
  <c r="DK277" i="1"/>
  <c r="X244" i="1"/>
  <c r="Q256" i="1"/>
  <c r="R256" i="1" s="1"/>
  <c r="R281" i="1"/>
  <c r="Q122" i="1"/>
  <c r="R122" i="1" s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0" i="1"/>
  <c r="CA240" i="1" s="1"/>
  <c r="AU155" i="1"/>
  <c r="AV155" i="1" s="1"/>
  <c r="AK23" i="1"/>
  <c r="AL23" i="1" s="1"/>
  <c r="BZ35" i="1"/>
  <c r="CA35" i="1" s="1"/>
  <c r="Q243" i="1"/>
  <c r="R243" i="1" s="1"/>
  <c r="CT12" i="1"/>
  <c r="CU12" i="1" s="1"/>
  <c r="BP8" i="1"/>
  <c r="BQ8" i="1" s="1"/>
  <c r="AU194" i="1"/>
  <c r="AV194" i="1" s="1"/>
  <c r="DN9" i="1"/>
  <c r="DO9" i="1" s="1"/>
  <c r="Q21" i="1"/>
  <c r="R21" i="1" s="1"/>
  <c r="CJ5" i="1"/>
  <c r="CK5" i="1" s="1"/>
  <c r="BZ10" i="1"/>
  <c r="CA10" i="1" s="1"/>
  <c r="CT11" i="1"/>
  <c r="CU11" i="1" s="1"/>
  <c r="AA37" i="1"/>
  <c r="AB37" i="1" s="1"/>
  <c r="Q31" i="1"/>
  <c r="R31" i="1" s="1"/>
  <c r="CT120" i="1"/>
  <c r="CU120" i="1" s="1"/>
  <c r="Q163" i="1"/>
  <c r="R163" i="1" s="1"/>
  <c r="Q169" i="1"/>
  <c r="R169" i="1" s="1"/>
  <c r="DD148" i="1"/>
  <c r="DE148" i="1" s="1"/>
  <c r="EO148" i="1"/>
  <c r="CT208" i="1"/>
  <c r="CU208" i="1" s="1"/>
  <c r="AU269" i="1"/>
  <c r="AV269" i="1" s="1"/>
  <c r="AA281" i="1"/>
  <c r="AB281" i="1"/>
  <c r="AA288" i="1"/>
  <c r="AB288" i="1" s="1"/>
  <c r="DX13" i="1"/>
  <c r="Q16" i="1"/>
  <c r="R16" i="1" s="1"/>
  <c r="CJ126" i="1"/>
  <c r="CK126" i="1" s="1"/>
  <c r="Q96" i="1"/>
  <c r="R96" i="1" s="1"/>
  <c r="CJ171" i="1"/>
  <c r="CK171" i="1" s="1"/>
  <c r="BZ163" i="1"/>
  <c r="CA163" i="1" s="1"/>
  <c r="DX101" i="1"/>
  <c r="BP100" i="1"/>
  <c r="BQ100" i="1"/>
  <c r="Q164" i="1"/>
  <c r="R164" i="1" s="1"/>
  <c r="AA195" i="1"/>
  <c r="AB195" i="1" s="1"/>
  <c r="AK189" i="1"/>
  <c r="AL189" i="1" s="1"/>
  <c r="DX179" i="1"/>
  <c r="DY179" i="1" s="1"/>
  <c r="DN180" i="1"/>
  <c r="DO180" i="1" s="1"/>
  <c r="BP259" i="1"/>
  <c r="BQ259" i="1" s="1"/>
  <c r="Q210" i="1"/>
  <c r="R21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2" i="1"/>
  <c r="DO282" i="1" s="1"/>
  <c r="BP273" i="1"/>
  <c r="BQ273" i="1" s="1"/>
  <c r="BF228" i="1"/>
  <c r="BG228" i="1" s="1"/>
  <c r="AU24" i="1"/>
  <c r="AV24" i="1" s="1"/>
  <c r="Q115" i="1"/>
  <c r="R115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69" i="1"/>
  <c r="AB269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Q37" i="1"/>
  <c r="R37" i="1" s="1"/>
  <c r="DN5" i="1"/>
  <c r="DO5" i="1" s="1"/>
  <c r="DN110" i="1"/>
  <c r="DO110" i="1" s="1"/>
  <c r="AK192" i="1"/>
  <c r="AL192" i="1" s="1"/>
  <c r="Q8" i="1"/>
  <c r="R8" i="1" s="1"/>
  <c r="DD37" i="1"/>
  <c r="DE37" i="1" s="1"/>
  <c r="DD9" i="1"/>
  <c r="DE9" i="1" s="1"/>
  <c r="AA16" i="1"/>
  <c r="AB16" i="1" s="1"/>
  <c r="BZ27" i="1"/>
  <c r="CA27" i="1" s="1"/>
  <c r="DD19" i="1"/>
  <c r="DE19" i="1" s="1"/>
  <c r="Q27" i="1"/>
  <c r="R27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Q292" i="1"/>
  <c r="R292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Q73" i="1"/>
  <c r="R73" i="1" s="1"/>
  <c r="BZ154" i="1"/>
  <c r="CA154" i="1" s="1"/>
  <c r="BP168" i="1"/>
  <c r="BQ168" i="1" s="1"/>
  <c r="Q144" i="1"/>
  <c r="R144" i="1" s="1"/>
  <c r="AA216" i="1"/>
  <c r="AB216" i="1" s="1"/>
  <c r="DY4" i="1"/>
  <c r="Q23" i="1"/>
  <c r="R23" i="1" s="1"/>
  <c r="Q18" i="1"/>
  <c r="R18" i="1" s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Q117" i="1"/>
  <c r="R117" i="1" s="1"/>
  <c r="DN143" i="1"/>
  <c r="DO143" i="1" s="1"/>
  <c r="CJ185" i="1"/>
  <c r="CK185" i="1" s="1"/>
  <c r="CJ199" i="1"/>
  <c r="CK199" i="1" s="1"/>
  <c r="AU5" i="1"/>
  <c r="AV5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BF133" i="1"/>
  <c r="BG133" i="1" s="1"/>
  <c r="AU171" i="1"/>
  <c r="AV171" i="1" s="1"/>
  <c r="AK246" i="1"/>
  <c r="AL246" i="1" s="1"/>
  <c r="AH207" i="1"/>
  <c r="BF294" i="1"/>
  <c r="BG294" i="1" s="1"/>
  <c r="BF234" i="1"/>
  <c r="BG234" i="1" s="1"/>
  <c r="CT293" i="1"/>
  <c r="CU293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3" i="1"/>
  <c r="DE243" i="1" s="1"/>
  <c r="Q289" i="1"/>
  <c r="R289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X71" i="1"/>
  <c r="DY71" i="1" s="1"/>
  <c r="DU59" i="1"/>
  <c r="DD122" i="1"/>
  <c r="DE122" i="1" s="1"/>
  <c r="BZ140" i="1"/>
  <c r="CA140" i="1" s="1"/>
  <c r="BF108" i="1"/>
  <c r="BG108" i="1" s="1"/>
  <c r="BP128" i="1"/>
  <c r="BQ128" i="1" s="1"/>
  <c r="BF216" i="1"/>
  <c r="BG216" i="1" s="1"/>
  <c r="BZ227" i="1"/>
  <c r="CA227" i="1" s="1"/>
  <c r="BF273" i="1"/>
  <c r="BG273" i="1" s="1"/>
  <c r="BF6" i="1"/>
  <c r="BG6" i="1" s="1"/>
  <c r="DX8" i="1"/>
  <c r="DY8" i="1" s="1"/>
  <c r="BZ8" i="1"/>
  <c r="CA8" i="1" s="1"/>
  <c r="CT9" i="1"/>
  <c r="CU9" i="1" s="1"/>
  <c r="AU14" i="1"/>
  <c r="AV14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K19" i="1"/>
  <c r="AL19" i="1" s="1"/>
  <c r="AA44" i="1"/>
  <c r="AB44" i="1" s="1"/>
  <c r="BZ74" i="1"/>
  <c r="CA74" i="1" s="1"/>
  <c r="EO47" i="1"/>
  <c r="DX47" i="1"/>
  <c r="DY47" i="1" s="1"/>
  <c r="AK42" i="1"/>
  <c r="AL42" i="1" s="1"/>
  <c r="X61" i="1"/>
  <c r="Q75" i="1"/>
  <c r="R75" i="1" s="1"/>
  <c r="DD66" i="1"/>
  <c r="DE66" i="1" s="1"/>
  <c r="BZ26" i="1"/>
  <c r="CA26" i="1" s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04" i="1"/>
  <c r="BQ10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CT132" i="1"/>
  <c r="CU132" i="1" s="1"/>
  <c r="AK145" i="1"/>
  <c r="AL145" i="1" s="1"/>
  <c r="AU161" i="1"/>
  <c r="AV161" i="1" s="1"/>
  <c r="AK129" i="1"/>
  <c r="AL129" i="1" s="1"/>
  <c r="AU154" i="1"/>
  <c r="AV154" i="1" s="1"/>
  <c r="CT173" i="1"/>
  <c r="CU173" i="1" s="1"/>
  <c r="Q151" i="1"/>
  <c r="R151" i="1" s="1"/>
  <c r="DX185" i="1"/>
  <c r="DD203" i="1"/>
  <c r="DE203" i="1" s="1"/>
  <c r="AK176" i="1"/>
  <c r="AL176" i="1" s="1"/>
  <c r="CQ180" i="1"/>
  <c r="CT210" i="1"/>
  <c r="CU210" i="1" s="1"/>
  <c r="BZ224" i="1"/>
  <c r="CA224" i="1" s="1"/>
  <c r="BF213" i="1"/>
  <c r="BG213" i="1" s="1"/>
  <c r="DD232" i="1"/>
  <c r="DE232" i="1" s="1"/>
  <c r="BP253" i="1"/>
  <c r="BQ253" i="1" s="1"/>
  <c r="CQ216" i="1"/>
  <c r="CJ259" i="1"/>
  <c r="CK259" i="1" s="1"/>
  <c r="DD164" i="1"/>
  <c r="DE164" i="1" s="1"/>
  <c r="AA200" i="1"/>
  <c r="AB200" i="1" s="1"/>
  <c r="BF290" i="1"/>
  <c r="BG290" i="1" s="1"/>
  <c r="BW211" i="1"/>
  <c r="BZ279" i="1"/>
  <c r="CA279" i="1" s="1"/>
  <c r="AA303" i="1"/>
  <c r="AB303" i="1" s="1"/>
  <c r="BZ193" i="1"/>
  <c r="CA193" i="1" s="1"/>
  <c r="CJ273" i="1"/>
  <c r="CK273" i="1" s="1"/>
  <c r="DN273" i="1"/>
  <c r="DO273" i="1" s="1"/>
  <c r="Q279" i="1"/>
  <c r="R279" i="1" s="1"/>
  <c r="DN296" i="1"/>
  <c r="DO296" i="1" s="1"/>
  <c r="BF305" i="1"/>
  <c r="BG305" i="1" s="1"/>
  <c r="BF277" i="1"/>
  <c r="BG277" i="1" s="1"/>
  <c r="BZ290" i="1"/>
  <c r="CA290" i="1" s="1"/>
  <c r="Q300" i="1"/>
  <c r="R300" i="1" s="1"/>
  <c r="Q294" i="1"/>
  <c r="R294" i="1" s="1"/>
  <c r="BF299" i="1"/>
  <c r="BG299" i="1" s="1"/>
  <c r="CT277" i="1"/>
  <c r="CU277" i="1" s="1"/>
  <c r="DD306" i="1"/>
  <c r="DE306" i="1" s="1"/>
  <c r="AU282" i="1"/>
  <c r="AV282" i="1" s="1"/>
  <c r="BZ221" i="1"/>
  <c r="CA221" i="1" s="1"/>
  <c r="BZ289" i="1"/>
  <c r="CA289" i="1" s="1"/>
  <c r="CJ51" i="1"/>
  <c r="CK51" i="1" s="1"/>
  <c r="BZ119" i="1"/>
  <c r="CA119" i="1" s="1"/>
  <c r="DX134" i="1"/>
  <c r="DY134" i="1" s="1"/>
  <c r="AK215" i="1"/>
  <c r="AL215" i="1" s="1"/>
  <c r="DN235" i="1"/>
  <c r="DO235" i="1" s="1"/>
  <c r="AA285" i="1"/>
  <c r="AB285" i="1" s="1"/>
  <c r="BF293" i="1"/>
  <c r="BG293" i="1" s="1"/>
  <c r="DK12" i="1"/>
  <c r="X53" i="1"/>
  <c r="BZ48" i="1"/>
  <c r="CA48" i="1" s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8" i="1"/>
  <c r="BG238" i="1" s="1"/>
  <c r="BZ226" i="1"/>
  <c r="CA226" i="1" s="1"/>
  <c r="AK211" i="1"/>
  <c r="AL211" i="1" s="1"/>
  <c r="BZ252" i="1"/>
  <c r="CA252" i="1" s="1"/>
  <c r="BF258" i="1"/>
  <c r="BG258" i="1" s="1"/>
  <c r="BZ169" i="1"/>
  <c r="CA169" i="1" s="1"/>
  <c r="CJ21" i="1"/>
  <c r="CK21" i="1" s="1"/>
  <c r="DN35" i="1"/>
  <c r="DO35" i="1" s="1"/>
  <c r="CJ64" i="1"/>
  <c r="CK64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1" i="1"/>
  <c r="DO261" i="1" s="1"/>
  <c r="CJ304" i="1"/>
  <c r="CK304" i="1" s="1"/>
  <c r="BM18" i="1"/>
  <c r="BP12" i="1"/>
  <c r="BQ12" i="1" s="1"/>
  <c r="AU20" i="1"/>
  <c r="AV20" i="1" s="1"/>
  <c r="AU39" i="1"/>
  <c r="AV39" i="1" s="1"/>
  <c r="BM57" i="1"/>
  <c r="CT102" i="1"/>
  <c r="CU102" i="1" s="1"/>
  <c r="BP116" i="1"/>
  <c r="BQ116" i="1" s="1"/>
  <c r="BZ136" i="1"/>
  <c r="CA136" i="1" s="1"/>
  <c r="DN170" i="1"/>
  <c r="DO170" i="1" s="1"/>
  <c r="AK167" i="1"/>
  <c r="AL167" i="1" s="1"/>
  <c r="DY150" i="1"/>
  <c r="EO150" i="1"/>
  <c r="Q222" i="1"/>
  <c r="R222" i="1" s="1"/>
  <c r="DD290" i="1"/>
  <c r="DE290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DX33" i="1"/>
  <c r="Q36" i="1"/>
  <c r="R36" i="1" s="1"/>
  <c r="DX44" i="1"/>
  <c r="DY44" i="1" s="1"/>
  <c r="DN44" i="1"/>
  <c r="DO44" i="1" s="1"/>
  <c r="AU16" i="1"/>
  <c r="AV16" i="1" s="1"/>
  <c r="AU75" i="1"/>
  <c r="AV75" i="1" s="1"/>
  <c r="DY11" i="1"/>
  <c r="BF45" i="1"/>
  <c r="BG45" i="1" s="1"/>
  <c r="DX62" i="1"/>
  <c r="DN47" i="1"/>
  <c r="DO47" i="1" s="1"/>
  <c r="AK68" i="1"/>
  <c r="AL68" i="1" s="1"/>
  <c r="AU82" i="1"/>
  <c r="AV82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BZ85" i="1"/>
  <c r="CA85" i="1" s="1"/>
  <c r="DN76" i="1"/>
  <c r="DO76" i="1" s="1"/>
  <c r="DX98" i="1"/>
  <c r="AU120" i="1"/>
  <c r="AV120" i="1" s="1"/>
  <c r="BF112" i="1"/>
  <c r="BG112" i="1" s="1"/>
  <c r="BF131" i="1"/>
  <c r="BG131" i="1" s="1"/>
  <c r="AU107" i="1"/>
  <c r="AV107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Q131" i="1"/>
  <c r="R131" i="1" s="1"/>
  <c r="BP164" i="1"/>
  <c r="BQ164" i="1" s="1"/>
  <c r="AK134" i="1"/>
  <c r="AL134" i="1" s="1"/>
  <c r="DN197" i="1"/>
  <c r="DO197" i="1" s="1"/>
  <c r="CT227" i="1"/>
  <c r="CU227" i="1" s="1"/>
  <c r="DD180" i="1"/>
  <c r="DE180" i="1" s="1"/>
  <c r="AU191" i="1"/>
  <c r="AV191" i="1" s="1"/>
  <c r="CJ215" i="1"/>
  <c r="CK215" i="1" s="1"/>
  <c r="BF233" i="1"/>
  <c r="BG233" i="1" s="1"/>
  <c r="BP181" i="1"/>
  <c r="BQ181" i="1" s="1"/>
  <c r="AU205" i="1"/>
  <c r="AV205" i="1" s="1"/>
  <c r="CJ218" i="1"/>
  <c r="CK218" i="1" s="1"/>
  <c r="CT231" i="1"/>
  <c r="CU231" i="1" s="1"/>
  <c r="CT239" i="1"/>
  <c r="CU239" i="1" s="1"/>
  <c r="CJ214" i="1"/>
  <c r="CK214" i="1" s="1"/>
  <c r="DD258" i="1"/>
  <c r="DE258" i="1" s="1"/>
  <c r="BP230" i="1"/>
  <c r="BQ230" i="1" s="1"/>
  <c r="AU265" i="1"/>
  <c r="AV265" i="1" s="1"/>
  <c r="DY296" i="1"/>
  <c r="DD305" i="1"/>
  <c r="DE305" i="1" s="1"/>
  <c r="DX290" i="1"/>
  <c r="DY290" i="1" s="1"/>
  <c r="DX284" i="1"/>
  <c r="DY284" i="1" s="1"/>
  <c r="EO284" i="1"/>
  <c r="DN176" i="1"/>
  <c r="DO176" i="1" s="1"/>
  <c r="DD310" i="1"/>
  <c r="DE310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4" i="1"/>
  <c r="DO254" i="1" s="1"/>
  <c r="BP247" i="1"/>
  <c r="BQ247" i="1" s="1"/>
  <c r="DD223" i="1"/>
  <c r="DE223" i="1" s="1"/>
  <c r="DX251" i="1"/>
  <c r="DY251" i="1" s="1"/>
  <c r="CT238" i="1"/>
  <c r="CU238" i="1" s="1"/>
  <c r="AU236" i="1"/>
  <c r="AV236" i="1" s="1"/>
  <c r="BZ303" i="1"/>
  <c r="CA303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Q156" i="1"/>
  <c r="R156" i="1" s="1"/>
  <c r="AK147" i="1"/>
  <c r="AL147" i="1" s="1"/>
  <c r="Q149" i="1"/>
  <c r="R149" i="1" s="1"/>
  <c r="DO198" i="1"/>
  <c r="AU184" i="1"/>
  <c r="AV184" i="1" s="1"/>
  <c r="AU258" i="1"/>
  <c r="AV258" i="1" s="1"/>
  <c r="DD191" i="1"/>
  <c r="DE191" i="1" s="1"/>
  <c r="Q248" i="1"/>
  <c r="R248" i="1" s="1"/>
  <c r="Q6" i="1"/>
  <c r="R6" i="1" s="1"/>
  <c r="BF7" i="1"/>
  <c r="BG7" i="1" s="1"/>
  <c r="BW78" i="1"/>
  <c r="N92" i="1"/>
  <c r="Q82" i="1"/>
  <c r="R82" i="1" s="1"/>
  <c r="DN120" i="1"/>
  <c r="DU121" i="1"/>
  <c r="DX174" i="1"/>
  <c r="DY174" i="1" s="1"/>
  <c r="AK180" i="1"/>
  <c r="AL180" i="1" s="1"/>
  <c r="CQ201" i="1"/>
  <c r="CT258" i="1"/>
  <c r="CU258" i="1" s="1"/>
  <c r="AU13" i="1"/>
  <c r="AV13" i="1" s="1"/>
  <c r="BZ36" i="1"/>
  <c r="CA36" i="1" s="1"/>
  <c r="BZ38" i="1"/>
  <c r="CA38" i="1" s="1"/>
  <c r="BZ79" i="1"/>
  <c r="CA79" i="1" s="1"/>
  <c r="X186" i="1"/>
  <c r="N201" i="1"/>
  <c r="Q177" i="1"/>
  <c r="R177" i="1" s="1"/>
  <c r="DK236" i="1"/>
  <c r="AU259" i="1"/>
  <c r="AV259" i="1" s="1"/>
  <c r="DX183" i="1"/>
  <c r="Q206" i="1"/>
  <c r="R206" i="1" s="1"/>
  <c r="AK278" i="1"/>
  <c r="AL278" i="1" s="1"/>
  <c r="DX187" i="1"/>
  <c r="DY187" i="1" s="1"/>
  <c r="AU180" i="1"/>
  <c r="AV180" i="1" s="1"/>
  <c r="AA290" i="1"/>
  <c r="AB290" i="1" s="1"/>
  <c r="DX295" i="1"/>
  <c r="DY295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13" i="1"/>
  <c r="CU13" i="1" s="1"/>
  <c r="AU53" i="1"/>
  <c r="AV53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Q54" i="1"/>
  <c r="R54" i="1" s="1"/>
  <c r="Q81" i="1"/>
  <c r="R81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AA126" i="1"/>
  <c r="AB126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EO110" i="1"/>
  <c r="DN146" i="1"/>
  <c r="DO146" i="1" s="1"/>
  <c r="Q157" i="1"/>
  <c r="R157" i="1" s="1"/>
  <c r="AR147" i="1"/>
  <c r="EO161" i="1"/>
  <c r="BP156" i="1"/>
  <c r="BQ156" i="1" s="1"/>
  <c r="AU157" i="1"/>
  <c r="AV157" i="1" s="1"/>
  <c r="BZ134" i="1"/>
  <c r="CA134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4" i="1"/>
  <c r="DY234" i="1" s="1"/>
  <c r="CT205" i="1"/>
  <c r="CU205" i="1" s="1"/>
  <c r="AU219" i="1"/>
  <c r="AV219" i="1" s="1"/>
  <c r="DD255" i="1"/>
  <c r="DE255" i="1" s="1"/>
  <c r="DD266" i="1"/>
  <c r="DE266" i="1" s="1"/>
  <c r="BZ246" i="1"/>
  <c r="CA246" i="1" s="1"/>
  <c r="AA190" i="1"/>
  <c r="AB190" i="1" s="1"/>
  <c r="Q199" i="1"/>
  <c r="R199" i="1" s="1"/>
  <c r="BF200" i="1"/>
  <c r="BG200" i="1" s="1"/>
  <c r="BZ288" i="1"/>
  <c r="CA288" i="1" s="1"/>
  <c r="BZ17" i="1"/>
  <c r="CA17" i="1" s="1"/>
  <c r="BZ34" i="1"/>
  <c r="CA34" i="1" s="1"/>
  <c r="DN36" i="1"/>
  <c r="DO36" i="1" s="1"/>
  <c r="Q48" i="1"/>
  <c r="R48" i="1" s="1"/>
  <c r="CT88" i="1"/>
  <c r="CU88" i="1" s="1"/>
  <c r="DN112" i="1"/>
  <c r="DO112" i="1" s="1"/>
  <c r="AK210" i="1"/>
  <c r="AL210" i="1" s="1"/>
  <c r="Q234" i="1"/>
  <c r="R234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6" i="1"/>
  <c r="BG236" i="1" s="1"/>
  <c r="N261" i="1"/>
  <c r="DN275" i="1"/>
  <c r="DO275" i="1" s="1"/>
  <c r="BF281" i="1"/>
  <c r="BG281" i="1" s="1"/>
  <c r="AA5" i="1"/>
  <c r="AB5" i="1" s="1"/>
  <c r="CJ27" i="1"/>
  <c r="CK27" i="1" s="1"/>
  <c r="DX17" i="1"/>
  <c r="AK40" i="1"/>
  <c r="AL40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39" i="1"/>
  <c r="DO239" i="1" s="1"/>
  <c r="AU285" i="1"/>
  <c r="AV285" i="1" s="1"/>
  <c r="CT285" i="1"/>
  <c r="CU285" i="1" s="1"/>
  <c r="CG13" i="1"/>
  <c r="BZ19" i="1"/>
  <c r="CA19" i="1" s="1"/>
  <c r="DN135" i="1"/>
  <c r="DO135" i="1" s="1"/>
  <c r="DN6" i="1"/>
  <c r="DO6" i="1" s="1"/>
  <c r="X9" i="1"/>
  <c r="AU3" i="1"/>
  <c r="AV3" i="1" s="1"/>
  <c r="DD15" i="1"/>
  <c r="DE15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AK12" i="1"/>
  <c r="AL12" i="1" s="1"/>
  <c r="Q5" i="1"/>
  <c r="R5" i="1" s="1"/>
  <c r="DX23" i="1"/>
  <c r="DY23" i="1" s="1"/>
  <c r="AA31" i="1"/>
  <c r="AB31" i="1" s="1"/>
  <c r="AU27" i="1"/>
  <c r="AV27" i="1" s="1"/>
  <c r="Q10" i="1"/>
  <c r="R10" i="1" s="1"/>
  <c r="AU37" i="1"/>
  <c r="AV37" i="1" s="1"/>
  <c r="DN45" i="1"/>
  <c r="DO45" i="1" s="1"/>
  <c r="BF47" i="1"/>
  <c r="BG47" i="1" s="1"/>
  <c r="AH51" i="1"/>
  <c r="Q76" i="1"/>
  <c r="R76" i="1" s="1"/>
  <c r="DN53" i="1"/>
  <c r="DO53" i="1" s="1"/>
  <c r="Q69" i="1"/>
  <c r="R69" i="1" s="1"/>
  <c r="Q68" i="1"/>
  <c r="R68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EO108" i="1"/>
  <c r="CT103" i="1"/>
  <c r="CU103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EO117" i="1"/>
  <c r="AH126" i="1"/>
  <c r="EO126" i="1" s="1"/>
  <c r="AA148" i="1"/>
  <c r="AB148" i="1" s="1"/>
  <c r="BZ157" i="1"/>
  <c r="CA157" i="1" s="1"/>
  <c r="DN118" i="1"/>
  <c r="DO118" i="1" s="1"/>
  <c r="AU148" i="1"/>
  <c r="AV148" i="1" s="1"/>
  <c r="BZ162" i="1"/>
  <c r="CA162" i="1" s="1"/>
  <c r="Q138" i="1"/>
  <c r="R138" i="1" s="1"/>
  <c r="DX156" i="1"/>
  <c r="DY156" i="1" s="1"/>
  <c r="DA142" i="1"/>
  <c r="Q170" i="1"/>
  <c r="R170" i="1" s="1"/>
  <c r="CJ205" i="1"/>
  <c r="CK205" i="1" s="1"/>
  <c r="BF181" i="1"/>
  <c r="BG181" i="1" s="1"/>
  <c r="DN200" i="1"/>
  <c r="DO200" i="1" s="1"/>
  <c r="DX177" i="1"/>
  <c r="DX220" i="1"/>
  <c r="DX255" i="1"/>
  <c r="CT189" i="1"/>
  <c r="CU189" i="1" s="1"/>
  <c r="Q190" i="1"/>
  <c r="R190" i="1" s="1"/>
  <c r="BF215" i="1"/>
  <c r="BG215" i="1" s="1"/>
  <c r="DX243" i="1"/>
  <c r="DY243" i="1" s="1"/>
  <c r="EO243" i="1"/>
  <c r="Q223" i="1"/>
  <c r="R223" i="1" s="1"/>
  <c r="AA256" i="1"/>
  <c r="AB256" i="1" s="1"/>
  <c r="Q267" i="1"/>
  <c r="R267" i="1" s="1"/>
  <c r="DN183" i="1"/>
  <c r="DO183" i="1" s="1"/>
  <c r="AR239" i="1"/>
  <c r="DX260" i="1"/>
  <c r="DY260" i="1" s="1"/>
  <c r="DX181" i="1"/>
  <c r="BP270" i="1"/>
  <c r="BQ270" i="1" s="1"/>
  <c r="DD227" i="1"/>
  <c r="DE227" i="1" s="1"/>
  <c r="BF186" i="1"/>
  <c r="BG186" i="1" s="1"/>
  <c r="BP299" i="1"/>
  <c r="BQ299" i="1" s="1"/>
  <c r="AA294" i="1"/>
  <c r="AB294" i="1" s="1"/>
  <c r="BZ21" i="1"/>
  <c r="CA21" i="1" s="1"/>
  <c r="AK14" i="1"/>
  <c r="AL14" i="1" s="1"/>
  <c r="BZ33" i="1"/>
  <c r="CA33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0" i="1"/>
  <c r="BG230" i="1" s="1"/>
  <c r="CJ274" i="1"/>
  <c r="CK274" i="1" s="1"/>
  <c r="EO305" i="1"/>
  <c r="DX305" i="1"/>
  <c r="BP301" i="1"/>
  <c r="BQ301" i="1" s="1"/>
  <c r="BP294" i="1"/>
  <c r="BQ294" i="1" s="1"/>
  <c r="AR32" i="1"/>
  <c r="AU73" i="1"/>
  <c r="AV73" i="1" s="1"/>
  <c r="BP43" i="1"/>
  <c r="BQ43" i="1" s="1"/>
  <c r="CJ97" i="1"/>
  <c r="CK97" i="1" s="1"/>
  <c r="N94" i="1"/>
  <c r="DD160" i="1"/>
  <c r="DE160" i="1" s="1"/>
  <c r="CT135" i="1"/>
  <c r="CU135" i="1" s="1"/>
  <c r="AA152" i="1"/>
  <c r="AB152" i="1" s="1"/>
  <c r="DX200" i="1"/>
  <c r="DY200" i="1" s="1"/>
  <c r="DX201" i="1"/>
  <c r="DY201" i="1" s="1"/>
  <c r="DN270" i="1"/>
  <c r="DO270" i="1" s="1"/>
  <c r="CJ297" i="1"/>
  <c r="CK297" i="1" s="1"/>
  <c r="Q295" i="1"/>
  <c r="R295" i="1" s="1"/>
  <c r="AU303" i="1"/>
  <c r="AV303" i="1" s="1"/>
  <c r="AA3" i="1"/>
  <c r="AB3" i="1" s="1"/>
  <c r="DD3" i="1"/>
  <c r="DE3" i="1" s="1"/>
  <c r="DD36" i="1"/>
  <c r="DE36" i="1" s="1"/>
  <c r="CJ54" i="1"/>
  <c r="CK54" i="1" s="1"/>
  <c r="AK53" i="1"/>
  <c r="AL53" i="1" s="1"/>
  <c r="AK54" i="1"/>
  <c r="AL54" i="1" s="1"/>
  <c r="DA86" i="1"/>
  <c r="BP215" i="1"/>
  <c r="BQ215" i="1" s="1"/>
  <c r="BZ277" i="1"/>
  <c r="CA277" i="1" s="1"/>
  <c r="AK285" i="1"/>
  <c r="AL285" i="1" s="1"/>
  <c r="BZ45" i="1"/>
  <c r="CA45" i="1" s="1"/>
  <c r="AA43" i="1"/>
  <c r="AB43" i="1" s="1"/>
  <c r="CJ133" i="1"/>
  <c r="CK133" i="1" s="1"/>
  <c r="Q174" i="1"/>
  <c r="R174" i="1" s="1"/>
  <c r="BZ151" i="1"/>
  <c r="CA151" i="1" s="1"/>
  <c r="BP207" i="1"/>
  <c r="BQ207" i="1" s="1"/>
  <c r="CT235" i="1"/>
  <c r="CU235" i="1" s="1"/>
  <c r="Q4" i="1"/>
  <c r="EN4" i="1" s="1"/>
  <c r="BZ20" i="1"/>
  <c r="CA20" i="1" s="1"/>
  <c r="AK5" i="1"/>
  <c r="AL5" i="1" s="1"/>
  <c r="BP7" i="1"/>
  <c r="BQ7" i="1" s="1"/>
  <c r="CT18" i="1"/>
  <c r="CU18" i="1" s="1"/>
  <c r="CJ18" i="1"/>
  <c r="CK18" i="1" s="1"/>
  <c r="BZ25" i="1"/>
  <c r="CA25" i="1" s="1"/>
  <c r="AA14" i="1"/>
  <c r="AB14" i="1" s="1"/>
  <c r="AU25" i="1"/>
  <c r="AV25" i="1" s="1"/>
  <c r="AK25" i="1"/>
  <c r="AL25" i="1" s="1"/>
  <c r="DX24" i="1"/>
  <c r="Q22" i="1"/>
  <c r="R22" i="1" s="1"/>
  <c r="CJ14" i="1"/>
  <c r="CK14" i="1" s="1"/>
  <c r="DD26" i="1"/>
  <c r="DE26" i="1" s="1"/>
  <c r="CJ37" i="1"/>
  <c r="CK37" i="1" s="1"/>
  <c r="DD44" i="1"/>
  <c r="DE44" i="1" s="1"/>
  <c r="DX34" i="1"/>
  <c r="DY34" i="1" s="1"/>
  <c r="EO34" i="1"/>
  <c r="CT47" i="1"/>
  <c r="CU47" i="1" s="1"/>
  <c r="AU45" i="1"/>
  <c r="AV45" i="1" s="1"/>
  <c r="DN57" i="1"/>
  <c r="DO57" i="1" s="1"/>
  <c r="AA21" i="1"/>
  <c r="AB21" i="1" s="1"/>
  <c r="CT54" i="1"/>
  <c r="CU54" i="1" s="1"/>
  <c r="BZ30" i="1"/>
  <c r="CA30" i="1" s="1"/>
  <c r="Q79" i="1"/>
  <c r="R79" i="1" s="1"/>
  <c r="CT76" i="1"/>
  <c r="CU76" i="1" s="1"/>
  <c r="BP47" i="1"/>
  <c r="BQ47" i="1" s="1"/>
  <c r="AK67" i="1"/>
  <c r="AL67" i="1" s="1"/>
  <c r="Q43" i="1"/>
  <c r="R43" i="1" s="1"/>
  <c r="BZ81" i="1"/>
  <c r="CA81" i="1" s="1"/>
  <c r="Q83" i="1"/>
  <c r="R83" i="1" s="1"/>
  <c r="DN56" i="1"/>
  <c r="DO56" i="1" s="1"/>
  <c r="BZ97" i="1"/>
  <c r="CA97" i="1" s="1"/>
  <c r="DD114" i="1"/>
  <c r="DE114" i="1" s="1"/>
  <c r="Q49" i="1"/>
  <c r="R49" i="1" s="1"/>
  <c r="BP105" i="1"/>
  <c r="BQ105" i="1" s="1"/>
  <c r="BP61" i="1"/>
  <c r="BQ61" i="1" s="1"/>
  <c r="AU93" i="1"/>
  <c r="AV93" i="1" s="1"/>
  <c r="BZ86" i="1"/>
  <c r="CA86" i="1" s="1"/>
  <c r="BF98" i="1"/>
  <c r="BG98" i="1" s="1"/>
  <c r="BF121" i="1"/>
  <c r="BG121" i="1" s="1"/>
  <c r="DD115" i="1"/>
  <c r="DE115" i="1" s="1"/>
  <c r="BF105" i="1"/>
  <c r="BG105" i="1" s="1"/>
  <c r="AA120" i="1"/>
  <c r="AB120" i="1" s="1"/>
  <c r="CT129" i="1"/>
  <c r="CU129" i="1" s="1"/>
  <c r="BF136" i="1"/>
  <c r="BG136" i="1" s="1"/>
  <c r="Q137" i="1"/>
  <c r="R137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CT113" i="1"/>
  <c r="CU113" i="1" s="1"/>
  <c r="AU99" i="1"/>
  <c r="AV99" i="1" s="1"/>
  <c r="DX162" i="1"/>
  <c r="DY162" i="1" s="1"/>
  <c r="EO162" i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6" i="1"/>
  <c r="CU236" i="1" s="1"/>
  <c r="DX190" i="1"/>
  <c r="DY190" i="1" s="1"/>
  <c r="BZ216" i="1"/>
  <c r="CA216" i="1" s="1"/>
  <c r="DD240" i="1"/>
  <c r="DE240" i="1" s="1"/>
  <c r="AU244" i="1"/>
  <c r="AV244" i="1" s="1"/>
  <c r="AU226" i="1"/>
  <c r="AV226" i="1" s="1"/>
  <c r="DN229" i="1"/>
  <c r="DO229" i="1" s="1"/>
  <c r="Q266" i="1"/>
  <c r="R266" i="1" s="1"/>
  <c r="AU197" i="1"/>
  <c r="AV197" i="1" s="1"/>
  <c r="CT207" i="1"/>
  <c r="CU207" i="1" s="1"/>
  <c r="CT218" i="1"/>
  <c r="CU218" i="1" s="1"/>
  <c r="AU250" i="1"/>
  <c r="AV250" i="1" s="1"/>
  <c r="CJ267" i="1"/>
  <c r="CK267" i="1" s="1"/>
  <c r="Q176" i="1"/>
  <c r="R176" i="1" s="1"/>
  <c r="DX212" i="1"/>
  <c r="BZ191" i="1"/>
  <c r="CA191" i="1" s="1"/>
  <c r="BZ309" i="1"/>
  <c r="CA309" i="1" s="1"/>
  <c r="BF191" i="1"/>
  <c r="BG191" i="1" s="1"/>
  <c r="AA275" i="1"/>
  <c r="AB275" i="1" s="1"/>
  <c r="BZ47" i="1"/>
  <c r="CA47" i="1" s="1"/>
  <c r="AU62" i="1"/>
  <c r="AV62" i="1" s="1"/>
  <c r="CJ91" i="1"/>
  <c r="CK91" i="1" s="1"/>
  <c r="BF116" i="1"/>
  <c r="BG116" i="1" s="1"/>
  <c r="Q139" i="1"/>
  <c r="R139" i="1" s="1"/>
  <c r="AA163" i="1"/>
  <c r="AB163" i="1" s="1"/>
  <c r="Q127" i="1"/>
  <c r="R127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8" i="1"/>
  <c r="DO288" i="1" s="1"/>
  <c r="BP278" i="1"/>
  <c r="BQ278" i="1" s="1"/>
  <c r="CJ17" i="1"/>
  <c r="CK17" i="1" s="1"/>
  <c r="CJ92" i="1"/>
  <c r="CK92" i="1" s="1"/>
  <c r="DD100" i="1"/>
  <c r="DE100" i="1" s="1"/>
  <c r="AA111" i="1"/>
  <c r="AB111" i="1" s="1"/>
  <c r="DD139" i="1"/>
  <c r="DE139" i="1"/>
  <c r="DD144" i="1"/>
  <c r="DE144" i="1" s="1"/>
  <c r="DN251" i="1"/>
  <c r="DO251" i="1" s="1"/>
  <c r="BZ248" i="1"/>
  <c r="CA248" i="1" s="1"/>
  <c r="DN291" i="1"/>
  <c r="DO291" i="1" s="1"/>
  <c r="BZ6" i="1"/>
  <c r="CA6" i="1" s="1"/>
  <c r="AK45" i="1"/>
  <c r="AL45" i="1" s="1"/>
  <c r="AK60" i="1"/>
  <c r="AL60" i="1" s="1"/>
  <c r="Q58" i="1"/>
  <c r="R58" i="1" s="1"/>
  <c r="DX77" i="1"/>
  <c r="DY77" i="1" s="1"/>
  <c r="AU126" i="1"/>
  <c r="AV126" i="1" s="1"/>
  <c r="AA115" i="1"/>
  <c r="AB115" i="1" s="1"/>
  <c r="Q90" i="1"/>
  <c r="R90" i="1" s="1"/>
  <c r="DX164" i="1"/>
  <c r="DY164" i="1" s="1"/>
  <c r="EO164" i="1"/>
  <c r="AK161" i="1"/>
  <c r="AL161" i="1" s="1"/>
  <c r="Q238" i="1"/>
  <c r="R238" i="1" s="1"/>
  <c r="BZ180" i="1"/>
  <c r="CA180" i="1" s="1"/>
  <c r="BP307" i="1"/>
  <c r="BQ307" i="1" s="1"/>
  <c r="BP298" i="1"/>
  <c r="BQ298" i="1" s="1"/>
  <c r="AA42" i="1"/>
  <c r="AB42" i="1" s="1"/>
  <c r="AU65" i="1"/>
  <c r="AV65" i="1" s="1"/>
  <c r="CT114" i="1"/>
  <c r="CU114" i="1" s="1"/>
  <c r="BF118" i="1"/>
  <c r="BG118" i="1" s="1"/>
  <c r="CT126" i="1"/>
  <c r="CU126" i="1" s="1"/>
  <c r="BZ76" i="1"/>
  <c r="CA76" i="1" s="1"/>
  <c r="CJ165" i="1"/>
  <c r="CK165" i="1" s="1"/>
  <c r="AK218" i="1"/>
  <c r="AL218" i="1" s="1"/>
  <c r="BP227" i="1"/>
  <c r="BQ227" i="1" s="1"/>
  <c r="BP10" i="1"/>
  <c r="BQ10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Q32" i="1"/>
  <c r="R32" i="1" s="1"/>
  <c r="BZ23" i="1"/>
  <c r="CA23" i="1" s="1"/>
  <c r="AK32" i="1"/>
  <c r="AL32" i="1" s="1"/>
  <c r="AU40" i="1"/>
  <c r="AV40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Q52" i="1"/>
  <c r="R52" i="1" s="1"/>
  <c r="BZ83" i="1"/>
  <c r="CA83" i="1" s="1"/>
  <c r="CT107" i="1"/>
  <c r="CU107" i="1" s="1"/>
  <c r="AA75" i="1"/>
  <c r="AB75" i="1" s="1"/>
  <c r="DN121" i="1"/>
  <c r="DO121" i="1" s="1"/>
  <c r="DN127" i="1"/>
  <c r="DO127" i="1" s="1"/>
  <c r="DN116" i="1"/>
  <c r="DO116" i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BP134" i="1"/>
  <c r="BQ134" i="1" s="1"/>
  <c r="AA147" i="1"/>
  <c r="AB147" i="1" s="1"/>
  <c r="AR163" i="1"/>
  <c r="Q162" i="1"/>
  <c r="R162" i="1" s="1"/>
  <c r="DD159" i="1"/>
  <c r="DE159" i="1" s="1"/>
  <c r="DX170" i="1"/>
  <c r="EO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BF224" i="1"/>
  <c r="AK212" i="1"/>
  <c r="AL212" i="1" s="1"/>
  <c r="BP221" i="1"/>
  <c r="BQ221" i="1" s="1"/>
  <c r="AU241" i="1"/>
  <c r="AV241" i="1" s="1"/>
  <c r="CJ183" i="1"/>
  <c r="CK183" i="1" s="1"/>
  <c r="AU228" i="1"/>
  <c r="AV228" i="1" s="1"/>
  <c r="CT244" i="1"/>
  <c r="CU244" i="1"/>
  <c r="CJ217" i="1"/>
  <c r="CK217" i="1" s="1"/>
  <c r="CT268" i="1"/>
  <c r="CU268" i="1" s="1"/>
  <c r="DX288" i="1"/>
  <c r="DY288" i="1" s="1"/>
  <c r="EO288" i="1"/>
  <c r="DY245" i="1"/>
  <c r="CT159" i="1"/>
  <c r="CU159" i="1" s="1"/>
  <c r="BF179" i="1"/>
  <c r="BG179" i="1" s="1"/>
  <c r="Q181" i="1"/>
  <c r="R181" i="1" s="1"/>
  <c r="AA201" i="1"/>
  <c r="AB201" i="1" s="1"/>
  <c r="DD184" i="1"/>
  <c r="DE184" i="1" s="1"/>
  <c r="AU292" i="1"/>
  <c r="AV292" i="1" s="1"/>
  <c r="CG15" i="1"/>
  <c r="Q30" i="1"/>
  <c r="R30" i="1" s="1"/>
  <c r="DX32" i="1"/>
  <c r="CJ40" i="1"/>
  <c r="CK40" i="1" s="1"/>
  <c r="AK43" i="1"/>
  <c r="AL43" i="1" s="1"/>
  <c r="AA32" i="1"/>
  <c r="AB32" i="1" s="1"/>
  <c r="AR79" i="1"/>
  <c r="AH74" i="1"/>
  <c r="AK117" i="1"/>
  <c r="AL117" i="1" s="1"/>
  <c r="BP117" i="1"/>
  <c r="BQ117" i="1" s="1"/>
  <c r="CJ169" i="1"/>
  <c r="CK169" i="1" s="1"/>
  <c r="DD135" i="1"/>
  <c r="DE135" i="1" s="1"/>
  <c r="AA95" i="1"/>
  <c r="AB95" i="1" s="1"/>
  <c r="N166" i="1"/>
  <c r="BP271" i="1"/>
  <c r="BQ271" i="1" s="1"/>
  <c r="AU283" i="1"/>
  <c r="AV283" i="1" s="1"/>
  <c r="BZ14" i="1"/>
  <c r="CA14" i="1" s="1"/>
  <c r="CG19" i="1"/>
  <c r="Q33" i="1"/>
  <c r="R33" i="1" s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Q118" i="1"/>
  <c r="R118" i="1" s="1"/>
  <c r="CJ129" i="1"/>
  <c r="CK129" i="1" s="1"/>
  <c r="Q173" i="1"/>
  <c r="R173" i="1" s="1"/>
  <c r="DD173" i="1"/>
  <c r="DE173" i="1" s="1"/>
  <c r="CJ248" i="1"/>
  <c r="CK248" i="1"/>
  <c r="AH268" i="1"/>
  <c r="CT271" i="1"/>
  <c r="CU271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EO172" i="1"/>
  <c r="CT183" i="1"/>
  <c r="CU183" i="1" s="1"/>
  <c r="AU208" i="1"/>
  <c r="AV208" i="1" s="1"/>
  <c r="BZ232" i="1"/>
  <c r="CA232" i="1" s="1"/>
  <c r="Q253" i="1"/>
  <c r="R253" i="1" s="1"/>
  <c r="DA206" i="1"/>
  <c r="DX235" i="1"/>
  <c r="DY235" i="1" s="1"/>
  <c r="DX241" i="1"/>
  <c r="DY241" i="1" s="1"/>
  <c r="BP289" i="1"/>
  <c r="BQ289" i="1" s="1"/>
  <c r="BZ244" i="1"/>
  <c r="CA244" i="1" s="1"/>
  <c r="BP268" i="1"/>
  <c r="BQ268" i="1" s="1"/>
  <c r="CT298" i="1"/>
  <c r="CU298" i="1" s="1"/>
  <c r="Q298" i="1"/>
  <c r="R298" i="1" s="1"/>
  <c r="BZ272" i="1"/>
  <c r="CA272" i="1" s="1"/>
  <c r="BZ294" i="1"/>
  <c r="CA294" i="1" s="1"/>
  <c r="Q299" i="1"/>
  <c r="R299" i="1" s="1"/>
  <c r="CT282" i="1"/>
  <c r="CU282" i="1"/>
  <c r="DD257" i="1"/>
  <c r="DE257" i="1"/>
  <c r="BP3" i="1"/>
  <c r="BQ3" i="1"/>
  <c r="DX19" i="1"/>
  <c r="DY19" i="1" s="1"/>
  <c r="CQ14" i="1"/>
  <c r="CT6" i="1"/>
  <c r="CU6" i="1" s="1"/>
  <c r="DX37" i="1"/>
  <c r="DY37" i="1" s="1"/>
  <c r="AA60" i="1"/>
  <c r="AB60" i="1" s="1"/>
  <c r="Q50" i="1"/>
  <c r="R50" i="1" s="1"/>
  <c r="BP34" i="1"/>
  <c r="BQ34" i="1" s="1"/>
  <c r="DD77" i="1"/>
  <c r="DE77" i="1" s="1"/>
  <c r="Q45" i="1"/>
  <c r="R45" i="1" s="1"/>
  <c r="Q51" i="1"/>
  <c r="R51" i="1" s="1"/>
  <c r="BZ51" i="1"/>
  <c r="CA51" i="1" s="1"/>
  <c r="Q77" i="1"/>
  <c r="R77" i="1" s="1"/>
  <c r="CJ46" i="1"/>
  <c r="CK46" i="1" s="1"/>
  <c r="X68" i="1"/>
  <c r="AK47" i="1"/>
  <c r="AL47" i="1" s="1"/>
  <c r="BP52" i="1"/>
  <c r="BQ52" i="1" s="1"/>
  <c r="DX61" i="1"/>
  <c r="DY61" i="1" s="1"/>
  <c r="AA77" i="1"/>
  <c r="AB77" i="1"/>
  <c r="AA84" i="1"/>
  <c r="AB84" i="1" s="1"/>
  <c r="Q89" i="1"/>
  <c r="R89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/>
  <c r="AK118" i="1"/>
  <c r="AL118" i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/>
  <c r="BF168" i="1"/>
  <c r="BG168" i="1" s="1"/>
  <c r="BF174" i="1"/>
  <c r="BG174" i="1" s="1"/>
  <c r="BF151" i="1"/>
  <c r="BG151" i="1" s="1"/>
  <c r="BF152" i="1"/>
  <c r="BG152" i="1" s="1"/>
  <c r="Q159" i="1"/>
  <c r="R159" i="1" s="1"/>
  <c r="CJ134" i="1"/>
  <c r="CK134" i="1" s="1"/>
  <c r="DX109" i="1"/>
  <c r="DN142" i="1"/>
  <c r="DO142" i="1" s="1"/>
  <c r="CT163" i="1"/>
  <c r="CU163" i="1"/>
  <c r="DD149" i="1"/>
  <c r="DE149" i="1" s="1"/>
  <c r="AA145" i="1"/>
  <c r="AB145" i="1" s="1"/>
  <c r="DX160" i="1"/>
  <c r="DY160" i="1" s="1"/>
  <c r="EO160" i="1"/>
  <c r="CT171" i="1"/>
  <c r="CU171" i="1" s="1"/>
  <c r="Q143" i="1"/>
  <c r="R143" i="1" s="1"/>
  <c r="BZ172" i="1"/>
  <c r="CA172" i="1" s="1"/>
  <c r="DD147" i="1"/>
  <c r="DE147" i="1" s="1"/>
  <c r="AU173" i="1"/>
  <c r="AV173" i="1" s="1"/>
  <c r="DX144" i="1"/>
  <c r="DY144" i="1" s="1"/>
  <c r="BF212" i="1"/>
  <c r="BG212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/>
  <c r="DX214" i="1"/>
  <c r="DY214" i="1"/>
  <c r="Q242" i="1"/>
  <c r="R242" i="1" s="1"/>
  <c r="DD247" i="1"/>
  <c r="DE247" i="1" s="1"/>
  <c r="DN191" i="1"/>
  <c r="DO191" i="1" s="1"/>
  <c r="DD218" i="1"/>
  <c r="DE218" i="1" s="1"/>
  <c r="Q251" i="1"/>
  <c r="R251" i="1" s="1"/>
  <c r="DX219" i="1"/>
  <c r="DY219" i="1" s="1"/>
  <c r="BZ218" i="1"/>
  <c r="CA218" i="1" s="1"/>
  <c r="BZ251" i="1"/>
  <c r="CA251" i="1" s="1"/>
  <c r="CJ281" i="1"/>
  <c r="CK281" i="1"/>
  <c r="DX191" i="1"/>
  <c r="Q247" i="1"/>
  <c r="R247" i="1" s="1"/>
  <c r="Q196" i="1"/>
  <c r="R196" i="1" s="1"/>
  <c r="BF211" i="1"/>
  <c r="BG211" i="1" s="1"/>
  <c r="BF289" i="1"/>
  <c r="BG289" i="1" s="1"/>
  <c r="CJ251" i="1"/>
  <c r="CK251" i="1" s="1"/>
  <c r="BZ222" i="1"/>
  <c r="CA222" i="1" s="1"/>
  <c r="DN258" i="1"/>
  <c r="DO258" i="1" s="1"/>
  <c r="EO258" i="1"/>
  <c r="CT232" i="1"/>
  <c r="CU232" i="1" s="1"/>
  <c r="CJ286" i="1"/>
  <c r="CK286" i="1" s="1"/>
  <c r="Q182" i="1"/>
  <c r="R182" i="1" s="1"/>
  <c r="BP292" i="1"/>
  <c r="BQ292" i="1" s="1"/>
  <c r="AK7" i="1"/>
  <c r="AL7" i="1" s="1"/>
  <c r="CT29" i="1"/>
  <c r="CU29" i="1" s="1"/>
  <c r="BP17" i="1"/>
  <c r="BQ17" i="1" s="1"/>
  <c r="Q39" i="1"/>
  <c r="R39" i="1" s="1"/>
  <c r="AA92" i="1"/>
  <c r="AB92" i="1"/>
  <c r="BP113" i="1"/>
  <c r="BQ113" i="1" s="1"/>
  <c r="AA146" i="1"/>
  <c r="AB146" i="1" s="1"/>
  <c r="BF214" i="1"/>
  <c r="BG214" i="1" s="1"/>
  <c r="AU310" i="1"/>
  <c r="AV310" i="1" s="1"/>
  <c r="DK10" i="1"/>
  <c r="Q25" i="1"/>
  <c r="R25" i="1" s="1"/>
  <c r="AU18" i="1"/>
  <c r="AV18" i="1" s="1"/>
  <c r="Q47" i="1"/>
  <c r="R47" i="1" s="1"/>
  <c r="CT45" i="1"/>
  <c r="CU45" i="1" s="1"/>
  <c r="DN80" i="1"/>
  <c r="DO80" i="1" s="1"/>
  <c r="AU128" i="1"/>
  <c r="AV128" i="1" s="1"/>
  <c r="BF140" i="1"/>
  <c r="BG140" i="1"/>
  <c r="CT154" i="1"/>
  <c r="CU154" i="1" s="1"/>
  <c r="CT179" i="1"/>
  <c r="CU179" i="1" s="1"/>
  <c r="DN286" i="1"/>
  <c r="DO286" i="1" s="1"/>
  <c r="CT288" i="1"/>
  <c r="CU288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K239" i="1"/>
  <c r="AL239" i="1" s="1"/>
  <c r="AU263" i="1"/>
  <c r="AV263" i="1" s="1"/>
  <c r="AK298" i="1"/>
  <c r="AL298" i="1" s="1"/>
  <c r="AU295" i="1"/>
  <c r="AV295" i="1" s="1"/>
  <c r="AU272" i="1"/>
  <c r="AV272" i="1" s="1"/>
  <c r="CT279" i="1"/>
  <c r="CU279" i="1" s="1"/>
  <c r="N208" i="1"/>
  <c r="Q14" i="1"/>
  <c r="R14" i="1" s="1"/>
  <c r="DK11" i="1"/>
  <c r="CJ113" i="1"/>
  <c r="CK113" i="1" s="1"/>
  <c r="DX140" i="1"/>
  <c r="DY140" i="1" s="1"/>
  <c r="DX6" i="1"/>
  <c r="CG11" i="1"/>
  <c r="BF19" i="1"/>
  <c r="BG19" i="1" s="1"/>
  <c r="DX12" i="1"/>
  <c r="DY12" i="1" s="1"/>
  <c r="DD11" i="1"/>
  <c r="DE11" i="1" s="1"/>
  <c r="Q17" i="1"/>
  <c r="R17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DX28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Q20" i="1"/>
  <c r="R20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/>
  <c r="CJ8" i="1"/>
  <c r="CK8" i="1" s="1"/>
  <c r="BP29" i="1"/>
  <c r="BQ29" i="1" s="1"/>
  <c r="DD29" i="1"/>
  <c r="DE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Q29" i="1"/>
  <c r="R29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AA73" i="1"/>
  <c r="AB73" i="1" s="1"/>
  <c r="CT78" i="1"/>
  <c r="CU78" i="1" s="1"/>
  <c r="Q99" i="1"/>
  <c r="R99" i="1" s="1"/>
  <c r="DN82" i="1"/>
  <c r="DO82" i="1" s="1"/>
  <c r="CT106" i="1"/>
  <c r="CU106" i="1" s="1"/>
  <c r="CT112" i="1"/>
  <c r="CU112" i="1" s="1"/>
  <c r="AA107" i="1"/>
  <c r="AB107" i="1" s="1"/>
  <c r="Q119" i="1"/>
  <c r="R119" i="1" s="1"/>
  <c r="Q72" i="1"/>
  <c r="R72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Q172" i="1"/>
  <c r="R172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4" i="1"/>
  <c r="AB224" i="1" s="1"/>
  <c r="BZ237" i="1"/>
  <c r="CA237" i="1" s="1"/>
  <c r="AU248" i="1"/>
  <c r="AV248" i="1" s="1"/>
  <c r="BP251" i="1"/>
  <c r="BQ251" i="1" s="1"/>
  <c r="AA287" i="1"/>
  <c r="AB287" i="1" s="1"/>
  <c r="BW234" i="1"/>
  <c r="BF292" i="1"/>
  <c r="BG292" i="1" s="1"/>
  <c r="DD221" i="1"/>
  <c r="DE221" i="1" s="1"/>
  <c r="DD289" i="1"/>
  <c r="DE289" i="1" s="1"/>
  <c r="BF303" i="1"/>
  <c r="BG303" i="1" s="1"/>
  <c r="BW268" i="1"/>
  <c r="BF298" i="1"/>
  <c r="BG298" i="1" s="1"/>
  <c r="DD46" i="1"/>
  <c r="DE46" i="1" s="1"/>
  <c r="AA58" i="1"/>
  <c r="AB58" i="1" s="1"/>
  <c r="BF59" i="1"/>
  <c r="BG59" i="1" s="1"/>
  <c r="AU43" i="1"/>
  <c r="AV43" i="1" s="1"/>
  <c r="BF55" i="1"/>
  <c r="BG55" i="1" s="1"/>
  <c r="AK76" i="1"/>
  <c r="AL76" i="1" s="1"/>
  <c r="DK69" i="1"/>
  <c r="BZ69" i="1"/>
  <c r="CA69" i="1" s="1"/>
  <c r="Q55" i="1"/>
  <c r="R55" i="1" s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AA87" i="1"/>
  <c r="AB87" i="1" s="1"/>
  <c r="CT100" i="1"/>
  <c r="CU100" i="1" s="1"/>
  <c r="Q91" i="1"/>
  <c r="R91" i="1" s="1"/>
  <c r="AA101" i="1"/>
  <c r="AB101" i="1" s="1"/>
  <c r="AK108" i="1"/>
  <c r="AL108" i="1" s="1"/>
  <c r="DN94" i="1"/>
  <c r="DO94" i="1" s="1"/>
  <c r="AK111" i="1"/>
  <c r="AL111" i="1" s="1"/>
  <c r="BZ89" i="1"/>
  <c r="CA89" i="1" s="1"/>
  <c r="BF101" i="1"/>
  <c r="BG101" i="1" s="1"/>
  <c r="CT105" i="1"/>
  <c r="CU105" i="1" s="1"/>
  <c r="CT118" i="1"/>
  <c r="CU118" i="1" s="1"/>
  <c r="BZ101" i="1"/>
  <c r="CA101" i="1" s="1"/>
  <c r="AA122" i="1"/>
  <c r="AB122" i="1" s="1"/>
  <c r="CT109" i="1"/>
  <c r="CU109" i="1" s="1"/>
  <c r="Q123" i="1"/>
  <c r="R123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/>
  <c r="Q136" i="1"/>
  <c r="R136" i="1" s="1"/>
  <c r="Q150" i="1"/>
  <c r="EN150" i="1" s="1"/>
  <c r="BZ175" i="1"/>
  <c r="CA175" i="1" s="1"/>
  <c r="Q160" i="1"/>
  <c r="R160" i="1" s="1"/>
  <c r="Q158" i="1"/>
  <c r="R158" i="1" s="1"/>
  <c r="AA191" i="1"/>
  <c r="AB191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7" i="1"/>
  <c r="AB227" i="1" s="1"/>
  <c r="AK225" i="1"/>
  <c r="AL225" i="1" s="1"/>
  <c r="BZ241" i="1"/>
  <c r="CA241" i="1" s="1"/>
  <c r="DD196" i="1"/>
  <c r="DE196" i="1" s="1"/>
  <c r="DN184" i="1"/>
  <c r="DO184" i="1" s="1"/>
  <c r="DD225" i="1"/>
  <c r="AU260" i="1"/>
  <c r="AV260" i="1" s="1"/>
  <c r="BW187" i="1"/>
  <c r="AK216" i="1"/>
  <c r="AL216" i="1" s="1"/>
  <c r="AA236" i="1"/>
  <c r="AB236" i="1" s="1"/>
  <c r="DD268" i="1"/>
  <c r="DE268" i="1" s="1"/>
  <c r="CJ305" i="1"/>
  <c r="CK305" i="1" s="1"/>
  <c r="AH182" i="1"/>
  <c r="CJ196" i="1"/>
  <c r="CK196" i="1" s="1"/>
  <c r="CJ240" i="1"/>
  <c r="CK240" i="1" s="1"/>
  <c r="AK271" i="1"/>
  <c r="AL271" i="1" s="1"/>
  <c r="Q288" i="1"/>
  <c r="R288" i="1" s="1"/>
  <c r="CJ186" i="1"/>
  <c r="CK186" i="1" s="1"/>
  <c r="AK262" i="1"/>
  <c r="AL262" i="1" s="1"/>
  <c r="DN283" i="1"/>
  <c r="DO283" i="1" s="1"/>
  <c r="CJ295" i="1"/>
  <c r="CK295" i="1" s="1"/>
  <c r="DX307" i="1"/>
  <c r="CJ271" i="1"/>
  <c r="CK271" i="1" s="1"/>
  <c r="X286" i="1"/>
  <c r="DX277" i="1"/>
  <c r="DY277" i="1"/>
  <c r="AU300" i="1"/>
  <c r="AV300" i="1" s="1"/>
  <c r="Q278" i="1"/>
  <c r="R278" i="1" s="1"/>
  <c r="CT274" i="1"/>
  <c r="CU274" i="1" s="1"/>
  <c r="DD299" i="1"/>
  <c r="DE299" i="1" s="1"/>
  <c r="BF297" i="1"/>
  <c r="BG297" i="1" s="1"/>
  <c r="Q250" i="1"/>
  <c r="R250" i="1" s="1"/>
  <c r="BF306" i="1"/>
  <c r="BG306" i="1" s="1"/>
  <c r="BZ311" i="1"/>
  <c r="CA311" i="1" s="1"/>
  <c r="BP185" i="1"/>
  <c r="BQ185" i="1" s="1"/>
  <c r="AU287" i="1"/>
  <c r="AV287" i="1" s="1"/>
  <c r="AK286" i="1"/>
  <c r="AL286" i="1" s="1"/>
  <c r="CT283" i="1"/>
  <c r="CU283" i="1" s="1"/>
  <c r="X240" i="1"/>
  <c r="BP282" i="1"/>
  <c r="BQ282" i="1" s="1"/>
  <c r="DY306" i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DX73" i="1"/>
  <c r="DY73" i="1" s="1"/>
  <c r="CT61" i="1"/>
  <c r="CU61" i="1"/>
  <c r="DX84" i="1"/>
  <c r="AA88" i="1"/>
  <c r="AB88" i="1" s="1"/>
  <c r="AK81" i="1"/>
  <c r="AL81" i="1" s="1"/>
  <c r="CT108" i="1"/>
  <c r="CU108" i="1" s="1"/>
  <c r="AU68" i="1"/>
  <c r="AV6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Q165" i="1"/>
  <c r="R165" i="1" s="1"/>
  <c r="Q171" i="1"/>
  <c r="R171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Q198" i="1"/>
  <c r="EN198" i="1" s="1"/>
  <c r="CJ213" i="1"/>
  <c r="CK213" i="1" s="1"/>
  <c r="DN208" i="1"/>
  <c r="DO208" i="1" s="1"/>
  <c r="AU185" i="1"/>
  <c r="AV185" i="1" s="1"/>
  <c r="CJ192" i="1"/>
  <c r="CK192" i="1" s="1"/>
  <c r="BF203" i="1"/>
  <c r="BG203" i="1" s="1"/>
  <c r="AK188" i="1"/>
  <c r="AL188" i="1" s="1"/>
  <c r="Q215" i="1"/>
  <c r="R215" i="1" s="1"/>
  <c r="AK195" i="1"/>
  <c r="AL195" i="1" s="1"/>
  <c r="AU242" i="1"/>
  <c r="AV242" i="1" s="1"/>
  <c r="BZ255" i="1"/>
  <c r="CA255" i="1" s="1"/>
  <c r="DD178" i="1"/>
  <c r="DE178" i="1" s="1"/>
  <c r="AA196" i="1"/>
  <c r="AB196" i="1" s="1"/>
  <c r="BP222" i="1"/>
  <c r="BQ222" i="1" s="1"/>
  <c r="BZ179" i="1"/>
  <c r="CA179" i="1" s="1"/>
  <c r="Q211" i="1"/>
  <c r="R211" i="1" s="1"/>
  <c r="Q220" i="1"/>
  <c r="R220" i="1" s="1"/>
  <c r="AU232" i="1"/>
  <c r="AV232" i="1" s="1"/>
  <c r="AU240" i="1"/>
  <c r="AV240" i="1" s="1"/>
  <c r="AK228" i="1"/>
  <c r="AL228" i="1" s="1"/>
  <c r="DD250" i="1"/>
  <c r="DE250" i="1" s="1"/>
  <c r="BF260" i="1"/>
  <c r="BG260" i="1" s="1"/>
  <c r="AA273" i="1"/>
  <c r="AB273" i="1" s="1"/>
  <c r="DX202" i="1"/>
  <c r="DY202" i="1" s="1"/>
  <c r="BF272" i="1"/>
  <c r="BG272" i="1" s="1"/>
  <c r="AU247" i="1"/>
  <c r="AV247" i="1" s="1"/>
  <c r="AK232" i="1"/>
  <c r="AL232" i="1" s="1"/>
  <c r="AA254" i="1"/>
  <c r="AB254" i="1" s="1"/>
  <c r="CT272" i="1"/>
  <c r="CU272" i="1" s="1"/>
  <c r="AK280" i="1"/>
  <c r="AL280" i="1" s="1"/>
  <c r="AK304" i="1"/>
  <c r="AL304" i="1" s="1"/>
  <c r="DD186" i="1"/>
  <c r="DE186" i="1" s="1"/>
  <c r="BF202" i="1"/>
  <c r="BG202" i="1" s="1"/>
  <c r="AA234" i="1"/>
  <c r="AB234" i="1" s="1"/>
  <c r="Q241" i="1"/>
  <c r="R241" i="1" s="1"/>
  <c r="DN249" i="1"/>
  <c r="DO249" i="1" s="1"/>
  <c r="DX230" i="1"/>
  <c r="DY230" i="1" s="1"/>
  <c r="CJ293" i="1"/>
  <c r="CK293" i="1" s="1"/>
  <c r="CJ287" i="1"/>
  <c r="CK287" i="1" s="1"/>
  <c r="CJ284" i="1"/>
  <c r="CK284" i="1" s="1"/>
  <c r="BZ292" i="1"/>
  <c r="CA292" i="1" s="1"/>
  <c r="DX286" i="1"/>
  <c r="DY286" i="1" s="1"/>
  <c r="BF296" i="1"/>
  <c r="BG296" i="1" s="1"/>
  <c r="BP295" i="1"/>
  <c r="BQ295" i="1" s="1"/>
  <c r="DN201" i="1"/>
  <c r="DO201" i="1" s="1"/>
  <c r="DX236" i="1"/>
  <c r="DY236" i="1" s="1"/>
  <c r="DD267" i="1"/>
  <c r="DE267" i="1" s="1"/>
  <c r="BP219" i="1"/>
  <c r="BQ219" i="1" s="1"/>
  <c r="DN265" i="1"/>
  <c r="DO265" i="1" s="1"/>
  <c r="DX287" i="1"/>
  <c r="DY287" i="1" s="1"/>
  <c r="DD308" i="1"/>
  <c r="DE308" i="1" s="1"/>
  <c r="AA293" i="1"/>
  <c r="AB293" i="1" s="1"/>
  <c r="AU188" i="1"/>
  <c r="AV188" i="1" s="1"/>
  <c r="BP243" i="1"/>
  <c r="BQ243" i="1" s="1"/>
  <c r="DD273" i="1"/>
  <c r="DE273" i="1" s="1"/>
  <c r="BP265" i="1"/>
  <c r="BQ265" i="1" s="1"/>
  <c r="DD301" i="1"/>
  <c r="DX293" i="1"/>
  <c r="DY293" i="1" s="1"/>
  <c r="DX46" i="1"/>
  <c r="DY46" i="1" s="1"/>
  <c r="DX56" i="1"/>
  <c r="AA49" i="1"/>
  <c r="AB49" i="1" s="1"/>
  <c r="Q78" i="1"/>
  <c r="R78" i="1" s="1"/>
  <c r="CT58" i="1"/>
  <c r="CU58" i="1" s="1"/>
  <c r="AA81" i="1"/>
  <c r="AB81" i="1" s="1"/>
  <c r="Q60" i="1"/>
  <c r="R60" i="1" s="1"/>
  <c r="CJ88" i="1"/>
  <c r="CK88" i="1" s="1"/>
  <c r="CJ94" i="1"/>
  <c r="CK94" i="1" s="1"/>
  <c r="DO72" i="1"/>
  <c r="Q98" i="1"/>
  <c r="R98" i="1" s="1"/>
  <c r="BP103" i="1"/>
  <c r="BQ103" i="1" s="1"/>
  <c r="BP109" i="1"/>
  <c r="BQ109" i="1" s="1"/>
  <c r="BP83" i="1"/>
  <c r="BQ83" i="1" s="1"/>
  <c r="AU66" i="1"/>
  <c r="AV66" i="1" s="1"/>
  <c r="CJ102" i="1"/>
  <c r="CK102" i="1" s="1"/>
  <c r="BF123" i="1"/>
  <c r="BG123" i="1" s="1"/>
  <c r="Q87" i="1"/>
  <c r="R87" i="1" s="1"/>
  <c r="DN128" i="1"/>
  <c r="DO128" i="1" s="1"/>
  <c r="AA132" i="1"/>
  <c r="AB132" i="1" s="1"/>
  <c r="CJ130" i="1"/>
  <c r="CK130" i="1" s="1"/>
  <c r="BZ127" i="1"/>
  <c r="CA127" i="1" s="1"/>
  <c r="DX114" i="1"/>
  <c r="CJ123" i="1"/>
  <c r="CK123" i="1" s="1"/>
  <c r="DN134" i="1"/>
  <c r="DO134" i="1" s="1"/>
  <c r="DD123" i="1"/>
  <c r="DE123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Q216" i="1"/>
  <c r="R216" i="1" s="1"/>
  <c r="CJ201" i="1"/>
  <c r="CK201" i="1" s="1"/>
  <c r="AU186" i="1"/>
  <c r="AV186" i="1" s="1"/>
  <c r="BZ196" i="1"/>
  <c r="CA196" i="1" s="1"/>
  <c r="DX196" i="1"/>
  <c r="DY196" i="1" s="1"/>
  <c r="CT222" i="1"/>
  <c r="CU222" i="1" s="1"/>
  <c r="CT233" i="1"/>
  <c r="CU233" i="1" s="1"/>
  <c r="CT260" i="1"/>
  <c r="CU260" i="1" s="1"/>
  <c r="DD242" i="1"/>
  <c r="DE242" i="1" s="1"/>
  <c r="BZ263" i="1"/>
  <c r="CA263" i="1" s="1"/>
  <c r="BZ269" i="1"/>
  <c r="CA269" i="1" s="1"/>
  <c r="CT273" i="1"/>
  <c r="CU273" i="1" s="1"/>
  <c r="BM196" i="1"/>
  <c r="DX222" i="1"/>
  <c r="DY222" i="1" s="1"/>
  <c r="DX272" i="1"/>
  <c r="DY272" i="1" s="1"/>
  <c r="AA261" i="1"/>
  <c r="AB261" i="1"/>
  <c r="DY226" i="1"/>
  <c r="DX268" i="1"/>
  <c r="DY268" i="1" s="1"/>
  <c r="Q273" i="1"/>
  <c r="R273" i="1" s="1"/>
  <c r="DN280" i="1"/>
  <c r="DO280" i="1" s="1"/>
  <c r="DN304" i="1"/>
  <c r="DO304" i="1" s="1"/>
  <c r="CT250" i="1"/>
  <c r="CU250" i="1" s="1"/>
  <c r="BZ275" i="1"/>
  <c r="CA275" i="1" s="1"/>
  <c r="BF284" i="1"/>
  <c r="BG284" i="1" s="1"/>
  <c r="AK299" i="1"/>
  <c r="AL299" i="1" s="1"/>
  <c r="DX309" i="1"/>
  <c r="DY309" i="1" s="1"/>
  <c r="DX280" i="1"/>
  <c r="DY280" i="1" s="1"/>
  <c r="AU298" i="1"/>
  <c r="AV298" i="1" s="1"/>
  <c r="Q307" i="1"/>
  <c r="R307" i="1" s="1"/>
  <c r="Q203" i="1"/>
  <c r="R203" i="1" s="1"/>
  <c r="DX278" i="1"/>
  <c r="DY278" i="1" s="1"/>
  <c r="Q293" i="1"/>
  <c r="R293" i="1" s="1"/>
  <c r="BZ307" i="1"/>
  <c r="CA307" i="1" s="1"/>
  <c r="AK275" i="1"/>
  <c r="AL275" i="1" s="1"/>
  <c r="DY238" i="1"/>
  <c r="Q192" i="1"/>
  <c r="R192" i="1" s="1"/>
  <c r="CJ219" i="1"/>
  <c r="CK219" i="1" s="1"/>
  <c r="AU305" i="1"/>
  <c r="AV305" i="1" s="1"/>
  <c r="AA295" i="1"/>
  <c r="AB295" i="1" s="1"/>
  <c r="BZ295" i="1"/>
  <c r="CA295" i="1" s="1"/>
  <c r="Q258" i="1"/>
  <c r="R258" i="1" s="1"/>
  <c r="AU271" i="1"/>
  <c r="AV271" i="1" s="1"/>
  <c r="DD53" i="1"/>
  <c r="DE53" i="1" s="1"/>
  <c r="AK41" i="1"/>
  <c r="AL41" i="1" s="1"/>
  <c r="AA83" i="1"/>
  <c r="AB83" i="1" s="1"/>
  <c r="BZ82" i="1"/>
  <c r="CA82" i="1" s="1"/>
  <c r="CJ53" i="1"/>
  <c r="CK53" i="1" s="1"/>
  <c r="DX67" i="1"/>
  <c r="DY67" i="1" s="1"/>
  <c r="Q85" i="1"/>
  <c r="R85" i="1" s="1"/>
  <c r="Q42" i="1"/>
  <c r="R42" i="1" s="1"/>
  <c r="BP82" i="1"/>
  <c r="BQ82" i="1" s="1"/>
  <c r="BF89" i="1"/>
  <c r="BG89" i="1" s="1"/>
  <c r="BF95" i="1"/>
  <c r="BG95" i="1" s="1"/>
  <c r="CT79" i="1"/>
  <c r="CU79" i="1" s="1"/>
  <c r="BZ91" i="1"/>
  <c r="CA91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Q88" i="1"/>
  <c r="R88" i="1" s="1"/>
  <c r="AU117" i="1"/>
  <c r="AV117" i="1" s="1"/>
  <c r="DN123" i="1"/>
  <c r="DO123" i="1" s="1"/>
  <c r="AA131" i="1"/>
  <c r="AB131" i="1" s="1"/>
  <c r="BP114" i="1"/>
  <c r="BQ114" i="1" s="1"/>
  <c r="Q84" i="1"/>
  <c r="R84" i="1" s="1"/>
  <c r="CT117" i="1"/>
  <c r="CU117" i="1" s="1"/>
  <c r="CJ131" i="1"/>
  <c r="CK131" i="1" s="1"/>
  <c r="BF124" i="1"/>
  <c r="BG124" i="1" s="1"/>
  <c r="AA89" i="1"/>
  <c r="AB89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Q120" i="1"/>
  <c r="R120" i="1" s="1"/>
  <c r="CJ153" i="1"/>
  <c r="CK153" i="1" s="1"/>
  <c r="DN202" i="1"/>
  <c r="DO202" i="1" s="1"/>
  <c r="BF188" i="1"/>
  <c r="BG188" i="1" s="1"/>
  <c r="BP203" i="1"/>
  <c r="BQ203" i="1" s="1"/>
  <c r="BP187" i="1"/>
  <c r="BQ187" i="1" s="1"/>
  <c r="CJ197" i="1"/>
  <c r="CK197" i="1" s="1"/>
  <c r="CJ193" i="1"/>
  <c r="CK193" i="1" s="1"/>
  <c r="Q226" i="1"/>
  <c r="R226" i="1" s="1"/>
  <c r="DD246" i="1"/>
  <c r="DE246" i="1" s="1"/>
  <c r="DD210" i="1"/>
  <c r="DE210" i="1" s="1"/>
  <c r="Q197" i="1"/>
  <c r="R197" i="1" s="1"/>
  <c r="DD229" i="1"/>
  <c r="DE229" i="1" s="1"/>
  <c r="CJ257" i="1"/>
  <c r="CK257" i="1" s="1"/>
  <c r="BF199" i="1"/>
  <c r="BG199" i="1" s="1"/>
  <c r="BF180" i="1"/>
  <c r="BG180" i="1" s="1"/>
  <c r="AU243" i="1"/>
  <c r="AV243" i="1" s="1"/>
  <c r="DD177" i="1"/>
  <c r="DE177" i="1" s="1"/>
  <c r="BF185" i="1"/>
  <c r="BG185" i="1" s="1"/>
  <c r="BZ229" i="1"/>
  <c r="CA229" i="1" s="1"/>
  <c r="BZ176" i="1"/>
  <c r="CA176" i="1" s="1"/>
  <c r="AU264" i="1"/>
  <c r="AV264" i="1" s="1"/>
  <c r="AU187" i="1"/>
  <c r="AV187" i="1" s="1"/>
  <c r="BZ228" i="1"/>
  <c r="CA228" i="1" s="1"/>
  <c r="BZ236" i="1"/>
  <c r="CA236" i="1" s="1"/>
  <c r="BF274" i="1"/>
  <c r="BG274" i="1" s="1"/>
  <c r="Q180" i="1"/>
  <c r="R180" i="1" s="1"/>
  <c r="AU233" i="1"/>
  <c r="AV233" i="1" s="1"/>
  <c r="BF270" i="1"/>
  <c r="BG270" i="1" s="1"/>
  <c r="DX223" i="1"/>
  <c r="DY223" i="1" s="1"/>
  <c r="DX262" i="1"/>
  <c r="DN199" i="1"/>
  <c r="DO199" i="1" s="1"/>
  <c r="DN237" i="1"/>
  <c r="DO237" i="1" s="1"/>
  <c r="DN182" i="1"/>
  <c r="DO182" i="1" s="1"/>
  <c r="AU256" i="1"/>
  <c r="AV256" i="1" s="1"/>
  <c r="Q285" i="1"/>
  <c r="R285" i="1" s="1"/>
  <c r="CT185" i="1"/>
  <c r="CU185" i="1" s="1"/>
  <c r="Q209" i="1"/>
  <c r="EN209" i="1" s="1"/>
  <c r="CT294" i="1"/>
  <c r="CU294" i="1" s="1"/>
  <c r="AA252" i="1"/>
  <c r="AB252" i="1" s="1"/>
  <c r="AK289" i="1"/>
  <c r="AL289" i="1" s="1"/>
  <c r="BZ195" i="1"/>
  <c r="CA195" i="1" s="1"/>
  <c r="AK272" i="1"/>
  <c r="AL272" i="1" s="1"/>
  <c r="BF268" i="1"/>
  <c r="BG268" i="1" s="1"/>
  <c r="DN196" i="1"/>
  <c r="DO196" i="1" s="1"/>
  <c r="BF278" i="1"/>
  <c r="BG278" i="1" s="1"/>
  <c r="CJ289" i="1"/>
  <c r="CK289" i="1" s="1"/>
  <c r="DD302" i="1"/>
  <c r="DE302" i="1" s="1"/>
  <c r="CT302" i="1"/>
  <c r="CU302" i="1" s="1"/>
  <c r="AU308" i="1"/>
  <c r="AV308" i="1"/>
  <c r="DX304" i="1"/>
  <c r="DY304" i="1" s="1"/>
  <c r="AU246" i="1"/>
  <c r="AV246" i="1" s="1"/>
  <c r="Q13" i="1"/>
  <c r="R13" i="1" s="1"/>
  <c r="Q19" i="1"/>
  <c r="R19" i="1" s="1"/>
  <c r="DN52" i="1"/>
  <c r="DO52" i="1" s="1"/>
  <c r="CT43" i="1"/>
  <c r="CU43" i="1" s="1"/>
  <c r="Q38" i="1"/>
  <c r="R38" i="1" s="1"/>
  <c r="AA54" i="1"/>
  <c r="AB54" i="1" s="1"/>
  <c r="BP49" i="1"/>
  <c r="BQ49" i="1" s="1"/>
  <c r="Q74" i="1"/>
  <c r="R74" i="1" s="1"/>
  <c r="BF39" i="1"/>
  <c r="BG39" i="1" s="1"/>
  <c r="AA52" i="1"/>
  <c r="AB52" i="1" s="1"/>
  <c r="DD82" i="1"/>
  <c r="DE82" i="1" s="1"/>
  <c r="AU70" i="1"/>
  <c r="AV70" i="1" s="1"/>
  <c r="X74" i="1"/>
  <c r="CG74" i="1"/>
  <c r="AU55" i="1"/>
  <c r="AV55" i="1" s="1"/>
  <c r="CG76" i="1"/>
  <c r="DX55" i="1"/>
  <c r="DY55" i="1" s="1"/>
  <c r="AA85" i="1"/>
  <c r="AB85" i="1" s="1"/>
  <c r="DD78" i="1"/>
  <c r="DE78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CJ99" i="1"/>
  <c r="CK99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AU165" i="1"/>
  <c r="AV165" i="1" s="1"/>
  <c r="CT153" i="1"/>
  <c r="CU153" i="1" s="1"/>
  <c r="BF148" i="1"/>
  <c r="BG148" i="1" s="1"/>
  <c r="DX151" i="1"/>
  <c r="DY151" i="1" s="1"/>
  <c r="AK146" i="1"/>
  <c r="AL146" i="1" s="1"/>
  <c r="AK140" i="1"/>
  <c r="AL140" i="1" s="1"/>
  <c r="AA215" i="1"/>
  <c r="AB215" i="1" s="1"/>
  <c r="AA177" i="1"/>
  <c r="AB177" i="1" s="1"/>
  <c r="CJ188" i="1"/>
  <c r="CK188" i="1" s="1"/>
  <c r="AU227" i="1"/>
  <c r="AV227" i="1" s="1"/>
  <c r="N217" i="1"/>
  <c r="CG180" i="1"/>
  <c r="BF210" i="1"/>
  <c r="BG210" i="1" s="1"/>
  <c r="N193" i="1"/>
  <c r="AU224" i="1"/>
  <c r="AV224" i="1" s="1"/>
  <c r="AK234" i="1"/>
  <c r="AL234" i="1" s="1"/>
  <c r="DD211" i="1"/>
  <c r="DE211" i="1" s="1"/>
  <c r="BP178" i="1"/>
  <c r="BQ178" i="1" s="1"/>
  <c r="DD193" i="1"/>
  <c r="DE193" i="1" s="1"/>
  <c r="DD270" i="1"/>
  <c r="DE270" i="1" s="1"/>
  <c r="AU196" i="1"/>
  <c r="AV196" i="1" s="1"/>
  <c r="BP242" i="1"/>
  <c r="BQ242" i="1" s="1"/>
  <c r="DX274" i="1"/>
  <c r="CT263" i="1"/>
  <c r="CU263" i="1" s="1"/>
  <c r="DN203" i="1"/>
  <c r="DO203" i="1" s="1"/>
  <c r="DY227" i="1"/>
  <c r="DN274" i="1"/>
  <c r="DO274" i="1" s="1"/>
  <c r="CT224" i="1"/>
  <c r="CU224" i="1" s="1"/>
  <c r="Q274" i="1"/>
  <c r="R274" i="1" s="1"/>
  <c r="DX285" i="1"/>
  <c r="DY285" i="1" s="1"/>
  <c r="AK305" i="1"/>
  <c r="AL305" i="1" s="1"/>
  <c r="X255" i="1"/>
  <c r="DD286" i="1"/>
  <c r="DE286" i="1" s="1"/>
  <c r="DX281" i="1"/>
  <c r="DY281" i="1" s="1"/>
  <c r="AA299" i="1"/>
  <c r="AB299" i="1" s="1"/>
  <c r="CT254" i="1"/>
  <c r="CU254" i="1" s="1"/>
  <c r="AK290" i="1"/>
  <c r="AL290" i="1" s="1"/>
  <c r="DN231" i="1"/>
  <c r="DO231" i="1" s="1"/>
  <c r="Q311" i="1"/>
  <c r="R311" i="1" s="1"/>
  <c r="DD272" i="1"/>
  <c r="DE272" i="1" s="1"/>
  <c r="AU281" i="1"/>
  <c r="AV281" i="1" s="1"/>
  <c r="DD296" i="1"/>
  <c r="DE296" i="1" s="1"/>
  <c r="AR296" i="1"/>
  <c r="CJ285" i="1"/>
  <c r="CK285" i="1" s="1"/>
  <c r="BF271" i="1"/>
  <c r="BG271" i="1" s="1"/>
  <c r="AK288" i="1"/>
  <c r="AL288" i="1" s="1"/>
  <c r="CT303" i="1"/>
  <c r="CU303" i="1" s="1"/>
  <c r="AK227" i="1"/>
  <c r="AL227" i="1" s="1"/>
  <c r="BZ273" i="1"/>
  <c r="CA273" i="1" s="1"/>
  <c r="DX291" i="1"/>
  <c r="DY291" i="1" s="1"/>
  <c r="Q224" i="1"/>
  <c r="R224" i="1" s="1"/>
  <c r="DY246" i="1"/>
  <c r="Q35" i="1"/>
  <c r="R35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/>
  <c r="CJ52" i="1"/>
  <c r="CK52" i="1" s="1"/>
  <c r="DX82" i="1"/>
  <c r="AA90" i="1"/>
  <c r="AB90" i="1" s="1"/>
  <c r="AA96" i="1"/>
  <c r="AB96" i="1" s="1"/>
  <c r="AU94" i="1"/>
  <c r="AV94" i="1" s="1"/>
  <c r="BZ93" i="1"/>
  <c r="CA93" i="1" s="1"/>
  <c r="CT104" i="1"/>
  <c r="CU104" i="1"/>
  <c r="DN96" i="1"/>
  <c r="DO96" i="1" s="1"/>
  <c r="AK80" i="1"/>
  <c r="AL80" i="1" s="1"/>
  <c r="BZ95" i="1"/>
  <c r="CA95" i="1"/>
  <c r="AK105" i="1"/>
  <c r="AL105" i="1" s="1"/>
  <c r="BF119" i="1"/>
  <c r="BG119" i="1" s="1"/>
  <c r="CJ124" i="1"/>
  <c r="CK124" i="1" s="1"/>
  <c r="Q101" i="1"/>
  <c r="R101" i="1" s="1"/>
  <c r="BP110" i="1"/>
  <c r="BQ110" i="1" s="1"/>
  <c r="Q125" i="1"/>
  <c r="R125" i="1" s="1"/>
  <c r="AA155" i="1"/>
  <c r="AB155" i="1" s="1"/>
  <c r="Q161" i="1"/>
  <c r="R161" i="1" s="1"/>
  <c r="Q167" i="1"/>
  <c r="R167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52" i="1"/>
  <c r="CK152" i="1" s="1"/>
  <c r="CJ146" i="1"/>
  <c r="CK146" i="1" s="1"/>
  <c r="CJ181" i="1"/>
  <c r="CK181" i="1" s="1"/>
  <c r="AA218" i="1"/>
  <c r="AB218" i="1" s="1"/>
  <c r="CJ212" i="1"/>
  <c r="CK212" i="1" s="1"/>
  <c r="Q204" i="1"/>
  <c r="CJ187" i="1"/>
  <c r="CK187" i="1" s="1"/>
  <c r="Q228" i="1"/>
  <c r="R228" i="1" s="1"/>
  <c r="BZ194" i="1"/>
  <c r="CA194" i="1" s="1"/>
  <c r="AK177" i="1"/>
  <c r="AL177" i="1" s="1"/>
  <c r="AA214" i="1"/>
  <c r="AB214" i="1" s="1"/>
  <c r="BZ225" i="1"/>
  <c r="CA225" i="1" s="1"/>
  <c r="AU234" i="1"/>
  <c r="AV234" i="1" s="1"/>
  <c r="Q245" i="1"/>
  <c r="R245" i="1" s="1"/>
  <c r="AA188" i="1"/>
  <c r="AB188" i="1"/>
  <c r="BZ199" i="1"/>
  <c r="CA199" i="1" s="1"/>
  <c r="BZ230" i="1"/>
  <c r="CA230" i="1" s="1"/>
  <c r="BZ238" i="1"/>
  <c r="CA238" i="1" s="1"/>
  <c r="DD248" i="1"/>
  <c r="DE248" i="1" s="1"/>
  <c r="Q265" i="1"/>
  <c r="R265" i="1" s="1"/>
  <c r="DD244" i="1"/>
  <c r="DE244" i="1" s="1"/>
  <c r="Q277" i="1"/>
  <c r="R277" i="1" s="1"/>
  <c r="CJ275" i="1"/>
  <c r="CK275" i="1" s="1"/>
  <c r="CT248" i="1"/>
  <c r="CU248" i="1" s="1"/>
  <c r="DD265" i="1"/>
  <c r="DE265" i="1" s="1"/>
  <c r="CJ216" i="1"/>
  <c r="CK216" i="1" s="1"/>
  <c r="CJ299" i="1"/>
  <c r="CK299" i="1" s="1"/>
  <c r="BP192" i="1"/>
  <c r="BQ192" i="1" s="1"/>
  <c r="BF288" i="1"/>
  <c r="BG288" i="1" s="1"/>
  <c r="AA301" i="1"/>
  <c r="AB301" i="1" s="1"/>
  <c r="BP311" i="1"/>
  <c r="BQ311" i="1" s="1"/>
  <c r="BZ253" i="1"/>
  <c r="CA253" i="1" s="1"/>
  <c r="BZ254" i="1"/>
  <c r="CA254" i="1" s="1"/>
  <c r="BZ291" i="1"/>
  <c r="CA291" i="1" s="1"/>
  <c r="CT301" i="1"/>
  <c r="CU301" i="1" s="1"/>
  <c r="BF237" i="1"/>
  <c r="BG237" i="1" s="1"/>
  <c r="CT281" i="1"/>
  <c r="CU281" i="1" s="1"/>
  <c r="BZ231" i="1"/>
  <c r="CA231" i="1" s="1"/>
  <c r="AU302" i="1"/>
  <c r="AV302" i="1" s="1"/>
  <c r="BF259" i="1"/>
  <c r="BG259" i="1" s="1"/>
  <c r="DD298" i="1"/>
  <c r="DE298" i="1" s="1"/>
  <c r="AA279" i="1"/>
  <c r="AB279" i="1" s="1"/>
  <c r="DD274" i="1"/>
  <c r="DE274" i="1" s="1"/>
  <c r="AK287" i="1"/>
  <c r="AL287" i="1" s="1"/>
  <c r="AK178" i="1"/>
  <c r="AL178" i="1" s="1"/>
  <c r="DY139" i="1"/>
  <c r="BW239" i="1"/>
  <c r="BZ56" i="1"/>
  <c r="CA56" i="1"/>
  <c r="BZ65" i="1"/>
  <c r="CA65" i="1" s="1"/>
  <c r="AU60" i="1"/>
  <c r="AV60" i="1" s="1"/>
  <c r="BZ71" i="1"/>
  <c r="CA71" i="1" s="1"/>
  <c r="BP53" i="1"/>
  <c r="BQ53" i="1" s="1"/>
  <c r="AK52" i="1"/>
  <c r="AL52" i="1" s="1"/>
  <c r="CT72" i="1"/>
  <c r="CU72" i="1" s="1"/>
  <c r="CT84" i="1"/>
  <c r="CU84" i="1" s="1"/>
  <c r="CJ90" i="1"/>
  <c r="CJ96" i="1"/>
  <c r="CK96" i="1" s="1"/>
  <c r="DX97" i="1"/>
  <c r="DY97" i="1" s="1"/>
  <c r="Q113" i="1"/>
  <c r="R113" i="1" s="1"/>
  <c r="CJ95" i="1"/>
  <c r="CK95" i="1" s="1"/>
  <c r="BP111" i="1"/>
  <c r="BQ111" i="1" s="1"/>
  <c r="BF114" i="1"/>
  <c r="BG114" i="1" s="1"/>
  <c r="BP108" i="1"/>
  <c r="BQ108" i="1" s="1"/>
  <c r="AK115" i="1"/>
  <c r="AL115" i="1" s="1"/>
  <c r="AU90" i="1"/>
  <c r="AV90" i="1" s="1"/>
  <c r="CJ119" i="1"/>
  <c r="CK119" i="1" s="1"/>
  <c r="BF125" i="1"/>
  <c r="BG125" i="1" s="1"/>
  <c r="Q121" i="1"/>
  <c r="R121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DD137" i="1"/>
  <c r="DE137" i="1" s="1"/>
  <c r="AU152" i="1"/>
  <c r="AV152" i="1" s="1"/>
  <c r="AA99" i="1"/>
  <c r="AB99" i="1" s="1"/>
  <c r="AU135" i="1"/>
  <c r="AV135" i="1" s="1"/>
  <c r="BP142" i="1"/>
  <c r="BQ142" i="1"/>
  <c r="Q142" i="1"/>
  <c r="R142" i="1" s="1"/>
  <c r="AU137" i="1"/>
  <c r="AV137" i="1" s="1"/>
  <c r="Q141" i="1"/>
  <c r="EN141" i="1" s="1"/>
  <c r="Q168" i="1"/>
  <c r="R168" i="1" s="1"/>
  <c r="CT165" i="1"/>
  <c r="CU165" i="1" s="1"/>
  <c r="DX175" i="1"/>
  <c r="DY175" i="1" s="1"/>
  <c r="EO175" i="1"/>
  <c r="DX128" i="1"/>
  <c r="BP158" i="1"/>
  <c r="BQ158" i="1" s="1"/>
  <c r="BZ143" i="1"/>
  <c r="CA143" i="1" s="1"/>
  <c r="AA187" i="1"/>
  <c r="AB187" i="1" s="1"/>
  <c r="DY209" i="1"/>
  <c r="CJ175" i="1"/>
  <c r="CK175" i="1" s="1"/>
  <c r="BF178" i="1"/>
  <c r="BG178" i="1" s="1"/>
  <c r="CJ189" i="1"/>
  <c r="CK189" i="1" s="1"/>
  <c r="DX188" i="1"/>
  <c r="CJ195" i="1"/>
  <c r="CK195" i="1" s="1"/>
  <c r="Q230" i="1"/>
  <c r="R230" i="1" s="1"/>
  <c r="BP218" i="1"/>
  <c r="BQ218" i="1" s="1"/>
  <c r="DX205" i="1"/>
  <c r="DY205" i="1" s="1"/>
  <c r="DD237" i="1"/>
  <c r="DE237" i="1" s="1"/>
  <c r="DD183" i="1"/>
  <c r="DE183" i="1" s="1"/>
  <c r="CT214" i="1"/>
  <c r="CU214" i="1" s="1"/>
  <c r="BP234" i="1"/>
  <c r="BQ234" i="1" s="1"/>
  <c r="BP245" i="1"/>
  <c r="BQ245" i="1" s="1"/>
  <c r="AU179" i="1"/>
  <c r="AV179" i="1" s="1"/>
  <c r="AK201" i="1"/>
  <c r="AL201" i="1" s="1"/>
  <c r="AK217" i="1"/>
  <c r="AL217" i="1" s="1"/>
  <c r="BZ257" i="1"/>
  <c r="CA257" i="1" s="1"/>
  <c r="BP179" i="1"/>
  <c r="BQ179" i="1" s="1"/>
  <c r="AU253" i="1"/>
  <c r="AV253" i="1" s="1"/>
  <c r="BZ265" i="1"/>
  <c r="CA265" i="1" s="1"/>
  <c r="BZ271" i="1"/>
  <c r="CA271" i="1" s="1"/>
  <c r="BZ245" i="1"/>
  <c r="CA245" i="1" s="1"/>
  <c r="AU278" i="1"/>
  <c r="AV278" i="1" s="1"/>
  <c r="DD256" i="1"/>
  <c r="DE256" i="1" s="1"/>
  <c r="AK252" i="1"/>
  <c r="AL252" i="1" s="1"/>
  <c r="BP176" i="1"/>
  <c r="BQ176" i="1" s="1"/>
  <c r="AA305" i="1"/>
  <c r="AB305" i="1" s="1"/>
  <c r="BF205" i="1"/>
  <c r="BG205" i="1" s="1"/>
  <c r="AA260" i="1"/>
  <c r="AB260" i="1" s="1"/>
  <c r="AU257" i="1"/>
  <c r="AV257" i="1" s="1"/>
  <c r="AA302" i="1"/>
  <c r="AB302" i="1" s="1"/>
  <c r="DX311" i="1"/>
  <c r="DD233" i="1"/>
  <c r="DE233" i="1" s="1"/>
  <c r="CT256" i="1"/>
  <c r="CU256" i="1" s="1"/>
  <c r="AA271" i="1"/>
  <c r="AB271" i="1" s="1"/>
  <c r="DD263" i="1"/>
  <c r="DE263" i="1" s="1"/>
  <c r="DD208" i="1"/>
  <c r="DE208" i="1" s="1"/>
  <c r="BZ266" i="1"/>
  <c r="CA266" i="1" s="1"/>
  <c r="DD303" i="1"/>
  <c r="DE303" i="1" s="1"/>
  <c r="CT297" i="1"/>
  <c r="CU297" i="1" s="1"/>
  <c r="Q260" i="1"/>
  <c r="R260" i="1" s="1"/>
  <c r="Q309" i="1"/>
  <c r="R309" i="1" s="1"/>
  <c r="AA297" i="1"/>
  <c r="AB297" i="1" s="1"/>
  <c r="DY221" i="1"/>
  <c r="DD249" i="1"/>
  <c r="DE249" i="1" s="1"/>
  <c r="AK291" i="1"/>
  <c r="AL291" i="1" s="1"/>
  <c r="CT193" i="1"/>
  <c r="CU193" i="1" s="1"/>
  <c r="BF279" i="1"/>
  <c r="BG279" i="1" s="1"/>
  <c r="DN295" i="1"/>
  <c r="DO295" i="1" s="1"/>
  <c r="AU306" i="1"/>
  <c r="AV306" i="1" s="1"/>
  <c r="AK199" i="1"/>
  <c r="AL199" i="1" s="1"/>
  <c r="DX261" i="1"/>
  <c r="DY261" i="1" s="1"/>
  <c r="CT280" i="1"/>
  <c r="CU280" i="1" s="1"/>
  <c r="DX247" i="1"/>
  <c r="DY247" i="1" s="1"/>
  <c r="AK224" i="1"/>
  <c r="AL224" i="1" s="1"/>
  <c r="DX300" i="1"/>
  <c r="DN29" i="1"/>
  <c r="DO29" i="1" s="1"/>
  <c r="AU19" i="1"/>
  <c r="AV19" i="1" s="1"/>
  <c r="AA62" i="1"/>
  <c r="AB62" i="1" s="1"/>
  <c r="CT34" i="1"/>
  <c r="CU34" i="1" s="1"/>
  <c r="DN61" i="1"/>
  <c r="DO61" i="1" s="1"/>
  <c r="AK49" i="1"/>
  <c r="AL49" i="1" s="1"/>
  <c r="BC54" i="1"/>
  <c r="DN49" i="1"/>
  <c r="CG70" i="1"/>
  <c r="CT66" i="1"/>
  <c r="CU66" i="1" s="1"/>
  <c r="DN79" i="1"/>
  <c r="DO79" i="1" s="1"/>
  <c r="Q57" i="1"/>
  <c r="R57" i="1" s="1"/>
  <c r="BZ77" i="1"/>
  <c r="CA77" i="1" s="1"/>
  <c r="DD72" i="1"/>
  <c r="DE72" i="1" s="1"/>
  <c r="BW62" i="1"/>
  <c r="DY63" i="1"/>
  <c r="CJ73" i="1"/>
  <c r="CK73" i="1" s="1"/>
  <c r="AU85" i="1"/>
  <c r="AV85" i="1" s="1"/>
  <c r="BF91" i="1"/>
  <c r="BG91" i="1" s="1"/>
  <c r="DX83" i="1"/>
  <c r="Q95" i="1"/>
  <c r="R95" i="1" s="1"/>
  <c r="BF60" i="1"/>
  <c r="BG60" i="1" s="1"/>
  <c r="DN92" i="1"/>
  <c r="DO92" i="1" s="1"/>
  <c r="BZ113" i="1"/>
  <c r="CA113" i="1" s="1"/>
  <c r="DD96" i="1"/>
  <c r="DE96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BF111" i="1"/>
  <c r="BG111" i="1" s="1"/>
  <c r="DD133" i="1"/>
  <c r="DE133" i="1" s="1"/>
  <c r="Q146" i="1"/>
  <c r="R146" i="1" s="1"/>
  <c r="AU156" i="1"/>
  <c r="AV156" i="1" s="1"/>
  <c r="AU162" i="1"/>
  <c r="AV162" i="1" s="1"/>
  <c r="AK125" i="1"/>
  <c r="AL125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DN210" i="1"/>
  <c r="DO210" i="1" s="1"/>
  <c r="BF190" i="1"/>
  <c r="BG190" i="1" s="1"/>
  <c r="BP202" i="1"/>
  <c r="BQ202" i="1" s="1"/>
  <c r="DD185" i="1"/>
  <c r="DE185" i="1" s="1"/>
  <c r="DX199" i="1"/>
  <c r="DY199" i="1" s="1"/>
  <c r="Q232" i="1"/>
  <c r="R232" i="1" s="1"/>
  <c r="AA219" i="1"/>
  <c r="AB219" i="1" s="1"/>
  <c r="AH187" i="1"/>
  <c r="DN181" i="1"/>
  <c r="DO181" i="1" s="1"/>
  <c r="BM190" i="1"/>
  <c r="BF231" i="1"/>
  <c r="BG231" i="1" s="1"/>
  <c r="DX257" i="1"/>
  <c r="DY257" i="1" s="1"/>
  <c r="CJ222" i="1"/>
  <c r="CK222" i="1" s="1"/>
  <c r="CT230" i="1"/>
  <c r="CU230" i="1" s="1"/>
  <c r="CG265" i="1"/>
  <c r="CJ279" i="1"/>
  <c r="CK279" i="1" s="1"/>
  <c r="AA283" i="1"/>
  <c r="AB283" i="1" s="1"/>
  <c r="DK206" i="1"/>
  <c r="DD278" i="1"/>
  <c r="DE278" i="1" s="1"/>
  <c r="AK267" i="1"/>
  <c r="AL267" i="1" s="1"/>
  <c r="BF275" i="1"/>
  <c r="BG275" i="1" s="1"/>
  <c r="CT292" i="1"/>
  <c r="CU292" i="1" s="1"/>
  <c r="CT308" i="1"/>
  <c r="CU308" i="1" s="1"/>
  <c r="DD220" i="1"/>
  <c r="DE220" i="1" s="1"/>
  <c r="BZ302" i="1"/>
  <c r="CA302" i="1" s="1"/>
  <c r="DD236" i="1"/>
  <c r="DE236" i="1" s="1"/>
  <c r="BP287" i="1"/>
  <c r="BQ287" i="1" s="1"/>
  <c r="CG300" i="1"/>
  <c r="DD259" i="1"/>
  <c r="DE259" i="1" s="1"/>
  <c r="Q296" i="1"/>
  <c r="R296" i="1" s="1"/>
  <c r="AA202" i="1"/>
  <c r="AB202" i="1" s="1"/>
  <c r="DX292" i="1"/>
  <c r="DY292" i="1" s="1"/>
  <c r="EO292" i="1"/>
  <c r="BF310" i="1"/>
  <c r="BG310" i="1" s="1"/>
  <c r="BF308" i="1"/>
  <c r="BG308" i="1" s="1"/>
  <c r="DD297" i="1"/>
  <c r="BF241" i="1"/>
  <c r="BG241" i="1" s="1"/>
  <c r="DN271" i="1"/>
  <c r="DO271" i="1" s="1"/>
  <c r="DX289" i="1"/>
  <c r="DY289" i="1" s="1"/>
  <c r="CJ296" i="1"/>
  <c r="CK296" i="1" s="1"/>
  <c r="DX231" i="1"/>
  <c r="DX239" i="1"/>
  <c r="DY239" i="1" s="1"/>
  <c r="DD251" i="1"/>
  <c r="DE251" i="1" s="1"/>
  <c r="BZ258" i="1"/>
  <c r="BZ267" i="1"/>
  <c r="CA267" i="1" s="1"/>
  <c r="CQ266" i="1"/>
  <c r="DN284" i="1"/>
  <c r="DO284" i="1" s="1"/>
  <c r="CG184" i="1"/>
  <c r="DX271" i="1"/>
  <c r="EO279" i="1"/>
  <c r="DX279" i="1"/>
  <c r="DY279" i="1" s="1"/>
  <c r="DX303" i="1"/>
  <c r="AA242" i="1"/>
  <c r="AB242" i="1" s="1"/>
  <c r="CT306" i="1"/>
  <c r="CU306" i="1" s="1"/>
  <c r="CJ252" i="1"/>
  <c r="CK252" i="1" s="1"/>
  <c r="BP281" i="1"/>
  <c r="BQ281" i="1" s="1"/>
  <c r="AK294" i="1"/>
  <c r="AL294" i="1" s="1"/>
  <c r="CT269" i="1"/>
  <c r="CU269" i="1" s="1"/>
  <c r="BF300" i="1"/>
  <c r="BG300" i="1" s="1"/>
  <c r="AU304" i="1"/>
  <c r="AV304" i="1"/>
  <c r="DN292" i="1"/>
  <c r="DO292" i="1" s="1"/>
  <c r="DX270" i="1"/>
  <c r="BZ293" i="1"/>
  <c r="CA293" i="1" s="1"/>
  <c r="AA291" i="1"/>
  <c r="AB291" i="1" s="1"/>
  <c r="BZ261" i="1"/>
  <c r="CA261" i="1" s="1"/>
  <c r="DX233" i="1"/>
  <c r="DX176" i="1"/>
  <c r="BZ243" i="1"/>
  <c r="CA243" i="1" s="1"/>
  <c r="DN262" i="1"/>
  <c r="DO262" i="1" s="1"/>
  <c r="CT213" i="1"/>
  <c r="CU213" i="1" s="1"/>
  <c r="DX266" i="1"/>
  <c r="DY266" i="1"/>
  <c r="CJ254" i="1"/>
  <c r="CK254" i="1" s="1"/>
  <c r="Q188" i="1"/>
  <c r="R188" i="1" s="1"/>
  <c r="CT267" i="1"/>
  <c r="CU267" i="1" s="1"/>
  <c r="CJ301" i="1"/>
  <c r="CK301" i="1" s="1"/>
  <c r="DN259" i="1"/>
  <c r="DO259" i="1" s="1"/>
  <c r="BP285" i="1"/>
  <c r="BQ285" i="1" s="1"/>
  <c r="AU275" i="1"/>
  <c r="AV275" i="1" s="1"/>
  <c r="Q284" i="1"/>
  <c r="R284" i="1" s="1"/>
  <c r="BP309" i="1"/>
  <c r="BQ309" i="1" s="1"/>
  <c r="BF282" i="1"/>
  <c r="BG282" i="1" s="1"/>
  <c r="DX299" i="1"/>
  <c r="DY299" i="1" s="1"/>
  <c r="BP279" i="1"/>
  <c r="BQ279" i="1" s="1"/>
  <c r="BF302" i="1"/>
  <c r="BG302" i="1"/>
  <c r="AA277" i="1"/>
  <c r="AB277" i="1" s="1"/>
  <c r="BF301" i="1"/>
  <c r="BG301" i="1" s="1"/>
  <c r="BF263" i="1"/>
  <c r="BG263" i="1" s="1"/>
  <c r="AK273" i="1"/>
  <c r="AL273" i="1" s="1"/>
  <c r="AK238" i="1"/>
  <c r="AL238" i="1" s="1"/>
  <c r="BP274" i="1"/>
  <c r="BQ274" i="1" s="1"/>
  <c r="AA228" i="1"/>
  <c r="AB228" i="1" s="1"/>
  <c r="AK240" i="1"/>
  <c r="AL240" i="1" s="1"/>
  <c r="BZ260" i="1"/>
  <c r="CA260" i="1" s="1"/>
  <c r="AU274" i="1"/>
  <c r="AV274" i="1" s="1"/>
  <c r="BF286" i="1"/>
  <c r="BG286" i="1" s="1"/>
  <c r="AK306" i="1"/>
  <c r="AL306" i="1" s="1"/>
  <c r="BP238" i="1"/>
  <c r="BQ238" i="1" s="1"/>
  <c r="CJ247" i="1"/>
  <c r="CK247" i="1" s="1"/>
  <c r="AK310" i="1"/>
  <c r="AL310" i="1" s="1"/>
  <c r="DN260" i="1"/>
  <c r="DO260" i="1" s="1"/>
  <c r="AK263" i="1"/>
  <c r="AL263" i="1" s="1"/>
  <c r="DN287" i="1"/>
  <c r="DO287" i="1" s="1"/>
  <c r="DN300" i="1"/>
  <c r="DO300" i="1" s="1"/>
  <c r="CJ194" i="1"/>
  <c r="CK194" i="1" s="1"/>
  <c r="AU206" i="1"/>
  <c r="AV206" i="1" s="1"/>
  <c r="CT240" i="1"/>
  <c r="CU240" i="1" s="1"/>
  <c r="CJ282" i="1"/>
  <c r="CK282" i="1" s="1"/>
  <c r="CJ302" i="1"/>
  <c r="CK302" i="1" s="1"/>
  <c r="DN299" i="1"/>
  <c r="DO299" i="1" s="1"/>
  <c r="BP275" i="1"/>
  <c r="BQ275" i="1" s="1"/>
  <c r="CT305" i="1"/>
  <c r="CU305" i="1" s="1"/>
  <c r="BZ181" i="1"/>
  <c r="CA181" i="1" s="1"/>
  <c r="BZ233" i="1"/>
  <c r="CA233" i="1" s="1"/>
  <c r="AK284" i="1"/>
  <c r="AL284" i="1" s="1"/>
  <c r="AA243" i="1"/>
  <c r="AB243" i="1" s="1"/>
  <c r="BP266" i="1"/>
  <c r="BQ266" i="1" s="1"/>
  <c r="BP291" i="1"/>
  <c r="BQ291" i="1" s="1"/>
  <c r="AK308" i="1"/>
  <c r="AL308" i="1" s="1"/>
  <c r="CT310" i="1"/>
  <c r="AK230" i="1"/>
  <c r="AL230" i="1" s="1"/>
  <c r="BZ264" i="1"/>
  <c r="CA264" i="1" s="1"/>
  <c r="BP305" i="1"/>
  <c r="BQ305" i="1" s="1"/>
  <c r="DY276" i="1"/>
  <c r="CJ234" i="1"/>
  <c r="CK234" i="1" s="1"/>
  <c r="DD279" i="1"/>
  <c r="DE279" i="1" s="1"/>
  <c r="CT187" i="1"/>
  <c r="CU187" i="1" s="1"/>
  <c r="CJ226" i="1"/>
  <c r="CK226" i="1" s="1"/>
  <c r="CJ291" i="1"/>
  <c r="CK291" i="1" s="1"/>
  <c r="BF229" i="1"/>
  <c r="BG229" i="1" s="1"/>
  <c r="CT265" i="1"/>
  <c r="CU265" i="1" s="1"/>
  <c r="AA292" i="1"/>
  <c r="AB292" i="1" s="1"/>
  <c r="CJ288" i="1"/>
  <c r="CK288" i="1" s="1"/>
  <c r="AU284" i="1"/>
  <c r="AV284" i="1" s="1"/>
  <c r="AU280" i="1"/>
  <c r="AV280" i="1" s="1"/>
  <c r="CJ237" i="1"/>
  <c r="CK237" i="1" s="1"/>
  <c r="Q264" i="1"/>
  <c r="R264" i="1" s="1"/>
  <c r="CT275" i="1"/>
  <c r="CU275" i="1" s="1"/>
  <c r="FD26" i="1"/>
  <c r="FE26" i="1" s="1"/>
  <c r="FD171" i="1"/>
  <c r="FE171" i="1" s="1"/>
  <c r="ES126" i="1"/>
  <c r="ER126" i="1"/>
  <c r="EO260" i="1" l="1"/>
  <c r="EO83" i="1"/>
  <c r="EO255" i="1"/>
  <c r="EO262" i="1"/>
  <c r="EO181" i="1"/>
  <c r="EO194" i="1"/>
  <c r="AK99" i="1"/>
  <c r="AL99" i="1" s="1"/>
  <c r="CJ303" i="1"/>
  <c r="CK303" i="1" s="1"/>
  <c r="EO168" i="1"/>
  <c r="CT168" i="1"/>
  <c r="CU168" i="1" s="1"/>
  <c r="DD116" i="1"/>
  <c r="DE116" i="1" s="1"/>
  <c r="EO154" i="1"/>
  <c r="AK154" i="1"/>
  <c r="AL154" i="1" s="1"/>
  <c r="EO301" i="1"/>
  <c r="BF153" i="1"/>
  <c r="BG153" i="1" s="1"/>
  <c r="DD167" i="1"/>
  <c r="DE167" i="1" s="1"/>
  <c r="EO167" i="1"/>
  <c r="AK274" i="1"/>
  <c r="AL274" i="1" s="1"/>
  <c r="EO274" i="1"/>
  <c r="AK158" i="1"/>
  <c r="AL158" i="1" s="1"/>
  <c r="DD128" i="1"/>
  <c r="DE128" i="1" s="1"/>
  <c r="CT196" i="1"/>
  <c r="CU196" i="1" s="1"/>
  <c r="CJ145" i="1"/>
  <c r="CK145" i="1" s="1"/>
  <c r="EO145" i="1"/>
  <c r="DN216" i="1"/>
  <c r="DO216" i="1" s="1"/>
  <c r="EO216" i="1"/>
  <c r="DN227" i="1"/>
  <c r="DO227" i="1" s="1"/>
  <c r="EO227" i="1"/>
  <c r="DY204" i="1"/>
  <c r="EO204" i="1"/>
  <c r="DX180" i="1"/>
  <c r="DY180" i="1" s="1"/>
  <c r="DX229" i="1"/>
  <c r="DY229" i="1" s="1"/>
  <c r="DN205" i="1"/>
  <c r="DO205" i="1" s="1"/>
  <c r="DX264" i="1"/>
  <c r="DY264" i="1" s="1"/>
  <c r="EO264" i="1"/>
  <c r="DX249" i="1"/>
  <c r="DY249" i="1" s="1"/>
  <c r="DX237" i="1"/>
  <c r="DY237" i="1" s="1"/>
  <c r="DX163" i="1"/>
  <c r="DY163" i="1" s="1"/>
  <c r="DD311" i="1"/>
  <c r="DE311" i="1" s="1"/>
  <c r="DD207" i="1"/>
  <c r="DE207" i="1" s="1"/>
  <c r="EO207" i="1"/>
  <c r="DX124" i="1"/>
  <c r="DY124" i="1" s="1"/>
  <c r="DX178" i="1"/>
  <c r="DY178" i="1" s="1"/>
  <c r="DX195" i="1"/>
  <c r="DY195" i="1" s="1"/>
  <c r="DX275" i="1"/>
  <c r="DY275" i="1" s="1"/>
  <c r="DX263" i="1"/>
  <c r="DY263" i="1" s="1"/>
  <c r="DD201" i="1"/>
  <c r="DE201" i="1" s="1"/>
  <c r="EO201" i="1"/>
  <c r="DN268" i="1"/>
  <c r="DO268" i="1" s="1"/>
  <c r="DN130" i="1"/>
  <c r="DO130" i="1" s="1"/>
  <c r="EO130" i="1"/>
  <c r="DN137" i="1"/>
  <c r="DO137" i="1" s="1"/>
  <c r="DN222" i="1"/>
  <c r="DO222" i="1" s="1"/>
  <c r="EO222" i="1"/>
  <c r="DN225" i="1"/>
  <c r="DO225" i="1" s="1"/>
  <c r="DN244" i="1"/>
  <c r="EO244" i="1"/>
  <c r="DN246" i="1"/>
  <c r="DO246" i="1" s="1"/>
  <c r="DN272" i="1"/>
  <c r="DO272" i="1" s="1"/>
  <c r="DN294" i="1"/>
  <c r="DN297" i="1"/>
  <c r="DO297" i="1" s="1"/>
  <c r="DN302" i="1"/>
  <c r="DO302" i="1" s="1"/>
  <c r="DN278" i="1"/>
  <c r="DO278" i="1" s="1"/>
  <c r="DX186" i="1"/>
  <c r="DY186" i="1" s="1"/>
  <c r="DX142" i="1"/>
  <c r="DY142" i="1" s="1"/>
  <c r="EO142" i="1"/>
  <c r="DX215" i="1"/>
  <c r="DY215" i="1" s="1"/>
  <c r="EO215" i="1"/>
  <c r="DX211" i="1"/>
  <c r="DY211" i="1" s="1"/>
  <c r="DX123" i="1"/>
  <c r="DY123" i="1" s="1"/>
  <c r="DN221" i="1"/>
  <c r="DO221" i="1" s="1"/>
  <c r="DO209" i="1"/>
  <c r="BZ183" i="1"/>
  <c r="CA183" i="1" s="1"/>
  <c r="BZ287" i="1"/>
  <c r="CA287" i="1" s="1"/>
  <c r="CJ280" i="1"/>
  <c r="CK280" i="1" s="1"/>
  <c r="EO280" i="1"/>
  <c r="CJ283" i="1"/>
  <c r="CJ139" i="1"/>
  <c r="DE198" i="1"/>
  <c r="DD235" i="1"/>
  <c r="DE235" i="1" s="1"/>
  <c r="BP189" i="1"/>
  <c r="BQ189" i="1" s="1"/>
  <c r="BP199" i="1"/>
  <c r="BQ199" i="1" s="1"/>
  <c r="DN140" i="1"/>
  <c r="DO140" i="1" s="1"/>
  <c r="EO140" i="1"/>
  <c r="DN223" i="1"/>
  <c r="DO223" i="1" s="1"/>
  <c r="DX125" i="1"/>
  <c r="DY125" i="1" s="1"/>
  <c r="CT133" i="1"/>
  <c r="CU133" i="1" s="1"/>
  <c r="EO133" i="1"/>
  <c r="DX269" i="1"/>
  <c r="DY269" i="1" s="1"/>
  <c r="DX253" i="1"/>
  <c r="DY253" i="1" s="1"/>
  <c r="EO253" i="1"/>
  <c r="CT296" i="1"/>
  <c r="CU296" i="1" s="1"/>
  <c r="EO296" i="1"/>
  <c r="BF240" i="1"/>
  <c r="BG240" i="1" s="1"/>
  <c r="EO240" i="1"/>
  <c r="DN247" i="1"/>
  <c r="DO247" i="1" s="1"/>
  <c r="DN214" i="1"/>
  <c r="DN290" i="1"/>
  <c r="DO290" i="1" s="1"/>
  <c r="CT270" i="1"/>
  <c r="CU270" i="1" s="1"/>
  <c r="DX218" i="1"/>
  <c r="DY218" i="1" s="1"/>
  <c r="AU220" i="1"/>
  <c r="AV220" i="1" s="1"/>
  <c r="EO220" i="1"/>
  <c r="DD127" i="1"/>
  <c r="DE127" i="1" s="1"/>
  <c r="CJ191" i="1"/>
  <c r="DN144" i="1"/>
  <c r="CJ147" i="1"/>
  <c r="EO147" i="1"/>
  <c r="DX184" i="1"/>
  <c r="DY184" i="1" s="1"/>
  <c r="DN228" i="1"/>
  <c r="DO228" i="1" s="1"/>
  <c r="EO228" i="1"/>
  <c r="DD239" i="1"/>
  <c r="DE239" i="1" s="1"/>
  <c r="DX267" i="1"/>
  <c r="DD231" i="1"/>
  <c r="DE231" i="1" s="1"/>
  <c r="EO231" i="1"/>
  <c r="DX265" i="1"/>
  <c r="DY265" i="1" s="1"/>
  <c r="DX254" i="1"/>
  <c r="DY254" i="1" s="1"/>
  <c r="EO254" i="1"/>
  <c r="DX217" i="1"/>
  <c r="DY217" i="1" s="1"/>
  <c r="DX203" i="1"/>
  <c r="DY203" i="1" s="1"/>
  <c r="EO203" i="1"/>
  <c r="DN234" i="1"/>
  <c r="DO234" i="1" s="1"/>
  <c r="EO234" i="1"/>
  <c r="DN266" i="1"/>
  <c r="DO266" i="1" s="1"/>
  <c r="EO266" i="1"/>
  <c r="DX182" i="1"/>
  <c r="DY182" i="1" s="1"/>
  <c r="EO182" i="1"/>
  <c r="DX242" i="1"/>
  <c r="DY242" i="1" s="1"/>
  <c r="DD271" i="1"/>
  <c r="DE271" i="1" s="1"/>
  <c r="CJ256" i="1"/>
  <c r="CK256" i="1" s="1"/>
  <c r="DN190" i="1"/>
  <c r="DO190" i="1" s="1"/>
  <c r="EO190" i="1"/>
  <c r="DX224" i="1"/>
  <c r="DY224" i="1" s="1"/>
  <c r="EO159" i="1"/>
  <c r="AK159" i="1"/>
  <c r="Q233" i="1"/>
  <c r="EO233" i="1"/>
  <c r="Q235" i="1"/>
  <c r="R235" i="1" s="1"/>
  <c r="Q310" i="1"/>
  <c r="EO310" i="1"/>
  <c r="AU104" i="1"/>
  <c r="AV104" i="1" s="1"/>
  <c r="AU67" i="1"/>
  <c r="AV67" i="1" s="1"/>
  <c r="AU103" i="1"/>
  <c r="AV103" i="1" s="1"/>
  <c r="EO103" i="1"/>
  <c r="BF155" i="1"/>
  <c r="BG155" i="1"/>
  <c r="DD112" i="1"/>
  <c r="DE112" i="1"/>
  <c r="BP216" i="1"/>
  <c r="BQ216" i="1" s="1"/>
  <c r="AA274" i="1"/>
  <c r="AB274" i="1" s="1"/>
  <c r="AA149" i="1"/>
  <c r="AB149" i="1" s="1"/>
  <c r="EO149" i="1"/>
  <c r="EO212" i="1"/>
  <c r="AK307" i="1"/>
  <c r="EO307" i="1"/>
  <c r="AU119" i="1"/>
  <c r="AV119" i="1" s="1"/>
  <c r="BF93" i="1"/>
  <c r="BG93" i="1" s="1"/>
  <c r="DX146" i="1"/>
  <c r="DY146" i="1" s="1"/>
  <c r="EO146" i="1"/>
  <c r="AA102" i="1"/>
  <c r="AB102" i="1" s="1"/>
  <c r="EO102" i="1"/>
  <c r="CJ174" i="1"/>
  <c r="EO174" i="1"/>
  <c r="BF10" i="1"/>
  <c r="BG10" i="1" s="1"/>
  <c r="EO156" i="1"/>
  <c r="BZ156" i="1"/>
  <c r="CA156" i="1" s="1"/>
  <c r="AU210" i="1"/>
  <c r="AV210" i="1" s="1"/>
  <c r="BF304" i="1"/>
  <c r="BG304" i="1" s="1"/>
  <c r="EO304" i="1"/>
  <c r="AU299" i="1"/>
  <c r="EO299" i="1"/>
  <c r="CJ114" i="1"/>
  <c r="EO114" i="1"/>
  <c r="EO250" i="1"/>
  <c r="EO52" i="1"/>
  <c r="BF58" i="1"/>
  <c r="BG58" i="1" s="1"/>
  <c r="BF257" i="1"/>
  <c r="BG257" i="1" s="1"/>
  <c r="EO257" i="1"/>
  <c r="BF33" i="1"/>
  <c r="BG33" i="1"/>
  <c r="BF280" i="1"/>
  <c r="BG280" i="1"/>
  <c r="BF235" i="1"/>
  <c r="BG235" i="1"/>
  <c r="BG141" i="1"/>
  <c r="EO141" i="1"/>
  <c r="BF51" i="1"/>
  <c r="BG51" i="1"/>
  <c r="EO33" i="1"/>
  <c r="DX135" i="1"/>
  <c r="DY135" i="1"/>
  <c r="DX119" i="1"/>
  <c r="DY119" i="1"/>
  <c r="DX136" i="1"/>
  <c r="EO136" i="1"/>
  <c r="DY136" i="1"/>
  <c r="DX273" i="1"/>
  <c r="EO273" i="1"/>
  <c r="DD157" i="1"/>
  <c r="EO157" i="1"/>
  <c r="DD43" i="1"/>
  <c r="DE43" i="1"/>
  <c r="DX165" i="1"/>
  <c r="EO165" i="1"/>
  <c r="DD67" i="1"/>
  <c r="DE67" i="1"/>
  <c r="DD94" i="1"/>
  <c r="DE94" i="1"/>
  <c r="EO63" i="1"/>
  <c r="BP112" i="1"/>
  <c r="EO112" i="1"/>
  <c r="BP14" i="1"/>
  <c r="BQ14" i="1"/>
  <c r="BP225" i="1"/>
  <c r="BQ225" i="1"/>
  <c r="BP214" i="1"/>
  <c r="BQ214" i="1" s="1"/>
  <c r="BP121" i="1"/>
  <c r="BQ121" i="1" s="1"/>
  <c r="EO42" i="1"/>
  <c r="BP42" i="1"/>
  <c r="EO20" i="1"/>
  <c r="DX20" i="1"/>
  <c r="DY20" i="1" s="1"/>
  <c r="DN16" i="1"/>
  <c r="EO16" i="1"/>
  <c r="EO28" i="1"/>
  <c r="DN28" i="1"/>
  <c r="EO221" i="1"/>
  <c r="EO302" i="1"/>
  <c r="EO294" i="1"/>
  <c r="EO163" i="1"/>
  <c r="DN58" i="1"/>
  <c r="DO58" i="1" s="1"/>
  <c r="DN107" i="1"/>
  <c r="EO107" i="1"/>
  <c r="DN213" i="1"/>
  <c r="EO213" i="1"/>
  <c r="EO298" i="1"/>
  <c r="DN298" i="1"/>
  <c r="EO219" i="1"/>
  <c r="DN219" i="1"/>
  <c r="DN131" i="1"/>
  <c r="DN169" i="1"/>
  <c r="EO169" i="1"/>
  <c r="EO138" i="1"/>
  <c r="DN138" i="1"/>
  <c r="DO138" i="1" s="1"/>
  <c r="DN113" i="1"/>
  <c r="EO113" i="1"/>
  <c r="DX51" i="1"/>
  <c r="DY51" i="1" s="1"/>
  <c r="DX250" i="1"/>
  <c r="EO125" i="1"/>
  <c r="DX89" i="1"/>
  <c r="DY89" i="1"/>
  <c r="EO289" i="1"/>
  <c r="EO151" i="1"/>
  <c r="DN151" i="1"/>
  <c r="DN73" i="1"/>
  <c r="EO73" i="1"/>
  <c r="DN122" i="1"/>
  <c r="DO122" i="1" s="1"/>
  <c r="EO75" i="1"/>
  <c r="DN75" i="1"/>
  <c r="DN65" i="1"/>
  <c r="DO65" i="1" s="1"/>
  <c r="DN24" i="1"/>
  <c r="DO24" i="1" s="1"/>
  <c r="DN230" i="1"/>
  <c r="EO230" i="1"/>
  <c r="DN38" i="1"/>
  <c r="EO38" i="1"/>
  <c r="DN241" i="1"/>
  <c r="DO241" i="1" s="1"/>
  <c r="DN105" i="1"/>
  <c r="EO105" i="1"/>
  <c r="DN23" i="1"/>
  <c r="DN194" i="1"/>
  <c r="DO194" i="1" s="1"/>
  <c r="DN232" i="1"/>
  <c r="EO61" i="1"/>
  <c r="BZ116" i="1"/>
  <c r="EO116" i="1"/>
  <c r="BZ66" i="1"/>
  <c r="CA66" i="1" s="1"/>
  <c r="EO232" i="1"/>
  <c r="CJ244" i="1"/>
  <c r="CK244" i="1" s="1"/>
  <c r="EO72" i="1"/>
  <c r="EO7" i="1"/>
  <c r="EO272" i="1"/>
  <c r="EO191" i="1"/>
  <c r="CT192" i="1"/>
  <c r="EO192" i="1"/>
  <c r="CT49" i="1"/>
  <c r="EO49" i="1"/>
  <c r="CJ32" i="1"/>
  <c r="CK32" i="1" s="1"/>
  <c r="EO66" i="1"/>
  <c r="CJ66" i="1"/>
  <c r="EO45" i="1"/>
  <c r="CJ45" i="1"/>
  <c r="CJ278" i="1"/>
  <c r="EO278" i="1"/>
  <c r="CJ128" i="1"/>
  <c r="CK128" i="1" s="1"/>
  <c r="CT41" i="1"/>
  <c r="EO269" i="1"/>
  <c r="EO247" i="1"/>
  <c r="AK241" i="1"/>
  <c r="EO241" i="1"/>
  <c r="CT81" i="1"/>
  <c r="EO81" i="1"/>
  <c r="CT290" i="1"/>
  <c r="CU290" i="1" s="1"/>
  <c r="CT311" i="1"/>
  <c r="EO311" i="1"/>
  <c r="EO188" i="1"/>
  <c r="CT188" i="1"/>
  <c r="EO122" i="1"/>
  <c r="CT122" i="1"/>
  <c r="CU122" i="1" s="1"/>
  <c r="AK92" i="1"/>
  <c r="AL92" i="1" s="1"/>
  <c r="CT242" i="1"/>
  <c r="EO242" i="1"/>
  <c r="AK144" i="1"/>
  <c r="EO109" i="1"/>
  <c r="AK109" i="1"/>
  <c r="CT211" i="1"/>
  <c r="CU211" i="1" s="1"/>
  <c r="CT46" i="1"/>
  <c r="EO46" i="1"/>
  <c r="CT7" i="1"/>
  <c r="CU7" i="1" s="1"/>
  <c r="CT300" i="1"/>
  <c r="CU300" i="1" s="1"/>
  <c r="AK44" i="1"/>
  <c r="EO90" i="1"/>
  <c r="EO57" i="1"/>
  <c r="EO17" i="1"/>
  <c r="EO74" i="1"/>
  <c r="AK297" i="1"/>
  <c r="EO297" i="1"/>
  <c r="Q297" i="1"/>
  <c r="R297" i="1" s="1"/>
  <c r="Q276" i="1"/>
  <c r="EO276" i="1"/>
  <c r="EO259" i="1"/>
  <c r="Q259" i="1"/>
  <c r="AL209" i="1"/>
  <c r="EO209" i="1"/>
  <c r="AK56" i="1"/>
  <c r="EO56" i="1"/>
  <c r="AK282" i="1"/>
  <c r="EO282" i="1"/>
  <c r="EO183" i="1"/>
  <c r="AK183" i="1"/>
  <c r="AL183" i="1" s="1"/>
  <c r="AK135" i="1"/>
  <c r="EO135" i="1"/>
  <c r="AK124" i="1"/>
  <c r="EO124" i="1"/>
  <c r="AK88" i="1"/>
  <c r="EO88" i="1"/>
  <c r="AK98" i="1"/>
  <c r="AL98" i="1" s="1"/>
  <c r="EO55" i="1"/>
  <c r="AK55" i="1"/>
  <c r="EO271" i="1"/>
  <c r="Q271" i="1"/>
  <c r="Q111" i="1"/>
  <c r="R111" i="1" s="1"/>
  <c r="EO111" i="1"/>
  <c r="Q100" i="1"/>
  <c r="EO100" i="1"/>
  <c r="EO155" i="1"/>
  <c r="Q155" i="1"/>
  <c r="Q246" i="1"/>
  <c r="EO246" i="1"/>
  <c r="Q275" i="1"/>
  <c r="EO275" i="1"/>
  <c r="Q252" i="1"/>
  <c r="EO252" i="1"/>
  <c r="EO291" i="1"/>
  <c r="Q291" i="1"/>
  <c r="Q205" i="1"/>
  <c r="EN205" i="1" s="1"/>
  <c r="Q236" i="1"/>
  <c r="R236" i="1" s="1"/>
  <c r="EO236" i="1"/>
  <c r="Q202" i="1"/>
  <c r="R202" i="1" s="1"/>
  <c r="EO202" i="1"/>
  <c r="Q225" i="1"/>
  <c r="EO225" i="1"/>
  <c r="AK256" i="1"/>
  <c r="EO256" i="1"/>
  <c r="EO137" i="1"/>
  <c r="AK137" i="1"/>
  <c r="EO132" i="1"/>
  <c r="AK132" i="1"/>
  <c r="EO37" i="1"/>
  <c r="AK37" i="1"/>
  <c r="AK270" i="1"/>
  <c r="EO270" i="1"/>
  <c r="AK254" i="1"/>
  <c r="AL254" i="1" s="1"/>
  <c r="EO303" i="1"/>
  <c r="AK303" i="1"/>
  <c r="R263" i="1"/>
  <c r="R179" i="1"/>
  <c r="R205" i="1"/>
  <c r="EO189" i="1"/>
  <c r="EO106" i="1"/>
  <c r="EO53" i="1"/>
  <c r="Q133" i="1"/>
  <c r="Q145" i="1"/>
  <c r="EO134" i="1"/>
  <c r="Q134" i="1"/>
  <c r="Q194" i="1"/>
  <c r="Q301" i="1"/>
  <c r="EN204" i="1"/>
  <c r="R204" i="1"/>
  <c r="AU125" i="1"/>
  <c r="EO18" i="1"/>
  <c r="AU136" i="1"/>
  <c r="AV136" i="1"/>
  <c r="BF262" i="1"/>
  <c r="EO97" i="1"/>
  <c r="BF97" i="1"/>
  <c r="BG97" i="1" s="1"/>
  <c r="EO67" i="1"/>
  <c r="EO261" i="1"/>
  <c r="EO32" i="1"/>
  <c r="DD21" i="1"/>
  <c r="EO21" i="1"/>
  <c r="DD27" i="1"/>
  <c r="EO27" i="1"/>
  <c r="EO24" i="1"/>
  <c r="DD24" i="1"/>
  <c r="DD281" i="1"/>
  <c r="EO281" i="1"/>
  <c r="DD264" i="1"/>
  <c r="DD23" i="1"/>
  <c r="DE23" i="1" s="1"/>
  <c r="EO23" i="1"/>
  <c r="EO245" i="1"/>
  <c r="DD245" i="1"/>
  <c r="DE245" i="1" s="1"/>
  <c r="DD228" i="1"/>
  <c r="DD222" i="1"/>
  <c r="DD130" i="1"/>
  <c r="EO129" i="1"/>
  <c r="DD129" i="1"/>
  <c r="DD99" i="1"/>
  <c r="EO120" i="1"/>
  <c r="DD120" i="1"/>
  <c r="DD171" i="1"/>
  <c r="EO176" i="1"/>
  <c r="DD176" i="1"/>
  <c r="EO39" i="1"/>
  <c r="EO79" i="1"/>
  <c r="EO119" i="1"/>
  <c r="BP119" i="1"/>
  <c r="DD215" i="1"/>
  <c r="DD98" i="1"/>
  <c r="EO98" i="1"/>
  <c r="DD89" i="1"/>
  <c r="BP64" i="1"/>
  <c r="EO94" i="1"/>
  <c r="EO15" i="1"/>
  <c r="EO69" i="1"/>
  <c r="EO76" i="1"/>
  <c r="BP95" i="1"/>
  <c r="BQ95" i="1"/>
  <c r="AA309" i="1"/>
  <c r="EO309" i="1"/>
  <c r="AA220" i="1"/>
  <c r="EO153" i="1"/>
  <c r="AA153" i="1"/>
  <c r="BP96" i="1"/>
  <c r="EO96" i="1"/>
  <c r="BP226" i="1"/>
  <c r="EO226" i="1"/>
  <c r="AA231" i="1"/>
  <c r="BP89" i="1"/>
  <c r="BQ89" i="1" s="1"/>
  <c r="EO89" i="1"/>
  <c r="EO185" i="1"/>
  <c r="AA185" i="1"/>
  <c r="AA128" i="1"/>
  <c r="EO128" i="1"/>
  <c r="BP127" i="1"/>
  <c r="EO127" i="1"/>
  <c r="AA189" i="1"/>
  <c r="AA71" i="1"/>
  <c r="EO71" i="1"/>
  <c r="EO77" i="1"/>
  <c r="BP77" i="1"/>
  <c r="EO84" i="1"/>
  <c r="BP84" i="1"/>
  <c r="AA143" i="1"/>
  <c r="EO143" i="1"/>
  <c r="EO82" i="1"/>
  <c r="AA82" i="1"/>
  <c r="BP138" i="1"/>
  <c r="BQ138" i="1"/>
  <c r="AA29" i="1"/>
  <c r="EO29" i="1"/>
  <c r="BP85" i="1"/>
  <c r="EO85" i="1"/>
  <c r="BP6" i="1"/>
  <c r="EO6" i="1"/>
  <c r="BP130" i="1"/>
  <c r="BQ130" i="1" s="1"/>
  <c r="AA210" i="1"/>
  <c r="EO210" i="1"/>
  <c r="BP290" i="1"/>
  <c r="EO290" i="1"/>
  <c r="BP263" i="1"/>
  <c r="EO263" i="1"/>
  <c r="BP293" i="1"/>
  <c r="BQ293" i="1" s="1"/>
  <c r="EO293" i="1"/>
  <c r="AA154" i="1"/>
  <c r="EO64" i="1"/>
  <c r="EO286" i="1"/>
  <c r="EO237" i="1"/>
  <c r="AA265" i="1"/>
  <c r="AB265" i="1" s="1"/>
  <c r="EO249" i="1"/>
  <c r="EO179" i="1"/>
  <c r="EO195" i="1"/>
  <c r="Q254" i="1"/>
  <c r="R254" i="1" s="1"/>
  <c r="EO9" i="1"/>
  <c r="R4" i="1"/>
  <c r="EO214" i="1"/>
  <c r="EO287" i="1"/>
  <c r="Q26" i="1"/>
  <c r="R26" i="1" s="1"/>
  <c r="EO80" i="1"/>
  <c r="Q286" i="1"/>
  <c r="R286" i="1" s="1"/>
  <c r="Q63" i="1"/>
  <c r="EO19" i="1"/>
  <c r="AB64" i="1"/>
  <c r="EO218" i="1"/>
  <c r="DX122" i="1"/>
  <c r="DY122" i="1" s="1"/>
  <c r="DE5" i="1"/>
  <c r="DO67" i="1"/>
  <c r="EO211" i="1"/>
  <c r="EO93" i="1"/>
  <c r="AK57" i="1"/>
  <c r="AL57" i="1" s="1"/>
  <c r="DO144" i="1"/>
  <c r="EO115" i="1"/>
  <c r="EN221" i="1"/>
  <c r="AU261" i="1"/>
  <c r="AV261" i="1" s="1"/>
  <c r="BZ208" i="1"/>
  <c r="CA208" i="1" s="1"/>
  <c r="EO229" i="1"/>
  <c r="EO131" i="1"/>
  <c r="EO78" i="1"/>
  <c r="AV200" i="1"/>
  <c r="EO8" i="1"/>
  <c r="AK247" i="1"/>
  <c r="CK138" i="1"/>
  <c r="AB198" i="1"/>
  <c r="EO198" i="1"/>
  <c r="EO44" i="1"/>
  <c r="DN238" i="1"/>
  <c r="EO238" i="1"/>
  <c r="CJ36" i="1"/>
  <c r="EO36" i="1"/>
  <c r="DX208" i="1"/>
  <c r="DY208" i="1" s="1"/>
  <c r="EO197" i="1"/>
  <c r="DD197" i="1"/>
  <c r="CU310" i="1"/>
  <c r="EN258" i="1"/>
  <c r="CA258" i="1"/>
  <c r="DN293" i="1"/>
  <c r="DO293" i="1" s="1"/>
  <c r="DN285" i="1"/>
  <c r="EO285" i="1"/>
  <c r="DD60" i="1"/>
  <c r="DE60" i="1" s="1"/>
  <c r="EO60" i="1"/>
  <c r="AB267" i="1"/>
  <c r="EO267" i="1"/>
  <c r="BF223" i="1"/>
  <c r="EO223" i="1"/>
  <c r="AA199" i="1"/>
  <c r="EO199" i="1"/>
  <c r="AV223" i="1"/>
  <c r="BZ123" i="1"/>
  <c r="EO123" i="1"/>
  <c r="EO235" i="1"/>
  <c r="AU235" i="1"/>
  <c r="AV235" i="1" s="1"/>
  <c r="AU176" i="1"/>
  <c r="AV176" i="1" s="1"/>
  <c r="DX104" i="1"/>
  <c r="EO104" i="1"/>
  <c r="DX14" i="1"/>
  <c r="DY14" i="1" s="1"/>
  <c r="BP31" i="1"/>
  <c r="EO178" i="1"/>
  <c r="AA178" i="1"/>
  <c r="BP54" i="1"/>
  <c r="BQ54" i="1" s="1"/>
  <c r="AA70" i="1"/>
  <c r="AB70" i="1" s="1"/>
  <c r="BZ203" i="1"/>
  <c r="CA203" i="1" s="1"/>
  <c r="DX95" i="1"/>
  <c r="DY95" i="1" s="1"/>
  <c r="EO95" i="1"/>
  <c r="BP197" i="1"/>
  <c r="BQ197" i="1" s="1"/>
  <c r="EO43" i="1"/>
  <c r="BZ43" i="1"/>
  <c r="EO118" i="1"/>
  <c r="AA118" i="1"/>
  <c r="AB118" i="1" s="1"/>
  <c r="EO54" i="1"/>
  <c r="CT217" i="1"/>
  <c r="CU217" i="1" s="1"/>
  <c r="DX50" i="1"/>
  <c r="DY50" i="1" s="1"/>
  <c r="EO50" i="1"/>
  <c r="BZ41" i="1"/>
  <c r="CA41" i="1" s="1"/>
  <c r="EO41" i="1"/>
  <c r="CJ48" i="1"/>
  <c r="EO48" i="1"/>
  <c r="EO51" i="1"/>
  <c r="BZ54" i="1"/>
  <c r="CA54" i="1" s="1"/>
  <c r="DD253" i="1"/>
  <c r="DE253" i="1" s="1"/>
  <c r="EN306" i="1"/>
  <c r="CK255" i="1"/>
  <c r="EN167" i="1"/>
  <c r="EN149" i="1"/>
  <c r="EO12" i="1"/>
  <c r="BF8" i="1"/>
  <c r="EO158" i="1"/>
  <c r="AU207" i="1"/>
  <c r="AV207" i="1" s="1"/>
  <c r="EO58" i="1"/>
  <c r="AL283" i="1"/>
  <c r="BZ250" i="1"/>
  <c r="CA250" i="1" s="1"/>
  <c r="Q11" i="1"/>
  <c r="R11" i="1" s="1"/>
  <c r="EO5" i="1"/>
  <c r="EN248" i="1"/>
  <c r="EN287" i="1"/>
  <c r="EO62" i="1"/>
  <c r="AK302" i="1"/>
  <c r="EN302" i="1" s="1"/>
  <c r="EN80" i="1"/>
  <c r="EO283" i="1"/>
  <c r="BG208" i="1"/>
  <c r="EO144" i="1"/>
  <c r="BZ52" i="1"/>
  <c r="EO14" i="1"/>
  <c r="BP58" i="1"/>
  <c r="BQ58" i="1" s="1"/>
  <c r="EN148" i="1"/>
  <c r="BQ87" i="1"/>
  <c r="AU115" i="1"/>
  <c r="AV115" i="1" s="1"/>
  <c r="Q227" i="1"/>
  <c r="AK251" i="1"/>
  <c r="AL251" i="1" s="1"/>
  <c r="DN83" i="1"/>
  <c r="AA244" i="1"/>
  <c r="EO187" i="1"/>
  <c r="DN277" i="1"/>
  <c r="CJ269" i="1"/>
  <c r="EO139" i="1"/>
  <c r="EO268" i="1"/>
  <c r="EO25" i="1"/>
  <c r="EO224" i="1"/>
  <c r="DY91" i="1"/>
  <c r="DE30" i="1"/>
  <c r="Q147" i="1"/>
  <c r="R147" i="1" s="1"/>
  <c r="BP212" i="1"/>
  <c r="Q9" i="1"/>
  <c r="R9" i="1" s="1"/>
  <c r="BZ202" i="1"/>
  <c r="CJ272" i="1"/>
  <c r="CK272" i="1" s="1"/>
  <c r="Q237" i="1"/>
  <c r="CJ78" i="1"/>
  <c r="CK78" i="1" s="1"/>
  <c r="CU177" i="1"/>
  <c r="DE31" i="1"/>
  <c r="CJ87" i="1"/>
  <c r="EO31" i="1"/>
  <c r="DN224" i="1"/>
  <c r="EN175" i="1"/>
  <c r="BQ144" i="1"/>
  <c r="EO87" i="1"/>
  <c r="DN245" i="1"/>
  <c r="DO245" i="1" s="1"/>
  <c r="BP152" i="1"/>
  <c r="BQ152" i="1" s="1"/>
  <c r="DN269" i="1"/>
  <c r="DO269" i="1" s="1"/>
  <c r="BF183" i="1"/>
  <c r="EN161" i="1"/>
  <c r="EO277" i="1"/>
  <c r="EO177" i="1"/>
  <c r="DO51" i="1"/>
  <c r="Q152" i="1"/>
  <c r="R152" i="1" s="1"/>
  <c r="DN289" i="1"/>
  <c r="EN289" i="1" s="1"/>
  <c r="BZ235" i="1"/>
  <c r="DN111" i="1"/>
  <c r="DD106" i="1"/>
  <c r="DE106" i="1" s="1"/>
  <c r="DX259" i="1"/>
  <c r="DY259" i="1" s="1"/>
  <c r="Q229" i="1"/>
  <c r="R229" i="1" s="1"/>
  <c r="CT249" i="1"/>
  <c r="CJ253" i="1"/>
  <c r="CK253" i="1" s="1"/>
  <c r="EO200" i="1"/>
  <c r="EO86" i="1"/>
  <c r="BP72" i="1"/>
  <c r="BQ72" i="1" s="1"/>
  <c r="DX72" i="1"/>
  <c r="DN255" i="1"/>
  <c r="DO255" i="1" s="1"/>
  <c r="EN168" i="1"/>
  <c r="EN170" i="1"/>
  <c r="EN295" i="1"/>
  <c r="EN90" i="1"/>
  <c r="CJ70" i="1"/>
  <c r="CK70" i="1" s="1"/>
  <c r="AA40" i="1"/>
  <c r="AB40" i="1" s="1"/>
  <c r="EN260" i="1"/>
  <c r="CJ265" i="1"/>
  <c r="EN284" i="1"/>
  <c r="DD35" i="1"/>
  <c r="EN173" i="1"/>
  <c r="DE74" i="1"/>
  <c r="DO244" i="1"/>
  <c r="EN164" i="1"/>
  <c r="DY212" i="1"/>
  <c r="DD142" i="1"/>
  <c r="EN142" i="1" s="1"/>
  <c r="DX121" i="1"/>
  <c r="EO121" i="1"/>
  <c r="AK268" i="1"/>
  <c r="AL268" i="1" s="1"/>
  <c r="EN3" i="1"/>
  <c r="BP196" i="1"/>
  <c r="BQ196" i="1" s="1"/>
  <c r="DY270" i="1"/>
  <c r="CT65" i="1"/>
  <c r="CU65" i="1" s="1"/>
  <c r="AA186" i="1"/>
  <c r="EN186" i="1" s="1"/>
  <c r="DY26" i="1"/>
  <c r="EN308" i="1"/>
  <c r="Q193" i="1"/>
  <c r="EN193" i="1" s="1"/>
  <c r="CU80" i="1"/>
  <c r="DY84" i="1"/>
  <c r="DY307" i="1"/>
  <c r="DE225" i="1"/>
  <c r="DO18" i="1"/>
  <c r="DY32" i="1"/>
  <c r="EN34" i="1"/>
  <c r="EN243" i="1"/>
  <c r="DY220" i="1"/>
  <c r="AA22" i="1"/>
  <c r="EN22" i="1" s="1"/>
  <c r="DY183" i="1"/>
  <c r="DO120" i="1"/>
  <c r="BZ78" i="1"/>
  <c r="BP57" i="1"/>
  <c r="EN47" i="1"/>
  <c r="DX59" i="1"/>
  <c r="EO59" i="1"/>
  <c r="EO22" i="1"/>
  <c r="EN305" i="1"/>
  <c r="DY271" i="1"/>
  <c r="BG224" i="1"/>
  <c r="EN101" i="1"/>
  <c r="EN146" i="1"/>
  <c r="CJ300" i="1"/>
  <c r="CK300" i="1" s="1"/>
  <c r="AU296" i="1"/>
  <c r="AV296" i="1" s="1"/>
  <c r="CT14" i="1"/>
  <c r="DD206" i="1"/>
  <c r="DE206" i="1" s="1"/>
  <c r="Q166" i="1"/>
  <c r="EN166" i="1" s="1"/>
  <c r="EN288" i="1"/>
  <c r="AU163" i="1"/>
  <c r="EN163" i="1" s="1"/>
  <c r="AU32" i="1"/>
  <c r="CT180" i="1"/>
  <c r="AK65" i="1"/>
  <c r="AL65" i="1" s="1"/>
  <c r="AK207" i="1"/>
  <c r="AL207" i="1" s="1"/>
  <c r="EO166" i="1"/>
  <c r="BP18" i="1"/>
  <c r="EN18" i="1" s="1"/>
  <c r="EN177" i="1"/>
  <c r="BP13" i="1"/>
  <c r="BQ13" i="1" s="1"/>
  <c r="DE297" i="1"/>
  <c r="DN206" i="1"/>
  <c r="DO206" i="1" s="1"/>
  <c r="EO206" i="1"/>
  <c r="EN274" i="1"/>
  <c r="R198" i="1"/>
  <c r="AA13" i="1"/>
  <c r="AB13" i="1" s="1"/>
  <c r="DN25" i="1"/>
  <c r="DO25" i="1" s="1"/>
  <c r="DN10" i="1"/>
  <c r="EN10" i="1" s="1"/>
  <c r="CJ19" i="1"/>
  <c r="CK19" i="1" s="1"/>
  <c r="AK74" i="1"/>
  <c r="AL74" i="1" s="1"/>
  <c r="EO65" i="1"/>
  <c r="EN156" i="1"/>
  <c r="AK51" i="1"/>
  <c r="AL51" i="1" s="1"/>
  <c r="EO70" i="1"/>
  <c r="EN33" i="1"/>
  <c r="BZ211" i="1"/>
  <c r="CA211" i="1" s="1"/>
  <c r="EN39" i="1"/>
  <c r="EN117" i="1"/>
  <c r="AK182" i="1"/>
  <c r="EN182" i="1" s="1"/>
  <c r="AL182" i="1"/>
  <c r="EN30" i="1"/>
  <c r="DE117" i="1"/>
  <c r="DD91" i="1"/>
  <c r="DE91" i="1" s="1"/>
  <c r="EN257" i="1"/>
  <c r="DY262" i="1"/>
  <c r="BZ234" i="1"/>
  <c r="EN234" i="1" s="1"/>
  <c r="DY255" i="1"/>
  <c r="Q201" i="1"/>
  <c r="R201" i="1" s="1"/>
  <c r="EN5" i="1"/>
  <c r="CJ184" i="1"/>
  <c r="EN184" i="1" s="1"/>
  <c r="DY82" i="1"/>
  <c r="DY303" i="1"/>
  <c r="EO300" i="1"/>
  <c r="AK187" i="1"/>
  <c r="AL187" i="1" s="1"/>
  <c r="DY300" i="1"/>
  <c r="DE238" i="1"/>
  <c r="R141" i="1"/>
  <c r="AA255" i="1"/>
  <c r="AB255" i="1" s="1"/>
  <c r="DY274" i="1"/>
  <c r="CJ180" i="1"/>
  <c r="CK180" i="1" s="1"/>
  <c r="EN304" i="1"/>
  <c r="AA240" i="1"/>
  <c r="AB240" i="1" s="1"/>
  <c r="DY216" i="1"/>
  <c r="DN69" i="1"/>
  <c r="DO69" i="1" s="1"/>
  <c r="DY28" i="1"/>
  <c r="DN11" i="1"/>
  <c r="DO11" i="1" s="1"/>
  <c r="EO11" i="1"/>
  <c r="AU79" i="1"/>
  <c r="CJ15" i="1"/>
  <c r="CK15" i="1" s="1"/>
  <c r="EO35" i="1"/>
  <c r="AA19" i="1"/>
  <c r="AB19" i="1" s="1"/>
  <c r="AU147" i="1"/>
  <c r="AV147" i="1" s="1"/>
  <c r="CT201" i="1"/>
  <c r="CU201" i="1" s="1"/>
  <c r="AU7" i="1"/>
  <c r="AV7" i="1" s="1"/>
  <c r="DY98" i="1"/>
  <c r="EO10" i="1"/>
  <c r="BP25" i="1"/>
  <c r="BQ25" i="1" s="1"/>
  <c r="AA61" i="1"/>
  <c r="AB61" i="1" s="1"/>
  <c r="CK147" i="1"/>
  <c r="BF69" i="1"/>
  <c r="BG69" i="1" s="1"/>
  <c r="EO91" i="1"/>
  <c r="EN179" i="1"/>
  <c r="BF54" i="1"/>
  <c r="DY30" i="1"/>
  <c r="AU239" i="1"/>
  <c r="AV239" i="1" s="1"/>
  <c r="EN218" i="1"/>
  <c r="CK90" i="1"/>
  <c r="BZ239" i="1"/>
  <c r="CA239" i="1" s="1"/>
  <c r="Q217" i="1"/>
  <c r="CJ76" i="1"/>
  <c r="EN76" i="1" s="1"/>
  <c r="EO265" i="1"/>
  <c r="EO196" i="1"/>
  <c r="R150" i="1"/>
  <c r="Q12" i="1"/>
  <c r="R12" i="1" s="1"/>
  <c r="EO217" i="1"/>
  <c r="EO193" i="1"/>
  <c r="EN158" i="1"/>
  <c r="EN181" i="1"/>
  <c r="EN108" i="1"/>
  <c r="EN110" i="1"/>
  <c r="DY33" i="1"/>
  <c r="AA53" i="1"/>
  <c r="EN53" i="1" s="1"/>
  <c r="Q67" i="1"/>
  <c r="EO4" i="1"/>
  <c r="EO180" i="1"/>
  <c r="Q261" i="1"/>
  <c r="DO49" i="1"/>
  <c r="DD86" i="1"/>
  <c r="EN86" i="1" s="1"/>
  <c r="DY17" i="1"/>
  <c r="DY231" i="1"/>
  <c r="EN195" i="1"/>
  <c r="CT266" i="1"/>
  <c r="CU266" i="1" s="1"/>
  <c r="EN103" i="1"/>
  <c r="AU97" i="1"/>
  <c r="AV97" i="1" s="1"/>
  <c r="EN160" i="1"/>
  <c r="DY170" i="1"/>
  <c r="EN162" i="1"/>
  <c r="EN93" i="1"/>
  <c r="AK126" i="1"/>
  <c r="EN126" i="1" s="1"/>
  <c r="CJ13" i="1"/>
  <c r="DN12" i="1"/>
  <c r="DO12" i="1" s="1"/>
  <c r="EO184" i="1"/>
  <c r="EO186" i="1"/>
  <c r="EO13" i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8" i="1"/>
  <c r="AA9" i="1"/>
  <c r="AB9" i="1" s="1"/>
  <c r="AK58" i="1"/>
  <c r="DY233" i="1"/>
  <c r="DY188" i="1"/>
  <c r="BZ187" i="1"/>
  <c r="CA187" i="1" s="1"/>
  <c r="EO40" i="1"/>
  <c r="DY6" i="1"/>
  <c r="AA68" i="1"/>
  <c r="EN68" i="1" s="1"/>
  <c r="EO68" i="1"/>
  <c r="EN200" i="1"/>
  <c r="DY177" i="1"/>
  <c r="Q92" i="1"/>
  <c r="EN20" i="1"/>
  <c r="DY101" i="1"/>
  <c r="DY311" i="1"/>
  <c r="EN279" i="1"/>
  <c r="DY176" i="1"/>
  <c r="EO239" i="1"/>
  <c r="EN292" i="1"/>
  <c r="BP190" i="1"/>
  <c r="EN190" i="1" s="1"/>
  <c r="DY83" i="1"/>
  <c r="BZ62" i="1"/>
  <c r="EN62" i="1" s="1"/>
  <c r="DY128" i="1"/>
  <c r="EN102" i="1"/>
  <c r="DY118" i="1"/>
  <c r="DY103" i="1"/>
  <c r="DY114" i="1"/>
  <c r="DY56" i="1"/>
  <c r="DE301" i="1"/>
  <c r="DY81" i="1"/>
  <c r="AA286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5" i="1"/>
  <c r="DY181" i="1"/>
  <c r="EO208" i="1"/>
  <c r="CJ25" i="1"/>
  <c r="CK25" i="1" s="1"/>
  <c r="DN236" i="1"/>
  <c r="DY62" i="1"/>
  <c r="DY9" i="1"/>
  <c r="CT216" i="1"/>
  <c r="DY185" i="1"/>
  <c r="DY36" i="1"/>
  <c r="EO92" i="1"/>
  <c r="DY13" i="1"/>
  <c r="FD126" i="1"/>
  <c r="FE126" i="1" s="1"/>
  <c r="EN249" i="1" l="1"/>
  <c r="EN121" i="1"/>
  <c r="CK139" i="1"/>
  <c r="EN139" i="1"/>
  <c r="DO214" i="1"/>
  <c r="EN214" i="1"/>
  <c r="EN280" i="1"/>
  <c r="EN136" i="1"/>
  <c r="DO294" i="1"/>
  <c r="EN294" i="1"/>
  <c r="CK283" i="1"/>
  <c r="EN283" i="1"/>
  <c r="CK191" i="1"/>
  <c r="EN191" i="1"/>
  <c r="DY267" i="1"/>
  <c r="EN267" i="1"/>
  <c r="R233" i="1"/>
  <c r="EN233" i="1"/>
  <c r="R310" i="1"/>
  <c r="EN310" i="1"/>
  <c r="EO3" i="1"/>
  <c r="EN199" i="1"/>
  <c r="AB199" i="1"/>
  <c r="AL159" i="1"/>
  <c r="EN159" i="1"/>
  <c r="AL307" i="1"/>
  <c r="EN307" i="1"/>
  <c r="CU49" i="1"/>
  <c r="EN49" i="1"/>
  <c r="CU81" i="1"/>
  <c r="EN81" i="1"/>
  <c r="EN301" i="1"/>
  <c r="R301" i="1"/>
  <c r="EN223" i="1"/>
  <c r="BG223" i="1"/>
  <c r="CK48" i="1"/>
  <c r="EN48" i="1"/>
  <c r="EN237" i="1"/>
  <c r="R237" i="1"/>
  <c r="EN79" i="1"/>
  <c r="AV79" i="1"/>
  <c r="EO251" i="1"/>
  <c r="FX251" i="1"/>
  <c r="FY251" i="1" s="1"/>
  <c r="FZ251" i="1" s="1"/>
  <c r="GA251" i="1"/>
  <c r="CK174" i="1"/>
  <c r="EN174" i="1"/>
  <c r="CK114" i="1"/>
  <c r="EN114" i="1"/>
  <c r="CK36" i="1"/>
  <c r="EN36" i="1"/>
  <c r="CK87" i="1"/>
  <c r="EN87" i="1"/>
  <c r="EN144" i="1"/>
  <c r="AL144" i="1"/>
  <c r="AV299" i="1"/>
  <c r="EN299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3" i="1"/>
  <c r="EN273" i="1"/>
  <c r="EN67" i="1"/>
  <c r="DY165" i="1"/>
  <c r="EN165" i="1"/>
  <c r="AL270" i="1"/>
  <c r="EN270" i="1"/>
  <c r="DE264" i="1"/>
  <c r="EN264" i="1"/>
  <c r="BQ85" i="1"/>
  <c r="EN85" i="1"/>
  <c r="BQ263" i="1"/>
  <c r="EN263" i="1"/>
  <c r="EN63" i="1"/>
  <c r="R63" i="1"/>
  <c r="CA116" i="1"/>
  <c r="EN116" i="1"/>
  <c r="CA52" i="1"/>
  <c r="EN52" i="1"/>
  <c r="EN32" i="1"/>
  <c r="CK278" i="1"/>
  <c r="EN278" i="1"/>
  <c r="EN216" i="1"/>
  <c r="CU216" i="1"/>
  <c r="R275" i="1"/>
  <c r="EN275" i="1"/>
  <c r="EN111" i="1"/>
  <c r="EN276" i="1"/>
  <c r="R276" i="1"/>
  <c r="R100" i="1"/>
  <c r="EN100" i="1"/>
  <c r="R246" i="1"/>
  <c r="EN246" i="1"/>
  <c r="R252" i="1"/>
  <c r="EN252" i="1"/>
  <c r="R225" i="1"/>
  <c r="EN225" i="1"/>
  <c r="EN227" i="1"/>
  <c r="R227" i="1"/>
  <c r="AV125" i="1"/>
  <c r="EN125" i="1"/>
  <c r="BG262" i="1"/>
  <c r="EN262" i="1"/>
  <c r="AB185" i="1"/>
  <c r="EN185" i="1"/>
  <c r="AB71" i="1"/>
  <c r="EN71" i="1"/>
  <c r="AB29" i="1"/>
  <c r="EN29" i="1"/>
  <c r="AB210" i="1"/>
  <c r="EN210" i="1"/>
  <c r="AB244" i="1"/>
  <c r="EN244" i="1"/>
  <c r="AB309" i="1"/>
  <c r="EN309" i="1"/>
  <c r="AB231" i="1"/>
  <c r="EN231" i="1"/>
  <c r="AB154" i="1"/>
  <c r="EN154" i="1"/>
  <c r="BQ212" i="1"/>
  <c r="EN212" i="1"/>
  <c r="EN95" i="1"/>
  <c r="EN232" i="1"/>
  <c r="DO232" i="1"/>
  <c r="DO16" i="1"/>
  <c r="EN16" i="1"/>
  <c r="EN28" i="1"/>
  <c r="DO28" i="1"/>
  <c r="DO107" i="1"/>
  <c r="EN107" i="1"/>
  <c r="EN131" i="1"/>
  <c r="DO131" i="1"/>
  <c r="EN23" i="1"/>
  <c r="DO23" i="1"/>
  <c r="EN236" i="1"/>
  <c r="DO236" i="1"/>
  <c r="DO219" i="1"/>
  <c r="EN219" i="1"/>
  <c r="EN58" i="1"/>
  <c r="DO169" i="1"/>
  <c r="EN169" i="1"/>
  <c r="DO113" i="1"/>
  <c r="EN113" i="1"/>
  <c r="EO205" i="1"/>
  <c r="EQ205" i="1" s="1"/>
  <c r="FF205" i="1" s="1"/>
  <c r="FO205" i="1" s="1"/>
  <c r="FX205" i="1"/>
  <c r="FY205" i="1" s="1"/>
  <c r="FZ205" i="1" s="1"/>
  <c r="GA205" i="1"/>
  <c r="EN138" i="1"/>
  <c r="DO213" i="1"/>
  <c r="EN213" i="1"/>
  <c r="EN298" i="1"/>
  <c r="DO298" i="1"/>
  <c r="DO75" i="1"/>
  <c r="EN75" i="1"/>
  <c r="DO230" i="1"/>
  <c r="EN230" i="1"/>
  <c r="DO105" i="1"/>
  <c r="EN105" i="1"/>
  <c r="EN238" i="1"/>
  <c r="DO238" i="1"/>
  <c r="DO224" i="1"/>
  <c r="EN224" i="1"/>
  <c r="DY250" i="1"/>
  <c r="EN250" i="1"/>
  <c r="EN104" i="1"/>
  <c r="DY104" i="1"/>
  <c r="DO38" i="1"/>
  <c r="EN38" i="1"/>
  <c r="DO285" i="1"/>
  <c r="EN285" i="1"/>
  <c r="DO277" i="1"/>
  <c r="EN277" i="1"/>
  <c r="EN293" i="1"/>
  <c r="DO151" i="1"/>
  <c r="EN151" i="1"/>
  <c r="DO73" i="1"/>
  <c r="EN73" i="1"/>
  <c r="EN83" i="1"/>
  <c r="DO83" i="1"/>
  <c r="EN122" i="1"/>
  <c r="EN59" i="1"/>
  <c r="DY59" i="1"/>
  <c r="CA43" i="1"/>
  <c r="EN43" i="1"/>
  <c r="EN300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69" i="1"/>
  <c r="EN269" i="1"/>
  <c r="EN57" i="1"/>
  <c r="EN92" i="1"/>
  <c r="EN217" i="1"/>
  <c r="CU41" i="1"/>
  <c r="EN41" i="1"/>
  <c r="EO26" i="1"/>
  <c r="FX26" i="1"/>
  <c r="FY26" i="1" s="1"/>
  <c r="FZ26" i="1" s="1"/>
  <c r="GA26" i="1"/>
  <c r="EN241" i="1"/>
  <c r="AL241" i="1"/>
  <c r="CU311" i="1"/>
  <c r="EN311" i="1"/>
  <c r="CU188" i="1"/>
  <c r="EN188" i="1"/>
  <c r="CU242" i="1"/>
  <c r="EN242" i="1"/>
  <c r="AL109" i="1"/>
  <c r="EN109" i="1"/>
  <c r="AL56" i="1"/>
  <c r="EN56" i="1"/>
  <c r="AL282" i="1"/>
  <c r="EN282" i="1"/>
  <c r="AL247" i="1"/>
  <c r="EN247" i="1"/>
  <c r="EN183" i="1"/>
  <c r="AL44" i="1"/>
  <c r="EN44" i="1"/>
  <c r="AL297" i="1"/>
  <c r="EN297" i="1"/>
  <c r="R259" i="1"/>
  <c r="EN259" i="1"/>
  <c r="AL135" i="1"/>
  <c r="EN135" i="1"/>
  <c r="AL124" i="1"/>
  <c r="EN124" i="1"/>
  <c r="AL88" i="1"/>
  <c r="EN88" i="1"/>
  <c r="AL55" i="1"/>
  <c r="EN55" i="1"/>
  <c r="R271" i="1"/>
  <c r="EN271" i="1"/>
  <c r="R155" i="1"/>
  <c r="EN155" i="1"/>
  <c r="R291" i="1"/>
  <c r="EN291" i="1"/>
  <c r="AL256" i="1"/>
  <c r="EN256" i="1"/>
  <c r="AL137" i="1"/>
  <c r="EN137" i="1"/>
  <c r="AL132" i="1"/>
  <c r="EN132" i="1"/>
  <c r="AL37" i="1"/>
  <c r="EN37" i="1"/>
  <c r="AL303" i="1"/>
  <c r="EN303" i="1"/>
  <c r="R133" i="1"/>
  <c r="EN133" i="1"/>
  <c r="R145" i="1"/>
  <c r="EN145" i="1"/>
  <c r="R134" i="1"/>
  <c r="EN134" i="1"/>
  <c r="R194" i="1"/>
  <c r="EN194" i="1"/>
  <c r="EN235" i="1"/>
  <c r="EN261" i="1"/>
  <c r="BG8" i="1"/>
  <c r="EN8" i="1"/>
  <c r="EO30" i="1"/>
  <c r="EQ30" i="1" s="1"/>
  <c r="FF30" i="1" s="1"/>
  <c r="FO30" i="1" s="1"/>
  <c r="FQ30" i="1" s="1"/>
  <c r="FX30" i="1"/>
  <c r="FY30" i="1" s="1"/>
  <c r="FZ30" i="1" s="1"/>
  <c r="DE27" i="1"/>
  <c r="EN27" i="1"/>
  <c r="DE24" i="1"/>
  <c r="EN24" i="1"/>
  <c r="DE281" i="1"/>
  <c r="EN281" i="1"/>
  <c r="DE228" i="1"/>
  <c r="EN228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GB171" i="1" s="1"/>
  <c r="GG171" i="1" s="1"/>
  <c r="GH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6" i="1"/>
  <c r="EN226" i="1"/>
  <c r="BQ290" i="1"/>
  <c r="EN290" i="1"/>
  <c r="DE197" i="1"/>
  <c r="EN197" i="1"/>
  <c r="DE35" i="1"/>
  <c r="EN35" i="1"/>
  <c r="EN72" i="1"/>
  <c r="EN70" i="1"/>
  <c r="EN265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29" i="1"/>
  <c r="EN254" i="1"/>
  <c r="R261" i="1"/>
  <c r="R217" i="1"/>
  <c r="EN94" i="1"/>
  <c r="EN286" i="1"/>
  <c r="R166" i="1"/>
  <c r="R193" i="1"/>
  <c r="EN152" i="1"/>
  <c r="EN26" i="1"/>
  <c r="EN19" i="1"/>
  <c r="DY72" i="1"/>
  <c r="CU249" i="1"/>
  <c r="DO289" i="1"/>
  <c r="EN118" i="1"/>
  <c r="AL302" i="1"/>
  <c r="EN266" i="1"/>
  <c r="EN106" i="1"/>
  <c r="CK265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5" i="1"/>
  <c r="EN245" i="1"/>
  <c r="EN203" i="1"/>
  <c r="EN14" i="1"/>
  <c r="EN272" i="1"/>
  <c r="AB68" i="1"/>
  <c r="EN115" i="1"/>
  <c r="EN268" i="1"/>
  <c r="EN65" i="1"/>
  <c r="EN187" i="1"/>
  <c r="EN251" i="1"/>
  <c r="EN147" i="1"/>
  <c r="EN253" i="1"/>
  <c r="EN201" i="1"/>
  <c r="EN69" i="1"/>
  <c r="EN60" i="1"/>
  <c r="AB286" i="1"/>
  <c r="EN239" i="1"/>
  <c r="EN208" i="1"/>
  <c r="EN50" i="1"/>
  <c r="EN255" i="1"/>
  <c r="CA234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0" i="1"/>
  <c r="CK76" i="1"/>
  <c r="EN211" i="1"/>
  <c r="EN25" i="1"/>
  <c r="EN296" i="1"/>
  <c r="R92" i="1"/>
  <c r="EN11" i="1"/>
  <c r="EN206" i="1"/>
  <c r="EQ206" i="1" s="1"/>
  <c r="FF206" i="1" s="1"/>
  <c r="FO206" i="1" s="1"/>
  <c r="FP206" i="1" s="1"/>
  <c r="AV163" i="1"/>
  <c r="AB53" i="1"/>
  <c r="AB22" i="1"/>
  <c r="EN91" i="1"/>
  <c r="CA268" i="1"/>
  <c r="R67" i="1"/>
  <c r="FX206" i="1"/>
  <c r="FY206" i="1" s="1"/>
  <c r="FZ206" i="1" s="1"/>
  <c r="GA30" i="1"/>
  <c r="FX126" i="1"/>
  <c r="FY126" i="1" s="1"/>
  <c r="FZ126" i="1" s="1"/>
  <c r="GB251" i="1" l="1"/>
  <c r="GP251" i="1" s="1"/>
  <c r="EQ251" i="1"/>
  <c r="FF251" i="1" s="1"/>
  <c r="FO251" i="1" s="1"/>
  <c r="FQ251" i="1" s="1"/>
  <c r="GB205" i="1"/>
  <c r="FP205" i="1"/>
  <c r="FQ205" i="1"/>
  <c r="GB26" i="1"/>
  <c r="EQ26" i="1"/>
  <c r="FF26" i="1" s="1"/>
  <c r="FO26" i="1" s="1"/>
  <c r="EQ171" i="1"/>
  <c r="FF171" i="1" s="1"/>
  <c r="FO171" i="1" s="1"/>
  <c r="GB30" i="1"/>
  <c r="EQ99" i="1"/>
  <c r="FF99" i="1" s="1"/>
  <c r="FO99" i="1" s="1"/>
  <c r="GB99" i="1"/>
  <c r="GS171" i="1"/>
  <c r="GT171" i="1" s="1"/>
  <c r="GU171" i="1" s="1"/>
  <c r="GC171" i="1"/>
  <c r="GD171" i="1" s="1"/>
  <c r="GI171" i="1"/>
  <c r="GJ171" i="1" s="1"/>
  <c r="GM171" i="1"/>
  <c r="GN171" i="1" s="1"/>
  <c r="GK171" i="1"/>
  <c r="GL171" i="1" s="1"/>
  <c r="GP171" i="1"/>
  <c r="GE171" i="1"/>
  <c r="GF171" i="1" s="1"/>
  <c r="GQ171" i="1"/>
  <c r="FP251" i="1"/>
  <c r="FR251" i="1" s="1"/>
  <c r="FS251" i="1" s="1"/>
  <c r="FT251" i="1" s="1"/>
  <c r="FU251" i="1" s="1"/>
  <c r="FW251" i="1" s="1"/>
  <c r="GB206" i="1"/>
  <c r="GC206" i="1" s="1"/>
  <c r="GD206" i="1" s="1"/>
  <c r="GC251" i="1"/>
  <c r="GG251" i="1"/>
  <c r="GH251" i="1" s="1"/>
  <c r="GK251" i="1"/>
  <c r="GL251" i="1" s="1"/>
  <c r="GS251" i="1"/>
  <c r="GT251" i="1" s="1"/>
  <c r="GU251" i="1" s="1"/>
  <c r="FQ206" i="1"/>
  <c r="FR206" i="1" s="1"/>
  <c r="FS206" i="1" s="1"/>
  <c r="FT206" i="1" s="1"/>
  <c r="FU206" i="1" s="1"/>
  <c r="FW206" i="1" s="1"/>
  <c r="GQ251" i="1"/>
  <c r="GE251" i="1"/>
  <c r="GF251" i="1" s="1"/>
  <c r="GI251" i="1"/>
  <c r="GJ251" i="1" s="1"/>
  <c r="FP30" i="1"/>
  <c r="FR30" i="1" s="1"/>
  <c r="FS30" i="1" s="1"/>
  <c r="FT30" i="1" s="1"/>
  <c r="FU30" i="1" s="1"/>
  <c r="FW30" i="1" s="1"/>
  <c r="EQ126" i="1"/>
  <c r="FF126" i="1" s="1"/>
  <c r="FO126" i="1" s="1"/>
  <c r="FP126" i="1" s="1"/>
  <c r="GA126" i="1"/>
  <c r="GB126" i="1" s="1"/>
  <c r="GE126" i="1" s="1"/>
  <c r="GF126" i="1" s="1"/>
  <c r="FR205" i="1" l="1"/>
  <c r="FS205" i="1" s="1"/>
  <c r="FT205" i="1" s="1"/>
  <c r="FU205" i="1" s="1"/>
  <c r="FW205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D251" i="1"/>
  <c r="GM251" i="1"/>
  <c r="GN251" i="1" s="1"/>
  <c r="GO251" i="1" s="1"/>
  <c r="GR251" i="1" s="1"/>
  <c r="GV251" i="1" s="1"/>
  <c r="GW251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GO171" i="1"/>
  <c r="GR171" i="1" s="1"/>
  <c r="GV171" i="1" s="1"/>
  <c r="GW171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FR126" i="1" s="1"/>
  <c r="FS126" i="1" s="1"/>
  <c r="FT126" i="1" s="1"/>
  <c r="FU126" i="1" s="1"/>
  <c r="FW126" i="1" s="1"/>
  <c r="GK126" i="1"/>
  <c r="GL126" i="1" s="1"/>
  <c r="FR99" i="1" l="1"/>
  <c r="FS99" i="1" s="1"/>
  <c r="FT99" i="1" s="1"/>
  <c r="FU99" i="1" s="1"/>
  <c r="FW99" i="1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FR171" i="1"/>
  <c r="FS171" i="1" s="1"/>
  <c r="FT171" i="1" s="1"/>
  <c r="FU171" i="1" s="1"/>
  <c r="FW171" i="1" s="1"/>
  <c r="GO206" i="1"/>
  <c r="GR206" i="1" s="1"/>
  <c r="GV206" i="1" s="1"/>
  <c r="GW206" i="1" s="1"/>
  <c r="GX206" i="1" s="1"/>
  <c r="GY206" i="1" s="1"/>
  <c r="I206" i="2" s="1"/>
  <c r="GX251" i="1"/>
  <c r="GY251" i="1" s="1"/>
  <c r="I251" i="2" s="1"/>
  <c r="GX171" i="1"/>
  <c r="GY171" i="1" s="1"/>
  <c r="I171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I205" i="2" s="1"/>
  <c r="GO99" i="1"/>
  <c r="GR99" i="1" s="1"/>
  <c r="GV99" i="1" s="1"/>
  <c r="GW99" i="1" s="1"/>
  <c r="GX99" i="1" s="1"/>
  <c r="GY99" i="1" s="1"/>
  <c r="I99" i="2" s="1"/>
  <c r="GO30" i="1"/>
  <c r="GR30" i="1" s="1"/>
  <c r="GV30" i="1" s="1"/>
  <c r="GW30" i="1" s="1"/>
  <c r="GX30" i="1" s="1"/>
  <c r="GY30" i="1" s="1"/>
  <c r="I30" i="2" s="1"/>
  <c r="GO26" i="1"/>
  <c r="GR26" i="1" s="1"/>
  <c r="GV26" i="1" s="1"/>
  <c r="GW26" i="1" s="1"/>
  <c r="GX26" i="1" s="1"/>
  <c r="GY26" i="1" s="1"/>
  <c r="I26" i="2" s="1"/>
  <c r="GX126" i="1"/>
  <c r="GY126" i="1" s="1"/>
  <c r="I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H2" i="1"/>
  <c r="I2" i="1"/>
  <c r="J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1" i="1"/>
  <c r="FN269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3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2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70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2" i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R18" i="1" l="1"/>
  <c r="ES18" i="1"/>
  <c r="ER269" i="1"/>
  <c r="ES269" i="1"/>
  <c r="ER311" i="1"/>
  <c r="ES311" i="1"/>
  <c r="ER137" i="1"/>
  <c r="ES137" i="1"/>
  <c r="CX2" i="1"/>
  <c r="DA2" i="1" s="1"/>
  <c r="ER308" i="1"/>
  <c r="ER300" i="1"/>
  <c r="ER292" i="1"/>
  <c r="ER284" i="1"/>
  <c r="ER276" i="1"/>
  <c r="ER267" i="1"/>
  <c r="ER259" i="1"/>
  <c r="ER250" i="1"/>
  <c r="ER242" i="1"/>
  <c r="ER234" i="1"/>
  <c r="ER226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3" i="1"/>
  <c r="ES295" i="1"/>
  <c r="ES287" i="1"/>
  <c r="ES279" i="1"/>
  <c r="ES271" i="1"/>
  <c r="ES262" i="1"/>
  <c r="ES254" i="1"/>
  <c r="ES245" i="1"/>
  <c r="ES237" i="1"/>
  <c r="ES229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7" i="1"/>
  <c r="ER299" i="1"/>
  <c r="ER291" i="1"/>
  <c r="ER283" i="1"/>
  <c r="ER275" i="1"/>
  <c r="ER266" i="1"/>
  <c r="ER258" i="1"/>
  <c r="ER249" i="1"/>
  <c r="ER241" i="1"/>
  <c r="ER233" i="1"/>
  <c r="ER225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0" i="1"/>
  <c r="ES302" i="1"/>
  <c r="ES294" i="1"/>
  <c r="ES286" i="1"/>
  <c r="ES278" i="1"/>
  <c r="ES270" i="1"/>
  <c r="ES261" i="1"/>
  <c r="ES253" i="1"/>
  <c r="ES244" i="1"/>
  <c r="ES236" i="1"/>
  <c r="ES228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6" i="1"/>
  <c r="ER298" i="1"/>
  <c r="ER290" i="1"/>
  <c r="ER282" i="1"/>
  <c r="ER274" i="1"/>
  <c r="ER265" i="1"/>
  <c r="ER257" i="1"/>
  <c r="ER248" i="1"/>
  <c r="ER240" i="1"/>
  <c r="ER232" i="1"/>
  <c r="ER224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09" i="1"/>
  <c r="ES301" i="1"/>
  <c r="ES293" i="1"/>
  <c r="ES285" i="1"/>
  <c r="ES277" i="1"/>
  <c r="ES268" i="1"/>
  <c r="ES260" i="1"/>
  <c r="ES252" i="1"/>
  <c r="ES243" i="1"/>
  <c r="ES235" i="1"/>
  <c r="ES227" i="1"/>
  <c r="ES219" i="1"/>
  <c r="ES211" i="1"/>
  <c r="ES202" i="1"/>
  <c r="ES194" i="1"/>
  <c r="ES186" i="1"/>
  <c r="ES178" i="1"/>
  <c r="ES169" i="1"/>
  <c r="ES161" i="1"/>
  <c r="ES153" i="1"/>
  <c r="ER305" i="1"/>
  <c r="ER297" i="1"/>
  <c r="ER289" i="1"/>
  <c r="ER281" i="1"/>
  <c r="ER273" i="1"/>
  <c r="ER264" i="1"/>
  <c r="ER256" i="1"/>
  <c r="ER247" i="1"/>
  <c r="ER239" i="1"/>
  <c r="ER304" i="1"/>
  <c r="ER296" i="1"/>
  <c r="ER288" i="1"/>
  <c r="ER280" i="1"/>
  <c r="ER272" i="1"/>
  <c r="ER263" i="1"/>
  <c r="ER255" i="1"/>
  <c r="ER303" i="1"/>
  <c r="ER295" i="1"/>
  <c r="ER287" i="1"/>
  <c r="ER279" i="1"/>
  <c r="ER271" i="1"/>
  <c r="ER262" i="1"/>
  <c r="ER254" i="1"/>
  <c r="ER245" i="1"/>
  <c r="ER237" i="1"/>
  <c r="ER229" i="1"/>
  <c r="ER221" i="1"/>
  <c r="ER213" i="1"/>
  <c r="ER204" i="1"/>
  <c r="ER196" i="1"/>
  <c r="ER188" i="1"/>
  <c r="ER180" i="1"/>
  <c r="ER172" i="1"/>
  <c r="ER310" i="1"/>
  <c r="ER302" i="1"/>
  <c r="ER294" i="1"/>
  <c r="ER286" i="1"/>
  <c r="ER278" i="1"/>
  <c r="ER270" i="1"/>
  <c r="ER261" i="1"/>
  <c r="ER309" i="1"/>
  <c r="ER301" i="1"/>
  <c r="ER293" i="1"/>
  <c r="ER285" i="1"/>
  <c r="ER277" i="1"/>
  <c r="ER268" i="1"/>
  <c r="ER260" i="1"/>
  <c r="ER252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1" i="1"/>
  <c r="ER223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8" i="1"/>
  <c r="ES300" i="1"/>
  <c r="ES292" i="1"/>
  <c r="ES284" i="1"/>
  <c r="ES276" i="1"/>
  <c r="ES267" i="1"/>
  <c r="ES259" i="1"/>
  <c r="ES250" i="1"/>
  <c r="ES242" i="1"/>
  <c r="ES234" i="1"/>
  <c r="ES226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6" i="1"/>
  <c r="ER238" i="1"/>
  <c r="ER230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7" i="1"/>
  <c r="ES299" i="1"/>
  <c r="ES291" i="1"/>
  <c r="ES283" i="1"/>
  <c r="ES275" i="1"/>
  <c r="ES266" i="1"/>
  <c r="ES258" i="1"/>
  <c r="ES249" i="1"/>
  <c r="ES241" i="1"/>
  <c r="ES233" i="1"/>
  <c r="ES225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6" i="1"/>
  <c r="ES298" i="1"/>
  <c r="ES290" i="1"/>
  <c r="ES282" i="1"/>
  <c r="ES274" i="1"/>
  <c r="ES265" i="1"/>
  <c r="ES257" i="1"/>
  <c r="ES248" i="1"/>
  <c r="ES240" i="1"/>
  <c r="ES232" i="1"/>
  <c r="ES224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3" i="1"/>
  <c r="ER244" i="1"/>
  <c r="ER236" i="1"/>
  <c r="ER228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5" i="1"/>
  <c r="ES297" i="1"/>
  <c r="ES289" i="1"/>
  <c r="ES281" i="1"/>
  <c r="ES273" i="1"/>
  <c r="ES264" i="1"/>
  <c r="ES256" i="1"/>
  <c r="ES247" i="1"/>
  <c r="ES239" i="1"/>
  <c r="ES231" i="1"/>
  <c r="ES223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3" i="1"/>
  <c r="ER235" i="1"/>
  <c r="ER227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4" i="1"/>
  <c r="ES296" i="1"/>
  <c r="ES288" i="1"/>
  <c r="ES280" i="1"/>
  <c r="ES272" i="1"/>
  <c r="ES263" i="1"/>
  <c r="ES255" i="1"/>
  <c r="ES246" i="1"/>
  <c r="ES238" i="1"/>
  <c r="ES230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s="1"/>
  <c r="FD194" i="1" l="1"/>
  <c r="FE194" i="1" s="1"/>
  <c r="FD235" i="1"/>
  <c r="FE235" i="1" s="1"/>
  <c r="FD219" i="1"/>
  <c r="FE219" i="1" s="1"/>
  <c r="FD243" i="1"/>
  <c r="FE243" i="1" s="1"/>
  <c r="FD202" i="1"/>
  <c r="FE202" i="1" s="1"/>
  <c r="FD211" i="1"/>
  <c r="FE211" i="1" s="1"/>
  <c r="FD18" i="1"/>
  <c r="FE18" i="1" s="1"/>
  <c r="FD309" i="1"/>
  <c r="FE309" i="1" s="1"/>
  <c r="FD186" i="1"/>
  <c r="FE186" i="1" s="1"/>
  <c r="FD252" i="1"/>
  <c r="FE252" i="1" s="1"/>
  <c r="FD269" i="1"/>
  <c r="FE269" i="1" s="1"/>
  <c r="FD311" i="1"/>
  <c r="FE311" i="1" s="1"/>
  <c r="FD301" i="1"/>
  <c r="FE301" i="1" s="1"/>
  <c r="FD260" i="1"/>
  <c r="FE260" i="1" s="1"/>
  <c r="FD178" i="1"/>
  <c r="FE178" i="1" s="1"/>
  <c r="BZ2" i="1"/>
  <c r="CA2" i="1" s="1"/>
  <c r="FD268" i="1"/>
  <c r="FE268" i="1" s="1"/>
  <c r="FD137" i="1"/>
  <c r="FE137" i="1" s="1"/>
  <c r="FD293" i="1"/>
  <c r="FE293" i="1" s="1"/>
  <c r="FD285" i="1"/>
  <c r="FE285" i="1" s="1"/>
  <c r="FD196" i="1"/>
  <c r="FE196" i="1" s="1"/>
  <c r="FD262" i="1"/>
  <c r="FE262" i="1" s="1"/>
  <c r="FD47" i="1"/>
  <c r="FE47" i="1" s="1"/>
  <c r="FD112" i="1"/>
  <c r="FE112" i="1" s="1"/>
  <c r="FD179" i="1"/>
  <c r="FE179" i="1" s="1"/>
  <c r="FD244" i="1"/>
  <c r="FE244" i="1" s="1"/>
  <c r="FD11" i="1"/>
  <c r="FE11" i="1" s="1"/>
  <c r="FD78" i="1"/>
  <c r="FE78" i="1" s="1"/>
  <c r="FD145" i="1"/>
  <c r="FE145" i="1" s="1"/>
  <c r="FD55" i="1"/>
  <c r="FE55" i="1" s="1"/>
  <c r="FD120" i="1"/>
  <c r="FE120" i="1" s="1"/>
  <c r="FD187" i="1"/>
  <c r="FE187" i="1" s="1"/>
  <c r="FD253" i="1"/>
  <c r="FE253" i="1" s="1"/>
  <c r="FD278" i="1"/>
  <c r="FE278" i="1" s="1"/>
  <c r="FD261" i="1"/>
  <c r="FE261" i="1" s="1"/>
  <c r="FD13" i="1"/>
  <c r="FE13" i="1" s="1"/>
  <c r="FD80" i="1"/>
  <c r="FE80" i="1" s="1"/>
  <c r="FD147" i="1"/>
  <c r="FE147" i="1" s="1"/>
  <c r="FD22" i="1"/>
  <c r="FE22" i="1" s="1"/>
  <c r="FD88" i="1"/>
  <c r="FE88" i="1" s="1"/>
  <c r="FD155" i="1"/>
  <c r="FE155" i="1" s="1"/>
  <c r="FD213" i="1"/>
  <c r="FE213" i="1" s="1"/>
  <c r="FD279" i="1"/>
  <c r="FE279" i="1" s="1"/>
  <c r="FD169" i="1"/>
  <c r="FE169" i="1" s="1"/>
  <c r="FD20" i="1"/>
  <c r="FE20" i="1" s="1"/>
  <c r="FD86" i="1"/>
  <c r="FE86" i="1" s="1"/>
  <c r="FD63" i="1"/>
  <c r="FE63" i="1" s="1"/>
  <c r="FD129" i="1"/>
  <c r="FE129" i="1" s="1"/>
  <c r="FD195" i="1"/>
  <c r="FE195" i="1" s="1"/>
  <c r="FD227" i="1"/>
  <c r="FE227" i="1" s="1"/>
  <c r="FD161" i="1"/>
  <c r="FE161" i="1" s="1"/>
  <c r="FD310" i="1"/>
  <c r="FE310" i="1" s="1"/>
  <c r="FD12" i="1"/>
  <c r="FE12" i="1" s="1"/>
  <c r="FD79" i="1"/>
  <c r="FE79" i="1" s="1"/>
  <c r="FD146" i="1"/>
  <c r="FE146" i="1" s="1"/>
  <c r="FD212" i="1"/>
  <c r="FE212" i="1" s="1"/>
  <c r="FD56" i="1"/>
  <c r="FE56" i="1" s="1"/>
  <c r="FD121" i="1"/>
  <c r="FE121" i="1" s="1"/>
  <c r="FD54" i="1"/>
  <c r="FE54" i="1" s="1"/>
  <c r="FD119" i="1"/>
  <c r="FE119" i="1" s="1"/>
  <c r="FD31" i="1"/>
  <c r="FE31" i="1" s="1"/>
  <c r="FD95" i="1"/>
  <c r="FE95" i="1" s="1"/>
  <c r="FD162" i="1"/>
  <c r="FE162" i="1" s="1"/>
  <c r="FD228" i="1"/>
  <c r="FE228" i="1" s="1"/>
  <c r="FD64" i="1"/>
  <c r="FE64" i="1" s="1"/>
  <c r="FD130" i="1"/>
  <c r="FE130" i="1" s="1"/>
  <c r="FD29" i="1"/>
  <c r="FE29" i="1" s="1"/>
  <c r="FD94" i="1"/>
  <c r="FE94" i="1" s="1"/>
  <c r="FD188" i="1"/>
  <c r="FE188" i="1" s="1"/>
  <c r="FD254" i="1"/>
  <c r="FE254" i="1" s="1"/>
  <c r="FD62" i="1"/>
  <c r="FE62" i="1" s="1"/>
  <c r="FD128" i="1"/>
  <c r="FE128" i="1" s="1"/>
  <c r="FD153" i="1"/>
  <c r="FE153" i="1" s="1"/>
  <c r="FD221" i="1"/>
  <c r="FE221" i="1" s="1"/>
  <c r="FD287" i="1"/>
  <c r="FE287" i="1" s="1"/>
  <c r="FD69" i="1"/>
  <c r="FE69" i="1" s="1"/>
  <c r="FD201" i="1"/>
  <c r="FE201" i="1" s="1"/>
  <c r="FD277" i="1"/>
  <c r="FE277" i="1" s="1"/>
  <c r="FD14" i="1"/>
  <c r="FE14" i="1" s="1"/>
  <c r="FD81" i="1"/>
  <c r="FE81" i="1" s="1"/>
  <c r="FD148" i="1"/>
  <c r="FE148" i="1" s="1"/>
  <c r="FD214" i="1"/>
  <c r="FE214" i="1" s="1"/>
  <c r="FD42" i="1"/>
  <c r="FE42" i="1" s="1"/>
  <c r="FD107" i="1"/>
  <c r="FE107" i="1" s="1"/>
  <c r="FD174" i="1"/>
  <c r="FE174" i="1" s="1"/>
  <c r="FD294" i="1"/>
  <c r="FE294" i="1" s="1"/>
  <c r="FD247" i="1"/>
  <c r="FE247" i="1" s="1"/>
  <c r="FD43" i="1"/>
  <c r="FE43" i="1" s="1"/>
  <c r="FD108" i="1"/>
  <c r="FE108" i="1" s="1"/>
  <c r="FD175" i="1"/>
  <c r="FE175" i="1" s="1"/>
  <c r="FD240" i="1"/>
  <c r="FE240" i="1" s="1"/>
  <c r="FD306" i="1"/>
  <c r="FE306" i="1" s="1"/>
  <c r="FD32" i="1"/>
  <c r="FE32" i="1" s="1"/>
  <c r="FD96" i="1"/>
  <c r="FE96" i="1" s="1"/>
  <c r="FD163" i="1"/>
  <c r="FE163" i="1" s="1"/>
  <c r="FD135" i="1"/>
  <c r="FE135" i="1" s="1"/>
  <c r="FD229" i="1"/>
  <c r="FE229" i="1" s="1"/>
  <c r="FD295" i="1"/>
  <c r="FE295" i="1" s="1"/>
  <c r="FD37" i="1"/>
  <c r="FE37" i="1" s="1"/>
  <c r="FD102" i="1"/>
  <c r="FE102" i="1" s="1"/>
  <c r="FD168" i="1"/>
  <c r="FE168" i="1" s="1"/>
  <c r="FD234" i="1"/>
  <c r="FE234" i="1" s="1"/>
  <c r="FD300" i="1"/>
  <c r="FE300" i="1" s="1"/>
  <c r="FD267" i="1"/>
  <c r="FE267" i="1" s="1"/>
  <c r="FD286" i="1"/>
  <c r="FE286" i="1" s="1"/>
  <c r="FD48" i="1"/>
  <c r="FE48" i="1" s="1"/>
  <c r="FD113" i="1"/>
  <c r="FE113" i="1" s="1"/>
  <c r="FD46" i="1"/>
  <c r="FE46" i="1" s="1"/>
  <c r="FD111" i="1"/>
  <c r="FE111" i="1" s="1"/>
  <c r="FD21" i="1"/>
  <c r="FE21" i="1" s="1"/>
  <c r="FD87" i="1"/>
  <c r="FE87" i="1" s="1"/>
  <c r="FD154" i="1"/>
  <c r="FE154" i="1" s="1"/>
  <c r="FD220" i="1"/>
  <c r="FE220" i="1" s="1"/>
  <c r="FD49" i="1"/>
  <c r="FE49" i="1" s="1"/>
  <c r="FD114" i="1"/>
  <c r="FE114" i="1" s="1"/>
  <c r="FD181" i="1"/>
  <c r="FE181" i="1" s="1"/>
  <c r="FD246" i="1"/>
  <c r="FE246" i="1" s="1"/>
  <c r="FD7" i="1"/>
  <c r="FE7" i="1" s="1"/>
  <c r="FD74" i="1"/>
  <c r="FE74" i="1" s="1"/>
  <c r="FD141" i="1"/>
  <c r="FE141" i="1" s="1"/>
  <c r="FD207" i="1"/>
  <c r="FE207" i="1" s="1"/>
  <c r="FD180" i="1"/>
  <c r="FE180" i="1" s="1"/>
  <c r="FD245" i="1"/>
  <c r="FE245" i="1" s="1"/>
  <c r="FD281" i="1"/>
  <c r="FE281" i="1" s="1"/>
  <c r="FD8" i="1"/>
  <c r="FE8" i="1" s="1"/>
  <c r="FD75" i="1"/>
  <c r="FE75" i="1" s="1"/>
  <c r="FD142" i="1"/>
  <c r="FE142" i="1" s="1"/>
  <c r="FD208" i="1"/>
  <c r="FE208" i="1" s="1"/>
  <c r="FD274" i="1"/>
  <c r="FE274" i="1" s="1"/>
  <c r="FD255" i="1"/>
  <c r="FE255" i="1" s="1"/>
  <c r="FD288" i="1"/>
  <c r="FE288" i="1" s="1"/>
  <c r="FD27" i="1"/>
  <c r="FE27" i="1" s="1"/>
  <c r="FD60" i="1"/>
  <c r="FE60" i="1" s="1"/>
  <c r="FD92" i="1"/>
  <c r="FE92" i="1" s="1"/>
  <c r="FD125" i="1"/>
  <c r="FE125" i="1" s="1"/>
  <c r="FD159" i="1"/>
  <c r="FE159" i="1" s="1"/>
  <c r="FD192" i="1"/>
  <c r="FE192" i="1" s="1"/>
  <c r="FD225" i="1"/>
  <c r="FE225" i="1" s="1"/>
  <c r="FD258" i="1"/>
  <c r="FE258" i="1" s="1"/>
  <c r="FD291" i="1"/>
  <c r="FE291" i="1" s="1"/>
  <c r="FD23" i="1"/>
  <c r="FE23" i="1" s="1"/>
  <c r="FD57" i="1"/>
  <c r="FE57" i="1" s="1"/>
  <c r="FD89" i="1"/>
  <c r="FE89" i="1" s="1"/>
  <c r="FD122" i="1"/>
  <c r="FE122" i="1" s="1"/>
  <c r="FD156" i="1"/>
  <c r="FE156" i="1" s="1"/>
  <c r="FD189" i="1"/>
  <c r="FE189" i="1" s="1"/>
  <c r="FD222" i="1"/>
  <c r="FE222" i="1" s="1"/>
  <c r="FD15" i="1"/>
  <c r="FE15" i="1" s="1"/>
  <c r="FD50" i="1"/>
  <c r="FE50" i="1" s="1"/>
  <c r="FD82" i="1"/>
  <c r="FE82" i="1" s="1"/>
  <c r="FD115" i="1"/>
  <c r="FE115" i="1" s="1"/>
  <c r="FD149" i="1"/>
  <c r="FE149" i="1" s="1"/>
  <c r="FD182" i="1"/>
  <c r="FE182" i="1" s="1"/>
  <c r="FD215" i="1"/>
  <c r="FE215" i="1" s="1"/>
  <c r="FD270" i="1"/>
  <c r="FE270" i="1" s="1"/>
  <c r="FD302" i="1"/>
  <c r="FE302" i="1" s="1"/>
  <c r="FD263" i="1"/>
  <c r="FE263" i="1" s="1"/>
  <c r="FD296" i="1"/>
  <c r="FE296" i="1" s="1"/>
  <c r="FD256" i="1"/>
  <c r="FE256" i="1" s="1"/>
  <c r="FD289" i="1"/>
  <c r="FE289" i="1" s="1"/>
  <c r="FD16" i="1"/>
  <c r="FE16" i="1" s="1"/>
  <c r="FD51" i="1"/>
  <c r="FE51" i="1" s="1"/>
  <c r="FD83" i="1"/>
  <c r="FE83" i="1" s="1"/>
  <c r="FD116" i="1"/>
  <c r="FE116" i="1" s="1"/>
  <c r="FD150" i="1"/>
  <c r="FE150" i="1" s="1"/>
  <c r="FD183" i="1"/>
  <c r="FE183" i="1" s="1"/>
  <c r="FD216" i="1"/>
  <c r="FE216" i="1" s="1"/>
  <c r="FD248" i="1"/>
  <c r="FE248" i="1" s="1"/>
  <c r="FD282" i="1"/>
  <c r="FE282" i="1" s="1"/>
  <c r="FD36" i="1"/>
  <c r="FE36" i="1" s="1"/>
  <c r="FD68" i="1"/>
  <c r="FE68" i="1" s="1"/>
  <c r="FD101" i="1"/>
  <c r="FE101" i="1" s="1"/>
  <c r="FD134" i="1"/>
  <c r="FE134" i="1" s="1"/>
  <c r="FD167" i="1"/>
  <c r="FE167" i="1" s="1"/>
  <c r="FD200" i="1"/>
  <c r="FE200" i="1" s="1"/>
  <c r="FD233" i="1"/>
  <c r="FE233" i="1" s="1"/>
  <c r="FD266" i="1"/>
  <c r="FE266" i="1" s="1"/>
  <c r="FD299" i="1"/>
  <c r="FE299" i="1" s="1"/>
  <c r="FD10" i="1"/>
  <c r="FE10" i="1" s="1"/>
  <c r="FD45" i="1"/>
  <c r="FE45" i="1" s="1"/>
  <c r="FD77" i="1"/>
  <c r="FE77" i="1" s="1"/>
  <c r="FD110" i="1"/>
  <c r="FE110" i="1" s="1"/>
  <c r="FD144" i="1"/>
  <c r="FE144" i="1" s="1"/>
  <c r="FD177" i="1"/>
  <c r="FE177" i="1" s="1"/>
  <c r="FD210" i="1"/>
  <c r="FE210" i="1" s="1"/>
  <c r="FD242" i="1"/>
  <c r="FE242" i="1" s="1"/>
  <c r="FD276" i="1"/>
  <c r="FE276" i="1" s="1"/>
  <c r="FD308" i="1"/>
  <c r="FE308" i="1" s="1"/>
  <c r="FD4" i="1"/>
  <c r="FE4" i="1" s="1"/>
  <c r="FD39" i="1"/>
  <c r="FE39" i="1" s="1"/>
  <c r="FD71" i="1"/>
  <c r="FE71" i="1" s="1"/>
  <c r="FD104" i="1"/>
  <c r="FE104" i="1" s="1"/>
  <c r="FD138" i="1"/>
  <c r="FE138" i="1" s="1"/>
  <c r="FD170" i="1"/>
  <c r="FE170" i="1" s="1"/>
  <c r="FD203" i="1"/>
  <c r="FE203" i="1" s="1"/>
  <c r="FD236" i="1"/>
  <c r="FE236" i="1" s="1"/>
  <c r="FD5" i="1"/>
  <c r="FE5" i="1" s="1"/>
  <c r="FD40" i="1"/>
  <c r="FE40" i="1" s="1"/>
  <c r="FD72" i="1"/>
  <c r="FE72" i="1" s="1"/>
  <c r="FD105" i="1"/>
  <c r="FE105" i="1" s="1"/>
  <c r="FD139" i="1"/>
  <c r="FE139" i="1" s="1"/>
  <c r="FD33" i="1"/>
  <c r="FE33" i="1" s="1"/>
  <c r="FD65" i="1"/>
  <c r="FE65" i="1" s="1"/>
  <c r="FD97" i="1"/>
  <c r="FE97" i="1" s="1"/>
  <c r="FD131" i="1"/>
  <c r="FE131" i="1" s="1"/>
  <c r="FD164" i="1"/>
  <c r="FE164" i="1" s="1"/>
  <c r="FD197" i="1"/>
  <c r="FE197" i="1" s="1"/>
  <c r="FD230" i="1"/>
  <c r="FE230" i="1" s="1"/>
  <c r="FD24" i="1"/>
  <c r="FE24" i="1" s="1"/>
  <c r="FD58" i="1"/>
  <c r="FE58" i="1" s="1"/>
  <c r="FD90" i="1"/>
  <c r="FE90" i="1" s="1"/>
  <c r="FD123" i="1"/>
  <c r="FE123" i="1" s="1"/>
  <c r="FD157" i="1"/>
  <c r="FE157" i="1" s="1"/>
  <c r="FD190" i="1"/>
  <c r="FE190" i="1" s="1"/>
  <c r="FD223" i="1"/>
  <c r="FE223" i="1" s="1"/>
  <c r="FD272" i="1"/>
  <c r="FE272" i="1" s="1"/>
  <c r="FD304" i="1"/>
  <c r="FE304" i="1" s="1"/>
  <c r="FD264" i="1"/>
  <c r="FE264" i="1" s="1"/>
  <c r="FD297" i="1"/>
  <c r="FE297" i="1" s="1"/>
  <c r="FD25" i="1"/>
  <c r="FE25" i="1" s="1"/>
  <c r="FD59" i="1"/>
  <c r="FE59" i="1" s="1"/>
  <c r="FD91" i="1"/>
  <c r="FE91" i="1" s="1"/>
  <c r="FD124" i="1"/>
  <c r="FE124" i="1" s="1"/>
  <c r="FD158" i="1"/>
  <c r="FE158" i="1" s="1"/>
  <c r="FD191" i="1"/>
  <c r="FE191" i="1" s="1"/>
  <c r="FD224" i="1"/>
  <c r="FE224" i="1" s="1"/>
  <c r="FD257" i="1"/>
  <c r="FE257" i="1" s="1"/>
  <c r="FD290" i="1"/>
  <c r="FE290" i="1" s="1"/>
  <c r="FD9" i="1"/>
  <c r="FE9" i="1" s="1"/>
  <c r="FD44" i="1"/>
  <c r="FE44" i="1" s="1"/>
  <c r="FD76" i="1"/>
  <c r="FE76" i="1" s="1"/>
  <c r="FD109" i="1"/>
  <c r="FE109" i="1" s="1"/>
  <c r="FD143" i="1"/>
  <c r="FE143" i="1" s="1"/>
  <c r="FD176" i="1"/>
  <c r="FE176" i="1" s="1"/>
  <c r="FD209" i="1"/>
  <c r="FE209" i="1" s="1"/>
  <c r="FD241" i="1"/>
  <c r="FE241" i="1" s="1"/>
  <c r="FD275" i="1"/>
  <c r="FE275" i="1" s="1"/>
  <c r="FD307" i="1"/>
  <c r="FE307" i="1" s="1"/>
  <c r="FD19" i="1"/>
  <c r="FE19" i="1" s="1"/>
  <c r="FD53" i="1"/>
  <c r="FE53" i="1" s="1"/>
  <c r="FD85" i="1"/>
  <c r="FE85" i="1" s="1"/>
  <c r="FD118" i="1"/>
  <c r="FE118" i="1" s="1"/>
  <c r="FD152" i="1"/>
  <c r="FE152" i="1" s="1"/>
  <c r="FD185" i="1"/>
  <c r="FE185" i="1" s="1"/>
  <c r="FD218" i="1"/>
  <c r="FE218" i="1" s="1"/>
  <c r="FD250" i="1"/>
  <c r="FE250" i="1" s="1"/>
  <c r="FD284" i="1"/>
  <c r="FE284" i="1" s="1"/>
  <c r="FD3" i="1"/>
  <c r="FE3" i="1" s="1"/>
  <c r="FD38" i="1"/>
  <c r="FE38" i="1" s="1"/>
  <c r="FD70" i="1"/>
  <c r="FE70" i="1" s="1"/>
  <c r="FD103" i="1"/>
  <c r="FE103" i="1" s="1"/>
  <c r="FD136" i="1"/>
  <c r="FE136" i="1" s="1"/>
  <c r="FD6" i="1"/>
  <c r="FE6" i="1" s="1"/>
  <c r="FD41" i="1"/>
  <c r="FE41" i="1" s="1"/>
  <c r="FD73" i="1"/>
  <c r="FE73" i="1" s="1"/>
  <c r="FD106" i="1"/>
  <c r="FE106" i="1" s="1"/>
  <c r="FD140" i="1"/>
  <c r="FE140" i="1" s="1"/>
  <c r="FD173" i="1"/>
  <c r="FE173" i="1" s="1"/>
  <c r="FD238" i="1"/>
  <c r="FE238" i="1" s="1"/>
  <c r="FD34" i="1"/>
  <c r="FE34" i="1" s="1"/>
  <c r="FD66" i="1"/>
  <c r="FE66" i="1" s="1"/>
  <c r="FD98" i="1"/>
  <c r="FE98" i="1" s="1"/>
  <c r="FD132" i="1"/>
  <c r="FE132" i="1" s="1"/>
  <c r="FD165" i="1"/>
  <c r="FE165" i="1" s="1"/>
  <c r="FD198" i="1"/>
  <c r="FE198" i="1" s="1"/>
  <c r="FD231" i="1"/>
  <c r="FE231" i="1" s="1"/>
  <c r="FD172" i="1"/>
  <c r="FE172" i="1" s="1"/>
  <c r="FD204" i="1"/>
  <c r="FE204" i="1" s="1"/>
  <c r="FD237" i="1"/>
  <c r="FE237" i="1" s="1"/>
  <c r="FD271" i="1"/>
  <c r="FE271" i="1" s="1"/>
  <c r="FD303" i="1"/>
  <c r="FE303" i="1" s="1"/>
  <c r="FD280" i="1"/>
  <c r="FE280" i="1" s="1"/>
  <c r="FD239" i="1"/>
  <c r="FE239" i="1" s="1"/>
  <c r="FD273" i="1"/>
  <c r="FE273" i="1" s="1"/>
  <c r="FD305" i="1"/>
  <c r="FE305" i="1" s="1"/>
  <c r="FD35" i="1"/>
  <c r="FE35" i="1" s="1"/>
  <c r="FD67" i="1"/>
  <c r="FE67" i="1" s="1"/>
  <c r="FD100" i="1"/>
  <c r="FE100" i="1" s="1"/>
  <c r="FD133" i="1"/>
  <c r="FE133" i="1" s="1"/>
  <c r="FD166" i="1"/>
  <c r="FE166" i="1" s="1"/>
  <c r="FD199" i="1"/>
  <c r="FE199" i="1" s="1"/>
  <c r="FD232" i="1"/>
  <c r="FE232" i="1" s="1"/>
  <c r="FD265" i="1"/>
  <c r="FE265" i="1" s="1"/>
  <c r="FD298" i="1"/>
  <c r="FE298" i="1" s="1"/>
  <c r="FD17" i="1"/>
  <c r="FE17" i="1" s="1"/>
  <c r="FD52" i="1"/>
  <c r="FE52" i="1" s="1"/>
  <c r="FD84" i="1"/>
  <c r="FE84" i="1" s="1"/>
  <c r="FD117" i="1"/>
  <c r="FE117" i="1" s="1"/>
  <c r="FD151" i="1"/>
  <c r="FE151" i="1" s="1"/>
  <c r="FD184" i="1"/>
  <c r="FE184" i="1" s="1"/>
  <c r="FD217" i="1"/>
  <c r="FE217" i="1" s="1"/>
  <c r="FD249" i="1"/>
  <c r="FE249" i="1" s="1"/>
  <c r="FD283" i="1"/>
  <c r="FE283" i="1" s="1"/>
  <c r="FD28" i="1"/>
  <c r="FE28" i="1" s="1"/>
  <c r="FD61" i="1"/>
  <c r="FE61" i="1" s="1"/>
  <c r="FD93" i="1"/>
  <c r="FE93" i="1" s="1"/>
  <c r="FD127" i="1"/>
  <c r="FE127" i="1" s="1"/>
  <c r="FD160" i="1"/>
  <c r="FE160" i="1" s="1"/>
  <c r="FD193" i="1"/>
  <c r="FE193" i="1" s="1"/>
  <c r="FD226" i="1"/>
  <c r="FE226" i="1" s="1"/>
  <c r="FD259" i="1"/>
  <c r="FE259" i="1" s="1"/>
  <c r="FD292" i="1"/>
  <c r="FE292" i="1" s="1"/>
  <c r="AK2" i="1"/>
  <c r="AL2" i="1" s="1"/>
  <c r="FD2" i="1"/>
  <c r="FE2" i="1" s="1"/>
  <c r="AA2" i="1"/>
  <c r="BF2" i="1"/>
  <c r="DX2" i="1"/>
  <c r="Q2" i="1"/>
  <c r="GA269" i="1" l="1"/>
  <c r="FX269" i="1"/>
  <c r="FY269" i="1" s="1"/>
  <c r="FZ269" i="1" s="1"/>
  <c r="FX111" i="1"/>
  <c r="FY111" i="1" s="1"/>
  <c r="FZ111" i="1" s="1"/>
  <c r="GA111" i="1"/>
  <c r="FX263" i="1"/>
  <c r="FY263" i="1" s="1"/>
  <c r="FZ263" i="1" s="1"/>
  <c r="GA263" i="1"/>
  <c r="FX228" i="1"/>
  <c r="FY228" i="1" s="1"/>
  <c r="FZ228" i="1" s="1"/>
  <c r="GA228" i="1"/>
  <c r="GA296" i="1"/>
  <c r="FX296" i="1"/>
  <c r="FY296" i="1" s="1"/>
  <c r="FZ296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2" i="1"/>
  <c r="FF232" i="1" s="1"/>
  <c r="FO232" i="1" s="1"/>
  <c r="EQ269" i="1"/>
  <c r="FF269" i="1" s="1"/>
  <c r="FO269" i="1" s="1"/>
  <c r="FQ269" i="1" s="1"/>
  <c r="FX128" i="1"/>
  <c r="FY128" i="1" s="1"/>
  <c r="FZ128" i="1" s="1"/>
  <c r="GA232" i="1"/>
  <c r="FX232" i="1"/>
  <c r="FY232" i="1" s="1"/>
  <c r="FZ232" i="1" s="1"/>
  <c r="EQ111" i="1"/>
  <c r="FF111" i="1" s="1"/>
  <c r="FO111" i="1" s="1"/>
  <c r="FP111" i="1" s="1"/>
  <c r="EQ263" i="1"/>
  <c r="FF263" i="1" s="1"/>
  <c r="FO263" i="1" s="1"/>
  <c r="EQ296" i="1"/>
  <c r="FF296" i="1" s="1"/>
  <c r="FO296" i="1" s="1"/>
  <c r="FQ296" i="1" s="1"/>
  <c r="GA258" i="1"/>
  <c r="FX180" i="1"/>
  <c r="FY180" i="1" s="1"/>
  <c r="FZ180" i="1" s="1"/>
  <c r="FX239" i="1"/>
  <c r="FY239" i="1" s="1"/>
  <c r="FZ239" i="1" s="1"/>
  <c r="GA245" i="1"/>
  <c r="GA49" i="1"/>
  <c r="EQ311" i="1"/>
  <c r="FF311" i="1" s="1"/>
  <c r="FO311" i="1" s="1"/>
  <c r="FQ311" i="1" s="1"/>
  <c r="FX19" i="1"/>
  <c r="FY19" i="1" s="1"/>
  <c r="FZ19" i="1" s="1"/>
  <c r="GA223" i="1"/>
  <c r="FX227" i="1"/>
  <c r="FY227" i="1" s="1"/>
  <c r="FZ227" i="1" s="1"/>
  <c r="EQ51" i="1"/>
  <c r="FF51" i="1" s="1"/>
  <c r="FO51" i="1" s="1"/>
  <c r="FP51" i="1" s="1"/>
  <c r="FX61" i="1"/>
  <c r="FY61" i="1" s="1"/>
  <c r="FZ61" i="1" s="1"/>
  <c r="GA220" i="1"/>
  <c r="GA294" i="1"/>
  <c r="FX173" i="1"/>
  <c r="FY173" i="1" s="1"/>
  <c r="FZ173" i="1" s="1"/>
  <c r="EQ275" i="1"/>
  <c r="FF275" i="1" s="1"/>
  <c r="FO275" i="1" s="1"/>
  <c r="FP275" i="1" s="1"/>
  <c r="GA136" i="1"/>
  <c r="FX260" i="1"/>
  <c r="FY260" i="1" s="1"/>
  <c r="FZ260" i="1" s="1"/>
  <c r="FX132" i="1"/>
  <c r="FY132" i="1" s="1"/>
  <c r="FZ132" i="1" s="1"/>
  <c r="GA257" i="1"/>
  <c r="GA240" i="1"/>
  <c r="GA125" i="1"/>
  <c r="GA234" i="1"/>
  <c r="FX226" i="1"/>
  <c r="FY226" i="1" s="1"/>
  <c r="FZ226" i="1" s="1"/>
  <c r="GA104" i="1"/>
  <c r="GA299" i="1"/>
  <c r="GA157" i="1"/>
  <c r="FX229" i="1"/>
  <c r="FY229" i="1" s="1"/>
  <c r="FZ229" i="1" s="1"/>
  <c r="GA246" i="1"/>
  <c r="GA79" i="1"/>
  <c r="FX174" i="1"/>
  <c r="FY174" i="1" s="1"/>
  <c r="FZ174" i="1" s="1"/>
  <c r="EQ303" i="1"/>
  <c r="FF303" i="1" s="1"/>
  <c r="FO303" i="1" s="1"/>
  <c r="FP303" i="1" s="1"/>
  <c r="GA45" i="1"/>
  <c r="GA135" i="1"/>
  <c r="EQ274" i="1"/>
  <c r="FF274" i="1" s="1"/>
  <c r="FO274" i="1" s="1"/>
  <c r="FQ274" i="1" s="1"/>
  <c r="GA177" i="1"/>
  <c r="GA244" i="1"/>
  <c r="FX92" i="1"/>
  <c r="FY92" i="1" s="1"/>
  <c r="FZ92" i="1" s="1"/>
  <c r="FX194" i="1"/>
  <c r="FY194" i="1" s="1"/>
  <c r="FZ194" i="1" s="1"/>
  <c r="EQ172" i="1"/>
  <c r="FF172" i="1" s="1"/>
  <c r="FO172" i="1" s="1"/>
  <c r="FP172" i="1" s="1"/>
  <c r="GA118" i="1"/>
  <c r="EQ96" i="1"/>
  <c r="FF96" i="1" s="1"/>
  <c r="FO96" i="1" s="1"/>
  <c r="FQ96" i="1" s="1"/>
  <c r="EQ25" i="1"/>
  <c r="FF25" i="1" s="1"/>
  <c r="FO25" i="1" s="1"/>
  <c r="FQ25" i="1" s="1"/>
  <c r="GA262" i="1"/>
  <c r="GA199" i="1"/>
  <c r="GA256" i="1"/>
  <c r="GA280" i="1"/>
  <c r="FX121" i="1"/>
  <c r="FY121" i="1" s="1"/>
  <c r="FZ121" i="1" s="1"/>
  <c r="GA156" i="1"/>
  <c r="GA117" i="1"/>
  <c r="GA181" i="1"/>
  <c r="FX231" i="1"/>
  <c r="FY231" i="1" s="1"/>
  <c r="FZ231" i="1" s="1"/>
  <c r="GA84" i="1"/>
  <c r="FX3" i="1"/>
  <c r="FY3" i="1" s="1"/>
  <c r="FZ3" i="1" s="1"/>
  <c r="FX277" i="1"/>
  <c r="FY277" i="1" s="1"/>
  <c r="FZ277" i="1" s="1"/>
  <c r="GA188" i="1"/>
  <c r="GA102" i="1"/>
  <c r="FX76" i="1"/>
  <c r="FY76" i="1" s="1"/>
  <c r="FZ76" i="1" s="1"/>
  <c r="GA151" i="1"/>
  <c r="EQ236" i="1"/>
  <c r="FF236" i="1" s="1"/>
  <c r="FO236" i="1" s="1"/>
  <c r="FQ236" i="1" s="1"/>
  <c r="GA33" i="1"/>
  <c r="FX183" i="1"/>
  <c r="FY183" i="1" s="1"/>
  <c r="FZ183" i="1" s="1"/>
  <c r="GA308" i="1"/>
  <c r="FX5" i="1"/>
  <c r="FY5" i="1" s="1"/>
  <c r="FZ5" i="1" s="1"/>
  <c r="GA198" i="1"/>
  <c r="EQ243" i="1"/>
  <c r="FF243" i="1" s="1"/>
  <c r="FO243" i="1" s="1"/>
  <c r="FX241" i="1"/>
  <c r="FY241" i="1" s="1"/>
  <c r="FZ241" i="1" s="1"/>
  <c r="FX301" i="1"/>
  <c r="FY301" i="1" s="1"/>
  <c r="FZ301" i="1" s="1"/>
  <c r="GA162" i="1"/>
  <c r="FX85" i="1"/>
  <c r="FY85" i="1" s="1"/>
  <c r="FZ85" i="1" s="1"/>
  <c r="FX35" i="1"/>
  <c r="FY35" i="1" s="1"/>
  <c r="FZ35" i="1" s="1"/>
  <c r="FX279" i="1"/>
  <c r="FY279" i="1" s="1"/>
  <c r="FZ279" i="1" s="1"/>
  <c r="GA64" i="1"/>
  <c r="FX72" i="1"/>
  <c r="FY72" i="1" s="1"/>
  <c r="FZ72" i="1" s="1"/>
  <c r="GA195" i="1"/>
  <c r="FX307" i="1"/>
  <c r="FY307" i="1" s="1"/>
  <c r="FZ307" i="1" s="1"/>
  <c r="FX208" i="1"/>
  <c r="FY208" i="1" s="1"/>
  <c r="FZ208" i="1" s="1"/>
  <c r="FX27" i="1"/>
  <c r="FY27" i="1" s="1"/>
  <c r="FZ27" i="1" s="1"/>
  <c r="GA286" i="1"/>
  <c r="EQ140" i="1"/>
  <c r="FF140" i="1" s="1"/>
  <c r="FO140" i="1" s="1"/>
  <c r="FX53" i="1"/>
  <c r="FY53" i="1" s="1"/>
  <c r="FZ53" i="1" s="1"/>
  <c r="FX153" i="1"/>
  <c r="FY153" i="1" s="1"/>
  <c r="FZ153" i="1" s="1"/>
  <c r="GA12" i="1"/>
  <c r="GA253" i="1"/>
  <c r="GA254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89" i="1"/>
  <c r="FY289" i="1" s="1"/>
  <c r="FZ289" i="1" s="1"/>
  <c r="FX40" i="1"/>
  <c r="FY40" i="1" s="1"/>
  <c r="FZ40" i="1" s="1"/>
  <c r="FX252" i="1"/>
  <c r="FY252" i="1" s="1"/>
  <c r="FZ252" i="1" s="1"/>
  <c r="FX46" i="1"/>
  <c r="FY46" i="1" s="1"/>
  <c r="FZ46" i="1" s="1"/>
  <c r="EQ98" i="1"/>
  <c r="FF98" i="1" s="1"/>
  <c r="FO98" i="1" s="1"/>
  <c r="FP98" i="1" s="1"/>
  <c r="EQ164" i="1"/>
  <c r="FF164" i="1" s="1"/>
  <c r="FO164" i="1" s="1"/>
  <c r="FQ164" i="1" s="1"/>
  <c r="GA271" i="1"/>
  <c r="GA21" i="1"/>
  <c r="FX305" i="1"/>
  <c r="FY305" i="1" s="1"/>
  <c r="FZ305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3" i="1"/>
  <c r="FF273" i="1" s="1"/>
  <c r="FO273" i="1" s="1"/>
  <c r="FQ273" i="1" s="1"/>
  <c r="EQ295" i="1"/>
  <c r="FF295" i="1" s="1"/>
  <c r="FO295" i="1" s="1"/>
  <c r="GA178" i="1"/>
  <c r="GA276" i="1"/>
  <c r="FX250" i="1"/>
  <c r="FY250" i="1" s="1"/>
  <c r="FZ250" i="1" s="1"/>
  <c r="FX304" i="1"/>
  <c r="FY304" i="1" s="1"/>
  <c r="FZ304" i="1" s="1"/>
  <c r="FX152" i="1"/>
  <c r="FY152" i="1" s="1"/>
  <c r="FZ152" i="1" s="1"/>
  <c r="GA215" i="1"/>
  <c r="EQ113" i="1"/>
  <c r="FF113" i="1" s="1"/>
  <c r="FO113" i="1" s="1"/>
  <c r="FQ113" i="1" s="1"/>
  <c r="FX48" i="1"/>
  <c r="FY48" i="1" s="1"/>
  <c r="FZ48" i="1" s="1"/>
  <c r="EQ144" i="1"/>
  <c r="FF144" i="1" s="1"/>
  <c r="FO144" i="1" s="1"/>
  <c r="FX298" i="1"/>
  <c r="FY298" i="1" s="1"/>
  <c r="FZ298" i="1" s="1"/>
  <c r="FX91" i="1"/>
  <c r="FY91" i="1" s="1"/>
  <c r="FZ91" i="1" s="1"/>
  <c r="FX291" i="1"/>
  <c r="FY291" i="1" s="1"/>
  <c r="FZ291" i="1" s="1"/>
  <c r="FX44" i="1"/>
  <c r="FY44" i="1" s="1"/>
  <c r="FZ44" i="1" s="1"/>
  <c r="GA292" i="1"/>
  <c r="GA100" i="1"/>
  <c r="GA297" i="1"/>
  <c r="FX233" i="1"/>
  <c r="FY233" i="1" s="1"/>
  <c r="FZ233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6" i="1"/>
  <c r="FY266" i="1" s="1"/>
  <c r="FZ266" i="1" s="1"/>
  <c r="FX163" i="1"/>
  <c r="FY163" i="1" s="1"/>
  <c r="FZ163" i="1" s="1"/>
  <c r="GA148" i="1"/>
  <c r="EQ182" i="1"/>
  <c r="FF182" i="1" s="1"/>
  <c r="FO182" i="1" s="1"/>
  <c r="FX283" i="1"/>
  <c r="FY283" i="1" s="1"/>
  <c r="FZ283" i="1" s="1"/>
  <c r="GA235" i="1"/>
  <c r="FX160" i="1"/>
  <c r="FY160" i="1" s="1"/>
  <c r="FZ160" i="1" s="1"/>
  <c r="GA86" i="1"/>
  <c r="EQ124" i="1"/>
  <c r="FF124" i="1" s="1"/>
  <c r="FO124" i="1" s="1"/>
  <c r="FP124" i="1" s="1"/>
  <c r="EQ281" i="1"/>
  <c r="FF281" i="1" s="1"/>
  <c r="FO281" i="1" s="1"/>
  <c r="FQ281" i="1" s="1"/>
  <c r="GA137" i="1"/>
  <c r="FX267" i="1"/>
  <c r="FY267" i="1" s="1"/>
  <c r="FZ267" i="1" s="1"/>
  <c r="GA37" i="1"/>
  <c r="FX259" i="1"/>
  <c r="FY259" i="1" s="1"/>
  <c r="FZ259" i="1" s="1"/>
  <c r="GA23" i="1"/>
  <c r="GA158" i="1"/>
  <c r="FX247" i="1"/>
  <c r="FY247" i="1" s="1"/>
  <c r="FZ247" i="1" s="1"/>
  <c r="GA282" i="1"/>
  <c r="FX242" i="1"/>
  <c r="FY242" i="1" s="1"/>
  <c r="FZ242" i="1" s="1"/>
  <c r="GA237" i="1"/>
  <c r="EQ147" i="1"/>
  <c r="FF147" i="1" s="1"/>
  <c r="FO147" i="1" s="1"/>
  <c r="FQ147" i="1" s="1"/>
  <c r="GA123" i="1"/>
  <c r="FX20" i="1"/>
  <c r="FY20" i="1" s="1"/>
  <c r="FZ20" i="1" s="1"/>
  <c r="FX28" i="1"/>
  <c r="FY28" i="1" s="1"/>
  <c r="FZ28" i="1" s="1"/>
  <c r="EQ103" i="1"/>
  <c r="FF103" i="1" s="1"/>
  <c r="FO103" i="1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2" i="1"/>
  <c r="FY272" i="1" s="1"/>
  <c r="FZ272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FQ129" i="1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FQ109" i="1" s="1"/>
  <c r="GA212" i="1"/>
  <c r="FX284" i="1"/>
  <c r="FY284" i="1" s="1"/>
  <c r="FZ284" i="1" s="1"/>
  <c r="EQ193" i="1"/>
  <c r="FF193" i="1" s="1"/>
  <c r="FO193" i="1" s="1"/>
  <c r="FQ193" i="1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8" i="1"/>
  <c r="FY268" i="1" s="1"/>
  <c r="FZ268" i="1" s="1"/>
  <c r="GA36" i="1"/>
  <c r="GA306" i="1"/>
  <c r="FX293" i="1"/>
  <c r="FY293" i="1" s="1"/>
  <c r="FZ293" i="1" s="1"/>
  <c r="FX213" i="1"/>
  <c r="FY213" i="1" s="1"/>
  <c r="FZ213" i="1" s="1"/>
  <c r="GA11" i="1"/>
  <c r="FX107" i="1"/>
  <c r="FY107" i="1" s="1"/>
  <c r="FZ107" i="1" s="1"/>
  <c r="FX302" i="1"/>
  <c r="FY302" i="1" s="1"/>
  <c r="FZ302" i="1" s="1"/>
  <c r="EQ97" i="1"/>
  <c r="FF97" i="1" s="1"/>
  <c r="FO97" i="1" s="1"/>
  <c r="FQ97" i="1" s="1"/>
  <c r="FX192" i="1"/>
  <c r="FY192" i="1" s="1"/>
  <c r="FZ192" i="1" s="1"/>
  <c r="GA106" i="1"/>
  <c r="GA149" i="1"/>
  <c r="FX248" i="1"/>
  <c r="FY248" i="1" s="1"/>
  <c r="FZ248" i="1" s="1"/>
  <c r="EQ179" i="1"/>
  <c r="FF179" i="1" s="1"/>
  <c r="FO179" i="1" s="1"/>
  <c r="FQ179" i="1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7" i="1"/>
  <c r="GA101" i="1"/>
  <c r="FX230" i="1"/>
  <c r="FY230" i="1" s="1"/>
  <c r="FZ230" i="1" s="1"/>
  <c r="FX116" i="1"/>
  <c r="FY116" i="1" s="1"/>
  <c r="FZ116" i="1" s="1"/>
  <c r="FX155" i="1"/>
  <c r="FY155" i="1" s="1"/>
  <c r="FZ155" i="1" s="1"/>
  <c r="GA196" i="1"/>
  <c r="EQ225" i="1"/>
  <c r="FF225" i="1" s="1"/>
  <c r="FO225" i="1" s="1"/>
  <c r="GA278" i="1"/>
  <c r="GA224" i="1"/>
  <c r="FX133" i="1"/>
  <c r="FY133" i="1" s="1"/>
  <c r="FZ133" i="1" s="1"/>
  <c r="FX300" i="1"/>
  <c r="FY300" i="1" s="1"/>
  <c r="FZ300" i="1" s="1"/>
  <c r="GA309" i="1"/>
  <c r="GA219" i="1"/>
  <c r="GA60" i="1"/>
  <c r="FX218" i="1"/>
  <c r="FY218" i="1" s="1"/>
  <c r="FZ218" i="1" s="1"/>
  <c r="GA201" i="1"/>
  <c r="GA161" i="1"/>
  <c r="EQ184" i="1"/>
  <c r="FF184" i="1" s="1"/>
  <c r="FO184" i="1" s="1"/>
  <c r="FQ184" i="1" s="1"/>
  <c r="EQ139" i="1"/>
  <c r="FF139" i="1" s="1"/>
  <c r="FO139" i="1" s="1"/>
  <c r="FP139" i="1" s="1"/>
  <c r="FX112" i="1"/>
  <c r="FY112" i="1" s="1"/>
  <c r="FZ112" i="1" s="1"/>
  <c r="GA80" i="1"/>
  <c r="EQ134" i="1"/>
  <c r="FF134" i="1" s="1"/>
  <c r="FO134" i="1" s="1"/>
  <c r="FQ134" i="1" s="1"/>
  <c r="EQ54" i="1"/>
  <c r="FF54" i="1" s="1"/>
  <c r="FO54" i="1" s="1"/>
  <c r="FQ54" i="1" s="1"/>
  <c r="FX138" i="1"/>
  <c r="FY138" i="1" s="1"/>
  <c r="FZ138" i="1" s="1"/>
  <c r="GA261" i="1"/>
  <c r="FX32" i="1"/>
  <c r="FY32" i="1" s="1"/>
  <c r="FZ32" i="1" s="1"/>
  <c r="GA170" i="1"/>
  <c r="FX288" i="1"/>
  <c r="FY288" i="1" s="1"/>
  <c r="FZ288" i="1" s="1"/>
  <c r="EQ122" i="1"/>
  <c r="FF122" i="1" s="1"/>
  <c r="FO122" i="1" s="1"/>
  <c r="FQ122" i="1" s="1"/>
  <c r="FX176" i="1"/>
  <c r="FY176" i="1" s="1"/>
  <c r="FZ176" i="1" s="1"/>
  <c r="FX65" i="1"/>
  <c r="FY65" i="1" s="1"/>
  <c r="FZ65" i="1" s="1"/>
  <c r="EQ82" i="1"/>
  <c r="FF82" i="1" s="1"/>
  <c r="FO82" i="1" s="1"/>
  <c r="FQ82" i="1" s="1"/>
  <c r="GA285" i="1"/>
  <c r="GA310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FQ137" i="1" s="1"/>
  <c r="EQ18" i="1"/>
  <c r="EQ239" i="1"/>
  <c r="FF239" i="1" s="1"/>
  <c r="FO239" i="1" s="1"/>
  <c r="FQ239" i="1" s="1"/>
  <c r="GA239" i="1"/>
  <c r="GA18" i="1"/>
  <c r="GA236" i="1"/>
  <c r="GA174" i="1"/>
  <c r="FX115" i="1"/>
  <c r="FY115" i="1" s="1"/>
  <c r="FZ115" i="1" s="1"/>
  <c r="FX311" i="1"/>
  <c r="FY311" i="1" s="1"/>
  <c r="FZ311" i="1" s="1"/>
  <c r="GA182" i="1"/>
  <c r="FX98" i="1"/>
  <c r="FY98" i="1" s="1"/>
  <c r="FZ98" i="1" s="1"/>
  <c r="GA98" i="1"/>
  <c r="FX236" i="1"/>
  <c r="FY236" i="1" s="1"/>
  <c r="FZ236" i="1" s="1"/>
  <c r="FX182" i="1"/>
  <c r="FY182" i="1" s="1"/>
  <c r="FZ182" i="1" s="1"/>
  <c r="FX188" i="1"/>
  <c r="FY188" i="1" s="1"/>
  <c r="FZ188" i="1" s="1"/>
  <c r="FX214" i="1"/>
  <c r="FY214" i="1" s="1"/>
  <c r="FZ214" i="1" s="1"/>
  <c r="GA311" i="1"/>
  <c r="EQ189" i="1"/>
  <c r="FX189" i="1"/>
  <c r="FY189" i="1" s="1"/>
  <c r="FZ189" i="1" s="1"/>
  <c r="GA307" i="1"/>
  <c r="FX15" i="1"/>
  <c r="FY15" i="1" s="1"/>
  <c r="FZ15" i="1" s="1"/>
  <c r="FX187" i="1"/>
  <c r="FY187" i="1" s="1"/>
  <c r="FZ187" i="1" s="1"/>
  <c r="GA277" i="1"/>
  <c r="FX95" i="1"/>
  <c r="FY95" i="1" s="1"/>
  <c r="FZ95" i="1" s="1"/>
  <c r="GA6" i="1"/>
  <c r="GA260" i="1"/>
  <c r="FX86" i="1"/>
  <c r="FY86" i="1" s="1"/>
  <c r="FZ86" i="1" s="1"/>
  <c r="FX219" i="1"/>
  <c r="FY219" i="1" s="1"/>
  <c r="FZ219" i="1" s="1"/>
  <c r="FX257" i="1"/>
  <c r="FY257" i="1" s="1"/>
  <c r="FZ257" i="1" s="1"/>
  <c r="EQ105" i="1"/>
  <c r="FX310" i="1"/>
  <c r="FY310" i="1" s="1"/>
  <c r="FZ310" i="1" s="1"/>
  <c r="FX105" i="1"/>
  <c r="FY105" i="1" s="1"/>
  <c r="FZ105" i="1" s="1"/>
  <c r="EQ90" i="1"/>
  <c r="GA90" i="1"/>
  <c r="FX278" i="1"/>
  <c r="FY278" i="1" s="1"/>
  <c r="FZ278" i="1" s="1"/>
  <c r="FX146" i="1"/>
  <c r="FY146" i="1" s="1"/>
  <c r="FZ146" i="1" s="1"/>
  <c r="FX50" i="1"/>
  <c r="FY50" i="1" s="1"/>
  <c r="FZ50" i="1" s="1"/>
  <c r="FX285" i="1"/>
  <c r="FY285" i="1" s="1"/>
  <c r="FZ285" i="1" s="1"/>
  <c r="GA50" i="1"/>
  <c r="GA305" i="1"/>
  <c r="GA46" i="1"/>
  <c r="GA3" i="1"/>
  <c r="FX197" i="1"/>
  <c r="FY197" i="1" s="1"/>
  <c r="FZ197" i="1" s="1"/>
  <c r="EQ285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1" i="1"/>
  <c r="FY261" i="1" s="1"/>
  <c r="FZ261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0" i="1"/>
  <c r="GA252" i="1"/>
  <c r="EQ176" i="1"/>
  <c r="EQ159" i="1"/>
  <c r="GA82" i="1"/>
  <c r="FX82" i="1"/>
  <c r="FY82" i="1" s="1"/>
  <c r="FZ82" i="1" s="1"/>
  <c r="EQ230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69" i="1"/>
  <c r="GE269" i="1" s="1"/>
  <c r="GF269" i="1" s="1"/>
  <c r="FX16" i="1"/>
  <c r="FY16" i="1" s="1"/>
  <c r="FZ16" i="1" s="1"/>
  <c r="FX84" i="1"/>
  <c r="FY84" i="1" s="1"/>
  <c r="FZ84" i="1" s="1"/>
  <c r="FX149" i="1"/>
  <c r="FY149" i="1" s="1"/>
  <c r="FZ149" i="1" s="1"/>
  <c r="GA227" i="1"/>
  <c r="EQ227" i="1"/>
  <c r="GA165" i="1"/>
  <c r="EQ254" i="1"/>
  <c r="GA265" i="1"/>
  <c r="FX60" i="1"/>
  <c r="FY60" i="1" s="1"/>
  <c r="FZ60" i="1" s="1"/>
  <c r="FX179" i="1"/>
  <c r="FY179" i="1" s="1"/>
  <c r="FZ179" i="1" s="1"/>
  <c r="FX265" i="1"/>
  <c r="FY265" i="1" s="1"/>
  <c r="FZ265" i="1" s="1"/>
  <c r="GA179" i="1"/>
  <c r="FX254" i="1"/>
  <c r="FY254" i="1" s="1"/>
  <c r="FZ254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8" i="1"/>
  <c r="GA231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89" i="1"/>
  <c r="GA289" i="1"/>
  <c r="FX281" i="1"/>
  <c r="FY281" i="1" s="1"/>
  <c r="FZ281" i="1" s="1"/>
  <c r="GA288" i="1"/>
  <c r="FX181" i="1"/>
  <c r="FY181" i="1" s="1"/>
  <c r="FZ181" i="1" s="1"/>
  <c r="FX253" i="1"/>
  <c r="FY253" i="1" s="1"/>
  <c r="FZ253" i="1" s="1"/>
  <c r="GA203" i="1"/>
  <c r="FX203" i="1"/>
  <c r="FY203" i="1" s="1"/>
  <c r="FZ203" i="1" s="1"/>
  <c r="GA204" i="1"/>
  <c r="GA233" i="1"/>
  <c r="FX170" i="1"/>
  <c r="FY170" i="1" s="1"/>
  <c r="FZ170" i="1" s="1"/>
  <c r="FX103" i="1"/>
  <c r="FY103" i="1" s="1"/>
  <c r="FZ103" i="1" s="1"/>
  <c r="EQ170" i="1"/>
  <c r="FF170" i="1" s="1"/>
  <c r="FO170" i="1" s="1"/>
  <c r="FQ170" i="1" s="1"/>
  <c r="GA192" i="1"/>
  <c r="FX106" i="1"/>
  <c r="FY106" i="1" s="1"/>
  <c r="FZ106" i="1" s="1"/>
  <c r="EQ106" i="1"/>
  <c r="FX156" i="1"/>
  <c r="FY156" i="1" s="1"/>
  <c r="FZ156" i="1" s="1"/>
  <c r="FX280" i="1"/>
  <c r="FY280" i="1" s="1"/>
  <c r="FZ280" i="1" s="1"/>
  <c r="FX117" i="1"/>
  <c r="FY117" i="1" s="1"/>
  <c r="FZ117" i="1" s="1"/>
  <c r="EQ148" i="1"/>
  <c r="EQ246" i="1"/>
  <c r="GA109" i="1"/>
  <c r="FX246" i="1"/>
  <c r="FY246" i="1" s="1"/>
  <c r="FZ246" i="1" s="1"/>
  <c r="FX109" i="1"/>
  <c r="FY109" i="1" s="1"/>
  <c r="FZ109" i="1" s="1"/>
  <c r="FX148" i="1"/>
  <c r="FY148" i="1" s="1"/>
  <c r="FZ148" i="1" s="1"/>
  <c r="EQ131" i="1"/>
  <c r="FX309" i="1"/>
  <c r="FY309" i="1" s="1"/>
  <c r="FZ309" i="1" s="1"/>
  <c r="FX49" i="1"/>
  <c r="FY49" i="1" s="1"/>
  <c r="FZ49" i="1" s="1"/>
  <c r="FX42" i="1"/>
  <c r="FY42" i="1" s="1"/>
  <c r="FZ42" i="1" s="1"/>
  <c r="FX191" i="1"/>
  <c r="FY191" i="1" s="1"/>
  <c r="FZ191" i="1" s="1"/>
  <c r="FX243" i="1"/>
  <c r="FY243" i="1" s="1"/>
  <c r="FZ243" i="1" s="1"/>
  <c r="GA229" i="1"/>
  <c r="GA31" i="1"/>
  <c r="GA284" i="1"/>
  <c r="GA301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0" i="1"/>
  <c r="FY270" i="1" s="1"/>
  <c r="FZ270" i="1" s="1"/>
  <c r="FX294" i="1"/>
  <c r="FY294" i="1" s="1"/>
  <c r="FZ294" i="1" s="1"/>
  <c r="GA7" i="1"/>
  <c r="GA138" i="1"/>
  <c r="GA270" i="1"/>
  <c r="GA129" i="1"/>
  <c r="GA243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29" i="1"/>
  <c r="FX292" i="1"/>
  <c r="FY292" i="1" s="1"/>
  <c r="FZ292" i="1" s="1"/>
  <c r="GA114" i="1"/>
  <c r="FX136" i="1"/>
  <c r="FY136" i="1" s="1"/>
  <c r="FZ136" i="1" s="1"/>
  <c r="GA279" i="1"/>
  <c r="FX130" i="1"/>
  <c r="FY130" i="1" s="1"/>
  <c r="FZ130" i="1" s="1"/>
  <c r="EQ261" i="1"/>
  <c r="FX154" i="1"/>
  <c r="FY154" i="1" s="1"/>
  <c r="FZ154" i="1" s="1"/>
  <c r="FX287" i="1"/>
  <c r="FY287" i="1" s="1"/>
  <c r="FZ287" i="1" s="1"/>
  <c r="GA281" i="1"/>
  <c r="FX308" i="1"/>
  <c r="FY308" i="1" s="1"/>
  <c r="FZ308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8" i="1"/>
  <c r="FY258" i="1" s="1"/>
  <c r="FZ258" i="1" s="1"/>
  <c r="FX64" i="1"/>
  <c r="FY64" i="1" s="1"/>
  <c r="FZ64" i="1" s="1"/>
  <c r="GA38" i="1"/>
  <c r="FX297" i="1"/>
  <c r="FY297" i="1" s="1"/>
  <c r="FZ297" i="1" s="1"/>
  <c r="GA291" i="1"/>
  <c r="EQ178" i="1"/>
  <c r="EQ291" i="1"/>
  <c r="EQ297" i="1"/>
  <c r="EQ151" i="1"/>
  <c r="FX178" i="1"/>
  <c r="FY178" i="1" s="1"/>
  <c r="FZ178" i="1" s="1"/>
  <c r="GA44" i="1"/>
  <c r="FX151" i="1"/>
  <c r="FY151" i="1" s="1"/>
  <c r="FZ151" i="1" s="1"/>
  <c r="GA302" i="1"/>
  <c r="GA32" i="1"/>
  <c r="FX10" i="1"/>
  <c r="FY10" i="1" s="1"/>
  <c r="FZ10" i="1" s="1"/>
  <c r="GA166" i="1"/>
  <c r="EQ306" i="1"/>
  <c r="EQ301" i="1"/>
  <c r="FX70" i="1"/>
  <c r="FY70" i="1" s="1"/>
  <c r="FZ70" i="1" s="1"/>
  <c r="FX217" i="1"/>
  <c r="FY217" i="1" s="1"/>
  <c r="FZ217" i="1" s="1"/>
  <c r="EQ256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3" i="1"/>
  <c r="FY223" i="1" s="1"/>
  <c r="FZ223" i="1" s="1"/>
  <c r="FX306" i="1"/>
  <c r="FY306" i="1" s="1"/>
  <c r="FZ306" i="1" s="1"/>
  <c r="EQ223" i="1"/>
  <c r="GA96" i="1"/>
  <c r="FX256" i="1"/>
  <c r="FY256" i="1" s="1"/>
  <c r="FZ256" i="1" s="1"/>
  <c r="FX118" i="1"/>
  <c r="FY118" i="1" s="1"/>
  <c r="FZ118" i="1" s="1"/>
  <c r="EQ118" i="1"/>
  <c r="FX198" i="1"/>
  <c r="FY198" i="1" s="1"/>
  <c r="FZ198" i="1" s="1"/>
  <c r="GA194" i="1"/>
  <c r="GA225" i="1"/>
  <c r="EQ92" i="1"/>
  <c r="EQ145" i="1"/>
  <c r="EQ141" i="1"/>
  <c r="GA153" i="1"/>
  <c r="GA222" i="1"/>
  <c r="GA141" i="1"/>
  <c r="FX299" i="1"/>
  <c r="FY299" i="1" s="1"/>
  <c r="FZ299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5" i="1"/>
  <c r="FY225" i="1" s="1"/>
  <c r="FZ225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3" i="1"/>
  <c r="FX172" i="1"/>
  <c r="FY172" i="1" s="1"/>
  <c r="FZ172" i="1" s="1"/>
  <c r="GA160" i="1"/>
  <c r="FX262" i="1"/>
  <c r="FY262" i="1" s="1"/>
  <c r="FZ262" i="1" s="1"/>
  <c r="GA78" i="1"/>
  <c r="GA17" i="1"/>
  <c r="FX244" i="1"/>
  <c r="FY244" i="1" s="1"/>
  <c r="FZ244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0" i="1"/>
  <c r="GA54" i="1"/>
  <c r="EQ284" i="1"/>
  <c r="GA216" i="1"/>
  <c r="GA103" i="1"/>
  <c r="FX104" i="1"/>
  <c r="FY104" i="1" s="1"/>
  <c r="FZ104" i="1" s="1"/>
  <c r="EQ245" i="1"/>
  <c r="FX245" i="1"/>
  <c r="FY245" i="1" s="1"/>
  <c r="FZ245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8" i="1"/>
  <c r="EQ59" i="1"/>
  <c r="GA275" i="1"/>
  <c r="GA140" i="1"/>
  <c r="GA295" i="1"/>
  <c r="FX295" i="1"/>
  <c r="FY295" i="1" s="1"/>
  <c r="FZ295" i="1" s="1"/>
  <c r="GA255" i="1"/>
  <c r="FX255" i="1"/>
  <c r="FY255" i="1" s="1"/>
  <c r="FZ255" i="1" s="1"/>
  <c r="GA92" i="1"/>
  <c r="FX134" i="1"/>
  <c r="FY134" i="1" s="1"/>
  <c r="FZ134" i="1" s="1"/>
  <c r="FX235" i="1"/>
  <c r="FY235" i="1" s="1"/>
  <c r="FZ235" i="1" s="1"/>
  <c r="FX69" i="1"/>
  <c r="FY69" i="1" s="1"/>
  <c r="FZ69" i="1" s="1"/>
  <c r="FX271" i="1"/>
  <c r="FY271" i="1" s="1"/>
  <c r="FZ271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6" i="1"/>
  <c r="GA274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6" i="1"/>
  <c r="FY286" i="1" s="1"/>
  <c r="FZ286" i="1" s="1"/>
  <c r="GA28" i="1"/>
  <c r="GA77" i="1"/>
  <c r="EQ286" i="1"/>
  <c r="FX77" i="1"/>
  <c r="FY77" i="1" s="1"/>
  <c r="FZ77" i="1" s="1"/>
  <c r="FX234" i="1"/>
  <c r="FY234" i="1" s="1"/>
  <c r="FZ234" i="1" s="1"/>
  <c r="GA267" i="1"/>
  <c r="FX275" i="1"/>
  <c r="FY275" i="1" s="1"/>
  <c r="FZ275" i="1" s="1"/>
  <c r="FX113" i="1"/>
  <c r="FY113" i="1" s="1"/>
  <c r="FZ113" i="1" s="1"/>
  <c r="EQ76" i="1"/>
  <c r="GA76" i="1"/>
  <c r="GA89" i="1"/>
  <c r="FX147" i="1"/>
  <c r="FY147" i="1" s="1"/>
  <c r="FZ147" i="1" s="1"/>
  <c r="GA147" i="1"/>
  <c r="FX290" i="1"/>
  <c r="FY290" i="1" s="1"/>
  <c r="FZ290" i="1" s="1"/>
  <c r="FX186" i="1"/>
  <c r="FY186" i="1" s="1"/>
  <c r="FZ186" i="1" s="1"/>
  <c r="GA290" i="1"/>
  <c r="EQ226" i="1"/>
  <c r="GA226" i="1"/>
  <c r="GA186" i="1"/>
  <c r="FX45" i="1"/>
  <c r="FY45" i="1" s="1"/>
  <c r="FZ45" i="1" s="1"/>
  <c r="GA242" i="1"/>
  <c r="EQ143" i="1"/>
  <c r="FX274" i="1"/>
  <c r="FY274" i="1" s="1"/>
  <c r="FZ274" i="1" s="1"/>
  <c r="GA283" i="1"/>
  <c r="GA112" i="1"/>
  <c r="EQ201" i="1"/>
  <c r="EQ112" i="1"/>
  <c r="EQ283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3" i="1"/>
  <c r="FY273" i="1" s="1"/>
  <c r="FZ273" i="1" s="1"/>
  <c r="FX139" i="1"/>
  <c r="FY139" i="1" s="1"/>
  <c r="FZ139" i="1" s="1"/>
  <c r="FX135" i="1"/>
  <c r="FY135" i="1" s="1"/>
  <c r="FZ135" i="1" s="1"/>
  <c r="EQ272" i="1"/>
  <c r="GA304" i="1"/>
  <c r="GA273" i="1"/>
  <c r="FX161" i="1"/>
  <c r="FY161" i="1" s="1"/>
  <c r="FZ161" i="1" s="1"/>
  <c r="EQ135" i="1"/>
  <c r="EQ218" i="1"/>
  <c r="EQ123" i="1"/>
  <c r="FX238" i="1"/>
  <c r="FY238" i="1" s="1"/>
  <c r="FZ238" i="1" s="1"/>
  <c r="GA238" i="1"/>
  <c r="GA83" i="1"/>
  <c r="FX123" i="1"/>
  <c r="FY123" i="1" s="1"/>
  <c r="FZ123" i="1" s="1"/>
  <c r="GA268" i="1"/>
  <c r="FX83" i="1"/>
  <c r="FY83" i="1" s="1"/>
  <c r="FZ83" i="1" s="1"/>
  <c r="FX224" i="1"/>
  <c r="FY224" i="1" s="1"/>
  <c r="FZ224" i="1" s="1"/>
  <c r="GA183" i="1"/>
  <c r="EQ81" i="1"/>
  <c r="GA113" i="1"/>
  <c r="EQ74" i="1"/>
  <c r="EQ267" i="1"/>
  <c r="FX164" i="1"/>
  <c r="FY164" i="1" s="1"/>
  <c r="FZ164" i="1" s="1"/>
  <c r="GA164" i="1"/>
  <c r="FX71" i="1"/>
  <c r="FY71" i="1" s="1"/>
  <c r="FZ71" i="1" s="1"/>
  <c r="GA35" i="1"/>
  <c r="GA152" i="1"/>
  <c r="GA71" i="1"/>
  <c r="EQ259" i="1"/>
  <c r="GA142" i="1"/>
  <c r="GA250" i="1"/>
  <c r="GA124" i="1"/>
  <c r="FX124" i="1"/>
  <c r="FY124" i="1" s="1"/>
  <c r="FZ124" i="1" s="1"/>
  <c r="GA85" i="1"/>
  <c r="EQ85" i="1"/>
  <c r="EQ142" i="1"/>
  <c r="GA241" i="1"/>
  <c r="EQ125" i="1"/>
  <c r="GA207" i="1"/>
  <c r="FX125" i="1"/>
  <c r="FY125" i="1" s="1"/>
  <c r="FZ125" i="1" s="1"/>
  <c r="GA272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7" i="1"/>
  <c r="FY237" i="1" s="1"/>
  <c r="FZ237" i="1" s="1"/>
  <c r="GA249" i="1"/>
  <c r="FX249" i="1"/>
  <c r="FY249" i="1" s="1"/>
  <c r="FZ249" i="1" s="1"/>
  <c r="FX282" i="1"/>
  <c r="FY282" i="1" s="1"/>
  <c r="FZ282" i="1" s="1"/>
  <c r="GA22" i="1"/>
  <c r="EQ282" i="1"/>
  <c r="GA56" i="1"/>
  <c r="GA247" i="1"/>
  <c r="FX74" i="1"/>
  <c r="FY74" i="1" s="1"/>
  <c r="FZ74" i="1" s="1"/>
  <c r="GA259" i="1"/>
  <c r="GA27" i="1"/>
  <c r="FX23" i="1"/>
  <c r="FY23" i="1" s="1"/>
  <c r="FZ23" i="1" s="1"/>
  <c r="EQ150" i="1"/>
  <c r="FX303" i="1"/>
  <c r="FY303" i="1" s="1"/>
  <c r="FZ303" i="1" s="1"/>
  <c r="GA150" i="1"/>
  <c r="FX108" i="1"/>
  <c r="FY108" i="1" s="1"/>
  <c r="FZ108" i="1" s="1"/>
  <c r="GA108" i="1"/>
  <c r="GA303" i="1"/>
  <c r="GA264" i="1"/>
  <c r="FX57" i="1"/>
  <c r="FY57" i="1" s="1"/>
  <c r="FZ57" i="1" s="1"/>
  <c r="FX37" i="1"/>
  <c r="FY37" i="1" s="1"/>
  <c r="FZ37" i="1" s="1"/>
  <c r="FX264" i="1"/>
  <c r="FY264" i="1" s="1"/>
  <c r="FZ264" i="1" s="1"/>
  <c r="GA57" i="1"/>
  <c r="FX276" i="1"/>
  <c r="FY276" i="1" s="1"/>
  <c r="FZ276" i="1" s="1"/>
  <c r="FX193" i="1"/>
  <c r="FY193" i="1" s="1"/>
  <c r="FZ193" i="1" s="1"/>
  <c r="GA193" i="1"/>
  <c r="GA218" i="1"/>
  <c r="FX240" i="1"/>
  <c r="FY240" i="1" s="1"/>
  <c r="FZ240" i="1" s="1"/>
  <c r="GA13" i="1"/>
  <c r="FX13" i="1"/>
  <c r="FY13" i="1" s="1"/>
  <c r="FZ13" i="1" s="1"/>
  <c r="GB263" i="1"/>
  <c r="GB111" i="1"/>
  <c r="GS111" i="1" s="1"/>
  <c r="GT111" i="1" s="1"/>
  <c r="GU111" i="1" s="1"/>
  <c r="GB228" i="1"/>
  <c r="GK228" i="1" s="1"/>
  <c r="GL228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6" i="1"/>
  <c r="EQ4" i="1"/>
  <c r="EQ63" i="1"/>
  <c r="FX2" i="1"/>
  <c r="FY2" i="1" s="1"/>
  <c r="FZ2" i="1" s="1"/>
  <c r="GA2" i="1"/>
  <c r="EO2" i="1"/>
  <c r="EN2" i="1"/>
  <c r="GB79" i="1" l="1"/>
  <c r="GI79" i="1" s="1"/>
  <c r="GJ79" i="1" s="1"/>
  <c r="EQ221" i="1"/>
  <c r="FF221" i="1" s="1"/>
  <c r="FO221" i="1" s="1"/>
  <c r="FP221" i="1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7" i="1"/>
  <c r="FF257" i="1" s="1"/>
  <c r="FO257" i="1" s="1"/>
  <c r="FQ257" i="1" s="1"/>
  <c r="GB40" i="1"/>
  <c r="GM40" i="1" s="1"/>
  <c r="GN40" i="1" s="1"/>
  <c r="GB55" i="1"/>
  <c r="GQ55" i="1" s="1"/>
  <c r="GB227" i="1"/>
  <c r="GP227" i="1" s="1"/>
  <c r="GB19" i="1"/>
  <c r="GS19" i="1" s="1"/>
  <c r="GT19" i="1" s="1"/>
  <c r="GU19" i="1" s="1"/>
  <c r="EQ266" i="1"/>
  <c r="FF266" i="1" s="1"/>
  <c r="FO266" i="1" s="1"/>
  <c r="FP266" i="1" s="1"/>
  <c r="GB32" i="1"/>
  <c r="GE32" i="1" s="1"/>
  <c r="GF32" i="1" s="1"/>
  <c r="GB170" i="1"/>
  <c r="GK170" i="1" s="1"/>
  <c r="GL170" i="1" s="1"/>
  <c r="GB279" i="1"/>
  <c r="GG279" i="1" s="1"/>
  <c r="GH279" i="1" s="1"/>
  <c r="GB284" i="1"/>
  <c r="GS284" i="1" s="1"/>
  <c r="GT284" i="1" s="1"/>
  <c r="GU284" i="1" s="1"/>
  <c r="EQ231" i="1"/>
  <c r="FF231" i="1" s="1"/>
  <c r="FO231" i="1" s="1"/>
  <c r="FQ231" i="1" s="1"/>
  <c r="EQ3" i="1"/>
  <c r="FF3" i="1" s="1"/>
  <c r="FO3" i="1" s="1"/>
  <c r="FQ3" i="1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FQ66" i="1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EQ9" i="1"/>
  <c r="FF9" i="1" s="1"/>
  <c r="FO9" i="1" s="1"/>
  <c r="FQ9" i="1" s="1"/>
  <c r="GB125" i="1"/>
  <c r="GK125" i="1" s="1"/>
  <c r="GL125" i="1" s="1"/>
  <c r="EQ235" i="1"/>
  <c r="FF235" i="1" s="1"/>
  <c r="FO235" i="1" s="1"/>
  <c r="FQ235" i="1" s="1"/>
  <c r="EQ294" i="1"/>
  <c r="FF294" i="1" s="1"/>
  <c r="FO294" i="1" s="1"/>
  <c r="FP294" i="1" s="1"/>
  <c r="GB246" i="1"/>
  <c r="GQ246" i="1" s="1"/>
  <c r="GB252" i="1"/>
  <c r="GQ252" i="1" s="1"/>
  <c r="EQ38" i="1"/>
  <c r="FF38" i="1" s="1"/>
  <c r="FO38" i="1" s="1"/>
  <c r="FP38" i="1" s="1"/>
  <c r="EQ307" i="1"/>
  <c r="FF307" i="1" s="1"/>
  <c r="FO307" i="1" s="1"/>
  <c r="FP307" i="1" s="1"/>
  <c r="GB175" i="1"/>
  <c r="GM175" i="1" s="1"/>
  <c r="GN175" i="1" s="1"/>
  <c r="EQ62" i="1"/>
  <c r="FF62" i="1" s="1"/>
  <c r="FO62" i="1" s="1"/>
  <c r="FQ62" i="1" s="1"/>
  <c r="GB29" i="1"/>
  <c r="GI29" i="1" s="1"/>
  <c r="GJ29" i="1" s="1"/>
  <c r="EQ37" i="1"/>
  <c r="FF37" i="1" s="1"/>
  <c r="FO37" i="1" s="1"/>
  <c r="FQ37" i="1" s="1"/>
  <c r="GB272" i="1"/>
  <c r="GC272" i="1" s="1"/>
  <c r="GD272" i="1" s="1"/>
  <c r="GB304" i="1"/>
  <c r="GK304" i="1" s="1"/>
  <c r="GL304" i="1" s="1"/>
  <c r="GB143" i="1"/>
  <c r="GE143" i="1" s="1"/>
  <c r="GF143" i="1" s="1"/>
  <c r="GB76" i="1"/>
  <c r="GE76" i="1" s="1"/>
  <c r="GF76" i="1" s="1"/>
  <c r="EQ161" i="1"/>
  <c r="FF161" i="1" s="1"/>
  <c r="FO161" i="1" s="1"/>
  <c r="FP161" i="1" s="1"/>
  <c r="GB133" i="1"/>
  <c r="GG133" i="1" s="1"/>
  <c r="GH133" i="1" s="1"/>
  <c r="EQ200" i="1"/>
  <c r="FF200" i="1" s="1"/>
  <c r="FO200" i="1" s="1"/>
  <c r="FQ200" i="1" s="1"/>
  <c r="EQ53" i="1"/>
  <c r="FF53" i="1" s="1"/>
  <c r="FO53" i="1" s="1"/>
  <c r="FP53" i="1" s="1"/>
  <c r="EQ91" i="1"/>
  <c r="FF91" i="1" s="1"/>
  <c r="FO91" i="1" s="1"/>
  <c r="FP91" i="1" s="1"/>
  <c r="EQ114" i="1"/>
  <c r="FF114" i="1" s="1"/>
  <c r="FO114" i="1" s="1"/>
  <c r="FQ114" i="1" s="1"/>
  <c r="EQ146" i="1"/>
  <c r="FF146" i="1" s="1"/>
  <c r="FO146" i="1" s="1"/>
  <c r="GB166" i="1"/>
  <c r="GC166" i="1" s="1"/>
  <c r="GD166" i="1" s="1"/>
  <c r="EQ187" i="1"/>
  <c r="FF187" i="1" s="1"/>
  <c r="FO187" i="1" s="1"/>
  <c r="FQ187" i="1" s="1"/>
  <c r="EQ55" i="1"/>
  <c r="FF55" i="1" s="1"/>
  <c r="FO55" i="1" s="1"/>
  <c r="FP55" i="1" s="1"/>
  <c r="EQ28" i="1"/>
  <c r="FF28" i="1" s="1"/>
  <c r="FO28" i="1" s="1"/>
  <c r="FP28" i="1" s="1"/>
  <c r="EQ44" i="1"/>
  <c r="FF44" i="1" s="1"/>
  <c r="FO44" i="1" s="1"/>
  <c r="FQ44" i="1" s="1"/>
  <c r="EQ49" i="1"/>
  <c r="FF49" i="1" s="1"/>
  <c r="FO49" i="1" s="1"/>
  <c r="FQ49" i="1" s="1"/>
  <c r="GB161" i="1"/>
  <c r="GS161" i="1" s="1"/>
  <c r="GT161" i="1" s="1"/>
  <c r="GU161" i="1" s="1"/>
  <c r="GB242" i="1"/>
  <c r="GE242" i="1" s="1"/>
  <c r="GF242" i="1" s="1"/>
  <c r="GB168" i="1"/>
  <c r="GK168" i="1" s="1"/>
  <c r="GL168" i="1" s="1"/>
  <c r="EQ253" i="1"/>
  <c r="FF253" i="1" s="1"/>
  <c r="FO253" i="1" s="1"/>
  <c r="FQ253" i="1" s="1"/>
  <c r="GB229" i="1"/>
  <c r="GC229" i="1" s="1"/>
  <c r="GD229" i="1" s="1"/>
  <c r="EQ199" i="1"/>
  <c r="FF199" i="1" s="1"/>
  <c r="FO199" i="1" s="1"/>
  <c r="EQ61" i="1"/>
  <c r="FF61" i="1" s="1"/>
  <c r="FO61" i="1" s="1"/>
  <c r="FQ61" i="1" s="1"/>
  <c r="GB89" i="1"/>
  <c r="GP89" i="1" s="1"/>
  <c r="GB221" i="1"/>
  <c r="GK221" i="1" s="1"/>
  <c r="GL221" i="1" s="1"/>
  <c r="EQ32" i="1"/>
  <c r="FF32" i="1" s="1"/>
  <c r="FO32" i="1" s="1"/>
  <c r="FP32" i="1" s="1"/>
  <c r="GB196" i="1"/>
  <c r="GI196" i="1" s="1"/>
  <c r="GJ196" i="1" s="1"/>
  <c r="EQ174" i="1"/>
  <c r="FF174" i="1" s="1"/>
  <c r="FO174" i="1" s="1"/>
  <c r="FP174" i="1" s="1"/>
  <c r="GB178" i="1"/>
  <c r="GP178" i="1" s="1"/>
  <c r="GB53" i="1"/>
  <c r="GQ53" i="1" s="1"/>
  <c r="EQ115" i="1"/>
  <c r="FF115" i="1" s="1"/>
  <c r="FO115" i="1" s="1"/>
  <c r="EQ43" i="1"/>
  <c r="FF43" i="1" s="1"/>
  <c r="FO43" i="1" s="1"/>
  <c r="GB232" i="1"/>
  <c r="GI232" i="1" s="1"/>
  <c r="GJ232" i="1" s="1"/>
  <c r="EQ308" i="1"/>
  <c r="FF308" i="1" s="1"/>
  <c r="FO308" i="1" s="1"/>
  <c r="FQ308" i="1" s="1"/>
  <c r="EQ2" i="1"/>
  <c r="FF2" i="1" s="1"/>
  <c r="FO2" i="1" s="1"/>
  <c r="FQ2" i="1" s="1"/>
  <c r="EQ6" i="1"/>
  <c r="FF6" i="1" s="1"/>
  <c r="FO6" i="1" s="1"/>
  <c r="FQ6" i="1" s="1"/>
  <c r="EQ102" i="1"/>
  <c r="FF102" i="1" s="1"/>
  <c r="FO102" i="1" s="1"/>
  <c r="FP102" i="1" s="1"/>
  <c r="GB150" i="1"/>
  <c r="GK150" i="1" s="1"/>
  <c r="GL150" i="1" s="1"/>
  <c r="EQ12" i="1"/>
  <c r="FF12" i="1" s="1"/>
  <c r="FO12" i="1" s="1"/>
  <c r="FQ12" i="1" s="1"/>
  <c r="EQ160" i="1"/>
  <c r="FF160" i="1" s="1"/>
  <c r="FO160" i="1" s="1"/>
  <c r="FP160" i="1" s="1"/>
  <c r="GB191" i="1"/>
  <c r="GI191" i="1" s="1"/>
  <c r="GJ191" i="1" s="1"/>
  <c r="GB64" i="1"/>
  <c r="GQ64" i="1" s="1"/>
  <c r="EQ29" i="1"/>
  <c r="FF29" i="1" s="1"/>
  <c r="FO29" i="1" s="1"/>
  <c r="FQ29" i="1" s="1"/>
  <c r="EQ270" i="1"/>
  <c r="FF270" i="1" s="1"/>
  <c r="FO270" i="1" s="1"/>
  <c r="FQ270" i="1" s="1"/>
  <c r="GB258" i="1"/>
  <c r="GC258" i="1" s="1"/>
  <c r="GD258" i="1" s="1"/>
  <c r="EQ290" i="1"/>
  <c r="FF290" i="1" s="1"/>
  <c r="FO290" i="1" s="1"/>
  <c r="FP290" i="1" s="1"/>
  <c r="GB226" i="1"/>
  <c r="GI226" i="1" s="1"/>
  <c r="GJ226" i="1" s="1"/>
  <c r="EQ20" i="1"/>
  <c r="FF20" i="1" s="1"/>
  <c r="FO20" i="1" s="1"/>
  <c r="FQ20" i="1" s="1"/>
  <c r="GB123" i="1"/>
  <c r="GE123" i="1" s="1"/>
  <c r="GF123" i="1" s="1"/>
  <c r="EQ233" i="1"/>
  <c r="FF233" i="1" s="1"/>
  <c r="FO233" i="1" s="1"/>
  <c r="FP233" i="1" s="1"/>
  <c r="EQ130" i="1"/>
  <c r="FF130" i="1" s="1"/>
  <c r="FO130" i="1" s="1"/>
  <c r="FQ130" i="1" s="1"/>
  <c r="EQ305" i="1"/>
  <c r="FF305" i="1" s="1"/>
  <c r="FO305" i="1" s="1"/>
  <c r="FQ305" i="1" s="1"/>
  <c r="EQ14" i="1"/>
  <c r="FF14" i="1" s="1"/>
  <c r="FO14" i="1" s="1"/>
  <c r="FP14" i="1" s="1"/>
  <c r="EQ138" i="1"/>
  <c r="FF138" i="1" s="1"/>
  <c r="FO138" i="1" s="1"/>
  <c r="FP138" i="1" s="1"/>
  <c r="EQ93" i="1"/>
  <c r="FF93" i="1" s="1"/>
  <c r="FO93" i="1" s="1"/>
  <c r="FP93" i="1" s="1"/>
  <c r="GB297" i="1"/>
  <c r="GC297" i="1" s="1"/>
  <c r="GD297" i="1" s="1"/>
  <c r="GB239" i="1"/>
  <c r="GP239" i="1" s="1"/>
  <c r="EQ27" i="1"/>
  <c r="FF27" i="1" s="1"/>
  <c r="FO27" i="1" s="1"/>
  <c r="FQ27" i="1" s="1"/>
  <c r="EQ211" i="1"/>
  <c r="FF211" i="1" s="1"/>
  <c r="FO211" i="1" s="1"/>
  <c r="FP211" i="1" s="1"/>
  <c r="EQ185" i="1"/>
  <c r="FF185" i="1" s="1"/>
  <c r="FO185" i="1" s="1"/>
  <c r="FQ185" i="1" s="1"/>
  <c r="GB145" i="1"/>
  <c r="GQ145" i="1" s="1"/>
  <c r="EQ268" i="1"/>
  <c r="FF268" i="1" s="1"/>
  <c r="FO268" i="1" s="1"/>
  <c r="FP268" i="1" s="1"/>
  <c r="EQ265" i="1"/>
  <c r="FF265" i="1" s="1"/>
  <c r="FO265" i="1" s="1"/>
  <c r="FQ265" i="1" s="1"/>
  <c r="EQ41" i="1"/>
  <c r="FF41" i="1" s="1"/>
  <c r="FO41" i="1" s="1"/>
  <c r="FP41" i="1" s="1"/>
  <c r="EQ11" i="1"/>
  <c r="FF11" i="1" s="1"/>
  <c r="FO11" i="1" s="1"/>
  <c r="FP11" i="1" s="1"/>
  <c r="EQ19" i="1"/>
  <c r="FF19" i="1" s="1"/>
  <c r="FO19" i="1" s="1"/>
  <c r="FP19" i="1" s="1"/>
  <c r="GB59" i="1"/>
  <c r="GE59" i="1" s="1"/>
  <c r="GF59" i="1" s="1"/>
  <c r="GB212" i="1"/>
  <c r="GC212" i="1" s="1"/>
  <c r="GD212" i="1" s="1"/>
  <c r="EQ186" i="1"/>
  <c r="FF186" i="1" s="1"/>
  <c r="FO186" i="1" s="1"/>
  <c r="FP186" i="1" s="1"/>
  <c r="GB309" i="1"/>
  <c r="GC309" i="1" s="1"/>
  <c r="GD309" i="1" s="1"/>
  <c r="GB195" i="1"/>
  <c r="GC195" i="1" s="1"/>
  <c r="GD195" i="1" s="1"/>
  <c r="EQ165" i="1"/>
  <c r="FF165" i="1" s="1"/>
  <c r="FO165" i="1" s="1"/>
  <c r="FP165" i="1" s="1"/>
  <c r="EQ46" i="1"/>
  <c r="FF46" i="1" s="1"/>
  <c r="FO46" i="1" s="1"/>
  <c r="FQ46" i="1" s="1"/>
  <c r="EQ110" i="1"/>
  <c r="FF110" i="1" s="1"/>
  <c r="FO110" i="1" s="1"/>
  <c r="FQ110" i="1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FQ180" i="1" s="1"/>
  <c r="EQ215" i="1"/>
  <c r="FF215" i="1" s="1"/>
  <c r="FO215" i="1" s="1"/>
  <c r="FQ215" i="1" s="1"/>
  <c r="EQ23" i="1"/>
  <c r="FF23" i="1" s="1"/>
  <c r="FO23" i="1" s="1"/>
  <c r="FQ23" i="1" s="1"/>
  <c r="GB87" i="1"/>
  <c r="GS87" i="1" s="1"/>
  <c r="GT87" i="1" s="1"/>
  <c r="GU87" i="1" s="1"/>
  <c r="EQ217" i="1"/>
  <c r="FF217" i="1" s="1"/>
  <c r="FO217" i="1" s="1"/>
  <c r="FQ217" i="1" s="1"/>
  <c r="EQ42" i="1"/>
  <c r="FF42" i="1" s="1"/>
  <c r="FO42" i="1" s="1"/>
  <c r="FQ42" i="1" s="1"/>
  <c r="EQ210" i="1"/>
  <c r="FF210" i="1" s="1"/>
  <c r="FO210" i="1" s="1"/>
  <c r="FP210" i="1" s="1"/>
  <c r="EQ45" i="1"/>
  <c r="FF45" i="1" s="1"/>
  <c r="FO45" i="1" s="1"/>
  <c r="FQ45" i="1" s="1"/>
  <c r="GB218" i="1"/>
  <c r="GI218" i="1" s="1"/>
  <c r="GJ218" i="1" s="1"/>
  <c r="GB302" i="1"/>
  <c r="GP302" i="1" s="1"/>
  <c r="GB56" i="1"/>
  <c r="GG56" i="1" s="1"/>
  <c r="GH56" i="1" s="1"/>
  <c r="GB80" i="1"/>
  <c r="GI80" i="1" s="1"/>
  <c r="GJ80" i="1" s="1"/>
  <c r="EQ65" i="1"/>
  <c r="FF65" i="1" s="1"/>
  <c r="FO65" i="1" s="1"/>
  <c r="FQ65" i="1" s="1"/>
  <c r="EQ56" i="1"/>
  <c r="FF56" i="1" s="1"/>
  <c r="FO56" i="1" s="1"/>
  <c r="FQ56" i="1" s="1"/>
  <c r="GB241" i="1"/>
  <c r="GG241" i="1" s="1"/>
  <c r="GH241" i="1" s="1"/>
  <c r="EQ216" i="1"/>
  <c r="FF216" i="1" s="1"/>
  <c r="FO216" i="1" s="1"/>
  <c r="FQ216" i="1" s="1"/>
  <c r="GB201" i="1"/>
  <c r="GI201" i="1" s="1"/>
  <c r="GJ201" i="1" s="1"/>
  <c r="EQ104" i="1"/>
  <c r="FF104" i="1" s="1"/>
  <c r="FO104" i="1" s="1"/>
  <c r="FQ104" i="1" s="1"/>
  <c r="EQ280" i="1"/>
  <c r="FF280" i="1" s="1"/>
  <c r="FO280" i="1" s="1"/>
  <c r="FQ280" i="1" s="1"/>
  <c r="GB278" i="1"/>
  <c r="GQ278" i="1" s="1"/>
  <c r="GB188" i="1"/>
  <c r="GG188" i="1" s="1"/>
  <c r="GH188" i="1" s="1"/>
  <c r="EQ77" i="1"/>
  <c r="FF77" i="1" s="1"/>
  <c r="FO77" i="1" s="1"/>
  <c r="EQ188" i="1"/>
  <c r="FF188" i="1" s="1"/>
  <c r="FO188" i="1" s="1"/>
  <c r="FQ188" i="1" s="1"/>
  <c r="EQ238" i="1"/>
  <c r="FF238" i="1" s="1"/>
  <c r="FO238" i="1" s="1"/>
  <c r="EQ52" i="1"/>
  <c r="FF52" i="1" s="1"/>
  <c r="FO52" i="1" s="1"/>
  <c r="FP52" i="1" s="1"/>
  <c r="GB213" i="1"/>
  <c r="GI213" i="1" s="1"/>
  <c r="GJ213" i="1" s="1"/>
  <c r="GB293" i="1"/>
  <c r="GS293" i="1" s="1"/>
  <c r="GT293" i="1" s="1"/>
  <c r="GU293" i="1" s="1"/>
  <c r="EQ16" i="1"/>
  <c r="FF16" i="1" s="1"/>
  <c r="FO16" i="1" s="1"/>
  <c r="EQ300" i="1"/>
  <c r="FF300" i="1" s="1"/>
  <c r="FO300" i="1" s="1"/>
  <c r="FP300" i="1" s="1"/>
  <c r="EQ222" i="1"/>
  <c r="FF222" i="1" s="1"/>
  <c r="FO222" i="1" s="1"/>
  <c r="FQ222" i="1" s="1"/>
  <c r="GB174" i="1"/>
  <c r="GQ174" i="1" s="1"/>
  <c r="EQ116" i="1"/>
  <c r="FF116" i="1" s="1"/>
  <c r="FO116" i="1" s="1"/>
  <c r="FQ116" i="1" s="1"/>
  <c r="GB94" i="1"/>
  <c r="GI94" i="1" s="1"/>
  <c r="GJ94" i="1" s="1"/>
  <c r="GB280" i="1"/>
  <c r="GC280" i="1" s="1"/>
  <c r="GD280" i="1" s="1"/>
  <c r="GB8" i="1"/>
  <c r="GK8" i="1" s="1"/>
  <c r="GL8" i="1" s="1"/>
  <c r="GB151" i="1"/>
  <c r="GQ151" i="1" s="1"/>
  <c r="GB46" i="1"/>
  <c r="GS46" i="1" s="1"/>
  <c r="GT46" i="1" s="1"/>
  <c r="GU46" i="1" s="1"/>
  <c r="EQ287" i="1"/>
  <c r="FF287" i="1" s="1"/>
  <c r="FO287" i="1" s="1"/>
  <c r="FQ287" i="1" s="1"/>
  <c r="EQ50" i="1"/>
  <c r="FF50" i="1" s="1"/>
  <c r="FO50" i="1" s="1"/>
  <c r="GB276" i="1"/>
  <c r="GS276" i="1" s="1"/>
  <c r="GT276" i="1" s="1"/>
  <c r="GU276" i="1" s="1"/>
  <c r="GB237" i="1"/>
  <c r="GG237" i="1" s="1"/>
  <c r="GH237" i="1" s="1"/>
  <c r="GB45" i="1"/>
  <c r="GC45" i="1" s="1"/>
  <c r="GD45" i="1" s="1"/>
  <c r="GB104" i="1"/>
  <c r="GQ104" i="1" s="1"/>
  <c r="EQ271" i="1"/>
  <c r="FF271" i="1" s="1"/>
  <c r="FO271" i="1" s="1"/>
  <c r="FP271" i="1" s="1"/>
  <c r="EQ244" i="1"/>
  <c r="FF244" i="1" s="1"/>
  <c r="FO244" i="1" s="1"/>
  <c r="FP244" i="1" s="1"/>
  <c r="GB48" i="1"/>
  <c r="GE48" i="1" s="1"/>
  <c r="GF48" i="1" s="1"/>
  <c r="GB154" i="1"/>
  <c r="GP154" i="1" s="1"/>
  <c r="GB292" i="1"/>
  <c r="GG292" i="1" s="1"/>
  <c r="GH292" i="1" s="1"/>
  <c r="EQ152" i="1"/>
  <c r="FF152" i="1" s="1"/>
  <c r="FO152" i="1" s="1"/>
  <c r="FQ152" i="1" s="1"/>
  <c r="GB294" i="1"/>
  <c r="GS294" i="1" s="1"/>
  <c r="GT294" i="1" s="1"/>
  <c r="GU294" i="1" s="1"/>
  <c r="GB148" i="1"/>
  <c r="GI148" i="1" s="1"/>
  <c r="GJ148" i="1" s="1"/>
  <c r="EQ292" i="1"/>
  <c r="FF292" i="1" s="1"/>
  <c r="FO292" i="1" s="1"/>
  <c r="FQ292" i="1" s="1"/>
  <c r="EQ203" i="1"/>
  <c r="FF203" i="1" s="1"/>
  <c r="FO203" i="1" s="1"/>
  <c r="FQ203" i="1" s="1"/>
  <c r="GB18" i="1"/>
  <c r="GC18" i="1" s="1"/>
  <c r="GD18" i="1" s="1"/>
  <c r="EQ249" i="1"/>
  <c r="FF249" i="1" s="1"/>
  <c r="FO249" i="1" s="1"/>
  <c r="GB86" i="1"/>
  <c r="GP86" i="1" s="1"/>
  <c r="GB24" i="1"/>
  <c r="GG24" i="1" s="1"/>
  <c r="GH24" i="1" s="1"/>
  <c r="EQ47" i="1"/>
  <c r="FF47" i="1" s="1"/>
  <c r="FO47" i="1" s="1"/>
  <c r="FQ47" i="1" s="1"/>
  <c r="GB250" i="1"/>
  <c r="GG250" i="1" s="1"/>
  <c r="GH250" i="1" s="1"/>
  <c r="EQ224" i="1"/>
  <c r="FF224" i="1" s="1"/>
  <c r="FO224" i="1" s="1"/>
  <c r="FP224" i="1" s="1"/>
  <c r="EQ262" i="1"/>
  <c r="FF262" i="1" s="1"/>
  <c r="FO262" i="1" s="1"/>
  <c r="FP262" i="1" s="1"/>
  <c r="EQ181" i="1"/>
  <c r="FF181" i="1" s="1"/>
  <c r="FO181" i="1" s="1"/>
  <c r="FP181" i="1" s="1"/>
  <c r="EQ15" i="1"/>
  <c r="FF15" i="1" s="1"/>
  <c r="FO15" i="1" s="1"/>
  <c r="EQ64" i="1"/>
  <c r="FF64" i="1" s="1"/>
  <c r="FO64" i="1" s="1"/>
  <c r="FQ64" i="1" s="1"/>
  <c r="EQ40" i="1"/>
  <c r="FF40" i="1" s="1"/>
  <c r="FO40" i="1" s="1"/>
  <c r="FQ40" i="1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FP86" i="1" s="1"/>
  <c r="EQ13" i="1"/>
  <c r="FF13" i="1" s="1"/>
  <c r="FO13" i="1" s="1"/>
  <c r="FP13" i="1" s="1"/>
  <c r="EQ191" i="1"/>
  <c r="FF191" i="1" s="1"/>
  <c r="FO191" i="1" s="1"/>
  <c r="FP191" i="1" s="1"/>
  <c r="EQ71" i="1"/>
  <c r="FF71" i="1" s="1"/>
  <c r="FO71" i="1" s="1"/>
  <c r="GB288" i="1"/>
  <c r="GB69" i="1"/>
  <c r="GE69" i="1" s="1"/>
  <c r="GF69" i="1" s="1"/>
  <c r="GB207" i="1"/>
  <c r="GG207" i="1" s="1"/>
  <c r="GH207" i="1" s="1"/>
  <c r="EQ220" i="1"/>
  <c r="FF220" i="1" s="1"/>
  <c r="FO220" i="1" s="1"/>
  <c r="FQ220" i="1" s="1"/>
  <c r="EQ21" i="1"/>
  <c r="FF21" i="1" s="1"/>
  <c r="FO21" i="1" s="1"/>
  <c r="FP21" i="1" s="1"/>
  <c r="EQ34" i="1"/>
  <c r="FF34" i="1" s="1"/>
  <c r="FO34" i="1" s="1"/>
  <c r="FQ34" i="1" s="1"/>
  <c r="EQ58" i="1"/>
  <c r="FF58" i="1" s="1"/>
  <c r="FO58" i="1" s="1"/>
  <c r="FQ58" i="1" s="1"/>
  <c r="EQ60" i="1"/>
  <c r="FF60" i="1" s="1"/>
  <c r="FO60" i="1" s="1"/>
  <c r="FQ60" i="1" s="1"/>
  <c r="GB27" i="1"/>
  <c r="GI27" i="1" s="1"/>
  <c r="GJ27" i="1" s="1"/>
  <c r="EQ136" i="1"/>
  <c r="FF136" i="1" s="1"/>
  <c r="FO136" i="1" s="1"/>
  <c r="FP136" i="1" s="1"/>
  <c r="GB298" i="1"/>
  <c r="GE298" i="1" s="1"/>
  <c r="GF298" i="1" s="1"/>
  <c r="GB58" i="1"/>
  <c r="GP58" i="1" s="1"/>
  <c r="GB306" i="1"/>
  <c r="GG306" i="1" s="1"/>
  <c r="GH306" i="1" s="1"/>
  <c r="EQ202" i="1"/>
  <c r="FF202" i="1" s="1"/>
  <c r="FO202" i="1" s="1"/>
  <c r="FQ202" i="1" s="1"/>
  <c r="GB308" i="1"/>
  <c r="GQ308" i="1" s="1"/>
  <c r="EQ298" i="1"/>
  <c r="FF298" i="1" s="1"/>
  <c r="FO298" i="1" s="1"/>
  <c r="FQ298" i="1" s="1"/>
  <c r="GB259" i="1"/>
  <c r="GI259" i="1" s="1"/>
  <c r="GJ259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2" i="1"/>
  <c r="GI262" i="1" s="1"/>
  <c r="GJ262" i="1" s="1"/>
  <c r="EQ31" i="1"/>
  <c r="FF31" i="1" s="1"/>
  <c r="FO31" i="1" s="1"/>
  <c r="FQ31" i="1" s="1"/>
  <c r="GB88" i="1"/>
  <c r="GQ88" i="1" s="1"/>
  <c r="GB300" i="1"/>
  <c r="GI300" i="1" s="1"/>
  <c r="GJ300" i="1" s="1"/>
  <c r="GB9" i="1"/>
  <c r="GC9" i="1" s="1"/>
  <c r="GD9" i="1" s="1"/>
  <c r="EQ278" i="1"/>
  <c r="FF278" i="1" s="1"/>
  <c r="FO278" i="1" s="1"/>
  <c r="FQ278" i="1" s="1"/>
  <c r="GB3" i="1"/>
  <c r="GB305" i="1"/>
  <c r="GB277" i="1"/>
  <c r="GS277" i="1" s="1"/>
  <c r="GT277" i="1" s="1"/>
  <c r="GU277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FQ133" i="1" s="1"/>
  <c r="GB253" i="1"/>
  <c r="GC253" i="1" s="1"/>
  <c r="GD253" i="1" s="1"/>
  <c r="EQ5" i="1"/>
  <c r="FF5" i="1" s="1"/>
  <c r="FO5" i="1" s="1"/>
  <c r="FP5" i="1" s="1"/>
  <c r="GB194" i="1"/>
  <c r="GC194" i="1" s="1"/>
  <c r="GD194" i="1" s="1"/>
  <c r="EQ24" i="1"/>
  <c r="FF24" i="1" s="1"/>
  <c r="FO24" i="1" s="1"/>
  <c r="FQ24" i="1" s="1"/>
  <c r="GB247" i="1"/>
  <c r="EQ89" i="1"/>
  <c r="FF89" i="1" s="1"/>
  <c r="FO89" i="1" s="1"/>
  <c r="FQ89" i="1" s="1"/>
  <c r="GB234" i="1"/>
  <c r="GK234" i="1" s="1"/>
  <c r="GL234" i="1" s="1"/>
  <c r="EQ190" i="1"/>
  <c r="FF190" i="1" s="1"/>
  <c r="FO190" i="1" s="1"/>
  <c r="FQ190" i="1" s="1"/>
  <c r="GB287" i="1"/>
  <c r="GC287" i="1" s="1"/>
  <c r="GD287" i="1" s="1"/>
  <c r="EQ299" i="1"/>
  <c r="FF299" i="1" s="1"/>
  <c r="FO299" i="1" s="1"/>
  <c r="FQ299" i="1" s="1"/>
  <c r="GB31" i="1"/>
  <c r="GS31" i="1" s="1"/>
  <c r="GT31" i="1" s="1"/>
  <c r="GU31" i="1" s="1"/>
  <c r="EQ248" i="1"/>
  <c r="FF248" i="1" s="1"/>
  <c r="FO248" i="1" s="1"/>
  <c r="FP248" i="1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EQ57" i="1"/>
  <c r="FF57" i="1" s="1"/>
  <c r="FO57" i="1" s="1"/>
  <c r="FQ57" i="1" s="1"/>
  <c r="EQ157" i="1"/>
  <c r="FF157" i="1" s="1"/>
  <c r="FO157" i="1" s="1"/>
  <c r="FQ157" i="1" s="1"/>
  <c r="EQ149" i="1"/>
  <c r="FF149" i="1" s="1"/>
  <c r="FO149" i="1" s="1"/>
  <c r="FQ149" i="1" s="1"/>
  <c r="EQ310" i="1"/>
  <c r="FF310" i="1" s="1"/>
  <c r="FO310" i="1" s="1"/>
  <c r="EQ83" i="1"/>
  <c r="FF83" i="1" s="1"/>
  <c r="FO83" i="1" s="1"/>
  <c r="EQ117" i="1"/>
  <c r="FF117" i="1" s="1"/>
  <c r="FO117" i="1" s="1"/>
  <c r="FQ117" i="1" s="1"/>
  <c r="EQ228" i="1"/>
  <c r="FF228" i="1" s="1"/>
  <c r="FO228" i="1" s="1"/>
  <c r="GB119" i="1"/>
  <c r="GC119" i="1" s="1"/>
  <c r="GD119" i="1" s="1"/>
  <c r="FF105" i="1"/>
  <c r="FO105" i="1" s="1"/>
  <c r="FQ105" i="1" s="1"/>
  <c r="EQ279" i="1"/>
  <c r="FF279" i="1" s="1"/>
  <c r="FO279" i="1" s="1"/>
  <c r="FP279" i="1" s="1"/>
  <c r="GB214" i="1"/>
  <c r="GC214" i="1" s="1"/>
  <c r="GD214" i="1" s="1"/>
  <c r="GB224" i="1"/>
  <c r="GQ224" i="1" s="1"/>
  <c r="EQ183" i="1"/>
  <c r="FF183" i="1" s="1"/>
  <c r="FO183" i="1" s="1"/>
  <c r="FP183" i="1" s="1"/>
  <c r="EQ304" i="1"/>
  <c r="FF304" i="1" s="1"/>
  <c r="FO304" i="1" s="1"/>
  <c r="FQ304" i="1" s="1"/>
  <c r="EQ234" i="1"/>
  <c r="FF234" i="1" s="1"/>
  <c r="FO234" i="1" s="1"/>
  <c r="FP234" i="1" s="1"/>
  <c r="GB210" i="1"/>
  <c r="GE210" i="1" s="1"/>
  <c r="GF210" i="1" s="1"/>
  <c r="EQ108" i="1"/>
  <c r="FF108" i="1" s="1"/>
  <c r="FO108" i="1" s="1"/>
  <c r="EQ153" i="1"/>
  <c r="FF153" i="1" s="1"/>
  <c r="FO153" i="1" s="1"/>
  <c r="FQ153" i="1" s="1"/>
  <c r="EQ100" i="1"/>
  <c r="FF100" i="1" s="1"/>
  <c r="FO100" i="1" s="1"/>
  <c r="FQ100" i="1" s="1"/>
  <c r="EQ302" i="1"/>
  <c r="FF302" i="1" s="1"/>
  <c r="FO302" i="1" s="1"/>
  <c r="GB162" i="1"/>
  <c r="GP162" i="1" s="1"/>
  <c r="EQ293" i="1"/>
  <c r="FF293" i="1" s="1"/>
  <c r="FO293" i="1" s="1"/>
  <c r="FP293" i="1" s="1"/>
  <c r="FF132" i="1"/>
  <c r="FO132" i="1" s="1"/>
  <c r="FP132" i="1" s="1"/>
  <c r="EQ264" i="1"/>
  <c r="FF264" i="1" s="1"/>
  <c r="FO264" i="1" s="1"/>
  <c r="GB15" i="1"/>
  <c r="GE15" i="1" s="1"/>
  <c r="GF15" i="1" s="1"/>
  <c r="EQ84" i="1"/>
  <c r="FF84" i="1" s="1"/>
  <c r="FO84" i="1" s="1"/>
  <c r="FQ84" i="1" s="1"/>
  <c r="EQ240" i="1"/>
  <c r="FF240" i="1" s="1"/>
  <c r="FO240" i="1" s="1"/>
  <c r="FQ240" i="1" s="1"/>
  <c r="EQ33" i="1"/>
  <c r="FF33" i="1" s="1"/>
  <c r="FO33" i="1" s="1"/>
  <c r="EQ175" i="1"/>
  <c r="FF175" i="1" s="1"/>
  <c r="FO175" i="1" s="1"/>
  <c r="EQ168" i="1"/>
  <c r="FF168" i="1" s="1"/>
  <c r="FO168" i="1" s="1"/>
  <c r="EQ36" i="1"/>
  <c r="FF36" i="1" s="1"/>
  <c r="FO36" i="1" s="1"/>
  <c r="FF167" i="1"/>
  <c r="FO167" i="1" s="1"/>
  <c r="FP167" i="1" s="1"/>
  <c r="EQ69" i="1"/>
  <c r="FF69" i="1" s="1"/>
  <c r="FO69" i="1" s="1"/>
  <c r="EQ48" i="1"/>
  <c r="FF48" i="1" s="1"/>
  <c r="FO48" i="1" s="1"/>
  <c r="FF245" i="1"/>
  <c r="FO245" i="1" s="1"/>
  <c r="FQ245" i="1" s="1"/>
  <c r="GB198" i="1"/>
  <c r="GS198" i="1" s="1"/>
  <c r="GT198" i="1" s="1"/>
  <c r="GU198" i="1" s="1"/>
  <c r="FF178" i="1"/>
  <c r="FO178" i="1" s="1"/>
  <c r="FQ178" i="1" s="1"/>
  <c r="GB138" i="1"/>
  <c r="GK138" i="1" s="1"/>
  <c r="GL138" i="1" s="1"/>
  <c r="GB254" i="1"/>
  <c r="GG254" i="1" s="1"/>
  <c r="GH254" i="1" s="1"/>
  <c r="FF227" i="1"/>
  <c r="FO227" i="1" s="1"/>
  <c r="FQ227" i="1" s="1"/>
  <c r="GB257" i="1"/>
  <c r="EQ214" i="1"/>
  <c r="FF214" i="1" s="1"/>
  <c r="FO214" i="1" s="1"/>
  <c r="FF282" i="1"/>
  <c r="FO282" i="1" s="1"/>
  <c r="FQ282" i="1" s="1"/>
  <c r="FF85" i="1"/>
  <c r="FO85" i="1" s="1"/>
  <c r="FP85" i="1" s="1"/>
  <c r="FF4" i="1"/>
  <c r="FO4" i="1" s="1"/>
  <c r="FP4" i="1" s="1"/>
  <c r="EQ158" i="1"/>
  <c r="FF158" i="1" s="1"/>
  <c r="FO158" i="1" s="1"/>
  <c r="FQ158" i="1" s="1"/>
  <c r="GB85" i="1"/>
  <c r="GC85" i="1" s="1"/>
  <c r="GD85" i="1" s="1"/>
  <c r="GB35" i="1"/>
  <c r="GG35" i="1" s="1"/>
  <c r="GH35" i="1" s="1"/>
  <c r="GB268" i="1"/>
  <c r="GP268" i="1" s="1"/>
  <c r="EQ127" i="1"/>
  <c r="FF127" i="1" s="1"/>
  <c r="FO127" i="1" s="1"/>
  <c r="FF118" i="1"/>
  <c r="FO118" i="1" s="1"/>
  <c r="EQ154" i="1"/>
  <c r="FF154" i="1" s="1"/>
  <c r="FO154" i="1" s="1"/>
  <c r="EQ192" i="1"/>
  <c r="FF192" i="1" s="1"/>
  <c r="FO192" i="1" s="1"/>
  <c r="FF162" i="1"/>
  <c r="FO162" i="1" s="1"/>
  <c r="FQ162" i="1" s="1"/>
  <c r="FF159" i="1"/>
  <c r="FO159" i="1" s="1"/>
  <c r="FQ159" i="1" s="1"/>
  <c r="EQ119" i="1"/>
  <c r="FF119" i="1" s="1"/>
  <c r="FO119" i="1" s="1"/>
  <c r="FQ119" i="1" s="1"/>
  <c r="EQ241" i="1"/>
  <c r="FF241" i="1" s="1"/>
  <c r="FO241" i="1" s="1"/>
  <c r="FF94" i="1"/>
  <c r="FO94" i="1" s="1"/>
  <c r="EQ7" i="1"/>
  <c r="FF7" i="1" s="1"/>
  <c r="FO7" i="1" s="1"/>
  <c r="EQ35" i="1"/>
  <c r="FF35" i="1" s="1"/>
  <c r="FO35" i="1" s="1"/>
  <c r="FP35" i="1" s="1"/>
  <c r="EQ209" i="1"/>
  <c r="FF209" i="1" s="1"/>
  <c r="FO209" i="1" s="1"/>
  <c r="EQ276" i="1"/>
  <c r="FF276" i="1" s="1"/>
  <c r="FO276" i="1" s="1"/>
  <c r="EQ68" i="1"/>
  <c r="FF68" i="1" s="1"/>
  <c r="FO68" i="1" s="1"/>
  <c r="FP68" i="1" s="1"/>
  <c r="EQ237" i="1"/>
  <c r="FF237" i="1" s="1"/>
  <c r="FO237" i="1" s="1"/>
  <c r="EQ194" i="1"/>
  <c r="FF194" i="1" s="1"/>
  <c r="FO194" i="1" s="1"/>
  <c r="FF141" i="1"/>
  <c r="FO141" i="1" s="1"/>
  <c r="GB107" i="1"/>
  <c r="GQ107" i="1" s="1"/>
  <c r="GB44" i="1"/>
  <c r="GP44" i="1" s="1"/>
  <c r="GB291" i="1"/>
  <c r="GK291" i="1" s="1"/>
  <c r="GL291" i="1" s="1"/>
  <c r="FF131" i="1"/>
  <c r="FO131" i="1" s="1"/>
  <c r="FQ131" i="1" s="1"/>
  <c r="EQ72" i="1"/>
  <c r="FF72" i="1" s="1"/>
  <c r="FO72" i="1" s="1"/>
  <c r="EQ260" i="1"/>
  <c r="FF260" i="1" s="1"/>
  <c r="FO260" i="1" s="1"/>
  <c r="GB261" i="1"/>
  <c r="GP261" i="1" s="1"/>
  <c r="GB52" i="1"/>
  <c r="GP52" i="1" s="1"/>
  <c r="EQ247" i="1"/>
  <c r="FF247" i="1" s="1"/>
  <c r="FO247" i="1" s="1"/>
  <c r="EQ250" i="1"/>
  <c r="FF250" i="1" s="1"/>
  <c r="FO250" i="1" s="1"/>
  <c r="FF63" i="1"/>
  <c r="FO63" i="1" s="1"/>
  <c r="FQ63" i="1" s="1"/>
  <c r="EQ17" i="1"/>
  <c r="FF17" i="1" s="1"/>
  <c r="FO17" i="1" s="1"/>
  <c r="EQ120" i="1"/>
  <c r="FF120" i="1" s="1"/>
  <c r="FO120" i="1" s="1"/>
  <c r="GB240" i="1"/>
  <c r="GI240" i="1" s="1"/>
  <c r="GJ240" i="1" s="1"/>
  <c r="EQ242" i="1"/>
  <c r="FF242" i="1" s="1"/>
  <c r="FO242" i="1" s="1"/>
  <c r="FF286" i="1"/>
  <c r="FO286" i="1" s="1"/>
  <c r="FP286" i="1" s="1"/>
  <c r="FF78" i="1"/>
  <c r="FO78" i="1" s="1"/>
  <c r="FP78" i="1" s="1"/>
  <c r="EQ196" i="1"/>
  <c r="FF196" i="1" s="1"/>
  <c r="FO196" i="1" s="1"/>
  <c r="EQ107" i="1"/>
  <c r="FF107" i="1" s="1"/>
  <c r="FO107" i="1" s="1"/>
  <c r="FQ107" i="1" s="1"/>
  <c r="EQ166" i="1"/>
  <c r="FF166" i="1" s="1"/>
  <c r="FO166" i="1" s="1"/>
  <c r="FF261" i="1"/>
  <c r="FO261" i="1" s="1"/>
  <c r="EQ309" i="1"/>
  <c r="FF309" i="1" s="1"/>
  <c r="FO309" i="1" s="1"/>
  <c r="EQ198" i="1"/>
  <c r="FF198" i="1" s="1"/>
  <c r="FO198" i="1" s="1"/>
  <c r="FP198" i="1" s="1"/>
  <c r="EQ177" i="1"/>
  <c r="FF177" i="1" s="1"/>
  <c r="FO177" i="1" s="1"/>
  <c r="GB118" i="1"/>
  <c r="GP118" i="1" s="1"/>
  <c r="GB37" i="1"/>
  <c r="GG37" i="1" s="1"/>
  <c r="GH37" i="1" s="1"/>
  <c r="GB22" i="1"/>
  <c r="GQ22" i="1" s="1"/>
  <c r="FF267" i="1"/>
  <c r="FO267" i="1" s="1"/>
  <c r="FP267" i="1" s="1"/>
  <c r="GB28" i="1"/>
  <c r="GS28" i="1" s="1"/>
  <c r="GT28" i="1" s="1"/>
  <c r="GU28" i="1" s="1"/>
  <c r="GB256" i="1"/>
  <c r="GB233" i="1"/>
  <c r="GS233" i="1" s="1"/>
  <c r="GT233" i="1" s="1"/>
  <c r="GU233" i="1" s="1"/>
  <c r="FF79" i="1"/>
  <c r="FO79" i="1" s="1"/>
  <c r="GB84" i="1"/>
  <c r="GS84" i="1" s="1"/>
  <c r="GT84" i="1" s="1"/>
  <c r="GU84" i="1" s="1"/>
  <c r="EQ288" i="1"/>
  <c r="FF288" i="1" s="1"/>
  <c r="FO288" i="1" s="1"/>
  <c r="EQ10" i="1"/>
  <c r="FF10" i="1" s="1"/>
  <c r="FO10" i="1" s="1"/>
  <c r="FP10" i="1" s="1"/>
  <c r="GB282" i="1"/>
  <c r="GK282" i="1" s="1"/>
  <c r="GL282" i="1" s="1"/>
  <c r="GB81" i="1"/>
  <c r="GQ81" i="1" s="1"/>
  <c r="FF125" i="1"/>
  <c r="FO125" i="1" s="1"/>
  <c r="FP125" i="1" s="1"/>
  <c r="FF74" i="1"/>
  <c r="FO74" i="1" s="1"/>
  <c r="FF112" i="1"/>
  <c r="FO112" i="1" s="1"/>
  <c r="GB286" i="1"/>
  <c r="GP286" i="1" s="1"/>
  <c r="GB20" i="1"/>
  <c r="GE20" i="1" s="1"/>
  <c r="GF20" i="1" s="1"/>
  <c r="GB244" i="1"/>
  <c r="GE244" i="1" s="1"/>
  <c r="GF244" i="1" s="1"/>
  <c r="FF87" i="1"/>
  <c r="FO87" i="1" s="1"/>
  <c r="GB217" i="1"/>
  <c r="GS217" i="1" s="1"/>
  <c r="GT217" i="1" s="1"/>
  <c r="GU217" i="1" s="1"/>
  <c r="GB121" i="1"/>
  <c r="GI121" i="1" s="1"/>
  <c r="GJ121" i="1" s="1"/>
  <c r="FF106" i="1"/>
  <c r="FO106" i="1" s="1"/>
  <c r="FQ106" i="1" s="1"/>
  <c r="GB289" i="1"/>
  <c r="GB231" i="1"/>
  <c r="GP231" i="1" s="1"/>
  <c r="GB60" i="1"/>
  <c r="GE60" i="1" s="1"/>
  <c r="GF60" i="1" s="1"/>
  <c r="GB169" i="1"/>
  <c r="GI169" i="1" s="1"/>
  <c r="GJ169" i="1" s="1"/>
  <c r="GB285" i="1"/>
  <c r="GK285" i="1" s="1"/>
  <c r="GL285" i="1" s="1"/>
  <c r="GB101" i="1"/>
  <c r="FF176" i="1"/>
  <c r="FO176" i="1" s="1"/>
  <c r="FQ176" i="1" s="1"/>
  <c r="FF150" i="1"/>
  <c r="FO150" i="1" s="1"/>
  <c r="FF283" i="1"/>
  <c r="FO283" i="1" s="1"/>
  <c r="FQ283" i="1" s="1"/>
  <c r="FF76" i="1"/>
  <c r="FO76" i="1" s="1"/>
  <c r="FP76" i="1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FQ123" i="1" s="1"/>
  <c r="FF212" i="1"/>
  <c r="FO212" i="1" s="1"/>
  <c r="FF201" i="1"/>
  <c r="FO201" i="1" s="1"/>
  <c r="FQ201" i="1" s="1"/>
  <c r="FF226" i="1"/>
  <c r="FO226" i="1" s="1"/>
  <c r="FQ226" i="1" s="1"/>
  <c r="GB266" i="1"/>
  <c r="GG266" i="1" s="1"/>
  <c r="GH266" i="1" s="1"/>
  <c r="GB235" i="1"/>
  <c r="GP235" i="1" s="1"/>
  <c r="FF59" i="1"/>
  <c r="FO59" i="1" s="1"/>
  <c r="GB116" i="1"/>
  <c r="GG116" i="1" s="1"/>
  <c r="GH116" i="1" s="1"/>
  <c r="FF284" i="1"/>
  <c r="FO284" i="1" s="1"/>
  <c r="FQ284" i="1" s="1"/>
  <c r="FF70" i="1"/>
  <c r="FO70" i="1" s="1"/>
  <c r="FP70" i="1" s="1"/>
  <c r="GB299" i="1"/>
  <c r="GP299" i="1" s="1"/>
  <c r="FF223" i="1"/>
  <c r="FO223" i="1" s="1"/>
  <c r="FP223" i="1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FQ121" i="1" s="1"/>
  <c r="FF246" i="1"/>
  <c r="FO246" i="1" s="1"/>
  <c r="FQ246" i="1" s="1"/>
  <c r="GB106" i="1"/>
  <c r="GQ106" i="1" s="1"/>
  <c r="GB204" i="1"/>
  <c r="GS204" i="1" s="1"/>
  <c r="GT204" i="1" s="1"/>
  <c r="GU204" i="1" s="1"/>
  <c r="FF289" i="1"/>
  <c r="FO289" i="1" s="1"/>
  <c r="FQ289" i="1" s="1"/>
  <c r="GB248" i="1"/>
  <c r="GE248" i="1" s="1"/>
  <c r="GF248" i="1" s="1"/>
  <c r="GB16" i="1"/>
  <c r="GB66" i="1"/>
  <c r="GK66" i="1" s="1"/>
  <c r="GL66" i="1" s="1"/>
  <c r="FF195" i="1"/>
  <c r="FO195" i="1" s="1"/>
  <c r="FQ195" i="1" s="1"/>
  <c r="GB34" i="1"/>
  <c r="GK34" i="1" s="1"/>
  <c r="GL34" i="1" s="1"/>
  <c r="FF90" i="1"/>
  <c r="FO90" i="1" s="1"/>
  <c r="FQ90" i="1" s="1"/>
  <c r="GB260" i="1"/>
  <c r="GQ260" i="1" s="1"/>
  <c r="GB307" i="1"/>
  <c r="EQ80" i="1"/>
  <c r="FF80" i="1" s="1"/>
  <c r="FO80" i="1" s="1"/>
  <c r="EQ73" i="1"/>
  <c r="FF73" i="1" s="1"/>
  <c r="FO73" i="1" s="1"/>
  <c r="EQ67" i="1"/>
  <c r="FF67" i="1" s="1"/>
  <c r="FO67" i="1" s="1"/>
  <c r="GB216" i="1"/>
  <c r="GQ216" i="1" s="1"/>
  <c r="GB95" i="1"/>
  <c r="GK95" i="1" s="1"/>
  <c r="GL95" i="1" s="1"/>
  <c r="GB189" i="1"/>
  <c r="GE189" i="1" s="1"/>
  <c r="GF189" i="1" s="1"/>
  <c r="EQ255" i="1"/>
  <c r="FF255" i="1" s="1"/>
  <c r="FO255" i="1" s="1"/>
  <c r="GB271" i="1"/>
  <c r="GI271" i="1" s="1"/>
  <c r="GJ271" i="1" s="1"/>
  <c r="FF75" i="1"/>
  <c r="FO75" i="1" s="1"/>
  <c r="FQ75" i="1" s="1"/>
  <c r="GB149" i="1"/>
  <c r="EQ128" i="1"/>
  <c r="FF128" i="1" s="1"/>
  <c r="FO128" i="1" s="1"/>
  <c r="EQ169" i="1"/>
  <c r="FF169" i="1" s="1"/>
  <c r="FO169" i="1" s="1"/>
  <c r="GB78" i="1"/>
  <c r="GE78" i="1" s="1"/>
  <c r="GF78" i="1" s="1"/>
  <c r="GB141" i="1"/>
  <c r="GC141" i="1" s="1"/>
  <c r="GD141" i="1" s="1"/>
  <c r="FF301" i="1"/>
  <c r="FO301" i="1" s="1"/>
  <c r="FQ301" i="1" s="1"/>
  <c r="FF151" i="1"/>
  <c r="FO151" i="1" s="1"/>
  <c r="FQ151" i="1" s="1"/>
  <c r="GB190" i="1"/>
  <c r="GQ190" i="1" s="1"/>
  <c r="FF155" i="1"/>
  <c r="FO155" i="1" s="1"/>
  <c r="FQ155" i="1" s="1"/>
  <c r="GB65" i="1"/>
  <c r="GQ65" i="1" s="1"/>
  <c r="FF88" i="1"/>
  <c r="FO88" i="1" s="1"/>
  <c r="FQ88" i="1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FF254" i="1"/>
  <c r="FO254" i="1" s="1"/>
  <c r="FQ254" i="1" s="1"/>
  <c r="FF230" i="1"/>
  <c r="FO230" i="1" s="1"/>
  <c r="FP230" i="1" s="1"/>
  <c r="GB230" i="1"/>
  <c r="GC230" i="1" s="1"/>
  <c r="GD230" i="1" s="1"/>
  <c r="FF285" i="1"/>
  <c r="FO285" i="1" s="1"/>
  <c r="FQ285" i="1" s="1"/>
  <c r="GB105" i="1"/>
  <c r="GI105" i="1" s="1"/>
  <c r="GJ105" i="1" s="1"/>
  <c r="GB6" i="1"/>
  <c r="GC6" i="1" s="1"/>
  <c r="GD6" i="1" s="1"/>
  <c r="FF189" i="1"/>
  <c r="FO189" i="1" s="1"/>
  <c r="FP189" i="1" s="1"/>
  <c r="EQ252" i="1"/>
  <c r="FF252" i="1" s="1"/>
  <c r="FO252" i="1" s="1"/>
  <c r="FQ252" i="1" s="1"/>
  <c r="EQ277" i="1"/>
  <c r="FF277" i="1" s="1"/>
  <c r="FO277" i="1" s="1"/>
  <c r="EQ156" i="1"/>
  <c r="FF156" i="1" s="1"/>
  <c r="FO156" i="1" s="1"/>
  <c r="EQ258" i="1"/>
  <c r="FF258" i="1" s="1"/>
  <c r="FO258" i="1" s="1"/>
  <c r="FF272" i="1"/>
  <c r="FO272" i="1" s="1"/>
  <c r="FQ272" i="1" s="1"/>
  <c r="GB11" i="1"/>
  <c r="GE11" i="1" s="1"/>
  <c r="GF11" i="1" s="1"/>
  <c r="FF256" i="1"/>
  <c r="FO256" i="1" s="1"/>
  <c r="FP256" i="1" s="1"/>
  <c r="FF229" i="1"/>
  <c r="FO229" i="1" s="1"/>
  <c r="FP229" i="1" s="1"/>
  <c r="FF8" i="1"/>
  <c r="FO8" i="1" s="1"/>
  <c r="FP8" i="1" s="1"/>
  <c r="GB219" i="1"/>
  <c r="GE219" i="1" s="1"/>
  <c r="GF219" i="1" s="1"/>
  <c r="FF259" i="1"/>
  <c r="FO259" i="1" s="1"/>
  <c r="FP259" i="1" s="1"/>
  <c r="FF218" i="1"/>
  <c r="FO218" i="1" s="1"/>
  <c r="FQ218" i="1" s="1"/>
  <c r="GB167" i="1"/>
  <c r="GC167" i="1" s="1"/>
  <c r="GD167" i="1" s="1"/>
  <c r="FF145" i="1"/>
  <c r="FO145" i="1" s="1"/>
  <c r="GB131" i="1"/>
  <c r="GQ131" i="1" s="1"/>
  <c r="FF148" i="1"/>
  <c r="FO148" i="1" s="1"/>
  <c r="FQ148" i="1" s="1"/>
  <c r="FF81" i="1"/>
  <c r="FO81" i="1" s="1"/>
  <c r="FQ81" i="1" s="1"/>
  <c r="FF135" i="1"/>
  <c r="FO135" i="1" s="1"/>
  <c r="FQ135" i="1" s="1"/>
  <c r="GB36" i="1"/>
  <c r="GK36" i="1" s="1"/>
  <c r="GL36" i="1" s="1"/>
  <c r="GB267" i="1"/>
  <c r="GG267" i="1" s="1"/>
  <c r="GH267" i="1" s="1"/>
  <c r="GB91" i="1"/>
  <c r="GB245" i="1"/>
  <c r="FF92" i="1"/>
  <c r="FO92" i="1" s="1"/>
  <c r="GB223" i="1"/>
  <c r="FF297" i="1"/>
  <c r="FO297" i="1" s="1"/>
  <c r="GB42" i="1"/>
  <c r="GP42" i="1" s="1"/>
  <c r="FF173" i="1"/>
  <c r="FO173" i="1" s="1"/>
  <c r="FP173" i="1" s="1"/>
  <c r="FF18" i="1"/>
  <c r="FO18" i="1" s="1"/>
  <c r="FQ18" i="1" s="1"/>
  <c r="GB158" i="1"/>
  <c r="GQ158" i="1" s="1"/>
  <c r="FF142" i="1"/>
  <c r="FO142" i="1" s="1"/>
  <c r="FQ142" i="1" s="1"/>
  <c r="GB152" i="1"/>
  <c r="GK152" i="1" s="1"/>
  <c r="GL152" i="1" s="1"/>
  <c r="GB183" i="1"/>
  <c r="GK183" i="1" s="1"/>
  <c r="GL183" i="1" s="1"/>
  <c r="GB5" i="1"/>
  <c r="GP5" i="1" s="1"/>
  <c r="GB283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FP213" i="1" s="1"/>
  <c r="FF306" i="1"/>
  <c r="FO306" i="1" s="1"/>
  <c r="FQ306" i="1" s="1"/>
  <c r="FF291" i="1"/>
  <c r="FO291" i="1" s="1"/>
  <c r="FQ291" i="1" s="1"/>
  <c r="GB301" i="1"/>
  <c r="GI301" i="1" s="1"/>
  <c r="GJ301" i="1" s="1"/>
  <c r="GB49" i="1"/>
  <c r="GC49" i="1" s="1"/>
  <c r="GD49" i="1" s="1"/>
  <c r="GB173" i="1"/>
  <c r="GE173" i="1" s="1"/>
  <c r="GF173" i="1" s="1"/>
  <c r="GB176" i="1"/>
  <c r="FF197" i="1"/>
  <c r="FO197" i="1" s="1"/>
  <c r="GB197" i="1"/>
  <c r="GB310" i="1"/>
  <c r="GQ310" i="1" s="1"/>
  <c r="GB187" i="1"/>
  <c r="GS187" i="1" s="1"/>
  <c r="GT187" i="1" s="1"/>
  <c r="GU187" i="1" s="1"/>
  <c r="EQ22" i="1"/>
  <c r="FF22" i="1" s="1"/>
  <c r="FO22" i="1" s="1"/>
  <c r="EQ39" i="1"/>
  <c r="FF39" i="1" s="1"/>
  <c r="FO39" i="1" s="1"/>
  <c r="EQ163" i="1"/>
  <c r="FF163" i="1" s="1"/>
  <c r="FO163" i="1" s="1"/>
  <c r="FP163" i="1" s="1"/>
  <c r="EQ204" i="1"/>
  <c r="FF204" i="1" s="1"/>
  <c r="FO204" i="1" s="1"/>
  <c r="EQ95" i="1"/>
  <c r="FF95" i="1" s="1"/>
  <c r="FO95" i="1" s="1"/>
  <c r="FQ95" i="1" s="1"/>
  <c r="EQ208" i="1"/>
  <c r="FF208" i="1" s="1"/>
  <c r="FO208" i="1" s="1"/>
  <c r="GB139" i="1"/>
  <c r="GC139" i="1" s="1"/>
  <c r="GD139" i="1" s="1"/>
  <c r="GB182" i="1"/>
  <c r="GC182" i="1" s="1"/>
  <c r="GD182" i="1" s="1"/>
  <c r="GB236" i="1"/>
  <c r="GK236" i="1" s="1"/>
  <c r="GL236" i="1" s="1"/>
  <c r="GB311" i="1"/>
  <c r="GE311" i="1" s="1"/>
  <c r="GF311" i="1" s="1"/>
  <c r="GB98" i="1"/>
  <c r="GQ98" i="1" s="1"/>
  <c r="GB50" i="1"/>
  <c r="GP50" i="1" s="1"/>
  <c r="GB146" i="1"/>
  <c r="GI146" i="1" s="1"/>
  <c r="GJ146" i="1" s="1"/>
  <c r="FP311" i="1"/>
  <c r="FR311" i="1" s="1"/>
  <c r="FS311" i="1" s="1"/>
  <c r="FT311" i="1" s="1"/>
  <c r="FU311" i="1" s="1"/>
  <c r="FW311" i="1" s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69" i="1"/>
  <c r="GH269" i="1" s="1"/>
  <c r="GI269" i="1"/>
  <c r="GJ269" i="1" s="1"/>
  <c r="GP269" i="1"/>
  <c r="GB130" i="1"/>
  <c r="GC130" i="1" s="1"/>
  <c r="GD130" i="1" s="1"/>
  <c r="GQ269" i="1"/>
  <c r="GC269" i="1"/>
  <c r="GD269" i="1" s="1"/>
  <c r="GK269" i="1"/>
  <c r="GL269" i="1" s="1"/>
  <c r="GS269" i="1"/>
  <c r="GT269" i="1" s="1"/>
  <c r="GU269" i="1" s="1"/>
  <c r="GB122" i="1"/>
  <c r="GC122" i="1" s="1"/>
  <c r="GD122" i="1" s="1"/>
  <c r="FP269" i="1"/>
  <c r="FR269" i="1" s="1"/>
  <c r="FS269" i="1" s="1"/>
  <c r="FT269" i="1" s="1"/>
  <c r="FU269" i="1" s="1"/>
  <c r="FW269" i="1" s="1"/>
  <c r="GB179" i="1"/>
  <c r="GS179" i="1" s="1"/>
  <c r="GT179" i="1" s="1"/>
  <c r="GU179" i="1" s="1"/>
  <c r="GB265" i="1"/>
  <c r="GI265" i="1" s="1"/>
  <c r="GJ265" i="1" s="1"/>
  <c r="GB120" i="1"/>
  <c r="GC120" i="1" s="1"/>
  <c r="GD120" i="1" s="1"/>
  <c r="GB281" i="1"/>
  <c r="GE281" i="1" s="1"/>
  <c r="GF281" i="1" s="1"/>
  <c r="GB203" i="1"/>
  <c r="GE203" i="1" s="1"/>
  <c r="GF203" i="1" s="1"/>
  <c r="FP82" i="1"/>
  <c r="FR82" i="1" s="1"/>
  <c r="FS82" i="1" s="1"/>
  <c r="FT82" i="1" s="1"/>
  <c r="FU82" i="1" s="1"/>
  <c r="FW82" i="1" s="1"/>
  <c r="GB103" i="1"/>
  <c r="GG103" i="1" s="1"/>
  <c r="GH103" i="1" s="1"/>
  <c r="FP137" i="1"/>
  <c r="FR137" i="1" s="1"/>
  <c r="FS137" i="1" s="1"/>
  <c r="FT137" i="1" s="1"/>
  <c r="FU137" i="1" s="1"/>
  <c r="FW137" i="1" s="1"/>
  <c r="GB109" i="1"/>
  <c r="GG109" i="1" s="1"/>
  <c r="GH109" i="1" s="1"/>
  <c r="GB270" i="1"/>
  <c r="GP270" i="1" s="1"/>
  <c r="GB39" i="1"/>
  <c r="GP39" i="1" s="1"/>
  <c r="GB243" i="1"/>
  <c r="GS243" i="1" s="1"/>
  <c r="GT243" i="1" s="1"/>
  <c r="GU243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5" i="1"/>
  <c r="GI275" i="1" s="1"/>
  <c r="GJ275" i="1" s="1"/>
  <c r="GB172" i="1"/>
  <c r="GS172" i="1" s="1"/>
  <c r="GT172" i="1" s="1"/>
  <c r="GU172" i="1" s="1"/>
  <c r="FF143" i="1"/>
  <c r="FO143" i="1" s="1"/>
  <c r="FQ143" i="1" s="1"/>
  <c r="GB10" i="1"/>
  <c r="GK10" i="1" s="1"/>
  <c r="GL10" i="1" s="1"/>
  <c r="GB225" i="1"/>
  <c r="GP225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4" i="1"/>
  <c r="GQ274" i="1" s="1"/>
  <c r="GB54" i="1"/>
  <c r="GP54" i="1" s="1"/>
  <c r="GB17" i="1"/>
  <c r="GC17" i="1" s="1"/>
  <c r="GD17" i="1" s="1"/>
  <c r="GB255" i="1"/>
  <c r="GE255" i="1" s="1"/>
  <c r="GF255" i="1" s="1"/>
  <c r="GB77" i="1"/>
  <c r="GP77" i="1" s="1"/>
  <c r="GB43" i="1"/>
  <c r="GC43" i="1" s="1"/>
  <c r="GD43" i="1" s="1"/>
  <c r="GB295" i="1"/>
  <c r="GS295" i="1" s="1"/>
  <c r="GT295" i="1" s="1"/>
  <c r="GU295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FR170" i="1" s="1"/>
  <c r="FS170" i="1" s="1"/>
  <c r="FT170" i="1" s="1"/>
  <c r="FU170" i="1" s="1"/>
  <c r="FW170" i="1" s="1"/>
  <c r="GB290" i="1"/>
  <c r="GQ290" i="1" s="1"/>
  <c r="GB71" i="1"/>
  <c r="GQ71" i="1" s="1"/>
  <c r="FQ275" i="1"/>
  <c r="FR275" i="1" s="1"/>
  <c r="FS275" i="1" s="1"/>
  <c r="FT275" i="1" s="1"/>
  <c r="FU275" i="1" s="1"/>
  <c r="FW275" i="1" s="1"/>
  <c r="GB164" i="1"/>
  <c r="GG164" i="1" s="1"/>
  <c r="GH164" i="1" s="1"/>
  <c r="FP122" i="1"/>
  <c r="FR122" i="1" s="1"/>
  <c r="FS122" i="1" s="1"/>
  <c r="FT122" i="1" s="1"/>
  <c r="FU122" i="1" s="1"/>
  <c r="FW122" i="1" s="1"/>
  <c r="FP273" i="1"/>
  <c r="FR273" i="1" s="1"/>
  <c r="FS273" i="1" s="1"/>
  <c r="FT273" i="1" s="1"/>
  <c r="FU273" i="1" s="1"/>
  <c r="FW273" i="1" s="1"/>
  <c r="GB273" i="1"/>
  <c r="GS273" i="1" s="1"/>
  <c r="GT273" i="1" s="1"/>
  <c r="GU273" i="1" s="1"/>
  <c r="GP111" i="1"/>
  <c r="FP109" i="1"/>
  <c r="FR109" i="1" s="1"/>
  <c r="FS109" i="1" s="1"/>
  <c r="FT109" i="1" s="1"/>
  <c r="FU109" i="1" s="1"/>
  <c r="FW109" i="1" s="1"/>
  <c r="GB238" i="1"/>
  <c r="GK238" i="1" s="1"/>
  <c r="GL238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49" i="1"/>
  <c r="GE249" i="1" s="1"/>
  <c r="GF249" i="1" s="1"/>
  <c r="GB51" i="1"/>
  <c r="GI51" i="1" s="1"/>
  <c r="GJ51" i="1" s="1"/>
  <c r="GB184" i="1"/>
  <c r="GG184" i="1" s="1"/>
  <c r="GH184" i="1" s="1"/>
  <c r="FQ303" i="1"/>
  <c r="FR303" i="1" s="1"/>
  <c r="FS303" i="1" s="1"/>
  <c r="FT303" i="1" s="1"/>
  <c r="FU303" i="1" s="1"/>
  <c r="FW303" i="1" s="1"/>
  <c r="GB185" i="1"/>
  <c r="GK185" i="1" s="1"/>
  <c r="GL185" i="1" s="1"/>
  <c r="GG111" i="1"/>
  <c r="GH111" i="1" s="1"/>
  <c r="FP113" i="1"/>
  <c r="FR113" i="1" s="1"/>
  <c r="FS113" i="1" s="1"/>
  <c r="FT113" i="1" s="1"/>
  <c r="FU113" i="1" s="1"/>
  <c r="FW113" i="1" s="1"/>
  <c r="GB264" i="1"/>
  <c r="GK264" i="1" s="1"/>
  <c r="GL264" i="1" s="1"/>
  <c r="FP296" i="1"/>
  <c r="FR296" i="1" s="1"/>
  <c r="FS296" i="1" s="1"/>
  <c r="FT296" i="1" s="1"/>
  <c r="FU296" i="1" s="1"/>
  <c r="FW296" i="1" s="1"/>
  <c r="FP129" i="1"/>
  <c r="FR129" i="1" s="1"/>
  <c r="FS129" i="1" s="1"/>
  <c r="FT129" i="1" s="1"/>
  <c r="FU129" i="1" s="1"/>
  <c r="FW129" i="1" s="1"/>
  <c r="GB193" i="1"/>
  <c r="GP193" i="1" s="1"/>
  <c r="GB108" i="1"/>
  <c r="GS108" i="1" s="1"/>
  <c r="GT108" i="1" s="1"/>
  <c r="GU108" i="1" s="1"/>
  <c r="GB303" i="1"/>
  <c r="GC303" i="1" s="1"/>
  <c r="GD303" i="1" s="1"/>
  <c r="FQ172" i="1"/>
  <c r="FR172" i="1" s="1"/>
  <c r="FS172" i="1" s="1"/>
  <c r="FT172" i="1" s="1"/>
  <c r="FU172" i="1" s="1"/>
  <c r="FW172" i="1" s="1"/>
  <c r="GC228" i="1"/>
  <c r="GD228" i="1" s="1"/>
  <c r="FP274" i="1"/>
  <c r="FR274" i="1" s="1"/>
  <c r="FS274" i="1" s="1"/>
  <c r="FT274" i="1" s="1"/>
  <c r="FU274" i="1" s="1"/>
  <c r="FW274" i="1" s="1"/>
  <c r="FP25" i="1"/>
  <c r="FR25" i="1" s="1"/>
  <c r="FS25" i="1" s="1"/>
  <c r="FT25" i="1" s="1"/>
  <c r="FU25" i="1" s="1"/>
  <c r="FW25" i="1" s="1"/>
  <c r="FP281" i="1"/>
  <c r="FR281" i="1" s="1"/>
  <c r="FS281" i="1" s="1"/>
  <c r="FT281" i="1" s="1"/>
  <c r="FU281" i="1" s="1"/>
  <c r="FW281" i="1" s="1"/>
  <c r="FP179" i="1"/>
  <c r="FR179" i="1" s="1"/>
  <c r="FS179" i="1" s="1"/>
  <c r="FT179" i="1" s="1"/>
  <c r="FU179" i="1" s="1"/>
  <c r="FW179" i="1" s="1"/>
  <c r="GG228" i="1"/>
  <c r="GH228" i="1" s="1"/>
  <c r="FP97" i="1"/>
  <c r="FR97" i="1" s="1"/>
  <c r="FS97" i="1" s="1"/>
  <c r="FT97" i="1" s="1"/>
  <c r="FU97" i="1" s="1"/>
  <c r="FW97" i="1" s="1"/>
  <c r="FP134" i="1"/>
  <c r="FR134" i="1" s="1"/>
  <c r="FS134" i="1" s="1"/>
  <c r="FT134" i="1" s="1"/>
  <c r="FU134" i="1" s="1"/>
  <c r="FW134" i="1" s="1"/>
  <c r="FP147" i="1"/>
  <c r="FR147" i="1" s="1"/>
  <c r="FS147" i="1" s="1"/>
  <c r="FT147" i="1" s="1"/>
  <c r="FU147" i="1" s="1"/>
  <c r="FW147" i="1" s="1"/>
  <c r="FQ51" i="1"/>
  <c r="FR51" i="1" s="1"/>
  <c r="FS51" i="1" s="1"/>
  <c r="FT51" i="1" s="1"/>
  <c r="FU51" i="1" s="1"/>
  <c r="FW51" i="1" s="1"/>
  <c r="FP184" i="1"/>
  <c r="FR184" i="1" s="1"/>
  <c r="FS184" i="1" s="1"/>
  <c r="FT184" i="1" s="1"/>
  <c r="FU184" i="1" s="1"/>
  <c r="FW184" i="1" s="1"/>
  <c r="GE228" i="1"/>
  <c r="GF228" i="1" s="1"/>
  <c r="FP193" i="1"/>
  <c r="FR193" i="1" s="1"/>
  <c r="FS193" i="1" s="1"/>
  <c r="FT193" i="1" s="1"/>
  <c r="FU193" i="1" s="1"/>
  <c r="FW193" i="1" s="1"/>
  <c r="FP236" i="1"/>
  <c r="FR236" i="1" s="1"/>
  <c r="FS236" i="1" s="1"/>
  <c r="FT236" i="1" s="1"/>
  <c r="FU236" i="1" s="1"/>
  <c r="FW236" i="1" s="1"/>
  <c r="GS228" i="1"/>
  <c r="GT228" i="1" s="1"/>
  <c r="GU228" i="1" s="1"/>
  <c r="FQ98" i="1"/>
  <c r="FR98" i="1" s="1"/>
  <c r="FS98" i="1" s="1"/>
  <c r="FT98" i="1" s="1"/>
  <c r="FU98" i="1" s="1"/>
  <c r="FW98" i="1" s="1"/>
  <c r="GI228" i="1"/>
  <c r="GJ228" i="1" s="1"/>
  <c r="FQ182" i="1"/>
  <c r="FP182" i="1"/>
  <c r="FQ140" i="1"/>
  <c r="FP140" i="1"/>
  <c r="GS263" i="1"/>
  <c r="GT263" i="1" s="1"/>
  <c r="GU263" i="1" s="1"/>
  <c r="GQ263" i="1"/>
  <c r="GI263" i="1"/>
  <c r="GJ263" i="1" s="1"/>
  <c r="GC263" i="1"/>
  <c r="GD263" i="1" s="1"/>
  <c r="GP263" i="1"/>
  <c r="GE263" i="1"/>
  <c r="GF263" i="1" s="1"/>
  <c r="FP96" i="1"/>
  <c r="FR96" i="1" s="1"/>
  <c r="FS96" i="1" s="1"/>
  <c r="FT96" i="1" s="1"/>
  <c r="FU96" i="1" s="1"/>
  <c r="FW96" i="1" s="1"/>
  <c r="GG263" i="1"/>
  <c r="GB13" i="1"/>
  <c r="FP164" i="1"/>
  <c r="FR164" i="1" s="1"/>
  <c r="FS164" i="1" s="1"/>
  <c r="FT164" i="1" s="1"/>
  <c r="FU164" i="1" s="1"/>
  <c r="FW164" i="1" s="1"/>
  <c r="FP54" i="1"/>
  <c r="FR54" i="1" s="1"/>
  <c r="FS54" i="1" s="1"/>
  <c r="FT54" i="1" s="1"/>
  <c r="FU54" i="1" s="1"/>
  <c r="FW54" i="1" s="1"/>
  <c r="GB63" i="1"/>
  <c r="GC63" i="1" s="1"/>
  <c r="GD63" i="1" s="1"/>
  <c r="GQ228" i="1"/>
  <c r="GB211" i="1"/>
  <c r="GK211" i="1" s="1"/>
  <c r="GL211" i="1" s="1"/>
  <c r="FP239" i="1"/>
  <c r="FR239" i="1" s="1"/>
  <c r="FS239" i="1" s="1"/>
  <c r="FT239" i="1" s="1"/>
  <c r="FU239" i="1" s="1"/>
  <c r="FW239" i="1" s="1"/>
  <c r="FQ124" i="1"/>
  <c r="FR124" i="1" s="1"/>
  <c r="FS124" i="1" s="1"/>
  <c r="FT124" i="1" s="1"/>
  <c r="FU124" i="1" s="1"/>
  <c r="FW124" i="1" s="1"/>
  <c r="GP228" i="1"/>
  <c r="GB209" i="1"/>
  <c r="GG209" i="1" s="1"/>
  <c r="GH209" i="1" s="1"/>
  <c r="FQ111" i="1"/>
  <c r="FR111" i="1" s="1"/>
  <c r="FS111" i="1" s="1"/>
  <c r="FT111" i="1" s="1"/>
  <c r="FU111" i="1" s="1"/>
  <c r="FW111" i="1" s="1"/>
  <c r="GB4" i="1"/>
  <c r="GQ4" i="1" s="1"/>
  <c r="FQ139" i="1"/>
  <c r="FR139" i="1" s="1"/>
  <c r="FS139" i="1" s="1"/>
  <c r="FT139" i="1" s="1"/>
  <c r="FU139" i="1" s="1"/>
  <c r="FW139" i="1" s="1"/>
  <c r="FP225" i="1"/>
  <c r="FQ225" i="1"/>
  <c r="GE296" i="1"/>
  <c r="GF296" i="1" s="1"/>
  <c r="GQ296" i="1"/>
  <c r="GG296" i="1"/>
  <c r="GH296" i="1" s="1"/>
  <c r="GP296" i="1"/>
  <c r="GC296" i="1"/>
  <c r="GD296" i="1" s="1"/>
  <c r="GI296" i="1"/>
  <c r="GJ296" i="1" s="1"/>
  <c r="GK296" i="1"/>
  <c r="GL296" i="1" s="1"/>
  <c r="GS296" i="1"/>
  <c r="GT296" i="1" s="1"/>
  <c r="GU296" i="1" s="1"/>
  <c r="FP263" i="1"/>
  <c r="FQ263" i="1"/>
  <c r="FQ243" i="1"/>
  <c r="FP243" i="1"/>
  <c r="GB47" i="1"/>
  <c r="FQ295" i="1"/>
  <c r="FP295" i="1"/>
  <c r="FQ232" i="1"/>
  <c r="FP232" i="1"/>
  <c r="GB200" i="1"/>
  <c r="GB68" i="1"/>
  <c r="FQ144" i="1"/>
  <c r="FP144" i="1"/>
  <c r="FQ103" i="1"/>
  <c r="FP103" i="1"/>
  <c r="GB2" i="1"/>
  <c r="GH263" i="1" l="1"/>
  <c r="GK263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7" i="1"/>
  <c r="GH227" i="1" s="1"/>
  <c r="GK55" i="1"/>
  <c r="GL55" i="1" s="1"/>
  <c r="GK227" i="1"/>
  <c r="GL227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7" i="1"/>
  <c r="GJ227" i="1" s="1"/>
  <c r="GC227" i="1"/>
  <c r="GD227" i="1" s="1"/>
  <c r="GQ227" i="1"/>
  <c r="GQ237" i="1"/>
  <c r="GE227" i="1"/>
  <c r="GF227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7" i="1"/>
  <c r="GT227" i="1" s="1"/>
  <c r="GU227" i="1" s="1"/>
  <c r="GS61" i="1"/>
  <c r="GT61" i="1" s="1"/>
  <c r="GU61" i="1" s="1"/>
  <c r="GE61" i="1"/>
  <c r="GF61" i="1" s="1"/>
  <c r="GC29" i="1"/>
  <c r="GD29" i="1" s="1"/>
  <c r="GS237" i="1"/>
  <c r="GT237" i="1" s="1"/>
  <c r="GU237" i="1" s="1"/>
  <c r="GE226" i="1"/>
  <c r="GF226" i="1" s="1"/>
  <c r="GC308" i="1"/>
  <c r="GD308" i="1" s="1"/>
  <c r="GI32" i="1"/>
  <c r="GJ32" i="1" s="1"/>
  <c r="GG132" i="1"/>
  <c r="GH132" i="1" s="1"/>
  <c r="GQ19" i="1"/>
  <c r="GI150" i="1"/>
  <c r="GJ150" i="1" s="1"/>
  <c r="GQ32" i="1"/>
  <c r="GK237" i="1"/>
  <c r="GL237" i="1" s="1"/>
  <c r="GE237" i="1"/>
  <c r="GF237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8" i="1"/>
  <c r="GJ308" i="1" s="1"/>
  <c r="GC304" i="1"/>
  <c r="GD304" i="1" s="1"/>
  <c r="GS32" i="1"/>
  <c r="GT32" i="1" s="1"/>
  <c r="GU32" i="1" s="1"/>
  <c r="GG272" i="1"/>
  <c r="GH272" i="1" s="1"/>
  <c r="GQ170" i="1"/>
  <c r="GP32" i="1"/>
  <c r="GK89" i="1"/>
  <c r="GL89" i="1" s="1"/>
  <c r="GS309" i="1"/>
  <c r="GT309" i="1" s="1"/>
  <c r="GU309" i="1" s="1"/>
  <c r="GS170" i="1"/>
  <c r="GT170" i="1" s="1"/>
  <c r="GU170" i="1" s="1"/>
  <c r="GS308" i="1"/>
  <c r="GT308" i="1" s="1"/>
  <c r="GU308" i="1" s="1"/>
  <c r="GS45" i="1"/>
  <c r="GT45" i="1" s="1"/>
  <c r="GU45" i="1" s="1"/>
  <c r="GC170" i="1"/>
  <c r="GD170" i="1" s="1"/>
  <c r="GP150" i="1"/>
  <c r="GS29" i="1"/>
  <c r="GT29" i="1" s="1"/>
  <c r="GU29" i="1" s="1"/>
  <c r="GC284" i="1"/>
  <c r="GD284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2" i="1"/>
  <c r="GF252" i="1" s="1"/>
  <c r="GP237" i="1"/>
  <c r="GP279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4" i="1"/>
  <c r="GT304" i="1" s="1"/>
  <c r="GU304" i="1" s="1"/>
  <c r="GC150" i="1"/>
  <c r="GD150" i="1" s="1"/>
  <c r="GI237" i="1"/>
  <c r="GJ237" i="1" s="1"/>
  <c r="GG284" i="1"/>
  <c r="GH284" i="1" s="1"/>
  <c r="GP125" i="1"/>
  <c r="GG304" i="1"/>
  <c r="GH304" i="1" s="1"/>
  <c r="GE284" i="1"/>
  <c r="GF284" i="1" s="1"/>
  <c r="GE150" i="1"/>
  <c r="GF150" i="1" s="1"/>
  <c r="GI156" i="1"/>
  <c r="GJ156" i="1" s="1"/>
  <c r="GC117" i="1"/>
  <c r="GD117" i="1" s="1"/>
  <c r="GK279" i="1"/>
  <c r="GL279" i="1" s="1"/>
  <c r="GG156" i="1"/>
  <c r="GH156" i="1" s="1"/>
  <c r="GE202" i="1"/>
  <c r="GF202" i="1" s="1"/>
  <c r="GP156" i="1"/>
  <c r="GP202" i="1"/>
  <c r="GS279" i="1"/>
  <c r="GT279" i="1" s="1"/>
  <c r="GU279" i="1" s="1"/>
  <c r="GI279" i="1"/>
  <c r="GJ279" i="1" s="1"/>
  <c r="GK156" i="1"/>
  <c r="GL156" i="1" s="1"/>
  <c r="GE156" i="1"/>
  <c r="GF156" i="1" s="1"/>
  <c r="GE246" i="1"/>
  <c r="GF246" i="1" s="1"/>
  <c r="GE117" i="1"/>
  <c r="GF117" i="1" s="1"/>
  <c r="GG117" i="1"/>
  <c r="GH117" i="1" s="1"/>
  <c r="GQ272" i="1"/>
  <c r="GS272" i="1"/>
  <c r="GT272" i="1" s="1"/>
  <c r="GU272" i="1" s="1"/>
  <c r="GE279" i="1"/>
  <c r="GF279" i="1" s="1"/>
  <c r="GS117" i="1"/>
  <c r="GT117" i="1" s="1"/>
  <c r="GU117" i="1" s="1"/>
  <c r="GI202" i="1"/>
  <c r="GJ202" i="1" s="1"/>
  <c r="GI117" i="1"/>
  <c r="GJ117" i="1" s="1"/>
  <c r="GQ202" i="1"/>
  <c r="GE272" i="1"/>
  <c r="GF272" i="1" s="1"/>
  <c r="GI272" i="1"/>
  <c r="GJ272" i="1" s="1"/>
  <c r="GQ279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4" i="1"/>
  <c r="GJ284" i="1" s="1"/>
  <c r="GP143" i="1"/>
  <c r="GG143" i="1"/>
  <c r="GH143" i="1" s="1"/>
  <c r="GC76" i="1"/>
  <c r="GD76" i="1" s="1"/>
  <c r="GS125" i="1"/>
  <c r="GT125" i="1" s="1"/>
  <c r="GU125" i="1" s="1"/>
  <c r="GQ284" i="1"/>
  <c r="GP34" i="1"/>
  <c r="GK272" i="1"/>
  <c r="GL272" i="1" s="1"/>
  <c r="GK21" i="1"/>
  <c r="GL21" i="1" s="1"/>
  <c r="GE196" i="1"/>
  <c r="GF196" i="1" s="1"/>
  <c r="GP304" i="1"/>
  <c r="GC279" i="1"/>
  <c r="GD279" i="1" s="1"/>
  <c r="GP284" i="1"/>
  <c r="GG150" i="1"/>
  <c r="GH150" i="1" s="1"/>
  <c r="GP272" i="1"/>
  <c r="GE125" i="1"/>
  <c r="GF125" i="1" s="1"/>
  <c r="GQ150" i="1"/>
  <c r="GI125" i="1"/>
  <c r="GJ125" i="1" s="1"/>
  <c r="GQ123" i="1"/>
  <c r="GS143" i="1"/>
  <c r="GT143" i="1" s="1"/>
  <c r="GU143" i="1" s="1"/>
  <c r="FQ286" i="1"/>
  <c r="FR286" i="1" s="1"/>
  <c r="FS286" i="1" s="1"/>
  <c r="FT286" i="1" s="1"/>
  <c r="FU286" i="1" s="1"/>
  <c r="FW286" i="1" s="1"/>
  <c r="GK233" i="1"/>
  <c r="GL233" i="1" s="1"/>
  <c r="GP201" i="1"/>
  <c r="GQ29" i="1"/>
  <c r="GK309" i="1"/>
  <c r="GL309" i="1" s="1"/>
  <c r="GE309" i="1"/>
  <c r="GF309" i="1" s="1"/>
  <c r="GS137" i="1"/>
  <c r="GT137" i="1" s="1"/>
  <c r="GU137" i="1" s="1"/>
  <c r="GC201" i="1"/>
  <c r="GD201" i="1" s="1"/>
  <c r="GG60" i="1"/>
  <c r="GH60" i="1" s="1"/>
  <c r="FQ267" i="1"/>
  <c r="FR267" i="1" s="1"/>
  <c r="FS267" i="1" s="1"/>
  <c r="FT267" i="1" s="1"/>
  <c r="FU267" i="1" s="1"/>
  <c r="FW267" i="1" s="1"/>
  <c r="GE29" i="1"/>
  <c r="GF29" i="1" s="1"/>
  <c r="GI309" i="1"/>
  <c r="GJ309" i="1" s="1"/>
  <c r="GC137" i="1"/>
  <c r="GD137" i="1" s="1"/>
  <c r="GG201" i="1"/>
  <c r="GH201" i="1" s="1"/>
  <c r="GK231" i="1"/>
  <c r="GL231" i="1" s="1"/>
  <c r="GK248" i="1"/>
  <c r="GL248" i="1" s="1"/>
  <c r="GM137" i="1"/>
  <c r="GN137" i="1" s="1"/>
  <c r="GK61" i="1"/>
  <c r="GL61" i="1" s="1"/>
  <c r="GK201" i="1"/>
  <c r="GL201" i="1" s="1"/>
  <c r="GS231" i="1"/>
  <c r="GT231" i="1" s="1"/>
  <c r="GU231" i="1" s="1"/>
  <c r="GC248" i="1"/>
  <c r="GD248" i="1" s="1"/>
  <c r="GQ304" i="1"/>
  <c r="GK284" i="1"/>
  <c r="GL284" i="1" s="1"/>
  <c r="GC143" i="1"/>
  <c r="GD143" i="1" s="1"/>
  <c r="GC156" i="1"/>
  <c r="GD156" i="1" s="1"/>
  <c r="GP233" i="1"/>
  <c r="GG29" i="1"/>
  <c r="GH29" i="1" s="1"/>
  <c r="GE137" i="1"/>
  <c r="GF137" i="1" s="1"/>
  <c r="GQ61" i="1"/>
  <c r="GE201" i="1"/>
  <c r="GF201" i="1" s="1"/>
  <c r="GC132" i="1"/>
  <c r="GD132" i="1" s="1"/>
  <c r="GC226" i="1"/>
  <c r="GD226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7" i="1"/>
  <c r="GD237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09" i="1"/>
  <c r="GP27" i="1"/>
  <c r="GK246" i="1"/>
  <c r="GL246" i="1" s="1"/>
  <c r="GC20" i="1"/>
  <c r="GD20" i="1" s="1"/>
  <c r="GQ201" i="1"/>
  <c r="FP131" i="1"/>
  <c r="FR131" i="1" s="1"/>
  <c r="FS131" i="1" s="1"/>
  <c r="FT131" i="1" s="1"/>
  <c r="FU131" i="1" s="1"/>
  <c r="FW131" i="1" s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09" i="1"/>
  <c r="GH309" i="1" s="1"/>
  <c r="GG135" i="1"/>
  <c r="GH135" i="1" s="1"/>
  <c r="GG20" i="1"/>
  <c r="GH20" i="1" s="1"/>
  <c r="GC196" i="1"/>
  <c r="GD196" i="1" s="1"/>
  <c r="GG153" i="1"/>
  <c r="GH153" i="1" s="1"/>
  <c r="GP309" i="1"/>
  <c r="GG287" i="1"/>
  <c r="GH287" i="1" s="1"/>
  <c r="GK76" i="1"/>
  <c r="GL76" i="1" s="1"/>
  <c r="GK56" i="1"/>
  <c r="GL56" i="1" s="1"/>
  <c r="GI210" i="1"/>
  <c r="GJ210" i="1" s="1"/>
  <c r="GK151" i="1"/>
  <c r="GL151" i="1" s="1"/>
  <c r="GP262" i="1"/>
  <c r="GK210" i="1"/>
  <c r="GL210" i="1" s="1"/>
  <c r="GI246" i="1"/>
  <c r="GJ246" i="1" s="1"/>
  <c r="FQ132" i="1"/>
  <c r="FR132" i="1" s="1"/>
  <c r="FS132" i="1" s="1"/>
  <c r="FT132" i="1" s="1"/>
  <c r="FU132" i="1" s="1"/>
  <c r="FW132" i="1" s="1"/>
  <c r="GG76" i="1"/>
  <c r="GH76" i="1" s="1"/>
  <c r="GC210" i="1"/>
  <c r="GD210" i="1" s="1"/>
  <c r="GK242" i="1"/>
  <c r="GL242" i="1" s="1"/>
  <c r="GS133" i="1"/>
  <c r="GT133" i="1" s="1"/>
  <c r="GU133" i="1" s="1"/>
  <c r="GG42" i="1"/>
  <c r="GH42" i="1" s="1"/>
  <c r="GI133" i="1"/>
  <c r="GJ133" i="1" s="1"/>
  <c r="GS246" i="1"/>
  <c r="GT246" i="1" s="1"/>
  <c r="GU246" i="1" s="1"/>
  <c r="GS191" i="1"/>
  <c r="GT191" i="1" s="1"/>
  <c r="GU191" i="1" s="1"/>
  <c r="GI252" i="1"/>
  <c r="GJ252" i="1" s="1"/>
  <c r="GQ250" i="1"/>
  <c r="GP76" i="1"/>
  <c r="GE154" i="1"/>
  <c r="GF154" i="1" s="1"/>
  <c r="GG280" i="1"/>
  <c r="GH280" i="1" s="1"/>
  <c r="GI250" i="1"/>
  <c r="GJ250" i="1" s="1"/>
  <c r="GQ76" i="1"/>
  <c r="GI53" i="1"/>
  <c r="GJ53" i="1" s="1"/>
  <c r="GP196" i="1"/>
  <c r="GC92" i="1"/>
  <c r="GD92" i="1" s="1"/>
  <c r="GE250" i="1"/>
  <c r="GF250" i="1" s="1"/>
  <c r="GP133" i="1"/>
  <c r="GI56" i="1"/>
  <c r="GJ56" i="1" s="1"/>
  <c r="GQ8" i="1"/>
  <c r="GI178" i="1"/>
  <c r="GJ178" i="1" s="1"/>
  <c r="GG262" i="1"/>
  <c r="GH262" i="1" s="1"/>
  <c r="GS252" i="1"/>
  <c r="GT252" i="1" s="1"/>
  <c r="GU252" i="1" s="1"/>
  <c r="GG252" i="1"/>
  <c r="GH252" i="1" s="1"/>
  <c r="GI242" i="1"/>
  <c r="GJ242" i="1" s="1"/>
  <c r="GS154" i="1"/>
  <c r="GT154" i="1" s="1"/>
  <c r="GU154" i="1" s="1"/>
  <c r="GK196" i="1"/>
  <c r="GL196" i="1" s="1"/>
  <c r="GE92" i="1"/>
  <c r="GF92" i="1" s="1"/>
  <c r="GI153" i="1"/>
  <c r="GJ153" i="1" s="1"/>
  <c r="GC250" i="1"/>
  <c r="GD250" i="1" s="1"/>
  <c r="GE133" i="1"/>
  <c r="GF133" i="1" s="1"/>
  <c r="GK252" i="1"/>
  <c r="GL252" i="1" s="1"/>
  <c r="GK161" i="1"/>
  <c r="GL161" i="1" s="1"/>
  <c r="GC246" i="1"/>
  <c r="GD246" i="1" s="1"/>
  <c r="GG8" i="1"/>
  <c r="GH8" i="1" s="1"/>
  <c r="GC154" i="1"/>
  <c r="GD154" i="1" s="1"/>
  <c r="GK302" i="1"/>
  <c r="GL302" i="1" s="1"/>
  <c r="GS196" i="1"/>
  <c r="GT196" i="1" s="1"/>
  <c r="GU196" i="1" s="1"/>
  <c r="GI92" i="1"/>
  <c r="GJ92" i="1" s="1"/>
  <c r="GK153" i="1"/>
  <c r="GL153" i="1" s="1"/>
  <c r="GC133" i="1"/>
  <c r="GD133" i="1" s="1"/>
  <c r="GP252" i="1"/>
  <c r="GC192" i="1"/>
  <c r="GD192" i="1" s="1"/>
  <c r="GP246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6" i="1"/>
  <c r="GH246" i="1" s="1"/>
  <c r="GC42" i="1"/>
  <c r="GD42" i="1" s="1"/>
  <c r="GG294" i="1"/>
  <c r="GH294" i="1" s="1"/>
  <c r="GP75" i="1"/>
  <c r="GC159" i="1"/>
  <c r="GD159" i="1" s="1"/>
  <c r="GG230" i="1"/>
  <c r="GH230" i="1" s="1"/>
  <c r="FP301" i="1"/>
  <c r="FR301" i="1" s="1"/>
  <c r="FS301" i="1" s="1"/>
  <c r="FT301" i="1" s="1"/>
  <c r="FU301" i="1" s="1"/>
  <c r="FW301" i="1" s="1"/>
  <c r="GE175" i="1"/>
  <c r="GF175" i="1" s="1"/>
  <c r="GE221" i="1"/>
  <c r="GF221" i="1" s="1"/>
  <c r="GC204" i="1"/>
  <c r="GD204" i="1" s="1"/>
  <c r="GP175" i="1"/>
  <c r="FQ85" i="1"/>
  <c r="FR85" i="1" s="1"/>
  <c r="FS85" i="1" s="1"/>
  <c r="FT85" i="1" s="1"/>
  <c r="FU85" i="1" s="1"/>
  <c r="FW85" i="1" s="1"/>
  <c r="GE230" i="1"/>
  <c r="GF230" i="1" s="1"/>
  <c r="GS175" i="1"/>
  <c r="GT175" i="1" s="1"/>
  <c r="GU175" i="1" s="1"/>
  <c r="GC221" i="1"/>
  <c r="GD221" i="1" s="1"/>
  <c r="GG159" i="1"/>
  <c r="GH159" i="1" s="1"/>
  <c r="GP230" i="1"/>
  <c r="GE178" i="1"/>
  <c r="GF178" i="1" s="1"/>
  <c r="GK175" i="1"/>
  <c r="GL175" i="1" s="1"/>
  <c r="GQ116" i="1"/>
  <c r="GC252" i="1"/>
  <c r="GD252" i="1" s="1"/>
  <c r="GI116" i="1"/>
  <c r="GJ116" i="1" s="1"/>
  <c r="GK276" i="1"/>
  <c r="GL276" i="1" s="1"/>
  <c r="GI175" i="1"/>
  <c r="GJ175" i="1" s="1"/>
  <c r="GI239" i="1"/>
  <c r="GJ239" i="1" s="1"/>
  <c r="GQ159" i="1"/>
  <c r="GC163" i="1"/>
  <c r="GD163" i="1" s="1"/>
  <c r="GG175" i="1"/>
  <c r="GH175" i="1" s="1"/>
  <c r="GI163" i="1"/>
  <c r="GJ163" i="1" s="1"/>
  <c r="GG229" i="1"/>
  <c r="GH229" i="1" s="1"/>
  <c r="GS266" i="1"/>
  <c r="GT266" i="1" s="1"/>
  <c r="GU266" i="1" s="1"/>
  <c r="GQ133" i="1"/>
  <c r="FQ229" i="1"/>
  <c r="FR229" i="1" s="1"/>
  <c r="FS229" i="1" s="1"/>
  <c r="FT229" i="1" s="1"/>
  <c r="FU229" i="1" s="1"/>
  <c r="FW229" i="1" s="1"/>
  <c r="GI87" i="1"/>
  <c r="GJ87" i="1" s="1"/>
  <c r="FP272" i="1"/>
  <c r="FR272" i="1" s="1"/>
  <c r="FS272" i="1" s="1"/>
  <c r="FT272" i="1" s="1"/>
  <c r="FU272" i="1" s="1"/>
  <c r="FW272" i="1" s="1"/>
  <c r="GI46" i="1"/>
  <c r="GJ46" i="1" s="1"/>
  <c r="GG194" i="1"/>
  <c r="GH194" i="1" s="1"/>
  <c r="GK266" i="1"/>
  <c r="GL266" i="1" s="1"/>
  <c r="GQ175" i="1"/>
  <c r="GP221" i="1"/>
  <c r="GP258" i="1"/>
  <c r="GC276" i="1"/>
  <c r="GC11" i="1"/>
  <c r="GD11" i="1" s="1"/>
  <c r="GI235" i="1"/>
  <c r="GJ235" i="1" s="1"/>
  <c r="GE258" i="1"/>
  <c r="GF258" i="1" s="1"/>
  <c r="GK229" i="1"/>
  <c r="GL229" i="1" s="1"/>
  <c r="GK154" i="1"/>
  <c r="GL154" i="1" s="1"/>
  <c r="GE239" i="1"/>
  <c r="GF239" i="1" s="1"/>
  <c r="GQ142" i="1"/>
  <c r="GP138" i="1"/>
  <c r="GC235" i="1"/>
  <c r="GD235" i="1" s="1"/>
  <c r="GI304" i="1"/>
  <c r="GJ304" i="1" s="1"/>
  <c r="GC135" i="1"/>
  <c r="GD135" i="1" s="1"/>
  <c r="GK250" i="1"/>
  <c r="GL250" i="1" s="1"/>
  <c r="GP260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8" i="1"/>
  <c r="GJ258" i="1" s="1"/>
  <c r="GG276" i="1"/>
  <c r="GH276" i="1" s="1"/>
  <c r="GS106" i="1"/>
  <c r="GT106" i="1" s="1"/>
  <c r="GU106" i="1" s="1"/>
  <c r="GP276" i="1"/>
  <c r="GQ232" i="1"/>
  <c r="GK158" i="1"/>
  <c r="GL158" i="1" s="1"/>
  <c r="GQ258" i="1"/>
  <c r="GE42" i="1"/>
  <c r="GF42" i="1" s="1"/>
  <c r="GI194" i="1"/>
  <c r="GJ194" i="1" s="1"/>
  <c r="GG239" i="1"/>
  <c r="GH239" i="1" s="1"/>
  <c r="FP291" i="1"/>
  <c r="FR291" i="1" s="1"/>
  <c r="FS291" i="1" s="1"/>
  <c r="FT291" i="1" s="1"/>
  <c r="FU291" i="1" s="1"/>
  <c r="FW291" i="1" s="1"/>
  <c r="GS258" i="1"/>
  <c r="GT258" i="1" s="1"/>
  <c r="GU258" i="1" s="1"/>
  <c r="GE229" i="1"/>
  <c r="GF229" i="1" s="1"/>
  <c r="GP232" i="1"/>
  <c r="GP87" i="1"/>
  <c r="GC234" i="1"/>
  <c r="GD234" i="1" s="1"/>
  <c r="FQ78" i="1"/>
  <c r="FR78" i="1" s="1"/>
  <c r="FS78" i="1" s="1"/>
  <c r="FT78" i="1" s="1"/>
  <c r="FU78" i="1" s="1"/>
  <c r="FW78" i="1" s="1"/>
  <c r="GQ87" i="1"/>
  <c r="GK258" i="1"/>
  <c r="GL258" i="1" s="1"/>
  <c r="GK297" i="1"/>
  <c r="GL297" i="1" s="1"/>
  <c r="GI229" i="1"/>
  <c r="GJ229" i="1" s="1"/>
  <c r="GI154" i="1"/>
  <c r="GJ154" i="1" s="1"/>
  <c r="GG231" i="1"/>
  <c r="GH231" i="1" s="1"/>
  <c r="GE138" i="1"/>
  <c r="GF138" i="1" s="1"/>
  <c r="GE304" i="1"/>
  <c r="GF304" i="1" s="1"/>
  <c r="GG89" i="1"/>
  <c r="GH89" i="1" s="1"/>
  <c r="GP266" i="1"/>
  <c r="GQ135" i="1"/>
  <c r="GG234" i="1"/>
  <c r="GH234" i="1" s="1"/>
  <c r="GE27" i="1"/>
  <c r="GF27" i="1" s="1"/>
  <c r="GI8" i="1"/>
  <c r="GJ8" i="1" s="1"/>
  <c r="GG106" i="1"/>
  <c r="GH106" i="1" s="1"/>
  <c r="GQ11" i="1"/>
  <c r="GQ294" i="1"/>
  <c r="GP229" i="1"/>
  <c r="GC87" i="1"/>
  <c r="GD87" i="1" s="1"/>
  <c r="GQ229" i="1"/>
  <c r="GK87" i="1"/>
  <c r="GL87" i="1" s="1"/>
  <c r="GQ239" i="1"/>
  <c r="GS229" i="1"/>
  <c r="GT229" i="1" s="1"/>
  <c r="GU229" i="1" s="1"/>
  <c r="GK239" i="1"/>
  <c r="GL239" i="1" s="1"/>
  <c r="GG235" i="1"/>
  <c r="GH235" i="1" s="1"/>
  <c r="GG258" i="1"/>
  <c r="GH258" i="1" s="1"/>
  <c r="GS53" i="1"/>
  <c r="GT53" i="1" s="1"/>
  <c r="GU53" i="1" s="1"/>
  <c r="GQ231" i="1"/>
  <c r="GC89" i="1"/>
  <c r="GD89" i="1" s="1"/>
  <c r="GE266" i="1"/>
  <c r="GF266" i="1" s="1"/>
  <c r="GM135" i="1"/>
  <c r="GN135" i="1" s="1"/>
  <c r="GI123" i="1"/>
  <c r="GJ123" i="1" s="1"/>
  <c r="GI276" i="1"/>
  <c r="GJ276" i="1" s="1"/>
  <c r="GS232" i="1"/>
  <c r="GT232" i="1" s="1"/>
  <c r="GU232" i="1" s="1"/>
  <c r="GP168" i="1"/>
  <c r="GC27" i="1"/>
  <c r="GD27" i="1" s="1"/>
  <c r="GS210" i="1"/>
  <c r="GT210" i="1" s="1"/>
  <c r="GU210" i="1" s="1"/>
  <c r="FQ76" i="1"/>
  <c r="FR76" i="1" s="1"/>
  <c r="FS76" i="1" s="1"/>
  <c r="FT76" i="1" s="1"/>
  <c r="FU76" i="1" s="1"/>
  <c r="FW76" i="1" s="1"/>
  <c r="GC239" i="1"/>
  <c r="GD239" i="1" s="1"/>
  <c r="GQ266" i="1"/>
  <c r="GK293" i="1"/>
  <c r="GL293" i="1" s="1"/>
  <c r="GC232" i="1"/>
  <c r="GD232" i="1" s="1"/>
  <c r="GQ276" i="1"/>
  <c r="GE232" i="1"/>
  <c r="GF232" i="1" s="1"/>
  <c r="FP246" i="1"/>
  <c r="FR246" i="1" s="1"/>
  <c r="FS246" i="1" s="1"/>
  <c r="FT246" i="1" s="1"/>
  <c r="FU246" i="1" s="1"/>
  <c r="FW246" i="1" s="1"/>
  <c r="GE58" i="1"/>
  <c r="GF58" i="1" s="1"/>
  <c r="GQ162" i="1"/>
  <c r="GC266" i="1"/>
  <c r="GD266" i="1" s="1"/>
  <c r="GE276" i="1"/>
  <c r="GF276" i="1" s="1"/>
  <c r="GE148" i="1"/>
  <c r="GF148" i="1" s="1"/>
  <c r="GG181" i="1"/>
  <c r="GH181" i="1" s="1"/>
  <c r="FP159" i="1"/>
  <c r="FR159" i="1" s="1"/>
  <c r="FS159" i="1" s="1"/>
  <c r="FT159" i="1" s="1"/>
  <c r="FU159" i="1" s="1"/>
  <c r="FW159" i="1" s="1"/>
  <c r="FP162" i="1"/>
  <c r="FR162" i="1" s="1"/>
  <c r="FS162" i="1" s="1"/>
  <c r="FT162" i="1" s="1"/>
  <c r="FU162" i="1" s="1"/>
  <c r="FW162" i="1" s="1"/>
  <c r="GC59" i="1"/>
  <c r="GD59" i="1" s="1"/>
  <c r="GI58" i="1"/>
  <c r="GJ58" i="1" s="1"/>
  <c r="GP11" i="1"/>
  <c r="GI266" i="1"/>
  <c r="GJ266" i="1" s="1"/>
  <c r="GE87" i="1"/>
  <c r="GF87" i="1" s="1"/>
  <c r="GP194" i="1"/>
  <c r="GS239" i="1"/>
  <c r="GT239" i="1" s="1"/>
  <c r="GU239" i="1" s="1"/>
  <c r="GC162" i="1"/>
  <c r="GD162" i="1" s="1"/>
  <c r="GK232" i="1"/>
  <c r="GL232" i="1" s="1"/>
  <c r="FP148" i="1"/>
  <c r="FR148" i="1" s="1"/>
  <c r="FS148" i="1" s="1"/>
  <c r="FT148" i="1" s="1"/>
  <c r="FU148" i="1" s="1"/>
  <c r="FW148" i="1" s="1"/>
  <c r="GG232" i="1"/>
  <c r="GH232" i="1" s="1"/>
  <c r="GS216" i="1"/>
  <c r="GT216" i="1" s="1"/>
  <c r="GU216" i="1" s="1"/>
  <c r="GE194" i="1"/>
  <c r="GF194" i="1" s="1"/>
  <c r="GK145" i="1"/>
  <c r="GL145" i="1" s="1"/>
  <c r="GI248" i="1"/>
  <c r="GJ248" i="1" s="1"/>
  <c r="GS242" i="1"/>
  <c r="GT242" i="1" s="1"/>
  <c r="GU242" i="1" s="1"/>
  <c r="GS226" i="1"/>
  <c r="GT226" i="1" s="1"/>
  <c r="GU226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7" i="1"/>
  <c r="GF297" i="1" s="1"/>
  <c r="GQ306" i="1"/>
  <c r="GK215" i="1"/>
  <c r="GL215" i="1" s="1"/>
  <c r="GG73" i="1"/>
  <c r="GH73" i="1" s="1"/>
  <c r="GS261" i="1"/>
  <c r="GT261" i="1" s="1"/>
  <c r="GU261" i="1" s="1"/>
  <c r="GK191" i="1"/>
  <c r="GL191" i="1" s="1"/>
  <c r="GC80" i="1"/>
  <c r="GD80" i="1" s="1"/>
  <c r="GS306" i="1"/>
  <c r="GT306" i="1" s="1"/>
  <c r="GU306" i="1" s="1"/>
  <c r="GG46" i="1"/>
  <c r="GH46" i="1" s="1"/>
  <c r="GS297" i="1"/>
  <c r="GT297" i="1" s="1"/>
  <c r="GU297" i="1" s="1"/>
  <c r="GK58" i="1"/>
  <c r="GL58" i="1" s="1"/>
  <c r="GQ154" i="1"/>
  <c r="GG212" i="1"/>
  <c r="GH212" i="1" s="1"/>
  <c r="GQ173" i="1"/>
  <c r="GE292" i="1"/>
  <c r="GF292" i="1" s="1"/>
  <c r="GP92" i="1"/>
  <c r="GG226" i="1"/>
  <c r="GH226" i="1" s="1"/>
  <c r="GS89" i="1"/>
  <c r="GT89" i="1" s="1"/>
  <c r="GU89" i="1" s="1"/>
  <c r="GS135" i="1"/>
  <c r="GT135" i="1" s="1"/>
  <c r="GU135" i="1" s="1"/>
  <c r="GS250" i="1"/>
  <c r="GT250" i="1" s="1"/>
  <c r="GU250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8" i="1"/>
  <c r="GP298" i="1"/>
  <c r="GG27" i="1"/>
  <c r="GH27" i="1" s="1"/>
  <c r="GQ241" i="1"/>
  <c r="GQ166" i="1"/>
  <c r="GE104" i="1"/>
  <c r="GF104" i="1" s="1"/>
  <c r="GI88" i="1"/>
  <c r="GJ88" i="1" s="1"/>
  <c r="GQ181" i="1"/>
  <c r="GI294" i="1"/>
  <c r="GJ294" i="1" s="1"/>
  <c r="GS213" i="1"/>
  <c r="GT213" i="1" s="1"/>
  <c r="GU213" i="1" s="1"/>
  <c r="GP166" i="1"/>
  <c r="GP213" i="1"/>
  <c r="GE75" i="1"/>
  <c r="GF75" i="1" s="1"/>
  <c r="GQ80" i="1"/>
  <c r="GG297" i="1"/>
  <c r="GH297" i="1" s="1"/>
  <c r="GE241" i="1"/>
  <c r="GF241" i="1" s="1"/>
  <c r="GC294" i="1"/>
  <c r="GD294" i="1" s="1"/>
  <c r="GS20" i="1"/>
  <c r="GT20" i="1" s="1"/>
  <c r="GU20" i="1" s="1"/>
  <c r="GI212" i="1"/>
  <c r="GJ212" i="1" s="1"/>
  <c r="GI267" i="1"/>
  <c r="GJ267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4" i="1"/>
  <c r="GL294" i="1" s="1"/>
  <c r="GS298" i="1"/>
  <c r="GT298" i="1" s="1"/>
  <c r="GU298" i="1" s="1"/>
  <c r="GQ219" i="1"/>
  <c r="GE46" i="1"/>
  <c r="GF46" i="1" s="1"/>
  <c r="GG301" i="1"/>
  <c r="GH301" i="1" s="1"/>
  <c r="GI297" i="1"/>
  <c r="GJ297" i="1" s="1"/>
  <c r="GE53" i="1"/>
  <c r="GF53" i="1" s="1"/>
  <c r="GS212" i="1"/>
  <c r="GT212" i="1" s="1"/>
  <c r="GU212" i="1" s="1"/>
  <c r="GS292" i="1"/>
  <c r="GT292" i="1" s="1"/>
  <c r="GU292" i="1" s="1"/>
  <c r="GP152" i="1"/>
  <c r="GQ92" i="1"/>
  <c r="GQ226" i="1"/>
  <c r="GI89" i="1"/>
  <c r="GJ89" i="1" s="1"/>
  <c r="GI135" i="1"/>
  <c r="GJ135" i="1" s="1"/>
  <c r="GP250" i="1"/>
  <c r="GQ102" i="1"/>
  <c r="GE64" i="1"/>
  <c r="GF64" i="1" s="1"/>
  <c r="GP56" i="1"/>
  <c r="GP60" i="1"/>
  <c r="GI141" i="1"/>
  <c r="GJ141" i="1" s="1"/>
  <c r="GQ31" i="1"/>
  <c r="GK286" i="1"/>
  <c r="GL286" i="1" s="1"/>
  <c r="GG253" i="1"/>
  <c r="GH253" i="1" s="1"/>
  <c r="GC241" i="1"/>
  <c r="GD241" i="1" s="1"/>
  <c r="GS241" i="1"/>
  <c r="GT241" i="1" s="1"/>
  <c r="GU241" i="1" s="1"/>
  <c r="GI168" i="1"/>
  <c r="GJ168" i="1" s="1"/>
  <c r="GE181" i="1"/>
  <c r="GF181" i="1" s="1"/>
  <c r="GP241" i="1"/>
  <c r="GE213" i="1"/>
  <c r="GF213" i="1" s="1"/>
  <c r="GC8" i="1"/>
  <c r="GD8" i="1" s="1"/>
  <c r="GC298" i="1"/>
  <c r="GG80" i="1"/>
  <c r="GH80" i="1" s="1"/>
  <c r="GI306" i="1"/>
  <c r="GJ306" i="1" s="1"/>
  <c r="GC306" i="1"/>
  <c r="GD306" i="1" s="1"/>
  <c r="GG58" i="1"/>
  <c r="GH58" i="1" s="1"/>
  <c r="GP297" i="1"/>
  <c r="GP59" i="1"/>
  <c r="GS219" i="1"/>
  <c r="GT219" i="1" s="1"/>
  <c r="GU219" i="1" s="1"/>
  <c r="GQ46" i="1"/>
  <c r="GQ163" i="1"/>
  <c r="GQ297" i="1"/>
  <c r="GK53" i="1"/>
  <c r="GL53" i="1" s="1"/>
  <c r="GK212" i="1"/>
  <c r="GL212" i="1" s="1"/>
  <c r="GK292" i="1"/>
  <c r="GL292" i="1" s="1"/>
  <c r="GS92" i="1"/>
  <c r="GT92" i="1" s="1"/>
  <c r="GU92" i="1" s="1"/>
  <c r="GC242" i="1"/>
  <c r="GD242" i="1" s="1"/>
  <c r="GP226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3" i="1"/>
  <c r="GT253" i="1" s="1"/>
  <c r="GU253" i="1" s="1"/>
  <c r="GI241" i="1"/>
  <c r="GJ241" i="1" s="1"/>
  <c r="GI174" i="1"/>
  <c r="GJ174" i="1" s="1"/>
  <c r="GP294" i="1"/>
  <c r="GG166" i="1"/>
  <c r="GH166" i="1" s="1"/>
  <c r="FQ35" i="1"/>
  <c r="FR35" i="1" s="1"/>
  <c r="FS35" i="1" s="1"/>
  <c r="FT35" i="1" s="1"/>
  <c r="FU35" i="1" s="1"/>
  <c r="FW35" i="1" s="1"/>
  <c r="GE293" i="1"/>
  <c r="GF293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3" i="1"/>
  <c r="GK213" i="1"/>
  <c r="GL213" i="1" s="1"/>
  <c r="GG59" i="1"/>
  <c r="GH59" i="1" s="1"/>
  <c r="GI293" i="1"/>
  <c r="GJ293" i="1" s="1"/>
  <c r="GG293" i="1"/>
  <c r="GH293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3" i="1"/>
  <c r="GK219" i="1"/>
  <c r="GL219" i="1" s="1"/>
  <c r="GQ20" i="1"/>
  <c r="GP53" i="1"/>
  <c r="GG119" i="1"/>
  <c r="GH119" i="1" s="1"/>
  <c r="GG242" i="1"/>
  <c r="GH242" i="1" s="1"/>
  <c r="GP20" i="1"/>
  <c r="GC53" i="1"/>
  <c r="GD53" i="1" s="1"/>
  <c r="GQ119" i="1"/>
  <c r="GC292" i="1"/>
  <c r="GD292" i="1" s="1"/>
  <c r="GQ242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1" i="1"/>
  <c r="GJ231" i="1" s="1"/>
  <c r="GP292" i="1"/>
  <c r="GP242" i="1"/>
  <c r="GC102" i="1"/>
  <c r="GD102" i="1" s="1"/>
  <c r="GC168" i="1"/>
  <c r="GD168" i="1" s="1"/>
  <c r="GK27" i="1"/>
  <c r="GL27" i="1" s="1"/>
  <c r="GG298" i="1"/>
  <c r="GH298" i="1" s="1"/>
  <c r="GC151" i="1"/>
  <c r="GD151" i="1" s="1"/>
  <c r="GS178" i="1"/>
  <c r="GT178" i="1" s="1"/>
  <c r="GU178" i="1" s="1"/>
  <c r="GQ161" i="1"/>
  <c r="GC293" i="1"/>
  <c r="GD293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4" i="1"/>
  <c r="GF294" i="1" s="1"/>
  <c r="GC155" i="1"/>
  <c r="GD155" i="1" s="1"/>
  <c r="FP151" i="1"/>
  <c r="FR151" i="1" s="1"/>
  <c r="FS151" i="1" s="1"/>
  <c r="FT151" i="1" s="1"/>
  <c r="FU151" i="1" s="1"/>
  <c r="FW151" i="1" s="1"/>
  <c r="GI298" i="1"/>
  <c r="GJ298" i="1" s="1"/>
  <c r="GQ293" i="1"/>
  <c r="GQ58" i="1"/>
  <c r="GI59" i="1"/>
  <c r="GJ59" i="1" s="1"/>
  <c r="GK241" i="1"/>
  <c r="GL241" i="1" s="1"/>
  <c r="GI292" i="1"/>
  <c r="GJ292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1" i="1"/>
  <c r="GD231" i="1" s="1"/>
  <c r="GQ292" i="1"/>
  <c r="GC138" i="1"/>
  <c r="GD138" i="1" s="1"/>
  <c r="FQ55" i="1"/>
  <c r="FR55" i="1" s="1"/>
  <c r="FS55" i="1" s="1"/>
  <c r="FT55" i="1" s="1"/>
  <c r="FU55" i="1" s="1"/>
  <c r="FW55" i="1" s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2" i="1"/>
  <c r="GK253" i="1"/>
  <c r="GL253" i="1" s="1"/>
  <c r="GC75" i="1"/>
  <c r="GD75" i="1" s="1"/>
  <c r="GG213" i="1"/>
  <c r="GH213" i="1" s="1"/>
  <c r="GI244" i="1"/>
  <c r="GJ244" i="1" s="1"/>
  <c r="GE302" i="1"/>
  <c r="GF302" i="1" s="1"/>
  <c r="GS287" i="1"/>
  <c r="GT287" i="1" s="1"/>
  <c r="GU287" i="1" s="1"/>
  <c r="GC277" i="1"/>
  <c r="GD277" i="1" s="1"/>
  <c r="GE267" i="1"/>
  <c r="GF267" i="1" s="1"/>
  <c r="GE145" i="1"/>
  <c r="GF145" i="1" s="1"/>
  <c r="GS48" i="1"/>
  <c r="GT48" i="1" s="1"/>
  <c r="GU48" i="1" s="1"/>
  <c r="GC291" i="1"/>
  <c r="GD291" i="1" s="1"/>
  <c r="GQ121" i="1"/>
  <c r="GE278" i="1"/>
  <c r="GF278" i="1" s="1"/>
  <c r="GE44" i="1"/>
  <c r="GF44" i="1" s="1"/>
  <c r="GP173" i="1"/>
  <c r="GS254" i="1"/>
  <c r="GT254" i="1" s="1"/>
  <c r="GU254" i="1" s="1"/>
  <c r="GK220" i="1"/>
  <c r="GL220" i="1" s="1"/>
  <c r="GI6" i="1"/>
  <c r="GJ6" i="1" s="1"/>
  <c r="GQ235" i="1"/>
  <c r="GK226" i="1"/>
  <c r="GL226" i="1" s="1"/>
  <c r="GP123" i="1"/>
  <c r="GS118" i="1"/>
  <c r="GT118" i="1" s="1"/>
  <c r="GU118" i="1" s="1"/>
  <c r="GG271" i="1"/>
  <c r="GH271" i="1" s="1"/>
  <c r="GS35" i="1"/>
  <c r="GT35" i="1" s="1"/>
  <c r="GU35" i="1" s="1"/>
  <c r="GQ48" i="1"/>
  <c r="GS262" i="1"/>
  <c r="GT262" i="1" s="1"/>
  <c r="GU262" i="1" s="1"/>
  <c r="GP112" i="1"/>
  <c r="GI74" i="1"/>
  <c r="GJ74" i="1" s="1"/>
  <c r="FP304" i="1"/>
  <c r="FR304" i="1" s="1"/>
  <c r="FS304" i="1" s="1"/>
  <c r="FT304" i="1" s="1"/>
  <c r="FU304" i="1" s="1"/>
  <c r="FW304" i="1" s="1"/>
  <c r="GG75" i="1"/>
  <c r="GH75" i="1" s="1"/>
  <c r="GG81" i="1"/>
  <c r="GH81" i="1" s="1"/>
  <c r="GG74" i="1"/>
  <c r="GH74" i="1" s="1"/>
  <c r="GG48" i="1"/>
  <c r="GH48" i="1" s="1"/>
  <c r="GC100" i="1"/>
  <c r="GD100" i="1" s="1"/>
  <c r="GP277" i="1"/>
  <c r="GK65" i="1"/>
  <c r="GL65" i="1" s="1"/>
  <c r="FQ234" i="1"/>
  <c r="FR234" i="1" s="1"/>
  <c r="FS234" i="1" s="1"/>
  <c r="FT234" i="1" s="1"/>
  <c r="FU234" i="1" s="1"/>
  <c r="FW234" i="1" s="1"/>
  <c r="GI188" i="1"/>
  <c r="GJ188" i="1" s="1"/>
  <c r="GK195" i="1"/>
  <c r="GL195" i="1" s="1"/>
  <c r="GI280" i="1"/>
  <c r="GJ280" i="1" s="1"/>
  <c r="GC199" i="1"/>
  <c r="GD199" i="1" s="1"/>
  <c r="GE31" i="1"/>
  <c r="GF31" i="1" s="1"/>
  <c r="GC48" i="1"/>
  <c r="GD48" i="1" s="1"/>
  <c r="GK100" i="1"/>
  <c r="GL100" i="1" s="1"/>
  <c r="FP75" i="1"/>
  <c r="FR75" i="1" s="1"/>
  <c r="FS75" i="1" s="1"/>
  <c r="FT75" i="1" s="1"/>
  <c r="FU75" i="1" s="1"/>
  <c r="FW75" i="1" s="1"/>
  <c r="GE287" i="1"/>
  <c r="GF287" i="1" s="1"/>
  <c r="GK74" i="1"/>
  <c r="GL74" i="1" s="1"/>
  <c r="GE65" i="1"/>
  <c r="GF65" i="1" s="1"/>
  <c r="GQ139" i="1"/>
  <c r="GQ195" i="1"/>
  <c r="GM44" i="1"/>
  <c r="GN44" i="1" s="1"/>
  <c r="GI173" i="1"/>
  <c r="GJ173" i="1" s="1"/>
  <c r="GQ280" i="1"/>
  <c r="GG220" i="1"/>
  <c r="GH220" i="1" s="1"/>
  <c r="GK235" i="1"/>
  <c r="GL235" i="1" s="1"/>
  <c r="GK28" i="1"/>
  <c r="GL28" i="1" s="1"/>
  <c r="FP57" i="1"/>
  <c r="FR57" i="1" s="1"/>
  <c r="FS57" i="1" s="1"/>
  <c r="FT57" i="1" s="1"/>
  <c r="FU57" i="1" s="1"/>
  <c r="FW57" i="1" s="1"/>
  <c r="GS199" i="1"/>
  <c r="GT199" i="1" s="1"/>
  <c r="GU199" i="1" s="1"/>
  <c r="GP48" i="1"/>
  <c r="GI48" i="1"/>
  <c r="GJ48" i="1" s="1"/>
  <c r="FP121" i="1"/>
  <c r="FR121" i="1" s="1"/>
  <c r="FS121" i="1" s="1"/>
  <c r="FT121" i="1" s="1"/>
  <c r="FU121" i="1" s="1"/>
  <c r="FW121" i="1" s="1"/>
  <c r="GE155" i="1"/>
  <c r="GF155" i="1" s="1"/>
  <c r="FP176" i="1"/>
  <c r="FR176" i="1" s="1"/>
  <c r="FS176" i="1" s="1"/>
  <c r="FT176" i="1" s="1"/>
  <c r="FU176" i="1" s="1"/>
  <c r="FW176" i="1" s="1"/>
  <c r="GE151" i="1"/>
  <c r="GF151" i="1" s="1"/>
  <c r="GI199" i="1"/>
  <c r="GJ199" i="1" s="1"/>
  <c r="GG31" i="1"/>
  <c r="GH31" i="1" s="1"/>
  <c r="FQ125" i="1"/>
  <c r="FR125" i="1" s="1"/>
  <c r="FS125" i="1" s="1"/>
  <c r="FT125" i="1" s="1"/>
  <c r="FU125" i="1" s="1"/>
  <c r="FW125" i="1" s="1"/>
  <c r="FQ256" i="1"/>
  <c r="FR256" i="1" s="1"/>
  <c r="FS256" i="1" s="1"/>
  <c r="FT256" i="1" s="1"/>
  <c r="FU256" i="1" s="1"/>
  <c r="FW256" i="1" s="1"/>
  <c r="GP22" i="1"/>
  <c r="FP90" i="1"/>
  <c r="FR90" i="1" s="1"/>
  <c r="FS90" i="1" s="1"/>
  <c r="FT90" i="1" s="1"/>
  <c r="FU90" i="1" s="1"/>
  <c r="FW90" i="1" s="1"/>
  <c r="GQ287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2" i="1"/>
  <c r="GH302" i="1" s="1"/>
  <c r="GK173" i="1"/>
  <c r="GL173" i="1" s="1"/>
  <c r="GE280" i="1"/>
  <c r="GF280" i="1" s="1"/>
  <c r="GP220" i="1"/>
  <c r="GS235" i="1"/>
  <c r="GT235" i="1" s="1"/>
  <c r="GU235" i="1" s="1"/>
  <c r="GP28" i="1"/>
  <c r="FQ307" i="1"/>
  <c r="FR307" i="1" s="1"/>
  <c r="FS307" i="1" s="1"/>
  <c r="FT307" i="1" s="1"/>
  <c r="FU307" i="1" s="1"/>
  <c r="FW307" i="1" s="1"/>
  <c r="GS192" i="1"/>
  <c r="GT192" i="1" s="1"/>
  <c r="GU192" i="1" s="1"/>
  <c r="GS271" i="1"/>
  <c r="GT271" i="1" s="1"/>
  <c r="GU271" i="1" s="1"/>
  <c r="FP88" i="1"/>
  <c r="FR88" i="1" s="1"/>
  <c r="FS88" i="1" s="1"/>
  <c r="FT88" i="1" s="1"/>
  <c r="FU88" i="1" s="1"/>
  <c r="FW88" i="1" s="1"/>
  <c r="GS282" i="1"/>
  <c r="GT282" i="1" s="1"/>
  <c r="GU282" i="1" s="1"/>
  <c r="GS218" i="1"/>
  <c r="GT218" i="1" s="1"/>
  <c r="GU218" i="1" s="1"/>
  <c r="GQ191" i="1"/>
  <c r="GG65" i="1"/>
  <c r="GH65" i="1" s="1"/>
  <c r="FP283" i="1"/>
  <c r="FR283" i="1" s="1"/>
  <c r="FS283" i="1" s="1"/>
  <c r="FT283" i="1" s="1"/>
  <c r="FU283" i="1" s="1"/>
  <c r="FW283" i="1" s="1"/>
  <c r="GP287" i="1"/>
  <c r="GI302" i="1"/>
  <c r="GJ302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8" i="1"/>
  <c r="GL278" i="1" s="1"/>
  <c r="GC173" i="1"/>
  <c r="GD173" i="1" s="1"/>
  <c r="GI220" i="1"/>
  <c r="GJ220" i="1" s="1"/>
  <c r="GE235" i="1"/>
  <c r="GF235" i="1" s="1"/>
  <c r="GI28" i="1"/>
  <c r="GJ28" i="1" s="1"/>
  <c r="GG105" i="1"/>
  <c r="GH105" i="1" s="1"/>
  <c r="FQ93" i="1"/>
  <c r="FR93" i="1" s="1"/>
  <c r="FS93" i="1" s="1"/>
  <c r="FT93" i="1" s="1"/>
  <c r="FU93" i="1" s="1"/>
  <c r="FW93" i="1" s="1"/>
  <c r="GK287" i="1"/>
  <c r="GL287" i="1" s="1"/>
  <c r="GS139" i="1"/>
  <c r="GT139" i="1" s="1"/>
  <c r="GU139" i="1" s="1"/>
  <c r="GE195" i="1"/>
  <c r="GF195" i="1" s="1"/>
  <c r="GC145" i="1"/>
  <c r="GD145" i="1" s="1"/>
  <c r="GC302" i="1"/>
  <c r="GD302" i="1" s="1"/>
  <c r="GK280" i="1"/>
  <c r="GL280" i="1" s="1"/>
  <c r="GE220" i="1"/>
  <c r="GF220" i="1" s="1"/>
  <c r="GG36" i="1"/>
  <c r="GH36" i="1" s="1"/>
  <c r="GE28" i="1"/>
  <c r="GF28" i="1" s="1"/>
  <c r="GE260" i="1"/>
  <c r="GF260" i="1" s="1"/>
  <c r="FQ4" i="1"/>
  <c r="FR4" i="1" s="1"/>
  <c r="FS4" i="1" s="1"/>
  <c r="FT4" i="1" s="1"/>
  <c r="FU4" i="1" s="1"/>
  <c r="FW4" i="1" s="1"/>
  <c r="GS65" i="1"/>
  <c r="GT65" i="1" s="1"/>
  <c r="GU65" i="1" s="1"/>
  <c r="GG187" i="1"/>
  <c r="GH187" i="1" s="1"/>
  <c r="GI158" i="1"/>
  <c r="GJ158" i="1" s="1"/>
  <c r="GP151" i="1"/>
  <c r="FP265" i="1"/>
  <c r="FR265" i="1" s="1"/>
  <c r="FS265" i="1" s="1"/>
  <c r="FT265" i="1" s="1"/>
  <c r="FU265" i="1" s="1"/>
  <c r="FW265" i="1" s="1"/>
  <c r="GE271" i="1"/>
  <c r="GF271" i="1" s="1"/>
  <c r="GK271" i="1"/>
  <c r="GL271" i="1" s="1"/>
  <c r="GP192" i="1"/>
  <c r="GI155" i="1"/>
  <c r="GJ155" i="1" s="1"/>
  <c r="GG139" i="1"/>
  <c r="GH139" i="1" s="1"/>
  <c r="GI145" i="1"/>
  <c r="GJ145" i="1" s="1"/>
  <c r="GQ302" i="1"/>
  <c r="GS280" i="1"/>
  <c r="GT280" i="1" s="1"/>
  <c r="GU280" i="1" s="1"/>
  <c r="GP37" i="1"/>
  <c r="GK155" i="1"/>
  <c r="GL155" i="1" s="1"/>
  <c r="GS302" i="1"/>
  <c r="GT302" i="1" s="1"/>
  <c r="GU302" i="1" s="1"/>
  <c r="GI287" i="1"/>
  <c r="GJ287" i="1" s="1"/>
  <c r="GC220" i="1"/>
  <c r="GD220" i="1" s="1"/>
  <c r="GK123" i="1"/>
  <c r="GL123" i="1" s="1"/>
  <c r="GS260" i="1"/>
  <c r="GT260" i="1" s="1"/>
  <c r="GU260" i="1" s="1"/>
  <c r="GC271" i="1"/>
  <c r="GP174" i="1"/>
  <c r="GC240" i="1"/>
  <c r="GD240" i="1" s="1"/>
  <c r="GP280" i="1"/>
  <c r="GQ220" i="1"/>
  <c r="GQ34" i="1"/>
  <c r="GI260" i="1"/>
  <c r="GJ260" i="1" s="1"/>
  <c r="GP74" i="1"/>
  <c r="GQ271" i="1"/>
  <c r="GQ192" i="1"/>
  <c r="GP271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0" i="1"/>
  <c r="GD260" i="1" s="1"/>
  <c r="FP245" i="1"/>
  <c r="FR245" i="1" s="1"/>
  <c r="FS245" i="1" s="1"/>
  <c r="FT245" i="1" s="1"/>
  <c r="FU245" i="1" s="1"/>
  <c r="FW245" i="1" s="1"/>
  <c r="GK84" i="1"/>
  <c r="GL84" i="1" s="1"/>
  <c r="GC158" i="1"/>
  <c r="GD158" i="1" s="1"/>
  <c r="GE127" i="1"/>
  <c r="GF127" i="1" s="1"/>
  <c r="GE112" i="1"/>
  <c r="GF112" i="1" s="1"/>
  <c r="GE45" i="1"/>
  <c r="GF45" i="1" s="1"/>
  <c r="GC285" i="1"/>
  <c r="GD285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8" i="1"/>
  <c r="GT278" i="1" s="1"/>
  <c r="GU278" i="1" s="1"/>
  <c r="GC21" i="1"/>
  <c r="GD21" i="1" s="1"/>
  <c r="GK218" i="1"/>
  <c r="GL218" i="1" s="1"/>
  <c r="GE301" i="1"/>
  <c r="GF301" i="1" s="1"/>
  <c r="GC169" i="1"/>
  <c r="GD169" i="1" s="1"/>
  <c r="GP188" i="1"/>
  <c r="FQ223" i="1"/>
  <c r="FR223" i="1" s="1"/>
  <c r="FS223" i="1" s="1"/>
  <c r="FT223" i="1" s="1"/>
  <c r="FU223" i="1" s="1"/>
  <c r="FW223" i="1" s="1"/>
  <c r="FP285" i="1"/>
  <c r="FR285" i="1" s="1"/>
  <c r="FS285" i="1" s="1"/>
  <c r="FT285" i="1" s="1"/>
  <c r="FU285" i="1" s="1"/>
  <c r="FW285" i="1" s="1"/>
  <c r="GQ169" i="1"/>
  <c r="GP224" i="1"/>
  <c r="GI21" i="1"/>
  <c r="GJ21" i="1" s="1"/>
  <c r="GK254" i="1"/>
  <c r="GL254" i="1" s="1"/>
  <c r="GS6" i="1"/>
  <c r="GT6" i="1" s="1"/>
  <c r="GU6" i="1" s="1"/>
  <c r="GS105" i="1"/>
  <c r="GT105" i="1" s="1"/>
  <c r="GU105" i="1" s="1"/>
  <c r="GC188" i="1"/>
  <c r="GD188" i="1" s="1"/>
  <c r="GG260" i="1"/>
  <c r="GH260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7" i="1"/>
  <c r="GP104" i="1"/>
  <c r="GC198" i="1"/>
  <c r="GD198" i="1" s="1"/>
  <c r="GE224" i="1"/>
  <c r="GF224" i="1" s="1"/>
  <c r="GI219" i="1"/>
  <c r="GJ219" i="1" s="1"/>
  <c r="GQ301" i="1"/>
  <c r="GQ15" i="1"/>
  <c r="GS15" i="1"/>
  <c r="GT15" i="1" s="1"/>
  <c r="GU15" i="1" s="1"/>
  <c r="GS299" i="1"/>
  <c r="GT299" i="1" s="1"/>
  <c r="GU299" i="1" s="1"/>
  <c r="GK224" i="1"/>
  <c r="GL224" i="1" s="1"/>
  <c r="GE21" i="1"/>
  <c r="GF21" i="1" s="1"/>
  <c r="GP254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0" i="1"/>
  <c r="GL260" i="1" s="1"/>
  <c r="GQ141" i="1"/>
  <c r="GI151" i="1"/>
  <c r="GJ151" i="1" s="1"/>
  <c r="GK81" i="1"/>
  <c r="GL81" i="1" s="1"/>
  <c r="GP127" i="1"/>
  <c r="GI192" i="1"/>
  <c r="GJ192" i="1" s="1"/>
  <c r="FP178" i="1"/>
  <c r="FR178" i="1" s="1"/>
  <c r="FS178" i="1" s="1"/>
  <c r="FT178" i="1" s="1"/>
  <c r="FU178" i="1" s="1"/>
  <c r="FW178" i="1" s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R70" i="1" s="1"/>
  <c r="FS70" i="1" s="1"/>
  <c r="FT70" i="1" s="1"/>
  <c r="FU70" i="1" s="1"/>
  <c r="FW70" i="1" s="1"/>
  <c r="FP117" i="1"/>
  <c r="FR117" i="1" s="1"/>
  <c r="FS117" i="1" s="1"/>
  <c r="FT117" i="1" s="1"/>
  <c r="FU117" i="1" s="1"/>
  <c r="FW117" i="1" s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8" i="1"/>
  <c r="GJ278" i="1" s="1"/>
  <c r="GG21" i="1"/>
  <c r="GH21" i="1" s="1"/>
  <c r="GS301" i="1"/>
  <c r="GT301" i="1" s="1"/>
  <c r="GU301" i="1" s="1"/>
  <c r="GC278" i="1"/>
  <c r="GD278" i="1" s="1"/>
  <c r="GP15" i="1"/>
  <c r="GS21" i="1"/>
  <c r="GT21" i="1" s="1"/>
  <c r="GU21" i="1" s="1"/>
  <c r="FQ186" i="1"/>
  <c r="FR186" i="1" s="1"/>
  <c r="FS186" i="1" s="1"/>
  <c r="FT186" i="1" s="1"/>
  <c r="FU186" i="1" s="1"/>
  <c r="FW186" i="1" s="1"/>
  <c r="GS224" i="1"/>
  <c r="GT224" i="1" s="1"/>
  <c r="GU224" i="1" s="1"/>
  <c r="GP142" i="1"/>
  <c r="GC254" i="1"/>
  <c r="GD254" i="1" s="1"/>
  <c r="FP63" i="1"/>
  <c r="FR63" i="1" s="1"/>
  <c r="FS63" i="1" s="1"/>
  <c r="FT63" i="1" s="1"/>
  <c r="FU63" i="1" s="1"/>
  <c r="FW63" i="1" s="1"/>
  <c r="GC24" i="1"/>
  <c r="GD24" i="1" s="1"/>
  <c r="GG215" i="1"/>
  <c r="GH215" i="1" s="1"/>
  <c r="FQ183" i="1"/>
  <c r="FR183" i="1" s="1"/>
  <c r="FS183" i="1" s="1"/>
  <c r="FT183" i="1" s="1"/>
  <c r="FU183" i="1" s="1"/>
  <c r="FW183" i="1" s="1"/>
  <c r="GC34" i="1"/>
  <c r="GD34" i="1" s="1"/>
  <c r="GQ105" i="1"/>
  <c r="GK188" i="1"/>
  <c r="GL188" i="1" s="1"/>
  <c r="FP135" i="1"/>
  <c r="FR135" i="1" s="1"/>
  <c r="FS135" i="1" s="1"/>
  <c r="FT135" i="1" s="1"/>
  <c r="FU135" i="1" s="1"/>
  <c r="FW135" i="1" s="1"/>
  <c r="FP203" i="1"/>
  <c r="FR203" i="1" s="1"/>
  <c r="FS203" i="1" s="1"/>
  <c r="FT203" i="1" s="1"/>
  <c r="FU203" i="1" s="1"/>
  <c r="FW203" i="1" s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FR213" i="1" s="1"/>
  <c r="FS213" i="1" s="1"/>
  <c r="FT213" i="1" s="1"/>
  <c r="FU213" i="1" s="1"/>
  <c r="FW213" i="1" s="1"/>
  <c r="GC262" i="1"/>
  <c r="GD262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8" i="1"/>
  <c r="GS152" i="1"/>
  <c r="GT152" i="1" s="1"/>
  <c r="GU152" i="1" s="1"/>
  <c r="GE24" i="1"/>
  <c r="GF24" i="1" s="1"/>
  <c r="GC215" i="1"/>
  <c r="GD215" i="1" s="1"/>
  <c r="FP226" i="1"/>
  <c r="FR226" i="1" s="1"/>
  <c r="FS226" i="1" s="1"/>
  <c r="FT226" i="1" s="1"/>
  <c r="FU226" i="1" s="1"/>
  <c r="FW226" i="1" s="1"/>
  <c r="GE34" i="1"/>
  <c r="GF34" i="1" s="1"/>
  <c r="GK105" i="1"/>
  <c r="GL105" i="1" s="1"/>
  <c r="GP234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6" i="1"/>
  <c r="FR306" i="1" s="1"/>
  <c r="FS306" i="1" s="1"/>
  <c r="FT306" i="1" s="1"/>
  <c r="FU306" i="1" s="1"/>
  <c r="FW306" i="1" s="1"/>
  <c r="GG218" i="1"/>
  <c r="GH218" i="1" s="1"/>
  <c r="FP81" i="1"/>
  <c r="FR81" i="1" s="1"/>
  <c r="FS81" i="1" s="1"/>
  <c r="FT81" i="1" s="1"/>
  <c r="FU81" i="1" s="1"/>
  <c r="FW81" i="1" s="1"/>
  <c r="GS151" i="1"/>
  <c r="GT151" i="1" s="1"/>
  <c r="GU151" i="1" s="1"/>
  <c r="FQ173" i="1"/>
  <c r="FR173" i="1" s="1"/>
  <c r="FS173" i="1" s="1"/>
  <c r="FT173" i="1" s="1"/>
  <c r="FU173" i="1" s="1"/>
  <c r="FW173" i="1" s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8" i="1"/>
  <c r="GH278" i="1" s="1"/>
  <c r="GG142" i="1"/>
  <c r="GH142" i="1" s="1"/>
  <c r="GQ24" i="1"/>
  <c r="GQ49" i="1"/>
  <c r="GE234" i="1"/>
  <c r="GF234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7" i="1"/>
  <c r="GF277" i="1" s="1"/>
  <c r="GK301" i="1"/>
  <c r="GL301" i="1" s="1"/>
  <c r="GS190" i="1"/>
  <c r="GT190" i="1" s="1"/>
  <c r="GU190" i="1" s="1"/>
  <c r="FQ8" i="1"/>
  <c r="FR8" i="1" s="1"/>
  <c r="FS8" i="1" s="1"/>
  <c r="FT8" i="1" s="1"/>
  <c r="FU8" i="1" s="1"/>
  <c r="FW8" i="1" s="1"/>
  <c r="GI277" i="1"/>
  <c r="GJ277" i="1" s="1"/>
  <c r="GE215" i="1"/>
  <c r="GF215" i="1" s="1"/>
  <c r="GP105" i="1"/>
  <c r="GS230" i="1"/>
  <c r="GT230" i="1" s="1"/>
  <c r="GU230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7" i="1"/>
  <c r="GH277" i="1" s="1"/>
  <c r="GP278" i="1"/>
  <c r="GK142" i="1"/>
  <c r="GL142" i="1" s="1"/>
  <c r="GS248" i="1"/>
  <c r="GT248" i="1" s="1"/>
  <c r="GU248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4" i="1"/>
  <c r="GT234" i="1" s="1"/>
  <c r="GU234" i="1" s="1"/>
  <c r="GI230" i="1"/>
  <c r="GJ230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2" i="1"/>
  <c r="GF262" i="1" s="1"/>
  <c r="GG174" i="1"/>
  <c r="GH174" i="1" s="1"/>
  <c r="GQ155" i="1"/>
  <c r="FP155" i="1"/>
  <c r="FR155" i="1" s="1"/>
  <c r="FS155" i="1" s="1"/>
  <c r="FT155" i="1" s="1"/>
  <c r="FU155" i="1" s="1"/>
  <c r="FW155" i="1" s="1"/>
  <c r="GG94" i="1"/>
  <c r="GH94" i="1" s="1"/>
  <c r="FQ198" i="1"/>
  <c r="FR198" i="1" s="1"/>
  <c r="FS198" i="1" s="1"/>
  <c r="FT198" i="1" s="1"/>
  <c r="FU198" i="1" s="1"/>
  <c r="FW198" i="1" s="1"/>
  <c r="FP18" i="1"/>
  <c r="FR18" i="1" s="1"/>
  <c r="FS18" i="1" s="1"/>
  <c r="FT18" i="1" s="1"/>
  <c r="FU18" i="1" s="1"/>
  <c r="FW18" i="1" s="1"/>
  <c r="GK277" i="1"/>
  <c r="GL277" i="1" s="1"/>
  <c r="GI24" i="1"/>
  <c r="GJ24" i="1" s="1"/>
  <c r="GQ215" i="1"/>
  <c r="GK49" i="1"/>
  <c r="GL49" i="1" s="1"/>
  <c r="GI234" i="1"/>
  <c r="GJ234" i="1" s="1"/>
  <c r="GQ230" i="1"/>
  <c r="GG190" i="1"/>
  <c r="GH190" i="1" s="1"/>
  <c r="GP158" i="1"/>
  <c r="GI104" i="1"/>
  <c r="GJ104" i="1" s="1"/>
  <c r="GK94" i="1"/>
  <c r="GL94" i="1" s="1"/>
  <c r="FQ309" i="1"/>
  <c r="FP309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7" i="1"/>
  <c r="FQ277" i="1"/>
  <c r="FP128" i="1"/>
  <c r="FQ128" i="1"/>
  <c r="GQ307" i="1"/>
  <c r="GE307" i="1"/>
  <c r="GF307" i="1" s="1"/>
  <c r="GS307" i="1"/>
  <c r="GT307" i="1" s="1"/>
  <c r="GU307" i="1" s="1"/>
  <c r="GC307" i="1"/>
  <c r="GD307" i="1" s="1"/>
  <c r="GI307" i="1"/>
  <c r="GJ307" i="1" s="1"/>
  <c r="GE214" i="1"/>
  <c r="GF214" i="1" s="1"/>
  <c r="GQ214" i="1"/>
  <c r="GQ305" i="1"/>
  <c r="GK305" i="1"/>
  <c r="GL305" i="1" s="1"/>
  <c r="GC305" i="1"/>
  <c r="GD305" i="1" s="1"/>
  <c r="GS305" i="1"/>
  <c r="GT305" i="1" s="1"/>
  <c r="GU305" i="1" s="1"/>
  <c r="GE305" i="1"/>
  <c r="GF305" i="1" s="1"/>
  <c r="GP305" i="1"/>
  <c r="GG305" i="1"/>
  <c r="GH305" i="1" s="1"/>
  <c r="GE283" i="1"/>
  <c r="GF283" i="1" s="1"/>
  <c r="GG283" i="1"/>
  <c r="GH283" i="1" s="1"/>
  <c r="GI245" i="1"/>
  <c r="GJ245" i="1" s="1"/>
  <c r="GC245" i="1"/>
  <c r="GD245" i="1" s="1"/>
  <c r="GS245" i="1"/>
  <c r="GT245" i="1" s="1"/>
  <c r="GU245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7" i="1"/>
  <c r="GG247" i="1"/>
  <c r="GH247" i="1" s="1"/>
  <c r="GC247" i="1"/>
  <c r="GI247" i="1"/>
  <c r="GJ247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3" i="1"/>
  <c r="GQ33" i="1"/>
  <c r="GP149" i="1"/>
  <c r="GK208" i="1"/>
  <c r="GL208" i="1" s="1"/>
  <c r="GS208" i="1"/>
  <c r="GT208" i="1" s="1"/>
  <c r="GU208" i="1" s="1"/>
  <c r="GE285" i="1"/>
  <c r="GF285" i="1" s="1"/>
  <c r="GG285" i="1"/>
  <c r="GH285" i="1" s="1"/>
  <c r="GP285" i="1"/>
  <c r="GS285" i="1"/>
  <c r="GT285" i="1" s="1"/>
  <c r="GU285" i="1" s="1"/>
  <c r="GQ285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0" i="1"/>
  <c r="GG222" i="1"/>
  <c r="GH222" i="1" s="1"/>
  <c r="GE162" i="1"/>
  <c r="GF162" i="1" s="1"/>
  <c r="GE259" i="1"/>
  <c r="GF259" i="1" s="1"/>
  <c r="GE208" i="1"/>
  <c r="GF208" i="1" s="1"/>
  <c r="GC107" i="1"/>
  <c r="GD107" i="1" s="1"/>
  <c r="GG23" i="1"/>
  <c r="GH23" i="1" s="1"/>
  <c r="GE16" i="1"/>
  <c r="GF16" i="1" s="1"/>
  <c r="GP16" i="1"/>
  <c r="GC299" i="1"/>
  <c r="GD299" i="1" s="1"/>
  <c r="GQ299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8" i="1"/>
  <c r="FQ238" i="1"/>
  <c r="GP244" i="1"/>
  <c r="GK244" i="1"/>
  <c r="GL244" i="1" s="1"/>
  <c r="GG244" i="1"/>
  <c r="GH244" i="1" s="1"/>
  <c r="GC244" i="1"/>
  <c r="GD244" i="1" s="1"/>
  <c r="GQ244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0" i="1"/>
  <c r="GF300" i="1" s="1"/>
  <c r="GP300" i="1"/>
  <c r="GC300" i="1"/>
  <c r="GD300" i="1" s="1"/>
  <c r="GG300" i="1"/>
  <c r="GH300" i="1" s="1"/>
  <c r="GS300" i="1"/>
  <c r="GT300" i="1" s="1"/>
  <c r="GU300" i="1" s="1"/>
  <c r="GK300" i="1"/>
  <c r="GL300" i="1" s="1"/>
  <c r="GQ300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FR105" i="1" s="1"/>
  <c r="FS105" i="1" s="1"/>
  <c r="FT105" i="1" s="1"/>
  <c r="FU105" i="1" s="1"/>
  <c r="FW105" i="1" s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7" i="1"/>
  <c r="GF247" i="1" s="1"/>
  <c r="GP247" i="1"/>
  <c r="GK307" i="1"/>
  <c r="GL307" i="1" s="1"/>
  <c r="FQ255" i="1"/>
  <c r="FP255" i="1"/>
  <c r="FQ50" i="1"/>
  <c r="FP50" i="1"/>
  <c r="GK288" i="1"/>
  <c r="GL288" i="1" s="1"/>
  <c r="GQ288" i="1"/>
  <c r="GS288" i="1"/>
  <c r="GT288" i="1" s="1"/>
  <c r="GU288" i="1" s="1"/>
  <c r="GC288" i="1"/>
  <c r="GE288" i="1"/>
  <c r="GF288" i="1" s="1"/>
  <c r="GP288" i="1"/>
  <c r="GS194" i="1"/>
  <c r="GT194" i="1" s="1"/>
  <c r="GU194" i="1" s="1"/>
  <c r="GS247" i="1"/>
  <c r="GT247" i="1" s="1"/>
  <c r="GU247" i="1" s="1"/>
  <c r="GI305" i="1"/>
  <c r="GJ305" i="1" s="1"/>
  <c r="FQ71" i="1"/>
  <c r="FP71" i="1"/>
  <c r="GG240" i="1"/>
  <c r="GH240" i="1" s="1"/>
  <c r="GQ222" i="1"/>
  <c r="GQ118" i="1"/>
  <c r="GC207" i="1"/>
  <c r="GD207" i="1" s="1"/>
  <c r="GI288" i="1"/>
  <c r="GJ288" i="1" s="1"/>
  <c r="GE9" i="1"/>
  <c r="GF9" i="1" s="1"/>
  <c r="GI285" i="1"/>
  <c r="GJ285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7" i="1"/>
  <c r="FQ297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59" i="1"/>
  <c r="GL259" i="1" s="1"/>
  <c r="GG259" i="1"/>
  <c r="GH259" i="1" s="1"/>
  <c r="GS259" i="1"/>
  <c r="GT259" i="1" s="1"/>
  <c r="GU259" i="1" s="1"/>
  <c r="GP259" i="1"/>
  <c r="GC259" i="1"/>
  <c r="GD259" i="1" s="1"/>
  <c r="GQ259" i="1"/>
  <c r="GP33" i="1"/>
  <c r="GK257" i="1"/>
  <c r="GL257" i="1" s="1"/>
  <c r="GS257" i="1"/>
  <c r="GT257" i="1" s="1"/>
  <c r="GU257" i="1" s="1"/>
  <c r="GQ257" i="1"/>
  <c r="GI257" i="1"/>
  <c r="GJ257" i="1" s="1"/>
  <c r="FP168" i="1"/>
  <c r="FQ168" i="1"/>
  <c r="GC115" i="1"/>
  <c r="GP115" i="1"/>
  <c r="GI115" i="1"/>
  <c r="GJ115" i="1" s="1"/>
  <c r="GK308" i="1"/>
  <c r="GL308" i="1" s="1"/>
  <c r="GE308" i="1"/>
  <c r="GF308" i="1" s="1"/>
  <c r="GP307" i="1"/>
  <c r="GG291" i="1"/>
  <c r="GH291" i="1" s="1"/>
  <c r="GE291" i="1"/>
  <c r="GF291" i="1" s="1"/>
  <c r="GS291" i="1"/>
  <c r="GT291" i="1" s="1"/>
  <c r="GU291" i="1" s="1"/>
  <c r="GQ291" i="1"/>
  <c r="GP291" i="1"/>
  <c r="FP127" i="1"/>
  <c r="FQ127" i="1"/>
  <c r="GE254" i="1"/>
  <c r="GF254" i="1" s="1"/>
  <c r="GQ254" i="1"/>
  <c r="GI254" i="1"/>
  <c r="GJ254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6" i="1"/>
  <c r="GL306" i="1" s="1"/>
  <c r="GE306" i="1"/>
  <c r="GF306" i="1" s="1"/>
  <c r="GP306" i="1"/>
  <c r="GS268" i="1"/>
  <c r="GT268" i="1" s="1"/>
  <c r="GU268" i="1" s="1"/>
  <c r="GC268" i="1"/>
  <c r="GD268" i="1" s="1"/>
  <c r="GE268" i="1"/>
  <c r="GF268" i="1" s="1"/>
  <c r="GQ268" i="1"/>
  <c r="GK268" i="1"/>
  <c r="GL268" i="1" s="1"/>
  <c r="GE222" i="1"/>
  <c r="GF222" i="1" s="1"/>
  <c r="GG162" i="1"/>
  <c r="GH162" i="1" s="1"/>
  <c r="GP208" i="1"/>
  <c r="GS3" i="1"/>
  <c r="GT3" i="1" s="1"/>
  <c r="GU3" i="1" s="1"/>
  <c r="GE257" i="1"/>
  <c r="GF257" i="1" s="1"/>
  <c r="GG288" i="1"/>
  <c r="GH288" i="1" s="1"/>
  <c r="GP23" i="1"/>
  <c r="GI291" i="1"/>
  <c r="GJ291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8" i="1"/>
  <c r="GP214" i="1"/>
  <c r="GS115" i="1"/>
  <c r="GT115" i="1" s="1"/>
  <c r="GU115" i="1" s="1"/>
  <c r="GK162" i="1"/>
  <c r="GL162" i="1" s="1"/>
  <c r="GQ138" i="1"/>
  <c r="GG308" i="1"/>
  <c r="GH308" i="1" s="1"/>
  <c r="GK69" i="1"/>
  <c r="GL69" i="1" s="1"/>
  <c r="GG307" i="1"/>
  <c r="GH307" i="1" s="1"/>
  <c r="GE90" i="1"/>
  <c r="GF90" i="1" s="1"/>
  <c r="GE217" i="1"/>
  <c r="GF217" i="1" s="1"/>
  <c r="GG107" i="1"/>
  <c r="GH107" i="1" s="1"/>
  <c r="GK35" i="1"/>
  <c r="GL35" i="1" s="1"/>
  <c r="GP9" i="1"/>
  <c r="GP207" i="1"/>
  <c r="GK310" i="1"/>
  <c r="GL310" i="1" s="1"/>
  <c r="GS310" i="1"/>
  <c r="GT310" i="1" s="1"/>
  <c r="GU310" i="1" s="1"/>
  <c r="GE310" i="1"/>
  <c r="GF310" i="1" s="1"/>
  <c r="GP310" i="1"/>
  <c r="GG310" i="1"/>
  <c r="GH310" i="1" s="1"/>
  <c r="GI310" i="1"/>
  <c r="GJ310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7" i="1"/>
  <c r="GT267" i="1" s="1"/>
  <c r="GU267" i="1" s="1"/>
  <c r="GQ6" i="1"/>
  <c r="GQ234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3" i="1"/>
  <c r="GF253" i="1" s="1"/>
  <c r="GS37" i="1"/>
  <c r="GT37" i="1" s="1"/>
  <c r="GU37" i="1" s="1"/>
  <c r="GI253" i="1"/>
  <c r="GJ253" i="1" s="1"/>
  <c r="GQ42" i="1"/>
  <c r="FQ230" i="1"/>
  <c r="FR230" i="1" s="1"/>
  <c r="FS230" i="1" s="1"/>
  <c r="FT230" i="1" s="1"/>
  <c r="FU230" i="1" s="1"/>
  <c r="FW230" i="1" s="1"/>
  <c r="GK230" i="1"/>
  <c r="GL230" i="1" s="1"/>
  <c r="GK141" i="1"/>
  <c r="GL141" i="1" s="1"/>
  <c r="FP158" i="1"/>
  <c r="FR158" i="1" s="1"/>
  <c r="FS158" i="1" s="1"/>
  <c r="FT158" i="1" s="1"/>
  <c r="FU158" i="1" s="1"/>
  <c r="FW158" i="1" s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59" i="1"/>
  <c r="FR259" i="1" s="1"/>
  <c r="FS259" i="1" s="1"/>
  <c r="FT259" i="1" s="1"/>
  <c r="FU259" i="1" s="1"/>
  <c r="FW259" i="1" s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7" i="1"/>
  <c r="GL267" i="1" s="1"/>
  <c r="GP267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2" i="1"/>
  <c r="GP38" i="1"/>
  <c r="GP253" i="1"/>
  <c r="FP282" i="1"/>
  <c r="FR282" i="1" s="1"/>
  <c r="FS282" i="1" s="1"/>
  <c r="FT282" i="1" s="1"/>
  <c r="FU282" i="1" s="1"/>
  <c r="FW282" i="1" s="1"/>
  <c r="GK262" i="1"/>
  <c r="GL262" i="1" s="1"/>
  <c r="GK11" i="1"/>
  <c r="GL11" i="1" s="1"/>
  <c r="GC37" i="1"/>
  <c r="GD37" i="1" s="1"/>
  <c r="GG22" i="1"/>
  <c r="GH22" i="1" s="1"/>
  <c r="FP270" i="1"/>
  <c r="FR270" i="1" s="1"/>
  <c r="FS270" i="1" s="1"/>
  <c r="FT270" i="1" s="1"/>
  <c r="FU270" i="1" s="1"/>
  <c r="FW270" i="1" s="1"/>
  <c r="GQ198" i="1"/>
  <c r="GI86" i="1"/>
  <c r="GJ86" i="1" s="1"/>
  <c r="FQ156" i="1"/>
  <c r="FP156" i="1"/>
  <c r="FP237" i="1"/>
  <c r="FQ237" i="1"/>
  <c r="FQ48" i="1"/>
  <c r="FP48" i="1"/>
  <c r="FQ242" i="1"/>
  <c r="FP242" i="1"/>
  <c r="FP33" i="1"/>
  <c r="FQ33" i="1"/>
  <c r="GQ289" i="1"/>
  <c r="GI289" i="1"/>
  <c r="GJ289" i="1" s="1"/>
  <c r="GE289" i="1"/>
  <c r="GF289" i="1" s="1"/>
  <c r="GS289" i="1"/>
  <c r="GT289" i="1" s="1"/>
  <c r="GU289" i="1" s="1"/>
  <c r="GP289" i="1"/>
  <c r="GC289" i="1"/>
  <c r="GD289" i="1" s="1"/>
  <c r="GG289" i="1"/>
  <c r="GH289" i="1" s="1"/>
  <c r="GK289" i="1"/>
  <c r="GL289" i="1" s="1"/>
  <c r="FQ302" i="1"/>
  <c r="FP302" i="1"/>
  <c r="FQ204" i="1"/>
  <c r="FP204" i="1"/>
  <c r="FP150" i="1"/>
  <c r="FQ150" i="1"/>
  <c r="FP43" i="1"/>
  <c r="FQ43" i="1"/>
  <c r="FQ74" i="1"/>
  <c r="FP74" i="1"/>
  <c r="GC256" i="1"/>
  <c r="GD256" i="1" s="1"/>
  <c r="GQ256" i="1"/>
  <c r="GE256" i="1"/>
  <c r="GF256" i="1" s="1"/>
  <c r="GS256" i="1"/>
  <c r="GT256" i="1" s="1"/>
  <c r="GU256" i="1" s="1"/>
  <c r="GP256" i="1"/>
  <c r="GI256" i="1"/>
  <c r="GJ256" i="1" s="1"/>
  <c r="GG256" i="1"/>
  <c r="GH256" i="1" s="1"/>
  <c r="FP250" i="1"/>
  <c r="FQ250" i="1"/>
  <c r="FQ194" i="1"/>
  <c r="FP194" i="1"/>
  <c r="FP119" i="1"/>
  <c r="FR119" i="1" s="1"/>
  <c r="FS119" i="1" s="1"/>
  <c r="FT119" i="1" s="1"/>
  <c r="FU119" i="1" s="1"/>
  <c r="FW119" i="1" s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1" i="1"/>
  <c r="GC261" i="1"/>
  <c r="GD261" i="1" s="1"/>
  <c r="GE261" i="1"/>
  <c r="GF261" i="1" s="1"/>
  <c r="GK261" i="1"/>
  <c r="GL261" i="1" s="1"/>
  <c r="GI261" i="1"/>
  <c r="GJ261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0" i="1"/>
  <c r="FQ260" i="1"/>
  <c r="FQ276" i="1"/>
  <c r="FP276" i="1"/>
  <c r="FP83" i="1"/>
  <c r="FQ83" i="1"/>
  <c r="GG261" i="1"/>
  <c r="GH261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3" i="1"/>
  <c r="GH223" i="1" s="1"/>
  <c r="GC223" i="1"/>
  <c r="GD223" i="1" s="1"/>
  <c r="GI223" i="1"/>
  <c r="GJ223" i="1" s="1"/>
  <c r="GP223" i="1"/>
  <c r="GE223" i="1"/>
  <c r="GF223" i="1" s="1"/>
  <c r="GS223" i="1"/>
  <c r="GT223" i="1" s="1"/>
  <c r="GU223" i="1" s="1"/>
  <c r="GK223" i="1"/>
  <c r="GL223" i="1" s="1"/>
  <c r="FP145" i="1"/>
  <c r="FQ145" i="1"/>
  <c r="FQ258" i="1"/>
  <c r="FP258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4" i="1"/>
  <c r="FP264" i="1"/>
  <c r="FQ310" i="1"/>
  <c r="FP310" i="1"/>
  <c r="FQ10" i="1"/>
  <c r="FR10" i="1" s="1"/>
  <c r="FS10" i="1" s="1"/>
  <c r="FT10" i="1" s="1"/>
  <c r="FU10" i="1" s="1"/>
  <c r="FW10" i="1" s="1"/>
  <c r="GQ223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8" i="1"/>
  <c r="FP288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R84" i="1" s="1"/>
  <c r="FS84" i="1" s="1"/>
  <c r="FT84" i="1" s="1"/>
  <c r="FU84" i="1" s="1"/>
  <c r="FW84" i="1" s="1"/>
  <c r="FP201" i="1"/>
  <c r="FR201" i="1" s="1"/>
  <c r="FS201" i="1" s="1"/>
  <c r="FT201" i="1" s="1"/>
  <c r="FU201" i="1" s="1"/>
  <c r="FW201" i="1" s="1"/>
  <c r="FP100" i="1"/>
  <c r="FR100" i="1" s="1"/>
  <c r="FS100" i="1" s="1"/>
  <c r="FT100" i="1" s="1"/>
  <c r="FU100" i="1" s="1"/>
  <c r="FW100" i="1" s="1"/>
  <c r="FQ163" i="1"/>
  <c r="FR163" i="1" s="1"/>
  <c r="FS163" i="1" s="1"/>
  <c r="FT163" i="1" s="1"/>
  <c r="FU163" i="1" s="1"/>
  <c r="FW163" i="1" s="1"/>
  <c r="FP106" i="1"/>
  <c r="FR106" i="1" s="1"/>
  <c r="FS106" i="1" s="1"/>
  <c r="FT106" i="1" s="1"/>
  <c r="FU106" i="1" s="1"/>
  <c r="FW106" i="1" s="1"/>
  <c r="FP252" i="1"/>
  <c r="FR252" i="1" s="1"/>
  <c r="FS252" i="1" s="1"/>
  <c r="FT252" i="1" s="1"/>
  <c r="FU252" i="1" s="1"/>
  <c r="FW252" i="1" s="1"/>
  <c r="FQ199" i="1"/>
  <c r="FP199" i="1"/>
  <c r="FQ197" i="1"/>
  <c r="FP197" i="1"/>
  <c r="GK283" i="1"/>
  <c r="GL283" i="1" s="1"/>
  <c r="GC283" i="1"/>
  <c r="GD283" i="1" s="1"/>
  <c r="GS283" i="1"/>
  <c r="GT283" i="1" s="1"/>
  <c r="GU283" i="1" s="1"/>
  <c r="GP283" i="1"/>
  <c r="GI283" i="1"/>
  <c r="GJ283" i="1" s="1"/>
  <c r="GK245" i="1"/>
  <c r="GL245" i="1" s="1"/>
  <c r="GE245" i="1"/>
  <c r="GF245" i="1" s="1"/>
  <c r="GQ245" i="1"/>
  <c r="GP245" i="1"/>
  <c r="GG245" i="1"/>
  <c r="GH245" i="1" s="1"/>
  <c r="FQ249" i="1"/>
  <c r="FP249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1" i="1"/>
  <c r="FP241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8" i="1"/>
  <c r="FP228" i="1"/>
  <c r="GC52" i="1"/>
  <c r="GD52" i="1" s="1"/>
  <c r="FP153" i="1"/>
  <c r="FR153" i="1" s="1"/>
  <c r="FS153" i="1" s="1"/>
  <c r="FT153" i="1" s="1"/>
  <c r="FU153" i="1" s="1"/>
  <c r="FW153" i="1" s="1"/>
  <c r="FP123" i="1"/>
  <c r="FR123" i="1" s="1"/>
  <c r="FS123" i="1" s="1"/>
  <c r="FT123" i="1" s="1"/>
  <c r="FU123" i="1" s="1"/>
  <c r="FW123" i="1" s="1"/>
  <c r="FP115" i="1"/>
  <c r="FQ115" i="1"/>
  <c r="GQ176" i="1"/>
  <c r="GK176" i="1"/>
  <c r="GL176" i="1" s="1"/>
  <c r="GG176" i="1"/>
  <c r="GH176" i="1" s="1"/>
  <c r="GC176" i="1"/>
  <c r="GD176" i="1" s="1"/>
  <c r="GP176" i="1"/>
  <c r="FQ247" i="1"/>
  <c r="FP247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6" i="1"/>
  <c r="GL256" i="1" s="1"/>
  <c r="FP240" i="1"/>
  <c r="FR240" i="1" s="1"/>
  <c r="FS240" i="1" s="1"/>
  <c r="FT240" i="1" s="1"/>
  <c r="FU240" i="1" s="1"/>
  <c r="FW240" i="1" s="1"/>
  <c r="FP195" i="1"/>
  <c r="FR195" i="1" s="1"/>
  <c r="FS195" i="1" s="1"/>
  <c r="FT195" i="1" s="1"/>
  <c r="FU195" i="1" s="1"/>
  <c r="FW195" i="1" s="1"/>
  <c r="FP120" i="1"/>
  <c r="FQ120" i="1"/>
  <c r="FP107" i="1"/>
  <c r="FR107" i="1" s="1"/>
  <c r="FS107" i="1" s="1"/>
  <c r="FT107" i="1" s="1"/>
  <c r="FU107" i="1" s="1"/>
  <c r="FW107" i="1" s="1"/>
  <c r="FQ146" i="1"/>
  <c r="FP146" i="1"/>
  <c r="GG52" i="1"/>
  <c r="GH52" i="1" s="1"/>
  <c r="GQ180" i="1"/>
  <c r="FP208" i="1"/>
  <c r="FQ208" i="1"/>
  <c r="GC286" i="1"/>
  <c r="GD286" i="1" s="1"/>
  <c r="GE286" i="1"/>
  <c r="GF286" i="1" s="1"/>
  <c r="GI286" i="1"/>
  <c r="GJ286" i="1" s="1"/>
  <c r="GG286" i="1"/>
  <c r="GH286" i="1" s="1"/>
  <c r="GQ286" i="1"/>
  <c r="GS286" i="1"/>
  <c r="GT286" i="1" s="1"/>
  <c r="GU286" i="1" s="1"/>
  <c r="GI233" i="1"/>
  <c r="GJ233" i="1" s="1"/>
  <c r="GQ233" i="1"/>
  <c r="GG233" i="1"/>
  <c r="GH233" i="1" s="1"/>
  <c r="GC233" i="1"/>
  <c r="GD233" i="1" s="1"/>
  <c r="GE233" i="1"/>
  <c r="GF233" i="1" s="1"/>
  <c r="FP261" i="1"/>
  <c r="FQ261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8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R218" i="1" s="1"/>
  <c r="FS218" i="1" s="1"/>
  <c r="FT218" i="1" s="1"/>
  <c r="FU218" i="1" s="1"/>
  <c r="FW218" i="1" s="1"/>
  <c r="FQ290" i="1"/>
  <c r="FR290" i="1" s="1"/>
  <c r="FS290" i="1" s="1"/>
  <c r="FT290" i="1" s="1"/>
  <c r="FU290" i="1" s="1"/>
  <c r="FW290" i="1" s="1"/>
  <c r="GQ149" i="1"/>
  <c r="GE240" i="1"/>
  <c r="GF240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1" i="1"/>
  <c r="GG15" i="1"/>
  <c r="GH15" i="1" s="1"/>
  <c r="GI299" i="1"/>
  <c r="GJ299" i="1" s="1"/>
  <c r="GG169" i="1"/>
  <c r="GH169" i="1" s="1"/>
  <c r="GE231" i="1"/>
  <c r="GF231" i="1" s="1"/>
  <c r="GG173" i="1"/>
  <c r="GH173" i="1" s="1"/>
  <c r="GQ152" i="1"/>
  <c r="GP6" i="1"/>
  <c r="GG138" i="1"/>
  <c r="GH138" i="1" s="1"/>
  <c r="GC310" i="1"/>
  <c r="GD310" i="1" s="1"/>
  <c r="GQ36" i="1"/>
  <c r="GI49" i="1"/>
  <c r="GJ49" i="1" s="1"/>
  <c r="GC208" i="1"/>
  <c r="GD208" i="1" s="1"/>
  <c r="FP227" i="1"/>
  <c r="FR227" i="1" s="1"/>
  <c r="FS227" i="1" s="1"/>
  <c r="FT227" i="1" s="1"/>
  <c r="FU227" i="1" s="1"/>
  <c r="FW227" i="1" s="1"/>
  <c r="GG257" i="1"/>
  <c r="GH257" i="1" s="1"/>
  <c r="GQ35" i="1"/>
  <c r="GE282" i="1"/>
  <c r="GF282" i="1" s="1"/>
  <c r="GG210" i="1"/>
  <c r="GH210" i="1" s="1"/>
  <c r="FP257" i="1"/>
  <c r="FR257" i="1" s="1"/>
  <c r="FS257" i="1" s="1"/>
  <c r="FT257" i="1" s="1"/>
  <c r="FU257" i="1" s="1"/>
  <c r="FW257" i="1" s="1"/>
  <c r="GC5" i="1"/>
  <c r="GS5" i="1"/>
  <c r="GT5" i="1" s="1"/>
  <c r="GU5" i="1" s="1"/>
  <c r="GG189" i="1"/>
  <c r="GH189" i="1" s="1"/>
  <c r="GI118" i="1"/>
  <c r="GJ118" i="1" s="1"/>
  <c r="GI5" i="1"/>
  <c r="GJ5" i="1" s="1"/>
  <c r="FP284" i="1"/>
  <c r="FR284" i="1" s="1"/>
  <c r="FS284" i="1" s="1"/>
  <c r="FT284" i="1" s="1"/>
  <c r="FU284" i="1" s="1"/>
  <c r="FW284" i="1" s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4" i="1"/>
  <c r="GT244" i="1" s="1"/>
  <c r="GU244" i="1" s="1"/>
  <c r="GE121" i="1"/>
  <c r="GF121" i="1" s="1"/>
  <c r="GP81" i="1"/>
  <c r="GP240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8" i="1"/>
  <c r="GH248" i="1" s="1"/>
  <c r="GS16" i="1"/>
  <c r="GT16" i="1" s="1"/>
  <c r="GU16" i="1" s="1"/>
  <c r="GG299" i="1"/>
  <c r="GH299" i="1" s="1"/>
  <c r="GG152" i="1"/>
  <c r="GH152" i="1" s="1"/>
  <c r="FP130" i="1"/>
  <c r="FR130" i="1" s="1"/>
  <c r="FS130" i="1" s="1"/>
  <c r="FT130" i="1" s="1"/>
  <c r="FU130" i="1" s="1"/>
  <c r="FW130" i="1" s="1"/>
  <c r="GI282" i="1"/>
  <c r="GJ282" i="1" s="1"/>
  <c r="GE5" i="1"/>
  <c r="GF5" i="1" s="1"/>
  <c r="GQ5" i="1"/>
  <c r="GP91" i="1"/>
  <c r="GP257" i="1"/>
  <c r="FP185" i="1"/>
  <c r="FR185" i="1" s="1"/>
  <c r="FS185" i="1" s="1"/>
  <c r="FT185" i="1" s="1"/>
  <c r="FU185" i="1" s="1"/>
  <c r="FW185" i="1" s="1"/>
  <c r="GQ16" i="1"/>
  <c r="GC224" i="1"/>
  <c r="GD224" i="1" s="1"/>
  <c r="GG268" i="1"/>
  <c r="GH268" i="1" s="1"/>
  <c r="FQ14" i="1"/>
  <c r="FR14" i="1" s="1"/>
  <c r="FS14" i="1" s="1"/>
  <c r="FT14" i="1" s="1"/>
  <c r="FU14" i="1" s="1"/>
  <c r="FW14" i="1" s="1"/>
  <c r="GS183" i="1"/>
  <c r="GT183" i="1" s="1"/>
  <c r="GU183" i="1" s="1"/>
  <c r="GC183" i="1"/>
  <c r="GD183" i="1" s="1"/>
  <c r="GE141" i="1"/>
  <c r="GF141" i="1" s="1"/>
  <c r="FQ221" i="1"/>
  <c r="FR221" i="1" s="1"/>
  <c r="FS221" i="1" s="1"/>
  <c r="FT221" i="1" s="1"/>
  <c r="FU221" i="1" s="1"/>
  <c r="FW221" i="1" s="1"/>
  <c r="GC217" i="1"/>
  <c r="GD217" i="1" s="1"/>
  <c r="GC35" i="1"/>
  <c r="GD35" i="1" s="1"/>
  <c r="GG282" i="1"/>
  <c r="GH282" i="1" s="1"/>
  <c r="FP289" i="1"/>
  <c r="FR289" i="1" s="1"/>
  <c r="FS289" i="1" s="1"/>
  <c r="FT289" i="1" s="1"/>
  <c r="FU289" i="1" s="1"/>
  <c r="FW289" i="1" s="1"/>
  <c r="GI37" i="1"/>
  <c r="GJ37" i="1" s="1"/>
  <c r="GQ204" i="1"/>
  <c r="FQ165" i="1"/>
  <c r="FR165" i="1" s="1"/>
  <c r="FS165" i="1" s="1"/>
  <c r="FT165" i="1" s="1"/>
  <c r="FU165" i="1" s="1"/>
  <c r="FW165" i="1" s="1"/>
  <c r="GE37" i="1"/>
  <c r="GF37" i="1" s="1"/>
  <c r="GI217" i="1"/>
  <c r="GJ217" i="1" s="1"/>
  <c r="GE149" i="1"/>
  <c r="GF149" i="1" s="1"/>
  <c r="GI198" i="1"/>
  <c r="GJ198" i="1" s="1"/>
  <c r="FP254" i="1"/>
  <c r="FR254" i="1" s="1"/>
  <c r="FS254" i="1" s="1"/>
  <c r="FT254" i="1" s="1"/>
  <c r="FU254" i="1" s="1"/>
  <c r="FW254" i="1" s="1"/>
  <c r="GS81" i="1"/>
  <c r="GT81" i="1" s="1"/>
  <c r="GU81" i="1" s="1"/>
  <c r="GP177" i="1"/>
  <c r="GG214" i="1"/>
  <c r="GH214" i="1" s="1"/>
  <c r="GI224" i="1"/>
  <c r="GJ224" i="1" s="1"/>
  <c r="GS222" i="1"/>
  <c r="GT222" i="1" s="1"/>
  <c r="GU222" i="1" s="1"/>
  <c r="GI183" i="1"/>
  <c r="GJ183" i="1" s="1"/>
  <c r="GI35" i="1"/>
  <c r="GJ35" i="1" s="1"/>
  <c r="GK240" i="1"/>
  <c r="GL240" i="1" s="1"/>
  <c r="GC219" i="1"/>
  <c r="GD219" i="1" s="1"/>
  <c r="GC301" i="1"/>
  <c r="GD301" i="1" s="1"/>
  <c r="GI139" i="1"/>
  <c r="GJ139" i="1" s="1"/>
  <c r="GQ267" i="1"/>
  <c r="GK216" i="1"/>
  <c r="GL216" i="1" s="1"/>
  <c r="GI15" i="1"/>
  <c r="GJ15" i="1" s="1"/>
  <c r="GK299" i="1"/>
  <c r="GL299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0" i="1"/>
  <c r="GT240" i="1" s="1"/>
  <c r="GU240" i="1" s="1"/>
  <c r="GK16" i="1"/>
  <c r="GL16" i="1" s="1"/>
  <c r="GK139" i="1"/>
  <c r="GL139" i="1" s="1"/>
  <c r="GC267" i="1"/>
  <c r="GD267" i="1" s="1"/>
  <c r="GG216" i="1"/>
  <c r="GH216" i="1" s="1"/>
  <c r="GE299" i="1"/>
  <c r="GF299" i="1" s="1"/>
  <c r="GG224" i="1"/>
  <c r="GH224" i="1" s="1"/>
  <c r="GC222" i="1"/>
  <c r="GI268" i="1"/>
  <c r="GJ268" i="1" s="1"/>
  <c r="GQ28" i="1"/>
  <c r="GQ183" i="1"/>
  <c r="FP110" i="1"/>
  <c r="FR110" i="1" s="1"/>
  <c r="FS110" i="1" s="1"/>
  <c r="FT110" i="1" s="1"/>
  <c r="FU110" i="1" s="1"/>
  <c r="FW110" i="1" s="1"/>
  <c r="GP141" i="1"/>
  <c r="GP35" i="1"/>
  <c r="GP282" i="1"/>
  <c r="GP210" i="1"/>
  <c r="FQ189" i="1"/>
  <c r="FR189" i="1" s="1"/>
  <c r="FS189" i="1" s="1"/>
  <c r="FT189" i="1" s="1"/>
  <c r="FU189" i="1" s="1"/>
  <c r="FW189" i="1" s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FR142" i="1" s="1"/>
  <c r="FS142" i="1" s="1"/>
  <c r="FT142" i="1" s="1"/>
  <c r="FU142" i="1" s="1"/>
  <c r="FW142" i="1" s="1"/>
  <c r="GE183" i="1"/>
  <c r="GF183" i="1" s="1"/>
  <c r="GC257" i="1"/>
  <c r="GD257" i="1" s="1"/>
  <c r="FP95" i="1"/>
  <c r="FR95" i="1" s="1"/>
  <c r="FS95" i="1" s="1"/>
  <c r="FT95" i="1" s="1"/>
  <c r="FU95" i="1" s="1"/>
  <c r="FW95" i="1" s="1"/>
  <c r="FP188" i="1"/>
  <c r="FR188" i="1" s="1"/>
  <c r="FS188" i="1" s="1"/>
  <c r="FT188" i="1" s="1"/>
  <c r="FU188" i="1" s="1"/>
  <c r="FW188" i="1" s="1"/>
  <c r="GC282" i="1"/>
  <c r="GD282" i="1" s="1"/>
  <c r="FQ167" i="1"/>
  <c r="FR167" i="1" s="1"/>
  <c r="FS167" i="1" s="1"/>
  <c r="FT167" i="1" s="1"/>
  <c r="FU167" i="1" s="1"/>
  <c r="FW167" i="1" s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8" i="1"/>
  <c r="FR308" i="1" s="1"/>
  <c r="FS308" i="1" s="1"/>
  <c r="FT308" i="1" s="1"/>
  <c r="FU308" i="1" s="1"/>
  <c r="FW308" i="1" s="1"/>
  <c r="GQ236" i="1"/>
  <c r="GG236" i="1"/>
  <c r="GH236" i="1" s="1"/>
  <c r="GC236" i="1"/>
  <c r="GD236" i="1" s="1"/>
  <c r="GE236" i="1"/>
  <c r="GF236" i="1" s="1"/>
  <c r="GS236" i="1"/>
  <c r="GT236" i="1" s="1"/>
  <c r="GU236" i="1" s="1"/>
  <c r="GQ182" i="1"/>
  <c r="GP182" i="1"/>
  <c r="GP236" i="1"/>
  <c r="GP311" i="1"/>
  <c r="GS182" i="1"/>
  <c r="GT182" i="1" s="1"/>
  <c r="GU182" i="1" s="1"/>
  <c r="GI236" i="1"/>
  <c r="GJ236" i="1" s="1"/>
  <c r="GG311" i="1"/>
  <c r="GH311" i="1" s="1"/>
  <c r="FP187" i="1"/>
  <c r="FR187" i="1" s="1"/>
  <c r="FS187" i="1" s="1"/>
  <c r="FT187" i="1" s="1"/>
  <c r="FU187" i="1" s="1"/>
  <c r="FW187" i="1" s="1"/>
  <c r="GK311" i="1"/>
  <c r="GL311" i="1" s="1"/>
  <c r="GS311" i="1"/>
  <c r="GT311" i="1" s="1"/>
  <c r="GU311" i="1" s="1"/>
  <c r="GQ311" i="1"/>
  <c r="GC311" i="1"/>
  <c r="GD311" i="1" s="1"/>
  <c r="GI311" i="1"/>
  <c r="GJ311" i="1" s="1"/>
  <c r="GI98" i="1"/>
  <c r="GJ98" i="1" s="1"/>
  <c r="GE98" i="1"/>
  <c r="GF98" i="1" s="1"/>
  <c r="FQ174" i="1"/>
  <c r="FR174" i="1" s="1"/>
  <c r="FS174" i="1" s="1"/>
  <c r="FT174" i="1" s="1"/>
  <c r="FU174" i="1" s="1"/>
  <c r="FW174" i="1" s="1"/>
  <c r="FP6" i="1"/>
  <c r="FR6" i="1" s="1"/>
  <c r="FS6" i="1" s="1"/>
  <c r="FT6" i="1" s="1"/>
  <c r="FU6" i="1" s="1"/>
  <c r="FW6" i="1" s="1"/>
  <c r="GG98" i="1"/>
  <c r="GH98" i="1" s="1"/>
  <c r="GK98" i="1"/>
  <c r="GL98" i="1" s="1"/>
  <c r="GP98" i="1"/>
  <c r="GS98" i="1"/>
  <c r="GT98" i="1" s="1"/>
  <c r="GU98" i="1" s="1"/>
  <c r="GC98" i="1"/>
  <c r="GD98" i="1" s="1"/>
  <c r="FQ279" i="1"/>
  <c r="FR279" i="1" s="1"/>
  <c r="FS279" i="1" s="1"/>
  <c r="FT279" i="1" s="1"/>
  <c r="FU279" i="1" s="1"/>
  <c r="FW279" i="1" s="1"/>
  <c r="FP114" i="1"/>
  <c r="FR114" i="1" s="1"/>
  <c r="FS114" i="1" s="1"/>
  <c r="FT114" i="1" s="1"/>
  <c r="FU114" i="1" s="1"/>
  <c r="FW114" i="1" s="1"/>
  <c r="FQ268" i="1"/>
  <c r="FR268" i="1" s="1"/>
  <c r="FS268" i="1" s="1"/>
  <c r="FT268" i="1" s="1"/>
  <c r="FU268" i="1" s="1"/>
  <c r="FW268" i="1" s="1"/>
  <c r="GC50" i="1"/>
  <c r="GD50" i="1" s="1"/>
  <c r="GG50" i="1"/>
  <c r="GH50" i="1" s="1"/>
  <c r="FQ181" i="1"/>
  <c r="FR181" i="1" s="1"/>
  <c r="FS181" i="1" s="1"/>
  <c r="FT181" i="1" s="1"/>
  <c r="FU181" i="1" s="1"/>
  <c r="FW181" i="1" s="1"/>
  <c r="GK50" i="1"/>
  <c r="GL50" i="1" s="1"/>
  <c r="GE50" i="1"/>
  <c r="GF50" i="1" s="1"/>
  <c r="FP46" i="1"/>
  <c r="FR46" i="1" s="1"/>
  <c r="FS46" i="1" s="1"/>
  <c r="FT46" i="1" s="1"/>
  <c r="FU46" i="1" s="1"/>
  <c r="FW46" i="1" s="1"/>
  <c r="GS50" i="1"/>
  <c r="GT50" i="1" s="1"/>
  <c r="GU50" i="1" s="1"/>
  <c r="GI50" i="1"/>
  <c r="GJ50" i="1" s="1"/>
  <c r="GQ50" i="1"/>
  <c r="GI14" i="1"/>
  <c r="GJ14" i="1" s="1"/>
  <c r="FQ86" i="1"/>
  <c r="FR86" i="1" s="1"/>
  <c r="FS86" i="1" s="1"/>
  <c r="FT86" i="1" s="1"/>
  <c r="FU86" i="1" s="1"/>
  <c r="FW86" i="1" s="1"/>
  <c r="GM111" i="1"/>
  <c r="GN111" i="1" s="1"/>
  <c r="GO111" i="1" s="1"/>
  <c r="GR111" i="1" s="1"/>
  <c r="GV111" i="1" s="1"/>
  <c r="GW111" i="1" s="1"/>
  <c r="GX111" i="1" s="1"/>
  <c r="GY111" i="1" s="1"/>
  <c r="I111" i="2" s="1"/>
  <c r="FP235" i="1"/>
  <c r="FR235" i="1" s="1"/>
  <c r="FS235" i="1" s="1"/>
  <c r="FT235" i="1" s="1"/>
  <c r="FU235" i="1" s="1"/>
  <c r="FW235" i="1" s="1"/>
  <c r="FQ191" i="1"/>
  <c r="FR191" i="1" s="1"/>
  <c r="FS191" i="1" s="1"/>
  <c r="FT191" i="1" s="1"/>
  <c r="FU191" i="1" s="1"/>
  <c r="FW191" i="1" s="1"/>
  <c r="FP305" i="1"/>
  <c r="FR305" i="1" s="1"/>
  <c r="FS305" i="1" s="1"/>
  <c r="FT305" i="1" s="1"/>
  <c r="FU305" i="1" s="1"/>
  <c r="FW305" i="1" s="1"/>
  <c r="FP287" i="1"/>
  <c r="FR287" i="1" s="1"/>
  <c r="FS287" i="1" s="1"/>
  <c r="FT287" i="1" s="1"/>
  <c r="FU287" i="1" s="1"/>
  <c r="FW287" i="1" s="1"/>
  <c r="FQ233" i="1"/>
  <c r="FR233" i="1" s="1"/>
  <c r="FS233" i="1" s="1"/>
  <c r="FT233" i="1" s="1"/>
  <c r="FU233" i="1" s="1"/>
  <c r="FW233" i="1" s="1"/>
  <c r="FP133" i="1"/>
  <c r="FR133" i="1" s="1"/>
  <c r="FS133" i="1" s="1"/>
  <c r="FT133" i="1" s="1"/>
  <c r="FU133" i="1" s="1"/>
  <c r="FW133" i="1" s="1"/>
  <c r="GG120" i="1"/>
  <c r="FP116" i="1"/>
  <c r="FR116" i="1" s="1"/>
  <c r="FS116" i="1" s="1"/>
  <c r="FT116" i="1" s="1"/>
  <c r="FU116" i="1" s="1"/>
  <c r="FW116" i="1" s="1"/>
  <c r="GG265" i="1"/>
  <c r="GH265" i="1" s="1"/>
  <c r="FP3" i="1"/>
  <c r="FR3" i="1" s="1"/>
  <c r="FS3" i="1" s="1"/>
  <c r="FT3" i="1" s="1"/>
  <c r="FU3" i="1" s="1"/>
  <c r="FW3" i="1" s="1"/>
  <c r="FP66" i="1"/>
  <c r="FR66" i="1" s="1"/>
  <c r="FS66" i="1" s="1"/>
  <c r="FT66" i="1" s="1"/>
  <c r="FU66" i="1" s="1"/>
  <c r="FW66" i="1" s="1"/>
  <c r="FQ38" i="1"/>
  <c r="FR38" i="1" s="1"/>
  <c r="FS38" i="1" s="1"/>
  <c r="FT38" i="1" s="1"/>
  <c r="FU38" i="1" s="1"/>
  <c r="FW38" i="1" s="1"/>
  <c r="FP278" i="1"/>
  <c r="FR278" i="1" s="1"/>
  <c r="FS278" i="1" s="1"/>
  <c r="FT278" i="1" s="1"/>
  <c r="FU278" i="1" s="1"/>
  <c r="FW278" i="1" s="1"/>
  <c r="FP65" i="1"/>
  <c r="FR65" i="1" s="1"/>
  <c r="FS65" i="1" s="1"/>
  <c r="FT65" i="1" s="1"/>
  <c r="FU65" i="1" s="1"/>
  <c r="FW65" i="1" s="1"/>
  <c r="GG14" i="1"/>
  <c r="GH14" i="1" s="1"/>
  <c r="FQ300" i="1"/>
  <c r="FR300" i="1" s="1"/>
  <c r="FS300" i="1" s="1"/>
  <c r="FT300" i="1" s="1"/>
  <c r="FU300" i="1" s="1"/>
  <c r="FW300" i="1" s="1"/>
  <c r="GQ14" i="1"/>
  <c r="FQ13" i="1"/>
  <c r="FR13" i="1" s="1"/>
  <c r="FS13" i="1" s="1"/>
  <c r="FT13" i="1" s="1"/>
  <c r="FU13" i="1" s="1"/>
  <c r="FW13" i="1" s="1"/>
  <c r="FP64" i="1"/>
  <c r="FR64" i="1" s="1"/>
  <c r="FS64" i="1" s="1"/>
  <c r="FT64" i="1" s="1"/>
  <c r="FU64" i="1" s="1"/>
  <c r="FW64" i="1" s="1"/>
  <c r="GE146" i="1"/>
  <c r="GF146" i="1" s="1"/>
  <c r="FP292" i="1"/>
  <c r="FR292" i="1" s="1"/>
  <c r="FS292" i="1" s="1"/>
  <c r="FT292" i="1" s="1"/>
  <c r="FU292" i="1" s="1"/>
  <c r="FW292" i="1" s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FR180" i="1" s="1"/>
  <c r="FS180" i="1" s="1"/>
  <c r="FT180" i="1" s="1"/>
  <c r="FU180" i="1" s="1"/>
  <c r="FW180" i="1" s="1"/>
  <c r="GE109" i="1"/>
  <c r="GF109" i="1" s="1"/>
  <c r="GC14" i="1"/>
  <c r="GD14" i="1" s="1"/>
  <c r="GK14" i="1"/>
  <c r="GL14" i="1" s="1"/>
  <c r="GE14" i="1"/>
  <c r="GF14" i="1" s="1"/>
  <c r="GP14" i="1"/>
  <c r="FP34" i="1"/>
  <c r="FR34" i="1" s="1"/>
  <c r="FS34" i="1" s="1"/>
  <c r="FT34" i="1" s="1"/>
  <c r="FU34" i="1" s="1"/>
  <c r="FW34" i="1" s="1"/>
  <c r="FQ52" i="1"/>
  <c r="FR52" i="1" s="1"/>
  <c r="FS52" i="1" s="1"/>
  <c r="FT52" i="1" s="1"/>
  <c r="FU52" i="1" s="1"/>
  <c r="FW52" i="1" s="1"/>
  <c r="GP82" i="1"/>
  <c r="GQ82" i="1"/>
  <c r="FP149" i="1"/>
  <c r="FR149" i="1" s="1"/>
  <c r="FS149" i="1" s="1"/>
  <c r="FT149" i="1" s="1"/>
  <c r="FU149" i="1" s="1"/>
  <c r="FW149" i="1" s="1"/>
  <c r="GE82" i="1"/>
  <c r="GF82" i="1" s="1"/>
  <c r="GS82" i="1"/>
  <c r="GT82" i="1" s="1"/>
  <c r="GU82" i="1" s="1"/>
  <c r="FP44" i="1"/>
  <c r="FR44" i="1" s="1"/>
  <c r="FS44" i="1" s="1"/>
  <c r="FT44" i="1" s="1"/>
  <c r="FU44" i="1" s="1"/>
  <c r="FW44" i="1" s="1"/>
  <c r="GK82" i="1"/>
  <c r="GL82" i="1" s="1"/>
  <c r="GC82" i="1"/>
  <c r="GD82" i="1" s="1"/>
  <c r="GI82" i="1"/>
  <c r="GJ82" i="1" s="1"/>
  <c r="FP280" i="1"/>
  <c r="FR280" i="1" s="1"/>
  <c r="FS280" i="1" s="1"/>
  <c r="FT280" i="1" s="1"/>
  <c r="FU280" i="1" s="1"/>
  <c r="FW280" i="1" s="1"/>
  <c r="FQ266" i="1"/>
  <c r="FR266" i="1" s="1"/>
  <c r="FS266" i="1" s="1"/>
  <c r="FT266" i="1" s="1"/>
  <c r="FU266" i="1" s="1"/>
  <c r="FW266" i="1" s="1"/>
  <c r="GC265" i="1"/>
  <c r="GD265" i="1" s="1"/>
  <c r="GS265" i="1"/>
  <c r="GT265" i="1" s="1"/>
  <c r="GU265" i="1" s="1"/>
  <c r="FQ293" i="1"/>
  <c r="FR293" i="1" s="1"/>
  <c r="FS293" i="1" s="1"/>
  <c r="FT293" i="1" s="1"/>
  <c r="FU293" i="1" s="1"/>
  <c r="FW293" i="1" s="1"/>
  <c r="GP265" i="1"/>
  <c r="GE265" i="1"/>
  <c r="GF265" i="1" s="1"/>
  <c r="GC203" i="1"/>
  <c r="GD203" i="1" s="1"/>
  <c r="GK265" i="1"/>
  <c r="GL265" i="1" s="1"/>
  <c r="FP222" i="1"/>
  <c r="FR222" i="1" s="1"/>
  <c r="FS222" i="1" s="1"/>
  <c r="FT222" i="1" s="1"/>
  <c r="FU222" i="1" s="1"/>
  <c r="FW222" i="1" s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5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1" i="1"/>
  <c r="FR231" i="1" s="1"/>
  <c r="FS231" i="1" s="1"/>
  <c r="FT231" i="1" s="1"/>
  <c r="FU231" i="1" s="1"/>
  <c r="FW231" i="1" s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FR24" i="1" s="1"/>
  <c r="FS24" i="1" s="1"/>
  <c r="FT24" i="1" s="1"/>
  <c r="FU24" i="1" s="1"/>
  <c r="FW24" i="1" s="1"/>
  <c r="GG179" i="1"/>
  <c r="GH179" i="1" s="1"/>
  <c r="GP179" i="1"/>
  <c r="GE179" i="1"/>
  <c r="GF179" i="1" s="1"/>
  <c r="GQ179" i="1"/>
  <c r="GK179" i="1"/>
  <c r="GL179" i="1" s="1"/>
  <c r="FP49" i="1"/>
  <c r="FR49" i="1" s="1"/>
  <c r="FS49" i="1" s="1"/>
  <c r="FT49" i="1" s="1"/>
  <c r="FU49" i="1" s="1"/>
  <c r="FW49" i="1" s="1"/>
  <c r="GC179" i="1"/>
  <c r="GD179" i="1" s="1"/>
  <c r="FP40" i="1"/>
  <c r="FR40" i="1" s="1"/>
  <c r="FS40" i="1" s="1"/>
  <c r="FT40" i="1" s="1"/>
  <c r="FU40" i="1" s="1"/>
  <c r="FW40" i="1" s="1"/>
  <c r="GM269" i="1"/>
  <c r="GN269" i="1" s="1"/>
  <c r="GO269" i="1" s="1"/>
  <c r="GR269" i="1" s="1"/>
  <c r="GV269" i="1" s="1"/>
  <c r="GW269" i="1" s="1"/>
  <c r="FQ248" i="1"/>
  <c r="FR248" i="1" s="1"/>
  <c r="FS248" i="1" s="1"/>
  <c r="FT248" i="1" s="1"/>
  <c r="FU248" i="1" s="1"/>
  <c r="FW248" i="1" s="1"/>
  <c r="FP299" i="1"/>
  <c r="FR299" i="1" s="1"/>
  <c r="FS299" i="1" s="1"/>
  <c r="FT299" i="1" s="1"/>
  <c r="FU299" i="1" s="1"/>
  <c r="FW299" i="1" s="1"/>
  <c r="GS103" i="1"/>
  <c r="GT103" i="1" s="1"/>
  <c r="GU103" i="1" s="1"/>
  <c r="FP202" i="1"/>
  <c r="FR202" i="1" s="1"/>
  <c r="FS202" i="1" s="1"/>
  <c r="FT202" i="1" s="1"/>
  <c r="FU202" i="1" s="1"/>
  <c r="FW202" i="1" s="1"/>
  <c r="GS109" i="1"/>
  <c r="GT109" i="1" s="1"/>
  <c r="GU109" i="1" s="1"/>
  <c r="GK203" i="1"/>
  <c r="GL203" i="1" s="1"/>
  <c r="GS281" i="1"/>
  <c r="GT281" i="1" s="1"/>
  <c r="GU281" i="1" s="1"/>
  <c r="GC281" i="1"/>
  <c r="GG281" i="1"/>
  <c r="GH281" i="1" s="1"/>
  <c r="GQ281" i="1"/>
  <c r="GQ203" i="1"/>
  <c r="GP281" i="1"/>
  <c r="GI281" i="1"/>
  <c r="GJ281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FR31" i="1" s="1"/>
  <c r="FS31" i="1" s="1"/>
  <c r="FT31" i="1" s="1"/>
  <c r="FU31" i="1" s="1"/>
  <c r="FW31" i="1" s="1"/>
  <c r="GQ275" i="1"/>
  <c r="GK275" i="1"/>
  <c r="GL275" i="1" s="1"/>
  <c r="GI270" i="1"/>
  <c r="GJ270" i="1" s="1"/>
  <c r="GQ270" i="1"/>
  <c r="FQ138" i="1"/>
  <c r="FR138" i="1" s="1"/>
  <c r="FS138" i="1" s="1"/>
  <c r="FT138" i="1" s="1"/>
  <c r="FU138" i="1" s="1"/>
  <c r="FW138" i="1" s="1"/>
  <c r="GI97" i="1"/>
  <c r="GJ97" i="1" s="1"/>
  <c r="FP152" i="1"/>
  <c r="FR152" i="1" s="1"/>
  <c r="FS152" i="1" s="1"/>
  <c r="FT152" i="1" s="1"/>
  <c r="FU152" i="1" s="1"/>
  <c r="FW152" i="1" s="1"/>
  <c r="GG97" i="1"/>
  <c r="GH97" i="1" s="1"/>
  <c r="GQ97" i="1"/>
  <c r="FP42" i="1"/>
  <c r="FR42" i="1" s="1"/>
  <c r="FS42" i="1" s="1"/>
  <c r="FT42" i="1" s="1"/>
  <c r="FU42" i="1" s="1"/>
  <c r="FW42" i="1" s="1"/>
  <c r="FP143" i="1"/>
  <c r="FR143" i="1" s="1"/>
  <c r="FS143" i="1" s="1"/>
  <c r="FT143" i="1" s="1"/>
  <c r="FU143" i="1" s="1"/>
  <c r="FW143" i="1" s="1"/>
  <c r="FQ294" i="1"/>
  <c r="FR294" i="1" s="1"/>
  <c r="FS294" i="1" s="1"/>
  <c r="FT294" i="1" s="1"/>
  <c r="FU294" i="1" s="1"/>
  <c r="FW294" i="1" s="1"/>
  <c r="FP45" i="1"/>
  <c r="FR45" i="1" s="1"/>
  <c r="FS45" i="1" s="1"/>
  <c r="FT45" i="1" s="1"/>
  <c r="FU45" i="1" s="1"/>
  <c r="FW45" i="1" s="1"/>
  <c r="GK270" i="1"/>
  <c r="GL270" i="1" s="1"/>
  <c r="GG270" i="1"/>
  <c r="GH270" i="1" s="1"/>
  <c r="FP9" i="1"/>
  <c r="FR9" i="1" s="1"/>
  <c r="FS9" i="1" s="1"/>
  <c r="FT9" i="1" s="1"/>
  <c r="FU9" i="1" s="1"/>
  <c r="FW9" i="1" s="1"/>
  <c r="GQ39" i="1"/>
  <c r="FQ91" i="1"/>
  <c r="FR91" i="1" s="1"/>
  <c r="FS91" i="1" s="1"/>
  <c r="FT91" i="1" s="1"/>
  <c r="FU91" i="1" s="1"/>
  <c r="FW91" i="1" s="1"/>
  <c r="FQ211" i="1"/>
  <c r="FR211" i="1" s="1"/>
  <c r="FS211" i="1" s="1"/>
  <c r="FT211" i="1" s="1"/>
  <c r="FU211" i="1" s="1"/>
  <c r="FW211" i="1" s="1"/>
  <c r="FP89" i="1"/>
  <c r="FR89" i="1" s="1"/>
  <c r="FS89" i="1" s="1"/>
  <c r="FT89" i="1" s="1"/>
  <c r="FU89" i="1" s="1"/>
  <c r="FW89" i="1" s="1"/>
  <c r="FQ41" i="1"/>
  <c r="FR41" i="1" s="1"/>
  <c r="FS41" i="1" s="1"/>
  <c r="FT41" i="1" s="1"/>
  <c r="FU41" i="1" s="1"/>
  <c r="FW41" i="1" s="1"/>
  <c r="GI129" i="1"/>
  <c r="GJ129" i="1" s="1"/>
  <c r="GQ129" i="1"/>
  <c r="FQ136" i="1"/>
  <c r="FR136" i="1" s="1"/>
  <c r="FS136" i="1" s="1"/>
  <c r="FT136" i="1" s="1"/>
  <c r="FU136" i="1" s="1"/>
  <c r="FW136" i="1" s="1"/>
  <c r="GS39" i="1"/>
  <c r="GT39" i="1" s="1"/>
  <c r="GU39" i="1" s="1"/>
  <c r="GC243" i="1"/>
  <c r="GD243" i="1" s="1"/>
  <c r="GE243" i="1"/>
  <c r="GF243" i="1" s="1"/>
  <c r="GE275" i="1"/>
  <c r="GF275" i="1" s="1"/>
  <c r="GG39" i="1"/>
  <c r="GH39" i="1" s="1"/>
  <c r="GP243" i="1"/>
  <c r="GQ243" i="1"/>
  <c r="GE270" i="1"/>
  <c r="GF270" i="1" s="1"/>
  <c r="GG243" i="1"/>
  <c r="GH243" i="1" s="1"/>
  <c r="GE39" i="1"/>
  <c r="GF39" i="1" s="1"/>
  <c r="GC39" i="1"/>
  <c r="GS270" i="1"/>
  <c r="GT270" i="1" s="1"/>
  <c r="GU270" i="1" s="1"/>
  <c r="GI243" i="1"/>
  <c r="GJ243" i="1" s="1"/>
  <c r="GI39" i="1"/>
  <c r="GJ39" i="1" s="1"/>
  <c r="GK243" i="1"/>
  <c r="GL243" i="1" s="1"/>
  <c r="GC270" i="1"/>
  <c r="GD270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R12" i="1" s="1"/>
  <c r="FS12" i="1" s="1"/>
  <c r="FT12" i="1" s="1"/>
  <c r="FU12" i="1" s="1"/>
  <c r="FW12" i="1" s="1"/>
  <c r="FP190" i="1"/>
  <c r="FR190" i="1" s="1"/>
  <c r="FS190" i="1" s="1"/>
  <c r="FT190" i="1" s="1"/>
  <c r="FU190" i="1" s="1"/>
  <c r="FW190" i="1" s="1"/>
  <c r="FP60" i="1"/>
  <c r="FR60" i="1" s="1"/>
  <c r="FS60" i="1" s="1"/>
  <c r="FT60" i="1" s="1"/>
  <c r="FU60" i="1" s="1"/>
  <c r="FW60" i="1" s="1"/>
  <c r="FQ21" i="1"/>
  <c r="FR21" i="1" s="1"/>
  <c r="FS21" i="1" s="1"/>
  <c r="FT21" i="1" s="1"/>
  <c r="FU21" i="1" s="1"/>
  <c r="FW21" i="1" s="1"/>
  <c r="GG77" i="1"/>
  <c r="GH77" i="1" s="1"/>
  <c r="GK274" i="1"/>
  <c r="GL274" i="1" s="1"/>
  <c r="FP157" i="1"/>
  <c r="FR157" i="1" s="1"/>
  <c r="FS157" i="1" s="1"/>
  <c r="FT157" i="1" s="1"/>
  <c r="FU157" i="1" s="1"/>
  <c r="FW157" i="1" s="1"/>
  <c r="FP253" i="1"/>
  <c r="FR253" i="1" s="1"/>
  <c r="FS253" i="1" s="1"/>
  <c r="FT253" i="1" s="1"/>
  <c r="FU253" i="1" s="1"/>
  <c r="FW253" i="1" s="1"/>
  <c r="GI274" i="1"/>
  <c r="GJ274" i="1" s="1"/>
  <c r="GE97" i="1"/>
  <c r="GF97" i="1" s="1"/>
  <c r="GK97" i="1"/>
  <c r="GP97" i="1"/>
  <c r="GC144" i="1"/>
  <c r="GD144" i="1" s="1"/>
  <c r="GG275" i="1"/>
  <c r="GH275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5" i="1"/>
  <c r="GT275" i="1" s="1"/>
  <c r="GU275" i="1" s="1"/>
  <c r="GP275" i="1"/>
  <c r="GC275" i="1"/>
  <c r="GD275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FR216" i="1" s="1"/>
  <c r="FS216" i="1" s="1"/>
  <c r="FT216" i="1" s="1"/>
  <c r="FU216" i="1" s="1"/>
  <c r="FW216" i="1" s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FR27" i="1" s="1"/>
  <c r="FS27" i="1" s="1"/>
  <c r="FT27" i="1" s="1"/>
  <c r="FU27" i="1" s="1"/>
  <c r="FW27" i="1" s="1"/>
  <c r="GS83" i="1"/>
  <c r="GT83" i="1" s="1"/>
  <c r="GU83" i="1" s="1"/>
  <c r="FP104" i="1"/>
  <c r="FR104" i="1" s="1"/>
  <c r="FS104" i="1" s="1"/>
  <c r="FT104" i="1" s="1"/>
  <c r="FU104" i="1" s="1"/>
  <c r="FW104" i="1" s="1"/>
  <c r="GI255" i="1"/>
  <c r="GJ255" i="1" s="1"/>
  <c r="GS93" i="1"/>
  <c r="GT93" i="1" s="1"/>
  <c r="GU93" i="1" s="1"/>
  <c r="GG67" i="1"/>
  <c r="GH67" i="1" s="1"/>
  <c r="FP23" i="1"/>
  <c r="FR23" i="1" s="1"/>
  <c r="FS23" i="1" s="1"/>
  <c r="FT23" i="1" s="1"/>
  <c r="FU23" i="1" s="1"/>
  <c r="FW23" i="1" s="1"/>
  <c r="GP93" i="1"/>
  <c r="GP17" i="1"/>
  <c r="GI172" i="1"/>
  <c r="GJ172" i="1" s="1"/>
  <c r="GG274" i="1"/>
  <c r="GH274" i="1" s="1"/>
  <c r="FQ271" i="1"/>
  <c r="FR271" i="1" s="1"/>
  <c r="FS271" i="1" s="1"/>
  <c r="FT271" i="1" s="1"/>
  <c r="FU271" i="1" s="1"/>
  <c r="FW271" i="1" s="1"/>
  <c r="GK83" i="1"/>
  <c r="GL83" i="1" s="1"/>
  <c r="GG134" i="1"/>
  <c r="GH134" i="1" s="1"/>
  <c r="GG93" i="1"/>
  <c r="GH93" i="1" s="1"/>
  <c r="GE93" i="1"/>
  <c r="GF93" i="1" s="1"/>
  <c r="GQ172" i="1"/>
  <c r="FQ19" i="1"/>
  <c r="FR19" i="1" s="1"/>
  <c r="FS19" i="1" s="1"/>
  <c r="FT19" i="1" s="1"/>
  <c r="FU19" i="1" s="1"/>
  <c r="FW19" i="1" s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4" i="1"/>
  <c r="GF274" i="1" s="1"/>
  <c r="GK172" i="1"/>
  <c r="GL172" i="1" s="1"/>
  <c r="GS134" i="1"/>
  <c r="GT134" i="1" s="1"/>
  <c r="GU134" i="1" s="1"/>
  <c r="GC134" i="1"/>
  <c r="GD134" i="1" s="1"/>
  <c r="FQ160" i="1"/>
  <c r="FR160" i="1" s="1"/>
  <c r="FS160" i="1" s="1"/>
  <c r="FT160" i="1" s="1"/>
  <c r="FU160" i="1" s="1"/>
  <c r="FW160" i="1" s="1"/>
  <c r="GE295" i="1"/>
  <c r="GF295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5" i="1"/>
  <c r="GG17" i="1"/>
  <c r="GH17" i="1" s="1"/>
  <c r="FQ32" i="1"/>
  <c r="FR32" i="1" s="1"/>
  <c r="FS32" i="1" s="1"/>
  <c r="FT32" i="1" s="1"/>
  <c r="FU32" i="1" s="1"/>
  <c r="FW32" i="1" s="1"/>
  <c r="GS225" i="1"/>
  <c r="GT225" i="1" s="1"/>
  <c r="GU225" i="1" s="1"/>
  <c r="GQ225" i="1"/>
  <c r="GS255" i="1"/>
  <c r="GT255" i="1" s="1"/>
  <c r="GU255" i="1" s="1"/>
  <c r="GI17" i="1"/>
  <c r="GJ17" i="1" s="1"/>
  <c r="GG225" i="1"/>
  <c r="GH225" i="1" s="1"/>
  <c r="GS17" i="1"/>
  <c r="GT17" i="1" s="1"/>
  <c r="GU17" i="1" s="1"/>
  <c r="GQ255" i="1"/>
  <c r="GC255" i="1"/>
  <c r="GD255" i="1" s="1"/>
  <c r="GQ17" i="1"/>
  <c r="FP62" i="1"/>
  <c r="FR62" i="1" s="1"/>
  <c r="FS62" i="1" s="1"/>
  <c r="FT62" i="1" s="1"/>
  <c r="FU62" i="1" s="1"/>
  <c r="FW62" i="1" s="1"/>
  <c r="GC225" i="1"/>
  <c r="FQ53" i="1"/>
  <c r="FR53" i="1" s="1"/>
  <c r="FS53" i="1" s="1"/>
  <c r="FT53" i="1" s="1"/>
  <c r="FU53" i="1" s="1"/>
  <c r="FW53" i="1" s="1"/>
  <c r="GK255" i="1"/>
  <c r="GL255" i="1" s="1"/>
  <c r="GE17" i="1"/>
  <c r="GF17" i="1" s="1"/>
  <c r="GS186" i="1"/>
  <c r="GT186" i="1" s="1"/>
  <c r="GU186" i="1" s="1"/>
  <c r="GI225" i="1"/>
  <c r="GJ225" i="1" s="1"/>
  <c r="GG255" i="1"/>
  <c r="GH255" i="1" s="1"/>
  <c r="GK17" i="1"/>
  <c r="GL17" i="1" s="1"/>
  <c r="GM186" i="1"/>
  <c r="GN186" i="1" s="1"/>
  <c r="GE225" i="1"/>
  <c r="GF225" i="1" s="1"/>
  <c r="GE140" i="1"/>
  <c r="GF140" i="1" s="1"/>
  <c r="GC110" i="1"/>
  <c r="GD110" i="1" s="1"/>
  <c r="GQ134" i="1"/>
  <c r="GG295" i="1"/>
  <c r="GH295" i="1" s="1"/>
  <c r="FQ11" i="1"/>
  <c r="FR11" i="1" s="1"/>
  <c r="FS11" i="1" s="1"/>
  <c r="FT11" i="1" s="1"/>
  <c r="FU11" i="1" s="1"/>
  <c r="FW11" i="1" s="1"/>
  <c r="FQ244" i="1"/>
  <c r="FR244" i="1" s="1"/>
  <c r="FS244" i="1" s="1"/>
  <c r="FT244" i="1" s="1"/>
  <c r="FU244" i="1" s="1"/>
  <c r="FW244" i="1" s="1"/>
  <c r="GI134" i="1"/>
  <c r="GJ134" i="1" s="1"/>
  <c r="GP134" i="1"/>
  <c r="GK110" i="1"/>
  <c r="GL110" i="1" s="1"/>
  <c r="GQ295" i="1"/>
  <c r="GP295" i="1"/>
  <c r="GI140" i="1"/>
  <c r="GJ140" i="1" s="1"/>
  <c r="GQ140" i="1"/>
  <c r="GG140" i="1"/>
  <c r="GH140" i="1" s="1"/>
  <c r="GK140" i="1"/>
  <c r="GL140" i="1" s="1"/>
  <c r="GP110" i="1"/>
  <c r="GK295" i="1"/>
  <c r="GL295" i="1" s="1"/>
  <c r="GI295" i="1"/>
  <c r="GJ295" i="1" s="1"/>
  <c r="GS140" i="1"/>
  <c r="GT140" i="1" s="1"/>
  <c r="GU140" i="1" s="1"/>
  <c r="FP220" i="1"/>
  <c r="FR220" i="1" s="1"/>
  <c r="FS220" i="1" s="1"/>
  <c r="FT220" i="1" s="1"/>
  <c r="FU220" i="1" s="1"/>
  <c r="FW220" i="1" s="1"/>
  <c r="GM140" i="1"/>
  <c r="GN140" i="1" s="1"/>
  <c r="GQ110" i="1"/>
  <c r="GE110" i="1"/>
  <c r="GF110" i="1" s="1"/>
  <c r="GE147" i="1"/>
  <c r="GF147" i="1" s="1"/>
  <c r="GC295" i="1"/>
  <c r="GD295" i="1" s="1"/>
  <c r="GE290" i="1"/>
  <c r="GF290" i="1" s="1"/>
  <c r="GC71" i="1"/>
  <c r="GD71" i="1" s="1"/>
  <c r="GC113" i="1"/>
  <c r="GD113" i="1" s="1"/>
  <c r="GK113" i="1"/>
  <c r="GL113" i="1" s="1"/>
  <c r="FQ262" i="1"/>
  <c r="FR262" i="1" s="1"/>
  <c r="FS262" i="1" s="1"/>
  <c r="FT262" i="1" s="1"/>
  <c r="FU262" i="1" s="1"/>
  <c r="FW262" i="1" s="1"/>
  <c r="FP20" i="1"/>
  <c r="FR20" i="1" s="1"/>
  <c r="FS20" i="1" s="1"/>
  <c r="FT20" i="1" s="1"/>
  <c r="FU20" i="1" s="1"/>
  <c r="FW20" i="1" s="1"/>
  <c r="FP217" i="1"/>
  <c r="FR217" i="1" s="1"/>
  <c r="FS217" i="1" s="1"/>
  <c r="FT217" i="1" s="1"/>
  <c r="FU217" i="1" s="1"/>
  <c r="FW217" i="1" s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R210" i="1" s="1"/>
  <c r="FS210" i="1" s="1"/>
  <c r="FT210" i="1" s="1"/>
  <c r="FU210" i="1" s="1"/>
  <c r="FW210" i="1" s="1"/>
  <c r="FP47" i="1"/>
  <c r="FR47" i="1" s="1"/>
  <c r="FS47" i="1" s="1"/>
  <c r="FT47" i="1" s="1"/>
  <c r="FU47" i="1" s="1"/>
  <c r="FW47" i="1" s="1"/>
  <c r="FQ28" i="1"/>
  <c r="FR28" i="1" s="1"/>
  <c r="FS28" i="1" s="1"/>
  <c r="FT28" i="1" s="1"/>
  <c r="FU28" i="1" s="1"/>
  <c r="FW28" i="1" s="1"/>
  <c r="GI273" i="1"/>
  <c r="GJ273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4" i="1"/>
  <c r="GT274" i="1" s="1"/>
  <c r="GU274" i="1" s="1"/>
  <c r="GC274" i="1"/>
  <c r="GD274" i="1" s="1"/>
  <c r="GG124" i="1"/>
  <c r="GH124" i="1" s="1"/>
  <c r="GP274" i="1"/>
  <c r="GI264" i="1"/>
  <c r="GJ264" i="1" s="1"/>
  <c r="GI164" i="1"/>
  <c r="GJ164" i="1" s="1"/>
  <c r="FP298" i="1"/>
  <c r="FR298" i="1" s="1"/>
  <c r="FS298" i="1" s="1"/>
  <c r="FT298" i="1" s="1"/>
  <c r="FU298" i="1" s="1"/>
  <c r="FW298" i="1" s="1"/>
  <c r="FP61" i="1"/>
  <c r="FR61" i="1" s="1"/>
  <c r="FS61" i="1" s="1"/>
  <c r="FT61" i="1" s="1"/>
  <c r="FU61" i="1" s="1"/>
  <c r="FW61" i="1" s="1"/>
  <c r="FP58" i="1"/>
  <c r="FR58" i="1" s="1"/>
  <c r="FS58" i="1" s="1"/>
  <c r="FT58" i="1" s="1"/>
  <c r="FU58" i="1" s="1"/>
  <c r="FW58" i="1" s="1"/>
  <c r="FP56" i="1"/>
  <c r="FR56" i="1" s="1"/>
  <c r="FS56" i="1" s="1"/>
  <c r="FT56" i="1" s="1"/>
  <c r="FU56" i="1" s="1"/>
  <c r="FW56" i="1" s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FR5" i="1" s="1"/>
  <c r="FS5" i="1" s="1"/>
  <c r="FT5" i="1" s="1"/>
  <c r="FU5" i="1" s="1"/>
  <c r="FW5" i="1" s="1"/>
  <c r="GS164" i="1"/>
  <c r="GT164" i="1" s="1"/>
  <c r="GU164" i="1" s="1"/>
  <c r="GP124" i="1"/>
  <c r="GE124" i="1"/>
  <c r="GF124" i="1" s="1"/>
  <c r="GQ43" i="1"/>
  <c r="GE43" i="1"/>
  <c r="GF43" i="1" s="1"/>
  <c r="FQ224" i="1"/>
  <c r="FR224" i="1" s="1"/>
  <c r="FS224" i="1" s="1"/>
  <c r="FT224" i="1" s="1"/>
  <c r="FU224" i="1" s="1"/>
  <c r="FW224" i="1" s="1"/>
  <c r="GC164" i="1"/>
  <c r="GD164" i="1" s="1"/>
  <c r="FP215" i="1"/>
  <c r="FR215" i="1" s="1"/>
  <c r="FS215" i="1" s="1"/>
  <c r="FT215" i="1" s="1"/>
  <c r="FU215" i="1" s="1"/>
  <c r="FW215" i="1" s="1"/>
  <c r="GK164" i="1"/>
  <c r="GL164" i="1" s="1"/>
  <c r="GS290" i="1"/>
  <c r="GT290" i="1" s="1"/>
  <c r="GU290" i="1" s="1"/>
  <c r="FP200" i="1"/>
  <c r="FR200" i="1" s="1"/>
  <c r="FS200" i="1" s="1"/>
  <c r="FT200" i="1" s="1"/>
  <c r="FU200" i="1" s="1"/>
  <c r="FW200" i="1" s="1"/>
  <c r="GQ124" i="1"/>
  <c r="GS43" i="1"/>
  <c r="GT43" i="1" s="1"/>
  <c r="GU43" i="1" s="1"/>
  <c r="GP164" i="1"/>
  <c r="GE164" i="1"/>
  <c r="GF164" i="1" s="1"/>
  <c r="GG290" i="1"/>
  <c r="GH290" i="1" s="1"/>
  <c r="GP147" i="1"/>
  <c r="FQ161" i="1"/>
  <c r="FR161" i="1" s="1"/>
  <c r="FS161" i="1" s="1"/>
  <c r="FT161" i="1" s="1"/>
  <c r="FU161" i="1" s="1"/>
  <c r="FW161" i="1" s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3" i="1"/>
  <c r="GH303" i="1" s="1"/>
  <c r="GE186" i="1"/>
  <c r="GF186" i="1" s="1"/>
  <c r="GK147" i="1"/>
  <c r="GL147" i="1" s="1"/>
  <c r="GQ147" i="1"/>
  <c r="GI147" i="1"/>
  <c r="GJ147" i="1" s="1"/>
  <c r="GC290" i="1"/>
  <c r="GD290" i="1" s="1"/>
  <c r="GI290" i="1"/>
  <c r="GJ290" i="1" s="1"/>
  <c r="GP290" i="1"/>
  <c r="GS147" i="1"/>
  <c r="GT147" i="1" s="1"/>
  <c r="GU147" i="1" s="1"/>
  <c r="GG147" i="1"/>
  <c r="GH147" i="1" s="1"/>
  <c r="GK290" i="1"/>
  <c r="GL290" i="1" s="1"/>
  <c r="GI83" i="1"/>
  <c r="GJ83" i="1" s="1"/>
  <c r="GE273" i="1"/>
  <c r="GF273" i="1" s="1"/>
  <c r="FQ68" i="1"/>
  <c r="FR68" i="1" s="1"/>
  <c r="FS68" i="1" s="1"/>
  <c r="FT68" i="1" s="1"/>
  <c r="FU68" i="1" s="1"/>
  <c r="FW68" i="1" s="1"/>
  <c r="GG273" i="1"/>
  <c r="GH273" i="1" s="1"/>
  <c r="GK273" i="1"/>
  <c r="GL273" i="1" s="1"/>
  <c r="GI249" i="1"/>
  <c r="GJ249" i="1" s="1"/>
  <c r="GQ273" i="1"/>
  <c r="GP273" i="1"/>
  <c r="GC273" i="1"/>
  <c r="GD273" i="1" s="1"/>
  <c r="GQ108" i="1"/>
  <c r="GK108" i="1"/>
  <c r="GL108" i="1" s="1"/>
  <c r="GG108" i="1"/>
  <c r="GH108" i="1" s="1"/>
  <c r="GC108" i="1"/>
  <c r="GD108" i="1" s="1"/>
  <c r="GI108" i="1"/>
  <c r="GJ108" i="1" s="1"/>
  <c r="GP238" i="1"/>
  <c r="GS238" i="1"/>
  <c r="GT238" i="1" s="1"/>
  <c r="GU238" i="1" s="1"/>
  <c r="GE238" i="1"/>
  <c r="GF238" i="1" s="1"/>
  <c r="GQ238" i="1"/>
  <c r="GI238" i="1"/>
  <c r="GJ238" i="1" s="1"/>
  <c r="GC238" i="1"/>
  <c r="GD238" i="1" s="1"/>
  <c r="GG238" i="1"/>
  <c r="GH238" i="1" s="1"/>
  <c r="FQ102" i="1"/>
  <c r="FR102" i="1" s="1"/>
  <c r="FS102" i="1" s="1"/>
  <c r="FT102" i="1" s="1"/>
  <c r="FU102" i="1" s="1"/>
  <c r="FW102" i="1" s="1"/>
  <c r="GP264" i="1"/>
  <c r="GE264" i="1"/>
  <c r="GF264" i="1" s="1"/>
  <c r="GS264" i="1"/>
  <c r="GT264" i="1" s="1"/>
  <c r="GU264" i="1" s="1"/>
  <c r="GQ264" i="1"/>
  <c r="GG264" i="1"/>
  <c r="GH264" i="1" s="1"/>
  <c r="FP29" i="1"/>
  <c r="FR29" i="1" s="1"/>
  <c r="FS29" i="1" s="1"/>
  <c r="FT29" i="1" s="1"/>
  <c r="FU29" i="1" s="1"/>
  <c r="FW29" i="1" s="1"/>
  <c r="GC264" i="1"/>
  <c r="GD264" i="1" s="1"/>
  <c r="GC185" i="1"/>
  <c r="GD185" i="1" s="1"/>
  <c r="GQ185" i="1"/>
  <c r="GE185" i="1"/>
  <c r="GF185" i="1" s="1"/>
  <c r="GE303" i="1"/>
  <c r="GF303" i="1" s="1"/>
  <c r="GP249" i="1"/>
  <c r="GK303" i="1"/>
  <c r="GL303" i="1" s="1"/>
  <c r="GQ303" i="1"/>
  <c r="GQ249" i="1"/>
  <c r="GG249" i="1"/>
  <c r="GH249" i="1" s="1"/>
  <c r="GE108" i="1"/>
  <c r="GF108" i="1" s="1"/>
  <c r="GS249" i="1"/>
  <c r="GT249" i="1" s="1"/>
  <c r="GU249" i="1" s="1"/>
  <c r="GP303" i="1"/>
  <c r="GS303" i="1"/>
  <c r="GT303" i="1" s="1"/>
  <c r="GU303" i="1" s="1"/>
  <c r="GP108" i="1"/>
  <c r="GC249" i="1"/>
  <c r="GD249" i="1" s="1"/>
  <c r="GI303" i="1"/>
  <c r="GK249" i="1"/>
  <c r="GL249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GQ63" i="1"/>
  <c r="GI185" i="1"/>
  <c r="GJ185" i="1" s="1"/>
  <c r="GS193" i="1"/>
  <c r="GT193" i="1" s="1"/>
  <c r="GU193" i="1" s="1"/>
  <c r="FP37" i="1"/>
  <c r="FR37" i="1" s="1"/>
  <c r="FS37" i="1" s="1"/>
  <c r="FT37" i="1" s="1"/>
  <c r="FU37" i="1" s="1"/>
  <c r="FW37" i="1" s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GS63" i="1"/>
  <c r="GT63" i="1" s="1"/>
  <c r="GU63" i="1" s="1"/>
  <c r="GE63" i="1"/>
  <c r="GF63" i="1" s="1"/>
  <c r="GM296" i="1"/>
  <c r="GN296" i="1" s="1"/>
  <c r="GO296" i="1" s="1"/>
  <c r="GR296" i="1" s="1"/>
  <c r="GV296" i="1" s="1"/>
  <c r="GW296" i="1" s="1"/>
  <c r="GX296" i="1" s="1"/>
  <c r="GY296" i="1" s="1"/>
  <c r="I296" i="2" s="1"/>
  <c r="GM228" i="1"/>
  <c r="GN228" i="1" s="1"/>
  <c r="GO228" i="1" s="1"/>
  <c r="GR228" i="1" s="1"/>
  <c r="GV228" i="1" s="1"/>
  <c r="GW228" i="1" s="1"/>
  <c r="GX228" i="1" s="1"/>
  <c r="GY228" i="1" s="1"/>
  <c r="I228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FR232" i="1"/>
  <c r="FS232" i="1" s="1"/>
  <c r="FT232" i="1" s="1"/>
  <c r="FU232" i="1" s="1"/>
  <c r="FW232" i="1" s="1"/>
  <c r="FR295" i="1"/>
  <c r="FS295" i="1" s="1"/>
  <c r="FT295" i="1" s="1"/>
  <c r="FU295" i="1" s="1"/>
  <c r="FW295" i="1" s="1"/>
  <c r="FR225" i="1"/>
  <c r="FS225" i="1" s="1"/>
  <c r="FT225" i="1" s="1"/>
  <c r="FU225" i="1" s="1"/>
  <c r="FW225" i="1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3" i="1"/>
  <c r="FS243" i="1" s="1"/>
  <c r="FT243" i="1" s="1"/>
  <c r="FU243" i="1" s="1"/>
  <c r="FW243" i="1" s="1"/>
  <c r="FR263" i="1"/>
  <c r="FS263" i="1" s="1"/>
  <c r="FT263" i="1" s="1"/>
  <c r="FU263" i="1" s="1"/>
  <c r="FW263" i="1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2" i="1" s="1"/>
  <c r="FS2" i="1" s="1"/>
  <c r="FT2" i="1" s="1"/>
  <c r="FU2" i="1" s="1"/>
  <c r="FW2" i="1" s="1"/>
  <c r="GL263" i="1" l="1"/>
  <c r="GM263" i="1"/>
  <c r="GN263" i="1" s="1"/>
  <c r="GO263" i="1" s="1"/>
  <c r="GR263" i="1" s="1"/>
  <c r="GV263" i="1" s="1"/>
  <c r="GW263" i="1" s="1"/>
  <c r="GX263" i="1" s="1"/>
  <c r="GY263" i="1" s="1"/>
  <c r="I263" i="2" s="1"/>
  <c r="GD19" i="1"/>
  <c r="GK19" i="1"/>
  <c r="GL19" i="1" s="1"/>
  <c r="GD276" i="1"/>
  <c r="GM276" i="1"/>
  <c r="GN276" i="1" s="1"/>
  <c r="GD298" i="1"/>
  <c r="GK298" i="1"/>
  <c r="GD73" i="1"/>
  <c r="GK73" i="1"/>
  <c r="GH88" i="1"/>
  <c r="GK88" i="1"/>
  <c r="GD33" i="1"/>
  <c r="GK33" i="1"/>
  <c r="GD149" i="1"/>
  <c r="GK149" i="1"/>
  <c r="GD288" i="1"/>
  <c r="GM288" i="1"/>
  <c r="GN288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1" i="1"/>
  <c r="GK281" i="1"/>
  <c r="GD39" i="1"/>
  <c r="GK39" i="1"/>
  <c r="GL97" i="1"/>
  <c r="GM97" i="1"/>
  <c r="GN97" i="1" s="1"/>
  <c r="GD225" i="1"/>
  <c r="GK225" i="1"/>
  <c r="GJ303" i="1"/>
  <c r="GM303" i="1"/>
  <c r="GN303" i="1" s="1"/>
  <c r="GM79" i="1"/>
  <c r="GN79" i="1" s="1"/>
  <c r="GO79" i="1" s="1"/>
  <c r="GR79" i="1" s="1"/>
  <c r="GV79" i="1" s="1"/>
  <c r="GW79" i="1" s="1"/>
  <c r="GX79" i="1" s="1"/>
  <c r="GY79" i="1" s="1"/>
  <c r="I79" i="2" s="1"/>
  <c r="GM114" i="1"/>
  <c r="GN114" i="1" s="1"/>
  <c r="GO114" i="1" s="1"/>
  <c r="GR114" i="1" s="1"/>
  <c r="GV114" i="1" s="1"/>
  <c r="GW114" i="1" s="1"/>
  <c r="GX114" i="1" s="1"/>
  <c r="GY114" i="1" s="1"/>
  <c r="I114" i="2" s="1"/>
  <c r="GM128" i="1"/>
  <c r="GN128" i="1" s="1"/>
  <c r="GO128" i="1" s="1"/>
  <c r="GR128" i="1" s="1"/>
  <c r="GV128" i="1" s="1"/>
  <c r="GW128" i="1" s="1"/>
  <c r="GX128" i="1" s="1"/>
  <c r="GY128" i="1" s="1"/>
  <c r="I128" i="2" s="1"/>
  <c r="GM62" i="1"/>
  <c r="GN62" i="1" s="1"/>
  <c r="GO62" i="1" s="1"/>
  <c r="GR62" i="1" s="1"/>
  <c r="GV62" i="1" s="1"/>
  <c r="GW62" i="1" s="1"/>
  <c r="GX62" i="1" s="1"/>
  <c r="GY62" i="1" s="1"/>
  <c r="I62" i="2" s="1"/>
  <c r="GM136" i="1"/>
  <c r="GN136" i="1" s="1"/>
  <c r="GO136" i="1" s="1"/>
  <c r="GR136" i="1" s="1"/>
  <c r="GV136" i="1" s="1"/>
  <c r="GW136" i="1" s="1"/>
  <c r="GX136" i="1" s="1"/>
  <c r="GY136" i="1" s="1"/>
  <c r="I136" i="2" s="1"/>
  <c r="GM72" i="1"/>
  <c r="GN72" i="1" s="1"/>
  <c r="GO72" i="1" s="1"/>
  <c r="GR72" i="1" s="1"/>
  <c r="GV72" i="1" s="1"/>
  <c r="GW72" i="1" s="1"/>
  <c r="GX72" i="1" s="1"/>
  <c r="GY72" i="1" s="1"/>
  <c r="I72" i="2" s="1"/>
  <c r="GM12" i="1"/>
  <c r="GN12" i="1" s="1"/>
  <c r="GO12" i="1" s="1"/>
  <c r="GR12" i="1" s="1"/>
  <c r="GV12" i="1" s="1"/>
  <c r="GW12" i="1" s="1"/>
  <c r="GX12" i="1" s="1"/>
  <c r="GY12" i="1" s="1"/>
  <c r="I12" i="2" s="1"/>
  <c r="GM55" i="1"/>
  <c r="GN55" i="1" s="1"/>
  <c r="GO55" i="1" s="1"/>
  <c r="GR55" i="1" s="1"/>
  <c r="GV55" i="1" s="1"/>
  <c r="GW55" i="1" s="1"/>
  <c r="GX55" i="1" s="1"/>
  <c r="GY55" i="1" s="1"/>
  <c r="I55" i="2" s="1"/>
  <c r="GM19" i="1"/>
  <c r="GN19" i="1" s="1"/>
  <c r="GO19" i="1" s="1"/>
  <c r="GR19" i="1" s="1"/>
  <c r="GV19" i="1" s="1"/>
  <c r="GW19" i="1" s="1"/>
  <c r="GX19" i="1" s="1"/>
  <c r="GY19" i="1" s="1"/>
  <c r="I19" i="2" s="1"/>
  <c r="GO40" i="1"/>
  <c r="GR40" i="1" s="1"/>
  <c r="GV40" i="1" s="1"/>
  <c r="GW40" i="1" s="1"/>
  <c r="GX40" i="1" s="1"/>
  <c r="GY40" i="1" s="1"/>
  <c r="I40" i="2" s="1"/>
  <c r="GM227" i="1"/>
  <c r="GN227" i="1" s="1"/>
  <c r="GO227" i="1" s="1"/>
  <c r="GR227" i="1" s="1"/>
  <c r="GV227" i="1" s="1"/>
  <c r="GW227" i="1" s="1"/>
  <c r="GX227" i="1" s="1"/>
  <c r="GY227" i="1" s="1"/>
  <c r="I227" i="2" s="1"/>
  <c r="GM150" i="1"/>
  <c r="GN150" i="1" s="1"/>
  <c r="GO150" i="1" s="1"/>
  <c r="GR150" i="1" s="1"/>
  <c r="GV150" i="1" s="1"/>
  <c r="GW150" i="1" s="1"/>
  <c r="GX150" i="1" s="1"/>
  <c r="GY150" i="1" s="1"/>
  <c r="I150" i="2" s="1"/>
  <c r="GM29" i="1"/>
  <c r="GN29" i="1" s="1"/>
  <c r="GO29" i="1" s="1"/>
  <c r="GR29" i="1" s="1"/>
  <c r="GV29" i="1" s="1"/>
  <c r="GW29" i="1" s="1"/>
  <c r="GX29" i="1" s="1"/>
  <c r="GY29" i="1" s="1"/>
  <c r="I29" i="2" s="1"/>
  <c r="GM202" i="1"/>
  <c r="GN202" i="1" s="1"/>
  <c r="GO202" i="1" s="1"/>
  <c r="GR202" i="1" s="1"/>
  <c r="GV202" i="1" s="1"/>
  <c r="GW202" i="1" s="1"/>
  <c r="GX202" i="1" s="1"/>
  <c r="GY202" i="1" s="1"/>
  <c r="I202" i="2" s="1"/>
  <c r="GM170" i="1"/>
  <c r="GN170" i="1" s="1"/>
  <c r="GO170" i="1" s="1"/>
  <c r="GR170" i="1" s="1"/>
  <c r="GV170" i="1" s="1"/>
  <c r="GW170" i="1" s="1"/>
  <c r="GX170" i="1" s="1"/>
  <c r="GY170" i="1" s="1"/>
  <c r="I170" i="2" s="1"/>
  <c r="GM133" i="1"/>
  <c r="GN133" i="1" s="1"/>
  <c r="GO133" i="1" s="1"/>
  <c r="GR133" i="1" s="1"/>
  <c r="GV133" i="1" s="1"/>
  <c r="GW133" i="1" s="1"/>
  <c r="GX133" i="1" s="1"/>
  <c r="GY133" i="1" s="1"/>
  <c r="I133" i="2" s="1"/>
  <c r="GM279" i="1"/>
  <c r="GN279" i="1" s="1"/>
  <c r="GO279" i="1" s="1"/>
  <c r="GR279" i="1" s="1"/>
  <c r="GV279" i="1" s="1"/>
  <c r="GW279" i="1" s="1"/>
  <c r="GX279" i="1" s="1"/>
  <c r="GY279" i="1" s="1"/>
  <c r="I279" i="2" s="1"/>
  <c r="GM196" i="1"/>
  <c r="GN196" i="1" s="1"/>
  <c r="GO196" i="1" s="1"/>
  <c r="GR196" i="1" s="1"/>
  <c r="GV196" i="1" s="1"/>
  <c r="GW196" i="1" s="1"/>
  <c r="GX196" i="1" s="1"/>
  <c r="GY196" i="1" s="1"/>
  <c r="I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I56" i="2" s="1"/>
  <c r="GM32" i="1"/>
  <c r="GN32" i="1" s="1"/>
  <c r="GO32" i="1" s="1"/>
  <c r="GR32" i="1" s="1"/>
  <c r="GV32" i="1" s="1"/>
  <c r="GW32" i="1" s="1"/>
  <c r="GX32" i="1" s="1"/>
  <c r="GY32" i="1" s="1"/>
  <c r="I32" i="2" s="1"/>
  <c r="GM61" i="1"/>
  <c r="GN61" i="1" s="1"/>
  <c r="GO61" i="1" s="1"/>
  <c r="GR61" i="1" s="1"/>
  <c r="GV61" i="1" s="1"/>
  <c r="GW61" i="1" s="1"/>
  <c r="GX61" i="1" s="1"/>
  <c r="GY61" i="1" s="1"/>
  <c r="I61" i="2" s="1"/>
  <c r="GM201" i="1"/>
  <c r="GN201" i="1" s="1"/>
  <c r="GO201" i="1" s="1"/>
  <c r="GR201" i="1" s="1"/>
  <c r="GV201" i="1" s="1"/>
  <c r="GW201" i="1" s="1"/>
  <c r="GX201" i="1" s="1"/>
  <c r="GY201" i="1" s="1"/>
  <c r="I201" i="2" s="1"/>
  <c r="GM272" i="1"/>
  <c r="GN272" i="1" s="1"/>
  <c r="GO272" i="1" s="1"/>
  <c r="GR272" i="1" s="1"/>
  <c r="GV272" i="1" s="1"/>
  <c r="GW272" i="1" s="1"/>
  <c r="GX272" i="1" s="1"/>
  <c r="GY272" i="1" s="1"/>
  <c r="I272" i="2" s="1"/>
  <c r="GM117" i="1"/>
  <c r="GN117" i="1" s="1"/>
  <c r="GO117" i="1" s="1"/>
  <c r="GR117" i="1" s="1"/>
  <c r="GV117" i="1" s="1"/>
  <c r="GW117" i="1" s="1"/>
  <c r="GX117" i="1" s="1"/>
  <c r="GY117" i="1" s="1"/>
  <c r="I117" i="2" s="1"/>
  <c r="GM237" i="1"/>
  <c r="GN237" i="1" s="1"/>
  <c r="GO237" i="1" s="1"/>
  <c r="GR237" i="1" s="1"/>
  <c r="GV237" i="1" s="1"/>
  <c r="GW237" i="1" s="1"/>
  <c r="GX237" i="1" s="1"/>
  <c r="GY237" i="1" s="1"/>
  <c r="I237" i="2" s="1"/>
  <c r="FR302" i="1"/>
  <c r="FS302" i="1" s="1"/>
  <c r="FT302" i="1" s="1"/>
  <c r="FU302" i="1" s="1"/>
  <c r="FW302" i="1" s="1"/>
  <c r="FR128" i="1"/>
  <c r="FS128" i="1" s="1"/>
  <c r="FT128" i="1" s="1"/>
  <c r="FU128" i="1" s="1"/>
  <c r="FW128" i="1" s="1"/>
  <c r="FR177" i="1"/>
  <c r="FS177" i="1" s="1"/>
  <c r="FT177" i="1" s="1"/>
  <c r="FU177" i="1" s="1"/>
  <c r="FW177" i="1" s="1"/>
  <c r="GM125" i="1"/>
  <c r="GN125" i="1" s="1"/>
  <c r="GO125" i="1" s="1"/>
  <c r="GR125" i="1" s="1"/>
  <c r="GV125" i="1" s="1"/>
  <c r="GW125" i="1" s="1"/>
  <c r="GX125" i="1" s="1"/>
  <c r="GY125" i="1" s="1"/>
  <c r="I125" i="2" s="1"/>
  <c r="GM143" i="1"/>
  <c r="GN143" i="1" s="1"/>
  <c r="GO143" i="1" s="1"/>
  <c r="GR143" i="1" s="1"/>
  <c r="GV143" i="1" s="1"/>
  <c r="GW143" i="1" s="1"/>
  <c r="GX143" i="1" s="1"/>
  <c r="GY143" i="1" s="1"/>
  <c r="I143" i="2" s="1"/>
  <c r="GM156" i="1"/>
  <c r="GN156" i="1" s="1"/>
  <c r="GO156" i="1" s="1"/>
  <c r="GR156" i="1" s="1"/>
  <c r="GV156" i="1" s="1"/>
  <c r="GW156" i="1" s="1"/>
  <c r="GX156" i="1" s="1"/>
  <c r="GY156" i="1" s="1"/>
  <c r="I156" i="2" s="1"/>
  <c r="GM76" i="1"/>
  <c r="GN76" i="1" s="1"/>
  <c r="GO76" i="1" s="1"/>
  <c r="GR76" i="1" s="1"/>
  <c r="GV76" i="1" s="1"/>
  <c r="GW76" i="1" s="1"/>
  <c r="GX76" i="1" s="1"/>
  <c r="GY76" i="1" s="1"/>
  <c r="I76" i="2" s="1"/>
  <c r="GM284" i="1"/>
  <c r="GN284" i="1" s="1"/>
  <c r="GO284" i="1" s="1"/>
  <c r="GR284" i="1" s="1"/>
  <c r="GV284" i="1" s="1"/>
  <c r="GW284" i="1" s="1"/>
  <c r="GX284" i="1" s="1"/>
  <c r="GY284" i="1" s="1"/>
  <c r="I284" i="2" s="1"/>
  <c r="FR192" i="1"/>
  <c r="FS192" i="1" s="1"/>
  <c r="FT192" i="1" s="1"/>
  <c r="FU192" i="1" s="1"/>
  <c r="FW192" i="1" s="1"/>
  <c r="FR169" i="1"/>
  <c r="FS169" i="1" s="1"/>
  <c r="FT169" i="1" s="1"/>
  <c r="FU169" i="1" s="1"/>
  <c r="FW169" i="1" s="1"/>
  <c r="FR59" i="1"/>
  <c r="FS59" i="1" s="1"/>
  <c r="FT59" i="1" s="1"/>
  <c r="FU59" i="1" s="1"/>
  <c r="FW59" i="1" s="1"/>
  <c r="FR50" i="1"/>
  <c r="FS50" i="1" s="1"/>
  <c r="FT50" i="1" s="1"/>
  <c r="FU50" i="1" s="1"/>
  <c r="FW50" i="1" s="1"/>
  <c r="FR277" i="1"/>
  <c r="FS277" i="1" s="1"/>
  <c r="FT277" i="1" s="1"/>
  <c r="FU277" i="1" s="1"/>
  <c r="FW277" i="1" s="1"/>
  <c r="FR309" i="1"/>
  <c r="FS309" i="1" s="1"/>
  <c r="FT309" i="1" s="1"/>
  <c r="FU309" i="1" s="1"/>
  <c r="FW309" i="1" s="1"/>
  <c r="GM231" i="1"/>
  <c r="GN231" i="1" s="1"/>
  <c r="GO231" i="1" s="1"/>
  <c r="GR231" i="1" s="1"/>
  <c r="GV231" i="1" s="1"/>
  <c r="GW231" i="1" s="1"/>
  <c r="GX231" i="1" s="1"/>
  <c r="GY231" i="1" s="1"/>
  <c r="I231" i="2" s="1"/>
  <c r="FR249" i="1"/>
  <c r="FS249" i="1" s="1"/>
  <c r="FT249" i="1" s="1"/>
  <c r="FU249" i="1" s="1"/>
  <c r="FW249" i="1" s="1"/>
  <c r="FR197" i="1"/>
  <c r="FS197" i="1" s="1"/>
  <c r="FT197" i="1" s="1"/>
  <c r="FU197" i="1" s="1"/>
  <c r="FW197" i="1" s="1"/>
  <c r="FR108" i="1"/>
  <c r="FS108" i="1" s="1"/>
  <c r="FT108" i="1" s="1"/>
  <c r="FU108" i="1" s="1"/>
  <c r="FW108" i="1" s="1"/>
  <c r="FR67" i="1"/>
  <c r="FS67" i="1" s="1"/>
  <c r="FT67" i="1" s="1"/>
  <c r="FU67" i="1" s="1"/>
  <c r="FW67" i="1" s="1"/>
  <c r="FR150" i="1"/>
  <c r="FS150" i="1" s="1"/>
  <c r="FT150" i="1" s="1"/>
  <c r="FU150" i="1" s="1"/>
  <c r="FW150" i="1" s="1"/>
  <c r="FR168" i="1"/>
  <c r="FS168" i="1" s="1"/>
  <c r="FT168" i="1" s="1"/>
  <c r="FU168" i="1" s="1"/>
  <c r="FW168" i="1" s="1"/>
  <c r="FR39" i="1"/>
  <c r="FS39" i="1" s="1"/>
  <c r="FT39" i="1" s="1"/>
  <c r="FU39" i="1" s="1"/>
  <c r="FW39" i="1" s="1"/>
  <c r="FR219" i="1"/>
  <c r="FS219" i="1" s="1"/>
  <c r="FT219" i="1" s="1"/>
  <c r="FU219" i="1" s="1"/>
  <c r="FW219" i="1" s="1"/>
  <c r="FR238" i="1"/>
  <c r="FS238" i="1" s="1"/>
  <c r="FT238" i="1" s="1"/>
  <c r="FU238" i="1" s="1"/>
  <c r="FW238" i="1" s="1"/>
  <c r="FR141" i="1"/>
  <c r="FS141" i="1" s="1"/>
  <c r="FT141" i="1" s="1"/>
  <c r="FU141" i="1" s="1"/>
  <c r="FW141" i="1" s="1"/>
  <c r="FR36" i="1"/>
  <c r="FS36" i="1" s="1"/>
  <c r="FT36" i="1" s="1"/>
  <c r="FU36" i="1" s="1"/>
  <c r="FW36" i="1" s="1"/>
  <c r="GM132" i="1"/>
  <c r="GN132" i="1" s="1"/>
  <c r="GO132" i="1" s="1"/>
  <c r="GR132" i="1" s="1"/>
  <c r="GV132" i="1" s="1"/>
  <c r="GW132" i="1" s="1"/>
  <c r="GX132" i="1" s="1"/>
  <c r="GY132" i="1" s="1"/>
  <c r="I132" i="2" s="1"/>
  <c r="GM229" i="1"/>
  <c r="GN229" i="1" s="1"/>
  <c r="GO229" i="1" s="1"/>
  <c r="GR229" i="1" s="1"/>
  <c r="GV229" i="1" s="1"/>
  <c r="GW229" i="1" s="1"/>
  <c r="GX229" i="1" s="1"/>
  <c r="GY229" i="1" s="1"/>
  <c r="I229" i="2" s="1"/>
  <c r="FR17" i="1"/>
  <c r="FS17" i="1" s="1"/>
  <c r="FT17" i="1" s="1"/>
  <c r="FU17" i="1" s="1"/>
  <c r="FW17" i="1" s="1"/>
  <c r="FR209" i="1"/>
  <c r="FS209" i="1" s="1"/>
  <c r="FT209" i="1" s="1"/>
  <c r="FU209" i="1" s="1"/>
  <c r="FW209" i="1" s="1"/>
  <c r="FR237" i="1"/>
  <c r="FS237" i="1" s="1"/>
  <c r="FT237" i="1" s="1"/>
  <c r="FU237" i="1" s="1"/>
  <c r="FW237" i="1" s="1"/>
  <c r="FR255" i="1"/>
  <c r="FS255" i="1" s="1"/>
  <c r="FT255" i="1" s="1"/>
  <c r="FU255" i="1" s="1"/>
  <c r="FW255" i="1" s="1"/>
  <c r="FR79" i="1"/>
  <c r="FS79" i="1" s="1"/>
  <c r="FT79" i="1" s="1"/>
  <c r="FU79" i="1" s="1"/>
  <c r="FW79" i="1" s="1"/>
  <c r="FR92" i="1"/>
  <c r="FS92" i="1" s="1"/>
  <c r="FT92" i="1" s="1"/>
  <c r="FU92" i="1" s="1"/>
  <c r="FW92" i="1" s="1"/>
  <c r="GM309" i="1"/>
  <c r="GN309" i="1" s="1"/>
  <c r="GO309" i="1" s="1"/>
  <c r="GR309" i="1" s="1"/>
  <c r="GV309" i="1" s="1"/>
  <c r="GW309" i="1" s="1"/>
  <c r="GX309" i="1" s="1"/>
  <c r="GY309" i="1" s="1"/>
  <c r="I309" i="2" s="1"/>
  <c r="GM153" i="1"/>
  <c r="GN153" i="1" s="1"/>
  <c r="GO153" i="1" s="1"/>
  <c r="GR153" i="1" s="1"/>
  <c r="GV153" i="1" s="1"/>
  <c r="GW153" i="1" s="1"/>
  <c r="GX153" i="1" s="1"/>
  <c r="GY153" i="1" s="1"/>
  <c r="I153" i="2" s="1"/>
  <c r="GM242" i="1"/>
  <c r="GN242" i="1" s="1"/>
  <c r="GO242" i="1" s="1"/>
  <c r="GR242" i="1" s="1"/>
  <c r="GV242" i="1" s="1"/>
  <c r="GW242" i="1" s="1"/>
  <c r="GX242" i="1" s="1"/>
  <c r="GY242" i="1" s="1"/>
  <c r="I242" i="2" s="1"/>
  <c r="GM214" i="1"/>
  <c r="GN214" i="1" s="1"/>
  <c r="GO214" i="1" s="1"/>
  <c r="GR214" i="1" s="1"/>
  <c r="GV214" i="1" s="1"/>
  <c r="GW214" i="1" s="1"/>
  <c r="GX214" i="1" s="1"/>
  <c r="GY214" i="1" s="1"/>
  <c r="I214" i="2" s="1"/>
  <c r="GM277" i="1"/>
  <c r="GN277" i="1" s="1"/>
  <c r="GO277" i="1" s="1"/>
  <c r="GR277" i="1" s="1"/>
  <c r="GV277" i="1" s="1"/>
  <c r="GW277" i="1" s="1"/>
  <c r="GX277" i="1" s="1"/>
  <c r="GY277" i="1" s="1"/>
  <c r="I277" i="2" s="1"/>
  <c r="GM246" i="1"/>
  <c r="GN246" i="1" s="1"/>
  <c r="GO246" i="1" s="1"/>
  <c r="GR246" i="1" s="1"/>
  <c r="GV246" i="1" s="1"/>
  <c r="GW246" i="1" s="1"/>
  <c r="GX246" i="1" s="1"/>
  <c r="GY246" i="1" s="1"/>
  <c r="I246" i="2" s="1"/>
  <c r="FR264" i="1"/>
  <c r="FS264" i="1" s="1"/>
  <c r="FT264" i="1" s="1"/>
  <c r="FU264" i="1" s="1"/>
  <c r="FW264" i="1" s="1"/>
  <c r="FR242" i="1"/>
  <c r="FS242" i="1" s="1"/>
  <c r="FT242" i="1" s="1"/>
  <c r="FU242" i="1" s="1"/>
  <c r="FW242" i="1" s="1"/>
  <c r="GM232" i="1"/>
  <c r="GN232" i="1" s="1"/>
  <c r="GO232" i="1" s="1"/>
  <c r="GR232" i="1" s="1"/>
  <c r="GV232" i="1" s="1"/>
  <c r="GW232" i="1" s="1"/>
  <c r="GX232" i="1" s="1"/>
  <c r="GY232" i="1" s="1"/>
  <c r="I232" i="2" s="1"/>
  <c r="GM252" i="1"/>
  <c r="GN252" i="1" s="1"/>
  <c r="GO252" i="1" s="1"/>
  <c r="GR252" i="1" s="1"/>
  <c r="GV252" i="1" s="1"/>
  <c r="GW252" i="1" s="1"/>
  <c r="GX252" i="1" s="1"/>
  <c r="GY252" i="1" s="1"/>
  <c r="I252" i="2" s="1"/>
  <c r="GM239" i="1"/>
  <c r="GN239" i="1" s="1"/>
  <c r="GO239" i="1" s="1"/>
  <c r="GR239" i="1" s="1"/>
  <c r="GV239" i="1" s="1"/>
  <c r="GW239" i="1" s="1"/>
  <c r="GX239" i="1" s="1"/>
  <c r="GY239" i="1" s="1"/>
  <c r="I239" i="2" s="1"/>
  <c r="GM250" i="1"/>
  <c r="GN250" i="1" s="1"/>
  <c r="GO250" i="1" s="1"/>
  <c r="GR250" i="1" s="1"/>
  <c r="GV250" i="1" s="1"/>
  <c r="GW250" i="1" s="1"/>
  <c r="GX250" i="1" s="1"/>
  <c r="GY250" i="1" s="1"/>
  <c r="I250" i="2" s="1"/>
  <c r="GM92" i="1"/>
  <c r="GN92" i="1" s="1"/>
  <c r="GO92" i="1" s="1"/>
  <c r="GR92" i="1" s="1"/>
  <c r="GV92" i="1" s="1"/>
  <c r="GW92" i="1" s="1"/>
  <c r="GX92" i="1" s="1"/>
  <c r="GY92" i="1" s="1"/>
  <c r="I92" i="2" s="1"/>
  <c r="GO175" i="1"/>
  <c r="GR175" i="1" s="1"/>
  <c r="GV175" i="1" s="1"/>
  <c r="GW175" i="1" s="1"/>
  <c r="GX175" i="1" s="1"/>
  <c r="GY175" i="1" s="1"/>
  <c r="I175" i="2" s="1"/>
  <c r="GM75" i="1"/>
  <c r="GN75" i="1" s="1"/>
  <c r="GO75" i="1" s="1"/>
  <c r="GR75" i="1" s="1"/>
  <c r="GV75" i="1" s="1"/>
  <c r="GW75" i="1" s="1"/>
  <c r="GX75" i="1" s="1"/>
  <c r="GY75" i="1" s="1"/>
  <c r="I75" i="2" s="1"/>
  <c r="GM194" i="1"/>
  <c r="GN194" i="1" s="1"/>
  <c r="GO194" i="1" s="1"/>
  <c r="GR194" i="1" s="1"/>
  <c r="GV194" i="1" s="1"/>
  <c r="GW194" i="1" s="1"/>
  <c r="GX194" i="1" s="1"/>
  <c r="GY194" i="1" s="1"/>
  <c r="I194" i="2" s="1"/>
  <c r="FR207" i="1"/>
  <c r="FS207" i="1" s="1"/>
  <c r="FT207" i="1" s="1"/>
  <c r="FU207" i="1" s="1"/>
  <c r="FW207" i="1" s="1"/>
  <c r="GM221" i="1"/>
  <c r="GN221" i="1" s="1"/>
  <c r="GO221" i="1" s="1"/>
  <c r="GR221" i="1" s="1"/>
  <c r="GV221" i="1" s="1"/>
  <c r="GW221" i="1" s="1"/>
  <c r="GX221" i="1" s="1"/>
  <c r="GY221" i="1" s="1"/>
  <c r="I221" i="2" s="1"/>
  <c r="GM235" i="1"/>
  <c r="GN235" i="1" s="1"/>
  <c r="GO235" i="1" s="1"/>
  <c r="GR235" i="1" s="1"/>
  <c r="GV235" i="1" s="1"/>
  <c r="GW235" i="1" s="1"/>
  <c r="GX235" i="1" s="1"/>
  <c r="GY235" i="1" s="1"/>
  <c r="I235" i="2" s="1"/>
  <c r="GM87" i="1"/>
  <c r="GN87" i="1" s="1"/>
  <c r="GO87" i="1" s="1"/>
  <c r="GR87" i="1" s="1"/>
  <c r="GV87" i="1" s="1"/>
  <c r="GW87" i="1" s="1"/>
  <c r="GX87" i="1" s="1"/>
  <c r="GY87" i="1" s="1"/>
  <c r="I87" i="2" s="1"/>
  <c r="GM212" i="1"/>
  <c r="GN212" i="1" s="1"/>
  <c r="GO212" i="1" s="1"/>
  <c r="GR212" i="1" s="1"/>
  <c r="GV212" i="1" s="1"/>
  <c r="GW212" i="1" s="1"/>
  <c r="GX212" i="1" s="1"/>
  <c r="GY212" i="1" s="1"/>
  <c r="I212" i="2" s="1"/>
  <c r="GM292" i="1"/>
  <c r="GN292" i="1" s="1"/>
  <c r="GO292" i="1" s="1"/>
  <c r="GR292" i="1" s="1"/>
  <c r="GV292" i="1" s="1"/>
  <c r="GW292" i="1" s="1"/>
  <c r="GX292" i="1" s="1"/>
  <c r="GY292" i="1" s="1"/>
  <c r="I292" i="2" s="1"/>
  <c r="FR199" i="1"/>
  <c r="FS199" i="1" s="1"/>
  <c r="FT199" i="1" s="1"/>
  <c r="FU199" i="1" s="1"/>
  <c r="FW199" i="1" s="1"/>
  <c r="FR15" i="1"/>
  <c r="FS15" i="1" s="1"/>
  <c r="FT15" i="1" s="1"/>
  <c r="FU15" i="1" s="1"/>
  <c r="FW15" i="1" s="1"/>
  <c r="GM148" i="1"/>
  <c r="GN148" i="1" s="1"/>
  <c r="GO148" i="1" s="1"/>
  <c r="GR148" i="1" s="1"/>
  <c r="GV148" i="1" s="1"/>
  <c r="GW148" i="1" s="1"/>
  <c r="GX148" i="1" s="1"/>
  <c r="GY148" i="1" s="1"/>
  <c r="I148" i="2" s="1"/>
  <c r="GM102" i="1"/>
  <c r="GN102" i="1" s="1"/>
  <c r="GO102" i="1" s="1"/>
  <c r="GR102" i="1" s="1"/>
  <c r="GV102" i="1" s="1"/>
  <c r="GW102" i="1" s="1"/>
  <c r="GX102" i="1" s="1"/>
  <c r="GY102" i="1" s="1"/>
  <c r="I102" i="2" s="1"/>
  <c r="GM271" i="1"/>
  <c r="GN271" i="1" s="1"/>
  <c r="GO135" i="1"/>
  <c r="GR135" i="1" s="1"/>
  <c r="GV135" i="1" s="1"/>
  <c r="GW135" i="1" s="1"/>
  <c r="GX135" i="1" s="1"/>
  <c r="GY135" i="1" s="1"/>
  <c r="I135" i="2" s="1"/>
  <c r="GM58" i="1"/>
  <c r="GN58" i="1" s="1"/>
  <c r="GO58" i="1" s="1"/>
  <c r="GR58" i="1" s="1"/>
  <c r="GV58" i="1" s="1"/>
  <c r="GW58" i="1" s="1"/>
  <c r="GX58" i="1" s="1"/>
  <c r="GY58" i="1" s="1"/>
  <c r="I58" i="2" s="1"/>
  <c r="GM8" i="1"/>
  <c r="GN8" i="1" s="1"/>
  <c r="GO8" i="1" s="1"/>
  <c r="GR8" i="1" s="1"/>
  <c r="GV8" i="1" s="1"/>
  <c r="GW8" i="1" s="1"/>
  <c r="GX8" i="1" s="1"/>
  <c r="GY8" i="1" s="1"/>
  <c r="I8" i="2" s="1"/>
  <c r="GM266" i="1"/>
  <c r="GN266" i="1" s="1"/>
  <c r="GO266" i="1" s="1"/>
  <c r="GR266" i="1" s="1"/>
  <c r="GV266" i="1" s="1"/>
  <c r="GW266" i="1" s="1"/>
  <c r="GX266" i="1" s="1"/>
  <c r="GY266" i="1" s="1"/>
  <c r="I266" i="2" s="1"/>
  <c r="GM297" i="1"/>
  <c r="GN297" i="1" s="1"/>
  <c r="GO297" i="1" s="1"/>
  <c r="GR297" i="1" s="1"/>
  <c r="GV297" i="1" s="1"/>
  <c r="GW297" i="1" s="1"/>
  <c r="GX297" i="1" s="1"/>
  <c r="GY297" i="1" s="1"/>
  <c r="I297" i="2" s="1"/>
  <c r="GM80" i="1"/>
  <c r="GN80" i="1" s="1"/>
  <c r="GO80" i="1" s="1"/>
  <c r="GR80" i="1" s="1"/>
  <c r="GV80" i="1" s="1"/>
  <c r="GW80" i="1" s="1"/>
  <c r="GX80" i="1" s="1"/>
  <c r="GY80" i="1" s="1"/>
  <c r="I80" i="2" s="1"/>
  <c r="GM304" i="1"/>
  <c r="GN304" i="1" s="1"/>
  <c r="GO304" i="1" s="1"/>
  <c r="GR304" i="1" s="1"/>
  <c r="GV304" i="1" s="1"/>
  <c r="GW304" i="1" s="1"/>
  <c r="GX304" i="1" s="1"/>
  <c r="GY304" i="1" s="1"/>
  <c r="I304" i="2" s="1"/>
  <c r="GM234" i="1"/>
  <c r="GN234" i="1" s="1"/>
  <c r="GO234" i="1" s="1"/>
  <c r="GR234" i="1" s="1"/>
  <c r="GV234" i="1" s="1"/>
  <c r="GW234" i="1" s="1"/>
  <c r="GX234" i="1" s="1"/>
  <c r="GY234" i="1" s="1"/>
  <c r="I234" i="2" s="1"/>
  <c r="GM258" i="1"/>
  <c r="GN258" i="1" s="1"/>
  <c r="GO258" i="1" s="1"/>
  <c r="GR258" i="1" s="1"/>
  <c r="GV258" i="1" s="1"/>
  <c r="GW258" i="1" s="1"/>
  <c r="GX258" i="1" s="1"/>
  <c r="GY258" i="1" s="1"/>
  <c r="I258" i="2" s="1"/>
  <c r="GM302" i="1"/>
  <c r="GN302" i="1" s="1"/>
  <c r="GO302" i="1" s="1"/>
  <c r="GR302" i="1" s="1"/>
  <c r="GV302" i="1" s="1"/>
  <c r="GW302" i="1" s="1"/>
  <c r="GX302" i="1" s="1"/>
  <c r="GY302" i="1" s="1"/>
  <c r="I302" i="2" s="1"/>
  <c r="FR120" i="1"/>
  <c r="FS120" i="1" s="1"/>
  <c r="FT120" i="1" s="1"/>
  <c r="FU120" i="1" s="1"/>
  <c r="FW120" i="1" s="1"/>
  <c r="GM154" i="1"/>
  <c r="GN154" i="1" s="1"/>
  <c r="GO154" i="1" s="1"/>
  <c r="GR154" i="1" s="1"/>
  <c r="GV154" i="1" s="1"/>
  <c r="GW154" i="1" s="1"/>
  <c r="GX154" i="1" s="1"/>
  <c r="GY154" i="1" s="1"/>
  <c r="I154" i="2" s="1"/>
  <c r="GD271" i="1"/>
  <c r="GM294" i="1"/>
  <c r="GN294" i="1" s="1"/>
  <c r="GO294" i="1" s="1"/>
  <c r="GR294" i="1" s="1"/>
  <c r="GV294" i="1" s="1"/>
  <c r="GW294" i="1" s="1"/>
  <c r="GX294" i="1" s="1"/>
  <c r="GY294" i="1" s="1"/>
  <c r="I294" i="2" s="1"/>
  <c r="GM46" i="1"/>
  <c r="GN46" i="1" s="1"/>
  <c r="GO46" i="1" s="1"/>
  <c r="GR46" i="1" s="1"/>
  <c r="GV46" i="1" s="1"/>
  <c r="GW46" i="1" s="1"/>
  <c r="GX46" i="1" s="1"/>
  <c r="GY46" i="1" s="1"/>
  <c r="I46" i="2" s="1"/>
  <c r="GM210" i="1"/>
  <c r="GN210" i="1" s="1"/>
  <c r="GO210" i="1" s="1"/>
  <c r="GR210" i="1" s="1"/>
  <c r="GV210" i="1" s="1"/>
  <c r="GW210" i="1" s="1"/>
  <c r="GX210" i="1" s="1"/>
  <c r="GY210" i="1" s="1"/>
  <c r="I210" i="2" s="1"/>
  <c r="GM166" i="1"/>
  <c r="GN166" i="1" s="1"/>
  <c r="GO166" i="1" s="1"/>
  <c r="GR166" i="1" s="1"/>
  <c r="GV166" i="1" s="1"/>
  <c r="GW166" i="1" s="1"/>
  <c r="GX166" i="1" s="1"/>
  <c r="GY166" i="1" s="1"/>
  <c r="I166" i="2" s="1"/>
  <c r="GM105" i="1"/>
  <c r="GN105" i="1" s="1"/>
  <c r="GO105" i="1" s="1"/>
  <c r="GR105" i="1" s="1"/>
  <c r="GV105" i="1" s="1"/>
  <c r="GW105" i="1" s="1"/>
  <c r="GX105" i="1" s="1"/>
  <c r="GY105" i="1" s="1"/>
  <c r="I105" i="2" s="1"/>
  <c r="GM191" i="1"/>
  <c r="GN191" i="1" s="1"/>
  <c r="GO191" i="1" s="1"/>
  <c r="GR191" i="1" s="1"/>
  <c r="GV191" i="1" s="1"/>
  <c r="GW191" i="1" s="1"/>
  <c r="GX191" i="1" s="1"/>
  <c r="GY191" i="1" s="1"/>
  <c r="I191" i="2" s="1"/>
  <c r="GM64" i="1"/>
  <c r="GN64" i="1" s="1"/>
  <c r="GO64" i="1" s="1"/>
  <c r="GR64" i="1" s="1"/>
  <c r="GV64" i="1" s="1"/>
  <c r="GW64" i="1" s="1"/>
  <c r="GX64" i="1" s="1"/>
  <c r="GY64" i="1" s="1"/>
  <c r="I64" i="2" s="1"/>
  <c r="GM159" i="1"/>
  <c r="GN159" i="1" s="1"/>
  <c r="GO159" i="1" s="1"/>
  <c r="GR159" i="1" s="1"/>
  <c r="GV159" i="1" s="1"/>
  <c r="GW159" i="1" s="1"/>
  <c r="GX159" i="1" s="1"/>
  <c r="GY159" i="1" s="1"/>
  <c r="I159" i="2" s="1"/>
  <c r="GM293" i="1"/>
  <c r="GN293" i="1" s="1"/>
  <c r="GO293" i="1" s="1"/>
  <c r="GR293" i="1" s="1"/>
  <c r="GV293" i="1" s="1"/>
  <c r="GW293" i="1" s="1"/>
  <c r="GX293" i="1" s="1"/>
  <c r="GY293" i="1" s="1"/>
  <c r="I293" i="2" s="1"/>
  <c r="GM213" i="1"/>
  <c r="GN213" i="1" s="1"/>
  <c r="GO213" i="1" s="1"/>
  <c r="GR213" i="1" s="1"/>
  <c r="GV213" i="1" s="1"/>
  <c r="GW213" i="1" s="1"/>
  <c r="GX213" i="1" s="1"/>
  <c r="GY213" i="1" s="1"/>
  <c r="I213" i="2" s="1"/>
  <c r="GM168" i="1"/>
  <c r="GN168" i="1" s="1"/>
  <c r="GO168" i="1" s="1"/>
  <c r="GR168" i="1" s="1"/>
  <c r="GV168" i="1" s="1"/>
  <c r="GW168" i="1" s="1"/>
  <c r="GX168" i="1" s="1"/>
  <c r="GY168" i="1" s="1"/>
  <c r="I168" i="2" s="1"/>
  <c r="GM100" i="1"/>
  <c r="GN100" i="1" s="1"/>
  <c r="GO100" i="1" s="1"/>
  <c r="GR100" i="1" s="1"/>
  <c r="GV100" i="1" s="1"/>
  <c r="GW100" i="1" s="1"/>
  <c r="GX100" i="1" s="1"/>
  <c r="GY100" i="1" s="1"/>
  <c r="I100" i="2" s="1"/>
  <c r="GM197" i="1"/>
  <c r="GN197" i="1" s="1"/>
  <c r="GO197" i="1" s="1"/>
  <c r="GR197" i="1" s="1"/>
  <c r="GV197" i="1" s="1"/>
  <c r="GW197" i="1" s="1"/>
  <c r="GX197" i="1" s="1"/>
  <c r="GY197" i="1" s="1"/>
  <c r="I197" i="2" s="1"/>
  <c r="GM89" i="1"/>
  <c r="GN89" i="1" s="1"/>
  <c r="GO89" i="1" s="1"/>
  <c r="GR89" i="1" s="1"/>
  <c r="GV89" i="1" s="1"/>
  <c r="GW89" i="1" s="1"/>
  <c r="GX89" i="1" s="1"/>
  <c r="GY89" i="1" s="1"/>
  <c r="I89" i="2" s="1"/>
  <c r="GM241" i="1"/>
  <c r="GN241" i="1" s="1"/>
  <c r="GO241" i="1" s="1"/>
  <c r="GR241" i="1" s="1"/>
  <c r="GV241" i="1" s="1"/>
  <c r="GW241" i="1" s="1"/>
  <c r="GX241" i="1" s="1"/>
  <c r="GY241" i="1" s="1"/>
  <c r="I241" i="2" s="1"/>
  <c r="GM20" i="1"/>
  <c r="GN20" i="1" s="1"/>
  <c r="GO20" i="1" s="1"/>
  <c r="GR20" i="1" s="1"/>
  <c r="GV20" i="1" s="1"/>
  <c r="GW20" i="1" s="1"/>
  <c r="GX20" i="1" s="1"/>
  <c r="GY20" i="1" s="1"/>
  <c r="I20" i="2" s="1"/>
  <c r="GM161" i="1"/>
  <c r="GN161" i="1" s="1"/>
  <c r="GO161" i="1" s="1"/>
  <c r="GR161" i="1" s="1"/>
  <c r="GV161" i="1" s="1"/>
  <c r="GW161" i="1" s="1"/>
  <c r="GX161" i="1" s="1"/>
  <c r="GY161" i="1" s="1"/>
  <c r="I161" i="2" s="1"/>
  <c r="FR22" i="1"/>
  <c r="FS22" i="1" s="1"/>
  <c r="FT22" i="1" s="1"/>
  <c r="FU22" i="1" s="1"/>
  <c r="FW22" i="1" s="1"/>
  <c r="GM192" i="1"/>
  <c r="GN192" i="1" s="1"/>
  <c r="GO192" i="1" s="1"/>
  <c r="GR192" i="1" s="1"/>
  <c r="GV192" i="1" s="1"/>
  <c r="GW192" i="1" s="1"/>
  <c r="GX192" i="1" s="1"/>
  <c r="GY192" i="1" s="1"/>
  <c r="I192" i="2" s="1"/>
  <c r="GM27" i="1"/>
  <c r="GN27" i="1" s="1"/>
  <c r="GO27" i="1" s="1"/>
  <c r="GR27" i="1" s="1"/>
  <c r="GV27" i="1" s="1"/>
  <c r="GW27" i="1" s="1"/>
  <c r="GX27" i="1" s="1"/>
  <c r="GY27" i="1" s="1"/>
  <c r="I27" i="2" s="1"/>
  <c r="GM53" i="1"/>
  <c r="GN53" i="1" s="1"/>
  <c r="GO53" i="1" s="1"/>
  <c r="GR53" i="1" s="1"/>
  <c r="GV53" i="1" s="1"/>
  <c r="GW53" i="1" s="1"/>
  <c r="GX53" i="1" s="1"/>
  <c r="GY53" i="1" s="1"/>
  <c r="I53" i="2" s="1"/>
  <c r="GM178" i="1"/>
  <c r="GN178" i="1" s="1"/>
  <c r="GO178" i="1" s="1"/>
  <c r="GR178" i="1" s="1"/>
  <c r="GV178" i="1" s="1"/>
  <c r="GW178" i="1" s="1"/>
  <c r="GX178" i="1" s="1"/>
  <c r="GY178" i="1" s="1"/>
  <c r="I178" i="2" s="1"/>
  <c r="GM59" i="1"/>
  <c r="GN59" i="1" s="1"/>
  <c r="GO59" i="1" s="1"/>
  <c r="GR59" i="1" s="1"/>
  <c r="GV59" i="1" s="1"/>
  <c r="GW59" i="1" s="1"/>
  <c r="GX59" i="1" s="1"/>
  <c r="GY59" i="1" s="1"/>
  <c r="I59" i="2" s="1"/>
  <c r="GM226" i="1"/>
  <c r="GN226" i="1" s="1"/>
  <c r="GO226" i="1" s="1"/>
  <c r="GR226" i="1" s="1"/>
  <c r="GV226" i="1" s="1"/>
  <c r="GW226" i="1" s="1"/>
  <c r="GX226" i="1" s="1"/>
  <c r="GY226" i="1" s="1"/>
  <c r="I226" i="2" s="1"/>
  <c r="GM220" i="1"/>
  <c r="GN220" i="1" s="1"/>
  <c r="GO220" i="1" s="1"/>
  <c r="GR220" i="1" s="1"/>
  <c r="GV220" i="1" s="1"/>
  <c r="GW220" i="1" s="1"/>
  <c r="GX220" i="1" s="1"/>
  <c r="GY220" i="1" s="1"/>
  <c r="I220" i="2" s="1"/>
  <c r="GM253" i="1"/>
  <c r="GN253" i="1" s="1"/>
  <c r="GO253" i="1" s="1"/>
  <c r="GR253" i="1" s="1"/>
  <c r="GV253" i="1" s="1"/>
  <c r="GW253" i="1" s="1"/>
  <c r="GX253" i="1" s="1"/>
  <c r="GY253" i="1" s="1"/>
  <c r="I253" i="2" s="1"/>
  <c r="FR7" i="1"/>
  <c r="FS7" i="1" s="1"/>
  <c r="FT7" i="1" s="1"/>
  <c r="FU7" i="1" s="1"/>
  <c r="FW7" i="1" s="1"/>
  <c r="GM155" i="1"/>
  <c r="GN155" i="1" s="1"/>
  <c r="GO155" i="1" s="1"/>
  <c r="GR155" i="1" s="1"/>
  <c r="GV155" i="1" s="1"/>
  <c r="GW155" i="1" s="1"/>
  <c r="GX155" i="1" s="1"/>
  <c r="GY155" i="1" s="1"/>
  <c r="I155" i="2" s="1"/>
  <c r="GM195" i="1"/>
  <c r="GN195" i="1" s="1"/>
  <c r="GO195" i="1" s="1"/>
  <c r="GR195" i="1" s="1"/>
  <c r="GV195" i="1" s="1"/>
  <c r="GW195" i="1" s="1"/>
  <c r="GX195" i="1" s="1"/>
  <c r="GY195" i="1" s="1"/>
  <c r="I195" i="2" s="1"/>
  <c r="FR196" i="1"/>
  <c r="FS196" i="1" s="1"/>
  <c r="FT196" i="1" s="1"/>
  <c r="FU196" i="1" s="1"/>
  <c r="FW196" i="1" s="1"/>
  <c r="GM74" i="1"/>
  <c r="GN74" i="1" s="1"/>
  <c r="GO74" i="1" s="1"/>
  <c r="GR74" i="1" s="1"/>
  <c r="GV74" i="1" s="1"/>
  <c r="GW74" i="1" s="1"/>
  <c r="GX74" i="1" s="1"/>
  <c r="GY74" i="1" s="1"/>
  <c r="I74" i="2" s="1"/>
  <c r="GM199" i="1"/>
  <c r="GN199" i="1" s="1"/>
  <c r="GO199" i="1" s="1"/>
  <c r="GR199" i="1" s="1"/>
  <c r="GV199" i="1" s="1"/>
  <c r="GW199" i="1" s="1"/>
  <c r="GX199" i="1" s="1"/>
  <c r="GY199" i="1" s="1"/>
  <c r="I199" i="2" s="1"/>
  <c r="GM145" i="1"/>
  <c r="GN145" i="1" s="1"/>
  <c r="GO145" i="1" s="1"/>
  <c r="GR145" i="1" s="1"/>
  <c r="GV145" i="1" s="1"/>
  <c r="GW145" i="1" s="1"/>
  <c r="GX145" i="1" s="1"/>
  <c r="GY145" i="1" s="1"/>
  <c r="I145" i="2" s="1"/>
  <c r="FR118" i="1"/>
  <c r="FS118" i="1" s="1"/>
  <c r="FT118" i="1" s="1"/>
  <c r="FU118" i="1" s="1"/>
  <c r="FW118" i="1" s="1"/>
  <c r="GM121" i="1"/>
  <c r="GN121" i="1" s="1"/>
  <c r="GO121" i="1" s="1"/>
  <c r="GR121" i="1" s="1"/>
  <c r="GV121" i="1" s="1"/>
  <c r="GW121" i="1" s="1"/>
  <c r="GX121" i="1" s="1"/>
  <c r="GY121" i="1" s="1"/>
  <c r="I121" i="2" s="1"/>
  <c r="GM151" i="1"/>
  <c r="GN151" i="1" s="1"/>
  <c r="GO151" i="1" s="1"/>
  <c r="GR151" i="1" s="1"/>
  <c r="GV151" i="1" s="1"/>
  <c r="GW151" i="1" s="1"/>
  <c r="GX151" i="1" s="1"/>
  <c r="GY151" i="1" s="1"/>
  <c r="I151" i="2" s="1"/>
  <c r="GM158" i="1"/>
  <c r="GN158" i="1" s="1"/>
  <c r="GO158" i="1" s="1"/>
  <c r="GR158" i="1" s="1"/>
  <c r="GV158" i="1" s="1"/>
  <c r="GW158" i="1" s="1"/>
  <c r="GX158" i="1" s="1"/>
  <c r="GY158" i="1" s="1"/>
  <c r="I158" i="2" s="1"/>
  <c r="GM48" i="1"/>
  <c r="GN48" i="1" s="1"/>
  <c r="GO48" i="1" s="1"/>
  <c r="GR48" i="1" s="1"/>
  <c r="GV48" i="1" s="1"/>
  <c r="GW48" i="1" s="1"/>
  <c r="GX48" i="1" s="1"/>
  <c r="GY48" i="1" s="1"/>
  <c r="I48" i="2" s="1"/>
  <c r="GM287" i="1"/>
  <c r="GN287" i="1" s="1"/>
  <c r="GO287" i="1" s="1"/>
  <c r="GR287" i="1" s="1"/>
  <c r="GV287" i="1" s="1"/>
  <c r="GW287" i="1" s="1"/>
  <c r="GX287" i="1" s="1"/>
  <c r="GY287" i="1" s="1"/>
  <c r="I287" i="2" s="1"/>
  <c r="GM85" i="1"/>
  <c r="GN85" i="1" s="1"/>
  <c r="GO85" i="1" s="1"/>
  <c r="GR85" i="1" s="1"/>
  <c r="GV85" i="1" s="1"/>
  <c r="GW85" i="1" s="1"/>
  <c r="GX85" i="1" s="1"/>
  <c r="GY85" i="1" s="1"/>
  <c r="I85" i="2" s="1"/>
  <c r="GM123" i="1"/>
  <c r="GN123" i="1" s="1"/>
  <c r="GO123" i="1" s="1"/>
  <c r="GR123" i="1" s="1"/>
  <c r="GV123" i="1" s="1"/>
  <c r="GW123" i="1" s="1"/>
  <c r="GX123" i="1" s="1"/>
  <c r="GY123" i="1" s="1"/>
  <c r="I123" i="2" s="1"/>
  <c r="GM34" i="1"/>
  <c r="GN34" i="1" s="1"/>
  <c r="GO34" i="1" s="1"/>
  <c r="GR34" i="1" s="1"/>
  <c r="GV34" i="1" s="1"/>
  <c r="GW34" i="1" s="1"/>
  <c r="GX34" i="1" s="1"/>
  <c r="GY34" i="1" s="1"/>
  <c r="I34" i="2" s="1"/>
  <c r="GM18" i="1"/>
  <c r="GN18" i="1" s="1"/>
  <c r="GO18" i="1" s="1"/>
  <c r="GR18" i="1" s="1"/>
  <c r="GV18" i="1" s="1"/>
  <c r="GW18" i="1" s="1"/>
  <c r="GX18" i="1" s="1"/>
  <c r="GY18" i="1" s="1"/>
  <c r="I18" i="2" s="1"/>
  <c r="GM24" i="1"/>
  <c r="GN24" i="1" s="1"/>
  <c r="GO24" i="1" s="1"/>
  <c r="GR24" i="1" s="1"/>
  <c r="GV24" i="1" s="1"/>
  <c r="GW24" i="1" s="1"/>
  <c r="GX24" i="1" s="1"/>
  <c r="GY24" i="1" s="1"/>
  <c r="I24" i="2" s="1"/>
  <c r="GM188" i="1"/>
  <c r="GN188" i="1" s="1"/>
  <c r="GO188" i="1" s="1"/>
  <c r="GR188" i="1" s="1"/>
  <c r="GV188" i="1" s="1"/>
  <c r="GW188" i="1" s="1"/>
  <c r="GX188" i="1" s="1"/>
  <c r="GY188" i="1" s="1"/>
  <c r="I188" i="2" s="1"/>
  <c r="GM45" i="1"/>
  <c r="GN45" i="1" s="1"/>
  <c r="GO45" i="1" s="1"/>
  <c r="GR45" i="1" s="1"/>
  <c r="GV45" i="1" s="1"/>
  <c r="GW45" i="1" s="1"/>
  <c r="GX45" i="1" s="1"/>
  <c r="GY45" i="1" s="1"/>
  <c r="I45" i="2" s="1"/>
  <c r="GM9" i="1"/>
  <c r="GN9" i="1" s="1"/>
  <c r="GO9" i="1" s="1"/>
  <c r="GR9" i="1" s="1"/>
  <c r="GV9" i="1" s="1"/>
  <c r="GW9" i="1" s="1"/>
  <c r="GX9" i="1" s="1"/>
  <c r="GY9" i="1" s="1"/>
  <c r="I9" i="2" s="1"/>
  <c r="GM307" i="1"/>
  <c r="GN307" i="1" s="1"/>
  <c r="GO307" i="1" s="1"/>
  <c r="GR307" i="1" s="1"/>
  <c r="GV307" i="1" s="1"/>
  <c r="GW307" i="1" s="1"/>
  <c r="GX307" i="1" s="1"/>
  <c r="GY307" i="1" s="1"/>
  <c r="I307" i="2" s="1"/>
  <c r="GM189" i="1"/>
  <c r="GN189" i="1" s="1"/>
  <c r="GO189" i="1" s="1"/>
  <c r="GR189" i="1" s="1"/>
  <c r="GV189" i="1" s="1"/>
  <c r="GW189" i="1" s="1"/>
  <c r="GX189" i="1" s="1"/>
  <c r="GY189" i="1" s="1"/>
  <c r="I189" i="2" s="1"/>
  <c r="GM173" i="1"/>
  <c r="GN173" i="1" s="1"/>
  <c r="GO173" i="1" s="1"/>
  <c r="GR173" i="1" s="1"/>
  <c r="GV173" i="1" s="1"/>
  <c r="GW173" i="1" s="1"/>
  <c r="GX173" i="1" s="1"/>
  <c r="GY173" i="1" s="1"/>
  <c r="I173" i="2" s="1"/>
  <c r="GM280" i="1"/>
  <c r="GN280" i="1" s="1"/>
  <c r="GO280" i="1" s="1"/>
  <c r="GR280" i="1" s="1"/>
  <c r="GV280" i="1" s="1"/>
  <c r="GW280" i="1" s="1"/>
  <c r="GX280" i="1" s="1"/>
  <c r="GY280" i="1" s="1"/>
  <c r="I280" i="2" s="1"/>
  <c r="GM174" i="1"/>
  <c r="GN174" i="1" s="1"/>
  <c r="GO174" i="1" s="1"/>
  <c r="GR174" i="1" s="1"/>
  <c r="GV174" i="1" s="1"/>
  <c r="GW174" i="1" s="1"/>
  <c r="GX174" i="1" s="1"/>
  <c r="GY174" i="1" s="1"/>
  <c r="I174" i="2" s="1"/>
  <c r="FR258" i="1"/>
  <c r="FS258" i="1" s="1"/>
  <c r="FT258" i="1" s="1"/>
  <c r="FU258" i="1" s="1"/>
  <c r="FW258" i="1" s="1"/>
  <c r="GO44" i="1"/>
  <c r="GR44" i="1" s="1"/>
  <c r="GV44" i="1" s="1"/>
  <c r="GW44" i="1" s="1"/>
  <c r="GX44" i="1" s="1"/>
  <c r="GY44" i="1" s="1"/>
  <c r="I44" i="2" s="1"/>
  <c r="GM218" i="1"/>
  <c r="GN218" i="1" s="1"/>
  <c r="GO218" i="1" s="1"/>
  <c r="GR218" i="1" s="1"/>
  <c r="GV218" i="1" s="1"/>
  <c r="GW218" i="1" s="1"/>
  <c r="GX218" i="1" s="1"/>
  <c r="GY218" i="1" s="1"/>
  <c r="I218" i="2" s="1"/>
  <c r="FR69" i="1"/>
  <c r="FS69" i="1" s="1"/>
  <c r="FT69" i="1" s="1"/>
  <c r="FU69" i="1" s="1"/>
  <c r="FW69" i="1" s="1"/>
  <c r="GK247" i="1"/>
  <c r="GL247" i="1" s="1"/>
  <c r="GM268" i="1"/>
  <c r="GN268" i="1" s="1"/>
  <c r="GO268" i="1" s="1"/>
  <c r="GR268" i="1" s="1"/>
  <c r="GV268" i="1" s="1"/>
  <c r="GW268" i="1" s="1"/>
  <c r="GX268" i="1" s="1"/>
  <c r="GY268" i="1" s="1"/>
  <c r="I268" i="2" s="1"/>
  <c r="GM142" i="1"/>
  <c r="GN142" i="1" s="1"/>
  <c r="GO142" i="1" s="1"/>
  <c r="GR142" i="1" s="1"/>
  <c r="GV142" i="1" s="1"/>
  <c r="GW142" i="1" s="1"/>
  <c r="GX142" i="1" s="1"/>
  <c r="GY142" i="1" s="1"/>
  <c r="I142" i="2" s="1"/>
  <c r="GM94" i="1"/>
  <c r="GN94" i="1" s="1"/>
  <c r="GO94" i="1" s="1"/>
  <c r="GR94" i="1" s="1"/>
  <c r="GV94" i="1" s="1"/>
  <c r="GW94" i="1" s="1"/>
  <c r="GX94" i="1" s="1"/>
  <c r="GY94" i="1" s="1"/>
  <c r="I94" i="2" s="1"/>
  <c r="FR208" i="1"/>
  <c r="FS208" i="1" s="1"/>
  <c r="FT208" i="1" s="1"/>
  <c r="FU208" i="1" s="1"/>
  <c r="FW208" i="1" s="1"/>
  <c r="FR73" i="1"/>
  <c r="FS73" i="1" s="1"/>
  <c r="FT73" i="1" s="1"/>
  <c r="FU73" i="1" s="1"/>
  <c r="FW73" i="1" s="1"/>
  <c r="FR288" i="1"/>
  <c r="FS288" i="1" s="1"/>
  <c r="FT288" i="1" s="1"/>
  <c r="FU288" i="1" s="1"/>
  <c r="FW288" i="1" s="1"/>
  <c r="FR72" i="1"/>
  <c r="FS72" i="1" s="1"/>
  <c r="FT72" i="1" s="1"/>
  <c r="FU72" i="1" s="1"/>
  <c r="FW72" i="1" s="1"/>
  <c r="FR43" i="1"/>
  <c r="FS43" i="1" s="1"/>
  <c r="FT43" i="1" s="1"/>
  <c r="FU43" i="1" s="1"/>
  <c r="FW43" i="1" s="1"/>
  <c r="FR156" i="1"/>
  <c r="FS156" i="1" s="1"/>
  <c r="FT156" i="1" s="1"/>
  <c r="FU156" i="1" s="1"/>
  <c r="FW156" i="1" s="1"/>
  <c r="FR127" i="1"/>
  <c r="FS127" i="1" s="1"/>
  <c r="FT127" i="1" s="1"/>
  <c r="FU127" i="1" s="1"/>
  <c r="FW127" i="1" s="1"/>
  <c r="FR175" i="1"/>
  <c r="FS175" i="1" s="1"/>
  <c r="FT175" i="1" s="1"/>
  <c r="FU175" i="1" s="1"/>
  <c r="FW175" i="1" s="1"/>
  <c r="GM291" i="1"/>
  <c r="GN291" i="1" s="1"/>
  <c r="GO291" i="1" s="1"/>
  <c r="GR291" i="1" s="1"/>
  <c r="GV291" i="1" s="1"/>
  <c r="GW291" i="1" s="1"/>
  <c r="GX291" i="1" s="1"/>
  <c r="GY291" i="1" s="1"/>
  <c r="I291" i="2" s="1"/>
  <c r="GM3" i="1"/>
  <c r="GN3" i="1" s="1"/>
  <c r="GO3" i="1" s="1"/>
  <c r="GR3" i="1" s="1"/>
  <c r="GV3" i="1" s="1"/>
  <c r="GW3" i="1" s="1"/>
  <c r="GX3" i="1" s="1"/>
  <c r="GY3" i="1" s="1"/>
  <c r="I3" i="2" s="1"/>
  <c r="GM23" i="1"/>
  <c r="GN23" i="1" s="1"/>
  <c r="GO23" i="1" s="1"/>
  <c r="GR23" i="1" s="1"/>
  <c r="GV23" i="1" s="1"/>
  <c r="GW23" i="1" s="1"/>
  <c r="GX23" i="1" s="1"/>
  <c r="GY23" i="1" s="1"/>
  <c r="I23" i="2" s="1"/>
  <c r="GM104" i="1"/>
  <c r="GN104" i="1" s="1"/>
  <c r="GO104" i="1" s="1"/>
  <c r="GR104" i="1" s="1"/>
  <c r="GV104" i="1" s="1"/>
  <c r="GW104" i="1" s="1"/>
  <c r="GX104" i="1" s="1"/>
  <c r="GY104" i="1" s="1"/>
  <c r="I104" i="2" s="1"/>
  <c r="GM84" i="1"/>
  <c r="GN84" i="1" s="1"/>
  <c r="GO84" i="1" s="1"/>
  <c r="GR84" i="1" s="1"/>
  <c r="GV84" i="1" s="1"/>
  <c r="GW84" i="1" s="1"/>
  <c r="GX84" i="1" s="1"/>
  <c r="GY84" i="1" s="1"/>
  <c r="I84" i="2" s="1"/>
  <c r="GO107" i="1"/>
  <c r="GR107" i="1" s="1"/>
  <c r="GV107" i="1" s="1"/>
  <c r="GW107" i="1" s="1"/>
  <c r="GX107" i="1" s="1"/>
  <c r="GY107" i="1" s="1"/>
  <c r="I107" i="2" s="1"/>
  <c r="GM116" i="1"/>
  <c r="GN116" i="1" s="1"/>
  <c r="GO116" i="1" s="1"/>
  <c r="GR116" i="1" s="1"/>
  <c r="GV116" i="1" s="1"/>
  <c r="GW116" i="1" s="1"/>
  <c r="GX116" i="1" s="1"/>
  <c r="GY116" i="1" s="1"/>
  <c r="I116" i="2" s="1"/>
  <c r="GM21" i="1"/>
  <c r="GN21" i="1" s="1"/>
  <c r="GO21" i="1" s="1"/>
  <c r="GR21" i="1" s="1"/>
  <c r="GV21" i="1" s="1"/>
  <c r="GW21" i="1" s="1"/>
  <c r="GX21" i="1" s="1"/>
  <c r="GY21" i="1" s="1"/>
  <c r="I21" i="2" s="1"/>
  <c r="GM224" i="1"/>
  <c r="GN224" i="1" s="1"/>
  <c r="GO224" i="1" s="1"/>
  <c r="GR224" i="1" s="1"/>
  <c r="GV224" i="1" s="1"/>
  <c r="GW224" i="1" s="1"/>
  <c r="GX224" i="1" s="1"/>
  <c r="GY224" i="1" s="1"/>
  <c r="I224" i="2" s="1"/>
  <c r="GM169" i="1"/>
  <c r="GN169" i="1" s="1"/>
  <c r="GO169" i="1" s="1"/>
  <c r="GR169" i="1" s="1"/>
  <c r="GV169" i="1" s="1"/>
  <c r="GW169" i="1" s="1"/>
  <c r="GX169" i="1" s="1"/>
  <c r="GY169" i="1" s="1"/>
  <c r="I169" i="2" s="1"/>
  <c r="GM163" i="1"/>
  <c r="GN163" i="1" s="1"/>
  <c r="GO163" i="1" s="1"/>
  <c r="GR163" i="1" s="1"/>
  <c r="GV163" i="1" s="1"/>
  <c r="GW163" i="1" s="1"/>
  <c r="GX163" i="1" s="1"/>
  <c r="GY163" i="1" s="1"/>
  <c r="I163" i="2" s="1"/>
  <c r="FR80" i="1"/>
  <c r="FS80" i="1" s="1"/>
  <c r="FT80" i="1" s="1"/>
  <c r="FU80" i="1" s="1"/>
  <c r="FW80" i="1" s="1"/>
  <c r="GM190" i="1"/>
  <c r="GN190" i="1" s="1"/>
  <c r="GO190" i="1" s="1"/>
  <c r="GR190" i="1" s="1"/>
  <c r="GV190" i="1" s="1"/>
  <c r="GW190" i="1" s="1"/>
  <c r="GX190" i="1" s="1"/>
  <c r="GY190" i="1" s="1"/>
  <c r="I190" i="2" s="1"/>
  <c r="GM300" i="1"/>
  <c r="GN300" i="1" s="1"/>
  <c r="GO300" i="1" s="1"/>
  <c r="GR300" i="1" s="1"/>
  <c r="GV300" i="1" s="1"/>
  <c r="GW300" i="1" s="1"/>
  <c r="GX300" i="1" s="1"/>
  <c r="GY300" i="1" s="1"/>
  <c r="I300" i="2" s="1"/>
  <c r="GM81" i="1"/>
  <c r="GN81" i="1" s="1"/>
  <c r="GO81" i="1" s="1"/>
  <c r="GR81" i="1" s="1"/>
  <c r="GV81" i="1" s="1"/>
  <c r="GW81" i="1" s="1"/>
  <c r="GX81" i="1" s="1"/>
  <c r="GY81" i="1" s="1"/>
  <c r="I81" i="2" s="1"/>
  <c r="FR146" i="1"/>
  <c r="FS146" i="1" s="1"/>
  <c r="FT146" i="1" s="1"/>
  <c r="FU146" i="1" s="1"/>
  <c r="FW146" i="1" s="1"/>
  <c r="FR115" i="1"/>
  <c r="FS115" i="1" s="1"/>
  <c r="FT115" i="1" s="1"/>
  <c r="FU115" i="1" s="1"/>
  <c r="FW115" i="1" s="1"/>
  <c r="FR310" i="1"/>
  <c r="FS310" i="1" s="1"/>
  <c r="FT310" i="1" s="1"/>
  <c r="FU310" i="1" s="1"/>
  <c r="FW310" i="1" s="1"/>
  <c r="FR33" i="1"/>
  <c r="FS33" i="1" s="1"/>
  <c r="FT33" i="1" s="1"/>
  <c r="FU33" i="1" s="1"/>
  <c r="FW33" i="1" s="1"/>
  <c r="FR297" i="1"/>
  <c r="FS297" i="1" s="1"/>
  <c r="FT297" i="1" s="1"/>
  <c r="FU297" i="1" s="1"/>
  <c r="FW297" i="1" s="1"/>
  <c r="FR16" i="1"/>
  <c r="FS16" i="1" s="1"/>
  <c r="FT16" i="1" s="1"/>
  <c r="FU16" i="1" s="1"/>
  <c r="FW16" i="1" s="1"/>
  <c r="GM308" i="1"/>
  <c r="GN308" i="1" s="1"/>
  <c r="GO308" i="1" s="1"/>
  <c r="GR308" i="1" s="1"/>
  <c r="GV308" i="1" s="1"/>
  <c r="GW308" i="1" s="1"/>
  <c r="GX308" i="1" s="1"/>
  <c r="GY308" i="1" s="1"/>
  <c r="I308" i="2" s="1"/>
  <c r="GM254" i="1"/>
  <c r="GN254" i="1" s="1"/>
  <c r="GO254" i="1" s="1"/>
  <c r="GR254" i="1" s="1"/>
  <c r="GV254" i="1" s="1"/>
  <c r="GW254" i="1" s="1"/>
  <c r="GX254" i="1" s="1"/>
  <c r="GY254" i="1" s="1"/>
  <c r="I254" i="2" s="1"/>
  <c r="GM278" i="1"/>
  <c r="GN278" i="1" s="1"/>
  <c r="GO278" i="1" s="1"/>
  <c r="GR278" i="1" s="1"/>
  <c r="GV278" i="1" s="1"/>
  <c r="GW278" i="1" s="1"/>
  <c r="GX278" i="1" s="1"/>
  <c r="GY278" i="1" s="1"/>
  <c r="I278" i="2" s="1"/>
  <c r="GM119" i="1"/>
  <c r="GN119" i="1" s="1"/>
  <c r="GO119" i="1" s="1"/>
  <c r="GR119" i="1" s="1"/>
  <c r="GV119" i="1" s="1"/>
  <c r="GW119" i="1" s="1"/>
  <c r="GX119" i="1" s="1"/>
  <c r="GY119" i="1" s="1"/>
  <c r="I119" i="2" s="1"/>
  <c r="GM262" i="1"/>
  <c r="GN262" i="1" s="1"/>
  <c r="GO262" i="1" s="1"/>
  <c r="GR262" i="1" s="1"/>
  <c r="GV262" i="1" s="1"/>
  <c r="GW262" i="1" s="1"/>
  <c r="GX262" i="1" s="1"/>
  <c r="GY262" i="1" s="1"/>
  <c r="I262" i="2" s="1"/>
  <c r="GM31" i="1"/>
  <c r="GN31" i="1" s="1"/>
  <c r="GO31" i="1" s="1"/>
  <c r="GR31" i="1" s="1"/>
  <c r="GV31" i="1" s="1"/>
  <c r="GW31" i="1" s="1"/>
  <c r="GX31" i="1" s="1"/>
  <c r="GY31" i="1" s="1"/>
  <c r="I31" i="2" s="1"/>
  <c r="GM65" i="1"/>
  <c r="GN65" i="1" s="1"/>
  <c r="GO65" i="1" s="1"/>
  <c r="GR65" i="1" s="1"/>
  <c r="GV65" i="1" s="1"/>
  <c r="GW65" i="1" s="1"/>
  <c r="GX65" i="1" s="1"/>
  <c r="GY65" i="1" s="1"/>
  <c r="I65" i="2" s="1"/>
  <c r="GM112" i="1"/>
  <c r="GN112" i="1" s="1"/>
  <c r="GO112" i="1" s="1"/>
  <c r="GR112" i="1" s="1"/>
  <c r="GV112" i="1" s="1"/>
  <c r="GW112" i="1" s="1"/>
  <c r="GX112" i="1" s="1"/>
  <c r="GY112" i="1" s="1"/>
  <c r="I112" i="2" s="1"/>
  <c r="GM244" i="1"/>
  <c r="GN244" i="1" s="1"/>
  <c r="GO244" i="1" s="1"/>
  <c r="GR244" i="1" s="1"/>
  <c r="GV244" i="1" s="1"/>
  <c r="GW244" i="1" s="1"/>
  <c r="GX244" i="1" s="1"/>
  <c r="GY244" i="1" s="1"/>
  <c r="I244" i="2" s="1"/>
  <c r="GM260" i="1"/>
  <c r="GN260" i="1" s="1"/>
  <c r="GO260" i="1" s="1"/>
  <c r="GR260" i="1" s="1"/>
  <c r="GV260" i="1" s="1"/>
  <c r="GW260" i="1" s="1"/>
  <c r="GX260" i="1" s="1"/>
  <c r="GY260" i="1" s="1"/>
  <c r="I260" i="2" s="1"/>
  <c r="GM49" i="1"/>
  <c r="GN49" i="1" s="1"/>
  <c r="GO49" i="1" s="1"/>
  <c r="GR49" i="1" s="1"/>
  <c r="GV49" i="1" s="1"/>
  <c r="GW49" i="1" s="1"/>
  <c r="GX49" i="1" s="1"/>
  <c r="GY49" i="1" s="1"/>
  <c r="I49" i="2" s="1"/>
  <c r="GM259" i="1"/>
  <c r="GN259" i="1" s="1"/>
  <c r="GO259" i="1" s="1"/>
  <c r="GR259" i="1" s="1"/>
  <c r="GV259" i="1" s="1"/>
  <c r="GW259" i="1" s="1"/>
  <c r="GX259" i="1" s="1"/>
  <c r="GY259" i="1" s="1"/>
  <c r="I259" i="2" s="1"/>
  <c r="GM267" i="1"/>
  <c r="GN267" i="1" s="1"/>
  <c r="GO267" i="1" s="1"/>
  <c r="GR267" i="1" s="1"/>
  <c r="GV267" i="1" s="1"/>
  <c r="GW267" i="1" s="1"/>
  <c r="GX267" i="1" s="1"/>
  <c r="GY267" i="1" s="1"/>
  <c r="I267" i="2" s="1"/>
  <c r="GM217" i="1"/>
  <c r="GN217" i="1" s="1"/>
  <c r="GO217" i="1" s="1"/>
  <c r="GR217" i="1" s="1"/>
  <c r="GV217" i="1" s="1"/>
  <c r="GW217" i="1" s="1"/>
  <c r="GX217" i="1" s="1"/>
  <c r="GY217" i="1" s="1"/>
  <c r="I217" i="2" s="1"/>
  <c r="GD247" i="1"/>
  <c r="GM261" i="1"/>
  <c r="GN261" i="1" s="1"/>
  <c r="GO261" i="1" s="1"/>
  <c r="GR261" i="1" s="1"/>
  <c r="GV261" i="1" s="1"/>
  <c r="GW261" i="1" s="1"/>
  <c r="GX261" i="1" s="1"/>
  <c r="GY261" i="1" s="1"/>
  <c r="I261" i="2" s="1"/>
  <c r="GM131" i="1"/>
  <c r="GN131" i="1" s="1"/>
  <c r="GO131" i="1" s="1"/>
  <c r="GR131" i="1" s="1"/>
  <c r="GV131" i="1" s="1"/>
  <c r="GW131" i="1" s="1"/>
  <c r="GX131" i="1" s="1"/>
  <c r="GY131" i="1" s="1"/>
  <c r="I131" i="2" s="1"/>
  <c r="GM60" i="1"/>
  <c r="GN60" i="1" s="1"/>
  <c r="GO60" i="1" s="1"/>
  <c r="GR60" i="1" s="1"/>
  <c r="GV60" i="1" s="1"/>
  <c r="GW60" i="1" s="1"/>
  <c r="GX60" i="1" s="1"/>
  <c r="GY60" i="1" s="1"/>
  <c r="I60" i="2" s="1"/>
  <c r="GM283" i="1"/>
  <c r="GN283" i="1" s="1"/>
  <c r="GO283" i="1" s="1"/>
  <c r="GR283" i="1" s="1"/>
  <c r="GV283" i="1" s="1"/>
  <c r="GW283" i="1" s="1"/>
  <c r="GX283" i="1" s="1"/>
  <c r="GY283" i="1" s="1"/>
  <c r="I283" i="2" s="1"/>
  <c r="GM22" i="1"/>
  <c r="GN22" i="1" s="1"/>
  <c r="GO22" i="1" s="1"/>
  <c r="GR22" i="1" s="1"/>
  <c r="GV22" i="1" s="1"/>
  <c r="GW22" i="1" s="1"/>
  <c r="GX22" i="1" s="1"/>
  <c r="GY22" i="1" s="1"/>
  <c r="I22" i="2" s="1"/>
  <c r="GM95" i="1"/>
  <c r="GN95" i="1" s="1"/>
  <c r="GO95" i="1" s="1"/>
  <c r="GR95" i="1" s="1"/>
  <c r="GV95" i="1" s="1"/>
  <c r="GW95" i="1" s="1"/>
  <c r="GX95" i="1" s="1"/>
  <c r="GY95" i="1" s="1"/>
  <c r="I95" i="2" s="1"/>
  <c r="GM35" i="1"/>
  <c r="GN35" i="1" s="1"/>
  <c r="GO35" i="1" s="1"/>
  <c r="GR35" i="1" s="1"/>
  <c r="GV35" i="1" s="1"/>
  <c r="GW35" i="1" s="1"/>
  <c r="GX35" i="1" s="1"/>
  <c r="GY35" i="1" s="1"/>
  <c r="I35" i="2" s="1"/>
  <c r="GM230" i="1"/>
  <c r="GN230" i="1" s="1"/>
  <c r="GO230" i="1" s="1"/>
  <c r="GR230" i="1" s="1"/>
  <c r="GV230" i="1" s="1"/>
  <c r="GW230" i="1" s="1"/>
  <c r="GX230" i="1" s="1"/>
  <c r="GY230" i="1" s="1"/>
  <c r="I230" i="2" s="1"/>
  <c r="FR112" i="1"/>
  <c r="FS112" i="1" s="1"/>
  <c r="FT112" i="1" s="1"/>
  <c r="FU112" i="1" s="1"/>
  <c r="FW112" i="1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I106" i="2" s="1"/>
  <c r="GM301" i="1"/>
  <c r="GN301" i="1" s="1"/>
  <c r="GO301" i="1" s="1"/>
  <c r="GR301" i="1" s="1"/>
  <c r="GV301" i="1" s="1"/>
  <c r="GW301" i="1" s="1"/>
  <c r="GX301" i="1" s="1"/>
  <c r="GY301" i="1" s="1"/>
  <c r="I301" i="2" s="1"/>
  <c r="GM78" i="1"/>
  <c r="GN78" i="1" s="1"/>
  <c r="GO78" i="1" s="1"/>
  <c r="GR78" i="1" s="1"/>
  <c r="GV78" i="1" s="1"/>
  <c r="GW78" i="1" s="1"/>
  <c r="GX78" i="1" s="1"/>
  <c r="GY78" i="1" s="1"/>
  <c r="I78" i="2" s="1"/>
  <c r="GM187" i="1"/>
  <c r="GN187" i="1" s="1"/>
  <c r="GO187" i="1" s="1"/>
  <c r="GR187" i="1" s="1"/>
  <c r="GV187" i="1" s="1"/>
  <c r="GW187" i="1" s="1"/>
  <c r="GX187" i="1" s="1"/>
  <c r="GY187" i="1" s="1"/>
  <c r="I187" i="2" s="1"/>
  <c r="GM306" i="1"/>
  <c r="GN306" i="1" s="1"/>
  <c r="GO306" i="1" s="1"/>
  <c r="GR306" i="1" s="1"/>
  <c r="GV306" i="1" s="1"/>
  <c r="GW306" i="1" s="1"/>
  <c r="GX306" i="1" s="1"/>
  <c r="GY306" i="1" s="1"/>
  <c r="I306" i="2" s="1"/>
  <c r="GM207" i="1"/>
  <c r="GN207" i="1" s="1"/>
  <c r="GO207" i="1" s="1"/>
  <c r="GR207" i="1" s="1"/>
  <c r="GV207" i="1" s="1"/>
  <c r="GW207" i="1" s="1"/>
  <c r="GX207" i="1" s="1"/>
  <c r="GY207" i="1" s="1"/>
  <c r="I207" i="2" s="1"/>
  <c r="GM204" i="1"/>
  <c r="GN204" i="1" s="1"/>
  <c r="GO204" i="1" s="1"/>
  <c r="GR204" i="1" s="1"/>
  <c r="GV204" i="1" s="1"/>
  <c r="GW204" i="1" s="1"/>
  <c r="GX204" i="1" s="1"/>
  <c r="GY204" i="1" s="1"/>
  <c r="I204" i="2" s="1"/>
  <c r="GM219" i="1"/>
  <c r="GN219" i="1" s="1"/>
  <c r="GO219" i="1" s="1"/>
  <c r="GR219" i="1" s="1"/>
  <c r="GV219" i="1" s="1"/>
  <c r="GW219" i="1" s="1"/>
  <c r="GX219" i="1" s="1"/>
  <c r="GY219" i="1" s="1"/>
  <c r="I219" i="2" s="1"/>
  <c r="GM305" i="1"/>
  <c r="GN305" i="1" s="1"/>
  <c r="GO305" i="1" s="1"/>
  <c r="GR305" i="1" s="1"/>
  <c r="GV305" i="1" s="1"/>
  <c r="GW305" i="1" s="1"/>
  <c r="GX305" i="1" s="1"/>
  <c r="GY305" i="1" s="1"/>
  <c r="I305" i="2" s="1"/>
  <c r="GM37" i="1"/>
  <c r="GN37" i="1" s="1"/>
  <c r="GO37" i="1" s="1"/>
  <c r="GR37" i="1" s="1"/>
  <c r="GV37" i="1" s="1"/>
  <c r="GW37" i="1" s="1"/>
  <c r="GX37" i="1" s="1"/>
  <c r="GY37" i="1" s="1"/>
  <c r="I37" i="2" s="1"/>
  <c r="GM181" i="1"/>
  <c r="GN181" i="1" s="1"/>
  <c r="GO181" i="1" s="1"/>
  <c r="GR181" i="1" s="1"/>
  <c r="GV181" i="1" s="1"/>
  <c r="GW181" i="1" s="1"/>
  <c r="GX181" i="1" s="1"/>
  <c r="GY181" i="1" s="1"/>
  <c r="I181" i="2" s="1"/>
  <c r="GM38" i="1"/>
  <c r="GN38" i="1" s="1"/>
  <c r="GO38" i="1" s="1"/>
  <c r="GR38" i="1" s="1"/>
  <c r="GV38" i="1" s="1"/>
  <c r="GW38" i="1" s="1"/>
  <c r="GX38" i="1" s="1"/>
  <c r="GY38" i="1" s="1"/>
  <c r="I38" i="2" s="1"/>
  <c r="FR94" i="1"/>
  <c r="FS94" i="1" s="1"/>
  <c r="FT94" i="1" s="1"/>
  <c r="FU94" i="1" s="1"/>
  <c r="FW94" i="1" s="1"/>
  <c r="FR212" i="1"/>
  <c r="FS212" i="1" s="1"/>
  <c r="FT212" i="1" s="1"/>
  <c r="FU212" i="1" s="1"/>
  <c r="FW212" i="1" s="1"/>
  <c r="FR214" i="1"/>
  <c r="FS214" i="1" s="1"/>
  <c r="FT214" i="1" s="1"/>
  <c r="FU214" i="1" s="1"/>
  <c r="FW214" i="1" s="1"/>
  <c r="GM286" i="1"/>
  <c r="GN286" i="1" s="1"/>
  <c r="GO286" i="1" s="1"/>
  <c r="GR286" i="1" s="1"/>
  <c r="GV286" i="1" s="1"/>
  <c r="GW286" i="1" s="1"/>
  <c r="GX286" i="1" s="1"/>
  <c r="GY286" i="1" s="1"/>
  <c r="I286" i="2" s="1"/>
  <c r="GK42" i="1"/>
  <c r="GL42" i="1" s="1"/>
  <c r="FR77" i="1"/>
  <c r="FS77" i="1" s="1"/>
  <c r="FT77" i="1" s="1"/>
  <c r="FU77" i="1" s="1"/>
  <c r="FW77" i="1" s="1"/>
  <c r="FR48" i="1"/>
  <c r="FS48" i="1" s="1"/>
  <c r="FT48" i="1" s="1"/>
  <c r="FU48" i="1" s="1"/>
  <c r="FW48" i="1" s="1"/>
  <c r="GM216" i="1"/>
  <c r="GN216" i="1" s="1"/>
  <c r="GO216" i="1" s="1"/>
  <c r="GR216" i="1" s="1"/>
  <c r="GV216" i="1" s="1"/>
  <c r="GW216" i="1" s="1"/>
  <c r="GX216" i="1" s="1"/>
  <c r="GY216" i="1" s="1"/>
  <c r="I216" i="2" s="1"/>
  <c r="GM215" i="1"/>
  <c r="GN215" i="1" s="1"/>
  <c r="GO215" i="1" s="1"/>
  <c r="GR215" i="1" s="1"/>
  <c r="GV215" i="1" s="1"/>
  <c r="GW215" i="1" s="1"/>
  <c r="GX215" i="1" s="1"/>
  <c r="GY215" i="1" s="1"/>
  <c r="I215" i="2" s="1"/>
  <c r="GM257" i="1"/>
  <c r="GN257" i="1" s="1"/>
  <c r="GO257" i="1" s="1"/>
  <c r="GR257" i="1" s="1"/>
  <c r="GV257" i="1" s="1"/>
  <c r="GW257" i="1" s="1"/>
  <c r="GX257" i="1" s="1"/>
  <c r="GY257" i="1" s="1"/>
  <c r="I257" i="2" s="1"/>
  <c r="GM157" i="1"/>
  <c r="GN157" i="1" s="1"/>
  <c r="GO157" i="1" s="1"/>
  <c r="GR157" i="1" s="1"/>
  <c r="GV157" i="1" s="1"/>
  <c r="GW157" i="1" s="1"/>
  <c r="GX157" i="1" s="1"/>
  <c r="GY157" i="1" s="1"/>
  <c r="I157" i="2" s="1"/>
  <c r="FR260" i="1"/>
  <c r="FS260" i="1" s="1"/>
  <c r="FT260" i="1" s="1"/>
  <c r="FU260" i="1" s="1"/>
  <c r="FW260" i="1" s="1"/>
  <c r="GM90" i="1"/>
  <c r="GN90" i="1" s="1"/>
  <c r="GO90" i="1" s="1"/>
  <c r="GR90" i="1" s="1"/>
  <c r="GV90" i="1" s="1"/>
  <c r="GW90" i="1" s="1"/>
  <c r="GX90" i="1" s="1"/>
  <c r="GY90" i="1" s="1"/>
  <c r="I90" i="2" s="1"/>
  <c r="GM127" i="1"/>
  <c r="GN127" i="1" s="1"/>
  <c r="GO127" i="1" s="1"/>
  <c r="GR127" i="1" s="1"/>
  <c r="GV127" i="1" s="1"/>
  <c r="GW127" i="1" s="1"/>
  <c r="GX127" i="1" s="1"/>
  <c r="GY127" i="1" s="1"/>
  <c r="I127" i="2" s="1"/>
  <c r="GM162" i="1"/>
  <c r="GN162" i="1" s="1"/>
  <c r="GO162" i="1" s="1"/>
  <c r="GR162" i="1" s="1"/>
  <c r="GV162" i="1" s="1"/>
  <c r="GW162" i="1" s="1"/>
  <c r="GX162" i="1" s="1"/>
  <c r="GY162" i="1" s="1"/>
  <c r="I162" i="2" s="1"/>
  <c r="GM69" i="1"/>
  <c r="GN69" i="1" s="1"/>
  <c r="GO69" i="1" s="1"/>
  <c r="GR69" i="1" s="1"/>
  <c r="GV69" i="1" s="1"/>
  <c r="GW69" i="1" s="1"/>
  <c r="GX69" i="1" s="1"/>
  <c r="GY69" i="1" s="1"/>
  <c r="I69" i="2" s="1"/>
  <c r="GM141" i="1"/>
  <c r="GN141" i="1" s="1"/>
  <c r="GO141" i="1" s="1"/>
  <c r="GR141" i="1" s="1"/>
  <c r="GV141" i="1" s="1"/>
  <c r="GW141" i="1" s="1"/>
  <c r="GX141" i="1" s="1"/>
  <c r="GY141" i="1" s="1"/>
  <c r="I141" i="2" s="1"/>
  <c r="GM86" i="1"/>
  <c r="GN86" i="1" s="1"/>
  <c r="GO86" i="1" s="1"/>
  <c r="GR86" i="1" s="1"/>
  <c r="GV86" i="1" s="1"/>
  <c r="GW86" i="1" s="1"/>
  <c r="GX86" i="1" s="1"/>
  <c r="GY86" i="1" s="1"/>
  <c r="I86" i="2" s="1"/>
  <c r="GM285" i="1"/>
  <c r="GN285" i="1" s="1"/>
  <c r="GO285" i="1" s="1"/>
  <c r="GR285" i="1" s="1"/>
  <c r="GV285" i="1" s="1"/>
  <c r="GW285" i="1" s="1"/>
  <c r="GX285" i="1" s="1"/>
  <c r="GY285" i="1" s="1"/>
  <c r="I285" i="2" s="1"/>
  <c r="GM11" i="1"/>
  <c r="GN11" i="1" s="1"/>
  <c r="GO11" i="1" s="1"/>
  <c r="GR11" i="1" s="1"/>
  <c r="GV11" i="1" s="1"/>
  <c r="GW11" i="1" s="1"/>
  <c r="GX11" i="1" s="1"/>
  <c r="GY11" i="1" s="1"/>
  <c r="I11" i="2" s="1"/>
  <c r="FR71" i="1"/>
  <c r="FS71" i="1" s="1"/>
  <c r="FT71" i="1" s="1"/>
  <c r="FU71" i="1" s="1"/>
  <c r="FW71" i="1" s="1"/>
  <c r="FR87" i="1"/>
  <c r="FS87" i="1" s="1"/>
  <c r="FT87" i="1" s="1"/>
  <c r="FU87" i="1" s="1"/>
  <c r="FW87" i="1" s="1"/>
  <c r="GM240" i="1"/>
  <c r="GN240" i="1" s="1"/>
  <c r="GO240" i="1" s="1"/>
  <c r="GR240" i="1" s="1"/>
  <c r="GV240" i="1" s="1"/>
  <c r="GW240" i="1" s="1"/>
  <c r="GX240" i="1" s="1"/>
  <c r="GY240" i="1" s="1"/>
  <c r="I240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I152" i="2" s="1"/>
  <c r="GM41" i="1"/>
  <c r="GN41" i="1" s="1"/>
  <c r="GO41" i="1" s="1"/>
  <c r="GR41" i="1" s="1"/>
  <c r="GV41" i="1" s="1"/>
  <c r="GW41" i="1" s="1"/>
  <c r="GX41" i="1" s="1"/>
  <c r="GY41" i="1" s="1"/>
  <c r="I41" i="2" s="1"/>
  <c r="GM28" i="1"/>
  <c r="GN28" i="1" s="1"/>
  <c r="GO28" i="1" s="1"/>
  <c r="GR28" i="1" s="1"/>
  <c r="GV28" i="1" s="1"/>
  <c r="GW28" i="1" s="1"/>
  <c r="GX28" i="1" s="1"/>
  <c r="GY28" i="1" s="1"/>
  <c r="I28" i="2" s="1"/>
  <c r="GM16" i="1"/>
  <c r="GN16" i="1" s="1"/>
  <c r="GO16" i="1" s="1"/>
  <c r="GR16" i="1" s="1"/>
  <c r="GV16" i="1" s="1"/>
  <c r="GW16" i="1" s="1"/>
  <c r="GX16" i="1" s="1"/>
  <c r="GY16" i="1" s="1"/>
  <c r="I16" i="2" s="1"/>
  <c r="GM160" i="1"/>
  <c r="GN160" i="1" s="1"/>
  <c r="GO160" i="1" s="1"/>
  <c r="GR160" i="1" s="1"/>
  <c r="GV160" i="1" s="1"/>
  <c r="GW160" i="1" s="1"/>
  <c r="GX160" i="1" s="1"/>
  <c r="GY160" i="1" s="1"/>
  <c r="I160" i="2" s="1"/>
  <c r="GM167" i="1"/>
  <c r="GN167" i="1" s="1"/>
  <c r="GO167" i="1" s="1"/>
  <c r="GR167" i="1" s="1"/>
  <c r="GV167" i="1" s="1"/>
  <c r="GW167" i="1" s="1"/>
  <c r="GX167" i="1" s="1"/>
  <c r="GY167" i="1" s="1"/>
  <c r="I167" i="2" s="1"/>
  <c r="GM256" i="1"/>
  <c r="GN256" i="1" s="1"/>
  <c r="GO256" i="1" s="1"/>
  <c r="GR256" i="1" s="1"/>
  <c r="GV256" i="1" s="1"/>
  <c r="GW256" i="1" s="1"/>
  <c r="GX256" i="1" s="1"/>
  <c r="GY256" i="1" s="1"/>
  <c r="I256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I176" i="2" s="1"/>
  <c r="GM223" i="1"/>
  <c r="GN223" i="1" s="1"/>
  <c r="GO223" i="1" s="1"/>
  <c r="GR223" i="1" s="1"/>
  <c r="GV223" i="1" s="1"/>
  <c r="GW223" i="1" s="1"/>
  <c r="GX223" i="1" s="1"/>
  <c r="GY223" i="1" s="1"/>
  <c r="I223" i="2" s="1"/>
  <c r="GM139" i="1"/>
  <c r="GN139" i="1" s="1"/>
  <c r="GO139" i="1" s="1"/>
  <c r="GR139" i="1" s="1"/>
  <c r="GV139" i="1" s="1"/>
  <c r="GW139" i="1" s="1"/>
  <c r="GX139" i="1" s="1"/>
  <c r="GY139" i="1" s="1"/>
  <c r="I139" i="2" s="1"/>
  <c r="GM52" i="1"/>
  <c r="GN52" i="1" s="1"/>
  <c r="GO52" i="1" s="1"/>
  <c r="GR52" i="1" s="1"/>
  <c r="GV52" i="1" s="1"/>
  <c r="GW52" i="1" s="1"/>
  <c r="GX52" i="1" s="1"/>
  <c r="GY52" i="1" s="1"/>
  <c r="I52" i="2" s="1"/>
  <c r="GM183" i="1"/>
  <c r="GN183" i="1" s="1"/>
  <c r="GO183" i="1" s="1"/>
  <c r="GR183" i="1" s="1"/>
  <c r="GV183" i="1" s="1"/>
  <c r="GW183" i="1" s="1"/>
  <c r="GX183" i="1" s="1"/>
  <c r="GY183" i="1" s="1"/>
  <c r="I183" i="2" s="1"/>
  <c r="GM282" i="1"/>
  <c r="GN282" i="1" s="1"/>
  <c r="GO282" i="1" s="1"/>
  <c r="GR282" i="1" s="1"/>
  <c r="GV282" i="1" s="1"/>
  <c r="GW282" i="1" s="1"/>
  <c r="GX282" i="1" s="1"/>
  <c r="GY282" i="1" s="1"/>
  <c r="I282" i="2" s="1"/>
  <c r="FR247" i="1"/>
  <c r="FS247" i="1" s="1"/>
  <c r="FT247" i="1" s="1"/>
  <c r="FU247" i="1" s="1"/>
  <c r="FW247" i="1" s="1"/>
  <c r="FR228" i="1"/>
  <c r="FS228" i="1" s="1"/>
  <c r="FT228" i="1" s="1"/>
  <c r="FU228" i="1" s="1"/>
  <c r="FW228" i="1" s="1"/>
  <c r="FR154" i="1"/>
  <c r="FS154" i="1" s="1"/>
  <c r="FT154" i="1" s="1"/>
  <c r="FU154" i="1" s="1"/>
  <c r="FW154" i="1" s="1"/>
  <c r="FR101" i="1"/>
  <c r="FS101" i="1" s="1"/>
  <c r="FT101" i="1" s="1"/>
  <c r="FU101" i="1" s="1"/>
  <c r="FW101" i="1" s="1"/>
  <c r="FR83" i="1"/>
  <c r="FS83" i="1" s="1"/>
  <c r="FT83" i="1" s="1"/>
  <c r="FU83" i="1" s="1"/>
  <c r="FW83" i="1" s="1"/>
  <c r="GM233" i="1"/>
  <c r="GN233" i="1" s="1"/>
  <c r="GO233" i="1" s="1"/>
  <c r="GR233" i="1" s="1"/>
  <c r="GV233" i="1" s="1"/>
  <c r="GW233" i="1" s="1"/>
  <c r="GX233" i="1" s="1"/>
  <c r="GY233" i="1" s="1"/>
  <c r="I233" i="2" s="1"/>
  <c r="GM101" i="1"/>
  <c r="GN101" i="1" s="1"/>
  <c r="GO101" i="1" s="1"/>
  <c r="GR101" i="1" s="1"/>
  <c r="GV101" i="1" s="1"/>
  <c r="GW101" i="1" s="1"/>
  <c r="GX101" i="1" s="1"/>
  <c r="GY101" i="1" s="1"/>
  <c r="I101" i="2" s="1"/>
  <c r="GM180" i="1"/>
  <c r="GN180" i="1" s="1"/>
  <c r="GO180" i="1" s="1"/>
  <c r="GR180" i="1" s="1"/>
  <c r="GV180" i="1" s="1"/>
  <c r="GW180" i="1" s="1"/>
  <c r="GX180" i="1" s="1"/>
  <c r="GY180" i="1" s="1"/>
  <c r="I180" i="2" s="1"/>
  <c r="GM15" i="1"/>
  <c r="GN15" i="1" s="1"/>
  <c r="GO15" i="1" s="1"/>
  <c r="GR15" i="1" s="1"/>
  <c r="GV15" i="1" s="1"/>
  <c r="GW15" i="1" s="1"/>
  <c r="GX15" i="1" s="1"/>
  <c r="GY15" i="1" s="1"/>
  <c r="I15" i="2" s="1"/>
  <c r="GM36" i="1"/>
  <c r="GN36" i="1" s="1"/>
  <c r="GO36" i="1" s="1"/>
  <c r="GR36" i="1" s="1"/>
  <c r="GV36" i="1" s="1"/>
  <c r="GW36" i="1" s="1"/>
  <c r="GX36" i="1" s="1"/>
  <c r="GY36" i="1" s="1"/>
  <c r="I36" i="2" s="1"/>
  <c r="GM248" i="1"/>
  <c r="GN248" i="1" s="1"/>
  <c r="GO248" i="1" s="1"/>
  <c r="GR248" i="1" s="1"/>
  <c r="GV248" i="1" s="1"/>
  <c r="GW248" i="1" s="1"/>
  <c r="GX248" i="1" s="1"/>
  <c r="GY248" i="1" s="1"/>
  <c r="I248" i="2" s="1"/>
  <c r="FR74" i="1"/>
  <c r="FS74" i="1" s="1"/>
  <c r="FT74" i="1" s="1"/>
  <c r="FU74" i="1" s="1"/>
  <c r="FW74" i="1" s="1"/>
  <c r="FR261" i="1"/>
  <c r="FS261" i="1" s="1"/>
  <c r="FT261" i="1" s="1"/>
  <c r="FU261" i="1" s="1"/>
  <c r="FW261" i="1" s="1"/>
  <c r="FR241" i="1"/>
  <c r="FS241" i="1" s="1"/>
  <c r="FT241" i="1" s="1"/>
  <c r="FU241" i="1" s="1"/>
  <c r="FW241" i="1" s="1"/>
  <c r="FR276" i="1"/>
  <c r="FS276" i="1" s="1"/>
  <c r="FT276" i="1" s="1"/>
  <c r="FU276" i="1" s="1"/>
  <c r="FW276" i="1" s="1"/>
  <c r="FR194" i="1"/>
  <c r="FS194" i="1" s="1"/>
  <c r="FT194" i="1" s="1"/>
  <c r="FU194" i="1" s="1"/>
  <c r="FW194" i="1" s="1"/>
  <c r="FR204" i="1"/>
  <c r="FS204" i="1" s="1"/>
  <c r="FT204" i="1" s="1"/>
  <c r="FU204" i="1" s="1"/>
  <c r="FW204" i="1" s="1"/>
  <c r="GM138" i="1"/>
  <c r="GN138" i="1" s="1"/>
  <c r="GO138" i="1" s="1"/>
  <c r="GR138" i="1" s="1"/>
  <c r="GV138" i="1" s="1"/>
  <c r="GW138" i="1" s="1"/>
  <c r="GX138" i="1" s="1"/>
  <c r="GY138" i="1" s="1"/>
  <c r="I138" i="2" s="1"/>
  <c r="GM6" i="1"/>
  <c r="GN6" i="1" s="1"/>
  <c r="GO6" i="1" s="1"/>
  <c r="GR6" i="1" s="1"/>
  <c r="GV6" i="1" s="1"/>
  <c r="GW6" i="1" s="1"/>
  <c r="GX6" i="1" s="1"/>
  <c r="GY6" i="1" s="1"/>
  <c r="I6" i="2" s="1"/>
  <c r="GM66" i="1"/>
  <c r="GN66" i="1" s="1"/>
  <c r="GO66" i="1" s="1"/>
  <c r="GR66" i="1" s="1"/>
  <c r="GV66" i="1" s="1"/>
  <c r="GW66" i="1" s="1"/>
  <c r="GX66" i="1" s="1"/>
  <c r="GY66" i="1" s="1"/>
  <c r="I66" i="2" s="1"/>
  <c r="GM245" i="1"/>
  <c r="GN245" i="1" s="1"/>
  <c r="GO245" i="1" s="1"/>
  <c r="GR245" i="1" s="1"/>
  <c r="GV245" i="1" s="1"/>
  <c r="GW245" i="1" s="1"/>
  <c r="GX245" i="1" s="1"/>
  <c r="GY245" i="1" s="1"/>
  <c r="I245" i="2" s="1"/>
  <c r="GM299" i="1"/>
  <c r="GN299" i="1" s="1"/>
  <c r="GO299" i="1" s="1"/>
  <c r="GR299" i="1" s="1"/>
  <c r="GV299" i="1" s="1"/>
  <c r="GW299" i="1" s="1"/>
  <c r="GX299" i="1" s="1"/>
  <c r="GY299" i="1" s="1"/>
  <c r="I299" i="2" s="1"/>
  <c r="GM177" i="1"/>
  <c r="GN177" i="1" s="1"/>
  <c r="GO177" i="1" s="1"/>
  <c r="GR177" i="1" s="1"/>
  <c r="GV177" i="1" s="1"/>
  <c r="GW177" i="1" s="1"/>
  <c r="GX177" i="1" s="1"/>
  <c r="GY177" i="1" s="1"/>
  <c r="I177" i="2" s="1"/>
  <c r="GM310" i="1"/>
  <c r="GN310" i="1" s="1"/>
  <c r="GO310" i="1" s="1"/>
  <c r="GR310" i="1" s="1"/>
  <c r="GV310" i="1" s="1"/>
  <c r="GW310" i="1" s="1"/>
  <c r="GX310" i="1" s="1"/>
  <c r="GY310" i="1" s="1"/>
  <c r="I310" i="2" s="1"/>
  <c r="GM289" i="1"/>
  <c r="GN289" i="1" s="1"/>
  <c r="GO289" i="1" s="1"/>
  <c r="GR289" i="1" s="1"/>
  <c r="GV289" i="1" s="1"/>
  <c r="GW289" i="1" s="1"/>
  <c r="GX289" i="1" s="1"/>
  <c r="GY289" i="1" s="1"/>
  <c r="I289" i="2" s="1"/>
  <c r="GM208" i="1"/>
  <c r="GN208" i="1" s="1"/>
  <c r="GO208" i="1" s="1"/>
  <c r="GR208" i="1" s="1"/>
  <c r="GV208" i="1" s="1"/>
  <c r="GW208" i="1" s="1"/>
  <c r="GX208" i="1" s="1"/>
  <c r="GY208" i="1" s="1"/>
  <c r="I208" i="2" s="1"/>
  <c r="GM70" i="1"/>
  <c r="GN70" i="1" s="1"/>
  <c r="GO70" i="1" s="1"/>
  <c r="GR70" i="1" s="1"/>
  <c r="GV70" i="1" s="1"/>
  <c r="GW70" i="1" s="1"/>
  <c r="GX70" i="1" s="1"/>
  <c r="GY70" i="1" s="1"/>
  <c r="I70" i="2" s="1"/>
  <c r="FR166" i="1"/>
  <c r="FS166" i="1" s="1"/>
  <c r="FT166" i="1" s="1"/>
  <c r="FU166" i="1" s="1"/>
  <c r="FW166" i="1" s="1"/>
  <c r="FR145" i="1"/>
  <c r="FS145" i="1" s="1"/>
  <c r="FT145" i="1" s="1"/>
  <c r="FU145" i="1" s="1"/>
  <c r="FW145" i="1" s="1"/>
  <c r="FR250" i="1"/>
  <c r="FS250" i="1" s="1"/>
  <c r="FT250" i="1" s="1"/>
  <c r="FU250" i="1" s="1"/>
  <c r="FW250" i="1" s="1"/>
  <c r="GM182" i="1"/>
  <c r="GN182" i="1" s="1"/>
  <c r="GO182" i="1" s="1"/>
  <c r="GR182" i="1" s="1"/>
  <c r="GV182" i="1" s="1"/>
  <c r="GW182" i="1" s="1"/>
  <c r="GX182" i="1" s="1"/>
  <c r="GY182" i="1" s="1"/>
  <c r="I182" i="2" s="1"/>
  <c r="GM236" i="1"/>
  <c r="GN236" i="1" s="1"/>
  <c r="GO236" i="1" s="1"/>
  <c r="GR236" i="1" s="1"/>
  <c r="GV236" i="1" s="1"/>
  <c r="GW236" i="1" s="1"/>
  <c r="GX236" i="1" s="1"/>
  <c r="GY236" i="1" s="1"/>
  <c r="I236" i="2" s="1"/>
  <c r="GM98" i="1"/>
  <c r="GN98" i="1" s="1"/>
  <c r="GO98" i="1" s="1"/>
  <c r="GR98" i="1" s="1"/>
  <c r="GV98" i="1" s="1"/>
  <c r="GW98" i="1" s="1"/>
  <c r="GX98" i="1" s="1"/>
  <c r="GY98" i="1" s="1"/>
  <c r="I98" i="2" s="1"/>
  <c r="GM311" i="1"/>
  <c r="GN311" i="1" s="1"/>
  <c r="GO311" i="1" s="1"/>
  <c r="GR311" i="1" s="1"/>
  <c r="GV311" i="1" s="1"/>
  <c r="GW311" i="1" s="1"/>
  <c r="GX311" i="1" s="1"/>
  <c r="GY311" i="1" s="1"/>
  <c r="I311" i="2" s="1"/>
  <c r="GM50" i="1"/>
  <c r="GN50" i="1" s="1"/>
  <c r="GO50" i="1" s="1"/>
  <c r="GR50" i="1" s="1"/>
  <c r="GV50" i="1" s="1"/>
  <c r="GW50" i="1" s="1"/>
  <c r="GX50" i="1" s="1"/>
  <c r="GY50" i="1" s="1"/>
  <c r="I50" i="2" s="1"/>
  <c r="GM83" i="1"/>
  <c r="GN83" i="1" s="1"/>
  <c r="GO83" i="1" s="1"/>
  <c r="GR83" i="1" s="1"/>
  <c r="GV83" i="1" s="1"/>
  <c r="GW83" i="1" s="1"/>
  <c r="GX83" i="1" s="1"/>
  <c r="GY83" i="1" s="1"/>
  <c r="I83" i="2" s="1"/>
  <c r="GM249" i="1"/>
  <c r="GN249" i="1" s="1"/>
  <c r="GO249" i="1" s="1"/>
  <c r="GR249" i="1" s="1"/>
  <c r="GV249" i="1" s="1"/>
  <c r="GW249" i="1" s="1"/>
  <c r="GX249" i="1" s="1"/>
  <c r="GY249" i="1" s="1"/>
  <c r="I249" i="2" s="1"/>
  <c r="GM14" i="1"/>
  <c r="GN14" i="1" s="1"/>
  <c r="GO14" i="1" s="1"/>
  <c r="GR14" i="1" s="1"/>
  <c r="GV14" i="1" s="1"/>
  <c r="GW14" i="1" s="1"/>
  <c r="GX14" i="1" s="1"/>
  <c r="GY14" i="1" s="1"/>
  <c r="I14" i="2" s="1"/>
  <c r="GM164" i="1"/>
  <c r="GN164" i="1" s="1"/>
  <c r="GO164" i="1" s="1"/>
  <c r="GR164" i="1" s="1"/>
  <c r="GV164" i="1" s="1"/>
  <c r="GW164" i="1" s="1"/>
  <c r="GX164" i="1" s="1"/>
  <c r="GY164" i="1" s="1"/>
  <c r="I164" i="2" s="1"/>
  <c r="GM17" i="1"/>
  <c r="GN17" i="1" s="1"/>
  <c r="GO17" i="1" s="1"/>
  <c r="GR17" i="1" s="1"/>
  <c r="GV17" i="1" s="1"/>
  <c r="GW17" i="1" s="1"/>
  <c r="GX17" i="1" s="1"/>
  <c r="GY17" i="1" s="1"/>
  <c r="I17" i="2" s="1"/>
  <c r="GM193" i="1"/>
  <c r="GN193" i="1" s="1"/>
  <c r="GO193" i="1" s="1"/>
  <c r="GR193" i="1" s="1"/>
  <c r="GV193" i="1" s="1"/>
  <c r="GW193" i="1" s="1"/>
  <c r="GX193" i="1" s="1"/>
  <c r="GY193" i="1" s="1"/>
  <c r="I193" i="2" s="1"/>
  <c r="GM238" i="1"/>
  <c r="GN238" i="1" s="1"/>
  <c r="GO238" i="1" s="1"/>
  <c r="GR238" i="1" s="1"/>
  <c r="GV238" i="1" s="1"/>
  <c r="GW238" i="1" s="1"/>
  <c r="GX238" i="1" s="1"/>
  <c r="GY238" i="1" s="1"/>
  <c r="I238" i="2" s="1"/>
  <c r="GM265" i="1"/>
  <c r="GN265" i="1" s="1"/>
  <c r="GO265" i="1" s="1"/>
  <c r="GR265" i="1" s="1"/>
  <c r="GV265" i="1" s="1"/>
  <c r="GW265" i="1" s="1"/>
  <c r="GX265" i="1" s="1"/>
  <c r="GY265" i="1" s="1"/>
  <c r="I265" i="2" s="1"/>
  <c r="GM275" i="1"/>
  <c r="GN275" i="1" s="1"/>
  <c r="GO275" i="1" s="1"/>
  <c r="GR275" i="1" s="1"/>
  <c r="GV275" i="1" s="1"/>
  <c r="GW275" i="1" s="1"/>
  <c r="GX275" i="1" s="1"/>
  <c r="GY275" i="1" s="1"/>
  <c r="I275" i="2" s="1"/>
  <c r="GM43" i="1"/>
  <c r="GN43" i="1" s="1"/>
  <c r="GO43" i="1" s="1"/>
  <c r="GR43" i="1" s="1"/>
  <c r="GV43" i="1" s="1"/>
  <c r="GW43" i="1" s="1"/>
  <c r="GX43" i="1" s="1"/>
  <c r="GY43" i="1" s="1"/>
  <c r="I43" i="2" s="1"/>
  <c r="GM144" i="1"/>
  <c r="GN144" i="1" s="1"/>
  <c r="GO144" i="1" s="1"/>
  <c r="GR144" i="1" s="1"/>
  <c r="GV144" i="1" s="1"/>
  <c r="GW144" i="1" s="1"/>
  <c r="GX144" i="1" s="1"/>
  <c r="GY144" i="1" s="1"/>
  <c r="I144" i="2" s="1"/>
  <c r="GM82" i="1"/>
  <c r="GN82" i="1" s="1"/>
  <c r="GO82" i="1" s="1"/>
  <c r="GR82" i="1" s="1"/>
  <c r="GV82" i="1" s="1"/>
  <c r="GW82" i="1" s="1"/>
  <c r="GX82" i="1" s="1"/>
  <c r="GY82" i="1" s="1"/>
  <c r="I82" i="2" s="1"/>
  <c r="GM146" i="1"/>
  <c r="GN146" i="1" s="1"/>
  <c r="GO146" i="1" s="1"/>
  <c r="GR146" i="1" s="1"/>
  <c r="GV146" i="1" s="1"/>
  <c r="GW146" i="1" s="1"/>
  <c r="GX146" i="1" s="1"/>
  <c r="GY146" i="1" s="1"/>
  <c r="I146" i="2" s="1"/>
  <c r="GM130" i="1"/>
  <c r="GN130" i="1" s="1"/>
  <c r="GO130" i="1" s="1"/>
  <c r="GR130" i="1" s="1"/>
  <c r="GV130" i="1" s="1"/>
  <c r="GW130" i="1" s="1"/>
  <c r="GX130" i="1" s="1"/>
  <c r="GY130" i="1" s="1"/>
  <c r="I130" i="2" s="1"/>
  <c r="GM122" i="1"/>
  <c r="GN122" i="1" s="1"/>
  <c r="GO122" i="1" s="1"/>
  <c r="GR122" i="1" s="1"/>
  <c r="GV122" i="1" s="1"/>
  <c r="GW122" i="1" s="1"/>
  <c r="GX122" i="1" s="1"/>
  <c r="GY122" i="1" s="1"/>
  <c r="I122" i="2" s="1"/>
  <c r="GM179" i="1"/>
  <c r="GN179" i="1" s="1"/>
  <c r="GO179" i="1" s="1"/>
  <c r="GR179" i="1" s="1"/>
  <c r="GV179" i="1" s="1"/>
  <c r="GW179" i="1" s="1"/>
  <c r="GX179" i="1" s="1"/>
  <c r="GY179" i="1" s="1"/>
  <c r="I179" i="2" s="1"/>
  <c r="GM203" i="1"/>
  <c r="GN203" i="1" s="1"/>
  <c r="GO203" i="1" s="1"/>
  <c r="GR203" i="1" s="1"/>
  <c r="GV203" i="1" s="1"/>
  <c r="GW203" i="1" s="1"/>
  <c r="GX203" i="1" s="1"/>
  <c r="GY203" i="1" s="1"/>
  <c r="I203" i="2" s="1"/>
  <c r="GM109" i="1"/>
  <c r="GN109" i="1" s="1"/>
  <c r="GO109" i="1" s="1"/>
  <c r="GR109" i="1" s="1"/>
  <c r="GV109" i="1" s="1"/>
  <c r="GW109" i="1" s="1"/>
  <c r="GX109" i="1" s="1"/>
  <c r="GY109" i="1" s="1"/>
  <c r="I109" i="2" s="1"/>
  <c r="GM103" i="1"/>
  <c r="GN103" i="1" s="1"/>
  <c r="GO103" i="1" s="1"/>
  <c r="GR103" i="1" s="1"/>
  <c r="GV103" i="1" s="1"/>
  <c r="GW103" i="1" s="1"/>
  <c r="GX103" i="1" s="1"/>
  <c r="GY103" i="1" s="1"/>
  <c r="I103" i="2" s="1"/>
  <c r="GX269" i="1"/>
  <c r="GY269" i="1" s="1"/>
  <c r="I269" i="2" s="1"/>
  <c r="GM270" i="1"/>
  <c r="GN270" i="1" s="1"/>
  <c r="GO270" i="1" s="1"/>
  <c r="GR270" i="1" s="1"/>
  <c r="GV270" i="1" s="1"/>
  <c r="GW270" i="1" s="1"/>
  <c r="GX270" i="1" s="1"/>
  <c r="GY270" i="1" s="1"/>
  <c r="I270" i="2" s="1"/>
  <c r="GM129" i="1"/>
  <c r="GN129" i="1" s="1"/>
  <c r="GO129" i="1" s="1"/>
  <c r="GR129" i="1" s="1"/>
  <c r="GV129" i="1" s="1"/>
  <c r="GW129" i="1" s="1"/>
  <c r="GX129" i="1" s="1"/>
  <c r="GY129" i="1" s="1"/>
  <c r="I129" i="2" s="1"/>
  <c r="GM243" i="1"/>
  <c r="GN243" i="1" s="1"/>
  <c r="GO243" i="1" s="1"/>
  <c r="GR243" i="1" s="1"/>
  <c r="GV243" i="1" s="1"/>
  <c r="GW243" i="1" s="1"/>
  <c r="GX243" i="1" s="1"/>
  <c r="GY243" i="1" s="1"/>
  <c r="I243" i="2" s="1"/>
  <c r="GM7" i="1"/>
  <c r="GN7" i="1" s="1"/>
  <c r="GO7" i="1" s="1"/>
  <c r="GR7" i="1" s="1"/>
  <c r="GV7" i="1" s="1"/>
  <c r="GW7" i="1" s="1"/>
  <c r="GX7" i="1" s="1"/>
  <c r="GY7" i="1" s="1"/>
  <c r="I7" i="2" s="1"/>
  <c r="GO25" i="1"/>
  <c r="GR25" i="1" s="1"/>
  <c r="GV25" i="1" s="1"/>
  <c r="GW25" i="1" s="1"/>
  <c r="GX25" i="1" s="1"/>
  <c r="GY25" i="1" s="1"/>
  <c r="I25" i="2" s="1"/>
  <c r="GM274" i="1"/>
  <c r="GN274" i="1" s="1"/>
  <c r="GO274" i="1" s="1"/>
  <c r="GR274" i="1" s="1"/>
  <c r="GV274" i="1" s="1"/>
  <c r="GW274" i="1" s="1"/>
  <c r="GX274" i="1" s="1"/>
  <c r="GY274" i="1" s="1"/>
  <c r="I274" i="2" s="1"/>
  <c r="GM57" i="1"/>
  <c r="GN57" i="1" s="1"/>
  <c r="GO57" i="1" s="1"/>
  <c r="GR57" i="1" s="1"/>
  <c r="GV57" i="1" s="1"/>
  <c r="GW57" i="1" s="1"/>
  <c r="GX57" i="1" s="1"/>
  <c r="GY57" i="1" s="1"/>
  <c r="I57" i="2" s="1"/>
  <c r="GM172" i="1"/>
  <c r="GN172" i="1" s="1"/>
  <c r="GO172" i="1" s="1"/>
  <c r="GR172" i="1" s="1"/>
  <c r="GV172" i="1" s="1"/>
  <c r="GW172" i="1" s="1"/>
  <c r="GX172" i="1" s="1"/>
  <c r="GY172" i="1" s="1"/>
  <c r="I172" i="2" s="1"/>
  <c r="GM54" i="1"/>
  <c r="GN54" i="1" s="1"/>
  <c r="GO54" i="1" s="1"/>
  <c r="GR54" i="1" s="1"/>
  <c r="GV54" i="1" s="1"/>
  <c r="GW54" i="1" s="1"/>
  <c r="GX54" i="1" s="1"/>
  <c r="GY54" i="1" s="1"/>
  <c r="I54" i="2" s="1"/>
  <c r="GM93" i="1"/>
  <c r="GN93" i="1" s="1"/>
  <c r="GO93" i="1" s="1"/>
  <c r="GR93" i="1" s="1"/>
  <c r="GV93" i="1" s="1"/>
  <c r="GW93" i="1" s="1"/>
  <c r="GX93" i="1" s="1"/>
  <c r="GY93" i="1" s="1"/>
  <c r="I93" i="2" s="1"/>
  <c r="GM10" i="1"/>
  <c r="GN10" i="1" s="1"/>
  <c r="GO10" i="1" s="1"/>
  <c r="GR10" i="1" s="1"/>
  <c r="GV10" i="1" s="1"/>
  <c r="GW10" i="1" s="1"/>
  <c r="GX10" i="1" s="1"/>
  <c r="GY10" i="1" s="1"/>
  <c r="I10" i="2" s="1"/>
  <c r="GM67" i="1"/>
  <c r="GN67" i="1" s="1"/>
  <c r="GO67" i="1" s="1"/>
  <c r="GR67" i="1" s="1"/>
  <c r="GV67" i="1" s="1"/>
  <c r="GW67" i="1" s="1"/>
  <c r="GX67" i="1" s="1"/>
  <c r="GY67" i="1" s="1"/>
  <c r="I67" i="2" s="1"/>
  <c r="GM110" i="1"/>
  <c r="GN110" i="1" s="1"/>
  <c r="GO110" i="1" s="1"/>
  <c r="GR110" i="1" s="1"/>
  <c r="GV110" i="1" s="1"/>
  <c r="GW110" i="1" s="1"/>
  <c r="GX110" i="1" s="1"/>
  <c r="GY110" i="1" s="1"/>
  <c r="I110" i="2" s="1"/>
  <c r="GM295" i="1"/>
  <c r="GN295" i="1" s="1"/>
  <c r="GO295" i="1" s="1"/>
  <c r="GR295" i="1" s="1"/>
  <c r="GV295" i="1" s="1"/>
  <c r="GW295" i="1" s="1"/>
  <c r="GX295" i="1" s="1"/>
  <c r="GY295" i="1" s="1"/>
  <c r="I295" i="2" s="1"/>
  <c r="GM255" i="1"/>
  <c r="GN255" i="1" s="1"/>
  <c r="GO255" i="1" s="1"/>
  <c r="GR255" i="1" s="1"/>
  <c r="GV255" i="1" s="1"/>
  <c r="GW255" i="1" s="1"/>
  <c r="GX255" i="1" s="1"/>
  <c r="GY255" i="1" s="1"/>
  <c r="I255" i="2" s="1"/>
  <c r="GM96" i="1"/>
  <c r="GN96" i="1" s="1"/>
  <c r="GO96" i="1" s="1"/>
  <c r="GR96" i="1" s="1"/>
  <c r="GV96" i="1" s="1"/>
  <c r="GW96" i="1" s="1"/>
  <c r="GX96" i="1" s="1"/>
  <c r="GY96" i="1" s="1"/>
  <c r="I96" i="2" s="1"/>
  <c r="GO140" i="1"/>
  <c r="GR140" i="1" s="1"/>
  <c r="GV140" i="1" s="1"/>
  <c r="GW140" i="1" s="1"/>
  <c r="GX140" i="1" s="1"/>
  <c r="GY140" i="1" s="1"/>
  <c r="I140" i="2" s="1"/>
  <c r="GM134" i="1"/>
  <c r="GN134" i="1" s="1"/>
  <c r="GO134" i="1" s="1"/>
  <c r="GR134" i="1" s="1"/>
  <c r="GV134" i="1" s="1"/>
  <c r="GW134" i="1" s="1"/>
  <c r="GX134" i="1" s="1"/>
  <c r="GY134" i="1" s="1"/>
  <c r="I134" i="2" s="1"/>
  <c r="GM113" i="1"/>
  <c r="GN113" i="1" s="1"/>
  <c r="GO113" i="1" s="1"/>
  <c r="GR113" i="1" s="1"/>
  <c r="GV113" i="1" s="1"/>
  <c r="GW113" i="1" s="1"/>
  <c r="GX113" i="1" s="1"/>
  <c r="GY113" i="1" s="1"/>
  <c r="I113" i="2" s="1"/>
  <c r="GM273" i="1"/>
  <c r="GN273" i="1" s="1"/>
  <c r="GO273" i="1" s="1"/>
  <c r="GR273" i="1" s="1"/>
  <c r="GV273" i="1" s="1"/>
  <c r="GW273" i="1" s="1"/>
  <c r="GX273" i="1" s="1"/>
  <c r="GY273" i="1" s="1"/>
  <c r="I273" i="2" s="1"/>
  <c r="GM71" i="1"/>
  <c r="GN71" i="1" s="1"/>
  <c r="GO71" i="1" s="1"/>
  <c r="GR71" i="1" s="1"/>
  <c r="GV71" i="1" s="1"/>
  <c r="GW71" i="1" s="1"/>
  <c r="GX71" i="1" s="1"/>
  <c r="GY71" i="1" s="1"/>
  <c r="I71" i="2" s="1"/>
  <c r="GM77" i="1"/>
  <c r="GN77" i="1" s="1"/>
  <c r="GO77" i="1" s="1"/>
  <c r="GR77" i="1" s="1"/>
  <c r="GV77" i="1" s="1"/>
  <c r="GW77" i="1" s="1"/>
  <c r="GX77" i="1" s="1"/>
  <c r="GY77" i="1" s="1"/>
  <c r="I77" i="2" s="1"/>
  <c r="GM124" i="1"/>
  <c r="GN124" i="1" s="1"/>
  <c r="GO124" i="1" s="1"/>
  <c r="GR124" i="1" s="1"/>
  <c r="GV124" i="1" s="1"/>
  <c r="GW124" i="1" s="1"/>
  <c r="GX124" i="1" s="1"/>
  <c r="GY124" i="1" s="1"/>
  <c r="I124" i="2" s="1"/>
  <c r="GO186" i="1"/>
  <c r="GR186" i="1" s="1"/>
  <c r="GV186" i="1" s="1"/>
  <c r="GW186" i="1" s="1"/>
  <c r="GX186" i="1" s="1"/>
  <c r="GY186" i="1" s="1"/>
  <c r="I186" i="2" s="1"/>
  <c r="GM147" i="1"/>
  <c r="GN147" i="1" s="1"/>
  <c r="GO147" i="1" s="1"/>
  <c r="GR147" i="1" s="1"/>
  <c r="GV147" i="1" s="1"/>
  <c r="GW147" i="1" s="1"/>
  <c r="GX147" i="1" s="1"/>
  <c r="GY147" i="1" s="1"/>
  <c r="I147" i="2" s="1"/>
  <c r="GM290" i="1"/>
  <c r="GN290" i="1" s="1"/>
  <c r="GO290" i="1" s="1"/>
  <c r="GR290" i="1" s="1"/>
  <c r="GV290" i="1" s="1"/>
  <c r="GW290" i="1" s="1"/>
  <c r="GX290" i="1" s="1"/>
  <c r="GY290" i="1" s="1"/>
  <c r="I290" i="2" s="1"/>
  <c r="GM264" i="1"/>
  <c r="GN264" i="1" s="1"/>
  <c r="GO264" i="1" s="1"/>
  <c r="GR264" i="1" s="1"/>
  <c r="GV264" i="1" s="1"/>
  <c r="GW264" i="1" s="1"/>
  <c r="GX264" i="1" s="1"/>
  <c r="GY264" i="1" s="1"/>
  <c r="I264" i="2" s="1"/>
  <c r="GM108" i="1"/>
  <c r="GN108" i="1" s="1"/>
  <c r="GO108" i="1" s="1"/>
  <c r="GR108" i="1" s="1"/>
  <c r="GV108" i="1" s="1"/>
  <c r="GW108" i="1" s="1"/>
  <c r="GX108" i="1" s="1"/>
  <c r="GY108" i="1" s="1"/>
  <c r="I108" i="2" s="1"/>
  <c r="GM184" i="1"/>
  <c r="GN184" i="1" s="1"/>
  <c r="GO184" i="1" s="1"/>
  <c r="GR184" i="1" s="1"/>
  <c r="GV184" i="1" s="1"/>
  <c r="GW184" i="1" s="1"/>
  <c r="GX184" i="1" s="1"/>
  <c r="GY184" i="1" s="1"/>
  <c r="I184" i="2" s="1"/>
  <c r="GM51" i="1"/>
  <c r="GN51" i="1" s="1"/>
  <c r="GO51" i="1" s="1"/>
  <c r="GR51" i="1" s="1"/>
  <c r="GV51" i="1" s="1"/>
  <c r="GW51" i="1" s="1"/>
  <c r="GX51" i="1" s="1"/>
  <c r="GY51" i="1" s="1"/>
  <c r="I51" i="2" s="1"/>
  <c r="GO209" i="1"/>
  <c r="GR209" i="1" s="1"/>
  <c r="GV209" i="1" s="1"/>
  <c r="GW209" i="1" s="1"/>
  <c r="GX209" i="1" s="1"/>
  <c r="GY209" i="1" s="1"/>
  <c r="I209" i="2" s="1"/>
  <c r="GM185" i="1"/>
  <c r="GN185" i="1" s="1"/>
  <c r="GO185" i="1" s="1"/>
  <c r="GR185" i="1" s="1"/>
  <c r="GV185" i="1" s="1"/>
  <c r="GW185" i="1" s="1"/>
  <c r="GX185" i="1" s="1"/>
  <c r="GY185" i="1" s="1"/>
  <c r="I185" i="2" s="1"/>
  <c r="GM63" i="1"/>
  <c r="GN63" i="1" s="1"/>
  <c r="GO63" i="1" s="1"/>
  <c r="GR63" i="1" s="1"/>
  <c r="GV63" i="1" s="1"/>
  <c r="GW63" i="1" s="1"/>
  <c r="GX63" i="1" s="1"/>
  <c r="GY63" i="1" s="1"/>
  <c r="I63" i="2" s="1"/>
  <c r="GM211" i="1"/>
  <c r="GN211" i="1" s="1"/>
  <c r="GO211" i="1" s="1"/>
  <c r="GR211" i="1" s="1"/>
  <c r="GV211" i="1" s="1"/>
  <c r="GW211" i="1" s="1"/>
  <c r="GX211" i="1" s="1"/>
  <c r="GY211" i="1" s="1"/>
  <c r="I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I4" i="2" s="1"/>
  <c r="GM47" i="1"/>
  <c r="GN47" i="1" s="1"/>
  <c r="GO47" i="1" s="1"/>
  <c r="GR47" i="1" s="1"/>
  <c r="GV47" i="1" s="1"/>
  <c r="GW47" i="1" s="1"/>
  <c r="GX47" i="1" s="1"/>
  <c r="GY47" i="1" s="1"/>
  <c r="I47" i="2" s="1"/>
  <c r="GM68" i="1"/>
  <c r="GN68" i="1" s="1"/>
  <c r="GO68" i="1" s="1"/>
  <c r="GR68" i="1" s="1"/>
  <c r="GV68" i="1" s="1"/>
  <c r="GW68" i="1" s="1"/>
  <c r="GX68" i="1" s="1"/>
  <c r="GY68" i="1" s="1"/>
  <c r="I68" i="2" s="1"/>
  <c r="GM200" i="1"/>
  <c r="GN200" i="1" s="1"/>
  <c r="GO200" i="1" s="1"/>
  <c r="GR200" i="1" s="1"/>
  <c r="GV200" i="1" s="1"/>
  <c r="GW200" i="1" s="1"/>
  <c r="GX200" i="1" s="1"/>
  <c r="GY200" i="1" s="1"/>
  <c r="I200" i="2" s="1"/>
  <c r="GM2" i="1"/>
  <c r="GN2" i="1" s="1"/>
  <c r="GO2" i="1" s="1"/>
  <c r="GR2" i="1" s="1"/>
  <c r="GL149" i="1" l="1"/>
  <c r="GM149" i="1"/>
  <c r="GN149" i="1" s="1"/>
  <c r="GO149" i="1" s="1"/>
  <c r="GR149" i="1" s="1"/>
  <c r="GV149" i="1" s="1"/>
  <c r="GW149" i="1" s="1"/>
  <c r="GX149" i="1" s="1"/>
  <c r="GY149" i="1" s="1"/>
  <c r="I149" i="2" s="1"/>
  <c r="GO303" i="1"/>
  <c r="GR303" i="1" s="1"/>
  <c r="GV303" i="1" s="1"/>
  <c r="GW303" i="1" s="1"/>
  <c r="GX303" i="1" s="1"/>
  <c r="GY303" i="1" s="1"/>
  <c r="I303" i="2" s="1"/>
  <c r="GO276" i="1"/>
  <c r="GR276" i="1" s="1"/>
  <c r="GV276" i="1" s="1"/>
  <c r="GW276" i="1" s="1"/>
  <c r="GX276" i="1" s="1"/>
  <c r="GY276" i="1" s="1"/>
  <c r="I276" i="2" s="1"/>
  <c r="GO288" i="1"/>
  <c r="GR288" i="1" s="1"/>
  <c r="GV288" i="1" s="1"/>
  <c r="GW288" i="1" s="1"/>
  <c r="GX288" i="1" s="1"/>
  <c r="GY288" i="1" s="1"/>
  <c r="I288" i="2" s="1"/>
  <c r="GO5" i="1"/>
  <c r="GR5" i="1" s="1"/>
  <c r="GV5" i="1" s="1"/>
  <c r="GW5" i="1" s="1"/>
  <c r="GX5" i="1" s="1"/>
  <c r="GY5" i="1" s="1"/>
  <c r="I5" i="2" s="1"/>
  <c r="GO97" i="1"/>
  <c r="GR97" i="1" s="1"/>
  <c r="GV97" i="1" s="1"/>
  <c r="GW97" i="1" s="1"/>
  <c r="GX97" i="1" s="1"/>
  <c r="GY97" i="1" s="1"/>
  <c r="I97" i="2" s="1"/>
  <c r="GL298" i="1"/>
  <c r="GM298" i="1"/>
  <c r="GN298" i="1" s="1"/>
  <c r="GO298" i="1" s="1"/>
  <c r="GR298" i="1" s="1"/>
  <c r="GV298" i="1" s="1"/>
  <c r="GW298" i="1" s="1"/>
  <c r="GX298" i="1" s="1"/>
  <c r="GY298" i="1" s="1"/>
  <c r="I298" i="2" s="1"/>
  <c r="GL73" i="1"/>
  <c r="GM73" i="1"/>
  <c r="GN73" i="1" s="1"/>
  <c r="GO73" i="1" s="1"/>
  <c r="GR73" i="1" s="1"/>
  <c r="GV73" i="1" s="1"/>
  <c r="GW73" i="1" s="1"/>
  <c r="GX73" i="1" s="1"/>
  <c r="GY73" i="1" s="1"/>
  <c r="I73" i="2" s="1"/>
  <c r="GL33" i="1"/>
  <c r="GM33" i="1"/>
  <c r="GN33" i="1" s="1"/>
  <c r="GL115" i="1"/>
  <c r="GM115" i="1"/>
  <c r="GN115" i="1" s="1"/>
  <c r="GO115" i="1" s="1"/>
  <c r="GR115" i="1" s="1"/>
  <c r="GV115" i="1" s="1"/>
  <c r="GW115" i="1" s="1"/>
  <c r="GX115" i="1" s="1"/>
  <c r="GY115" i="1" s="1"/>
  <c r="I115" i="2" s="1"/>
  <c r="GL39" i="1"/>
  <c r="GM39" i="1"/>
  <c r="GN39" i="1" s="1"/>
  <c r="GO222" i="1"/>
  <c r="GR222" i="1" s="1"/>
  <c r="GV222" i="1" s="1"/>
  <c r="GW222" i="1" s="1"/>
  <c r="GX222" i="1" s="1"/>
  <c r="GY222" i="1" s="1"/>
  <c r="I222" i="2" s="1"/>
  <c r="GL88" i="1"/>
  <c r="GM88" i="1"/>
  <c r="GN88" i="1" s="1"/>
  <c r="GO88" i="1" s="1"/>
  <c r="GR88" i="1" s="1"/>
  <c r="GV88" i="1" s="1"/>
  <c r="GW88" i="1" s="1"/>
  <c r="GX88" i="1" s="1"/>
  <c r="GY88" i="1" s="1"/>
  <c r="I88" i="2" s="1"/>
  <c r="GL120" i="1"/>
  <c r="GM120" i="1"/>
  <c r="GN120" i="1" s="1"/>
  <c r="GO120" i="1" s="1"/>
  <c r="GR120" i="1" s="1"/>
  <c r="GV120" i="1" s="1"/>
  <c r="GW120" i="1" s="1"/>
  <c r="GX120" i="1" s="1"/>
  <c r="GY120" i="1" s="1"/>
  <c r="I120" i="2" s="1"/>
  <c r="GL165" i="1"/>
  <c r="GM165" i="1"/>
  <c r="GN165" i="1" s="1"/>
  <c r="GO165" i="1" s="1"/>
  <c r="GR165" i="1" s="1"/>
  <c r="GV165" i="1" s="1"/>
  <c r="GW165" i="1" s="1"/>
  <c r="GX165" i="1" s="1"/>
  <c r="GY165" i="1" s="1"/>
  <c r="I165" i="2" s="1"/>
  <c r="GL281" i="1"/>
  <c r="GM281" i="1"/>
  <c r="GN281" i="1" s="1"/>
  <c r="GL225" i="1"/>
  <c r="GM225" i="1"/>
  <c r="GN225" i="1" s="1"/>
  <c r="GO271" i="1"/>
  <c r="GR271" i="1" s="1"/>
  <c r="GV271" i="1" s="1"/>
  <c r="GW271" i="1" s="1"/>
  <c r="GX271" i="1" s="1"/>
  <c r="GY271" i="1" s="1"/>
  <c r="I271" i="2" s="1"/>
  <c r="GM198" i="1"/>
  <c r="GN198" i="1" s="1"/>
  <c r="GO198" i="1" s="1"/>
  <c r="GR198" i="1" s="1"/>
  <c r="GV198" i="1" s="1"/>
  <c r="GW198" i="1" s="1"/>
  <c r="GX198" i="1" s="1"/>
  <c r="GY198" i="1" s="1"/>
  <c r="I198" i="2" s="1"/>
  <c r="GM247" i="1"/>
  <c r="GN247" i="1" s="1"/>
  <c r="GO247" i="1" s="1"/>
  <c r="GR247" i="1" s="1"/>
  <c r="GV247" i="1" s="1"/>
  <c r="GW247" i="1" s="1"/>
  <c r="GX247" i="1" s="1"/>
  <c r="GY247" i="1" s="1"/>
  <c r="I247" i="2" s="1"/>
  <c r="GM42" i="1"/>
  <c r="GN42" i="1" s="1"/>
  <c r="GO42" i="1" s="1"/>
  <c r="GR42" i="1" s="1"/>
  <c r="GV42" i="1" s="1"/>
  <c r="GW42" i="1" s="1"/>
  <c r="GX42" i="1" s="1"/>
  <c r="GY42" i="1" s="1"/>
  <c r="I42" i="2" s="1"/>
  <c r="GM91" i="1"/>
  <c r="GN91" i="1" s="1"/>
  <c r="GO91" i="1" s="1"/>
  <c r="GR91" i="1" s="1"/>
  <c r="GV91" i="1" s="1"/>
  <c r="GW91" i="1" s="1"/>
  <c r="GX91" i="1" s="1"/>
  <c r="GY91" i="1" s="1"/>
  <c r="I91" i="2" s="1"/>
  <c r="GM118" i="1"/>
  <c r="GN118" i="1" s="1"/>
  <c r="GO118" i="1" s="1"/>
  <c r="GR118" i="1" s="1"/>
  <c r="GV118" i="1" s="1"/>
  <c r="GW118" i="1" s="1"/>
  <c r="GX118" i="1" s="1"/>
  <c r="GY118" i="1" s="1"/>
  <c r="I118" i="2" s="1"/>
  <c r="GX137" i="1"/>
  <c r="GY137" i="1" s="1"/>
  <c r="I137" i="2" s="1"/>
  <c r="GO13" i="1"/>
  <c r="GR13" i="1" s="1"/>
  <c r="GV13" i="1" s="1"/>
  <c r="GW13" i="1" s="1"/>
  <c r="GX13" i="1" s="1"/>
  <c r="GY13" i="1" s="1"/>
  <c r="I13" i="2" s="1"/>
  <c r="GV2" i="1"/>
  <c r="GW2" i="1" s="1"/>
  <c r="GX2" i="1" s="1"/>
  <c r="GY2" i="1" s="1"/>
  <c r="I2" i="2" s="1"/>
  <c r="GO225" i="1" l="1"/>
  <c r="GR225" i="1" s="1"/>
  <c r="GV225" i="1" s="1"/>
  <c r="GW225" i="1" s="1"/>
  <c r="GX225" i="1" s="1"/>
  <c r="GY225" i="1" s="1"/>
  <c r="I225" i="2" s="1"/>
  <c r="GO39" i="1"/>
  <c r="GR39" i="1" s="1"/>
  <c r="GV39" i="1" s="1"/>
  <c r="GW39" i="1" s="1"/>
  <c r="GX39" i="1" s="1"/>
  <c r="GY39" i="1" s="1"/>
  <c r="I39" i="2" s="1"/>
  <c r="GO33" i="1"/>
  <c r="GR33" i="1" s="1"/>
  <c r="GV33" i="1" s="1"/>
  <c r="GW33" i="1" s="1"/>
  <c r="GX33" i="1" s="1"/>
  <c r="GY33" i="1" s="1"/>
  <c r="I33" i="2" s="1"/>
  <c r="GO281" i="1"/>
  <c r="GR281" i="1" s="1"/>
  <c r="GV281" i="1" s="1"/>
  <c r="GW281" i="1" s="1"/>
  <c r="GX281" i="1" s="1"/>
  <c r="GY281" i="1" s="1"/>
  <c r="I281" i="2" s="1"/>
</calcChain>
</file>

<file path=xl/sharedStrings.xml><?xml version="1.0" encoding="utf-8"?>
<sst xmlns="http://schemas.openxmlformats.org/spreadsheetml/2006/main" count="2061" uniqueCount="997">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</sst>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I401"/>
  <sheetViews>
    <sheetView tabSelected="1" workbookViewId="0">
      <selection activeCell="J6" sqref="J6"/>
    </sheetView>
  </sheetViews>
  <sheetFormatPr defaultRowHeight="15" x14ac:dyDescent="0.25"/>
  <sheetData>
    <row r="1" spans="1:9" x14ac:dyDescent="0.25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736</v>
      </c>
      <c r="H1" t="s">
        <v>743</v>
      </c>
      <c r="I1" t="s">
        <v>856</v>
      </c>
    </row>
    <row r="2" spans="1:9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528900</v>
      </c>
      <c r="F2">
        <f>IF(Sheet1!FE2&lt;&gt;"",Sheet1!FE2,"")</f>
        <v>24000</v>
      </c>
      <c r="G2">
        <f>IF(Sheet1!FO2&lt;&gt;"",Sheet1!FO2,"")</f>
        <v>452500</v>
      </c>
      <c r="H2">
        <f>IF(Sheet1!FW2&lt;&gt;"",Sheet1!FW2,"")</f>
        <v>0</v>
      </c>
      <c r="I2">
        <f ca="1">IF(Sheet1!GY2&lt;&gt;"",Sheet1!GY2,"")</f>
        <v>0</v>
      </c>
    </row>
    <row r="3" spans="1:9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507857</v>
      </c>
      <c r="F3">
        <f>IF(Sheet1!FE3&lt;&gt;"",Sheet1!FE3,"")</f>
        <v>24000</v>
      </c>
      <c r="G3">
        <f>IF(Sheet1!FO3&lt;&gt;"",Sheet1!FO3,"")</f>
        <v>431507</v>
      </c>
      <c r="H3">
        <f>IF(Sheet1!FW3&lt;&gt;"",Sheet1!FW3,"")</f>
        <v>0</v>
      </c>
      <c r="I3">
        <f ca="1">IF(Sheet1!GY3&lt;&gt;"",Sheet1!GY3,"")</f>
        <v>0</v>
      </c>
    </row>
    <row r="4" spans="1:9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786174</v>
      </c>
      <c r="F4">
        <f>IF(Sheet1!FE4&lt;&gt;"",Sheet1!FE4,"")</f>
        <v>36000</v>
      </c>
      <c r="G4">
        <f>IF(Sheet1!FO4&lt;&gt;"",Sheet1!FO4,"")</f>
        <v>649974</v>
      </c>
      <c r="H4">
        <f>IF(Sheet1!FW4&lt;&gt;"",Sheet1!FW4,"")</f>
        <v>44195</v>
      </c>
      <c r="I4">
        <f ca="1">IF(Sheet1!GY4&lt;&gt;"",Sheet1!GY4,"")</f>
        <v>0</v>
      </c>
    </row>
    <row r="5" spans="1:9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429843</v>
      </c>
      <c r="F5">
        <f>IF(Sheet1!FE5&lt;&gt;"",Sheet1!FE5,"")</f>
        <v>24000</v>
      </c>
      <c r="G5">
        <f>IF(Sheet1!FO5&lt;&gt;"",Sheet1!FO5,"")</f>
        <v>354043</v>
      </c>
      <c r="H5">
        <f>IF(Sheet1!FW5&lt;&gt;"",Sheet1!FW5,"")</f>
        <v>0</v>
      </c>
      <c r="I5">
        <f ca="1">IF(Sheet1!GY5&lt;&gt;"",Sheet1!GY5,"")</f>
        <v>0</v>
      </c>
    </row>
    <row r="6" spans="1:9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582844</v>
      </c>
      <c r="F6">
        <f>IF(Sheet1!FE6&lt;&gt;"",Sheet1!FE6,"")</f>
        <v>48000</v>
      </c>
      <c r="G6">
        <f>IF(Sheet1!FO6&lt;&gt;"",Sheet1!FO6,"")</f>
        <v>482444</v>
      </c>
      <c r="H6">
        <f>IF(Sheet1!FW6&lt;&gt;"",Sheet1!FW6,"")</f>
        <v>0</v>
      </c>
      <c r="I6">
        <f ca="1">IF(Sheet1!GY6&lt;&gt;"",Sheet1!GY6,"")</f>
        <v>0</v>
      </c>
    </row>
    <row r="7" spans="1:9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530205</v>
      </c>
      <c r="F7">
        <f>IF(Sheet1!FE7&lt;&gt;"",Sheet1!FE7,"")</f>
        <v>24000</v>
      </c>
      <c r="G7">
        <f>IF(Sheet1!FO7&lt;&gt;"",Sheet1!FO7,"")</f>
        <v>453805</v>
      </c>
      <c r="H7">
        <f>IF(Sheet1!FW7&lt;&gt;"",Sheet1!FW7,"")</f>
        <v>0</v>
      </c>
      <c r="I7">
        <f ca="1">IF(Sheet1!GY7&lt;&gt;"",Sheet1!GY7,"")</f>
        <v>0</v>
      </c>
    </row>
    <row r="8" spans="1:9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792926</v>
      </c>
      <c r="F8">
        <f>IF(Sheet1!FE8&lt;&gt;"",Sheet1!FE8,"")</f>
        <v>60000</v>
      </c>
      <c r="G8">
        <f>IF(Sheet1!FO8&lt;&gt;"",Sheet1!FO8,"")</f>
        <v>680526</v>
      </c>
      <c r="H8">
        <f>IF(Sheet1!FW8&lt;&gt;"",Sheet1!FW8,"")</f>
        <v>50549</v>
      </c>
      <c r="I8">
        <f ca="1">IF(Sheet1!GY8&lt;&gt;"",Sheet1!GY8,"")</f>
        <v>0</v>
      </c>
    </row>
    <row r="9" spans="1:9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578047</v>
      </c>
      <c r="F9">
        <f>IF(Sheet1!FE9&lt;&gt;"",Sheet1!FE9,"")</f>
        <v>60000</v>
      </c>
      <c r="G9">
        <f>IF(Sheet1!FO9&lt;&gt;"",Sheet1!FO9,"")</f>
        <v>465647</v>
      </c>
      <c r="H9">
        <f>IF(Sheet1!FW9&lt;&gt;"",Sheet1!FW9,"")</f>
        <v>0</v>
      </c>
      <c r="I9">
        <f ca="1">IF(Sheet1!GY9&lt;&gt;"",Sheet1!GY9,"")</f>
        <v>0</v>
      </c>
    </row>
    <row r="10" spans="1:9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530208</v>
      </c>
      <c r="F10">
        <f>IF(Sheet1!FE10&lt;&gt;"",Sheet1!FE10,"")</f>
        <v>24000</v>
      </c>
      <c r="G10">
        <f>IF(Sheet1!FO10&lt;&gt;"",Sheet1!FO10,"")</f>
        <v>453808</v>
      </c>
      <c r="H10">
        <f>IF(Sheet1!FW10&lt;&gt;"",Sheet1!FW10,"")</f>
        <v>0</v>
      </c>
      <c r="I10">
        <f ca="1">IF(Sheet1!GY10&lt;&gt;"",Sheet1!GY10,"")</f>
        <v>0</v>
      </c>
    </row>
    <row r="11" spans="1:9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487049</v>
      </c>
      <c r="F11">
        <f>IF(Sheet1!FE11&lt;&gt;"",Sheet1!FE11,"")</f>
        <v>24000</v>
      </c>
      <c r="G11">
        <f>IF(Sheet1!FO11&lt;&gt;"",Sheet1!FO11,"")</f>
        <v>410849</v>
      </c>
      <c r="H11">
        <f>IF(Sheet1!FW11&lt;&gt;"",Sheet1!FW11,"")</f>
        <v>0</v>
      </c>
      <c r="I11">
        <f ca="1">IF(Sheet1!GY11&lt;&gt;"",Sheet1!GY11,"")</f>
        <v>0</v>
      </c>
    </row>
    <row r="12" spans="1:9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786930</v>
      </c>
      <c r="F12">
        <f>IF(Sheet1!FE12&lt;&gt;"",Sheet1!FE12,"")</f>
        <v>36000</v>
      </c>
      <c r="G12">
        <f>IF(Sheet1!FO12&lt;&gt;"",Sheet1!FO12,"")</f>
        <v>698530</v>
      </c>
      <c r="H12">
        <f>IF(Sheet1!FW12&lt;&gt;"",Sheet1!FW12,"")</f>
        <v>54294</v>
      </c>
      <c r="I12">
        <f ca="1">IF(Sheet1!GY12&lt;&gt;"",Sheet1!GY12,"")</f>
        <v>0</v>
      </c>
    </row>
    <row r="13" spans="1:9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530211</v>
      </c>
      <c r="F13">
        <f>IF(Sheet1!FE13&lt;&gt;"",Sheet1!FE13,"")</f>
        <v>24000</v>
      </c>
      <c r="G13">
        <f>IF(Sheet1!FO13&lt;&gt;"",Sheet1!FO13,"")</f>
        <v>453811</v>
      </c>
      <c r="H13">
        <f>IF(Sheet1!FW13&lt;&gt;"",Sheet1!FW13,"")</f>
        <v>0</v>
      </c>
      <c r="I13">
        <f ca="1">IF(Sheet1!GY13&lt;&gt;"",Sheet1!GY13,"")</f>
        <v>0</v>
      </c>
    </row>
    <row r="14" spans="1:9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487052</v>
      </c>
      <c r="F14">
        <f>IF(Sheet1!FE14&lt;&gt;"",Sheet1!FE14,"")</f>
        <v>24000</v>
      </c>
      <c r="G14">
        <f>IF(Sheet1!FO14&lt;&gt;"",Sheet1!FO14,"")</f>
        <v>410852</v>
      </c>
      <c r="H14">
        <f>IF(Sheet1!FW14&lt;&gt;"",Sheet1!FW14,"")</f>
        <v>0</v>
      </c>
      <c r="I14">
        <f ca="1">IF(Sheet1!GY14&lt;&gt;"",Sheet1!GY14,"")</f>
        <v>0</v>
      </c>
    </row>
    <row r="15" spans="1:9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530213</v>
      </c>
      <c r="F15">
        <f>IF(Sheet1!FE15&lt;&gt;"",Sheet1!FE15,"")</f>
        <v>24000</v>
      </c>
      <c r="G15">
        <f>IF(Sheet1!FO15&lt;&gt;"",Sheet1!FO15,"")</f>
        <v>453813</v>
      </c>
      <c r="H15">
        <f>IF(Sheet1!FW15&lt;&gt;"",Sheet1!FW15,"")</f>
        <v>0</v>
      </c>
      <c r="I15">
        <f ca="1">IF(Sheet1!GY15&lt;&gt;"",Sheet1!GY15,"")</f>
        <v>0</v>
      </c>
    </row>
    <row r="16" spans="1:9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530214</v>
      </c>
      <c r="F16">
        <f>IF(Sheet1!FE16&lt;&gt;"",Sheet1!FE16,"")</f>
        <v>24000</v>
      </c>
      <c r="G16">
        <f>IF(Sheet1!FO16&lt;&gt;"",Sheet1!FO16,"")</f>
        <v>453814</v>
      </c>
      <c r="H16">
        <f>IF(Sheet1!FW16&lt;&gt;"",Sheet1!FW16,"")</f>
        <v>0</v>
      </c>
      <c r="I16">
        <f ca="1">IF(Sheet1!GY16&lt;&gt;"",Sheet1!GY16,"")</f>
        <v>0</v>
      </c>
    </row>
    <row r="17" spans="1:9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487055</v>
      </c>
      <c r="F17">
        <f>IF(Sheet1!FE17&lt;&gt;"",Sheet1!FE17,"")</f>
        <v>24000</v>
      </c>
      <c r="G17">
        <f>IF(Sheet1!FO17&lt;&gt;"",Sheet1!FO17,"")</f>
        <v>410855</v>
      </c>
      <c r="H17">
        <f>IF(Sheet1!FW17&lt;&gt;"",Sheet1!FW17,"")</f>
        <v>0</v>
      </c>
      <c r="I17">
        <f ca="1">IF(Sheet1!GY17&lt;&gt;"",Sheet1!GY17,"")</f>
        <v>0</v>
      </c>
    </row>
    <row r="18" spans="1:9" x14ac:dyDescent="0.25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829736</v>
      </c>
      <c r="F18">
        <f>IF(Sheet1!FE18&lt;&gt;"",Sheet1!FE18,"")</f>
        <v>42000</v>
      </c>
      <c r="G18">
        <f>IF(Sheet1!FO18&lt;&gt;"",Sheet1!FO18,"")</f>
        <v>735336</v>
      </c>
      <c r="H18">
        <f>IF(Sheet1!FW18&lt;&gt;"",Sheet1!FW18,"")</f>
        <v>61949</v>
      </c>
      <c r="I18">
        <f ca="1">IF(Sheet1!GY18&lt;&gt;"",Sheet1!GY18,"")</f>
        <v>0</v>
      </c>
    </row>
    <row r="19" spans="1:9" x14ac:dyDescent="0.25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865737</v>
      </c>
      <c r="F19">
        <f>IF(Sheet1!FE19&lt;&gt;"",Sheet1!FE19,"")</f>
        <v>60720</v>
      </c>
      <c r="G19">
        <f>IF(Sheet1!FO19&lt;&gt;"",Sheet1!FO19,"")</f>
        <v>752617</v>
      </c>
      <c r="H19">
        <f>IF(Sheet1!FW19&lt;&gt;"",Sheet1!FW19,"")</f>
        <v>65544</v>
      </c>
      <c r="I19">
        <f ca="1">IF(Sheet1!GY19&lt;&gt;"",Sheet1!GY19,"")</f>
        <v>0</v>
      </c>
    </row>
    <row r="20" spans="1:9" x14ac:dyDescent="0.25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561418</v>
      </c>
      <c r="F20">
        <f>IF(Sheet1!FE20&lt;&gt;"",Sheet1!FE20,"")</f>
        <v>60000</v>
      </c>
      <c r="G20">
        <f>IF(Sheet1!FO20&lt;&gt;"",Sheet1!FO20,"")</f>
        <v>449018</v>
      </c>
      <c r="H20">
        <f>IF(Sheet1!FW20&lt;&gt;"",Sheet1!FW20,"")</f>
        <v>0</v>
      </c>
      <c r="I20">
        <f ca="1">IF(Sheet1!GY20&lt;&gt;"",Sheet1!GY20,"")</f>
        <v>0</v>
      </c>
    </row>
    <row r="21" spans="1:9" x14ac:dyDescent="0.25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487059</v>
      </c>
      <c r="F21">
        <f>IF(Sheet1!FE21&lt;&gt;"",Sheet1!FE21,"")</f>
        <v>24000</v>
      </c>
      <c r="G21">
        <f>IF(Sheet1!FO21&lt;&gt;"",Sheet1!FO21,"")</f>
        <v>410859</v>
      </c>
      <c r="H21">
        <f>IF(Sheet1!FW21&lt;&gt;"",Sheet1!FW21,"")</f>
        <v>0</v>
      </c>
      <c r="I21">
        <f ca="1">IF(Sheet1!GY21&lt;&gt;"",Sheet1!GY21,"")</f>
        <v>0</v>
      </c>
    </row>
    <row r="22" spans="1:9" x14ac:dyDescent="0.25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813100</v>
      </c>
      <c r="F22">
        <f>IF(Sheet1!FE22&lt;&gt;"",Sheet1!FE22,"")</f>
        <v>48000</v>
      </c>
      <c r="G22">
        <f>IF(Sheet1!FO22&lt;&gt;"",Sheet1!FO22,"")</f>
        <v>712700</v>
      </c>
      <c r="H22">
        <f>IF(Sheet1!FW22&lt;&gt;"",Sheet1!FW22,"")</f>
        <v>57242</v>
      </c>
      <c r="I22">
        <f ca="1">IF(Sheet1!GY22&lt;&gt;"",Sheet1!GY22,"")</f>
        <v>0</v>
      </c>
    </row>
    <row r="23" spans="1:9" x14ac:dyDescent="0.25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630581</v>
      </c>
      <c r="F23">
        <f>IF(Sheet1!FE23&lt;&gt;"",Sheet1!FE23,"")</f>
        <v>30000</v>
      </c>
      <c r="G23">
        <f>IF(Sheet1!FO23&lt;&gt;"",Sheet1!FO23,"")</f>
        <v>548181</v>
      </c>
      <c r="H23">
        <f>IF(Sheet1!FW23&lt;&gt;"",Sheet1!FW23,"")</f>
        <v>23021</v>
      </c>
      <c r="I23">
        <f ca="1">IF(Sheet1!GY23&lt;&gt;"",Sheet1!GY23,"")</f>
        <v>0</v>
      </c>
    </row>
    <row r="24" spans="1:9" x14ac:dyDescent="0.25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487062</v>
      </c>
      <c r="F24">
        <f>IF(Sheet1!FE24&lt;&gt;"",Sheet1!FE24,"")</f>
        <v>24000</v>
      </c>
      <c r="G24">
        <f>IF(Sheet1!FO24&lt;&gt;"",Sheet1!FO24,"")</f>
        <v>410862</v>
      </c>
      <c r="H24">
        <f>IF(Sheet1!FW24&lt;&gt;"",Sheet1!FW24,"")</f>
        <v>0</v>
      </c>
      <c r="I24">
        <f ca="1">IF(Sheet1!GY24&lt;&gt;"",Sheet1!GY24,"")</f>
        <v>0</v>
      </c>
    </row>
    <row r="25" spans="1:9" x14ac:dyDescent="0.25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398623</v>
      </c>
      <c r="F25">
        <f>IF(Sheet1!FE25&lt;&gt;"",Sheet1!FE25,"")</f>
        <v>24000</v>
      </c>
      <c r="G25">
        <f>IF(Sheet1!FO25&lt;&gt;"",Sheet1!FO25,"")</f>
        <v>322823</v>
      </c>
      <c r="H25">
        <f>IF(Sheet1!FW25&lt;&gt;"",Sheet1!FW25,"")</f>
        <v>0</v>
      </c>
      <c r="I25">
        <f ca="1">IF(Sheet1!GY25&lt;&gt;"",Sheet1!GY25,"")</f>
        <v>0</v>
      </c>
    </row>
    <row r="26" spans="1:9" x14ac:dyDescent="0.25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450864</v>
      </c>
      <c r="F26">
        <f>IF(Sheet1!FE26&lt;&gt;"",Sheet1!FE26,"")</f>
        <v>4000</v>
      </c>
      <c r="G26">
        <f>IF(Sheet1!FO26&lt;&gt;"",Sheet1!FO26,"")</f>
        <v>395064</v>
      </c>
      <c r="H26">
        <f>IF(Sheet1!FW26&lt;&gt;"",Sheet1!FW26,"")</f>
        <v>-1</v>
      </c>
      <c r="I26">
        <f ca="1">IF(Sheet1!GY26&lt;&gt;"",Sheet1!GY26,"")</f>
        <v>0</v>
      </c>
    </row>
    <row r="27" spans="1:9" x14ac:dyDescent="0.25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865745</v>
      </c>
      <c r="F27">
        <f>IF(Sheet1!FE27&lt;&gt;"",Sheet1!FE27,"")</f>
        <v>720</v>
      </c>
      <c r="G27">
        <f>IF(Sheet1!FO27&lt;&gt;"",Sheet1!FO27,"")</f>
        <v>812625</v>
      </c>
      <c r="H27">
        <f>IF(Sheet1!FW27&lt;&gt;"",Sheet1!FW27,"")</f>
        <v>78026</v>
      </c>
      <c r="I27">
        <f ca="1">IF(Sheet1!GY27&lt;&gt;"",Sheet1!GY27,"")</f>
        <v>0</v>
      </c>
    </row>
    <row r="28" spans="1:9" x14ac:dyDescent="0.25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578066</v>
      </c>
      <c r="F28">
        <f>IF(Sheet1!FE28&lt;&gt;"",Sheet1!FE28,"")</f>
        <v>36000</v>
      </c>
      <c r="G28">
        <f>IF(Sheet1!FO28&lt;&gt;"",Sheet1!FO28,"")</f>
        <v>489666</v>
      </c>
      <c r="H28">
        <f>IF(Sheet1!FW28&lt;&gt;"",Sheet1!FW28,"")</f>
        <v>0</v>
      </c>
      <c r="I28">
        <f ca="1">IF(Sheet1!GY28&lt;&gt;"",Sheet1!GY28,"")</f>
        <v>0</v>
      </c>
    </row>
    <row r="29" spans="1:9" x14ac:dyDescent="0.25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578067</v>
      </c>
      <c r="F29">
        <f>IF(Sheet1!FE29&lt;&gt;"",Sheet1!FE29,"")</f>
        <v>30000</v>
      </c>
      <c r="G29">
        <f>IF(Sheet1!FO29&lt;&gt;"",Sheet1!FO29,"")</f>
        <v>495667</v>
      </c>
      <c r="H29">
        <f>IF(Sheet1!FW29&lt;&gt;"",Sheet1!FW29,"")</f>
        <v>0</v>
      </c>
      <c r="I29">
        <f ca="1">IF(Sheet1!GY29&lt;&gt;"",Sheet1!GY29,"")</f>
        <v>0</v>
      </c>
    </row>
    <row r="30" spans="1:9" x14ac:dyDescent="0.25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450868</v>
      </c>
      <c r="F30">
        <f>IF(Sheet1!FE30&lt;&gt;"",Sheet1!FE30,"")</f>
        <v>4000</v>
      </c>
      <c r="G30">
        <f>IF(Sheet1!FO30&lt;&gt;"",Sheet1!FO30,"")</f>
        <v>395068</v>
      </c>
      <c r="H30">
        <f>IF(Sheet1!FW30&lt;&gt;"",Sheet1!FW30,"")</f>
        <v>-1</v>
      </c>
      <c r="I30">
        <f ca="1">IF(Sheet1!GY30&lt;&gt;"",Sheet1!GY30,"")</f>
        <v>0</v>
      </c>
    </row>
    <row r="31" spans="1:9" x14ac:dyDescent="0.25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865749</v>
      </c>
      <c r="F31">
        <f>IF(Sheet1!FE31&lt;&gt;"",Sheet1!FE31,"")</f>
        <v>150000</v>
      </c>
      <c r="G31">
        <f>IF(Sheet1!FO31&lt;&gt;"",Sheet1!FO31,"")</f>
        <v>663349</v>
      </c>
      <c r="H31">
        <f>IF(Sheet1!FW31&lt;&gt;"",Sheet1!FW31,"")</f>
        <v>46977</v>
      </c>
      <c r="I31">
        <f ca="1">IF(Sheet1!GY31&lt;&gt;"",Sheet1!GY31,"")</f>
        <v>0</v>
      </c>
    </row>
    <row r="32" spans="1:9" x14ac:dyDescent="0.25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530230</v>
      </c>
      <c r="F32">
        <f>IF(Sheet1!FE32&lt;&gt;"",Sheet1!FE32,"")</f>
        <v>48000</v>
      </c>
      <c r="G32">
        <f>IF(Sheet1!FO32&lt;&gt;"",Sheet1!FO32,"")</f>
        <v>429830</v>
      </c>
      <c r="H32">
        <f>IF(Sheet1!FW32&lt;&gt;"",Sheet1!FW32,"")</f>
        <v>0</v>
      </c>
      <c r="I32">
        <f ca="1">IF(Sheet1!GY32&lt;&gt;"",Sheet1!GY32,"")</f>
        <v>0</v>
      </c>
    </row>
    <row r="33" spans="1:9" x14ac:dyDescent="0.25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865751</v>
      </c>
      <c r="F33">
        <f>IF(Sheet1!FE33&lt;&gt;"",Sheet1!FE33,"")</f>
        <v>48720</v>
      </c>
      <c r="G33">
        <f>IF(Sheet1!FO33&lt;&gt;"",Sheet1!FO33,"")</f>
        <v>764631</v>
      </c>
      <c r="H33">
        <f>IF(Sheet1!FW33&lt;&gt;"",Sheet1!FW33,"")</f>
        <v>68043</v>
      </c>
      <c r="I33">
        <f ca="1">IF(Sheet1!GY33&lt;&gt;"",Sheet1!GY33,"")</f>
        <v>0</v>
      </c>
    </row>
    <row r="34" spans="1:9" x14ac:dyDescent="0.25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487072</v>
      </c>
      <c r="F34">
        <f>IF(Sheet1!FE34&lt;&gt;"",Sheet1!FE34,"")</f>
        <v>24000</v>
      </c>
      <c r="G34">
        <f>IF(Sheet1!FO34&lt;&gt;"",Sheet1!FO34,"")</f>
        <v>410872</v>
      </c>
      <c r="H34">
        <f>IF(Sheet1!FW34&lt;&gt;"",Sheet1!FW34,"")</f>
        <v>0</v>
      </c>
      <c r="I34">
        <f ca="1">IF(Sheet1!GY34&lt;&gt;"",Sheet1!GY34,"")</f>
        <v>0</v>
      </c>
    </row>
    <row r="35" spans="1:9" x14ac:dyDescent="0.25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859753</v>
      </c>
      <c r="F35">
        <f>IF(Sheet1!FE35&lt;&gt;"",Sheet1!FE35,"")</f>
        <v>48720</v>
      </c>
      <c r="G35">
        <f>IF(Sheet1!FO35&lt;&gt;"",Sheet1!FO35,"")</f>
        <v>758633</v>
      </c>
      <c r="H35">
        <f>IF(Sheet1!FW35&lt;&gt;"",Sheet1!FW35,"")</f>
        <v>66796</v>
      </c>
      <c r="I35">
        <f ca="1">IF(Sheet1!GY35&lt;&gt;"",Sheet1!GY35,"")</f>
        <v>0</v>
      </c>
    </row>
    <row r="36" spans="1:9" x14ac:dyDescent="0.25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578074</v>
      </c>
      <c r="F36">
        <f>IF(Sheet1!FE36&lt;&gt;"",Sheet1!FE36,"")</f>
        <v>36000</v>
      </c>
      <c r="G36">
        <f>IF(Sheet1!FO36&lt;&gt;"",Sheet1!FO36,"")</f>
        <v>489674</v>
      </c>
      <c r="H36">
        <f>IF(Sheet1!FW36&lt;&gt;"",Sheet1!FW36,"")</f>
        <v>0</v>
      </c>
      <c r="I36">
        <f ca="1">IF(Sheet1!GY36&lt;&gt;"",Sheet1!GY36,"")</f>
        <v>0</v>
      </c>
    </row>
    <row r="37" spans="1:9" x14ac:dyDescent="0.25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524235</v>
      </c>
      <c r="F37">
        <f>IF(Sheet1!FE37&lt;&gt;"",Sheet1!FE37,"")</f>
        <v>24000</v>
      </c>
      <c r="G37">
        <f>IF(Sheet1!FO37&lt;&gt;"",Sheet1!FO37,"")</f>
        <v>447835</v>
      </c>
      <c r="H37">
        <f>IF(Sheet1!FW37&lt;&gt;"",Sheet1!FW37,"")</f>
        <v>0</v>
      </c>
      <c r="I37">
        <f ca="1">IF(Sheet1!GY37&lt;&gt;"",Sheet1!GY37,"")</f>
        <v>0</v>
      </c>
    </row>
    <row r="38" spans="1:9" x14ac:dyDescent="0.25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487076</v>
      </c>
      <c r="F38">
        <f>IF(Sheet1!FE38&lt;&gt;"",Sheet1!FE38,"")</f>
        <v>60000</v>
      </c>
      <c r="G38">
        <f>IF(Sheet1!FO38&lt;&gt;"",Sheet1!FO38,"")</f>
        <v>374876</v>
      </c>
      <c r="H38">
        <f>IF(Sheet1!FW38&lt;&gt;"",Sheet1!FW38,"")</f>
        <v>0</v>
      </c>
      <c r="I38">
        <f ca="1">IF(Sheet1!GY38&lt;&gt;"",Sheet1!GY38,"")</f>
        <v>0</v>
      </c>
    </row>
    <row r="39" spans="1:9" x14ac:dyDescent="0.25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865757</v>
      </c>
      <c r="F39">
        <f>IF(Sheet1!FE39&lt;&gt;"",Sheet1!FE39,"")</f>
        <v>120720</v>
      </c>
      <c r="G39">
        <f>IF(Sheet1!FO39&lt;&gt;"",Sheet1!FO39,"")</f>
        <v>692637</v>
      </c>
      <c r="H39">
        <f>IF(Sheet1!FW39&lt;&gt;"",Sheet1!FW39,"")</f>
        <v>53068</v>
      </c>
      <c r="I39">
        <f ca="1">IF(Sheet1!GY39&lt;&gt;"",Sheet1!GY39,"")</f>
        <v>0</v>
      </c>
    </row>
    <row r="40" spans="1:9" x14ac:dyDescent="0.25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423878</v>
      </c>
      <c r="F40">
        <f>IF(Sheet1!FE40&lt;&gt;"",Sheet1!FE40,"")</f>
        <v>24000</v>
      </c>
      <c r="G40">
        <f>IF(Sheet1!FO40&lt;&gt;"",Sheet1!FO40,"")</f>
        <v>348078</v>
      </c>
      <c r="H40">
        <f>IF(Sheet1!FW40&lt;&gt;"",Sheet1!FW40,"")</f>
        <v>0</v>
      </c>
      <c r="I40">
        <f ca="1">IF(Sheet1!GY40&lt;&gt;"",Sheet1!GY40,"")</f>
        <v>0</v>
      </c>
    </row>
    <row r="41" spans="1:9" x14ac:dyDescent="0.25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487079</v>
      </c>
      <c r="F41">
        <f>IF(Sheet1!FE41&lt;&gt;"",Sheet1!FE41,"")</f>
        <v>24000</v>
      </c>
      <c r="G41">
        <f>IF(Sheet1!FO41&lt;&gt;"",Sheet1!FO41,"")</f>
        <v>410879</v>
      </c>
      <c r="H41">
        <f>IF(Sheet1!FW41&lt;&gt;"",Sheet1!FW41,"")</f>
        <v>0</v>
      </c>
      <c r="I41">
        <f ca="1">IF(Sheet1!GY41&lt;&gt;"",Sheet1!GY41,"")</f>
        <v>0</v>
      </c>
    </row>
    <row r="42" spans="1:9" x14ac:dyDescent="0.25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926080</v>
      </c>
      <c r="F42">
        <f>IF(Sheet1!FE42&lt;&gt;"",Sheet1!FE42,"")</f>
        <v>60000</v>
      </c>
      <c r="G42">
        <f>IF(Sheet1!FO42&lt;&gt;"",Sheet1!FO42,"")</f>
        <v>813680</v>
      </c>
      <c r="H42">
        <f>IF(Sheet1!FW42&lt;&gt;"",Sheet1!FW42,"")</f>
        <v>78245</v>
      </c>
      <c r="I42">
        <f ca="1">IF(Sheet1!GY42&lt;&gt;"",Sheet1!GY42,"")</f>
        <v>0</v>
      </c>
    </row>
    <row r="43" spans="1:9" x14ac:dyDescent="0.25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487081</v>
      </c>
      <c r="F43">
        <f>IF(Sheet1!FE43&lt;&gt;"",Sheet1!FE43,"")</f>
        <v>24000</v>
      </c>
      <c r="G43">
        <f>IF(Sheet1!FO43&lt;&gt;"",Sheet1!FO43,"")</f>
        <v>410881</v>
      </c>
      <c r="H43">
        <f>IF(Sheet1!FW43&lt;&gt;"",Sheet1!FW43,"")</f>
        <v>0</v>
      </c>
      <c r="I43">
        <f ca="1">IF(Sheet1!GY43&lt;&gt;"",Sheet1!GY43,"")</f>
        <v>0</v>
      </c>
    </row>
    <row r="44" spans="1:9" x14ac:dyDescent="0.25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411402</v>
      </c>
      <c r="F44">
        <f>IF(Sheet1!FE44&lt;&gt;"",Sheet1!FE44,"")</f>
        <v>0</v>
      </c>
      <c r="G44">
        <f>IF(Sheet1!FO44&lt;&gt;"",Sheet1!FO44,"")</f>
        <v>359602</v>
      </c>
      <c r="H44">
        <f>IF(Sheet1!FW44&lt;&gt;"",Sheet1!FW44,"")</f>
        <v>0</v>
      </c>
      <c r="I44">
        <f ca="1">IF(Sheet1!GY44&lt;&gt;"",Sheet1!GY44,"")</f>
        <v>0</v>
      </c>
    </row>
    <row r="45" spans="1:9" x14ac:dyDescent="0.25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792963</v>
      </c>
      <c r="F45">
        <f>IF(Sheet1!FE45&lt;&gt;"",Sheet1!FE45,"")</f>
        <v>36720</v>
      </c>
      <c r="G45">
        <f>IF(Sheet1!FO45&lt;&gt;"",Sheet1!FO45,"")</f>
        <v>703843</v>
      </c>
      <c r="H45">
        <f>IF(Sheet1!FW45&lt;&gt;"",Sheet1!FW45,"")</f>
        <v>55400</v>
      </c>
      <c r="I45">
        <f ca="1">IF(Sheet1!GY45&lt;&gt;"",Sheet1!GY45,"")</f>
        <v>0</v>
      </c>
    </row>
    <row r="46" spans="1:9" x14ac:dyDescent="0.25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555444</v>
      </c>
      <c r="F46">
        <f>IF(Sheet1!FE46&lt;&gt;"",Sheet1!FE46,"")</f>
        <v>30000</v>
      </c>
      <c r="G46">
        <f>IF(Sheet1!FO46&lt;&gt;"",Sheet1!FO46,"")</f>
        <v>473044</v>
      </c>
      <c r="H46">
        <f>IF(Sheet1!FW46&lt;&gt;"",Sheet1!FW46,"")</f>
        <v>0</v>
      </c>
      <c r="I46">
        <f ca="1">IF(Sheet1!GY46&lt;&gt;"",Sheet1!GY46,"")</f>
        <v>0</v>
      </c>
    </row>
    <row r="47" spans="1:9" x14ac:dyDescent="0.25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515165</v>
      </c>
      <c r="F47">
        <f>IF(Sheet1!FE47&lt;&gt;"",Sheet1!FE47,"")</f>
        <v>24000</v>
      </c>
      <c r="G47">
        <f>IF(Sheet1!FO47&lt;&gt;"",Sheet1!FO47,"")</f>
        <v>438765</v>
      </c>
      <c r="H47">
        <f>IF(Sheet1!FW47&lt;&gt;"",Sheet1!FW47,"")</f>
        <v>0</v>
      </c>
      <c r="I47">
        <f ca="1">IF(Sheet1!GY47&lt;&gt;"",Sheet1!GY47,"")</f>
        <v>0</v>
      </c>
    </row>
    <row r="48" spans="1:9" x14ac:dyDescent="0.25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834806</v>
      </c>
      <c r="F48">
        <f>IF(Sheet1!FE48&lt;&gt;"",Sheet1!FE48,"")</f>
        <v>84000</v>
      </c>
      <c r="G48">
        <f>IF(Sheet1!FO48&lt;&gt;"",Sheet1!FO48,"")</f>
        <v>698406</v>
      </c>
      <c r="H48">
        <f>IF(Sheet1!FW48&lt;&gt;"",Sheet1!FW48,"")</f>
        <v>54268</v>
      </c>
      <c r="I48">
        <f ca="1">IF(Sheet1!GY48&lt;&gt;"",Sheet1!GY48,"")</f>
        <v>0</v>
      </c>
    </row>
    <row r="49" spans="1:9" x14ac:dyDescent="0.25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578087</v>
      </c>
      <c r="F49">
        <f>IF(Sheet1!FE49&lt;&gt;"",Sheet1!FE49,"")</f>
        <v>60000</v>
      </c>
      <c r="G49">
        <f>IF(Sheet1!FO49&lt;&gt;"",Sheet1!FO49,"")</f>
        <v>465687</v>
      </c>
      <c r="H49">
        <f>IF(Sheet1!FW49&lt;&gt;"",Sheet1!FW49,"")</f>
        <v>0</v>
      </c>
      <c r="I49">
        <f ca="1">IF(Sheet1!GY49&lt;&gt;"",Sheet1!GY49,"")</f>
        <v>0</v>
      </c>
    </row>
    <row r="50" spans="1:9" x14ac:dyDescent="0.25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578088</v>
      </c>
      <c r="F50">
        <f>IF(Sheet1!FE50&lt;&gt;"",Sheet1!FE50,"")</f>
        <v>96000</v>
      </c>
      <c r="G50">
        <f>IF(Sheet1!FO50&lt;&gt;"",Sheet1!FO50,"")</f>
        <v>429688</v>
      </c>
      <c r="H50">
        <f>IF(Sheet1!FW50&lt;&gt;"",Sheet1!FW50,"")</f>
        <v>0</v>
      </c>
      <c r="I50">
        <f ca="1">IF(Sheet1!GY50&lt;&gt;"",Sheet1!GY50,"")</f>
        <v>0</v>
      </c>
    </row>
    <row r="51" spans="1:9" x14ac:dyDescent="0.25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578089</v>
      </c>
      <c r="F51">
        <f>IF(Sheet1!FE51&lt;&gt;"",Sheet1!FE51,"")</f>
        <v>60000</v>
      </c>
      <c r="G51">
        <f>IF(Sheet1!FO51&lt;&gt;"",Sheet1!FO51,"")</f>
        <v>465689</v>
      </c>
      <c r="H51">
        <f>IF(Sheet1!FW51&lt;&gt;"",Sheet1!FW51,"")</f>
        <v>0</v>
      </c>
      <c r="I51">
        <f ca="1">IF(Sheet1!GY51&lt;&gt;"",Sheet1!GY51,"")</f>
        <v>0</v>
      </c>
    </row>
    <row r="52" spans="1:9" x14ac:dyDescent="0.25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816370</v>
      </c>
      <c r="F52">
        <f>IF(Sheet1!FE52&lt;&gt;"",Sheet1!FE52,"")</f>
        <v>72000</v>
      </c>
      <c r="G52">
        <f>IF(Sheet1!FO52&lt;&gt;"",Sheet1!FO52,"")</f>
        <v>691970</v>
      </c>
      <c r="H52">
        <f>IF(Sheet1!FW52&lt;&gt;"",Sheet1!FW52,"")</f>
        <v>52930</v>
      </c>
      <c r="I52">
        <f ca="1">IF(Sheet1!GY52&lt;&gt;"",Sheet1!GY52,"")</f>
        <v>0</v>
      </c>
    </row>
    <row r="53" spans="1:9" x14ac:dyDescent="0.25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578091</v>
      </c>
      <c r="F53">
        <f>IF(Sheet1!FE53&lt;&gt;"",Sheet1!FE53,"")</f>
        <v>72000</v>
      </c>
      <c r="G53">
        <f>IF(Sheet1!FO53&lt;&gt;"",Sheet1!FO53,"")</f>
        <v>453691</v>
      </c>
      <c r="H53">
        <f>IF(Sheet1!FW53&lt;&gt;"",Sheet1!FW53,"")</f>
        <v>0</v>
      </c>
      <c r="I53">
        <f ca="1">IF(Sheet1!GY53&lt;&gt;"",Sheet1!GY53,"")</f>
        <v>0</v>
      </c>
    </row>
    <row r="54" spans="1:9" x14ac:dyDescent="0.25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572092</v>
      </c>
      <c r="F54">
        <f>IF(Sheet1!FE54&lt;&gt;"",Sheet1!FE54,"")</f>
        <v>30000</v>
      </c>
      <c r="G54">
        <f>IF(Sheet1!FO54&lt;&gt;"",Sheet1!FO54,"")</f>
        <v>489692</v>
      </c>
      <c r="H54">
        <f>IF(Sheet1!FW54&lt;&gt;"",Sheet1!FW54,"")</f>
        <v>0</v>
      </c>
      <c r="I54">
        <f ca="1">IF(Sheet1!GY54&lt;&gt;"",Sheet1!GY54,"")</f>
        <v>0</v>
      </c>
    </row>
    <row r="55" spans="1:9" x14ac:dyDescent="0.25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582893</v>
      </c>
      <c r="F55">
        <f>IF(Sheet1!FE55&lt;&gt;"",Sheet1!FE55,"")</f>
        <v>60000</v>
      </c>
      <c r="G55">
        <f>IF(Sheet1!FO55&lt;&gt;"",Sheet1!FO55,"")</f>
        <v>470493</v>
      </c>
      <c r="H55">
        <f>IF(Sheet1!FW55&lt;&gt;"",Sheet1!FW55,"")</f>
        <v>0</v>
      </c>
      <c r="I55">
        <f ca="1">IF(Sheet1!GY55&lt;&gt;"",Sheet1!GY55,"")</f>
        <v>0</v>
      </c>
    </row>
    <row r="56" spans="1:9" x14ac:dyDescent="0.25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578094</v>
      </c>
      <c r="F56">
        <f>IF(Sheet1!FE56&lt;&gt;"",Sheet1!FE56,"")</f>
        <v>30000</v>
      </c>
      <c r="G56">
        <f>IF(Sheet1!FO56&lt;&gt;"",Sheet1!FO56,"")</f>
        <v>495694</v>
      </c>
      <c r="H56">
        <f>IF(Sheet1!FW56&lt;&gt;"",Sheet1!FW56,"")</f>
        <v>0</v>
      </c>
      <c r="I56">
        <f ca="1">IF(Sheet1!GY56&lt;&gt;"",Sheet1!GY56,"")</f>
        <v>0</v>
      </c>
    </row>
    <row r="57" spans="1:9" x14ac:dyDescent="0.25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561455</v>
      </c>
      <c r="F57">
        <f>IF(Sheet1!FE57&lt;&gt;"",Sheet1!FE57,"")</f>
        <v>42000</v>
      </c>
      <c r="G57">
        <f>IF(Sheet1!FO57&lt;&gt;"",Sheet1!FO57,"")</f>
        <v>467055</v>
      </c>
      <c r="H57">
        <f>IF(Sheet1!FW57&lt;&gt;"",Sheet1!FW57,"")</f>
        <v>0</v>
      </c>
      <c r="I57">
        <f ca="1">IF(Sheet1!GY57&lt;&gt;"",Sheet1!GY57,"")</f>
        <v>0</v>
      </c>
    </row>
    <row r="58" spans="1:9" x14ac:dyDescent="0.25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524256</v>
      </c>
      <c r="F58">
        <f>IF(Sheet1!FE58&lt;&gt;"",Sheet1!FE58,"")</f>
        <v>36000</v>
      </c>
      <c r="G58">
        <f>IF(Sheet1!FO58&lt;&gt;"",Sheet1!FO58,"")</f>
        <v>435856</v>
      </c>
      <c r="H58">
        <f>IF(Sheet1!FW58&lt;&gt;"",Sheet1!FW58,"")</f>
        <v>0</v>
      </c>
      <c r="I58">
        <f ca="1">IF(Sheet1!GY58&lt;&gt;"",Sheet1!GY58,"")</f>
        <v>0</v>
      </c>
    </row>
    <row r="59" spans="1:9" x14ac:dyDescent="0.25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561457</v>
      </c>
      <c r="F59">
        <f>IF(Sheet1!FE59&lt;&gt;"",Sheet1!FE59,"")</f>
        <v>30000</v>
      </c>
      <c r="G59">
        <f>IF(Sheet1!FO59&lt;&gt;"",Sheet1!FO59,"")</f>
        <v>479057</v>
      </c>
      <c r="H59">
        <f>IF(Sheet1!FW59&lt;&gt;"",Sheet1!FW59,"")</f>
        <v>0</v>
      </c>
      <c r="I59">
        <f ca="1">IF(Sheet1!GY59&lt;&gt;"",Sheet1!GY59,"")</f>
        <v>0</v>
      </c>
    </row>
    <row r="60" spans="1:9" x14ac:dyDescent="0.25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635418</v>
      </c>
      <c r="F60">
        <f>IF(Sheet1!FE60&lt;&gt;"",Sheet1!FE60,"")</f>
        <v>36000</v>
      </c>
      <c r="G60">
        <f>IF(Sheet1!FO60&lt;&gt;"",Sheet1!FO60,"")</f>
        <v>547018</v>
      </c>
      <c r="H60">
        <f>IF(Sheet1!FW60&lt;&gt;"",Sheet1!FW60,"")</f>
        <v>22780</v>
      </c>
      <c r="I60">
        <f ca="1">IF(Sheet1!GY60&lt;&gt;"",Sheet1!GY60,"")</f>
        <v>0</v>
      </c>
    </row>
    <row r="61" spans="1:9" x14ac:dyDescent="0.25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561459</v>
      </c>
      <c r="F61">
        <f>IF(Sheet1!FE61&lt;&gt;"",Sheet1!FE61,"")</f>
        <v>30000</v>
      </c>
      <c r="G61">
        <f>IF(Sheet1!FO61&lt;&gt;"",Sheet1!FO61,"")</f>
        <v>479059</v>
      </c>
      <c r="H61">
        <f>IF(Sheet1!FW61&lt;&gt;"",Sheet1!FW61,"")</f>
        <v>0</v>
      </c>
      <c r="I61">
        <f ca="1">IF(Sheet1!GY61&lt;&gt;"",Sheet1!GY61,"")</f>
        <v>0</v>
      </c>
    </row>
    <row r="62" spans="1:9" x14ac:dyDescent="0.25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561460</v>
      </c>
      <c r="F62">
        <f>IF(Sheet1!FE62&lt;&gt;"",Sheet1!FE62,"")</f>
        <v>30000</v>
      </c>
      <c r="G62">
        <f>IF(Sheet1!FO62&lt;&gt;"",Sheet1!FO62,"")</f>
        <v>479060</v>
      </c>
      <c r="H62">
        <f>IF(Sheet1!FW62&lt;&gt;"",Sheet1!FW62,"")</f>
        <v>0</v>
      </c>
      <c r="I62">
        <f ca="1">IF(Sheet1!GY62&lt;&gt;"",Sheet1!GY62,"")</f>
        <v>0</v>
      </c>
    </row>
    <row r="63" spans="1:9" x14ac:dyDescent="0.25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530261</v>
      </c>
      <c r="F63">
        <f>IF(Sheet1!FE63&lt;&gt;"",Sheet1!FE63,"")</f>
        <v>24000</v>
      </c>
      <c r="G63">
        <f>IF(Sheet1!FO63&lt;&gt;"",Sheet1!FO63,"")</f>
        <v>406061</v>
      </c>
      <c r="H63">
        <f>IF(Sheet1!FW63&lt;&gt;"",Sheet1!FW63,"")</f>
        <v>0</v>
      </c>
      <c r="I63">
        <f ca="1">IF(Sheet1!GY63&lt;&gt;"",Sheet1!GY63,"")</f>
        <v>0</v>
      </c>
    </row>
    <row r="64" spans="1:9" x14ac:dyDescent="0.25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582902</v>
      </c>
      <c r="F64">
        <f>IF(Sheet1!FE64&lt;&gt;"",Sheet1!FE64,"")</f>
        <v>60000</v>
      </c>
      <c r="G64">
        <f>IF(Sheet1!FO64&lt;&gt;"",Sheet1!FO64,"")</f>
        <v>470502</v>
      </c>
      <c r="H64">
        <f>IF(Sheet1!FW64&lt;&gt;"",Sheet1!FW64,"")</f>
        <v>0</v>
      </c>
      <c r="I64">
        <f ca="1">IF(Sheet1!GY64&lt;&gt;"",Sheet1!GY64,"")</f>
        <v>0</v>
      </c>
    </row>
    <row r="65" spans="1:9" x14ac:dyDescent="0.25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578103</v>
      </c>
      <c r="F65">
        <f>IF(Sheet1!FE65&lt;&gt;"",Sheet1!FE65,"")</f>
        <v>30000</v>
      </c>
      <c r="G65">
        <f>IF(Sheet1!FO65&lt;&gt;"",Sheet1!FO65,"")</f>
        <v>495703</v>
      </c>
      <c r="H65">
        <f>IF(Sheet1!FW65&lt;&gt;"",Sheet1!FW65,"")</f>
        <v>0</v>
      </c>
      <c r="I65">
        <f ca="1">IF(Sheet1!GY65&lt;&gt;"",Sheet1!GY65,"")</f>
        <v>0</v>
      </c>
    </row>
    <row r="66" spans="1:9" x14ac:dyDescent="0.25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555464</v>
      </c>
      <c r="F66">
        <f>IF(Sheet1!FE66&lt;&gt;"",Sheet1!FE66,"")</f>
        <v>30000</v>
      </c>
      <c r="G66">
        <f>IF(Sheet1!FO66&lt;&gt;"",Sheet1!FO66,"")</f>
        <v>473064</v>
      </c>
      <c r="H66">
        <f>IF(Sheet1!FW66&lt;&gt;"",Sheet1!FW66,"")</f>
        <v>0</v>
      </c>
      <c r="I66">
        <f ca="1">IF(Sheet1!GY66&lt;&gt;"",Sheet1!GY66,"")</f>
        <v>0</v>
      </c>
    </row>
    <row r="67" spans="1:9" x14ac:dyDescent="0.25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572105</v>
      </c>
      <c r="F67">
        <f>IF(Sheet1!FE67&lt;&gt;"",Sheet1!FE67,"")</f>
        <v>30000</v>
      </c>
      <c r="G67">
        <f>IF(Sheet1!FO67&lt;&gt;"",Sheet1!FO67,"")</f>
        <v>489705</v>
      </c>
      <c r="H67">
        <f>IF(Sheet1!FW67&lt;&gt;"",Sheet1!FW67,"")</f>
        <v>0</v>
      </c>
      <c r="I67">
        <f ca="1">IF(Sheet1!GY67&lt;&gt;"",Sheet1!GY67,"")</f>
        <v>0</v>
      </c>
    </row>
    <row r="68" spans="1:9" x14ac:dyDescent="0.25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530266</v>
      </c>
      <c r="F68">
        <f>IF(Sheet1!FE68&lt;&gt;"",Sheet1!FE68,"")</f>
        <v>24000</v>
      </c>
      <c r="G68">
        <f>IF(Sheet1!FO68&lt;&gt;"",Sheet1!FO68,"")</f>
        <v>453866</v>
      </c>
      <c r="H68">
        <f>IF(Sheet1!FW68&lt;&gt;"",Sheet1!FW68,"")</f>
        <v>0</v>
      </c>
      <c r="I68">
        <f ca="1">IF(Sheet1!GY68&lt;&gt;"",Sheet1!GY68,"")</f>
        <v>0</v>
      </c>
    </row>
    <row r="69" spans="1:9" x14ac:dyDescent="0.25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515187</v>
      </c>
      <c r="F69">
        <f>IF(Sheet1!FE69&lt;&gt;"",Sheet1!FE69,"")</f>
        <v>24000</v>
      </c>
      <c r="G69">
        <f>IF(Sheet1!FO69&lt;&gt;"",Sheet1!FO69,"")</f>
        <v>438787</v>
      </c>
      <c r="H69">
        <f>IF(Sheet1!FW69&lt;&gt;"",Sheet1!FW69,"")</f>
        <v>0</v>
      </c>
      <c r="I69">
        <f ca="1">IF(Sheet1!GY69&lt;&gt;"",Sheet1!GY69,"")</f>
        <v>0</v>
      </c>
    </row>
    <row r="70" spans="1:9" x14ac:dyDescent="0.25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487108</v>
      </c>
      <c r="F70">
        <f>IF(Sheet1!FE70&lt;&gt;"",Sheet1!FE70,"")</f>
        <v>24000</v>
      </c>
      <c r="G70">
        <f>IF(Sheet1!FO70&lt;&gt;"",Sheet1!FO70,"")</f>
        <v>410908</v>
      </c>
      <c r="H70">
        <f>IF(Sheet1!FW70&lt;&gt;"",Sheet1!FW70,"")</f>
        <v>0</v>
      </c>
      <c r="I70">
        <f ca="1">IF(Sheet1!GY70&lt;&gt;"",Sheet1!GY70,"")</f>
        <v>0</v>
      </c>
    </row>
    <row r="71" spans="1:9" x14ac:dyDescent="0.25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865789</v>
      </c>
      <c r="F71">
        <f>IF(Sheet1!FE71&lt;&gt;"",Sheet1!FE71,"")</f>
        <v>120720</v>
      </c>
      <c r="G71">
        <f>IF(Sheet1!FO71&lt;&gt;"",Sheet1!FO71,"")</f>
        <v>692669</v>
      </c>
      <c r="H71">
        <f>IF(Sheet1!FW71&lt;&gt;"",Sheet1!FW71,"")</f>
        <v>53075</v>
      </c>
      <c r="I71">
        <f ca="1">IF(Sheet1!GY71&lt;&gt;"",Sheet1!GY71,"")</f>
        <v>0</v>
      </c>
    </row>
    <row r="72" spans="1:9" x14ac:dyDescent="0.25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630630</v>
      </c>
      <c r="F72">
        <f>IF(Sheet1!FE72&lt;&gt;"",Sheet1!FE72,"")</f>
        <v>84000</v>
      </c>
      <c r="G72">
        <f>IF(Sheet1!FO72&lt;&gt;"",Sheet1!FO72,"")</f>
        <v>494230</v>
      </c>
      <c r="H72">
        <f>IF(Sheet1!FW72&lt;&gt;"",Sheet1!FW72,"")</f>
        <v>0</v>
      </c>
      <c r="I72">
        <f ca="1">IF(Sheet1!GY72&lt;&gt;"",Sheet1!GY72,"")</f>
        <v>0</v>
      </c>
    </row>
    <row r="73" spans="1:9" x14ac:dyDescent="0.25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865791</v>
      </c>
      <c r="F73">
        <f>IF(Sheet1!FE73&lt;&gt;"",Sheet1!FE73,"")</f>
        <v>48000</v>
      </c>
      <c r="G73">
        <f>IF(Sheet1!FO73&lt;&gt;"",Sheet1!FO73,"")</f>
        <v>765391</v>
      </c>
      <c r="H73">
        <f>IF(Sheet1!FW73&lt;&gt;"",Sheet1!FW73,"")</f>
        <v>68201</v>
      </c>
      <c r="I73">
        <f ca="1">IF(Sheet1!GY73&lt;&gt;"",Sheet1!GY73,"")</f>
        <v>0</v>
      </c>
    </row>
    <row r="74" spans="1:9" x14ac:dyDescent="0.25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578112</v>
      </c>
      <c r="F74">
        <f>IF(Sheet1!FE74&lt;&gt;"",Sheet1!FE74,"")</f>
        <v>30000</v>
      </c>
      <c r="G74">
        <f>IF(Sheet1!FO74&lt;&gt;"",Sheet1!FO74,"")</f>
        <v>495712</v>
      </c>
      <c r="H74">
        <f>IF(Sheet1!FW74&lt;&gt;"",Sheet1!FW74,"")</f>
        <v>0</v>
      </c>
      <c r="I74">
        <f ca="1">IF(Sheet1!GY74&lt;&gt;"",Sheet1!GY74,"")</f>
        <v>0</v>
      </c>
    </row>
    <row r="75" spans="1:9" x14ac:dyDescent="0.25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578113</v>
      </c>
      <c r="F75">
        <f>IF(Sheet1!FE75&lt;&gt;"",Sheet1!FE75,"")</f>
        <v>30000</v>
      </c>
      <c r="G75">
        <f>IF(Sheet1!FO75&lt;&gt;"",Sheet1!FO75,"")</f>
        <v>495713</v>
      </c>
      <c r="H75">
        <f>IF(Sheet1!FW75&lt;&gt;"",Sheet1!FW75,"")</f>
        <v>0</v>
      </c>
      <c r="I75">
        <f ca="1">IF(Sheet1!GY75&lt;&gt;"",Sheet1!GY75,"")</f>
        <v>0</v>
      </c>
    </row>
    <row r="76" spans="1:9" x14ac:dyDescent="0.25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840834</v>
      </c>
      <c r="F76">
        <f>IF(Sheet1!FE76&lt;&gt;"",Sheet1!FE76,"")</f>
        <v>72000</v>
      </c>
      <c r="G76">
        <f>IF(Sheet1!FO76&lt;&gt;"",Sheet1!FO76,"")</f>
        <v>716434</v>
      </c>
      <c r="H76">
        <f>IF(Sheet1!FW76&lt;&gt;"",Sheet1!FW76,"")</f>
        <v>58018</v>
      </c>
      <c r="I76">
        <f ca="1">IF(Sheet1!GY76&lt;&gt;"",Sheet1!GY76,"")</f>
        <v>0</v>
      </c>
    </row>
    <row r="77" spans="1:9" x14ac:dyDescent="0.25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782195</v>
      </c>
      <c r="F77">
        <f>IF(Sheet1!FE77&lt;&gt;"",Sheet1!FE77,"")</f>
        <v>36000</v>
      </c>
      <c r="G77">
        <f>IF(Sheet1!FO77&lt;&gt;"",Sheet1!FO77,"")</f>
        <v>693795</v>
      </c>
      <c r="H77">
        <f>IF(Sheet1!FW77&lt;&gt;"",Sheet1!FW77,"")</f>
        <v>53309</v>
      </c>
      <c r="I77">
        <f ca="1">IF(Sheet1!GY77&lt;&gt;"",Sheet1!GY77,"")</f>
        <v>0</v>
      </c>
    </row>
    <row r="78" spans="1:9" x14ac:dyDescent="0.25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487116</v>
      </c>
      <c r="F78">
        <f>IF(Sheet1!FE78&lt;&gt;"",Sheet1!FE78,"")</f>
        <v>24000</v>
      </c>
      <c r="G78">
        <f>IF(Sheet1!FO78&lt;&gt;"",Sheet1!FO78,"")</f>
        <v>410916</v>
      </c>
      <c r="H78">
        <f>IF(Sheet1!FW78&lt;&gt;"",Sheet1!FW78,"")</f>
        <v>0</v>
      </c>
      <c r="I78">
        <f ca="1">IF(Sheet1!GY78&lt;&gt;"",Sheet1!GY78,"")</f>
        <v>0</v>
      </c>
    </row>
    <row r="79" spans="1:9" x14ac:dyDescent="0.25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582917</v>
      </c>
      <c r="F79">
        <f>IF(Sheet1!FE79&lt;&gt;"",Sheet1!FE79,"")</f>
        <v>60000</v>
      </c>
      <c r="G79">
        <f>IF(Sheet1!FO79&lt;&gt;"",Sheet1!FO79,"")</f>
        <v>470517</v>
      </c>
      <c r="H79">
        <f>IF(Sheet1!FW79&lt;&gt;"",Sheet1!FW79,"")</f>
        <v>0</v>
      </c>
      <c r="I79">
        <f ca="1">IF(Sheet1!GY79&lt;&gt;"",Sheet1!GY79,"")</f>
        <v>0</v>
      </c>
    </row>
    <row r="80" spans="1:9" x14ac:dyDescent="0.25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578118</v>
      </c>
      <c r="F80">
        <f>IF(Sheet1!FE80&lt;&gt;"",Sheet1!FE80,"")</f>
        <v>30000</v>
      </c>
      <c r="G80">
        <f>IF(Sheet1!FO80&lt;&gt;"",Sheet1!FO80,"")</f>
        <v>495718</v>
      </c>
      <c r="H80">
        <f>IF(Sheet1!FW80&lt;&gt;"",Sheet1!FW80,"")</f>
        <v>0</v>
      </c>
      <c r="I80">
        <f ca="1">IF(Sheet1!GY80&lt;&gt;"",Sheet1!GY80,"")</f>
        <v>0</v>
      </c>
    </row>
    <row r="81" spans="1:9" x14ac:dyDescent="0.25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530279</v>
      </c>
      <c r="F81">
        <f>IF(Sheet1!FE81&lt;&gt;"",Sheet1!FE81,"")</f>
        <v>24000</v>
      </c>
      <c r="G81">
        <f>IF(Sheet1!FO81&lt;&gt;"",Sheet1!FO81,"")</f>
        <v>453879</v>
      </c>
      <c r="H81">
        <f>IF(Sheet1!FW81&lt;&gt;"",Sheet1!FW81,"")</f>
        <v>0</v>
      </c>
      <c r="I81">
        <f ca="1">IF(Sheet1!GY81&lt;&gt;"",Sheet1!GY81,"")</f>
        <v>0</v>
      </c>
    </row>
    <row r="82" spans="1:9" x14ac:dyDescent="0.25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530280</v>
      </c>
      <c r="F82">
        <f>IF(Sheet1!FE82&lt;&gt;"",Sheet1!FE82,"")</f>
        <v>24000</v>
      </c>
      <c r="G82">
        <f>IF(Sheet1!FO82&lt;&gt;"",Sheet1!FO82,"")</f>
        <v>453880</v>
      </c>
      <c r="H82">
        <f>IF(Sheet1!FW82&lt;&gt;"",Sheet1!FW82,"")</f>
        <v>0</v>
      </c>
      <c r="I82">
        <f ca="1">IF(Sheet1!GY82&lt;&gt;"",Sheet1!GY82,"")</f>
        <v>0</v>
      </c>
    </row>
    <row r="83" spans="1:9" x14ac:dyDescent="0.25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481121</v>
      </c>
      <c r="F83">
        <f>IF(Sheet1!FE83&lt;&gt;"",Sheet1!FE83,"")</f>
        <v>24000</v>
      </c>
      <c r="G83">
        <f>IF(Sheet1!FO83&lt;&gt;"",Sheet1!FO83,"")</f>
        <v>405321</v>
      </c>
      <c r="H83">
        <f>IF(Sheet1!FW83&lt;&gt;"",Sheet1!FW83,"")</f>
        <v>0</v>
      </c>
      <c r="I83">
        <f ca="1">IF(Sheet1!GY83&lt;&gt;"",Sheet1!GY83,"")</f>
        <v>0</v>
      </c>
    </row>
    <row r="84" spans="1:9" x14ac:dyDescent="0.25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582922</v>
      </c>
      <c r="F84">
        <f>IF(Sheet1!FE84&lt;&gt;"",Sheet1!FE84,"")</f>
        <v>30000</v>
      </c>
      <c r="G84">
        <f>IF(Sheet1!FO84&lt;&gt;"",Sheet1!FO84,"")</f>
        <v>500522</v>
      </c>
      <c r="H84">
        <f>IF(Sheet1!FW84&lt;&gt;"",Sheet1!FW84,"")</f>
        <v>13108</v>
      </c>
      <c r="I84">
        <f ca="1">IF(Sheet1!GY84&lt;&gt;"",Sheet1!GY84,"")</f>
        <v>0</v>
      </c>
    </row>
    <row r="85" spans="1:9" x14ac:dyDescent="0.25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555483</v>
      </c>
      <c r="F85">
        <f>IF(Sheet1!FE85&lt;&gt;"",Sheet1!FE85,"")</f>
        <v>30000</v>
      </c>
      <c r="G85">
        <f>IF(Sheet1!FO85&lt;&gt;"",Sheet1!FO85,"")</f>
        <v>473083</v>
      </c>
      <c r="H85">
        <f>IF(Sheet1!FW85&lt;&gt;"",Sheet1!FW85,"")</f>
        <v>0</v>
      </c>
      <c r="I85">
        <f ca="1">IF(Sheet1!GY85&lt;&gt;"",Sheet1!GY85,"")</f>
        <v>0</v>
      </c>
    </row>
    <row r="86" spans="1:9" x14ac:dyDescent="0.25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566284</v>
      </c>
      <c r="F86">
        <f>IF(Sheet1!FE86&lt;&gt;"",Sheet1!FE86,"")</f>
        <v>36000</v>
      </c>
      <c r="G86">
        <f>IF(Sheet1!FO86&lt;&gt;"",Sheet1!FO86,"")</f>
        <v>477884</v>
      </c>
      <c r="H86">
        <f>IF(Sheet1!FW86&lt;&gt;"",Sheet1!FW86,"")</f>
        <v>0</v>
      </c>
      <c r="I86">
        <f ca="1">IF(Sheet1!GY86&lt;&gt;"",Sheet1!GY86,"")</f>
        <v>0</v>
      </c>
    </row>
    <row r="87" spans="1:9" x14ac:dyDescent="0.25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501165</v>
      </c>
      <c r="F87">
        <f>IF(Sheet1!FE87&lt;&gt;"",Sheet1!FE87,"")</f>
        <v>24000</v>
      </c>
      <c r="G87">
        <f>IF(Sheet1!FO87&lt;&gt;"",Sheet1!FO87,"")</f>
        <v>424765</v>
      </c>
      <c r="H87">
        <f>IF(Sheet1!FW87&lt;&gt;"",Sheet1!FW87,"")</f>
        <v>0</v>
      </c>
      <c r="I87">
        <f ca="1">IF(Sheet1!GY87&lt;&gt;"",Sheet1!GY87,"")</f>
        <v>0</v>
      </c>
    </row>
    <row r="88" spans="1:9" x14ac:dyDescent="0.25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816406</v>
      </c>
      <c r="F88">
        <f>IF(Sheet1!FE88&lt;&gt;"",Sheet1!FE88,"")</f>
        <v>60000</v>
      </c>
      <c r="G88">
        <f>IF(Sheet1!FO88&lt;&gt;"",Sheet1!FO88,"")</f>
        <v>704006</v>
      </c>
      <c r="H88">
        <f>IF(Sheet1!FW88&lt;&gt;"",Sheet1!FW88,"")</f>
        <v>55433</v>
      </c>
      <c r="I88">
        <f ca="1">IF(Sheet1!GY88&lt;&gt;"",Sheet1!GY88,"")</f>
        <v>0</v>
      </c>
    </row>
    <row r="89" spans="1:9" x14ac:dyDescent="0.25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572127</v>
      </c>
      <c r="F89">
        <f>IF(Sheet1!FE89&lt;&gt;"",Sheet1!FE89,"")</f>
        <v>36000</v>
      </c>
      <c r="G89">
        <f>IF(Sheet1!FO89&lt;&gt;"",Sheet1!FO89,"")</f>
        <v>483727</v>
      </c>
      <c r="H89">
        <f>IF(Sheet1!FW89&lt;&gt;"",Sheet1!FW89,"")</f>
        <v>0</v>
      </c>
      <c r="I89">
        <f ca="1">IF(Sheet1!GY89&lt;&gt;"",Sheet1!GY89,"")</f>
        <v>0</v>
      </c>
    </row>
    <row r="90" spans="1:9" x14ac:dyDescent="0.25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530288</v>
      </c>
      <c r="F90">
        <f>IF(Sheet1!FE90&lt;&gt;"",Sheet1!FE90,"")</f>
        <v>24000</v>
      </c>
      <c r="G90">
        <f>IF(Sheet1!FO90&lt;&gt;"",Sheet1!FO90,"")</f>
        <v>453888</v>
      </c>
      <c r="H90">
        <f>IF(Sheet1!FW90&lt;&gt;"",Sheet1!FW90,"")</f>
        <v>0</v>
      </c>
      <c r="I90">
        <f ca="1">IF(Sheet1!GY90&lt;&gt;"",Sheet1!GY90,"")</f>
        <v>0</v>
      </c>
    </row>
    <row r="91" spans="1:9" x14ac:dyDescent="0.25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926129</v>
      </c>
      <c r="F91">
        <f>IF(Sheet1!FE91&lt;&gt;"",Sheet1!FE91,"")</f>
        <v>60000</v>
      </c>
      <c r="G91">
        <f>IF(Sheet1!FO91&lt;&gt;"",Sheet1!FO91,"")</f>
        <v>813729</v>
      </c>
      <c r="H91">
        <f>IF(Sheet1!FW91&lt;&gt;"",Sheet1!FW91,"")</f>
        <v>78256</v>
      </c>
      <c r="I91">
        <f ca="1">IF(Sheet1!GY91&lt;&gt;"",Sheet1!GY91,"")</f>
        <v>0</v>
      </c>
    </row>
    <row r="92" spans="1:9" x14ac:dyDescent="0.25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788210</v>
      </c>
      <c r="F92">
        <f>IF(Sheet1!FE92&lt;&gt;"",Sheet1!FE92,"")</f>
        <v>36720</v>
      </c>
      <c r="G92">
        <f>IF(Sheet1!FO92&lt;&gt;"",Sheet1!FO92,"")</f>
        <v>699090</v>
      </c>
      <c r="H92">
        <f>IF(Sheet1!FW92&lt;&gt;"",Sheet1!FW92,"")</f>
        <v>54411</v>
      </c>
      <c r="I92">
        <f ca="1">IF(Sheet1!GY92&lt;&gt;"",Sheet1!GY92,"")</f>
        <v>0</v>
      </c>
    </row>
    <row r="93" spans="1:9" x14ac:dyDescent="0.25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595291</v>
      </c>
      <c r="F93">
        <f>IF(Sheet1!FE93&lt;&gt;"",Sheet1!FE93,"")</f>
        <v>36000</v>
      </c>
      <c r="G93">
        <f>IF(Sheet1!FO93&lt;&gt;"",Sheet1!FO93,"")</f>
        <v>506891</v>
      </c>
      <c r="H93">
        <f>IF(Sheet1!FW93&lt;&gt;"",Sheet1!FW93,"")</f>
        <v>14433</v>
      </c>
      <c r="I93">
        <f ca="1">IF(Sheet1!GY93&lt;&gt;"",Sheet1!GY93,"")</f>
        <v>0</v>
      </c>
    </row>
    <row r="94" spans="1:9" x14ac:dyDescent="0.25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578132</v>
      </c>
      <c r="F94">
        <f>IF(Sheet1!FE94&lt;&gt;"",Sheet1!FE94,"")</f>
        <v>36000</v>
      </c>
      <c r="G94">
        <f>IF(Sheet1!FO94&lt;&gt;"",Sheet1!FO94,"")</f>
        <v>489732</v>
      </c>
      <c r="H94">
        <f>IF(Sheet1!FW94&lt;&gt;"",Sheet1!FW94,"")</f>
        <v>0</v>
      </c>
      <c r="I94">
        <f ca="1">IF(Sheet1!GY94&lt;&gt;"",Sheet1!GY94,"")</f>
        <v>0</v>
      </c>
    </row>
    <row r="95" spans="1:9" x14ac:dyDescent="0.25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487133</v>
      </c>
      <c r="F95">
        <f>IF(Sheet1!FE95&lt;&gt;"",Sheet1!FE95,"")</f>
        <v>24000</v>
      </c>
      <c r="G95">
        <f>IF(Sheet1!FO95&lt;&gt;"",Sheet1!FO95,"")</f>
        <v>410933</v>
      </c>
      <c r="H95">
        <f>IF(Sheet1!FW95&lt;&gt;"",Sheet1!FW95,"")</f>
        <v>0</v>
      </c>
      <c r="I95">
        <f ca="1">IF(Sheet1!GY95&lt;&gt;"",Sheet1!GY95,"")</f>
        <v>0</v>
      </c>
    </row>
    <row r="96" spans="1:9" x14ac:dyDescent="0.25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578134</v>
      </c>
      <c r="F96">
        <f>IF(Sheet1!FE96&lt;&gt;"",Sheet1!FE96,"")</f>
        <v>30000</v>
      </c>
      <c r="G96">
        <f>IF(Sheet1!FO96&lt;&gt;"",Sheet1!FO96,"")</f>
        <v>495734</v>
      </c>
      <c r="H96">
        <f>IF(Sheet1!FW96&lt;&gt;"",Sheet1!FW96,"")</f>
        <v>0</v>
      </c>
      <c r="I96">
        <f ca="1">IF(Sheet1!GY96&lt;&gt;"",Sheet1!GY96,"")</f>
        <v>0</v>
      </c>
    </row>
    <row r="97" spans="1:9" x14ac:dyDescent="0.25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429935</v>
      </c>
      <c r="F97">
        <f>IF(Sheet1!FE97&lt;&gt;"",Sheet1!FE97,"")</f>
        <v>24000</v>
      </c>
      <c r="G97">
        <f>IF(Sheet1!FO97&lt;&gt;"",Sheet1!FO97,"")</f>
        <v>354135</v>
      </c>
      <c r="H97">
        <f>IF(Sheet1!FW97&lt;&gt;"",Sheet1!FW97,"")</f>
        <v>0</v>
      </c>
      <c r="I97">
        <f ca="1">IF(Sheet1!GY97&lt;&gt;"",Sheet1!GY97,"")</f>
        <v>0</v>
      </c>
    </row>
    <row r="98" spans="1:9" x14ac:dyDescent="0.25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487136</v>
      </c>
      <c r="F98">
        <f>IF(Sheet1!FE98&lt;&gt;"",Sheet1!FE98,"")</f>
        <v>24000</v>
      </c>
      <c r="G98">
        <f>IF(Sheet1!FO98&lt;&gt;"",Sheet1!FO98,"")</f>
        <v>410936</v>
      </c>
      <c r="H98">
        <f>IF(Sheet1!FW98&lt;&gt;"",Sheet1!FW98,"")</f>
        <v>0</v>
      </c>
      <c r="I98">
        <f ca="1">IF(Sheet1!GY98&lt;&gt;"",Sheet1!GY98,"")</f>
        <v>0</v>
      </c>
    </row>
    <row r="99" spans="1:9" x14ac:dyDescent="0.25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450937</v>
      </c>
      <c r="F99">
        <f>IF(Sheet1!FE99&lt;&gt;"",Sheet1!FE99,"")</f>
        <v>4000</v>
      </c>
      <c r="G99">
        <f>IF(Sheet1!FO99&lt;&gt;"",Sheet1!FO99,"")</f>
        <v>395137</v>
      </c>
      <c r="H99">
        <f>IF(Sheet1!FW99&lt;&gt;"",Sheet1!FW99,"")</f>
        <v>-1</v>
      </c>
      <c r="I99">
        <f ca="1">IF(Sheet1!GY99&lt;&gt;"",Sheet1!GY99,"")</f>
        <v>0</v>
      </c>
    </row>
    <row r="100" spans="1:9" x14ac:dyDescent="0.25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582938</v>
      </c>
      <c r="F100">
        <f>IF(Sheet1!FE100&lt;&gt;"",Sheet1!FE100,"")</f>
        <v>30000</v>
      </c>
      <c r="G100">
        <f>IF(Sheet1!FO100&lt;&gt;"",Sheet1!FO100,"")</f>
        <v>500538</v>
      </c>
      <c r="H100">
        <f>IF(Sheet1!FW100&lt;&gt;"",Sheet1!FW100,"")</f>
        <v>13112</v>
      </c>
      <c r="I100">
        <f ca="1">IF(Sheet1!GY100&lt;&gt;"",Sheet1!GY100,"")</f>
        <v>0</v>
      </c>
    </row>
    <row r="101" spans="1:9" x14ac:dyDescent="0.25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578139</v>
      </c>
      <c r="F101">
        <f>IF(Sheet1!FE101&lt;&gt;"",Sheet1!FE101,"")</f>
        <v>36000</v>
      </c>
      <c r="G101">
        <f>IF(Sheet1!FO101&lt;&gt;"",Sheet1!FO101,"")</f>
        <v>489739</v>
      </c>
      <c r="H101">
        <f>IF(Sheet1!FW101&lt;&gt;"",Sheet1!FW101,"")</f>
        <v>0</v>
      </c>
      <c r="I101">
        <f ca="1">IF(Sheet1!GY101&lt;&gt;"",Sheet1!GY101,"")</f>
        <v>0</v>
      </c>
    </row>
    <row r="102" spans="1:9" x14ac:dyDescent="0.25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482460</v>
      </c>
      <c r="F102">
        <f>IF(Sheet1!FE102&lt;&gt;"",Sheet1!FE102,"")</f>
        <v>24000</v>
      </c>
      <c r="G102">
        <f>IF(Sheet1!FO102&lt;&gt;"",Sheet1!FO102,"")</f>
        <v>406260</v>
      </c>
      <c r="H102">
        <f>IF(Sheet1!FW102&lt;&gt;"",Sheet1!FW102,"")</f>
        <v>0</v>
      </c>
      <c r="I102">
        <f ca="1">IF(Sheet1!GY102&lt;&gt;"",Sheet1!GY102,"")</f>
        <v>0</v>
      </c>
    </row>
    <row r="103" spans="1:9" x14ac:dyDescent="0.25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530301</v>
      </c>
      <c r="F103">
        <f>IF(Sheet1!FE103&lt;&gt;"",Sheet1!FE103,"")</f>
        <v>24000</v>
      </c>
      <c r="G103">
        <f>IF(Sheet1!FO103&lt;&gt;"",Sheet1!FO103,"")</f>
        <v>453901</v>
      </c>
      <c r="H103">
        <f>IF(Sheet1!FW103&lt;&gt;"",Sheet1!FW103,"")</f>
        <v>0</v>
      </c>
      <c r="I103">
        <f ca="1">IF(Sheet1!GY103&lt;&gt;"",Sheet1!GY103,"")</f>
        <v>0</v>
      </c>
    </row>
    <row r="104" spans="1:9" x14ac:dyDescent="0.25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561502</v>
      </c>
      <c r="F104">
        <f>IF(Sheet1!FE104&lt;&gt;"",Sheet1!FE104,"")</f>
        <v>30000</v>
      </c>
      <c r="G104">
        <f>IF(Sheet1!FO104&lt;&gt;"",Sheet1!FO104,"")</f>
        <v>479102</v>
      </c>
      <c r="H104">
        <f>IF(Sheet1!FW104&lt;&gt;"",Sheet1!FW104,"")</f>
        <v>0</v>
      </c>
      <c r="I104">
        <f ca="1">IF(Sheet1!GY104&lt;&gt;"",Sheet1!GY104,"")</f>
        <v>0</v>
      </c>
    </row>
    <row r="105" spans="1:9" x14ac:dyDescent="0.25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840863</v>
      </c>
      <c r="F105">
        <f>IF(Sheet1!FE105&lt;&gt;"",Sheet1!FE105,"")</f>
        <v>60720</v>
      </c>
      <c r="G105">
        <f>IF(Sheet1!FO105&lt;&gt;"",Sheet1!FO105,"")</f>
        <v>727743</v>
      </c>
      <c r="H105">
        <f>IF(Sheet1!FW105&lt;&gt;"",Sheet1!FW105,"")</f>
        <v>60371</v>
      </c>
      <c r="I105">
        <f ca="1">IF(Sheet1!GY105&lt;&gt;"",Sheet1!GY105,"")</f>
        <v>0</v>
      </c>
    </row>
    <row r="106" spans="1:9" x14ac:dyDescent="0.25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530304</v>
      </c>
      <c r="F106">
        <f>IF(Sheet1!FE106&lt;&gt;"",Sheet1!FE106,"")</f>
        <v>24000</v>
      </c>
      <c r="G106">
        <f>IF(Sheet1!FO106&lt;&gt;"",Sheet1!FO106,"")</f>
        <v>453904</v>
      </c>
      <c r="H106">
        <f>IF(Sheet1!FW106&lt;&gt;"",Sheet1!FW106,"")</f>
        <v>0</v>
      </c>
      <c r="I106">
        <f ca="1">IF(Sheet1!GY106&lt;&gt;"",Sheet1!GY106,"")</f>
        <v>0</v>
      </c>
    </row>
    <row r="107" spans="1:9" x14ac:dyDescent="0.25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429945</v>
      </c>
      <c r="F107">
        <f>IF(Sheet1!FE107&lt;&gt;"",Sheet1!FE107,"")</f>
        <v>24000</v>
      </c>
      <c r="G107">
        <f>IF(Sheet1!FO107&lt;&gt;"",Sheet1!FO107,"")</f>
        <v>354145</v>
      </c>
      <c r="H107">
        <f>IF(Sheet1!FW107&lt;&gt;"",Sheet1!FW107,"")</f>
        <v>0</v>
      </c>
      <c r="I107">
        <f ca="1">IF(Sheet1!GY107&lt;&gt;"",Sheet1!GY107,"")</f>
        <v>0</v>
      </c>
    </row>
    <row r="108" spans="1:9" x14ac:dyDescent="0.25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582946</v>
      </c>
      <c r="F108">
        <f>IF(Sheet1!FE108&lt;&gt;"",Sheet1!FE108,"")</f>
        <v>48000</v>
      </c>
      <c r="G108">
        <f>IF(Sheet1!FO108&lt;&gt;"",Sheet1!FO108,"")</f>
        <v>482546</v>
      </c>
      <c r="H108">
        <f>IF(Sheet1!FW108&lt;&gt;"",Sheet1!FW108,"")</f>
        <v>0</v>
      </c>
      <c r="I108">
        <f ca="1">IF(Sheet1!GY108&lt;&gt;"",Sheet1!GY108,"")</f>
        <v>0</v>
      </c>
    </row>
    <row r="109" spans="1:9" x14ac:dyDescent="0.25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578147</v>
      </c>
      <c r="F109">
        <f>IF(Sheet1!FE109&lt;&gt;"",Sheet1!FE109,"")</f>
        <v>48000</v>
      </c>
      <c r="G109">
        <f>IF(Sheet1!FO109&lt;&gt;"",Sheet1!FO109,"")</f>
        <v>477747</v>
      </c>
      <c r="H109">
        <f>IF(Sheet1!FW109&lt;&gt;"",Sheet1!FW109,"")</f>
        <v>0</v>
      </c>
      <c r="I109">
        <f ca="1">IF(Sheet1!GY109&lt;&gt;"",Sheet1!GY109,"")</f>
        <v>0</v>
      </c>
    </row>
    <row r="110" spans="1:9" x14ac:dyDescent="0.25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530308</v>
      </c>
      <c r="F110">
        <f>IF(Sheet1!FE110&lt;&gt;"",Sheet1!FE110,"")</f>
        <v>24000</v>
      </c>
      <c r="G110">
        <f>IF(Sheet1!FO110&lt;&gt;"",Sheet1!FO110,"")</f>
        <v>453908</v>
      </c>
      <c r="H110">
        <f>IF(Sheet1!FW110&lt;&gt;"",Sheet1!FW110,"")</f>
        <v>0</v>
      </c>
      <c r="I110">
        <f ca="1">IF(Sheet1!GY110&lt;&gt;"",Sheet1!GY110,"")</f>
        <v>0</v>
      </c>
    </row>
    <row r="111" spans="1:9" x14ac:dyDescent="0.25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487149</v>
      </c>
      <c r="F111">
        <f>IF(Sheet1!FE111&lt;&gt;"",Sheet1!FE111,"")</f>
        <v>24000</v>
      </c>
      <c r="G111">
        <f>IF(Sheet1!FO111&lt;&gt;"",Sheet1!FO111,"")</f>
        <v>410949</v>
      </c>
      <c r="H111">
        <f>IF(Sheet1!FW111&lt;&gt;"",Sheet1!FW111,"")</f>
        <v>0</v>
      </c>
      <c r="I111">
        <f ca="1">IF(Sheet1!GY111&lt;&gt;"",Sheet1!GY111,"")</f>
        <v>0</v>
      </c>
    </row>
    <row r="112" spans="1:9" x14ac:dyDescent="0.25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566310</v>
      </c>
      <c r="F112">
        <f>IF(Sheet1!FE112&lt;&gt;"",Sheet1!FE112,"")</f>
        <v>30000</v>
      </c>
      <c r="G112">
        <f>IF(Sheet1!FO112&lt;&gt;"",Sheet1!FO112,"")</f>
        <v>483910</v>
      </c>
      <c r="H112">
        <f>IF(Sheet1!FW112&lt;&gt;"",Sheet1!FW112,"")</f>
        <v>0</v>
      </c>
      <c r="I112">
        <f ca="1">IF(Sheet1!GY112&lt;&gt;"",Sheet1!GY112,"")</f>
        <v>0</v>
      </c>
    </row>
    <row r="113" spans="1:9" x14ac:dyDescent="0.25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561511</v>
      </c>
      <c r="F113">
        <f>IF(Sheet1!FE113&lt;&gt;"",Sheet1!FE113,"")</f>
        <v>30000</v>
      </c>
      <c r="G113">
        <f>IF(Sheet1!FO113&lt;&gt;"",Sheet1!FO113,"")</f>
        <v>479111</v>
      </c>
      <c r="H113">
        <f>IF(Sheet1!FW113&lt;&gt;"",Sheet1!FW113,"")</f>
        <v>0</v>
      </c>
      <c r="I113">
        <f ca="1">IF(Sheet1!GY113&lt;&gt;"",Sheet1!GY113,"")</f>
        <v>0</v>
      </c>
    </row>
    <row r="114" spans="1:9" x14ac:dyDescent="0.25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524312</v>
      </c>
      <c r="F114">
        <f>IF(Sheet1!FE114&lt;&gt;"",Sheet1!FE114,"")</f>
        <v>24000</v>
      </c>
      <c r="G114">
        <f>IF(Sheet1!FO114&lt;&gt;"",Sheet1!FO114,"")</f>
        <v>447912</v>
      </c>
      <c r="H114">
        <f>IF(Sheet1!FW114&lt;&gt;"",Sheet1!FW114,"")</f>
        <v>0</v>
      </c>
      <c r="I114">
        <f ca="1">IF(Sheet1!GY114&lt;&gt;"",Sheet1!GY114,"")</f>
        <v>0</v>
      </c>
    </row>
    <row r="115" spans="1:9" x14ac:dyDescent="0.25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865833</v>
      </c>
      <c r="F115">
        <f>IF(Sheet1!FE115&lt;&gt;"",Sheet1!FE115,"")</f>
        <v>120720</v>
      </c>
      <c r="G115">
        <f>IF(Sheet1!FO115&lt;&gt;"",Sheet1!FO115,"")</f>
        <v>692713</v>
      </c>
      <c r="H115">
        <f>IF(Sheet1!FW115&lt;&gt;"",Sheet1!FW115,"")</f>
        <v>53085</v>
      </c>
      <c r="I115">
        <f ca="1">IF(Sheet1!GY115&lt;&gt;"",Sheet1!GY115,"")</f>
        <v>0</v>
      </c>
    </row>
    <row r="116" spans="1:9" x14ac:dyDescent="0.25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630674</v>
      </c>
      <c r="F116">
        <f>IF(Sheet1!FE116&lt;&gt;"",Sheet1!FE116,"")</f>
        <v>60000</v>
      </c>
      <c r="G116">
        <f>IF(Sheet1!FO116&lt;&gt;"",Sheet1!FO116,"")</f>
        <v>518274</v>
      </c>
      <c r="H116">
        <f>IF(Sheet1!FW116&lt;&gt;"",Sheet1!FW116,"")</f>
        <v>16801</v>
      </c>
      <c r="I116">
        <f ca="1">IF(Sheet1!GY116&lt;&gt;"",Sheet1!GY116,"")</f>
        <v>0</v>
      </c>
    </row>
    <row r="117" spans="1:9" x14ac:dyDescent="0.25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519635</v>
      </c>
      <c r="F117">
        <f>IF(Sheet1!FE117&lt;&gt;"",Sheet1!FE117,"")</f>
        <v>24000</v>
      </c>
      <c r="G117">
        <f>IF(Sheet1!FO117&lt;&gt;"",Sheet1!FO117,"")</f>
        <v>443235</v>
      </c>
      <c r="H117">
        <f>IF(Sheet1!FW117&lt;&gt;"",Sheet1!FW117,"")</f>
        <v>0</v>
      </c>
      <c r="I117">
        <f ca="1">IF(Sheet1!GY117&lt;&gt;"",Sheet1!GY117,"")</f>
        <v>0</v>
      </c>
    </row>
    <row r="118" spans="1:9" x14ac:dyDescent="0.25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888596</v>
      </c>
      <c r="F118">
        <f>IF(Sheet1!FE118&lt;&gt;"",Sheet1!FE118,"")</f>
        <v>60000</v>
      </c>
      <c r="G118">
        <f>IF(Sheet1!FO118&lt;&gt;"",Sheet1!FO118,"")</f>
        <v>776196</v>
      </c>
      <c r="H118">
        <f>IF(Sheet1!FW118&lt;&gt;"",Sheet1!FW118,"")</f>
        <v>70449</v>
      </c>
      <c r="I118">
        <f ca="1">IF(Sheet1!GY118&lt;&gt;"",Sheet1!GY118,"")</f>
        <v>0</v>
      </c>
    </row>
    <row r="119" spans="1:9" x14ac:dyDescent="0.25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555517</v>
      </c>
      <c r="F119">
        <f>IF(Sheet1!FE119&lt;&gt;"",Sheet1!FE119,"")</f>
        <v>30000</v>
      </c>
      <c r="G119">
        <f>IF(Sheet1!FO119&lt;&gt;"",Sheet1!FO119,"")</f>
        <v>473117</v>
      </c>
      <c r="H119">
        <f>IF(Sheet1!FW119&lt;&gt;"",Sheet1!FW119,"")</f>
        <v>0</v>
      </c>
      <c r="I119">
        <f ca="1">IF(Sheet1!GY119&lt;&gt;"",Sheet1!GY119,"")</f>
        <v>0</v>
      </c>
    </row>
    <row r="120" spans="1:9" x14ac:dyDescent="0.25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865838</v>
      </c>
      <c r="F120">
        <f>IF(Sheet1!FE120&lt;&gt;"",Sheet1!FE120,"")</f>
        <v>60000</v>
      </c>
      <c r="G120">
        <f>IF(Sheet1!FO120&lt;&gt;"",Sheet1!FO120,"")</f>
        <v>753438</v>
      </c>
      <c r="H120">
        <f>IF(Sheet1!FW120&lt;&gt;"",Sheet1!FW120,"")</f>
        <v>65716</v>
      </c>
      <c r="I120">
        <f ca="1">IF(Sheet1!GY120&lt;&gt;"",Sheet1!GY120,"")</f>
        <v>0</v>
      </c>
    </row>
    <row r="121" spans="1:9" x14ac:dyDescent="0.25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782239</v>
      </c>
      <c r="F121">
        <f>IF(Sheet1!FE121&lt;&gt;"",Sheet1!FE121,"")</f>
        <v>72000</v>
      </c>
      <c r="G121">
        <f>IF(Sheet1!FO121&lt;&gt;"",Sheet1!FO121,"")</f>
        <v>657839</v>
      </c>
      <c r="H121">
        <f>IF(Sheet1!FW121&lt;&gt;"",Sheet1!FW121,"")</f>
        <v>45831</v>
      </c>
      <c r="I121">
        <f ca="1">IF(Sheet1!GY121&lt;&gt;"",Sheet1!GY121,"")</f>
        <v>0</v>
      </c>
    </row>
    <row r="122" spans="1:9" x14ac:dyDescent="0.25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572160</v>
      </c>
      <c r="F122">
        <f>IF(Sheet1!FE122&lt;&gt;"",Sheet1!FE122,"")</f>
        <v>60000</v>
      </c>
      <c r="G122">
        <f>IF(Sheet1!FO122&lt;&gt;"",Sheet1!FO122,"")</f>
        <v>459760</v>
      </c>
      <c r="H122">
        <f>IF(Sheet1!FW122&lt;&gt;"",Sheet1!FW122,"")</f>
        <v>0</v>
      </c>
      <c r="I122">
        <f ca="1">IF(Sheet1!GY122&lt;&gt;"",Sheet1!GY122,"")</f>
        <v>0</v>
      </c>
    </row>
    <row r="123" spans="1:9" x14ac:dyDescent="0.25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578161</v>
      </c>
      <c r="F123">
        <f>IF(Sheet1!FE123&lt;&gt;"",Sheet1!FE123,"")</f>
        <v>60000</v>
      </c>
      <c r="G123">
        <f>IF(Sheet1!FO123&lt;&gt;"",Sheet1!FO123,"")</f>
        <v>465761</v>
      </c>
      <c r="H123">
        <f>IF(Sheet1!FW123&lt;&gt;"",Sheet1!FW123,"")</f>
        <v>0</v>
      </c>
      <c r="I123">
        <f ca="1">IF(Sheet1!GY123&lt;&gt;"",Sheet1!GY123,"")</f>
        <v>0</v>
      </c>
    </row>
    <row r="124" spans="1:9" x14ac:dyDescent="0.25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524322</v>
      </c>
      <c r="F124">
        <f>IF(Sheet1!FE124&lt;&gt;"",Sheet1!FE124,"")</f>
        <v>24000</v>
      </c>
      <c r="G124">
        <f>IF(Sheet1!FO124&lt;&gt;"",Sheet1!FO124,"")</f>
        <v>447922</v>
      </c>
      <c r="H124">
        <f>IF(Sheet1!FW124&lt;&gt;"",Sheet1!FW124,"")</f>
        <v>0</v>
      </c>
      <c r="I124">
        <f ca="1">IF(Sheet1!GY124&lt;&gt;"",Sheet1!GY124,"")</f>
        <v>0</v>
      </c>
    </row>
    <row r="125" spans="1:9" x14ac:dyDescent="0.25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530323</v>
      </c>
      <c r="F125">
        <f>IF(Sheet1!FE125&lt;&gt;"",Sheet1!FE125,"")</f>
        <v>24000</v>
      </c>
      <c r="G125">
        <f>IF(Sheet1!FO125&lt;&gt;"",Sheet1!FO125,"")</f>
        <v>453923</v>
      </c>
      <c r="H125">
        <f>IF(Sheet1!FW125&lt;&gt;"",Sheet1!FW125,"")</f>
        <v>0</v>
      </c>
      <c r="I125">
        <f ca="1">IF(Sheet1!GY125&lt;&gt;"",Sheet1!GY125,"")</f>
        <v>0</v>
      </c>
    </row>
    <row r="126" spans="1:9" x14ac:dyDescent="0.25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530324</v>
      </c>
      <c r="F126">
        <f>IF(Sheet1!FE126&lt;&gt;"",Sheet1!FE126,"")</f>
        <v>24000</v>
      </c>
      <c r="G126">
        <f>IF(Sheet1!FO126&lt;&gt;"",Sheet1!FO126,"")</f>
        <v>453924</v>
      </c>
      <c r="H126">
        <f>IF(Sheet1!FW126&lt;&gt;"",Sheet1!FW126,"")</f>
        <v>-1</v>
      </c>
      <c r="I126">
        <f ca="1">IF(Sheet1!GY126&lt;&gt;"",Sheet1!GY126,"")</f>
        <v>0</v>
      </c>
    </row>
    <row r="127" spans="1:9" x14ac:dyDescent="0.25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793045</v>
      </c>
      <c r="F127">
        <f>IF(Sheet1!FE127&lt;&gt;"",Sheet1!FE127,"")</f>
        <v>36720</v>
      </c>
      <c r="G127">
        <f>IF(Sheet1!FO127&lt;&gt;"",Sheet1!FO127,"")</f>
        <v>703925</v>
      </c>
      <c r="H127">
        <f>IF(Sheet1!FW127&lt;&gt;"",Sheet1!FW127,"")</f>
        <v>55416</v>
      </c>
      <c r="I127">
        <f ca="1">IF(Sheet1!GY127&lt;&gt;"",Sheet1!GY127,"")</f>
        <v>0</v>
      </c>
    </row>
    <row r="128" spans="1:9" x14ac:dyDescent="0.25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530326</v>
      </c>
      <c r="F128">
        <f>IF(Sheet1!FE128&lt;&gt;"",Sheet1!FE128,"")</f>
        <v>24000</v>
      </c>
      <c r="G128">
        <f>IF(Sheet1!FO128&lt;&gt;"",Sheet1!FO128,"")</f>
        <v>453926</v>
      </c>
      <c r="H128">
        <f>IF(Sheet1!FW128&lt;&gt;"",Sheet1!FW128,"")</f>
        <v>0</v>
      </c>
      <c r="I128">
        <f ca="1">IF(Sheet1!GY128&lt;&gt;"",Sheet1!GY128,"")</f>
        <v>0</v>
      </c>
    </row>
    <row r="129" spans="1:9" x14ac:dyDescent="0.25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561527</v>
      </c>
      <c r="F129">
        <f>IF(Sheet1!FE129&lt;&gt;"",Sheet1!FE129,"")</f>
        <v>30000</v>
      </c>
      <c r="G129">
        <f>IF(Sheet1!FO129&lt;&gt;"",Sheet1!FO129,"")</f>
        <v>479127</v>
      </c>
      <c r="H129">
        <f>IF(Sheet1!FW129&lt;&gt;"",Sheet1!FW129,"")</f>
        <v>0</v>
      </c>
      <c r="I129">
        <f ca="1">IF(Sheet1!GY129&lt;&gt;"",Sheet1!GY129,"")</f>
        <v>0</v>
      </c>
    </row>
    <row r="130" spans="1:9" x14ac:dyDescent="0.25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560328</v>
      </c>
      <c r="F130">
        <f>IF(Sheet1!FE130&lt;&gt;"",Sheet1!FE130,"")</f>
        <v>30000</v>
      </c>
      <c r="G130">
        <f>IF(Sheet1!FO130&lt;&gt;"",Sheet1!FO130,"")</f>
        <v>477928</v>
      </c>
      <c r="H130">
        <f>IF(Sheet1!FW130&lt;&gt;"",Sheet1!FW130,"")</f>
        <v>0</v>
      </c>
      <c r="I130">
        <f ca="1">IF(Sheet1!GY130&lt;&gt;"",Sheet1!GY130,"")</f>
        <v>0</v>
      </c>
    </row>
    <row r="131" spans="1:9" x14ac:dyDescent="0.25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524329</v>
      </c>
      <c r="F131">
        <f>IF(Sheet1!FE131&lt;&gt;"",Sheet1!FE131,"")</f>
        <v>24000</v>
      </c>
      <c r="G131">
        <f>IF(Sheet1!FO131&lt;&gt;"",Sheet1!FO131,"")</f>
        <v>447929</v>
      </c>
      <c r="H131">
        <f>IF(Sheet1!FW131&lt;&gt;"",Sheet1!FW131,"")</f>
        <v>0</v>
      </c>
      <c r="I131">
        <f ca="1">IF(Sheet1!GY131&lt;&gt;"",Sheet1!GY131,"")</f>
        <v>0</v>
      </c>
    </row>
    <row r="132" spans="1:9" x14ac:dyDescent="0.25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487170</v>
      </c>
      <c r="F132">
        <f>IF(Sheet1!FE132&lt;&gt;"",Sheet1!FE132,"")</f>
        <v>24000</v>
      </c>
      <c r="G132">
        <f>IF(Sheet1!FO132&lt;&gt;"",Sheet1!FO132,"")</f>
        <v>410970</v>
      </c>
      <c r="H132">
        <f>IF(Sheet1!FW132&lt;&gt;"",Sheet1!FW132,"")</f>
        <v>0</v>
      </c>
      <c r="I132">
        <f ca="1">IF(Sheet1!GY132&lt;&gt;"",Sheet1!GY132,"")</f>
        <v>0</v>
      </c>
    </row>
    <row r="133" spans="1:9" x14ac:dyDescent="0.25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865851</v>
      </c>
      <c r="F133">
        <f>IF(Sheet1!FE133&lt;&gt;"",Sheet1!FE133,"")</f>
        <v>60000</v>
      </c>
      <c r="G133">
        <f>IF(Sheet1!FO133&lt;&gt;"",Sheet1!FO133,"")</f>
        <v>753451</v>
      </c>
      <c r="H133">
        <f>IF(Sheet1!FW133&lt;&gt;"",Sheet1!FW133,"")</f>
        <v>65718</v>
      </c>
      <c r="I133">
        <f ca="1">IF(Sheet1!GY133&lt;&gt;"",Sheet1!GY133,"")</f>
        <v>0</v>
      </c>
    </row>
    <row r="134" spans="1:9" x14ac:dyDescent="0.25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530332</v>
      </c>
      <c r="F134">
        <f>IF(Sheet1!FE134&lt;&gt;"",Sheet1!FE134,"")</f>
        <v>36000</v>
      </c>
      <c r="G134">
        <f>IF(Sheet1!FO134&lt;&gt;"",Sheet1!FO134,"")</f>
        <v>441932</v>
      </c>
      <c r="H134">
        <f>IF(Sheet1!FW134&lt;&gt;"",Sheet1!FW134,"")</f>
        <v>0</v>
      </c>
      <c r="I134">
        <f ca="1">IF(Sheet1!GY134&lt;&gt;"",Sheet1!GY134,"")</f>
        <v>0</v>
      </c>
    </row>
    <row r="135" spans="1:9" x14ac:dyDescent="0.25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392733</v>
      </c>
      <c r="F135">
        <f>IF(Sheet1!FE135&lt;&gt;"",Sheet1!FE135,"")</f>
        <v>24000</v>
      </c>
      <c r="G135">
        <f>IF(Sheet1!FO135&lt;&gt;"",Sheet1!FO135,"")</f>
        <v>316933</v>
      </c>
      <c r="H135">
        <f>IF(Sheet1!FW135&lt;&gt;"",Sheet1!FW135,"")</f>
        <v>0</v>
      </c>
      <c r="I135">
        <f ca="1">IF(Sheet1!GY135&lt;&gt;"",Sheet1!GY135,"")</f>
        <v>0</v>
      </c>
    </row>
    <row r="136" spans="1:9" x14ac:dyDescent="0.25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561534</v>
      </c>
      <c r="F136">
        <f>IF(Sheet1!FE136&lt;&gt;"",Sheet1!FE136,"")</f>
        <v>30000</v>
      </c>
      <c r="G136">
        <f>IF(Sheet1!FO136&lt;&gt;"",Sheet1!FO136,"")</f>
        <v>479134</v>
      </c>
      <c r="H136">
        <f>IF(Sheet1!FW136&lt;&gt;"",Sheet1!FW136,"")</f>
        <v>0</v>
      </c>
      <c r="I136">
        <f ca="1">IF(Sheet1!GY136&lt;&gt;"",Sheet1!GY136,"")</f>
        <v>0</v>
      </c>
    </row>
    <row r="137" spans="1:9" x14ac:dyDescent="0.25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398735</v>
      </c>
      <c r="F137">
        <f>IF(Sheet1!FE137&lt;&gt;"",Sheet1!FE137,"")</f>
        <v>0</v>
      </c>
      <c r="G137">
        <f>IF(Sheet1!FO137&lt;&gt;"",Sheet1!FO137,"")</f>
        <v>346935</v>
      </c>
      <c r="H137">
        <f>IF(Sheet1!FW137&lt;&gt;"",Sheet1!FW137,"")</f>
        <v>-1</v>
      </c>
      <c r="I137">
        <f ca="1">IF(Sheet1!GY137&lt;&gt;"",Sheet1!GY137,"")</f>
        <v>0</v>
      </c>
    </row>
    <row r="138" spans="1:9" x14ac:dyDescent="0.25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600136</v>
      </c>
      <c r="F138">
        <f>IF(Sheet1!FE138&lt;&gt;"",Sheet1!FE138,"")</f>
        <v>60000</v>
      </c>
      <c r="G138">
        <f>IF(Sheet1!FO138&lt;&gt;"",Sheet1!FO138,"")</f>
        <v>487736</v>
      </c>
      <c r="H138">
        <f>IF(Sheet1!FW138&lt;&gt;"",Sheet1!FW138,"")</f>
        <v>0</v>
      </c>
      <c r="I138">
        <f ca="1">IF(Sheet1!GY138&lt;&gt;"",Sheet1!GY138,"")</f>
        <v>0</v>
      </c>
    </row>
    <row r="139" spans="1:9" x14ac:dyDescent="0.25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487177</v>
      </c>
      <c r="F139">
        <f>IF(Sheet1!FE139&lt;&gt;"",Sheet1!FE139,"")</f>
        <v>24000</v>
      </c>
      <c r="G139">
        <f>IF(Sheet1!FO139&lt;&gt;"",Sheet1!FO139,"")</f>
        <v>410977</v>
      </c>
      <c r="H139">
        <f>IF(Sheet1!FW139&lt;&gt;"",Sheet1!FW139,"")</f>
        <v>0</v>
      </c>
      <c r="I139">
        <f ca="1">IF(Sheet1!GY139&lt;&gt;"",Sheet1!GY139,"")</f>
        <v>0</v>
      </c>
    </row>
    <row r="140" spans="1:9" x14ac:dyDescent="0.25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398738</v>
      </c>
      <c r="F140">
        <f>IF(Sheet1!FE140&lt;&gt;"",Sheet1!FE140,"")</f>
        <v>24000</v>
      </c>
      <c r="G140">
        <f>IF(Sheet1!FO140&lt;&gt;"",Sheet1!FO140,"")</f>
        <v>322938</v>
      </c>
      <c r="H140">
        <f>IF(Sheet1!FW140&lt;&gt;"",Sheet1!FW140,"")</f>
        <v>0</v>
      </c>
      <c r="I140">
        <f ca="1">IF(Sheet1!GY140&lt;&gt;"",Sheet1!GY140,"")</f>
        <v>0</v>
      </c>
    </row>
    <row r="141" spans="1:9" x14ac:dyDescent="0.25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793059</v>
      </c>
      <c r="F141">
        <f>IF(Sheet1!FE141&lt;&gt;"",Sheet1!FE141,"")</f>
        <v>60720</v>
      </c>
      <c r="G141">
        <f>IF(Sheet1!FO141&lt;&gt;"",Sheet1!FO141,"")</f>
        <v>632139</v>
      </c>
      <c r="H141">
        <f>IF(Sheet1!FW141&lt;&gt;"",Sheet1!FW141,"")</f>
        <v>40485</v>
      </c>
      <c r="I141">
        <f ca="1">IF(Sheet1!GY141&lt;&gt;"",Sheet1!GY141,"")</f>
        <v>0</v>
      </c>
    </row>
    <row r="142" spans="1:9" x14ac:dyDescent="0.25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578180</v>
      </c>
      <c r="F142">
        <f>IF(Sheet1!FE142&lt;&gt;"",Sheet1!FE142,"")</f>
        <v>36000</v>
      </c>
      <c r="G142">
        <f>IF(Sheet1!FO142&lt;&gt;"",Sheet1!FO142,"")</f>
        <v>489780</v>
      </c>
      <c r="H142">
        <f>IF(Sheet1!FW142&lt;&gt;"",Sheet1!FW142,"")</f>
        <v>0</v>
      </c>
      <c r="I142">
        <f ca="1">IF(Sheet1!GY142&lt;&gt;"",Sheet1!GY142,"")</f>
        <v>0</v>
      </c>
    </row>
    <row r="143" spans="1:9" x14ac:dyDescent="0.25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555541</v>
      </c>
      <c r="F143">
        <f>IF(Sheet1!FE143&lt;&gt;"",Sheet1!FE143,"")</f>
        <v>36000</v>
      </c>
      <c r="G143">
        <f>IF(Sheet1!FO143&lt;&gt;"",Sheet1!FO143,"")</f>
        <v>467141</v>
      </c>
      <c r="H143">
        <f>IF(Sheet1!FW143&lt;&gt;"",Sheet1!FW143,"")</f>
        <v>0</v>
      </c>
      <c r="I143">
        <f ca="1">IF(Sheet1!GY143&lt;&gt;"",Sheet1!GY143,"")</f>
        <v>0</v>
      </c>
    </row>
    <row r="144" spans="1:9" x14ac:dyDescent="0.25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487182</v>
      </c>
      <c r="F144">
        <f>IF(Sheet1!FE144&lt;&gt;"",Sheet1!FE144,"")</f>
        <v>48000</v>
      </c>
      <c r="G144">
        <f>IF(Sheet1!FO144&lt;&gt;"",Sheet1!FO144,"")</f>
        <v>386982</v>
      </c>
      <c r="H144">
        <f>IF(Sheet1!FW144&lt;&gt;"",Sheet1!FW144,"")</f>
        <v>0</v>
      </c>
      <c r="I144">
        <f ca="1">IF(Sheet1!GY144&lt;&gt;"",Sheet1!GY144,"")</f>
        <v>0</v>
      </c>
    </row>
    <row r="145" spans="1:9" x14ac:dyDescent="0.25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481183</v>
      </c>
      <c r="F145">
        <f>IF(Sheet1!FE145&lt;&gt;"",Sheet1!FE145,"")</f>
        <v>24000</v>
      </c>
      <c r="G145">
        <f>IF(Sheet1!FO145&lt;&gt;"",Sheet1!FO145,"")</f>
        <v>405333</v>
      </c>
      <c r="H145">
        <f>IF(Sheet1!FW145&lt;&gt;"",Sheet1!FW145,"")</f>
        <v>0</v>
      </c>
      <c r="I145">
        <f ca="1">IF(Sheet1!GY145&lt;&gt;"",Sheet1!GY145,"")</f>
        <v>0</v>
      </c>
    </row>
    <row r="146" spans="1:9" x14ac:dyDescent="0.25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582984</v>
      </c>
      <c r="F146">
        <f>IF(Sheet1!FE146&lt;&gt;"",Sheet1!FE146,"")</f>
        <v>84000</v>
      </c>
      <c r="G146">
        <f>IF(Sheet1!FO146&lt;&gt;"",Sheet1!FO146,"")</f>
        <v>446584</v>
      </c>
      <c r="H146">
        <f>IF(Sheet1!FW146&lt;&gt;"",Sheet1!FW146,"")</f>
        <v>0</v>
      </c>
      <c r="I146">
        <f ca="1">IF(Sheet1!GY146&lt;&gt;"",Sheet1!GY146,"")</f>
        <v>0</v>
      </c>
    </row>
    <row r="147" spans="1:9" x14ac:dyDescent="0.25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515265</v>
      </c>
      <c r="F147">
        <f>IF(Sheet1!FE147&lt;&gt;"",Sheet1!FE147,"")</f>
        <v>48000</v>
      </c>
      <c r="G147">
        <f>IF(Sheet1!FO147&lt;&gt;"",Sheet1!FO147,"")</f>
        <v>414865</v>
      </c>
      <c r="H147">
        <f>IF(Sheet1!FW147&lt;&gt;"",Sheet1!FW147,"")</f>
        <v>0</v>
      </c>
      <c r="I147">
        <f ca="1">IF(Sheet1!GY147&lt;&gt;"",Sheet1!GY147,"")</f>
        <v>0</v>
      </c>
    </row>
    <row r="148" spans="1:9" x14ac:dyDescent="0.25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481186</v>
      </c>
      <c r="F148">
        <f>IF(Sheet1!FE148&lt;&gt;"",Sheet1!FE148,"")</f>
        <v>24000</v>
      </c>
      <c r="G148">
        <f>IF(Sheet1!FO148&lt;&gt;"",Sheet1!FO148,"")</f>
        <v>405336</v>
      </c>
      <c r="H148">
        <f>IF(Sheet1!FW148&lt;&gt;"",Sheet1!FW148,"")</f>
        <v>0</v>
      </c>
      <c r="I148">
        <f ca="1">IF(Sheet1!GY148&lt;&gt;"",Sheet1!GY148,"")</f>
        <v>0</v>
      </c>
    </row>
    <row r="149" spans="1:9" x14ac:dyDescent="0.25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840907</v>
      </c>
      <c r="F149">
        <f>IF(Sheet1!FE149&lt;&gt;"",Sheet1!FE149,"")</f>
        <v>84000</v>
      </c>
      <c r="G149">
        <f>IF(Sheet1!FO149&lt;&gt;"",Sheet1!FO149,"")</f>
        <v>704507</v>
      </c>
      <c r="H149">
        <f>IF(Sheet1!FW149&lt;&gt;"",Sheet1!FW149,"")</f>
        <v>55537</v>
      </c>
      <c r="I149">
        <f ca="1">IF(Sheet1!GY149&lt;&gt;"",Sheet1!GY149,"")</f>
        <v>0</v>
      </c>
    </row>
    <row r="150" spans="1:9" x14ac:dyDescent="0.25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624708</v>
      </c>
      <c r="F150">
        <f>IF(Sheet1!FE150&lt;&gt;"",Sheet1!FE150,"")</f>
        <v>30000</v>
      </c>
      <c r="G150">
        <f>IF(Sheet1!FO150&lt;&gt;"",Sheet1!FO150,"")</f>
        <v>494508</v>
      </c>
      <c r="H150">
        <f>IF(Sheet1!FW150&lt;&gt;"",Sheet1!FW150,"")</f>
        <v>0</v>
      </c>
      <c r="I150">
        <f ca="1">IF(Sheet1!GY150&lt;&gt;"",Sheet1!GY150,"")</f>
        <v>0</v>
      </c>
    </row>
    <row r="151" spans="1:9" x14ac:dyDescent="0.25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630709</v>
      </c>
      <c r="F151">
        <f>IF(Sheet1!FE151&lt;&gt;"",Sheet1!FE151,"")</f>
        <v>30000</v>
      </c>
      <c r="G151">
        <f>IF(Sheet1!FO151&lt;&gt;"",Sheet1!FO151,"")</f>
        <v>548309</v>
      </c>
      <c r="H151">
        <f>IF(Sheet1!FW151&lt;&gt;"",Sheet1!FW151,"")</f>
        <v>23048</v>
      </c>
      <c r="I151">
        <f ca="1">IF(Sheet1!GY151&lt;&gt;"",Sheet1!GY151,"")</f>
        <v>0</v>
      </c>
    </row>
    <row r="152" spans="1:9" x14ac:dyDescent="0.25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787070</v>
      </c>
      <c r="F152">
        <f>IF(Sheet1!FE152&lt;&gt;"",Sheet1!FE152,"")</f>
        <v>36720</v>
      </c>
      <c r="G152">
        <f>IF(Sheet1!FO152&lt;&gt;"",Sheet1!FO152,"")</f>
        <v>697950</v>
      </c>
      <c r="H152">
        <f>IF(Sheet1!FW152&lt;&gt;"",Sheet1!FW152,"")</f>
        <v>54174</v>
      </c>
      <c r="I152">
        <f ca="1">IF(Sheet1!GY152&lt;&gt;"",Sheet1!GY152,"")</f>
        <v>0</v>
      </c>
    </row>
    <row r="153" spans="1:9" x14ac:dyDescent="0.25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530351</v>
      </c>
      <c r="F153">
        <f>IF(Sheet1!FE153&lt;&gt;"",Sheet1!FE153,"")</f>
        <v>24000</v>
      </c>
      <c r="G153">
        <f>IF(Sheet1!FO153&lt;&gt;"",Sheet1!FO153,"")</f>
        <v>453951</v>
      </c>
      <c r="H153">
        <f>IF(Sheet1!FW153&lt;&gt;"",Sheet1!FW153,"")</f>
        <v>0</v>
      </c>
      <c r="I153">
        <f ca="1">IF(Sheet1!GY153&lt;&gt;"",Sheet1!GY153,"")</f>
        <v>0</v>
      </c>
    </row>
    <row r="154" spans="1:9" x14ac:dyDescent="0.25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530352</v>
      </c>
      <c r="F154">
        <f>IF(Sheet1!FE154&lt;&gt;"",Sheet1!FE154,"")</f>
        <v>24000</v>
      </c>
      <c r="G154">
        <f>IF(Sheet1!FO154&lt;&gt;"",Sheet1!FO154,"")</f>
        <v>453952</v>
      </c>
      <c r="H154">
        <f>IF(Sheet1!FW154&lt;&gt;"",Sheet1!FW154,"")</f>
        <v>0</v>
      </c>
      <c r="I154">
        <f ca="1">IF(Sheet1!GY154&lt;&gt;"",Sheet1!GY154,"")</f>
        <v>0</v>
      </c>
    </row>
    <row r="155" spans="1:9" x14ac:dyDescent="0.25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481193</v>
      </c>
      <c r="F155">
        <f>IF(Sheet1!FE155&lt;&gt;"",Sheet1!FE155,"")</f>
        <v>24000</v>
      </c>
      <c r="G155">
        <f>IF(Sheet1!FO155&lt;&gt;"",Sheet1!FO155,"")</f>
        <v>405343</v>
      </c>
      <c r="H155">
        <f>IF(Sheet1!FW155&lt;&gt;"",Sheet1!FW155,"")</f>
        <v>0</v>
      </c>
      <c r="I155">
        <f ca="1">IF(Sheet1!GY155&lt;&gt;"",Sheet1!GY155,"")</f>
        <v>0</v>
      </c>
    </row>
    <row r="156" spans="1:9" x14ac:dyDescent="0.25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816474</v>
      </c>
      <c r="F156">
        <f>IF(Sheet1!FE156&lt;&gt;"",Sheet1!FE156,"")</f>
        <v>96000</v>
      </c>
      <c r="G156">
        <f>IF(Sheet1!FO156&lt;&gt;"",Sheet1!FO156,"")</f>
        <v>668074</v>
      </c>
      <c r="H156">
        <f>IF(Sheet1!FW156&lt;&gt;"",Sheet1!FW156,"")</f>
        <v>47960</v>
      </c>
      <c r="I156">
        <f ca="1">IF(Sheet1!GY156&lt;&gt;"",Sheet1!GY156,"")</f>
        <v>0</v>
      </c>
    </row>
    <row r="157" spans="1:9" x14ac:dyDescent="0.25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782275</v>
      </c>
      <c r="F157">
        <f>IF(Sheet1!FE157&lt;&gt;"",Sheet1!FE157,"")</f>
        <v>108000</v>
      </c>
      <c r="G157">
        <f>IF(Sheet1!FO157&lt;&gt;"",Sheet1!FO157,"")</f>
        <v>621875</v>
      </c>
      <c r="H157">
        <f>IF(Sheet1!FW157&lt;&gt;"",Sheet1!FW157,"")</f>
        <v>38350</v>
      </c>
      <c r="I157">
        <f ca="1">IF(Sheet1!GY157&lt;&gt;"",Sheet1!GY157,"")</f>
        <v>0</v>
      </c>
    </row>
    <row r="158" spans="1:9" x14ac:dyDescent="0.25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624716</v>
      </c>
      <c r="F158">
        <f>IF(Sheet1!FE158&lt;&gt;"",Sheet1!FE158,"")</f>
        <v>36000</v>
      </c>
      <c r="G158">
        <f>IF(Sheet1!FO158&lt;&gt;"",Sheet1!FO158,"")</f>
        <v>536316</v>
      </c>
      <c r="H158">
        <f>IF(Sheet1!FW158&lt;&gt;"",Sheet1!FW158,"")</f>
        <v>20554</v>
      </c>
      <c r="I158">
        <f ca="1">IF(Sheet1!GY158&lt;&gt;"",Sheet1!GY158,"")</f>
        <v>0</v>
      </c>
    </row>
    <row r="159" spans="1:9" x14ac:dyDescent="0.25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561557</v>
      </c>
      <c r="F159">
        <f>IF(Sheet1!FE159&lt;&gt;"",Sheet1!FE159,"")</f>
        <v>36000</v>
      </c>
      <c r="G159">
        <f>IF(Sheet1!FO159&lt;&gt;"",Sheet1!FO159,"")</f>
        <v>473157</v>
      </c>
      <c r="H159">
        <f>IF(Sheet1!FW159&lt;&gt;"",Sheet1!FW159,"")</f>
        <v>0</v>
      </c>
      <c r="I159">
        <f ca="1">IF(Sheet1!GY159&lt;&gt;"",Sheet1!GY159,"")</f>
        <v>0</v>
      </c>
    </row>
    <row r="160" spans="1:9" x14ac:dyDescent="0.25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793078</v>
      </c>
      <c r="F160">
        <f>IF(Sheet1!FE160&lt;&gt;"",Sheet1!FE160,"")</f>
        <v>96720</v>
      </c>
      <c r="G160">
        <f>IF(Sheet1!FO160&lt;&gt;"",Sheet1!FO160,"")</f>
        <v>643958</v>
      </c>
      <c r="H160">
        <f>IF(Sheet1!FW160&lt;&gt;"",Sheet1!FW160,"")</f>
        <v>42944</v>
      </c>
      <c r="I160">
        <f ca="1">IF(Sheet1!GY160&lt;&gt;"",Sheet1!GY160,"")</f>
        <v>0</v>
      </c>
    </row>
    <row r="161" spans="1:9" x14ac:dyDescent="0.25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578199</v>
      </c>
      <c r="F161">
        <f>IF(Sheet1!FE161&lt;&gt;"",Sheet1!FE161,"")</f>
        <v>60000</v>
      </c>
      <c r="G161">
        <f>IF(Sheet1!FO161&lt;&gt;"",Sheet1!FO161,"")</f>
        <v>465799</v>
      </c>
      <c r="H161">
        <f>IF(Sheet1!FW161&lt;&gt;"",Sheet1!FW161,"")</f>
        <v>0</v>
      </c>
      <c r="I161">
        <f ca="1">IF(Sheet1!GY161&lt;&gt;"",Sheet1!GY161,"")</f>
        <v>0</v>
      </c>
    </row>
    <row r="162" spans="1:9" x14ac:dyDescent="0.25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572200</v>
      </c>
      <c r="F162">
        <f>IF(Sheet1!FE162&lt;&gt;"",Sheet1!FE162,"")</f>
        <v>72000</v>
      </c>
      <c r="G162">
        <f>IF(Sheet1!FO162&lt;&gt;"",Sheet1!FO162,"")</f>
        <v>447800</v>
      </c>
      <c r="H162">
        <f>IF(Sheet1!FW162&lt;&gt;"",Sheet1!FW162,"")</f>
        <v>0</v>
      </c>
      <c r="I162">
        <f ca="1">IF(Sheet1!GY162&lt;&gt;"",Sheet1!GY162,"")</f>
        <v>0</v>
      </c>
    </row>
    <row r="163" spans="1:9" x14ac:dyDescent="0.25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487201</v>
      </c>
      <c r="F163">
        <f>IF(Sheet1!FE163&lt;&gt;"",Sheet1!FE163,"")</f>
        <v>48000</v>
      </c>
      <c r="G163">
        <f>IF(Sheet1!FO163&lt;&gt;"",Sheet1!FO163,"")</f>
        <v>387001</v>
      </c>
      <c r="H163">
        <f>IF(Sheet1!FW163&lt;&gt;"",Sheet1!FW163,"")</f>
        <v>0</v>
      </c>
      <c r="I163">
        <f ca="1">IF(Sheet1!GY163&lt;&gt;"",Sheet1!GY163,"")</f>
        <v>0</v>
      </c>
    </row>
    <row r="164" spans="1:9" x14ac:dyDescent="0.25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487202</v>
      </c>
      <c r="F164">
        <f>IF(Sheet1!FE164&lt;&gt;"",Sheet1!FE164,"")</f>
        <v>24000</v>
      </c>
      <c r="G164">
        <f>IF(Sheet1!FO164&lt;&gt;"",Sheet1!FO164,"")</f>
        <v>411002</v>
      </c>
      <c r="H164">
        <f>IF(Sheet1!FW164&lt;&gt;"",Sheet1!FW164,"")</f>
        <v>0</v>
      </c>
      <c r="I164">
        <f ca="1">IF(Sheet1!GY164&lt;&gt;"",Sheet1!GY164,"")</f>
        <v>0</v>
      </c>
    </row>
    <row r="165" spans="1:9" x14ac:dyDescent="0.25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865883</v>
      </c>
      <c r="F165">
        <f>IF(Sheet1!FE165&lt;&gt;"",Sheet1!FE165,"")</f>
        <v>72720</v>
      </c>
      <c r="G165">
        <f>IF(Sheet1!FO165&lt;&gt;"",Sheet1!FO165,"")</f>
        <v>740763</v>
      </c>
      <c r="H165">
        <f>IF(Sheet1!FW165&lt;&gt;"",Sheet1!FW165,"")</f>
        <v>63079</v>
      </c>
      <c r="I165">
        <f ca="1">IF(Sheet1!GY165&lt;&gt;"",Sheet1!GY165,"")</f>
        <v>0</v>
      </c>
    </row>
    <row r="166" spans="1:9" x14ac:dyDescent="0.25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578204</v>
      </c>
      <c r="F166">
        <f>IF(Sheet1!FE166&lt;&gt;"",Sheet1!FE166,"")</f>
        <v>48000</v>
      </c>
      <c r="G166">
        <f>IF(Sheet1!FO166&lt;&gt;"",Sheet1!FO166,"")</f>
        <v>477804</v>
      </c>
      <c r="H166">
        <f>IF(Sheet1!FW166&lt;&gt;"",Sheet1!FW166,"")</f>
        <v>0</v>
      </c>
      <c r="I166">
        <f ca="1">IF(Sheet1!GY166&lt;&gt;"",Sheet1!GY166,"")</f>
        <v>0</v>
      </c>
    </row>
    <row r="167" spans="1:9" x14ac:dyDescent="0.25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578205</v>
      </c>
      <c r="F167">
        <f>IF(Sheet1!FE167&lt;&gt;"",Sheet1!FE167,"")</f>
        <v>48000</v>
      </c>
      <c r="G167">
        <f>IF(Sheet1!FO167&lt;&gt;"",Sheet1!FO167,"")</f>
        <v>477805</v>
      </c>
      <c r="H167">
        <f>IF(Sheet1!FW167&lt;&gt;"",Sheet1!FW167,"")</f>
        <v>0</v>
      </c>
      <c r="I167">
        <f ca="1">IF(Sheet1!GY167&lt;&gt;"",Sheet1!GY167,"")</f>
        <v>0</v>
      </c>
    </row>
    <row r="168" spans="1:9" x14ac:dyDescent="0.25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578206</v>
      </c>
      <c r="F168">
        <f>IF(Sheet1!FE168&lt;&gt;"",Sheet1!FE168,"")</f>
        <v>48000</v>
      </c>
      <c r="G168">
        <f>IF(Sheet1!FO168&lt;&gt;"",Sheet1!FO168,"")</f>
        <v>477806</v>
      </c>
      <c r="H168">
        <f>IF(Sheet1!FW168&lt;&gt;"",Sheet1!FW168,"")</f>
        <v>0</v>
      </c>
      <c r="I168">
        <f ca="1">IF(Sheet1!GY168&lt;&gt;"",Sheet1!GY168,"")</f>
        <v>0</v>
      </c>
    </row>
    <row r="169" spans="1:9" x14ac:dyDescent="0.25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578207</v>
      </c>
      <c r="F169">
        <f>IF(Sheet1!FE169&lt;&gt;"",Sheet1!FE169,"")</f>
        <v>48000</v>
      </c>
      <c r="G169">
        <f>IF(Sheet1!FO169&lt;&gt;"",Sheet1!FO169,"")</f>
        <v>477807</v>
      </c>
      <c r="H169">
        <f>IF(Sheet1!FW169&lt;&gt;"",Sheet1!FW169,"")</f>
        <v>0</v>
      </c>
      <c r="I169">
        <f ca="1">IF(Sheet1!GY169&lt;&gt;"",Sheet1!GY169,"")</f>
        <v>0</v>
      </c>
    </row>
    <row r="170" spans="1:9" x14ac:dyDescent="0.25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561568</v>
      </c>
      <c r="F170">
        <f>IF(Sheet1!FE170&lt;&gt;"",Sheet1!FE170,"")</f>
        <v>36000</v>
      </c>
      <c r="G170">
        <f>IF(Sheet1!FO170&lt;&gt;"",Sheet1!FO170,"")</f>
        <v>473168</v>
      </c>
      <c r="H170">
        <f>IF(Sheet1!FW170&lt;&gt;"",Sheet1!FW170,"")</f>
        <v>0</v>
      </c>
      <c r="I170">
        <f ca="1">IF(Sheet1!GY170&lt;&gt;"",Sheet1!GY170,"")</f>
        <v>0</v>
      </c>
    </row>
    <row r="171" spans="1:9" x14ac:dyDescent="0.25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457009</v>
      </c>
      <c r="F171">
        <f>IF(Sheet1!FE171&lt;&gt;"",Sheet1!FE171,"")</f>
        <v>4000</v>
      </c>
      <c r="G171">
        <f>IF(Sheet1!FO171&lt;&gt;"",Sheet1!FO171,"")</f>
        <v>401209</v>
      </c>
      <c r="H171">
        <f>IF(Sheet1!FW171&lt;&gt;"",Sheet1!FW171,"")</f>
        <v>-1</v>
      </c>
      <c r="I171">
        <f ca="1">IF(Sheet1!GY171&lt;&gt;"",Sheet1!GY171,"")</f>
        <v>0</v>
      </c>
    </row>
    <row r="172" spans="1:9" x14ac:dyDescent="0.25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787090</v>
      </c>
      <c r="F172">
        <f>IF(Sheet1!FE172&lt;&gt;"",Sheet1!FE172,"")</f>
        <v>36000</v>
      </c>
      <c r="G172">
        <f>IF(Sheet1!FO172&lt;&gt;"",Sheet1!FO172,"")</f>
        <v>698690</v>
      </c>
      <c r="H172">
        <f>IF(Sheet1!FW172&lt;&gt;"",Sheet1!FW172,"")</f>
        <v>54328</v>
      </c>
      <c r="I172">
        <f ca="1">IF(Sheet1!GY172&lt;&gt;"",Sheet1!GY172,"")</f>
        <v>0</v>
      </c>
    </row>
    <row r="173" spans="1:9" x14ac:dyDescent="0.25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572211</v>
      </c>
      <c r="F173">
        <f>IF(Sheet1!FE173&lt;&gt;"",Sheet1!FE173,"")</f>
        <v>36000</v>
      </c>
      <c r="G173">
        <f>IF(Sheet1!FO173&lt;&gt;"",Sheet1!FO173,"")</f>
        <v>483811</v>
      </c>
      <c r="H173">
        <f>IF(Sheet1!FW173&lt;&gt;"",Sheet1!FW173,"")</f>
        <v>0</v>
      </c>
      <c r="I173">
        <f ca="1">IF(Sheet1!GY173&lt;&gt;"",Sheet1!GY173,"")</f>
        <v>0</v>
      </c>
    </row>
    <row r="174" spans="1:9" x14ac:dyDescent="0.25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578212</v>
      </c>
      <c r="F174">
        <f>IF(Sheet1!FE174&lt;&gt;"",Sheet1!FE174,"")</f>
        <v>36000</v>
      </c>
      <c r="G174">
        <f>IF(Sheet1!FO174&lt;&gt;"",Sheet1!FO174,"")</f>
        <v>489812</v>
      </c>
      <c r="H174">
        <f>IF(Sheet1!FW174&lt;&gt;"",Sheet1!FW174,"")</f>
        <v>0</v>
      </c>
      <c r="I174">
        <f ca="1">IF(Sheet1!GY174&lt;&gt;"",Sheet1!GY174,"")</f>
        <v>0</v>
      </c>
    </row>
    <row r="175" spans="1:9" x14ac:dyDescent="0.25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6800</v>
      </c>
      <c r="F175">
        <f>IF(Sheet1!FE175&lt;&gt;"",Sheet1!FE175,"")</f>
        <v>0</v>
      </c>
      <c r="G175">
        <f>IF(Sheet1!FO175&lt;&gt;"",Sheet1!FO175,"")</f>
        <v>-43200</v>
      </c>
      <c r="H175">
        <f>IF(Sheet1!FW175&lt;&gt;"",Sheet1!FW175,"")</f>
        <v>0</v>
      </c>
      <c r="I175">
        <f ca="1">IF(Sheet1!GY175&lt;&gt;"",Sheet1!GY175,"")</f>
        <v>0</v>
      </c>
    </row>
    <row r="176" spans="1:9" x14ac:dyDescent="0.25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530374</v>
      </c>
      <c r="F176">
        <f>IF(Sheet1!FE176&lt;&gt;"",Sheet1!FE176,"")</f>
        <v>24000</v>
      </c>
      <c r="G176">
        <f>IF(Sheet1!FO176&lt;&gt;"",Sheet1!FO176,"")</f>
        <v>453974</v>
      </c>
      <c r="H176">
        <f>IF(Sheet1!FW176&lt;&gt;"",Sheet1!FW176,"")</f>
        <v>0</v>
      </c>
      <c r="I176">
        <f ca="1">IF(Sheet1!GY176&lt;&gt;"",Sheet1!GY176,"")</f>
        <v>0</v>
      </c>
    </row>
    <row r="177" spans="1:9" x14ac:dyDescent="0.25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572215</v>
      </c>
      <c r="F177">
        <f>IF(Sheet1!FE177&lt;&gt;"",Sheet1!FE177,"")</f>
        <v>36000</v>
      </c>
      <c r="G177">
        <f>IF(Sheet1!FO177&lt;&gt;"",Sheet1!FO177,"")</f>
        <v>483815</v>
      </c>
      <c r="H177">
        <f>IF(Sheet1!FW177&lt;&gt;"",Sheet1!FW177,"")</f>
        <v>0</v>
      </c>
      <c r="I177">
        <f ca="1">IF(Sheet1!GY177&lt;&gt;"",Sheet1!GY177,"")</f>
        <v>0</v>
      </c>
    </row>
    <row r="178" spans="1:9" x14ac:dyDescent="0.25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566376</v>
      </c>
      <c r="F178">
        <f>IF(Sheet1!FE178&lt;&gt;"",Sheet1!FE178,"")</f>
        <v>30000</v>
      </c>
      <c r="G178">
        <f>IF(Sheet1!FO178&lt;&gt;"",Sheet1!FO178,"")</f>
        <v>483976</v>
      </c>
      <c r="H178">
        <f>IF(Sheet1!FW178&lt;&gt;"",Sheet1!FW178,"")</f>
        <v>0</v>
      </c>
      <c r="I178">
        <f ca="1">IF(Sheet1!GY178&lt;&gt;"",Sheet1!GY178,"")</f>
        <v>0</v>
      </c>
    </row>
    <row r="179" spans="1:9" x14ac:dyDescent="0.25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836137</v>
      </c>
      <c r="F179">
        <f>IF(Sheet1!FE179&lt;&gt;"",Sheet1!FE179,"")</f>
        <v>150000</v>
      </c>
      <c r="G179">
        <f>IF(Sheet1!FO179&lt;&gt;"",Sheet1!FO179,"")</f>
        <v>633737</v>
      </c>
      <c r="H179">
        <f>IF(Sheet1!FW179&lt;&gt;"",Sheet1!FW179,"")</f>
        <v>40817</v>
      </c>
      <c r="I179">
        <f ca="1">IF(Sheet1!GY179&lt;&gt;"",Sheet1!GY179,"")</f>
        <v>0</v>
      </c>
    </row>
    <row r="180" spans="1:9" x14ac:dyDescent="0.25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561578</v>
      </c>
      <c r="F180">
        <f>IF(Sheet1!FE180&lt;&gt;"",Sheet1!FE180,"")</f>
        <v>30000</v>
      </c>
      <c r="G180">
        <f>IF(Sheet1!FO180&lt;&gt;"",Sheet1!FO180,"")</f>
        <v>479178</v>
      </c>
      <c r="H180">
        <f>IF(Sheet1!FW180&lt;&gt;"",Sheet1!FW180,"")</f>
        <v>0</v>
      </c>
      <c r="I180">
        <f ca="1">IF(Sheet1!GY180&lt;&gt;"",Sheet1!GY180,"")</f>
        <v>0</v>
      </c>
    </row>
    <row r="181" spans="1:9" x14ac:dyDescent="0.25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561579</v>
      </c>
      <c r="F181">
        <f>IF(Sheet1!FE181&lt;&gt;"",Sheet1!FE181,"")</f>
        <v>30000</v>
      </c>
      <c r="G181">
        <f>IF(Sheet1!FO181&lt;&gt;"",Sheet1!FO181,"")</f>
        <v>479179</v>
      </c>
      <c r="H181">
        <f>IF(Sheet1!FW181&lt;&gt;"",Sheet1!FW181,"")</f>
        <v>0</v>
      </c>
      <c r="I181">
        <f ca="1">IF(Sheet1!GY181&lt;&gt;"",Sheet1!GY181,"")</f>
        <v>0</v>
      </c>
    </row>
    <row r="182" spans="1:9" x14ac:dyDescent="0.25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566380</v>
      </c>
      <c r="F182">
        <f>IF(Sheet1!FE182&lt;&gt;"",Sheet1!FE182,"")</f>
        <v>36000</v>
      </c>
      <c r="G182">
        <f>IF(Sheet1!FO182&lt;&gt;"",Sheet1!FO182,"")</f>
        <v>477980</v>
      </c>
      <c r="H182">
        <f>IF(Sheet1!FW182&lt;&gt;"",Sheet1!FW182,"")</f>
        <v>0</v>
      </c>
      <c r="I182">
        <f ca="1">IF(Sheet1!GY182&lt;&gt;"",Sheet1!GY182,"")</f>
        <v>0</v>
      </c>
    </row>
    <row r="183" spans="1:9" x14ac:dyDescent="0.25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578221</v>
      </c>
      <c r="F183">
        <f>IF(Sheet1!FE183&lt;&gt;"",Sheet1!FE183,"")</f>
        <v>36000</v>
      </c>
      <c r="G183">
        <f>IF(Sheet1!FO183&lt;&gt;"",Sheet1!FO183,"")</f>
        <v>489821</v>
      </c>
      <c r="H183">
        <f>IF(Sheet1!FW183&lt;&gt;"",Sheet1!FW183,"")</f>
        <v>0</v>
      </c>
      <c r="I183">
        <f ca="1">IF(Sheet1!GY183&lt;&gt;"",Sheet1!GY183,"")</f>
        <v>0</v>
      </c>
    </row>
    <row r="184" spans="1:9" x14ac:dyDescent="0.25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561582</v>
      </c>
      <c r="F184">
        <f>IF(Sheet1!FE184&lt;&gt;"",Sheet1!FE184,"")</f>
        <v>36000</v>
      </c>
      <c r="G184">
        <f>IF(Sheet1!FO184&lt;&gt;"",Sheet1!FO184,"")</f>
        <v>473182</v>
      </c>
      <c r="H184">
        <f>IF(Sheet1!FW184&lt;&gt;"",Sheet1!FW184,"")</f>
        <v>0</v>
      </c>
      <c r="I184">
        <f ca="1">IF(Sheet1!GY184&lt;&gt;"",Sheet1!GY184,"")</f>
        <v>0</v>
      </c>
    </row>
    <row r="185" spans="1:9" x14ac:dyDescent="0.25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630743</v>
      </c>
      <c r="F185">
        <f>IF(Sheet1!FE185&lt;&gt;"",Sheet1!FE185,"")</f>
        <v>84000</v>
      </c>
      <c r="G185">
        <f>IF(Sheet1!FO185&lt;&gt;"",Sheet1!FO185,"")</f>
        <v>494343</v>
      </c>
      <c r="H185">
        <f>IF(Sheet1!FW185&lt;&gt;"",Sheet1!FW185,"")</f>
        <v>0</v>
      </c>
      <c r="I185">
        <f ca="1">IF(Sheet1!GY185&lt;&gt;"",Sheet1!GY185,"")</f>
        <v>0</v>
      </c>
    </row>
    <row r="186" spans="1:9" x14ac:dyDescent="0.25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430024</v>
      </c>
      <c r="F186">
        <f>IF(Sheet1!FE186&lt;&gt;"",Sheet1!FE186,"")</f>
        <v>24000</v>
      </c>
      <c r="G186">
        <f>IF(Sheet1!FO186&lt;&gt;"",Sheet1!FO186,"")</f>
        <v>354224</v>
      </c>
      <c r="H186">
        <f>IF(Sheet1!FW186&lt;&gt;"",Sheet1!FW186,"")</f>
        <v>0</v>
      </c>
      <c r="I186">
        <f ca="1">IF(Sheet1!GY186&lt;&gt;"",Sheet1!GY186,"")</f>
        <v>0</v>
      </c>
    </row>
    <row r="187" spans="1:9" x14ac:dyDescent="0.25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487225</v>
      </c>
      <c r="F187">
        <f>IF(Sheet1!FE187&lt;&gt;"",Sheet1!FE187,"")</f>
        <v>24000</v>
      </c>
      <c r="G187">
        <f>IF(Sheet1!FO187&lt;&gt;"",Sheet1!FO187,"")</f>
        <v>411025</v>
      </c>
      <c r="H187">
        <f>IF(Sheet1!FW187&lt;&gt;"",Sheet1!FW187,"")</f>
        <v>0</v>
      </c>
      <c r="I187">
        <f ca="1">IF(Sheet1!GY187&lt;&gt;"",Sheet1!GY187,"")</f>
        <v>0</v>
      </c>
    </row>
    <row r="188" spans="1:9" x14ac:dyDescent="0.25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865906</v>
      </c>
      <c r="F188">
        <f>IF(Sheet1!FE188&lt;&gt;"",Sheet1!FE188,"")</f>
        <v>42000</v>
      </c>
      <c r="G188">
        <f>IF(Sheet1!FO188&lt;&gt;"",Sheet1!FO188,"")</f>
        <v>771506</v>
      </c>
      <c r="H188">
        <f>IF(Sheet1!FW188&lt;&gt;"",Sheet1!FW188,"")</f>
        <v>69473</v>
      </c>
      <c r="I188">
        <f ca="1">IF(Sheet1!GY188&lt;&gt;"",Sheet1!GY188,"")</f>
        <v>0</v>
      </c>
    </row>
    <row r="189" spans="1:9" x14ac:dyDescent="0.25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782307</v>
      </c>
      <c r="F189">
        <f>IF(Sheet1!FE189&lt;&gt;"",Sheet1!FE189,"")</f>
        <v>36000</v>
      </c>
      <c r="G189">
        <f>IF(Sheet1!FO189&lt;&gt;"",Sheet1!FO189,"")</f>
        <v>693907</v>
      </c>
      <c r="H189">
        <f>IF(Sheet1!FW189&lt;&gt;"",Sheet1!FW189,"")</f>
        <v>53332</v>
      </c>
      <c r="I189">
        <f ca="1">IF(Sheet1!GY189&lt;&gt;"",Sheet1!GY189,"")</f>
        <v>0</v>
      </c>
    </row>
    <row r="190" spans="1:9" x14ac:dyDescent="0.25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788308</v>
      </c>
      <c r="F190">
        <f>IF(Sheet1!FE190&lt;&gt;"",Sheet1!FE190,"")</f>
        <v>36000</v>
      </c>
      <c r="G190">
        <f>IF(Sheet1!FO190&lt;&gt;"",Sheet1!FO190,"")</f>
        <v>699908</v>
      </c>
      <c r="H190">
        <f>IF(Sheet1!FW190&lt;&gt;"",Sheet1!FW190,"")</f>
        <v>54581</v>
      </c>
      <c r="I190">
        <f ca="1">IF(Sheet1!GY190&lt;&gt;"",Sheet1!GY190,"")</f>
        <v>0</v>
      </c>
    </row>
    <row r="191" spans="1:9" x14ac:dyDescent="0.25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578229</v>
      </c>
      <c r="F191">
        <f>IF(Sheet1!FE191&lt;&gt;"",Sheet1!FE191,"")</f>
        <v>30000</v>
      </c>
      <c r="G191">
        <f>IF(Sheet1!FO191&lt;&gt;"",Sheet1!FO191,"")</f>
        <v>495829</v>
      </c>
      <c r="H191">
        <f>IF(Sheet1!FW191&lt;&gt;"",Sheet1!FW191,"")</f>
        <v>0</v>
      </c>
      <c r="I191">
        <f ca="1">IF(Sheet1!GY191&lt;&gt;"",Sheet1!GY191,"")</f>
        <v>0</v>
      </c>
    </row>
    <row r="192" spans="1:9" x14ac:dyDescent="0.25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555590</v>
      </c>
      <c r="F192">
        <f>IF(Sheet1!FE192&lt;&gt;"",Sheet1!FE192,"")</f>
        <v>30000</v>
      </c>
      <c r="G192">
        <f>IF(Sheet1!FO192&lt;&gt;"",Sheet1!FO192,"")</f>
        <v>473190</v>
      </c>
      <c r="H192">
        <f>IF(Sheet1!FW192&lt;&gt;"",Sheet1!FW192,"")</f>
        <v>0</v>
      </c>
      <c r="I192">
        <f ca="1">IF(Sheet1!GY192&lt;&gt;"",Sheet1!GY192,"")</f>
        <v>0</v>
      </c>
    </row>
    <row r="193" spans="1:9" x14ac:dyDescent="0.25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487231</v>
      </c>
      <c r="F193">
        <f>IF(Sheet1!FE193&lt;&gt;"",Sheet1!FE193,"")</f>
        <v>24000</v>
      </c>
      <c r="G193">
        <f>IF(Sheet1!FO193&lt;&gt;"",Sheet1!FO193,"")</f>
        <v>411031</v>
      </c>
      <c r="H193">
        <f>IF(Sheet1!FW193&lt;&gt;"",Sheet1!FW193,"")</f>
        <v>0</v>
      </c>
      <c r="I193">
        <f ca="1">IF(Sheet1!GY193&lt;&gt;"",Sheet1!GY193,"")</f>
        <v>0</v>
      </c>
    </row>
    <row r="194" spans="1:9" x14ac:dyDescent="0.25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487232</v>
      </c>
      <c r="F194">
        <f>IF(Sheet1!FE194&lt;&gt;"",Sheet1!FE194,"")</f>
        <v>0</v>
      </c>
      <c r="G194">
        <f>IF(Sheet1!FO194&lt;&gt;"",Sheet1!FO194,"")</f>
        <v>435032</v>
      </c>
      <c r="H194">
        <f>IF(Sheet1!FW194&lt;&gt;"",Sheet1!FW194,"")</f>
        <v>0</v>
      </c>
      <c r="I194">
        <f ca="1">IF(Sheet1!GY194&lt;&gt;"",Sheet1!GY194,"")</f>
        <v>0</v>
      </c>
    </row>
    <row r="195" spans="1:9" x14ac:dyDescent="0.25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787113</v>
      </c>
      <c r="F195">
        <f>IF(Sheet1!FE195&lt;&gt;"",Sheet1!FE195,"")</f>
        <v>48000</v>
      </c>
      <c r="G195">
        <f>IF(Sheet1!FO195&lt;&gt;"",Sheet1!FO195,"")</f>
        <v>686713</v>
      </c>
      <c r="H195">
        <f>IF(Sheet1!FW195&lt;&gt;"",Sheet1!FW195,"")</f>
        <v>51837</v>
      </c>
      <c r="I195">
        <f ca="1">IF(Sheet1!GY195&lt;&gt;"",Sheet1!GY195,"")</f>
        <v>0</v>
      </c>
    </row>
    <row r="196" spans="1:9" x14ac:dyDescent="0.25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561594</v>
      </c>
      <c r="F196">
        <f>IF(Sheet1!FE196&lt;&gt;"",Sheet1!FE196,"")</f>
        <v>36000</v>
      </c>
      <c r="G196">
        <f>IF(Sheet1!FO196&lt;&gt;"",Sheet1!FO196,"")</f>
        <v>473194</v>
      </c>
      <c r="H196">
        <f>IF(Sheet1!FW196&lt;&gt;"",Sheet1!FW196,"")</f>
        <v>0</v>
      </c>
      <c r="I196">
        <f ca="1">IF(Sheet1!GY196&lt;&gt;"",Sheet1!GY196,"")</f>
        <v>0</v>
      </c>
    </row>
    <row r="197" spans="1:9" x14ac:dyDescent="0.25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476555</v>
      </c>
      <c r="F197">
        <f>IF(Sheet1!FE197&lt;&gt;"",Sheet1!FE197,"")</f>
        <v>60000</v>
      </c>
      <c r="G197">
        <f>IF(Sheet1!FO197&lt;&gt;"",Sheet1!FO197,"")</f>
        <v>364755</v>
      </c>
      <c r="H197">
        <f>IF(Sheet1!FW197&lt;&gt;"",Sheet1!FW197,"")</f>
        <v>0</v>
      </c>
      <c r="I197">
        <f ca="1">IF(Sheet1!GY197&lt;&gt;"",Sheet1!GY197,"")</f>
        <v>0</v>
      </c>
    </row>
    <row r="198" spans="1:9" x14ac:dyDescent="0.25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981876</v>
      </c>
      <c r="F198">
        <f>IF(Sheet1!FE198&lt;&gt;"",Sheet1!FE198,"")</f>
        <v>150000</v>
      </c>
      <c r="G198">
        <f>IF(Sheet1!FO198&lt;&gt;"",Sheet1!FO198,"")</f>
        <v>731676</v>
      </c>
      <c r="H198">
        <f>IF(Sheet1!FW198&lt;&gt;"",Sheet1!FW198,"")</f>
        <v>61188</v>
      </c>
      <c r="I198">
        <f ca="1">IF(Sheet1!GY198&lt;&gt;"",Sheet1!GY198,"")</f>
        <v>0</v>
      </c>
    </row>
    <row r="199" spans="1:9" x14ac:dyDescent="0.25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578237</v>
      </c>
      <c r="F199">
        <f>IF(Sheet1!FE199&lt;&gt;"",Sheet1!FE199,"")</f>
        <v>66000</v>
      </c>
      <c r="G199">
        <f>IF(Sheet1!FO199&lt;&gt;"",Sheet1!FO199,"")</f>
        <v>459837</v>
      </c>
      <c r="H199">
        <f>IF(Sheet1!FW199&lt;&gt;"",Sheet1!FW199,"")</f>
        <v>0</v>
      </c>
      <c r="I199">
        <f ca="1">IF(Sheet1!GY199&lt;&gt;"",Sheet1!GY199,"")</f>
        <v>0</v>
      </c>
    </row>
    <row r="200" spans="1:9" x14ac:dyDescent="0.25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836158</v>
      </c>
      <c r="F200">
        <f>IF(Sheet1!FE200&lt;&gt;"",Sheet1!FE200,"")</f>
        <v>60000</v>
      </c>
      <c r="G200">
        <f>IF(Sheet1!FO200&lt;&gt;"",Sheet1!FO200,"")</f>
        <v>723758</v>
      </c>
      <c r="H200">
        <f>IF(Sheet1!FW200&lt;&gt;"",Sheet1!FW200,"")</f>
        <v>59542</v>
      </c>
      <c r="I200">
        <f ca="1">IF(Sheet1!GY200&lt;&gt;"",Sheet1!GY200,"")</f>
        <v>0</v>
      </c>
    </row>
    <row r="201" spans="1:9" x14ac:dyDescent="0.25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561599</v>
      </c>
      <c r="F201">
        <f>IF(Sheet1!FE201&lt;&gt;"",Sheet1!FE201,"")</f>
        <v>60000</v>
      </c>
      <c r="G201">
        <f>IF(Sheet1!FO201&lt;&gt;"",Sheet1!FO201,"")</f>
        <v>449199</v>
      </c>
      <c r="H201">
        <f>IF(Sheet1!FW201&lt;&gt;"",Sheet1!FW201,"")</f>
        <v>0</v>
      </c>
      <c r="I201">
        <f ca="1">IF(Sheet1!GY201&lt;&gt;"",Sheet1!GY201,"")</f>
        <v>0</v>
      </c>
    </row>
    <row r="202" spans="1:9" x14ac:dyDescent="0.25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561600</v>
      </c>
      <c r="F202">
        <f>IF(Sheet1!FE202&lt;&gt;"",Sheet1!FE202,"")</f>
        <v>30000</v>
      </c>
      <c r="G202">
        <f>IF(Sheet1!FO202&lt;&gt;"",Sheet1!FO202,"")</f>
        <v>479200</v>
      </c>
      <c r="H202">
        <f>IF(Sheet1!FW202&lt;&gt;"",Sheet1!FW202,"")</f>
        <v>0</v>
      </c>
      <c r="I202">
        <f ca="1">IF(Sheet1!GY202&lt;&gt;"",Sheet1!GY202,"")</f>
        <v>0</v>
      </c>
    </row>
    <row r="203" spans="1:9" x14ac:dyDescent="0.25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561601</v>
      </c>
      <c r="F203">
        <f>IF(Sheet1!FE203&lt;&gt;"",Sheet1!FE203,"")</f>
        <v>36000</v>
      </c>
      <c r="G203">
        <f>IF(Sheet1!FO203&lt;&gt;"",Sheet1!FO203,"")</f>
        <v>473201</v>
      </c>
      <c r="H203">
        <f>IF(Sheet1!FW203&lt;&gt;"",Sheet1!FW203,"")</f>
        <v>0</v>
      </c>
      <c r="I203">
        <f ca="1">IF(Sheet1!GY203&lt;&gt;"",Sheet1!GY203,"")</f>
        <v>0</v>
      </c>
    </row>
    <row r="204" spans="1:9" x14ac:dyDescent="0.25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630762</v>
      </c>
      <c r="F204">
        <f>IF(Sheet1!FE204&lt;&gt;"",Sheet1!FE204,"")</f>
        <v>60000</v>
      </c>
      <c r="G204">
        <f>IF(Sheet1!FO204&lt;&gt;"",Sheet1!FO204,"")</f>
        <v>470562</v>
      </c>
      <c r="H204">
        <f>IF(Sheet1!FW204&lt;&gt;"",Sheet1!FW204,"")</f>
        <v>0</v>
      </c>
      <c r="I204">
        <f ca="1">IF(Sheet1!GY204&lt;&gt;"",Sheet1!GY204,"")</f>
        <v>0</v>
      </c>
    </row>
    <row r="205" spans="1:9" x14ac:dyDescent="0.25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487243</v>
      </c>
      <c r="F205">
        <f>IF(Sheet1!FE205&lt;&gt;"",Sheet1!FE205,"")</f>
        <v>24000</v>
      </c>
      <c r="G205">
        <f>IF(Sheet1!FO205&lt;&gt;"",Sheet1!FO205,"")</f>
        <v>411043</v>
      </c>
      <c r="H205">
        <f>IF(Sheet1!FW205&lt;&gt;"",Sheet1!FW205,"")</f>
        <v>-1</v>
      </c>
      <c r="I205">
        <f ca="1">IF(Sheet1!GY205&lt;&gt;"",Sheet1!GY205,"")</f>
        <v>0</v>
      </c>
    </row>
    <row r="206" spans="1:9" x14ac:dyDescent="0.25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451044</v>
      </c>
      <c r="F206">
        <f>IF(Sheet1!FE206&lt;&gt;"",Sheet1!FE206,"")</f>
        <v>4000</v>
      </c>
      <c r="G206">
        <f>IF(Sheet1!FO206&lt;&gt;"",Sheet1!FO206,"")</f>
        <v>395244</v>
      </c>
      <c r="H206">
        <f>IF(Sheet1!FW206&lt;&gt;"",Sheet1!FW206,"")</f>
        <v>-2</v>
      </c>
      <c r="I206">
        <f ca="1">IF(Sheet1!GY206&lt;&gt;"",Sheet1!GY206,"")</f>
        <v>0</v>
      </c>
    </row>
    <row r="207" spans="1:9" x14ac:dyDescent="0.25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566405</v>
      </c>
      <c r="F207">
        <f>IF(Sheet1!FE207&lt;&gt;"",Sheet1!FE207,"")</f>
        <v>36000</v>
      </c>
      <c r="G207">
        <f>IF(Sheet1!FO207&lt;&gt;"",Sheet1!FO207,"")</f>
        <v>478005</v>
      </c>
      <c r="H207">
        <f>IF(Sheet1!FW207&lt;&gt;"",Sheet1!FW207,"")</f>
        <v>0</v>
      </c>
      <c r="I207">
        <f ca="1">IF(Sheet1!GY207&lt;&gt;"",Sheet1!GY207,"")</f>
        <v>0</v>
      </c>
    </row>
    <row r="208" spans="1:9" x14ac:dyDescent="0.25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530406</v>
      </c>
      <c r="F208">
        <f>IF(Sheet1!FE208&lt;&gt;"",Sheet1!FE208,"")</f>
        <v>24000</v>
      </c>
      <c r="G208">
        <f>IF(Sheet1!FO208&lt;&gt;"",Sheet1!FO208,"")</f>
        <v>454006</v>
      </c>
      <c r="H208">
        <f>IF(Sheet1!FW208&lt;&gt;"",Sheet1!FW208,"")</f>
        <v>0</v>
      </c>
      <c r="I208">
        <f ca="1">IF(Sheet1!GY208&lt;&gt;"",Sheet1!GY208,"")</f>
        <v>0</v>
      </c>
    </row>
    <row r="209" spans="1:9" x14ac:dyDescent="0.25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392807</v>
      </c>
      <c r="F209">
        <f>IF(Sheet1!FE209&lt;&gt;"",Sheet1!FE209,"")</f>
        <v>24000</v>
      </c>
      <c r="G209">
        <f>IF(Sheet1!FO209&lt;&gt;"",Sheet1!FO209,"")</f>
        <v>268657</v>
      </c>
      <c r="H209">
        <f>IF(Sheet1!FW209&lt;&gt;"",Sheet1!FW209,"")</f>
        <v>0</v>
      </c>
      <c r="I209">
        <f ca="1">IF(Sheet1!GY209&lt;&gt;"",Sheet1!GY209,"")</f>
        <v>0</v>
      </c>
    </row>
    <row r="210" spans="1:9" x14ac:dyDescent="0.25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865928</v>
      </c>
      <c r="F210">
        <f>IF(Sheet1!FE210&lt;&gt;"",Sheet1!FE210,"")</f>
        <v>120000</v>
      </c>
      <c r="G210">
        <f>IF(Sheet1!FO210&lt;&gt;"",Sheet1!FO210,"")</f>
        <v>693528</v>
      </c>
      <c r="H210">
        <f>IF(Sheet1!FW210&lt;&gt;"",Sheet1!FW210,"")</f>
        <v>53254</v>
      </c>
      <c r="I210">
        <f ca="1">IF(Sheet1!GY210&lt;&gt;"",Sheet1!GY210,"")</f>
        <v>0</v>
      </c>
    </row>
    <row r="211" spans="1:9" x14ac:dyDescent="0.25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788329</v>
      </c>
      <c r="F211">
        <f>IF(Sheet1!FE211&lt;&gt;"",Sheet1!FE211,"")</f>
        <v>60000</v>
      </c>
      <c r="G211">
        <f>IF(Sheet1!FO211&lt;&gt;"",Sheet1!FO211,"")</f>
        <v>675929</v>
      </c>
      <c r="H211">
        <f>IF(Sheet1!FW211&lt;&gt;"",Sheet1!FW211,"")</f>
        <v>49593</v>
      </c>
      <c r="I211">
        <f ca="1">IF(Sheet1!GY211&lt;&gt;"",Sheet1!GY211,"")</f>
        <v>0</v>
      </c>
    </row>
    <row r="212" spans="1:9" x14ac:dyDescent="0.25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561610</v>
      </c>
      <c r="F212">
        <f>IF(Sheet1!FE212&lt;&gt;"",Sheet1!FE212,"")</f>
        <v>36000</v>
      </c>
      <c r="G212">
        <f>IF(Sheet1!FO212&lt;&gt;"",Sheet1!FO212,"")</f>
        <v>473210</v>
      </c>
      <c r="H212">
        <f>IF(Sheet1!FW212&lt;&gt;"",Sheet1!FW212,"")</f>
        <v>0</v>
      </c>
      <c r="I212">
        <f ca="1">IF(Sheet1!GY212&lt;&gt;"",Sheet1!GY212,"")</f>
        <v>0</v>
      </c>
    </row>
    <row r="213" spans="1:9" x14ac:dyDescent="0.25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530411</v>
      </c>
      <c r="F213">
        <f>IF(Sheet1!FE213&lt;&gt;"",Sheet1!FE213,"")</f>
        <v>24000</v>
      </c>
      <c r="G213">
        <f>IF(Sheet1!FO213&lt;&gt;"",Sheet1!FO213,"")</f>
        <v>454011</v>
      </c>
      <c r="H213">
        <f>IF(Sheet1!FW213&lt;&gt;"",Sheet1!FW213,"")</f>
        <v>0</v>
      </c>
      <c r="I213">
        <f ca="1">IF(Sheet1!GY213&lt;&gt;"",Sheet1!GY213,"")</f>
        <v>0</v>
      </c>
    </row>
    <row r="214" spans="1:9" x14ac:dyDescent="0.25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793132</v>
      </c>
      <c r="F214">
        <f>IF(Sheet1!FE214&lt;&gt;"",Sheet1!FE214,"")</f>
        <v>60000</v>
      </c>
      <c r="G214">
        <f>IF(Sheet1!FO214&lt;&gt;"",Sheet1!FO214,"")</f>
        <v>680732</v>
      </c>
      <c r="H214">
        <f>IF(Sheet1!FW214&lt;&gt;"",Sheet1!FW214,"")</f>
        <v>50592</v>
      </c>
      <c r="I214">
        <f ca="1">IF(Sheet1!GY214&lt;&gt;"",Sheet1!GY214,"")</f>
        <v>0</v>
      </c>
    </row>
    <row r="215" spans="1:9" x14ac:dyDescent="0.25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788333</v>
      </c>
      <c r="F215">
        <f>IF(Sheet1!FE215&lt;&gt;"",Sheet1!FE215,"")</f>
        <v>72000</v>
      </c>
      <c r="G215">
        <f>IF(Sheet1!FO215&lt;&gt;"",Sheet1!FO215,"")</f>
        <v>663933</v>
      </c>
      <c r="H215">
        <f>IF(Sheet1!FW215&lt;&gt;"",Sheet1!FW215,"")</f>
        <v>47098</v>
      </c>
      <c r="I215">
        <f ca="1">IF(Sheet1!GY215&lt;&gt;"",Sheet1!GY215,"")</f>
        <v>0</v>
      </c>
    </row>
    <row r="216" spans="1:9" x14ac:dyDescent="0.25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530414</v>
      </c>
      <c r="F216">
        <f>IF(Sheet1!FE216&lt;&gt;"",Sheet1!FE216,"")</f>
        <v>24000</v>
      </c>
      <c r="G216">
        <f>IF(Sheet1!FO216&lt;&gt;"",Sheet1!FO216,"")</f>
        <v>454014</v>
      </c>
      <c r="H216">
        <f>IF(Sheet1!FW216&lt;&gt;"",Sheet1!FW216,"")</f>
        <v>0</v>
      </c>
      <c r="I216">
        <f ca="1">IF(Sheet1!GY216&lt;&gt;"",Sheet1!GY216,"")</f>
        <v>0</v>
      </c>
    </row>
    <row r="217" spans="1:9" x14ac:dyDescent="0.25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816535</v>
      </c>
      <c r="F217">
        <f>IF(Sheet1!FE217&lt;&gt;"",Sheet1!FE217,"")</f>
        <v>48720</v>
      </c>
      <c r="G217">
        <f>IF(Sheet1!FO217&lt;&gt;"",Sheet1!FO217,"")</f>
        <v>715415</v>
      </c>
      <c r="H217">
        <f>IF(Sheet1!FW217&lt;&gt;"",Sheet1!FW217,"")</f>
        <v>57806</v>
      </c>
      <c r="I217">
        <f ca="1">IF(Sheet1!GY217&lt;&gt;"",Sheet1!GY217,"")</f>
        <v>0</v>
      </c>
    </row>
    <row r="218" spans="1:9" x14ac:dyDescent="0.25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578256</v>
      </c>
      <c r="F218">
        <f>IF(Sheet1!FE218&lt;&gt;"",Sheet1!FE218,"")</f>
        <v>30000</v>
      </c>
      <c r="G218">
        <f>IF(Sheet1!FO218&lt;&gt;"",Sheet1!FO218,"")</f>
        <v>495856</v>
      </c>
      <c r="H218">
        <f>IF(Sheet1!FW218&lt;&gt;"",Sheet1!FW218,"")</f>
        <v>0</v>
      </c>
      <c r="I218">
        <f ca="1">IF(Sheet1!GY218&lt;&gt;"",Sheet1!GY218,"")</f>
        <v>0</v>
      </c>
    </row>
    <row r="219" spans="1:9" x14ac:dyDescent="0.25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578257</v>
      </c>
      <c r="F219">
        <f>IF(Sheet1!FE219&lt;&gt;"",Sheet1!FE219,"")</f>
        <v>30000</v>
      </c>
      <c r="G219">
        <f>IF(Sheet1!FO219&lt;&gt;"",Sheet1!FO219,"")</f>
        <v>495857</v>
      </c>
      <c r="H219">
        <f>IF(Sheet1!FW219&lt;&gt;"",Sheet1!FW219,"")</f>
        <v>0</v>
      </c>
      <c r="I219">
        <f ca="1">IF(Sheet1!GY219&lt;&gt;"",Sheet1!GY219,"")</f>
        <v>0</v>
      </c>
    </row>
    <row r="220" spans="1:9" x14ac:dyDescent="0.25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555618</v>
      </c>
      <c r="F220">
        <f>IF(Sheet1!FE220&lt;&gt;"",Sheet1!FE220,"")</f>
        <v>30000</v>
      </c>
      <c r="G220">
        <f>IF(Sheet1!FO220&lt;&gt;"",Sheet1!FO220,"")</f>
        <v>473218</v>
      </c>
      <c r="H220">
        <f>IF(Sheet1!FW220&lt;&gt;"",Sheet1!FW220,"")</f>
        <v>0</v>
      </c>
      <c r="I220">
        <f ca="1">IF(Sheet1!GY220&lt;&gt;"",Sheet1!GY220,"")</f>
        <v>0</v>
      </c>
    </row>
    <row r="221" spans="1:9" x14ac:dyDescent="0.25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561619</v>
      </c>
      <c r="F221">
        <f>IF(Sheet1!FE221&lt;&gt;"",Sheet1!FE221,"")</f>
        <v>48000</v>
      </c>
      <c r="G221">
        <f>IF(Sheet1!FO221&lt;&gt;"",Sheet1!FO221,"")</f>
        <v>461219</v>
      </c>
      <c r="H221">
        <f>IF(Sheet1!FW221&lt;&gt;"",Sheet1!FW221,"")</f>
        <v>0</v>
      </c>
      <c r="I221">
        <f ca="1">IF(Sheet1!GY221&lt;&gt;"",Sheet1!GY221,"")</f>
        <v>0</v>
      </c>
    </row>
    <row r="222" spans="1:9" x14ac:dyDescent="0.25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417580</v>
      </c>
      <c r="F222">
        <f>IF(Sheet1!FE222&lt;&gt;"",Sheet1!FE222,"")</f>
        <v>24000</v>
      </c>
      <c r="G222">
        <f>IF(Sheet1!FO222&lt;&gt;"",Sheet1!FO222,"")</f>
        <v>341780</v>
      </c>
      <c r="H222">
        <f>IF(Sheet1!FW222&lt;&gt;"",Sheet1!FW222,"")</f>
        <v>0</v>
      </c>
      <c r="I222">
        <f ca="1">IF(Sheet1!GY222&lt;&gt;"",Sheet1!GY222,"")</f>
        <v>0</v>
      </c>
    </row>
    <row r="223" spans="1:9" x14ac:dyDescent="0.25">
      <c r="A223" t="str">
        <f>IF(Sheet1!B223&lt;&gt;"",Sheet1!B223,"")</f>
        <v>teachers304</v>
      </c>
      <c r="B223" t="str">
        <f>IF(Sheet1!C223&lt;&gt;"",Sheet1!C223,"")</f>
        <v>SISIRKANA BERA</v>
      </c>
      <c r="C223" t="str">
        <f>IF(Sheet1!D223&lt;&gt;"",Sheet1!D223,"")</f>
        <v>NUTANGRAM PRIMARY SCHOOL</v>
      </c>
      <c r="D223" t="str">
        <f>IF(Sheet1!E223&lt;&gt;"",Sheet1!E223,"")</f>
        <v>ABPTA</v>
      </c>
      <c r="E223">
        <f>IF(Sheet1!EM223&lt;&gt;"",Sheet1!EM223,"")</f>
        <v>865941</v>
      </c>
      <c r="F223">
        <f>IF(Sheet1!FE223&lt;&gt;"",Sheet1!FE223,"")</f>
        <v>120000</v>
      </c>
      <c r="G223">
        <f>IF(Sheet1!FO223&lt;&gt;"",Sheet1!FO223,"")</f>
        <v>693541</v>
      </c>
      <c r="H223">
        <f>IF(Sheet1!FW223&lt;&gt;"",Sheet1!FW223,"")</f>
        <v>53256</v>
      </c>
      <c r="I223">
        <f ca="1">IF(Sheet1!GY223&lt;&gt;"",Sheet1!GY223,"")</f>
        <v>0</v>
      </c>
    </row>
    <row r="224" spans="1:9" x14ac:dyDescent="0.25">
      <c r="A224" t="str">
        <f>IF(Sheet1!B224&lt;&gt;"",Sheet1!B224,"")</f>
        <v>teachers305</v>
      </c>
      <c r="B224" t="str">
        <f>IF(Sheet1!C224&lt;&gt;"",Sheet1!C224,"")</f>
        <v>ANUP DAS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782342</v>
      </c>
      <c r="F224">
        <f>IF(Sheet1!FE224&lt;&gt;"",Sheet1!FE224,"")</f>
        <v>60000</v>
      </c>
      <c r="G224">
        <f>IF(Sheet1!FO224&lt;&gt;"",Sheet1!FO224,"")</f>
        <v>669942</v>
      </c>
      <c r="H224">
        <f>IF(Sheet1!FW224&lt;&gt;"",Sheet1!FW224,"")</f>
        <v>48348</v>
      </c>
      <c r="I224">
        <f ca="1">IF(Sheet1!GY224&lt;&gt;"",Sheet1!GY224,"")</f>
        <v>0</v>
      </c>
    </row>
    <row r="225" spans="1:9" x14ac:dyDescent="0.25">
      <c r="A225" t="str">
        <f>IF(Sheet1!B225&lt;&gt;"",Sheet1!B225,"")</f>
        <v>teachers306</v>
      </c>
      <c r="B225" t="str">
        <f>IF(Sheet1!C225&lt;&gt;"",Sheet1!C225,"")</f>
        <v>KALYANI HAZRA BOR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830183</v>
      </c>
      <c r="F225">
        <f>IF(Sheet1!FE225&lt;&gt;"",Sheet1!FE225,"")</f>
        <v>48720</v>
      </c>
      <c r="G225">
        <f>IF(Sheet1!FO225&lt;&gt;"",Sheet1!FO225,"")</f>
        <v>729063</v>
      </c>
      <c r="H225">
        <f>IF(Sheet1!FW225&lt;&gt;"",Sheet1!FW225,"")</f>
        <v>60646</v>
      </c>
      <c r="I225">
        <f ca="1">IF(Sheet1!GY225&lt;&gt;"",Sheet1!GY225,"")</f>
        <v>0</v>
      </c>
    </row>
    <row r="226" spans="1:9" x14ac:dyDescent="0.25">
      <c r="A226" t="str">
        <f>IF(Sheet1!B226&lt;&gt;"",Sheet1!B226,"")</f>
        <v>teachers307</v>
      </c>
      <c r="B226" t="str">
        <f>IF(Sheet1!C226&lt;&gt;"",Sheet1!C226,"")</f>
        <v>JHANTU MALLICK</v>
      </c>
      <c r="C226" t="str">
        <f>IF(Sheet1!D226&lt;&gt;"",Sheet1!D226,"")</f>
        <v>NUTANGRAM PRIMARY SCHOOL</v>
      </c>
      <c r="D226" t="str">
        <f>IF(Sheet1!E226&lt;&gt;"",Sheet1!E226,"")</f>
        <v>WBTPTA</v>
      </c>
      <c r="E226">
        <f>IF(Sheet1!EM226&lt;&gt;"",Sheet1!EM226,"")</f>
        <v>555624</v>
      </c>
      <c r="F226">
        <f>IF(Sheet1!FE226&lt;&gt;"",Sheet1!FE226,"")</f>
        <v>60000</v>
      </c>
      <c r="G226">
        <f>IF(Sheet1!FO226&lt;&gt;"",Sheet1!FO226,"")</f>
        <v>443224</v>
      </c>
      <c r="H226">
        <f>IF(Sheet1!FW226&lt;&gt;"",Sheet1!FW226,"")</f>
        <v>0</v>
      </c>
      <c r="I226">
        <f ca="1">IF(Sheet1!GY226&lt;&gt;"",Sheet1!GY226,"")</f>
        <v>0</v>
      </c>
    </row>
    <row r="227" spans="1:9" x14ac:dyDescent="0.25">
      <c r="A227" t="str">
        <f>IF(Sheet1!B227&lt;&gt;"",Sheet1!B227,"")</f>
        <v>teachers308</v>
      </c>
      <c r="B227" t="str">
        <f>IF(Sheet1!C227&lt;&gt;"",Sheet1!C227,"")</f>
        <v>GADADHAR BAR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819545</v>
      </c>
      <c r="F227">
        <f>IF(Sheet1!FE227&lt;&gt;"",Sheet1!FE227,"")</f>
        <v>120000</v>
      </c>
      <c r="G227">
        <f>IF(Sheet1!FO227&lt;&gt;"",Sheet1!FO227,"")</f>
        <v>647145</v>
      </c>
      <c r="H227">
        <f>IF(Sheet1!FW227&lt;&gt;"",Sheet1!FW227,"")</f>
        <v>43606</v>
      </c>
      <c r="I227">
        <f ca="1">IF(Sheet1!GY227&lt;&gt;"",Sheet1!GY227,"")</f>
        <v>0</v>
      </c>
    </row>
    <row r="228" spans="1:9" x14ac:dyDescent="0.25">
      <c r="A228" t="str">
        <f>IF(Sheet1!B228&lt;&gt;"",Sheet1!B228,"")</f>
        <v>teachers309</v>
      </c>
      <c r="B228" t="str">
        <f>IF(Sheet1!C228&lt;&gt;"",Sheet1!C228,"")</f>
        <v>SAIKAT MONDAL</v>
      </c>
      <c r="C228" t="str">
        <f>IF(Sheet1!D228&lt;&gt;"",Sheet1!D228,"")</f>
        <v>PAIKBASA PRIMARY SCHOOL</v>
      </c>
      <c r="D228" t="str">
        <f>IF(Sheet1!E228&lt;&gt;"",Sheet1!E228,"")</f>
        <v>WBTPTA</v>
      </c>
      <c r="E228">
        <f>IF(Sheet1!EM228&lt;&gt;"",Sheet1!EM228,"")</f>
        <v>840986</v>
      </c>
      <c r="F228">
        <f>IF(Sheet1!FE228&lt;&gt;"",Sheet1!FE228,"")</f>
        <v>60000</v>
      </c>
      <c r="G228">
        <f>IF(Sheet1!FO228&lt;&gt;"",Sheet1!FO228,"")</f>
        <v>728586</v>
      </c>
      <c r="H228">
        <f>IF(Sheet1!FW228&lt;&gt;"",Sheet1!FW228,"")</f>
        <v>60546</v>
      </c>
      <c r="I228">
        <f ca="1">IF(Sheet1!GY228&lt;&gt;"",Sheet1!GY228,"")</f>
        <v>0</v>
      </c>
    </row>
    <row r="229" spans="1:9" x14ac:dyDescent="0.25">
      <c r="A229" t="str">
        <f>IF(Sheet1!B229&lt;&gt;"",Sheet1!B229,"")</f>
        <v>teachers310</v>
      </c>
      <c r="B229" t="str">
        <f>IF(Sheet1!C229&lt;&gt;"",Sheet1!C229,"")</f>
        <v>PALASH BEJ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578267</v>
      </c>
      <c r="F229">
        <f>IF(Sheet1!FE229&lt;&gt;"",Sheet1!FE229,"")</f>
        <v>60000</v>
      </c>
      <c r="G229">
        <f>IF(Sheet1!FO229&lt;&gt;"",Sheet1!FO229,"")</f>
        <v>465867</v>
      </c>
      <c r="H229">
        <f>IF(Sheet1!FW229&lt;&gt;"",Sheet1!FW229,"")</f>
        <v>0</v>
      </c>
      <c r="I229">
        <f ca="1">IF(Sheet1!GY229&lt;&gt;"",Sheet1!GY229,"")</f>
        <v>0</v>
      </c>
    </row>
    <row r="230" spans="1:9" x14ac:dyDescent="0.25">
      <c r="A230" t="str">
        <f>IF(Sheet1!B230&lt;&gt;"",Sheet1!B230,"")</f>
        <v>teachers311</v>
      </c>
      <c r="B230" t="str">
        <f>IF(Sheet1!C230&lt;&gt;"",Sheet1!C230,"")</f>
        <v>PALLAB MONDAL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487268</v>
      </c>
      <c r="F230">
        <f>IF(Sheet1!FE230&lt;&gt;"",Sheet1!FE230,"")</f>
        <v>24000</v>
      </c>
      <c r="G230">
        <f>IF(Sheet1!FO230&lt;&gt;"",Sheet1!FO230,"")</f>
        <v>411068</v>
      </c>
      <c r="H230">
        <f>IF(Sheet1!FW230&lt;&gt;"",Sheet1!FW230,"")</f>
        <v>0</v>
      </c>
      <c r="I230">
        <f ca="1">IF(Sheet1!GY230&lt;&gt;"",Sheet1!GY230,"")</f>
        <v>0</v>
      </c>
    </row>
    <row r="231" spans="1:9" x14ac:dyDescent="0.25">
      <c r="A231" t="str">
        <f>IF(Sheet1!B231&lt;&gt;"",Sheet1!B231,"")</f>
        <v>teachers312</v>
      </c>
      <c r="B231" t="str">
        <f>IF(Sheet1!C231&lt;&gt;"",Sheet1!C231,"")</f>
        <v>AMIYA KUMAR RIT</v>
      </c>
      <c r="C231" t="str">
        <f>IF(Sheet1!D231&lt;&gt;"",Sheet1!D231,"")</f>
        <v>PASCHIM GAZIPUR II PRIMARY SCHOOL</v>
      </c>
      <c r="D231" t="str">
        <f>IF(Sheet1!E231&lt;&gt;"",Sheet1!E231,"")</f>
        <v>WBTPTA</v>
      </c>
      <c r="E231">
        <f>IF(Sheet1!EM231&lt;&gt;"",Sheet1!EM231,"")</f>
        <v>594229</v>
      </c>
      <c r="F231">
        <f>IF(Sheet1!FE231&lt;&gt;"",Sheet1!FE231,"")</f>
        <v>60000</v>
      </c>
      <c r="G231">
        <f>IF(Sheet1!FO231&lt;&gt;"",Sheet1!FO231,"")</f>
        <v>481829</v>
      </c>
      <c r="H231">
        <f>IF(Sheet1!FW231&lt;&gt;"",Sheet1!FW231,"")</f>
        <v>0</v>
      </c>
      <c r="I231">
        <f ca="1">IF(Sheet1!GY231&lt;&gt;"",Sheet1!GY231,"")</f>
        <v>0</v>
      </c>
    </row>
    <row r="232" spans="1:9" x14ac:dyDescent="0.25">
      <c r="A232" t="str">
        <f>IF(Sheet1!B232&lt;&gt;"",Sheet1!B232,"")</f>
        <v>teachers313</v>
      </c>
      <c r="B232" t="str">
        <f>IF(Sheet1!C232&lt;&gt;"",Sheet1!C232,"")</f>
        <v>SUBHANKAR MAITY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578270</v>
      </c>
      <c r="F232">
        <f>IF(Sheet1!FE232&lt;&gt;"",Sheet1!FE232,"")</f>
        <v>36000</v>
      </c>
      <c r="G232">
        <f>IF(Sheet1!FO232&lt;&gt;"",Sheet1!FO232,"")</f>
        <v>489870</v>
      </c>
      <c r="H232">
        <f>IF(Sheet1!FW232&lt;&gt;"",Sheet1!FW232,"")</f>
        <v>0</v>
      </c>
      <c r="I232">
        <f ca="1">IF(Sheet1!GY232&lt;&gt;"",Sheet1!GY232,"")</f>
        <v>0</v>
      </c>
    </row>
    <row r="233" spans="1:9" x14ac:dyDescent="0.25">
      <c r="A233" t="str">
        <f>IF(Sheet1!B233&lt;&gt;"",Sheet1!B233,"")</f>
        <v>teachers314</v>
      </c>
      <c r="B233" t="str">
        <f>IF(Sheet1!C233&lt;&gt;"",Sheet1!C233,"")</f>
        <v>PALLABI PURKAIT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530431</v>
      </c>
      <c r="F233">
        <f>IF(Sheet1!FE233&lt;&gt;"",Sheet1!FE233,"")</f>
        <v>24000</v>
      </c>
      <c r="G233">
        <f>IF(Sheet1!FO233&lt;&gt;"",Sheet1!FO233,"")</f>
        <v>454031</v>
      </c>
      <c r="H233">
        <f>IF(Sheet1!FW233&lt;&gt;"",Sheet1!FW233,"")</f>
        <v>0</v>
      </c>
      <c r="I233">
        <f ca="1">IF(Sheet1!GY233&lt;&gt;"",Sheet1!GY233,"")</f>
        <v>0</v>
      </c>
    </row>
    <row r="234" spans="1:9" x14ac:dyDescent="0.25">
      <c r="A234" t="str">
        <f>IF(Sheet1!B234&lt;&gt;"",Sheet1!B234,"")</f>
        <v>teachers315</v>
      </c>
      <c r="B234" t="str">
        <f>IF(Sheet1!C234&lt;&gt;"",Sheet1!C234,"")</f>
        <v>MANTU MALICK</v>
      </c>
      <c r="C234" t="str">
        <f>IF(Sheet1!D234&lt;&gt;"",Sheet1!D234,"")</f>
        <v>PASCHIM NOWPARA PRIMARY SCHOOL</v>
      </c>
      <c r="D234" t="str">
        <f>IF(Sheet1!E234&lt;&gt;"",Sheet1!E234,"")</f>
        <v>WBTPTA</v>
      </c>
      <c r="E234">
        <f>IF(Sheet1!EM234&lt;&gt;"",Sheet1!EM234,"")</f>
        <v>583072</v>
      </c>
      <c r="F234">
        <f>IF(Sheet1!FE234&lt;&gt;"",Sheet1!FE234,"")</f>
        <v>36000</v>
      </c>
      <c r="G234">
        <f>IF(Sheet1!FO234&lt;&gt;"",Sheet1!FO234,"")</f>
        <v>494672</v>
      </c>
      <c r="H234">
        <f>IF(Sheet1!FW234&lt;&gt;"",Sheet1!FW234,"")</f>
        <v>0</v>
      </c>
      <c r="I234">
        <f ca="1">IF(Sheet1!GY234&lt;&gt;"",Sheet1!GY234,"")</f>
        <v>0</v>
      </c>
    </row>
    <row r="235" spans="1:9" x14ac:dyDescent="0.25">
      <c r="A235" t="str">
        <f>IF(Sheet1!B235&lt;&gt;"",Sheet1!B235,"")</f>
        <v>teachers316</v>
      </c>
      <c r="B235" t="str">
        <f>IF(Sheet1!C235&lt;&gt;"",Sheet1!C235,"")</f>
        <v>GITA ADHIKARY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578273</v>
      </c>
      <c r="F235">
        <f>IF(Sheet1!FE235&lt;&gt;"",Sheet1!FE235,"")</f>
        <v>36000</v>
      </c>
      <c r="G235">
        <f>IF(Sheet1!FO235&lt;&gt;"",Sheet1!FO235,"")</f>
        <v>489873</v>
      </c>
      <c r="H235">
        <f>IF(Sheet1!FW235&lt;&gt;"",Sheet1!FW235,"")</f>
        <v>0</v>
      </c>
      <c r="I235">
        <f ca="1">IF(Sheet1!GY235&lt;&gt;"",Sheet1!GY235,"")</f>
        <v>0</v>
      </c>
    </row>
    <row r="236" spans="1:9" x14ac:dyDescent="0.25">
      <c r="A236" t="str">
        <f>IF(Sheet1!B236&lt;&gt;"",Sheet1!B236,"")</f>
        <v>teachers317</v>
      </c>
      <c r="B236" t="str">
        <f>IF(Sheet1!C236&lt;&gt;"",Sheet1!C236,"")</f>
        <v>ABHISHEK CHATTERJEE</v>
      </c>
      <c r="C236" t="str">
        <f>IF(Sheet1!D236&lt;&gt;"",Sheet1!D236,"")</f>
        <v>PASCHIM SAURIA PRIMARY SCHOOL</v>
      </c>
      <c r="D236" t="str">
        <f>IF(Sheet1!E236&lt;&gt;"",Sheet1!E236,"")</f>
        <v>WBPTA</v>
      </c>
      <c r="E236">
        <f>IF(Sheet1!EM236&lt;&gt;"",Sheet1!EM236,"")</f>
        <v>583074</v>
      </c>
      <c r="F236">
        <f>IF(Sheet1!FE236&lt;&gt;"",Sheet1!FE236,"")</f>
        <v>30000</v>
      </c>
      <c r="G236">
        <f>IF(Sheet1!FO236&lt;&gt;"",Sheet1!FO236,"")</f>
        <v>500674</v>
      </c>
      <c r="H236">
        <f>IF(Sheet1!FW236&lt;&gt;"",Sheet1!FW236,"")</f>
        <v>13140</v>
      </c>
      <c r="I236">
        <f ca="1">IF(Sheet1!GY236&lt;&gt;"",Sheet1!GY236,"")</f>
        <v>0</v>
      </c>
    </row>
    <row r="237" spans="1:9" x14ac:dyDescent="0.25">
      <c r="A237" t="str">
        <f>IF(Sheet1!B237&lt;&gt;"",Sheet1!B237,"")</f>
        <v>teachers318</v>
      </c>
      <c r="B237" t="str">
        <f>IF(Sheet1!C237&lt;&gt;"",Sheet1!C237,"")</f>
        <v>SURAJIT MAJUMDER</v>
      </c>
      <c r="C237" t="str">
        <f>IF(Sheet1!D237&lt;&gt;"",Sheet1!D237,"")</f>
        <v>PASCHIM SAURIA PRIMARY SCHOOL</v>
      </c>
      <c r="D237" t="str">
        <f>IF(Sheet1!E237&lt;&gt;"",Sheet1!E237,"")</f>
        <v>WBTPTA</v>
      </c>
      <c r="E237">
        <f>IF(Sheet1!EM237&lt;&gt;"",Sheet1!EM237,"")</f>
        <v>561635</v>
      </c>
      <c r="F237">
        <f>IF(Sheet1!FE237&lt;&gt;"",Sheet1!FE237,"")</f>
        <v>30000</v>
      </c>
      <c r="G237">
        <f>IF(Sheet1!FO237&lt;&gt;"",Sheet1!FO237,"")</f>
        <v>479235</v>
      </c>
      <c r="H237">
        <f>IF(Sheet1!FW237&lt;&gt;"",Sheet1!FW237,"")</f>
        <v>0</v>
      </c>
      <c r="I237">
        <f ca="1">IF(Sheet1!GY237&lt;&gt;"",Sheet1!GY237,"")</f>
        <v>0</v>
      </c>
    </row>
    <row r="238" spans="1:9" x14ac:dyDescent="0.25">
      <c r="A238" t="str">
        <f>IF(Sheet1!B238&lt;&gt;"",Sheet1!B238,"")</f>
        <v>teachers386-dbc88f20</v>
      </c>
      <c r="B238" t="str">
        <f>IF(Sheet1!C238&lt;&gt;"",Sheet1!C238,"")</f>
        <v>GOPINATH MANNA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487276</v>
      </c>
      <c r="F238">
        <f>IF(Sheet1!FE238&lt;&gt;"",Sheet1!FE238,"")</f>
        <v>24000</v>
      </c>
      <c r="G238">
        <f>IF(Sheet1!FO238&lt;&gt;"",Sheet1!FO238,"")</f>
        <v>411076</v>
      </c>
      <c r="H238">
        <f>IF(Sheet1!FW238&lt;&gt;"",Sheet1!FW238,"")</f>
        <v>0</v>
      </c>
      <c r="I238">
        <f ca="1">IF(Sheet1!GY238&lt;&gt;"",Sheet1!GY238,"")</f>
        <v>0</v>
      </c>
    </row>
    <row r="239" spans="1:9" x14ac:dyDescent="0.25">
      <c r="A239" t="str">
        <f>IF(Sheet1!B239&lt;&gt;"",Sheet1!B239,"")</f>
        <v>teachers319</v>
      </c>
      <c r="B239" t="str">
        <f>IF(Sheet1!C239&lt;&gt;"",Sheet1!C239,"")</f>
        <v>BHOLANATH DALUI</v>
      </c>
      <c r="C239" t="str">
        <f>IF(Sheet1!D239&lt;&gt;"",Sheet1!D239,"")</f>
        <v>RANJOYBAR MUZAFFAR AHMED PRIMARY SCHOOL</v>
      </c>
      <c r="D239" t="str">
        <f>IF(Sheet1!E239&lt;&gt;"",Sheet1!E239,"")</f>
        <v>WBTPTA</v>
      </c>
      <c r="E239">
        <f>IF(Sheet1!EM239&lt;&gt;"",Sheet1!EM239,"")</f>
        <v>782357</v>
      </c>
      <c r="F239">
        <f>IF(Sheet1!FE239&lt;&gt;"",Sheet1!FE239,"")</f>
        <v>120720</v>
      </c>
      <c r="G239">
        <f>IF(Sheet1!FO239&lt;&gt;"",Sheet1!FO239,"")</f>
        <v>609237</v>
      </c>
      <c r="H239">
        <f>IF(Sheet1!FW239&lt;&gt;"",Sheet1!FW239,"")</f>
        <v>35721</v>
      </c>
      <c r="I239">
        <f ca="1">IF(Sheet1!GY239&lt;&gt;"",Sheet1!GY239,"")</f>
        <v>0</v>
      </c>
    </row>
    <row r="240" spans="1:9" x14ac:dyDescent="0.25">
      <c r="A240" t="str">
        <f>IF(Sheet1!B240&lt;&gt;"",Sheet1!B240,"")</f>
        <v>teachers320</v>
      </c>
      <c r="B240" t="str">
        <f>IF(Sheet1!C240&lt;&gt;"",Sheet1!C240,"")</f>
        <v>KUNTAL PACHAL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578278</v>
      </c>
      <c r="F240">
        <f>IF(Sheet1!FE240&lt;&gt;"",Sheet1!FE240,"")</f>
        <v>30000</v>
      </c>
      <c r="G240">
        <f>IF(Sheet1!FO240&lt;&gt;"",Sheet1!FO240,"")</f>
        <v>495878</v>
      </c>
      <c r="H240">
        <f>IF(Sheet1!FW240&lt;&gt;"",Sheet1!FW240,"")</f>
        <v>0</v>
      </c>
      <c r="I240">
        <f ca="1">IF(Sheet1!GY240&lt;&gt;"",Sheet1!GY240,"")</f>
        <v>0</v>
      </c>
    </row>
    <row r="241" spans="1:9" x14ac:dyDescent="0.25">
      <c r="A241" t="str">
        <f>IF(Sheet1!B241&lt;&gt;"",Sheet1!B241,"")</f>
        <v>teachers321</v>
      </c>
      <c r="B241" t="str">
        <f>IF(Sheet1!C241&lt;&gt;"",Sheet1!C241,"")</f>
        <v>MD RAFIQUL ALAM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487279</v>
      </c>
      <c r="F241">
        <f>IF(Sheet1!FE241&lt;&gt;"",Sheet1!FE241,"")</f>
        <v>24000</v>
      </c>
      <c r="G241">
        <f>IF(Sheet1!FO241&lt;&gt;"",Sheet1!FO241,"")</f>
        <v>411079</v>
      </c>
      <c r="H241">
        <f>IF(Sheet1!FW241&lt;&gt;"",Sheet1!FW241,"")</f>
        <v>0</v>
      </c>
      <c r="I241">
        <f ca="1">IF(Sheet1!GY241&lt;&gt;"",Sheet1!GY241,"")</f>
        <v>0</v>
      </c>
    </row>
    <row r="242" spans="1:9" x14ac:dyDescent="0.25">
      <c r="A242" t="str">
        <f>IF(Sheet1!B242&lt;&gt;"",Sheet1!B242,"")</f>
        <v>teachers322</v>
      </c>
      <c r="B242" t="str">
        <f>IF(Sheet1!C242&lt;&gt;"",Sheet1!C242,"")</f>
        <v>ARATI PATRA</v>
      </c>
      <c r="C242" t="str">
        <f>IF(Sheet1!D242&lt;&gt;"",Sheet1!D242,"")</f>
        <v>RANJOYBAR PRIMARY SCHOOL</v>
      </c>
      <c r="D242" t="str">
        <f>IF(Sheet1!E242&lt;&gt;"",Sheet1!E242,"")</f>
        <v>WBTPTA</v>
      </c>
      <c r="E242">
        <f>IF(Sheet1!EM242&lt;&gt;"",Sheet1!EM242,"")</f>
        <v>841000</v>
      </c>
      <c r="F242">
        <f>IF(Sheet1!FE242&lt;&gt;"",Sheet1!FE242,"")</f>
        <v>72000</v>
      </c>
      <c r="G242">
        <f>IF(Sheet1!FO242&lt;&gt;"",Sheet1!FO242,"")</f>
        <v>716600</v>
      </c>
      <c r="H242">
        <f>IF(Sheet1!FW242&lt;&gt;"",Sheet1!FW242,"")</f>
        <v>58053</v>
      </c>
      <c r="I242">
        <f ca="1">IF(Sheet1!GY242&lt;&gt;"",Sheet1!GY242,"")</f>
        <v>0</v>
      </c>
    </row>
    <row r="243" spans="1:9" x14ac:dyDescent="0.25">
      <c r="A243" t="str">
        <f>IF(Sheet1!B243&lt;&gt;"",Sheet1!B243,"")</f>
        <v>teachers323</v>
      </c>
      <c r="B243" t="str">
        <f>IF(Sheet1!C243&lt;&gt;"",Sheet1!C243,"")</f>
        <v>BALARAM PAL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782361</v>
      </c>
      <c r="F243">
        <f>IF(Sheet1!FE243&lt;&gt;"",Sheet1!FE243,"")</f>
        <v>72000</v>
      </c>
      <c r="G243">
        <f>IF(Sheet1!FO243&lt;&gt;"",Sheet1!FO243,"")</f>
        <v>657961</v>
      </c>
      <c r="H243">
        <f>IF(Sheet1!FW243&lt;&gt;"",Sheet1!FW243,"")</f>
        <v>45856</v>
      </c>
      <c r="I243">
        <f ca="1">IF(Sheet1!GY243&lt;&gt;"",Sheet1!GY243,"")</f>
        <v>0</v>
      </c>
    </row>
    <row r="244" spans="1:9" x14ac:dyDescent="0.25">
      <c r="A244" t="str">
        <f>IF(Sheet1!B244&lt;&gt;"",Sheet1!B244,"")</f>
        <v>teachers324</v>
      </c>
      <c r="B244" t="str">
        <f>IF(Sheet1!C244&lt;&gt;"",Sheet1!C244,"")</f>
        <v>DEBASHIS MAJI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561642</v>
      </c>
      <c r="F244">
        <f>IF(Sheet1!FE244&lt;&gt;"",Sheet1!FE244,"")</f>
        <v>30000</v>
      </c>
      <c r="G244">
        <f>IF(Sheet1!FO244&lt;&gt;"",Sheet1!FO244,"")</f>
        <v>479242</v>
      </c>
      <c r="H244">
        <f>IF(Sheet1!FW244&lt;&gt;"",Sheet1!FW244,"")</f>
        <v>0</v>
      </c>
      <c r="I244">
        <f ca="1">IF(Sheet1!GY244&lt;&gt;"",Sheet1!GY244,"")</f>
        <v>0</v>
      </c>
    </row>
    <row r="245" spans="1:9" x14ac:dyDescent="0.25">
      <c r="A245" t="str">
        <f>IF(Sheet1!B245&lt;&gt;"",Sheet1!B245,"")</f>
        <v>teachers325</v>
      </c>
      <c r="B245" t="str">
        <f>IF(Sheet1!C245&lt;&gt;"",Sheet1!C245,"")</f>
        <v>NUR HOSSAIN MALLICK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561643</v>
      </c>
      <c r="F245">
        <f>IF(Sheet1!FE245&lt;&gt;"",Sheet1!FE245,"")</f>
        <v>30000</v>
      </c>
      <c r="G245">
        <f>IF(Sheet1!FO245&lt;&gt;"",Sheet1!FO245,"")</f>
        <v>479243</v>
      </c>
      <c r="H245">
        <f>IF(Sheet1!FW245&lt;&gt;"",Sheet1!FW245,"")</f>
        <v>0</v>
      </c>
      <c r="I245">
        <f ca="1">IF(Sheet1!GY245&lt;&gt;"",Sheet1!GY245,"")</f>
        <v>0</v>
      </c>
    </row>
    <row r="246" spans="1:9" x14ac:dyDescent="0.25">
      <c r="A246" t="str">
        <f>IF(Sheet1!B246&lt;&gt;"",Sheet1!B246,"")</f>
        <v>teachers326</v>
      </c>
      <c r="B246" t="str">
        <f>IF(Sheet1!C246&lt;&gt;"",Sheet1!C246,"")</f>
        <v>SATINDRA NATH BERA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630804</v>
      </c>
      <c r="F246">
        <f>IF(Sheet1!FE246&lt;&gt;"",Sheet1!FE246,"")</f>
        <v>36000</v>
      </c>
      <c r="G246">
        <f>IF(Sheet1!FO246&lt;&gt;"",Sheet1!FO246,"")</f>
        <v>542404</v>
      </c>
      <c r="H246">
        <f>IF(Sheet1!FW246&lt;&gt;"",Sheet1!FW246,"")</f>
        <v>21820</v>
      </c>
      <c r="I246">
        <f ca="1">IF(Sheet1!GY246&lt;&gt;"",Sheet1!GY246,"")</f>
        <v>0</v>
      </c>
    </row>
    <row r="247" spans="1:9" x14ac:dyDescent="0.25">
      <c r="A247" t="str">
        <f>IF(Sheet1!B247&lt;&gt;"",Sheet1!B247,"")</f>
        <v>teachers327</v>
      </c>
      <c r="B247" t="str">
        <f>IF(Sheet1!C247&lt;&gt;"",Sheet1!C247,"")</f>
        <v>PRANAB KUMAR POREY</v>
      </c>
      <c r="C247" t="str">
        <f>IF(Sheet1!D247&lt;&gt;"",Sheet1!D247,"")</f>
        <v>RAUTARA PRIMARY SCHOOL</v>
      </c>
      <c r="D247" t="str">
        <f>IF(Sheet1!E247&lt;&gt;"",Sheet1!E247,"")</f>
        <v>WBTPTA</v>
      </c>
      <c r="E247">
        <f>IF(Sheet1!EM247&lt;&gt;"",Sheet1!EM247,"")</f>
        <v>920285</v>
      </c>
      <c r="F247">
        <f>IF(Sheet1!FE247&lt;&gt;"",Sheet1!FE247,"")</f>
        <v>0</v>
      </c>
      <c r="G247">
        <f>IF(Sheet1!FO247&lt;&gt;"",Sheet1!FO247,"")</f>
        <v>867885</v>
      </c>
      <c r="H247">
        <f>IF(Sheet1!FW247&lt;&gt;"",Sheet1!FW247,"")</f>
        <v>89520</v>
      </c>
      <c r="I247">
        <f ca="1">IF(Sheet1!GY247&lt;&gt;"",Sheet1!GY247,"")</f>
        <v>0</v>
      </c>
    </row>
    <row r="248" spans="1:9" x14ac:dyDescent="0.25">
      <c r="A248" t="str">
        <f>IF(Sheet1!B248&lt;&gt;"",Sheet1!B248,"")</f>
        <v>teachers328</v>
      </c>
      <c r="B248" t="str">
        <f>IF(Sheet1!C248&lt;&gt;"",Sheet1!C248,"")</f>
        <v>SUMANA BHANDARI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501326</v>
      </c>
      <c r="F248">
        <f>IF(Sheet1!FE248&lt;&gt;"",Sheet1!FE248,"")</f>
        <v>24000</v>
      </c>
      <c r="G248">
        <f>IF(Sheet1!FO248&lt;&gt;"",Sheet1!FO248,"")</f>
        <v>424926</v>
      </c>
      <c r="H248">
        <f>IF(Sheet1!FW248&lt;&gt;"",Sheet1!FW248,"")</f>
        <v>0</v>
      </c>
      <c r="I248">
        <f ca="1">IF(Sheet1!GY248&lt;&gt;"",Sheet1!GY248,"")</f>
        <v>0</v>
      </c>
    </row>
    <row r="249" spans="1:9" x14ac:dyDescent="0.25">
      <c r="A249" t="str">
        <f>IF(Sheet1!B249&lt;&gt;"",Sheet1!B249,"")</f>
        <v>teachers329</v>
      </c>
      <c r="B249" t="str">
        <f>IF(Sheet1!C249&lt;&gt;"",Sheet1!C249,"")</f>
        <v>MANASI SHOW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481287</v>
      </c>
      <c r="F249">
        <f>IF(Sheet1!FE249&lt;&gt;"",Sheet1!FE249,"")</f>
        <v>24000</v>
      </c>
      <c r="G249">
        <f>IF(Sheet1!FO249&lt;&gt;"",Sheet1!FO249,"")</f>
        <v>405437</v>
      </c>
      <c r="H249">
        <f>IF(Sheet1!FW249&lt;&gt;"",Sheet1!FW249,"")</f>
        <v>0</v>
      </c>
      <c r="I249">
        <f ca="1">IF(Sheet1!GY249&lt;&gt;"",Sheet1!GY249,"")</f>
        <v>0</v>
      </c>
    </row>
    <row r="250" spans="1:9" x14ac:dyDescent="0.25">
      <c r="A250" t="str">
        <f>IF(Sheet1!B250&lt;&gt;"",Sheet1!B250,"")</f>
        <v>teachers330</v>
      </c>
      <c r="B250" t="str">
        <f>IF(Sheet1!C250&lt;&gt;"",Sheet1!C250,"")</f>
        <v>NARAYAN CHANDRA MANNA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487288</v>
      </c>
      <c r="F250">
        <f>IF(Sheet1!FE250&lt;&gt;"",Sheet1!FE250,"")</f>
        <v>24000</v>
      </c>
      <c r="G250">
        <f>IF(Sheet1!FO250&lt;&gt;"",Sheet1!FO250,"")</f>
        <v>411088</v>
      </c>
      <c r="H250">
        <f>IF(Sheet1!FW250&lt;&gt;"",Sheet1!FW250,"")</f>
        <v>0</v>
      </c>
      <c r="I250">
        <f ca="1">IF(Sheet1!GY250&lt;&gt;"",Sheet1!GY250,"")</f>
        <v>0</v>
      </c>
    </row>
    <row r="251" spans="1:9" x14ac:dyDescent="0.25">
      <c r="A251" t="str">
        <f>IF(Sheet1!B251&lt;&gt;"",Sheet1!B251,"")</f>
        <v>teachers400-cb2cffb0</v>
      </c>
      <c r="B251" t="str">
        <f>IF(Sheet1!C251&lt;&gt;"",Sheet1!C251,"")</f>
        <v>SUDIP KUMAR SAHA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457089</v>
      </c>
      <c r="F251">
        <f>IF(Sheet1!FE251&lt;&gt;"",Sheet1!FE251,"")</f>
        <v>4000</v>
      </c>
      <c r="G251">
        <f>IF(Sheet1!FO251&lt;&gt;"",Sheet1!FO251,"")</f>
        <v>401289</v>
      </c>
      <c r="H251">
        <f>IF(Sheet1!FW251&lt;&gt;"",Sheet1!FW251,"")</f>
        <v>-1</v>
      </c>
      <c r="I251">
        <f ca="1">IF(Sheet1!GY251&lt;&gt;"",Sheet1!GY251,"")</f>
        <v>0</v>
      </c>
    </row>
    <row r="252" spans="1:9" x14ac:dyDescent="0.25">
      <c r="A252" t="str">
        <f>IF(Sheet1!B252&lt;&gt;"",Sheet1!B252,"")</f>
        <v>teachers331</v>
      </c>
      <c r="B252" t="str">
        <f>IF(Sheet1!C252&lt;&gt;"",Sheet1!C252,"")</f>
        <v>MITHUN CHAKRABORTY</v>
      </c>
      <c r="C252" t="str">
        <f>IF(Sheet1!D252&lt;&gt;"",Sheet1!D252,"")</f>
        <v>SAHARABERIA PRIMARY SCHOOL</v>
      </c>
      <c r="D252" t="str">
        <f>IF(Sheet1!E252&lt;&gt;"",Sheet1!E252,"")</f>
        <v>WBTPTA</v>
      </c>
      <c r="E252">
        <f>IF(Sheet1!EM252&lt;&gt;"",Sheet1!EM252,"")</f>
        <v>635610</v>
      </c>
      <c r="F252">
        <f>IF(Sheet1!FE252&lt;&gt;"",Sheet1!FE252,"")</f>
        <v>36000</v>
      </c>
      <c r="G252">
        <f>IF(Sheet1!FO252&lt;&gt;"",Sheet1!FO252,"")</f>
        <v>547210</v>
      </c>
      <c r="H252">
        <f>IF(Sheet1!FW252&lt;&gt;"",Sheet1!FW252,"")</f>
        <v>22820</v>
      </c>
      <c r="I252">
        <f ca="1">IF(Sheet1!GY252&lt;&gt;"",Sheet1!GY252,"")</f>
        <v>0</v>
      </c>
    </row>
    <row r="253" spans="1:9" x14ac:dyDescent="0.25">
      <c r="A253" t="str">
        <f>IF(Sheet1!B253&lt;&gt;"",Sheet1!B253,"")</f>
        <v>teachers332</v>
      </c>
      <c r="B253" t="str">
        <f>IF(Sheet1!C253&lt;&gt;"",Sheet1!C253,"")</f>
        <v>ARUN KUMAR PAL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788371</v>
      </c>
      <c r="F253">
        <f>IF(Sheet1!FE253&lt;&gt;"",Sheet1!FE253,"")</f>
        <v>36000</v>
      </c>
      <c r="G253">
        <f>IF(Sheet1!FO253&lt;&gt;"",Sheet1!FO253,"")</f>
        <v>699971</v>
      </c>
      <c r="H253">
        <f>IF(Sheet1!FW253&lt;&gt;"",Sheet1!FW253,"")</f>
        <v>54594</v>
      </c>
      <c r="I253">
        <f ca="1">IF(Sheet1!GY253&lt;&gt;"",Sheet1!GY253,"")</f>
        <v>0</v>
      </c>
    </row>
    <row r="254" spans="1:9" x14ac:dyDescent="0.25">
      <c r="A254" t="str">
        <f>IF(Sheet1!B254&lt;&gt;"",Sheet1!B254,"")</f>
        <v>teachers333</v>
      </c>
      <c r="B254" t="str">
        <f>IF(Sheet1!C254&lt;&gt;"",Sheet1!C254,"")</f>
        <v>SK SARAFUDDEN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561652</v>
      </c>
      <c r="F254">
        <f>IF(Sheet1!FE254&lt;&gt;"",Sheet1!FE254,"")</f>
        <v>30000</v>
      </c>
      <c r="G254">
        <f>IF(Sheet1!FO254&lt;&gt;"",Sheet1!FO254,"")</f>
        <v>479252</v>
      </c>
      <c r="H254">
        <f>IF(Sheet1!FW254&lt;&gt;"",Sheet1!FW254,"")</f>
        <v>0</v>
      </c>
      <c r="I254">
        <f ca="1">IF(Sheet1!GY254&lt;&gt;"",Sheet1!GY254,"")</f>
        <v>0</v>
      </c>
    </row>
    <row r="255" spans="1:9" x14ac:dyDescent="0.25">
      <c r="A255" t="str">
        <f>IF(Sheet1!B255&lt;&gt;"",Sheet1!B255,"")</f>
        <v>teachers334</v>
      </c>
      <c r="B255" t="str">
        <f>IF(Sheet1!C255&lt;&gt;"",Sheet1!C255,"")</f>
        <v>DEBDAS MANNA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561653</v>
      </c>
      <c r="F255">
        <f>IF(Sheet1!FE255&lt;&gt;"",Sheet1!FE255,"")</f>
        <v>30000</v>
      </c>
      <c r="G255">
        <f>IF(Sheet1!FO255&lt;&gt;"",Sheet1!FO255,"")</f>
        <v>479253</v>
      </c>
      <c r="H255">
        <f>IF(Sheet1!FW255&lt;&gt;"",Sheet1!FW255,"")</f>
        <v>0</v>
      </c>
      <c r="I255">
        <f ca="1">IF(Sheet1!GY255&lt;&gt;"",Sheet1!GY255,"")</f>
        <v>0</v>
      </c>
    </row>
    <row r="256" spans="1:9" x14ac:dyDescent="0.25">
      <c r="A256" t="str">
        <f>IF(Sheet1!B256&lt;&gt;"",Sheet1!B256,"")</f>
        <v>teachers335</v>
      </c>
      <c r="B256" t="str">
        <f>IF(Sheet1!C256&lt;&gt;"",Sheet1!C256,"")</f>
        <v>SUSANTA CHATTERJEE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487294</v>
      </c>
      <c r="F256">
        <f>IF(Sheet1!FE256&lt;&gt;"",Sheet1!FE256,"")</f>
        <v>24000</v>
      </c>
      <c r="G256">
        <f>IF(Sheet1!FO256&lt;&gt;"",Sheet1!FO256,"")</f>
        <v>411094</v>
      </c>
      <c r="H256">
        <f>IF(Sheet1!FW256&lt;&gt;"",Sheet1!FW256,"")</f>
        <v>0</v>
      </c>
      <c r="I256">
        <f ca="1">IF(Sheet1!GY256&lt;&gt;"",Sheet1!GY256,"")</f>
        <v>0</v>
      </c>
    </row>
    <row r="257" spans="1:9" x14ac:dyDescent="0.25">
      <c r="A257" t="str">
        <f>IF(Sheet1!B257&lt;&gt;"",Sheet1!B257,"")</f>
        <v>teachers388-9d83883f</v>
      </c>
      <c r="B257" t="str">
        <f>IF(Sheet1!C257&lt;&gt;"",Sheet1!C257,"")</f>
        <v>AVIJIT KANRAR</v>
      </c>
      <c r="C257" t="str">
        <f>IF(Sheet1!D257&lt;&gt;"",Sheet1!D257,"")</f>
        <v>SAHARABERIA SUKANTA PRIMARY SCHOOL</v>
      </c>
      <c r="D257" t="str">
        <f>IF(Sheet1!E257&lt;&gt;"",Sheet1!E257,"")</f>
        <v>WBTPTA</v>
      </c>
      <c r="E257">
        <f>IF(Sheet1!EM257&lt;&gt;"",Sheet1!EM257,"")</f>
        <v>816575</v>
      </c>
      <c r="F257">
        <f>IF(Sheet1!FE257&lt;&gt;"",Sheet1!FE257,"")</f>
        <v>60000</v>
      </c>
      <c r="G257">
        <f>IF(Sheet1!FO257&lt;&gt;"",Sheet1!FO257,"")</f>
        <v>704175</v>
      </c>
      <c r="H257">
        <f>IF(Sheet1!FW257&lt;&gt;"",Sheet1!FW257,"")</f>
        <v>55468</v>
      </c>
      <c r="I257">
        <f ca="1">IF(Sheet1!GY257&lt;&gt;"",Sheet1!GY257,"")</f>
        <v>0</v>
      </c>
    </row>
    <row r="258" spans="1:9" x14ac:dyDescent="0.25">
      <c r="A258" t="str">
        <f>IF(Sheet1!B258&lt;&gt;"",Sheet1!B258,"")</f>
        <v>teachers336</v>
      </c>
      <c r="B258" t="str">
        <f>IF(Sheet1!C258&lt;&gt;"",Sheet1!C258,"")</f>
        <v>SANDIP KARAR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578296</v>
      </c>
      <c r="F258">
        <f>IF(Sheet1!FE258&lt;&gt;"",Sheet1!FE258,"")</f>
        <v>72000</v>
      </c>
      <c r="G258">
        <f>IF(Sheet1!FO258&lt;&gt;"",Sheet1!FO258,"")</f>
        <v>453896</v>
      </c>
      <c r="H258">
        <f>IF(Sheet1!FW258&lt;&gt;"",Sheet1!FW258,"")</f>
        <v>0</v>
      </c>
      <c r="I258">
        <f ca="1">IF(Sheet1!GY258&lt;&gt;"",Sheet1!GY258,"")</f>
        <v>0</v>
      </c>
    </row>
    <row r="259" spans="1:9" x14ac:dyDescent="0.25">
      <c r="A259" t="str">
        <f>IF(Sheet1!B259&lt;&gt;"",Sheet1!B259,"")</f>
        <v>teachers337</v>
      </c>
      <c r="B259" t="str">
        <f>IF(Sheet1!C259&lt;&gt;"",Sheet1!C259,"")</f>
        <v>KUNAL PACHAL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578297</v>
      </c>
      <c r="F259">
        <f>IF(Sheet1!FE259&lt;&gt;"",Sheet1!FE259,"")</f>
        <v>36000</v>
      </c>
      <c r="G259">
        <f>IF(Sheet1!FO259&lt;&gt;"",Sheet1!FO259,"")</f>
        <v>489897</v>
      </c>
      <c r="H259">
        <f>IF(Sheet1!FW259&lt;&gt;"",Sheet1!FW259,"")</f>
        <v>0</v>
      </c>
      <c r="I259">
        <f ca="1">IF(Sheet1!GY259&lt;&gt;"",Sheet1!GY259,"")</f>
        <v>0</v>
      </c>
    </row>
    <row r="260" spans="1:9" x14ac:dyDescent="0.25">
      <c r="A260" t="str">
        <f>IF(Sheet1!B260&lt;&gt;"",Sheet1!B260,"")</f>
        <v>teachers338</v>
      </c>
      <c r="B260" t="str">
        <f>IF(Sheet1!C260&lt;&gt;"",Sheet1!C260,"")</f>
        <v>ABDUL KARIM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487298</v>
      </c>
      <c r="F260">
        <f>IF(Sheet1!FE260&lt;&gt;"",Sheet1!FE260,"")</f>
        <v>24000</v>
      </c>
      <c r="G260">
        <f>IF(Sheet1!FO260&lt;&gt;"",Sheet1!FO260,"")</f>
        <v>411098</v>
      </c>
      <c r="H260">
        <f>IF(Sheet1!FW260&lt;&gt;"",Sheet1!FW260,"")</f>
        <v>0</v>
      </c>
      <c r="I260">
        <f ca="1">IF(Sheet1!GY260&lt;&gt;"",Sheet1!GY260,"")</f>
        <v>0</v>
      </c>
    </row>
    <row r="261" spans="1:9" x14ac:dyDescent="0.25">
      <c r="A261" t="str">
        <f>IF(Sheet1!B261&lt;&gt;"",Sheet1!B261,"")</f>
        <v>teachers339</v>
      </c>
      <c r="B261" t="str">
        <f>IF(Sheet1!C261&lt;&gt;"",Sheet1!C261,"")</f>
        <v>TAPAS PATRA</v>
      </c>
      <c r="C261" t="str">
        <f>IF(Sheet1!D261&lt;&gt;"",Sheet1!D261,"")</f>
        <v>SANURIA ORIENTED PRIMARY SCHOOL</v>
      </c>
      <c r="D261" t="str">
        <f>IF(Sheet1!E261&lt;&gt;"",Sheet1!E261,"")</f>
        <v>WBTPTA</v>
      </c>
      <c r="E261">
        <f>IF(Sheet1!EM261&lt;&gt;"",Sheet1!EM261,"")</f>
        <v>577099</v>
      </c>
      <c r="F261">
        <f>IF(Sheet1!FE261&lt;&gt;"",Sheet1!FE261,"")</f>
        <v>30000</v>
      </c>
      <c r="G261">
        <f>IF(Sheet1!FO261&lt;&gt;"",Sheet1!FO261,"")</f>
        <v>494699</v>
      </c>
      <c r="H261">
        <f>IF(Sheet1!FW261&lt;&gt;"",Sheet1!FW261,"")</f>
        <v>0</v>
      </c>
      <c r="I261">
        <f ca="1">IF(Sheet1!GY261&lt;&gt;"",Sheet1!GY261,"")</f>
        <v>0</v>
      </c>
    </row>
    <row r="262" spans="1:9" x14ac:dyDescent="0.25">
      <c r="A262" t="str">
        <f>IF(Sheet1!B262&lt;&gt;"",Sheet1!B262,"")</f>
        <v>teachers340</v>
      </c>
      <c r="B262" t="str">
        <f>IF(Sheet1!C262&lt;&gt;"",Sheet1!C262,"")</f>
        <v>TINA GAYEN DOLUI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572300</v>
      </c>
      <c r="F262">
        <f>IF(Sheet1!FE262&lt;&gt;"",Sheet1!FE262,"")</f>
        <v>60000</v>
      </c>
      <c r="G262">
        <f>IF(Sheet1!FO262&lt;&gt;"",Sheet1!FO262,"")</f>
        <v>459900</v>
      </c>
      <c r="H262">
        <f>IF(Sheet1!FW262&lt;&gt;"",Sheet1!FW262,"")</f>
        <v>0</v>
      </c>
      <c r="I262">
        <f ca="1">IF(Sheet1!GY262&lt;&gt;"",Sheet1!GY262,"")</f>
        <v>0</v>
      </c>
    </row>
    <row r="263" spans="1:9" x14ac:dyDescent="0.25">
      <c r="A263" t="str">
        <f>IF(Sheet1!B263&lt;&gt;"",Sheet1!B263,"")</f>
        <v>teachers341</v>
      </c>
      <c r="B263" t="str">
        <f>IF(Sheet1!C263&lt;&gt;"",Sheet1!C263,"")</f>
        <v>GAUTAM CHAKRABORTTY</v>
      </c>
      <c r="C263" t="str">
        <f>IF(Sheet1!D263&lt;&gt;"",Sheet1!D263,"")</f>
        <v>SATPOTA PRIMARY SCHOOL</v>
      </c>
      <c r="D263" t="str">
        <f>IF(Sheet1!E263&lt;&gt;"",Sheet1!E263,"")</f>
        <v>WBTPTA</v>
      </c>
      <c r="E263">
        <f>IF(Sheet1!EM263&lt;&gt;"",Sheet1!EM263,"")</f>
        <v>865981</v>
      </c>
      <c r="F263">
        <f>IF(Sheet1!FE263&lt;&gt;"",Sheet1!FE263,"")</f>
        <v>60000</v>
      </c>
      <c r="G263">
        <f>IF(Sheet1!FO263&lt;&gt;"",Sheet1!FO263,"")</f>
        <v>753581</v>
      </c>
      <c r="H263">
        <f>IF(Sheet1!FW263&lt;&gt;"",Sheet1!FW263,"")</f>
        <v>65745</v>
      </c>
      <c r="I263">
        <f ca="1">IF(Sheet1!GY263&lt;&gt;"",Sheet1!GY263,"")</f>
        <v>0</v>
      </c>
    </row>
    <row r="264" spans="1:9" x14ac:dyDescent="0.25">
      <c r="A264" t="str">
        <f>IF(Sheet1!B264&lt;&gt;"",Sheet1!B264,"")</f>
        <v>teachers342</v>
      </c>
      <c r="B264" t="str">
        <f>IF(Sheet1!C264&lt;&gt;"",Sheet1!C264,"")</f>
        <v>SOURAV SHAW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578302</v>
      </c>
      <c r="F264">
        <f>IF(Sheet1!FE264&lt;&gt;"",Sheet1!FE264,"")</f>
        <v>36000</v>
      </c>
      <c r="G264">
        <f>IF(Sheet1!FO264&lt;&gt;"",Sheet1!FO264,"")</f>
        <v>489902</v>
      </c>
      <c r="H264">
        <f>IF(Sheet1!FW264&lt;&gt;"",Sheet1!FW264,"")</f>
        <v>0</v>
      </c>
      <c r="I264">
        <f ca="1">IF(Sheet1!GY264&lt;&gt;"",Sheet1!GY264,"")</f>
        <v>0</v>
      </c>
    </row>
    <row r="265" spans="1:9" x14ac:dyDescent="0.25">
      <c r="A265" t="str">
        <f>IF(Sheet1!B265&lt;&gt;"",Sheet1!B265,"")</f>
        <v>teachers343</v>
      </c>
      <c r="B265" t="str">
        <f>IF(Sheet1!C265&lt;&gt;"",Sheet1!C265,"")</f>
        <v>PAPIYA SAHU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487303</v>
      </c>
      <c r="F265">
        <f>IF(Sheet1!FE265&lt;&gt;"",Sheet1!FE265,"")</f>
        <v>24000</v>
      </c>
      <c r="G265">
        <f>IF(Sheet1!FO265&lt;&gt;"",Sheet1!FO265,"")</f>
        <v>411103</v>
      </c>
      <c r="H265">
        <f>IF(Sheet1!FW265&lt;&gt;"",Sheet1!FW265,"")</f>
        <v>0</v>
      </c>
      <c r="I265">
        <f ca="1">IF(Sheet1!GY265&lt;&gt;"",Sheet1!GY265,"")</f>
        <v>0</v>
      </c>
    </row>
    <row r="266" spans="1:9" x14ac:dyDescent="0.25">
      <c r="A266" t="str">
        <f>IF(Sheet1!B266&lt;&gt;"",Sheet1!B266,"")</f>
        <v>teachers344</v>
      </c>
      <c r="B266" t="str">
        <f>IF(Sheet1!C266&lt;&gt;"",Sheet1!C266,"")</f>
        <v>DEBOSREE MAITY</v>
      </c>
      <c r="C266" t="str">
        <f>IF(Sheet1!D266&lt;&gt;"",Sheet1!D266,"")</f>
        <v>SEHAGORI PRIMARY SCHOOL</v>
      </c>
      <c r="D266" t="str">
        <f>IF(Sheet1!E266&lt;&gt;"",Sheet1!E266,"")</f>
        <v>WBTPTA</v>
      </c>
      <c r="E266">
        <f>IF(Sheet1!EM266&lt;&gt;"",Sheet1!EM266,"")</f>
        <v>583104</v>
      </c>
      <c r="F266">
        <f>IF(Sheet1!FE266&lt;&gt;"",Sheet1!FE266,"")</f>
        <v>36000</v>
      </c>
      <c r="G266">
        <f>IF(Sheet1!FO266&lt;&gt;"",Sheet1!FO266,"")</f>
        <v>494704</v>
      </c>
      <c r="H266">
        <f>IF(Sheet1!FW266&lt;&gt;"",Sheet1!FW266,"")</f>
        <v>0</v>
      </c>
      <c r="I266">
        <f ca="1">IF(Sheet1!GY266&lt;&gt;"",Sheet1!GY266,"")</f>
        <v>0</v>
      </c>
    </row>
    <row r="267" spans="1:9" x14ac:dyDescent="0.25">
      <c r="A267" t="str">
        <f>IF(Sheet1!B267&lt;&gt;"",Sheet1!B267,"")</f>
        <v>teachers345</v>
      </c>
      <c r="B267" t="str">
        <f>IF(Sheet1!C267&lt;&gt;"",Sheet1!C267,"")</f>
        <v>SANGHAMITRA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524465</v>
      </c>
      <c r="F267">
        <f>IF(Sheet1!FE267&lt;&gt;"",Sheet1!FE267,"")</f>
        <v>24000</v>
      </c>
      <c r="G267">
        <f>IF(Sheet1!FO267&lt;&gt;"",Sheet1!FO267,"")</f>
        <v>448065</v>
      </c>
      <c r="H267">
        <f>IF(Sheet1!FW267&lt;&gt;"",Sheet1!FW267,"")</f>
        <v>0</v>
      </c>
      <c r="I267">
        <f ca="1">IF(Sheet1!GY267&lt;&gt;"",Sheet1!GY267,"")</f>
        <v>0</v>
      </c>
    </row>
    <row r="268" spans="1:9" x14ac:dyDescent="0.25">
      <c r="A268" t="str">
        <f>IF(Sheet1!B268&lt;&gt;"",Sheet1!B268,"")</f>
        <v>teachers346</v>
      </c>
      <c r="B268" t="str">
        <f>IF(Sheet1!C268&lt;&gt;"",Sheet1!C268,"")</f>
        <v>LIPIKA MONDAL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530466</v>
      </c>
      <c r="F268">
        <f>IF(Sheet1!FE268&lt;&gt;"",Sheet1!FE268,"")</f>
        <v>24000</v>
      </c>
      <c r="G268">
        <f>IF(Sheet1!FO268&lt;&gt;"",Sheet1!FO268,"")</f>
        <v>454066</v>
      </c>
      <c r="H268">
        <f>IF(Sheet1!FW268&lt;&gt;"",Sheet1!FW268,"")</f>
        <v>0</v>
      </c>
      <c r="I268">
        <f ca="1">IF(Sheet1!GY268&lt;&gt;"",Sheet1!GY268,"")</f>
        <v>0</v>
      </c>
    </row>
    <row r="269" spans="1:9" x14ac:dyDescent="0.25">
      <c r="A269" t="str">
        <f>IF(Sheet1!B269&lt;&gt;"",Sheet1!B269,"")</f>
        <v>teachers399-20dae0ff</v>
      </c>
      <c r="B269" t="str">
        <f>IF(Sheet1!C269&lt;&gt;"",Sheet1!C269,"")</f>
        <v>BIPLAB MAITY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561667</v>
      </c>
      <c r="F269">
        <f>IF(Sheet1!FE269&lt;&gt;"",Sheet1!FE269,"")</f>
        <v>36000</v>
      </c>
      <c r="G269">
        <f>IF(Sheet1!FO269&lt;&gt;"",Sheet1!FO269,"")</f>
        <v>473267</v>
      </c>
      <c r="H269">
        <f>IF(Sheet1!FW269&lt;&gt;"",Sheet1!FW269,"")</f>
        <v>0</v>
      </c>
      <c r="I269">
        <f ca="1">IF(Sheet1!GY269&lt;&gt;"",Sheet1!GY269,"")</f>
        <v>0</v>
      </c>
    </row>
    <row r="270" spans="1:9" x14ac:dyDescent="0.25">
      <c r="A270" t="str">
        <f>IF(Sheet1!B270&lt;&gt;"",Sheet1!B270,"")</f>
        <v>teachers347</v>
      </c>
      <c r="B270" t="str">
        <f>IF(Sheet1!C270&lt;&gt;"",Sheet1!C270,"")</f>
        <v>MINTU MALIK</v>
      </c>
      <c r="C270" t="str">
        <f>IF(Sheet1!D270&lt;&gt;"",Sheet1!D270,"")</f>
        <v>SEHAGORI RAJBANSHIPARA PRIMARY SCHOOL</v>
      </c>
      <c r="D270" t="str">
        <f>IF(Sheet1!E270&lt;&gt;"",Sheet1!E270,"")</f>
        <v>ABPTA</v>
      </c>
      <c r="E270">
        <f>IF(Sheet1!EM270&lt;&gt;"",Sheet1!EM270,"")</f>
        <v>793188</v>
      </c>
      <c r="F270">
        <f>IF(Sheet1!FE270&lt;&gt;"",Sheet1!FE270,"")</f>
        <v>84720</v>
      </c>
      <c r="G270">
        <f>IF(Sheet1!FO270&lt;&gt;"",Sheet1!FO270,"")</f>
        <v>656068</v>
      </c>
      <c r="H270">
        <f>IF(Sheet1!FW270&lt;&gt;"",Sheet1!FW270,"")</f>
        <v>45463</v>
      </c>
      <c r="I270">
        <f ca="1">IF(Sheet1!GY270&lt;&gt;"",Sheet1!GY270,"")</f>
        <v>0</v>
      </c>
    </row>
    <row r="271" spans="1:9" x14ac:dyDescent="0.25">
      <c r="A271" t="str">
        <f>IF(Sheet1!B271&lt;&gt;"",Sheet1!B271,"")</f>
        <v>teachers348</v>
      </c>
      <c r="B271" t="str">
        <f>IF(Sheet1!C271&lt;&gt;"",Sheet1!C271,"")</f>
        <v>PAROMITA ROY</v>
      </c>
      <c r="C271" t="str">
        <f>IF(Sheet1!D271&lt;&gt;"",Sheet1!D271,"")</f>
        <v>SEHAGORI RAJBANSHIPARA PRIMARY SCHOOL</v>
      </c>
      <c r="D271" t="str">
        <f>IF(Sheet1!E271&lt;&gt;"",Sheet1!E271,"")</f>
        <v>WBTPTA</v>
      </c>
      <c r="E271">
        <f>IF(Sheet1!EM271&lt;&gt;"",Sheet1!EM271,"")</f>
        <v>524469</v>
      </c>
      <c r="F271">
        <f>IF(Sheet1!FE271&lt;&gt;"",Sheet1!FE271,"")</f>
        <v>60000</v>
      </c>
      <c r="G271">
        <f>IF(Sheet1!FO271&lt;&gt;"",Sheet1!FO271,"")</f>
        <v>412069</v>
      </c>
      <c r="H271">
        <f>IF(Sheet1!FW271&lt;&gt;"",Sheet1!FW271,"")</f>
        <v>0</v>
      </c>
      <c r="I271">
        <f ca="1">IF(Sheet1!GY271&lt;&gt;"",Sheet1!GY271,"")</f>
        <v>0</v>
      </c>
    </row>
    <row r="272" spans="1:9" x14ac:dyDescent="0.25">
      <c r="A272" t="str">
        <f>IF(Sheet1!B272&lt;&gt;"",Sheet1!B272,"")</f>
        <v>teachers349</v>
      </c>
      <c r="B272" t="str">
        <f>IF(Sheet1!C272&lt;&gt;"",Sheet1!C272,"")</f>
        <v>ALAKANANDA PAUL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487310</v>
      </c>
      <c r="F272">
        <f>IF(Sheet1!FE272&lt;&gt;"",Sheet1!FE272,"")</f>
        <v>24000</v>
      </c>
      <c r="G272">
        <f>IF(Sheet1!FO272&lt;&gt;"",Sheet1!FO272,"")</f>
        <v>411110</v>
      </c>
      <c r="H272">
        <f>IF(Sheet1!FW272&lt;&gt;"",Sheet1!FW272,"")</f>
        <v>0</v>
      </c>
      <c r="I272">
        <f ca="1">IF(Sheet1!GY272&lt;&gt;"",Sheet1!GY272,"")</f>
        <v>0</v>
      </c>
    </row>
    <row r="273" spans="1:9" x14ac:dyDescent="0.25">
      <c r="A273" t="str">
        <f>IF(Sheet1!B273&lt;&gt;"",Sheet1!B273,"")</f>
        <v>teachers350</v>
      </c>
      <c r="B273" t="str">
        <f>IF(Sheet1!C273&lt;&gt;"",Sheet1!C273,"")</f>
        <v>PARTHO SARATHI HAZRA</v>
      </c>
      <c r="C273" t="str">
        <f>IF(Sheet1!D273&lt;&gt;"",Sheet1!D273,"")</f>
        <v>SHIBGACHIA PRIMARY SCHOOL</v>
      </c>
      <c r="D273" t="str">
        <f>IF(Sheet1!E273&lt;&gt;"",Sheet1!E273,"")</f>
        <v>WBTPTA</v>
      </c>
      <c r="E273">
        <f>IF(Sheet1!EM273&lt;&gt;"",Sheet1!EM273,"")</f>
        <v>793191</v>
      </c>
      <c r="F273">
        <f>IF(Sheet1!FE273&lt;&gt;"",Sheet1!FE273,"")</f>
        <v>48720</v>
      </c>
      <c r="G273">
        <f>IF(Sheet1!FO273&lt;&gt;"",Sheet1!FO273,"")</f>
        <v>692071</v>
      </c>
      <c r="H273">
        <f>IF(Sheet1!FW273&lt;&gt;"",Sheet1!FW273,"")</f>
        <v>52951</v>
      </c>
      <c r="I273">
        <f ca="1">IF(Sheet1!GY273&lt;&gt;"",Sheet1!GY273,"")</f>
        <v>0</v>
      </c>
    </row>
    <row r="274" spans="1:9" x14ac:dyDescent="0.25">
      <c r="A274" t="str">
        <f>IF(Sheet1!B274&lt;&gt;"",Sheet1!B274,"")</f>
        <v>teachers351</v>
      </c>
      <c r="B274" t="str">
        <f>IF(Sheet1!C274&lt;&gt;"",Sheet1!C274,"")</f>
        <v>SUBRATA DAS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530472</v>
      </c>
      <c r="F274">
        <f>IF(Sheet1!FE274&lt;&gt;"",Sheet1!FE274,"")</f>
        <v>24000</v>
      </c>
      <c r="G274">
        <f>IF(Sheet1!FO274&lt;&gt;"",Sheet1!FO274,"")</f>
        <v>454072</v>
      </c>
      <c r="H274">
        <f>IF(Sheet1!FW274&lt;&gt;"",Sheet1!FW274,"")</f>
        <v>0</v>
      </c>
      <c r="I274">
        <f ca="1">IF(Sheet1!GY274&lt;&gt;"",Sheet1!GY274,"")</f>
        <v>0</v>
      </c>
    </row>
    <row r="275" spans="1:9" x14ac:dyDescent="0.25">
      <c r="A275" t="str">
        <f>IF(Sheet1!B275&lt;&gt;"",Sheet1!B275,"")</f>
        <v>teachers352</v>
      </c>
      <c r="B275" t="str">
        <f>IF(Sheet1!C275&lt;&gt;"",Sheet1!C275,"")</f>
        <v>KAJI SAMIM AKTAR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487313</v>
      </c>
      <c r="F275">
        <f>IF(Sheet1!FE275&lt;&gt;"",Sheet1!FE275,"")</f>
        <v>24000</v>
      </c>
      <c r="G275">
        <f>IF(Sheet1!FO275&lt;&gt;"",Sheet1!FO275,"")</f>
        <v>411113</v>
      </c>
      <c r="H275">
        <f>IF(Sheet1!FW275&lt;&gt;"",Sheet1!FW275,"")</f>
        <v>0</v>
      </c>
      <c r="I275">
        <f ca="1">IF(Sheet1!GY275&lt;&gt;"",Sheet1!GY275,"")</f>
        <v>0</v>
      </c>
    </row>
    <row r="276" spans="1:9" x14ac:dyDescent="0.25">
      <c r="A276" t="str">
        <f>IF(Sheet1!B276&lt;&gt;"",Sheet1!B276,"")</f>
        <v>teachers399-5cc82fa0</v>
      </c>
      <c r="B276" t="str">
        <f>IF(Sheet1!C276&lt;&gt;"",Sheet1!C276,"")</f>
        <v>SUCHARITA PANDIT</v>
      </c>
      <c r="C276" t="str">
        <f>IF(Sheet1!D276&lt;&gt;"",Sheet1!D276,"")</f>
        <v>SHIBGACHIA PRIMARY SCHOOL</v>
      </c>
      <c r="D276" t="str">
        <f>IF(Sheet1!E276&lt;&gt;"",Sheet1!E276,"")</f>
        <v>ABPTA</v>
      </c>
      <c r="E276">
        <f>IF(Sheet1!EM276&lt;&gt;"",Sheet1!EM276,"")</f>
        <v>416314</v>
      </c>
      <c r="F276">
        <f>IF(Sheet1!FE276&lt;&gt;"",Sheet1!FE276,"")</f>
        <v>24000</v>
      </c>
      <c r="G276">
        <f>IF(Sheet1!FO276&lt;&gt;"",Sheet1!FO276,"")</f>
        <v>292164</v>
      </c>
      <c r="H276">
        <f>IF(Sheet1!FW276&lt;&gt;"",Sheet1!FW276,"")</f>
        <v>0</v>
      </c>
      <c r="I276">
        <f ca="1">IF(Sheet1!GY276&lt;&gt;"",Sheet1!GY276,"")</f>
        <v>0</v>
      </c>
    </row>
    <row r="277" spans="1:9" x14ac:dyDescent="0.25">
      <c r="A277" t="str">
        <f>IF(Sheet1!B277&lt;&gt;"",Sheet1!B277,"")</f>
        <v>teachers353</v>
      </c>
      <c r="B277" t="str">
        <f>IF(Sheet1!C277&lt;&gt;"",Sheet1!C277,"")</f>
        <v>SALIL KUMAR CHAKRABORTTY</v>
      </c>
      <c r="C277" t="str">
        <f>IF(Sheet1!D277&lt;&gt;"",Sheet1!D277,"")</f>
        <v>SIBGACHIA HORIZON PRIMARY SCHOOL</v>
      </c>
      <c r="D277" t="str">
        <f>IF(Sheet1!E277&lt;&gt;"",Sheet1!E277,"")</f>
        <v>WBTPTA</v>
      </c>
      <c r="E277">
        <f>IF(Sheet1!EM277&lt;&gt;"",Sheet1!EM277,"")</f>
        <v>810595</v>
      </c>
      <c r="F277">
        <f>IF(Sheet1!FE277&lt;&gt;"",Sheet1!FE277,"")</f>
        <v>60720</v>
      </c>
      <c r="G277">
        <f>IF(Sheet1!FO277&lt;&gt;"",Sheet1!FO277,"")</f>
        <v>697475</v>
      </c>
      <c r="H277">
        <f>IF(Sheet1!FW277&lt;&gt;"",Sheet1!FW277,"")</f>
        <v>54075</v>
      </c>
      <c r="I277">
        <f ca="1">IF(Sheet1!GY277&lt;&gt;"",Sheet1!GY277,"")</f>
        <v>0</v>
      </c>
    </row>
    <row r="278" spans="1:9" x14ac:dyDescent="0.25">
      <c r="A278" t="str">
        <f>IF(Sheet1!B278&lt;&gt;"",Sheet1!B278,"")</f>
        <v>teachers354</v>
      </c>
      <c r="B278" t="str">
        <f>IF(Sheet1!C278&lt;&gt;"",Sheet1!C278,"")</f>
        <v>SANTI KUMAR KARAK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788396</v>
      </c>
      <c r="F278">
        <f>IF(Sheet1!FE278&lt;&gt;"",Sheet1!FE278,"")</f>
        <v>0</v>
      </c>
      <c r="G278">
        <f>IF(Sheet1!FO278&lt;&gt;"",Sheet1!FO278,"")</f>
        <v>735996</v>
      </c>
      <c r="H278">
        <f>IF(Sheet1!FW278&lt;&gt;"",Sheet1!FW278,"")</f>
        <v>62087</v>
      </c>
      <c r="I278">
        <f ca="1">IF(Sheet1!GY278&lt;&gt;"",Sheet1!GY278,"")</f>
        <v>0</v>
      </c>
    </row>
    <row r="279" spans="1:9" x14ac:dyDescent="0.25">
      <c r="A279" t="str">
        <f>IF(Sheet1!B279&lt;&gt;"",Sheet1!B279,"")</f>
        <v>teachers355</v>
      </c>
      <c r="B279" t="str">
        <f>IF(Sheet1!C279&lt;&gt;"",Sheet1!C279,"")</f>
        <v>PRASUN HAZRA</v>
      </c>
      <c r="C279" t="str">
        <f>IF(Sheet1!D279&lt;&gt;"",Sheet1!D279,"")</f>
        <v>SOUTH SIBGACHIA PRIMARY SCHOOL</v>
      </c>
      <c r="D279" t="str">
        <f>IF(Sheet1!E279&lt;&gt;"",Sheet1!E279,"")</f>
        <v>ABPTA</v>
      </c>
      <c r="E279">
        <f>IF(Sheet1!EM279&lt;&gt;"",Sheet1!EM279,"")</f>
        <v>865997</v>
      </c>
      <c r="F279">
        <f>IF(Sheet1!FE279&lt;&gt;"",Sheet1!FE279,"")</f>
        <v>96720</v>
      </c>
      <c r="G279">
        <f>IF(Sheet1!FO279&lt;&gt;"",Sheet1!FO279,"")</f>
        <v>716877</v>
      </c>
      <c r="H279">
        <f>IF(Sheet1!FW279&lt;&gt;"",Sheet1!FW279,"")</f>
        <v>58110</v>
      </c>
      <c r="I279">
        <f ca="1">IF(Sheet1!GY279&lt;&gt;"",Sheet1!GY279,"")</f>
        <v>0</v>
      </c>
    </row>
    <row r="280" spans="1:9" x14ac:dyDescent="0.25">
      <c r="A280" t="str">
        <f>IF(Sheet1!B280&lt;&gt;"",Sheet1!B280,"")</f>
        <v>teachers356</v>
      </c>
      <c r="B280" t="str">
        <f>IF(Sheet1!C280&lt;&gt;"",Sheet1!C280,"")</f>
        <v>SK SABIR HOSSAIN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630838</v>
      </c>
      <c r="F280">
        <f>IF(Sheet1!FE280&lt;&gt;"",Sheet1!FE280,"")</f>
        <v>60000</v>
      </c>
      <c r="G280">
        <f>IF(Sheet1!FO280&lt;&gt;"",Sheet1!FO280,"")</f>
        <v>518438</v>
      </c>
      <c r="H280">
        <f>IF(Sheet1!FW280&lt;&gt;"",Sheet1!FW280,"")</f>
        <v>16836</v>
      </c>
      <c r="I280">
        <f ca="1">IF(Sheet1!GY280&lt;&gt;"",Sheet1!GY280,"")</f>
        <v>0</v>
      </c>
    </row>
    <row r="281" spans="1:9" x14ac:dyDescent="0.25">
      <c r="A281" t="str">
        <f>IF(Sheet1!B281&lt;&gt;"",Sheet1!B281,"")</f>
        <v>teachers357</v>
      </c>
      <c r="B281" t="str">
        <f>IF(Sheet1!C281&lt;&gt;"",Sheet1!C281,"")</f>
        <v>KANIKA PANJA</v>
      </c>
      <c r="C281" t="str">
        <f>IF(Sheet1!D281&lt;&gt;"",Sheet1!D281,"")</f>
        <v>TELIBERIA PRIMARY SCHOOL</v>
      </c>
      <c r="D281" t="str">
        <f>IF(Sheet1!E281&lt;&gt;"",Sheet1!E281,"")</f>
        <v>WBTPTA</v>
      </c>
      <c r="E281">
        <f>IF(Sheet1!EM281&lt;&gt;"",Sheet1!EM281,"")</f>
        <v>865999</v>
      </c>
      <c r="F281">
        <f>IF(Sheet1!FE281&lt;&gt;"",Sheet1!FE281,"")</f>
        <v>48000</v>
      </c>
      <c r="G281">
        <f>IF(Sheet1!FO281&lt;&gt;"",Sheet1!FO281,"")</f>
        <v>765599</v>
      </c>
      <c r="H281">
        <f>IF(Sheet1!FW281&lt;&gt;"",Sheet1!FW281,"")</f>
        <v>68245</v>
      </c>
      <c r="I281">
        <f ca="1">IF(Sheet1!GY281&lt;&gt;"",Sheet1!GY281,"")</f>
        <v>0</v>
      </c>
    </row>
    <row r="282" spans="1:9" x14ac:dyDescent="0.25">
      <c r="A282" t="str">
        <f>IF(Sheet1!B282&lt;&gt;"",Sheet1!B282,"")</f>
        <v>teachers358</v>
      </c>
      <c r="B282" t="str">
        <f>IF(Sheet1!C282&lt;&gt;"",Sheet1!C282,"")</f>
        <v>DEBASHIS MANDAL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501360</v>
      </c>
      <c r="F282">
        <f>IF(Sheet1!FE282&lt;&gt;"",Sheet1!FE282,"")</f>
        <v>24000</v>
      </c>
      <c r="G282">
        <f>IF(Sheet1!FO282&lt;&gt;"",Sheet1!FO282,"")</f>
        <v>424960</v>
      </c>
      <c r="H282">
        <f>IF(Sheet1!FW282&lt;&gt;"",Sheet1!FW282,"")</f>
        <v>0</v>
      </c>
      <c r="I282">
        <f ca="1">IF(Sheet1!GY282&lt;&gt;"",Sheet1!GY282,"")</f>
        <v>0</v>
      </c>
    </row>
    <row r="283" spans="1:9" x14ac:dyDescent="0.25">
      <c r="A283" t="str">
        <f>IF(Sheet1!B283&lt;&gt;"",Sheet1!B283,"")</f>
        <v>teachers359</v>
      </c>
      <c r="B283" t="str">
        <f>IF(Sheet1!C283&lt;&gt;"",Sheet1!C283,"")</f>
        <v>AMIYA KUMAR KOLEY</v>
      </c>
      <c r="C283" t="str">
        <f>IF(Sheet1!D283&lt;&gt;"",Sheet1!D283,"")</f>
        <v>THALIA HARA CHAND PRIMARY SCHOOL</v>
      </c>
      <c r="D283" t="str">
        <f>IF(Sheet1!E283&lt;&gt;"",Sheet1!E283,"")</f>
        <v>WBTPTA</v>
      </c>
      <c r="E283">
        <f>IF(Sheet1!EM283&lt;&gt;"",Sheet1!EM283,"")</f>
        <v>787201</v>
      </c>
      <c r="F283">
        <f>IF(Sheet1!FE283&lt;&gt;"",Sheet1!FE283,"")</f>
        <v>720</v>
      </c>
      <c r="G283">
        <f>IF(Sheet1!FO283&lt;&gt;"",Sheet1!FO283,"")</f>
        <v>734081</v>
      </c>
      <c r="H283">
        <f>IF(Sheet1!FW283&lt;&gt;"",Sheet1!FW283,"")</f>
        <v>61689</v>
      </c>
      <c r="I283">
        <f ca="1">IF(Sheet1!GY283&lt;&gt;"",Sheet1!GY283,"")</f>
        <v>0</v>
      </c>
    </row>
    <row r="284" spans="1:9" x14ac:dyDescent="0.25">
      <c r="A284" t="str">
        <f>IF(Sheet1!B284&lt;&gt;"",Sheet1!B284,"")</f>
        <v>teachers360</v>
      </c>
      <c r="B284" t="str">
        <f>IF(Sheet1!C284&lt;&gt;"",Sheet1!C284,"")</f>
        <v>BARNA DATTA</v>
      </c>
      <c r="C284" t="str">
        <f>IF(Sheet1!D284&lt;&gt;"",Sheet1!D284,"")</f>
        <v>THALIA HARA CHAND PRIMARY SCHOOL</v>
      </c>
      <c r="D284" t="str">
        <f>IF(Sheet1!E284&lt;&gt;"",Sheet1!E284,"")</f>
        <v>ABPTA</v>
      </c>
      <c r="E284">
        <f>IF(Sheet1!EM284&lt;&gt;"",Sheet1!EM284,"")</f>
        <v>836242</v>
      </c>
      <c r="F284">
        <f>IF(Sheet1!FE284&lt;&gt;"",Sheet1!FE284,"")</f>
        <v>60000</v>
      </c>
      <c r="G284">
        <f>IF(Sheet1!FO284&lt;&gt;"",Sheet1!FO284,"")</f>
        <v>723842</v>
      </c>
      <c r="H284">
        <f>IF(Sheet1!FW284&lt;&gt;"",Sheet1!FW284,"")</f>
        <v>59559</v>
      </c>
      <c r="I284">
        <f ca="1">IF(Sheet1!GY284&lt;&gt;"",Sheet1!GY284,"")</f>
        <v>0</v>
      </c>
    </row>
    <row r="285" spans="1:9" x14ac:dyDescent="0.25">
      <c r="A285" t="str">
        <f>IF(Sheet1!B285&lt;&gt;"",Sheet1!B285,"")</f>
        <v>teachers361</v>
      </c>
      <c r="B285" t="str">
        <f>IF(Sheet1!C285&lt;&gt;"",Sheet1!C285,"")</f>
        <v>ROSHNIARA MONDAL SK</v>
      </c>
      <c r="C285" t="str">
        <f>IF(Sheet1!D285&lt;&gt;"",Sheet1!D285,"")</f>
        <v>THALIA HARA CHAND PRIMARY SCHOOL</v>
      </c>
      <c r="D285" t="str">
        <f>IF(Sheet1!E285&lt;&gt;"",Sheet1!E285,"")</f>
        <v>WBTPTA</v>
      </c>
      <c r="E285">
        <f>IF(Sheet1!EM285&lt;&gt;"",Sheet1!EM285,"")</f>
        <v>561683</v>
      </c>
      <c r="F285">
        <f>IF(Sheet1!FE285&lt;&gt;"",Sheet1!FE285,"")</f>
        <v>60000</v>
      </c>
      <c r="G285">
        <f>IF(Sheet1!FO285&lt;&gt;"",Sheet1!FO285,"")</f>
        <v>449283</v>
      </c>
      <c r="H285">
        <f>IF(Sheet1!FW285&lt;&gt;"",Sheet1!FW285,"")</f>
        <v>0</v>
      </c>
      <c r="I285">
        <f ca="1">IF(Sheet1!GY285&lt;&gt;"",Sheet1!GY285,"")</f>
        <v>0</v>
      </c>
    </row>
    <row r="286" spans="1:9" x14ac:dyDescent="0.25">
      <c r="A286" t="str">
        <f>IF(Sheet1!B286&lt;&gt;"",Sheet1!B286,"")</f>
        <v>teachers362</v>
      </c>
      <c r="B286" t="str">
        <f>IF(Sheet1!C286&lt;&gt;"",Sheet1!C286,"")</f>
        <v>PROBHAT RANJAN KOLEY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561684</v>
      </c>
      <c r="F286">
        <f>IF(Sheet1!FE286&lt;&gt;"",Sheet1!FE286,"")</f>
        <v>30000</v>
      </c>
      <c r="G286">
        <f>IF(Sheet1!FO286&lt;&gt;"",Sheet1!FO286,"")</f>
        <v>479284</v>
      </c>
      <c r="H286">
        <f>IF(Sheet1!FW286&lt;&gt;"",Sheet1!FW286,"")</f>
        <v>0</v>
      </c>
      <c r="I286">
        <f ca="1">IF(Sheet1!GY286&lt;&gt;"",Sheet1!GY286,"")</f>
        <v>0</v>
      </c>
    </row>
    <row r="287" spans="1:9" x14ac:dyDescent="0.25">
      <c r="A287" t="str">
        <f>IF(Sheet1!B287&lt;&gt;"",Sheet1!B287,"")</f>
        <v>teachers363</v>
      </c>
      <c r="B287" t="str">
        <f>IF(Sheet1!C287&lt;&gt;"",Sheet1!C287,"")</f>
        <v>PRIYANKA ROY</v>
      </c>
      <c r="C287" t="str">
        <f>IF(Sheet1!D287&lt;&gt;"",Sheet1!D287,"")</f>
        <v>THALIA HARA CHAND PRIMARY SCHOOL</v>
      </c>
      <c r="D287" t="str">
        <f>IF(Sheet1!E287&lt;&gt;"",Sheet1!E287,"")</f>
        <v>NOT WBTPTA</v>
      </c>
      <c r="E287">
        <f>IF(Sheet1!EM287&lt;&gt;"",Sheet1!EM287,"")</f>
        <v>524485</v>
      </c>
      <c r="F287">
        <f>IF(Sheet1!FE287&lt;&gt;"",Sheet1!FE287,"")</f>
        <v>24000</v>
      </c>
      <c r="G287">
        <f>IF(Sheet1!FO287&lt;&gt;"",Sheet1!FO287,"")</f>
        <v>448085</v>
      </c>
      <c r="H287">
        <f>IF(Sheet1!FW287&lt;&gt;"",Sheet1!FW287,"")</f>
        <v>0</v>
      </c>
      <c r="I287">
        <f ca="1">IF(Sheet1!GY287&lt;&gt;"",Sheet1!GY287,"")</f>
        <v>0</v>
      </c>
    </row>
    <row r="288" spans="1:9" x14ac:dyDescent="0.25">
      <c r="A288" t="str">
        <f>IF(Sheet1!B288&lt;&gt;"",Sheet1!B288,"")</f>
        <v>teachers364</v>
      </c>
      <c r="B288" t="str">
        <f>IF(Sheet1!C288&lt;&gt;"",Sheet1!C288,"")</f>
        <v>RUPA HALDER</v>
      </c>
      <c r="C288" t="str">
        <f>IF(Sheet1!D288&lt;&gt;"",Sheet1!D288,"")</f>
        <v>THALIA HARA CHAND PRIMARY SCHOOL</v>
      </c>
      <c r="D288" t="str">
        <f>IF(Sheet1!E288&lt;&gt;"",Sheet1!E288,"")</f>
        <v>WBTPTA</v>
      </c>
      <c r="E288">
        <f>IF(Sheet1!EM288&lt;&gt;"",Sheet1!EM288,"")</f>
        <v>449086</v>
      </c>
      <c r="F288">
        <f>IF(Sheet1!FE288&lt;&gt;"",Sheet1!FE288,"")</f>
        <v>24000</v>
      </c>
      <c r="G288">
        <f>IF(Sheet1!FO288&lt;&gt;"",Sheet1!FO288,"")</f>
        <v>373286</v>
      </c>
      <c r="H288">
        <f>IF(Sheet1!FW288&lt;&gt;"",Sheet1!FW288,"")</f>
        <v>0</v>
      </c>
      <c r="I288">
        <f ca="1">IF(Sheet1!GY288&lt;&gt;"",Sheet1!GY288,"")</f>
        <v>0</v>
      </c>
    </row>
    <row r="289" spans="1:9" x14ac:dyDescent="0.25">
      <c r="A289" t="str">
        <f>IF(Sheet1!B289&lt;&gt;"",Sheet1!B289,"")</f>
        <v>teachers365</v>
      </c>
      <c r="B289" t="str">
        <f>IF(Sheet1!C289&lt;&gt;"",Sheet1!C289,"")</f>
        <v>HEMANTA KUMAR MISRA</v>
      </c>
      <c r="C289" t="str">
        <f>IF(Sheet1!D289&lt;&gt;"",Sheet1!D289,"")</f>
        <v>THALIA SIBTOLA PRIMARY SCHOOL</v>
      </c>
      <c r="D289" t="str">
        <f>IF(Sheet1!E289&lt;&gt;"",Sheet1!E289,"")</f>
        <v>ABPTA</v>
      </c>
      <c r="E289">
        <f>IF(Sheet1!EM289&lt;&gt;"",Sheet1!EM289,"")</f>
        <v>793207</v>
      </c>
      <c r="F289">
        <f>IF(Sheet1!FE289&lt;&gt;"",Sheet1!FE289,"")</f>
        <v>48000</v>
      </c>
      <c r="G289">
        <f>IF(Sheet1!FO289&lt;&gt;"",Sheet1!FO289,"")</f>
        <v>692807</v>
      </c>
      <c r="H289">
        <f>IF(Sheet1!FW289&lt;&gt;"",Sheet1!FW289,"")</f>
        <v>53103</v>
      </c>
      <c r="I289">
        <f ca="1">IF(Sheet1!GY289&lt;&gt;"",Sheet1!GY289,"")</f>
        <v>0</v>
      </c>
    </row>
    <row r="290" spans="1:9" x14ac:dyDescent="0.25">
      <c r="A290" t="str">
        <f>IF(Sheet1!B290&lt;&gt;"",Sheet1!B290,"")</f>
        <v>teachers366</v>
      </c>
      <c r="B290" t="str">
        <f>IF(Sheet1!C290&lt;&gt;"",Sheet1!C290,"")</f>
        <v>DIBYENDU KOLEY</v>
      </c>
      <c r="C290" t="str">
        <f>IF(Sheet1!D290&lt;&gt;"",Sheet1!D290,"")</f>
        <v>THALIA SIBTOLA PRIMARY SCHOOL</v>
      </c>
      <c r="D290" t="str">
        <f>IF(Sheet1!E290&lt;&gt;"",Sheet1!E290,"")</f>
        <v>WBTPTA</v>
      </c>
      <c r="E290">
        <f>IF(Sheet1!EM290&lt;&gt;"",Sheet1!EM290,"")</f>
        <v>561688</v>
      </c>
      <c r="F290">
        <f>IF(Sheet1!FE290&lt;&gt;"",Sheet1!FE290,"")</f>
        <v>30000</v>
      </c>
      <c r="G290">
        <f>IF(Sheet1!FO290&lt;&gt;"",Sheet1!FO290,"")</f>
        <v>479288</v>
      </c>
      <c r="H290">
        <f>IF(Sheet1!FW290&lt;&gt;"",Sheet1!FW290,"")</f>
        <v>0</v>
      </c>
      <c r="I290">
        <f ca="1">IF(Sheet1!GY290&lt;&gt;"",Sheet1!GY290,"")</f>
        <v>0</v>
      </c>
    </row>
    <row r="291" spans="1:9" x14ac:dyDescent="0.25">
      <c r="A291" t="str">
        <f>IF(Sheet1!B291&lt;&gt;"",Sheet1!B291,"")</f>
        <v>teachers367</v>
      </c>
      <c r="B291" t="str">
        <f>IF(Sheet1!C291&lt;&gt;"",Sheet1!C291,"")</f>
        <v>SARIFUL MOLLAH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555689</v>
      </c>
      <c r="F291">
        <f>IF(Sheet1!FE291&lt;&gt;"",Sheet1!FE291,"")</f>
        <v>60000</v>
      </c>
      <c r="G291">
        <f>IF(Sheet1!FO291&lt;&gt;"",Sheet1!FO291,"")</f>
        <v>443289</v>
      </c>
      <c r="H291">
        <f>IF(Sheet1!FW291&lt;&gt;"",Sheet1!FW291,"")</f>
        <v>0</v>
      </c>
      <c r="I291">
        <f ca="1">IF(Sheet1!GY291&lt;&gt;"",Sheet1!GY291,"")</f>
        <v>0</v>
      </c>
    </row>
    <row r="292" spans="1:9" x14ac:dyDescent="0.25">
      <c r="A292" t="str">
        <f>IF(Sheet1!B292&lt;&gt;"",Sheet1!B292,"")</f>
        <v>teachers394-a4f17403</v>
      </c>
      <c r="B292" t="str">
        <f>IF(Sheet1!C292&lt;&gt;"",Sheet1!C292,"")</f>
        <v>JNANSANKAR SINGHA MAHAPATRA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481330</v>
      </c>
      <c r="F292">
        <f>IF(Sheet1!FE292&lt;&gt;"",Sheet1!FE292,"")</f>
        <v>24000</v>
      </c>
      <c r="G292">
        <f>IF(Sheet1!FO292&lt;&gt;"",Sheet1!FO292,"")</f>
        <v>405480</v>
      </c>
      <c r="H292">
        <f>IF(Sheet1!FW292&lt;&gt;"",Sheet1!FW292,"")</f>
        <v>0</v>
      </c>
      <c r="I292">
        <f ca="1">IF(Sheet1!GY292&lt;&gt;"",Sheet1!GY292,"")</f>
        <v>0</v>
      </c>
    </row>
    <row r="293" spans="1:9" x14ac:dyDescent="0.25">
      <c r="A293" t="str">
        <f>IF(Sheet1!B293&lt;&gt;"",Sheet1!B293,"")</f>
        <v>teachers368</v>
      </c>
      <c r="B293" t="str">
        <f>IF(Sheet1!C293&lt;&gt;"",Sheet1!C293,"")</f>
        <v>MUNMUN CHANDRA</v>
      </c>
      <c r="C293" t="str">
        <f>IF(Sheet1!D293&lt;&gt;"",Sheet1!D293,"")</f>
        <v>UTTAR GAZIPUR PRIMARY SCHOOL</v>
      </c>
      <c r="D293" t="str">
        <f>IF(Sheet1!E293&lt;&gt;"",Sheet1!E293,"")</f>
        <v>WBTPTA</v>
      </c>
      <c r="E293">
        <f>IF(Sheet1!EM293&lt;&gt;"",Sheet1!EM293,"")</f>
        <v>860011</v>
      </c>
      <c r="F293">
        <f>IF(Sheet1!FE293&lt;&gt;"",Sheet1!FE293,"")</f>
        <v>48000</v>
      </c>
      <c r="G293">
        <f>IF(Sheet1!FO293&lt;&gt;"",Sheet1!FO293,"")</f>
        <v>759611</v>
      </c>
      <c r="H293">
        <f>IF(Sheet1!FW293&lt;&gt;"",Sheet1!FW293,"")</f>
        <v>66999</v>
      </c>
      <c r="I293">
        <f ca="1">IF(Sheet1!GY293&lt;&gt;"",Sheet1!GY293,"")</f>
        <v>0</v>
      </c>
    </row>
    <row r="294" spans="1:9" x14ac:dyDescent="0.25">
      <c r="A294" t="str">
        <f>IF(Sheet1!B294&lt;&gt;"",Sheet1!B294,"")</f>
        <v>teachers369</v>
      </c>
      <c r="B294" t="str">
        <f>IF(Sheet1!C294&lt;&gt;"",Sheet1!C294,"")</f>
        <v>SUPARNA GAYEN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578332</v>
      </c>
      <c r="F294">
        <f>IF(Sheet1!FE294&lt;&gt;"",Sheet1!FE294,"")</f>
        <v>36000</v>
      </c>
      <c r="G294">
        <f>IF(Sheet1!FO294&lt;&gt;"",Sheet1!FO294,"")</f>
        <v>489932</v>
      </c>
      <c r="H294">
        <f>IF(Sheet1!FW294&lt;&gt;"",Sheet1!FW294,"")</f>
        <v>0</v>
      </c>
      <c r="I294">
        <f ca="1">IF(Sheet1!GY294&lt;&gt;"",Sheet1!GY294,"")</f>
        <v>0</v>
      </c>
    </row>
    <row r="295" spans="1:9" x14ac:dyDescent="0.25">
      <c r="A295" t="str">
        <f>IF(Sheet1!B295&lt;&gt;"",Sheet1!B295,"")</f>
        <v>teachers370</v>
      </c>
      <c r="B295" t="str">
        <f>IF(Sheet1!C295&lt;&gt;"",Sheet1!C295,"")</f>
        <v>TANMOY SAHA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578333</v>
      </c>
      <c r="F295">
        <f>IF(Sheet1!FE295&lt;&gt;"",Sheet1!FE295,"")</f>
        <v>30000</v>
      </c>
      <c r="G295">
        <f>IF(Sheet1!FO295&lt;&gt;"",Sheet1!FO295,"")</f>
        <v>495933</v>
      </c>
      <c r="H295">
        <f>IF(Sheet1!FW295&lt;&gt;"",Sheet1!FW295,"")</f>
        <v>0</v>
      </c>
      <c r="I295">
        <f ca="1">IF(Sheet1!GY295&lt;&gt;"",Sheet1!GY295,"")</f>
        <v>0</v>
      </c>
    </row>
    <row r="296" spans="1:9" x14ac:dyDescent="0.25">
      <c r="A296" t="str">
        <f>IF(Sheet1!B296&lt;&gt;"",Sheet1!B296,"")</f>
        <v>teachers371</v>
      </c>
      <c r="B296" t="str">
        <f>IF(Sheet1!C296&lt;&gt;"",Sheet1!C296,"")</f>
        <v>SARAJIT BISWAS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530494</v>
      </c>
      <c r="F296">
        <f>IF(Sheet1!FE296&lt;&gt;"",Sheet1!FE296,"")</f>
        <v>24000</v>
      </c>
      <c r="G296">
        <f>IF(Sheet1!FO296&lt;&gt;"",Sheet1!FO296,"")</f>
        <v>454094</v>
      </c>
      <c r="H296">
        <f>IF(Sheet1!FW296&lt;&gt;"",Sheet1!FW296,"")</f>
        <v>0</v>
      </c>
      <c r="I296">
        <f ca="1">IF(Sheet1!GY296&lt;&gt;"",Sheet1!GY296,"")</f>
        <v>0</v>
      </c>
    </row>
    <row r="297" spans="1:9" x14ac:dyDescent="0.25">
      <c r="A297" t="str">
        <f>IF(Sheet1!B297&lt;&gt;"",Sheet1!B297,"")</f>
        <v>teachers372</v>
      </c>
      <c r="B297" t="str">
        <f>IF(Sheet1!C297&lt;&gt;"",Sheet1!C297,"")</f>
        <v>LAL CHAND SK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524495</v>
      </c>
      <c r="F297">
        <f>IF(Sheet1!FE297&lt;&gt;"",Sheet1!FE297,"")</f>
        <v>24000</v>
      </c>
      <c r="G297">
        <f>IF(Sheet1!FO297&lt;&gt;"",Sheet1!FO297,"")</f>
        <v>448095</v>
      </c>
      <c r="H297">
        <f>IF(Sheet1!FW297&lt;&gt;"",Sheet1!FW297,"")</f>
        <v>0</v>
      </c>
      <c r="I297">
        <f ca="1">IF(Sheet1!GY297&lt;&gt;"",Sheet1!GY297,"")</f>
        <v>0</v>
      </c>
    </row>
    <row r="298" spans="1:9" x14ac:dyDescent="0.25">
      <c r="A298" t="str">
        <f>IF(Sheet1!B298&lt;&gt;"",Sheet1!B298,"")</f>
        <v>teachers373</v>
      </c>
      <c r="B298" t="str">
        <f>IF(Sheet1!C298&lt;&gt;"",Sheet1!C298,"")</f>
        <v>RINA ADAK</v>
      </c>
      <c r="C298" t="str">
        <f>IF(Sheet1!D298&lt;&gt;"",Sheet1!D298,"")</f>
        <v>UTTAR JOYPUR PRIMARY SCHOOL</v>
      </c>
      <c r="D298" t="str">
        <f>IF(Sheet1!E298&lt;&gt;"",Sheet1!E298,"")</f>
        <v>ABPTA</v>
      </c>
      <c r="E298">
        <f>IF(Sheet1!EM298&lt;&gt;"",Sheet1!EM298,"")</f>
        <v>866016</v>
      </c>
      <c r="F298">
        <f>IF(Sheet1!FE298&lt;&gt;"",Sheet1!FE298,"")</f>
        <v>120000</v>
      </c>
      <c r="G298">
        <f>IF(Sheet1!FO298&lt;&gt;"",Sheet1!FO298,"")</f>
        <v>693616</v>
      </c>
      <c r="H298">
        <f>IF(Sheet1!FW298&lt;&gt;"",Sheet1!FW298,"")</f>
        <v>53272</v>
      </c>
      <c r="I298">
        <f ca="1">IF(Sheet1!GY298&lt;&gt;"",Sheet1!GY298,"")</f>
        <v>0</v>
      </c>
    </row>
    <row r="299" spans="1:9" x14ac:dyDescent="0.25">
      <c r="A299" t="str">
        <f>IF(Sheet1!B299&lt;&gt;"",Sheet1!B299,"")</f>
        <v>teachers374</v>
      </c>
      <c r="B299" t="str">
        <f>IF(Sheet1!C299&lt;&gt;"",Sheet1!C299,"")</f>
        <v>MRINMAY ADHIKARY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630857</v>
      </c>
      <c r="F299">
        <f>IF(Sheet1!FE299&lt;&gt;"",Sheet1!FE299,"")</f>
        <v>60000</v>
      </c>
      <c r="G299">
        <f>IF(Sheet1!FO299&lt;&gt;"",Sheet1!FO299,"")</f>
        <v>518457</v>
      </c>
      <c r="H299">
        <f>IF(Sheet1!FW299&lt;&gt;"",Sheet1!FW299,"")</f>
        <v>16839</v>
      </c>
      <c r="I299">
        <f ca="1">IF(Sheet1!GY299&lt;&gt;"",Sheet1!GY299,"")</f>
        <v>0</v>
      </c>
    </row>
    <row r="300" spans="1:9" x14ac:dyDescent="0.25">
      <c r="A300" t="str">
        <f>IF(Sheet1!B300&lt;&gt;"",Sheet1!B300,"")</f>
        <v>teachers375</v>
      </c>
      <c r="B300" t="str">
        <f>IF(Sheet1!C300&lt;&gt;"",Sheet1!C300,"")</f>
        <v>MADHUMITA DHAL</v>
      </c>
      <c r="C300" t="str">
        <f>IF(Sheet1!D300&lt;&gt;"",Sheet1!D300,"")</f>
        <v>UTTAR JOYPUR PRIMARY SCHOOL</v>
      </c>
      <c r="D300" t="str">
        <f>IF(Sheet1!E300&lt;&gt;"",Sheet1!E300,"")</f>
        <v>WBTPTA</v>
      </c>
      <c r="E300">
        <f>IF(Sheet1!EM300&lt;&gt;"",Sheet1!EM300,"")</f>
        <v>530498</v>
      </c>
      <c r="F300">
        <f>IF(Sheet1!FE300&lt;&gt;"",Sheet1!FE300,"")</f>
        <v>24000</v>
      </c>
      <c r="G300">
        <f>IF(Sheet1!FO300&lt;&gt;"",Sheet1!FO300,"")</f>
        <v>454098</v>
      </c>
      <c r="H300">
        <f>IF(Sheet1!FW300&lt;&gt;"",Sheet1!FW300,"")</f>
        <v>0</v>
      </c>
      <c r="I300">
        <f ca="1">IF(Sheet1!GY300&lt;&gt;"",Sheet1!GY300,"")</f>
        <v>0</v>
      </c>
    </row>
    <row r="301" spans="1:9" x14ac:dyDescent="0.25">
      <c r="A301" t="str">
        <f>IF(Sheet1!B301&lt;&gt;"",Sheet1!B301,"")</f>
        <v>teachers376</v>
      </c>
      <c r="B301" t="str">
        <f>IF(Sheet1!C301&lt;&gt;"",Sheet1!C301,"")</f>
        <v>SAILEN NEBU</v>
      </c>
      <c r="C301" t="str">
        <f>IF(Sheet1!D301&lt;&gt;"",Sheet1!D301,"")</f>
        <v>UTTAR KALBANSH KISHOR MOHAN PRIMARY SCHOOL</v>
      </c>
      <c r="D301" t="str">
        <f>IF(Sheet1!E301&lt;&gt;"",Sheet1!E301,"")</f>
        <v>ABPTA</v>
      </c>
      <c r="E301">
        <f>IF(Sheet1!EM301&lt;&gt;"",Sheet1!EM301,"")</f>
        <v>860019</v>
      </c>
      <c r="F301">
        <f>IF(Sheet1!FE301&lt;&gt;"",Sheet1!FE301,"")</f>
        <v>96720</v>
      </c>
      <c r="G301">
        <f>IF(Sheet1!FO301&lt;&gt;"",Sheet1!FO301,"")</f>
        <v>710899</v>
      </c>
      <c r="H301">
        <f>IF(Sheet1!FW301&lt;&gt;"",Sheet1!FW301,"")</f>
        <v>56867</v>
      </c>
      <c r="I301">
        <f ca="1">IF(Sheet1!GY301&lt;&gt;"",Sheet1!GY301,"")</f>
        <v>0</v>
      </c>
    </row>
    <row r="302" spans="1:9" x14ac:dyDescent="0.25">
      <c r="A302" t="str">
        <f>IF(Sheet1!B302&lt;&gt;"",Sheet1!B302,"")</f>
        <v>teachers377</v>
      </c>
      <c r="B302" t="str">
        <f>IF(Sheet1!C302&lt;&gt;"",Sheet1!C302,"")</f>
        <v>BISWAJIT SAU</v>
      </c>
      <c r="C302" t="str">
        <f>IF(Sheet1!D302&lt;&gt;"",Sheet1!D302,"")</f>
        <v>UTTAR KALBANSH KISHOR MOHAN PRIMARY SCHOOL</v>
      </c>
      <c r="D302" t="str">
        <f>IF(Sheet1!E302&lt;&gt;"",Sheet1!E302,"")</f>
        <v>WBTPTA</v>
      </c>
      <c r="E302">
        <f>IF(Sheet1!EM302&lt;&gt;"",Sheet1!EM302,"")</f>
        <v>555700</v>
      </c>
      <c r="F302">
        <f>IF(Sheet1!FE302&lt;&gt;"",Sheet1!FE302,"")</f>
        <v>30000</v>
      </c>
      <c r="G302">
        <f>IF(Sheet1!FO302&lt;&gt;"",Sheet1!FO302,"")</f>
        <v>473300</v>
      </c>
      <c r="H302">
        <f>IF(Sheet1!FW302&lt;&gt;"",Sheet1!FW302,"")</f>
        <v>0</v>
      </c>
      <c r="I302">
        <f ca="1">IF(Sheet1!GY302&lt;&gt;"",Sheet1!GY302,"")</f>
        <v>0</v>
      </c>
    </row>
    <row r="303" spans="1:9" x14ac:dyDescent="0.25">
      <c r="A303" t="str">
        <f>IF(Sheet1!B303&lt;&gt;"",Sheet1!B303,"")</f>
        <v>teachers398-0d5c8f45</v>
      </c>
      <c r="B303" t="str">
        <f>IF(Sheet1!C303&lt;&gt;"",Sheet1!C303,"")</f>
        <v>NAYANTARA DHARA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466501</v>
      </c>
      <c r="F303">
        <f>IF(Sheet1!FE303&lt;&gt;"",Sheet1!FE303,"")</f>
        <v>24000</v>
      </c>
      <c r="G303">
        <f>IF(Sheet1!FO303&lt;&gt;"",Sheet1!FO303,"")</f>
        <v>390701</v>
      </c>
      <c r="H303">
        <f>IF(Sheet1!FW303&lt;&gt;"",Sheet1!FW303,"")</f>
        <v>0</v>
      </c>
      <c r="I303">
        <f ca="1">IF(Sheet1!GY303&lt;&gt;"",Sheet1!GY303,"")</f>
        <v>0</v>
      </c>
    </row>
    <row r="304" spans="1:9" x14ac:dyDescent="0.25">
      <c r="A304" t="str">
        <f>IF(Sheet1!B304&lt;&gt;"",Sheet1!B304,"")</f>
        <v>teachers378</v>
      </c>
      <c r="B304" t="str">
        <f>IF(Sheet1!C304&lt;&gt;"",Sheet1!C304,"")</f>
        <v>KAMAL KUMAR DHARA</v>
      </c>
      <c r="C304" t="str">
        <f>IF(Sheet1!D304&lt;&gt;"",Sheet1!D304,"")</f>
        <v>UTTAR KANKROLE PRIMARY SCHOOL</v>
      </c>
      <c r="D304" t="str">
        <f>IF(Sheet1!E304&lt;&gt;"",Sheet1!E304,"")</f>
        <v>WBTPTA</v>
      </c>
      <c r="E304">
        <f>IF(Sheet1!EM304&lt;&gt;"",Sheet1!EM304,"")</f>
        <v>810622</v>
      </c>
      <c r="F304">
        <f>IF(Sheet1!FE304&lt;&gt;"",Sheet1!FE304,"")</f>
        <v>144000</v>
      </c>
      <c r="G304">
        <f>IF(Sheet1!FO304&lt;&gt;"",Sheet1!FO304,"")</f>
        <v>614222</v>
      </c>
      <c r="H304">
        <f>IF(Sheet1!FW304&lt;&gt;"",Sheet1!FW304,"")</f>
        <v>36758</v>
      </c>
      <c r="I304">
        <f ca="1">IF(Sheet1!GY304&lt;&gt;"",Sheet1!GY304,"")</f>
        <v>0</v>
      </c>
    </row>
    <row r="305" spans="1:9" x14ac:dyDescent="0.25">
      <c r="A305" t="str">
        <f>IF(Sheet1!B305&lt;&gt;"",Sheet1!B305,"")</f>
        <v>teachers379</v>
      </c>
      <c r="B305" t="str">
        <f>IF(Sheet1!C305&lt;&gt;"",Sheet1!C305,"")</f>
        <v>DIBYENDU KUMAR ADHIKARY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561703</v>
      </c>
      <c r="F305">
        <f>IF(Sheet1!FE305&lt;&gt;"",Sheet1!FE305,"")</f>
        <v>36000</v>
      </c>
      <c r="G305">
        <f>IF(Sheet1!FO305&lt;&gt;"",Sheet1!FO305,"")</f>
        <v>473303</v>
      </c>
      <c r="H305">
        <f>IF(Sheet1!FW305&lt;&gt;"",Sheet1!FW305,"")</f>
        <v>0</v>
      </c>
      <c r="I305">
        <f ca="1">IF(Sheet1!GY305&lt;&gt;"",Sheet1!GY305,"")</f>
        <v>0</v>
      </c>
    </row>
    <row r="306" spans="1:9" x14ac:dyDescent="0.25">
      <c r="A306" t="str">
        <f>IF(Sheet1!B306&lt;&gt;"",Sheet1!B306,"")</f>
        <v>teachers380</v>
      </c>
      <c r="B306" t="str">
        <f>IF(Sheet1!C306&lt;&gt;"",Sheet1!C306,"")</f>
        <v>SANJUKTA HAJRA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561704</v>
      </c>
      <c r="F306">
        <f>IF(Sheet1!FE306&lt;&gt;"",Sheet1!FE306,"")</f>
        <v>60000</v>
      </c>
      <c r="G306">
        <f>IF(Sheet1!FO306&lt;&gt;"",Sheet1!FO306,"")</f>
        <v>449304</v>
      </c>
      <c r="H306">
        <f>IF(Sheet1!FW306&lt;&gt;"",Sheet1!FW306,"")</f>
        <v>0</v>
      </c>
      <c r="I306">
        <f ca="1">IF(Sheet1!GY306&lt;&gt;"",Sheet1!GY306,"")</f>
        <v>0</v>
      </c>
    </row>
    <row r="307" spans="1:9" x14ac:dyDescent="0.25">
      <c r="A307" t="str">
        <f>IF(Sheet1!B307&lt;&gt;"",Sheet1!B307,"")</f>
        <v>teachers381</v>
      </c>
      <c r="B307" t="str">
        <f>IF(Sheet1!C307&lt;&gt;"",Sheet1!C307,"")</f>
        <v>SK MAIDUL ISLAM</v>
      </c>
      <c r="C307" t="str">
        <f>IF(Sheet1!D307&lt;&gt;"",Sheet1!D307,"")</f>
        <v>UTTAR SEHAGORI PRIMARY SCHOOL</v>
      </c>
      <c r="D307" t="str">
        <f>IF(Sheet1!E307&lt;&gt;"",Sheet1!E307,"")</f>
        <v>WBTPTA</v>
      </c>
      <c r="E307">
        <f>IF(Sheet1!EM307&lt;&gt;"",Sheet1!EM307,"")</f>
        <v>577145</v>
      </c>
      <c r="F307">
        <f>IF(Sheet1!FE307&lt;&gt;"",Sheet1!FE307,"")</f>
        <v>30000</v>
      </c>
      <c r="G307">
        <f>IF(Sheet1!FO307&lt;&gt;"",Sheet1!FO307,"")</f>
        <v>494745</v>
      </c>
      <c r="H307">
        <f>IF(Sheet1!FW307&lt;&gt;"",Sheet1!FW307,"")</f>
        <v>0</v>
      </c>
      <c r="I307">
        <f ca="1">IF(Sheet1!GY307&lt;&gt;"",Sheet1!GY307,"")</f>
        <v>0</v>
      </c>
    </row>
    <row r="308" spans="1:9" x14ac:dyDescent="0.25">
      <c r="A308" t="str">
        <f>IF(Sheet1!B308&lt;&gt;"",Sheet1!B308,"")</f>
        <v>teachers382</v>
      </c>
      <c r="B308" t="str">
        <f>IF(Sheet1!C308&lt;&gt;"",Sheet1!C308,"")</f>
        <v>MALLIKA GAYEN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578346</v>
      </c>
      <c r="F308">
        <f>IF(Sheet1!FE308&lt;&gt;"",Sheet1!FE308,"")</f>
        <v>30000</v>
      </c>
      <c r="G308">
        <f>IF(Sheet1!FO308&lt;&gt;"",Sheet1!FO308,"")</f>
        <v>495946</v>
      </c>
      <c r="H308">
        <f>IF(Sheet1!FW308&lt;&gt;"",Sheet1!FW308,"")</f>
        <v>0</v>
      </c>
      <c r="I308">
        <f ca="1">IF(Sheet1!GY308&lt;&gt;"",Sheet1!GY308,"")</f>
        <v>0</v>
      </c>
    </row>
    <row r="309" spans="1:9" x14ac:dyDescent="0.25">
      <c r="A309" t="str">
        <f>IF(Sheet1!B309&lt;&gt;"",Sheet1!B309,"")</f>
        <v>teachers383</v>
      </c>
      <c r="B309" t="str">
        <f>IF(Sheet1!C309&lt;&gt;"",Sheet1!C309,"")</f>
        <v>SURASHREE SADHUKHAN SAHA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578347</v>
      </c>
      <c r="F309">
        <f>IF(Sheet1!FE309&lt;&gt;"",Sheet1!FE309,"")</f>
        <v>30000</v>
      </c>
      <c r="G309">
        <f>IF(Sheet1!FO309&lt;&gt;"",Sheet1!FO309,"")</f>
        <v>495947</v>
      </c>
      <c r="H309">
        <f>IF(Sheet1!FW309&lt;&gt;"",Sheet1!FW309,"")</f>
        <v>0</v>
      </c>
      <c r="I309">
        <f ca="1">IF(Sheet1!GY309&lt;&gt;"",Sheet1!GY309,"")</f>
        <v>0</v>
      </c>
    </row>
    <row r="310" spans="1:9" x14ac:dyDescent="0.25">
      <c r="A310" t="str">
        <f>IF(Sheet1!B310&lt;&gt;"",Sheet1!B310,"")</f>
        <v>teachers384</v>
      </c>
      <c r="B310" t="str">
        <f>IF(Sheet1!C310&lt;&gt;"",Sheet1!C310,"")</f>
        <v>ABDUS SALAM MOLLICK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524508</v>
      </c>
      <c r="F310">
        <f>IF(Sheet1!FE310&lt;&gt;"",Sheet1!FE310,"")</f>
        <v>24000</v>
      </c>
      <c r="G310">
        <f>IF(Sheet1!FO310&lt;&gt;"",Sheet1!FO310,"")</f>
        <v>448108</v>
      </c>
      <c r="H310">
        <f>IF(Sheet1!FW310&lt;&gt;"",Sheet1!FW310,"")</f>
        <v>0</v>
      </c>
      <c r="I310">
        <f ca="1">IF(Sheet1!GY310&lt;&gt;"",Sheet1!GY310,"")</f>
        <v>0</v>
      </c>
    </row>
    <row r="311" spans="1:9" x14ac:dyDescent="0.25">
      <c r="A311" t="str">
        <f>IF(Sheet1!B311&lt;&gt;"",Sheet1!B311,"")</f>
        <v>teachers399-4fe1a07f</v>
      </c>
      <c r="B311" t="str">
        <f>IF(Sheet1!C311&lt;&gt;"",Sheet1!C311,"")</f>
        <v>SANCHITA DAS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530509</v>
      </c>
      <c r="F311">
        <f>IF(Sheet1!FE311&lt;&gt;"",Sheet1!FE311,"")</f>
        <v>24000</v>
      </c>
      <c r="G311">
        <f>IF(Sheet1!FO311&lt;&gt;"",Sheet1!FO311,"")</f>
        <v>454109</v>
      </c>
      <c r="H311">
        <f>IF(Sheet1!FW311&lt;&gt;"",Sheet1!FW311,"")</f>
        <v>0</v>
      </c>
      <c r="I311">
        <f ca="1">IF(Sheet1!GY311&lt;&gt;"",Sheet1!GY311,"")</f>
        <v>0</v>
      </c>
    </row>
    <row r="312" spans="1:9" x14ac:dyDescent="0.25">
      <c r="A312" t="str">
        <f>IF(Sheet1!B312&lt;&gt;"",Sheet1!B312,"")</f>
        <v/>
      </c>
      <c r="B312" t="str">
        <f>IF(Sheet1!C312&lt;&gt;"",Sheet1!C312,"")</f>
        <v/>
      </c>
      <c r="C312" t="str">
        <f>IF(Sheet1!D312&lt;&gt;"",Sheet1!D312,"")</f>
        <v/>
      </c>
      <c r="D312" t="str">
        <f>IF(Sheet1!E312&lt;&gt;"",Sheet1!E312,"")</f>
        <v/>
      </c>
      <c r="E312" t="str">
        <f>IF(Sheet1!EM312&lt;&gt;"",Sheet1!EM312,"")</f>
        <v/>
      </c>
      <c r="F312" t="str">
        <f>IF(Sheet1!FE312&lt;&gt;"",Sheet1!FE312,"")</f>
        <v/>
      </c>
      <c r="G312" t="str">
        <f>IF(Sheet1!FO312&lt;&gt;"",Sheet1!FO312,"")</f>
        <v/>
      </c>
      <c r="H312" t="str">
        <f>IF(Sheet1!FW312&lt;&gt;"",Sheet1!FW312,"")</f>
        <v/>
      </c>
      <c r="I312" t="str">
        <f>IF(Sheet1!GY312&lt;&gt;"",Sheet1!GY312,"")</f>
        <v/>
      </c>
    </row>
    <row r="313" spans="1:9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IF(Sheet1!FO313&lt;&gt;"",Sheet1!FO313,"")</f>
        <v/>
      </c>
      <c r="H313" t="str">
        <f>IF(Sheet1!FW313&lt;&gt;"",Sheet1!FW313,"")</f>
        <v/>
      </c>
      <c r="I313" t="str">
        <f>IF(Sheet1!GY313&lt;&gt;"",Sheet1!GY313,"")</f>
        <v/>
      </c>
    </row>
    <row r="314" spans="1:9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IF(Sheet1!FO314&lt;&gt;"",Sheet1!FO314,"")</f>
        <v/>
      </c>
      <c r="H314" t="str">
        <f>IF(Sheet1!FW314&lt;&gt;"",Sheet1!FW314,"")</f>
        <v/>
      </c>
      <c r="I314" t="str">
        <f>IF(Sheet1!GY314&lt;&gt;"",Sheet1!GY314,"")</f>
        <v/>
      </c>
    </row>
    <row r="315" spans="1:9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IF(Sheet1!FO315&lt;&gt;"",Sheet1!FO315,"")</f>
        <v/>
      </c>
      <c r="H315" t="str">
        <f>IF(Sheet1!FW315&lt;&gt;"",Sheet1!FW315,"")</f>
        <v/>
      </c>
      <c r="I315" t="str">
        <f>IF(Sheet1!GY315&lt;&gt;"",Sheet1!GY315,"")</f>
        <v/>
      </c>
    </row>
    <row r="316" spans="1:9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IF(Sheet1!FO316&lt;&gt;"",Sheet1!FO316,"")</f>
        <v/>
      </c>
      <c r="H316" t="str">
        <f>IF(Sheet1!FW316&lt;&gt;"",Sheet1!FW316,"")</f>
        <v/>
      </c>
      <c r="I316" t="str">
        <f>IF(Sheet1!GY316&lt;&gt;"",Sheet1!GY316,"")</f>
        <v/>
      </c>
    </row>
    <row r="317" spans="1:9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IF(Sheet1!FO317&lt;&gt;"",Sheet1!FO317,"")</f>
        <v/>
      </c>
      <c r="H317" t="str">
        <f>IF(Sheet1!FW317&lt;&gt;"",Sheet1!FW317,"")</f>
        <v/>
      </c>
      <c r="I317" t="str">
        <f>IF(Sheet1!GY317&lt;&gt;"",Sheet1!GY317,"")</f>
        <v/>
      </c>
    </row>
    <row r="318" spans="1:9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IF(Sheet1!FO318&lt;&gt;"",Sheet1!FO318,"")</f>
        <v/>
      </c>
      <c r="H318" t="str">
        <f>IF(Sheet1!FW318&lt;&gt;"",Sheet1!FW318,"")</f>
        <v/>
      </c>
      <c r="I318" t="str">
        <f>IF(Sheet1!GY318&lt;&gt;"",Sheet1!GY318,"")</f>
        <v/>
      </c>
    </row>
    <row r="319" spans="1:9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IF(Sheet1!FO319&lt;&gt;"",Sheet1!FO319,"")</f>
        <v/>
      </c>
      <c r="H319" t="str">
        <f>IF(Sheet1!FW319&lt;&gt;"",Sheet1!FW319,"")</f>
        <v/>
      </c>
      <c r="I319" t="str">
        <f>IF(Sheet1!GY319&lt;&gt;"",Sheet1!GY319,"")</f>
        <v/>
      </c>
    </row>
    <row r="320" spans="1:9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IF(Sheet1!FO320&lt;&gt;"",Sheet1!FO320,"")</f>
        <v/>
      </c>
      <c r="H320" t="str">
        <f>IF(Sheet1!FW320&lt;&gt;"",Sheet1!FW320,"")</f>
        <v/>
      </c>
      <c r="I320" t="str">
        <f>IF(Sheet1!GY320&lt;&gt;"",Sheet1!GY320,"")</f>
        <v/>
      </c>
    </row>
    <row r="321" spans="1:9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IF(Sheet1!FO321&lt;&gt;"",Sheet1!FO321,"")</f>
        <v/>
      </c>
      <c r="H321" t="str">
        <f>IF(Sheet1!FW321&lt;&gt;"",Sheet1!FW321,"")</f>
        <v/>
      </c>
      <c r="I321" t="str">
        <f>IF(Sheet1!GY321&lt;&gt;"",Sheet1!GY321,"")</f>
        <v/>
      </c>
    </row>
    <row r="322" spans="1:9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IF(Sheet1!FO322&lt;&gt;"",Sheet1!FO322,"")</f>
        <v/>
      </c>
      <c r="H322" t="str">
        <f>IF(Sheet1!FW322&lt;&gt;"",Sheet1!FW322,"")</f>
        <v/>
      </c>
      <c r="I322" t="str">
        <f>IF(Sheet1!GY322&lt;&gt;"",Sheet1!GY322,"")</f>
        <v/>
      </c>
    </row>
    <row r="323" spans="1:9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IF(Sheet1!FO323&lt;&gt;"",Sheet1!FO323,"")</f>
        <v/>
      </c>
      <c r="H323" t="str">
        <f>IF(Sheet1!FW323&lt;&gt;"",Sheet1!FW323,"")</f>
        <v/>
      </c>
      <c r="I323" t="str">
        <f>IF(Sheet1!GY323&lt;&gt;"",Sheet1!GY323,"")</f>
        <v/>
      </c>
    </row>
    <row r="324" spans="1:9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IF(Sheet1!FO324&lt;&gt;"",Sheet1!FO324,"")</f>
        <v/>
      </c>
      <c r="H324" t="str">
        <f>IF(Sheet1!FW324&lt;&gt;"",Sheet1!FW324,"")</f>
        <v/>
      </c>
      <c r="I324" t="str">
        <f>IF(Sheet1!GY324&lt;&gt;"",Sheet1!GY324,"")</f>
        <v/>
      </c>
    </row>
    <row r="325" spans="1:9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IF(Sheet1!FO325&lt;&gt;"",Sheet1!FO325,"")</f>
        <v/>
      </c>
      <c r="H325" t="str">
        <f>IF(Sheet1!FW325&lt;&gt;"",Sheet1!FW325,"")</f>
        <v/>
      </c>
      <c r="I325" t="str">
        <f>IF(Sheet1!GY325&lt;&gt;"",Sheet1!GY325,"")</f>
        <v/>
      </c>
    </row>
    <row r="326" spans="1:9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IF(Sheet1!FO326&lt;&gt;"",Sheet1!FO326,"")</f>
        <v/>
      </c>
      <c r="H326" t="str">
        <f>IF(Sheet1!FW326&lt;&gt;"",Sheet1!FW326,"")</f>
        <v/>
      </c>
      <c r="I326" t="str">
        <f>IF(Sheet1!GY326&lt;&gt;"",Sheet1!GY326,"")</f>
        <v/>
      </c>
    </row>
    <row r="327" spans="1:9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IF(Sheet1!FO327&lt;&gt;"",Sheet1!FO327,"")</f>
        <v/>
      </c>
      <c r="H327" t="str">
        <f>IF(Sheet1!FW327&lt;&gt;"",Sheet1!FW327,"")</f>
        <v/>
      </c>
      <c r="I327" t="str">
        <f>IF(Sheet1!GY327&lt;&gt;"",Sheet1!GY327,"")</f>
        <v/>
      </c>
    </row>
    <row r="328" spans="1:9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IF(Sheet1!FO328&lt;&gt;"",Sheet1!FO328,"")</f>
        <v/>
      </c>
      <c r="H328" t="str">
        <f>IF(Sheet1!FW328&lt;&gt;"",Sheet1!FW328,"")</f>
        <v/>
      </c>
      <c r="I328" t="str">
        <f>IF(Sheet1!GY328&lt;&gt;"",Sheet1!GY328,"")</f>
        <v/>
      </c>
    </row>
    <row r="329" spans="1:9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IF(Sheet1!FO329&lt;&gt;"",Sheet1!FO329,"")</f>
        <v/>
      </c>
      <c r="H329" t="str">
        <f>IF(Sheet1!FW329&lt;&gt;"",Sheet1!FW329,"")</f>
        <v/>
      </c>
      <c r="I329" t="str">
        <f>IF(Sheet1!GY329&lt;&gt;"",Sheet1!GY329,"")</f>
        <v/>
      </c>
    </row>
    <row r="330" spans="1:9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IF(Sheet1!FO330&lt;&gt;"",Sheet1!FO330,"")</f>
        <v/>
      </c>
      <c r="H330" t="str">
        <f>IF(Sheet1!FW330&lt;&gt;"",Sheet1!FW330,"")</f>
        <v/>
      </c>
      <c r="I330" t="str">
        <f>IF(Sheet1!GY330&lt;&gt;"",Sheet1!GY330,"")</f>
        <v/>
      </c>
    </row>
    <row r="331" spans="1:9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IF(Sheet1!FO331&lt;&gt;"",Sheet1!FO331,"")</f>
        <v/>
      </c>
      <c r="H331" t="str">
        <f>IF(Sheet1!FW331&lt;&gt;"",Sheet1!FW331,"")</f>
        <v/>
      </c>
      <c r="I331" t="str">
        <f>IF(Sheet1!GY331&lt;&gt;"",Sheet1!GY331,"")</f>
        <v/>
      </c>
    </row>
    <row r="332" spans="1:9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IF(Sheet1!FO332&lt;&gt;"",Sheet1!FO332,"")</f>
        <v/>
      </c>
      <c r="H332" t="str">
        <f>IF(Sheet1!FW332&lt;&gt;"",Sheet1!FW332,"")</f>
        <v/>
      </c>
      <c r="I332" t="str">
        <f>IF(Sheet1!GY332&lt;&gt;"",Sheet1!GY332,"")</f>
        <v/>
      </c>
    </row>
    <row r="333" spans="1:9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IF(Sheet1!FO333&lt;&gt;"",Sheet1!FO333,"")</f>
        <v/>
      </c>
      <c r="H333" t="str">
        <f>IF(Sheet1!FW333&lt;&gt;"",Sheet1!FW333,"")</f>
        <v/>
      </c>
      <c r="I333" t="str">
        <f>IF(Sheet1!GY333&lt;&gt;"",Sheet1!GY333,"")</f>
        <v/>
      </c>
    </row>
    <row r="334" spans="1:9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IF(Sheet1!FO334&lt;&gt;"",Sheet1!FO334,"")</f>
        <v/>
      </c>
      <c r="H334" t="str">
        <f>IF(Sheet1!FW334&lt;&gt;"",Sheet1!FW334,"")</f>
        <v/>
      </c>
      <c r="I334" t="str">
        <f>IF(Sheet1!GY334&lt;&gt;"",Sheet1!GY334,"")</f>
        <v/>
      </c>
    </row>
    <row r="335" spans="1:9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IF(Sheet1!FO335&lt;&gt;"",Sheet1!FO335,"")</f>
        <v/>
      </c>
      <c r="H335" t="str">
        <f>IF(Sheet1!FW335&lt;&gt;"",Sheet1!FW335,"")</f>
        <v/>
      </c>
      <c r="I335" t="str">
        <f>IF(Sheet1!GY335&lt;&gt;"",Sheet1!GY335,"")</f>
        <v/>
      </c>
    </row>
    <row r="336" spans="1:9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IF(Sheet1!FO336&lt;&gt;"",Sheet1!FO336,"")</f>
        <v/>
      </c>
      <c r="H336" t="str">
        <f>IF(Sheet1!FW336&lt;&gt;"",Sheet1!FW336,"")</f>
        <v/>
      </c>
      <c r="I336" t="str">
        <f>IF(Sheet1!GY336&lt;&gt;"",Sheet1!GY336,"")</f>
        <v/>
      </c>
    </row>
    <row r="337" spans="1:9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IF(Sheet1!FO337&lt;&gt;"",Sheet1!FO337,"")</f>
        <v/>
      </c>
      <c r="H337" t="str">
        <f>IF(Sheet1!FW337&lt;&gt;"",Sheet1!FW337,"")</f>
        <v/>
      </c>
      <c r="I337" t="str">
        <f>IF(Sheet1!GY337&lt;&gt;"",Sheet1!GY337,"")</f>
        <v/>
      </c>
    </row>
    <row r="338" spans="1:9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IF(Sheet1!FO338&lt;&gt;"",Sheet1!FO338,"")</f>
        <v/>
      </c>
      <c r="H338" t="str">
        <f>IF(Sheet1!FW338&lt;&gt;"",Sheet1!FW338,"")</f>
        <v/>
      </c>
      <c r="I338" t="str">
        <f>IF(Sheet1!GY338&lt;&gt;"",Sheet1!GY338,"")</f>
        <v/>
      </c>
    </row>
    <row r="339" spans="1:9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IF(Sheet1!FO339&lt;&gt;"",Sheet1!FO339,"")</f>
        <v/>
      </c>
      <c r="H339" t="str">
        <f>IF(Sheet1!FW339&lt;&gt;"",Sheet1!FW339,"")</f>
        <v/>
      </c>
      <c r="I339" t="str">
        <f>IF(Sheet1!GY339&lt;&gt;"",Sheet1!GY339,"")</f>
        <v/>
      </c>
    </row>
    <row r="340" spans="1:9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IF(Sheet1!FO340&lt;&gt;"",Sheet1!FO340,"")</f>
        <v/>
      </c>
      <c r="H340" t="str">
        <f>IF(Sheet1!FW340&lt;&gt;"",Sheet1!FW340,"")</f>
        <v/>
      </c>
      <c r="I340" t="str">
        <f>IF(Sheet1!GY340&lt;&gt;"",Sheet1!GY340,"")</f>
        <v/>
      </c>
    </row>
    <row r="341" spans="1:9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IF(Sheet1!FO341&lt;&gt;"",Sheet1!FO341,"")</f>
        <v/>
      </c>
      <c r="H341" t="str">
        <f>IF(Sheet1!FW341&lt;&gt;"",Sheet1!FW341,"")</f>
        <v/>
      </c>
      <c r="I341" t="str">
        <f>IF(Sheet1!GY341&lt;&gt;"",Sheet1!GY341,"")</f>
        <v/>
      </c>
    </row>
    <row r="342" spans="1:9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IF(Sheet1!FO342&lt;&gt;"",Sheet1!FO342,"")</f>
        <v/>
      </c>
      <c r="H342" t="str">
        <f>IF(Sheet1!FW342&lt;&gt;"",Sheet1!FW342,"")</f>
        <v/>
      </c>
      <c r="I342" t="str">
        <f>IF(Sheet1!GY342&lt;&gt;"",Sheet1!GY342,"")</f>
        <v/>
      </c>
    </row>
    <row r="343" spans="1:9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IF(Sheet1!FO343&lt;&gt;"",Sheet1!FO343,"")</f>
        <v/>
      </c>
      <c r="H343" t="str">
        <f>IF(Sheet1!FW343&lt;&gt;"",Sheet1!FW343,"")</f>
        <v/>
      </c>
      <c r="I343" t="str">
        <f>IF(Sheet1!GY343&lt;&gt;"",Sheet1!GY343,"")</f>
        <v/>
      </c>
    </row>
    <row r="344" spans="1:9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IF(Sheet1!FO344&lt;&gt;"",Sheet1!FO344,"")</f>
        <v/>
      </c>
      <c r="H344" t="str">
        <f>IF(Sheet1!FW344&lt;&gt;"",Sheet1!FW344,"")</f>
        <v/>
      </c>
      <c r="I344" t="str">
        <f>IF(Sheet1!GY344&lt;&gt;"",Sheet1!GY344,"")</f>
        <v/>
      </c>
    </row>
    <row r="345" spans="1:9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IF(Sheet1!FO345&lt;&gt;"",Sheet1!FO345,"")</f>
        <v/>
      </c>
      <c r="H345" t="str">
        <f>IF(Sheet1!FW345&lt;&gt;"",Sheet1!FW345,"")</f>
        <v/>
      </c>
      <c r="I345" t="str">
        <f>IF(Sheet1!GY345&lt;&gt;"",Sheet1!GY345,"")</f>
        <v/>
      </c>
    </row>
    <row r="346" spans="1:9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IF(Sheet1!FO346&lt;&gt;"",Sheet1!FO346,"")</f>
        <v/>
      </c>
      <c r="H346" t="str">
        <f>IF(Sheet1!FW346&lt;&gt;"",Sheet1!FW346,"")</f>
        <v/>
      </c>
      <c r="I346" t="str">
        <f>IF(Sheet1!GY346&lt;&gt;"",Sheet1!GY346,"")</f>
        <v/>
      </c>
    </row>
    <row r="347" spans="1:9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IF(Sheet1!FO347&lt;&gt;"",Sheet1!FO347,"")</f>
        <v/>
      </c>
      <c r="H347" t="str">
        <f>IF(Sheet1!FW347&lt;&gt;"",Sheet1!FW347,"")</f>
        <v/>
      </c>
      <c r="I347" t="str">
        <f>IF(Sheet1!GY347&lt;&gt;"",Sheet1!GY347,"")</f>
        <v/>
      </c>
    </row>
    <row r="348" spans="1:9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IF(Sheet1!FO348&lt;&gt;"",Sheet1!FO348,"")</f>
        <v/>
      </c>
      <c r="H348" t="str">
        <f>IF(Sheet1!FW348&lt;&gt;"",Sheet1!FW348,"")</f>
        <v/>
      </c>
      <c r="I348" t="str">
        <f>IF(Sheet1!GY348&lt;&gt;"",Sheet1!GY348,"")</f>
        <v/>
      </c>
    </row>
    <row r="349" spans="1:9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IF(Sheet1!FO349&lt;&gt;"",Sheet1!FO349,"")</f>
        <v/>
      </c>
      <c r="H349" t="str">
        <f>IF(Sheet1!FW349&lt;&gt;"",Sheet1!FW349,"")</f>
        <v/>
      </c>
      <c r="I349" t="str">
        <f>IF(Sheet1!GY349&lt;&gt;"",Sheet1!GY349,"")</f>
        <v/>
      </c>
    </row>
    <row r="350" spans="1:9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IF(Sheet1!FO350&lt;&gt;"",Sheet1!FO350,"")</f>
        <v/>
      </c>
      <c r="H350" t="str">
        <f>IF(Sheet1!FW350&lt;&gt;"",Sheet1!FW350,"")</f>
        <v/>
      </c>
      <c r="I350" t="str">
        <f>IF(Sheet1!GY350&lt;&gt;"",Sheet1!GY350,"")</f>
        <v/>
      </c>
    </row>
    <row r="351" spans="1:9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IF(Sheet1!FO351&lt;&gt;"",Sheet1!FO351,"")</f>
        <v/>
      </c>
      <c r="H351" t="str">
        <f>IF(Sheet1!FW351&lt;&gt;"",Sheet1!FW351,"")</f>
        <v/>
      </c>
      <c r="I351" t="str">
        <f>IF(Sheet1!GY351&lt;&gt;"",Sheet1!GY351,"")</f>
        <v/>
      </c>
    </row>
    <row r="352" spans="1:9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IF(Sheet1!FO352&lt;&gt;"",Sheet1!FO352,"")</f>
        <v/>
      </c>
      <c r="H352" t="str">
        <f>IF(Sheet1!FW352&lt;&gt;"",Sheet1!FW352,"")</f>
        <v/>
      </c>
      <c r="I352" t="str">
        <f>IF(Sheet1!GY352&lt;&gt;"",Sheet1!GY352,"")</f>
        <v/>
      </c>
    </row>
    <row r="353" spans="1:9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IF(Sheet1!FO353&lt;&gt;"",Sheet1!FO353,"")</f>
        <v/>
      </c>
      <c r="H353" t="str">
        <f>IF(Sheet1!FW353&lt;&gt;"",Sheet1!FW353,"")</f>
        <v/>
      </c>
      <c r="I353" t="str">
        <f>IF(Sheet1!GY353&lt;&gt;"",Sheet1!GY353,"")</f>
        <v/>
      </c>
    </row>
    <row r="354" spans="1:9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IF(Sheet1!FO354&lt;&gt;"",Sheet1!FO354,"")</f>
        <v/>
      </c>
      <c r="H354" t="str">
        <f>IF(Sheet1!FW354&lt;&gt;"",Sheet1!FW354,"")</f>
        <v/>
      </c>
      <c r="I354" t="str">
        <f>IF(Sheet1!GY354&lt;&gt;"",Sheet1!GY354,"")</f>
        <v/>
      </c>
    </row>
    <row r="355" spans="1:9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IF(Sheet1!FO355&lt;&gt;"",Sheet1!FO355,"")</f>
        <v/>
      </c>
      <c r="H355" t="str">
        <f>IF(Sheet1!FW355&lt;&gt;"",Sheet1!FW355,"")</f>
        <v/>
      </c>
      <c r="I355" t="str">
        <f>IF(Sheet1!GY355&lt;&gt;"",Sheet1!GY355,"")</f>
        <v/>
      </c>
    </row>
    <row r="356" spans="1:9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IF(Sheet1!FO356&lt;&gt;"",Sheet1!FO356,"")</f>
        <v/>
      </c>
      <c r="H356" t="str">
        <f>IF(Sheet1!FW356&lt;&gt;"",Sheet1!FW356,"")</f>
        <v/>
      </c>
      <c r="I356" t="str">
        <f>IF(Sheet1!GY356&lt;&gt;"",Sheet1!GY356,"")</f>
        <v/>
      </c>
    </row>
    <row r="357" spans="1:9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IF(Sheet1!FO357&lt;&gt;"",Sheet1!FO357,"")</f>
        <v/>
      </c>
      <c r="H357" t="str">
        <f>IF(Sheet1!FW357&lt;&gt;"",Sheet1!FW357,"")</f>
        <v/>
      </c>
      <c r="I357" t="str">
        <f>IF(Sheet1!GY357&lt;&gt;"",Sheet1!GY357,"")</f>
        <v/>
      </c>
    </row>
    <row r="358" spans="1:9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IF(Sheet1!FO358&lt;&gt;"",Sheet1!FO358,"")</f>
        <v/>
      </c>
      <c r="H358" t="str">
        <f>IF(Sheet1!FW358&lt;&gt;"",Sheet1!FW358,"")</f>
        <v/>
      </c>
      <c r="I358" t="str">
        <f>IF(Sheet1!GY358&lt;&gt;"",Sheet1!GY358,"")</f>
        <v/>
      </c>
    </row>
    <row r="359" spans="1:9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IF(Sheet1!FO359&lt;&gt;"",Sheet1!FO359,"")</f>
        <v/>
      </c>
      <c r="H359" t="str">
        <f>IF(Sheet1!FW359&lt;&gt;"",Sheet1!FW359,"")</f>
        <v/>
      </c>
      <c r="I359" t="str">
        <f>IF(Sheet1!GY359&lt;&gt;"",Sheet1!GY359,"")</f>
        <v/>
      </c>
    </row>
    <row r="360" spans="1:9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IF(Sheet1!FO360&lt;&gt;"",Sheet1!FO360,"")</f>
        <v/>
      </c>
      <c r="H360" t="str">
        <f>IF(Sheet1!FW360&lt;&gt;"",Sheet1!FW360,"")</f>
        <v/>
      </c>
      <c r="I360" t="str">
        <f>IF(Sheet1!GY360&lt;&gt;"",Sheet1!GY360,"")</f>
        <v/>
      </c>
    </row>
    <row r="361" spans="1:9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IF(Sheet1!FO361&lt;&gt;"",Sheet1!FO361,"")</f>
        <v/>
      </c>
      <c r="H361" t="str">
        <f>IF(Sheet1!FW361&lt;&gt;"",Sheet1!FW361,"")</f>
        <v/>
      </c>
      <c r="I361" t="str">
        <f>IF(Sheet1!GY361&lt;&gt;"",Sheet1!GY361,"")</f>
        <v/>
      </c>
    </row>
    <row r="362" spans="1:9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IF(Sheet1!FO362&lt;&gt;"",Sheet1!FO362,"")</f>
        <v/>
      </c>
      <c r="H362" t="str">
        <f>IF(Sheet1!FW362&lt;&gt;"",Sheet1!FW362,"")</f>
        <v/>
      </c>
      <c r="I362" t="str">
        <f>IF(Sheet1!GY362&lt;&gt;"",Sheet1!GY362,"")</f>
        <v/>
      </c>
    </row>
    <row r="363" spans="1:9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IF(Sheet1!FO363&lt;&gt;"",Sheet1!FO363,"")</f>
        <v/>
      </c>
      <c r="H363" t="str">
        <f>IF(Sheet1!FW363&lt;&gt;"",Sheet1!FW363,"")</f>
        <v/>
      </c>
      <c r="I363" t="str">
        <f>IF(Sheet1!GY363&lt;&gt;"",Sheet1!GY363,"")</f>
        <v/>
      </c>
    </row>
    <row r="364" spans="1:9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IF(Sheet1!FO364&lt;&gt;"",Sheet1!FO364,"")</f>
        <v/>
      </c>
      <c r="H364" t="str">
        <f>IF(Sheet1!FW364&lt;&gt;"",Sheet1!FW364,"")</f>
        <v/>
      </c>
      <c r="I364" t="str">
        <f>IF(Sheet1!GY364&lt;&gt;"",Sheet1!GY364,"")</f>
        <v/>
      </c>
    </row>
    <row r="365" spans="1:9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IF(Sheet1!FO365&lt;&gt;"",Sheet1!FO365,"")</f>
        <v/>
      </c>
      <c r="H365" t="str">
        <f>IF(Sheet1!FW365&lt;&gt;"",Sheet1!FW365,"")</f>
        <v/>
      </c>
      <c r="I365" t="str">
        <f>IF(Sheet1!GY365&lt;&gt;"",Sheet1!GY365,"")</f>
        <v/>
      </c>
    </row>
    <row r="366" spans="1:9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IF(Sheet1!FO366&lt;&gt;"",Sheet1!FO366,"")</f>
        <v/>
      </c>
      <c r="H366" t="str">
        <f>IF(Sheet1!FW366&lt;&gt;"",Sheet1!FW366,"")</f>
        <v/>
      </c>
      <c r="I366" t="str">
        <f>IF(Sheet1!GY366&lt;&gt;"",Sheet1!GY366,"")</f>
        <v/>
      </c>
    </row>
    <row r="367" spans="1:9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IF(Sheet1!FO367&lt;&gt;"",Sheet1!FO367,"")</f>
        <v/>
      </c>
      <c r="H367" t="str">
        <f>IF(Sheet1!FW367&lt;&gt;"",Sheet1!FW367,"")</f>
        <v/>
      </c>
      <c r="I367" t="str">
        <f>IF(Sheet1!GY367&lt;&gt;"",Sheet1!GY367,"")</f>
        <v/>
      </c>
    </row>
    <row r="368" spans="1:9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IF(Sheet1!FO368&lt;&gt;"",Sheet1!FO368,"")</f>
        <v/>
      </c>
      <c r="H368" t="str">
        <f>IF(Sheet1!FW368&lt;&gt;"",Sheet1!FW368,"")</f>
        <v/>
      </c>
      <c r="I368" t="str">
        <f>IF(Sheet1!GY368&lt;&gt;"",Sheet1!GY368,"")</f>
        <v/>
      </c>
    </row>
    <row r="369" spans="1:9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IF(Sheet1!FO369&lt;&gt;"",Sheet1!FO369,"")</f>
        <v/>
      </c>
      <c r="H369" t="str">
        <f>IF(Sheet1!FW369&lt;&gt;"",Sheet1!FW369,"")</f>
        <v/>
      </c>
      <c r="I369" t="str">
        <f>IF(Sheet1!GY369&lt;&gt;"",Sheet1!GY369,"")</f>
        <v/>
      </c>
    </row>
    <row r="370" spans="1:9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IF(Sheet1!FO370&lt;&gt;"",Sheet1!FO370,"")</f>
        <v/>
      </c>
      <c r="H370" t="str">
        <f>IF(Sheet1!FW370&lt;&gt;"",Sheet1!FW370,"")</f>
        <v/>
      </c>
      <c r="I370" t="str">
        <f>IF(Sheet1!GY370&lt;&gt;"",Sheet1!GY370,"")</f>
        <v/>
      </c>
    </row>
    <row r="371" spans="1:9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IF(Sheet1!FO371&lt;&gt;"",Sheet1!FO371,"")</f>
        <v/>
      </c>
      <c r="H371" t="str">
        <f>IF(Sheet1!FW371&lt;&gt;"",Sheet1!FW371,"")</f>
        <v/>
      </c>
      <c r="I371" t="str">
        <f>IF(Sheet1!GY371&lt;&gt;"",Sheet1!GY371,"")</f>
        <v/>
      </c>
    </row>
    <row r="372" spans="1:9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IF(Sheet1!FO372&lt;&gt;"",Sheet1!FO372,"")</f>
        <v/>
      </c>
      <c r="H372" t="str">
        <f>IF(Sheet1!FW372&lt;&gt;"",Sheet1!FW372,"")</f>
        <v/>
      </c>
      <c r="I372" t="str">
        <f>IF(Sheet1!GY372&lt;&gt;"",Sheet1!GY372,"")</f>
        <v/>
      </c>
    </row>
    <row r="373" spans="1:9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IF(Sheet1!FO373&lt;&gt;"",Sheet1!FO373,"")</f>
        <v/>
      </c>
      <c r="H373" t="str">
        <f>IF(Sheet1!FW373&lt;&gt;"",Sheet1!FW373,"")</f>
        <v/>
      </c>
      <c r="I373" t="str">
        <f>IF(Sheet1!GY373&lt;&gt;"",Sheet1!GY373,"")</f>
        <v/>
      </c>
    </row>
    <row r="374" spans="1:9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IF(Sheet1!FO374&lt;&gt;"",Sheet1!FO374,"")</f>
        <v/>
      </c>
      <c r="H374" t="str">
        <f>IF(Sheet1!FW374&lt;&gt;"",Sheet1!FW374,"")</f>
        <v/>
      </c>
      <c r="I374" t="str">
        <f>IF(Sheet1!GY374&lt;&gt;"",Sheet1!GY374,"")</f>
        <v/>
      </c>
    </row>
    <row r="375" spans="1:9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IF(Sheet1!FO375&lt;&gt;"",Sheet1!FO375,"")</f>
        <v/>
      </c>
      <c r="H375" t="str">
        <f>IF(Sheet1!FW375&lt;&gt;"",Sheet1!FW375,"")</f>
        <v/>
      </c>
      <c r="I375" t="str">
        <f>IF(Sheet1!GY375&lt;&gt;"",Sheet1!GY375,"")</f>
        <v/>
      </c>
    </row>
    <row r="376" spans="1:9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IF(Sheet1!FO376&lt;&gt;"",Sheet1!FO376,"")</f>
        <v/>
      </c>
      <c r="H376" t="str">
        <f>IF(Sheet1!FW376&lt;&gt;"",Sheet1!FW376,"")</f>
        <v/>
      </c>
      <c r="I376" t="str">
        <f>IF(Sheet1!GY376&lt;&gt;"",Sheet1!GY376,"")</f>
        <v/>
      </c>
    </row>
    <row r="377" spans="1:9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IF(Sheet1!FO377&lt;&gt;"",Sheet1!FO377,"")</f>
        <v/>
      </c>
      <c r="H377" t="str">
        <f>IF(Sheet1!FW377&lt;&gt;"",Sheet1!FW377,"")</f>
        <v/>
      </c>
      <c r="I377" t="str">
        <f>IF(Sheet1!GY377&lt;&gt;"",Sheet1!GY377,"")</f>
        <v/>
      </c>
    </row>
    <row r="378" spans="1:9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IF(Sheet1!FO378&lt;&gt;"",Sheet1!FO378,"")</f>
        <v/>
      </c>
      <c r="H378" t="str">
        <f>IF(Sheet1!FW378&lt;&gt;"",Sheet1!FW378,"")</f>
        <v/>
      </c>
      <c r="I378" t="str">
        <f>IF(Sheet1!GY378&lt;&gt;"",Sheet1!GY378,"")</f>
        <v/>
      </c>
    </row>
    <row r="379" spans="1:9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IF(Sheet1!FO379&lt;&gt;"",Sheet1!FO379,"")</f>
        <v/>
      </c>
      <c r="H379" t="str">
        <f>IF(Sheet1!FW379&lt;&gt;"",Sheet1!FW379,"")</f>
        <v/>
      </c>
      <c r="I379" t="str">
        <f>IF(Sheet1!GY379&lt;&gt;"",Sheet1!GY379,"")</f>
        <v/>
      </c>
    </row>
    <row r="380" spans="1:9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IF(Sheet1!FO380&lt;&gt;"",Sheet1!FO380,"")</f>
        <v/>
      </c>
      <c r="H380" t="str">
        <f>IF(Sheet1!FW380&lt;&gt;"",Sheet1!FW380,"")</f>
        <v/>
      </c>
      <c r="I380" t="str">
        <f>IF(Sheet1!GY380&lt;&gt;"",Sheet1!GY380,"")</f>
        <v/>
      </c>
    </row>
    <row r="381" spans="1:9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IF(Sheet1!FO381&lt;&gt;"",Sheet1!FO381,"")</f>
        <v/>
      </c>
      <c r="H381" t="str">
        <f>IF(Sheet1!FW381&lt;&gt;"",Sheet1!FW381,"")</f>
        <v/>
      </c>
      <c r="I381" t="str">
        <f>IF(Sheet1!GY381&lt;&gt;"",Sheet1!GY381,"")</f>
        <v/>
      </c>
    </row>
    <row r="382" spans="1:9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IF(Sheet1!FO382&lt;&gt;"",Sheet1!FO382,"")</f>
        <v/>
      </c>
      <c r="H382" t="str">
        <f>IF(Sheet1!FW382&lt;&gt;"",Sheet1!FW382,"")</f>
        <v/>
      </c>
      <c r="I382" t="str">
        <f>IF(Sheet1!GY382&lt;&gt;"",Sheet1!GY382,"")</f>
        <v/>
      </c>
    </row>
    <row r="383" spans="1:9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IF(Sheet1!FO383&lt;&gt;"",Sheet1!FO383,"")</f>
        <v/>
      </c>
      <c r="H383" t="str">
        <f>IF(Sheet1!FW383&lt;&gt;"",Sheet1!FW383,"")</f>
        <v/>
      </c>
      <c r="I383" t="str">
        <f>IF(Sheet1!GY383&lt;&gt;"",Sheet1!GY383,"")</f>
        <v/>
      </c>
    </row>
    <row r="384" spans="1:9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IF(Sheet1!FO384&lt;&gt;"",Sheet1!FO384,"")</f>
        <v/>
      </c>
      <c r="H384" t="str">
        <f>IF(Sheet1!FW384&lt;&gt;"",Sheet1!FW384,"")</f>
        <v/>
      </c>
      <c r="I384" t="str">
        <f>IF(Sheet1!GY384&lt;&gt;"",Sheet1!GY384,"")</f>
        <v/>
      </c>
    </row>
    <row r="385" spans="1:9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IF(Sheet1!FO385&lt;&gt;"",Sheet1!FO385,"")</f>
        <v/>
      </c>
      <c r="H385" t="str">
        <f>IF(Sheet1!FW385&lt;&gt;"",Sheet1!FW385,"")</f>
        <v/>
      </c>
      <c r="I385" t="str">
        <f>IF(Sheet1!GY385&lt;&gt;"",Sheet1!GY385,"")</f>
        <v/>
      </c>
    </row>
    <row r="386" spans="1:9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IF(Sheet1!FO386&lt;&gt;"",Sheet1!FO386,"")</f>
        <v/>
      </c>
      <c r="H386" t="str">
        <f>IF(Sheet1!FW386&lt;&gt;"",Sheet1!FW386,"")</f>
        <v/>
      </c>
      <c r="I386" t="str">
        <f>IF(Sheet1!GY386&lt;&gt;"",Sheet1!GY386,"")</f>
        <v/>
      </c>
    </row>
    <row r="387" spans="1:9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IF(Sheet1!FO387&lt;&gt;"",Sheet1!FO387,"")</f>
        <v/>
      </c>
      <c r="H387" t="str">
        <f>IF(Sheet1!FW387&lt;&gt;"",Sheet1!FW387,"")</f>
        <v/>
      </c>
      <c r="I387" t="str">
        <f>IF(Sheet1!GY387&lt;&gt;"",Sheet1!GY387,"")</f>
        <v/>
      </c>
    </row>
    <row r="388" spans="1:9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IF(Sheet1!FO388&lt;&gt;"",Sheet1!FO388,"")</f>
        <v/>
      </c>
      <c r="H388" t="str">
        <f>IF(Sheet1!FW388&lt;&gt;"",Sheet1!FW388,"")</f>
        <v/>
      </c>
      <c r="I388" t="str">
        <f>IF(Sheet1!GY388&lt;&gt;"",Sheet1!GY388,"")</f>
        <v/>
      </c>
    </row>
    <row r="389" spans="1:9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IF(Sheet1!FO389&lt;&gt;"",Sheet1!FO389,"")</f>
        <v/>
      </c>
      <c r="H389" t="str">
        <f>IF(Sheet1!FW389&lt;&gt;"",Sheet1!FW389,"")</f>
        <v/>
      </c>
      <c r="I389" t="str">
        <f>IF(Sheet1!GY389&lt;&gt;"",Sheet1!GY389,"")</f>
        <v/>
      </c>
    </row>
    <row r="390" spans="1:9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IF(Sheet1!FO390&lt;&gt;"",Sheet1!FO390,"")</f>
        <v/>
      </c>
      <c r="H390" t="str">
        <f>IF(Sheet1!FW390&lt;&gt;"",Sheet1!FW390,"")</f>
        <v/>
      </c>
      <c r="I390" t="str">
        <f>IF(Sheet1!GY390&lt;&gt;"",Sheet1!GY390,"")</f>
        <v/>
      </c>
    </row>
    <row r="391" spans="1:9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IF(Sheet1!FO391&lt;&gt;"",Sheet1!FO391,"")</f>
        <v/>
      </c>
      <c r="H391" t="str">
        <f>IF(Sheet1!FW391&lt;&gt;"",Sheet1!FW391,"")</f>
        <v/>
      </c>
      <c r="I391" t="str">
        <f>IF(Sheet1!GY391&lt;&gt;"",Sheet1!GY391,"")</f>
        <v/>
      </c>
    </row>
    <row r="392" spans="1:9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IF(Sheet1!FO392&lt;&gt;"",Sheet1!FO392,"")</f>
        <v/>
      </c>
      <c r="H392" t="str">
        <f>IF(Sheet1!FW392&lt;&gt;"",Sheet1!FW392,"")</f>
        <v/>
      </c>
      <c r="I392" t="str">
        <f>IF(Sheet1!GY392&lt;&gt;"",Sheet1!GY392,"")</f>
        <v/>
      </c>
    </row>
    <row r="393" spans="1:9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IF(Sheet1!FO393&lt;&gt;"",Sheet1!FO393,"")</f>
        <v/>
      </c>
      <c r="H393" t="str">
        <f>IF(Sheet1!FW393&lt;&gt;"",Sheet1!FW393,"")</f>
        <v/>
      </c>
      <c r="I393" t="str">
        <f>IF(Sheet1!GY393&lt;&gt;"",Sheet1!GY393,"")</f>
        <v/>
      </c>
    </row>
    <row r="394" spans="1:9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IF(Sheet1!FO394&lt;&gt;"",Sheet1!FO394,"")</f>
        <v/>
      </c>
      <c r="H394" t="str">
        <f>IF(Sheet1!FW394&lt;&gt;"",Sheet1!FW394,"")</f>
        <v/>
      </c>
      <c r="I394" t="str">
        <f>IF(Sheet1!GY394&lt;&gt;"",Sheet1!GY394,"")</f>
        <v/>
      </c>
    </row>
    <row r="395" spans="1:9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IF(Sheet1!FO395&lt;&gt;"",Sheet1!FO395,"")</f>
        <v/>
      </c>
      <c r="H395" t="str">
        <f>IF(Sheet1!FW395&lt;&gt;"",Sheet1!FW395,"")</f>
        <v/>
      </c>
      <c r="I395" t="str">
        <f>IF(Sheet1!GY395&lt;&gt;"",Sheet1!GY395,"")</f>
        <v/>
      </c>
    </row>
    <row r="396" spans="1:9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IF(Sheet1!FO396&lt;&gt;"",Sheet1!FO396,"")</f>
        <v/>
      </c>
      <c r="H396" t="str">
        <f>IF(Sheet1!FW396&lt;&gt;"",Sheet1!FW396,"")</f>
        <v/>
      </c>
      <c r="I396" t="str">
        <f>IF(Sheet1!GY396&lt;&gt;"",Sheet1!GY396,"")</f>
        <v/>
      </c>
    </row>
    <row r="397" spans="1:9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IF(Sheet1!FO397&lt;&gt;"",Sheet1!FO397,"")</f>
        <v/>
      </c>
      <c r="H397" t="str">
        <f>IF(Sheet1!FW397&lt;&gt;"",Sheet1!FW397,"")</f>
        <v/>
      </c>
      <c r="I397" t="str">
        <f>IF(Sheet1!GY397&lt;&gt;"",Sheet1!GY397,"")</f>
        <v/>
      </c>
    </row>
    <row r="398" spans="1:9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IF(Sheet1!FO398&lt;&gt;"",Sheet1!FO398,"")</f>
        <v/>
      </c>
      <c r="H398" t="str">
        <f>IF(Sheet1!FW398&lt;&gt;"",Sheet1!FW398,"")</f>
        <v/>
      </c>
      <c r="I398" t="str">
        <f>IF(Sheet1!GY398&lt;&gt;"",Sheet1!GY398,"")</f>
        <v/>
      </c>
    </row>
    <row r="399" spans="1:9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IF(Sheet1!FO399&lt;&gt;"",Sheet1!FO399,"")</f>
        <v/>
      </c>
      <c r="H399" t="str">
        <f>IF(Sheet1!FW399&lt;&gt;"",Sheet1!FW399,"")</f>
        <v/>
      </c>
      <c r="I399" t="str">
        <f>IF(Sheet1!GY399&lt;&gt;"",Sheet1!GY399,"")</f>
        <v/>
      </c>
    </row>
    <row r="400" spans="1:9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IF(Sheet1!FO400&lt;&gt;"",Sheet1!FO400,"")</f>
        <v/>
      </c>
      <c r="H400" t="str">
        <f>IF(Sheet1!FW400&lt;&gt;"",Sheet1!FW400,"")</f>
        <v/>
      </c>
      <c r="I400" t="str">
        <f>IF(Sheet1!GY400&lt;&gt;"",Sheet1!GY400,"")</f>
        <v/>
      </c>
    </row>
    <row r="401" spans="1:9" x14ac:dyDescent="0.25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IF(Sheet1!FO401&lt;&gt;"",Sheet1!FO401,"")</f>
        <v/>
      </c>
      <c r="H401" t="str">
        <f>IF(Sheet1!FW401&lt;&gt;"",Sheet1!FW401,"")</f>
        <v/>
      </c>
      <c r="I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1"/>
  <sheetViews>
    <sheetView workbookViewId="0">
      <pane ySplit="1" topLeftCell="A2" activePane="bottomLeft" state="frozen"/>
      <selection pane="bottomLeft" activeCell="EN7" sqref="EN7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3.140625" customWidth="1"/>
    <col min="10" max="10" width="11.28515625" customWidth="1"/>
    <col min="11" max="11" width="12.42578125" customWidth="1"/>
    <col min="12" max="12" width="12.85546875" customWidth="1"/>
    <col min="13" max="13" width="11.7109375" customWidth="1"/>
    <col min="14" max="14" width="13.5703125" customWidth="1"/>
    <col min="15" max="15" width="12.140625" customWidth="1"/>
    <col min="16" max="16" width="12.42578125" customWidth="1"/>
    <col min="17" max="17" width="13.28515625" customWidth="1"/>
    <col min="18" max="18" width="15.140625" customWidth="1"/>
    <col min="19" max="19" width="11.7109375" customWidth="1"/>
    <col min="20" max="20" width="9.85546875" customWidth="1"/>
    <col min="21" max="21" width="11" customWidth="1"/>
    <col min="22" max="22" width="11.42578125" customWidth="1"/>
    <col min="23" max="23" width="10.28515625" customWidth="1"/>
    <col min="24" max="24" width="12.140625" customWidth="1"/>
    <col min="25" max="25" width="10.7109375" customWidth="1"/>
    <col min="26" max="26" width="11" customWidth="1"/>
    <col min="27" max="27" width="11.85546875" customWidth="1"/>
    <col min="28" max="28" width="13.7109375" customWidth="1"/>
    <col min="29" max="29" width="11.42578125" customWidth="1"/>
    <col min="30" max="30" width="9.5703125" customWidth="1"/>
    <col min="31" max="31" width="10.7109375" customWidth="1"/>
    <col min="32" max="32" width="11.140625" customWidth="1"/>
    <col min="33" max="33" width="10" customWidth="1"/>
    <col min="34" max="34" width="11.85546875" customWidth="1"/>
    <col min="35" max="35" width="10.42578125" customWidth="1"/>
    <col min="36" max="36" width="10.7109375" customWidth="1"/>
    <col min="37" max="37" width="11.5703125" customWidth="1"/>
    <col min="38" max="38" width="13.42578125" customWidth="1"/>
    <col min="39" max="39" width="11.7109375" customWidth="1"/>
    <col min="40" max="40" width="9.85546875" customWidth="1"/>
    <col min="41" max="41" width="11" customWidth="1"/>
    <col min="42" max="42" width="11.42578125" customWidth="1"/>
    <col min="43" max="43" width="10.28515625" customWidth="1"/>
    <col min="44" max="44" width="12.140625" customWidth="1"/>
    <col min="45" max="45" width="10.7109375" customWidth="1"/>
    <col min="46" max="46" width="11" customWidth="1"/>
    <col min="47" max="47" width="11.85546875" customWidth="1"/>
    <col min="48" max="48" width="13.7109375" customWidth="1"/>
    <col min="49" max="49" width="11" customWidth="1"/>
    <col min="50" max="50" width="9.140625" customWidth="1"/>
    <col min="51" max="51" width="9" customWidth="1"/>
    <col min="52" max="52" width="10.28515625" customWidth="1"/>
    <col min="53" max="53" width="10.7109375" customWidth="1"/>
    <col min="54" max="54" width="9.5703125" customWidth="1"/>
    <col min="55" max="55" width="11.42578125" customWidth="1"/>
    <col min="56" max="56" width="10" customWidth="1"/>
    <col min="57" max="57" width="10.28515625" customWidth="1"/>
    <col min="58" max="58" width="11.140625" customWidth="1"/>
    <col min="59" max="59" width="13" customWidth="1"/>
    <col min="60" max="60" width="13.5703125" customWidth="1"/>
    <col min="61" max="61" width="11.7109375" customWidth="1"/>
    <col min="62" max="62" width="12.85546875" customWidth="1"/>
    <col min="63" max="63" width="13.28515625" customWidth="1"/>
    <col min="64" max="64" width="12.140625" customWidth="1"/>
    <col min="65" max="65" width="14" customWidth="1"/>
    <col min="66" max="66" width="12.5703125" customWidth="1"/>
    <col min="67" max="67" width="12.85546875" customWidth="1"/>
    <col min="68" max="68" width="13.7109375" customWidth="1"/>
    <col min="69" max="69" width="15.7109375" customWidth="1"/>
    <col min="70" max="70" width="17.5703125" customWidth="1"/>
    <col min="71" max="71" width="15.7109375" customWidth="1"/>
    <col min="72" max="72" width="16.85546875" customWidth="1"/>
    <col min="73" max="73" width="17.28515625" customWidth="1"/>
    <col min="74" max="74" width="16.140625" customWidth="1"/>
    <col min="75" max="75" width="18" customWidth="1"/>
    <col min="76" max="76" width="16.5703125" customWidth="1"/>
    <col min="77" max="77" width="16.85546875" customWidth="1"/>
    <col min="78" max="78" width="17.7109375" customWidth="1"/>
    <col min="79" max="79" width="19.7109375" customWidth="1"/>
    <col min="80" max="80" width="14.5703125" customWidth="1"/>
    <col min="81" max="81" width="12.7109375" customWidth="1"/>
    <col min="82" max="82" width="13.85546875" customWidth="1"/>
    <col min="83" max="83" width="14.28515625" customWidth="1"/>
    <col min="84" max="84" width="13.140625" customWidth="1"/>
    <col min="85" max="85" width="15" customWidth="1"/>
    <col min="86" max="86" width="13.5703125" customWidth="1"/>
    <col min="87" max="87" width="13.85546875" customWidth="1"/>
    <col min="88" max="88" width="14.7109375" customWidth="1"/>
    <col min="89" max="89" width="16.7109375" customWidth="1"/>
    <col min="90" max="90" width="17" customWidth="1"/>
    <col min="91" max="91" width="15" customWidth="1"/>
    <col min="92" max="92" width="16.28515625" customWidth="1"/>
    <col min="93" max="93" width="16.7109375" customWidth="1"/>
    <col min="94" max="94" width="15.5703125" customWidth="1"/>
    <col min="95" max="95" width="17.42578125" customWidth="1"/>
    <col min="96" max="96" width="16" customWidth="1"/>
    <col min="97" max="97" width="16.28515625" customWidth="1"/>
    <col min="98" max="98" width="17.140625" customWidth="1"/>
    <col min="99" max="99" width="19" customWidth="1"/>
    <col min="100" max="100" width="16.85546875" customWidth="1"/>
    <col min="101" max="101" width="14.85546875" customWidth="1"/>
    <col min="102" max="102" width="16.140625" customWidth="1"/>
    <col min="103" max="103" width="16.5703125" customWidth="1"/>
    <col min="104" max="104" width="15.42578125" customWidth="1"/>
    <col min="105" max="105" width="17.28515625" customWidth="1"/>
    <col min="106" max="106" width="15.85546875" customWidth="1"/>
    <col min="107" max="107" width="16.140625" customWidth="1"/>
    <col min="108" max="108" width="17" customWidth="1"/>
    <col min="109" max="109" width="18.85546875" customWidth="1"/>
    <col min="110" max="110" width="14.28515625" customWidth="1"/>
    <col min="111" max="111" width="12.42578125" customWidth="1"/>
    <col min="112" max="112" width="13.5703125" customWidth="1"/>
    <col min="113" max="113" width="14" customWidth="1"/>
    <col min="114" max="114" width="12.85546875" customWidth="1"/>
    <col min="115" max="115" width="14.7109375" customWidth="1"/>
    <col min="116" max="116" width="13.28515625" customWidth="1"/>
    <col min="117" max="117" width="13.5703125" customWidth="1"/>
    <col min="118" max="118" width="14.42578125" customWidth="1"/>
    <col min="119" max="119" width="16.42578125" customWidth="1"/>
    <col min="120" max="120" width="15.42578125" bestFit="1" customWidth="1"/>
    <col min="121" max="121" width="13.42578125" bestFit="1" customWidth="1"/>
    <col min="122" max="122" width="14.5703125" bestFit="1" customWidth="1"/>
    <col min="123" max="123" width="15" bestFit="1" customWidth="1"/>
    <col min="124" max="124" width="13.85546875" bestFit="1" customWidth="1"/>
    <col min="125" max="125" width="15.85546875" bestFit="1" customWidth="1"/>
    <col min="126" max="126" width="14.28515625" bestFit="1" customWidth="1"/>
    <col min="127" max="127" width="14.5703125" bestFit="1" customWidth="1"/>
    <col min="128" max="128" width="15.5703125" bestFit="1" customWidth="1"/>
    <col min="129" max="129" width="17.42578125" bestFit="1" customWidth="1"/>
    <col min="130" max="130" width="12" bestFit="1" customWidth="1"/>
    <col min="131" max="133" width="10.5703125" bestFit="1" customWidth="1"/>
    <col min="134" max="134" width="7.28515625" customWidth="1"/>
    <col min="135" max="135" width="11.7109375" customWidth="1"/>
    <col min="136" max="136" width="13.85546875" customWidth="1"/>
    <col min="137" max="137" width="10.85546875" customWidth="1"/>
    <col min="138" max="138" width="13.28515625" customWidth="1"/>
    <col min="139" max="139" width="13.140625" customWidth="1"/>
    <col min="140" max="140" width="10.5703125" customWidth="1"/>
    <col min="141" max="142" width="11.5703125" customWidth="1"/>
    <col min="143" max="143" width="10.5703125" bestFit="1" customWidth="1"/>
    <col min="144" max="144" width="12.7109375" bestFit="1" customWidth="1"/>
    <col min="145" max="145" width="20.5703125" bestFit="1" customWidth="1"/>
    <col min="146" max="146" width="16.85546875" bestFit="1" customWidth="1"/>
    <col min="147" max="147" width="14.7109375" bestFit="1" customWidth="1"/>
    <col min="148" max="148" width="11.5703125" bestFit="1" customWidth="1"/>
    <col min="149" max="149" width="11.85546875" bestFit="1" customWidth="1"/>
    <col min="150" max="150" width="17.5703125" bestFit="1" customWidth="1"/>
    <col min="151" max="151" width="6" bestFit="1" customWidth="1"/>
    <col min="152" max="152" width="5.140625" bestFit="1" customWidth="1"/>
    <col min="153" max="153" width="6.7109375" bestFit="1" customWidth="1"/>
    <col min="154" max="154" width="6.28515625" bestFit="1" customWidth="1"/>
    <col min="155" max="155" width="6.140625" bestFit="1" customWidth="1"/>
    <col min="156" max="156" width="13.140625" bestFit="1" customWidth="1"/>
    <col min="157" max="157" width="12" bestFit="1" customWidth="1"/>
    <col min="158" max="158" width="10.42578125" bestFit="1" customWidth="1"/>
    <col min="159" max="159" width="12.85546875" bestFit="1" customWidth="1"/>
    <col min="160" max="160" width="11.28515625" bestFit="1" customWidth="1"/>
    <col min="161" max="161" width="10.5703125" bestFit="1" customWidth="1"/>
    <col min="162" max="162" width="20.42578125" bestFit="1" customWidth="1"/>
    <col min="163" max="163" width="12.5703125" bestFit="1" customWidth="1"/>
    <col min="164" max="164" width="17.85546875" bestFit="1" customWidth="1"/>
    <col min="165" max="165" width="20.85546875" bestFit="1" customWidth="1"/>
    <col min="166" max="166" width="16.42578125" bestFit="1" customWidth="1"/>
    <col min="167" max="167" width="9.28515625" bestFit="1" customWidth="1"/>
    <col min="168" max="168" width="10.7109375" bestFit="1" customWidth="1"/>
    <col min="169" max="169" width="14.7109375" bestFit="1" customWidth="1"/>
    <col min="170" max="170" width="11.42578125" bestFit="1" customWidth="1"/>
    <col min="171" max="171" width="16.85546875" bestFit="1" customWidth="1"/>
    <col min="172" max="172" width="20" bestFit="1" customWidth="1"/>
    <col min="173" max="174" width="20.85546875" bestFit="1" customWidth="1"/>
    <col min="175" max="175" width="9.5703125" bestFit="1" customWidth="1"/>
    <col min="176" max="176" width="10.5703125" bestFit="1" customWidth="1"/>
    <col min="177" max="177" width="13.85546875" bestFit="1" customWidth="1"/>
    <col min="178" max="178" width="6" bestFit="1" customWidth="1"/>
    <col min="179" max="179" width="9.5703125" bestFit="1" customWidth="1"/>
    <col min="180" max="180" width="13.7109375" bestFit="1" customWidth="1"/>
    <col min="181" max="181" width="14.85546875" bestFit="1" customWidth="1"/>
    <col min="182" max="182" width="19.5703125" bestFit="1" customWidth="1"/>
    <col min="183" max="183" width="22.42578125" bestFit="1" customWidth="1"/>
    <col min="184" max="184" width="16.7109375" bestFit="1" customWidth="1"/>
    <col min="185" max="185" width="10.140625" bestFit="1" customWidth="1"/>
    <col min="186" max="186" width="13.7109375" bestFit="1" customWidth="1"/>
    <col min="187" max="187" width="13.7109375" customWidth="1"/>
    <col min="188" max="188" width="16" bestFit="1" customWidth="1"/>
    <col min="189" max="189" width="10.140625" bestFit="1" customWidth="1"/>
    <col min="190" max="190" width="13.7109375" bestFit="1" customWidth="1"/>
    <col min="191" max="191" width="11.28515625" bestFit="1" customWidth="1"/>
    <col min="192" max="192" width="14.85546875" bestFit="1" customWidth="1"/>
    <col min="193" max="193" width="7" bestFit="1" customWidth="1"/>
    <col min="194" max="194" width="10.140625" bestFit="1" customWidth="1"/>
    <col min="195" max="195" width="7.85546875" bestFit="1" customWidth="1"/>
    <col min="196" max="196" width="11.28515625" bestFit="1" customWidth="1"/>
    <col min="197" max="197" width="14.85546875" bestFit="1" customWidth="1"/>
    <col min="198" max="199" width="7" bestFit="1" customWidth="1"/>
    <col min="200" max="200" width="6" bestFit="1" customWidth="1"/>
    <col min="201" max="201" width="7.7109375" bestFit="1" customWidth="1"/>
    <col min="202" max="202" width="6.140625" bestFit="1" customWidth="1"/>
    <col min="203" max="203" width="6" bestFit="1" customWidth="1"/>
    <col min="204" max="204" width="13.7109375" bestFit="1" customWidth="1"/>
    <col min="205" max="205" width="24.28515625" bestFit="1" customWidth="1"/>
    <col min="206" max="206" width="9" bestFit="1" customWidth="1"/>
    <col min="207" max="207" width="14.85546875" bestFit="1" customWidth="1"/>
  </cols>
  <sheetData>
    <row r="1" spans="1:207" x14ac:dyDescent="0.25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25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 t="shared" ref="H2" si="0">IF(_xlfn.DAYS("31-03-2026",G2)&gt;=180,6800,0)</f>
        <v>6800</v>
      </c>
      <c r="I2">
        <f>_xlfn.XLOOKUP(B2,'[1]march-2026'!$A:$A,'[1]march-2026'!$C:$C,0,0)</f>
        <v>32500</v>
      </c>
      <c r="J2">
        <f t="shared" ref="J2" si="1">I2*0.14</f>
        <v>4550</v>
      </c>
      <c r="K2">
        <f t="shared" ref="K2" si="2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3">IF(I2&gt;0,SUM(I2:M2),0)</f>
        <v>41450</v>
      </c>
      <c r="O2">
        <f>_xlfn.XLOOKUP(B2,'[1]march-2026'!$A:$A,'[1]march-2026'!$H:$H,0,0)</f>
        <v>2000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4">N2-O2-P2-Q2</f>
        <v>39250</v>
      </c>
      <c r="S2">
        <f>_xlfn.XLOOKUP(B2,'[2]april-2026'!$A:$A,'[2]april-2026'!$C:$C,0,0)</f>
        <v>32500</v>
      </c>
      <c r="T2">
        <f t="shared" ref="T2" si="5">S2*0.18</f>
        <v>5850</v>
      </c>
      <c r="U2">
        <f t="shared" ref="U2" si="6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7">IF(S2&gt;0,SUM(S2:W2),0)</f>
        <v>42750</v>
      </c>
      <c r="Y2">
        <f>_xlfn.XLOOKUP(B2,'[2]april-2026'!$A:$A,'[2]april-2026'!$H:$H,0,0)</f>
        <v>2000</v>
      </c>
      <c r="Z2">
        <f>_xlfn.XLOOKUP(B2,'[2]april-2026'!$A:$A,'[2]april-2026'!$I:$I,0,0)</f>
        <v>0</v>
      </c>
      <c r="AA2">
        <f t="shared" ref="AA2" si="8">IF($F2="YES",0,IF(X2&gt;40000,200,IF(X2&gt;25000,150,IF(X2&gt;15000,130,IF(X2&gt;10000,110,0)))))</f>
        <v>200</v>
      </c>
      <c r="AB2">
        <f t="shared" ref="AB2" si="9">X2-Y2-Z2-AA2</f>
        <v>40550</v>
      </c>
      <c r="AC2">
        <f>_xlfn.XLOOKUP(B2,'[3]may-2026'!$A:$A,'[3]may-2026'!$C:$C,0,0)</f>
        <v>32500</v>
      </c>
      <c r="AD2">
        <f t="shared" ref="AD2" si="10">AC2*0.18</f>
        <v>5850</v>
      </c>
      <c r="AE2">
        <f t="shared" ref="AE2" si="11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2">IF(AC2&gt;0,SUM(AC2:AG2),0)</f>
        <v>42750</v>
      </c>
      <c r="AI2">
        <f>_xlfn.XLOOKUP(B2,'[3]may-2026'!$A:$A,'[3]may-2026'!$H:$H,0,0)</f>
        <v>2000</v>
      </c>
      <c r="AJ2">
        <f>_xlfn.XLOOKUP(B2,'[3]may-2026'!$A:$A,'[3]may-2026'!$I:$I,0,0)</f>
        <v>0</v>
      </c>
      <c r="AK2">
        <f t="shared" ref="AK2" si="13">IF($F2="YES",0,IF(AH2&gt;40000,200,IF(AH2&gt;25000,150,IF(AH2&gt;15000,130,IF(AH2&gt;10000,110,0)))))</f>
        <v>200</v>
      </c>
      <c r="AL2">
        <f t="shared" ref="AL2" si="14">AH2-AI2-AJ2-AK2</f>
        <v>40550</v>
      </c>
      <c r="AM2">
        <f>_xlfn.XLOOKUP(B2,'[4]june-2026'!$A:$A,'[4]june-2026'!$C:$C,0,0)</f>
        <v>32500</v>
      </c>
      <c r="AN2">
        <f t="shared" ref="AN2" si="15">AM2*0.18</f>
        <v>5850</v>
      </c>
      <c r="AO2">
        <f t="shared" ref="AO2" si="16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7">IF(AM2&gt;0,SUM(AM2:AQ2),0)</f>
        <v>42750</v>
      </c>
      <c r="AS2">
        <f>_xlfn.XLOOKUP(B2,'[4]june-2026'!$A:$A,'[4]june-2026'!$H:$H,0,0)</f>
        <v>2000</v>
      </c>
      <c r="AT2">
        <f>_xlfn.XLOOKUP(B2,'[4]june-2026'!$A:$A,'[4]june-2026'!$I:$I,0,0)</f>
        <v>0</v>
      </c>
      <c r="AU2">
        <f t="shared" ref="AU2" si="18">IF($F2="YES",0,IF(AR2&gt;40000,200,IF(AR2&gt;25000,150,IF(AR2&gt;15000,130,IF(AR2&gt;10000,110,0)))))</f>
        <v>200</v>
      </c>
      <c r="AV2">
        <f t="shared" ref="AV2" si="19">AR2-AS2-AT2-AU2</f>
        <v>40550</v>
      </c>
      <c r="AW2">
        <f>_xlfn.XLOOKUP(B2,'[5]july-2026'!$A:$A,'[5]july-2026'!$C:$C,0,0)</f>
        <v>33500</v>
      </c>
      <c r="AX2">
        <f t="shared" ref="AX2" si="20">AW2*0.18</f>
        <v>6030</v>
      </c>
      <c r="AY2">
        <v>0</v>
      </c>
      <c r="AZ2">
        <f t="shared" ref="AZ2" si="21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2">IF(AW2&gt;0,SUM(AW2:BB2),0)</f>
        <v>44050</v>
      </c>
      <c r="BD2">
        <f>_xlfn.XLOOKUP(B2,'[5]july-2026'!$A:$A,'[5]july-2026'!$H:$H,0,0)</f>
        <v>2000</v>
      </c>
      <c r="BE2">
        <f>_xlfn.XLOOKUP(B2,'[5]july-2026'!$A:$A,'[5]july-2026'!$I:$I,0,0)</f>
        <v>0</v>
      </c>
      <c r="BF2">
        <f t="shared" ref="BF2" si="23">IF($F2="YES",0,IF(BC2&gt;40000,200,IF(BC2&gt;25000,150,IF(BC2&gt;15000,130,IF(BC2&gt;10000,110,0)))))</f>
        <v>200</v>
      </c>
      <c r="BG2">
        <f t="shared" ref="BG2" si="24">BC2-BD2-BE2-BF2</f>
        <v>41850</v>
      </c>
      <c r="BH2">
        <f>_xlfn.XLOOKUP(B2,'[6]august-2026'!$A:$A,'[6]august-2026'!$C:$C,0,0)</f>
        <v>33500</v>
      </c>
      <c r="BI2">
        <f t="shared" ref="BI2" si="25">BH2*0.18</f>
        <v>6030</v>
      </c>
      <c r="BJ2">
        <f t="shared" ref="BJ2" si="26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7">IF(BH2&gt;0,SUM(BH2:BL2),0)</f>
        <v>44050</v>
      </c>
      <c r="BN2">
        <f>_xlfn.XLOOKUP(B2,'[6]august-2026'!$A:$A,'[6]august-2026'!$H:$H,0,0)</f>
        <v>2000</v>
      </c>
      <c r="BO2">
        <f>_xlfn.XLOOKUP(B2,'[6]august-2026'!$A:$A,'[6]august-2026'!$I:$I,0,0)</f>
        <v>0</v>
      </c>
      <c r="BP2">
        <f t="shared" ref="BP2" si="28">IF($F2="YES",0,IF(BM2&gt;40000,200,IF(BM2&gt;25000,150,IF(BM2&gt;15000,130,IF(BM2&gt;10000,110,0)))))</f>
        <v>200</v>
      </c>
      <c r="BQ2">
        <f t="shared" ref="BQ2" si="29">BM2-BN2-BO2-BP2</f>
        <v>41850</v>
      </c>
      <c r="BR2">
        <f>_xlfn.XLOOKUP(B2,'[7]september-2026'!$A:$A,'[7]september-2026'!$C:$C,0,0)</f>
        <v>33500</v>
      </c>
      <c r="BS2">
        <f t="shared" ref="BS2" si="30">BR2*0.18</f>
        <v>6030</v>
      </c>
      <c r="BT2">
        <f t="shared" ref="BT2" si="31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2">IF(BR2&gt;0,SUM(BR2:BV2),0)</f>
        <v>44050</v>
      </c>
      <c r="BX2">
        <f>_xlfn.XLOOKUP(B2,'[7]september-2026'!$A:$A,'[7]september-2026'!$H:$H,0,0)</f>
        <v>2000</v>
      </c>
      <c r="BY2">
        <f>_xlfn.XLOOKUP(B2,'[7]september-2026'!$A:$A,'[7]september-2026'!$I:$I,0,0)</f>
        <v>0</v>
      </c>
      <c r="BZ2">
        <f t="shared" ref="BZ2" si="33">IF($F2="YES",0,IF(BW2&gt;40000,200,IF(BW2&gt;25000,150,IF(BW2&gt;15000,130,IF(BW2&gt;10000,110,0)))))</f>
        <v>200</v>
      </c>
      <c r="CA2">
        <f t="shared" ref="CA2" si="34">BW2-BX2-BY2-BZ2</f>
        <v>41850</v>
      </c>
      <c r="CB2">
        <f>_xlfn.XLOOKUP(B2,'[8]october-2026'!$A:$A,'[8]october-2026'!$C:$C,0,0)</f>
        <v>33500</v>
      </c>
      <c r="CC2">
        <f t="shared" ref="CC2" si="35">CB2*0.18</f>
        <v>6030</v>
      </c>
      <c r="CD2">
        <f t="shared" ref="CD2" si="36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7">IF(CB2&gt;0,SUM(CB2:CF2),0)</f>
        <v>44050</v>
      </c>
      <c r="CH2">
        <f>_xlfn.XLOOKUP(B2,'[8]october-2026'!$A:$A,'[8]october-2026'!$H:$H,0,0)</f>
        <v>2000</v>
      </c>
      <c r="CI2">
        <f>_xlfn.XLOOKUP(B2,'[8]october-2026'!$A:$A,'[8]october-2026'!$I:$I,0,0)</f>
        <v>0</v>
      </c>
      <c r="CJ2">
        <f t="shared" ref="CJ2" si="38">IF($F2="YES",0,IF(CG2&gt;40000,200,IF(CG2&gt;25000,150,IF(CG2&gt;15000,130,IF(CG2&gt;10000,110,0)))))</f>
        <v>200</v>
      </c>
      <c r="CK2">
        <f t="shared" ref="CK2" si="39">CG2-CH2-CI2-CJ2</f>
        <v>41850</v>
      </c>
      <c r="CL2">
        <f>_xlfn.XLOOKUP(B2,'[9]november-2026'!$A:$A,'[9]november-2026'!$C:$C,0,0)</f>
        <v>33500</v>
      </c>
      <c r="CM2">
        <f t="shared" ref="CM2" si="40">CL2*0.18</f>
        <v>6030</v>
      </c>
      <c r="CN2">
        <f t="shared" ref="CN2" si="41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2">IF(CL2&gt;0,SUM(CL2:CP2),0)</f>
        <v>44050</v>
      </c>
      <c r="CR2">
        <f>_xlfn.XLOOKUP(B2,'[9]november-2026'!$A:$A,'[9]november-2026'!$H:$H,0,0)</f>
        <v>2000</v>
      </c>
      <c r="CS2">
        <f>_xlfn.XLOOKUP(B2,'[9]november-2026'!$A:$A,'[9]november-2026'!$I:$I,0,0)</f>
        <v>0</v>
      </c>
      <c r="CT2">
        <f t="shared" ref="CT2" si="43">IF($F2="YES",0,IF(CQ2&gt;40000,200,IF(CQ2&gt;25000,150,IF(CQ2&gt;15000,130,IF(CQ2&gt;10000,110,0)))))</f>
        <v>200</v>
      </c>
      <c r="CU2">
        <f t="shared" ref="CU2" si="44">CQ2-CR2-CS2-CT2</f>
        <v>41850</v>
      </c>
      <c r="CV2">
        <f>_xlfn.XLOOKUP(B2,'[10]december-2026'!$A:$A,'[10]december-2026'!$C:$C,0,0)</f>
        <v>33500</v>
      </c>
      <c r="CW2">
        <f t="shared" ref="CW2" si="45">ROUND(CV2*0.18,0)</f>
        <v>6030</v>
      </c>
      <c r="CX2">
        <f t="shared" ref="CX2" si="46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7">IF(CV2&gt;0,SUM(CV2:CZ2),0)</f>
        <v>44050</v>
      </c>
      <c r="DB2">
        <f>_xlfn.XLOOKUP(B2,'[10]december-2026'!$A:$A,'[10]december-2026'!$H:$H,0,0)</f>
        <v>2000</v>
      </c>
      <c r="DC2">
        <f>_xlfn.XLOOKUP(B2,'[10]december-2026'!$A:$A,'[10]december-2026'!$I:$I,0,0)</f>
        <v>0</v>
      </c>
      <c r="DD2">
        <f t="shared" ref="DD2" si="48">IF($F2="YES",0,IF(DA2&gt;40000,200,IF(DA2&gt;25000,150,IF(DA2&gt;15000,130,IF(DA2&gt;10000,110,0)))))</f>
        <v>200</v>
      </c>
      <c r="DE2">
        <f t="shared" ref="DE2" si="49">DA2-DB2-DC2-DD2</f>
        <v>41850</v>
      </c>
      <c r="DF2">
        <f xml:space="preserve"> _xlfn.XLOOKUP(B2,
'[11]january-2027'!$A:$A,
'[11]january-2027'!$C:$C,
0,0)</f>
        <v>33500</v>
      </c>
      <c r="DG2">
        <f t="shared" ref="DG2" si="50">DF2*0.18</f>
        <v>6030</v>
      </c>
      <c r="DH2">
        <f t="shared" ref="DH2" si="51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2">IF(DF2&gt;0,SUM(DF2:DJ2),0)</f>
        <v>44050</v>
      </c>
      <c r="DL2">
        <f xml:space="preserve"> _xlfn.XLOOKUP(B2,
'[11]january-2027'!$A:$A,
'[11]january-2027'!$H:$H,
0,0)</f>
        <v>2000</v>
      </c>
      <c r="DM2">
        <f xml:space="preserve"> _xlfn.XLOOKUP(B2,
'[11]january-2027'!$A:$A,
'[11]january-2027'!$I:$I,
0,0)</f>
        <v>0</v>
      </c>
      <c r="DN2">
        <f t="shared" ref="DN2" si="53">IF($F2="YES",0,IF(DK2&gt;40000,200,IF(DK2&gt;25000,150,IF(DK2&gt;15000,130,IF(DK2&gt;10000,110,0)))))</f>
        <v>200</v>
      </c>
      <c r="DO2">
        <f t="shared" ref="DO2" si="54">DK2-DL2-DM2-DN2</f>
        <v>41850</v>
      </c>
      <c r="DP2">
        <f xml:space="preserve"> _xlfn.XLOOKUP(B2,
'[12]february-2027'!$A:$A,
'[12]february-2027'!$C:$C,
0,0)</f>
        <v>33500</v>
      </c>
      <c r="DQ2">
        <f t="shared" ref="DQ2" si="55">DP2*0.18</f>
        <v>6030</v>
      </c>
      <c r="DR2">
        <f t="shared" ref="DR2" si="56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7">IF(DP2&gt;0,SUM(DP2:DT2),0)</f>
        <v>44050</v>
      </c>
      <c r="DV2">
        <f xml:space="preserve"> _xlfn.XLOOKUP(B2,
'[12]february-2027'!$A:$A,
'[12]february-2027'!$H:$H,
0,0)</f>
        <v>2000</v>
      </c>
      <c r="DW2">
        <f xml:space="preserve"> _xlfn.XLOOKUP(B2,
'[12]february-2027'!$A:$A,
'[12]february-2027'!$I:$I,
0,0)</f>
        <v>0</v>
      </c>
      <c r="DX2">
        <f t="shared" ref="DX2" si="58">IF($F2="YES",0,IF(DU2&gt;40000,200,IF(DU2&gt;25000,150,IF(DU2&gt;15000,130,IF(DU2&gt;10000,110,0)))))</f>
        <v>200</v>
      </c>
      <c r="DY2">
        <f t="shared" ref="DY2" si="59">DU2-DV2-DW2-DX2</f>
        <v>41850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528900</v>
      </c>
      <c r="EN2">
        <f t="shared" ref="EN2" si="60">DX2+DN2+DD2+CT2+CJ2+BZ2+BP2+BF2+AU2+AK2+AA2+Q2</f>
        <v>2400</v>
      </c>
      <c r="EO2">
        <f t="shared" ref="EO2" si="61">IF(EM2&gt;0,50000,0)</f>
        <v>50000</v>
      </c>
      <c r="EP2">
        <v>0</v>
      </c>
      <c r="EQ2">
        <f>EM2-EN2-EO2+EL2</f>
        <v>476500</v>
      </c>
      <c r="ER2">
        <f t="shared" ref="ER2:ER68" si="62">DV2+DL2+DB2+CR2+CH2+BX2+BN2+BD2+AS2+AI2+Y2+O2</f>
        <v>24000</v>
      </c>
      <c r="ES2">
        <f t="shared" ref="ES2:ES68" si="63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4">SUM(ER2:FC2)</f>
        <v>24000</v>
      </c>
      <c r="FE2">
        <f t="shared" ref="FE2:FE68" si="65">IF(FD2&gt;=150000,150000,FD2)</f>
        <v>24000</v>
      </c>
      <c r="FF2">
        <f t="shared" ref="FF2:FF68" si="66">EQ2-FE2</f>
        <v>452500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>SUM(FG2:FM2)+(IF(F2="YES",50000,0))</f>
        <v>0</v>
      </c>
      <c r="FO2">
        <f t="shared" ref="FO2:FO68" si="67">FF2-FN2</f>
        <v>452500</v>
      </c>
      <c r="FP2">
        <f t="shared" ref="FP2:FP68" si="68">ROUND(IF(FO2&gt;0,IF(FO2&gt;500000,12500,(FO2-250000)*0.05),0),0)</f>
        <v>10125</v>
      </c>
      <c r="FQ2">
        <f t="shared" ref="FQ2:FQ68" si="69">IF(ROUND(IF(FO2&gt;0,IF(FO2&gt;1000000,25000,(FO2-500000)*0.2),0),0)&lt;0,0,ROUND(IF(FO2&gt;0,IF(FO2&gt;1000000,25000,(FO2-500000)*0.2),0),0))</f>
        <v>0</v>
      </c>
      <c r="FR2">
        <f t="shared" ref="FR2:FR68" si="70">FP2+FQ2</f>
        <v>10125</v>
      </c>
      <c r="FS2">
        <f t="shared" ref="FS2:FS68" si="71">IF(FR2&lt;12500,0,FR2)</f>
        <v>0</v>
      </c>
      <c r="FT2">
        <f t="shared" ref="FT2:FT68" si="72">FS2*0.04</f>
        <v>0</v>
      </c>
      <c r="FU2">
        <f t="shared" ref="FU2:FU68" si="73">ROUND(FT2+FS2,0)</f>
        <v>0</v>
      </c>
      <c r="FV2">
        <v>0</v>
      </c>
      <c r="FW2">
        <f t="shared" ref="FW2:FW68" si="74">FU2-FV2</f>
        <v>0</v>
      </c>
      <c r="FX2" t="b">
        <f t="shared" ref="FX2:FX68" si="75">IF(EM2&gt;500000,TRUE,FALSE)</f>
        <v>1</v>
      </c>
      <c r="FY2">
        <f t="shared" ref="FY2:FY68" ca="1" si="76">IF(FX2,RANDBETWEEN(500,1000),RANDBETWEEN(1000,3000))</f>
        <v>597</v>
      </c>
      <c r="FZ2">
        <f t="shared" ref="FZ2:FZ68" ca="1" si="77">EM2+FY2</f>
        <v>529497</v>
      </c>
      <c r="GA2">
        <f t="shared" ref="GA2:GA68" si="78">IF(EM2&gt;0,75000,0)</f>
        <v>75000</v>
      </c>
      <c r="GB2">
        <f t="shared" ref="GB2:GB68" ca="1" si="79">FZ2-GA2</f>
        <v>454497</v>
      </c>
      <c r="GC2">
        <f t="shared" ref="GC2:GC68" ca="1" si="80">IF(GB2&gt;2400000,GB2-2400000,0)</f>
        <v>0</v>
      </c>
      <c r="GD2">
        <f t="shared" ref="GD2:GD68" ca="1" si="81">GC2*0.3</f>
        <v>0</v>
      </c>
      <c r="GE2">
        <f t="shared" ref="GE2:GE68" ca="1" si="82">IF(GB2&gt;2000000,GB2-2000000,0)</f>
        <v>0</v>
      </c>
      <c r="GF2">
        <f t="shared" ref="GF2:GF68" ca="1" si="83">GE2*0.25</f>
        <v>0</v>
      </c>
      <c r="GG2">
        <f t="shared" ref="GG2:GG68" ca="1" si="84">IF(GB2&gt;1600000,GB2-1600000-GC2,0)</f>
        <v>0</v>
      </c>
      <c r="GH2">
        <f t="shared" ref="GH2:GH68" ca="1" si="85">GG2*0.2</f>
        <v>0</v>
      </c>
      <c r="GI2">
        <f ca="1">IF(GB2&gt;1200000,GB2-1200000-IF(F2="YES",50000,0)-GG2,0)</f>
        <v>0</v>
      </c>
      <c r="GJ2">
        <f t="shared" ref="GJ2:GJ68" ca="1" si="86">GI2*0.15</f>
        <v>0</v>
      </c>
      <c r="GK2">
        <f t="shared" ref="GK2:GK68" ca="1" si="87">IF(GB2&gt;800000,GB2-800000-GC2-GG2-GI2,0)</f>
        <v>0</v>
      </c>
      <c r="GL2">
        <f t="shared" ref="GL2:GL68" ca="1" si="88">GK2*0.1</f>
        <v>0</v>
      </c>
      <c r="GM2">
        <f t="shared" ref="GM2:GM68" ca="1" si="89">IF(GB2&gt;400000,GB2-400000-GC2-GG2-GI2-GK2,0)</f>
        <v>54497</v>
      </c>
      <c r="GN2">
        <f t="shared" ref="GN2:GN68" ca="1" si="90">GM2*0.05</f>
        <v>2724.8500000000004</v>
      </c>
      <c r="GO2">
        <f t="shared" ref="GO2:GO68" ca="1" si="91">ROUND(GD2+GF2+GH2+GJ2+GL2+GN2,0)</f>
        <v>2725</v>
      </c>
      <c r="GP2">
        <f t="shared" ref="GP2:GP68" ca="1" si="92">IF(GB2&gt;1200000,GB2,0)</f>
        <v>0</v>
      </c>
      <c r="GQ2">
        <f t="shared" ref="GQ2:GQ68" ca="1" si="93">IF(GB2&gt;1200000,GP2-1200000,0)</f>
        <v>0</v>
      </c>
      <c r="GR2">
        <f t="shared" ref="GR2:GR68" ca="1" si="94">IF(GB2&lt;1200001,MIN(GO2,60000),0)</f>
        <v>2725</v>
      </c>
      <c r="GS2">
        <f t="shared" ref="GS2:GS68" ca="1" si="95">IF(GB2&gt;1200000,GO2-GQ2,0)</f>
        <v>0</v>
      </c>
      <c r="GT2" t="b">
        <f t="shared" ref="GT2:GT68" ca="1" si="96">IF(GS2&gt;0,TRUE,FALSE)</f>
        <v>0</v>
      </c>
      <c r="GU2">
        <f t="shared" ref="GU2:GU68" ca="1" si="97">IF(GT2,GS2,0)</f>
        <v>0</v>
      </c>
      <c r="GV2">
        <f t="shared" ref="GV2:GV68" ca="1" si="98">GR2+GU2</f>
        <v>2725</v>
      </c>
      <c r="GW2">
        <f t="shared" ref="GW2:GW68" ca="1" si="99">ROUND(GO2-GV2,0)</f>
        <v>0</v>
      </c>
      <c r="GX2">
        <f t="shared" ref="GX2:GX68" ca="1" si="100">GW2*0.04</f>
        <v>0</v>
      </c>
      <c r="GY2">
        <f t="shared" ref="GY2:GY68" ca="1" si="101">ROUNDUP(GW2+GX2,0)</f>
        <v>0</v>
      </c>
    </row>
    <row r="3" spans="1:207" x14ac:dyDescent="0.25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2">IF(_xlfn.DAYS("31-03-2026",G3)&gt;=180,6800,0)</f>
        <v>6800</v>
      </c>
      <c r="I3">
        <f>_xlfn.XLOOKUP(B3,'[1]march-2026'!$A:$A,'[1]march-2026'!$C:$C,0,0)</f>
        <v>31600</v>
      </c>
      <c r="J3">
        <f t="shared" ref="J3:J4" si="103">I3*0.14</f>
        <v>4424</v>
      </c>
      <c r="K3">
        <f t="shared" ref="K3:K66" si="104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5">IF(I3&gt;0,SUM(I3:M3),0)</f>
        <v>39816</v>
      </c>
      <c r="O3">
        <f>_xlfn.XLOOKUP(B3,'[1]march-2026'!$A:$A,'[1]march-2026'!$H:$H,0,0)</f>
        <v>2000</v>
      </c>
      <c r="P3">
        <f>_xlfn.XLOOKUP(B3,'[1]march-2026'!$A:$A,'[1]march-2026'!$I:$I,0,0)</f>
        <v>0</v>
      </c>
      <c r="Q3">
        <f t="shared" ref="Q3:Q66" si="106">IF($F$2="YES",0,IF(N3&gt;40000,200,IF(N3&gt;25000,150,IF(N3&gt;15000,130,IF(N3&gt;10000,110,0)))))</f>
        <v>150</v>
      </c>
      <c r="R3">
        <f t="shared" ref="R3:R66" si="107">N3-O3-P3-Q3</f>
        <v>37666</v>
      </c>
      <c r="S3">
        <f>_xlfn.XLOOKUP(B3,'[2]april-2026'!$A:$A,'[2]april-2026'!$C:$C,0,0)</f>
        <v>31600</v>
      </c>
      <c r="T3">
        <f t="shared" ref="T3:T66" si="108">S3*0.18</f>
        <v>5688</v>
      </c>
      <c r="U3">
        <f t="shared" ref="U3:U66" si="109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0">IF(S3&gt;0,SUM(S3:W3),0)</f>
        <v>41080</v>
      </c>
      <c r="Y3">
        <f>_xlfn.XLOOKUP(B3,'[2]april-2026'!$A:$A,'[2]april-2026'!$H:$H,0,0)</f>
        <v>2000</v>
      </c>
      <c r="Z3">
        <f>_xlfn.XLOOKUP(B3,'[2]april-2026'!$A:$A,'[2]april-2026'!$I:$I,0,0)</f>
        <v>0</v>
      </c>
      <c r="AA3">
        <f t="shared" ref="AA3:AA66" si="111">IF($F3="YES",0,IF(X3&gt;40000,200,IF(X3&gt;25000,150,IF(X3&gt;15000,130,IF(X3&gt;10000,110,0)))))</f>
        <v>200</v>
      </c>
      <c r="AB3">
        <f t="shared" ref="AB3:AB66" si="112">X3-Y3-Z3-AA3</f>
        <v>38880</v>
      </c>
      <c r="AC3">
        <f>_xlfn.XLOOKUP(B3,'[3]may-2026'!$A:$A,'[3]may-2026'!$C:$C,0,0)</f>
        <v>31600</v>
      </c>
      <c r="AD3">
        <f t="shared" ref="AD3:AD66" si="113">AC3*0.18</f>
        <v>5688</v>
      </c>
      <c r="AE3">
        <f t="shared" ref="AE3:AE66" si="114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5">IF(AC3&gt;0,SUM(AC3:AG3),0)</f>
        <v>41080</v>
      </c>
      <c r="AI3">
        <f>_xlfn.XLOOKUP(B3,'[3]may-2026'!$A:$A,'[3]may-2026'!$H:$H,0,0)</f>
        <v>2000</v>
      </c>
      <c r="AJ3">
        <f>_xlfn.XLOOKUP(B3,'[3]may-2026'!$A:$A,'[3]may-2026'!$I:$I,0,0)</f>
        <v>0</v>
      </c>
      <c r="AK3">
        <f t="shared" ref="AK3:AK66" si="116">IF($F3="YES",0,IF(AH3&gt;40000,200,IF(AH3&gt;25000,150,IF(AH3&gt;15000,130,IF(AH3&gt;10000,110,0)))))</f>
        <v>200</v>
      </c>
      <c r="AL3">
        <f t="shared" ref="AL3:AL66" si="117">AH3-AI3-AJ3-AK3</f>
        <v>38880</v>
      </c>
      <c r="AM3">
        <f>_xlfn.XLOOKUP(B3,'[4]june-2026'!$A:$A,'[4]june-2026'!$C:$C,0,0)</f>
        <v>31600</v>
      </c>
      <c r="AN3">
        <f t="shared" ref="AN3:AN66" si="118">AM3*0.18</f>
        <v>5688</v>
      </c>
      <c r="AO3">
        <f t="shared" ref="AO3:AO66" si="119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0">IF(AM3&gt;0,SUM(AM3:AQ3),0)</f>
        <v>41080</v>
      </c>
      <c r="AS3">
        <f>_xlfn.XLOOKUP(B3,'[4]june-2026'!$A:$A,'[4]june-2026'!$H:$H,0,0)</f>
        <v>2000</v>
      </c>
      <c r="AT3">
        <f>_xlfn.XLOOKUP(B3,'[4]june-2026'!$A:$A,'[4]june-2026'!$I:$I,0,0)</f>
        <v>0</v>
      </c>
      <c r="AU3">
        <f t="shared" ref="AU3:AU66" si="121">IF($F3="YES",0,IF(AR3&gt;40000,200,IF(AR3&gt;25000,150,IF(AR3&gt;15000,130,IF(AR3&gt;10000,110,0)))))</f>
        <v>200</v>
      </c>
      <c r="AV3">
        <f t="shared" ref="AV3:AV66" si="122">AR3-AS3-AT3-AU3</f>
        <v>38880</v>
      </c>
      <c r="AW3">
        <f>_xlfn.XLOOKUP(B3,'[5]july-2026'!$A:$A,'[5]july-2026'!$C:$C,0,0)</f>
        <v>32500</v>
      </c>
      <c r="AX3">
        <f t="shared" ref="AX3:AX66" si="123">AW3*0.18</f>
        <v>5850</v>
      </c>
      <c r="AY3">
        <v>1</v>
      </c>
      <c r="AZ3">
        <f t="shared" ref="AZ3:AZ66" si="124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5">IF(AW3&gt;0,SUM(AW3:BB3),0)</f>
        <v>42251</v>
      </c>
      <c r="BD3">
        <f>_xlfn.XLOOKUP(B3,'[5]july-2026'!$A:$A,'[5]july-2026'!$H:$H,0,0)</f>
        <v>2000</v>
      </c>
      <c r="BE3">
        <f>_xlfn.XLOOKUP(B3,'[5]july-2026'!$A:$A,'[5]july-2026'!$I:$I,0,0)</f>
        <v>0</v>
      </c>
      <c r="BF3">
        <f t="shared" ref="BF3:BF66" si="126">IF($F3="YES",0,IF(BC3&gt;40000,200,IF(BC3&gt;25000,150,IF(BC3&gt;15000,130,IF(BC3&gt;10000,110,0)))))</f>
        <v>200</v>
      </c>
      <c r="BG3">
        <f t="shared" ref="BG3:BG66" si="127">BC3-BD3-BE3-BF3</f>
        <v>40051</v>
      </c>
      <c r="BH3">
        <f>_xlfn.XLOOKUP(B3,'[6]august-2026'!$A:$A,'[6]august-2026'!$C:$C,0,0)</f>
        <v>32500</v>
      </c>
      <c r="BI3">
        <f t="shared" ref="BI3:BI66" si="128">BH3*0.18</f>
        <v>5850</v>
      </c>
      <c r="BJ3">
        <f t="shared" ref="BJ3:BJ66" si="129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0">IF(BH3&gt;0,SUM(BH3:BL3),0)</f>
        <v>42250</v>
      </c>
      <c r="BN3">
        <f>_xlfn.XLOOKUP(B3,'[6]august-2026'!$A:$A,'[6]august-2026'!$H:$H,0,0)</f>
        <v>2000</v>
      </c>
      <c r="BO3">
        <f>_xlfn.XLOOKUP(B3,'[6]august-2026'!$A:$A,'[6]august-2026'!$I:$I,0,0)</f>
        <v>0</v>
      </c>
      <c r="BP3">
        <f t="shared" ref="BP3:BP66" si="131">IF($F3="YES",0,IF(BM3&gt;40000,200,IF(BM3&gt;25000,150,IF(BM3&gt;15000,130,IF(BM3&gt;10000,110,0)))))</f>
        <v>200</v>
      </c>
      <c r="BQ3">
        <f t="shared" ref="BQ3:BQ66" si="132">BM3-BN3-BO3-BP3</f>
        <v>40050</v>
      </c>
      <c r="BR3">
        <f>_xlfn.XLOOKUP(B3,'[7]september-2026'!$A:$A,'[7]september-2026'!$C:$C,0,0)</f>
        <v>32500</v>
      </c>
      <c r="BS3">
        <f t="shared" ref="BS3:BS66" si="133">BR3*0.18</f>
        <v>5850</v>
      </c>
      <c r="BT3">
        <f t="shared" ref="BT3:BT66" si="134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5">IF(BR3&gt;0,SUM(BR3:BV3),0)</f>
        <v>42250</v>
      </c>
      <c r="BX3">
        <f>_xlfn.XLOOKUP(B3,'[7]september-2026'!$A:$A,'[7]september-2026'!$H:$H,0,0)</f>
        <v>2000</v>
      </c>
      <c r="BY3">
        <f>_xlfn.XLOOKUP(B3,'[7]september-2026'!$A:$A,'[7]september-2026'!$I:$I,0,0)</f>
        <v>0</v>
      </c>
      <c r="BZ3">
        <f t="shared" ref="BZ3:BZ66" si="136">IF($F3="YES",0,IF(BW3&gt;40000,200,IF(BW3&gt;25000,150,IF(BW3&gt;15000,130,IF(BW3&gt;10000,110,0)))))</f>
        <v>200</v>
      </c>
      <c r="CA3">
        <f t="shared" ref="CA3:CA66" si="137">BW3-BX3-BY3-BZ3</f>
        <v>40050</v>
      </c>
      <c r="CB3">
        <f>_xlfn.XLOOKUP(B3,'[8]october-2026'!$A:$A,'[8]october-2026'!$C:$C,0,0)</f>
        <v>32500</v>
      </c>
      <c r="CC3">
        <f t="shared" ref="CC3:CC66" si="138">CB3*0.18</f>
        <v>5850</v>
      </c>
      <c r="CD3">
        <f t="shared" ref="CD3:CD66" si="139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0">IF(CB3&gt;0,SUM(CB3:CF3),0)</f>
        <v>42250</v>
      </c>
      <c r="CH3">
        <f>_xlfn.XLOOKUP(B3,'[8]october-2026'!$A:$A,'[8]october-2026'!$H:$H,0,0)</f>
        <v>2000</v>
      </c>
      <c r="CI3">
        <f>_xlfn.XLOOKUP(B3,'[8]october-2026'!$A:$A,'[8]october-2026'!$I:$I,0,0)</f>
        <v>0</v>
      </c>
      <c r="CJ3">
        <f t="shared" ref="CJ3:CJ66" si="141">IF($F3="YES",0,IF(CG3&gt;40000,200,IF(CG3&gt;25000,150,IF(CG3&gt;15000,130,IF(CG3&gt;10000,110,0)))))</f>
        <v>200</v>
      </c>
      <c r="CK3">
        <f t="shared" ref="CK3:CK66" si="142">CG3-CH3-CI3-CJ3</f>
        <v>40050</v>
      </c>
      <c r="CL3">
        <f>_xlfn.XLOOKUP(B3,'[9]november-2026'!$A:$A,'[9]november-2026'!$C:$C,0,0)</f>
        <v>32500</v>
      </c>
      <c r="CM3">
        <f t="shared" ref="CM3:CM66" si="143">CL3*0.18</f>
        <v>5850</v>
      </c>
      <c r="CN3">
        <f t="shared" ref="CN3:CN66" si="144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5">IF(CL3&gt;0,SUM(CL3:CP3),0)</f>
        <v>42250</v>
      </c>
      <c r="CR3">
        <f>_xlfn.XLOOKUP(B3,'[9]november-2026'!$A:$A,'[9]november-2026'!$H:$H,0,0)</f>
        <v>2000</v>
      </c>
      <c r="CS3">
        <f>_xlfn.XLOOKUP(B3,'[9]november-2026'!$A:$A,'[9]november-2026'!$I:$I,0,0)</f>
        <v>0</v>
      </c>
      <c r="CT3">
        <f t="shared" ref="CT3:CT66" si="146">IF($F3="YES",0,IF(CQ3&gt;40000,200,IF(CQ3&gt;25000,150,IF(CQ3&gt;15000,130,IF(CQ3&gt;10000,110,0)))))</f>
        <v>200</v>
      </c>
      <c r="CU3">
        <f t="shared" ref="CU3:CU66" si="147">CQ3-CR3-CS3-CT3</f>
        <v>40050</v>
      </c>
      <c r="CV3">
        <f>_xlfn.XLOOKUP(B3,'[10]december-2026'!$A:$A,'[10]december-2026'!$C:$C,0,0)</f>
        <v>32500</v>
      </c>
      <c r="CW3">
        <f t="shared" ref="CW3:CW66" si="148">ROUND(CV3*0.18,0)</f>
        <v>5850</v>
      </c>
      <c r="CX3">
        <f t="shared" ref="CX3:CX66" si="149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0">IF(CV3&gt;0,SUM(CV3:CZ3),0)</f>
        <v>42250</v>
      </c>
      <c r="DB3">
        <f>_xlfn.XLOOKUP(B3,'[10]december-2026'!$A:$A,'[10]december-2026'!$H:$H,0,0)</f>
        <v>2000</v>
      </c>
      <c r="DC3">
        <f>_xlfn.XLOOKUP(B3,'[10]december-2026'!$A:$A,'[10]december-2026'!$I:$I,0,0)</f>
        <v>0</v>
      </c>
      <c r="DD3">
        <f t="shared" ref="DD3:DD66" si="151">IF($F3="YES",0,IF(DA3&gt;40000,200,IF(DA3&gt;25000,150,IF(DA3&gt;15000,130,IF(DA3&gt;10000,110,0)))))</f>
        <v>200</v>
      </c>
      <c r="DE3">
        <f t="shared" ref="DE3:DE66" si="152">DA3-DB3-DC3-DD3</f>
        <v>40050</v>
      </c>
      <c r="DF3">
        <f xml:space="preserve"> _xlfn.XLOOKUP(B3,
'[11]january-2027'!$A:$A,
'[11]january-2027'!$C:$C,
0,0)</f>
        <v>32500</v>
      </c>
      <c r="DG3">
        <f t="shared" ref="DG3:DG66" si="153">DF3*0.18</f>
        <v>5850</v>
      </c>
      <c r="DH3">
        <f t="shared" ref="DH3:DH66" si="154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5">IF(DF3&gt;0,SUM(DF3:DJ3),0)</f>
        <v>42250</v>
      </c>
      <c r="DL3">
        <f xml:space="preserve"> _xlfn.XLOOKUP(B3,
'[11]january-2027'!$A:$A,
'[11]january-2027'!$H:$H,
0,0)</f>
        <v>2000</v>
      </c>
      <c r="DM3">
        <f xml:space="preserve"> _xlfn.XLOOKUP(B3,
'[11]january-2027'!$A:$A,
'[11]january-2027'!$I:$I,
0,0)</f>
        <v>0</v>
      </c>
      <c r="DN3">
        <f t="shared" ref="DN3:DN66" si="156">IF($F3="YES",0,IF(DK3&gt;40000,200,IF(DK3&gt;25000,150,IF(DK3&gt;15000,130,IF(DK3&gt;10000,110,0)))))</f>
        <v>200</v>
      </c>
      <c r="DO3">
        <f t="shared" ref="DO3:DO66" si="157">DK3-DL3-DM3-DN3</f>
        <v>40050</v>
      </c>
      <c r="DP3">
        <f xml:space="preserve"> _xlfn.XLOOKUP(B3,
'[12]february-2027'!$A:$A,
'[12]february-2027'!$C:$C,
0,0)</f>
        <v>32500</v>
      </c>
      <c r="DQ3">
        <f t="shared" ref="DQ3:DQ66" si="158">DP3*0.18</f>
        <v>5850</v>
      </c>
      <c r="DR3">
        <f t="shared" ref="DR3:DR66" si="159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0">IF(DP3&gt;0,SUM(DP3:DT3),0)</f>
        <v>42250</v>
      </c>
      <c r="DV3">
        <f xml:space="preserve"> _xlfn.XLOOKUP(B3,
'[12]february-2027'!$A:$A,
'[12]february-2027'!$H:$H,
0,0)</f>
        <v>2000</v>
      </c>
      <c r="DW3">
        <f xml:space="preserve"> _xlfn.XLOOKUP(B3,
'[12]february-2027'!$A:$A,
'[12]february-2027'!$I:$I,
0,0)</f>
        <v>0</v>
      </c>
      <c r="DX3">
        <f t="shared" ref="DX3:DX66" si="161">IF($F3="YES",0,IF(DU3&gt;40000,200,IF(DU3&gt;25000,150,IF(DU3&gt;15000,130,IF(DU3&gt;10000,110,0)))))</f>
        <v>200</v>
      </c>
      <c r="DY3">
        <f t="shared" ref="DY3:DY66" si="162">DU3-DV3-DW3-DX3</f>
        <v>40050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3">SUM(DZ3:EK3)</f>
        <v>0</v>
      </c>
      <c r="EM3">
        <f t="shared" ref="EM3:EM66" si="164">DU3+DK3+DA3+CQ3+CG3+BW3+BM3+BC3+AR3+AH3+X3+N3+H3</f>
        <v>507857</v>
      </c>
      <c r="EN3">
        <f t="shared" ref="EN3:EN66" si="165">DX3+DN3+DD3+CT3+CJ3+BZ3+BP3+BF3+AU3+AK3+AA3+Q3</f>
        <v>2350</v>
      </c>
      <c r="EO3">
        <f t="shared" ref="EO3:EO66" si="166">IF(EM3&gt;0,50000,0)</f>
        <v>50000</v>
      </c>
      <c r="EP3">
        <v>0</v>
      </c>
      <c r="EQ3">
        <f t="shared" ref="EQ3:EQ68" si="167">EM3-EN3-EO3+EL3</f>
        <v>455507</v>
      </c>
      <c r="ER3">
        <f t="shared" si="62"/>
        <v>24000</v>
      </c>
      <c r="ES3">
        <f t="shared" si="63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4"/>
        <v>24000</v>
      </c>
      <c r="FE3">
        <f t="shared" si="65"/>
        <v>24000</v>
      </c>
      <c r="FF3">
        <f t="shared" si="66"/>
        <v>431507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>SUM(FG3:FM3)+(IF(F3="YES",50000,0))</f>
        <v>0</v>
      </c>
      <c r="FO3">
        <f t="shared" si="67"/>
        <v>431507</v>
      </c>
      <c r="FP3">
        <f t="shared" si="68"/>
        <v>9075</v>
      </c>
      <c r="FQ3">
        <f t="shared" si="69"/>
        <v>0</v>
      </c>
      <c r="FR3">
        <f t="shared" si="70"/>
        <v>9075</v>
      </c>
      <c r="FS3">
        <f t="shared" si="71"/>
        <v>0</v>
      </c>
      <c r="FT3">
        <f t="shared" si="72"/>
        <v>0</v>
      </c>
      <c r="FU3">
        <f t="shared" si="73"/>
        <v>0</v>
      </c>
      <c r="FV3">
        <v>0</v>
      </c>
      <c r="FW3">
        <f t="shared" si="74"/>
        <v>0</v>
      </c>
      <c r="FX3" t="b">
        <f t="shared" si="75"/>
        <v>1</v>
      </c>
      <c r="FY3">
        <f t="shared" ca="1" si="76"/>
        <v>903</v>
      </c>
      <c r="FZ3">
        <f t="shared" ca="1" si="77"/>
        <v>508760</v>
      </c>
      <c r="GA3">
        <f t="shared" si="78"/>
        <v>75000</v>
      </c>
      <c r="GB3">
        <f t="shared" ca="1" si="79"/>
        <v>433760</v>
      </c>
      <c r="GC3">
        <f t="shared" ca="1" si="80"/>
        <v>0</v>
      </c>
      <c r="GD3">
        <f t="shared" ca="1" si="81"/>
        <v>0</v>
      </c>
      <c r="GE3">
        <f t="shared" ca="1" si="82"/>
        <v>0</v>
      </c>
      <c r="GF3">
        <f t="shared" ca="1" si="83"/>
        <v>0</v>
      </c>
      <c r="GG3">
        <f t="shared" ca="1" si="84"/>
        <v>0</v>
      </c>
      <c r="GH3">
        <f t="shared" ca="1" si="85"/>
        <v>0</v>
      </c>
      <c r="GI3">
        <f ca="1">IF(GB3&gt;1200000,GB3-1200000-IF(F3="YES",50000,0)-GG3,0)</f>
        <v>0</v>
      </c>
      <c r="GJ3">
        <f t="shared" ca="1" si="86"/>
        <v>0</v>
      </c>
      <c r="GK3">
        <f t="shared" ca="1" si="87"/>
        <v>0</v>
      </c>
      <c r="GL3">
        <f t="shared" ca="1" si="88"/>
        <v>0</v>
      </c>
      <c r="GM3">
        <f t="shared" ca="1" si="89"/>
        <v>33760</v>
      </c>
      <c r="GN3">
        <f t="shared" ca="1" si="90"/>
        <v>1688</v>
      </c>
      <c r="GO3">
        <f t="shared" ca="1" si="91"/>
        <v>1688</v>
      </c>
      <c r="GP3">
        <f t="shared" ca="1" si="92"/>
        <v>0</v>
      </c>
      <c r="GQ3">
        <f t="shared" ca="1" si="93"/>
        <v>0</v>
      </c>
      <c r="GR3">
        <f t="shared" ca="1" si="94"/>
        <v>1688</v>
      </c>
      <c r="GS3">
        <f t="shared" ca="1" si="95"/>
        <v>0</v>
      </c>
      <c r="GT3" t="b">
        <f t="shared" ca="1" si="96"/>
        <v>0</v>
      </c>
      <c r="GU3">
        <f t="shared" ca="1" si="97"/>
        <v>0</v>
      </c>
      <c r="GV3">
        <f t="shared" ca="1" si="98"/>
        <v>1688</v>
      </c>
      <c r="GW3">
        <f t="shared" ca="1" si="99"/>
        <v>0</v>
      </c>
      <c r="GX3">
        <f t="shared" ca="1" si="100"/>
        <v>0</v>
      </c>
      <c r="GY3">
        <f t="shared" ca="1" si="101"/>
        <v>0</v>
      </c>
    </row>
    <row r="4" spans="1:207" x14ac:dyDescent="0.25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2"/>
        <v>6800</v>
      </c>
      <c r="I4">
        <f>_xlfn.XLOOKUP(B4,'[1]march-2026'!$A:$A,'[1]march-2026'!$C:$C,0,0)</f>
        <v>48700</v>
      </c>
      <c r="J4">
        <f t="shared" si="103"/>
        <v>6818.0000000000009</v>
      </c>
      <c r="K4">
        <f t="shared" si="104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5"/>
        <v>61862</v>
      </c>
      <c r="O4">
        <f>_xlfn.XLOOKUP(B4,'[1]march-2026'!$A:$A,'[1]march-2026'!$H:$H,0,0)</f>
        <v>3000</v>
      </c>
      <c r="P4">
        <f>_xlfn.XLOOKUP(B4,'[1]march-2026'!$A:$A,'[1]march-2026'!$I:$I,0,0)</f>
        <v>0</v>
      </c>
      <c r="Q4">
        <f t="shared" si="106"/>
        <v>200</v>
      </c>
      <c r="R4">
        <f t="shared" si="107"/>
        <v>58662</v>
      </c>
      <c r="S4">
        <f>_xlfn.XLOOKUP(B4,'[2]april-2026'!$A:$A,'[2]april-2026'!$C:$C,0,0)</f>
        <v>48700</v>
      </c>
      <c r="T4">
        <f t="shared" si="108"/>
        <v>8766</v>
      </c>
      <c r="U4">
        <f t="shared" si="109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0"/>
        <v>63810</v>
      </c>
      <c r="Y4">
        <f>_xlfn.XLOOKUP(B4,'[2]april-2026'!$A:$A,'[2]april-2026'!$H:$H,0,0)</f>
        <v>3000</v>
      </c>
      <c r="Z4">
        <f>_xlfn.XLOOKUP(B4,'[2]april-2026'!$A:$A,'[2]april-2026'!$I:$I,0,0)</f>
        <v>0</v>
      </c>
      <c r="AA4">
        <f t="shared" si="111"/>
        <v>0</v>
      </c>
      <c r="AB4">
        <f t="shared" si="112"/>
        <v>60810</v>
      </c>
      <c r="AC4">
        <f>_xlfn.XLOOKUP(B4,'[3]may-2026'!$A:$A,'[3]may-2026'!$C:$C,0,0)</f>
        <v>48700</v>
      </c>
      <c r="AD4">
        <f t="shared" si="113"/>
        <v>8766</v>
      </c>
      <c r="AE4">
        <f t="shared" si="114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5"/>
        <v>63810</v>
      </c>
      <c r="AI4">
        <f>_xlfn.XLOOKUP(B4,'[3]may-2026'!$A:$A,'[3]may-2026'!$H:$H,0,0)</f>
        <v>3000</v>
      </c>
      <c r="AJ4">
        <f>_xlfn.XLOOKUP(B4,'[3]may-2026'!$A:$A,'[3]may-2026'!$I:$I,0,0)</f>
        <v>0</v>
      </c>
      <c r="AK4">
        <f t="shared" si="116"/>
        <v>0</v>
      </c>
      <c r="AL4">
        <f t="shared" si="117"/>
        <v>60810</v>
      </c>
      <c r="AM4">
        <f>_xlfn.XLOOKUP(B4,'[4]june-2026'!$A:$A,'[4]june-2026'!$C:$C,0,0)</f>
        <v>48700</v>
      </c>
      <c r="AN4">
        <f t="shared" si="118"/>
        <v>8766</v>
      </c>
      <c r="AO4">
        <f t="shared" si="119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0"/>
        <v>63810</v>
      </c>
      <c r="AS4">
        <f>_xlfn.XLOOKUP(B4,'[4]june-2026'!$A:$A,'[4]june-2026'!$H:$H,0,0)</f>
        <v>3000</v>
      </c>
      <c r="AT4">
        <f>_xlfn.XLOOKUP(B4,'[4]june-2026'!$A:$A,'[4]june-2026'!$I:$I,0,0)</f>
        <v>0</v>
      </c>
      <c r="AU4">
        <f t="shared" si="121"/>
        <v>0</v>
      </c>
      <c r="AV4">
        <f t="shared" si="122"/>
        <v>60810</v>
      </c>
      <c r="AW4">
        <f>_xlfn.XLOOKUP(B4,'[5]july-2026'!$A:$A,'[5]july-2026'!$C:$C,0,0)</f>
        <v>50200</v>
      </c>
      <c r="AX4">
        <f t="shared" si="123"/>
        <v>9036</v>
      </c>
      <c r="AY4">
        <v>2</v>
      </c>
      <c r="AZ4">
        <f t="shared" si="124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5"/>
        <v>65762</v>
      </c>
      <c r="BD4">
        <f>_xlfn.XLOOKUP(B4,'[5]july-2026'!$A:$A,'[5]july-2026'!$H:$H,0,0)</f>
        <v>3000</v>
      </c>
      <c r="BE4">
        <f>_xlfn.XLOOKUP(B4,'[5]july-2026'!$A:$A,'[5]july-2026'!$I:$I,0,0)</f>
        <v>0</v>
      </c>
      <c r="BF4">
        <f t="shared" si="126"/>
        <v>0</v>
      </c>
      <c r="BG4">
        <f t="shared" si="127"/>
        <v>62762</v>
      </c>
      <c r="BH4">
        <f>_xlfn.XLOOKUP(B4,'[6]august-2026'!$A:$A,'[6]august-2026'!$C:$C,0,0)</f>
        <v>50200</v>
      </c>
      <c r="BI4">
        <f t="shared" si="128"/>
        <v>9036</v>
      </c>
      <c r="BJ4">
        <f t="shared" si="129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0"/>
        <v>65760</v>
      </c>
      <c r="BN4">
        <f>_xlfn.XLOOKUP(B4,'[6]august-2026'!$A:$A,'[6]august-2026'!$H:$H,0,0)</f>
        <v>3000</v>
      </c>
      <c r="BO4">
        <f>_xlfn.XLOOKUP(B4,'[6]august-2026'!$A:$A,'[6]august-2026'!$I:$I,0,0)</f>
        <v>0</v>
      </c>
      <c r="BP4">
        <f t="shared" si="131"/>
        <v>0</v>
      </c>
      <c r="BQ4">
        <f t="shared" si="132"/>
        <v>62760</v>
      </c>
      <c r="BR4">
        <f>_xlfn.XLOOKUP(B4,'[7]september-2026'!$A:$A,'[7]september-2026'!$C:$C,0,0)</f>
        <v>50200</v>
      </c>
      <c r="BS4">
        <f t="shared" si="133"/>
        <v>9036</v>
      </c>
      <c r="BT4">
        <f t="shared" si="134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5"/>
        <v>65760</v>
      </c>
      <c r="BX4">
        <f>_xlfn.XLOOKUP(B4,'[7]september-2026'!$A:$A,'[7]september-2026'!$H:$H,0,0)</f>
        <v>3000</v>
      </c>
      <c r="BY4">
        <f>_xlfn.XLOOKUP(B4,'[7]september-2026'!$A:$A,'[7]september-2026'!$I:$I,0,0)</f>
        <v>0</v>
      </c>
      <c r="BZ4">
        <f t="shared" si="136"/>
        <v>0</v>
      </c>
      <c r="CA4">
        <f t="shared" si="137"/>
        <v>62760</v>
      </c>
      <c r="CB4">
        <f>_xlfn.XLOOKUP(B4,'[8]october-2026'!$A:$A,'[8]october-2026'!$C:$C,0,0)</f>
        <v>50200</v>
      </c>
      <c r="CC4">
        <f t="shared" si="138"/>
        <v>9036</v>
      </c>
      <c r="CD4">
        <f t="shared" si="139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0"/>
        <v>65760</v>
      </c>
      <c r="CH4">
        <f>_xlfn.XLOOKUP(B4,'[8]october-2026'!$A:$A,'[8]october-2026'!$H:$H,0,0)</f>
        <v>3000</v>
      </c>
      <c r="CI4">
        <f>_xlfn.XLOOKUP(B4,'[8]october-2026'!$A:$A,'[8]october-2026'!$I:$I,0,0)</f>
        <v>0</v>
      </c>
      <c r="CJ4">
        <f t="shared" si="141"/>
        <v>0</v>
      </c>
      <c r="CK4">
        <f t="shared" si="142"/>
        <v>62760</v>
      </c>
      <c r="CL4">
        <f>_xlfn.XLOOKUP(B4,'[9]november-2026'!$A:$A,'[9]november-2026'!$C:$C,0,0)</f>
        <v>50200</v>
      </c>
      <c r="CM4">
        <f t="shared" si="143"/>
        <v>9036</v>
      </c>
      <c r="CN4">
        <f t="shared" si="144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5"/>
        <v>65760</v>
      </c>
      <c r="CR4">
        <f>_xlfn.XLOOKUP(B4,'[9]november-2026'!$A:$A,'[9]november-2026'!$H:$H,0,0)</f>
        <v>3000</v>
      </c>
      <c r="CS4">
        <f>_xlfn.XLOOKUP(B4,'[9]november-2026'!$A:$A,'[9]november-2026'!$I:$I,0,0)</f>
        <v>0</v>
      </c>
      <c r="CT4">
        <f t="shared" si="146"/>
        <v>0</v>
      </c>
      <c r="CU4">
        <f t="shared" si="147"/>
        <v>62760</v>
      </c>
      <c r="CV4">
        <f>_xlfn.XLOOKUP(B4,'[10]december-2026'!$A:$A,'[10]december-2026'!$C:$C,0,0)</f>
        <v>50200</v>
      </c>
      <c r="CW4">
        <f t="shared" si="148"/>
        <v>9036</v>
      </c>
      <c r="CX4">
        <f t="shared" si="149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0"/>
        <v>65760</v>
      </c>
      <c r="DB4">
        <f>_xlfn.XLOOKUP(B4,'[10]december-2026'!$A:$A,'[10]december-2026'!$H:$H,0,0)</f>
        <v>3000</v>
      </c>
      <c r="DC4">
        <f>_xlfn.XLOOKUP(B4,'[10]december-2026'!$A:$A,'[10]december-2026'!$I:$I,0,0)</f>
        <v>0</v>
      </c>
      <c r="DD4">
        <f t="shared" si="151"/>
        <v>0</v>
      </c>
      <c r="DE4">
        <f t="shared" si="152"/>
        <v>62760</v>
      </c>
      <c r="DF4">
        <f xml:space="preserve"> _xlfn.XLOOKUP(B4,
'[11]january-2027'!$A:$A,
'[11]january-2027'!$C:$C,
0,0)</f>
        <v>50200</v>
      </c>
      <c r="DG4">
        <f t="shared" si="153"/>
        <v>9036</v>
      </c>
      <c r="DH4">
        <f t="shared" si="154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5"/>
        <v>65760</v>
      </c>
      <c r="DL4">
        <f xml:space="preserve"> _xlfn.XLOOKUP(B4,
'[11]january-2027'!$A:$A,
'[11]january-2027'!$H:$H,
0,0)</f>
        <v>3000</v>
      </c>
      <c r="DM4">
        <f xml:space="preserve"> _xlfn.XLOOKUP(B4,
'[11]january-2027'!$A:$A,
'[11]january-2027'!$I:$I,
0,0)</f>
        <v>0</v>
      </c>
      <c r="DN4">
        <f t="shared" si="156"/>
        <v>0</v>
      </c>
      <c r="DO4">
        <f t="shared" si="157"/>
        <v>62760</v>
      </c>
      <c r="DP4">
        <f xml:space="preserve"> _xlfn.XLOOKUP(B4,
'[12]february-2027'!$A:$A,
'[12]february-2027'!$C:$C,
0,0)</f>
        <v>50200</v>
      </c>
      <c r="DQ4">
        <f t="shared" si="158"/>
        <v>9036</v>
      </c>
      <c r="DR4">
        <f t="shared" si="159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0"/>
        <v>65760</v>
      </c>
      <c r="DV4">
        <f xml:space="preserve"> _xlfn.XLOOKUP(B4,
'[12]february-2027'!$A:$A,
'[12]february-2027'!$H:$H,
0,0)</f>
        <v>3000</v>
      </c>
      <c r="DW4">
        <f xml:space="preserve"> _xlfn.XLOOKUP(B4,
'[12]february-2027'!$A:$A,
'[12]february-2027'!$I:$I,
0,0)</f>
        <v>0</v>
      </c>
      <c r="DX4">
        <f t="shared" si="161"/>
        <v>0</v>
      </c>
      <c r="DY4">
        <f t="shared" si="162"/>
        <v>62760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3"/>
        <v>0</v>
      </c>
      <c r="EM4">
        <f t="shared" si="164"/>
        <v>786174</v>
      </c>
      <c r="EN4">
        <f t="shared" si="165"/>
        <v>200</v>
      </c>
      <c r="EO4">
        <f t="shared" si="166"/>
        <v>50000</v>
      </c>
      <c r="EP4">
        <v>0</v>
      </c>
      <c r="EQ4">
        <f t="shared" si="167"/>
        <v>735974</v>
      </c>
      <c r="ER4">
        <f t="shared" si="62"/>
        <v>36000</v>
      </c>
      <c r="ES4">
        <f t="shared" si="63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4"/>
        <v>36000</v>
      </c>
      <c r="FE4">
        <f t="shared" si="65"/>
        <v>36000</v>
      </c>
      <c r="FF4">
        <f t="shared" si="66"/>
        <v>699974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>SUM(FG4:FM4)+(IF(F4="YES",50000,0))</f>
        <v>50000</v>
      </c>
      <c r="FO4">
        <f t="shared" si="67"/>
        <v>649974</v>
      </c>
      <c r="FP4">
        <f t="shared" si="68"/>
        <v>12500</v>
      </c>
      <c r="FQ4">
        <f t="shared" si="69"/>
        <v>29995</v>
      </c>
      <c r="FR4">
        <f t="shared" si="70"/>
        <v>42495</v>
      </c>
      <c r="FS4">
        <f t="shared" si="71"/>
        <v>42495</v>
      </c>
      <c r="FT4">
        <f t="shared" si="72"/>
        <v>1699.8</v>
      </c>
      <c r="FU4">
        <f t="shared" si="73"/>
        <v>44195</v>
      </c>
      <c r="FV4">
        <v>0</v>
      </c>
      <c r="FW4">
        <f t="shared" si="74"/>
        <v>44195</v>
      </c>
      <c r="FX4" t="b">
        <f t="shared" si="75"/>
        <v>1</v>
      </c>
      <c r="FY4">
        <f t="shared" ca="1" si="76"/>
        <v>798</v>
      </c>
      <c r="FZ4">
        <f t="shared" ca="1" si="77"/>
        <v>786972</v>
      </c>
      <c r="GA4">
        <f t="shared" si="78"/>
        <v>75000</v>
      </c>
      <c r="GB4">
        <f t="shared" ca="1" si="79"/>
        <v>711972</v>
      </c>
      <c r="GC4">
        <f t="shared" ca="1" si="80"/>
        <v>0</v>
      </c>
      <c r="GD4">
        <f t="shared" ca="1" si="81"/>
        <v>0</v>
      </c>
      <c r="GE4">
        <f t="shared" ca="1" si="82"/>
        <v>0</v>
      </c>
      <c r="GF4">
        <f t="shared" ca="1" si="83"/>
        <v>0</v>
      </c>
      <c r="GG4">
        <f t="shared" ca="1" si="84"/>
        <v>0</v>
      </c>
      <c r="GH4">
        <f t="shared" ca="1" si="85"/>
        <v>0</v>
      </c>
      <c r="GI4">
        <f ca="1">IF(GB4&gt;1200000,GB4-1200000-IF(F4="YES",50000,0)-GG4,0)</f>
        <v>0</v>
      </c>
      <c r="GJ4">
        <f t="shared" ca="1" si="86"/>
        <v>0</v>
      </c>
      <c r="GK4">
        <f t="shared" ca="1" si="87"/>
        <v>0</v>
      </c>
      <c r="GL4">
        <f t="shared" ca="1" si="88"/>
        <v>0</v>
      </c>
      <c r="GM4">
        <f t="shared" ca="1" si="89"/>
        <v>311972</v>
      </c>
      <c r="GN4">
        <f t="shared" ca="1" si="90"/>
        <v>15598.6</v>
      </c>
      <c r="GO4">
        <f t="shared" ca="1" si="91"/>
        <v>15599</v>
      </c>
      <c r="GP4">
        <f t="shared" ca="1" si="92"/>
        <v>0</v>
      </c>
      <c r="GQ4">
        <f t="shared" ca="1" si="93"/>
        <v>0</v>
      </c>
      <c r="GR4">
        <f t="shared" ca="1" si="94"/>
        <v>15599</v>
      </c>
      <c r="GS4">
        <f t="shared" ca="1" si="95"/>
        <v>0</v>
      </c>
      <c r="GT4" t="b">
        <f t="shared" ca="1" si="96"/>
        <v>0</v>
      </c>
      <c r="GU4">
        <f t="shared" ca="1" si="97"/>
        <v>0</v>
      </c>
      <c r="GV4">
        <f t="shared" ca="1" si="98"/>
        <v>15599</v>
      </c>
      <c r="GW4">
        <f t="shared" ca="1" si="99"/>
        <v>0</v>
      </c>
      <c r="GX4">
        <f t="shared" ca="1" si="100"/>
        <v>0</v>
      </c>
      <c r="GY4">
        <f t="shared" ca="1" si="101"/>
        <v>0</v>
      </c>
    </row>
    <row r="5" spans="1:207" x14ac:dyDescent="0.25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2"/>
        <v>6800</v>
      </c>
      <c r="I5">
        <f>_xlfn.XLOOKUP(B5,'[1]march-2026'!$A:$A,'[1]march-2026'!$C:$C,0,0)</f>
        <v>26200</v>
      </c>
      <c r="J5">
        <f>I5*0.18</f>
        <v>4716</v>
      </c>
      <c r="K5">
        <f t="shared" si="104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5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6"/>
        <v>150</v>
      </c>
      <c r="R5">
        <f t="shared" si="107"/>
        <v>32410</v>
      </c>
      <c r="S5">
        <f>_xlfn.XLOOKUP(B5,'[2]april-2026'!$A:$A,'[2]april-2026'!$C:$C,0,0)</f>
        <v>26200</v>
      </c>
      <c r="T5">
        <f t="shared" si="108"/>
        <v>4716</v>
      </c>
      <c r="U5">
        <f t="shared" si="109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0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1"/>
        <v>150</v>
      </c>
      <c r="AB5">
        <f t="shared" si="112"/>
        <v>32410</v>
      </c>
      <c r="AC5">
        <f>_xlfn.XLOOKUP(B5,'[3]may-2026'!$A:$A,'[3]may-2026'!$C:$C,0,0)</f>
        <v>26200</v>
      </c>
      <c r="AD5">
        <f t="shared" si="113"/>
        <v>4716</v>
      </c>
      <c r="AE5">
        <f t="shared" si="114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5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6"/>
        <v>150</v>
      </c>
      <c r="AL5">
        <f t="shared" si="117"/>
        <v>32410</v>
      </c>
      <c r="AM5">
        <f>_xlfn.XLOOKUP(B5,'[4]june-2026'!$A:$A,'[4]june-2026'!$C:$C,0,0)</f>
        <v>26200</v>
      </c>
      <c r="AN5">
        <f t="shared" si="118"/>
        <v>4716</v>
      </c>
      <c r="AO5">
        <f t="shared" si="119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0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1"/>
        <v>150</v>
      </c>
      <c r="AV5">
        <f t="shared" si="122"/>
        <v>32410</v>
      </c>
      <c r="AW5">
        <f>_xlfn.XLOOKUP(B5,'[5]july-2026'!$A:$A,'[5]july-2026'!$C:$C,0,0)</f>
        <v>27000</v>
      </c>
      <c r="AX5">
        <f t="shared" si="123"/>
        <v>4860</v>
      </c>
      <c r="AY5">
        <v>3</v>
      </c>
      <c r="AZ5">
        <f t="shared" si="124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5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6"/>
        <v>150</v>
      </c>
      <c r="BG5">
        <f t="shared" si="127"/>
        <v>33453</v>
      </c>
      <c r="BH5">
        <f>_xlfn.XLOOKUP(B5,'[6]august-2026'!$A:$A,'[6]august-2026'!$C:$C,0,0)</f>
        <v>27000</v>
      </c>
      <c r="BI5">
        <f t="shared" si="128"/>
        <v>4860</v>
      </c>
      <c r="BJ5">
        <f t="shared" si="129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0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1"/>
        <v>150</v>
      </c>
      <c r="BQ5">
        <f t="shared" si="132"/>
        <v>33450</v>
      </c>
      <c r="BR5">
        <f>_xlfn.XLOOKUP(B5,'[7]september-2026'!$A:$A,'[7]september-2026'!$C:$C,0,0)</f>
        <v>27000</v>
      </c>
      <c r="BS5">
        <f t="shared" si="133"/>
        <v>4860</v>
      </c>
      <c r="BT5">
        <f t="shared" si="134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5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6"/>
        <v>150</v>
      </c>
      <c r="CA5">
        <f t="shared" si="137"/>
        <v>33450</v>
      </c>
      <c r="CB5">
        <f>_xlfn.XLOOKUP(B5,'[8]october-2026'!$A:$A,'[8]october-2026'!$C:$C,0,0)</f>
        <v>27000</v>
      </c>
      <c r="CC5">
        <f t="shared" si="138"/>
        <v>4860</v>
      </c>
      <c r="CD5">
        <f t="shared" si="139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0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1"/>
        <v>150</v>
      </c>
      <c r="CK5">
        <f t="shared" si="142"/>
        <v>33450</v>
      </c>
      <c r="CL5">
        <f>_xlfn.XLOOKUP(B5,'[9]november-2026'!$A:$A,'[9]november-2026'!$C:$C,0,0)</f>
        <v>27000</v>
      </c>
      <c r="CM5">
        <f t="shared" si="143"/>
        <v>4860</v>
      </c>
      <c r="CN5">
        <f t="shared" si="144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5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6"/>
        <v>150</v>
      </c>
      <c r="CU5">
        <f t="shared" si="147"/>
        <v>33450</v>
      </c>
      <c r="CV5">
        <f>_xlfn.XLOOKUP(B5,'[10]december-2026'!$A:$A,'[10]december-2026'!$C:$C,0,0)</f>
        <v>27000</v>
      </c>
      <c r="CW5">
        <f t="shared" si="148"/>
        <v>4860</v>
      </c>
      <c r="CX5">
        <f t="shared" si="149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0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1"/>
        <v>150</v>
      </c>
      <c r="DE5">
        <f t="shared" si="152"/>
        <v>33450</v>
      </c>
      <c r="DF5">
        <f xml:space="preserve"> _xlfn.XLOOKUP(B5,
'[11]january-2027'!$A:$A,
'[11]january-2027'!$C:$C,
0,0)</f>
        <v>27000</v>
      </c>
      <c r="DG5">
        <f t="shared" si="153"/>
        <v>4860</v>
      </c>
      <c r="DH5">
        <f t="shared" si="154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5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6"/>
        <v>150</v>
      </c>
      <c r="DO5">
        <f t="shared" si="157"/>
        <v>33450</v>
      </c>
      <c r="DP5">
        <f xml:space="preserve"> _xlfn.XLOOKUP(B5,
'[12]february-2027'!$A:$A,
'[12]february-2027'!$C:$C,
0,0)</f>
        <v>27000</v>
      </c>
      <c r="DQ5">
        <f t="shared" si="158"/>
        <v>4860</v>
      </c>
      <c r="DR5">
        <f t="shared" si="159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0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1"/>
        <v>150</v>
      </c>
      <c r="DY5">
        <f t="shared" si="162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3"/>
        <v>0</v>
      </c>
      <c r="EM5">
        <f t="shared" si="164"/>
        <v>429843</v>
      </c>
      <c r="EN5">
        <f t="shared" si="165"/>
        <v>1800</v>
      </c>
      <c r="EO5">
        <f t="shared" si="166"/>
        <v>50000</v>
      </c>
      <c r="EP5">
        <v>0</v>
      </c>
      <c r="EQ5">
        <f t="shared" si="167"/>
        <v>378043</v>
      </c>
      <c r="ER5">
        <f t="shared" si="62"/>
        <v>24000</v>
      </c>
      <c r="ES5">
        <f t="shared" si="63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4"/>
        <v>24000</v>
      </c>
      <c r="FE5">
        <f t="shared" si="65"/>
        <v>24000</v>
      </c>
      <c r="FF5">
        <f t="shared" si="66"/>
        <v>354043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>SUM(FG5:FM5)+(IF(F5="YES",50000,0))</f>
        <v>0</v>
      </c>
      <c r="FO5">
        <f t="shared" si="67"/>
        <v>354043</v>
      </c>
      <c r="FP5">
        <f t="shared" si="68"/>
        <v>5202</v>
      </c>
      <c r="FQ5">
        <f t="shared" si="69"/>
        <v>0</v>
      </c>
      <c r="FR5">
        <f t="shared" si="70"/>
        <v>5202</v>
      </c>
      <c r="FS5">
        <f t="shared" si="71"/>
        <v>0</v>
      </c>
      <c r="FT5">
        <f t="shared" si="72"/>
        <v>0</v>
      </c>
      <c r="FU5">
        <f t="shared" si="73"/>
        <v>0</v>
      </c>
      <c r="FV5">
        <v>0</v>
      </c>
      <c r="FW5">
        <f t="shared" si="74"/>
        <v>0</v>
      </c>
      <c r="FX5" t="b">
        <f t="shared" si="75"/>
        <v>0</v>
      </c>
      <c r="FY5">
        <f t="shared" ca="1" si="76"/>
        <v>2400</v>
      </c>
      <c r="FZ5">
        <f t="shared" ca="1" si="77"/>
        <v>432243</v>
      </c>
      <c r="GA5">
        <f t="shared" si="78"/>
        <v>75000</v>
      </c>
      <c r="GB5">
        <f t="shared" ca="1" si="79"/>
        <v>357243</v>
      </c>
      <c r="GC5">
        <f t="shared" ca="1" si="80"/>
        <v>0</v>
      </c>
      <c r="GD5">
        <f t="shared" ca="1" si="81"/>
        <v>0</v>
      </c>
      <c r="GE5">
        <f t="shared" ca="1" si="82"/>
        <v>0</v>
      </c>
      <c r="GF5">
        <f t="shared" ca="1" si="83"/>
        <v>0</v>
      </c>
      <c r="GG5">
        <f t="shared" ca="1" si="84"/>
        <v>0</v>
      </c>
      <c r="GH5">
        <f t="shared" ca="1" si="85"/>
        <v>0</v>
      </c>
      <c r="GI5">
        <f ca="1">IF(GB5&gt;1200000,GB5-1200000-IF(F5="YES",50000,0)-GG5,0)</f>
        <v>0</v>
      </c>
      <c r="GJ5">
        <f t="shared" ca="1" si="86"/>
        <v>0</v>
      </c>
      <c r="GK5">
        <f t="shared" ca="1" si="87"/>
        <v>0</v>
      </c>
      <c r="GL5">
        <f t="shared" ca="1" si="88"/>
        <v>0</v>
      </c>
      <c r="GM5">
        <f t="shared" ca="1" si="89"/>
        <v>0</v>
      </c>
      <c r="GN5">
        <f t="shared" ca="1" si="90"/>
        <v>0</v>
      </c>
      <c r="GO5">
        <f t="shared" ca="1" si="91"/>
        <v>0</v>
      </c>
      <c r="GP5">
        <f t="shared" ca="1" si="92"/>
        <v>0</v>
      </c>
      <c r="GQ5">
        <f t="shared" ca="1" si="93"/>
        <v>0</v>
      </c>
      <c r="GR5">
        <f t="shared" ca="1" si="94"/>
        <v>0</v>
      </c>
      <c r="GS5">
        <f t="shared" ca="1" si="95"/>
        <v>0</v>
      </c>
      <c r="GT5" t="b">
        <f t="shared" ca="1" si="96"/>
        <v>0</v>
      </c>
      <c r="GU5">
        <f t="shared" ca="1" si="97"/>
        <v>0</v>
      </c>
      <c r="GV5">
        <f t="shared" ca="1" si="98"/>
        <v>0</v>
      </c>
      <c r="GW5">
        <f t="shared" ca="1" si="99"/>
        <v>0</v>
      </c>
      <c r="GX5">
        <f t="shared" ca="1" si="100"/>
        <v>0</v>
      </c>
      <c r="GY5">
        <f t="shared" ca="1" si="101"/>
        <v>0</v>
      </c>
    </row>
    <row r="6" spans="1:207" x14ac:dyDescent="0.25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2"/>
        <v>6800</v>
      </c>
      <c r="I6">
        <f>_xlfn.XLOOKUP(B6,'[1]march-2026'!$A:$A,'[1]march-2026'!$C:$C,0,0)</f>
        <v>35500</v>
      </c>
      <c r="J6">
        <f t="shared" ref="J6:J69" si="168">I6*0.18</f>
        <v>6390</v>
      </c>
      <c r="K6">
        <f t="shared" si="104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5"/>
        <v>47050</v>
      </c>
      <c r="O6">
        <f>_xlfn.XLOOKUP(B6,'[1]march-2026'!$A:$A,'[1]march-2026'!$H:$H,0,0)</f>
        <v>4000</v>
      </c>
      <c r="P6">
        <f>_xlfn.XLOOKUP(B6,'[1]march-2026'!$A:$A,'[1]march-2026'!$I:$I,0,0)</f>
        <v>0</v>
      </c>
      <c r="Q6">
        <f t="shared" si="106"/>
        <v>200</v>
      </c>
      <c r="R6">
        <f t="shared" si="107"/>
        <v>42850</v>
      </c>
      <c r="S6">
        <f>_xlfn.XLOOKUP(B6,'[2]april-2026'!$A:$A,'[2]april-2026'!$C:$C,0,0)</f>
        <v>35500</v>
      </c>
      <c r="T6">
        <f t="shared" si="108"/>
        <v>6390</v>
      </c>
      <c r="U6">
        <f t="shared" si="109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0"/>
        <v>47050</v>
      </c>
      <c r="Y6">
        <f>_xlfn.XLOOKUP(B6,'[2]april-2026'!$A:$A,'[2]april-2026'!$H:$H,0,0)</f>
        <v>4000</v>
      </c>
      <c r="Z6">
        <f>_xlfn.XLOOKUP(B6,'[2]april-2026'!$A:$A,'[2]april-2026'!$I:$I,0,0)</f>
        <v>0</v>
      </c>
      <c r="AA6">
        <f t="shared" si="111"/>
        <v>200</v>
      </c>
      <c r="AB6">
        <f t="shared" si="112"/>
        <v>42850</v>
      </c>
      <c r="AC6">
        <f>_xlfn.XLOOKUP(B6,'[3]may-2026'!$A:$A,'[3]may-2026'!$C:$C,0,0)</f>
        <v>35500</v>
      </c>
      <c r="AD6">
        <f t="shared" si="113"/>
        <v>6390</v>
      </c>
      <c r="AE6">
        <f t="shared" si="114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5"/>
        <v>47050</v>
      </c>
      <c r="AI6">
        <f>_xlfn.XLOOKUP(B6,'[3]may-2026'!$A:$A,'[3]may-2026'!$H:$H,0,0)</f>
        <v>4000</v>
      </c>
      <c r="AJ6">
        <f>_xlfn.XLOOKUP(B6,'[3]may-2026'!$A:$A,'[3]may-2026'!$I:$I,0,0)</f>
        <v>0</v>
      </c>
      <c r="AK6">
        <f t="shared" si="116"/>
        <v>200</v>
      </c>
      <c r="AL6">
        <f t="shared" si="117"/>
        <v>42850</v>
      </c>
      <c r="AM6">
        <f>_xlfn.XLOOKUP(B6,'[4]june-2026'!$A:$A,'[4]june-2026'!$C:$C,0,0)</f>
        <v>35500</v>
      </c>
      <c r="AN6">
        <f t="shared" si="118"/>
        <v>6390</v>
      </c>
      <c r="AO6">
        <f t="shared" si="119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0"/>
        <v>47050</v>
      </c>
      <c r="AS6">
        <f>_xlfn.XLOOKUP(B6,'[4]june-2026'!$A:$A,'[4]june-2026'!$H:$H,0,0)</f>
        <v>4000</v>
      </c>
      <c r="AT6">
        <f>_xlfn.XLOOKUP(B6,'[4]june-2026'!$A:$A,'[4]june-2026'!$I:$I,0,0)</f>
        <v>0</v>
      </c>
      <c r="AU6">
        <f t="shared" si="121"/>
        <v>200</v>
      </c>
      <c r="AV6">
        <f t="shared" si="122"/>
        <v>42850</v>
      </c>
      <c r="AW6">
        <f>_xlfn.XLOOKUP(B6,'[5]july-2026'!$A:$A,'[5]july-2026'!$C:$C,0,0)</f>
        <v>36600</v>
      </c>
      <c r="AX6">
        <f t="shared" si="123"/>
        <v>6588</v>
      </c>
      <c r="AY6">
        <v>4</v>
      </c>
      <c r="AZ6">
        <f t="shared" si="124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5"/>
        <v>48484</v>
      </c>
      <c r="BD6">
        <f>_xlfn.XLOOKUP(B6,'[5]july-2026'!$A:$A,'[5]july-2026'!$H:$H,0,0)</f>
        <v>4000</v>
      </c>
      <c r="BE6">
        <f>_xlfn.XLOOKUP(B6,'[5]july-2026'!$A:$A,'[5]july-2026'!$I:$I,0,0)</f>
        <v>0</v>
      </c>
      <c r="BF6">
        <f t="shared" si="126"/>
        <v>200</v>
      </c>
      <c r="BG6">
        <f t="shared" si="127"/>
        <v>44284</v>
      </c>
      <c r="BH6">
        <f>_xlfn.XLOOKUP(B6,'[6]august-2026'!$A:$A,'[6]august-2026'!$C:$C,0,0)</f>
        <v>36600</v>
      </c>
      <c r="BI6">
        <f t="shared" si="128"/>
        <v>6588</v>
      </c>
      <c r="BJ6">
        <f t="shared" si="129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0"/>
        <v>48480</v>
      </c>
      <c r="BN6">
        <f>_xlfn.XLOOKUP(B6,'[6]august-2026'!$A:$A,'[6]august-2026'!$H:$H,0,0)</f>
        <v>4000</v>
      </c>
      <c r="BO6">
        <f>_xlfn.XLOOKUP(B6,'[6]august-2026'!$A:$A,'[6]august-2026'!$I:$I,0,0)</f>
        <v>0</v>
      </c>
      <c r="BP6">
        <f t="shared" si="131"/>
        <v>200</v>
      </c>
      <c r="BQ6">
        <f t="shared" si="132"/>
        <v>44280</v>
      </c>
      <c r="BR6">
        <f>_xlfn.XLOOKUP(B6,'[7]september-2026'!$A:$A,'[7]september-2026'!$C:$C,0,0)</f>
        <v>36600</v>
      </c>
      <c r="BS6">
        <f t="shared" si="133"/>
        <v>6588</v>
      </c>
      <c r="BT6">
        <f t="shared" si="134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5"/>
        <v>48480</v>
      </c>
      <c r="BX6">
        <f>_xlfn.XLOOKUP(B6,'[7]september-2026'!$A:$A,'[7]september-2026'!$H:$H,0,0)</f>
        <v>4000</v>
      </c>
      <c r="BY6">
        <f>_xlfn.XLOOKUP(B6,'[7]september-2026'!$A:$A,'[7]september-2026'!$I:$I,0,0)</f>
        <v>0</v>
      </c>
      <c r="BZ6">
        <f t="shared" si="136"/>
        <v>200</v>
      </c>
      <c r="CA6">
        <f t="shared" si="137"/>
        <v>44280</v>
      </c>
      <c r="CB6">
        <f>_xlfn.XLOOKUP(B6,'[8]october-2026'!$A:$A,'[8]october-2026'!$C:$C,0,0)</f>
        <v>36600</v>
      </c>
      <c r="CC6">
        <f t="shared" si="138"/>
        <v>6588</v>
      </c>
      <c r="CD6">
        <f t="shared" si="139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0"/>
        <v>48480</v>
      </c>
      <c r="CH6">
        <f>_xlfn.XLOOKUP(B6,'[8]october-2026'!$A:$A,'[8]october-2026'!$H:$H,0,0)</f>
        <v>4000</v>
      </c>
      <c r="CI6">
        <f>_xlfn.XLOOKUP(B6,'[8]october-2026'!$A:$A,'[8]october-2026'!$I:$I,0,0)</f>
        <v>0</v>
      </c>
      <c r="CJ6">
        <f t="shared" si="141"/>
        <v>200</v>
      </c>
      <c r="CK6">
        <f t="shared" si="142"/>
        <v>44280</v>
      </c>
      <c r="CL6">
        <f>_xlfn.XLOOKUP(B6,'[9]november-2026'!$A:$A,'[9]november-2026'!$C:$C,0,0)</f>
        <v>36600</v>
      </c>
      <c r="CM6">
        <f t="shared" si="143"/>
        <v>6588</v>
      </c>
      <c r="CN6">
        <f t="shared" si="144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5"/>
        <v>48480</v>
      </c>
      <c r="CR6">
        <f>_xlfn.XLOOKUP(B6,'[9]november-2026'!$A:$A,'[9]november-2026'!$H:$H,0,0)</f>
        <v>4000</v>
      </c>
      <c r="CS6">
        <f>_xlfn.XLOOKUP(B6,'[9]november-2026'!$A:$A,'[9]november-2026'!$I:$I,0,0)</f>
        <v>0</v>
      </c>
      <c r="CT6">
        <f t="shared" si="146"/>
        <v>200</v>
      </c>
      <c r="CU6">
        <f t="shared" si="147"/>
        <v>44280</v>
      </c>
      <c r="CV6">
        <f>_xlfn.XLOOKUP(B6,'[10]december-2026'!$A:$A,'[10]december-2026'!$C:$C,0,0)</f>
        <v>36600</v>
      </c>
      <c r="CW6">
        <f t="shared" si="148"/>
        <v>6588</v>
      </c>
      <c r="CX6">
        <f t="shared" si="149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0"/>
        <v>48480</v>
      </c>
      <c r="DB6">
        <f>_xlfn.XLOOKUP(B6,'[10]december-2026'!$A:$A,'[10]december-2026'!$H:$H,0,0)</f>
        <v>4000</v>
      </c>
      <c r="DC6">
        <f>_xlfn.XLOOKUP(B6,'[10]december-2026'!$A:$A,'[10]december-2026'!$I:$I,0,0)</f>
        <v>0</v>
      </c>
      <c r="DD6">
        <f t="shared" si="151"/>
        <v>200</v>
      </c>
      <c r="DE6">
        <f t="shared" si="152"/>
        <v>44280</v>
      </c>
      <c r="DF6">
        <f xml:space="preserve"> _xlfn.XLOOKUP(B6,
'[11]january-2027'!$A:$A,
'[11]january-2027'!$C:$C,
0,0)</f>
        <v>36600</v>
      </c>
      <c r="DG6">
        <f t="shared" si="153"/>
        <v>6588</v>
      </c>
      <c r="DH6">
        <f t="shared" si="154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5"/>
        <v>48480</v>
      </c>
      <c r="DL6">
        <f xml:space="preserve"> _xlfn.XLOOKUP(B6,
'[11]january-2027'!$A:$A,
'[11]january-2027'!$H:$H,
0,0)</f>
        <v>4000</v>
      </c>
      <c r="DM6">
        <f xml:space="preserve"> _xlfn.XLOOKUP(B6,
'[11]january-2027'!$A:$A,
'[11]january-2027'!$I:$I,
0,0)</f>
        <v>0</v>
      </c>
      <c r="DN6">
        <f t="shared" si="156"/>
        <v>200</v>
      </c>
      <c r="DO6">
        <f t="shared" si="157"/>
        <v>44280</v>
      </c>
      <c r="DP6">
        <f xml:space="preserve"> _xlfn.XLOOKUP(B6,
'[12]february-2027'!$A:$A,
'[12]february-2027'!$C:$C,
0,0)</f>
        <v>36600</v>
      </c>
      <c r="DQ6">
        <f t="shared" si="158"/>
        <v>6588</v>
      </c>
      <c r="DR6">
        <f t="shared" si="159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0"/>
        <v>48480</v>
      </c>
      <c r="DV6">
        <f xml:space="preserve"> _xlfn.XLOOKUP(B6,
'[12]february-2027'!$A:$A,
'[12]february-2027'!$H:$H,
0,0)</f>
        <v>4000</v>
      </c>
      <c r="DW6">
        <f xml:space="preserve"> _xlfn.XLOOKUP(B6,
'[12]february-2027'!$A:$A,
'[12]february-2027'!$I:$I,
0,0)</f>
        <v>0</v>
      </c>
      <c r="DX6">
        <f t="shared" si="161"/>
        <v>200</v>
      </c>
      <c r="DY6">
        <f t="shared" si="162"/>
        <v>44280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3"/>
        <v>0</v>
      </c>
      <c r="EM6">
        <f t="shared" si="164"/>
        <v>582844</v>
      </c>
      <c r="EN6">
        <f t="shared" si="165"/>
        <v>2400</v>
      </c>
      <c r="EO6">
        <f t="shared" si="166"/>
        <v>50000</v>
      </c>
      <c r="EP6">
        <v>0</v>
      </c>
      <c r="EQ6">
        <f t="shared" si="167"/>
        <v>530444</v>
      </c>
      <c r="ER6">
        <f t="shared" si="62"/>
        <v>48000</v>
      </c>
      <c r="ES6">
        <f t="shared" si="63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4"/>
        <v>48000</v>
      </c>
      <c r="FE6">
        <f t="shared" si="65"/>
        <v>48000</v>
      </c>
      <c r="FF6">
        <f t="shared" si="66"/>
        <v>482444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>SUM(FG6:FM6)+(IF(F6="YES",50000,0))</f>
        <v>0</v>
      </c>
      <c r="FO6">
        <f t="shared" si="67"/>
        <v>482444</v>
      </c>
      <c r="FP6">
        <f t="shared" si="68"/>
        <v>11622</v>
      </c>
      <c r="FQ6">
        <f t="shared" si="69"/>
        <v>0</v>
      </c>
      <c r="FR6">
        <f t="shared" si="70"/>
        <v>11622</v>
      </c>
      <c r="FS6">
        <f t="shared" si="71"/>
        <v>0</v>
      </c>
      <c r="FT6">
        <f t="shared" si="72"/>
        <v>0</v>
      </c>
      <c r="FU6">
        <f t="shared" si="73"/>
        <v>0</v>
      </c>
      <c r="FV6">
        <v>0</v>
      </c>
      <c r="FW6">
        <f t="shared" si="74"/>
        <v>0</v>
      </c>
      <c r="FX6" t="b">
        <f t="shared" si="75"/>
        <v>1</v>
      </c>
      <c r="FY6">
        <f t="shared" ca="1" si="76"/>
        <v>747</v>
      </c>
      <c r="FZ6">
        <f t="shared" ca="1" si="77"/>
        <v>583591</v>
      </c>
      <c r="GA6">
        <f t="shared" si="78"/>
        <v>75000</v>
      </c>
      <c r="GB6">
        <f t="shared" ca="1" si="79"/>
        <v>508591</v>
      </c>
      <c r="GC6">
        <f t="shared" ca="1" si="80"/>
        <v>0</v>
      </c>
      <c r="GD6">
        <f t="shared" ca="1" si="81"/>
        <v>0</v>
      </c>
      <c r="GE6">
        <f t="shared" ca="1" si="82"/>
        <v>0</v>
      </c>
      <c r="GF6">
        <f t="shared" ca="1" si="83"/>
        <v>0</v>
      </c>
      <c r="GG6">
        <f t="shared" ca="1" si="84"/>
        <v>0</v>
      </c>
      <c r="GH6">
        <f t="shared" ca="1" si="85"/>
        <v>0</v>
      </c>
      <c r="GI6">
        <f ca="1">IF(GB6&gt;1200000,GB6-1200000-IF(F6="YES",50000,0)-GG6,0)</f>
        <v>0</v>
      </c>
      <c r="GJ6">
        <f t="shared" ca="1" si="86"/>
        <v>0</v>
      </c>
      <c r="GK6">
        <f t="shared" ca="1" si="87"/>
        <v>0</v>
      </c>
      <c r="GL6">
        <f t="shared" ca="1" si="88"/>
        <v>0</v>
      </c>
      <c r="GM6">
        <f t="shared" ca="1" si="89"/>
        <v>108591</v>
      </c>
      <c r="GN6">
        <f t="shared" ca="1" si="90"/>
        <v>5429.55</v>
      </c>
      <c r="GO6">
        <f t="shared" ca="1" si="91"/>
        <v>5430</v>
      </c>
      <c r="GP6">
        <f t="shared" ca="1" si="92"/>
        <v>0</v>
      </c>
      <c r="GQ6">
        <f t="shared" ca="1" si="93"/>
        <v>0</v>
      </c>
      <c r="GR6">
        <f t="shared" ca="1" si="94"/>
        <v>5430</v>
      </c>
      <c r="GS6">
        <f t="shared" ca="1" si="95"/>
        <v>0</v>
      </c>
      <c r="GT6" t="b">
        <f t="shared" ca="1" si="96"/>
        <v>0</v>
      </c>
      <c r="GU6">
        <f t="shared" ca="1" si="97"/>
        <v>0</v>
      </c>
      <c r="GV6">
        <f t="shared" ca="1" si="98"/>
        <v>5430</v>
      </c>
      <c r="GW6">
        <f t="shared" ca="1" si="99"/>
        <v>0</v>
      </c>
      <c r="GX6">
        <f t="shared" ca="1" si="100"/>
        <v>0</v>
      </c>
      <c r="GY6">
        <f t="shared" ca="1" si="101"/>
        <v>0</v>
      </c>
    </row>
    <row r="7" spans="1:207" x14ac:dyDescent="0.25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2"/>
        <v>6800</v>
      </c>
      <c r="I7">
        <f>_xlfn.XLOOKUP(B7,'[1]march-2026'!$A:$A,'[1]march-2026'!$C:$C,0,0)</f>
        <v>32500</v>
      </c>
      <c r="J7">
        <f t="shared" si="168"/>
        <v>5850</v>
      </c>
      <c r="K7">
        <f t="shared" si="104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5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6"/>
        <v>200</v>
      </c>
      <c r="R7">
        <f t="shared" si="107"/>
        <v>40550</v>
      </c>
      <c r="S7">
        <f>_xlfn.XLOOKUP(B7,'[2]april-2026'!$A:$A,'[2]april-2026'!$C:$C,0,0)</f>
        <v>32500</v>
      </c>
      <c r="T7">
        <f t="shared" si="108"/>
        <v>5850</v>
      </c>
      <c r="U7">
        <f t="shared" si="109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0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1"/>
        <v>200</v>
      </c>
      <c r="AB7">
        <f t="shared" si="112"/>
        <v>40550</v>
      </c>
      <c r="AC7">
        <f>_xlfn.XLOOKUP(B7,'[3]may-2026'!$A:$A,'[3]may-2026'!$C:$C,0,0)</f>
        <v>32500</v>
      </c>
      <c r="AD7">
        <f t="shared" si="113"/>
        <v>5850</v>
      </c>
      <c r="AE7">
        <f t="shared" si="114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5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6"/>
        <v>200</v>
      </c>
      <c r="AL7">
        <f t="shared" si="117"/>
        <v>40550</v>
      </c>
      <c r="AM7">
        <f>_xlfn.XLOOKUP(B7,'[4]june-2026'!$A:$A,'[4]june-2026'!$C:$C,0,0)</f>
        <v>32500</v>
      </c>
      <c r="AN7">
        <f t="shared" si="118"/>
        <v>5850</v>
      </c>
      <c r="AO7">
        <f t="shared" si="119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0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1"/>
        <v>200</v>
      </c>
      <c r="AV7">
        <f t="shared" si="122"/>
        <v>40550</v>
      </c>
      <c r="AW7">
        <f>_xlfn.XLOOKUP(B7,'[5]july-2026'!$A:$A,'[5]july-2026'!$C:$C,0,0)</f>
        <v>33500</v>
      </c>
      <c r="AX7">
        <f t="shared" si="123"/>
        <v>6030</v>
      </c>
      <c r="AY7">
        <v>5</v>
      </c>
      <c r="AZ7">
        <f t="shared" si="124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5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6"/>
        <v>200</v>
      </c>
      <c r="BG7">
        <f t="shared" si="127"/>
        <v>41855</v>
      </c>
      <c r="BH7">
        <f>_xlfn.XLOOKUP(B7,'[6]august-2026'!$A:$A,'[6]august-2026'!$C:$C,0,0)</f>
        <v>33500</v>
      </c>
      <c r="BI7">
        <f t="shared" si="128"/>
        <v>6030</v>
      </c>
      <c r="BJ7">
        <f t="shared" si="129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0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1"/>
        <v>200</v>
      </c>
      <c r="BQ7">
        <f t="shared" si="132"/>
        <v>41850</v>
      </c>
      <c r="BR7">
        <f>_xlfn.XLOOKUP(B7,'[7]september-2026'!$A:$A,'[7]september-2026'!$C:$C,0,0)</f>
        <v>33500</v>
      </c>
      <c r="BS7">
        <f t="shared" si="133"/>
        <v>6030</v>
      </c>
      <c r="BT7">
        <f t="shared" si="134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5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6"/>
        <v>200</v>
      </c>
      <c r="CA7">
        <f t="shared" si="137"/>
        <v>41850</v>
      </c>
      <c r="CB7">
        <f>_xlfn.XLOOKUP(B7,'[8]october-2026'!$A:$A,'[8]october-2026'!$C:$C,0,0)</f>
        <v>33500</v>
      </c>
      <c r="CC7">
        <f t="shared" si="138"/>
        <v>6030</v>
      </c>
      <c r="CD7">
        <f t="shared" si="139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0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1"/>
        <v>200</v>
      </c>
      <c r="CK7">
        <f t="shared" si="142"/>
        <v>41850</v>
      </c>
      <c r="CL7">
        <f>_xlfn.XLOOKUP(B7,'[9]november-2026'!$A:$A,'[9]november-2026'!$C:$C,0,0)</f>
        <v>33500</v>
      </c>
      <c r="CM7">
        <f t="shared" si="143"/>
        <v>6030</v>
      </c>
      <c r="CN7">
        <f t="shared" si="144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5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6"/>
        <v>200</v>
      </c>
      <c r="CU7">
        <f t="shared" si="147"/>
        <v>41850</v>
      </c>
      <c r="CV7">
        <f>_xlfn.XLOOKUP(B7,'[10]december-2026'!$A:$A,'[10]december-2026'!$C:$C,0,0)</f>
        <v>33500</v>
      </c>
      <c r="CW7">
        <f t="shared" si="148"/>
        <v>6030</v>
      </c>
      <c r="CX7">
        <f t="shared" si="149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0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1"/>
        <v>200</v>
      </c>
      <c r="DE7">
        <f t="shared" si="152"/>
        <v>41850</v>
      </c>
      <c r="DF7">
        <f xml:space="preserve"> _xlfn.XLOOKUP(B7,
'[11]january-2027'!$A:$A,
'[11]january-2027'!$C:$C,
0,0)</f>
        <v>33500</v>
      </c>
      <c r="DG7">
        <f t="shared" si="153"/>
        <v>6030</v>
      </c>
      <c r="DH7">
        <f t="shared" si="154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5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6"/>
        <v>200</v>
      </c>
      <c r="DO7">
        <f t="shared" si="157"/>
        <v>41850</v>
      </c>
      <c r="DP7">
        <f xml:space="preserve"> _xlfn.XLOOKUP(B7,
'[12]february-2027'!$A:$A,
'[12]february-2027'!$C:$C,
0,0)</f>
        <v>33500</v>
      </c>
      <c r="DQ7">
        <f t="shared" si="158"/>
        <v>6030</v>
      </c>
      <c r="DR7">
        <f t="shared" si="159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0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1"/>
        <v>200</v>
      </c>
      <c r="DY7">
        <f t="shared" si="162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3"/>
        <v>0</v>
      </c>
      <c r="EM7">
        <f t="shared" si="164"/>
        <v>530205</v>
      </c>
      <c r="EN7">
        <f t="shared" si="165"/>
        <v>2400</v>
      </c>
      <c r="EO7">
        <f t="shared" si="166"/>
        <v>50000</v>
      </c>
      <c r="EP7">
        <v>0</v>
      </c>
      <c r="EQ7">
        <f t="shared" si="167"/>
        <v>477805</v>
      </c>
      <c r="ER7">
        <f t="shared" si="62"/>
        <v>24000</v>
      </c>
      <c r="ES7">
        <f t="shared" si="63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4"/>
        <v>24000</v>
      </c>
      <c r="FE7">
        <f t="shared" si="65"/>
        <v>24000</v>
      </c>
      <c r="FF7">
        <f t="shared" si="66"/>
        <v>453805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>SUM(FG7:FM7)+(IF(F7="YES",50000,0))</f>
        <v>0</v>
      </c>
      <c r="FO7">
        <f t="shared" si="67"/>
        <v>453805</v>
      </c>
      <c r="FP7">
        <f t="shared" si="68"/>
        <v>10190</v>
      </c>
      <c r="FQ7">
        <f t="shared" si="69"/>
        <v>0</v>
      </c>
      <c r="FR7">
        <f t="shared" si="70"/>
        <v>10190</v>
      </c>
      <c r="FS7">
        <f t="shared" si="71"/>
        <v>0</v>
      </c>
      <c r="FT7">
        <f t="shared" si="72"/>
        <v>0</v>
      </c>
      <c r="FU7">
        <f t="shared" si="73"/>
        <v>0</v>
      </c>
      <c r="FV7">
        <v>0</v>
      </c>
      <c r="FW7">
        <f t="shared" si="74"/>
        <v>0</v>
      </c>
      <c r="FX7" t="b">
        <f t="shared" si="75"/>
        <v>1</v>
      </c>
      <c r="FY7">
        <f t="shared" ca="1" si="76"/>
        <v>830</v>
      </c>
      <c r="FZ7">
        <f t="shared" ca="1" si="77"/>
        <v>531035</v>
      </c>
      <c r="GA7">
        <f t="shared" si="78"/>
        <v>75000</v>
      </c>
      <c r="GB7">
        <f t="shared" ca="1" si="79"/>
        <v>456035</v>
      </c>
      <c r="GC7">
        <f t="shared" ca="1" si="80"/>
        <v>0</v>
      </c>
      <c r="GD7">
        <f t="shared" ca="1" si="81"/>
        <v>0</v>
      </c>
      <c r="GE7">
        <f t="shared" ca="1" si="82"/>
        <v>0</v>
      </c>
      <c r="GF7">
        <f t="shared" ca="1" si="83"/>
        <v>0</v>
      </c>
      <c r="GG7">
        <f t="shared" ca="1" si="84"/>
        <v>0</v>
      </c>
      <c r="GH7">
        <f t="shared" ca="1" si="85"/>
        <v>0</v>
      </c>
      <c r="GI7">
        <f ca="1">IF(GB7&gt;1200000,GB7-1200000-IF(F7="YES",50000,0)-GG7,0)</f>
        <v>0</v>
      </c>
      <c r="GJ7">
        <f t="shared" ca="1" si="86"/>
        <v>0</v>
      </c>
      <c r="GK7">
        <f t="shared" ca="1" si="87"/>
        <v>0</v>
      </c>
      <c r="GL7">
        <f t="shared" ca="1" si="88"/>
        <v>0</v>
      </c>
      <c r="GM7">
        <f t="shared" ca="1" si="89"/>
        <v>56035</v>
      </c>
      <c r="GN7">
        <f t="shared" ca="1" si="90"/>
        <v>2801.75</v>
      </c>
      <c r="GO7">
        <f t="shared" ca="1" si="91"/>
        <v>2802</v>
      </c>
      <c r="GP7">
        <f t="shared" ca="1" si="92"/>
        <v>0</v>
      </c>
      <c r="GQ7">
        <f t="shared" ca="1" si="93"/>
        <v>0</v>
      </c>
      <c r="GR7">
        <f t="shared" ca="1" si="94"/>
        <v>2802</v>
      </c>
      <c r="GS7">
        <f t="shared" ca="1" si="95"/>
        <v>0</v>
      </c>
      <c r="GT7" t="b">
        <f t="shared" ca="1" si="96"/>
        <v>0</v>
      </c>
      <c r="GU7">
        <f t="shared" ca="1" si="97"/>
        <v>0</v>
      </c>
      <c r="GV7">
        <f t="shared" ca="1" si="98"/>
        <v>2802</v>
      </c>
      <c r="GW7">
        <f t="shared" ca="1" si="99"/>
        <v>0</v>
      </c>
      <c r="GX7">
        <f t="shared" ca="1" si="100"/>
        <v>0</v>
      </c>
      <c r="GY7">
        <f t="shared" ca="1" si="101"/>
        <v>0</v>
      </c>
    </row>
    <row r="8" spans="1:207" x14ac:dyDescent="0.25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2"/>
        <v>6800</v>
      </c>
      <c r="I8">
        <f>_xlfn.XLOOKUP(B8,'[1]march-2026'!$A:$A,'[1]march-2026'!$C:$C,0,0)</f>
        <v>48700</v>
      </c>
      <c r="J8">
        <f t="shared" si="168"/>
        <v>8766</v>
      </c>
      <c r="K8">
        <f t="shared" si="104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5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6"/>
        <v>200</v>
      </c>
      <c r="R8">
        <f t="shared" si="107"/>
        <v>59010</v>
      </c>
      <c r="S8">
        <f>_xlfn.XLOOKUP(B8,'[2]april-2026'!$A:$A,'[2]april-2026'!$C:$C,0,0)</f>
        <v>48700</v>
      </c>
      <c r="T8">
        <f t="shared" si="108"/>
        <v>8766</v>
      </c>
      <c r="U8">
        <f t="shared" si="109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0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1"/>
        <v>200</v>
      </c>
      <c r="AB8">
        <f t="shared" si="112"/>
        <v>59010</v>
      </c>
      <c r="AC8">
        <f>_xlfn.XLOOKUP(B8,'[3]may-2026'!$A:$A,'[3]may-2026'!$C:$C,0,0)</f>
        <v>48700</v>
      </c>
      <c r="AD8">
        <f t="shared" si="113"/>
        <v>8766</v>
      </c>
      <c r="AE8">
        <f t="shared" si="114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5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6"/>
        <v>200</v>
      </c>
      <c r="AL8">
        <f t="shared" si="117"/>
        <v>59010</v>
      </c>
      <c r="AM8">
        <f>_xlfn.XLOOKUP(B8,'[4]june-2026'!$A:$A,'[4]june-2026'!$C:$C,0,0)</f>
        <v>48700</v>
      </c>
      <c r="AN8">
        <f t="shared" si="118"/>
        <v>8766</v>
      </c>
      <c r="AO8">
        <f t="shared" si="119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0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1"/>
        <v>200</v>
      </c>
      <c r="AV8">
        <f t="shared" si="122"/>
        <v>59010</v>
      </c>
      <c r="AW8">
        <f>_xlfn.XLOOKUP(B8,'[5]july-2026'!$A:$A,'[5]july-2026'!$C:$C,0,0)</f>
        <v>50200</v>
      </c>
      <c r="AX8">
        <f t="shared" si="123"/>
        <v>9036</v>
      </c>
      <c r="AY8">
        <v>6</v>
      </c>
      <c r="AZ8">
        <f t="shared" si="124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5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6"/>
        <v>200</v>
      </c>
      <c r="BG8">
        <f t="shared" si="127"/>
        <v>60966</v>
      </c>
      <c r="BH8">
        <f>_xlfn.XLOOKUP(B8,'[6]august-2026'!$A:$A,'[6]august-2026'!$C:$C,0,0)</f>
        <v>50200</v>
      </c>
      <c r="BI8">
        <f t="shared" si="128"/>
        <v>9036</v>
      </c>
      <c r="BJ8">
        <f t="shared" si="129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0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1"/>
        <v>200</v>
      </c>
      <c r="BQ8">
        <f t="shared" si="132"/>
        <v>60960</v>
      </c>
      <c r="BR8">
        <f>_xlfn.XLOOKUP(B8,'[7]september-2026'!$A:$A,'[7]september-2026'!$C:$C,0,0)</f>
        <v>50200</v>
      </c>
      <c r="BS8">
        <f t="shared" si="133"/>
        <v>9036</v>
      </c>
      <c r="BT8">
        <f t="shared" si="134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5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6"/>
        <v>200</v>
      </c>
      <c r="CA8">
        <f t="shared" si="137"/>
        <v>60960</v>
      </c>
      <c r="CB8">
        <f>_xlfn.XLOOKUP(B8,'[8]october-2026'!$A:$A,'[8]october-2026'!$C:$C,0,0)</f>
        <v>50200</v>
      </c>
      <c r="CC8">
        <f t="shared" si="138"/>
        <v>9036</v>
      </c>
      <c r="CD8">
        <f t="shared" si="139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0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1"/>
        <v>200</v>
      </c>
      <c r="CK8">
        <f t="shared" si="142"/>
        <v>60960</v>
      </c>
      <c r="CL8">
        <f>_xlfn.XLOOKUP(B8,'[9]november-2026'!$A:$A,'[9]november-2026'!$C:$C,0,0)</f>
        <v>50200</v>
      </c>
      <c r="CM8">
        <f t="shared" si="143"/>
        <v>9036</v>
      </c>
      <c r="CN8">
        <f t="shared" si="144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5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6"/>
        <v>200</v>
      </c>
      <c r="CU8">
        <f t="shared" si="147"/>
        <v>60960</v>
      </c>
      <c r="CV8">
        <f>_xlfn.XLOOKUP(B8,'[10]december-2026'!$A:$A,'[10]december-2026'!$C:$C,0,0)</f>
        <v>50200</v>
      </c>
      <c r="CW8">
        <f t="shared" si="148"/>
        <v>9036</v>
      </c>
      <c r="CX8">
        <f t="shared" si="149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0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1"/>
        <v>200</v>
      </c>
      <c r="DE8">
        <f t="shared" si="152"/>
        <v>60960</v>
      </c>
      <c r="DF8">
        <f xml:space="preserve"> _xlfn.XLOOKUP(B8,
'[11]january-2027'!$A:$A,
'[11]january-2027'!$C:$C,
0,0)</f>
        <v>50200</v>
      </c>
      <c r="DG8">
        <f t="shared" si="153"/>
        <v>9036</v>
      </c>
      <c r="DH8">
        <f t="shared" si="154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5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6"/>
        <v>200</v>
      </c>
      <c r="DO8">
        <f t="shared" si="157"/>
        <v>60960</v>
      </c>
      <c r="DP8">
        <f xml:space="preserve"> _xlfn.XLOOKUP(B8,
'[12]february-2027'!$A:$A,
'[12]february-2027'!$C:$C,
0,0)</f>
        <v>50200</v>
      </c>
      <c r="DQ8">
        <f t="shared" si="158"/>
        <v>9036</v>
      </c>
      <c r="DR8">
        <f t="shared" si="159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0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1"/>
        <v>200</v>
      </c>
      <c r="DY8">
        <f t="shared" si="162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3"/>
        <v>0</v>
      </c>
      <c r="EM8">
        <f t="shared" si="164"/>
        <v>792926</v>
      </c>
      <c r="EN8">
        <f t="shared" si="165"/>
        <v>2400</v>
      </c>
      <c r="EO8">
        <f t="shared" si="166"/>
        <v>50000</v>
      </c>
      <c r="EP8">
        <v>0</v>
      </c>
      <c r="EQ8">
        <f t="shared" si="167"/>
        <v>740526</v>
      </c>
      <c r="ER8">
        <f t="shared" si="62"/>
        <v>60000</v>
      </c>
      <c r="ES8">
        <f t="shared" si="63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4"/>
        <v>60000</v>
      </c>
      <c r="FE8">
        <f t="shared" si="65"/>
        <v>60000</v>
      </c>
      <c r="FF8">
        <f t="shared" si="66"/>
        <v>680526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>SUM(FG8:FM8)+(IF(F8="YES",50000,0))</f>
        <v>0</v>
      </c>
      <c r="FO8">
        <f t="shared" si="67"/>
        <v>680526</v>
      </c>
      <c r="FP8">
        <f t="shared" si="68"/>
        <v>12500</v>
      </c>
      <c r="FQ8">
        <f t="shared" si="69"/>
        <v>36105</v>
      </c>
      <c r="FR8">
        <f t="shared" si="70"/>
        <v>48605</v>
      </c>
      <c r="FS8">
        <f t="shared" si="71"/>
        <v>48605</v>
      </c>
      <c r="FT8">
        <f t="shared" si="72"/>
        <v>1944.2</v>
      </c>
      <c r="FU8">
        <f t="shared" si="73"/>
        <v>50549</v>
      </c>
      <c r="FV8">
        <v>0</v>
      </c>
      <c r="FW8">
        <f t="shared" si="74"/>
        <v>50549</v>
      </c>
      <c r="FX8" t="b">
        <f t="shared" si="75"/>
        <v>1</v>
      </c>
      <c r="FY8">
        <f t="shared" ca="1" si="76"/>
        <v>963</v>
      </c>
      <c r="FZ8">
        <f t="shared" ca="1" si="77"/>
        <v>793889</v>
      </c>
      <c r="GA8">
        <f t="shared" si="78"/>
        <v>75000</v>
      </c>
      <c r="GB8">
        <f t="shared" ca="1" si="79"/>
        <v>718889</v>
      </c>
      <c r="GC8">
        <f t="shared" ca="1" si="80"/>
        <v>0</v>
      </c>
      <c r="GD8">
        <f t="shared" ca="1" si="81"/>
        <v>0</v>
      </c>
      <c r="GE8">
        <f t="shared" ca="1" si="82"/>
        <v>0</v>
      </c>
      <c r="GF8">
        <f t="shared" ca="1" si="83"/>
        <v>0</v>
      </c>
      <c r="GG8">
        <f t="shared" ca="1" si="84"/>
        <v>0</v>
      </c>
      <c r="GH8">
        <f t="shared" ca="1" si="85"/>
        <v>0</v>
      </c>
      <c r="GI8">
        <f ca="1">IF(GB8&gt;1200000,GB8-1200000-IF(F8="YES",50000,0)-GG8,0)</f>
        <v>0</v>
      </c>
      <c r="GJ8">
        <f t="shared" ca="1" si="86"/>
        <v>0</v>
      </c>
      <c r="GK8">
        <f t="shared" ca="1" si="87"/>
        <v>0</v>
      </c>
      <c r="GL8">
        <f t="shared" ca="1" si="88"/>
        <v>0</v>
      </c>
      <c r="GM8">
        <f t="shared" ca="1" si="89"/>
        <v>318889</v>
      </c>
      <c r="GN8">
        <f t="shared" ca="1" si="90"/>
        <v>15944.45</v>
      </c>
      <c r="GO8">
        <f t="shared" ca="1" si="91"/>
        <v>15944</v>
      </c>
      <c r="GP8">
        <f t="shared" ca="1" si="92"/>
        <v>0</v>
      </c>
      <c r="GQ8">
        <f t="shared" ca="1" si="93"/>
        <v>0</v>
      </c>
      <c r="GR8">
        <f t="shared" ca="1" si="94"/>
        <v>15944</v>
      </c>
      <c r="GS8">
        <f t="shared" ca="1" si="95"/>
        <v>0</v>
      </c>
      <c r="GT8" t="b">
        <f t="shared" ca="1" si="96"/>
        <v>0</v>
      </c>
      <c r="GU8">
        <f t="shared" ca="1" si="97"/>
        <v>0</v>
      </c>
      <c r="GV8">
        <f t="shared" ca="1" si="98"/>
        <v>15944</v>
      </c>
      <c r="GW8">
        <f t="shared" ca="1" si="99"/>
        <v>0</v>
      </c>
      <c r="GX8">
        <f t="shared" ca="1" si="100"/>
        <v>0</v>
      </c>
      <c r="GY8">
        <f t="shared" ca="1" si="101"/>
        <v>0</v>
      </c>
    </row>
    <row r="9" spans="1:207" x14ac:dyDescent="0.25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2"/>
        <v>6800</v>
      </c>
      <c r="I9">
        <f>_xlfn.XLOOKUP(B9,'[1]march-2026'!$A:$A,'[1]march-2026'!$C:$C,0,0)</f>
        <v>35500</v>
      </c>
      <c r="J9">
        <f t="shared" si="168"/>
        <v>6390</v>
      </c>
      <c r="K9">
        <f t="shared" si="104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5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6"/>
        <v>200</v>
      </c>
      <c r="R9">
        <f t="shared" si="107"/>
        <v>41450</v>
      </c>
      <c r="S9">
        <f>_xlfn.XLOOKUP(B9,'[2]april-2026'!$A:$A,'[2]april-2026'!$C:$C,0,0)</f>
        <v>35500</v>
      </c>
      <c r="T9">
        <f t="shared" si="108"/>
        <v>6390</v>
      </c>
      <c r="U9">
        <f t="shared" si="109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0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1"/>
        <v>200</v>
      </c>
      <c r="AB9">
        <f t="shared" si="112"/>
        <v>41450</v>
      </c>
      <c r="AC9">
        <f>_xlfn.XLOOKUP(B9,'[3]may-2026'!$A:$A,'[3]may-2026'!$C:$C,0,0)</f>
        <v>35500</v>
      </c>
      <c r="AD9">
        <f t="shared" si="113"/>
        <v>6390</v>
      </c>
      <c r="AE9">
        <f t="shared" si="114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5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6"/>
        <v>200</v>
      </c>
      <c r="AL9">
        <f t="shared" si="117"/>
        <v>41450</v>
      </c>
      <c r="AM9">
        <f>_xlfn.XLOOKUP(B9,'[4]june-2026'!$A:$A,'[4]june-2026'!$C:$C,0,0)</f>
        <v>35500</v>
      </c>
      <c r="AN9">
        <f t="shared" si="118"/>
        <v>6390</v>
      </c>
      <c r="AO9">
        <f t="shared" si="119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0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1"/>
        <v>200</v>
      </c>
      <c r="AV9">
        <f t="shared" si="122"/>
        <v>41450</v>
      </c>
      <c r="AW9">
        <f>_xlfn.XLOOKUP(B9,'[5]july-2026'!$A:$A,'[5]july-2026'!$C:$C,0,0)</f>
        <v>36600</v>
      </c>
      <c r="AX9">
        <f t="shared" si="123"/>
        <v>6588</v>
      </c>
      <c r="AY9">
        <v>7</v>
      </c>
      <c r="AZ9">
        <f t="shared" si="124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5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6"/>
        <v>200</v>
      </c>
      <c r="BG9">
        <f t="shared" si="127"/>
        <v>42887</v>
      </c>
      <c r="BH9">
        <f>_xlfn.XLOOKUP(B9,'[6]august-2026'!$A:$A,'[6]august-2026'!$C:$C,0,0)</f>
        <v>36600</v>
      </c>
      <c r="BI9">
        <f t="shared" si="128"/>
        <v>6588</v>
      </c>
      <c r="BJ9">
        <f t="shared" si="129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0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1"/>
        <v>200</v>
      </c>
      <c r="BQ9">
        <f t="shared" si="132"/>
        <v>42880</v>
      </c>
      <c r="BR9">
        <f>_xlfn.XLOOKUP(B9,'[7]september-2026'!$A:$A,'[7]september-2026'!$C:$C,0,0)</f>
        <v>36600</v>
      </c>
      <c r="BS9">
        <f t="shared" si="133"/>
        <v>6588</v>
      </c>
      <c r="BT9">
        <f t="shared" si="134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5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6"/>
        <v>200</v>
      </c>
      <c r="CA9">
        <f t="shared" si="137"/>
        <v>42880</v>
      </c>
      <c r="CB9">
        <f>_xlfn.XLOOKUP(B9,'[8]october-2026'!$A:$A,'[8]october-2026'!$C:$C,0,0)</f>
        <v>36600</v>
      </c>
      <c r="CC9">
        <f t="shared" si="138"/>
        <v>6588</v>
      </c>
      <c r="CD9">
        <f t="shared" si="139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0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1"/>
        <v>200</v>
      </c>
      <c r="CK9">
        <f t="shared" si="142"/>
        <v>42880</v>
      </c>
      <c r="CL9">
        <f>_xlfn.XLOOKUP(B9,'[9]november-2026'!$A:$A,'[9]november-2026'!$C:$C,0,0)</f>
        <v>36600</v>
      </c>
      <c r="CM9">
        <f t="shared" si="143"/>
        <v>6588</v>
      </c>
      <c r="CN9">
        <f t="shared" si="144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5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6"/>
        <v>200</v>
      </c>
      <c r="CU9">
        <f t="shared" si="147"/>
        <v>42880</v>
      </c>
      <c r="CV9">
        <f>_xlfn.XLOOKUP(B9,'[10]december-2026'!$A:$A,'[10]december-2026'!$C:$C,0,0)</f>
        <v>36600</v>
      </c>
      <c r="CW9">
        <f t="shared" si="148"/>
        <v>6588</v>
      </c>
      <c r="CX9">
        <f t="shared" si="149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0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1"/>
        <v>200</v>
      </c>
      <c r="DE9">
        <f t="shared" si="152"/>
        <v>42880</v>
      </c>
      <c r="DF9">
        <f xml:space="preserve"> _xlfn.XLOOKUP(B9,
'[11]january-2027'!$A:$A,
'[11]january-2027'!$C:$C,
0,0)</f>
        <v>36600</v>
      </c>
      <c r="DG9">
        <f t="shared" si="153"/>
        <v>6588</v>
      </c>
      <c r="DH9">
        <f t="shared" si="154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5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6"/>
        <v>200</v>
      </c>
      <c r="DO9">
        <f t="shared" si="157"/>
        <v>42880</v>
      </c>
      <c r="DP9">
        <f xml:space="preserve"> _xlfn.XLOOKUP(B9,
'[12]february-2027'!$A:$A,
'[12]february-2027'!$C:$C,
0,0)</f>
        <v>36600</v>
      </c>
      <c r="DQ9">
        <f t="shared" si="158"/>
        <v>6588</v>
      </c>
      <c r="DR9">
        <f t="shared" si="159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0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1"/>
        <v>200</v>
      </c>
      <c r="DY9">
        <f t="shared" si="162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3"/>
        <v>0</v>
      </c>
      <c r="EM9">
        <f t="shared" si="164"/>
        <v>578047</v>
      </c>
      <c r="EN9">
        <f t="shared" si="165"/>
        <v>2400</v>
      </c>
      <c r="EO9">
        <f t="shared" si="166"/>
        <v>50000</v>
      </c>
      <c r="EP9">
        <v>0</v>
      </c>
      <c r="EQ9">
        <f t="shared" si="167"/>
        <v>525647</v>
      </c>
      <c r="ER9">
        <f t="shared" si="62"/>
        <v>60000</v>
      </c>
      <c r="ES9">
        <f t="shared" si="63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4"/>
        <v>60000</v>
      </c>
      <c r="FE9">
        <f t="shared" si="65"/>
        <v>60000</v>
      </c>
      <c r="FF9">
        <f t="shared" si="66"/>
        <v>465647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>SUM(FG9:FM9)+(IF(F9="YES",50000,0))</f>
        <v>0</v>
      </c>
      <c r="FO9">
        <f t="shared" si="67"/>
        <v>465647</v>
      </c>
      <c r="FP9">
        <f t="shared" si="68"/>
        <v>10782</v>
      </c>
      <c r="FQ9">
        <f t="shared" si="69"/>
        <v>0</v>
      </c>
      <c r="FR9">
        <f t="shared" si="70"/>
        <v>10782</v>
      </c>
      <c r="FS9">
        <f t="shared" si="71"/>
        <v>0</v>
      </c>
      <c r="FT9">
        <f t="shared" si="72"/>
        <v>0</v>
      </c>
      <c r="FU9">
        <f t="shared" si="73"/>
        <v>0</v>
      </c>
      <c r="FV9">
        <v>0</v>
      </c>
      <c r="FW9">
        <f t="shared" si="74"/>
        <v>0</v>
      </c>
      <c r="FX9" t="b">
        <f t="shared" si="75"/>
        <v>1</v>
      </c>
      <c r="FY9">
        <f t="shared" ca="1" si="76"/>
        <v>520</v>
      </c>
      <c r="FZ9">
        <f t="shared" ca="1" si="77"/>
        <v>578567</v>
      </c>
      <c r="GA9">
        <f t="shared" si="78"/>
        <v>75000</v>
      </c>
      <c r="GB9">
        <f t="shared" ca="1" si="79"/>
        <v>503567</v>
      </c>
      <c r="GC9">
        <f t="shared" ca="1" si="80"/>
        <v>0</v>
      </c>
      <c r="GD9">
        <f t="shared" ca="1" si="81"/>
        <v>0</v>
      </c>
      <c r="GE9">
        <f t="shared" ca="1" si="82"/>
        <v>0</v>
      </c>
      <c r="GF9">
        <f t="shared" ca="1" si="83"/>
        <v>0</v>
      </c>
      <c r="GG9">
        <f t="shared" ca="1" si="84"/>
        <v>0</v>
      </c>
      <c r="GH9">
        <f t="shared" ca="1" si="85"/>
        <v>0</v>
      </c>
      <c r="GI9">
        <f ca="1">IF(GB9&gt;1200000,GB9-1200000-IF(F9="YES",50000,0)-GG9,0)</f>
        <v>0</v>
      </c>
      <c r="GJ9">
        <f t="shared" ca="1" si="86"/>
        <v>0</v>
      </c>
      <c r="GK9">
        <f t="shared" ca="1" si="87"/>
        <v>0</v>
      </c>
      <c r="GL9">
        <f t="shared" ca="1" si="88"/>
        <v>0</v>
      </c>
      <c r="GM9">
        <f t="shared" ca="1" si="89"/>
        <v>103567</v>
      </c>
      <c r="GN9">
        <f t="shared" ca="1" si="90"/>
        <v>5178.3500000000004</v>
      </c>
      <c r="GO9">
        <f t="shared" ca="1" si="91"/>
        <v>5178</v>
      </c>
      <c r="GP9">
        <f t="shared" ca="1" si="92"/>
        <v>0</v>
      </c>
      <c r="GQ9">
        <f t="shared" ca="1" si="93"/>
        <v>0</v>
      </c>
      <c r="GR9">
        <f t="shared" ca="1" si="94"/>
        <v>5178</v>
      </c>
      <c r="GS9">
        <f t="shared" ca="1" si="95"/>
        <v>0</v>
      </c>
      <c r="GT9" t="b">
        <f t="shared" ca="1" si="96"/>
        <v>0</v>
      </c>
      <c r="GU9">
        <f t="shared" ca="1" si="97"/>
        <v>0</v>
      </c>
      <c r="GV9">
        <f t="shared" ca="1" si="98"/>
        <v>5178</v>
      </c>
      <c r="GW9">
        <f t="shared" ca="1" si="99"/>
        <v>0</v>
      </c>
      <c r="GX9">
        <f t="shared" ca="1" si="100"/>
        <v>0</v>
      </c>
      <c r="GY9">
        <f t="shared" ca="1" si="101"/>
        <v>0</v>
      </c>
    </row>
    <row r="10" spans="1:207" x14ac:dyDescent="0.25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2"/>
        <v>6800</v>
      </c>
      <c r="I10">
        <f>_xlfn.XLOOKUP(B10,'[1]march-2026'!$A:$A,'[1]march-2026'!$C:$C,0,0)</f>
        <v>32500</v>
      </c>
      <c r="J10">
        <f t="shared" si="168"/>
        <v>5850</v>
      </c>
      <c r="K10">
        <f t="shared" si="104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5"/>
        <v>42750</v>
      </c>
      <c r="O10">
        <f>_xlfn.XLOOKUP(B10,'[1]march-2026'!$A:$A,'[1]march-2026'!$H:$H,0,0)</f>
        <v>2000</v>
      </c>
      <c r="P10">
        <f>_xlfn.XLOOKUP(B10,'[1]march-2026'!$A:$A,'[1]march-2026'!$I:$I,0,0)</f>
        <v>0</v>
      </c>
      <c r="Q10">
        <f t="shared" si="106"/>
        <v>200</v>
      </c>
      <c r="R10">
        <f t="shared" si="107"/>
        <v>40550</v>
      </c>
      <c r="S10">
        <f>_xlfn.XLOOKUP(B10,'[2]april-2026'!$A:$A,'[2]april-2026'!$C:$C,0,0)</f>
        <v>32500</v>
      </c>
      <c r="T10">
        <f t="shared" si="108"/>
        <v>5850</v>
      </c>
      <c r="U10">
        <f t="shared" si="109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0"/>
        <v>42750</v>
      </c>
      <c r="Y10">
        <f>_xlfn.XLOOKUP(B10,'[2]april-2026'!$A:$A,'[2]april-2026'!$H:$H,0,0)</f>
        <v>2000</v>
      </c>
      <c r="Z10">
        <f>_xlfn.XLOOKUP(B10,'[2]april-2026'!$A:$A,'[2]april-2026'!$I:$I,0,0)</f>
        <v>0</v>
      </c>
      <c r="AA10">
        <f t="shared" si="111"/>
        <v>200</v>
      </c>
      <c r="AB10">
        <f t="shared" si="112"/>
        <v>40550</v>
      </c>
      <c r="AC10">
        <f>_xlfn.XLOOKUP(B10,'[3]may-2026'!$A:$A,'[3]may-2026'!$C:$C,0,0)</f>
        <v>32500</v>
      </c>
      <c r="AD10">
        <f t="shared" si="113"/>
        <v>5850</v>
      </c>
      <c r="AE10">
        <f t="shared" si="114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5"/>
        <v>42750</v>
      </c>
      <c r="AI10">
        <f>_xlfn.XLOOKUP(B10,'[3]may-2026'!$A:$A,'[3]may-2026'!$H:$H,0,0)</f>
        <v>2000</v>
      </c>
      <c r="AJ10">
        <f>_xlfn.XLOOKUP(B10,'[3]may-2026'!$A:$A,'[3]may-2026'!$I:$I,0,0)</f>
        <v>0</v>
      </c>
      <c r="AK10">
        <f t="shared" si="116"/>
        <v>200</v>
      </c>
      <c r="AL10">
        <f t="shared" si="117"/>
        <v>40550</v>
      </c>
      <c r="AM10">
        <f>_xlfn.XLOOKUP(B10,'[4]june-2026'!$A:$A,'[4]june-2026'!$C:$C,0,0)</f>
        <v>32500</v>
      </c>
      <c r="AN10">
        <f t="shared" si="118"/>
        <v>5850</v>
      </c>
      <c r="AO10">
        <f t="shared" si="119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0"/>
        <v>42750</v>
      </c>
      <c r="AS10">
        <f>_xlfn.XLOOKUP(B10,'[4]june-2026'!$A:$A,'[4]june-2026'!$H:$H,0,0)</f>
        <v>2000</v>
      </c>
      <c r="AT10">
        <f>_xlfn.XLOOKUP(B10,'[4]june-2026'!$A:$A,'[4]june-2026'!$I:$I,0,0)</f>
        <v>0</v>
      </c>
      <c r="AU10">
        <f t="shared" si="121"/>
        <v>200</v>
      </c>
      <c r="AV10">
        <f t="shared" si="122"/>
        <v>40550</v>
      </c>
      <c r="AW10">
        <f>_xlfn.XLOOKUP(B10,'[5]july-2026'!$A:$A,'[5]july-2026'!$C:$C,0,0)</f>
        <v>33500</v>
      </c>
      <c r="AX10">
        <f t="shared" si="123"/>
        <v>6030</v>
      </c>
      <c r="AY10">
        <v>8</v>
      </c>
      <c r="AZ10">
        <f t="shared" si="124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5"/>
        <v>44058</v>
      </c>
      <c r="BD10">
        <f>_xlfn.XLOOKUP(B10,'[5]july-2026'!$A:$A,'[5]july-2026'!$H:$H,0,0)</f>
        <v>2000</v>
      </c>
      <c r="BE10">
        <f>_xlfn.XLOOKUP(B10,'[5]july-2026'!$A:$A,'[5]july-2026'!$I:$I,0,0)</f>
        <v>0</v>
      </c>
      <c r="BF10">
        <f t="shared" si="126"/>
        <v>200</v>
      </c>
      <c r="BG10">
        <f t="shared" si="127"/>
        <v>41858</v>
      </c>
      <c r="BH10">
        <f>_xlfn.XLOOKUP(B10,'[6]august-2026'!$A:$A,'[6]august-2026'!$C:$C,0,0)</f>
        <v>33500</v>
      </c>
      <c r="BI10">
        <f t="shared" si="128"/>
        <v>6030</v>
      </c>
      <c r="BJ10">
        <f t="shared" si="129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0"/>
        <v>44050</v>
      </c>
      <c r="BN10">
        <f>_xlfn.XLOOKUP(B10,'[6]august-2026'!$A:$A,'[6]august-2026'!$H:$H,0,0)</f>
        <v>2000</v>
      </c>
      <c r="BO10">
        <f>_xlfn.XLOOKUP(B10,'[6]august-2026'!$A:$A,'[6]august-2026'!$I:$I,0,0)</f>
        <v>0</v>
      </c>
      <c r="BP10">
        <f t="shared" si="131"/>
        <v>200</v>
      </c>
      <c r="BQ10">
        <f t="shared" si="132"/>
        <v>41850</v>
      </c>
      <c r="BR10">
        <f>_xlfn.XLOOKUP(B10,'[7]september-2026'!$A:$A,'[7]september-2026'!$C:$C,0,0)</f>
        <v>33500</v>
      </c>
      <c r="BS10">
        <f t="shared" si="133"/>
        <v>6030</v>
      </c>
      <c r="BT10">
        <f t="shared" si="134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5"/>
        <v>44050</v>
      </c>
      <c r="BX10">
        <f>_xlfn.XLOOKUP(B10,'[7]september-2026'!$A:$A,'[7]september-2026'!$H:$H,0,0)</f>
        <v>2000</v>
      </c>
      <c r="BY10">
        <f>_xlfn.XLOOKUP(B10,'[7]september-2026'!$A:$A,'[7]september-2026'!$I:$I,0,0)</f>
        <v>0</v>
      </c>
      <c r="BZ10">
        <f t="shared" si="136"/>
        <v>200</v>
      </c>
      <c r="CA10">
        <f t="shared" si="137"/>
        <v>41850</v>
      </c>
      <c r="CB10">
        <f>_xlfn.XLOOKUP(B10,'[8]october-2026'!$A:$A,'[8]october-2026'!$C:$C,0,0)</f>
        <v>33500</v>
      </c>
      <c r="CC10">
        <f t="shared" si="138"/>
        <v>6030</v>
      </c>
      <c r="CD10">
        <f t="shared" si="139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0"/>
        <v>44050</v>
      </c>
      <c r="CH10">
        <f>_xlfn.XLOOKUP(B10,'[8]october-2026'!$A:$A,'[8]october-2026'!$H:$H,0,0)</f>
        <v>2000</v>
      </c>
      <c r="CI10">
        <f>_xlfn.XLOOKUP(B10,'[8]october-2026'!$A:$A,'[8]october-2026'!$I:$I,0,0)</f>
        <v>0</v>
      </c>
      <c r="CJ10">
        <f t="shared" si="141"/>
        <v>200</v>
      </c>
      <c r="CK10">
        <f t="shared" si="142"/>
        <v>41850</v>
      </c>
      <c r="CL10">
        <f>_xlfn.XLOOKUP(B10,'[9]november-2026'!$A:$A,'[9]november-2026'!$C:$C,0,0)</f>
        <v>33500</v>
      </c>
      <c r="CM10">
        <f t="shared" si="143"/>
        <v>6030</v>
      </c>
      <c r="CN10">
        <f t="shared" si="144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5"/>
        <v>44050</v>
      </c>
      <c r="CR10">
        <f>_xlfn.XLOOKUP(B10,'[9]november-2026'!$A:$A,'[9]november-2026'!$H:$H,0,0)</f>
        <v>2000</v>
      </c>
      <c r="CS10">
        <f>_xlfn.XLOOKUP(B10,'[9]november-2026'!$A:$A,'[9]november-2026'!$I:$I,0,0)</f>
        <v>0</v>
      </c>
      <c r="CT10">
        <f t="shared" si="146"/>
        <v>200</v>
      </c>
      <c r="CU10">
        <f t="shared" si="147"/>
        <v>41850</v>
      </c>
      <c r="CV10">
        <f>_xlfn.XLOOKUP(B10,'[10]december-2026'!$A:$A,'[10]december-2026'!$C:$C,0,0)</f>
        <v>33500</v>
      </c>
      <c r="CW10">
        <f t="shared" si="148"/>
        <v>6030</v>
      </c>
      <c r="CX10">
        <f t="shared" si="149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0"/>
        <v>44050</v>
      </c>
      <c r="DB10">
        <f>_xlfn.XLOOKUP(B10,'[10]december-2026'!$A:$A,'[10]december-2026'!$H:$H,0,0)</f>
        <v>2000</v>
      </c>
      <c r="DC10">
        <f>_xlfn.XLOOKUP(B10,'[10]december-2026'!$A:$A,'[10]december-2026'!$I:$I,0,0)</f>
        <v>0</v>
      </c>
      <c r="DD10">
        <f t="shared" si="151"/>
        <v>200</v>
      </c>
      <c r="DE10">
        <f t="shared" si="152"/>
        <v>41850</v>
      </c>
      <c r="DF10">
        <f xml:space="preserve"> _xlfn.XLOOKUP(B10,
'[11]january-2027'!$A:$A,
'[11]january-2027'!$C:$C,
0,0)</f>
        <v>33500</v>
      </c>
      <c r="DG10">
        <f t="shared" si="153"/>
        <v>6030</v>
      </c>
      <c r="DH10">
        <f t="shared" si="154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5"/>
        <v>44050</v>
      </c>
      <c r="DL10">
        <f xml:space="preserve"> _xlfn.XLOOKUP(B10,
'[11]january-2027'!$A:$A,
'[11]january-2027'!$H:$H,
0,0)</f>
        <v>2000</v>
      </c>
      <c r="DM10">
        <f xml:space="preserve"> _xlfn.XLOOKUP(B10,
'[11]january-2027'!$A:$A,
'[11]january-2027'!$I:$I,
0,0)</f>
        <v>0</v>
      </c>
      <c r="DN10">
        <f t="shared" si="156"/>
        <v>200</v>
      </c>
      <c r="DO10">
        <f t="shared" si="157"/>
        <v>41850</v>
      </c>
      <c r="DP10">
        <f xml:space="preserve"> _xlfn.XLOOKUP(B10,
'[12]february-2027'!$A:$A,
'[12]february-2027'!$C:$C,
0,0)</f>
        <v>33500</v>
      </c>
      <c r="DQ10">
        <f t="shared" si="158"/>
        <v>6030</v>
      </c>
      <c r="DR10">
        <f t="shared" si="159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0"/>
        <v>44050</v>
      </c>
      <c r="DV10">
        <f xml:space="preserve"> _xlfn.XLOOKUP(B10,
'[12]february-2027'!$A:$A,
'[12]february-2027'!$H:$H,
0,0)</f>
        <v>2000</v>
      </c>
      <c r="DW10">
        <f xml:space="preserve"> _xlfn.XLOOKUP(B10,
'[12]february-2027'!$A:$A,
'[12]february-2027'!$I:$I,
0,0)</f>
        <v>0</v>
      </c>
      <c r="DX10">
        <f t="shared" si="161"/>
        <v>200</v>
      </c>
      <c r="DY10">
        <f t="shared" si="162"/>
        <v>41850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3"/>
        <v>0</v>
      </c>
      <c r="EM10">
        <f t="shared" si="164"/>
        <v>530208</v>
      </c>
      <c r="EN10">
        <f t="shared" si="165"/>
        <v>2400</v>
      </c>
      <c r="EO10">
        <f t="shared" si="166"/>
        <v>50000</v>
      </c>
      <c r="EP10">
        <v>0</v>
      </c>
      <c r="EQ10">
        <f t="shared" si="167"/>
        <v>477808</v>
      </c>
      <c r="ER10">
        <f t="shared" si="62"/>
        <v>24000</v>
      </c>
      <c r="ES10">
        <f t="shared" si="63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4"/>
        <v>24000</v>
      </c>
      <c r="FE10">
        <f t="shared" si="65"/>
        <v>24000</v>
      </c>
      <c r="FF10">
        <f t="shared" si="66"/>
        <v>453808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>SUM(FG10:FM10)+(IF(F10="YES",50000,0))</f>
        <v>0</v>
      </c>
      <c r="FO10">
        <f t="shared" si="67"/>
        <v>453808</v>
      </c>
      <c r="FP10">
        <f t="shared" si="68"/>
        <v>10190</v>
      </c>
      <c r="FQ10">
        <f t="shared" si="69"/>
        <v>0</v>
      </c>
      <c r="FR10">
        <f t="shared" si="70"/>
        <v>10190</v>
      </c>
      <c r="FS10">
        <f t="shared" si="71"/>
        <v>0</v>
      </c>
      <c r="FT10">
        <f t="shared" si="72"/>
        <v>0</v>
      </c>
      <c r="FU10">
        <f t="shared" si="73"/>
        <v>0</v>
      </c>
      <c r="FV10">
        <v>0</v>
      </c>
      <c r="FW10">
        <f t="shared" si="74"/>
        <v>0</v>
      </c>
      <c r="FX10" t="b">
        <f t="shared" si="75"/>
        <v>1</v>
      </c>
      <c r="FY10">
        <f t="shared" ca="1" si="76"/>
        <v>889</v>
      </c>
      <c r="FZ10">
        <f t="shared" ca="1" si="77"/>
        <v>531097</v>
      </c>
      <c r="GA10">
        <f t="shared" si="78"/>
        <v>75000</v>
      </c>
      <c r="GB10">
        <f t="shared" ca="1" si="79"/>
        <v>456097</v>
      </c>
      <c r="GC10">
        <f t="shared" ca="1" si="80"/>
        <v>0</v>
      </c>
      <c r="GD10">
        <f t="shared" ca="1" si="81"/>
        <v>0</v>
      </c>
      <c r="GE10">
        <f t="shared" ca="1" si="82"/>
        <v>0</v>
      </c>
      <c r="GF10">
        <f t="shared" ca="1" si="83"/>
        <v>0</v>
      </c>
      <c r="GG10">
        <f t="shared" ca="1" si="84"/>
        <v>0</v>
      </c>
      <c r="GH10">
        <f t="shared" ca="1" si="85"/>
        <v>0</v>
      </c>
      <c r="GI10">
        <f ca="1">IF(GB10&gt;1200000,GB10-1200000-IF(F10="YES",50000,0)-GG10,0)</f>
        <v>0</v>
      </c>
      <c r="GJ10">
        <f t="shared" ca="1" si="86"/>
        <v>0</v>
      </c>
      <c r="GK10">
        <f t="shared" ca="1" si="87"/>
        <v>0</v>
      </c>
      <c r="GL10">
        <f t="shared" ca="1" si="88"/>
        <v>0</v>
      </c>
      <c r="GM10">
        <f t="shared" ca="1" si="89"/>
        <v>56097</v>
      </c>
      <c r="GN10">
        <f t="shared" ca="1" si="90"/>
        <v>2804.8500000000004</v>
      </c>
      <c r="GO10">
        <f t="shared" ca="1" si="91"/>
        <v>2805</v>
      </c>
      <c r="GP10">
        <f t="shared" ca="1" si="92"/>
        <v>0</v>
      </c>
      <c r="GQ10">
        <f t="shared" ca="1" si="93"/>
        <v>0</v>
      </c>
      <c r="GR10">
        <f t="shared" ca="1" si="94"/>
        <v>2805</v>
      </c>
      <c r="GS10">
        <f t="shared" ca="1" si="95"/>
        <v>0</v>
      </c>
      <c r="GT10" t="b">
        <f t="shared" ca="1" si="96"/>
        <v>0</v>
      </c>
      <c r="GU10">
        <f t="shared" ca="1" si="97"/>
        <v>0</v>
      </c>
      <c r="GV10">
        <f t="shared" ca="1" si="98"/>
        <v>2805</v>
      </c>
      <c r="GW10">
        <f t="shared" ca="1" si="99"/>
        <v>0</v>
      </c>
      <c r="GX10">
        <f t="shared" ca="1" si="100"/>
        <v>0</v>
      </c>
      <c r="GY10">
        <f t="shared" ca="1" si="101"/>
        <v>0</v>
      </c>
    </row>
    <row r="11" spans="1:207" x14ac:dyDescent="0.25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2"/>
        <v>6800</v>
      </c>
      <c r="I11">
        <f>_xlfn.XLOOKUP(B11,'[1]march-2026'!$A:$A,'[1]march-2026'!$C:$C,0,0)</f>
        <v>29800</v>
      </c>
      <c r="J11">
        <f t="shared" si="168"/>
        <v>5364</v>
      </c>
      <c r="K11">
        <f t="shared" si="104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5"/>
        <v>39240</v>
      </c>
      <c r="O11">
        <f>_xlfn.XLOOKUP(B11,'[1]march-2026'!$A:$A,'[1]march-2026'!$H:$H,0,0)</f>
        <v>2000</v>
      </c>
      <c r="P11">
        <f>_xlfn.XLOOKUP(B11,'[1]march-2026'!$A:$A,'[1]march-2026'!$I:$I,0,0)</f>
        <v>0</v>
      </c>
      <c r="Q11">
        <f t="shared" si="106"/>
        <v>150</v>
      </c>
      <c r="R11">
        <f t="shared" si="107"/>
        <v>37090</v>
      </c>
      <c r="S11">
        <f>_xlfn.XLOOKUP(B11,'[2]april-2026'!$A:$A,'[2]april-2026'!$C:$C,0,0)</f>
        <v>29800</v>
      </c>
      <c r="T11">
        <f t="shared" si="108"/>
        <v>5364</v>
      </c>
      <c r="U11">
        <f t="shared" si="109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0"/>
        <v>39240</v>
      </c>
      <c r="Y11">
        <f>_xlfn.XLOOKUP(B11,'[2]april-2026'!$A:$A,'[2]april-2026'!$H:$H,0,0)</f>
        <v>2000</v>
      </c>
      <c r="Z11">
        <f>_xlfn.XLOOKUP(B11,'[2]april-2026'!$A:$A,'[2]april-2026'!$I:$I,0,0)</f>
        <v>0</v>
      </c>
      <c r="AA11">
        <f t="shared" si="111"/>
        <v>150</v>
      </c>
      <c r="AB11">
        <f t="shared" si="112"/>
        <v>37090</v>
      </c>
      <c r="AC11">
        <f>_xlfn.XLOOKUP(B11,'[3]may-2026'!$A:$A,'[3]may-2026'!$C:$C,0,0)</f>
        <v>29800</v>
      </c>
      <c r="AD11">
        <f t="shared" si="113"/>
        <v>5364</v>
      </c>
      <c r="AE11">
        <f t="shared" si="114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5"/>
        <v>39240</v>
      </c>
      <c r="AI11">
        <f>_xlfn.XLOOKUP(B11,'[3]may-2026'!$A:$A,'[3]may-2026'!$H:$H,0,0)</f>
        <v>2000</v>
      </c>
      <c r="AJ11">
        <f>_xlfn.XLOOKUP(B11,'[3]may-2026'!$A:$A,'[3]may-2026'!$I:$I,0,0)</f>
        <v>0</v>
      </c>
      <c r="AK11">
        <f t="shared" si="116"/>
        <v>150</v>
      </c>
      <c r="AL11">
        <f t="shared" si="117"/>
        <v>37090</v>
      </c>
      <c r="AM11">
        <f>_xlfn.XLOOKUP(B11,'[4]june-2026'!$A:$A,'[4]june-2026'!$C:$C,0,0)</f>
        <v>29800</v>
      </c>
      <c r="AN11">
        <f t="shared" si="118"/>
        <v>5364</v>
      </c>
      <c r="AO11">
        <f t="shared" si="119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0"/>
        <v>39240</v>
      </c>
      <c r="AS11">
        <f>_xlfn.XLOOKUP(B11,'[4]june-2026'!$A:$A,'[4]june-2026'!$H:$H,0,0)</f>
        <v>2000</v>
      </c>
      <c r="AT11">
        <f>_xlfn.XLOOKUP(B11,'[4]june-2026'!$A:$A,'[4]june-2026'!$I:$I,0,0)</f>
        <v>0</v>
      </c>
      <c r="AU11">
        <f t="shared" si="121"/>
        <v>150</v>
      </c>
      <c r="AV11">
        <f t="shared" si="122"/>
        <v>37090</v>
      </c>
      <c r="AW11">
        <f>_xlfn.XLOOKUP(B11,'[5]july-2026'!$A:$A,'[5]july-2026'!$C:$C,0,0)</f>
        <v>30700</v>
      </c>
      <c r="AX11">
        <f t="shared" si="123"/>
        <v>5526</v>
      </c>
      <c r="AY11">
        <v>9</v>
      </c>
      <c r="AZ11">
        <f t="shared" si="124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5"/>
        <v>40419</v>
      </c>
      <c r="BD11">
        <f>_xlfn.XLOOKUP(B11,'[5]july-2026'!$A:$A,'[5]july-2026'!$H:$H,0,0)</f>
        <v>2000</v>
      </c>
      <c r="BE11">
        <f>_xlfn.XLOOKUP(B11,'[5]july-2026'!$A:$A,'[5]july-2026'!$I:$I,0,0)</f>
        <v>0</v>
      </c>
      <c r="BF11">
        <f t="shared" si="126"/>
        <v>200</v>
      </c>
      <c r="BG11">
        <f t="shared" si="127"/>
        <v>38219</v>
      </c>
      <c r="BH11">
        <f>_xlfn.XLOOKUP(B11,'[6]august-2026'!$A:$A,'[6]august-2026'!$C:$C,0,0)</f>
        <v>30700</v>
      </c>
      <c r="BI11">
        <f t="shared" si="128"/>
        <v>5526</v>
      </c>
      <c r="BJ11">
        <f t="shared" si="129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0"/>
        <v>40410</v>
      </c>
      <c r="BN11">
        <f>_xlfn.XLOOKUP(B11,'[6]august-2026'!$A:$A,'[6]august-2026'!$H:$H,0,0)</f>
        <v>2000</v>
      </c>
      <c r="BO11">
        <f>_xlfn.XLOOKUP(B11,'[6]august-2026'!$A:$A,'[6]august-2026'!$I:$I,0,0)</f>
        <v>0</v>
      </c>
      <c r="BP11">
        <f t="shared" si="131"/>
        <v>200</v>
      </c>
      <c r="BQ11">
        <f t="shared" si="132"/>
        <v>38210</v>
      </c>
      <c r="BR11">
        <f>_xlfn.XLOOKUP(B11,'[7]september-2026'!$A:$A,'[7]september-2026'!$C:$C,0,0)</f>
        <v>30700</v>
      </c>
      <c r="BS11">
        <f t="shared" si="133"/>
        <v>5526</v>
      </c>
      <c r="BT11">
        <f t="shared" si="134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5"/>
        <v>40410</v>
      </c>
      <c r="BX11">
        <f>_xlfn.XLOOKUP(B11,'[7]september-2026'!$A:$A,'[7]september-2026'!$H:$H,0,0)</f>
        <v>2000</v>
      </c>
      <c r="BY11">
        <f>_xlfn.XLOOKUP(B11,'[7]september-2026'!$A:$A,'[7]september-2026'!$I:$I,0,0)</f>
        <v>0</v>
      </c>
      <c r="BZ11">
        <f t="shared" si="136"/>
        <v>200</v>
      </c>
      <c r="CA11">
        <f t="shared" si="137"/>
        <v>38210</v>
      </c>
      <c r="CB11">
        <f>_xlfn.XLOOKUP(B11,'[8]october-2026'!$A:$A,'[8]october-2026'!$C:$C,0,0)</f>
        <v>30700</v>
      </c>
      <c r="CC11">
        <f t="shared" si="138"/>
        <v>5526</v>
      </c>
      <c r="CD11">
        <f t="shared" si="139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0"/>
        <v>40410</v>
      </c>
      <c r="CH11">
        <f>_xlfn.XLOOKUP(B11,'[8]october-2026'!$A:$A,'[8]october-2026'!$H:$H,0,0)</f>
        <v>2000</v>
      </c>
      <c r="CI11">
        <f>_xlfn.XLOOKUP(B11,'[8]october-2026'!$A:$A,'[8]october-2026'!$I:$I,0,0)</f>
        <v>0</v>
      </c>
      <c r="CJ11">
        <f t="shared" si="141"/>
        <v>200</v>
      </c>
      <c r="CK11">
        <f t="shared" si="142"/>
        <v>38210</v>
      </c>
      <c r="CL11">
        <f>_xlfn.XLOOKUP(B11,'[9]november-2026'!$A:$A,'[9]november-2026'!$C:$C,0,0)</f>
        <v>30700</v>
      </c>
      <c r="CM11">
        <f t="shared" si="143"/>
        <v>5526</v>
      </c>
      <c r="CN11">
        <f t="shared" si="144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5"/>
        <v>40410</v>
      </c>
      <c r="CR11">
        <f>_xlfn.XLOOKUP(B11,'[9]november-2026'!$A:$A,'[9]november-2026'!$H:$H,0,0)</f>
        <v>2000</v>
      </c>
      <c r="CS11">
        <f>_xlfn.XLOOKUP(B11,'[9]november-2026'!$A:$A,'[9]november-2026'!$I:$I,0,0)</f>
        <v>0</v>
      </c>
      <c r="CT11">
        <f t="shared" si="146"/>
        <v>200</v>
      </c>
      <c r="CU11">
        <f t="shared" si="147"/>
        <v>38210</v>
      </c>
      <c r="CV11">
        <f>_xlfn.XLOOKUP(B11,'[10]december-2026'!$A:$A,'[10]december-2026'!$C:$C,0,0)</f>
        <v>30700</v>
      </c>
      <c r="CW11">
        <f t="shared" si="148"/>
        <v>5526</v>
      </c>
      <c r="CX11">
        <f t="shared" si="149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0"/>
        <v>40410</v>
      </c>
      <c r="DB11">
        <f>_xlfn.XLOOKUP(B11,'[10]december-2026'!$A:$A,'[10]december-2026'!$H:$H,0,0)</f>
        <v>2000</v>
      </c>
      <c r="DC11">
        <f>_xlfn.XLOOKUP(B11,'[10]december-2026'!$A:$A,'[10]december-2026'!$I:$I,0,0)</f>
        <v>0</v>
      </c>
      <c r="DD11">
        <f t="shared" si="151"/>
        <v>200</v>
      </c>
      <c r="DE11">
        <f t="shared" si="152"/>
        <v>38210</v>
      </c>
      <c r="DF11">
        <f xml:space="preserve"> _xlfn.XLOOKUP(B11,
'[11]january-2027'!$A:$A,
'[11]january-2027'!$C:$C,
0,0)</f>
        <v>30700</v>
      </c>
      <c r="DG11">
        <f t="shared" si="153"/>
        <v>5526</v>
      </c>
      <c r="DH11">
        <f t="shared" si="154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5"/>
        <v>40410</v>
      </c>
      <c r="DL11">
        <f xml:space="preserve"> _xlfn.XLOOKUP(B11,
'[11]january-2027'!$A:$A,
'[11]january-2027'!$H:$H,
0,0)</f>
        <v>2000</v>
      </c>
      <c r="DM11">
        <f xml:space="preserve"> _xlfn.XLOOKUP(B11,
'[11]january-2027'!$A:$A,
'[11]january-2027'!$I:$I,
0,0)</f>
        <v>0</v>
      </c>
      <c r="DN11">
        <f t="shared" si="156"/>
        <v>200</v>
      </c>
      <c r="DO11">
        <f t="shared" si="157"/>
        <v>38210</v>
      </c>
      <c r="DP11">
        <f xml:space="preserve"> _xlfn.XLOOKUP(B11,
'[12]february-2027'!$A:$A,
'[12]february-2027'!$C:$C,
0,0)</f>
        <v>30700</v>
      </c>
      <c r="DQ11">
        <f t="shared" si="158"/>
        <v>5526</v>
      </c>
      <c r="DR11">
        <f t="shared" si="159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0"/>
        <v>40410</v>
      </c>
      <c r="DV11">
        <f xml:space="preserve"> _xlfn.XLOOKUP(B11,
'[12]february-2027'!$A:$A,
'[12]february-2027'!$H:$H,
0,0)</f>
        <v>2000</v>
      </c>
      <c r="DW11">
        <f xml:space="preserve"> _xlfn.XLOOKUP(B11,
'[12]february-2027'!$A:$A,
'[12]february-2027'!$I:$I,
0,0)</f>
        <v>0</v>
      </c>
      <c r="DX11">
        <f t="shared" si="161"/>
        <v>200</v>
      </c>
      <c r="DY11">
        <f t="shared" si="162"/>
        <v>38210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3"/>
        <v>0</v>
      </c>
      <c r="EM11">
        <f t="shared" si="164"/>
        <v>487049</v>
      </c>
      <c r="EN11">
        <f t="shared" si="165"/>
        <v>2200</v>
      </c>
      <c r="EO11">
        <f t="shared" si="166"/>
        <v>50000</v>
      </c>
      <c r="EP11">
        <v>0</v>
      </c>
      <c r="EQ11">
        <f t="shared" si="167"/>
        <v>434849</v>
      </c>
      <c r="ER11">
        <f t="shared" si="62"/>
        <v>24000</v>
      </c>
      <c r="ES11">
        <f t="shared" si="63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4"/>
        <v>24000</v>
      </c>
      <c r="FE11">
        <f t="shared" si="65"/>
        <v>24000</v>
      </c>
      <c r="FF11">
        <f t="shared" si="66"/>
        <v>410849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>SUM(FG11:FM11)+(IF(F11="YES",50000,0))</f>
        <v>0</v>
      </c>
      <c r="FO11">
        <f t="shared" si="67"/>
        <v>410849</v>
      </c>
      <c r="FP11">
        <f t="shared" si="68"/>
        <v>8042</v>
      </c>
      <c r="FQ11">
        <f t="shared" si="69"/>
        <v>0</v>
      </c>
      <c r="FR11">
        <f t="shared" si="70"/>
        <v>8042</v>
      </c>
      <c r="FS11">
        <f t="shared" si="71"/>
        <v>0</v>
      </c>
      <c r="FT11">
        <f t="shared" si="72"/>
        <v>0</v>
      </c>
      <c r="FU11">
        <f t="shared" si="73"/>
        <v>0</v>
      </c>
      <c r="FV11">
        <v>0</v>
      </c>
      <c r="FW11">
        <f t="shared" si="74"/>
        <v>0</v>
      </c>
      <c r="FX11" t="b">
        <f t="shared" si="75"/>
        <v>0</v>
      </c>
      <c r="FY11">
        <f t="shared" ca="1" si="76"/>
        <v>1539</v>
      </c>
      <c r="FZ11">
        <f t="shared" ca="1" si="77"/>
        <v>488588</v>
      </c>
      <c r="GA11">
        <f t="shared" si="78"/>
        <v>75000</v>
      </c>
      <c r="GB11">
        <f t="shared" ca="1" si="79"/>
        <v>413588</v>
      </c>
      <c r="GC11">
        <f t="shared" ca="1" si="80"/>
        <v>0</v>
      </c>
      <c r="GD11">
        <f t="shared" ca="1" si="81"/>
        <v>0</v>
      </c>
      <c r="GE11">
        <f t="shared" ca="1" si="82"/>
        <v>0</v>
      </c>
      <c r="GF11">
        <f t="shared" ca="1" si="83"/>
        <v>0</v>
      </c>
      <c r="GG11">
        <f t="shared" ca="1" si="84"/>
        <v>0</v>
      </c>
      <c r="GH11">
        <f t="shared" ca="1" si="85"/>
        <v>0</v>
      </c>
      <c r="GI11">
        <f ca="1">IF(GB11&gt;1200000,GB11-1200000-IF(F11="YES",50000,0)-GG11,0)</f>
        <v>0</v>
      </c>
      <c r="GJ11">
        <f t="shared" ca="1" si="86"/>
        <v>0</v>
      </c>
      <c r="GK11">
        <f t="shared" ca="1" si="87"/>
        <v>0</v>
      </c>
      <c r="GL11">
        <f t="shared" ca="1" si="88"/>
        <v>0</v>
      </c>
      <c r="GM11">
        <f t="shared" ca="1" si="89"/>
        <v>13588</v>
      </c>
      <c r="GN11">
        <f t="shared" ca="1" si="90"/>
        <v>679.40000000000009</v>
      </c>
      <c r="GO11">
        <f t="shared" ca="1" si="91"/>
        <v>679</v>
      </c>
      <c r="GP11">
        <f t="shared" ca="1" si="92"/>
        <v>0</v>
      </c>
      <c r="GQ11">
        <f t="shared" ca="1" si="93"/>
        <v>0</v>
      </c>
      <c r="GR11">
        <f t="shared" ca="1" si="94"/>
        <v>679</v>
      </c>
      <c r="GS11">
        <f t="shared" ca="1" si="95"/>
        <v>0</v>
      </c>
      <c r="GT11" t="b">
        <f t="shared" ca="1" si="96"/>
        <v>0</v>
      </c>
      <c r="GU11">
        <f t="shared" ca="1" si="97"/>
        <v>0</v>
      </c>
      <c r="GV11">
        <f t="shared" ca="1" si="98"/>
        <v>679</v>
      </c>
      <c r="GW11">
        <f t="shared" ca="1" si="99"/>
        <v>0</v>
      </c>
      <c r="GX11">
        <f t="shared" ca="1" si="100"/>
        <v>0</v>
      </c>
      <c r="GY11">
        <f t="shared" ca="1" si="101"/>
        <v>0</v>
      </c>
    </row>
    <row r="12" spans="1:207" x14ac:dyDescent="0.25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2"/>
        <v>6800</v>
      </c>
      <c r="I12">
        <f>_xlfn.XLOOKUP(B12,'[1]march-2026'!$A:$A,'[1]march-2026'!$C:$C,0,0)</f>
        <v>48700</v>
      </c>
      <c r="J12">
        <f t="shared" si="168"/>
        <v>8766</v>
      </c>
      <c r="K12">
        <f t="shared" si="104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5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6"/>
        <v>200</v>
      </c>
      <c r="R12">
        <f t="shared" si="107"/>
        <v>60510</v>
      </c>
      <c r="S12">
        <f>_xlfn.XLOOKUP(B12,'[2]april-2026'!$A:$A,'[2]april-2026'!$C:$C,0,0)</f>
        <v>48700</v>
      </c>
      <c r="T12">
        <f t="shared" si="108"/>
        <v>8766</v>
      </c>
      <c r="U12">
        <f t="shared" si="109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0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1"/>
        <v>200</v>
      </c>
      <c r="AB12">
        <f t="shared" si="112"/>
        <v>60510</v>
      </c>
      <c r="AC12">
        <f>_xlfn.XLOOKUP(B12,'[3]may-2026'!$A:$A,'[3]may-2026'!$C:$C,0,0)</f>
        <v>48700</v>
      </c>
      <c r="AD12">
        <f t="shared" si="113"/>
        <v>8766</v>
      </c>
      <c r="AE12">
        <f t="shared" si="114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5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6"/>
        <v>200</v>
      </c>
      <c r="AL12">
        <f t="shared" si="117"/>
        <v>60510</v>
      </c>
      <c r="AM12">
        <f>_xlfn.XLOOKUP(B12,'[4]june-2026'!$A:$A,'[4]june-2026'!$C:$C,0,0)</f>
        <v>48700</v>
      </c>
      <c r="AN12">
        <f t="shared" si="118"/>
        <v>8766</v>
      </c>
      <c r="AO12">
        <f t="shared" si="119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0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1"/>
        <v>200</v>
      </c>
      <c r="AV12">
        <f t="shared" si="122"/>
        <v>60510</v>
      </c>
      <c r="AW12">
        <f>_xlfn.XLOOKUP(B12,'[5]july-2026'!$A:$A,'[5]july-2026'!$C:$C,0,0)</f>
        <v>50200</v>
      </c>
      <c r="AX12">
        <f t="shared" si="123"/>
        <v>9036</v>
      </c>
      <c r="AY12">
        <v>10</v>
      </c>
      <c r="AZ12">
        <f t="shared" si="124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5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6"/>
        <v>200</v>
      </c>
      <c r="BG12">
        <f t="shared" si="127"/>
        <v>62470</v>
      </c>
      <c r="BH12">
        <f>_xlfn.XLOOKUP(B12,'[6]august-2026'!$A:$A,'[6]august-2026'!$C:$C,0,0)</f>
        <v>50200</v>
      </c>
      <c r="BI12">
        <f t="shared" si="128"/>
        <v>9036</v>
      </c>
      <c r="BJ12">
        <f t="shared" si="129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0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1"/>
        <v>200</v>
      </c>
      <c r="BQ12">
        <f t="shared" si="132"/>
        <v>62460</v>
      </c>
      <c r="BR12">
        <f>_xlfn.XLOOKUP(B12,'[7]september-2026'!$A:$A,'[7]september-2026'!$C:$C,0,0)</f>
        <v>50200</v>
      </c>
      <c r="BS12">
        <f t="shared" si="133"/>
        <v>9036</v>
      </c>
      <c r="BT12">
        <f t="shared" si="134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5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6"/>
        <v>200</v>
      </c>
      <c r="CA12">
        <f t="shared" si="137"/>
        <v>62460</v>
      </c>
      <c r="CB12">
        <f>_xlfn.XLOOKUP(B12,'[8]october-2026'!$A:$A,'[8]october-2026'!$C:$C,0,0)</f>
        <v>50200</v>
      </c>
      <c r="CC12">
        <f t="shared" si="138"/>
        <v>9036</v>
      </c>
      <c r="CD12">
        <f t="shared" si="139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0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1"/>
        <v>200</v>
      </c>
      <c r="CK12">
        <f t="shared" si="142"/>
        <v>62460</v>
      </c>
      <c r="CL12">
        <f>_xlfn.XLOOKUP(B12,'[9]november-2026'!$A:$A,'[9]november-2026'!$C:$C,0,0)</f>
        <v>50200</v>
      </c>
      <c r="CM12">
        <f t="shared" si="143"/>
        <v>9036</v>
      </c>
      <c r="CN12">
        <f t="shared" si="144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5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6"/>
        <v>200</v>
      </c>
      <c r="CU12">
        <f t="shared" si="147"/>
        <v>62460</v>
      </c>
      <c r="CV12">
        <f>_xlfn.XLOOKUP(B12,'[10]december-2026'!$A:$A,'[10]december-2026'!$C:$C,0,0)</f>
        <v>50200</v>
      </c>
      <c r="CW12">
        <f t="shared" si="148"/>
        <v>9036</v>
      </c>
      <c r="CX12">
        <f t="shared" si="149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0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1"/>
        <v>200</v>
      </c>
      <c r="DE12">
        <f t="shared" si="152"/>
        <v>62460</v>
      </c>
      <c r="DF12">
        <f xml:space="preserve"> _xlfn.XLOOKUP(B12,
'[11]january-2027'!$A:$A,
'[11]january-2027'!$C:$C,
0,0)</f>
        <v>50200</v>
      </c>
      <c r="DG12">
        <f t="shared" si="153"/>
        <v>9036</v>
      </c>
      <c r="DH12">
        <f t="shared" si="154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5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6"/>
        <v>200</v>
      </c>
      <c r="DO12">
        <f t="shared" si="157"/>
        <v>62460</v>
      </c>
      <c r="DP12">
        <f xml:space="preserve"> _xlfn.XLOOKUP(B12,
'[12]february-2027'!$A:$A,
'[12]february-2027'!$C:$C,
0,0)</f>
        <v>50200</v>
      </c>
      <c r="DQ12">
        <f t="shared" si="158"/>
        <v>9036</v>
      </c>
      <c r="DR12">
        <f t="shared" si="159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0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1"/>
        <v>200</v>
      </c>
      <c r="DY12">
        <f t="shared" si="162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3"/>
        <v>0</v>
      </c>
      <c r="EM12">
        <f t="shared" si="164"/>
        <v>786930</v>
      </c>
      <c r="EN12">
        <f t="shared" si="165"/>
        <v>2400</v>
      </c>
      <c r="EO12">
        <f t="shared" si="166"/>
        <v>50000</v>
      </c>
      <c r="EP12">
        <v>0</v>
      </c>
      <c r="EQ12">
        <f t="shared" si="167"/>
        <v>734530</v>
      </c>
      <c r="ER12">
        <f t="shared" si="62"/>
        <v>36000</v>
      </c>
      <c r="ES12">
        <f t="shared" si="63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4"/>
        <v>36000</v>
      </c>
      <c r="FE12">
        <f t="shared" si="65"/>
        <v>36000</v>
      </c>
      <c r="FF12">
        <f t="shared" si="66"/>
        <v>698530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>SUM(FG12:FM12)+(IF(F12="YES",50000,0))</f>
        <v>0</v>
      </c>
      <c r="FO12">
        <f t="shared" si="67"/>
        <v>698530</v>
      </c>
      <c r="FP12">
        <f t="shared" si="68"/>
        <v>12500</v>
      </c>
      <c r="FQ12">
        <f t="shared" si="69"/>
        <v>39706</v>
      </c>
      <c r="FR12">
        <f t="shared" si="70"/>
        <v>52206</v>
      </c>
      <c r="FS12">
        <f t="shared" si="71"/>
        <v>52206</v>
      </c>
      <c r="FT12">
        <f t="shared" si="72"/>
        <v>2088.2400000000002</v>
      </c>
      <c r="FU12">
        <f t="shared" si="73"/>
        <v>54294</v>
      </c>
      <c r="FV12">
        <v>0</v>
      </c>
      <c r="FW12">
        <f t="shared" si="74"/>
        <v>54294</v>
      </c>
      <c r="FX12" t="b">
        <f t="shared" si="75"/>
        <v>1</v>
      </c>
      <c r="FY12">
        <f t="shared" ca="1" si="76"/>
        <v>706</v>
      </c>
      <c r="FZ12">
        <f t="shared" ca="1" si="77"/>
        <v>787636</v>
      </c>
      <c r="GA12">
        <f t="shared" si="78"/>
        <v>75000</v>
      </c>
      <c r="GB12">
        <f t="shared" ca="1" si="79"/>
        <v>712636</v>
      </c>
      <c r="GC12">
        <f t="shared" ca="1" si="80"/>
        <v>0</v>
      </c>
      <c r="GD12">
        <f t="shared" ca="1" si="81"/>
        <v>0</v>
      </c>
      <c r="GE12">
        <f t="shared" ca="1" si="82"/>
        <v>0</v>
      </c>
      <c r="GF12">
        <f t="shared" ca="1" si="83"/>
        <v>0</v>
      </c>
      <c r="GG12">
        <f t="shared" ca="1" si="84"/>
        <v>0</v>
      </c>
      <c r="GH12">
        <f t="shared" ca="1" si="85"/>
        <v>0</v>
      </c>
      <c r="GI12">
        <f ca="1">IF(GB12&gt;1200000,GB12-1200000-IF(F12="YES",50000,0)-GG12,0)</f>
        <v>0</v>
      </c>
      <c r="GJ12">
        <f t="shared" ca="1" si="86"/>
        <v>0</v>
      </c>
      <c r="GK12">
        <f t="shared" ca="1" si="87"/>
        <v>0</v>
      </c>
      <c r="GL12">
        <f t="shared" ca="1" si="88"/>
        <v>0</v>
      </c>
      <c r="GM12">
        <f t="shared" ca="1" si="89"/>
        <v>312636</v>
      </c>
      <c r="GN12">
        <f t="shared" ca="1" si="90"/>
        <v>15631.800000000001</v>
      </c>
      <c r="GO12">
        <f t="shared" ca="1" si="91"/>
        <v>15632</v>
      </c>
      <c r="GP12">
        <f t="shared" ca="1" si="92"/>
        <v>0</v>
      </c>
      <c r="GQ12">
        <f t="shared" ca="1" si="93"/>
        <v>0</v>
      </c>
      <c r="GR12">
        <f t="shared" ca="1" si="94"/>
        <v>15632</v>
      </c>
      <c r="GS12">
        <f t="shared" ca="1" si="95"/>
        <v>0</v>
      </c>
      <c r="GT12" t="b">
        <f t="shared" ca="1" si="96"/>
        <v>0</v>
      </c>
      <c r="GU12">
        <f t="shared" ca="1" si="97"/>
        <v>0</v>
      </c>
      <c r="GV12">
        <f t="shared" ca="1" si="98"/>
        <v>15632</v>
      </c>
      <c r="GW12">
        <f t="shared" ca="1" si="99"/>
        <v>0</v>
      </c>
      <c r="GX12">
        <f t="shared" ca="1" si="100"/>
        <v>0</v>
      </c>
      <c r="GY12">
        <f t="shared" ca="1" si="101"/>
        <v>0</v>
      </c>
    </row>
    <row r="13" spans="1:207" x14ac:dyDescent="0.25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2"/>
        <v>6800</v>
      </c>
      <c r="I13">
        <f>_xlfn.XLOOKUP(B13,'[1]march-2026'!$A:$A,'[1]march-2026'!$C:$C,0,0)</f>
        <v>32500</v>
      </c>
      <c r="J13">
        <f t="shared" si="168"/>
        <v>5850</v>
      </c>
      <c r="K13">
        <f t="shared" si="104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5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6"/>
        <v>200</v>
      </c>
      <c r="R13">
        <f t="shared" si="107"/>
        <v>40550</v>
      </c>
      <c r="S13">
        <f>_xlfn.XLOOKUP(B13,'[2]april-2026'!$A:$A,'[2]april-2026'!$C:$C,0,0)</f>
        <v>32500</v>
      </c>
      <c r="T13">
        <f t="shared" si="108"/>
        <v>5850</v>
      </c>
      <c r="U13">
        <f t="shared" si="109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0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1"/>
        <v>200</v>
      </c>
      <c r="AB13">
        <f t="shared" si="112"/>
        <v>40550</v>
      </c>
      <c r="AC13">
        <f>_xlfn.XLOOKUP(B13,'[3]may-2026'!$A:$A,'[3]may-2026'!$C:$C,0,0)</f>
        <v>32500</v>
      </c>
      <c r="AD13">
        <f t="shared" si="113"/>
        <v>5850</v>
      </c>
      <c r="AE13">
        <f t="shared" si="114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5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6"/>
        <v>200</v>
      </c>
      <c r="AL13">
        <f t="shared" si="117"/>
        <v>40550</v>
      </c>
      <c r="AM13">
        <f>_xlfn.XLOOKUP(B13,'[4]june-2026'!$A:$A,'[4]june-2026'!$C:$C,0,0)</f>
        <v>32500</v>
      </c>
      <c r="AN13">
        <f t="shared" si="118"/>
        <v>5850</v>
      </c>
      <c r="AO13">
        <f t="shared" si="119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0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1"/>
        <v>200</v>
      </c>
      <c r="AV13">
        <f t="shared" si="122"/>
        <v>40550</v>
      </c>
      <c r="AW13">
        <f>_xlfn.XLOOKUP(B13,'[5]july-2026'!$A:$A,'[5]july-2026'!$C:$C,0,0)</f>
        <v>33500</v>
      </c>
      <c r="AX13">
        <f t="shared" si="123"/>
        <v>6030</v>
      </c>
      <c r="AY13">
        <v>11</v>
      </c>
      <c r="AZ13">
        <f t="shared" si="124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5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6"/>
        <v>200</v>
      </c>
      <c r="BG13">
        <f t="shared" si="127"/>
        <v>41861</v>
      </c>
      <c r="BH13">
        <f>_xlfn.XLOOKUP(B13,'[6]august-2026'!$A:$A,'[6]august-2026'!$C:$C,0,0)</f>
        <v>33500</v>
      </c>
      <c r="BI13">
        <f t="shared" si="128"/>
        <v>6030</v>
      </c>
      <c r="BJ13">
        <f t="shared" si="129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0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1"/>
        <v>200</v>
      </c>
      <c r="BQ13">
        <f t="shared" si="132"/>
        <v>41850</v>
      </c>
      <c r="BR13">
        <f>_xlfn.XLOOKUP(B13,'[7]september-2026'!$A:$A,'[7]september-2026'!$C:$C,0,0)</f>
        <v>33500</v>
      </c>
      <c r="BS13">
        <f t="shared" si="133"/>
        <v>6030</v>
      </c>
      <c r="BT13">
        <f t="shared" si="134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5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6"/>
        <v>200</v>
      </c>
      <c r="CA13">
        <f t="shared" si="137"/>
        <v>41850</v>
      </c>
      <c r="CB13">
        <f>_xlfn.XLOOKUP(B13,'[8]october-2026'!$A:$A,'[8]october-2026'!$C:$C,0,0)</f>
        <v>33500</v>
      </c>
      <c r="CC13">
        <f t="shared" si="138"/>
        <v>6030</v>
      </c>
      <c r="CD13">
        <f t="shared" si="139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0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1"/>
        <v>200</v>
      </c>
      <c r="CK13">
        <f t="shared" si="142"/>
        <v>41850</v>
      </c>
      <c r="CL13">
        <f>_xlfn.XLOOKUP(B13,'[9]november-2026'!$A:$A,'[9]november-2026'!$C:$C,0,0)</f>
        <v>33500</v>
      </c>
      <c r="CM13">
        <f t="shared" si="143"/>
        <v>6030</v>
      </c>
      <c r="CN13">
        <f t="shared" si="144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5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6"/>
        <v>200</v>
      </c>
      <c r="CU13">
        <f t="shared" si="147"/>
        <v>41850</v>
      </c>
      <c r="CV13">
        <f>_xlfn.XLOOKUP(B13,'[10]december-2026'!$A:$A,'[10]december-2026'!$C:$C,0,0)</f>
        <v>33500</v>
      </c>
      <c r="CW13">
        <f t="shared" si="148"/>
        <v>6030</v>
      </c>
      <c r="CX13">
        <f t="shared" si="149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0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1"/>
        <v>200</v>
      </c>
      <c r="DE13">
        <f t="shared" si="152"/>
        <v>41850</v>
      </c>
      <c r="DF13">
        <f xml:space="preserve"> _xlfn.XLOOKUP(B13,
'[11]january-2027'!$A:$A,
'[11]january-2027'!$C:$C,
0,0)</f>
        <v>33500</v>
      </c>
      <c r="DG13">
        <f t="shared" si="153"/>
        <v>6030</v>
      </c>
      <c r="DH13">
        <f t="shared" si="154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5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6"/>
        <v>200</v>
      </c>
      <c r="DO13">
        <f t="shared" si="157"/>
        <v>41850</v>
      </c>
      <c r="DP13">
        <f xml:space="preserve"> _xlfn.XLOOKUP(B13,
'[12]february-2027'!$A:$A,
'[12]february-2027'!$C:$C,
0,0)</f>
        <v>33500</v>
      </c>
      <c r="DQ13">
        <f t="shared" si="158"/>
        <v>6030</v>
      </c>
      <c r="DR13">
        <f t="shared" si="159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0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1"/>
        <v>200</v>
      </c>
      <c r="DY13">
        <f t="shared" si="162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3"/>
        <v>0</v>
      </c>
      <c r="EM13">
        <f t="shared" si="164"/>
        <v>530211</v>
      </c>
      <c r="EN13">
        <f t="shared" si="165"/>
        <v>2400</v>
      </c>
      <c r="EO13">
        <f t="shared" si="166"/>
        <v>50000</v>
      </c>
      <c r="EP13">
        <v>0</v>
      </c>
      <c r="EQ13">
        <f t="shared" si="167"/>
        <v>477811</v>
      </c>
      <c r="ER13">
        <f t="shared" si="62"/>
        <v>24000</v>
      </c>
      <c r="ES13">
        <f t="shared" si="63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4"/>
        <v>24000</v>
      </c>
      <c r="FE13">
        <f t="shared" si="65"/>
        <v>24000</v>
      </c>
      <c r="FF13">
        <f t="shared" si="66"/>
        <v>453811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>SUM(FG13:FM13)+(IF(F13="YES",50000,0))</f>
        <v>0</v>
      </c>
      <c r="FO13">
        <f t="shared" si="67"/>
        <v>453811</v>
      </c>
      <c r="FP13">
        <f t="shared" si="68"/>
        <v>10191</v>
      </c>
      <c r="FQ13">
        <f t="shared" si="69"/>
        <v>0</v>
      </c>
      <c r="FR13">
        <f t="shared" si="70"/>
        <v>10191</v>
      </c>
      <c r="FS13">
        <f t="shared" si="71"/>
        <v>0</v>
      </c>
      <c r="FT13">
        <f t="shared" si="72"/>
        <v>0</v>
      </c>
      <c r="FU13">
        <f t="shared" si="73"/>
        <v>0</v>
      </c>
      <c r="FV13">
        <v>0</v>
      </c>
      <c r="FW13">
        <f t="shared" si="74"/>
        <v>0</v>
      </c>
      <c r="FX13" t="b">
        <f t="shared" si="75"/>
        <v>1</v>
      </c>
      <c r="FY13">
        <f t="shared" ca="1" si="76"/>
        <v>663</v>
      </c>
      <c r="FZ13">
        <f t="shared" ca="1" si="77"/>
        <v>530874</v>
      </c>
      <c r="GA13">
        <f t="shared" si="78"/>
        <v>75000</v>
      </c>
      <c r="GB13">
        <f t="shared" ca="1" si="79"/>
        <v>455874</v>
      </c>
      <c r="GC13">
        <f t="shared" ca="1" si="80"/>
        <v>0</v>
      </c>
      <c r="GD13">
        <f t="shared" ca="1" si="81"/>
        <v>0</v>
      </c>
      <c r="GE13">
        <f t="shared" ca="1" si="82"/>
        <v>0</v>
      </c>
      <c r="GF13">
        <f t="shared" ca="1" si="83"/>
        <v>0</v>
      </c>
      <c r="GG13">
        <f t="shared" ca="1" si="84"/>
        <v>0</v>
      </c>
      <c r="GH13">
        <f t="shared" ca="1" si="85"/>
        <v>0</v>
      </c>
      <c r="GI13">
        <f ca="1">IF(GB13&gt;1200000,GB13-1200000-IF(F13="YES",50000,0)-GG13,0)</f>
        <v>0</v>
      </c>
      <c r="GJ13">
        <f t="shared" ca="1" si="86"/>
        <v>0</v>
      </c>
      <c r="GK13">
        <f t="shared" ca="1" si="87"/>
        <v>0</v>
      </c>
      <c r="GL13">
        <f t="shared" ca="1" si="88"/>
        <v>0</v>
      </c>
      <c r="GM13">
        <f t="shared" ca="1" si="89"/>
        <v>55874</v>
      </c>
      <c r="GN13">
        <f t="shared" ca="1" si="90"/>
        <v>2793.7000000000003</v>
      </c>
      <c r="GO13">
        <f t="shared" ca="1" si="91"/>
        <v>2794</v>
      </c>
      <c r="GP13">
        <f t="shared" ca="1" si="92"/>
        <v>0</v>
      </c>
      <c r="GQ13">
        <f t="shared" ca="1" si="93"/>
        <v>0</v>
      </c>
      <c r="GR13">
        <f t="shared" ca="1" si="94"/>
        <v>2794</v>
      </c>
      <c r="GS13">
        <f t="shared" ca="1" si="95"/>
        <v>0</v>
      </c>
      <c r="GT13" t="b">
        <f t="shared" ca="1" si="96"/>
        <v>0</v>
      </c>
      <c r="GU13">
        <f t="shared" ca="1" si="97"/>
        <v>0</v>
      </c>
      <c r="GV13">
        <f t="shared" ca="1" si="98"/>
        <v>2794</v>
      </c>
      <c r="GW13">
        <f t="shared" ca="1" si="99"/>
        <v>0</v>
      </c>
      <c r="GX13">
        <f t="shared" ca="1" si="100"/>
        <v>0</v>
      </c>
      <c r="GY13">
        <f t="shared" ca="1" si="101"/>
        <v>0</v>
      </c>
    </row>
    <row r="14" spans="1:207" x14ac:dyDescent="0.25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2"/>
        <v>6800</v>
      </c>
      <c r="I14">
        <f>_xlfn.XLOOKUP(B14,'[1]march-2026'!$A:$A,'[1]march-2026'!$C:$C,0,0)</f>
        <v>29800</v>
      </c>
      <c r="J14">
        <f t="shared" si="168"/>
        <v>5364</v>
      </c>
      <c r="K14">
        <f t="shared" si="104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5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6"/>
        <v>150</v>
      </c>
      <c r="R14">
        <f t="shared" si="107"/>
        <v>37090</v>
      </c>
      <c r="S14">
        <f>_xlfn.XLOOKUP(B14,'[2]april-2026'!$A:$A,'[2]april-2026'!$C:$C,0,0)</f>
        <v>29800</v>
      </c>
      <c r="T14">
        <f t="shared" si="108"/>
        <v>5364</v>
      </c>
      <c r="U14">
        <f t="shared" si="109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0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1"/>
        <v>150</v>
      </c>
      <c r="AB14">
        <f t="shared" si="112"/>
        <v>37090</v>
      </c>
      <c r="AC14">
        <f>_xlfn.XLOOKUP(B14,'[3]may-2026'!$A:$A,'[3]may-2026'!$C:$C,0,0)</f>
        <v>29800</v>
      </c>
      <c r="AD14">
        <f t="shared" si="113"/>
        <v>5364</v>
      </c>
      <c r="AE14">
        <f t="shared" si="114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5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6"/>
        <v>150</v>
      </c>
      <c r="AL14">
        <f t="shared" si="117"/>
        <v>37090</v>
      </c>
      <c r="AM14">
        <f>_xlfn.XLOOKUP(B14,'[4]june-2026'!$A:$A,'[4]june-2026'!$C:$C,0,0)</f>
        <v>29800</v>
      </c>
      <c r="AN14">
        <f t="shared" si="118"/>
        <v>5364</v>
      </c>
      <c r="AO14">
        <f t="shared" si="119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0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1"/>
        <v>150</v>
      </c>
      <c r="AV14">
        <f t="shared" si="122"/>
        <v>37090</v>
      </c>
      <c r="AW14">
        <f>_xlfn.XLOOKUP(B14,'[5]july-2026'!$A:$A,'[5]july-2026'!$C:$C,0,0)</f>
        <v>30700</v>
      </c>
      <c r="AX14">
        <f t="shared" si="123"/>
        <v>5526</v>
      </c>
      <c r="AY14">
        <v>12</v>
      </c>
      <c r="AZ14">
        <f t="shared" si="124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5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6"/>
        <v>200</v>
      </c>
      <c r="BG14">
        <f t="shared" si="127"/>
        <v>38222</v>
      </c>
      <c r="BH14">
        <f>_xlfn.XLOOKUP(B14,'[6]august-2026'!$A:$A,'[6]august-2026'!$C:$C,0,0)</f>
        <v>30700</v>
      </c>
      <c r="BI14">
        <f t="shared" si="128"/>
        <v>5526</v>
      </c>
      <c r="BJ14">
        <f t="shared" si="129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0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1"/>
        <v>200</v>
      </c>
      <c r="BQ14">
        <f t="shared" si="132"/>
        <v>38210</v>
      </c>
      <c r="BR14">
        <f>_xlfn.XLOOKUP(B14,'[7]september-2026'!$A:$A,'[7]september-2026'!$C:$C,0,0)</f>
        <v>30700</v>
      </c>
      <c r="BS14">
        <f t="shared" si="133"/>
        <v>5526</v>
      </c>
      <c r="BT14">
        <f t="shared" si="134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5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6"/>
        <v>200</v>
      </c>
      <c r="CA14">
        <f t="shared" si="137"/>
        <v>38210</v>
      </c>
      <c r="CB14">
        <f>_xlfn.XLOOKUP(B14,'[8]october-2026'!$A:$A,'[8]october-2026'!$C:$C,0,0)</f>
        <v>30700</v>
      </c>
      <c r="CC14">
        <f t="shared" si="138"/>
        <v>5526</v>
      </c>
      <c r="CD14">
        <f t="shared" si="139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0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1"/>
        <v>200</v>
      </c>
      <c r="CK14">
        <f t="shared" si="142"/>
        <v>38210</v>
      </c>
      <c r="CL14">
        <f>_xlfn.XLOOKUP(B14,'[9]november-2026'!$A:$A,'[9]november-2026'!$C:$C,0,0)</f>
        <v>30700</v>
      </c>
      <c r="CM14">
        <f t="shared" si="143"/>
        <v>5526</v>
      </c>
      <c r="CN14">
        <f t="shared" si="144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5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6"/>
        <v>200</v>
      </c>
      <c r="CU14">
        <f t="shared" si="147"/>
        <v>38210</v>
      </c>
      <c r="CV14">
        <f>_xlfn.XLOOKUP(B14,'[10]december-2026'!$A:$A,'[10]december-2026'!$C:$C,0,0)</f>
        <v>30700</v>
      </c>
      <c r="CW14">
        <f t="shared" si="148"/>
        <v>5526</v>
      </c>
      <c r="CX14">
        <f t="shared" si="149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0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1"/>
        <v>200</v>
      </c>
      <c r="DE14">
        <f t="shared" si="152"/>
        <v>38210</v>
      </c>
      <c r="DF14">
        <f xml:space="preserve"> _xlfn.XLOOKUP(B14,
'[11]january-2027'!$A:$A,
'[11]january-2027'!$C:$C,
0,0)</f>
        <v>30700</v>
      </c>
      <c r="DG14">
        <f t="shared" si="153"/>
        <v>5526</v>
      </c>
      <c r="DH14">
        <f t="shared" si="154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5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6"/>
        <v>200</v>
      </c>
      <c r="DO14">
        <f t="shared" si="157"/>
        <v>38210</v>
      </c>
      <c r="DP14">
        <f xml:space="preserve"> _xlfn.XLOOKUP(B14,
'[12]february-2027'!$A:$A,
'[12]february-2027'!$C:$C,
0,0)</f>
        <v>30700</v>
      </c>
      <c r="DQ14">
        <f t="shared" si="158"/>
        <v>5526</v>
      </c>
      <c r="DR14">
        <f t="shared" si="159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0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1"/>
        <v>200</v>
      </c>
      <c r="DY14">
        <f t="shared" si="162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3"/>
        <v>0</v>
      </c>
      <c r="EM14">
        <f t="shared" si="164"/>
        <v>487052</v>
      </c>
      <c r="EN14">
        <f t="shared" si="165"/>
        <v>2200</v>
      </c>
      <c r="EO14">
        <f t="shared" si="166"/>
        <v>50000</v>
      </c>
      <c r="EP14">
        <v>0</v>
      </c>
      <c r="EQ14">
        <f t="shared" si="167"/>
        <v>434852</v>
      </c>
      <c r="ER14">
        <f t="shared" si="62"/>
        <v>24000</v>
      </c>
      <c r="ES14">
        <f t="shared" si="63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4"/>
        <v>24000</v>
      </c>
      <c r="FE14">
        <f t="shared" si="65"/>
        <v>24000</v>
      </c>
      <c r="FF14">
        <f t="shared" si="66"/>
        <v>410852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>SUM(FG14:FM14)+(IF(F14="YES",50000,0))</f>
        <v>0</v>
      </c>
      <c r="FO14">
        <f t="shared" si="67"/>
        <v>410852</v>
      </c>
      <c r="FP14">
        <f t="shared" si="68"/>
        <v>8043</v>
      </c>
      <c r="FQ14">
        <f t="shared" si="69"/>
        <v>0</v>
      </c>
      <c r="FR14">
        <f t="shared" si="70"/>
        <v>8043</v>
      </c>
      <c r="FS14">
        <f t="shared" si="71"/>
        <v>0</v>
      </c>
      <c r="FT14">
        <f t="shared" si="72"/>
        <v>0</v>
      </c>
      <c r="FU14">
        <f t="shared" si="73"/>
        <v>0</v>
      </c>
      <c r="FV14">
        <v>0</v>
      </c>
      <c r="FW14">
        <f t="shared" si="74"/>
        <v>0</v>
      </c>
      <c r="FX14" t="b">
        <f t="shared" si="75"/>
        <v>0</v>
      </c>
      <c r="FY14">
        <f t="shared" ca="1" si="76"/>
        <v>2508</v>
      </c>
      <c r="FZ14">
        <f t="shared" ca="1" si="77"/>
        <v>489560</v>
      </c>
      <c r="GA14">
        <f t="shared" si="78"/>
        <v>75000</v>
      </c>
      <c r="GB14">
        <f t="shared" ca="1" si="79"/>
        <v>414560</v>
      </c>
      <c r="GC14">
        <f t="shared" ca="1" si="80"/>
        <v>0</v>
      </c>
      <c r="GD14">
        <f t="shared" ca="1" si="81"/>
        <v>0</v>
      </c>
      <c r="GE14">
        <f t="shared" ca="1" si="82"/>
        <v>0</v>
      </c>
      <c r="GF14">
        <f t="shared" ca="1" si="83"/>
        <v>0</v>
      </c>
      <c r="GG14">
        <f t="shared" ca="1" si="84"/>
        <v>0</v>
      </c>
      <c r="GH14">
        <f t="shared" ca="1" si="85"/>
        <v>0</v>
      </c>
      <c r="GI14">
        <f ca="1">IF(GB14&gt;1200000,GB14-1200000-IF(F14="YES",50000,0)-GG14,0)</f>
        <v>0</v>
      </c>
      <c r="GJ14">
        <f t="shared" ca="1" si="86"/>
        <v>0</v>
      </c>
      <c r="GK14">
        <f t="shared" ca="1" si="87"/>
        <v>0</v>
      </c>
      <c r="GL14">
        <f t="shared" ca="1" si="88"/>
        <v>0</v>
      </c>
      <c r="GM14">
        <f t="shared" ca="1" si="89"/>
        <v>14560</v>
      </c>
      <c r="GN14">
        <f t="shared" ca="1" si="90"/>
        <v>728</v>
      </c>
      <c r="GO14">
        <f t="shared" ca="1" si="91"/>
        <v>728</v>
      </c>
      <c r="GP14">
        <f t="shared" ca="1" si="92"/>
        <v>0</v>
      </c>
      <c r="GQ14">
        <f t="shared" ca="1" si="93"/>
        <v>0</v>
      </c>
      <c r="GR14">
        <f t="shared" ca="1" si="94"/>
        <v>728</v>
      </c>
      <c r="GS14">
        <f t="shared" ca="1" si="95"/>
        <v>0</v>
      </c>
      <c r="GT14" t="b">
        <f t="shared" ca="1" si="96"/>
        <v>0</v>
      </c>
      <c r="GU14">
        <f t="shared" ca="1" si="97"/>
        <v>0</v>
      </c>
      <c r="GV14">
        <f t="shared" ca="1" si="98"/>
        <v>728</v>
      </c>
      <c r="GW14">
        <f t="shared" ca="1" si="99"/>
        <v>0</v>
      </c>
      <c r="GX14">
        <f t="shared" ca="1" si="100"/>
        <v>0</v>
      </c>
      <c r="GY14">
        <f t="shared" ca="1" si="101"/>
        <v>0</v>
      </c>
    </row>
    <row r="15" spans="1:207" x14ac:dyDescent="0.25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2"/>
        <v>6800</v>
      </c>
      <c r="I15">
        <f>_xlfn.XLOOKUP(B15,'[1]march-2026'!$A:$A,'[1]march-2026'!$C:$C,0,0)</f>
        <v>32500</v>
      </c>
      <c r="J15">
        <f t="shared" si="168"/>
        <v>5850</v>
      </c>
      <c r="K15">
        <f t="shared" si="104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5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6"/>
        <v>200</v>
      </c>
      <c r="R15">
        <f t="shared" si="107"/>
        <v>40550</v>
      </c>
      <c r="S15">
        <f>_xlfn.XLOOKUP(B15,'[2]april-2026'!$A:$A,'[2]april-2026'!$C:$C,0,0)</f>
        <v>32500</v>
      </c>
      <c r="T15">
        <f t="shared" si="108"/>
        <v>5850</v>
      </c>
      <c r="U15">
        <f t="shared" si="109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0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1"/>
        <v>200</v>
      </c>
      <c r="AB15">
        <f t="shared" si="112"/>
        <v>40550</v>
      </c>
      <c r="AC15">
        <f>_xlfn.XLOOKUP(B15,'[3]may-2026'!$A:$A,'[3]may-2026'!$C:$C,0,0)</f>
        <v>32500</v>
      </c>
      <c r="AD15">
        <f t="shared" si="113"/>
        <v>5850</v>
      </c>
      <c r="AE15">
        <f t="shared" si="114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5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6"/>
        <v>200</v>
      </c>
      <c r="AL15">
        <f t="shared" si="117"/>
        <v>40550</v>
      </c>
      <c r="AM15">
        <f>_xlfn.XLOOKUP(B15,'[4]june-2026'!$A:$A,'[4]june-2026'!$C:$C,0,0)</f>
        <v>32500</v>
      </c>
      <c r="AN15">
        <f t="shared" si="118"/>
        <v>5850</v>
      </c>
      <c r="AO15">
        <f t="shared" si="119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0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1"/>
        <v>200</v>
      </c>
      <c r="AV15">
        <f t="shared" si="122"/>
        <v>40550</v>
      </c>
      <c r="AW15">
        <f>_xlfn.XLOOKUP(B15,'[5]july-2026'!$A:$A,'[5]july-2026'!$C:$C,0,0)</f>
        <v>33500</v>
      </c>
      <c r="AX15">
        <f t="shared" si="123"/>
        <v>6030</v>
      </c>
      <c r="AY15">
        <v>13</v>
      </c>
      <c r="AZ15">
        <f t="shared" si="124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5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6"/>
        <v>200</v>
      </c>
      <c r="BG15">
        <f t="shared" si="127"/>
        <v>41863</v>
      </c>
      <c r="BH15">
        <f>_xlfn.XLOOKUP(B15,'[6]august-2026'!$A:$A,'[6]august-2026'!$C:$C,0,0)</f>
        <v>33500</v>
      </c>
      <c r="BI15">
        <f t="shared" si="128"/>
        <v>6030</v>
      </c>
      <c r="BJ15">
        <f t="shared" si="129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0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1"/>
        <v>200</v>
      </c>
      <c r="BQ15">
        <f t="shared" si="132"/>
        <v>41850</v>
      </c>
      <c r="BR15">
        <f>_xlfn.XLOOKUP(B15,'[7]september-2026'!$A:$A,'[7]september-2026'!$C:$C,0,0)</f>
        <v>33500</v>
      </c>
      <c r="BS15">
        <f t="shared" si="133"/>
        <v>6030</v>
      </c>
      <c r="BT15">
        <f t="shared" si="134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5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6"/>
        <v>200</v>
      </c>
      <c r="CA15">
        <f t="shared" si="137"/>
        <v>41850</v>
      </c>
      <c r="CB15">
        <f>_xlfn.XLOOKUP(B15,'[8]october-2026'!$A:$A,'[8]october-2026'!$C:$C,0,0)</f>
        <v>33500</v>
      </c>
      <c r="CC15">
        <f t="shared" si="138"/>
        <v>6030</v>
      </c>
      <c r="CD15">
        <f t="shared" si="139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0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1"/>
        <v>200</v>
      </c>
      <c r="CK15">
        <f t="shared" si="142"/>
        <v>41850</v>
      </c>
      <c r="CL15">
        <f>_xlfn.XLOOKUP(B15,'[9]november-2026'!$A:$A,'[9]november-2026'!$C:$C,0,0)</f>
        <v>33500</v>
      </c>
      <c r="CM15">
        <f t="shared" si="143"/>
        <v>6030</v>
      </c>
      <c r="CN15">
        <f t="shared" si="144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5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6"/>
        <v>200</v>
      </c>
      <c r="CU15">
        <f t="shared" si="147"/>
        <v>41850</v>
      </c>
      <c r="CV15">
        <f>_xlfn.XLOOKUP(B15,'[10]december-2026'!$A:$A,'[10]december-2026'!$C:$C,0,0)</f>
        <v>33500</v>
      </c>
      <c r="CW15">
        <f t="shared" si="148"/>
        <v>6030</v>
      </c>
      <c r="CX15">
        <f t="shared" si="149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0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1"/>
        <v>200</v>
      </c>
      <c r="DE15">
        <f t="shared" si="152"/>
        <v>41850</v>
      </c>
      <c r="DF15">
        <f xml:space="preserve"> _xlfn.XLOOKUP(B15,
'[11]january-2027'!$A:$A,
'[11]january-2027'!$C:$C,
0,0)</f>
        <v>33500</v>
      </c>
      <c r="DG15">
        <f t="shared" si="153"/>
        <v>6030</v>
      </c>
      <c r="DH15">
        <f t="shared" si="154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5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6"/>
        <v>200</v>
      </c>
      <c r="DO15">
        <f t="shared" si="157"/>
        <v>41850</v>
      </c>
      <c r="DP15">
        <f xml:space="preserve"> _xlfn.XLOOKUP(B15,
'[12]february-2027'!$A:$A,
'[12]february-2027'!$C:$C,
0,0)</f>
        <v>33500</v>
      </c>
      <c r="DQ15">
        <f t="shared" si="158"/>
        <v>6030</v>
      </c>
      <c r="DR15">
        <f t="shared" si="159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0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1"/>
        <v>200</v>
      </c>
      <c r="DY15">
        <f t="shared" si="162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3"/>
        <v>0</v>
      </c>
      <c r="EM15">
        <f t="shared" si="164"/>
        <v>530213</v>
      </c>
      <c r="EN15">
        <f t="shared" si="165"/>
        <v>2400</v>
      </c>
      <c r="EO15">
        <f t="shared" si="166"/>
        <v>50000</v>
      </c>
      <c r="EP15">
        <v>0</v>
      </c>
      <c r="EQ15">
        <f t="shared" si="167"/>
        <v>477813</v>
      </c>
      <c r="ER15">
        <f t="shared" si="62"/>
        <v>24000</v>
      </c>
      <c r="ES15">
        <f t="shared" si="63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4"/>
        <v>24000</v>
      </c>
      <c r="FE15">
        <f t="shared" si="65"/>
        <v>24000</v>
      </c>
      <c r="FF15">
        <f t="shared" si="66"/>
        <v>453813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>SUM(FG15:FM15)+(IF(F15="YES",50000,0))</f>
        <v>0</v>
      </c>
      <c r="FO15">
        <f t="shared" si="67"/>
        <v>453813</v>
      </c>
      <c r="FP15">
        <f t="shared" si="68"/>
        <v>10191</v>
      </c>
      <c r="FQ15">
        <f t="shared" si="69"/>
        <v>0</v>
      </c>
      <c r="FR15">
        <f t="shared" si="70"/>
        <v>10191</v>
      </c>
      <c r="FS15">
        <f t="shared" si="71"/>
        <v>0</v>
      </c>
      <c r="FT15">
        <f t="shared" si="72"/>
        <v>0</v>
      </c>
      <c r="FU15">
        <f t="shared" si="73"/>
        <v>0</v>
      </c>
      <c r="FV15">
        <v>0</v>
      </c>
      <c r="FW15">
        <f t="shared" si="74"/>
        <v>0</v>
      </c>
      <c r="FX15" t="b">
        <f t="shared" si="75"/>
        <v>1</v>
      </c>
      <c r="FY15">
        <f t="shared" ca="1" si="76"/>
        <v>847</v>
      </c>
      <c r="FZ15">
        <f t="shared" ca="1" si="77"/>
        <v>531060</v>
      </c>
      <c r="GA15">
        <f t="shared" si="78"/>
        <v>75000</v>
      </c>
      <c r="GB15">
        <f t="shared" ca="1" si="79"/>
        <v>456060</v>
      </c>
      <c r="GC15">
        <f t="shared" ca="1" si="80"/>
        <v>0</v>
      </c>
      <c r="GD15">
        <f t="shared" ca="1" si="81"/>
        <v>0</v>
      </c>
      <c r="GE15">
        <f t="shared" ca="1" si="82"/>
        <v>0</v>
      </c>
      <c r="GF15">
        <f t="shared" ca="1" si="83"/>
        <v>0</v>
      </c>
      <c r="GG15">
        <f t="shared" ca="1" si="84"/>
        <v>0</v>
      </c>
      <c r="GH15">
        <f t="shared" ca="1" si="85"/>
        <v>0</v>
      </c>
      <c r="GI15">
        <f ca="1">IF(GB15&gt;1200000,GB15-1200000-IF(F15="YES",50000,0)-GG15,0)</f>
        <v>0</v>
      </c>
      <c r="GJ15">
        <f t="shared" ca="1" si="86"/>
        <v>0</v>
      </c>
      <c r="GK15">
        <f t="shared" ca="1" si="87"/>
        <v>0</v>
      </c>
      <c r="GL15">
        <f t="shared" ca="1" si="88"/>
        <v>0</v>
      </c>
      <c r="GM15">
        <f t="shared" ca="1" si="89"/>
        <v>56060</v>
      </c>
      <c r="GN15">
        <f t="shared" ca="1" si="90"/>
        <v>2803</v>
      </c>
      <c r="GO15">
        <f t="shared" ca="1" si="91"/>
        <v>2803</v>
      </c>
      <c r="GP15">
        <f t="shared" ca="1" si="92"/>
        <v>0</v>
      </c>
      <c r="GQ15">
        <f t="shared" ca="1" si="93"/>
        <v>0</v>
      </c>
      <c r="GR15">
        <f t="shared" ca="1" si="94"/>
        <v>2803</v>
      </c>
      <c r="GS15">
        <f t="shared" ca="1" si="95"/>
        <v>0</v>
      </c>
      <c r="GT15" t="b">
        <f t="shared" ca="1" si="96"/>
        <v>0</v>
      </c>
      <c r="GU15">
        <f t="shared" ca="1" si="97"/>
        <v>0</v>
      </c>
      <c r="GV15">
        <f t="shared" ca="1" si="98"/>
        <v>2803</v>
      </c>
      <c r="GW15">
        <f t="shared" ca="1" si="99"/>
        <v>0</v>
      </c>
      <c r="GX15">
        <f t="shared" ca="1" si="100"/>
        <v>0</v>
      </c>
      <c r="GY15">
        <f t="shared" ca="1" si="101"/>
        <v>0</v>
      </c>
    </row>
    <row r="16" spans="1:207" x14ac:dyDescent="0.25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2"/>
        <v>6800</v>
      </c>
      <c r="I16">
        <f>_xlfn.XLOOKUP(B16,'[1]march-2026'!$A:$A,'[1]march-2026'!$C:$C,0,0)</f>
        <v>32500</v>
      </c>
      <c r="J16">
        <f t="shared" si="168"/>
        <v>5850</v>
      </c>
      <c r="K16">
        <f t="shared" si="104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5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6"/>
        <v>200</v>
      </c>
      <c r="R16">
        <f t="shared" si="107"/>
        <v>40550</v>
      </c>
      <c r="S16">
        <f>_xlfn.XLOOKUP(B16,'[2]april-2026'!$A:$A,'[2]april-2026'!$C:$C,0,0)</f>
        <v>32500</v>
      </c>
      <c r="T16">
        <f t="shared" si="108"/>
        <v>5850</v>
      </c>
      <c r="U16">
        <f t="shared" si="109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0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1"/>
        <v>200</v>
      </c>
      <c r="AB16">
        <f t="shared" si="112"/>
        <v>40550</v>
      </c>
      <c r="AC16">
        <f>_xlfn.XLOOKUP(B16,'[3]may-2026'!$A:$A,'[3]may-2026'!$C:$C,0,0)</f>
        <v>32500</v>
      </c>
      <c r="AD16">
        <f t="shared" si="113"/>
        <v>5850</v>
      </c>
      <c r="AE16">
        <f t="shared" si="114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5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6"/>
        <v>200</v>
      </c>
      <c r="AL16">
        <f t="shared" si="117"/>
        <v>40550</v>
      </c>
      <c r="AM16">
        <f>_xlfn.XLOOKUP(B16,'[4]june-2026'!$A:$A,'[4]june-2026'!$C:$C,0,0)</f>
        <v>32500</v>
      </c>
      <c r="AN16">
        <f t="shared" si="118"/>
        <v>5850</v>
      </c>
      <c r="AO16">
        <f t="shared" si="119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0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1"/>
        <v>200</v>
      </c>
      <c r="AV16">
        <f t="shared" si="122"/>
        <v>40550</v>
      </c>
      <c r="AW16">
        <f>_xlfn.XLOOKUP(B16,'[5]july-2026'!$A:$A,'[5]july-2026'!$C:$C,0,0)</f>
        <v>33500</v>
      </c>
      <c r="AX16">
        <f t="shared" si="123"/>
        <v>6030</v>
      </c>
      <c r="AY16">
        <v>14</v>
      </c>
      <c r="AZ16">
        <f t="shared" si="124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5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6"/>
        <v>200</v>
      </c>
      <c r="BG16">
        <f t="shared" si="127"/>
        <v>41864</v>
      </c>
      <c r="BH16">
        <f>_xlfn.XLOOKUP(B16,'[6]august-2026'!$A:$A,'[6]august-2026'!$C:$C,0,0)</f>
        <v>33500</v>
      </c>
      <c r="BI16">
        <f t="shared" si="128"/>
        <v>6030</v>
      </c>
      <c r="BJ16">
        <f t="shared" si="129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0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1"/>
        <v>200</v>
      </c>
      <c r="BQ16">
        <f t="shared" si="132"/>
        <v>41850</v>
      </c>
      <c r="BR16">
        <f>_xlfn.XLOOKUP(B16,'[7]september-2026'!$A:$A,'[7]september-2026'!$C:$C,0,0)</f>
        <v>33500</v>
      </c>
      <c r="BS16">
        <f t="shared" si="133"/>
        <v>6030</v>
      </c>
      <c r="BT16">
        <f t="shared" si="134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5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6"/>
        <v>200</v>
      </c>
      <c r="CA16">
        <f t="shared" si="137"/>
        <v>41850</v>
      </c>
      <c r="CB16">
        <f>_xlfn.XLOOKUP(B16,'[8]october-2026'!$A:$A,'[8]october-2026'!$C:$C,0,0)</f>
        <v>33500</v>
      </c>
      <c r="CC16">
        <f t="shared" si="138"/>
        <v>6030</v>
      </c>
      <c r="CD16">
        <f t="shared" si="139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0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1"/>
        <v>200</v>
      </c>
      <c r="CK16">
        <f t="shared" si="142"/>
        <v>41850</v>
      </c>
      <c r="CL16">
        <f>_xlfn.XLOOKUP(B16,'[9]november-2026'!$A:$A,'[9]november-2026'!$C:$C,0,0)</f>
        <v>33500</v>
      </c>
      <c r="CM16">
        <f t="shared" si="143"/>
        <v>6030</v>
      </c>
      <c r="CN16">
        <f t="shared" si="144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5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6"/>
        <v>200</v>
      </c>
      <c r="CU16">
        <f t="shared" si="147"/>
        <v>41850</v>
      </c>
      <c r="CV16">
        <f>_xlfn.XLOOKUP(B16,'[10]december-2026'!$A:$A,'[10]december-2026'!$C:$C,0,0)</f>
        <v>33500</v>
      </c>
      <c r="CW16">
        <f t="shared" si="148"/>
        <v>6030</v>
      </c>
      <c r="CX16">
        <f t="shared" si="149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0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1"/>
        <v>200</v>
      </c>
      <c r="DE16">
        <f t="shared" si="152"/>
        <v>41850</v>
      </c>
      <c r="DF16">
        <f xml:space="preserve"> _xlfn.XLOOKUP(B16,
'[11]january-2027'!$A:$A,
'[11]january-2027'!$C:$C,
0,0)</f>
        <v>33500</v>
      </c>
      <c r="DG16">
        <f t="shared" si="153"/>
        <v>6030</v>
      </c>
      <c r="DH16">
        <f t="shared" si="154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5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6"/>
        <v>200</v>
      </c>
      <c r="DO16">
        <f t="shared" si="157"/>
        <v>41850</v>
      </c>
      <c r="DP16">
        <f xml:space="preserve"> _xlfn.XLOOKUP(B16,
'[12]february-2027'!$A:$A,
'[12]february-2027'!$C:$C,
0,0)</f>
        <v>33500</v>
      </c>
      <c r="DQ16">
        <f t="shared" si="158"/>
        <v>6030</v>
      </c>
      <c r="DR16">
        <f t="shared" si="159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0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1"/>
        <v>200</v>
      </c>
      <c r="DY16">
        <f t="shared" si="162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3"/>
        <v>0</v>
      </c>
      <c r="EM16">
        <f t="shared" si="164"/>
        <v>530214</v>
      </c>
      <c r="EN16">
        <f t="shared" si="165"/>
        <v>2400</v>
      </c>
      <c r="EO16">
        <f t="shared" si="166"/>
        <v>50000</v>
      </c>
      <c r="EP16">
        <v>0</v>
      </c>
      <c r="EQ16">
        <f t="shared" si="167"/>
        <v>477814</v>
      </c>
      <c r="ER16">
        <f t="shared" si="62"/>
        <v>24000</v>
      </c>
      <c r="ES16">
        <f t="shared" si="63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4"/>
        <v>24000</v>
      </c>
      <c r="FE16">
        <f t="shared" si="65"/>
        <v>24000</v>
      </c>
      <c r="FF16">
        <f t="shared" si="66"/>
        <v>453814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>SUM(FG16:FM16)+(IF(F16="YES",50000,0))</f>
        <v>0</v>
      </c>
      <c r="FO16">
        <f t="shared" si="67"/>
        <v>453814</v>
      </c>
      <c r="FP16">
        <f t="shared" si="68"/>
        <v>10191</v>
      </c>
      <c r="FQ16">
        <f t="shared" si="69"/>
        <v>0</v>
      </c>
      <c r="FR16">
        <f t="shared" si="70"/>
        <v>10191</v>
      </c>
      <c r="FS16">
        <f t="shared" si="71"/>
        <v>0</v>
      </c>
      <c r="FT16">
        <f t="shared" si="72"/>
        <v>0</v>
      </c>
      <c r="FU16">
        <f t="shared" si="73"/>
        <v>0</v>
      </c>
      <c r="FV16">
        <v>0</v>
      </c>
      <c r="FW16">
        <f t="shared" si="74"/>
        <v>0</v>
      </c>
      <c r="FX16" t="b">
        <f t="shared" si="75"/>
        <v>1</v>
      </c>
      <c r="FY16">
        <f t="shared" ca="1" si="76"/>
        <v>760</v>
      </c>
      <c r="FZ16">
        <f t="shared" ca="1" si="77"/>
        <v>530974</v>
      </c>
      <c r="GA16">
        <f t="shared" si="78"/>
        <v>75000</v>
      </c>
      <c r="GB16">
        <f t="shared" ca="1" si="79"/>
        <v>455974</v>
      </c>
      <c r="GC16">
        <f t="shared" ca="1" si="80"/>
        <v>0</v>
      </c>
      <c r="GD16">
        <f t="shared" ca="1" si="81"/>
        <v>0</v>
      </c>
      <c r="GE16">
        <f t="shared" ca="1" si="82"/>
        <v>0</v>
      </c>
      <c r="GF16">
        <f t="shared" ca="1" si="83"/>
        <v>0</v>
      </c>
      <c r="GG16">
        <f t="shared" ca="1" si="84"/>
        <v>0</v>
      </c>
      <c r="GH16">
        <f t="shared" ca="1" si="85"/>
        <v>0</v>
      </c>
      <c r="GI16">
        <f ca="1">IF(GB16&gt;1200000,GB16-1200000-IF(F16="YES",50000,0)-GG16,0)</f>
        <v>0</v>
      </c>
      <c r="GJ16">
        <f t="shared" ca="1" si="86"/>
        <v>0</v>
      </c>
      <c r="GK16">
        <f t="shared" ca="1" si="87"/>
        <v>0</v>
      </c>
      <c r="GL16">
        <f t="shared" ca="1" si="88"/>
        <v>0</v>
      </c>
      <c r="GM16">
        <f t="shared" ca="1" si="89"/>
        <v>55974</v>
      </c>
      <c r="GN16">
        <f t="shared" ca="1" si="90"/>
        <v>2798.7000000000003</v>
      </c>
      <c r="GO16">
        <f t="shared" ca="1" si="91"/>
        <v>2799</v>
      </c>
      <c r="GP16">
        <f t="shared" ca="1" si="92"/>
        <v>0</v>
      </c>
      <c r="GQ16">
        <f t="shared" ca="1" si="93"/>
        <v>0</v>
      </c>
      <c r="GR16">
        <f t="shared" ca="1" si="94"/>
        <v>2799</v>
      </c>
      <c r="GS16">
        <f t="shared" ca="1" si="95"/>
        <v>0</v>
      </c>
      <c r="GT16" t="b">
        <f t="shared" ca="1" si="96"/>
        <v>0</v>
      </c>
      <c r="GU16">
        <f t="shared" ca="1" si="97"/>
        <v>0</v>
      </c>
      <c r="GV16">
        <f t="shared" ca="1" si="98"/>
        <v>2799</v>
      </c>
      <c r="GW16">
        <f t="shared" ca="1" si="99"/>
        <v>0</v>
      </c>
      <c r="GX16">
        <f t="shared" ca="1" si="100"/>
        <v>0</v>
      </c>
      <c r="GY16">
        <f t="shared" ca="1" si="101"/>
        <v>0</v>
      </c>
    </row>
    <row r="17" spans="1:207" x14ac:dyDescent="0.25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2"/>
        <v>6800</v>
      </c>
      <c r="I17">
        <f>_xlfn.XLOOKUP(B17,'[1]march-2026'!$A:$A,'[1]march-2026'!$C:$C,0,0)</f>
        <v>29800</v>
      </c>
      <c r="J17">
        <f t="shared" si="168"/>
        <v>5364</v>
      </c>
      <c r="K17">
        <f t="shared" si="104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5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6"/>
        <v>150</v>
      </c>
      <c r="R17">
        <f t="shared" si="107"/>
        <v>37090</v>
      </c>
      <c r="S17">
        <f>_xlfn.XLOOKUP(B17,'[2]april-2026'!$A:$A,'[2]april-2026'!$C:$C,0,0)</f>
        <v>29800</v>
      </c>
      <c r="T17">
        <f t="shared" si="108"/>
        <v>5364</v>
      </c>
      <c r="U17">
        <f t="shared" si="109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0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1"/>
        <v>150</v>
      </c>
      <c r="AB17">
        <f t="shared" si="112"/>
        <v>37090</v>
      </c>
      <c r="AC17">
        <f>_xlfn.XLOOKUP(B17,'[3]may-2026'!$A:$A,'[3]may-2026'!$C:$C,0,0)</f>
        <v>29800</v>
      </c>
      <c r="AD17">
        <f t="shared" si="113"/>
        <v>5364</v>
      </c>
      <c r="AE17">
        <f t="shared" si="114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5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6"/>
        <v>150</v>
      </c>
      <c r="AL17">
        <f t="shared" si="117"/>
        <v>37090</v>
      </c>
      <c r="AM17">
        <f>_xlfn.XLOOKUP(B17,'[4]june-2026'!$A:$A,'[4]june-2026'!$C:$C,0,0)</f>
        <v>29800</v>
      </c>
      <c r="AN17">
        <f t="shared" si="118"/>
        <v>5364</v>
      </c>
      <c r="AO17">
        <f t="shared" si="119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0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1"/>
        <v>150</v>
      </c>
      <c r="AV17">
        <f t="shared" si="122"/>
        <v>37090</v>
      </c>
      <c r="AW17">
        <f>_xlfn.XLOOKUP(B17,'[5]july-2026'!$A:$A,'[5]july-2026'!$C:$C,0,0)</f>
        <v>30700</v>
      </c>
      <c r="AX17">
        <f t="shared" si="123"/>
        <v>5526</v>
      </c>
      <c r="AY17">
        <v>15</v>
      </c>
      <c r="AZ17">
        <f t="shared" si="124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5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6"/>
        <v>200</v>
      </c>
      <c r="BG17">
        <f t="shared" si="127"/>
        <v>38225</v>
      </c>
      <c r="BH17">
        <f>_xlfn.XLOOKUP(B17,'[6]august-2026'!$A:$A,'[6]august-2026'!$C:$C,0,0)</f>
        <v>30700</v>
      </c>
      <c r="BI17">
        <f t="shared" si="128"/>
        <v>5526</v>
      </c>
      <c r="BJ17">
        <f t="shared" si="129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0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1"/>
        <v>200</v>
      </c>
      <c r="BQ17">
        <f t="shared" si="132"/>
        <v>38210</v>
      </c>
      <c r="BR17">
        <f>_xlfn.XLOOKUP(B17,'[7]september-2026'!$A:$A,'[7]september-2026'!$C:$C,0,0)</f>
        <v>30700</v>
      </c>
      <c r="BS17">
        <f t="shared" si="133"/>
        <v>5526</v>
      </c>
      <c r="BT17">
        <f t="shared" si="134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5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6"/>
        <v>200</v>
      </c>
      <c r="CA17">
        <f t="shared" si="137"/>
        <v>38210</v>
      </c>
      <c r="CB17">
        <f>_xlfn.XLOOKUP(B17,'[8]october-2026'!$A:$A,'[8]october-2026'!$C:$C,0,0)</f>
        <v>30700</v>
      </c>
      <c r="CC17">
        <f t="shared" si="138"/>
        <v>5526</v>
      </c>
      <c r="CD17">
        <f t="shared" si="139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0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1"/>
        <v>200</v>
      </c>
      <c r="CK17">
        <f t="shared" si="142"/>
        <v>38210</v>
      </c>
      <c r="CL17">
        <f>_xlfn.XLOOKUP(B17,'[9]november-2026'!$A:$A,'[9]november-2026'!$C:$C,0,0)</f>
        <v>30700</v>
      </c>
      <c r="CM17">
        <f t="shared" si="143"/>
        <v>5526</v>
      </c>
      <c r="CN17">
        <f t="shared" si="144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5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6"/>
        <v>200</v>
      </c>
      <c r="CU17">
        <f t="shared" si="147"/>
        <v>38210</v>
      </c>
      <c r="CV17">
        <f>_xlfn.XLOOKUP(B17,'[10]december-2026'!$A:$A,'[10]december-2026'!$C:$C,0,0)</f>
        <v>30700</v>
      </c>
      <c r="CW17">
        <f t="shared" si="148"/>
        <v>5526</v>
      </c>
      <c r="CX17">
        <f t="shared" si="149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0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1"/>
        <v>200</v>
      </c>
      <c r="DE17">
        <f t="shared" si="152"/>
        <v>38210</v>
      </c>
      <c r="DF17">
        <f xml:space="preserve"> _xlfn.XLOOKUP(B17,
'[11]january-2027'!$A:$A,
'[11]january-2027'!$C:$C,
0,0)</f>
        <v>30700</v>
      </c>
      <c r="DG17">
        <f t="shared" si="153"/>
        <v>5526</v>
      </c>
      <c r="DH17">
        <f t="shared" si="154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5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6"/>
        <v>200</v>
      </c>
      <c r="DO17">
        <f t="shared" si="157"/>
        <v>38210</v>
      </c>
      <c r="DP17">
        <f xml:space="preserve"> _xlfn.XLOOKUP(B17,
'[12]february-2027'!$A:$A,
'[12]february-2027'!$C:$C,
0,0)</f>
        <v>30700</v>
      </c>
      <c r="DQ17">
        <f t="shared" si="158"/>
        <v>5526</v>
      </c>
      <c r="DR17">
        <f t="shared" si="159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0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1"/>
        <v>200</v>
      </c>
      <c r="DY17">
        <f t="shared" si="162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3"/>
        <v>0</v>
      </c>
      <c r="EM17">
        <f t="shared" si="164"/>
        <v>487055</v>
      </c>
      <c r="EN17">
        <f t="shared" si="165"/>
        <v>2200</v>
      </c>
      <c r="EO17">
        <f t="shared" si="166"/>
        <v>50000</v>
      </c>
      <c r="EP17">
        <v>0</v>
      </c>
      <c r="EQ17">
        <f t="shared" si="167"/>
        <v>434855</v>
      </c>
      <c r="ER17">
        <f t="shared" si="62"/>
        <v>24000</v>
      </c>
      <c r="ES17">
        <f t="shared" si="63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4"/>
        <v>24000</v>
      </c>
      <c r="FE17">
        <f t="shared" si="65"/>
        <v>24000</v>
      </c>
      <c r="FF17">
        <f t="shared" si="66"/>
        <v>410855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>SUM(FG17:FM17)+(IF(F17="YES",50000,0))</f>
        <v>0</v>
      </c>
      <c r="FO17">
        <f t="shared" si="67"/>
        <v>410855</v>
      </c>
      <c r="FP17">
        <f t="shared" si="68"/>
        <v>8043</v>
      </c>
      <c r="FQ17">
        <f t="shared" si="69"/>
        <v>0</v>
      </c>
      <c r="FR17">
        <f t="shared" si="70"/>
        <v>8043</v>
      </c>
      <c r="FS17">
        <f t="shared" si="71"/>
        <v>0</v>
      </c>
      <c r="FT17">
        <f t="shared" si="72"/>
        <v>0</v>
      </c>
      <c r="FU17">
        <f t="shared" si="73"/>
        <v>0</v>
      </c>
      <c r="FV17">
        <v>0</v>
      </c>
      <c r="FW17">
        <f t="shared" si="74"/>
        <v>0</v>
      </c>
      <c r="FX17" t="b">
        <f t="shared" si="75"/>
        <v>0</v>
      </c>
      <c r="FY17">
        <f t="shared" ca="1" si="76"/>
        <v>2637</v>
      </c>
      <c r="FZ17">
        <f t="shared" ca="1" si="77"/>
        <v>489692</v>
      </c>
      <c r="GA17">
        <f t="shared" si="78"/>
        <v>75000</v>
      </c>
      <c r="GB17">
        <f t="shared" ca="1" si="79"/>
        <v>414692</v>
      </c>
      <c r="GC17">
        <f t="shared" ca="1" si="80"/>
        <v>0</v>
      </c>
      <c r="GD17">
        <f t="shared" ca="1" si="81"/>
        <v>0</v>
      </c>
      <c r="GE17">
        <f t="shared" ca="1" si="82"/>
        <v>0</v>
      </c>
      <c r="GF17">
        <f t="shared" ca="1" si="83"/>
        <v>0</v>
      </c>
      <c r="GG17">
        <f t="shared" ca="1" si="84"/>
        <v>0</v>
      </c>
      <c r="GH17">
        <f t="shared" ca="1" si="85"/>
        <v>0</v>
      </c>
      <c r="GI17">
        <f ca="1">IF(GB17&gt;1200000,GB17-1200000-IF(F17="YES",50000,0)-GG17,0)</f>
        <v>0</v>
      </c>
      <c r="GJ17">
        <f t="shared" ca="1" si="86"/>
        <v>0</v>
      </c>
      <c r="GK17">
        <f t="shared" ca="1" si="87"/>
        <v>0</v>
      </c>
      <c r="GL17">
        <f t="shared" ca="1" si="88"/>
        <v>0</v>
      </c>
      <c r="GM17">
        <f t="shared" ca="1" si="89"/>
        <v>14692</v>
      </c>
      <c r="GN17">
        <f t="shared" ca="1" si="90"/>
        <v>734.6</v>
      </c>
      <c r="GO17">
        <f t="shared" ca="1" si="91"/>
        <v>735</v>
      </c>
      <c r="GP17">
        <f t="shared" ca="1" si="92"/>
        <v>0</v>
      </c>
      <c r="GQ17">
        <f t="shared" ca="1" si="93"/>
        <v>0</v>
      </c>
      <c r="GR17">
        <f t="shared" ca="1" si="94"/>
        <v>735</v>
      </c>
      <c r="GS17">
        <f t="shared" ca="1" si="95"/>
        <v>0</v>
      </c>
      <c r="GT17" t="b">
        <f t="shared" ca="1" si="96"/>
        <v>0</v>
      </c>
      <c r="GU17">
        <f t="shared" ca="1" si="97"/>
        <v>0</v>
      </c>
      <c r="GV17">
        <f t="shared" ca="1" si="98"/>
        <v>735</v>
      </c>
      <c r="GW17">
        <f t="shared" ca="1" si="99"/>
        <v>0</v>
      </c>
      <c r="GX17">
        <f t="shared" ca="1" si="100"/>
        <v>0</v>
      </c>
      <c r="GY17">
        <f t="shared" ca="1" si="101"/>
        <v>0</v>
      </c>
    </row>
    <row r="18" spans="1:207" x14ac:dyDescent="0.25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2"/>
        <v>6800</v>
      </c>
      <c r="I18">
        <f>_xlfn.XLOOKUP(B18,'[1]march-2026'!$A:$A,'[1]march-2026'!$C:$C,0,0)</f>
        <v>51700</v>
      </c>
      <c r="J18">
        <f t="shared" si="168"/>
        <v>9306</v>
      </c>
      <c r="K18">
        <f t="shared" si="104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5"/>
        <v>67710</v>
      </c>
      <c r="O18">
        <f>_xlfn.XLOOKUP(B18,'[1]march-2026'!$A:$A,'[1]march-2026'!$H:$H,0,0)</f>
        <v>3500</v>
      </c>
      <c r="P18">
        <f>_xlfn.XLOOKUP(B18,'[1]march-2026'!$A:$A,'[1]march-2026'!$I:$I,0,0)</f>
        <v>0</v>
      </c>
      <c r="Q18">
        <f t="shared" si="106"/>
        <v>200</v>
      </c>
      <c r="R18">
        <f t="shared" si="107"/>
        <v>64010</v>
      </c>
      <c r="S18">
        <f>_xlfn.XLOOKUP(B18,'[2]april-2026'!$A:$A,'[2]april-2026'!$C:$C,0,0)</f>
        <v>51700</v>
      </c>
      <c r="T18">
        <f t="shared" si="108"/>
        <v>9306</v>
      </c>
      <c r="U18">
        <f t="shared" si="109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0"/>
        <v>67710</v>
      </c>
      <c r="Y18">
        <f>_xlfn.XLOOKUP(B18,'[2]april-2026'!$A:$A,'[2]april-2026'!$H:$H,0,0)</f>
        <v>3500</v>
      </c>
      <c r="Z18">
        <f>_xlfn.XLOOKUP(B18,'[2]april-2026'!$A:$A,'[2]april-2026'!$I:$I,0,0)</f>
        <v>0</v>
      </c>
      <c r="AA18">
        <f t="shared" si="111"/>
        <v>200</v>
      </c>
      <c r="AB18">
        <f t="shared" si="112"/>
        <v>64010</v>
      </c>
      <c r="AC18">
        <f>_xlfn.XLOOKUP(B18,'[3]may-2026'!$A:$A,'[3]may-2026'!$C:$C,0,0)</f>
        <v>51700</v>
      </c>
      <c r="AD18">
        <f t="shared" si="113"/>
        <v>9306</v>
      </c>
      <c r="AE18">
        <f t="shared" si="114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5"/>
        <v>67710</v>
      </c>
      <c r="AI18">
        <f>_xlfn.XLOOKUP(B18,'[3]may-2026'!$A:$A,'[3]may-2026'!$H:$H,0,0)</f>
        <v>3500</v>
      </c>
      <c r="AJ18">
        <f>_xlfn.XLOOKUP(B18,'[3]may-2026'!$A:$A,'[3]may-2026'!$I:$I,0,0)</f>
        <v>0</v>
      </c>
      <c r="AK18">
        <f t="shared" si="116"/>
        <v>200</v>
      </c>
      <c r="AL18">
        <f t="shared" si="117"/>
        <v>64010</v>
      </c>
      <c r="AM18">
        <f>_xlfn.XLOOKUP(B18,'[4]june-2026'!$A:$A,'[4]june-2026'!$C:$C,0,0)</f>
        <v>51700</v>
      </c>
      <c r="AN18">
        <f t="shared" si="118"/>
        <v>9306</v>
      </c>
      <c r="AO18">
        <f t="shared" si="119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0"/>
        <v>67710</v>
      </c>
      <c r="AS18">
        <f>_xlfn.XLOOKUP(B18,'[4]june-2026'!$A:$A,'[4]june-2026'!$H:$H,0,0)</f>
        <v>3500</v>
      </c>
      <c r="AT18">
        <f>_xlfn.XLOOKUP(B18,'[4]june-2026'!$A:$A,'[4]june-2026'!$I:$I,0,0)</f>
        <v>0</v>
      </c>
      <c r="AU18">
        <f t="shared" si="121"/>
        <v>200</v>
      </c>
      <c r="AV18">
        <f t="shared" si="122"/>
        <v>64010</v>
      </c>
      <c r="AW18">
        <f>_xlfn.XLOOKUP(B18,'[5]july-2026'!$A:$A,'[5]july-2026'!$C:$C,0,0)</f>
        <v>52700</v>
      </c>
      <c r="AX18">
        <f t="shared" si="123"/>
        <v>9486</v>
      </c>
      <c r="AY18">
        <v>16</v>
      </c>
      <c r="AZ18">
        <f t="shared" si="124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5"/>
        <v>69026</v>
      </c>
      <c r="BD18">
        <f>_xlfn.XLOOKUP(B18,'[5]july-2026'!$A:$A,'[5]july-2026'!$H:$H,0,0)</f>
        <v>3500</v>
      </c>
      <c r="BE18">
        <f>_xlfn.XLOOKUP(B18,'[5]july-2026'!$A:$A,'[5]july-2026'!$I:$I,0,0)</f>
        <v>0</v>
      </c>
      <c r="BF18">
        <f t="shared" si="126"/>
        <v>200</v>
      </c>
      <c r="BG18">
        <f t="shared" si="127"/>
        <v>65326</v>
      </c>
      <c r="BH18">
        <f>_xlfn.XLOOKUP(B18,'[6]august-2026'!$A:$A,'[6]august-2026'!$C:$C,0,0)</f>
        <v>52700</v>
      </c>
      <c r="BI18">
        <f t="shared" si="128"/>
        <v>9486</v>
      </c>
      <c r="BJ18">
        <f t="shared" si="129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0"/>
        <v>69010</v>
      </c>
      <c r="BN18">
        <f>_xlfn.XLOOKUP(B18,'[6]august-2026'!$A:$A,'[6]august-2026'!$H:$H,0,0)</f>
        <v>3500</v>
      </c>
      <c r="BO18">
        <f>_xlfn.XLOOKUP(B18,'[6]august-2026'!$A:$A,'[6]august-2026'!$I:$I,0,0)</f>
        <v>0</v>
      </c>
      <c r="BP18">
        <f t="shared" si="131"/>
        <v>200</v>
      </c>
      <c r="BQ18">
        <f t="shared" si="132"/>
        <v>65310</v>
      </c>
      <c r="BR18">
        <f>_xlfn.XLOOKUP(B18,'[7]september-2026'!$A:$A,'[7]september-2026'!$C:$C,0,0)</f>
        <v>52700</v>
      </c>
      <c r="BS18">
        <f t="shared" si="133"/>
        <v>9486</v>
      </c>
      <c r="BT18">
        <f t="shared" si="134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5"/>
        <v>69010</v>
      </c>
      <c r="BX18">
        <f>_xlfn.XLOOKUP(B18,'[7]september-2026'!$A:$A,'[7]september-2026'!$H:$H,0,0)</f>
        <v>3500</v>
      </c>
      <c r="BY18">
        <f>_xlfn.XLOOKUP(B18,'[7]september-2026'!$A:$A,'[7]september-2026'!$I:$I,0,0)</f>
        <v>0</v>
      </c>
      <c r="BZ18">
        <f t="shared" si="136"/>
        <v>200</v>
      </c>
      <c r="CA18">
        <f t="shared" si="137"/>
        <v>65310</v>
      </c>
      <c r="CB18">
        <f>_xlfn.XLOOKUP(B18,'[8]october-2026'!$A:$A,'[8]october-2026'!$C:$C,0,0)</f>
        <v>52700</v>
      </c>
      <c r="CC18">
        <f t="shared" si="138"/>
        <v>9486</v>
      </c>
      <c r="CD18">
        <f t="shared" si="139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0"/>
        <v>69010</v>
      </c>
      <c r="CH18">
        <f>_xlfn.XLOOKUP(B18,'[8]october-2026'!$A:$A,'[8]october-2026'!$H:$H,0,0)</f>
        <v>3500</v>
      </c>
      <c r="CI18">
        <f>_xlfn.XLOOKUP(B18,'[8]october-2026'!$A:$A,'[8]october-2026'!$I:$I,0,0)</f>
        <v>0</v>
      </c>
      <c r="CJ18">
        <f t="shared" si="141"/>
        <v>200</v>
      </c>
      <c r="CK18">
        <f t="shared" si="142"/>
        <v>65310</v>
      </c>
      <c r="CL18">
        <f>_xlfn.XLOOKUP(B18,'[9]november-2026'!$A:$A,'[9]november-2026'!$C:$C,0,0)</f>
        <v>52700</v>
      </c>
      <c r="CM18">
        <f t="shared" si="143"/>
        <v>9486</v>
      </c>
      <c r="CN18">
        <f t="shared" si="144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5"/>
        <v>69010</v>
      </c>
      <c r="CR18">
        <f>_xlfn.XLOOKUP(B18,'[9]november-2026'!$A:$A,'[9]november-2026'!$H:$H,0,0)</f>
        <v>3500</v>
      </c>
      <c r="CS18">
        <f>_xlfn.XLOOKUP(B18,'[9]november-2026'!$A:$A,'[9]november-2026'!$I:$I,0,0)</f>
        <v>0</v>
      </c>
      <c r="CT18">
        <f t="shared" si="146"/>
        <v>200</v>
      </c>
      <c r="CU18">
        <f t="shared" si="147"/>
        <v>65310</v>
      </c>
      <c r="CV18">
        <f>_xlfn.XLOOKUP(B18,'[10]december-2026'!$A:$A,'[10]december-2026'!$C:$C,0,0)</f>
        <v>52700</v>
      </c>
      <c r="CW18">
        <f t="shared" si="148"/>
        <v>9486</v>
      </c>
      <c r="CX18">
        <f t="shared" si="149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0"/>
        <v>69010</v>
      </c>
      <c r="DB18">
        <f>_xlfn.XLOOKUP(B18,'[10]december-2026'!$A:$A,'[10]december-2026'!$H:$H,0,0)</f>
        <v>3500</v>
      </c>
      <c r="DC18">
        <f>_xlfn.XLOOKUP(B18,'[10]december-2026'!$A:$A,'[10]december-2026'!$I:$I,0,0)</f>
        <v>0</v>
      </c>
      <c r="DD18">
        <f t="shared" si="151"/>
        <v>200</v>
      </c>
      <c r="DE18">
        <f t="shared" si="152"/>
        <v>65310</v>
      </c>
      <c r="DF18">
        <f xml:space="preserve"> _xlfn.XLOOKUP(B18,
'[11]january-2027'!$A:$A,
'[11]january-2027'!$C:$C,
0,0)</f>
        <v>52700</v>
      </c>
      <c r="DG18">
        <f t="shared" si="153"/>
        <v>9486</v>
      </c>
      <c r="DH18">
        <f t="shared" si="154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5"/>
        <v>69010</v>
      </c>
      <c r="DL18">
        <f xml:space="preserve"> _xlfn.XLOOKUP(B18,
'[11]january-2027'!$A:$A,
'[11]january-2027'!$H:$H,
0,0)</f>
        <v>3500</v>
      </c>
      <c r="DM18">
        <f xml:space="preserve"> _xlfn.XLOOKUP(B18,
'[11]january-2027'!$A:$A,
'[11]january-2027'!$I:$I,
0,0)</f>
        <v>0</v>
      </c>
      <c r="DN18">
        <f t="shared" si="156"/>
        <v>200</v>
      </c>
      <c r="DO18">
        <f t="shared" si="157"/>
        <v>65310</v>
      </c>
      <c r="DP18">
        <f xml:space="preserve"> _xlfn.XLOOKUP(B18,
'[12]february-2027'!$A:$A,
'[12]february-2027'!$C:$C,
0,0)</f>
        <v>52700</v>
      </c>
      <c r="DQ18">
        <f t="shared" si="158"/>
        <v>9486</v>
      </c>
      <c r="DR18">
        <f t="shared" si="159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0"/>
        <v>69010</v>
      </c>
      <c r="DV18">
        <f xml:space="preserve"> _xlfn.XLOOKUP(B18,
'[12]february-2027'!$A:$A,
'[12]february-2027'!$H:$H,
0,0)</f>
        <v>3500</v>
      </c>
      <c r="DW18">
        <f xml:space="preserve"> _xlfn.XLOOKUP(B18,
'[12]february-2027'!$A:$A,
'[12]february-2027'!$I:$I,
0,0)</f>
        <v>0</v>
      </c>
      <c r="DX18">
        <f t="shared" si="161"/>
        <v>200</v>
      </c>
      <c r="DY18">
        <f t="shared" si="162"/>
        <v>65310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3"/>
        <v>0</v>
      </c>
      <c r="EM18">
        <f t="shared" si="164"/>
        <v>829736</v>
      </c>
      <c r="EN18">
        <f t="shared" si="165"/>
        <v>2400</v>
      </c>
      <c r="EO18">
        <f t="shared" si="166"/>
        <v>50000</v>
      </c>
      <c r="EP18">
        <v>1</v>
      </c>
      <c r="EQ18">
        <f t="shared" si="167"/>
        <v>777336</v>
      </c>
      <c r="ER18">
        <f t="shared" ref="ER18" si="169">DV18+DL18+DB18+CR18+CH18+BX18+BN18+BD18+AS18+AI18+Y18+O18</f>
        <v>42000</v>
      </c>
      <c r="ES18">
        <f t="shared" ref="ES18" si="170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1">SUM(ER18:FC18)</f>
        <v>42000</v>
      </c>
      <c r="FE18">
        <f t="shared" ref="FE18" si="172">IF(FD18&gt;=150000,150000,FD18)</f>
        <v>42000</v>
      </c>
      <c r="FF18">
        <f t="shared" ref="FF18" si="173">EQ18-FE18</f>
        <v>735336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>SUM(FG18:FM18)+(IF(F18="YES",50000,0))</f>
        <v>0</v>
      </c>
      <c r="FO18">
        <f t="shared" ref="FO18" si="174">FF18-FN18</f>
        <v>735336</v>
      </c>
      <c r="FP18">
        <f t="shared" ref="FP18" si="175">ROUND(IF(FO18&gt;0,IF(FO18&gt;500000,12500,(FO18-250000)*0.05),0),0)</f>
        <v>12500</v>
      </c>
      <c r="FQ18">
        <f t="shared" ref="FQ18" si="176">IF(ROUND(IF(FO18&gt;0,IF(FO18&gt;1000000,25000,(FO18-500000)*0.2),0),0)&lt;0,0,ROUND(IF(FO18&gt;0,IF(FO18&gt;1000000,25000,(FO18-500000)*0.2),0),0))</f>
        <v>47067</v>
      </c>
      <c r="FR18">
        <f t="shared" ref="FR18" si="177">FP18+FQ18</f>
        <v>59567</v>
      </c>
      <c r="FS18">
        <f t="shared" ref="FS18" si="178">IF(FR18&lt;12500,0,FR18)</f>
        <v>59567</v>
      </c>
      <c r="FT18">
        <f t="shared" ref="FT18" si="179">FS18*0.04</f>
        <v>2382.6799999999998</v>
      </c>
      <c r="FU18">
        <f t="shared" ref="FU18" si="180">ROUND(FT18+FS18,0)</f>
        <v>61950</v>
      </c>
      <c r="FV18">
        <v>1</v>
      </c>
      <c r="FW18">
        <f t="shared" ref="FW18" si="181">FU18-FV18</f>
        <v>61949</v>
      </c>
      <c r="FX18" t="b">
        <f t="shared" ref="FX18" si="182">IF(EM18&gt;500000,TRUE,FALSE)</f>
        <v>1</v>
      </c>
      <c r="FY18">
        <f t="shared" ref="FY18" ca="1" si="183">IF(FX18,RANDBETWEEN(500,1000),RANDBETWEEN(1000,3000))</f>
        <v>591</v>
      </c>
      <c r="FZ18">
        <f t="shared" ref="FZ18" ca="1" si="184">EM18+FY18</f>
        <v>830327</v>
      </c>
      <c r="GA18">
        <f t="shared" ref="GA18" si="185">IF(EM18&gt;0,75000,0)</f>
        <v>75000</v>
      </c>
      <c r="GB18">
        <f t="shared" ref="GB18" ca="1" si="186">FZ18-GA18</f>
        <v>755327</v>
      </c>
      <c r="GC18">
        <f t="shared" ref="GC18" ca="1" si="187">IF(GB18&gt;2400000,GB18-2400000,0)</f>
        <v>0</v>
      </c>
      <c r="GD18">
        <f t="shared" ref="GD18" ca="1" si="188">GC18*0.3</f>
        <v>0</v>
      </c>
      <c r="GE18">
        <f t="shared" ref="GE18" ca="1" si="189">IF(GB18&gt;2000000,GB18-2000000,0)</f>
        <v>0</v>
      </c>
      <c r="GF18">
        <f t="shared" ref="GF18" ca="1" si="190">GE18*0.25</f>
        <v>0</v>
      </c>
      <c r="GG18">
        <f t="shared" ref="GG18" ca="1" si="191">IF(GB18&gt;1600000,GB18-1600000-GC18,0)</f>
        <v>0</v>
      </c>
      <c r="GH18">
        <f t="shared" ref="GH18" ca="1" si="192">GG18*0.2</f>
        <v>0</v>
      </c>
      <c r="GI18">
        <f ca="1">IF(GB18&gt;1200000,GB18-1200000-IF(F18="YES",50000,0)-GG18,0)</f>
        <v>0</v>
      </c>
      <c r="GJ18">
        <f t="shared" ref="GJ18" ca="1" si="193">GI18*0.15</f>
        <v>0</v>
      </c>
      <c r="GK18">
        <f t="shared" ref="GK18" ca="1" si="194">IF(GB18&gt;800000,GB18-800000-GC18-GG18-GI18,0)</f>
        <v>0</v>
      </c>
      <c r="GL18">
        <f t="shared" ref="GL18" ca="1" si="195">GK18*0.1</f>
        <v>0</v>
      </c>
      <c r="GM18">
        <f t="shared" ref="GM18" ca="1" si="196">IF(GB18&gt;400000,GB18-400000-GC18-GG18-GI18-GK18,0)</f>
        <v>355327</v>
      </c>
      <c r="GN18">
        <f t="shared" ref="GN18" ca="1" si="197">GM18*0.05</f>
        <v>17766.350000000002</v>
      </c>
      <c r="GO18">
        <f t="shared" ref="GO18" ca="1" si="198">ROUND(GD18+GF18+GH18+GJ18+GL18+GN18,0)</f>
        <v>17766</v>
      </c>
      <c r="GP18">
        <f t="shared" ref="GP18" ca="1" si="199">IF(GB18&gt;1200000,GB18,0)</f>
        <v>0</v>
      </c>
      <c r="GQ18">
        <f t="shared" ref="GQ18" ca="1" si="200">IF(GB18&gt;1200000,GP18-1200000,0)</f>
        <v>0</v>
      </c>
      <c r="GR18">
        <f t="shared" ref="GR18" ca="1" si="201">IF(GB18&lt;1200001,MIN(GO18,60000),0)</f>
        <v>17766</v>
      </c>
      <c r="GS18">
        <f t="shared" ref="GS18" ca="1" si="202">IF(GB18&gt;1200000,GO18-GQ18,0)</f>
        <v>0</v>
      </c>
      <c r="GT18" t="b">
        <f t="shared" ref="GT18" ca="1" si="203">IF(GS18&gt;0,TRUE,FALSE)</f>
        <v>0</v>
      </c>
      <c r="GU18">
        <f t="shared" ref="GU18" ca="1" si="204">IF(GT18,GS18,0)</f>
        <v>0</v>
      </c>
      <c r="GV18">
        <f t="shared" ref="GV18" ca="1" si="205">GR18+GU18</f>
        <v>17766</v>
      </c>
      <c r="GW18">
        <f t="shared" ref="GW18" ca="1" si="206">ROUND(GO18-GV18,0)</f>
        <v>0</v>
      </c>
      <c r="GX18">
        <f t="shared" ref="GX18" ca="1" si="207">GW18*0.04</f>
        <v>0</v>
      </c>
      <c r="GY18">
        <f t="shared" ref="GY18" ca="1" si="208">ROUNDUP(GW18+GX18,0)</f>
        <v>0</v>
      </c>
    </row>
    <row r="19" spans="1:207" x14ac:dyDescent="0.25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2"/>
        <v>6800</v>
      </c>
      <c r="I19">
        <f>_xlfn.XLOOKUP(B19,'[1]march-2026'!$A:$A,'[1]march-2026'!$C:$C,0,0)</f>
        <v>53300</v>
      </c>
      <c r="J19">
        <f t="shared" si="168"/>
        <v>9594</v>
      </c>
      <c r="K19">
        <f t="shared" si="104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5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6"/>
        <v>200</v>
      </c>
      <c r="R19">
        <f t="shared" si="107"/>
        <v>64930</v>
      </c>
      <c r="S19">
        <f>_xlfn.XLOOKUP(B19,'[2]april-2026'!$A:$A,'[2]april-2026'!$C:$C,0,0)</f>
        <v>53300</v>
      </c>
      <c r="T19">
        <f t="shared" si="108"/>
        <v>9594</v>
      </c>
      <c r="U19">
        <f t="shared" si="109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0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1"/>
        <v>200</v>
      </c>
      <c r="AB19">
        <f t="shared" si="112"/>
        <v>64930</v>
      </c>
      <c r="AC19">
        <f>_xlfn.XLOOKUP(B19,'[3]may-2026'!$A:$A,'[3]may-2026'!$C:$C,0,0)</f>
        <v>53300</v>
      </c>
      <c r="AD19">
        <f t="shared" si="113"/>
        <v>9594</v>
      </c>
      <c r="AE19">
        <f t="shared" si="114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5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6"/>
        <v>200</v>
      </c>
      <c r="AL19">
        <f t="shared" si="117"/>
        <v>64930</v>
      </c>
      <c r="AM19">
        <f>_xlfn.XLOOKUP(B19,'[4]june-2026'!$A:$A,'[4]june-2026'!$C:$C,0,0)</f>
        <v>53300</v>
      </c>
      <c r="AN19">
        <f t="shared" si="118"/>
        <v>9594</v>
      </c>
      <c r="AO19">
        <f t="shared" si="119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0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1"/>
        <v>200</v>
      </c>
      <c r="AV19">
        <f t="shared" si="122"/>
        <v>64930</v>
      </c>
      <c r="AW19">
        <f>_xlfn.XLOOKUP(B19,'[5]july-2026'!$A:$A,'[5]july-2026'!$C:$C,0,0)</f>
        <v>54900</v>
      </c>
      <c r="AX19">
        <f t="shared" si="123"/>
        <v>9882</v>
      </c>
      <c r="AY19">
        <v>17</v>
      </c>
      <c r="AZ19">
        <f t="shared" si="124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5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6"/>
        <v>200</v>
      </c>
      <c r="BG19">
        <f t="shared" si="127"/>
        <v>67027</v>
      </c>
      <c r="BH19">
        <f>_xlfn.XLOOKUP(B19,'[6]august-2026'!$A:$A,'[6]august-2026'!$C:$C,0,0)</f>
        <v>54900</v>
      </c>
      <c r="BI19">
        <f t="shared" si="128"/>
        <v>9882</v>
      </c>
      <c r="BJ19">
        <f t="shared" si="129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0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1"/>
        <v>200</v>
      </c>
      <c r="BQ19">
        <f t="shared" si="132"/>
        <v>67010</v>
      </c>
      <c r="BR19">
        <f>_xlfn.XLOOKUP(B19,'[7]september-2026'!$A:$A,'[7]september-2026'!$C:$C,0,0)</f>
        <v>54900</v>
      </c>
      <c r="BS19">
        <f t="shared" si="133"/>
        <v>9882</v>
      </c>
      <c r="BT19">
        <f t="shared" si="134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5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6"/>
        <v>200</v>
      </c>
      <c r="CA19">
        <f t="shared" si="137"/>
        <v>67010</v>
      </c>
      <c r="CB19">
        <f>_xlfn.XLOOKUP(B19,'[8]october-2026'!$A:$A,'[8]october-2026'!$C:$C,0,0)</f>
        <v>54900</v>
      </c>
      <c r="CC19">
        <f t="shared" si="138"/>
        <v>9882</v>
      </c>
      <c r="CD19">
        <f t="shared" si="139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0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1"/>
        <v>200</v>
      </c>
      <c r="CK19">
        <f t="shared" si="142"/>
        <v>67010</v>
      </c>
      <c r="CL19">
        <f>_xlfn.XLOOKUP(B19,'[9]november-2026'!$A:$A,'[9]november-2026'!$C:$C,0,0)</f>
        <v>54900</v>
      </c>
      <c r="CM19">
        <f t="shared" si="143"/>
        <v>9882</v>
      </c>
      <c r="CN19">
        <f t="shared" si="144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5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6"/>
        <v>200</v>
      </c>
      <c r="CU19">
        <f t="shared" si="147"/>
        <v>67010</v>
      </c>
      <c r="CV19">
        <f>_xlfn.XLOOKUP(B19,'[10]december-2026'!$A:$A,'[10]december-2026'!$C:$C,0,0)</f>
        <v>54900</v>
      </c>
      <c r="CW19">
        <f t="shared" si="148"/>
        <v>9882</v>
      </c>
      <c r="CX19">
        <f t="shared" si="149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0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1"/>
        <v>200</v>
      </c>
      <c r="DE19">
        <f t="shared" si="152"/>
        <v>67010</v>
      </c>
      <c r="DF19">
        <f xml:space="preserve"> _xlfn.XLOOKUP(B19,
'[11]january-2027'!$A:$A,
'[11]january-2027'!$C:$C,
0,0)</f>
        <v>54900</v>
      </c>
      <c r="DG19">
        <f t="shared" si="153"/>
        <v>9882</v>
      </c>
      <c r="DH19">
        <f t="shared" si="154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5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6"/>
        <v>200</v>
      </c>
      <c r="DO19">
        <f t="shared" si="157"/>
        <v>67010</v>
      </c>
      <c r="DP19">
        <f xml:space="preserve"> _xlfn.XLOOKUP(B19,
'[12]february-2027'!$A:$A,
'[12]february-2027'!$C:$C,
0,0)</f>
        <v>54900</v>
      </c>
      <c r="DQ19">
        <f t="shared" si="158"/>
        <v>9882</v>
      </c>
      <c r="DR19">
        <f t="shared" si="159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0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1"/>
        <v>200</v>
      </c>
      <c r="DY19">
        <f t="shared" si="162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3"/>
        <v>0</v>
      </c>
      <c r="EM19">
        <f t="shared" si="164"/>
        <v>865737</v>
      </c>
      <c r="EN19">
        <f t="shared" si="165"/>
        <v>2400</v>
      </c>
      <c r="EO19">
        <f t="shared" si="166"/>
        <v>50000</v>
      </c>
      <c r="EP19">
        <v>0</v>
      </c>
      <c r="EQ19">
        <f t="shared" si="167"/>
        <v>813337</v>
      </c>
      <c r="ER19">
        <f t="shared" si="62"/>
        <v>60000</v>
      </c>
      <c r="ES19">
        <f t="shared" si="63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4"/>
        <v>60720</v>
      </c>
      <c r="FE19">
        <f t="shared" si="65"/>
        <v>60720</v>
      </c>
      <c r="FF19">
        <f t="shared" si="66"/>
        <v>752617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>SUM(FG19:FM19)+(IF(F19="YES",50000,0))</f>
        <v>0</v>
      </c>
      <c r="FO19">
        <f t="shared" si="67"/>
        <v>752617</v>
      </c>
      <c r="FP19">
        <f t="shared" si="68"/>
        <v>12500</v>
      </c>
      <c r="FQ19">
        <f t="shared" si="69"/>
        <v>50523</v>
      </c>
      <c r="FR19">
        <f t="shared" si="70"/>
        <v>63023</v>
      </c>
      <c r="FS19">
        <f t="shared" si="71"/>
        <v>63023</v>
      </c>
      <c r="FT19">
        <f t="shared" si="72"/>
        <v>2520.92</v>
      </c>
      <c r="FU19">
        <f t="shared" si="73"/>
        <v>65544</v>
      </c>
      <c r="FV19">
        <v>0</v>
      </c>
      <c r="FW19">
        <f t="shared" si="74"/>
        <v>65544</v>
      </c>
      <c r="FX19" t="b">
        <f t="shared" si="75"/>
        <v>1</v>
      </c>
      <c r="FY19">
        <f t="shared" ca="1" si="76"/>
        <v>860</v>
      </c>
      <c r="FZ19">
        <f t="shared" ca="1" si="77"/>
        <v>866597</v>
      </c>
      <c r="GA19">
        <f t="shared" si="78"/>
        <v>75000</v>
      </c>
      <c r="GB19">
        <f t="shared" ca="1" si="79"/>
        <v>791597</v>
      </c>
      <c r="GC19">
        <f t="shared" ca="1" si="80"/>
        <v>0</v>
      </c>
      <c r="GD19">
        <f t="shared" ca="1" si="81"/>
        <v>0</v>
      </c>
      <c r="GE19">
        <f t="shared" ca="1" si="82"/>
        <v>0</v>
      </c>
      <c r="GF19">
        <f t="shared" ca="1" si="83"/>
        <v>0</v>
      </c>
      <c r="GG19">
        <f t="shared" ca="1" si="84"/>
        <v>0</v>
      </c>
      <c r="GH19">
        <f t="shared" ca="1" si="85"/>
        <v>0</v>
      </c>
      <c r="GI19">
        <f ca="1">IF(GB19&gt;1200000,GB19-1200000-IF(F19="YES",50000,0)-GG19,0)</f>
        <v>0</v>
      </c>
      <c r="GJ19">
        <f t="shared" ca="1" si="86"/>
        <v>0</v>
      </c>
      <c r="GK19">
        <f t="shared" ca="1" si="87"/>
        <v>0</v>
      </c>
      <c r="GL19">
        <f t="shared" ca="1" si="88"/>
        <v>0</v>
      </c>
      <c r="GM19">
        <f t="shared" ca="1" si="89"/>
        <v>391597</v>
      </c>
      <c r="GN19">
        <f t="shared" ca="1" si="90"/>
        <v>19579.850000000002</v>
      </c>
      <c r="GO19">
        <f t="shared" ca="1" si="91"/>
        <v>19580</v>
      </c>
      <c r="GP19">
        <f t="shared" ca="1" si="92"/>
        <v>0</v>
      </c>
      <c r="GQ19">
        <f t="shared" ca="1" si="93"/>
        <v>0</v>
      </c>
      <c r="GR19">
        <f t="shared" ca="1" si="94"/>
        <v>19580</v>
      </c>
      <c r="GS19">
        <f t="shared" ca="1" si="95"/>
        <v>0</v>
      </c>
      <c r="GT19" t="b">
        <f t="shared" ca="1" si="96"/>
        <v>0</v>
      </c>
      <c r="GU19">
        <f t="shared" ca="1" si="97"/>
        <v>0</v>
      </c>
      <c r="GV19">
        <f t="shared" ca="1" si="98"/>
        <v>19580</v>
      </c>
      <c r="GW19">
        <f t="shared" ca="1" si="99"/>
        <v>0</v>
      </c>
      <c r="GX19">
        <f t="shared" ca="1" si="100"/>
        <v>0</v>
      </c>
      <c r="GY19">
        <f t="shared" ca="1" si="101"/>
        <v>0</v>
      </c>
    </row>
    <row r="20" spans="1:207" x14ac:dyDescent="0.25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2"/>
        <v>6800</v>
      </c>
      <c r="I20">
        <f>_xlfn.XLOOKUP(B20,'[1]march-2026'!$A:$A,'[1]march-2026'!$C:$C,0,0)</f>
        <v>34500</v>
      </c>
      <c r="J20">
        <f t="shared" si="168"/>
        <v>6210</v>
      </c>
      <c r="K20">
        <f t="shared" si="104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5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6"/>
        <v>200</v>
      </c>
      <c r="R20">
        <f t="shared" si="107"/>
        <v>40150</v>
      </c>
      <c r="S20">
        <f>_xlfn.XLOOKUP(B20,'[2]april-2026'!$A:$A,'[2]april-2026'!$C:$C,0,0)</f>
        <v>34500</v>
      </c>
      <c r="T20">
        <f t="shared" si="108"/>
        <v>6210</v>
      </c>
      <c r="U20">
        <f t="shared" si="109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0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1"/>
        <v>200</v>
      </c>
      <c r="AB20">
        <f t="shared" si="112"/>
        <v>40150</v>
      </c>
      <c r="AC20">
        <f>_xlfn.XLOOKUP(B20,'[3]may-2026'!$A:$A,'[3]may-2026'!$C:$C,0,0)</f>
        <v>34500</v>
      </c>
      <c r="AD20">
        <f t="shared" si="113"/>
        <v>6210</v>
      </c>
      <c r="AE20">
        <f t="shared" si="114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5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6"/>
        <v>200</v>
      </c>
      <c r="AL20">
        <f t="shared" si="117"/>
        <v>40150</v>
      </c>
      <c r="AM20">
        <f>_xlfn.XLOOKUP(B20,'[4]june-2026'!$A:$A,'[4]june-2026'!$C:$C,0,0)</f>
        <v>34500</v>
      </c>
      <c r="AN20">
        <f t="shared" si="118"/>
        <v>6210</v>
      </c>
      <c r="AO20">
        <f t="shared" si="119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0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1"/>
        <v>200</v>
      </c>
      <c r="AV20">
        <f t="shared" si="122"/>
        <v>40150</v>
      </c>
      <c r="AW20">
        <f>_xlfn.XLOOKUP(B20,'[5]july-2026'!$A:$A,'[5]july-2026'!$C:$C,0,0)</f>
        <v>35500</v>
      </c>
      <c r="AX20">
        <f t="shared" si="123"/>
        <v>6390</v>
      </c>
      <c r="AY20">
        <v>18</v>
      </c>
      <c r="AZ20">
        <f t="shared" si="124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5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6"/>
        <v>200</v>
      </c>
      <c r="BG20">
        <f t="shared" si="127"/>
        <v>41468</v>
      </c>
      <c r="BH20">
        <f>_xlfn.XLOOKUP(B20,'[6]august-2026'!$A:$A,'[6]august-2026'!$C:$C,0,0)</f>
        <v>35500</v>
      </c>
      <c r="BI20">
        <f t="shared" si="128"/>
        <v>6390</v>
      </c>
      <c r="BJ20">
        <f t="shared" si="129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0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1"/>
        <v>200</v>
      </c>
      <c r="BQ20">
        <f t="shared" si="132"/>
        <v>41450</v>
      </c>
      <c r="BR20">
        <f>_xlfn.XLOOKUP(B20,'[7]september-2026'!$A:$A,'[7]september-2026'!$C:$C,0,0)</f>
        <v>35500</v>
      </c>
      <c r="BS20">
        <f t="shared" si="133"/>
        <v>6390</v>
      </c>
      <c r="BT20">
        <f t="shared" si="134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5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6"/>
        <v>200</v>
      </c>
      <c r="CA20">
        <f t="shared" si="137"/>
        <v>41450</v>
      </c>
      <c r="CB20">
        <f>_xlfn.XLOOKUP(B20,'[8]october-2026'!$A:$A,'[8]october-2026'!$C:$C,0,0)</f>
        <v>35500</v>
      </c>
      <c r="CC20">
        <f t="shared" si="138"/>
        <v>6390</v>
      </c>
      <c r="CD20">
        <f t="shared" si="139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0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1"/>
        <v>200</v>
      </c>
      <c r="CK20">
        <f t="shared" si="142"/>
        <v>41450</v>
      </c>
      <c r="CL20">
        <f>_xlfn.XLOOKUP(B20,'[9]november-2026'!$A:$A,'[9]november-2026'!$C:$C,0,0)</f>
        <v>35500</v>
      </c>
      <c r="CM20">
        <f t="shared" si="143"/>
        <v>6390</v>
      </c>
      <c r="CN20">
        <f t="shared" si="144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5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6"/>
        <v>200</v>
      </c>
      <c r="CU20">
        <f t="shared" si="147"/>
        <v>41450</v>
      </c>
      <c r="CV20">
        <f>_xlfn.XLOOKUP(B20,'[10]december-2026'!$A:$A,'[10]december-2026'!$C:$C,0,0)</f>
        <v>35500</v>
      </c>
      <c r="CW20">
        <f t="shared" si="148"/>
        <v>6390</v>
      </c>
      <c r="CX20">
        <f t="shared" si="149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0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1"/>
        <v>200</v>
      </c>
      <c r="DE20">
        <f t="shared" si="152"/>
        <v>41450</v>
      </c>
      <c r="DF20">
        <f xml:space="preserve"> _xlfn.XLOOKUP(B20,
'[11]january-2027'!$A:$A,
'[11]january-2027'!$C:$C,
0,0)</f>
        <v>35500</v>
      </c>
      <c r="DG20">
        <f t="shared" si="153"/>
        <v>6390</v>
      </c>
      <c r="DH20">
        <f t="shared" si="154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5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6"/>
        <v>200</v>
      </c>
      <c r="DO20">
        <f t="shared" si="157"/>
        <v>41450</v>
      </c>
      <c r="DP20">
        <f xml:space="preserve"> _xlfn.XLOOKUP(B20,
'[12]february-2027'!$A:$A,
'[12]february-2027'!$C:$C,
0,0)</f>
        <v>35500</v>
      </c>
      <c r="DQ20">
        <f t="shared" si="158"/>
        <v>6390</v>
      </c>
      <c r="DR20">
        <f t="shared" si="159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0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1"/>
        <v>200</v>
      </c>
      <c r="DY20">
        <f t="shared" si="162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3"/>
        <v>0</v>
      </c>
      <c r="EM20">
        <f t="shared" si="164"/>
        <v>561418</v>
      </c>
      <c r="EN20">
        <f t="shared" si="165"/>
        <v>2400</v>
      </c>
      <c r="EO20">
        <f t="shared" si="166"/>
        <v>50000</v>
      </c>
      <c r="EP20">
        <v>0</v>
      </c>
      <c r="EQ20">
        <f t="shared" si="167"/>
        <v>509018</v>
      </c>
      <c r="ER20">
        <f t="shared" si="62"/>
        <v>60000</v>
      </c>
      <c r="ES20">
        <f t="shared" si="63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4"/>
        <v>60000</v>
      </c>
      <c r="FE20">
        <f t="shared" si="65"/>
        <v>60000</v>
      </c>
      <c r="FF20">
        <f t="shared" si="66"/>
        <v>449018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>SUM(FG20:FM20)+(IF(F20="YES",50000,0))</f>
        <v>0</v>
      </c>
      <c r="FO20">
        <f t="shared" si="67"/>
        <v>449018</v>
      </c>
      <c r="FP20">
        <f t="shared" si="68"/>
        <v>9951</v>
      </c>
      <c r="FQ20">
        <f t="shared" si="69"/>
        <v>0</v>
      </c>
      <c r="FR20">
        <f t="shared" si="70"/>
        <v>9951</v>
      </c>
      <c r="FS20">
        <f t="shared" si="71"/>
        <v>0</v>
      </c>
      <c r="FT20">
        <f t="shared" si="72"/>
        <v>0</v>
      </c>
      <c r="FU20">
        <f t="shared" si="73"/>
        <v>0</v>
      </c>
      <c r="FV20">
        <v>0</v>
      </c>
      <c r="FW20">
        <f t="shared" si="74"/>
        <v>0</v>
      </c>
      <c r="FX20" t="b">
        <f t="shared" si="75"/>
        <v>1</v>
      </c>
      <c r="FY20">
        <f t="shared" ca="1" si="76"/>
        <v>536</v>
      </c>
      <c r="FZ20">
        <f t="shared" ca="1" si="77"/>
        <v>561954</v>
      </c>
      <c r="GA20">
        <f t="shared" si="78"/>
        <v>75000</v>
      </c>
      <c r="GB20">
        <f t="shared" ca="1" si="79"/>
        <v>486954</v>
      </c>
      <c r="GC20">
        <f t="shared" ca="1" si="80"/>
        <v>0</v>
      </c>
      <c r="GD20">
        <f t="shared" ca="1" si="81"/>
        <v>0</v>
      </c>
      <c r="GE20">
        <f t="shared" ca="1" si="82"/>
        <v>0</v>
      </c>
      <c r="GF20">
        <f t="shared" ca="1" si="83"/>
        <v>0</v>
      </c>
      <c r="GG20">
        <f t="shared" ca="1" si="84"/>
        <v>0</v>
      </c>
      <c r="GH20">
        <f t="shared" ca="1" si="85"/>
        <v>0</v>
      </c>
      <c r="GI20">
        <f ca="1">IF(GB20&gt;1200000,GB20-1200000-IF(F20="YES",50000,0)-GG20,0)</f>
        <v>0</v>
      </c>
      <c r="GJ20">
        <f t="shared" ca="1" si="86"/>
        <v>0</v>
      </c>
      <c r="GK20">
        <f t="shared" ca="1" si="87"/>
        <v>0</v>
      </c>
      <c r="GL20">
        <f t="shared" ca="1" si="88"/>
        <v>0</v>
      </c>
      <c r="GM20">
        <f t="shared" ca="1" si="89"/>
        <v>86954</v>
      </c>
      <c r="GN20">
        <f t="shared" ca="1" si="90"/>
        <v>4347.7</v>
      </c>
      <c r="GO20">
        <f t="shared" ca="1" si="91"/>
        <v>4348</v>
      </c>
      <c r="GP20">
        <f t="shared" ca="1" si="92"/>
        <v>0</v>
      </c>
      <c r="GQ20">
        <f t="shared" ca="1" si="93"/>
        <v>0</v>
      </c>
      <c r="GR20">
        <f t="shared" ca="1" si="94"/>
        <v>4348</v>
      </c>
      <c r="GS20">
        <f t="shared" ca="1" si="95"/>
        <v>0</v>
      </c>
      <c r="GT20" t="b">
        <f t="shared" ca="1" si="96"/>
        <v>0</v>
      </c>
      <c r="GU20">
        <f t="shared" ca="1" si="97"/>
        <v>0</v>
      </c>
      <c r="GV20">
        <f t="shared" ca="1" si="98"/>
        <v>4348</v>
      </c>
      <c r="GW20">
        <f t="shared" ca="1" si="99"/>
        <v>0</v>
      </c>
      <c r="GX20">
        <f t="shared" ca="1" si="100"/>
        <v>0</v>
      </c>
      <c r="GY20">
        <f t="shared" ca="1" si="101"/>
        <v>0</v>
      </c>
    </row>
    <row r="21" spans="1:207" x14ac:dyDescent="0.25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2"/>
        <v>6800</v>
      </c>
      <c r="I21">
        <f>_xlfn.XLOOKUP(B21,'[1]march-2026'!$A:$A,'[1]march-2026'!$C:$C,0,0)</f>
        <v>29800</v>
      </c>
      <c r="J21">
        <f t="shared" si="168"/>
        <v>5364</v>
      </c>
      <c r="K21">
        <f t="shared" si="104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5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6"/>
        <v>150</v>
      </c>
      <c r="R21">
        <f t="shared" si="107"/>
        <v>37090</v>
      </c>
      <c r="S21">
        <f>_xlfn.XLOOKUP(B21,'[2]april-2026'!$A:$A,'[2]april-2026'!$C:$C,0,0)</f>
        <v>29800</v>
      </c>
      <c r="T21">
        <f t="shared" si="108"/>
        <v>5364</v>
      </c>
      <c r="U21">
        <f t="shared" si="109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0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1"/>
        <v>150</v>
      </c>
      <c r="AB21">
        <f t="shared" si="112"/>
        <v>37090</v>
      </c>
      <c r="AC21">
        <f>_xlfn.XLOOKUP(B21,'[3]may-2026'!$A:$A,'[3]may-2026'!$C:$C,0,0)</f>
        <v>29800</v>
      </c>
      <c r="AD21">
        <f t="shared" si="113"/>
        <v>5364</v>
      </c>
      <c r="AE21">
        <f t="shared" si="114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5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6"/>
        <v>150</v>
      </c>
      <c r="AL21">
        <f t="shared" si="117"/>
        <v>37090</v>
      </c>
      <c r="AM21">
        <f>_xlfn.XLOOKUP(B21,'[4]june-2026'!$A:$A,'[4]june-2026'!$C:$C,0,0)</f>
        <v>29800</v>
      </c>
      <c r="AN21">
        <f t="shared" si="118"/>
        <v>5364</v>
      </c>
      <c r="AO21">
        <f t="shared" si="119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0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1"/>
        <v>150</v>
      </c>
      <c r="AV21">
        <f t="shared" si="122"/>
        <v>37090</v>
      </c>
      <c r="AW21">
        <f>_xlfn.XLOOKUP(B21,'[5]july-2026'!$A:$A,'[5]july-2026'!$C:$C,0,0)</f>
        <v>30700</v>
      </c>
      <c r="AX21">
        <f t="shared" si="123"/>
        <v>5526</v>
      </c>
      <c r="AY21">
        <v>19</v>
      </c>
      <c r="AZ21">
        <f t="shared" si="124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5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6"/>
        <v>200</v>
      </c>
      <c r="BG21">
        <f t="shared" si="127"/>
        <v>38229</v>
      </c>
      <c r="BH21">
        <f>_xlfn.XLOOKUP(B21,'[6]august-2026'!$A:$A,'[6]august-2026'!$C:$C,0,0)</f>
        <v>30700</v>
      </c>
      <c r="BI21">
        <f t="shared" si="128"/>
        <v>5526</v>
      </c>
      <c r="BJ21">
        <f t="shared" si="129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0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1"/>
        <v>200</v>
      </c>
      <c r="BQ21">
        <f t="shared" si="132"/>
        <v>38210</v>
      </c>
      <c r="BR21">
        <f>_xlfn.XLOOKUP(B21,'[7]september-2026'!$A:$A,'[7]september-2026'!$C:$C,0,0)</f>
        <v>30700</v>
      </c>
      <c r="BS21">
        <f t="shared" si="133"/>
        <v>5526</v>
      </c>
      <c r="BT21">
        <f t="shared" si="134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5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6"/>
        <v>200</v>
      </c>
      <c r="CA21">
        <f t="shared" si="137"/>
        <v>38210</v>
      </c>
      <c r="CB21">
        <f>_xlfn.XLOOKUP(B21,'[8]october-2026'!$A:$A,'[8]october-2026'!$C:$C,0,0)</f>
        <v>30700</v>
      </c>
      <c r="CC21">
        <f t="shared" si="138"/>
        <v>5526</v>
      </c>
      <c r="CD21">
        <f t="shared" si="139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0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1"/>
        <v>200</v>
      </c>
      <c r="CK21">
        <f t="shared" si="142"/>
        <v>38210</v>
      </c>
      <c r="CL21">
        <f>_xlfn.XLOOKUP(B21,'[9]november-2026'!$A:$A,'[9]november-2026'!$C:$C,0,0)</f>
        <v>30700</v>
      </c>
      <c r="CM21">
        <f t="shared" si="143"/>
        <v>5526</v>
      </c>
      <c r="CN21">
        <f t="shared" si="144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5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6"/>
        <v>200</v>
      </c>
      <c r="CU21">
        <f t="shared" si="147"/>
        <v>38210</v>
      </c>
      <c r="CV21">
        <f>_xlfn.XLOOKUP(B21,'[10]december-2026'!$A:$A,'[10]december-2026'!$C:$C,0,0)</f>
        <v>30700</v>
      </c>
      <c r="CW21">
        <f t="shared" si="148"/>
        <v>5526</v>
      </c>
      <c r="CX21">
        <f t="shared" si="149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0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1"/>
        <v>200</v>
      </c>
      <c r="DE21">
        <f t="shared" si="152"/>
        <v>38210</v>
      </c>
      <c r="DF21">
        <f xml:space="preserve"> _xlfn.XLOOKUP(B21,
'[11]january-2027'!$A:$A,
'[11]january-2027'!$C:$C,
0,0)</f>
        <v>30700</v>
      </c>
      <c r="DG21">
        <f t="shared" si="153"/>
        <v>5526</v>
      </c>
      <c r="DH21">
        <f t="shared" si="154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5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6"/>
        <v>200</v>
      </c>
      <c r="DO21">
        <f t="shared" si="157"/>
        <v>38210</v>
      </c>
      <c r="DP21">
        <f xml:space="preserve"> _xlfn.XLOOKUP(B21,
'[12]february-2027'!$A:$A,
'[12]february-2027'!$C:$C,
0,0)</f>
        <v>30700</v>
      </c>
      <c r="DQ21">
        <f t="shared" si="158"/>
        <v>5526</v>
      </c>
      <c r="DR21">
        <f t="shared" si="159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0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1"/>
        <v>200</v>
      </c>
      <c r="DY21">
        <f t="shared" si="162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3"/>
        <v>0</v>
      </c>
      <c r="EM21">
        <f t="shared" si="164"/>
        <v>487059</v>
      </c>
      <c r="EN21">
        <f t="shared" si="165"/>
        <v>2200</v>
      </c>
      <c r="EO21">
        <f t="shared" si="166"/>
        <v>50000</v>
      </c>
      <c r="EP21">
        <v>0</v>
      </c>
      <c r="EQ21">
        <f t="shared" si="167"/>
        <v>434859</v>
      </c>
      <c r="ER21">
        <f t="shared" si="62"/>
        <v>24000</v>
      </c>
      <c r="ES21">
        <f t="shared" si="63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4"/>
        <v>24000</v>
      </c>
      <c r="FE21">
        <f t="shared" si="65"/>
        <v>24000</v>
      </c>
      <c r="FF21">
        <f t="shared" si="66"/>
        <v>410859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>SUM(FG21:FM21)+(IF(F21="YES",50000,0))</f>
        <v>0</v>
      </c>
      <c r="FO21">
        <f t="shared" si="67"/>
        <v>410859</v>
      </c>
      <c r="FP21">
        <f t="shared" si="68"/>
        <v>8043</v>
      </c>
      <c r="FQ21">
        <f t="shared" si="69"/>
        <v>0</v>
      </c>
      <c r="FR21">
        <f t="shared" si="70"/>
        <v>8043</v>
      </c>
      <c r="FS21">
        <f t="shared" si="71"/>
        <v>0</v>
      </c>
      <c r="FT21">
        <f t="shared" si="72"/>
        <v>0</v>
      </c>
      <c r="FU21">
        <f t="shared" si="73"/>
        <v>0</v>
      </c>
      <c r="FV21">
        <v>0</v>
      </c>
      <c r="FW21">
        <f t="shared" si="74"/>
        <v>0</v>
      </c>
      <c r="FX21" t="b">
        <f t="shared" si="75"/>
        <v>0</v>
      </c>
      <c r="FY21">
        <f t="shared" ca="1" si="76"/>
        <v>1121</v>
      </c>
      <c r="FZ21">
        <f t="shared" ca="1" si="77"/>
        <v>488180</v>
      </c>
      <c r="GA21">
        <f t="shared" si="78"/>
        <v>75000</v>
      </c>
      <c r="GB21">
        <f t="shared" ca="1" si="79"/>
        <v>413180</v>
      </c>
      <c r="GC21">
        <f t="shared" ca="1" si="80"/>
        <v>0</v>
      </c>
      <c r="GD21">
        <f t="shared" ca="1" si="81"/>
        <v>0</v>
      </c>
      <c r="GE21">
        <f t="shared" ca="1" si="82"/>
        <v>0</v>
      </c>
      <c r="GF21">
        <f t="shared" ca="1" si="83"/>
        <v>0</v>
      </c>
      <c r="GG21">
        <f t="shared" ca="1" si="84"/>
        <v>0</v>
      </c>
      <c r="GH21">
        <f t="shared" ca="1" si="85"/>
        <v>0</v>
      </c>
      <c r="GI21">
        <f ca="1">IF(GB21&gt;1200000,GB21-1200000-IF(F21="YES",50000,0)-GG21,0)</f>
        <v>0</v>
      </c>
      <c r="GJ21">
        <f t="shared" ca="1" si="86"/>
        <v>0</v>
      </c>
      <c r="GK21">
        <f t="shared" ca="1" si="87"/>
        <v>0</v>
      </c>
      <c r="GL21">
        <f t="shared" ca="1" si="88"/>
        <v>0</v>
      </c>
      <c r="GM21">
        <f t="shared" ca="1" si="89"/>
        <v>13180</v>
      </c>
      <c r="GN21">
        <f t="shared" ca="1" si="90"/>
        <v>659</v>
      </c>
      <c r="GO21">
        <f t="shared" ca="1" si="91"/>
        <v>659</v>
      </c>
      <c r="GP21">
        <f t="shared" ca="1" si="92"/>
        <v>0</v>
      </c>
      <c r="GQ21">
        <f t="shared" ca="1" si="93"/>
        <v>0</v>
      </c>
      <c r="GR21">
        <f t="shared" ca="1" si="94"/>
        <v>659</v>
      </c>
      <c r="GS21">
        <f t="shared" ca="1" si="95"/>
        <v>0</v>
      </c>
      <c r="GT21" t="b">
        <f t="shared" ca="1" si="96"/>
        <v>0</v>
      </c>
      <c r="GU21">
        <f t="shared" ca="1" si="97"/>
        <v>0</v>
      </c>
      <c r="GV21">
        <f t="shared" ca="1" si="98"/>
        <v>659</v>
      </c>
      <c r="GW21">
        <f t="shared" ca="1" si="99"/>
        <v>0</v>
      </c>
      <c r="GX21">
        <f t="shared" ca="1" si="100"/>
        <v>0</v>
      </c>
      <c r="GY21">
        <f t="shared" ca="1" si="101"/>
        <v>0</v>
      </c>
    </row>
    <row r="22" spans="1:207" x14ac:dyDescent="0.25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2"/>
        <v>6800</v>
      </c>
      <c r="I22">
        <f>_xlfn.XLOOKUP(B22,'[1]march-2026'!$A:$A,'[1]march-2026'!$C:$C,0,0)</f>
        <v>50300</v>
      </c>
      <c r="J22">
        <f t="shared" si="168"/>
        <v>9054</v>
      </c>
      <c r="K22">
        <f t="shared" si="104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5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6"/>
        <v>200</v>
      </c>
      <c r="R22">
        <f t="shared" si="107"/>
        <v>61690</v>
      </c>
      <c r="S22">
        <f>_xlfn.XLOOKUP(B22,'[2]april-2026'!$A:$A,'[2]april-2026'!$C:$C,0,0)</f>
        <v>50300</v>
      </c>
      <c r="T22">
        <f t="shared" si="108"/>
        <v>9054</v>
      </c>
      <c r="U22">
        <f t="shared" si="109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0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1"/>
        <v>200</v>
      </c>
      <c r="AB22">
        <f t="shared" si="112"/>
        <v>61690</v>
      </c>
      <c r="AC22">
        <f>_xlfn.XLOOKUP(B22,'[3]may-2026'!$A:$A,'[3]may-2026'!$C:$C,0,0)</f>
        <v>50300</v>
      </c>
      <c r="AD22">
        <f t="shared" si="113"/>
        <v>9054</v>
      </c>
      <c r="AE22">
        <f t="shared" si="114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5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6"/>
        <v>200</v>
      </c>
      <c r="AL22">
        <f t="shared" si="117"/>
        <v>61690</v>
      </c>
      <c r="AM22">
        <f>_xlfn.XLOOKUP(B22,'[4]june-2026'!$A:$A,'[4]june-2026'!$C:$C,0,0)</f>
        <v>50300</v>
      </c>
      <c r="AN22">
        <f t="shared" si="118"/>
        <v>9054</v>
      </c>
      <c r="AO22">
        <f t="shared" si="119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0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1"/>
        <v>200</v>
      </c>
      <c r="AV22">
        <f t="shared" si="122"/>
        <v>61690</v>
      </c>
      <c r="AW22">
        <f>_xlfn.XLOOKUP(B22,'[5]july-2026'!$A:$A,'[5]july-2026'!$C:$C,0,0)</f>
        <v>51800</v>
      </c>
      <c r="AX22">
        <f t="shared" si="123"/>
        <v>9324</v>
      </c>
      <c r="AY22">
        <v>20</v>
      </c>
      <c r="AZ22">
        <f t="shared" si="124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5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6"/>
        <v>200</v>
      </c>
      <c r="BG22">
        <f t="shared" si="127"/>
        <v>63660</v>
      </c>
      <c r="BH22">
        <f>_xlfn.XLOOKUP(B22,'[6]august-2026'!$A:$A,'[6]august-2026'!$C:$C,0,0)</f>
        <v>51800</v>
      </c>
      <c r="BI22">
        <f t="shared" si="128"/>
        <v>9324</v>
      </c>
      <c r="BJ22">
        <f t="shared" si="129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0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1"/>
        <v>200</v>
      </c>
      <c r="BQ22">
        <f t="shared" si="132"/>
        <v>63640</v>
      </c>
      <c r="BR22">
        <f>_xlfn.XLOOKUP(B22,'[7]september-2026'!$A:$A,'[7]september-2026'!$C:$C,0,0)</f>
        <v>51800</v>
      </c>
      <c r="BS22">
        <f t="shared" si="133"/>
        <v>9324</v>
      </c>
      <c r="BT22">
        <f t="shared" si="134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5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6"/>
        <v>200</v>
      </c>
      <c r="CA22">
        <f t="shared" si="137"/>
        <v>63640</v>
      </c>
      <c r="CB22">
        <f>_xlfn.XLOOKUP(B22,'[8]october-2026'!$A:$A,'[8]october-2026'!$C:$C,0,0)</f>
        <v>51800</v>
      </c>
      <c r="CC22">
        <f t="shared" si="138"/>
        <v>9324</v>
      </c>
      <c r="CD22">
        <f t="shared" si="139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0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1"/>
        <v>200</v>
      </c>
      <c r="CK22">
        <f t="shared" si="142"/>
        <v>63640</v>
      </c>
      <c r="CL22">
        <f>_xlfn.XLOOKUP(B22,'[9]november-2026'!$A:$A,'[9]november-2026'!$C:$C,0,0)</f>
        <v>51800</v>
      </c>
      <c r="CM22">
        <f t="shared" si="143"/>
        <v>9324</v>
      </c>
      <c r="CN22">
        <f t="shared" si="144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5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6"/>
        <v>200</v>
      </c>
      <c r="CU22">
        <f t="shared" si="147"/>
        <v>63640</v>
      </c>
      <c r="CV22">
        <f>_xlfn.XLOOKUP(B22,'[10]december-2026'!$A:$A,'[10]december-2026'!$C:$C,0,0)</f>
        <v>51800</v>
      </c>
      <c r="CW22">
        <f t="shared" si="148"/>
        <v>9324</v>
      </c>
      <c r="CX22">
        <f t="shared" si="149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0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1"/>
        <v>200</v>
      </c>
      <c r="DE22">
        <f t="shared" si="152"/>
        <v>63640</v>
      </c>
      <c r="DF22">
        <f xml:space="preserve"> _xlfn.XLOOKUP(B22,
'[11]january-2027'!$A:$A,
'[11]january-2027'!$C:$C,
0,0)</f>
        <v>51800</v>
      </c>
      <c r="DG22">
        <f t="shared" si="153"/>
        <v>9324</v>
      </c>
      <c r="DH22">
        <f t="shared" si="154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5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6"/>
        <v>200</v>
      </c>
      <c r="DO22">
        <f t="shared" si="157"/>
        <v>63640</v>
      </c>
      <c r="DP22">
        <f xml:space="preserve"> _xlfn.XLOOKUP(B22,
'[12]february-2027'!$A:$A,
'[12]february-2027'!$C:$C,
0,0)</f>
        <v>51800</v>
      </c>
      <c r="DQ22">
        <f t="shared" si="158"/>
        <v>9324</v>
      </c>
      <c r="DR22">
        <f t="shared" si="159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0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1"/>
        <v>200</v>
      </c>
      <c r="DY22">
        <f t="shared" si="162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3"/>
        <v>0</v>
      </c>
      <c r="EM22">
        <f t="shared" si="164"/>
        <v>813100</v>
      </c>
      <c r="EN22">
        <f t="shared" si="165"/>
        <v>2400</v>
      </c>
      <c r="EO22">
        <f t="shared" si="166"/>
        <v>50000</v>
      </c>
      <c r="EP22">
        <v>0</v>
      </c>
      <c r="EQ22">
        <f t="shared" si="167"/>
        <v>760700</v>
      </c>
      <c r="ER22">
        <f t="shared" si="62"/>
        <v>48000</v>
      </c>
      <c r="ES22">
        <f t="shared" si="63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4"/>
        <v>48000</v>
      </c>
      <c r="FE22">
        <f t="shared" si="65"/>
        <v>48000</v>
      </c>
      <c r="FF22">
        <f t="shared" si="66"/>
        <v>712700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>SUM(FG22:FM22)+(IF(F22="YES",50000,0))</f>
        <v>0</v>
      </c>
      <c r="FO22">
        <f t="shared" si="67"/>
        <v>712700</v>
      </c>
      <c r="FP22">
        <f t="shared" si="68"/>
        <v>12500</v>
      </c>
      <c r="FQ22">
        <f t="shared" si="69"/>
        <v>42540</v>
      </c>
      <c r="FR22">
        <f t="shared" si="70"/>
        <v>55040</v>
      </c>
      <c r="FS22">
        <f t="shared" si="71"/>
        <v>55040</v>
      </c>
      <c r="FT22">
        <f t="shared" si="72"/>
        <v>2201.6</v>
      </c>
      <c r="FU22">
        <f t="shared" si="73"/>
        <v>57242</v>
      </c>
      <c r="FV22">
        <v>0</v>
      </c>
      <c r="FW22">
        <f t="shared" si="74"/>
        <v>57242</v>
      </c>
      <c r="FX22" t="b">
        <f t="shared" si="75"/>
        <v>1</v>
      </c>
      <c r="FY22">
        <f t="shared" ca="1" si="76"/>
        <v>571</v>
      </c>
      <c r="FZ22">
        <f t="shared" ca="1" si="77"/>
        <v>813671</v>
      </c>
      <c r="GA22">
        <f t="shared" si="78"/>
        <v>75000</v>
      </c>
      <c r="GB22">
        <f t="shared" ca="1" si="79"/>
        <v>738671</v>
      </c>
      <c r="GC22">
        <f t="shared" ca="1" si="80"/>
        <v>0</v>
      </c>
      <c r="GD22">
        <f t="shared" ca="1" si="81"/>
        <v>0</v>
      </c>
      <c r="GE22">
        <f t="shared" ca="1" si="82"/>
        <v>0</v>
      </c>
      <c r="GF22">
        <f t="shared" ca="1" si="83"/>
        <v>0</v>
      </c>
      <c r="GG22">
        <f t="shared" ca="1" si="84"/>
        <v>0</v>
      </c>
      <c r="GH22">
        <f t="shared" ca="1" si="85"/>
        <v>0</v>
      </c>
      <c r="GI22">
        <f ca="1">IF(GB22&gt;1200000,GB22-1200000-IF(F22="YES",50000,0)-GG22,0)</f>
        <v>0</v>
      </c>
      <c r="GJ22">
        <f t="shared" ca="1" si="86"/>
        <v>0</v>
      </c>
      <c r="GK22">
        <f t="shared" ca="1" si="87"/>
        <v>0</v>
      </c>
      <c r="GL22">
        <f t="shared" ca="1" si="88"/>
        <v>0</v>
      </c>
      <c r="GM22">
        <f t="shared" ca="1" si="89"/>
        <v>338671</v>
      </c>
      <c r="GN22">
        <f t="shared" ca="1" si="90"/>
        <v>16933.55</v>
      </c>
      <c r="GO22">
        <f t="shared" ca="1" si="91"/>
        <v>16934</v>
      </c>
      <c r="GP22">
        <f t="shared" ca="1" si="92"/>
        <v>0</v>
      </c>
      <c r="GQ22">
        <f t="shared" ca="1" si="93"/>
        <v>0</v>
      </c>
      <c r="GR22">
        <f t="shared" ca="1" si="94"/>
        <v>16934</v>
      </c>
      <c r="GS22">
        <f t="shared" ca="1" si="95"/>
        <v>0</v>
      </c>
      <c r="GT22" t="b">
        <f t="shared" ca="1" si="96"/>
        <v>0</v>
      </c>
      <c r="GU22">
        <f t="shared" ca="1" si="97"/>
        <v>0</v>
      </c>
      <c r="GV22">
        <f t="shared" ca="1" si="98"/>
        <v>16934</v>
      </c>
      <c r="GW22">
        <f t="shared" ca="1" si="99"/>
        <v>0</v>
      </c>
      <c r="GX22">
        <f t="shared" ca="1" si="100"/>
        <v>0</v>
      </c>
      <c r="GY22">
        <f t="shared" ca="1" si="101"/>
        <v>0</v>
      </c>
    </row>
    <row r="23" spans="1:207" x14ac:dyDescent="0.25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2"/>
        <v>6800</v>
      </c>
      <c r="I23">
        <f>_xlfn.XLOOKUP(B23,'[1]march-2026'!$A:$A,'[1]march-2026'!$C:$C,0,0)</f>
        <v>38800</v>
      </c>
      <c r="J23">
        <f t="shared" si="168"/>
        <v>6984</v>
      </c>
      <c r="K23">
        <f t="shared" si="104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5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6"/>
        <v>200</v>
      </c>
      <c r="R23">
        <f t="shared" si="107"/>
        <v>48240</v>
      </c>
      <c r="S23">
        <f>_xlfn.XLOOKUP(B23,'[2]april-2026'!$A:$A,'[2]april-2026'!$C:$C,0,0)</f>
        <v>38800</v>
      </c>
      <c r="T23">
        <f t="shared" si="108"/>
        <v>6984</v>
      </c>
      <c r="U23">
        <f t="shared" si="109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0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1"/>
        <v>200</v>
      </c>
      <c r="AB23">
        <f t="shared" si="112"/>
        <v>48240</v>
      </c>
      <c r="AC23">
        <f>_xlfn.XLOOKUP(B23,'[3]may-2026'!$A:$A,'[3]may-2026'!$C:$C,0,0)</f>
        <v>38800</v>
      </c>
      <c r="AD23">
        <f t="shared" si="113"/>
        <v>6984</v>
      </c>
      <c r="AE23">
        <f t="shared" si="114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5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6"/>
        <v>200</v>
      </c>
      <c r="AL23">
        <f t="shared" si="117"/>
        <v>48240</v>
      </c>
      <c r="AM23">
        <f>_xlfn.XLOOKUP(B23,'[4]june-2026'!$A:$A,'[4]june-2026'!$C:$C,0,0)</f>
        <v>38800</v>
      </c>
      <c r="AN23">
        <f t="shared" si="118"/>
        <v>6984</v>
      </c>
      <c r="AO23">
        <f t="shared" si="119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0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1"/>
        <v>200</v>
      </c>
      <c r="AV23">
        <f t="shared" si="122"/>
        <v>48240</v>
      </c>
      <c r="AW23">
        <f>_xlfn.XLOOKUP(B23,'[5]july-2026'!$A:$A,'[5]july-2026'!$C:$C,0,0)</f>
        <v>40000</v>
      </c>
      <c r="AX23">
        <f t="shared" si="123"/>
        <v>7200</v>
      </c>
      <c r="AY23">
        <v>21</v>
      </c>
      <c r="AZ23">
        <f t="shared" si="124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5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6"/>
        <v>200</v>
      </c>
      <c r="BG23">
        <f t="shared" si="127"/>
        <v>49821</v>
      </c>
      <c r="BH23">
        <f>_xlfn.XLOOKUP(B23,'[6]august-2026'!$A:$A,'[6]august-2026'!$C:$C,0,0)</f>
        <v>40000</v>
      </c>
      <c r="BI23">
        <f t="shared" si="128"/>
        <v>7200</v>
      </c>
      <c r="BJ23">
        <f t="shared" si="129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0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1"/>
        <v>200</v>
      </c>
      <c r="BQ23">
        <f t="shared" si="132"/>
        <v>49800</v>
      </c>
      <c r="BR23">
        <f>_xlfn.XLOOKUP(B23,'[7]september-2026'!$A:$A,'[7]september-2026'!$C:$C,0,0)</f>
        <v>40000</v>
      </c>
      <c r="BS23">
        <f t="shared" si="133"/>
        <v>7200</v>
      </c>
      <c r="BT23">
        <f t="shared" si="134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5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6"/>
        <v>200</v>
      </c>
      <c r="CA23">
        <f t="shared" si="137"/>
        <v>49800</v>
      </c>
      <c r="CB23">
        <f>_xlfn.XLOOKUP(B23,'[8]october-2026'!$A:$A,'[8]october-2026'!$C:$C,0,0)</f>
        <v>40000</v>
      </c>
      <c r="CC23">
        <f t="shared" si="138"/>
        <v>7200</v>
      </c>
      <c r="CD23">
        <f t="shared" si="139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0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1"/>
        <v>200</v>
      </c>
      <c r="CK23">
        <f t="shared" si="142"/>
        <v>49800</v>
      </c>
      <c r="CL23">
        <f>_xlfn.XLOOKUP(B23,'[9]november-2026'!$A:$A,'[9]november-2026'!$C:$C,0,0)</f>
        <v>40000</v>
      </c>
      <c r="CM23">
        <f t="shared" si="143"/>
        <v>7200</v>
      </c>
      <c r="CN23">
        <f t="shared" si="144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5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6"/>
        <v>200</v>
      </c>
      <c r="CU23">
        <f t="shared" si="147"/>
        <v>49800</v>
      </c>
      <c r="CV23">
        <f>_xlfn.XLOOKUP(B23,'[10]december-2026'!$A:$A,'[10]december-2026'!$C:$C,0,0)</f>
        <v>40000</v>
      </c>
      <c r="CW23">
        <f t="shared" si="148"/>
        <v>7200</v>
      </c>
      <c r="CX23">
        <f t="shared" si="149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0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1"/>
        <v>200</v>
      </c>
      <c r="DE23">
        <f t="shared" si="152"/>
        <v>49800</v>
      </c>
      <c r="DF23">
        <f xml:space="preserve"> _xlfn.XLOOKUP(B23,
'[11]january-2027'!$A:$A,
'[11]january-2027'!$C:$C,
0,0)</f>
        <v>40000</v>
      </c>
      <c r="DG23">
        <f t="shared" si="153"/>
        <v>7200</v>
      </c>
      <c r="DH23">
        <f t="shared" si="154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5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6"/>
        <v>200</v>
      </c>
      <c r="DO23">
        <f t="shared" si="157"/>
        <v>49800</v>
      </c>
      <c r="DP23">
        <f xml:space="preserve"> _xlfn.XLOOKUP(B23,
'[12]february-2027'!$A:$A,
'[12]february-2027'!$C:$C,
0,0)</f>
        <v>40000</v>
      </c>
      <c r="DQ23">
        <f t="shared" si="158"/>
        <v>7200</v>
      </c>
      <c r="DR23">
        <f t="shared" si="159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0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1"/>
        <v>200</v>
      </c>
      <c r="DY23">
        <f t="shared" si="162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3"/>
        <v>0</v>
      </c>
      <c r="EM23">
        <f t="shared" si="164"/>
        <v>630581</v>
      </c>
      <c r="EN23">
        <f t="shared" si="165"/>
        <v>2400</v>
      </c>
      <c r="EO23">
        <f t="shared" si="166"/>
        <v>50000</v>
      </c>
      <c r="EP23">
        <v>0</v>
      </c>
      <c r="EQ23">
        <f t="shared" si="167"/>
        <v>578181</v>
      </c>
      <c r="ER23">
        <f t="shared" si="62"/>
        <v>30000</v>
      </c>
      <c r="ES23">
        <f t="shared" si="63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4"/>
        <v>30000</v>
      </c>
      <c r="FE23">
        <f t="shared" si="65"/>
        <v>30000</v>
      </c>
      <c r="FF23">
        <f t="shared" si="66"/>
        <v>548181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>SUM(FG23:FM23)+(IF(F23="YES",50000,0))</f>
        <v>0</v>
      </c>
      <c r="FO23">
        <f t="shared" si="67"/>
        <v>548181</v>
      </c>
      <c r="FP23">
        <f t="shared" si="68"/>
        <v>12500</v>
      </c>
      <c r="FQ23">
        <f t="shared" si="69"/>
        <v>9636</v>
      </c>
      <c r="FR23">
        <f t="shared" si="70"/>
        <v>22136</v>
      </c>
      <c r="FS23">
        <f t="shared" si="71"/>
        <v>22136</v>
      </c>
      <c r="FT23">
        <f t="shared" si="72"/>
        <v>885.44</v>
      </c>
      <c r="FU23">
        <f t="shared" si="73"/>
        <v>23021</v>
      </c>
      <c r="FV23">
        <v>0</v>
      </c>
      <c r="FW23">
        <f t="shared" si="74"/>
        <v>23021</v>
      </c>
      <c r="FX23" t="b">
        <f t="shared" si="75"/>
        <v>1</v>
      </c>
      <c r="FY23">
        <f t="shared" ca="1" si="76"/>
        <v>938</v>
      </c>
      <c r="FZ23">
        <f t="shared" ca="1" si="77"/>
        <v>631519</v>
      </c>
      <c r="GA23">
        <f t="shared" si="78"/>
        <v>75000</v>
      </c>
      <c r="GB23">
        <f t="shared" ca="1" si="79"/>
        <v>556519</v>
      </c>
      <c r="GC23">
        <f t="shared" ca="1" si="80"/>
        <v>0</v>
      </c>
      <c r="GD23">
        <f t="shared" ca="1" si="81"/>
        <v>0</v>
      </c>
      <c r="GE23">
        <f t="shared" ca="1" si="82"/>
        <v>0</v>
      </c>
      <c r="GF23">
        <f t="shared" ca="1" si="83"/>
        <v>0</v>
      </c>
      <c r="GG23">
        <f t="shared" ca="1" si="84"/>
        <v>0</v>
      </c>
      <c r="GH23">
        <f t="shared" ca="1" si="85"/>
        <v>0</v>
      </c>
      <c r="GI23">
        <f ca="1">IF(GB23&gt;1200000,GB23-1200000-IF(F23="YES",50000,0)-GG23,0)</f>
        <v>0</v>
      </c>
      <c r="GJ23">
        <f t="shared" ca="1" si="86"/>
        <v>0</v>
      </c>
      <c r="GK23">
        <f t="shared" ca="1" si="87"/>
        <v>0</v>
      </c>
      <c r="GL23">
        <f t="shared" ca="1" si="88"/>
        <v>0</v>
      </c>
      <c r="GM23">
        <f t="shared" ca="1" si="89"/>
        <v>156519</v>
      </c>
      <c r="GN23">
        <f t="shared" ca="1" si="90"/>
        <v>7825.9500000000007</v>
      </c>
      <c r="GO23">
        <f t="shared" ca="1" si="91"/>
        <v>7826</v>
      </c>
      <c r="GP23">
        <f t="shared" ca="1" si="92"/>
        <v>0</v>
      </c>
      <c r="GQ23">
        <f t="shared" ca="1" si="93"/>
        <v>0</v>
      </c>
      <c r="GR23">
        <f t="shared" ca="1" si="94"/>
        <v>7826</v>
      </c>
      <c r="GS23">
        <f t="shared" ca="1" si="95"/>
        <v>0</v>
      </c>
      <c r="GT23" t="b">
        <f t="shared" ca="1" si="96"/>
        <v>0</v>
      </c>
      <c r="GU23">
        <f t="shared" ca="1" si="97"/>
        <v>0</v>
      </c>
      <c r="GV23">
        <f t="shared" ca="1" si="98"/>
        <v>7826</v>
      </c>
      <c r="GW23">
        <f t="shared" ca="1" si="99"/>
        <v>0</v>
      </c>
      <c r="GX23">
        <f t="shared" ca="1" si="100"/>
        <v>0</v>
      </c>
      <c r="GY23">
        <f t="shared" ca="1" si="101"/>
        <v>0</v>
      </c>
    </row>
    <row r="24" spans="1:207" x14ac:dyDescent="0.25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2"/>
        <v>6800</v>
      </c>
      <c r="I24">
        <f>_xlfn.XLOOKUP(B24,'[1]march-2026'!$A:$A,'[1]march-2026'!$C:$C,0,0)</f>
        <v>29800</v>
      </c>
      <c r="J24">
        <f t="shared" si="168"/>
        <v>5364</v>
      </c>
      <c r="K24">
        <f t="shared" si="104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5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6"/>
        <v>150</v>
      </c>
      <c r="R24">
        <f t="shared" si="107"/>
        <v>37090</v>
      </c>
      <c r="S24">
        <f>_xlfn.XLOOKUP(B24,'[2]april-2026'!$A:$A,'[2]april-2026'!$C:$C,0,0)</f>
        <v>29800</v>
      </c>
      <c r="T24">
        <f t="shared" si="108"/>
        <v>5364</v>
      </c>
      <c r="U24">
        <f t="shared" si="109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0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1"/>
        <v>150</v>
      </c>
      <c r="AB24">
        <f t="shared" si="112"/>
        <v>37090</v>
      </c>
      <c r="AC24">
        <f>_xlfn.XLOOKUP(B24,'[3]may-2026'!$A:$A,'[3]may-2026'!$C:$C,0,0)</f>
        <v>29800</v>
      </c>
      <c r="AD24">
        <f t="shared" si="113"/>
        <v>5364</v>
      </c>
      <c r="AE24">
        <f t="shared" si="114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5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6"/>
        <v>150</v>
      </c>
      <c r="AL24">
        <f t="shared" si="117"/>
        <v>37090</v>
      </c>
      <c r="AM24">
        <f>_xlfn.XLOOKUP(B24,'[4]june-2026'!$A:$A,'[4]june-2026'!$C:$C,0,0)</f>
        <v>29800</v>
      </c>
      <c r="AN24">
        <f t="shared" si="118"/>
        <v>5364</v>
      </c>
      <c r="AO24">
        <f t="shared" si="119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0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1"/>
        <v>150</v>
      </c>
      <c r="AV24">
        <f t="shared" si="122"/>
        <v>37090</v>
      </c>
      <c r="AW24">
        <f>_xlfn.XLOOKUP(B24,'[5]july-2026'!$A:$A,'[5]july-2026'!$C:$C,0,0)</f>
        <v>30700</v>
      </c>
      <c r="AX24">
        <f t="shared" si="123"/>
        <v>5526</v>
      </c>
      <c r="AY24">
        <v>22</v>
      </c>
      <c r="AZ24">
        <f t="shared" si="124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5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6"/>
        <v>200</v>
      </c>
      <c r="BG24">
        <f t="shared" si="127"/>
        <v>38232</v>
      </c>
      <c r="BH24">
        <f>_xlfn.XLOOKUP(B24,'[6]august-2026'!$A:$A,'[6]august-2026'!$C:$C,0,0)</f>
        <v>30700</v>
      </c>
      <c r="BI24">
        <f t="shared" si="128"/>
        <v>5526</v>
      </c>
      <c r="BJ24">
        <f t="shared" si="129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0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1"/>
        <v>200</v>
      </c>
      <c r="BQ24">
        <f t="shared" si="132"/>
        <v>38210</v>
      </c>
      <c r="BR24">
        <f>_xlfn.XLOOKUP(B24,'[7]september-2026'!$A:$A,'[7]september-2026'!$C:$C,0,0)</f>
        <v>30700</v>
      </c>
      <c r="BS24">
        <f t="shared" si="133"/>
        <v>5526</v>
      </c>
      <c r="BT24">
        <f t="shared" si="134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5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6"/>
        <v>200</v>
      </c>
      <c r="CA24">
        <f t="shared" si="137"/>
        <v>38210</v>
      </c>
      <c r="CB24">
        <f>_xlfn.XLOOKUP(B24,'[8]october-2026'!$A:$A,'[8]october-2026'!$C:$C,0,0)</f>
        <v>30700</v>
      </c>
      <c r="CC24">
        <f t="shared" si="138"/>
        <v>5526</v>
      </c>
      <c r="CD24">
        <f t="shared" si="139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0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1"/>
        <v>200</v>
      </c>
      <c r="CK24">
        <f t="shared" si="142"/>
        <v>38210</v>
      </c>
      <c r="CL24">
        <f>_xlfn.XLOOKUP(B24,'[9]november-2026'!$A:$A,'[9]november-2026'!$C:$C,0,0)</f>
        <v>30700</v>
      </c>
      <c r="CM24">
        <f t="shared" si="143"/>
        <v>5526</v>
      </c>
      <c r="CN24">
        <f t="shared" si="144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5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6"/>
        <v>200</v>
      </c>
      <c r="CU24">
        <f t="shared" si="147"/>
        <v>38210</v>
      </c>
      <c r="CV24">
        <f>_xlfn.XLOOKUP(B24,'[10]december-2026'!$A:$A,'[10]december-2026'!$C:$C,0,0)</f>
        <v>30700</v>
      </c>
      <c r="CW24">
        <f t="shared" si="148"/>
        <v>5526</v>
      </c>
      <c r="CX24">
        <f t="shared" si="149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0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1"/>
        <v>200</v>
      </c>
      <c r="DE24">
        <f t="shared" si="152"/>
        <v>38210</v>
      </c>
      <c r="DF24">
        <f xml:space="preserve"> _xlfn.XLOOKUP(B24,
'[11]january-2027'!$A:$A,
'[11]january-2027'!$C:$C,
0,0)</f>
        <v>30700</v>
      </c>
      <c r="DG24">
        <f t="shared" si="153"/>
        <v>5526</v>
      </c>
      <c r="DH24">
        <f t="shared" si="154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5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6"/>
        <v>200</v>
      </c>
      <c r="DO24">
        <f t="shared" si="157"/>
        <v>38210</v>
      </c>
      <c r="DP24">
        <f xml:space="preserve"> _xlfn.XLOOKUP(B24,
'[12]february-2027'!$A:$A,
'[12]february-2027'!$C:$C,
0,0)</f>
        <v>30700</v>
      </c>
      <c r="DQ24">
        <f t="shared" si="158"/>
        <v>5526</v>
      </c>
      <c r="DR24">
        <f t="shared" si="159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0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1"/>
        <v>200</v>
      </c>
      <c r="DY24">
        <f t="shared" si="162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3"/>
        <v>0</v>
      </c>
      <c r="EM24">
        <f t="shared" si="164"/>
        <v>487062</v>
      </c>
      <c r="EN24">
        <f t="shared" si="165"/>
        <v>2200</v>
      </c>
      <c r="EO24">
        <f t="shared" si="166"/>
        <v>50000</v>
      </c>
      <c r="EP24">
        <v>0</v>
      </c>
      <c r="EQ24">
        <f t="shared" si="167"/>
        <v>434862</v>
      </c>
      <c r="ER24">
        <f t="shared" si="62"/>
        <v>24000</v>
      </c>
      <c r="ES24">
        <f t="shared" si="63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4"/>
        <v>24000</v>
      </c>
      <c r="FE24">
        <f t="shared" si="65"/>
        <v>24000</v>
      </c>
      <c r="FF24">
        <f t="shared" si="66"/>
        <v>410862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>SUM(FG24:FM24)+(IF(F24="YES",50000,0))</f>
        <v>0</v>
      </c>
      <c r="FO24">
        <f t="shared" si="67"/>
        <v>410862</v>
      </c>
      <c r="FP24">
        <f t="shared" si="68"/>
        <v>8043</v>
      </c>
      <c r="FQ24">
        <f t="shared" si="69"/>
        <v>0</v>
      </c>
      <c r="FR24">
        <f t="shared" si="70"/>
        <v>8043</v>
      </c>
      <c r="FS24">
        <f t="shared" si="71"/>
        <v>0</v>
      </c>
      <c r="FT24">
        <f t="shared" si="72"/>
        <v>0</v>
      </c>
      <c r="FU24">
        <f t="shared" si="73"/>
        <v>0</v>
      </c>
      <c r="FV24">
        <v>0</v>
      </c>
      <c r="FW24">
        <f t="shared" si="74"/>
        <v>0</v>
      </c>
      <c r="FX24" t="b">
        <f t="shared" si="75"/>
        <v>0</v>
      </c>
      <c r="FY24">
        <f t="shared" ca="1" si="76"/>
        <v>1520</v>
      </c>
      <c r="FZ24">
        <f t="shared" ca="1" si="77"/>
        <v>488582</v>
      </c>
      <c r="GA24">
        <f t="shared" si="78"/>
        <v>75000</v>
      </c>
      <c r="GB24">
        <f t="shared" ca="1" si="79"/>
        <v>413582</v>
      </c>
      <c r="GC24">
        <f t="shared" ca="1" si="80"/>
        <v>0</v>
      </c>
      <c r="GD24">
        <f t="shared" ca="1" si="81"/>
        <v>0</v>
      </c>
      <c r="GE24">
        <f t="shared" ca="1" si="82"/>
        <v>0</v>
      </c>
      <c r="GF24">
        <f t="shared" ca="1" si="83"/>
        <v>0</v>
      </c>
      <c r="GG24">
        <f t="shared" ca="1" si="84"/>
        <v>0</v>
      </c>
      <c r="GH24">
        <f t="shared" ca="1" si="85"/>
        <v>0</v>
      </c>
      <c r="GI24">
        <f ca="1">IF(GB24&gt;1200000,GB24-1200000-IF(F24="YES",50000,0)-GG24,0)</f>
        <v>0</v>
      </c>
      <c r="GJ24">
        <f t="shared" ca="1" si="86"/>
        <v>0</v>
      </c>
      <c r="GK24">
        <f t="shared" ca="1" si="87"/>
        <v>0</v>
      </c>
      <c r="GL24">
        <f t="shared" ca="1" si="88"/>
        <v>0</v>
      </c>
      <c r="GM24">
        <f t="shared" ca="1" si="89"/>
        <v>13582</v>
      </c>
      <c r="GN24">
        <f t="shared" ca="1" si="90"/>
        <v>679.1</v>
      </c>
      <c r="GO24">
        <f t="shared" ca="1" si="91"/>
        <v>679</v>
      </c>
      <c r="GP24">
        <f t="shared" ca="1" si="92"/>
        <v>0</v>
      </c>
      <c r="GQ24">
        <f t="shared" ca="1" si="93"/>
        <v>0</v>
      </c>
      <c r="GR24">
        <f t="shared" ca="1" si="94"/>
        <v>679</v>
      </c>
      <c r="GS24">
        <f t="shared" ca="1" si="95"/>
        <v>0</v>
      </c>
      <c r="GT24" t="b">
        <f t="shared" ca="1" si="96"/>
        <v>0</v>
      </c>
      <c r="GU24">
        <f t="shared" ca="1" si="97"/>
        <v>0</v>
      </c>
      <c r="GV24">
        <f t="shared" ca="1" si="98"/>
        <v>679</v>
      </c>
      <c r="GW24">
        <f t="shared" ca="1" si="99"/>
        <v>0</v>
      </c>
      <c r="GX24">
        <f t="shared" ca="1" si="100"/>
        <v>0</v>
      </c>
      <c r="GY24">
        <f t="shared" ca="1" si="101"/>
        <v>0</v>
      </c>
    </row>
    <row r="25" spans="1:207" x14ac:dyDescent="0.25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2"/>
        <v>0</v>
      </c>
      <c r="I25">
        <f>_xlfn.XLOOKUP(B25,'[1]march-2026'!$A:$A,'[1]march-2026'!$C:$C,0,0)</f>
        <v>24700</v>
      </c>
      <c r="J25">
        <f t="shared" si="168"/>
        <v>4446</v>
      </c>
      <c r="K25">
        <f t="shared" si="104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5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6"/>
        <v>150</v>
      </c>
      <c r="R25">
        <f t="shared" si="107"/>
        <v>30460</v>
      </c>
      <c r="S25">
        <f>_xlfn.XLOOKUP(B25,'[2]april-2026'!$A:$A,'[2]april-2026'!$C:$C,0,0)</f>
        <v>24700</v>
      </c>
      <c r="T25">
        <f t="shared" si="108"/>
        <v>4446</v>
      </c>
      <c r="U25">
        <f t="shared" si="109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0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1"/>
        <v>150</v>
      </c>
      <c r="AB25">
        <f t="shared" si="112"/>
        <v>30460</v>
      </c>
      <c r="AC25">
        <f>_xlfn.XLOOKUP(B25,'[3]may-2026'!$A:$A,'[3]may-2026'!$C:$C,0,0)</f>
        <v>24700</v>
      </c>
      <c r="AD25">
        <f t="shared" si="113"/>
        <v>4446</v>
      </c>
      <c r="AE25">
        <f t="shared" si="114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5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6"/>
        <v>150</v>
      </c>
      <c r="AL25">
        <f t="shared" si="117"/>
        <v>30460</v>
      </c>
      <c r="AM25">
        <f>_xlfn.XLOOKUP(B25,'[4]june-2026'!$A:$A,'[4]june-2026'!$C:$C,0,0)</f>
        <v>24700</v>
      </c>
      <c r="AN25">
        <f t="shared" si="118"/>
        <v>4446</v>
      </c>
      <c r="AO25">
        <f t="shared" si="119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0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1"/>
        <v>150</v>
      </c>
      <c r="AV25">
        <f t="shared" si="122"/>
        <v>30460</v>
      </c>
      <c r="AW25">
        <f>_xlfn.XLOOKUP(B25,'[5]july-2026'!$A:$A,'[5]july-2026'!$C:$C,0,0)</f>
        <v>25400</v>
      </c>
      <c r="AX25">
        <f t="shared" si="123"/>
        <v>4572</v>
      </c>
      <c r="AY25">
        <v>23</v>
      </c>
      <c r="AZ25">
        <f t="shared" si="124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5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6"/>
        <v>150</v>
      </c>
      <c r="BG25">
        <f t="shared" si="127"/>
        <v>31393</v>
      </c>
      <c r="BH25">
        <f>_xlfn.XLOOKUP(B25,'[6]august-2026'!$A:$A,'[6]august-2026'!$C:$C,0,0)</f>
        <v>25400</v>
      </c>
      <c r="BI25">
        <f t="shared" si="128"/>
        <v>4572</v>
      </c>
      <c r="BJ25">
        <f t="shared" si="129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0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1"/>
        <v>150</v>
      </c>
      <c r="BQ25">
        <f t="shared" si="132"/>
        <v>31370</v>
      </c>
      <c r="BR25">
        <f>_xlfn.XLOOKUP(B25,'[7]september-2026'!$A:$A,'[7]september-2026'!$C:$C,0,0)</f>
        <v>25400</v>
      </c>
      <c r="BS25">
        <f t="shared" si="133"/>
        <v>4572</v>
      </c>
      <c r="BT25">
        <f t="shared" si="134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5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6"/>
        <v>150</v>
      </c>
      <c r="CA25">
        <f t="shared" si="137"/>
        <v>31370</v>
      </c>
      <c r="CB25">
        <f>_xlfn.XLOOKUP(B25,'[8]october-2026'!$A:$A,'[8]october-2026'!$C:$C,0,0)</f>
        <v>25400</v>
      </c>
      <c r="CC25">
        <f t="shared" si="138"/>
        <v>4572</v>
      </c>
      <c r="CD25">
        <f t="shared" si="139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0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1"/>
        <v>150</v>
      </c>
      <c r="CK25">
        <f t="shared" si="142"/>
        <v>31370</v>
      </c>
      <c r="CL25">
        <f>_xlfn.XLOOKUP(B25,'[9]november-2026'!$A:$A,'[9]november-2026'!$C:$C,0,0)</f>
        <v>25400</v>
      </c>
      <c r="CM25">
        <f t="shared" si="143"/>
        <v>4572</v>
      </c>
      <c r="CN25">
        <f t="shared" si="144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5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6"/>
        <v>150</v>
      </c>
      <c r="CU25">
        <f t="shared" si="147"/>
        <v>31370</v>
      </c>
      <c r="CV25">
        <f>_xlfn.XLOOKUP(B25,'[10]december-2026'!$A:$A,'[10]december-2026'!$C:$C,0,0)</f>
        <v>25400</v>
      </c>
      <c r="CW25">
        <f t="shared" si="148"/>
        <v>4572</v>
      </c>
      <c r="CX25">
        <f t="shared" si="149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0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1"/>
        <v>150</v>
      </c>
      <c r="DE25">
        <f t="shared" si="152"/>
        <v>31370</v>
      </c>
      <c r="DF25">
        <f xml:space="preserve"> _xlfn.XLOOKUP(B25,
'[11]january-2027'!$A:$A,
'[11]january-2027'!$C:$C,
0,0)</f>
        <v>25400</v>
      </c>
      <c r="DG25">
        <f t="shared" si="153"/>
        <v>4572</v>
      </c>
      <c r="DH25">
        <f t="shared" si="154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5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6"/>
        <v>150</v>
      </c>
      <c r="DO25">
        <f t="shared" si="157"/>
        <v>31370</v>
      </c>
      <c r="DP25">
        <f xml:space="preserve"> _xlfn.XLOOKUP(B25,
'[12]february-2027'!$A:$A,
'[12]february-2027'!$C:$C,
0,0)</f>
        <v>25400</v>
      </c>
      <c r="DQ25">
        <f t="shared" si="158"/>
        <v>4572</v>
      </c>
      <c r="DR25">
        <f t="shared" si="159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0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1"/>
        <v>150</v>
      </c>
      <c r="DY25">
        <f t="shared" si="162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3"/>
        <v>0</v>
      </c>
      <c r="EM25">
        <f t="shared" si="164"/>
        <v>398623</v>
      </c>
      <c r="EN25">
        <f t="shared" si="165"/>
        <v>1800</v>
      </c>
      <c r="EO25">
        <f t="shared" si="166"/>
        <v>50000</v>
      </c>
      <c r="EP25">
        <v>0</v>
      </c>
      <c r="EQ25">
        <f t="shared" si="167"/>
        <v>346823</v>
      </c>
      <c r="ER25">
        <f t="shared" si="62"/>
        <v>24000</v>
      </c>
      <c r="ES25">
        <f t="shared" si="63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4"/>
        <v>24000</v>
      </c>
      <c r="FE25">
        <f t="shared" si="65"/>
        <v>24000</v>
      </c>
      <c r="FF25">
        <f t="shared" si="66"/>
        <v>322823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>SUM(FG25:FM25)+(IF(F25="YES",50000,0))</f>
        <v>0</v>
      </c>
      <c r="FO25">
        <f t="shared" si="67"/>
        <v>322823</v>
      </c>
      <c r="FP25">
        <f t="shared" si="68"/>
        <v>3641</v>
      </c>
      <c r="FQ25">
        <f t="shared" si="69"/>
        <v>0</v>
      </c>
      <c r="FR25">
        <f t="shared" si="70"/>
        <v>3641</v>
      </c>
      <c r="FS25">
        <f t="shared" si="71"/>
        <v>0</v>
      </c>
      <c r="FT25">
        <f t="shared" si="72"/>
        <v>0</v>
      </c>
      <c r="FU25">
        <f t="shared" si="73"/>
        <v>0</v>
      </c>
      <c r="FV25">
        <v>0</v>
      </c>
      <c r="FW25">
        <f t="shared" si="74"/>
        <v>0</v>
      </c>
      <c r="FX25" t="b">
        <f t="shared" si="75"/>
        <v>0</v>
      </c>
      <c r="FY25">
        <f t="shared" ca="1" si="76"/>
        <v>2078</v>
      </c>
      <c r="FZ25">
        <f t="shared" ca="1" si="77"/>
        <v>400701</v>
      </c>
      <c r="GA25">
        <f t="shared" si="78"/>
        <v>75000</v>
      </c>
      <c r="GB25">
        <f t="shared" ca="1" si="79"/>
        <v>325701</v>
      </c>
      <c r="GC25">
        <f t="shared" ca="1" si="80"/>
        <v>0</v>
      </c>
      <c r="GD25">
        <f t="shared" ca="1" si="81"/>
        <v>0</v>
      </c>
      <c r="GE25">
        <f t="shared" ca="1" si="82"/>
        <v>0</v>
      </c>
      <c r="GF25">
        <f t="shared" ca="1" si="83"/>
        <v>0</v>
      </c>
      <c r="GG25">
        <f t="shared" ca="1" si="84"/>
        <v>0</v>
      </c>
      <c r="GH25">
        <f t="shared" ca="1" si="85"/>
        <v>0</v>
      </c>
      <c r="GI25">
        <f ca="1">IF(GB25&gt;1200000,GB25-1200000-IF(F25="YES",50000,0)-GG25,0)</f>
        <v>0</v>
      </c>
      <c r="GJ25">
        <f t="shared" ca="1" si="86"/>
        <v>0</v>
      </c>
      <c r="GK25">
        <f t="shared" ca="1" si="87"/>
        <v>0</v>
      </c>
      <c r="GL25">
        <f t="shared" ca="1" si="88"/>
        <v>0</v>
      </c>
      <c r="GM25">
        <f t="shared" ca="1" si="89"/>
        <v>0</v>
      </c>
      <c r="GN25">
        <f t="shared" ca="1" si="90"/>
        <v>0</v>
      </c>
      <c r="GO25">
        <f t="shared" ca="1" si="91"/>
        <v>0</v>
      </c>
      <c r="GP25">
        <f t="shared" ca="1" si="92"/>
        <v>0</v>
      </c>
      <c r="GQ25">
        <f t="shared" ca="1" si="93"/>
        <v>0</v>
      </c>
      <c r="GR25">
        <f t="shared" ca="1" si="94"/>
        <v>0</v>
      </c>
      <c r="GS25">
        <f t="shared" ca="1" si="95"/>
        <v>0</v>
      </c>
      <c r="GT25" t="b">
        <f t="shared" ca="1" si="96"/>
        <v>0</v>
      </c>
      <c r="GU25">
        <f t="shared" ca="1" si="97"/>
        <v>0</v>
      </c>
      <c r="GV25">
        <f t="shared" ca="1" si="98"/>
        <v>0</v>
      </c>
      <c r="GW25">
        <f t="shared" ca="1" si="99"/>
        <v>0</v>
      </c>
      <c r="GX25">
        <f t="shared" ca="1" si="100"/>
        <v>0</v>
      </c>
      <c r="GY25">
        <f t="shared" ca="1" si="101"/>
        <v>0</v>
      </c>
    </row>
    <row r="26" spans="1:207" x14ac:dyDescent="0.25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2"/>
        <v>0</v>
      </c>
      <c r="I26">
        <f>_xlfn.XLOOKUP(B26,'[1]march-2026'!$A:$A,'[1]march-2026'!$C:$C,0,0)</f>
        <v>28900</v>
      </c>
      <c r="J26">
        <f t="shared" si="168"/>
        <v>5202</v>
      </c>
      <c r="K26">
        <f t="shared" si="104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5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6"/>
        <v>150</v>
      </c>
      <c r="R26">
        <f t="shared" si="107"/>
        <v>37420</v>
      </c>
      <c r="S26">
        <f>_xlfn.XLOOKUP(B26,'[2]april-2026'!$A:$A,'[2]april-2026'!$C:$C,0,0)</f>
        <v>28900</v>
      </c>
      <c r="T26">
        <f t="shared" si="108"/>
        <v>5202</v>
      </c>
      <c r="U26">
        <f t="shared" si="109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0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1"/>
        <v>150</v>
      </c>
      <c r="AB26">
        <f t="shared" si="112"/>
        <v>37420</v>
      </c>
      <c r="AC26">
        <f>_xlfn.XLOOKUP(B26,'[3]may-2026'!$A:$A,'[3]may-2026'!$C:$C,0,0)</f>
        <v>28900</v>
      </c>
      <c r="AD26">
        <f t="shared" si="113"/>
        <v>5202</v>
      </c>
      <c r="AE26">
        <f t="shared" si="114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5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6"/>
        <v>150</v>
      </c>
      <c r="AL26">
        <f t="shared" si="117"/>
        <v>37420</v>
      </c>
      <c r="AM26">
        <f>_xlfn.XLOOKUP(B26,'[4]june-2026'!$A:$A,'[4]june-2026'!$C:$C,0,0)</f>
        <v>28900</v>
      </c>
      <c r="AN26">
        <f t="shared" si="118"/>
        <v>5202</v>
      </c>
      <c r="AO26">
        <f t="shared" si="119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0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1"/>
        <v>150</v>
      </c>
      <c r="AV26">
        <f t="shared" si="122"/>
        <v>37420</v>
      </c>
      <c r="AW26">
        <f>_xlfn.XLOOKUP(B26,'[5]july-2026'!$A:$A,'[5]july-2026'!$C:$C,0,0)</f>
        <v>28900</v>
      </c>
      <c r="AX26">
        <f t="shared" si="123"/>
        <v>5202</v>
      </c>
      <c r="AY26">
        <v>24</v>
      </c>
      <c r="AZ26">
        <f t="shared" si="124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5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6"/>
        <v>150</v>
      </c>
      <c r="BG26">
        <f t="shared" si="127"/>
        <v>37444</v>
      </c>
      <c r="BH26">
        <f>_xlfn.XLOOKUP(B26,'[6]august-2026'!$A:$A,'[6]august-2026'!$C:$C,0,0)</f>
        <v>28900</v>
      </c>
      <c r="BI26">
        <f t="shared" si="128"/>
        <v>5202</v>
      </c>
      <c r="BJ26">
        <f t="shared" si="129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0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1"/>
        <v>150</v>
      </c>
      <c r="BQ26">
        <f t="shared" si="132"/>
        <v>37420</v>
      </c>
      <c r="BR26">
        <f>_xlfn.XLOOKUP(B26,'[7]september-2026'!$A:$A,'[7]september-2026'!$C:$C,0,0)</f>
        <v>28900</v>
      </c>
      <c r="BS26">
        <f t="shared" si="133"/>
        <v>5202</v>
      </c>
      <c r="BT26">
        <f t="shared" si="134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5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6"/>
        <v>150</v>
      </c>
      <c r="CA26">
        <f t="shared" si="137"/>
        <v>37420</v>
      </c>
      <c r="CB26">
        <f>_xlfn.XLOOKUP(B26,'[8]october-2026'!$A:$A,'[8]october-2026'!$C:$C,0,0)</f>
        <v>28900</v>
      </c>
      <c r="CC26">
        <f t="shared" si="138"/>
        <v>5202</v>
      </c>
      <c r="CD26">
        <f t="shared" si="139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0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1"/>
        <v>150</v>
      </c>
      <c r="CK26">
        <f t="shared" si="142"/>
        <v>37420</v>
      </c>
      <c r="CL26">
        <f>_xlfn.XLOOKUP(B26,'[9]november-2026'!$A:$A,'[9]november-2026'!$C:$C,0,0)</f>
        <v>28900</v>
      </c>
      <c r="CM26">
        <f t="shared" si="143"/>
        <v>5202</v>
      </c>
      <c r="CN26">
        <f t="shared" si="144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5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6"/>
        <v>150</v>
      </c>
      <c r="CU26">
        <f t="shared" si="147"/>
        <v>37420</v>
      </c>
      <c r="CV26">
        <f>_xlfn.XLOOKUP(B26,'[10]december-2026'!$A:$A,'[10]december-2026'!$C:$C,0,0)</f>
        <v>28900</v>
      </c>
      <c r="CW26">
        <f t="shared" si="148"/>
        <v>5202</v>
      </c>
      <c r="CX26">
        <f t="shared" si="149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0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1"/>
        <v>150</v>
      </c>
      <c r="DE26">
        <f t="shared" si="152"/>
        <v>37420</v>
      </c>
      <c r="DF26">
        <f xml:space="preserve"> _xlfn.XLOOKUP(B26,
'[11]january-2027'!$A:$A,
'[11]january-2027'!$C:$C,
0,0)</f>
        <v>28900</v>
      </c>
      <c r="DG26">
        <f t="shared" si="153"/>
        <v>5202</v>
      </c>
      <c r="DH26">
        <f t="shared" si="154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5"/>
        <v>37570</v>
      </c>
      <c r="DL26">
        <f xml:space="preserve"> _xlfn.XLOOKUP(B26,
'[11]january-2027'!$A:$A,
'[11]january-2027'!$H:$H,
0,0)</f>
        <v>2000</v>
      </c>
      <c r="DM26">
        <f xml:space="preserve"> _xlfn.XLOOKUP(B26,
'[11]january-2027'!$A:$A,
'[11]january-2027'!$I:$I,
0,0)</f>
        <v>0</v>
      </c>
      <c r="DN26">
        <f t="shared" si="156"/>
        <v>150</v>
      </c>
      <c r="DO26">
        <f t="shared" si="157"/>
        <v>35420</v>
      </c>
      <c r="DP26">
        <f xml:space="preserve"> _xlfn.XLOOKUP(B26,
'[12]february-2027'!$A:$A,
'[12]february-2027'!$C:$C,
0,0)</f>
        <v>28900</v>
      </c>
      <c r="DQ26">
        <f t="shared" si="158"/>
        <v>5202</v>
      </c>
      <c r="DR26">
        <f t="shared" si="159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0"/>
        <v>37570</v>
      </c>
      <c r="DV26">
        <f xml:space="preserve"> _xlfn.XLOOKUP(B26,
'[12]february-2027'!$A:$A,
'[12]february-2027'!$H:$H,
0,0)</f>
        <v>2000</v>
      </c>
      <c r="DW26">
        <f xml:space="preserve"> _xlfn.XLOOKUP(B26,
'[12]february-2027'!$A:$A,
'[12]february-2027'!$I:$I,
0,0)</f>
        <v>0</v>
      </c>
      <c r="DX26">
        <f t="shared" si="161"/>
        <v>150</v>
      </c>
      <c r="DY26">
        <f t="shared" si="162"/>
        <v>35420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3"/>
        <v>0</v>
      </c>
      <c r="EM26">
        <f t="shared" si="164"/>
        <v>450864</v>
      </c>
      <c r="EN26">
        <f t="shared" si="165"/>
        <v>1800</v>
      </c>
      <c r="EO26">
        <f t="shared" si="166"/>
        <v>50000</v>
      </c>
      <c r="EP26">
        <v>1</v>
      </c>
      <c r="EQ26">
        <f t="shared" ref="EQ26" si="209">EM26-EN26-EO26+EL26</f>
        <v>399064</v>
      </c>
      <c r="ER26">
        <f t="shared" ref="ER26" si="210">DV26+DL26+DB26+CR26+CH26+BX26+BN26+BD26+AS26+AI26+Y26+O26</f>
        <v>4000</v>
      </c>
      <c r="ES26">
        <f t="shared" ref="ES26" si="211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2">SUM(ER26:FC26)</f>
        <v>4000</v>
      </c>
      <c r="FE26">
        <f t="shared" ref="FE26" si="213">IF(FD26&gt;=150000,150000,FD26)</f>
        <v>4000</v>
      </c>
      <c r="FF26">
        <f t="shared" ref="FF26" si="214">EQ26-FE26</f>
        <v>395064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>SUM(FG26:FM26)+(IF(F26="YES",50000,0))</f>
        <v>0</v>
      </c>
      <c r="FO26">
        <f t="shared" ref="FO26" si="215">FF26-FN26</f>
        <v>395064</v>
      </c>
      <c r="FP26">
        <f t="shared" ref="FP26" si="216">ROUND(IF(FO26&gt;0,IF(FO26&gt;500000,12500,(FO26-250000)*0.05),0),0)</f>
        <v>7253</v>
      </c>
      <c r="FQ26">
        <f t="shared" ref="FQ26" si="217">IF(ROUND(IF(FO26&gt;0,IF(FO26&gt;1000000,25000,(FO26-500000)*0.2),0),0)&lt;0,0,ROUND(IF(FO26&gt;0,IF(FO26&gt;1000000,25000,(FO26-500000)*0.2),0),0))</f>
        <v>0</v>
      </c>
      <c r="FR26">
        <f t="shared" ref="FR26" si="218">FP26+FQ26</f>
        <v>7253</v>
      </c>
      <c r="FS26">
        <f t="shared" ref="FS26" si="219">IF(FR26&lt;12500,0,FR26)</f>
        <v>0</v>
      </c>
      <c r="FT26">
        <f t="shared" ref="FT26" si="220">FS26*0.04</f>
        <v>0</v>
      </c>
      <c r="FU26">
        <f t="shared" ref="FU26" si="221">ROUND(FT26+FS26,0)</f>
        <v>0</v>
      </c>
      <c r="FV26">
        <v>1</v>
      </c>
      <c r="FW26">
        <f t="shared" ref="FW26" si="222">FU26-FV26</f>
        <v>-1</v>
      </c>
      <c r="FX26" t="b">
        <f t="shared" ref="FX26" si="223">IF(EM26&gt;500000,TRUE,FALSE)</f>
        <v>0</v>
      </c>
      <c r="FY26">
        <f t="shared" ref="FY26" ca="1" si="224">IF(FX26,RANDBETWEEN(500,1000),RANDBETWEEN(1000,3000))</f>
        <v>2477</v>
      </c>
      <c r="FZ26">
        <f t="shared" ref="FZ26" ca="1" si="225">EM26+FY26</f>
        <v>453341</v>
      </c>
      <c r="GA26">
        <f t="shared" ref="GA26" si="226">IF(EM26&gt;0,75000,0)</f>
        <v>75000</v>
      </c>
      <c r="GB26">
        <f t="shared" ref="GB26" ca="1" si="227">FZ26-GA26</f>
        <v>378341</v>
      </c>
      <c r="GC26">
        <f t="shared" ref="GC26" ca="1" si="228">IF(GB26&gt;2400000,GB26-2400000,0)</f>
        <v>0</v>
      </c>
      <c r="GD26">
        <f t="shared" ref="GD26" ca="1" si="229">GC26*0.3</f>
        <v>0</v>
      </c>
      <c r="GE26">
        <f t="shared" ref="GE26" ca="1" si="230">IF(GB26&gt;2000000,GB26-2000000,0)</f>
        <v>0</v>
      </c>
      <c r="GF26">
        <f t="shared" ref="GF26" ca="1" si="231">GE26*0.25</f>
        <v>0</v>
      </c>
      <c r="GG26">
        <f t="shared" ref="GG26" ca="1" si="232">IF(GB26&gt;1600000,GB26-1600000-GC26,0)</f>
        <v>0</v>
      </c>
      <c r="GH26">
        <f t="shared" ref="GH26" ca="1" si="233">GG26*0.2</f>
        <v>0</v>
      </c>
      <c r="GI26">
        <f ca="1">IF(GB26&gt;1200000,GB26-1200000-IF(F26="YES",50000,0)-GG26,0)</f>
        <v>0</v>
      </c>
      <c r="GJ26">
        <f t="shared" ref="GJ26" ca="1" si="234">GI26*0.15</f>
        <v>0</v>
      </c>
      <c r="GK26">
        <f t="shared" ref="GK26" ca="1" si="235">IF(GB26&gt;800000,GB26-800000-GC26-GG26-GI26,0)</f>
        <v>0</v>
      </c>
      <c r="GL26">
        <f t="shared" ref="GL26" ca="1" si="236">GK26*0.1</f>
        <v>0</v>
      </c>
      <c r="GM26">
        <f t="shared" ref="GM26" ca="1" si="237">IF(GB26&gt;400000,GB26-400000-GC26-GG26-GI26-GK26,0)</f>
        <v>0</v>
      </c>
      <c r="GN26">
        <f t="shared" ref="GN26" ca="1" si="238">GM26*0.05</f>
        <v>0</v>
      </c>
      <c r="GO26">
        <f t="shared" ref="GO26" ca="1" si="239">ROUND(GD26+GF26+GH26+GJ26+GL26+GN26,0)</f>
        <v>0</v>
      </c>
      <c r="GP26">
        <f t="shared" ref="GP26" ca="1" si="240">IF(GB26&gt;1200000,GB26,0)</f>
        <v>0</v>
      </c>
      <c r="GQ26">
        <f t="shared" ref="GQ26" ca="1" si="241">IF(GB26&gt;1200000,GP26-1200000,0)</f>
        <v>0</v>
      </c>
      <c r="GR26">
        <f t="shared" ref="GR26" ca="1" si="242">IF(GB26&lt;1200001,MIN(GO26,60000),0)</f>
        <v>0</v>
      </c>
      <c r="GS26">
        <f t="shared" ref="GS26" ca="1" si="243">IF(GB26&gt;1200000,GO26-GQ26,0)</f>
        <v>0</v>
      </c>
      <c r="GT26" t="b">
        <f t="shared" ref="GT26" ca="1" si="244">IF(GS26&gt;0,TRUE,FALSE)</f>
        <v>0</v>
      </c>
      <c r="GU26">
        <f t="shared" ref="GU26" ca="1" si="245">IF(GT26,GS26,0)</f>
        <v>0</v>
      </c>
      <c r="GV26">
        <f t="shared" ref="GV26" ca="1" si="246">GR26+GU26</f>
        <v>0</v>
      </c>
      <c r="GW26">
        <f t="shared" ref="GW26" ca="1" si="247">ROUND(GO26-GV26,0)</f>
        <v>0</v>
      </c>
      <c r="GX26">
        <f t="shared" ref="GX26" ca="1" si="248">GW26*0.04</f>
        <v>0</v>
      </c>
      <c r="GY26">
        <f t="shared" ref="GY26" ca="1" si="249">ROUNDUP(GW26+GX26,0)</f>
        <v>0</v>
      </c>
    </row>
    <row r="27" spans="1:207" x14ac:dyDescent="0.25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2"/>
        <v>6800</v>
      </c>
      <c r="I27">
        <f>_xlfn.XLOOKUP(B27,'[1]march-2026'!$A:$A,'[1]march-2026'!$C:$C,0,0)</f>
        <v>53300</v>
      </c>
      <c r="J27">
        <f t="shared" si="168"/>
        <v>9594</v>
      </c>
      <c r="K27">
        <f t="shared" si="104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5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6"/>
        <v>200</v>
      </c>
      <c r="R27">
        <f t="shared" si="107"/>
        <v>69930</v>
      </c>
      <c r="S27">
        <f>_xlfn.XLOOKUP(B27,'[2]april-2026'!$A:$A,'[2]april-2026'!$C:$C,0,0)</f>
        <v>53300</v>
      </c>
      <c r="T27">
        <f t="shared" si="108"/>
        <v>9594</v>
      </c>
      <c r="U27">
        <f t="shared" si="109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0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1"/>
        <v>200</v>
      </c>
      <c r="AB27">
        <f t="shared" si="112"/>
        <v>69930</v>
      </c>
      <c r="AC27">
        <f>_xlfn.XLOOKUP(B27,'[3]may-2026'!$A:$A,'[3]may-2026'!$C:$C,0,0)</f>
        <v>53300</v>
      </c>
      <c r="AD27">
        <f t="shared" si="113"/>
        <v>9594</v>
      </c>
      <c r="AE27">
        <f t="shared" si="114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5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6"/>
        <v>200</v>
      </c>
      <c r="AL27">
        <f t="shared" si="117"/>
        <v>69930</v>
      </c>
      <c r="AM27">
        <f>_xlfn.XLOOKUP(B27,'[4]june-2026'!$A:$A,'[4]june-2026'!$C:$C,0,0)</f>
        <v>53300</v>
      </c>
      <c r="AN27">
        <f t="shared" si="118"/>
        <v>9594</v>
      </c>
      <c r="AO27">
        <f t="shared" si="119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0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1"/>
        <v>200</v>
      </c>
      <c r="AV27">
        <f t="shared" si="122"/>
        <v>69930</v>
      </c>
      <c r="AW27">
        <f>_xlfn.XLOOKUP(B27,'[5]july-2026'!$A:$A,'[5]july-2026'!$C:$C,0,0)</f>
        <v>54900</v>
      </c>
      <c r="AX27">
        <f t="shared" si="123"/>
        <v>9882</v>
      </c>
      <c r="AY27">
        <v>25</v>
      </c>
      <c r="AZ27">
        <f t="shared" si="124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5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6"/>
        <v>200</v>
      </c>
      <c r="BG27">
        <f t="shared" si="127"/>
        <v>72035</v>
      </c>
      <c r="BH27">
        <f>_xlfn.XLOOKUP(B27,'[6]august-2026'!$A:$A,'[6]august-2026'!$C:$C,0,0)</f>
        <v>54900</v>
      </c>
      <c r="BI27">
        <f t="shared" si="128"/>
        <v>9882</v>
      </c>
      <c r="BJ27">
        <f t="shared" si="129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0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1"/>
        <v>200</v>
      </c>
      <c r="BQ27">
        <f t="shared" si="132"/>
        <v>72010</v>
      </c>
      <c r="BR27">
        <f>_xlfn.XLOOKUP(B27,'[7]september-2026'!$A:$A,'[7]september-2026'!$C:$C,0,0)</f>
        <v>54900</v>
      </c>
      <c r="BS27">
        <f t="shared" si="133"/>
        <v>9882</v>
      </c>
      <c r="BT27">
        <f t="shared" si="134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5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6"/>
        <v>200</v>
      </c>
      <c r="CA27">
        <f t="shared" si="137"/>
        <v>72010</v>
      </c>
      <c r="CB27">
        <f>_xlfn.XLOOKUP(B27,'[8]october-2026'!$A:$A,'[8]october-2026'!$C:$C,0,0)</f>
        <v>54900</v>
      </c>
      <c r="CC27">
        <f t="shared" si="138"/>
        <v>9882</v>
      </c>
      <c r="CD27">
        <f t="shared" si="139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0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1"/>
        <v>200</v>
      </c>
      <c r="CK27">
        <f t="shared" si="142"/>
        <v>72010</v>
      </c>
      <c r="CL27">
        <f>_xlfn.XLOOKUP(B27,'[9]november-2026'!$A:$A,'[9]november-2026'!$C:$C,0,0)</f>
        <v>54900</v>
      </c>
      <c r="CM27">
        <f t="shared" si="143"/>
        <v>9882</v>
      </c>
      <c r="CN27">
        <f t="shared" si="144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5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6"/>
        <v>200</v>
      </c>
      <c r="CU27">
        <f t="shared" si="147"/>
        <v>72010</v>
      </c>
      <c r="CV27">
        <f>_xlfn.XLOOKUP(B27,'[10]december-2026'!$A:$A,'[10]december-2026'!$C:$C,0,0)</f>
        <v>54900</v>
      </c>
      <c r="CW27">
        <f t="shared" si="148"/>
        <v>9882</v>
      </c>
      <c r="CX27">
        <f t="shared" si="149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0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1"/>
        <v>200</v>
      </c>
      <c r="DE27">
        <f t="shared" si="152"/>
        <v>72010</v>
      </c>
      <c r="DF27">
        <f xml:space="preserve"> _xlfn.XLOOKUP(B27,
'[11]january-2027'!$A:$A,
'[11]january-2027'!$C:$C,
0,0)</f>
        <v>54900</v>
      </c>
      <c r="DG27">
        <f t="shared" si="153"/>
        <v>9882</v>
      </c>
      <c r="DH27">
        <f t="shared" si="154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5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6"/>
        <v>200</v>
      </c>
      <c r="DO27">
        <f t="shared" si="157"/>
        <v>72010</v>
      </c>
      <c r="DP27">
        <f xml:space="preserve"> _xlfn.XLOOKUP(B27,
'[12]february-2027'!$A:$A,
'[12]february-2027'!$C:$C,
0,0)</f>
        <v>54900</v>
      </c>
      <c r="DQ27">
        <f t="shared" si="158"/>
        <v>9882</v>
      </c>
      <c r="DR27">
        <f t="shared" si="159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0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1"/>
        <v>200</v>
      </c>
      <c r="DY27">
        <f t="shared" si="162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3"/>
        <v>0</v>
      </c>
      <c r="EM27">
        <f t="shared" si="164"/>
        <v>865745</v>
      </c>
      <c r="EN27">
        <f t="shared" si="165"/>
        <v>2400</v>
      </c>
      <c r="EO27">
        <f t="shared" si="166"/>
        <v>50000</v>
      </c>
      <c r="EP27">
        <v>0</v>
      </c>
      <c r="EQ27">
        <f t="shared" si="167"/>
        <v>813345</v>
      </c>
      <c r="ER27">
        <f t="shared" si="62"/>
        <v>0</v>
      </c>
      <c r="ES27">
        <f t="shared" si="63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4"/>
        <v>720</v>
      </c>
      <c r="FE27">
        <f t="shared" si="65"/>
        <v>720</v>
      </c>
      <c r="FF27">
        <f t="shared" si="66"/>
        <v>812625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>SUM(FG27:FM27)+(IF(F27="YES",50000,0))</f>
        <v>0</v>
      </c>
      <c r="FO27">
        <f t="shared" si="67"/>
        <v>812625</v>
      </c>
      <c r="FP27">
        <f t="shared" si="68"/>
        <v>12500</v>
      </c>
      <c r="FQ27">
        <f t="shared" si="69"/>
        <v>62525</v>
      </c>
      <c r="FR27">
        <f t="shared" si="70"/>
        <v>75025</v>
      </c>
      <c r="FS27">
        <f t="shared" si="71"/>
        <v>75025</v>
      </c>
      <c r="FT27">
        <f t="shared" si="72"/>
        <v>3001</v>
      </c>
      <c r="FU27">
        <f t="shared" si="73"/>
        <v>78026</v>
      </c>
      <c r="FV27">
        <v>0</v>
      </c>
      <c r="FW27">
        <f t="shared" si="74"/>
        <v>78026</v>
      </c>
      <c r="FX27" t="b">
        <f t="shared" si="75"/>
        <v>1</v>
      </c>
      <c r="FY27">
        <f t="shared" ca="1" si="76"/>
        <v>815</v>
      </c>
      <c r="FZ27">
        <f t="shared" ca="1" si="77"/>
        <v>866560</v>
      </c>
      <c r="GA27">
        <f t="shared" si="78"/>
        <v>75000</v>
      </c>
      <c r="GB27">
        <f t="shared" ca="1" si="79"/>
        <v>791560</v>
      </c>
      <c r="GC27">
        <f t="shared" ca="1" si="80"/>
        <v>0</v>
      </c>
      <c r="GD27">
        <f t="shared" ca="1" si="81"/>
        <v>0</v>
      </c>
      <c r="GE27">
        <f t="shared" ca="1" si="82"/>
        <v>0</v>
      </c>
      <c r="GF27">
        <f t="shared" ca="1" si="83"/>
        <v>0</v>
      </c>
      <c r="GG27">
        <f t="shared" ca="1" si="84"/>
        <v>0</v>
      </c>
      <c r="GH27">
        <f t="shared" ca="1" si="85"/>
        <v>0</v>
      </c>
      <c r="GI27">
        <f ca="1">IF(GB27&gt;1200000,GB27-1200000-IF(F27="YES",50000,0)-GG27,0)</f>
        <v>0</v>
      </c>
      <c r="GJ27">
        <f t="shared" ca="1" si="86"/>
        <v>0</v>
      </c>
      <c r="GK27">
        <f t="shared" ca="1" si="87"/>
        <v>0</v>
      </c>
      <c r="GL27">
        <f t="shared" ca="1" si="88"/>
        <v>0</v>
      </c>
      <c r="GM27">
        <f t="shared" ca="1" si="89"/>
        <v>391560</v>
      </c>
      <c r="GN27">
        <f t="shared" ca="1" si="90"/>
        <v>19578</v>
      </c>
      <c r="GO27">
        <f t="shared" ca="1" si="91"/>
        <v>19578</v>
      </c>
      <c r="GP27">
        <f t="shared" ca="1" si="92"/>
        <v>0</v>
      </c>
      <c r="GQ27">
        <f t="shared" ca="1" si="93"/>
        <v>0</v>
      </c>
      <c r="GR27">
        <f t="shared" ca="1" si="94"/>
        <v>19578</v>
      </c>
      <c r="GS27">
        <f t="shared" ca="1" si="95"/>
        <v>0</v>
      </c>
      <c r="GT27" t="b">
        <f t="shared" ca="1" si="96"/>
        <v>0</v>
      </c>
      <c r="GU27">
        <f t="shared" ca="1" si="97"/>
        <v>0</v>
      </c>
      <c r="GV27">
        <f t="shared" ca="1" si="98"/>
        <v>19578</v>
      </c>
      <c r="GW27">
        <f t="shared" ca="1" si="99"/>
        <v>0</v>
      </c>
      <c r="GX27">
        <f t="shared" ca="1" si="100"/>
        <v>0</v>
      </c>
      <c r="GY27">
        <f t="shared" ca="1" si="101"/>
        <v>0</v>
      </c>
    </row>
    <row r="28" spans="1:207" x14ac:dyDescent="0.25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2"/>
        <v>6800</v>
      </c>
      <c r="I28">
        <f>_xlfn.XLOOKUP(B28,'[1]march-2026'!$A:$A,'[1]march-2026'!$C:$C,0,0)</f>
        <v>35500</v>
      </c>
      <c r="J28">
        <f t="shared" si="168"/>
        <v>6390</v>
      </c>
      <c r="K28">
        <f t="shared" si="104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5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6"/>
        <v>200</v>
      </c>
      <c r="R28">
        <f t="shared" si="107"/>
        <v>43450</v>
      </c>
      <c r="S28">
        <f>_xlfn.XLOOKUP(B28,'[2]april-2026'!$A:$A,'[2]april-2026'!$C:$C,0,0)</f>
        <v>35500</v>
      </c>
      <c r="T28">
        <f t="shared" si="108"/>
        <v>6390</v>
      </c>
      <c r="U28">
        <f t="shared" si="109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0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1"/>
        <v>200</v>
      </c>
      <c r="AB28">
        <f t="shared" si="112"/>
        <v>43450</v>
      </c>
      <c r="AC28">
        <f>_xlfn.XLOOKUP(B28,'[3]may-2026'!$A:$A,'[3]may-2026'!$C:$C,0,0)</f>
        <v>35500</v>
      </c>
      <c r="AD28">
        <f t="shared" si="113"/>
        <v>6390</v>
      </c>
      <c r="AE28">
        <f t="shared" si="114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5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6"/>
        <v>200</v>
      </c>
      <c r="AL28">
        <f t="shared" si="117"/>
        <v>43450</v>
      </c>
      <c r="AM28">
        <f>_xlfn.XLOOKUP(B28,'[4]june-2026'!$A:$A,'[4]june-2026'!$C:$C,0,0)</f>
        <v>35500</v>
      </c>
      <c r="AN28">
        <f t="shared" si="118"/>
        <v>6390</v>
      </c>
      <c r="AO28">
        <f t="shared" si="119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0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1"/>
        <v>200</v>
      </c>
      <c r="AV28">
        <f t="shared" si="122"/>
        <v>43450</v>
      </c>
      <c r="AW28">
        <f>_xlfn.XLOOKUP(B28,'[5]july-2026'!$A:$A,'[5]july-2026'!$C:$C,0,0)</f>
        <v>36600</v>
      </c>
      <c r="AX28">
        <f t="shared" si="123"/>
        <v>6588</v>
      </c>
      <c r="AY28">
        <v>26</v>
      </c>
      <c r="AZ28">
        <f t="shared" si="124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5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6"/>
        <v>200</v>
      </c>
      <c r="BG28">
        <f t="shared" si="127"/>
        <v>44906</v>
      </c>
      <c r="BH28">
        <f>_xlfn.XLOOKUP(B28,'[6]august-2026'!$A:$A,'[6]august-2026'!$C:$C,0,0)</f>
        <v>36600</v>
      </c>
      <c r="BI28">
        <f t="shared" si="128"/>
        <v>6588</v>
      </c>
      <c r="BJ28">
        <f t="shared" si="129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0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1"/>
        <v>200</v>
      </c>
      <c r="BQ28">
        <f t="shared" si="132"/>
        <v>44880</v>
      </c>
      <c r="BR28">
        <f>_xlfn.XLOOKUP(B28,'[7]september-2026'!$A:$A,'[7]september-2026'!$C:$C,0,0)</f>
        <v>36600</v>
      </c>
      <c r="BS28">
        <f t="shared" si="133"/>
        <v>6588</v>
      </c>
      <c r="BT28">
        <f t="shared" si="134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5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6"/>
        <v>200</v>
      </c>
      <c r="CA28">
        <f t="shared" si="137"/>
        <v>44880</v>
      </c>
      <c r="CB28">
        <f>_xlfn.XLOOKUP(B28,'[8]october-2026'!$A:$A,'[8]october-2026'!$C:$C,0,0)</f>
        <v>36600</v>
      </c>
      <c r="CC28">
        <f t="shared" si="138"/>
        <v>6588</v>
      </c>
      <c r="CD28">
        <f t="shared" si="139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0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1"/>
        <v>200</v>
      </c>
      <c r="CK28">
        <f t="shared" si="142"/>
        <v>44880</v>
      </c>
      <c r="CL28">
        <f>_xlfn.XLOOKUP(B28,'[9]november-2026'!$A:$A,'[9]november-2026'!$C:$C,0,0)</f>
        <v>36600</v>
      </c>
      <c r="CM28">
        <f t="shared" si="143"/>
        <v>6588</v>
      </c>
      <c r="CN28">
        <f t="shared" si="144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5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6"/>
        <v>200</v>
      </c>
      <c r="CU28">
        <f t="shared" si="147"/>
        <v>44880</v>
      </c>
      <c r="CV28">
        <f>_xlfn.XLOOKUP(B28,'[10]december-2026'!$A:$A,'[10]december-2026'!$C:$C,0,0)</f>
        <v>36600</v>
      </c>
      <c r="CW28">
        <f t="shared" si="148"/>
        <v>6588</v>
      </c>
      <c r="CX28">
        <f t="shared" si="149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0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1"/>
        <v>200</v>
      </c>
      <c r="DE28">
        <f t="shared" si="152"/>
        <v>44880</v>
      </c>
      <c r="DF28">
        <f xml:space="preserve"> _xlfn.XLOOKUP(B28,
'[11]january-2027'!$A:$A,
'[11]january-2027'!$C:$C,
0,0)</f>
        <v>36600</v>
      </c>
      <c r="DG28">
        <f t="shared" si="153"/>
        <v>6588</v>
      </c>
      <c r="DH28">
        <f t="shared" si="154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5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6"/>
        <v>200</v>
      </c>
      <c r="DO28">
        <f t="shared" si="157"/>
        <v>44880</v>
      </c>
      <c r="DP28">
        <f xml:space="preserve"> _xlfn.XLOOKUP(B28,
'[12]february-2027'!$A:$A,
'[12]february-2027'!$C:$C,
0,0)</f>
        <v>36600</v>
      </c>
      <c r="DQ28">
        <f t="shared" si="158"/>
        <v>6588</v>
      </c>
      <c r="DR28">
        <f t="shared" si="159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0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1"/>
        <v>200</v>
      </c>
      <c r="DY28">
        <f t="shared" si="162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3"/>
        <v>0</v>
      </c>
      <c r="EM28">
        <f t="shared" si="164"/>
        <v>578066</v>
      </c>
      <c r="EN28">
        <f t="shared" si="165"/>
        <v>2400</v>
      </c>
      <c r="EO28">
        <f t="shared" si="166"/>
        <v>50000</v>
      </c>
      <c r="EP28">
        <v>0</v>
      </c>
      <c r="EQ28">
        <f t="shared" si="167"/>
        <v>525666</v>
      </c>
      <c r="ER28">
        <f t="shared" si="62"/>
        <v>36000</v>
      </c>
      <c r="ES28">
        <f t="shared" si="63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4"/>
        <v>36000</v>
      </c>
      <c r="FE28">
        <f t="shared" si="65"/>
        <v>36000</v>
      </c>
      <c r="FF28">
        <f t="shared" si="66"/>
        <v>489666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>SUM(FG28:FM28)+(IF(F28="YES",50000,0))</f>
        <v>0</v>
      </c>
      <c r="FO28">
        <f t="shared" si="67"/>
        <v>489666</v>
      </c>
      <c r="FP28">
        <f t="shared" si="68"/>
        <v>11983</v>
      </c>
      <c r="FQ28">
        <f t="shared" si="69"/>
        <v>0</v>
      </c>
      <c r="FR28">
        <f t="shared" si="70"/>
        <v>11983</v>
      </c>
      <c r="FS28">
        <f t="shared" si="71"/>
        <v>0</v>
      </c>
      <c r="FT28">
        <f t="shared" si="72"/>
        <v>0</v>
      </c>
      <c r="FU28">
        <f t="shared" si="73"/>
        <v>0</v>
      </c>
      <c r="FV28">
        <v>0</v>
      </c>
      <c r="FW28">
        <f t="shared" si="74"/>
        <v>0</v>
      </c>
      <c r="FX28" t="b">
        <f t="shared" si="75"/>
        <v>1</v>
      </c>
      <c r="FY28">
        <f t="shared" ca="1" si="76"/>
        <v>661</v>
      </c>
      <c r="FZ28">
        <f t="shared" ca="1" si="77"/>
        <v>578727</v>
      </c>
      <c r="GA28">
        <f t="shared" si="78"/>
        <v>75000</v>
      </c>
      <c r="GB28">
        <f t="shared" ca="1" si="79"/>
        <v>503727</v>
      </c>
      <c r="GC28">
        <f t="shared" ca="1" si="80"/>
        <v>0</v>
      </c>
      <c r="GD28">
        <f t="shared" ca="1" si="81"/>
        <v>0</v>
      </c>
      <c r="GE28">
        <f t="shared" ca="1" si="82"/>
        <v>0</v>
      </c>
      <c r="GF28">
        <f t="shared" ca="1" si="83"/>
        <v>0</v>
      </c>
      <c r="GG28">
        <f t="shared" ca="1" si="84"/>
        <v>0</v>
      </c>
      <c r="GH28">
        <f t="shared" ca="1" si="85"/>
        <v>0</v>
      </c>
      <c r="GI28">
        <f ca="1">IF(GB28&gt;1200000,GB28-1200000-IF(F28="YES",50000,0)-GG28,0)</f>
        <v>0</v>
      </c>
      <c r="GJ28">
        <f t="shared" ca="1" si="86"/>
        <v>0</v>
      </c>
      <c r="GK28">
        <f t="shared" ca="1" si="87"/>
        <v>0</v>
      </c>
      <c r="GL28">
        <f t="shared" ca="1" si="88"/>
        <v>0</v>
      </c>
      <c r="GM28">
        <f t="shared" ca="1" si="89"/>
        <v>103727</v>
      </c>
      <c r="GN28">
        <f t="shared" ca="1" si="90"/>
        <v>5186.3500000000004</v>
      </c>
      <c r="GO28">
        <f t="shared" ca="1" si="91"/>
        <v>5186</v>
      </c>
      <c r="GP28">
        <f t="shared" ca="1" si="92"/>
        <v>0</v>
      </c>
      <c r="GQ28">
        <f t="shared" ca="1" si="93"/>
        <v>0</v>
      </c>
      <c r="GR28">
        <f t="shared" ca="1" si="94"/>
        <v>5186</v>
      </c>
      <c r="GS28">
        <f t="shared" ca="1" si="95"/>
        <v>0</v>
      </c>
      <c r="GT28" t="b">
        <f t="shared" ca="1" si="96"/>
        <v>0</v>
      </c>
      <c r="GU28">
        <f t="shared" ca="1" si="97"/>
        <v>0</v>
      </c>
      <c r="GV28">
        <f t="shared" ca="1" si="98"/>
        <v>5186</v>
      </c>
      <c r="GW28">
        <f t="shared" ca="1" si="99"/>
        <v>0</v>
      </c>
      <c r="GX28">
        <f t="shared" ca="1" si="100"/>
        <v>0</v>
      </c>
      <c r="GY28">
        <f t="shared" ca="1" si="101"/>
        <v>0</v>
      </c>
    </row>
    <row r="29" spans="1:207" x14ac:dyDescent="0.25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2"/>
        <v>6800</v>
      </c>
      <c r="I29">
        <f>_xlfn.XLOOKUP(B29,'[1]march-2026'!$A:$A,'[1]march-2026'!$C:$C,0,0)</f>
        <v>35500</v>
      </c>
      <c r="J29">
        <f t="shared" si="168"/>
        <v>6390</v>
      </c>
      <c r="K29">
        <f t="shared" si="104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5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6"/>
        <v>200</v>
      </c>
      <c r="R29">
        <f t="shared" si="107"/>
        <v>43950</v>
      </c>
      <c r="S29">
        <f>_xlfn.XLOOKUP(B29,'[2]april-2026'!$A:$A,'[2]april-2026'!$C:$C,0,0)</f>
        <v>35500</v>
      </c>
      <c r="T29">
        <f t="shared" si="108"/>
        <v>6390</v>
      </c>
      <c r="U29">
        <f t="shared" si="109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0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1"/>
        <v>200</v>
      </c>
      <c r="AB29">
        <f t="shared" si="112"/>
        <v>43950</v>
      </c>
      <c r="AC29">
        <f>_xlfn.XLOOKUP(B29,'[3]may-2026'!$A:$A,'[3]may-2026'!$C:$C,0,0)</f>
        <v>35500</v>
      </c>
      <c r="AD29">
        <f t="shared" si="113"/>
        <v>6390</v>
      </c>
      <c r="AE29">
        <f t="shared" si="114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5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6"/>
        <v>200</v>
      </c>
      <c r="AL29">
        <f t="shared" si="117"/>
        <v>43950</v>
      </c>
      <c r="AM29">
        <f>_xlfn.XLOOKUP(B29,'[4]june-2026'!$A:$A,'[4]june-2026'!$C:$C,0,0)</f>
        <v>35500</v>
      </c>
      <c r="AN29">
        <f t="shared" si="118"/>
        <v>6390</v>
      </c>
      <c r="AO29">
        <f t="shared" si="119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0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1"/>
        <v>200</v>
      </c>
      <c r="AV29">
        <f t="shared" si="122"/>
        <v>43950</v>
      </c>
      <c r="AW29">
        <f>_xlfn.XLOOKUP(B29,'[5]july-2026'!$A:$A,'[5]july-2026'!$C:$C,0,0)</f>
        <v>36600</v>
      </c>
      <c r="AX29">
        <f t="shared" si="123"/>
        <v>6588</v>
      </c>
      <c r="AY29">
        <v>27</v>
      </c>
      <c r="AZ29">
        <f t="shared" si="124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5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6"/>
        <v>200</v>
      </c>
      <c r="BG29">
        <f t="shared" si="127"/>
        <v>45407</v>
      </c>
      <c r="BH29">
        <f>_xlfn.XLOOKUP(B29,'[6]august-2026'!$A:$A,'[6]august-2026'!$C:$C,0,0)</f>
        <v>36600</v>
      </c>
      <c r="BI29">
        <f t="shared" si="128"/>
        <v>6588</v>
      </c>
      <c r="BJ29">
        <f t="shared" si="129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0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1"/>
        <v>200</v>
      </c>
      <c r="BQ29">
        <f t="shared" si="132"/>
        <v>45380</v>
      </c>
      <c r="BR29">
        <f>_xlfn.XLOOKUP(B29,'[7]september-2026'!$A:$A,'[7]september-2026'!$C:$C,0,0)</f>
        <v>36600</v>
      </c>
      <c r="BS29">
        <f t="shared" si="133"/>
        <v>6588</v>
      </c>
      <c r="BT29">
        <f t="shared" si="134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5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6"/>
        <v>200</v>
      </c>
      <c r="CA29">
        <f t="shared" si="137"/>
        <v>45380</v>
      </c>
      <c r="CB29">
        <f>_xlfn.XLOOKUP(B29,'[8]october-2026'!$A:$A,'[8]october-2026'!$C:$C,0,0)</f>
        <v>36600</v>
      </c>
      <c r="CC29">
        <f t="shared" si="138"/>
        <v>6588</v>
      </c>
      <c r="CD29">
        <f t="shared" si="139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0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1"/>
        <v>200</v>
      </c>
      <c r="CK29">
        <f t="shared" si="142"/>
        <v>45380</v>
      </c>
      <c r="CL29">
        <f>_xlfn.XLOOKUP(B29,'[9]november-2026'!$A:$A,'[9]november-2026'!$C:$C,0,0)</f>
        <v>36600</v>
      </c>
      <c r="CM29">
        <f t="shared" si="143"/>
        <v>6588</v>
      </c>
      <c r="CN29">
        <f t="shared" si="144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5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6"/>
        <v>200</v>
      </c>
      <c r="CU29">
        <f t="shared" si="147"/>
        <v>45380</v>
      </c>
      <c r="CV29">
        <f>_xlfn.XLOOKUP(B29,'[10]december-2026'!$A:$A,'[10]december-2026'!$C:$C,0,0)</f>
        <v>36600</v>
      </c>
      <c r="CW29">
        <f t="shared" si="148"/>
        <v>6588</v>
      </c>
      <c r="CX29">
        <f t="shared" si="149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0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1"/>
        <v>200</v>
      </c>
      <c r="DE29">
        <f t="shared" si="152"/>
        <v>45380</v>
      </c>
      <c r="DF29">
        <f xml:space="preserve"> _xlfn.XLOOKUP(B29,
'[11]january-2027'!$A:$A,
'[11]january-2027'!$C:$C,
0,0)</f>
        <v>36600</v>
      </c>
      <c r="DG29">
        <f t="shared" si="153"/>
        <v>6588</v>
      </c>
      <c r="DH29">
        <f t="shared" si="154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5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6"/>
        <v>200</v>
      </c>
      <c r="DO29">
        <f t="shared" si="157"/>
        <v>45380</v>
      </c>
      <c r="DP29">
        <f xml:space="preserve"> _xlfn.XLOOKUP(B29,
'[12]february-2027'!$A:$A,
'[12]february-2027'!$C:$C,
0,0)</f>
        <v>36600</v>
      </c>
      <c r="DQ29">
        <f t="shared" si="158"/>
        <v>6588</v>
      </c>
      <c r="DR29">
        <f t="shared" si="159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0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1"/>
        <v>200</v>
      </c>
      <c r="DY29">
        <f t="shared" si="162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3"/>
        <v>0</v>
      </c>
      <c r="EM29">
        <f t="shared" si="164"/>
        <v>578067</v>
      </c>
      <c r="EN29">
        <f t="shared" si="165"/>
        <v>2400</v>
      </c>
      <c r="EO29">
        <f t="shared" si="166"/>
        <v>50000</v>
      </c>
      <c r="EP29">
        <v>0</v>
      </c>
      <c r="EQ29">
        <f t="shared" si="167"/>
        <v>525667</v>
      </c>
      <c r="ER29">
        <f t="shared" si="62"/>
        <v>30000</v>
      </c>
      <c r="ES29">
        <f t="shared" si="63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4"/>
        <v>30000</v>
      </c>
      <c r="FE29">
        <f t="shared" si="65"/>
        <v>30000</v>
      </c>
      <c r="FF29">
        <f t="shared" si="66"/>
        <v>495667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>SUM(FG29:FM29)+(IF(F29="YES",50000,0))</f>
        <v>0</v>
      </c>
      <c r="FO29">
        <f t="shared" si="67"/>
        <v>495667</v>
      </c>
      <c r="FP29">
        <f t="shared" si="68"/>
        <v>12283</v>
      </c>
      <c r="FQ29">
        <f t="shared" si="69"/>
        <v>0</v>
      </c>
      <c r="FR29">
        <f t="shared" si="70"/>
        <v>12283</v>
      </c>
      <c r="FS29">
        <f t="shared" si="71"/>
        <v>0</v>
      </c>
      <c r="FT29">
        <f t="shared" si="72"/>
        <v>0</v>
      </c>
      <c r="FU29">
        <f t="shared" si="73"/>
        <v>0</v>
      </c>
      <c r="FV29">
        <v>0</v>
      </c>
      <c r="FW29">
        <f t="shared" si="74"/>
        <v>0</v>
      </c>
      <c r="FX29" t="b">
        <f t="shared" si="75"/>
        <v>1</v>
      </c>
      <c r="FY29">
        <f t="shared" ca="1" si="76"/>
        <v>968</v>
      </c>
      <c r="FZ29">
        <f t="shared" ca="1" si="77"/>
        <v>579035</v>
      </c>
      <c r="GA29">
        <f t="shared" si="78"/>
        <v>75000</v>
      </c>
      <c r="GB29">
        <f t="shared" ca="1" si="79"/>
        <v>504035</v>
      </c>
      <c r="GC29">
        <f t="shared" ca="1" si="80"/>
        <v>0</v>
      </c>
      <c r="GD29">
        <f t="shared" ca="1" si="81"/>
        <v>0</v>
      </c>
      <c r="GE29">
        <f t="shared" ca="1" si="82"/>
        <v>0</v>
      </c>
      <c r="GF29">
        <f t="shared" ca="1" si="83"/>
        <v>0</v>
      </c>
      <c r="GG29">
        <f t="shared" ca="1" si="84"/>
        <v>0</v>
      </c>
      <c r="GH29">
        <f t="shared" ca="1" si="85"/>
        <v>0</v>
      </c>
      <c r="GI29">
        <f ca="1">IF(GB29&gt;1200000,GB29-1200000-IF(F29="YES",50000,0)-GG29,0)</f>
        <v>0</v>
      </c>
      <c r="GJ29">
        <f t="shared" ca="1" si="86"/>
        <v>0</v>
      </c>
      <c r="GK29">
        <f t="shared" ca="1" si="87"/>
        <v>0</v>
      </c>
      <c r="GL29">
        <f t="shared" ca="1" si="88"/>
        <v>0</v>
      </c>
      <c r="GM29">
        <f t="shared" ca="1" si="89"/>
        <v>104035</v>
      </c>
      <c r="GN29">
        <f t="shared" ca="1" si="90"/>
        <v>5201.75</v>
      </c>
      <c r="GO29">
        <f t="shared" ca="1" si="91"/>
        <v>5202</v>
      </c>
      <c r="GP29">
        <f t="shared" ca="1" si="92"/>
        <v>0</v>
      </c>
      <c r="GQ29">
        <f t="shared" ca="1" si="93"/>
        <v>0</v>
      </c>
      <c r="GR29">
        <f t="shared" ca="1" si="94"/>
        <v>5202</v>
      </c>
      <c r="GS29">
        <f t="shared" ca="1" si="95"/>
        <v>0</v>
      </c>
      <c r="GT29" t="b">
        <f t="shared" ca="1" si="96"/>
        <v>0</v>
      </c>
      <c r="GU29">
        <f t="shared" ca="1" si="97"/>
        <v>0</v>
      </c>
      <c r="GV29">
        <f t="shared" ca="1" si="98"/>
        <v>5202</v>
      </c>
      <c r="GW29">
        <f t="shared" ca="1" si="99"/>
        <v>0</v>
      </c>
      <c r="GX29">
        <f t="shared" ca="1" si="100"/>
        <v>0</v>
      </c>
      <c r="GY29">
        <f t="shared" ca="1" si="101"/>
        <v>0</v>
      </c>
    </row>
    <row r="30" spans="1:207" x14ac:dyDescent="0.25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2"/>
        <v>0</v>
      </c>
      <c r="I30">
        <f>_xlfn.XLOOKUP(B30,'[1]march-2026'!$A:$A,'[1]march-2026'!$C:$C,0,0)</f>
        <v>28900</v>
      </c>
      <c r="J30">
        <f t="shared" si="168"/>
        <v>5202</v>
      </c>
      <c r="K30">
        <f t="shared" si="104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5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6"/>
        <v>150</v>
      </c>
      <c r="R30">
        <f t="shared" si="107"/>
        <v>37420</v>
      </c>
      <c r="S30">
        <f>_xlfn.XLOOKUP(B30,'[2]april-2026'!$A:$A,'[2]april-2026'!$C:$C,0,0)</f>
        <v>28900</v>
      </c>
      <c r="T30">
        <f t="shared" si="108"/>
        <v>5202</v>
      </c>
      <c r="U30">
        <f t="shared" si="109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0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1"/>
        <v>150</v>
      </c>
      <c r="AB30">
        <f t="shared" si="112"/>
        <v>37420</v>
      </c>
      <c r="AC30">
        <f>_xlfn.XLOOKUP(B30,'[3]may-2026'!$A:$A,'[3]may-2026'!$C:$C,0,0)</f>
        <v>28900</v>
      </c>
      <c r="AD30">
        <f t="shared" si="113"/>
        <v>5202</v>
      </c>
      <c r="AE30">
        <f t="shared" si="114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5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6"/>
        <v>150</v>
      </c>
      <c r="AL30">
        <f t="shared" si="117"/>
        <v>37420</v>
      </c>
      <c r="AM30">
        <f>_xlfn.XLOOKUP(B30,'[4]june-2026'!$A:$A,'[4]june-2026'!$C:$C,0,0)</f>
        <v>28900</v>
      </c>
      <c r="AN30">
        <f t="shared" si="118"/>
        <v>5202</v>
      </c>
      <c r="AO30">
        <f t="shared" si="119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0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1"/>
        <v>150</v>
      </c>
      <c r="AV30">
        <f t="shared" si="122"/>
        <v>37420</v>
      </c>
      <c r="AW30">
        <f>_xlfn.XLOOKUP(B30,'[5]july-2026'!$A:$A,'[5]july-2026'!$C:$C,0,0)</f>
        <v>28900</v>
      </c>
      <c r="AX30">
        <f t="shared" si="123"/>
        <v>5202</v>
      </c>
      <c r="AY30">
        <v>28</v>
      </c>
      <c r="AZ30">
        <f t="shared" si="124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5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6"/>
        <v>150</v>
      </c>
      <c r="BG30">
        <f t="shared" si="127"/>
        <v>37448</v>
      </c>
      <c r="BH30">
        <f>_xlfn.XLOOKUP(B30,'[6]august-2026'!$A:$A,'[6]august-2026'!$C:$C,0,0)</f>
        <v>28900</v>
      </c>
      <c r="BI30">
        <f t="shared" si="128"/>
        <v>5202</v>
      </c>
      <c r="BJ30">
        <f t="shared" si="129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0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1"/>
        <v>150</v>
      </c>
      <c r="BQ30">
        <f t="shared" si="132"/>
        <v>37420</v>
      </c>
      <c r="BR30">
        <f>_xlfn.XLOOKUP(B30,'[7]september-2026'!$A:$A,'[7]september-2026'!$C:$C,0,0)</f>
        <v>28900</v>
      </c>
      <c r="BS30">
        <f t="shared" si="133"/>
        <v>5202</v>
      </c>
      <c r="BT30">
        <f t="shared" si="134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5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6"/>
        <v>150</v>
      </c>
      <c r="CA30">
        <f t="shared" si="137"/>
        <v>37420</v>
      </c>
      <c r="CB30">
        <f>_xlfn.XLOOKUP(B30,'[8]october-2026'!$A:$A,'[8]october-2026'!$C:$C,0,0)</f>
        <v>28900</v>
      </c>
      <c r="CC30">
        <f t="shared" si="138"/>
        <v>5202</v>
      </c>
      <c r="CD30">
        <f t="shared" si="139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0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1"/>
        <v>150</v>
      </c>
      <c r="CK30">
        <f t="shared" si="142"/>
        <v>37420</v>
      </c>
      <c r="CL30">
        <f>_xlfn.XLOOKUP(B30,'[9]november-2026'!$A:$A,'[9]november-2026'!$C:$C,0,0)</f>
        <v>28900</v>
      </c>
      <c r="CM30">
        <f t="shared" si="143"/>
        <v>5202</v>
      </c>
      <c r="CN30">
        <f t="shared" si="144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5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6"/>
        <v>150</v>
      </c>
      <c r="CU30">
        <f t="shared" si="147"/>
        <v>37420</v>
      </c>
      <c r="CV30">
        <f>_xlfn.XLOOKUP(B30,'[10]december-2026'!$A:$A,'[10]december-2026'!$C:$C,0,0)</f>
        <v>28900</v>
      </c>
      <c r="CW30">
        <f t="shared" si="148"/>
        <v>5202</v>
      </c>
      <c r="CX30">
        <f t="shared" si="149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0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1"/>
        <v>150</v>
      </c>
      <c r="DE30">
        <f t="shared" si="152"/>
        <v>37420</v>
      </c>
      <c r="DF30">
        <f xml:space="preserve"> _xlfn.XLOOKUP(B30,
'[11]january-2027'!$A:$A,
'[11]january-2027'!$C:$C,
0,0)</f>
        <v>28900</v>
      </c>
      <c r="DG30">
        <f t="shared" si="153"/>
        <v>5202</v>
      </c>
      <c r="DH30">
        <f t="shared" si="154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5"/>
        <v>37570</v>
      </c>
      <c r="DL30">
        <f xml:space="preserve"> _xlfn.XLOOKUP(B30,
'[11]january-2027'!$A:$A,
'[11]january-2027'!$H:$H,
0,0)</f>
        <v>2000</v>
      </c>
      <c r="DM30">
        <f xml:space="preserve"> _xlfn.XLOOKUP(B30,
'[11]january-2027'!$A:$A,
'[11]january-2027'!$I:$I,
0,0)</f>
        <v>0</v>
      </c>
      <c r="DN30">
        <f t="shared" si="156"/>
        <v>150</v>
      </c>
      <c r="DO30">
        <f t="shared" si="157"/>
        <v>35420</v>
      </c>
      <c r="DP30">
        <f xml:space="preserve"> _xlfn.XLOOKUP(B30,
'[12]february-2027'!$A:$A,
'[12]february-2027'!$C:$C,
0,0)</f>
        <v>28900</v>
      </c>
      <c r="DQ30">
        <f t="shared" si="158"/>
        <v>5202</v>
      </c>
      <c r="DR30">
        <f t="shared" si="159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0"/>
        <v>37570</v>
      </c>
      <c r="DV30">
        <f xml:space="preserve"> _xlfn.XLOOKUP(B30,
'[12]february-2027'!$A:$A,
'[12]february-2027'!$H:$H,
0,0)</f>
        <v>2000</v>
      </c>
      <c r="DW30">
        <f xml:space="preserve"> _xlfn.XLOOKUP(B30,
'[12]february-2027'!$A:$A,
'[12]february-2027'!$I:$I,
0,0)</f>
        <v>0</v>
      </c>
      <c r="DX30">
        <f t="shared" si="161"/>
        <v>150</v>
      </c>
      <c r="DY30">
        <f t="shared" si="162"/>
        <v>35420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3"/>
        <v>0</v>
      </c>
      <c r="EM30">
        <f t="shared" si="164"/>
        <v>450868</v>
      </c>
      <c r="EN30">
        <f t="shared" si="165"/>
        <v>1800</v>
      </c>
      <c r="EO30">
        <f t="shared" si="166"/>
        <v>50000</v>
      </c>
      <c r="EP30">
        <v>1</v>
      </c>
      <c r="EQ30">
        <f t="shared" ref="EQ30" si="250">EM30-EN30-EO30+EL30</f>
        <v>399068</v>
      </c>
      <c r="ER30">
        <f t="shared" ref="ER30" si="251">DV30+DL30+DB30+CR30+CH30+BX30+BN30+BD30+AS30+AI30+Y30+O30</f>
        <v>4000</v>
      </c>
      <c r="ES30">
        <f t="shared" ref="ES30" si="252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3">SUM(ER30:FC30)</f>
        <v>4000</v>
      </c>
      <c r="FE30">
        <f t="shared" ref="FE30" si="254">IF(FD30&gt;=150000,150000,FD30)</f>
        <v>4000</v>
      </c>
      <c r="FF30">
        <f t="shared" ref="FF30" si="255">EQ30-FE30</f>
        <v>395068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>SUM(FG30:FM30)+(IF(F30="YES",50000,0))</f>
        <v>0</v>
      </c>
      <c r="FO30">
        <f t="shared" ref="FO30" si="256">FF30-FN30</f>
        <v>395068</v>
      </c>
      <c r="FP30">
        <f t="shared" ref="FP30" si="257">ROUND(IF(FO30&gt;0,IF(FO30&gt;500000,12500,(FO30-250000)*0.05),0),0)</f>
        <v>7253</v>
      </c>
      <c r="FQ30">
        <f t="shared" ref="FQ30" si="258">IF(ROUND(IF(FO30&gt;0,IF(FO30&gt;1000000,25000,(FO30-500000)*0.2),0),0)&lt;0,0,ROUND(IF(FO30&gt;0,IF(FO30&gt;1000000,25000,(FO30-500000)*0.2),0),0))</f>
        <v>0</v>
      </c>
      <c r="FR30">
        <f t="shared" ref="FR30" si="259">FP30+FQ30</f>
        <v>7253</v>
      </c>
      <c r="FS30">
        <f t="shared" ref="FS30" si="260">IF(FR30&lt;12500,0,FR30)</f>
        <v>0</v>
      </c>
      <c r="FT30">
        <f t="shared" ref="FT30" si="261">FS30*0.04</f>
        <v>0</v>
      </c>
      <c r="FU30">
        <f t="shared" ref="FU30" si="262">ROUND(FT30+FS30,0)</f>
        <v>0</v>
      </c>
      <c r="FV30">
        <v>1</v>
      </c>
      <c r="FW30">
        <f t="shared" ref="FW30" si="263">FU30-FV30</f>
        <v>-1</v>
      </c>
      <c r="FX30" t="b">
        <f t="shared" ref="FX30" si="264">IF(EM30&gt;500000,TRUE,FALSE)</f>
        <v>0</v>
      </c>
      <c r="FY30">
        <f t="shared" ref="FY30" ca="1" si="265">IF(FX30,RANDBETWEEN(500,1000),RANDBETWEEN(1000,3000))</f>
        <v>2389</v>
      </c>
      <c r="FZ30">
        <f t="shared" ref="FZ30" ca="1" si="266">EM30+FY30</f>
        <v>453257</v>
      </c>
      <c r="GA30">
        <f t="shared" ref="GA30" si="267">IF(EM30&gt;0,75000,0)</f>
        <v>75000</v>
      </c>
      <c r="GB30">
        <f t="shared" ref="GB30" ca="1" si="268">FZ30-GA30</f>
        <v>378257</v>
      </c>
      <c r="GC30">
        <f t="shared" ref="GC30" ca="1" si="269">IF(GB30&gt;2400000,GB30-2400000,0)</f>
        <v>0</v>
      </c>
      <c r="GD30">
        <f t="shared" ref="GD30" ca="1" si="270">GC30*0.3</f>
        <v>0</v>
      </c>
      <c r="GE30">
        <f t="shared" ref="GE30" ca="1" si="271">IF(GB30&gt;2000000,GB30-2000000,0)</f>
        <v>0</v>
      </c>
      <c r="GF30">
        <f t="shared" ref="GF30" ca="1" si="272">GE30*0.25</f>
        <v>0</v>
      </c>
      <c r="GG30">
        <f t="shared" ref="GG30" ca="1" si="273">IF(GB30&gt;1600000,GB30-1600000-GC30,0)</f>
        <v>0</v>
      </c>
      <c r="GH30">
        <f t="shared" ref="GH30" ca="1" si="274">GG30*0.2</f>
        <v>0</v>
      </c>
      <c r="GI30">
        <f ca="1">IF(GB30&gt;1200000,GB30-1200000-IF(F30="YES",50000,0)-GG30,0)</f>
        <v>0</v>
      </c>
      <c r="GJ30">
        <f t="shared" ref="GJ30" ca="1" si="275">GI30*0.15</f>
        <v>0</v>
      </c>
      <c r="GK30">
        <f t="shared" ref="GK30" ca="1" si="276">IF(GB30&gt;800000,GB30-800000-GC30-GG30-GI30,0)</f>
        <v>0</v>
      </c>
      <c r="GL30">
        <f t="shared" ref="GL30" ca="1" si="277">GK30*0.1</f>
        <v>0</v>
      </c>
      <c r="GM30">
        <f t="shared" ref="GM30" ca="1" si="278">IF(GB30&gt;400000,GB30-400000-GC30-GG30-GI30-GK30,0)</f>
        <v>0</v>
      </c>
      <c r="GN30">
        <f t="shared" ref="GN30" ca="1" si="279">GM30*0.05</f>
        <v>0</v>
      </c>
      <c r="GO30">
        <f t="shared" ref="GO30" ca="1" si="280">ROUND(GD30+GF30+GH30+GJ30+GL30+GN30,0)</f>
        <v>0</v>
      </c>
      <c r="GP30">
        <f t="shared" ref="GP30" ca="1" si="281">IF(GB30&gt;1200000,GB30,0)</f>
        <v>0</v>
      </c>
      <c r="GQ30">
        <f t="shared" ref="GQ30" ca="1" si="282">IF(GB30&gt;1200000,GP30-1200000,0)</f>
        <v>0</v>
      </c>
      <c r="GR30">
        <f t="shared" ref="GR30" ca="1" si="283">IF(GB30&lt;1200001,MIN(GO30,60000),0)</f>
        <v>0</v>
      </c>
      <c r="GS30">
        <f t="shared" ref="GS30" ca="1" si="284">IF(GB30&gt;1200000,GO30-GQ30,0)</f>
        <v>0</v>
      </c>
      <c r="GT30" t="b">
        <f t="shared" ref="GT30" ca="1" si="285">IF(GS30&gt;0,TRUE,FALSE)</f>
        <v>0</v>
      </c>
      <c r="GU30">
        <f t="shared" ref="GU30" ca="1" si="286">IF(GT30,GS30,0)</f>
        <v>0</v>
      </c>
      <c r="GV30">
        <f t="shared" ref="GV30" ca="1" si="287">GR30+GU30</f>
        <v>0</v>
      </c>
      <c r="GW30">
        <f t="shared" ref="GW30" ca="1" si="288">ROUND(GO30-GV30,0)</f>
        <v>0</v>
      </c>
      <c r="GX30">
        <f t="shared" ref="GX30" ca="1" si="289">GW30*0.04</f>
        <v>0</v>
      </c>
      <c r="GY30">
        <f t="shared" ref="GY30" ca="1" si="290">ROUNDUP(GW30+GX30,0)</f>
        <v>0</v>
      </c>
    </row>
    <row r="31" spans="1:207" x14ac:dyDescent="0.25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2"/>
        <v>6800</v>
      </c>
      <c r="I31">
        <f>_xlfn.XLOOKUP(B31,'[1]march-2026'!$A:$A,'[1]march-2026'!$C:$C,0,0)</f>
        <v>53300</v>
      </c>
      <c r="J31">
        <f t="shared" si="168"/>
        <v>9594</v>
      </c>
      <c r="K31">
        <f t="shared" si="104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5"/>
        <v>70190</v>
      </c>
      <c r="O31">
        <f>_xlfn.XLOOKUP(B31,'[1]march-2026'!$A:$A,'[1]march-2026'!$H:$H,0,0)</f>
        <v>15000</v>
      </c>
      <c r="P31">
        <f>_xlfn.XLOOKUP(B31,'[1]march-2026'!$A:$A,'[1]march-2026'!$I:$I,0,0)</f>
        <v>0</v>
      </c>
      <c r="Q31">
        <f t="shared" si="106"/>
        <v>200</v>
      </c>
      <c r="R31">
        <f t="shared" si="107"/>
        <v>54990</v>
      </c>
      <c r="S31">
        <f>_xlfn.XLOOKUP(B31,'[2]april-2026'!$A:$A,'[2]april-2026'!$C:$C,0,0)</f>
        <v>53300</v>
      </c>
      <c r="T31">
        <f t="shared" si="108"/>
        <v>9594</v>
      </c>
      <c r="U31">
        <f t="shared" si="109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0"/>
        <v>70190</v>
      </c>
      <c r="Y31">
        <f>_xlfn.XLOOKUP(B31,'[2]april-2026'!$A:$A,'[2]april-2026'!$H:$H,0,0)</f>
        <v>15000</v>
      </c>
      <c r="Z31">
        <f>_xlfn.XLOOKUP(B31,'[2]april-2026'!$A:$A,'[2]april-2026'!$I:$I,0,0)</f>
        <v>0</v>
      </c>
      <c r="AA31">
        <f t="shared" si="111"/>
        <v>200</v>
      </c>
      <c r="AB31">
        <f t="shared" si="112"/>
        <v>54990</v>
      </c>
      <c r="AC31">
        <f>_xlfn.XLOOKUP(B31,'[3]may-2026'!$A:$A,'[3]may-2026'!$C:$C,0,0)</f>
        <v>53300</v>
      </c>
      <c r="AD31">
        <f t="shared" si="113"/>
        <v>9594</v>
      </c>
      <c r="AE31">
        <f t="shared" si="114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5"/>
        <v>70190</v>
      </c>
      <c r="AI31">
        <f>_xlfn.XLOOKUP(B31,'[3]may-2026'!$A:$A,'[3]may-2026'!$H:$H,0,0)</f>
        <v>15000</v>
      </c>
      <c r="AJ31">
        <f>_xlfn.XLOOKUP(B31,'[3]may-2026'!$A:$A,'[3]may-2026'!$I:$I,0,0)</f>
        <v>0</v>
      </c>
      <c r="AK31">
        <f t="shared" si="116"/>
        <v>200</v>
      </c>
      <c r="AL31">
        <f t="shared" si="117"/>
        <v>54990</v>
      </c>
      <c r="AM31">
        <f>_xlfn.XLOOKUP(B31,'[4]june-2026'!$A:$A,'[4]june-2026'!$C:$C,0,0)</f>
        <v>53300</v>
      </c>
      <c r="AN31">
        <f t="shared" si="118"/>
        <v>9594</v>
      </c>
      <c r="AO31">
        <f t="shared" si="119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0"/>
        <v>70190</v>
      </c>
      <c r="AS31">
        <f>_xlfn.XLOOKUP(B31,'[4]june-2026'!$A:$A,'[4]june-2026'!$H:$H,0,0)</f>
        <v>15000</v>
      </c>
      <c r="AT31">
        <f>_xlfn.XLOOKUP(B31,'[4]june-2026'!$A:$A,'[4]june-2026'!$I:$I,0,0)</f>
        <v>0</v>
      </c>
      <c r="AU31">
        <f t="shared" si="121"/>
        <v>200</v>
      </c>
      <c r="AV31">
        <f t="shared" si="122"/>
        <v>54990</v>
      </c>
      <c r="AW31">
        <f>_xlfn.XLOOKUP(B31,'[5]july-2026'!$A:$A,'[5]july-2026'!$C:$C,0,0)</f>
        <v>54900</v>
      </c>
      <c r="AX31">
        <f t="shared" si="123"/>
        <v>9882</v>
      </c>
      <c r="AY31">
        <v>29</v>
      </c>
      <c r="AZ31">
        <f t="shared" si="124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5"/>
        <v>72299</v>
      </c>
      <c r="BD31">
        <f>_xlfn.XLOOKUP(B31,'[5]july-2026'!$A:$A,'[5]july-2026'!$H:$H,0,0)</f>
        <v>15000</v>
      </c>
      <c r="BE31">
        <f>_xlfn.XLOOKUP(B31,'[5]july-2026'!$A:$A,'[5]july-2026'!$I:$I,0,0)</f>
        <v>0</v>
      </c>
      <c r="BF31">
        <f t="shared" si="126"/>
        <v>200</v>
      </c>
      <c r="BG31">
        <f t="shared" si="127"/>
        <v>57099</v>
      </c>
      <c r="BH31">
        <f>_xlfn.XLOOKUP(B31,'[6]august-2026'!$A:$A,'[6]august-2026'!$C:$C,0,0)</f>
        <v>54900</v>
      </c>
      <c r="BI31">
        <f t="shared" si="128"/>
        <v>9882</v>
      </c>
      <c r="BJ31">
        <f t="shared" si="129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0"/>
        <v>72270</v>
      </c>
      <c r="BN31">
        <f>_xlfn.XLOOKUP(B31,'[6]august-2026'!$A:$A,'[6]august-2026'!$H:$H,0,0)</f>
        <v>15000</v>
      </c>
      <c r="BO31">
        <f>_xlfn.XLOOKUP(B31,'[6]august-2026'!$A:$A,'[6]august-2026'!$I:$I,0,0)</f>
        <v>0</v>
      </c>
      <c r="BP31">
        <f t="shared" si="131"/>
        <v>200</v>
      </c>
      <c r="BQ31">
        <f t="shared" si="132"/>
        <v>57070</v>
      </c>
      <c r="BR31">
        <f>_xlfn.XLOOKUP(B31,'[7]september-2026'!$A:$A,'[7]september-2026'!$C:$C,0,0)</f>
        <v>54900</v>
      </c>
      <c r="BS31">
        <f t="shared" si="133"/>
        <v>9882</v>
      </c>
      <c r="BT31">
        <f t="shared" si="134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5"/>
        <v>72270</v>
      </c>
      <c r="BX31">
        <f>_xlfn.XLOOKUP(B31,'[7]september-2026'!$A:$A,'[7]september-2026'!$H:$H,0,0)</f>
        <v>15000</v>
      </c>
      <c r="BY31">
        <f>_xlfn.XLOOKUP(B31,'[7]september-2026'!$A:$A,'[7]september-2026'!$I:$I,0,0)</f>
        <v>0</v>
      </c>
      <c r="BZ31">
        <f t="shared" si="136"/>
        <v>200</v>
      </c>
      <c r="CA31">
        <f t="shared" si="137"/>
        <v>57070</v>
      </c>
      <c r="CB31">
        <f>_xlfn.XLOOKUP(B31,'[8]october-2026'!$A:$A,'[8]october-2026'!$C:$C,0,0)</f>
        <v>54900</v>
      </c>
      <c r="CC31">
        <f t="shared" si="138"/>
        <v>9882</v>
      </c>
      <c r="CD31">
        <f t="shared" si="139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0"/>
        <v>72270</v>
      </c>
      <c r="CH31">
        <f>_xlfn.XLOOKUP(B31,'[8]october-2026'!$A:$A,'[8]october-2026'!$H:$H,0,0)</f>
        <v>15000</v>
      </c>
      <c r="CI31">
        <f>_xlfn.XLOOKUP(B31,'[8]october-2026'!$A:$A,'[8]october-2026'!$I:$I,0,0)</f>
        <v>0</v>
      </c>
      <c r="CJ31">
        <f t="shared" si="141"/>
        <v>200</v>
      </c>
      <c r="CK31">
        <f t="shared" si="142"/>
        <v>57070</v>
      </c>
      <c r="CL31">
        <f>_xlfn.XLOOKUP(B31,'[9]november-2026'!$A:$A,'[9]november-2026'!$C:$C,0,0)</f>
        <v>54900</v>
      </c>
      <c r="CM31">
        <f t="shared" si="143"/>
        <v>9882</v>
      </c>
      <c r="CN31">
        <f t="shared" si="144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5"/>
        <v>72270</v>
      </c>
      <c r="CR31">
        <f>_xlfn.XLOOKUP(B31,'[9]november-2026'!$A:$A,'[9]november-2026'!$H:$H,0,0)</f>
        <v>15000</v>
      </c>
      <c r="CS31">
        <f>_xlfn.XLOOKUP(B31,'[9]november-2026'!$A:$A,'[9]november-2026'!$I:$I,0,0)</f>
        <v>0</v>
      </c>
      <c r="CT31">
        <f t="shared" si="146"/>
        <v>200</v>
      </c>
      <c r="CU31">
        <f t="shared" si="147"/>
        <v>57070</v>
      </c>
      <c r="CV31">
        <f>_xlfn.XLOOKUP(B31,'[10]december-2026'!$A:$A,'[10]december-2026'!$C:$C,0,0)</f>
        <v>54900</v>
      </c>
      <c r="CW31">
        <f t="shared" si="148"/>
        <v>9882</v>
      </c>
      <c r="CX31">
        <f t="shared" si="149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0"/>
        <v>72270</v>
      </c>
      <c r="DB31">
        <f>_xlfn.XLOOKUP(B31,'[10]december-2026'!$A:$A,'[10]december-2026'!$H:$H,0,0)</f>
        <v>15000</v>
      </c>
      <c r="DC31">
        <f>_xlfn.XLOOKUP(B31,'[10]december-2026'!$A:$A,'[10]december-2026'!$I:$I,0,0)</f>
        <v>0</v>
      </c>
      <c r="DD31">
        <f t="shared" si="151"/>
        <v>200</v>
      </c>
      <c r="DE31">
        <f t="shared" si="152"/>
        <v>57070</v>
      </c>
      <c r="DF31">
        <f xml:space="preserve"> _xlfn.XLOOKUP(B31,
'[11]january-2027'!$A:$A,
'[11]january-2027'!$C:$C,
0,0)</f>
        <v>54900</v>
      </c>
      <c r="DG31">
        <f t="shared" si="153"/>
        <v>9882</v>
      </c>
      <c r="DH31">
        <f t="shared" si="154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5"/>
        <v>72270</v>
      </c>
      <c r="DL31">
        <f xml:space="preserve"> _xlfn.XLOOKUP(B31,
'[11]january-2027'!$A:$A,
'[11]january-2027'!$H:$H,
0,0)</f>
        <v>15000</v>
      </c>
      <c r="DM31">
        <f xml:space="preserve"> _xlfn.XLOOKUP(B31,
'[11]january-2027'!$A:$A,
'[11]january-2027'!$I:$I,
0,0)</f>
        <v>0</v>
      </c>
      <c r="DN31">
        <f t="shared" si="156"/>
        <v>200</v>
      </c>
      <c r="DO31">
        <f t="shared" si="157"/>
        <v>57070</v>
      </c>
      <c r="DP31">
        <f xml:space="preserve"> _xlfn.XLOOKUP(B31,
'[12]february-2027'!$A:$A,
'[12]february-2027'!$C:$C,
0,0)</f>
        <v>54900</v>
      </c>
      <c r="DQ31">
        <f t="shared" si="158"/>
        <v>9882</v>
      </c>
      <c r="DR31">
        <f t="shared" si="159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0"/>
        <v>72270</v>
      </c>
      <c r="DV31">
        <f xml:space="preserve"> _xlfn.XLOOKUP(B31,
'[12]february-2027'!$A:$A,
'[12]february-2027'!$H:$H,
0,0)</f>
        <v>15000</v>
      </c>
      <c r="DW31">
        <f xml:space="preserve"> _xlfn.XLOOKUP(B31,
'[12]february-2027'!$A:$A,
'[12]february-2027'!$I:$I,
0,0)</f>
        <v>0</v>
      </c>
      <c r="DX31">
        <f t="shared" si="161"/>
        <v>200</v>
      </c>
      <c r="DY31">
        <f t="shared" si="162"/>
        <v>57070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3"/>
        <v>0</v>
      </c>
      <c r="EM31">
        <f t="shared" si="164"/>
        <v>865749</v>
      </c>
      <c r="EN31">
        <f t="shared" si="165"/>
        <v>2400</v>
      </c>
      <c r="EO31">
        <f t="shared" si="166"/>
        <v>50000</v>
      </c>
      <c r="EP31">
        <v>0</v>
      </c>
      <c r="EQ31">
        <f t="shared" si="167"/>
        <v>813349</v>
      </c>
      <c r="ER31">
        <f t="shared" si="62"/>
        <v>180000</v>
      </c>
      <c r="ES31">
        <f t="shared" si="63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4"/>
        <v>180000</v>
      </c>
      <c r="FE31">
        <f t="shared" si="65"/>
        <v>150000</v>
      </c>
      <c r="FF31">
        <f t="shared" si="66"/>
        <v>663349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>SUM(FG31:FM31)+(IF(F31="YES",50000,0))</f>
        <v>0</v>
      </c>
      <c r="FO31">
        <f t="shared" si="67"/>
        <v>663349</v>
      </c>
      <c r="FP31">
        <f t="shared" si="68"/>
        <v>12500</v>
      </c>
      <c r="FQ31">
        <f t="shared" si="69"/>
        <v>32670</v>
      </c>
      <c r="FR31">
        <f t="shared" si="70"/>
        <v>45170</v>
      </c>
      <c r="FS31">
        <f t="shared" si="71"/>
        <v>45170</v>
      </c>
      <c r="FT31">
        <f t="shared" si="72"/>
        <v>1806.8</v>
      </c>
      <c r="FU31">
        <f t="shared" si="73"/>
        <v>46977</v>
      </c>
      <c r="FV31">
        <v>0</v>
      </c>
      <c r="FW31">
        <f t="shared" si="74"/>
        <v>46977</v>
      </c>
      <c r="FX31" t="b">
        <f t="shared" si="75"/>
        <v>1</v>
      </c>
      <c r="FY31">
        <f t="shared" ca="1" si="76"/>
        <v>600</v>
      </c>
      <c r="FZ31">
        <f t="shared" ca="1" si="77"/>
        <v>866349</v>
      </c>
      <c r="GA31">
        <f t="shared" si="78"/>
        <v>75000</v>
      </c>
      <c r="GB31">
        <f t="shared" ca="1" si="79"/>
        <v>791349</v>
      </c>
      <c r="GC31">
        <f t="shared" ca="1" si="80"/>
        <v>0</v>
      </c>
      <c r="GD31">
        <f t="shared" ca="1" si="81"/>
        <v>0</v>
      </c>
      <c r="GE31">
        <f t="shared" ca="1" si="82"/>
        <v>0</v>
      </c>
      <c r="GF31">
        <f t="shared" ca="1" si="83"/>
        <v>0</v>
      </c>
      <c r="GG31">
        <f t="shared" ca="1" si="84"/>
        <v>0</v>
      </c>
      <c r="GH31">
        <f t="shared" ca="1" si="85"/>
        <v>0</v>
      </c>
      <c r="GI31">
        <f ca="1">IF(GB31&gt;1200000,GB31-1200000-IF(F31="YES",50000,0)-GG31,0)</f>
        <v>0</v>
      </c>
      <c r="GJ31">
        <f t="shared" ca="1" si="86"/>
        <v>0</v>
      </c>
      <c r="GK31">
        <f t="shared" ca="1" si="87"/>
        <v>0</v>
      </c>
      <c r="GL31">
        <f t="shared" ca="1" si="88"/>
        <v>0</v>
      </c>
      <c r="GM31">
        <f t="shared" ca="1" si="89"/>
        <v>391349</v>
      </c>
      <c r="GN31">
        <f t="shared" ca="1" si="90"/>
        <v>19567.45</v>
      </c>
      <c r="GO31">
        <f t="shared" ca="1" si="91"/>
        <v>19567</v>
      </c>
      <c r="GP31">
        <f t="shared" ca="1" si="92"/>
        <v>0</v>
      </c>
      <c r="GQ31">
        <f t="shared" ca="1" si="93"/>
        <v>0</v>
      </c>
      <c r="GR31">
        <f t="shared" ca="1" si="94"/>
        <v>19567</v>
      </c>
      <c r="GS31">
        <f t="shared" ca="1" si="95"/>
        <v>0</v>
      </c>
      <c r="GT31" t="b">
        <f t="shared" ca="1" si="96"/>
        <v>0</v>
      </c>
      <c r="GU31">
        <f t="shared" ca="1" si="97"/>
        <v>0</v>
      </c>
      <c r="GV31">
        <f t="shared" ca="1" si="98"/>
        <v>19567</v>
      </c>
      <c r="GW31">
        <f t="shared" ca="1" si="99"/>
        <v>0</v>
      </c>
      <c r="GX31">
        <f t="shared" ca="1" si="100"/>
        <v>0</v>
      </c>
      <c r="GY31">
        <f t="shared" ca="1" si="101"/>
        <v>0</v>
      </c>
    </row>
    <row r="32" spans="1:207" x14ac:dyDescent="0.25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2"/>
        <v>6800</v>
      </c>
      <c r="I32">
        <f>_xlfn.XLOOKUP(B32,'[1]march-2026'!$A:$A,'[1]march-2026'!$C:$C,0,0)</f>
        <v>32500</v>
      </c>
      <c r="J32">
        <f t="shared" si="168"/>
        <v>5850</v>
      </c>
      <c r="K32">
        <f t="shared" si="104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5"/>
        <v>42750</v>
      </c>
      <c r="O32">
        <f>_xlfn.XLOOKUP(B32,'[1]march-2026'!$A:$A,'[1]march-2026'!$H:$H,0,0)</f>
        <v>4000</v>
      </c>
      <c r="P32">
        <f>_xlfn.XLOOKUP(B32,'[1]march-2026'!$A:$A,'[1]march-2026'!$I:$I,0,0)</f>
        <v>0</v>
      </c>
      <c r="Q32">
        <f t="shared" si="106"/>
        <v>200</v>
      </c>
      <c r="R32">
        <f t="shared" si="107"/>
        <v>38550</v>
      </c>
      <c r="S32">
        <f>_xlfn.XLOOKUP(B32,'[2]april-2026'!$A:$A,'[2]april-2026'!$C:$C,0,0)</f>
        <v>32500</v>
      </c>
      <c r="T32">
        <f t="shared" si="108"/>
        <v>5850</v>
      </c>
      <c r="U32">
        <f t="shared" si="109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0"/>
        <v>42750</v>
      </c>
      <c r="Y32">
        <f>_xlfn.XLOOKUP(B32,'[2]april-2026'!$A:$A,'[2]april-2026'!$H:$H,0,0)</f>
        <v>4000</v>
      </c>
      <c r="Z32">
        <f>_xlfn.XLOOKUP(B32,'[2]april-2026'!$A:$A,'[2]april-2026'!$I:$I,0,0)</f>
        <v>0</v>
      </c>
      <c r="AA32">
        <f t="shared" si="111"/>
        <v>200</v>
      </c>
      <c r="AB32">
        <f t="shared" si="112"/>
        <v>38550</v>
      </c>
      <c r="AC32">
        <f>_xlfn.XLOOKUP(B32,'[3]may-2026'!$A:$A,'[3]may-2026'!$C:$C,0,0)</f>
        <v>32500</v>
      </c>
      <c r="AD32">
        <f t="shared" si="113"/>
        <v>5850</v>
      </c>
      <c r="AE32">
        <f t="shared" si="114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5"/>
        <v>42750</v>
      </c>
      <c r="AI32">
        <f>_xlfn.XLOOKUP(B32,'[3]may-2026'!$A:$A,'[3]may-2026'!$H:$H,0,0)</f>
        <v>4000</v>
      </c>
      <c r="AJ32">
        <f>_xlfn.XLOOKUP(B32,'[3]may-2026'!$A:$A,'[3]may-2026'!$I:$I,0,0)</f>
        <v>0</v>
      </c>
      <c r="AK32">
        <f t="shared" si="116"/>
        <v>200</v>
      </c>
      <c r="AL32">
        <f t="shared" si="117"/>
        <v>38550</v>
      </c>
      <c r="AM32">
        <f>_xlfn.XLOOKUP(B32,'[4]june-2026'!$A:$A,'[4]june-2026'!$C:$C,0,0)</f>
        <v>32500</v>
      </c>
      <c r="AN32">
        <f t="shared" si="118"/>
        <v>5850</v>
      </c>
      <c r="AO32">
        <f t="shared" si="119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0"/>
        <v>42750</v>
      </c>
      <c r="AS32">
        <f>_xlfn.XLOOKUP(B32,'[4]june-2026'!$A:$A,'[4]june-2026'!$H:$H,0,0)</f>
        <v>4000</v>
      </c>
      <c r="AT32">
        <f>_xlfn.XLOOKUP(B32,'[4]june-2026'!$A:$A,'[4]june-2026'!$I:$I,0,0)</f>
        <v>0</v>
      </c>
      <c r="AU32">
        <f t="shared" si="121"/>
        <v>200</v>
      </c>
      <c r="AV32">
        <f t="shared" si="122"/>
        <v>38550</v>
      </c>
      <c r="AW32">
        <f>_xlfn.XLOOKUP(B32,'[5]july-2026'!$A:$A,'[5]july-2026'!$C:$C,0,0)</f>
        <v>33500</v>
      </c>
      <c r="AX32">
        <f t="shared" si="123"/>
        <v>6030</v>
      </c>
      <c r="AY32">
        <v>30</v>
      </c>
      <c r="AZ32">
        <f t="shared" si="124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5"/>
        <v>44080</v>
      </c>
      <c r="BD32">
        <f>_xlfn.XLOOKUP(B32,'[5]july-2026'!$A:$A,'[5]july-2026'!$H:$H,0,0)</f>
        <v>4000</v>
      </c>
      <c r="BE32">
        <f>_xlfn.XLOOKUP(B32,'[5]july-2026'!$A:$A,'[5]july-2026'!$I:$I,0,0)</f>
        <v>0</v>
      </c>
      <c r="BF32">
        <f t="shared" si="126"/>
        <v>200</v>
      </c>
      <c r="BG32">
        <f t="shared" si="127"/>
        <v>39880</v>
      </c>
      <c r="BH32">
        <f>_xlfn.XLOOKUP(B32,'[6]august-2026'!$A:$A,'[6]august-2026'!$C:$C,0,0)</f>
        <v>33500</v>
      </c>
      <c r="BI32">
        <f t="shared" si="128"/>
        <v>6030</v>
      </c>
      <c r="BJ32">
        <f t="shared" si="129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0"/>
        <v>44050</v>
      </c>
      <c r="BN32">
        <f>_xlfn.XLOOKUP(B32,'[6]august-2026'!$A:$A,'[6]august-2026'!$H:$H,0,0)</f>
        <v>4000</v>
      </c>
      <c r="BO32">
        <f>_xlfn.XLOOKUP(B32,'[6]august-2026'!$A:$A,'[6]august-2026'!$I:$I,0,0)</f>
        <v>0</v>
      </c>
      <c r="BP32">
        <f t="shared" si="131"/>
        <v>200</v>
      </c>
      <c r="BQ32">
        <f t="shared" si="132"/>
        <v>39850</v>
      </c>
      <c r="BR32">
        <f>_xlfn.XLOOKUP(B32,'[7]september-2026'!$A:$A,'[7]september-2026'!$C:$C,0,0)</f>
        <v>33500</v>
      </c>
      <c r="BS32">
        <f t="shared" si="133"/>
        <v>6030</v>
      </c>
      <c r="BT32">
        <f t="shared" si="134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5"/>
        <v>44050</v>
      </c>
      <c r="BX32">
        <f>_xlfn.XLOOKUP(B32,'[7]september-2026'!$A:$A,'[7]september-2026'!$H:$H,0,0)</f>
        <v>4000</v>
      </c>
      <c r="BY32">
        <f>_xlfn.XLOOKUP(B32,'[7]september-2026'!$A:$A,'[7]september-2026'!$I:$I,0,0)</f>
        <v>0</v>
      </c>
      <c r="BZ32">
        <f t="shared" si="136"/>
        <v>200</v>
      </c>
      <c r="CA32">
        <f t="shared" si="137"/>
        <v>39850</v>
      </c>
      <c r="CB32">
        <f>_xlfn.XLOOKUP(B32,'[8]october-2026'!$A:$A,'[8]october-2026'!$C:$C,0,0)</f>
        <v>33500</v>
      </c>
      <c r="CC32">
        <f t="shared" si="138"/>
        <v>6030</v>
      </c>
      <c r="CD32">
        <f t="shared" si="139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0"/>
        <v>44050</v>
      </c>
      <c r="CH32">
        <f>_xlfn.XLOOKUP(B32,'[8]october-2026'!$A:$A,'[8]october-2026'!$H:$H,0,0)</f>
        <v>4000</v>
      </c>
      <c r="CI32">
        <f>_xlfn.XLOOKUP(B32,'[8]october-2026'!$A:$A,'[8]october-2026'!$I:$I,0,0)</f>
        <v>0</v>
      </c>
      <c r="CJ32">
        <f t="shared" si="141"/>
        <v>200</v>
      </c>
      <c r="CK32">
        <f t="shared" si="142"/>
        <v>39850</v>
      </c>
      <c r="CL32">
        <f>_xlfn.XLOOKUP(B32,'[9]november-2026'!$A:$A,'[9]november-2026'!$C:$C,0,0)</f>
        <v>33500</v>
      </c>
      <c r="CM32">
        <f t="shared" si="143"/>
        <v>6030</v>
      </c>
      <c r="CN32">
        <f t="shared" si="144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5"/>
        <v>44050</v>
      </c>
      <c r="CR32">
        <f>_xlfn.XLOOKUP(B32,'[9]november-2026'!$A:$A,'[9]november-2026'!$H:$H,0,0)</f>
        <v>4000</v>
      </c>
      <c r="CS32">
        <f>_xlfn.XLOOKUP(B32,'[9]november-2026'!$A:$A,'[9]november-2026'!$I:$I,0,0)</f>
        <v>0</v>
      </c>
      <c r="CT32">
        <f t="shared" si="146"/>
        <v>200</v>
      </c>
      <c r="CU32">
        <f t="shared" si="147"/>
        <v>39850</v>
      </c>
      <c r="CV32">
        <f>_xlfn.XLOOKUP(B32,'[10]december-2026'!$A:$A,'[10]december-2026'!$C:$C,0,0)</f>
        <v>33500</v>
      </c>
      <c r="CW32">
        <f t="shared" si="148"/>
        <v>6030</v>
      </c>
      <c r="CX32">
        <f t="shared" si="149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0"/>
        <v>44050</v>
      </c>
      <c r="DB32">
        <f>_xlfn.XLOOKUP(B32,'[10]december-2026'!$A:$A,'[10]december-2026'!$H:$H,0,0)</f>
        <v>4000</v>
      </c>
      <c r="DC32">
        <f>_xlfn.XLOOKUP(B32,'[10]december-2026'!$A:$A,'[10]december-2026'!$I:$I,0,0)</f>
        <v>0</v>
      </c>
      <c r="DD32">
        <f t="shared" si="151"/>
        <v>200</v>
      </c>
      <c r="DE32">
        <f t="shared" si="152"/>
        <v>39850</v>
      </c>
      <c r="DF32">
        <f xml:space="preserve"> _xlfn.XLOOKUP(B32,
'[11]january-2027'!$A:$A,
'[11]january-2027'!$C:$C,
0,0)</f>
        <v>33500</v>
      </c>
      <c r="DG32">
        <f t="shared" si="153"/>
        <v>6030</v>
      </c>
      <c r="DH32">
        <f t="shared" si="154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5"/>
        <v>44050</v>
      </c>
      <c r="DL32">
        <f xml:space="preserve"> _xlfn.XLOOKUP(B32,
'[11]january-2027'!$A:$A,
'[11]january-2027'!$H:$H,
0,0)</f>
        <v>4000</v>
      </c>
      <c r="DM32">
        <f xml:space="preserve"> _xlfn.XLOOKUP(B32,
'[11]january-2027'!$A:$A,
'[11]january-2027'!$I:$I,
0,0)</f>
        <v>0</v>
      </c>
      <c r="DN32">
        <f t="shared" si="156"/>
        <v>200</v>
      </c>
      <c r="DO32">
        <f t="shared" si="157"/>
        <v>39850</v>
      </c>
      <c r="DP32">
        <f xml:space="preserve"> _xlfn.XLOOKUP(B32,
'[12]february-2027'!$A:$A,
'[12]february-2027'!$C:$C,
0,0)</f>
        <v>33500</v>
      </c>
      <c r="DQ32">
        <f t="shared" si="158"/>
        <v>6030</v>
      </c>
      <c r="DR32">
        <f t="shared" si="159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0"/>
        <v>44050</v>
      </c>
      <c r="DV32">
        <f xml:space="preserve"> _xlfn.XLOOKUP(B32,
'[12]february-2027'!$A:$A,
'[12]february-2027'!$H:$H,
0,0)</f>
        <v>4000</v>
      </c>
      <c r="DW32">
        <f xml:space="preserve"> _xlfn.XLOOKUP(B32,
'[12]february-2027'!$A:$A,
'[12]february-2027'!$I:$I,
0,0)</f>
        <v>0</v>
      </c>
      <c r="DX32">
        <f t="shared" si="161"/>
        <v>200</v>
      </c>
      <c r="DY32">
        <f t="shared" si="162"/>
        <v>39850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3"/>
        <v>0</v>
      </c>
      <c r="EM32">
        <f t="shared" si="164"/>
        <v>530230</v>
      </c>
      <c r="EN32">
        <f t="shared" si="165"/>
        <v>2400</v>
      </c>
      <c r="EO32">
        <f t="shared" si="166"/>
        <v>50000</v>
      </c>
      <c r="EP32">
        <v>0</v>
      </c>
      <c r="EQ32">
        <f t="shared" si="167"/>
        <v>477830</v>
      </c>
      <c r="ER32">
        <f t="shared" si="62"/>
        <v>48000</v>
      </c>
      <c r="ES32">
        <f t="shared" si="63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4"/>
        <v>48000</v>
      </c>
      <c r="FE32">
        <f t="shared" si="65"/>
        <v>48000</v>
      </c>
      <c r="FF32">
        <f t="shared" si="66"/>
        <v>429830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>SUM(FG32:FM32)+(IF(F32="YES",50000,0))</f>
        <v>0</v>
      </c>
      <c r="FO32">
        <f t="shared" si="67"/>
        <v>429830</v>
      </c>
      <c r="FP32">
        <f t="shared" si="68"/>
        <v>8992</v>
      </c>
      <c r="FQ32">
        <f t="shared" si="69"/>
        <v>0</v>
      </c>
      <c r="FR32">
        <f t="shared" si="70"/>
        <v>8992</v>
      </c>
      <c r="FS32">
        <f t="shared" si="71"/>
        <v>0</v>
      </c>
      <c r="FT32">
        <f t="shared" si="72"/>
        <v>0</v>
      </c>
      <c r="FU32">
        <f t="shared" si="73"/>
        <v>0</v>
      </c>
      <c r="FV32">
        <v>0</v>
      </c>
      <c r="FW32">
        <f t="shared" si="74"/>
        <v>0</v>
      </c>
      <c r="FX32" t="b">
        <f t="shared" si="75"/>
        <v>1</v>
      </c>
      <c r="FY32">
        <f t="shared" ca="1" si="76"/>
        <v>502</v>
      </c>
      <c r="FZ32">
        <f t="shared" ca="1" si="77"/>
        <v>530732</v>
      </c>
      <c r="GA32">
        <f t="shared" si="78"/>
        <v>75000</v>
      </c>
      <c r="GB32">
        <f t="shared" ca="1" si="79"/>
        <v>455732</v>
      </c>
      <c r="GC32">
        <f t="shared" ca="1" si="80"/>
        <v>0</v>
      </c>
      <c r="GD32">
        <f t="shared" ca="1" si="81"/>
        <v>0</v>
      </c>
      <c r="GE32">
        <f t="shared" ca="1" si="82"/>
        <v>0</v>
      </c>
      <c r="GF32">
        <f t="shared" ca="1" si="83"/>
        <v>0</v>
      </c>
      <c r="GG32">
        <f t="shared" ca="1" si="84"/>
        <v>0</v>
      </c>
      <c r="GH32">
        <f t="shared" ca="1" si="85"/>
        <v>0</v>
      </c>
      <c r="GI32">
        <f ca="1">IF(GB32&gt;1200000,GB32-1200000-IF(F32="YES",50000,0)-GG32,0)</f>
        <v>0</v>
      </c>
      <c r="GJ32">
        <f t="shared" ca="1" si="86"/>
        <v>0</v>
      </c>
      <c r="GK32">
        <f t="shared" ca="1" si="87"/>
        <v>0</v>
      </c>
      <c r="GL32">
        <f t="shared" ca="1" si="88"/>
        <v>0</v>
      </c>
      <c r="GM32">
        <f t="shared" ca="1" si="89"/>
        <v>55732</v>
      </c>
      <c r="GN32">
        <f t="shared" ca="1" si="90"/>
        <v>2786.6000000000004</v>
      </c>
      <c r="GO32">
        <f t="shared" ca="1" si="91"/>
        <v>2787</v>
      </c>
      <c r="GP32">
        <f t="shared" ca="1" si="92"/>
        <v>0</v>
      </c>
      <c r="GQ32">
        <f t="shared" ca="1" si="93"/>
        <v>0</v>
      </c>
      <c r="GR32">
        <f t="shared" ca="1" si="94"/>
        <v>2787</v>
      </c>
      <c r="GS32">
        <f t="shared" ca="1" si="95"/>
        <v>0</v>
      </c>
      <c r="GT32" t="b">
        <f t="shared" ca="1" si="96"/>
        <v>0</v>
      </c>
      <c r="GU32">
        <f t="shared" ca="1" si="97"/>
        <v>0</v>
      </c>
      <c r="GV32">
        <f t="shared" ca="1" si="98"/>
        <v>2787</v>
      </c>
      <c r="GW32">
        <f t="shared" ca="1" si="99"/>
        <v>0</v>
      </c>
      <c r="GX32">
        <f t="shared" ca="1" si="100"/>
        <v>0</v>
      </c>
      <c r="GY32">
        <f t="shared" ca="1" si="101"/>
        <v>0</v>
      </c>
    </row>
    <row r="33" spans="1:207" x14ac:dyDescent="0.25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2"/>
        <v>6800</v>
      </c>
      <c r="I33">
        <f>_xlfn.XLOOKUP(B33,'[1]march-2026'!$A:$A,'[1]march-2026'!$C:$C,0,0)</f>
        <v>53300</v>
      </c>
      <c r="J33">
        <f t="shared" si="168"/>
        <v>9594</v>
      </c>
      <c r="K33">
        <f t="shared" si="104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5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6"/>
        <v>200</v>
      </c>
      <c r="R33">
        <f t="shared" si="107"/>
        <v>65930</v>
      </c>
      <c r="S33">
        <f>_xlfn.XLOOKUP(B33,'[2]april-2026'!$A:$A,'[2]april-2026'!$C:$C,0,0)</f>
        <v>53300</v>
      </c>
      <c r="T33">
        <f t="shared" si="108"/>
        <v>9594</v>
      </c>
      <c r="U33">
        <f t="shared" si="109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0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1"/>
        <v>200</v>
      </c>
      <c r="AB33">
        <f t="shared" si="112"/>
        <v>65930</v>
      </c>
      <c r="AC33">
        <f>_xlfn.XLOOKUP(B33,'[3]may-2026'!$A:$A,'[3]may-2026'!$C:$C,0,0)</f>
        <v>53300</v>
      </c>
      <c r="AD33">
        <f t="shared" si="113"/>
        <v>9594</v>
      </c>
      <c r="AE33">
        <f t="shared" si="114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5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6"/>
        <v>200</v>
      </c>
      <c r="AL33">
        <f t="shared" si="117"/>
        <v>65930</v>
      </c>
      <c r="AM33">
        <f>_xlfn.XLOOKUP(B33,'[4]june-2026'!$A:$A,'[4]june-2026'!$C:$C,0,0)</f>
        <v>53300</v>
      </c>
      <c r="AN33">
        <f t="shared" si="118"/>
        <v>9594</v>
      </c>
      <c r="AO33">
        <f t="shared" si="119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0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1"/>
        <v>200</v>
      </c>
      <c r="AV33">
        <f t="shared" si="122"/>
        <v>65930</v>
      </c>
      <c r="AW33">
        <f>_xlfn.XLOOKUP(B33,'[5]july-2026'!$A:$A,'[5]july-2026'!$C:$C,0,0)</f>
        <v>54900</v>
      </c>
      <c r="AX33">
        <f t="shared" si="123"/>
        <v>9882</v>
      </c>
      <c r="AY33">
        <v>31</v>
      </c>
      <c r="AZ33">
        <f t="shared" si="124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5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6"/>
        <v>200</v>
      </c>
      <c r="BG33">
        <f t="shared" si="127"/>
        <v>68041</v>
      </c>
      <c r="BH33">
        <f>_xlfn.XLOOKUP(B33,'[6]august-2026'!$A:$A,'[6]august-2026'!$C:$C,0,0)</f>
        <v>54900</v>
      </c>
      <c r="BI33">
        <f t="shared" si="128"/>
        <v>9882</v>
      </c>
      <c r="BJ33">
        <f t="shared" si="129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0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1"/>
        <v>200</v>
      </c>
      <c r="BQ33">
        <f t="shared" si="132"/>
        <v>68010</v>
      </c>
      <c r="BR33">
        <f>_xlfn.XLOOKUP(B33,'[7]september-2026'!$A:$A,'[7]september-2026'!$C:$C,0,0)</f>
        <v>54900</v>
      </c>
      <c r="BS33">
        <f t="shared" si="133"/>
        <v>9882</v>
      </c>
      <c r="BT33">
        <f t="shared" si="134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5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6"/>
        <v>200</v>
      </c>
      <c r="CA33">
        <f t="shared" si="137"/>
        <v>68010</v>
      </c>
      <c r="CB33">
        <f>_xlfn.XLOOKUP(B33,'[8]october-2026'!$A:$A,'[8]october-2026'!$C:$C,0,0)</f>
        <v>54900</v>
      </c>
      <c r="CC33">
        <f t="shared" si="138"/>
        <v>9882</v>
      </c>
      <c r="CD33">
        <f t="shared" si="139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0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1"/>
        <v>200</v>
      </c>
      <c r="CK33">
        <f t="shared" si="142"/>
        <v>68010</v>
      </c>
      <c r="CL33">
        <f>_xlfn.XLOOKUP(B33,'[9]november-2026'!$A:$A,'[9]november-2026'!$C:$C,0,0)</f>
        <v>54900</v>
      </c>
      <c r="CM33">
        <f t="shared" si="143"/>
        <v>9882</v>
      </c>
      <c r="CN33">
        <f t="shared" si="144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5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6"/>
        <v>200</v>
      </c>
      <c r="CU33">
        <f t="shared" si="147"/>
        <v>68010</v>
      </c>
      <c r="CV33">
        <f>_xlfn.XLOOKUP(B33,'[10]december-2026'!$A:$A,'[10]december-2026'!$C:$C,0,0)</f>
        <v>54900</v>
      </c>
      <c r="CW33">
        <f t="shared" si="148"/>
        <v>9882</v>
      </c>
      <c r="CX33">
        <f t="shared" si="149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0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1"/>
        <v>200</v>
      </c>
      <c r="DE33">
        <f t="shared" si="152"/>
        <v>68010</v>
      </c>
      <c r="DF33">
        <f xml:space="preserve"> _xlfn.XLOOKUP(B33,
'[11]january-2027'!$A:$A,
'[11]january-2027'!$C:$C,
0,0)</f>
        <v>54900</v>
      </c>
      <c r="DG33">
        <f t="shared" si="153"/>
        <v>9882</v>
      </c>
      <c r="DH33">
        <f t="shared" si="154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5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6"/>
        <v>200</v>
      </c>
      <c r="DO33">
        <f t="shared" si="157"/>
        <v>68010</v>
      </c>
      <c r="DP33">
        <f xml:space="preserve"> _xlfn.XLOOKUP(B33,
'[12]february-2027'!$A:$A,
'[12]february-2027'!$C:$C,
0,0)</f>
        <v>54900</v>
      </c>
      <c r="DQ33">
        <f t="shared" si="158"/>
        <v>9882</v>
      </c>
      <c r="DR33">
        <f t="shared" si="159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0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1"/>
        <v>200</v>
      </c>
      <c r="DY33">
        <f t="shared" si="162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3"/>
        <v>0</v>
      </c>
      <c r="EM33">
        <f t="shared" si="164"/>
        <v>865751</v>
      </c>
      <c r="EN33">
        <f t="shared" si="165"/>
        <v>2400</v>
      </c>
      <c r="EO33">
        <f t="shared" si="166"/>
        <v>50000</v>
      </c>
      <c r="EP33">
        <v>0</v>
      </c>
      <c r="EQ33">
        <f t="shared" si="167"/>
        <v>813351</v>
      </c>
      <c r="ER33">
        <f t="shared" si="62"/>
        <v>48000</v>
      </c>
      <c r="ES33">
        <f t="shared" si="63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4"/>
        <v>48720</v>
      </c>
      <c r="FE33">
        <f t="shared" si="65"/>
        <v>48720</v>
      </c>
      <c r="FF33">
        <f t="shared" si="66"/>
        <v>764631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>SUM(FG33:FM33)+(IF(F33="YES",50000,0))</f>
        <v>0</v>
      </c>
      <c r="FO33">
        <f t="shared" si="67"/>
        <v>764631</v>
      </c>
      <c r="FP33">
        <f t="shared" si="68"/>
        <v>12500</v>
      </c>
      <c r="FQ33">
        <f t="shared" si="69"/>
        <v>52926</v>
      </c>
      <c r="FR33">
        <f t="shared" si="70"/>
        <v>65426</v>
      </c>
      <c r="FS33">
        <f t="shared" si="71"/>
        <v>65426</v>
      </c>
      <c r="FT33">
        <f t="shared" si="72"/>
        <v>2617.04</v>
      </c>
      <c r="FU33">
        <f t="shared" si="73"/>
        <v>68043</v>
      </c>
      <c r="FV33">
        <v>0</v>
      </c>
      <c r="FW33">
        <f t="shared" si="74"/>
        <v>68043</v>
      </c>
      <c r="FX33" t="b">
        <f t="shared" si="75"/>
        <v>1</v>
      </c>
      <c r="FY33">
        <f t="shared" ca="1" si="76"/>
        <v>577</v>
      </c>
      <c r="FZ33">
        <f t="shared" ca="1" si="77"/>
        <v>866328</v>
      </c>
      <c r="GA33">
        <f t="shared" si="78"/>
        <v>75000</v>
      </c>
      <c r="GB33">
        <f t="shared" ca="1" si="79"/>
        <v>791328</v>
      </c>
      <c r="GC33">
        <f t="shared" ca="1" si="80"/>
        <v>0</v>
      </c>
      <c r="GD33">
        <f t="shared" ca="1" si="81"/>
        <v>0</v>
      </c>
      <c r="GE33">
        <f t="shared" ca="1" si="82"/>
        <v>0</v>
      </c>
      <c r="GF33">
        <f t="shared" ca="1" si="83"/>
        <v>0</v>
      </c>
      <c r="GG33">
        <f t="shared" ca="1" si="84"/>
        <v>0</v>
      </c>
      <c r="GH33">
        <f t="shared" ca="1" si="85"/>
        <v>0</v>
      </c>
      <c r="GI33">
        <f ca="1">IF(GB33&gt;1200000,GB33-1200000-IF(F33="YES",50000,0)-GG33,0)</f>
        <v>0</v>
      </c>
      <c r="GJ33">
        <f t="shared" ca="1" si="86"/>
        <v>0</v>
      </c>
      <c r="GK33">
        <f t="shared" ca="1" si="87"/>
        <v>0</v>
      </c>
      <c r="GL33">
        <f t="shared" ca="1" si="88"/>
        <v>0</v>
      </c>
      <c r="GM33">
        <f t="shared" ca="1" si="89"/>
        <v>391328</v>
      </c>
      <c r="GN33">
        <f t="shared" ca="1" si="90"/>
        <v>19566.400000000001</v>
      </c>
      <c r="GO33">
        <f t="shared" ca="1" si="91"/>
        <v>19566</v>
      </c>
      <c r="GP33">
        <f t="shared" ca="1" si="92"/>
        <v>0</v>
      </c>
      <c r="GQ33">
        <f t="shared" ca="1" si="93"/>
        <v>0</v>
      </c>
      <c r="GR33">
        <f t="shared" ca="1" si="94"/>
        <v>19566</v>
      </c>
      <c r="GS33">
        <f t="shared" ca="1" si="95"/>
        <v>0</v>
      </c>
      <c r="GT33" t="b">
        <f t="shared" ca="1" si="96"/>
        <v>0</v>
      </c>
      <c r="GU33">
        <f t="shared" ca="1" si="97"/>
        <v>0</v>
      </c>
      <c r="GV33">
        <f t="shared" ca="1" si="98"/>
        <v>19566</v>
      </c>
      <c r="GW33">
        <f t="shared" ca="1" si="99"/>
        <v>0</v>
      </c>
      <c r="GX33">
        <f t="shared" ca="1" si="100"/>
        <v>0</v>
      </c>
      <c r="GY33">
        <f t="shared" ca="1" si="101"/>
        <v>0</v>
      </c>
    </row>
    <row r="34" spans="1:207" x14ac:dyDescent="0.25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2"/>
        <v>6800</v>
      </c>
      <c r="I34">
        <f>_xlfn.XLOOKUP(B34,'[1]march-2026'!$A:$A,'[1]march-2026'!$C:$C,0,0)</f>
        <v>29800</v>
      </c>
      <c r="J34">
        <f t="shared" si="168"/>
        <v>5364</v>
      </c>
      <c r="K34">
        <f t="shared" si="104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5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6"/>
        <v>150</v>
      </c>
      <c r="R34">
        <f t="shared" si="107"/>
        <v>37090</v>
      </c>
      <c r="S34">
        <f>_xlfn.XLOOKUP(B34,'[2]april-2026'!$A:$A,'[2]april-2026'!$C:$C,0,0)</f>
        <v>29800</v>
      </c>
      <c r="T34">
        <f t="shared" si="108"/>
        <v>5364</v>
      </c>
      <c r="U34">
        <f t="shared" si="109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0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1"/>
        <v>150</v>
      </c>
      <c r="AB34">
        <f t="shared" si="112"/>
        <v>37090</v>
      </c>
      <c r="AC34">
        <f>_xlfn.XLOOKUP(B34,'[3]may-2026'!$A:$A,'[3]may-2026'!$C:$C,0,0)</f>
        <v>29800</v>
      </c>
      <c r="AD34">
        <f t="shared" si="113"/>
        <v>5364</v>
      </c>
      <c r="AE34">
        <f t="shared" si="114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5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6"/>
        <v>150</v>
      </c>
      <c r="AL34">
        <f t="shared" si="117"/>
        <v>37090</v>
      </c>
      <c r="AM34">
        <f>_xlfn.XLOOKUP(B34,'[4]june-2026'!$A:$A,'[4]june-2026'!$C:$C,0,0)</f>
        <v>29800</v>
      </c>
      <c r="AN34">
        <f t="shared" si="118"/>
        <v>5364</v>
      </c>
      <c r="AO34">
        <f t="shared" si="119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0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1"/>
        <v>150</v>
      </c>
      <c r="AV34">
        <f t="shared" si="122"/>
        <v>37090</v>
      </c>
      <c r="AW34">
        <f>_xlfn.XLOOKUP(B34,'[5]july-2026'!$A:$A,'[5]july-2026'!$C:$C,0,0)</f>
        <v>30700</v>
      </c>
      <c r="AX34">
        <f t="shared" si="123"/>
        <v>5526</v>
      </c>
      <c r="AY34">
        <v>32</v>
      </c>
      <c r="AZ34">
        <f t="shared" si="124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5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6"/>
        <v>200</v>
      </c>
      <c r="BG34">
        <f t="shared" si="127"/>
        <v>38242</v>
      </c>
      <c r="BH34">
        <f>_xlfn.XLOOKUP(B34,'[6]august-2026'!$A:$A,'[6]august-2026'!$C:$C,0,0)</f>
        <v>30700</v>
      </c>
      <c r="BI34">
        <f t="shared" si="128"/>
        <v>5526</v>
      </c>
      <c r="BJ34">
        <f t="shared" si="129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0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1"/>
        <v>200</v>
      </c>
      <c r="BQ34">
        <f t="shared" si="132"/>
        <v>38210</v>
      </c>
      <c r="BR34">
        <f>_xlfn.XLOOKUP(B34,'[7]september-2026'!$A:$A,'[7]september-2026'!$C:$C,0,0)</f>
        <v>30700</v>
      </c>
      <c r="BS34">
        <f t="shared" si="133"/>
        <v>5526</v>
      </c>
      <c r="BT34">
        <f t="shared" si="134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5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6"/>
        <v>200</v>
      </c>
      <c r="CA34">
        <f t="shared" si="137"/>
        <v>38210</v>
      </c>
      <c r="CB34">
        <f>_xlfn.XLOOKUP(B34,'[8]october-2026'!$A:$A,'[8]october-2026'!$C:$C,0,0)</f>
        <v>30700</v>
      </c>
      <c r="CC34">
        <f t="shared" si="138"/>
        <v>5526</v>
      </c>
      <c r="CD34">
        <f t="shared" si="139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0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1"/>
        <v>200</v>
      </c>
      <c r="CK34">
        <f t="shared" si="142"/>
        <v>38210</v>
      </c>
      <c r="CL34">
        <f>_xlfn.XLOOKUP(B34,'[9]november-2026'!$A:$A,'[9]november-2026'!$C:$C,0,0)</f>
        <v>30700</v>
      </c>
      <c r="CM34">
        <f t="shared" si="143"/>
        <v>5526</v>
      </c>
      <c r="CN34">
        <f t="shared" si="144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5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6"/>
        <v>200</v>
      </c>
      <c r="CU34">
        <f t="shared" si="147"/>
        <v>38210</v>
      </c>
      <c r="CV34">
        <f>_xlfn.XLOOKUP(B34,'[10]december-2026'!$A:$A,'[10]december-2026'!$C:$C,0,0)</f>
        <v>30700</v>
      </c>
      <c r="CW34">
        <f t="shared" si="148"/>
        <v>5526</v>
      </c>
      <c r="CX34">
        <f t="shared" si="149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0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1"/>
        <v>200</v>
      </c>
      <c r="DE34">
        <f t="shared" si="152"/>
        <v>38210</v>
      </c>
      <c r="DF34">
        <f xml:space="preserve"> _xlfn.XLOOKUP(B34,
'[11]january-2027'!$A:$A,
'[11]january-2027'!$C:$C,
0,0)</f>
        <v>30700</v>
      </c>
      <c r="DG34">
        <f t="shared" si="153"/>
        <v>5526</v>
      </c>
      <c r="DH34">
        <f t="shared" si="154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5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6"/>
        <v>200</v>
      </c>
      <c r="DO34">
        <f t="shared" si="157"/>
        <v>38210</v>
      </c>
      <c r="DP34">
        <f xml:space="preserve"> _xlfn.XLOOKUP(B34,
'[12]february-2027'!$A:$A,
'[12]february-2027'!$C:$C,
0,0)</f>
        <v>30700</v>
      </c>
      <c r="DQ34">
        <f t="shared" si="158"/>
        <v>5526</v>
      </c>
      <c r="DR34">
        <f t="shared" si="159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0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1"/>
        <v>200</v>
      </c>
      <c r="DY34">
        <f t="shared" si="162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3"/>
        <v>0</v>
      </c>
      <c r="EM34">
        <f t="shared" si="164"/>
        <v>487072</v>
      </c>
      <c r="EN34">
        <f t="shared" si="165"/>
        <v>2200</v>
      </c>
      <c r="EO34">
        <f t="shared" si="166"/>
        <v>50000</v>
      </c>
      <c r="EP34">
        <v>0</v>
      </c>
      <c r="EQ34">
        <f t="shared" si="167"/>
        <v>434872</v>
      </c>
      <c r="ER34">
        <f t="shared" si="62"/>
        <v>24000</v>
      </c>
      <c r="ES34">
        <f t="shared" si="63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4"/>
        <v>24000</v>
      </c>
      <c r="FE34">
        <f t="shared" si="65"/>
        <v>24000</v>
      </c>
      <c r="FF34">
        <f t="shared" si="66"/>
        <v>410872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>SUM(FG34:FM34)+(IF(F34="YES",50000,0))</f>
        <v>0</v>
      </c>
      <c r="FO34">
        <f t="shared" si="67"/>
        <v>410872</v>
      </c>
      <c r="FP34">
        <f t="shared" si="68"/>
        <v>8044</v>
      </c>
      <c r="FQ34">
        <f t="shared" si="69"/>
        <v>0</v>
      </c>
      <c r="FR34">
        <f t="shared" si="70"/>
        <v>8044</v>
      </c>
      <c r="FS34">
        <f t="shared" si="71"/>
        <v>0</v>
      </c>
      <c r="FT34">
        <f t="shared" si="72"/>
        <v>0</v>
      </c>
      <c r="FU34">
        <f t="shared" si="73"/>
        <v>0</v>
      </c>
      <c r="FV34">
        <v>0</v>
      </c>
      <c r="FW34">
        <f t="shared" si="74"/>
        <v>0</v>
      </c>
      <c r="FX34" t="b">
        <f t="shared" si="75"/>
        <v>0</v>
      </c>
      <c r="FY34">
        <f t="shared" ca="1" si="76"/>
        <v>2623</v>
      </c>
      <c r="FZ34">
        <f t="shared" ca="1" si="77"/>
        <v>489695</v>
      </c>
      <c r="GA34">
        <f t="shared" si="78"/>
        <v>75000</v>
      </c>
      <c r="GB34">
        <f t="shared" ca="1" si="79"/>
        <v>414695</v>
      </c>
      <c r="GC34">
        <f t="shared" ca="1" si="80"/>
        <v>0</v>
      </c>
      <c r="GD34">
        <f t="shared" ca="1" si="81"/>
        <v>0</v>
      </c>
      <c r="GE34">
        <f t="shared" ca="1" si="82"/>
        <v>0</v>
      </c>
      <c r="GF34">
        <f t="shared" ca="1" si="83"/>
        <v>0</v>
      </c>
      <c r="GG34">
        <f t="shared" ca="1" si="84"/>
        <v>0</v>
      </c>
      <c r="GH34">
        <f t="shared" ca="1" si="85"/>
        <v>0</v>
      </c>
      <c r="GI34">
        <f ca="1">IF(GB34&gt;1200000,GB34-1200000-IF(F34="YES",50000,0)-GG34,0)</f>
        <v>0</v>
      </c>
      <c r="GJ34">
        <f t="shared" ca="1" si="86"/>
        <v>0</v>
      </c>
      <c r="GK34">
        <f t="shared" ca="1" si="87"/>
        <v>0</v>
      </c>
      <c r="GL34">
        <f t="shared" ca="1" si="88"/>
        <v>0</v>
      </c>
      <c r="GM34">
        <f t="shared" ca="1" si="89"/>
        <v>14695</v>
      </c>
      <c r="GN34">
        <f t="shared" ca="1" si="90"/>
        <v>734.75</v>
      </c>
      <c r="GO34">
        <f t="shared" ca="1" si="91"/>
        <v>735</v>
      </c>
      <c r="GP34">
        <f t="shared" ca="1" si="92"/>
        <v>0</v>
      </c>
      <c r="GQ34">
        <f t="shared" ca="1" si="93"/>
        <v>0</v>
      </c>
      <c r="GR34">
        <f t="shared" ca="1" si="94"/>
        <v>735</v>
      </c>
      <c r="GS34">
        <f t="shared" ca="1" si="95"/>
        <v>0</v>
      </c>
      <c r="GT34" t="b">
        <f t="shared" ca="1" si="96"/>
        <v>0</v>
      </c>
      <c r="GU34">
        <f t="shared" ca="1" si="97"/>
        <v>0</v>
      </c>
      <c r="GV34">
        <f t="shared" ca="1" si="98"/>
        <v>735</v>
      </c>
      <c r="GW34">
        <f t="shared" ca="1" si="99"/>
        <v>0</v>
      </c>
      <c r="GX34">
        <f t="shared" ca="1" si="100"/>
        <v>0</v>
      </c>
      <c r="GY34">
        <f t="shared" ca="1" si="101"/>
        <v>0</v>
      </c>
    </row>
    <row r="35" spans="1:207" x14ac:dyDescent="0.25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2"/>
        <v>6800</v>
      </c>
      <c r="I35">
        <f>_xlfn.XLOOKUP(B35,'[1]march-2026'!$A:$A,'[1]march-2026'!$C:$C,0,0)</f>
        <v>53300</v>
      </c>
      <c r="J35">
        <f t="shared" si="168"/>
        <v>9594</v>
      </c>
      <c r="K35">
        <f t="shared" si="104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5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6"/>
        <v>200</v>
      </c>
      <c r="R35">
        <f t="shared" si="107"/>
        <v>65430</v>
      </c>
      <c r="S35">
        <f>_xlfn.XLOOKUP(B35,'[2]april-2026'!$A:$A,'[2]april-2026'!$C:$C,0,0)</f>
        <v>53300</v>
      </c>
      <c r="T35">
        <f t="shared" si="108"/>
        <v>9594</v>
      </c>
      <c r="U35">
        <f t="shared" si="109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0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1"/>
        <v>200</v>
      </c>
      <c r="AB35">
        <f t="shared" si="112"/>
        <v>65430</v>
      </c>
      <c r="AC35">
        <f>_xlfn.XLOOKUP(B35,'[3]may-2026'!$A:$A,'[3]may-2026'!$C:$C,0,0)</f>
        <v>53300</v>
      </c>
      <c r="AD35">
        <f t="shared" si="113"/>
        <v>9594</v>
      </c>
      <c r="AE35">
        <f t="shared" si="114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5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6"/>
        <v>200</v>
      </c>
      <c r="AL35">
        <f t="shared" si="117"/>
        <v>65430</v>
      </c>
      <c r="AM35">
        <f>_xlfn.XLOOKUP(B35,'[4]june-2026'!$A:$A,'[4]june-2026'!$C:$C,0,0)</f>
        <v>53300</v>
      </c>
      <c r="AN35">
        <f t="shared" si="118"/>
        <v>9594</v>
      </c>
      <c r="AO35">
        <f t="shared" si="119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0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1"/>
        <v>200</v>
      </c>
      <c r="AV35">
        <f t="shared" si="122"/>
        <v>65430</v>
      </c>
      <c r="AW35">
        <f>_xlfn.XLOOKUP(B35,'[5]july-2026'!$A:$A,'[5]july-2026'!$C:$C,0,0)</f>
        <v>54900</v>
      </c>
      <c r="AX35">
        <f t="shared" si="123"/>
        <v>9882</v>
      </c>
      <c r="AY35">
        <v>33</v>
      </c>
      <c r="AZ35">
        <f t="shared" si="124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5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6"/>
        <v>200</v>
      </c>
      <c r="BG35">
        <f t="shared" si="127"/>
        <v>67543</v>
      </c>
      <c r="BH35">
        <f>_xlfn.XLOOKUP(B35,'[6]august-2026'!$A:$A,'[6]august-2026'!$C:$C,0,0)</f>
        <v>54900</v>
      </c>
      <c r="BI35">
        <f t="shared" si="128"/>
        <v>9882</v>
      </c>
      <c r="BJ35">
        <f t="shared" si="129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0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1"/>
        <v>200</v>
      </c>
      <c r="BQ35">
        <f t="shared" si="132"/>
        <v>67510</v>
      </c>
      <c r="BR35">
        <f>_xlfn.XLOOKUP(B35,'[7]september-2026'!$A:$A,'[7]september-2026'!$C:$C,0,0)</f>
        <v>54900</v>
      </c>
      <c r="BS35">
        <f t="shared" si="133"/>
        <v>9882</v>
      </c>
      <c r="BT35">
        <f t="shared" si="134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5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6"/>
        <v>200</v>
      </c>
      <c r="CA35">
        <f t="shared" si="137"/>
        <v>67510</v>
      </c>
      <c r="CB35">
        <f>_xlfn.XLOOKUP(B35,'[8]october-2026'!$A:$A,'[8]october-2026'!$C:$C,0,0)</f>
        <v>54900</v>
      </c>
      <c r="CC35">
        <f t="shared" si="138"/>
        <v>9882</v>
      </c>
      <c r="CD35">
        <f t="shared" si="139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0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1"/>
        <v>200</v>
      </c>
      <c r="CK35">
        <f t="shared" si="142"/>
        <v>67510</v>
      </c>
      <c r="CL35">
        <f>_xlfn.XLOOKUP(B35,'[9]november-2026'!$A:$A,'[9]november-2026'!$C:$C,0,0)</f>
        <v>54900</v>
      </c>
      <c r="CM35">
        <f t="shared" si="143"/>
        <v>9882</v>
      </c>
      <c r="CN35">
        <f t="shared" si="144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5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6"/>
        <v>200</v>
      </c>
      <c r="CU35">
        <f t="shared" si="147"/>
        <v>67510</v>
      </c>
      <c r="CV35">
        <f>_xlfn.XLOOKUP(B35,'[10]december-2026'!$A:$A,'[10]december-2026'!$C:$C,0,0)</f>
        <v>54900</v>
      </c>
      <c r="CW35">
        <f t="shared" si="148"/>
        <v>9882</v>
      </c>
      <c r="CX35">
        <f t="shared" si="149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0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1"/>
        <v>200</v>
      </c>
      <c r="DE35">
        <f t="shared" si="152"/>
        <v>67510</v>
      </c>
      <c r="DF35">
        <f xml:space="preserve"> _xlfn.XLOOKUP(B35,
'[11]january-2027'!$A:$A,
'[11]january-2027'!$C:$C,
0,0)</f>
        <v>54900</v>
      </c>
      <c r="DG35">
        <f t="shared" si="153"/>
        <v>9882</v>
      </c>
      <c r="DH35">
        <f t="shared" si="154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5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6"/>
        <v>200</v>
      </c>
      <c r="DO35">
        <f t="shared" si="157"/>
        <v>67510</v>
      </c>
      <c r="DP35">
        <f xml:space="preserve"> _xlfn.XLOOKUP(B35,
'[12]february-2027'!$A:$A,
'[12]february-2027'!$C:$C,
0,0)</f>
        <v>54900</v>
      </c>
      <c r="DQ35">
        <f t="shared" si="158"/>
        <v>9882</v>
      </c>
      <c r="DR35">
        <f t="shared" si="159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0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1"/>
        <v>200</v>
      </c>
      <c r="DY35">
        <f t="shared" si="162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3"/>
        <v>0</v>
      </c>
      <c r="EM35">
        <f t="shared" si="164"/>
        <v>859753</v>
      </c>
      <c r="EN35">
        <f t="shared" si="165"/>
        <v>2400</v>
      </c>
      <c r="EO35">
        <f t="shared" si="166"/>
        <v>50000</v>
      </c>
      <c r="EP35">
        <v>0</v>
      </c>
      <c r="EQ35">
        <f t="shared" si="167"/>
        <v>807353</v>
      </c>
      <c r="ER35">
        <f t="shared" si="62"/>
        <v>48000</v>
      </c>
      <c r="ES35">
        <f t="shared" si="63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4"/>
        <v>48720</v>
      </c>
      <c r="FE35">
        <f t="shared" si="65"/>
        <v>48720</v>
      </c>
      <c r="FF35">
        <f t="shared" si="66"/>
        <v>758633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>SUM(FG35:FM35)+(IF(F35="YES",50000,0))</f>
        <v>0</v>
      </c>
      <c r="FO35">
        <f t="shared" si="67"/>
        <v>758633</v>
      </c>
      <c r="FP35">
        <f t="shared" si="68"/>
        <v>12500</v>
      </c>
      <c r="FQ35">
        <f t="shared" si="69"/>
        <v>51727</v>
      </c>
      <c r="FR35">
        <f t="shared" si="70"/>
        <v>64227</v>
      </c>
      <c r="FS35">
        <f t="shared" si="71"/>
        <v>64227</v>
      </c>
      <c r="FT35">
        <f t="shared" si="72"/>
        <v>2569.08</v>
      </c>
      <c r="FU35">
        <f t="shared" si="73"/>
        <v>66796</v>
      </c>
      <c r="FV35">
        <v>0</v>
      </c>
      <c r="FW35">
        <f t="shared" si="74"/>
        <v>66796</v>
      </c>
      <c r="FX35" t="b">
        <f t="shared" si="75"/>
        <v>1</v>
      </c>
      <c r="FY35">
        <f t="shared" ca="1" si="76"/>
        <v>698</v>
      </c>
      <c r="FZ35">
        <f t="shared" ca="1" si="77"/>
        <v>860451</v>
      </c>
      <c r="GA35">
        <f t="shared" si="78"/>
        <v>75000</v>
      </c>
      <c r="GB35">
        <f t="shared" ca="1" si="79"/>
        <v>785451</v>
      </c>
      <c r="GC35">
        <f t="shared" ca="1" si="80"/>
        <v>0</v>
      </c>
      <c r="GD35">
        <f t="shared" ca="1" si="81"/>
        <v>0</v>
      </c>
      <c r="GE35">
        <f t="shared" ca="1" si="82"/>
        <v>0</v>
      </c>
      <c r="GF35">
        <f t="shared" ca="1" si="83"/>
        <v>0</v>
      </c>
      <c r="GG35">
        <f t="shared" ca="1" si="84"/>
        <v>0</v>
      </c>
      <c r="GH35">
        <f t="shared" ca="1" si="85"/>
        <v>0</v>
      </c>
      <c r="GI35">
        <f ca="1">IF(GB35&gt;1200000,GB35-1200000-IF(F35="YES",50000,0)-GG35,0)</f>
        <v>0</v>
      </c>
      <c r="GJ35">
        <f t="shared" ca="1" si="86"/>
        <v>0</v>
      </c>
      <c r="GK35">
        <f t="shared" ca="1" si="87"/>
        <v>0</v>
      </c>
      <c r="GL35">
        <f t="shared" ca="1" si="88"/>
        <v>0</v>
      </c>
      <c r="GM35">
        <f t="shared" ca="1" si="89"/>
        <v>385451</v>
      </c>
      <c r="GN35">
        <f t="shared" ca="1" si="90"/>
        <v>19272.55</v>
      </c>
      <c r="GO35">
        <f t="shared" ca="1" si="91"/>
        <v>19273</v>
      </c>
      <c r="GP35">
        <f t="shared" ca="1" si="92"/>
        <v>0</v>
      </c>
      <c r="GQ35">
        <f t="shared" ca="1" si="93"/>
        <v>0</v>
      </c>
      <c r="GR35">
        <f t="shared" ca="1" si="94"/>
        <v>19273</v>
      </c>
      <c r="GS35">
        <f t="shared" ca="1" si="95"/>
        <v>0</v>
      </c>
      <c r="GT35" t="b">
        <f t="shared" ca="1" si="96"/>
        <v>0</v>
      </c>
      <c r="GU35">
        <f t="shared" ca="1" si="97"/>
        <v>0</v>
      </c>
      <c r="GV35">
        <f t="shared" ca="1" si="98"/>
        <v>19273</v>
      </c>
      <c r="GW35">
        <f t="shared" ca="1" si="99"/>
        <v>0</v>
      </c>
      <c r="GX35">
        <f t="shared" ca="1" si="100"/>
        <v>0</v>
      </c>
      <c r="GY35">
        <f t="shared" ca="1" si="101"/>
        <v>0</v>
      </c>
    </row>
    <row r="36" spans="1:207" x14ac:dyDescent="0.25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2"/>
        <v>6800</v>
      </c>
      <c r="I36">
        <f>_xlfn.XLOOKUP(B36,'[1]march-2026'!$A:$A,'[1]march-2026'!$C:$C,0,0)</f>
        <v>35500</v>
      </c>
      <c r="J36">
        <f t="shared" si="168"/>
        <v>6390</v>
      </c>
      <c r="K36">
        <f t="shared" si="104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5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6"/>
        <v>200</v>
      </c>
      <c r="R36">
        <f t="shared" si="107"/>
        <v>43450</v>
      </c>
      <c r="S36">
        <f>_xlfn.XLOOKUP(B36,'[2]april-2026'!$A:$A,'[2]april-2026'!$C:$C,0,0)</f>
        <v>35500</v>
      </c>
      <c r="T36">
        <f t="shared" si="108"/>
        <v>6390</v>
      </c>
      <c r="U36">
        <f t="shared" si="109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0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1"/>
        <v>200</v>
      </c>
      <c r="AB36">
        <f t="shared" si="112"/>
        <v>43450</v>
      </c>
      <c r="AC36">
        <f>_xlfn.XLOOKUP(B36,'[3]may-2026'!$A:$A,'[3]may-2026'!$C:$C,0,0)</f>
        <v>35500</v>
      </c>
      <c r="AD36">
        <f t="shared" si="113"/>
        <v>6390</v>
      </c>
      <c r="AE36">
        <f t="shared" si="114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5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6"/>
        <v>200</v>
      </c>
      <c r="AL36">
        <f t="shared" si="117"/>
        <v>43450</v>
      </c>
      <c r="AM36">
        <f>_xlfn.XLOOKUP(B36,'[4]june-2026'!$A:$A,'[4]june-2026'!$C:$C,0,0)</f>
        <v>35500</v>
      </c>
      <c r="AN36">
        <f t="shared" si="118"/>
        <v>6390</v>
      </c>
      <c r="AO36">
        <f t="shared" si="119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0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1"/>
        <v>200</v>
      </c>
      <c r="AV36">
        <f t="shared" si="122"/>
        <v>43450</v>
      </c>
      <c r="AW36">
        <f>_xlfn.XLOOKUP(B36,'[5]july-2026'!$A:$A,'[5]july-2026'!$C:$C,0,0)</f>
        <v>36600</v>
      </c>
      <c r="AX36">
        <f t="shared" si="123"/>
        <v>6588</v>
      </c>
      <c r="AY36">
        <v>34</v>
      </c>
      <c r="AZ36">
        <f t="shared" si="124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5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6"/>
        <v>200</v>
      </c>
      <c r="BG36">
        <f t="shared" si="127"/>
        <v>44914</v>
      </c>
      <c r="BH36">
        <f>_xlfn.XLOOKUP(B36,'[6]august-2026'!$A:$A,'[6]august-2026'!$C:$C,0,0)</f>
        <v>36600</v>
      </c>
      <c r="BI36">
        <f t="shared" si="128"/>
        <v>6588</v>
      </c>
      <c r="BJ36">
        <f t="shared" si="129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0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1"/>
        <v>200</v>
      </c>
      <c r="BQ36">
        <f t="shared" si="132"/>
        <v>44880</v>
      </c>
      <c r="BR36">
        <f>_xlfn.XLOOKUP(B36,'[7]september-2026'!$A:$A,'[7]september-2026'!$C:$C,0,0)</f>
        <v>36600</v>
      </c>
      <c r="BS36">
        <f t="shared" si="133"/>
        <v>6588</v>
      </c>
      <c r="BT36">
        <f t="shared" si="134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5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6"/>
        <v>200</v>
      </c>
      <c r="CA36">
        <f t="shared" si="137"/>
        <v>44880</v>
      </c>
      <c r="CB36">
        <f>_xlfn.XLOOKUP(B36,'[8]october-2026'!$A:$A,'[8]october-2026'!$C:$C,0,0)</f>
        <v>36600</v>
      </c>
      <c r="CC36">
        <f t="shared" si="138"/>
        <v>6588</v>
      </c>
      <c r="CD36">
        <f t="shared" si="139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0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1"/>
        <v>200</v>
      </c>
      <c r="CK36">
        <f t="shared" si="142"/>
        <v>44880</v>
      </c>
      <c r="CL36">
        <f>_xlfn.XLOOKUP(B36,'[9]november-2026'!$A:$A,'[9]november-2026'!$C:$C,0,0)</f>
        <v>36600</v>
      </c>
      <c r="CM36">
        <f t="shared" si="143"/>
        <v>6588</v>
      </c>
      <c r="CN36">
        <f t="shared" si="144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5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6"/>
        <v>200</v>
      </c>
      <c r="CU36">
        <f t="shared" si="147"/>
        <v>44880</v>
      </c>
      <c r="CV36">
        <f>_xlfn.XLOOKUP(B36,'[10]december-2026'!$A:$A,'[10]december-2026'!$C:$C,0,0)</f>
        <v>36600</v>
      </c>
      <c r="CW36">
        <f t="shared" si="148"/>
        <v>6588</v>
      </c>
      <c r="CX36">
        <f t="shared" si="149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0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1"/>
        <v>200</v>
      </c>
      <c r="DE36">
        <f t="shared" si="152"/>
        <v>44880</v>
      </c>
      <c r="DF36">
        <f xml:space="preserve"> _xlfn.XLOOKUP(B36,
'[11]january-2027'!$A:$A,
'[11]january-2027'!$C:$C,
0,0)</f>
        <v>36600</v>
      </c>
      <c r="DG36">
        <f t="shared" si="153"/>
        <v>6588</v>
      </c>
      <c r="DH36">
        <f t="shared" si="154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5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6"/>
        <v>200</v>
      </c>
      <c r="DO36">
        <f t="shared" si="157"/>
        <v>44880</v>
      </c>
      <c r="DP36">
        <f xml:space="preserve"> _xlfn.XLOOKUP(B36,
'[12]february-2027'!$A:$A,
'[12]february-2027'!$C:$C,
0,0)</f>
        <v>36600</v>
      </c>
      <c r="DQ36">
        <f t="shared" si="158"/>
        <v>6588</v>
      </c>
      <c r="DR36">
        <f t="shared" si="159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0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1"/>
        <v>200</v>
      </c>
      <c r="DY36">
        <f t="shared" si="162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3"/>
        <v>0</v>
      </c>
      <c r="EM36">
        <f t="shared" si="164"/>
        <v>578074</v>
      </c>
      <c r="EN36">
        <f t="shared" si="165"/>
        <v>2400</v>
      </c>
      <c r="EO36">
        <f t="shared" si="166"/>
        <v>50000</v>
      </c>
      <c r="EP36">
        <v>0</v>
      </c>
      <c r="EQ36">
        <f t="shared" si="167"/>
        <v>525674</v>
      </c>
      <c r="ER36">
        <f t="shared" si="62"/>
        <v>36000</v>
      </c>
      <c r="ES36">
        <f t="shared" si="63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4"/>
        <v>36000</v>
      </c>
      <c r="FE36">
        <f t="shared" si="65"/>
        <v>36000</v>
      </c>
      <c r="FF36">
        <f t="shared" si="66"/>
        <v>489674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>SUM(FG36:FM36)+(IF(F36="YES",50000,0))</f>
        <v>0</v>
      </c>
      <c r="FO36">
        <f t="shared" si="67"/>
        <v>489674</v>
      </c>
      <c r="FP36">
        <f t="shared" si="68"/>
        <v>11984</v>
      </c>
      <c r="FQ36">
        <f t="shared" si="69"/>
        <v>0</v>
      </c>
      <c r="FR36">
        <f t="shared" si="70"/>
        <v>11984</v>
      </c>
      <c r="FS36">
        <f t="shared" si="71"/>
        <v>0</v>
      </c>
      <c r="FT36">
        <f t="shared" si="72"/>
        <v>0</v>
      </c>
      <c r="FU36">
        <f t="shared" si="73"/>
        <v>0</v>
      </c>
      <c r="FV36">
        <v>0</v>
      </c>
      <c r="FW36">
        <f t="shared" si="74"/>
        <v>0</v>
      </c>
      <c r="FX36" t="b">
        <f t="shared" si="75"/>
        <v>1</v>
      </c>
      <c r="FY36">
        <f t="shared" ca="1" si="76"/>
        <v>826</v>
      </c>
      <c r="FZ36">
        <f t="shared" ca="1" si="77"/>
        <v>578900</v>
      </c>
      <c r="GA36">
        <f t="shared" si="78"/>
        <v>75000</v>
      </c>
      <c r="GB36">
        <f t="shared" ca="1" si="79"/>
        <v>503900</v>
      </c>
      <c r="GC36">
        <f t="shared" ca="1" si="80"/>
        <v>0</v>
      </c>
      <c r="GD36">
        <f t="shared" ca="1" si="81"/>
        <v>0</v>
      </c>
      <c r="GE36">
        <f t="shared" ca="1" si="82"/>
        <v>0</v>
      </c>
      <c r="GF36">
        <f t="shared" ca="1" si="83"/>
        <v>0</v>
      </c>
      <c r="GG36">
        <f t="shared" ca="1" si="84"/>
        <v>0</v>
      </c>
      <c r="GH36">
        <f t="shared" ca="1" si="85"/>
        <v>0</v>
      </c>
      <c r="GI36">
        <f ca="1">IF(GB36&gt;1200000,GB36-1200000-IF(F36="YES",50000,0)-GG36,0)</f>
        <v>0</v>
      </c>
      <c r="GJ36">
        <f t="shared" ca="1" si="86"/>
        <v>0</v>
      </c>
      <c r="GK36">
        <f t="shared" ca="1" si="87"/>
        <v>0</v>
      </c>
      <c r="GL36">
        <f t="shared" ca="1" si="88"/>
        <v>0</v>
      </c>
      <c r="GM36">
        <f t="shared" ca="1" si="89"/>
        <v>103900</v>
      </c>
      <c r="GN36">
        <f t="shared" ca="1" si="90"/>
        <v>5195</v>
      </c>
      <c r="GO36">
        <f t="shared" ca="1" si="91"/>
        <v>5195</v>
      </c>
      <c r="GP36">
        <f t="shared" ca="1" si="92"/>
        <v>0</v>
      </c>
      <c r="GQ36">
        <f t="shared" ca="1" si="93"/>
        <v>0</v>
      </c>
      <c r="GR36">
        <f t="shared" ca="1" si="94"/>
        <v>5195</v>
      </c>
      <c r="GS36">
        <f t="shared" ca="1" si="95"/>
        <v>0</v>
      </c>
      <c r="GT36" t="b">
        <f t="shared" ca="1" si="96"/>
        <v>0</v>
      </c>
      <c r="GU36">
        <f t="shared" ca="1" si="97"/>
        <v>0</v>
      </c>
      <c r="GV36">
        <f t="shared" ca="1" si="98"/>
        <v>5195</v>
      </c>
      <c r="GW36">
        <f t="shared" ca="1" si="99"/>
        <v>0</v>
      </c>
      <c r="GX36">
        <f t="shared" ca="1" si="100"/>
        <v>0</v>
      </c>
      <c r="GY36">
        <f t="shared" ca="1" si="101"/>
        <v>0</v>
      </c>
    </row>
    <row r="37" spans="1:207" x14ac:dyDescent="0.25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2"/>
        <v>6800</v>
      </c>
      <c r="I37">
        <f>_xlfn.XLOOKUP(B37,'[1]march-2026'!$A:$A,'[1]march-2026'!$C:$C,0,0)</f>
        <v>32500</v>
      </c>
      <c r="J37">
        <f t="shared" si="168"/>
        <v>5850</v>
      </c>
      <c r="K37">
        <f t="shared" si="104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5"/>
        <v>42250</v>
      </c>
      <c r="O37">
        <f>_xlfn.XLOOKUP(B37,'[1]march-2026'!$A:$A,'[1]march-2026'!$H:$H,0,0)</f>
        <v>2000</v>
      </c>
      <c r="P37">
        <f>_xlfn.XLOOKUP(B37,'[1]march-2026'!$A:$A,'[1]march-2026'!$I:$I,0,0)</f>
        <v>0</v>
      </c>
      <c r="Q37">
        <f t="shared" si="106"/>
        <v>200</v>
      </c>
      <c r="R37">
        <f t="shared" si="107"/>
        <v>40050</v>
      </c>
      <c r="S37">
        <f>_xlfn.XLOOKUP(B37,'[2]april-2026'!$A:$A,'[2]april-2026'!$C:$C,0,0)</f>
        <v>32500</v>
      </c>
      <c r="T37">
        <f t="shared" si="108"/>
        <v>5850</v>
      </c>
      <c r="U37">
        <f t="shared" si="109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0"/>
        <v>42250</v>
      </c>
      <c r="Y37">
        <f>_xlfn.XLOOKUP(B37,'[2]april-2026'!$A:$A,'[2]april-2026'!$H:$H,0,0)</f>
        <v>2000</v>
      </c>
      <c r="Z37">
        <f>_xlfn.XLOOKUP(B37,'[2]april-2026'!$A:$A,'[2]april-2026'!$I:$I,0,0)</f>
        <v>0</v>
      </c>
      <c r="AA37">
        <f t="shared" si="111"/>
        <v>200</v>
      </c>
      <c r="AB37">
        <f t="shared" si="112"/>
        <v>40050</v>
      </c>
      <c r="AC37">
        <f>_xlfn.XLOOKUP(B37,'[3]may-2026'!$A:$A,'[3]may-2026'!$C:$C,0,0)</f>
        <v>32500</v>
      </c>
      <c r="AD37">
        <f t="shared" si="113"/>
        <v>5850</v>
      </c>
      <c r="AE37">
        <f t="shared" si="114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5"/>
        <v>42250</v>
      </c>
      <c r="AI37">
        <f>_xlfn.XLOOKUP(B37,'[3]may-2026'!$A:$A,'[3]may-2026'!$H:$H,0,0)</f>
        <v>2000</v>
      </c>
      <c r="AJ37">
        <f>_xlfn.XLOOKUP(B37,'[3]may-2026'!$A:$A,'[3]may-2026'!$I:$I,0,0)</f>
        <v>0</v>
      </c>
      <c r="AK37">
        <f t="shared" si="116"/>
        <v>200</v>
      </c>
      <c r="AL37">
        <f t="shared" si="117"/>
        <v>40050</v>
      </c>
      <c r="AM37">
        <f>_xlfn.XLOOKUP(B37,'[4]june-2026'!$A:$A,'[4]june-2026'!$C:$C,0,0)</f>
        <v>32500</v>
      </c>
      <c r="AN37">
        <f t="shared" si="118"/>
        <v>5850</v>
      </c>
      <c r="AO37">
        <f t="shared" si="119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0"/>
        <v>42250</v>
      </c>
      <c r="AS37">
        <f>_xlfn.XLOOKUP(B37,'[4]june-2026'!$A:$A,'[4]june-2026'!$H:$H,0,0)</f>
        <v>2000</v>
      </c>
      <c r="AT37">
        <f>_xlfn.XLOOKUP(B37,'[4]june-2026'!$A:$A,'[4]june-2026'!$I:$I,0,0)</f>
        <v>0</v>
      </c>
      <c r="AU37">
        <f t="shared" si="121"/>
        <v>200</v>
      </c>
      <c r="AV37">
        <f t="shared" si="122"/>
        <v>40050</v>
      </c>
      <c r="AW37">
        <f>_xlfn.XLOOKUP(B37,'[5]july-2026'!$A:$A,'[5]july-2026'!$C:$C,0,0)</f>
        <v>33500</v>
      </c>
      <c r="AX37">
        <f t="shared" si="123"/>
        <v>6030</v>
      </c>
      <c r="AY37">
        <v>35</v>
      </c>
      <c r="AZ37">
        <f t="shared" si="124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5"/>
        <v>43585</v>
      </c>
      <c r="BD37">
        <f>_xlfn.XLOOKUP(B37,'[5]july-2026'!$A:$A,'[5]july-2026'!$H:$H,0,0)</f>
        <v>2000</v>
      </c>
      <c r="BE37">
        <f>_xlfn.XLOOKUP(B37,'[5]july-2026'!$A:$A,'[5]july-2026'!$I:$I,0,0)</f>
        <v>0</v>
      </c>
      <c r="BF37">
        <f t="shared" si="126"/>
        <v>200</v>
      </c>
      <c r="BG37">
        <f t="shared" si="127"/>
        <v>41385</v>
      </c>
      <c r="BH37">
        <f>_xlfn.XLOOKUP(B37,'[6]august-2026'!$A:$A,'[6]august-2026'!$C:$C,0,0)</f>
        <v>33500</v>
      </c>
      <c r="BI37">
        <f t="shared" si="128"/>
        <v>6030</v>
      </c>
      <c r="BJ37">
        <f t="shared" si="129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0"/>
        <v>43550</v>
      </c>
      <c r="BN37">
        <f>_xlfn.XLOOKUP(B37,'[6]august-2026'!$A:$A,'[6]august-2026'!$H:$H,0,0)</f>
        <v>2000</v>
      </c>
      <c r="BO37">
        <f>_xlfn.XLOOKUP(B37,'[6]august-2026'!$A:$A,'[6]august-2026'!$I:$I,0,0)</f>
        <v>0</v>
      </c>
      <c r="BP37">
        <f t="shared" si="131"/>
        <v>200</v>
      </c>
      <c r="BQ37">
        <f t="shared" si="132"/>
        <v>41350</v>
      </c>
      <c r="BR37">
        <f>_xlfn.XLOOKUP(B37,'[7]september-2026'!$A:$A,'[7]september-2026'!$C:$C,0,0)</f>
        <v>33500</v>
      </c>
      <c r="BS37">
        <f t="shared" si="133"/>
        <v>6030</v>
      </c>
      <c r="BT37">
        <f t="shared" si="134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5"/>
        <v>43550</v>
      </c>
      <c r="BX37">
        <f>_xlfn.XLOOKUP(B37,'[7]september-2026'!$A:$A,'[7]september-2026'!$H:$H,0,0)</f>
        <v>2000</v>
      </c>
      <c r="BY37">
        <f>_xlfn.XLOOKUP(B37,'[7]september-2026'!$A:$A,'[7]september-2026'!$I:$I,0,0)</f>
        <v>0</v>
      </c>
      <c r="BZ37">
        <f t="shared" si="136"/>
        <v>200</v>
      </c>
      <c r="CA37">
        <f t="shared" si="137"/>
        <v>41350</v>
      </c>
      <c r="CB37">
        <f>_xlfn.XLOOKUP(B37,'[8]october-2026'!$A:$A,'[8]october-2026'!$C:$C,0,0)</f>
        <v>33500</v>
      </c>
      <c r="CC37">
        <f t="shared" si="138"/>
        <v>6030</v>
      </c>
      <c r="CD37">
        <f t="shared" si="139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0"/>
        <v>43550</v>
      </c>
      <c r="CH37">
        <f>_xlfn.XLOOKUP(B37,'[8]october-2026'!$A:$A,'[8]october-2026'!$H:$H,0,0)</f>
        <v>2000</v>
      </c>
      <c r="CI37">
        <f>_xlfn.XLOOKUP(B37,'[8]october-2026'!$A:$A,'[8]october-2026'!$I:$I,0,0)</f>
        <v>0</v>
      </c>
      <c r="CJ37">
        <f t="shared" si="141"/>
        <v>200</v>
      </c>
      <c r="CK37">
        <f t="shared" si="142"/>
        <v>41350</v>
      </c>
      <c r="CL37">
        <f>_xlfn.XLOOKUP(B37,'[9]november-2026'!$A:$A,'[9]november-2026'!$C:$C,0,0)</f>
        <v>33500</v>
      </c>
      <c r="CM37">
        <f t="shared" si="143"/>
        <v>6030</v>
      </c>
      <c r="CN37">
        <f t="shared" si="144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5"/>
        <v>43550</v>
      </c>
      <c r="CR37">
        <f>_xlfn.XLOOKUP(B37,'[9]november-2026'!$A:$A,'[9]november-2026'!$H:$H,0,0)</f>
        <v>2000</v>
      </c>
      <c r="CS37">
        <f>_xlfn.XLOOKUP(B37,'[9]november-2026'!$A:$A,'[9]november-2026'!$I:$I,0,0)</f>
        <v>0</v>
      </c>
      <c r="CT37">
        <f t="shared" si="146"/>
        <v>200</v>
      </c>
      <c r="CU37">
        <f t="shared" si="147"/>
        <v>41350</v>
      </c>
      <c r="CV37">
        <f>_xlfn.XLOOKUP(B37,'[10]december-2026'!$A:$A,'[10]december-2026'!$C:$C,0,0)</f>
        <v>33500</v>
      </c>
      <c r="CW37">
        <f t="shared" si="148"/>
        <v>6030</v>
      </c>
      <c r="CX37">
        <f t="shared" si="149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0"/>
        <v>43550</v>
      </c>
      <c r="DB37">
        <f>_xlfn.XLOOKUP(B37,'[10]december-2026'!$A:$A,'[10]december-2026'!$H:$H,0,0)</f>
        <v>2000</v>
      </c>
      <c r="DC37">
        <f>_xlfn.XLOOKUP(B37,'[10]december-2026'!$A:$A,'[10]december-2026'!$I:$I,0,0)</f>
        <v>0</v>
      </c>
      <c r="DD37">
        <f t="shared" si="151"/>
        <v>200</v>
      </c>
      <c r="DE37">
        <f t="shared" si="152"/>
        <v>41350</v>
      </c>
      <c r="DF37">
        <f xml:space="preserve"> _xlfn.XLOOKUP(B37,
'[11]january-2027'!$A:$A,
'[11]january-2027'!$C:$C,
0,0)</f>
        <v>33500</v>
      </c>
      <c r="DG37">
        <f t="shared" si="153"/>
        <v>6030</v>
      </c>
      <c r="DH37">
        <f t="shared" si="154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5"/>
        <v>43550</v>
      </c>
      <c r="DL37">
        <f xml:space="preserve"> _xlfn.XLOOKUP(B37,
'[11]january-2027'!$A:$A,
'[11]january-2027'!$H:$H,
0,0)</f>
        <v>2000</v>
      </c>
      <c r="DM37">
        <f xml:space="preserve"> _xlfn.XLOOKUP(B37,
'[11]january-2027'!$A:$A,
'[11]january-2027'!$I:$I,
0,0)</f>
        <v>0</v>
      </c>
      <c r="DN37">
        <f t="shared" si="156"/>
        <v>200</v>
      </c>
      <c r="DO37">
        <f t="shared" si="157"/>
        <v>41350</v>
      </c>
      <c r="DP37">
        <f xml:space="preserve"> _xlfn.XLOOKUP(B37,
'[12]february-2027'!$A:$A,
'[12]february-2027'!$C:$C,
0,0)</f>
        <v>33500</v>
      </c>
      <c r="DQ37">
        <f t="shared" si="158"/>
        <v>6030</v>
      </c>
      <c r="DR37">
        <f t="shared" si="159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0"/>
        <v>43550</v>
      </c>
      <c r="DV37">
        <f xml:space="preserve"> _xlfn.XLOOKUP(B37,
'[12]february-2027'!$A:$A,
'[12]february-2027'!$H:$H,
0,0)</f>
        <v>2000</v>
      </c>
      <c r="DW37">
        <f xml:space="preserve"> _xlfn.XLOOKUP(B37,
'[12]february-2027'!$A:$A,
'[12]february-2027'!$I:$I,
0,0)</f>
        <v>0</v>
      </c>
      <c r="DX37">
        <f t="shared" si="161"/>
        <v>200</v>
      </c>
      <c r="DY37">
        <f t="shared" si="162"/>
        <v>41350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3"/>
        <v>0</v>
      </c>
      <c r="EM37">
        <f t="shared" si="164"/>
        <v>524235</v>
      </c>
      <c r="EN37">
        <f t="shared" si="165"/>
        <v>2400</v>
      </c>
      <c r="EO37">
        <f t="shared" si="166"/>
        <v>50000</v>
      </c>
      <c r="EP37">
        <v>0</v>
      </c>
      <c r="EQ37">
        <f t="shared" si="167"/>
        <v>471835</v>
      </c>
      <c r="ER37">
        <f t="shared" si="62"/>
        <v>24000</v>
      </c>
      <c r="ES37">
        <f t="shared" si="63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4"/>
        <v>24000</v>
      </c>
      <c r="FE37">
        <f t="shared" si="65"/>
        <v>24000</v>
      </c>
      <c r="FF37">
        <f t="shared" si="66"/>
        <v>447835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>SUM(FG37:FM37)+(IF(F37="YES",50000,0))</f>
        <v>0</v>
      </c>
      <c r="FO37">
        <f t="shared" si="67"/>
        <v>447835</v>
      </c>
      <c r="FP37">
        <f t="shared" si="68"/>
        <v>9892</v>
      </c>
      <c r="FQ37">
        <f t="shared" si="69"/>
        <v>0</v>
      </c>
      <c r="FR37">
        <f t="shared" si="70"/>
        <v>9892</v>
      </c>
      <c r="FS37">
        <f t="shared" si="71"/>
        <v>0</v>
      </c>
      <c r="FT37">
        <f t="shared" si="72"/>
        <v>0</v>
      </c>
      <c r="FU37">
        <f t="shared" si="73"/>
        <v>0</v>
      </c>
      <c r="FV37">
        <v>0</v>
      </c>
      <c r="FW37">
        <f t="shared" si="74"/>
        <v>0</v>
      </c>
      <c r="FX37" t="b">
        <f t="shared" si="75"/>
        <v>1</v>
      </c>
      <c r="FY37">
        <f t="shared" ca="1" si="76"/>
        <v>967</v>
      </c>
      <c r="FZ37">
        <f t="shared" ca="1" si="77"/>
        <v>525202</v>
      </c>
      <c r="GA37">
        <f t="shared" si="78"/>
        <v>75000</v>
      </c>
      <c r="GB37">
        <f t="shared" ca="1" si="79"/>
        <v>450202</v>
      </c>
      <c r="GC37">
        <f t="shared" ca="1" si="80"/>
        <v>0</v>
      </c>
      <c r="GD37">
        <f t="shared" ca="1" si="81"/>
        <v>0</v>
      </c>
      <c r="GE37">
        <f t="shared" ca="1" si="82"/>
        <v>0</v>
      </c>
      <c r="GF37">
        <f t="shared" ca="1" si="83"/>
        <v>0</v>
      </c>
      <c r="GG37">
        <f t="shared" ca="1" si="84"/>
        <v>0</v>
      </c>
      <c r="GH37">
        <f t="shared" ca="1" si="85"/>
        <v>0</v>
      </c>
      <c r="GI37">
        <f ca="1">IF(GB37&gt;1200000,GB37-1200000-IF(F37="YES",50000,0)-GG37,0)</f>
        <v>0</v>
      </c>
      <c r="GJ37">
        <f t="shared" ca="1" si="86"/>
        <v>0</v>
      </c>
      <c r="GK37">
        <f t="shared" ca="1" si="87"/>
        <v>0</v>
      </c>
      <c r="GL37">
        <f t="shared" ca="1" si="88"/>
        <v>0</v>
      </c>
      <c r="GM37">
        <f t="shared" ca="1" si="89"/>
        <v>50202</v>
      </c>
      <c r="GN37">
        <f t="shared" ca="1" si="90"/>
        <v>2510.1000000000004</v>
      </c>
      <c r="GO37">
        <f t="shared" ca="1" si="91"/>
        <v>2510</v>
      </c>
      <c r="GP37">
        <f t="shared" ca="1" si="92"/>
        <v>0</v>
      </c>
      <c r="GQ37">
        <f t="shared" ca="1" si="93"/>
        <v>0</v>
      </c>
      <c r="GR37">
        <f t="shared" ca="1" si="94"/>
        <v>2510</v>
      </c>
      <c r="GS37">
        <f t="shared" ca="1" si="95"/>
        <v>0</v>
      </c>
      <c r="GT37" t="b">
        <f t="shared" ca="1" si="96"/>
        <v>0</v>
      </c>
      <c r="GU37">
        <f t="shared" ca="1" si="97"/>
        <v>0</v>
      </c>
      <c r="GV37">
        <f t="shared" ca="1" si="98"/>
        <v>2510</v>
      </c>
      <c r="GW37">
        <f t="shared" ca="1" si="99"/>
        <v>0</v>
      </c>
      <c r="GX37">
        <f t="shared" ca="1" si="100"/>
        <v>0</v>
      </c>
      <c r="GY37">
        <f t="shared" ca="1" si="101"/>
        <v>0</v>
      </c>
    </row>
    <row r="38" spans="1:207" x14ac:dyDescent="0.25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2"/>
        <v>6800</v>
      </c>
      <c r="I38">
        <f>_xlfn.XLOOKUP(B38,'[1]march-2026'!$A:$A,'[1]march-2026'!$C:$C,0,0)</f>
        <v>29800</v>
      </c>
      <c r="J38">
        <f t="shared" si="168"/>
        <v>5364</v>
      </c>
      <c r="K38">
        <f t="shared" si="104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5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6"/>
        <v>150</v>
      </c>
      <c r="R38">
        <f t="shared" si="107"/>
        <v>34090</v>
      </c>
      <c r="S38">
        <f>_xlfn.XLOOKUP(B38,'[2]april-2026'!$A:$A,'[2]april-2026'!$C:$C,0,0)</f>
        <v>29800</v>
      </c>
      <c r="T38">
        <f t="shared" si="108"/>
        <v>5364</v>
      </c>
      <c r="U38">
        <f t="shared" si="109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0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1"/>
        <v>150</v>
      </c>
      <c r="AB38">
        <f t="shared" si="112"/>
        <v>34090</v>
      </c>
      <c r="AC38">
        <f>_xlfn.XLOOKUP(B38,'[3]may-2026'!$A:$A,'[3]may-2026'!$C:$C,0,0)</f>
        <v>29800</v>
      </c>
      <c r="AD38">
        <f t="shared" si="113"/>
        <v>5364</v>
      </c>
      <c r="AE38">
        <f t="shared" si="114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5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6"/>
        <v>150</v>
      </c>
      <c r="AL38">
        <f t="shared" si="117"/>
        <v>34090</v>
      </c>
      <c r="AM38">
        <f>_xlfn.XLOOKUP(B38,'[4]june-2026'!$A:$A,'[4]june-2026'!$C:$C,0,0)</f>
        <v>29800</v>
      </c>
      <c r="AN38">
        <f t="shared" si="118"/>
        <v>5364</v>
      </c>
      <c r="AO38">
        <f t="shared" si="119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0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1"/>
        <v>150</v>
      </c>
      <c r="AV38">
        <f t="shared" si="122"/>
        <v>34090</v>
      </c>
      <c r="AW38">
        <f>_xlfn.XLOOKUP(B38,'[5]july-2026'!$A:$A,'[5]july-2026'!$C:$C,0,0)</f>
        <v>30700</v>
      </c>
      <c r="AX38">
        <f t="shared" si="123"/>
        <v>5526</v>
      </c>
      <c r="AY38">
        <v>36</v>
      </c>
      <c r="AZ38">
        <f t="shared" si="124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5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6"/>
        <v>200</v>
      </c>
      <c r="BG38">
        <f t="shared" si="127"/>
        <v>35246</v>
      </c>
      <c r="BH38">
        <f>_xlfn.XLOOKUP(B38,'[6]august-2026'!$A:$A,'[6]august-2026'!$C:$C,0,0)</f>
        <v>30700</v>
      </c>
      <c r="BI38">
        <f t="shared" si="128"/>
        <v>5526</v>
      </c>
      <c r="BJ38">
        <f t="shared" si="129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0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1"/>
        <v>200</v>
      </c>
      <c r="BQ38">
        <f t="shared" si="132"/>
        <v>35210</v>
      </c>
      <c r="BR38">
        <f>_xlfn.XLOOKUP(B38,'[7]september-2026'!$A:$A,'[7]september-2026'!$C:$C,0,0)</f>
        <v>30700</v>
      </c>
      <c r="BS38">
        <f t="shared" si="133"/>
        <v>5526</v>
      </c>
      <c r="BT38">
        <f t="shared" si="134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5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6"/>
        <v>200</v>
      </c>
      <c r="CA38">
        <f t="shared" si="137"/>
        <v>35210</v>
      </c>
      <c r="CB38">
        <f>_xlfn.XLOOKUP(B38,'[8]october-2026'!$A:$A,'[8]october-2026'!$C:$C,0,0)</f>
        <v>30700</v>
      </c>
      <c r="CC38">
        <f t="shared" si="138"/>
        <v>5526</v>
      </c>
      <c r="CD38">
        <f t="shared" si="139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0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1"/>
        <v>200</v>
      </c>
      <c r="CK38">
        <f t="shared" si="142"/>
        <v>35210</v>
      </c>
      <c r="CL38">
        <f>_xlfn.XLOOKUP(B38,'[9]november-2026'!$A:$A,'[9]november-2026'!$C:$C,0,0)</f>
        <v>30700</v>
      </c>
      <c r="CM38">
        <f t="shared" si="143"/>
        <v>5526</v>
      </c>
      <c r="CN38">
        <f t="shared" si="144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5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6"/>
        <v>200</v>
      </c>
      <c r="CU38">
        <f t="shared" si="147"/>
        <v>35210</v>
      </c>
      <c r="CV38">
        <f>_xlfn.XLOOKUP(B38,'[10]december-2026'!$A:$A,'[10]december-2026'!$C:$C,0,0)</f>
        <v>30700</v>
      </c>
      <c r="CW38">
        <f t="shared" si="148"/>
        <v>5526</v>
      </c>
      <c r="CX38">
        <f t="shared" si="149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0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1"/>
        <v>200</v>
      </c>
      <c r="DE38">
        <f t="shared" si="152"/>
        <v>35210</v>
      </c>
      <c r="DF38">
        <f xml:space="preserve"> _xlfn.XLOOKUP(B38,
'[11]january-2027'!$A:$A,
'[11]january-2027'!$C:$C,
0,0)</f>
        <v>30700</v>
      </c>
      <c r="DG38">
        <f t="shared" si="153"/>
        <v>5526</v>
      </c>
      <c r="DH38">
        <f t="shared" si="154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5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6"/>
        <v>200</v>
      </c>
      <c r="DO38">
        <f t="shared" si="157"/>
        <v>35210</v>
      </c>
      <c r="DP38">
        <f xml:space="preserve"> _xlfn.XLOOKUP(B38,
'[12]february-2027'!$A:$A,
'[12]february-2027'!$C:$C,
0,0)</f>
        <v>30700</v>
      </c>
      <c r="DQ38">
        <f t="shared" si="158"/>
        <v>5526</v>
      </c>
      <c r="DR38">
        <f t="shared" si="159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0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1"/>
        <v>200</v>
      </c>
      <c r="DY38">
        <f t="shared" si="162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3"/>
        <v>0</v>
      </c>
      <c r="EM38">
        <f t="shared" si="164"/>
        <v>487076</v>
      </c>
      <c r="EN38">
        <f t="shared" si="165"/>
        <v>2200</v>
      </c>
      <c r="EO38">
        <f t="shared" si="166"/>
        <v>50000</v>
      </c>
      <c r="EP38">
        <v>0</v>
      </c>
      <c r="EQ38">
        <f t="shared" si="167"/>
        <v>434876</v>
      </c>
      <c r="ER38">
        <f t="shared" si="62"/>
        <v>60000</v>
      </c>
      <c r="ES38">
        <f t="shared" si="63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4"/>
        <v>60000</v>
      </c>
      <c r="FE38">
        <f t="shared" si="65"/>
        <v>60000</v>
      </c>
      <c r="FF38">
        <f t="shared" si="66"/>
        <v>374876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>SUM(FG38:FM38)+(IF(F38="YES",50000,0))</f>
        <v>0</v>
      </c>
      <c r="FO38">
        <f t="shared" si="67"/>
        <v>374876</v>
      </c>
      <c r="FP38">
        <f t="shared" si="68"/>
        <v>6244</v>
      </c>
      <c r="FQ38">
        <f t="shared" si="69"/>
        <v>0</v>
      </c>
      <c r="FR38">
        <f t="shared" si="70"/>
        <v>6244</v>
      </c>
      <c r="FS38">
        <f t="shared" si="71"/>
        <v>0</v>
      </c>
      <c r="FT38">
        <f t="shared" si="72"/>
        <v>0</v>
      </c>
      <c r="FU38">
        <f t="shared" si="73"/>
        <v>0</v>
      </c>
      <c r="FV38">
        <v>0</v>
      </c>
      <c r="FW38">
        <f t="shared" si="74"/>
        <v>0</v>
      </c>
      <c r="FX38" t="b">
        <f t="shared" si="75"/>
        <v>0</v>
      </c>
      <c r="FY38">
        <f t="shared" ca="1" si="76"/>
        <v>1134</v>
      </c>
      <c r="FZ38">
        <f t="shared" ca="1" si="77"/>
        <v>488210</v>
      </c>
      <c r="GA38">
        <f t="shared" si="78"/>
        <v>75000</v>
      </c>
      <c r="GB38">
        <f t="shared" ca="1" si="79"/>
        <v>413210</v>
      </c>
      <c r="GC38">
        <f t="shared" ca="1" si="80"/>
        <v>0</v>
      </c>
      <c r="GD38">
        <f t="shared" ca="1" si="81"/>
        <v>0</v>
      </c>
      <c r="GE38">
        <f t="shared" ca="1" si="82"/>
        <v>0</v>
      </c>
      <c r="GF38">
        <f t="shared" ca="1" si="83"/>
        <v>0</v>
      </c>
      <c r="GG38">
        <f t="shared" ca="1" si="84"/>
        <v>0</v>
      </c>
      <c r="GH38">
        <f t="shared" ca="1" si="85"/>
        <v>0</v>
      </c>
      <c r="GI38">
        <f ca="1">IF(GB38&gt;1200000,GB38-1200000-IF(F38="YES",50000,0)-GG38,0)</f>
        <v>0</v>
      </c>
      <c r="GJ38">
        <f t="shared" ca="1" si="86"/>
        <v>0</v>
      </c>
      <c r="GK38">
        <f t="shared" ca="1" si="87"/>
        <v>0</v>
      </c>
      <c r="GL38">
        <f t="shared" ca="1" si="88"/>
        <v>0</v>
      </c>
      <c r="GM38">
        <f t="shared" ca="1" si="89"/>
        <v>13210</v>
      </c>
      <c r="GN38">
        <f t="shared" ca="1" si="90"/>
        <v>660.5</v>
      </c>
      <c r="GO38">
        <f t="shared" ca="1" si="91"/>
        <v>661</v>
      </c>
      <c r="GP38">
        <f t="shared" ca="1" si="92"/>
        <v>0</v>
      </c>
      <c r="GQ38">
        <f t="shared" ca="1" si="93"/>
        <v>0</v>
      </c>
      <c r="GR38">
        <f t="shared" ca="1" si="94"/>
        <v>661</v>
      </c>
      <c r="GS38">
        <f t="shared" ca="1" si="95"/>
        <v>0</v>
      </c>
      <c r="GT38" t="b">
        <f t="shared" ca="1" si="96"/>
        <v>0</v>
      </c>
      <c r="GU38">
        <f t="shared" ca="1" si="97"/>
        <v>0</v>
      </c>
      <c r="GV38">
        <f t="shared" ca="1" si="98"/>
        <v>661</v>
      </c>
      <c r="GW38">
        <f t="shared" ca="1" si="99"/>
        <v>0</v>
      </c>
      <c r="GX38">
        <f t="shared" ca="1" si="100"/>
        <v>0</v>
      </c>
      <c r="GY38">
        <f t="shared" ca="1" si="101"/>
        <v>0</v>
      </c>
    </row>
    <row r="39" spans="1:207" x14ac:dyDescent="0.25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2"/>
        <v>6800</v>
      </c>
      <c r="I39">
        <f>_xlfn.XLOOKUP(B39,'[1]march-2026'!$A:$A,'[1]march-2026'!$C:$C,0,0)</f>
        <v>53300</v>
      </c>
      <c r="J39">
        <f t="shared" si="168"/>
        <v>9594</v>
      </c>
      <c r="K39">
        <f t="shared" si="104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5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6"/>
        <v>200</v>
      </c>
      <c r="R39">
        <f t="shared" si="107"/>
        <v>59930</v>
      </c>
      <c r="S39">
        <f>_xlfn.XLOOKUP(B39,'[2]april-2026'!$A:$A,'[2]april-2026'!$C:$C,0,0)</f>
        <v>53300</v>
      </c>
      <c r="T39">
        <f t="shared" si="108"/>
        <v>9594</v>
      </c>
      <c r="U39">
        <f t="shared" si="109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0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1"/>
        <v>200</v>
      </c>
      <c r="AB39">
        <f t="shared" si="112"/>
        <v>59930</v>
      </c>
      <c r="AC39">
        <f>_xlfn.XLOOKUP(B39,'[3]may-2026'!$A:$A,'[3]may-2026'!$C:$C,0,0)</f>
        <v>53300</v>
      </c>
      <c r="AD39">
        <f t="shared" si="113"/>
        <v>9594</v>
      </c>
      <c r="AE39">
        <f t="shared" si="114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5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6"/>
        <v>200</v>
      </c>
      <c r="AL39">
        <f t="shared" si="117"/>
        <v>59930</v>
      </c>
      <c r="AM39">
        <f>_xlfn.XLOOKUP(B39,'[4]june-2026'!$A:$A,'[4]june-2026'!$C:$C,0,0)</f>
        <v>53300</v>
      </c>
      <c r="AN39">
        <f t="shared" si="118"/>
        <v>9594</v>
      </c>
      <c r="AO39">
        <f t="shared" si="119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0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1"/>
        <v>200</v>
      </c>
      <c r="AV39">
        <f t="shared" si="122"/>
        <v>59930</v>
      </c>
      <c r="AW39">
        <f>_xlfn.XLOOKUP(B39,'[5]july-2026'!$A:$A,'[5]july-2026'!$C:$C,0,0)</f>
        <v>54900</v>
      </c>
      <c r="AX39">
        <f t="shared" si="123"/>
        <v>9882</v>
      </c>
      <c r="AY39">
        <v>37</v>
      </c>
      <c r="AZ39">
        <f t="shared" si="124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5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6"/>
        <v>200</v>
      </c>
      <c r="BG39">
        <f t="shared" si="127"/>
        <v>62047</v>
      </c>
      <c r="BH39">
        <f>_xlfn.XLOOKUP(B39,'[6]august-2026'!$A:$A,'[6]august-2026'!$C:$C,0,0)</f>
        <v>54900</v>
      </c>
      <c r="BI39">
        <f t="shared" si="128"/>
        <v>9882</v>
      </c>
      <c r="BJ39">
        <f t="shared" si="129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0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1"/>
        <v>200</v>
      </c>
      <c r="BQ39">
        <f t="shared" si="132"/>
        <v>62010</v>
      </c>
      <c r="BR39">
        <f>_xlfn.XLOOKUP(B39,'[7]september-2026'!$A:$A,'[7]september-2026'!$C:$C,0,0)</f>
        <v>54900</v>
      </c>
      <c r="BS39">
        <f t="shared" si="133"/>
        <v>9882</v>
      </c>
      <c r="BT39">
        <f t="shared" si="134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5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6"/>
        <v>200</v>
      </c>
      <c r="CA39">
        <f t="shared" si="137"/>
        <v>62010</v>
      </c>
      <c r="CB39">
        <f>_xlfn.XLOOKUP(B39,'[8]october-2026'!$A:$A,'[8]october-2026'!$C:$C,0,0)</f>
        <v>54900</v>
      </c>
      <c r="CC39">
        <f t="shared" si="138"/>
        <v>9882</v>
      </c>
      <c r="CD39">
        <f t="shared" si="139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0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1"/>
        <v>200</v>
      </c>
      <c r="CK39">
        <f t="shared" si="142"/>
        <v>62010</v>
      </c>
      <c r="CL39">
        <f>_xlfn.XLOOKUP(B39,'[9]november-2026'!$A:$A,'[9]november-2026'!$C:$C,0,0)</f>
        <v>54900</v>
      </c>
      <c r="CM39">
        <f t="shared" si="143"/>
        <v>9882</v>
      </c>
      <c r="CN39">
        <f t="shared" si="144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5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6"/>
        <v>200</v>
      </c>
      <c r="CU39">
        <f t="shared" si="147"/>
        <v>62010</v>
      </c>
      <c r="CV39">
        <f>_xlfn.XLOOKUP(B39,'[10]december-2026'!$A:$A,'[10]december-2026'!$C:$C,0,0)</f>
        <v>54900</v>
      </c>
      <c r="CW39">
        <f t="shared" si="148"/>
        <v>9882</v>
      </c>
      <c r="CX39">
        <f t="shared" si="149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0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1"/>
        <v>200</v>
      </c>
      <c r="DE39">
        <f t="shared" si="152"/>
        <v>62010</v>
      </c>
      <c r="DF39">
        <f xml:space="preserve"> _xlfn.XLOOKUP(B39,
'[11]january-2027'!$A:$A,
'[11]january-2027'!$C:$C,
0,0)</f>
        <v>54900</v>
      </c>
      <c r="DG39">
        <f t="shared" si="153"/>
        <v>9882</v>
      </c>
      <c r="DH39">
        <f t="shared" si="154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5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6"/>
        <v>200</v>
      </c>
      <c r="DO39">
        <f t="shared" si="157"/>
        <v>62010</v>
      </c>
      <c r="DP39">
        <f xml:space="preserve"> _xlfn.XLOOKUP(B39,
'[12]february-2027'!$A:$A,
'[12]february-2027'!$C:$C,
0,0)</f>
        <v>54900</v>
      </c>
      <c r="DQ39">
        <f t="shared" si="158"/>
        <v>9882</v>
      </c>
      <c r="DR39">
        <f t="shared" si="159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0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1"/>
        <v>200</v>
      </c>
      <c r="DY39">
        <f t="shared" si="162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3"/>
        <v>0</v>
      </c>
      <c r="EM39">
        <f t="shared" si="164"/>
        <v>865757</v>
      </c>
      <c r="EN39">
        <f t="shared" si="165"/>
        <v>2400</v>
      </c>
      <c r="EO39">
        <f t="shared" si="166"/>
        <v>50000</v>
      </c>
      <c r="EP39">
        <v>0</v>
      </c>
      <c r="EQ39">
        <f t="shared" si="167"/>
        <v>813357</v>
      </c>
      <c r="ER39">
        <f t="shared" si="62"/>
        <v>120000</v>
      </c>
      <c r="ES39">
        <f t="shared" si="63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4"/>
        <v>120720</v>
      </c>
      <c r="FE39">
        <f t="shared" si="65"/>
        <v>120720</v>
      </c>
      <c r="FF39">
        <f t="shared" si="66"/>
        <v>692637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>SUM(FG39:FM39)+(IF(F39="YES",50000,0))</f>
        <v>0</v>
      </c>
      <c r="FO39">
        <f t="shared" si="67"/>
        <v>692637</v>
      </c>
      <c r="FP39">
        <f t="shared" si="68"/>
        <v>12500</v>
      </c>
      <c r="FQ39">
        <f t="shared" si="69"/>
        <v>38527</v>
      </c>
      <c r="FR39">
        <f t="shared" si="70"/>
        <v>51027</v>
      </c>
      <c r="FS39">
        <f t="shared" si="71"/>
        <v>51027</v>
      </c>
      <c r="FT39">
        <f t="shared" si="72"/>
        <v>2041.0800000000002</v>
      </c>
      <c r="FU39">
        <f t="shared" si="73"/>
        <v>53068</v>
      </c>
      <c r="FV39">
        <v>0</v>
      </c>
      <c r="FW39">
        <f t="shared" si="74"/>
        <v>53068</v>
      </c>
      <c r="FX39" t="b">
        <f t="shared" si="75"/>
        <v>1</v>
      </c>
      <c r="FY39">
        <f t="shared" ca="1" si="76"/>
        <v>833</v>
      </c>
      <c r="FZ39">
        <f t="shared" ca="1" si="77"/>
        <v>866590</v>
      </c>
      <c r="GA39">
        <f t="shared" si="78"/>
        <v>75000</v>
      </c>
      <c r="GB39">
        <f t="shared" ca="1" si="79"/>
        <v>791590</v>
      </c>
      <c r="GC39">
        <f t="shared" ca="1" si="80"/>
        <v>0</v>
      </c>
      <c r="GD39">
        <f t="shared" ca="1" si="81"/>
        <v>0</v>
      </c>
      <c r="GE39">
        <f t="shared" ca="1" si="82"/>
        <v>0</v>
      </c>
      <c r="GF39">
        <f t="shared" ca="1" si="83"/>
        <v>0</v>
      </c>
      <c r="GG39">
        <f t="shared" ca="1" si="84"/>
        <v>0</v>
      </c>
      <c r="GH39">
        <f t="shared" ca="1" si="85"/>
        <v>0</v>
      </c>
      <c r="GI39">
        <f ca="1">IF(GB39&gt;1200000,GB39-1200000-IF(F39="YES",50000,0)-GG39,0)</f>
        <v>0</v>
      </c>
      <c r="GJ39">
        <f t="shared" ca="1" si="86"/>
        <v>0</v>
      </c>
      <c r="GK39">
        <f t="shared" ca="1" si="87"/>
        <v>0</v>
      </c>
      <c r="GL39">
        <f t="shared" ca="1" si="88"/>
        <v>0</v>
      </c>
      <c r="GM39">
        <f t="shared" ca="1" si="89"/>
        <v>391590</v>
      </c>
      <c r="GN39">
        <f t="shared" ca="1" si="90"/>
        <v>19579.5</v>
      </c>
      <c r="GO39">
        <f t="shared" ca="1" si="91"/>
        <v>19580</v>
      </c>
      <c r="GP39">
        <f t="shared" ca="1" si="92"/>
        <v>0</v>
      </c>
      <c r="GQ39">
        <f t="shared" ca="1" si="93"/>
        <v>0</v>
      </c>
      <c r="GR39">
        <f t="shared" ca="1" si="94"/>
        <v>19580</v>
      </c>
      <c r="GS39">
        <f t="shared" ca="1" si="95"/>
        <v>0</v>
      </c>
      <c r="GT39" t="b">
        <f t="shared" ca="1" si="96"/>
        <v>0</v>
      </c>
      <c r="GU39">
        <f t="shared" ca="1" si="97"/>
        <v>0</v>
      </c>
      <c r="GV39">
        <f t="shared" ca="1" si="98"/>
        <v>19580</v>
      </c>
      <c r="GW39">
        <f t="shared" ca="1" si="99"/>
        <v>0</v>
      </c>
      <c r="GX39">
        <f t="shared" ca="1" si="100"/>
        <v>0</v>
      </c>
      <c r="GY39">
        <f t="shared" ca="1" si="101"/>
        <v>0</v>
      </c>
    </row>
    <row r="40" spans="1:207" x14ac:dyDescent="0.25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2"/>
        <v>6800</v>
      </c>
      <c r="I40">
        <f>_xlfn.XLOOKUP(B40,'[1]march-2026'!$A:$A,'[1]march-2026'!$C:$C,0,0)</f>
        <v>26200</v>
      </c>
      <c r="J40">
        <f t="shared" si="168"/>
        <v>4716</v>
      </c>
      <c r="K40">
        <f t="shared" si="104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5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6"/>
        <v>150</v>
      </c>
      <c r="R40">
        <f t="shared" si="107"/>
        <v>31910</v>
      </c>
      <c r="S40">
        <f>_xlfn.XLOOKUP(B40,'[2]april-2026'!$A:$A,'[2]april-2026'!$C:$C,0,0)</f>
        <v>26200</v>
      </c>
      <c r="T40">
        <f t="shared" si="108"/>
        <v>4716</v>
      </c>
      <c r="U40">
        <f t="shared" si="109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0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1"/>
        <v>150</v>
      </c>
      <c r="AB40">
        <f t="shared" si="112"/>
        <v>31910</v>
      </c>
      <c r="AC40">
        <f>_xlfn.XLOOKUP(B40,'[3]may-2026'!$A:$A,'[3]may-2026'!$C:$C,0,0)</f>
        <v>26200</v>
      </c>
      <c r="AD40">
        <f t="shared" si="113"/>
        <v>4716</v>
      </c>
      <c r="AE40">
        <f t="shared" si="114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5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6"/>
        <v>150</v>
      </c>
      <c r="AL40">
        <f t="shared" si="117"/>
        <v>31910</v>
      </c>
      <c r="AM40">
        <f>_xlfn.XLOOKUP(B40,'[4]june-2026'!$A:$A,'[4]june-2026'!$C:$C,0,0)</f>
        <v>26200</v>
      </c>
      <c r="AN40">
        <f t="shared" si="118"/>
        <v>4716</v>
      </c>
      <c r="AO40">
        <f t="shared" si="119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0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1"/>
        <v>150</v>
      </c>
      <c r="AV40">
        <f t="shared" si="122"/>
        <v>31910</v>
      </c>
      <c r="AW40">
        <f>_xlfn.XLOOKUP(B40,'[5]july-2026'!$A:$A,'[5]july-2026'!$C:$C,0,0)</f>
        <v>27000</v>
      </c>
      <c r="AX40">
        <f t="shared" si="123"/>
        <v>4860</v>
      </c>
      <c r="AY40">
        <v>38</v>
      </c>
      <c r="AZ40">
        <f t="shared" si="124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5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6"/>
        <v>150</v>
      </c>
      <c r="BG40">
        <f t="shared" si="127"/>
        <v>32988</v>
      </c>
      <c r="BH40">
        <f>_xlfn.XLOOKUP(B40,'[6]august-2026'!$A:$A,'[6]august-2026'!$C:$C,0,0)</f>
        <v>27000</v>
      </c>
      <c r="BI40">
        <f t="shared" si="128"/>
        <v>4860</v>
      </c>
      <c r="BJ40">
        <f t="shared" si="129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0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1"/>
        <v>150</v>
      </c>
      <c r="BQ40">
        <f t="shared" si="132"/>
        <v>32950</v>
      </c>
      <c r="BR40">
        <f>_xlfn.XLOOKUP(B40,'[7]september-2026'!$A:$A,'[7]september-2026'!$C:$C,0,0)</f>
        <v>27000</v>
      </c>
      <c r="BS40">
        <f t="shared" si="133"/>
        <v>4860</v>
      </c>
      <c r="BT40">
        <f t="shared" si="134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5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6"/>
        <v>150</v>
      </c>
      <c r="CA40">
        <f t="shared" si="137"/>
        <v>32950</v>
      </c>
      <c r="CB40">
        <f>_xlfn.XLOOKUP(B40,'[8]october-2026'!$A:$A,'[8]october-2026'!$C:$C,0,0)</f>
        <v>27000</v>
      </c>
      <c r="CC40">
        <f t="shared" si="138"/>
        <v>4860</v>
      </c>
      <c r="CD40">
        <f t="shared" si="139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0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1"/>
        <v>150</v>
      </c>
      <c r="CK40">
        <f t="shared" si="142"/>
        <v>32950</v>
      </c>
      <c r="CL40">
        <f>_xlfn.XLOOKUP(B40,'[9]november-2026'!$A:$A,'[9]november-2026'!$C:$C,0,0)</f>
        <v>27000</v>
      </c>
      <c r="CM40">
        <f t="shared" si="143"/>
        <v>4860</v>
      </c>
      <c r="CN40">
        <f t="shared" si="144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5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6"/>
        <v>150</v>
      </c>
      <c r="CU40">
        <f t="shared" si="147"/>
        <v>32950</v>
      </c>
      <c r="CV40">
        <f>_xlfn.XLOOKUP(B40,'[10]december-2026'!$A:$A,'[10]december-2026'!$C:$C,0,0)</f>
        <v>27000</v>
      </c>
      <c r="CW40">
        <f t="shared" si="148"/>
        <v>4860</v>
      </c>
      <c r="CX40">
        <f t="shared" si="149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0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1"/>
        <v>150</v>
      </c>
      <c r="DE40">
        <f t="shared" si="152"/>
        <v>32950</v>
      </c>
      <c r="DF40">
        <f xml:space="preserve"> _xlfn.XLOOKUP(B40,
'[11]january-2027'!$A:$A,
'[11]january-2027'!$C:$C,
0,0)</f>
        <v>27000</v>
      </c>
      <c r="DG40">
        <f t="shared" si="153"/>
        <v>4860</v>
      </c>
      <c r="DH40">
        <f t="shared" si="154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5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6"/>
        <v>150</v>
      </c>
      <c r="DO40">
        <f t="shared" si="157"/>
        <v>32950</v>
      </c>
      <c r="DP40">
        <f xml:space="preserve"> _xlfn.XLOOKUP(B40,
'[12]february-2027'!$A:$A,
'[12]february-2027'!$C:$C,
0,0)</f>
        <v>27000</v>
      </c>
      <c r="DQ40">
        <f t="shared" si="158"/>
        <v>4860</v>
      </c>
      <c r="DR40">
        <f t="shared" si="159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0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1"/>
        <v>150</v>
      </c>
      <c r="DY40">
        <f t="shared" si="162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3"/>
        <v>0</v>
      </c>
      <c r="EM40">
        <f t="shared" si="164"/>
        <v>423878</v>
      </c>
      <c r="EN40">
        <f t="shared" si="165"/>
        <v>1800</v>
      </c>
      <c r="EO40">
        <f t="shared" si="166"/>
        <v>50000</v>
      </c>
      <c r="EP40">
        <v>0</v>
      </c>
      <c r="EQ40">
        <f t="shared" si="167"/>
        <v>372078</v>
      </c>
      <c r="ER40">
        <f t="shared" si="62"/>
        <v>24000</v>
      </c>
      <c r="ES40">
        <f t="shared" si="63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4"/>
        <v>24000</v>
      </c>
      <c r="FE40">
        <f t="shared" si="65"/>
        <v>24000</v>
      </c>
      <c r="FF40">
        <f t="shared" si="66"/>
        <v>348078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>SUM(FG40:FM40)+(IF(F40="YES",50000,0))</f>
        <v>0</v>
      </c>
      <c r="FO40">
        <f t="shared" si="67"/>
        <v>348078</v>
      </c>
      <c r="FP40">
        <f t="shared" si="68"/>
        <v>4904</v>
      </c>
      <c r="FQ40">
        <f t="shared" si="69"/>
        <v>0</v>
      </c>
      <c r="FR40">
        <f t="shared" si="70"/>
        <v>4904</v>
      </c>
      <c r="FS40">
        <f t="shared" si="71"/>
        <v>0</v>
      </c>
      <c r="FT40">
        <f t="shared" si="72"/>
        <v>0</v>
      </c>
      <c r="FU40">
        <f t="shared" si="73"/>
        <v>0</v>
      </c>
      <c r="FV40">
        <v>0</v>
      </c>
      <c r="FW40">
        <f t="shared" si="74"/>
        <v>0</v>
      </c>
      <c r="FX40" t="b">
        <f t="shared" si="75"/>
        <v>0</v>
      </c>
      <c r="FY40">
        <f t="shared" ca="1" si="76"/>
        <v>1599</v>
      </c>
      <c r="FZ40">
        <f t="shared" ca="1" si="77"/>
        <v>425477</v>
      </c>
      <c r="GA40">
        <f t="shared" si="78"/>
        <v>75000</v>
      </c>
      <c r="GB40">
        <f t="shared" ca="1" si="79"/>
        <v>350477</v>
      </c>
      <c r="GC40">
        <f t="shared" ca="1" si="80"/>
        <v>0</v>
      </c>
      <c r="GD40">
        <f t="shared" ca="1" si="81"/>
        <v>0</v>
      </c>
      <c r="GE40">
        <f t="shared" ca="1" si="82"/>
        <v>0</v>
      </c>
      <c r="GF40">
        <f t="shared" ca="1" si="83"/>
        <v>0</v>
      </c>
      <c r="GG40">
        <f t="shared" ca="1" si="84"/>
        <v>0</v>
      </c>
      <c r="GH40">
        <f t="shared" ca="1" si="85"/>
        <v>0</v>
      </c>
      <c r="GI40">
        <f ca="1">IF(GB40&gt;1200000,GB40-1200000-IF(F40="YES",50000,0)-GG40,0)</f>
        <v>0</v>
      </c>
      <c r="GJ40">
        <f t="shared" ca="1" si="86"/>
        <v>0</v>
      </c>
      <c r="GK40">
        <f t="shared" ca="1" si="87"/>
        <v>0</v>
      </c>
      <c r="GL40">
        <f t="shared" ca="1" si="88"/>
        <v>0</v>
      </c>
      <c r="GM40">
        <f t="shared" ca="1" si="89"/>
        <v>0</v>
      </c>
      <c r="GN40">
        <f t="shared" ca="1" si="90"/>
        <v>0</v>
      </c>
      <c r="GO40">
        <f t="shared" ca="1" si="91"/>
        <v>0</v>
      </c>
      <c r="GP40">
        <f t="shared" ca="1" si="92"/>
        <v>0</v>
      </c>
      <c r="GQ40">
        <f t="shared" ca="1" si="93"/>
        <v>0</v>
      </c>
      <c r="GR40">
        <f t="shared" ca="1" si="94"/>
        <v>0</v>
      </c>
      <c r="GS40">
        <f t="shared" ca="1" si="95"/>
        <v>0</v>
      </c>
      <c r="GT40" t="b">
        <f t="shared" ca="1" si="96"/>
        <v>0</v>
      </c>
      <c r="GU40">
        <f t="shared" ca="1" si="97"/>
        <v>0</v>
      </c>
      <c r="GV40">
        <f t="shared" ca="1" si="98"/>
        <v>0</v>
      </c>
      <c r="GW40">
        <f t="shared" ca="1" si="99"/>
        <v>0</v>
      </c>
      <c r="GX40">
        <f t="shared" ca="1" si="100"/>
        <v>0</v>
      </c>
      <c r="GY40">
        <f t="shared" ca="1" si="101"/>
        <v>0</v>
      </c>
    </row>
    <row r="41" spans="1:207" x14ac:dyDescent="0.25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2"/>
        <v>6800</v>
      </c>
      <c r="I41">
        <f>_xlfn.XLOOKUP(B41,'[1]march-2026'!$A:$A,'[1]march-2026'!$C:$C,0,0)</f>
        <v>29800</v>
      </c>
      <c r="J41">
        <f t="shared" si="168"/>
        <v>5364</v>
      </c>
      <c r="K41">
        <f t="shared" si="104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5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6"/>
        <v>150</v>
      </c>
      <c r="R41">
        <f t="shared" si="107"/>
        <v>37090</v>
      </c>
      <c r="S41">
        <f>_xlfn.XLOOKUP(B41,'[2]april-2026'!$A:$A,'[2]april-2026'!$C:$C,0,0)</f>
        <v>29800</v>
      </c>
      <c r="T41">
        <f t="shared" si="108"/>
        <v>5364</v>
      </c>
      <c r="U41">
        <f t="shared" si="109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0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1"/>
        <v>150</v>
      </c>
      <c r="AB41">
        <f t="shared" si="112"/>
        <v>37090</v>
      </c>
      <c r="AC41">
        <f>_xlfn.XLOOKUP(B41,'[3]may-2026'!$A:$A,'[3]may-2026'!$C:$C,0,0)</f>
        <v>29800</v>
      </c>
      <c r="AD41">
        <f t="shared" si="113"/>
        <v>5364</v>
      </c>
      <c r="AE41">
        <f t="shared" si="114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5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6"/>
        <v>150</v>
      </c>
      <c r="AL41">
        <f t="shared" si="117"/>
        <v>37090</v>
      </c>
      <c r="AM41">
        <f>_xlfn.XLOOKUP(B41,'[4]june-2026'!$A:$A,'[4]june-2026'!$C:$C,0,0)</f>
        <v>29800</v>
      </c>
      <c r="AN41">
        <f t="shared" si="118"/>
        <v>5364</v>
      </c>
      <c r="AO41">
        <f t="shared" si="119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0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1"/>
        <v>150</v>
      </c>
      <c r="AV41">
        <f t="shared" si="122"/>
        <v>37090</v>
      </c>
      <c r="AW41">
        <f>_xlfn.XLOOKUP(B41,'[5]july-2026'!$A:$A,'[5]july-2026'!$C:$C,0,0)</f>
        <v>30700</v>
      </c>
      <c r="AX41">
        <f t="shared" si="123"/>
        <v>5526</v>
      </c>
      <c r="AY41">
        <v>39</v>
      </c>
      <c r="AZ41">
        <f t="shared" si="124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5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6"/>
        <v>200</v>
      </c>
      <c r="BG41">
        <f t="shared" si="127"/>
        <v>38249</v>
      </c>
      <c r="BH41">
        <f>_xlfn.XLOOKUP(B41,'[6]august-2026'!$A:$A,'[6]august-2026'!$C:$C,0,0)</f>
        <v>30700</v>
      </c>
      <c r="BI41">
        <f t="shared" si="128"/>
        <v>5526</v>
      </c>
      <c r="BJ41">
        <f t="shared" si="129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0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1"/>
        <v>200</v>
      </c>
      <c r="BQ41">
        <f t="shared" si="132"/>
        <v>38210</v>
      </c>
      <c r="BR41">
        <f>_xlfn.XLOOKUP(B41,'[7]september-2026'!$A:$A,'[7]september-2026'!$C:$C,0,0)</f>
        <v>30700</v>
      </c>
      <c r="BS41">
        <f t="shared" si="133"/>
        <v>5526</v>
      </c>
      <c r="BT41">
        <f t="shared" si="134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5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6"/>
        <v>200</v>
      </c>
      <c r="CA41">
        <f t="shared" si="137"/>
        <v>38210</v>
      </c>
      <c r="CB41">
        <f>_xlfn.XLOOKUP(B41,'[8]october-2026'!$A:$A,'[8]october-2026'!$C:$C,0,0)</f>
        <v>30700</v>
      </c>
      <c r="CC41">
        <f t="shared" si="138"/>
        <v>5526</v>
      </c>
      <c r="CD41">
        <f t="shared" si="139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0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1"/>
        <v>200</v>
      </c>
      <c r="CK41">
        <f t="shared" si="142"/>
        <v>38210</v>
      </c>
      <c r="CL41">
        <f>_xlfn.XLOOKUP(B41,'[9]november-2026'!$A:$A,'[9]november-2026'!$C:$C,0,0)</f>
        <v>30700</v>
      </c>
      <c r="CM41">
        <f t="shared" si="143"/>
        <v>5526</v>
      </c>
      <c r="CN41">
        <f t="shared" si="144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5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6"/>
        <v>200</v>
      </c>
      <c r="CU41">
        <f t="shared" si="147"/>
        <v>38210</v>
      </c>
      <c r="CV41">
        <f>_xlfn.XLOOKUP(B41,'[10]december-2026'!$A:$A,'[10]december-2026'!$C:$C,0,0)</f>
        <v>30700</v>
      </c>
      <c r="CW41">
        <f t="shared" si="148"/>
        <v>5526</v>
      </c>
      <c r="CX41">
        <f t="shared" si="149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0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1"/>
        <v>200</v>
      </c>
      <c r="DE41">
        <f t="shared" si="152"/>
        <v>38210</v>
      </c>
      <c r="DF41">
        <f xml:space="preserve"> _xlfn.XLOOKUP(B41,
'[11]january-2027'!$A:$A,
'[11]january-2027'!$C:$C,
0,0)</f>
        <v>30700</v>
      </c>
      <c r="DG41">
        <f t="shared" si="153"/>
        <v>5526</v>
      </c>
      <c r="DH41">
        <f t="shared" si="154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5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6"/>
        <v>200</v>
      </c>
      <c r="DO41">
        <f t="shared" si="157"/>
        <v>38210</v>
      </c>
      <c r="DP41">
        <f xml:space="preserve"> _xlfn.XLOOKUP(B41,
'[12]february-2027'!$A:$A,
'[12]february-2027'!$C:$C,
0,0)</f>
        <v>30700</v>
      </c>
      <c r="DQ41">
        <f t="shared" si="158"/>
        <v>5526</v>
      </c>
      <c r="DR41">
        <f t="shared" si="159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0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1"/>
        <v>200</v>
      </c>
      <c r="DY41">
        <f t="shared" si="162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3"/>
        <v>0</v>
      </c>
      <c r="EM41">
        <f t="shared" si="164"/>
        <v>487079</v>
      </c>
      <c r="EN41">
        <f t="shared" si="165"/>
        <v>2200</v>
      </c>
      <c r="EO41">
        <f t="shared" si="166"/>
        <v>50000</v>
      </c>
      <c r="EP41">
        <v>0</v>
      </c>
      <c r="EQ41">
        <f t="shared" si="167"/>
        <v>434879</v>
      </c>
      <c r="ER41">
        <f t="shared" si="62"/>
        <v>24000</v>
      </c>
      <c r="ES41">
        <f t="shared" si="63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4"/>
        <v>24000</v>
      </c>
      <c r="FE41">
        <f t="shared" si="65"/>
        <v>24000</v>
      </c>
      <c r="FF41">
        <f t="shared" si="66"/>
        <v>410879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>SUM(FG41:FM41)+(IF(F41="YES",50000,0))</f>
        <v>0</v>
      </c>
      <c r="FO41">
        <f t="shared" si="67"/>
        <v>410879</v>
      </c>
      <c r="FP41">
        <f t="shared" si="68"/>
        <v>8044</v>
      </c>
      <c r="FQ41">
        <f t="shared" si="69"/>
        <v>0</v>
      </c>
      <c r="FR41">
        <f t="shared" si="70"/>
        <v>8044</v>
      </c>
      <c r="FS41">
        <f t="shared" si="71"/>
        <v>0</v>
      </c>
      <c r="FT41">
        <f t="shared" si="72"/>
        <v>0</v>
      </c>
      <c r="FU41">
        <f t="shared" si="73"/>
        <v>0</v>
      </c>
      <c r="FV41">
        <v>0</v>
      </c>
      <c r="FW41">
        <f t="shared" si="74"/>
        <v>0</v>
      </c>
      <c r="FX41" t="b">
        <f t="shared" si="75"/>
        <v>0</v>
      </c>
      <c r="FY41">
        <f t="shared" ca="1" si="76"/>
        <v>1910</v>
      </c>
      <c r="FZ41">
        <f t="shared" ca="1" si="77"/>
        <v>488989</v>
      </c>
      <c r="GA41">
        <f t="shared" si="78"/>
        <v>75000</v>
      </c>
      <c r="GB41">
        <f t="shared" ca="1" si="79"/>
        <v>413989</v>
      </c>
      <c r="GC41">
        <f t="shared" ca="1" si="80"/>
        <v>0</v>
      </c>
      <c r="GD41">
        <f t="shared" ca="1" si="81"/>
        <v>0</v>
      </c>
      <c r="GE41">
        <f t="shared" ca="1" si="82"/>
        <v>0</v>
      </c>
      <c r="GF41">
        <f t="shared" ca="1" si="83"/>
        <v>0</v>
      </c>
      <c r="GG41">
        <f t="shared" ca="1" si="84"/>
        <v>0</v>
      </c>
      <c r="GH41">
        <f t="shared" ca="1" si="85"/>
        <v>0</v>
      </c>
      <c r="GI41">
        <f ca="1">IF(GB41&gt;1200000,GB41-1200000-IF(F41="YES",50000,0)-GG41,0)</f>
        <v>0</v>
      </c>
      <c r="GJ41">
        <f t="shared" ca="1" si="86"/>
        <v>0</v>
      </c>
      <c r="GK41">
        <f t="shared" ca="1" si="87"/>
        <v>0</v>
      </c>
      <c r="GL41">
        <f t="shared" ca="1" si="88"/>
        <v>0</v>
      </c>
      <c r="GM41">
        <f t="shared" ca="1" si="89"/>
        <v>13989</v>
      </c>
      <c r="GN41">
        <f t="shared" ca="1" si="90"/>
        <v>699.45</v>
      </c>
      <c r="GO41">
        <f t="shared" ca="1" si="91"/>
        <v>699</v>
      </c>
      <c r="GP41">
        <f t="shared" ca="1" si="92"/>
        <v>0</v>
      </c>
      <c r="GQ41">
        <f t="shared" ca="1" si="93"/>
        <v>0</v>
      </c>
      <c r="GR41">
        <f t="shared" ca="1" si="94"/>
        <v>699</v>
      </c>
      <c r="GS41">
        <f t="shared" ca="1" si="95"/>
        <v>0</v>
      </c>
      <c r="GT41" t="b">
        <f t="shared" ca="1" si="96"/>
        <v>0</v>
      </c>
      <c r="GU41">
        <f t="shared" ca="1" si="97"/>
        <v>0</v>
      </c>
      <c r="GV41">
        <f t="shared" ca="1" si="98"/>
        <v>699</v>
      </c>
      <c r="GW41">
        <f t="shared" ca="1" si="99"/>
        <v>0</v>
      </c>
      <c r="GX41">
        <f t="shared" ca="1" si="100"/>
        <v>0</v>
      </c>
      <c r="GY41">
        <f t="shared" ca="1" si="101"/>
        <v>0</v>
      </c>
    </row>
    <row r="42" spans="1:207" x14ac:dyDescent="0.25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2"/>
        <v>6800</v>
      </c>
      <c r="I42">
        <f>_xlfn.XLOOKUP(B42,'[1]march-2026'!$A:$A,'[1]march-2026'!$C:$C,0,0)</f>
        <v>57100</v>
      </c>
      <c r="J42">
        <f t="shared" si="168"/>
        <v>10278</v>
      </c>
      <c r="K42">
        <f t="shared" si="104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5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6"/>
        <v>200</v>
      </c>
      <c r="R42">
        <f t="shared" si="107"/>
        <v>69930</v>
      </c>
      <c r="S42">
        <f>_xlfn.XLOOKUP(B42,'[2]april-2026'!$A:$A,'[2]april-2026'!$C:$C,0,0)</f>
        <v>57100</v>
      </c>
      <c r="T42">
        <f t="shared" si="108"/>
        <v>10278</v>
      </c>
      <c r="U42">
        <f t="shared" si="109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0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1"/>
        <v>200</v>
      </c>
      <c r="AB42">
        <f t="shared" si="112"/>
        <v>69930</v>
      </c>
      <c r="AC42">
        <f>_xlfn.XLOOKUP(B42,'[3]may-2026'!$A:$A,'[3]may-2026'!$C:$C,0,0)</f>
        <v>57100</v>
      </c>
      <c r="AD42">
        <f t="shared" si="113"/>
        <v>10278</v>
      </c>
      <c r="AE42">
        <f t="shared" si="114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5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6"/>
        <v>200</v>
      </c>
      <c r="AL42">
        <f t="shared" si="117"/>
        <v>69930</v>
      </c>
      <c r="AM42">
        <f>_xlfn.XLOOKUP(B42,'[4]june-2026'!$A:$A,'[4]june-2026'!$C:$C,0,0)</f>
        <v>57100</v>
      </c>
      <c r="AN42">
        <f t="shared" si="118"/>
        <v>10278</v>
      </c>
      <c r="AO42">
        <f t="shared" si="119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0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1"/>
        <v>200</v>
      </c>
      <c r="AV42">
        <f t="shared" si="122"/>
        <v>69930</v>
      </c>
      <c r="AW42">
        <f>_xlfn.XLOOKUP(B42,'[5]july-2026'!$A:$A,'[5]july-2026'!$C:$C,0,0)</f>
        <v>58800</v>
      </c>
      <c r="AX42">
        <f t="shared" si="123"/>
        <v>10584</v>
      </c>
      <c r="AY42">
        <v>40</v>
      </c>
      <c r="AZ42">
        <f t="shared" si="124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5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6"/>
        <v>200</v>
      </c>
      <c r="BG42">
        <f t="shared" si="127"/>
        <v>72180</v>
      </c>
      <c r="BH42">
        <f>_xlfn.XLOOKUP(B42,'[6]august-2026'!$A:$A,'[6]august-2026'!$C:$C,0,0)</f>
        <v>58800</v>
      </c>
      <c r="BI42">
        <f t="shared" si="128"/>
        <v>10584</v>
      </c>
      <c r="BJ42">
        <f t="shared" si="129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0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1"/>
        <v>200</v>
      </c>
      <c r="BQ42">
        <f t="shared" si="132"/>
        <v>72140</v>
      </c>
      <c r="BR42">
        <f>_xlfn.XLOOKUP(B42,'[7]september-2026'!$A:$A,'[7]september-2026'!$C:$C,0,0)</f>
        <v>58800</v>
      </c>
      <c r="BS42">
        <f t="shared" si="133"/>
        <v>10584</v>
      </c>
      <c r="BT42">
        <f t="shared" si="134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5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6"/>
        <v>200</v>
      </c>
      <c r="CA42">
        <f t="shared" si="137"/>
        <v>72140</v>
      </c>
      <c r="CB42">
        <f>_xlfn.XLOOKUP(B42,'[8]october-2026'!$A:$A,'[8]october-2026'!$C:$C,0,0)</f>
        <v>58800</v>
      </c>
      <c r="CC42">
        <f t="shared" si="138"/>
        <v>10584</v>
      </c>
      <c r="CD42">
        <f t="shared" si="139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0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1"/>
        <v>200</v>
      </c>
      <c r="CK42">
        <f t="shared" si="142"/>
        <v>72140</v>
      </c>
      <c r="CL42">
        <f>_xlfn.XLOOKUP(B42,'[9]november-2026'!$A:$A,'[9]november-2026'!$C:$C,0,0)</f>
        <v>58800</v>
      </c>
      <c r="CM42">
        <f t="shared" si="143"/>
        <v>10584</v>
      </c>
      <c r="CN42">
        <f t="shared" si="144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5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6"/>
        <v>200</v>
      </c>
      <c r="CU42">
        <f t="shared" si="147"/>
        <v>72140</v>
      </c>
      <c r="CV42">
        <f>_xlfn.XLOOKUP(B42,'[10]december-2026'!$A:$A,'[10]december-2026'!$C:$C,0,0)</f>
        <v>58800</v>
      </c>
      <c r="CW42">
        <f t="shared" si="148"/>
        <v>10584</v>
      </c>
      <c r="CX42">
        <f t="shared" si="149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0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1"/>
        <v>200</v>
      </c>
      <c r="DE42">
        <f t="shared" si="152"/>
        <v>72140</v>
      </c>
      <c r="DF42">
        <f xml:space="preserve"> _xlfn.XLOOKUP(B42,
'[11]january-2027'!$A:$A,
'[11]january-2027'!$C:$C,
0,0)</f>
        <v>58800</v>
      </c>
      <c r="DG42">
        <f t="shared" si="153"/>
        <v>10584</v>
      </c>
      <c r="DH42">
        <f t="shared" si="154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5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6"/>
        <v>200</v>
      </c>
      <c r="DO42">
        <f t="shared" si="157"/>
        <v>72140</v>
      </c>
      <c r="DP42">
        <f xml:space="preserve"> _xlfn.XLOOKUP(B42,
'[12]february-2027'!$A:$A,
'[12]february-2027'!$C:$C,
0,0)</f>
        <v>58800</v>
      </c>
      <c r="DQ42">
        <f t="shared" si="158"/>
        <v>10584</v>
      </c>
      <c r="DR42">
        <f t="shared" si="159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0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1"/>
        <v>200</v>
      </c>
      <c r="DY42">
        <f t="shared" si="162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3"/>
        <v>0</v>
      </c>
      <c r="EM42">
        <f t="shared" si="164"/>
        <v>926080</v>
      </c>
      <c r="EN42">
        <f t="shared" si="165"/>
        <v>2400</v>
      </c>
      <c r="EO42">
        <f t="shared" si="166"/>
        <v>50000</v>
      </c>
      <c r="EP42">
        <v>0</v>
      </c>
      <c r="EQ42">
        <f t="shared" si="167"/>
        <v>873680</v>
      </c>
      <c r="ER42">
        <f t="shared" si="62"/>
        <v>60000</v>
      </c>
      <c r="ES42">
        <f t="shared" si="63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4"/>
        <v>60000</v>
      </c>
      <c r="FE42">
        <f t="shared" si="65"/>
        <v>60000</v>
      </c>
      <c r="FF42">
        <f t="shared" si="66"/>
        <v>813680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>SUM(FG42:FM42)+(IF(F42="YES",50000,0))</f>
        <v>0</v>
      </c>
      <c r="FO42">
        <f t="shared" si="67"/>
        <v>813680</v>
      </c>
      <c r="FP42">
        <f t="shared" si="68"/>
        <v>12500</v>
      </c>
      <c r="FQ42">
        <f t="shared" si="69"/>
        <v>62736</v>
      </c>
      <c r="FR42">
        <f t="shared" si="70"/>
        <v>75236</v>
      </c>
      <c r="FS42">
        <f t="shared" si="71"/>
        <v>75236</v>
      </c>
      <c r="FT42">
        <f t="shared" si="72"/>
        <v>3009.44</v>
      </c>
      <c r="FU42">
        <f t="shared" si="73"/>
        <v>78245</v>
      </c>
      <c r="FV42">
        <v>0</v>
      </c>
      <c r="FW42">
        <f t="shared" si="74"/>
        <v>78245</v>
      </c>
      <c r="FX42" t="b">
        <f t="shared" si="75"/>
        <v>1</v>
      </c>
      <c r="FY42">
        <f t="shared" ca="1" si="76"/>
        <v>651</v>
      </c>
      <c r="FZ42">
        <f t="shared" ca="1" si="77"/>
        <v>926731</v>
      </c>
      <c r="GA42">
        <f t="shared" si="78"/>
        <v>75000</v>
      </c>
      <c r="GB42">
        <f t="shared" ca="1" si="79"/>
        <v>851731</v>
      </c>
      <c r="GC42">
        <f t="shared" ca="1" si="80"/>
        <v>0</v>
      </c>
      <c r="GD42">
        <f t="shared" ca="1" si="81"/>
        <v>0</v>
      </c>
      <c r="GE42">
        <f t="shared" ca="1" si="82"/>
        <v>0</v>
      </c>
      <c r="GF42">
        <f t="shared" ca="1" si="83"/>
        <v>0</v>
      </c>
      <c r="GG42">
        <f t="shared" ca="1" si="84"/>
        <v>0</v>
      </c>
      <c r="GH42">
        <f t="shared" ca="1" si="85"/>
        <v>0</v>
      </c>
      <c r="GI42">
        <f ca="1">IF(GB42&gt;1200000,GB42-1200000-IF(F42="YES",50000,0)-GG42,0)</f>
        <v>0</v>
      </c>
      <c r="GJ42">
        <f t="shared" ca="1" si="86"/>
        <v>0</v>
      </c>
      <c r="GK42">
        <f t="shared" ca="1" si="87"/>
        <v>51731</v>
      </c>
      <c r="GL42">
        <f t="shared" ca="1" si="88"/>
        <v>5173.1000000000004</v>
      </c>
      <c r="GM42">
        <f t="shared" ca="1" si="89"/>
        <v>400000</v>
      </c>
      <c r="GN42">
        <f t="shared" ca="1" si="90"/>
        <v>20000</v>
      </c>
      <c r="GO42">
        <f t="shared" ca="1" si="91"/>
        <v>25173</v>
      </c>
      <c r="GP42">
        <f t="shared" ca="1" si="92"/>
        <v>0</v>
      </c>
      <c r="GQ42">
        <f t="shared" ca="1" si="93"/>
        <v>0</v>
      </c>
      <c r="GR42">
        <f t="shared" ca="1" si="94"/>
        <v>25173</v>
      </c>
      <c r="GS42">
        <f t="shared" ca="1" si="95"/>
        <v>0</v>
      </c>
      <c r="GT42" t="b">
        <f t="shared" ca="1" si="96"/>
        <v>0</v>
      </c>
      <c r="GU42">
        <f t="shared" ca="1" si="97"/>
        <v>0</v>
      </c>
      <c r="GV42">
        <f t="shared" ca="1" si="98"/>
        <v>25173</v>
      </c>
      <c r="GW42">
        <f t="shared" ca="1" si="99"/>
        <v>0</v>
      </c>
      <c r="GX42">
        <f t="shared" ca="1" si="100"/>
        <v>0</v>
      </c>
      <c r="GY42">
        <f t="shared" ca="1" si="101"/>
        <v>0</v>
      </c>
    </row>
    <row r="43" spans="1:207" x14ac:dyDescent="0.25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2"/>
        <v>6800</v>
      </c>
      <c r="I43">
        <f>_xlfn.XLOOKUP(B43,'[1]march-2026'!$A:$A,'[1]march-2026'!$C:$C,0,0)</f>
        <v>29800</v>
      </c>
      <c r="J43">
        <f t="shared" si="168"/>
        <v>5364</v>
      </c>
      <c r="K43">
        <f t="shared" si="104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5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6"/>
        <v>150</v>
      </c>
      <c r="R43">
        <f t="shared" si="107"/>
        <v>37090</v>
      </c>
      <c r="S43">
        <f>_xlfn.XLOOKUP(B43,'[2]april-2026'!$A:$A,'[2]april-2026'!$C:$C,0,0)</f>
        <v>29800</v>
      </c>
      <c r="T43">
        <f t="shared" si="108"/>
        <v>5364</v>
      </c>
      <c r="U43">
        <f t="shared" si="109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0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1"/>
        <v>150</v>
      </c>
      <c r="AB43">
        <f t="shared" si="112"/>
        <v>37090</v>
      </c>
      <c r="AC43">
        <f>_xlfn.XLOOKUP(B43,'[3]may-2026'!$A:$A,'[3]may-2026'!$C:$C,0,0)</f>
        <v>29800</v>
      </c>
      <c r="AD43">
        <f t="shared" si="113"/>
        <v>5364</v>
      </c>
      <c r="AE43">
        <f t="shared" si="114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5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6"/>
        <v>150</v>
      </c>
      <c r="AL43">
        <f t="shared" si="117"/>
        <v>37090</v>
      </c>
      <c r="AM43">
        <f>_xlfn.XLOOKUP(B43,'[4]june-2026'!$A:$A,'[4]june-2026'!$C:$C,0,0)</f>
        <v>29800</v>
      </c>
      <c r="AN43">
        <f t="shared" si="118"/>
        <v>5364</v>
      </c>
      <c r="AO43">
        <f t="shared" si="119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0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1"/>
        <v>150</v>
      </c>
      <c r="AV43">
        <f t="shared" si="122"/>
        <v>37090</v>
      </c>
      <c r="AW43">
        <f>_xlfn.XLOOKUP(B43,'[5]july-2026'!$A:$A,'[5]july-2026'!$C:$C,0,0)</f>
        <v>30700</v>
      </c>
      <c r="AX43">
        <f t="shared" si="123"/>
        <v>5526</v>
      </c>
      <c r="AY43">
        <v>41</v>
      </c>
      <c r="AZ43">
        <f t="shared" si="124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5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6"/>
        <v>200</v>
      </c>
      <c r="BG43">
        <f t="shared" si="127"/>
        <v>38251</v>
      </c>
      <c r="BH43">
        <f>_xlfn.XLOOKUP(B43,'[6]august-2026'!$A:$A,'[6]august-2026'!$C:$C,0,0)</f>
        <v>30700</v>
      </c>
      <c r="BI43">
        <f t="shared" si="128"/>
        <v>5526</v>
      </c>
      <c r="BJ43">
        <f t="shared" si="129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0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1"/>
        <v>200</v>
      </c>
      <c r="BQ43">
        <f t="shared" si="132"/>
        <v>38210</v>
      </c>
      <c r="BR43">
        <f>_xlfn.XLOOKUP(B43,'[7]september-2026'!$A:$A,'[7]september-2026'!$C:$C,0,0)</f>
        <v>30700</v>
      </c>
      <c r="BS43">
        <f t="shared" si="133"/>
        <v>5526</v>
      </c>
      <c r="BT43">
        <f t="shared" si="134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5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6"/>
        <v>200</v>
      </c>
      <c r="CA43">
        <f t="shared" si="137"/>
        <v>38210</v>
      </c>
      <c r="CB43">
        <f>_xlfn.XLOOKUP(B43,'[8]october-2026'!$A:$A,'[8]october-2026'!$C:$C,0,0)</f>
        <v>30700</v>
      </c>
      <c r="CC43">
        <f t="shared" si="138"/>
        <v>5526</v>
      </c>
      <c r="CD43">
        <f t="shared" si="139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0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1"/>
        <v>200</v>
      </c>
      <c r="CK43">
        <f t="shared" si="142"/>
        <v>38210</v>
      </c>
      <c r="CL43">
        <f>_xlfn.XLOOKUP(B43,'[9]november-2026'!$A:$A,'[9]november-2026'!$C:$C,0,0)</f>
        <v>30700</v>
      </c>
      <c r="CM43">
        <f t="shared" si="143"/>
        <v>5526</v>
      </c>
      <c r="CN43">
        <f t="shared" si="144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5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6"/>
        <v>200</v>
      </c>
      <c r="CU43">
        <f t="shared" si="147"/>
        <v>38210</v>
      </c>
      <c r="CV43">
        <f>_xlfn.XLOOKUP(B43,'[10]december-2026'!$A:$A,'[10]december-2026'!$C:$C,0,0)</f>
        <v>30700</v>
      </c>
      <c r="CW43">
        <f t="shared" si="148"/>
        <v>5526</v>
      </c>
      <c r="CX43">
        <f t="shared" si="149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0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1"/>
        <v>200</v>
      </c>
      <c r="DE43">
        <f t="shared" si="152"/>
        <v>38210</v>
      </c>
      <c r="DF43">
        <f xml:space="preserve"> _xlfn.XLOOKUP(B43,
'[11]january-2027'!$A:$A,
'[11]january-2027'!$C:$C,
0,0)</f>
        <v>30700</v>
      </c>
      <c r="DG43">
        <f t="shared" si="153"/>
        <v>5526</v>
      </c>
      <c r="DH43">
        <f t="shared" si="154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5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6"/>
        <v>200</v>
      </c>
      <c r="DO43">
        <f t="shared" si="157"/>
        <v>38210</v>
      </c>
      <c r="DP43">
        <f xml:space="preserve"> _xlfn.XLOOKUP(B43,
'[12]february-2027'!$A:$A,
'[12]february-2027'!$C:$C,
0,0)</f>
        <v>30700</v>
      </c>
      <c r="DQ43">
        <f t="shared" si="158"/>
        <v>5526</v>
      </c>
      <c r="DR43">
        <f t="shared" si="159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0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1"/>
        <v>200</v>
      </c>
      <c r="DY43">
        <f t="shared" si="162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3"/>
        <v>0</v>
      </c>
      <c r="EM43">
        <f t="shared" si="164"/>
        <v>487081</v>
      </c>
      <c r="EN43">
        <f t="shared" si="165"/>
        <v>2200</v>
      </c>
      <c r="EO43">
        <f t="shared" si="166"/>
        <v>50000</v>
      </c>
      <c r="EP43">
        <v>0</v>
      </c>
      <c r="EQ43">
        <f t="shared" si="167"/>
        <v>434881</v>
      </c>
      <c r="ER43">
        <f t="shared" si="62"/>
        <v>24000</v>
      </c>
      <c r="ES43">
        <f t="shared" si="63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4"/>
        <v>24000</v>
      </c>
      <c r="FE43">
        <f t="shared" si="65"/>
        <v>24000</v>
      </c>
      <c r="FF43">
        <f t="shared" si="66"/>
        <v>410881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>SUM(FG43:FM43)+(IF(F43="YES",50000,0))</f>
        <v>0</v>
      </c>
      <c r="FO43">
        <f t="shared" si="67"/>
        <v>410881</v>
      </c>
      <c r="FP43">
        <f t="shared" si="68"/>
        <v>8044</v>
      </c>
      <c r="FQ43">
        <f t="shared" si="69"/>
        <v>0</v>
      </c>
      <c r="FR43">
        <f t="shared" si="70"/>
        <v>8044</v>
      </c>
      <c r="FS43">
        <f t="shared" si="71"/>
        <v>0</v>
      </c>
      <c r="FT43">
        <f t="shared" si="72"/>
        <v>0</v>
      </c>
      <c r="FU43">
        <f t="shared" si="73"/>
        <v>0</v>
      </c>
      <c r="FV43">
        <v>0</v>
      </c>
      <c r="FW43">
        <f t="shared" si="74"/>
        <v>0</v>
      </c>
      <c r="FX43" t="b">
        <f t="shared" si="75"/>
        <v>0</v>
      </c>
      <c r="FY43">
        <f t="shared" ca="1" si="76"/>
        <v>1000</v>
      </c>
      <c r="FZ43">
        <f t="shared" ca="1" si="77"/>
        <v>488081</v>
      </c>
      <c r="GA43">
        <f t="shared" si="78"/>
        <v>75000</v>
      </c>
      <c r="GB43">
        <f t="shared" ca="1" si="79"/>
        <v>413081</v>
      </c>
      <c r="GC43">
        <f t="shared" ca="1" si="80"/>
        <v>0</v>
      </c>
      <c r="GD43">
        <f t="shared" ca="1" si="81"/>
        <v>0</v>
      </c>
      <c r="GE43">
        <f t="shared" ca="1" si="82"/>
        <v>0</v>
      </c>
      <c r="GF43">
        <f t="shared" ca="1" si="83"/>
        <v>0</v>
      </c>
      <c r="GG43">
        <f t="shared" ca="1" si="84"/>
        <v>0</v>
      </c>
      <c r="GH43">
        <f t="shared" ca="1" si="85"/>
        <v>0</v>
      </c>
      <c r="GI43">
        <f ca="1">IF(GB43&gt;1200000,GB43-1200000-IF(F43="YES",50000,0)-GG43,0)</f>
        <v>0</v>
      </c>
      <c r="GJ43">
        <f t="shared" ca="1" si="86"/>
        <v>0</v>
      </c>
      <c r="GK43">
        <f t="shared" ca="1" si="87"/>
        <v>0</v>
      </c>
      <c r="GL43">
        <f t="shared" ca="1" si="88"/>
        <v>0</v>
      </c>
      <c r="GM43">
        <f t="shared" ca="1" si="89"/>
        <v>13081</v>
      </c>
      <c r="GN43">
        <f t="shared" ca="1" si="90"/>
        <v>654.05000000000007</v>
      </c>
      <c r="GO43">
        <f t="shared" ca="1" si="91"/>
        <v>654</v>
      </c>
      <c r="GP43">
        <f t="shared" ca="1" si="92"/>
        <v>0</v>
      </c>
      <c r="GQ43">
        <f t="shared" ca="1" si="93"/>
        <v>0</v>
      </c>
      <c r="GR43">
        <f t="shared" ca="1" si="94"/>
        <v>654</v>
      </c>
      <c r="GS43">
        <f t="shared" ca="1" si="95"/>
        <v>0</v>
      </c>
      <c r="GT43" t="b">
        <f t="shared" ca="1" si="96"/>
        <v>0</v>
      </c>
      <c r="GU43">
        <f t="shared" ca="1" si="97"/>
        <v>0</v>
      </c>
      <c r="GV43">
        <f t="shared" ca="1" si="98"/>
        <v>654</v>
      </c>
      <c r="GW43">
        <f t="shared" ca="1" si="99"/>
        <v>0</v>
      </c>
      <c r="GX43">
        <f t="shared" ca="1" si="100"/>
        <v>0</v>
      </c>
      <c r="GY43">
        <f t="shared" ca="1" si="101"/>
        <v>0</v>
      </c>
    </row>
    <row r="44" spans="1:207" x14ac:dyDescent="0.25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2"/>
        <v>6800</v>
      </c>
      <c r="I44">
        <f>_xlfn.XLOOKUP(B44,'[1]march-2026'!$A:$A,'[1]march-2026'!$C:$C,0,0)</f>
        <v>25400</v>
      </c>
      <c r="J44">
        <f t="shared" si="168"/>
        <v>4572</v>
      </c>
      <c r="K44">
        <f t="shared" si="104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5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6"/>
        <v>150</v>
      </c>
      <c r="R44">
        <f t="shared" si="107"/>
        <v>32870</v>
      </c>
      <c r="S44">
        <f>_xlfn.XLOOKUP(B44,'[2]april-2026'!$A:$A,'[2]april-2026'!$C:$C,0,0)</f>
        <v>25400</v>
      </c>
      <c r="T44">
        <f t="shared" si="108"/>
        <v>4572</v>
      </c>
      <c r="U44">
        <f t="shared" si="109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0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1"/>
        <v>150</v>
      </c>
      <c r="AB44">
        <f t="shared" si="112"/>
        <v>32870</v>
      </c>
      <c r="AC44">
        <f>_xlfn.XLOOKUP(B44,'[3]may-2026'!$A:$A,'[3]may-2026'!$C:$C,0,0)</f>
        <v>25400</v>
      </c>
      <c r="AD44">
        <f t="shared" si="113"/>
        <v>4572</v>
      </c>
      <c r="AE44">
        <f t="shared" si="114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5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6"/>
        <v>150</v>
      </c>
      <c r="AL44">
        <f t="shared" si="117"/>
        <v>32870</v>
      </c>
      <c r="AM44">
        <f>_xlfn.XLOOKUP(B44,'[4]june-2026'!$A:$A,'[4]june-2026'!$C:$C,0,0)</f>
        <v>25400</v>
      </c>
      <c r="AN44">
        <f t="shared" si="118"/>
        <v>4572</v>
      </c>
      <c r="AO44">
        <f t="shared" si="119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0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1"/>
        <v>150</v>
      </c>
      <c r="AV44">
        <f t="shared" si="122"/>
        <v>32870</v>
      </c>
      <c r="AW44">
        <f>_xlfn.XLOOKUP(B44,'[5]july-2026'!$A:$A,'[5]july-2026'!$C:$C,0,0)</f>
        <v>26200</v>
      </c>
      <c r="AX44">
        <f t="shared" si="123"/>
        <v>4716</v>
      </c>
      <c r="AY44">
        <v>42</v>
      </c>
      <c r="AZ44">
        <f t="shared" si="124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5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6"/>
        <v>150</v>
      </c>
      <c r="BG44">
        <f t="shared" si="127"/>
        <v>33952</v>
      </c>
      <c r="BH44">
        <f>_xlfn.XLOOKUP(B44,'[6]august-2026'!$A:$A,'[6]august-2026'!$C:$C,0,0)</f>
        <v>26200</v>
      </c>
      <c r="BI44">
        <f t="shared" si="128"/>
        <v>4716</v>
      </c>
      <c r="BJ44">
        <f t="shared" si="129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0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1"/>
        <v>150</v>
      </c>
      <c r="BQ44">
        <f t="shared" si="132"/>
        <v>33910</v>
      </c>
      <c r="BR44">
        <f>_xlfn.XLOOKUP(B44,'[7]september-2026'!$A:$A,'[7]september-2026'!$C:$C,0,0)</f>
        <v>26200</v>
      </c>
      <c r="BS44">
        <f t="shared" si="133"/>
        <v>4716</v>
      </c>
      <c r="BT44">
        <f t="shared" si="134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5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6"/>
        <v>150</v>
      </c>
      <c r="CA44">
        <f t="shared" si="137"/>
        <v>33910</v>
      </c>
      <c r="CB44">
        <f>_xlfn.XLOOKUP(B44,'[8]october-2026'!$A:$A,'[8]october-2026'!$C:$C,0,0)</f>
        <v>26200</v>
      </c>
      <c r="CC44">
        <f t="shared" si="138"/>
        <v>4716</v>
      </c>
      <c r="CD44">
        <f t="shared" si="139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0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1"/>
        <v>150</v>
      </c>
      <c r="CK44">
        <f t="shared" si="142"/>
        <v>33910</v>
      </c>
      <c r="CL44">
        <f>_xlfn.XLOOKUP(B44,'[9]november-2026'!$A:$A,'[9]november-2026'!$C:$C,0,0)</f>
        <v>26200</v>
      </c>
      <c r="CM44">
        <f t="shared" si="143"/>
        <v>4716</v>
      </c>
      <c r="CN44">
        <f t="shared" si="144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5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6"/>
        <v>150</v>
      </c>
      <c r="CU44">
        <f t="shared" si="147"/>
        <v>33910</v>
      </c>
      <c r="CV44">
        <f>_xlfn.XLOOKUP(B44,'[10]december-2026'!$A:$A,'[10]december-2026'!$C:$C,0,0)</f>
        <v>26200</v>
      </c>
      <c r="CW44">
        <f t="shared" si="148"/>
        <v>4716</v>
      </c>
      <c r="CX44">
        <f t="shared" si="149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0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1"/>
        <v>150</v>
      </c>
      <c r="DE44">
        <f t="shared" si="152"/>
        <v>33910</v>
      </c>
      <c r="DF44">
        <f xml:space="preserve"> _xlfn.XLOOKUP(B44,
'[11]january-2027'!$A:$A,
'[11]january-2027'!$C:$C,
0,0)</f>
        <v>26200</v>
      </c>
      <c r="DG44">
        <f t="shared" si="153"/>
        <v>4716</v>
      </c>
      <c r="DH44">
        <f t="shared" si="154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5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6"/>
        <v>150</v>
      </c>
      <c r="DO44">
        <f t="shared" si="157"/>
        <v>33910</v>
      </c>
      <c r="DP44">
        <f xml:space="preserve"> _xlfn.XLOOKUP(B44,
'[12]february-2027'!$A:$A,
'[12]february-2027'!$C:$C,
0,0)</f>
        <v>26200</v>
      </c>
      <c r="DQ44">
        <f t="shared" si="158"/>
        <v>4716</v>
      </c>
      <c r="DR44">
        <f t="shared" si="159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0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1"/>
        <v>150</v>
      </c>
      <c r="DY44">
        <f t="shared" si="162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3"/>
        <v>0</v>
      </c>
      <c r="EM44">
        <f t="shared" si="164"/>
        <v>411402</v>
      </c>
      <c r="EN44">
        <f t="shared" si="165"/>
        <v>1800</v>
      </c>
      <c r="EO44">
        <f t="shared" si="166"/>
        <v>50000</v>
      </c>
      <c r="EP44">
        <v>0</v>
      </c>
      <c r="EQ44">
        <f t="shared" si="167"/>
        <v>359602</v>
      </c>
      <c r="ER44">
        <f t="shared" si="62"/>
        <v>0</v>
      </c>
      <c r="ES44">
        <f t="shared" si="63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4"/>
        <v>0</v>
      </c>
      <c r="FE44">
        <f t="shared" si="65"/>
        <v>0</v>
      </c>
      <c r="FF44">
        <f t="shared" si="66"/>
        <v>359602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>SUM(FG44:FM44)+(IF(F44="YES",50000,0))</f>
        <v>0</v>
      </c>
      <c r="FO44">
        <f t="shared" si="67"/>
        <v>359602</v>
      </c>
      <c r="FP44">
        <f t="shared" si="68"/>
        <v>5480</v>
      </c>
      <c r="FQ44">
        <f t="shared" si="69"/>
        <v>0</v>
      </c>
      <c r="FR44">
        <f t="shared" si="70"/>
        <v>5480</v>
      </c>
      <c r="FS44">
        <f t="shared" si="71"/>
        <v>0</v>
      </c>
      <c r="FT44">
        <f t="shared" si="72"/>
        <v>0</v>
      </c>
      <c r="FU44">
        <f t="shared" si="73"/>
        <v>0</v>
      </c>
      <c r="FV44">
        <v>0</v>
      </c>
      <c r="FW44">
        <f t="shared" si="74"/>
        <v>0</v>
      </c>
      <c r="FX44" t="b">
        <f t="shared" si="75"/>
        <v>0</v>
      </c>
      <c r="FY44">
        <f t="shared" ca="1" si="76"/>
        <v>2667</v>
      </c>
      <c r="FZ44">
        <f t="shared" ca="1" si="77"/>
        <v>414069</v>
      </c>
      <c r="GA44">
        <f t="shared" si="78"/>
        <v>75000</v>
      </c>
      <c r="GB44">
        <f t="shared" ca="1" si="79"/>
        <v>339069</v>
      </c>
      <c r="GC44">
        <f t="shared" ca="1" si="80"/>
        <v>0</v>
      </c>
      <c r="GD44">
        <f t="shared" ca="1" si="81"/>
        <v>0</v>
      </c>
      <c r="GE44">
        <f t="shared" ca="1" si="82"/>
        <v>0</v>
      </c>
      <c r="GF44">
        <f t="shared" ca="1" si="83"/>
        <v>0</v>
      </c>
      <c r="GG44">
        <f t="shared" ca="1" si="84"/>
        <v>0</v>
      </c>
      <c r="GH44">
        <f t="shared" ca="1" si="85"/>
        <v>0</v>
      </c>
      <c r="GI44">
        <f ca="1">IF(GB44&gt;1200000,GB44-1200000-IF(F44="YES",50000,0)-GG44,0)</f>
        <v>0</v>
      </c>
      <c r="GJ44">
        <f t="shared" ca="1" si="86"/>
        <v>0</v>
      </c>
      <c r="GK44">
        <f t="shared" ca="1" si="87"/>
        <v>0</v>
      </c>
      <c r="GL44">
        <f t="shared" ca="1" si="88"/>
        <v>0</v>
      </c>
      <c r="GM44">
        <f t="shared" ca="1" si="89"/>
        <v>0</v>
      </c>
      <c r="GN44">
        <f t="shared" ca="1" si="90"/>
        <v>0</v>
      </c>
      <c r="GO44">
        <f t="shared" ca="1" si="91"/>
        <v>0</v>
      </c>
      <c r="GP44">
        <f t="shared" ca="1" si="92"/>
        <v>0</v>
      </c>
      <c r="GQ44">
        <f t="shared" ca="1" si="93"/>
        <v>0</v>
      </c>
      <c r="GR44">
        <f t="shared" ca="1" si="94"/>
        <v>0</v>
      </c>
      <c r="GS44">
        <f t="shared" ca="1" si="95"/>
        <v>0</v>
      </c>
      <c r="GT44" t="b">
        <f t="shared" ca="1" si="96"/>
        <v>0</v>
      </c>
      <c r="GU44">
        <f t="shared" ca="1" si="97"/>
        <v>0</v>
      </c>
      <c r="GV44">
        <f t="shared" ca="1" si="98"/>
        <v>0</v>
      </c>
      <c r="GW44">
        <f t="shared" ca="1" si="99"/>
        <v>0</v>
      </c>
      <c r="GX44">
        <f t="shared" ca="1" si="100"/>
        <v>0</v>
      </c>
      <c r="GY44">
        <f t="shared" ca="1" si="101"/>
        <v>0</v>
      </c>
    </row>
    <row r="45" spans="1:207" x14ac:dyDescent="0.25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2"/>
        <v>6800</v>
      </c>
      <c r="I45">
        <f>_xlfn.XLOOKUP(B45,'[1]march-2026'!$A:$A,'[1]march-2026'!$C:$C,0,0)</f>
        <v>48700</v>
      </c>
      <c r="J45">
        <f t="shared" si="168"/>
        <v>8766</v>
      </c>
      <c r="K45">
        <f t="shared" si="104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5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6"/>
        <v>200</v>
      </c>
      <c r="R45">
        <f t="shared" si="107"/>
        <v>60950</v>
      </c>
      <c r="S45">
        <f>_xlfn.XLOOKUP(B45,'[2]april-2026'!$A:$A,'[2]april-2026'!$C:$C,0,0)</f>
        <v>48700</v>
      </c>
      <c r="T45">
        <f t="shared" si="108"/>
        <v>8766</v>
      </c>
      <c r="U45">
        <f t="shared" si="109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0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1"/>
        <v>200</v>
      </c>
      <c r="AB45">
        <f t="shared" si="112"/>
        <v>60950</v>
      </c>
      <c r="AC45">
        <f>_xlfn.XLOOKUP(B45,'[3]may-2026'!$A:$A,'[3]may-2026'!$C:$C,0,0)</f>
        <v>48700</v>
      </c>
      <c r="AD45">
        <f t="shared" si="113"/>
        <v>8766</v>
      </c>
      <c r="AE45">
        <f t="shared" si="114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5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6"/>
        <v>200</v>
      </c>
      <c r="AL45">
        <f t="shared" si="117"/>
        <v>60950</v>
      </c>
      <c r="AM45">
        <f>_xlfn.XLOOKUP(B45,'[4]june-2026'!$A:$A,'[4]june-2026'!$C:$C,0,0)</f>
        <v>48700</v>
      </c>
      <c r="AN45">
        <f t="shared" si="118"/>
        <v>8766</v>
      </c>
      <c r="AO45">
        <f t="shared" si="119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0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1"/>
        <v>200</v>
      </c>
      <c r="AV45">
        <f t="shared" si="122"/>
        <v>60950</v>
      </c>
      <c r="AW45">
        <f>_xlfn.XLOOKUP(B45,'[5]july-2026'!$A:$A,'[5]july-2026'!$C:$C,0,0)</f>
        <v>50200</v>
      </c>
      <c r="AX45">
        <f t="shared" si="123"/>
        <v>9036</v>
      </c>
      <c r="AY45">
        <v>43</v>
      </c>
      <c r="AZ45">
        <f t="shared" si="124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5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6"/>
        <v>200</v>
      </c>
      <c r="BG45">
        <f t="shared" si="127"/>
        <v>62943</v>
      </c>
      <c r="BH45">
        <f>_xlfn.XLOOKUP(B45,'[6]august-2026'!$A:$A,'[6]august-2026'!$C:$C,0,0)</f>
        <v>50200</v>
      </c>
      <c r="BI45">
        <f t="shared" si="128"/>
        <v>9036</v>
      </c>
      <c r="BJ45">
        <f t="shared" si="129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0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1"/>
        <v>200</v>
      </c>
      <c r="BQ45">
        <f t="shared" si="132"/>
        <v>62900</v>
      </c>
      <c r="BR45">
        <f>_xlfn.XLOOKUP(B45,'[7]september-2026'!$A:$A,'[7]september-2026'!$C:$C,0,0)</f>
        <v>50200</v>
      </c>
      <c r="BS45">
        <f t="shared" si="133"/>
        <v>9036</v>
      </c>
      <c r="BT45">
        <f t="shared" si="134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5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6"/>
        <v>200</v>
      </c>
      <c r="CA45">
        <f t="shared" si="137"/>
        <v>62900</v>
      </c>
      <c r="CB45">
        <f>_xlfn.XLOOKUP(B45,'[8]october-2026'!$A:$A,'[8]october-2026'!$C:$C,0,0)</f>
        <v>50200</v>
      </c>
      <c r="CC45">
        <f t="shared" si="138"/>
        <v>9036</v>
      </c>
      <c r="CD45">
        <f t="shared" si="139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0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1"/>
        <v>200</v>
      </c>
      <c r="CK45">
        <f t="shared" si="142"/>
        <v>62900</v>
      </c>
      <c r="CL45">
        <f>_xlfn.XLOOKUP(B45,'[9]november-2026'!$A:$A,'[9]november-2026'!$C:$C,0,0)</f>
        <v>50200</v>
      </c>
      <c r="CM45">
        <f t="shared" si="143"/>
        <v>9036</v>
      </c>
      <c r="CN45">
        <f t="shared" si="144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5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6"/>
        <v>200</v>
      </c>
      <c r="CU45">
        <f t="shared" si="147"/>
        <v>62900</v>
      </c>
      <c r="CV45">
        <f>_xlfn.XLOOKUP(B45,'[10]december-2026'!$A:$A,'[10]december-2026'!$C:$C,0,0)</f>
        <v>50200</v>
      </c>
      <c r="CW45">
        <f t="shared" si="148"/>
        <v>9036</v>
      </c>
      <c r="CX45">
        <f t="shared" si="149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0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1"/>
        <v>200</v>
      </c>
      <c r="DE45">
        <f t="shared" si="152"/>
        <v>62900</v>
      </c>
      <c r="DF45">
        <f xml:space="preserve"> _xlfn.XLOOKUP(B45,
'[11]january-2027'!$A:$A,
'[11]january-2027'!$C:$C,
0,0)</f>
        <v>50200</v>
      </c>
      <c r="DG45">
        <f t="shared" si="153"/>
        <v>9036</v>
      </c>
      <c r="DH45">
        <f t="shared" si="154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5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6"/>
        <v>200</v>
      </c>
      <c r="DO45">
        <f t="shared" si="157"/>
        <v>62900</v>
      </c>
      <c r="DP45">
        <f xml:space="preserve"> _xlfn.XLOOKUP(B45,
'[12]february-2027'!$A:$A,
'[12]february-2027'!$C:$C,
0,0)</f>
        <v>50200</v>
      </c>
      <c r="DQ45">
        <f t="shared" si="158"/>
        <v>9036</v>
      </c>
      <c r="DR45">
        <f t="shared" si="159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0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1"/>
        <v>200</v>
      </c>
      <c r="DY45">
        <f t="shared" si="162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3"/>
        <v>0</v>
      </c>
      <c r="EM45">
        <f t="shared" si="164"/>
        <v>792963</v>
      </c>
      <c r="EN45">
        <f t="shared" si="165"/>
        <v>2400</v>
      </c>
      <c r="EO45">
        <f t="shared" si="166"/>
        <v>50000</v>
      </c>
      <c r="EP45">
        <v>0</v>
      </c>
      <c r="EQ45">
        <f t="shared" si="167"/>
        <v>740563</v>
      </c>
      <c r="ER45">
        <f t="shared" si="62"/>
        <v>36000</v>
      </c>
      <c r="ES45">
        <f t="shared" si="63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4"/>
        <v>36720</v>
      </c>
      <c r="FE45">
        <f t="shared" si="65"/>
        <v>36720</v>
      </c>
      <c r="FF45">
        <f t="shared" si="66"/>
        <v>703843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>SUM(FG45:FM45)+(IF(F45="YES",50000,0))</f>
        <v>0</v>
      </c>
      <c r="FO45">
        <f t="shared" si="67"/>
        <v>703843</v>
      </c>
      <c r="FP45">
        <f t="shared" si="68"/>
        <v>12500</v>
      </c>
      <c r="FQ45">
        <f t="shared" si="69"/>
        <v>40769</v>
      </c>
      <c r="FR45">
        <f t="shared" si="70"/>
        <v>53269</v>
      </c>
      <c r="FS45">
        <f t="shared" si="71"/>
        <v>53269</v>
      </c>
      <c r="FT45">
        <f t="shared" si="72"/>
        <v>2130.7600000000002</v>
      </c>
      <c r="FU45">
        <f t="shared" si="73"/>
        <v>55400</v>
      </c>
      <c r="FV45">
        <v>0</v>
      </c>
      <c r="FW45">
        <f t="shared" si="74"/>
        <v>55400</v>
      </c>
      <c r="FX45" t="b">
        <f t="shared" si="75"/>
        <v>1</v>
      </c>
      <c r="FY45">
        <f t="shared" ca="1" si="76"/>
        <v>795</v>
      </c>
      <c r="FZ45">
        <f t="shared" ca="1" si="77"/>
        <v>793758</v>
      </c>
      <c r="GA45">
        <f t="shared" si="78"/>
        <v>75000</v>
      </c>
      <c r="GB45">
        <f t="shared" ca="1" si="79"/>
        <v>718758</v>
      </c>
      <c r="GC45">
        <f t="shared" ca="1" si="80"/>
        <v>0</v>
      </c>
      <c r="GD45">
        <f t="shared" ca="1" si="81"/>
        <v>0</v>
      </c>
      <c r="GE45">
        <f t="shared" ca="1" si="82"/>
        <v>0</v>
      </c>
      <c r="GF45">
        <f t="shared" ca="1" si="83"/>
        <v>0</v>
      </c>
      <c r="GG45">
        <f t="shared" ca="1" si="84"/>
        <v>0</v>
      </c>
      <c r="GH45">
        <f t="shared" ca="1" si="85"/>
        <v>0</v>
      </c>
      <c r="GI45">
        <f ca="1">IF(GB45&gt;1200000,GB45-1200000-IF(F45="YES",50000,0)-GG45,0)</f>
        <v>0</v>
      </c>
      <c r="GJ45">
        <f t="shared" ca="1" si="86"/>
        <v>0</v>
      </c>
      <c r="GK45">
        <f t="shared" ca="1" si="87"/>
        <v>0</v>
      </c>
      <c r="GL45">
        <f t="shared" ca="1" si="88"/>
        <v>0</v>
      </c>
      <c r="GM45">
        <f t="shared" ca="1" si="89"/>
        <v>318758</v>
      </c>
      <c r="GN45">
        <f t="shared" ca="1" si="90"/>
        <v>15937.900000000001</v>
      </c>
      <c r="GO45">
        <f t="shared" ca="1" si="91"/>
        <v>15938</v>
      </c>
      <c r="GP45">
        <f t="shared" ca="1" si="92"/>
        <v>0</v>
      </c>
      <c r="GQ45">
        <f t="shared" ca="1" si="93"/>
        <v>0</v>
      </c>
      <c r="GR45">
        <f t="shared" ca="1" si="94"/>
        <v>15938</v>
      </c>
      <c r="GS45">
        <f t="shared" ca="1" si="95"/>
        <v>0</v>
      </c>
      <c r="GT45" t="b">
        <f t="shared" ca="1" si="96"/>
        <v>0</v>
      </c>
      <c r="GU45">
        <f t="shared" ca="1" si="97"/>
        <v>0</v>
      </c>
      <c r="GV45">
        <f t="shared" ca="1" si="98"/>
        <v>15938</v>
      </c>
      <c r="GW45">
        <f t="shared" ca="1" si="99"/>
        <v>0</v>
      </c>
      <c r="GX45">
        <f t="shared" ca="1" si="100"/>
        <v>0</v>
      </c>
      <c r="GY45">
        <f t="shared" ca="1" si="101"/>
        <v>0</v>
      </c>
    </row>
    <row r="46" spans="1:207" x14ac:dyDescent="0.25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2"/>
        <v>6800</v>
      </c>
      <c r="I46">
        <f>_xlfn.XLOOKUP(B46,'[1]march-2026'!$A:$A,'[1]march-2026'!$C:$C,0,0)</f>
        <v>34500</v>
      </c>
      <c r="J46">
        <f t="shared" si="168"/>
        <v>6210</v>
      </c>
      <c r="K46">
        <f t="shared" si="104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5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6"/>
        <v>200</v>
      </c>
      <c r="R46">
        <f t="shared" si="107"/>
        <v>42150</v>
      </c>
      <c r="S46">
        <f>_xlfn.XLOOKUP(B46,'[2]april-2026'!$A:$A,'[2]april-2026'!$C:$C,0,0)</f>
        <v>34500</v>
      </c>
      <c r="T46">
        <f t="shared" si="108"/>
        <v>6210</v>
      </c>
      <c r="U46">
        <f t="shared" si="109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0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1"/>
        <v>200</v>
      </c>
      <c r="AB46">
        <f t="shared" si="112"/>
        <v>42150</v>
      </c>
      <c r="AC46">
        <f>_xlfn.XLOOKUP(B46,'[3]may-2026'!$A:$A,'[3]may-2026'!$C:$C,0,0)</f>
        <v>34500</v>
      </c>
      <c r="AD46">
        <f t="shared" si="113"/>
        <v>6210</v>
      </c>
      <c r="AE46">
        <f t="shared" si="114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5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6"/>
        <v>200</v>
      </c>
      <c r="AL46">
        <f t="shared" si="117"/>
        <v>42150</v>
      </c>
      <c r="AM46">
        <f>_xlfn.XLOOKUP(B46,'[4]june-2026'!$A:$A,'[4]june-2026'!$C:$C,0,0)</f>
        <v>34500</v>
      </c>
      <c r="AN46">
        <f t="shared" si="118"/>
        <v>6210</v>
      </c>
      <c r="AO46">
        <f t="shared" si="119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0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1"/>
        <v>200</v>
      </c>
      <c r="AV46">
        <f t="shared" si="122"/>
        <v>42150</v>
      </c>
      <c r="AW46">
        <f>_xlfn.XLOOKUP(B46,'[5]july-2026'!$A:$A,'[5]july-2026'!$C:$C,0,0)</f>
        <v>35500</v>
      </c>
      <c r="AX46">
        <f t="shared" si="123"/>
        <v>6390</v>
      </c>
      <c r="AY46">
        <v>44</v>
      </c>
      <c r="AZ46">
        <f t="shared" si="124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5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6"/>
        <v>200</v>
      </c>
      <c r="BG46">
        <f t="shared" si="127"/>
        <v>43494</v>
      </c>
      <c r="BH46">
        <f>_xlfn.XLOOKUP(B46,'[6]august-2026'!$A:$A,'[6]august-2026'!$C:$C,0,0)</f>
        <v>35500</v>
      </c>
      <c r="BI46">
        <f t="shared" si="128"/>
        <v>6390</v>
      </c>
      <c r="BJ46">
        <f t="shared" si="129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0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1"/>
        <v>200</v>
      </c>
      <c r="BQ46">
        <f t="shared" si="132"/>
        <v>43450</v>
      </c>
      <c r="BR46">
        <f>_xlfn.XLOOKUP(B46,'[7]september-2026'!$A:$A,'[7]september-2026'!$C:$C,0,0)</f>
        <v>35500</v>
      </c>
      <c r="BS46">
        <f t="shared" si="133"/>
        <v>6390</v>
      </c>
      <c r="BT46">
        <f t="shared" si="134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5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6"/>
        <v>200</v>
      </c>
      <c r="CA46">
        <f t="shared" si="137"/>
        <v>43450</v>
      </c>
      <c r="CB46">
        <f>_xlfn.XLOOKUP(B46,'[8]october-2026'!$A:$A,'[8]october-2026'!$C:$C,0,0)</f>
        <v>35500</v>
      </c>
      <c r="CC46">
        <f t="shared" si="138"/>
        <v>6390</v>
      </c>
      <c r="CD46">
        <f t="shared" si="139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0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1"/>
        <v>200</v>
      </c>
      <c r="CK46">
        <f t="shared" si="142"/>
        <v>43450</v>
      </c>
      <c r="CL46">
        <f>_xlfn.XLOOKUP(B46,'[9]november-2026'!$A:$A,'[9]november-2026'!$C:$C,0,0)</f>
        <v>35500</v>
      </c>
      <c r="CM46">
        <f t="shared" si="143"/>
        <v>6390</v>
      </c>
      <c r="CN46">
        <f t="shared" si="144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5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6"/>
        <v>200</v>
      </c>
      <c r="CU46">
        <f t="shared" si="147"/>
        <v>43450</v>
      </c>
      <c r="CV46">
        <f>_xlfn.XLOOKUP(B46,'[10]december-2026'!$A:$A,'[10]december-2026'!$C:$C,0,0)</f>
        <v>35500</v>
      </c>
      <c r="CW46">
        <f t="shared" si="148"/>
        <v>6390</v>
      </c>
      <c r="CX46">
        <f t="shared" si="149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0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1"/>
        <v>200</v>
      </c>
      <c r="DE46">
        <f t="shared" si="152"/>
        <v>43450</v>
      </c>
      <c r="DF46">
        <f xml:space="preserve"> _xlfn.XLOOKUP(B46,
'[11]january-2027'!$A:$A,
'[11]january-2027'!$C:$C,
0,0)</f>
        <v>35500</v>
      </c>
      <c r="DG46">
        <f t="shared" si="153"/>
        <v>6390</v>
      </c>
      <c r="DH46">
        <f t="shared" si="154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5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6"/>
        <v>200</v>
      </c>
      <c r="DO46">
        <f t="shared" si="157"/>
        <v>43450</v>
      </c>
      <c r="DP46">
        <f xml:space="preserve"> _xlfn.XLOOKUP(B46,
'[12]february-2027'!$A:$A,
'[12]february-2027'!$C:$C,
0,0)</f>
        <v>35500</v>
      </c>
      <c r="DQ46">
        <f t="shared" si="158"/>
        <v>6390</v>
      </c>
      <c r="DR46">
        <f t="shared" si="159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0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1"/>
        <v>200</v>
      </c>
      <c r="DY46">
        <f t="shared" si="162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3"/>
        <v>0</v>
      </c>
      <c r="EM46">
        <f t="shared" si="164"/>
        <v>555444</v>
      </c>
      <c r="EN46">
        <f t="shared" si="165"/>
        <v>2400</v>
      </c>
      <c r="EO46">
        <f t="shared" si="166"/>
        <v>50000</v>
      </c>
      <c r="EP46">
        <v>0</v>
      </c>
      <c r="EQ46">
        <f t="shared" si="167"/>
        <v>503044</v>
      </c>
      <c r="ER46">
        <f t="shared" si="62"/>
        <v>30000</v>
      </c>
      <c r="ES46">
        <f t="shared" si="63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4"/>
        <v>30000</v>
      </c>
      <c r="FE46">
        <f t="shared" si="65"/>
        <v>30000</v>
      </c>
      <c r="FF46">
        <f t="shared" si="66"/>
        <v>473044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>SUM(FG46:FM46)+(IF(F46="YES",50000,0))</f>
        <v>0</v>
      </c>
      <c r="FO46">
        <f t="shared" si="67"/>
        <v>473044</v>
      </c>
      <c r="FP46">
        <f t="shared" si="68"/>
        <v>11152</v>
      </c>
      <c r="FQ46">
        <f t="shared" si="69"/>
        <v>0</v>
      </c>
      <c r="FR46">
        <f t="shared" si="70"/>
        <v>11152</v>
      </c>
      <c r="FS46">
        <f t="shared" si="71"/>
        <v>0</v>
      </c>
      <c r="FT46">
        <f t="shared" si="72"/>
        <v>0</v>
      </c>
      <c r="FU46">
        <f t="shared" si="73"/>
        <v>0</v>
      </c>
      <c r="FV46">
        <v>0</v>
      </c>
      <c r="FW46">
        <f t="shared" si="74"/>
        <v>0</v>
      </c>
      <c r="FX46" t="b">
        <f t="shared" si="75"/>
        <v>1</v>
      </c>
      <c r="FY46">
        <f t="shared" ca="1" si="76"/>
        <v>517</v>
      </c>
      <c r="FZ46">
        <f t="shared" ca="1" si="77"/>
        <v>555961</v>
      </c>
      <c r="GA46">
        <f t="shared" si="78"/>
        <v>75000</v>
      </c>
      <c r="GB46">
        <f t="shared" ca="1" si="79"/>
        <v>480961</v>
      </c>
      <c r="GC46">
        <f t="shared" ca="1" si="80"/>
        <v>0</v>
      </c>
      <c r="GD46">
        <f t="shared" ca="1" si="81"/>
        <v>0</v>
      </c>
      <c r="GE46">
        <f t="shared" ca="1" si="82"/>
        <v>0</v>
      </c>
      <c r="GF46">
        <f t="shared" ca="1" si="83"/>
        <v>0</v>
      </c>
      <c r="GG46">
        <f t="shared" ca="1" si="84"/>
        <v>0</v>
      </c>
      <c r="GH46">
        <f t="shared" ca="1" si="85"/>
        <v>0</v>
      </c>
      <c r="GI46">
        <f ca="1">IF(GB46&gt;1200000,GB46-1200000-IF(F46="YES",50000,0)-GG46,0)</f>
        <v>0</v>
      </c>
      <c r="GJ46">
        <f t="shared" ca="1" si="86"/>
        <v>0</v>
      </c>
      <c r="GK46">
        <f t="shared" ca="1" si="87"/>
        <v>0</v>
      </c>
      <c r="GL46">
        <f t="shared" ca="1" si="88"/>
        <v>0</v>
      </c>
      <c r="GM46">
        <f t="shared" ca="1" si="89"/>
        <v>80961</v>
      </c>
      <c r="GN46">
        <f t="shared" ca="1" si="90"/>
        <v>4048.05</v>
      </c>
      <c r="GO46">
        <f t="shared" ca="1" si="91"/>
        <v>4048</v>
      </c>
      <c r="GP46">
        <f t="shared" ca="1" si="92"/>
        <v>0</v>
      </c>
      <c r="GQ46">
        <f t="shared" ca="1" si="93"/>
        <v>0</v>
      </c>
      <c r="GR46">
        <f t="shared" ca="1" si="94"/>
        <v>4048</v>
      </c>
      <c r="GS46">
        <f t="shared" ca="1" si="95"/>
        <v>0</v>
      </c>
      <c r="GT46" t="b">
        <f t="shared" ca="1" si="96"/>
        <v>0</v>
      </c>
      <c r="GU46">
        <f t="shared" ca="1" si="97"/>
        <v>0</v>
      </c>
      <c r="GV46">
        <f t="shared" ca="1" si="98"/>
        <v>4048</v>
      </c>
      <c r="GW46">
        <f t="shared" ca="1" si="99"/>
        <v>0</v>
      </c>
      <c r="GX46">
        <f t="shared" ca="1" si="100"/>
        <v>0</v>
      </c>
      <c r="GY46">
        <f t="shared" ca="1" si="101"/>
        <v>0</v>
      </c>
    </row>
    <row r="47" spans="1:207" x14ac:dyDescent="0.25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2"/>
        <v>6800</v>
      </c>
      <c r="I47">
        <f>_xlfn.XLOOKUP(B47,'[1]march-2026'!$A:$A,'[1]march-2026'!$C:$C,0,0)</f>
        <v>31600</v>
      </c>
      <c r="J47">
        <f t="shared" si="168"/>
        <v>5688</v>
      </c>
      <c r="K47">
        <f t="shared" si="104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5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6"/>
        <v>200</v>
      </c>
      <c r="R47">
        <f t="shared" si="107"/>
        <v>39380</v>
      </c>
      <c r="S47">
        <f>_xlfn.XLOOKUP(B47,'[2]april-2026'!$A:$A,'[2]april-2026'!$C:$C,0,0)</f>
        <v>31600</v>
      </c>
      <c r="T47">
        <f t="shared" si="108"/>
        <v>5688</v>
      </c>
      <c r="U47">
        <f t="shared" si="109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0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1"/>
        <v>200</v>
      </c>
      <c r="AB47">
        <f t="shared" si="112"/>
        <v>39380</v>
      </c>
      <c r="AC47">
        <f>_xlfn.XLOOKUP(B47,'[3]may-2026'!$A:$A,'[3]may-2026'!$C:$C,0,0)</f>
        <v>31600</v>
      </c>
      <c r="AD47">
        <f t="shared" si="113"/>
        <v>5688</v>
      </c>
      <c r="AE47">
        <f t="shared" si="114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5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6"/>
        <v>200</v>
      </c>
      <c r="AL47">
        <f t="shared" si="117"/>
        <v>39380</v>
      </c>
      <c r="AM47">
        <f>_xlfn.XLOOKUP(B47,'[4]june-2026'!$A:$A,'[4]june-2026'!$C:$C,0,0)</f>
        <v>31600</v>
      </c>
      <c r="AN47">
        <f t="shared" si="118"/>
        <v>5688</v>
      </c>
      <c r="AO47">
        <f t="shared" si="119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0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1"/>
        <v>200</v>
      </c>
      <c r="AV47">
        <f t="shared" si="122"/>
        <v>39380</v>
      </c>
      <c r="AW47">
        <f>_xlfn.XLOOKUP(B47,'[5]july-2026'!$A:$A,'[5]july-2026'!$C:$C,0,0)</f>
        <v>32500</v>
      </c>
      <c r="AX47">
        <f t="shared" si="123"/>
        <v>5850</v>
      </c>
      <c r="AY47">
        <v>45</v>
      </c>
      <c r="AZ47">
        <f t="shared" si="124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5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6"/>
        <v>200</v>
      </c>
      <c r="BG47">
        <f t="shared" si="127"/>
        <v>40595</v>
      </c>
      <c r="BH47">
        <f>_xlfn.XLOOKUP(B47,'[6]august-2026'!$A:$A,'[6]august-2026'!$C:$C,0,0)</f>
        <v>32500</v>
      </c>
      <c r="BI47">
        <f t="shared" si="128"/>
        <v>5850</v>
      </c>
      <c r="BJ47">
        <f t="shared" si="129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0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1"/>
        <v>200</v>
      </c>
      <c r="BQ47">
        <f t="shared" si="132"/>
        <v>40550</v>
      </c>
      <c r="BR47">
        <f>_xlfn.XLOOKUP(B47,'[7]september-2026'!$A:$A,'[7]september-2026'!$C:$C,0,0)</f>
        <v>32500</v>
      </c>
      <c r="BS47">
        <f t="shared" si="133"/>
        <v>5850</v>
      </c>
      <c r="BT47">
        <f t="shared" si="134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5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6"/>
        <v>200</v>
      </c>
      <c r="CA47">
        <f t="shared" si="137"/>
        <v>40550</v>
      </c>
      <c r="CB47">
        <f>_xlfn.XLOOKUP(B47,'[8]october-2026'!$A:$A,'[8]october-2026'!$C:$C,0,0)</f>
        <v>32500</v>
      </c>
      <c r="CC47">
        <f t="shared" si="138"/>
        <v>5850</v>
      </c>
      <c r="CD47">
        <f t="shared" si="139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0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1"/>
        <v>200</v>
      </c>
      <c r="CK47">
        <f t="shared" si="142"/>
        <v>40550</v>
      </c>
      <c r="CL47">
        <f>_xlfn.XLOOKUP(B47,'[9]november-2026'!$A:$A,'[9]november-2026'!$C:$C,0,0)</f>
        <v>32500</v>
      </c>
      <c r="CM47">
        <f t="shared" si="143"/>
        <v>5850</v>
      </c>
      <c r="CN47">
        <f t="shared" si="144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5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6"/>
        <v>200</v>
      </c>
      <c r="CU47">
        <f t="shared" si="147"/>
        <v>40550</v>
      </c>
      <c r="CV47">
        <f>_xlfn.XLOOKUP(B47,'[10]december-2026'!$A:$A,'[10]december-2026'!$C:$C,0,0)</f>
        <v>32500</v>
      </c>
      <c r="CW47">
        <f t="shared" si="148"/>
        <v>5850</v>
      </c>
      <c r="CX47">
        <f t="shared" si="149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0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1"/>
        <v>200</v>
      </c>
      <c r="DE47">
        <f t="shared" si="152"/>
        <v>40550</v>
      </c>
      <c r="DF47">
        <f xml:space="preserve"> _xlfn.XLOOKUP(B47,
'[11]january-2027'!$A:$A,
'[11]january-2027'!$C:$C,
0,0)</f>
        <v>32500</v>
      </c>
      <c r="DG47">
        <f t="shared" si="153"/>
        <v>5850</v>
      </c>
      <c r="DH47">
        <f t="shared" si="154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5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6"/>
        <v>200</v>
      </c>
      <c r="DO47">
        <f t="shared" si="157"/>
        <v>40550</v>
      </c>
      <c r="DP47">
        <f xml:space="preserve"> _xlfn.XLOOKUP(B47,
'[12]february-2027'!$A:$A,
'[12]february-2027'!$C:$C,
0,0)</f>
        <v>32500</v>
      </c>
      <c r="DQ47">
        <f t="shared" si="158"/>
        <v>5850</v>
      </c>
      <c r="DR47">
        <f t="shared" si="159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0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1"/>
        <v>200</v>
      </c>
      <c r="DY47">
        <f t="shared" si="162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3"/>
        <v>0</v>
      </c>
      <c r="EM47">
        <f t="shared" si="164"/>
        <v>515165</v>
      </c>
      <c r="EN47">
        <f t="shared" si="165"/>
        <v>2400</v>
      </c>
      <c r="EO47">
        <f t="shared" si="166"/>
        <v>50000</v>
      </c>
      <c r="EP47">
        <v>0</v>
      </c>
      <c r="EQ47">
        <f t="shared" si="167"/>
        <v>462765</v>
      </c>
      <c r="ER47">
        <f t="shared" si="62"/>
        <v>24000</v>
      </c>
      <c r="ES47">
        <f t="shared" si="63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4"/>
        <v>24000</v>
      </c>
      <c r="FE47">
        <f t="shared" si="65"/>
        <v>24000</v>
      </c>
      <c r="FF47">
        <f t="shared" si="66"/>
        <v>438765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>SUM(FG47:FM47)+(IF(F47="YES",50000,0))</f>
        <v>0</v>
      </c>
      <c r="FO47">
        <f t="shared" si="67"/>
        <v>438765</v>
      </c>
      <c r="FP47">
        <f t="shared" si="68"/>
        <v>9438</v>
      </c>
      <c r="FQ47">
        <f t="shared" si="69"/>
        <v>0</v>
      </c>
      <c r="FR47">
        <f t="shared" si="70"/>
        <v>9438</v>
      </c>
      <c r="FS47">
        <f t="shared" si="71"/>
        <v>0</v>
      </c>
      <c r="FT47">
        <f t="shared" si="72"/>
        <v>0</v>
      </c>
      <c r="FU47">
        <f t="shared" si="73"/>
        <v>0</v>
      </c>
      <c r="FV47">
        <v>0</v>
      </c>
      <c r="FW47">
        <f t="shared" si="74"/>
        <v>0</v>
      </c>
      <c r="FX47" t="b">
        <f t="shared" si="75"/>
        <v>1</v>
      </c>
      <c r="FY47">
        <f t="shared" ca="1" si="76"/>
        <v>698</v>
      </c>
      <c r="FZ47">
        <f t="shared" ca="1" si="77"/>
        <v>515863</v>
      </c>
      <c r="GA47">
        <f t="shared" si="78"/>
        <v>75000</v>
      </c>
      <c r="GB47">
        <f t="shared" ca="1" si="79"/>
        <v>440863</v>
      </c>
      <c r="GC47">
        <f t="shared" ca="1" si="80"/>
        <v>0</v>
      </c>
      <c r="GD47">
        <f t="shared" ca="1" si="81"/>
        <v>0</v>
      </c>
      <c r="GE47">
        <f t="shared" ca="1" si="82"/>
        <v>0</v>
      </c>
      <c r="GF47">
        <f t="shared" ca="1" si="83"/>
        <v>0</v>
      </c>
      <c r="GG47">
        <f t="shared" ca="1" si="84"/>
        <v>0</v>
      </c>
      <c r="GH47">
        <f t="shared" ca="1" si="85"/>
        <v>0</v>
      </c>
      <c r="GI47">
        <f ca="1">IF(GB47&gt;1200000,GB47-1200000-IF(F47="YES",50000,0)-GG47,0)</f>
        <v>0</v>
      </c>
      <c r="GJ47">
        <f t="shared" ca="1" si="86"/>
        <v>0</v>
      </c>
      <c r="GK47">
        <f t="shared" ca="1" si="87"/>
        <v>0</v>
      </c>
      <c r="GL47">
        <f t="shared" ca="1" si="88"/>
        <v>0</v>
      </c>
      <c r="GM47">
        <f t="shared" ca="1" si="89"/>
        <v>40863</v>
      </c>
      <c r="GN47">
        <f t="shared" ca="1" si="90"/>
        <v>2043.15</v>
      </c>
      <c r="GO47">
        <f t="shared" ca="1" si="91"/>
        <v>2043</v>
      </c>
      <c r="GP47">
        <f t="shared" ca="1" si="92"/>
        <v>0</v>
      </c>
      <c r="GQ47">
        <f t="shared" ca="1" si="93"/>
        <v>0</v>
      </c>
      <c r="GR47">
        <f t="shared" ca="1" si="94"/>
        <v>2043</v>
      </c>
      <c r="GS47">
        <f t="shared" ca="1" si="95"/>
        <v>0</v>
      </c>
      <c r="GT47" t="b">
        <f t="shared" ca="1" si="96"/>
        <v>0</v>
      </c>
      <c r="GU47">
        <f t="shared" ca="1" si="97"/>
        <v>0</v>
      </c>
      <c r="GV47">
        <f t="shared" ca="1" si="98"/>
        <v>2043</v>
      </c>
      <c r="GW47">
        <f t="shared" ca="1" si="99"/>
        <v>0</v>
      </c>
      <c r="GX47">
        <f t="shared" ca="1" si="100"/>
        <v>0</v>
      </c>
      <c r="GY47">
        <f t="shared" ca="1" si="101"/>
        <v>0</v>
      </c>
    </row>
    <row r="48" spans="1:207" x14ac:dyDescent="0.25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2"/>
        <v>6800</v>
      </c>
      <c r="I48">
        <f>_xlfn.XLOOKUP(B48,'[1]march-2026'!$A:$A,'[1]march-2026'!$C:$C,0,0)</f>
        <v>51700</v>
      </c>
      <c r="J48">
        <f t="shared" si="168"/>
        <v>9306</v>
      </c>
      <c r="K48">
        <f t="shared" si="104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5"/>
        <v>67610</v>
      </c>
      <c r="O48">
        <f>_xlfn.XLOOKUP(B48,'[1]march-2026'!$A:$A,'[1]march-2026'!$H:$H,0,0)</f>
        <v>7000</v>
      </c>
      <c r="P48">
        <f>_xlfn.XLOOKUP(B48,'[1]march-2026'!$A:$A,'[1]march-2026'!$I:$I,0,0)</f>
        <v>0</v>
      </c>
      <c r="Q48">
        <f t="shared" si="106"/>
        <v>200</v>
      </c>
      <c r="R48">
        <f t="shared" si="107"/>
        <v>60410</v>
      </c>
      <c r="S48">
        <f>_xlfn.XLOOKUP(B48,'[2]april-2026'!$A:$A,'[2]april-2026'!$C:$C,0,0)</f>
        <v>51700</v>
      </c>
      <c r="T48">
        <f t="shared" si="108"/>
        <v>9306</v>
      </c>
      <c r="U48">
        <f t="shared" si="109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0"/>
        <v>67610</v>
      </c>
      <c r="Y48">
        <f>_xlfn.XLOOKUP(B48,'[2]april-2026'!$A:$A,'[2]april-2026'!$H:$H,0,0)</f>
        <v>7000</v>
      </c>
      <c r="Z48">
        <f>_xlfn.XLOOKUP(B48,'[2]april-2026'!$A:$A,'[2]april-2026'!$I:$I,0,0)</f>
        <v>0</v>
      </c>
      <c r="AA48">
        <f t="shared" si="111"/>
        <v>200</v>
      </c>
      <c r="AB48">
        <f t="shared" si="112"/>
        <v>60410</v>
      </c>
      <c r="AC48">
        <f>_xlfn.XLOOKUP(B48,'[3]may-2026'!$A:$A,'[3]may-2026'!$C:$C,0,0)</f>
        <v>51700</v>
      </c>
      <c r="AD48">
        <f t="shared" si="113"/>
        <v>9306</v>
      </c>
      <c r="AE48">
        <f t="shared" si="114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5"/>
        <v>67610</v>
      </c>
      <c r="AI48">
        <f>_xlfn.XLOOKUP(B48,'[3]may-2026'!$A:$A,'[3]may-2026'!$H:$H,0,0)</f>
        <v>7000</v>
      </c>
      <c r="AJ48">
        <f>_xlfn.XLOOKUP(B48,'[3]may-2026'!$A:$A,'[3]may-2026'!$I:$I,0,0)</f>
        <v>0</v>
      </c>
      <c r="AK48">
        <f t="shared" si="116"/>
        <v>200</v>
      </c>
      <c r="AL48">
        <f t="shared" si="117"/>
        <v>60410</v>
      </c>
      <c r="AM48">
        <f>_xlfn.XLOOKUP(B48,'[4]june-2026'!$A:$A,'[4]june-2026'!$C:$C,0,0)</f>
        <v>51700</v>
      </c>
      <c r="AN48">
        <f t="shared" si="118"/>
        <v>9306</v>
      </c>
      <c r="AO48">
        <f t="shared" si="119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0"/>
        <v>67610</v>
      </c>
      <c r="AS48">
        <f>_xlfn.XLOOKUP(B48,'[4]june-2026'!$A:$A,'[4]june-2026'!$H:$H,0,0)</f>
        <v>7000</v>
      </c>
      <c r="AT48">
        <f>_xlfn.XLOOKUP(B48,'[4]june-2026'!$A:$A,'[4]june-2026'!$I:$I,0,0)</f>
        <v>0</v>
      </c>
      <c r="AU48">
        <f t="shared" si="121"/>
        <v>200</v>
      </c>
      <c r="AV48">
        <f t="shared" si="122"/>
        <v>60410</v>
      </c>
      <c r="AW48">
        <f>_xlfn.XLOOKUP(B48,'[5]july-2026'!$A:$A,'[5]july-2026'!$C:$C,0,0)</f>
        <v>53300</v>
      </c>
      <c r="AX48">
        <f t="shared" si="123"/>
        <v>9594</v>
      </c>
      <c r="AY48">
        <v>46</v>
      </c>
      <c r="AZ48">
        <f t="shared" si="124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5"/>
        <v>69736</v>
      </c>
      <c r="BD48">
        <f>_xlfn.XLOOKUP(B48,'[5]july-2026'!$A:$A,'[5]july-2026'!$H:$H,0,0)</f>
        <v>7000</v>
      </c>
      <c r="BE48">
        <f>_xlfn.XLOOKUP(B48,'[5]july-2026'!$A:$A,'[5]july-2026'!$I:$I,0,0)</f>
        <v>0</v>
      </c>
      <c r="BF48">
        <f t="shared" si="126"/>
        <v>200</v>
      </c>
      <c r="BG48">
        <f t="shared" si="127"/>
        <v>62536</v>
      </c>
      <c r="BH48">
        <f>_xlfn.XLOOKUP(B48,'[6]august-2026'!$A:$A,'[6]august-2026'!$C:$C,0,0)</f>
        <v>53300</v>
      </c>
      <c r="BI48">
        <f t="shared" si="128"/>
        <v>9594</v>
      </c>
      <c r="BJ48">
        <f t="shared" si="129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0"/>
        <v>69690</v>
      </c>
      <c r="BN48">
        <f>_xlfn.XLOOKUP(B48,'[6]august-2026'!$A:$A,'[6]august-2026'!$H:$H,0,0)</f>
        <v>7000</v>
      </c>
      <c r="BO48">
        <f>_xlfn.XLOOKUP(B48,'[6]august-2026'!$A:$A,'[6]august-2026'!$I:$I,0,0)</f>
        <v>0</v>
      </c>
      <c r="BP48">
        <f t="shared" si="131"/>
        <v>200</v>
      </c>
      <c r="BQ48">
        <f t="shared" si="132"/>
        <v>62490</v>
      </c>
      <c r="BR48">
        <f>_xlfn.XLOOKUP(B48,'[7]september-2026'!$A:$A,'[7]september-2026'!$C:$C,0,0)</f>
        <v>53300</v>
      </c>
      <c r="BS48">
        <f t="shared" si="133"/>
        <v>9594</v>
      </c>
      <c r="BT48">
        <f t="shared" si="134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5"/>
        <v>69690</v>
      </c>
      <c r="BX48">
        <f>_xlfn.XLOOKUP(B48,'[7]september-2026'!$A:$A,'[7]september-2026'!$H:$H,0,0)</f>
        <v>7000</v>
      </c>
      <c r="BY48">
        <f>_xlfn.XLOOKUP(B48,'[7]september-2026'!$A:$A,'[7]september-2026'!$I:$I,0,0)</f>
        <v>0</v>
      </c>
      <c r="BZ48">
        <f t="shared" si="136"/>
        <v>200</v>
      </c>
      <c r="CA48">
        <f t="shared" si="137"/>
        <v>62490</v>
      </c>
      <c r="CB48">
        <f>_xlfn.XLOOKUP(B48,'[8]october-2026'!$A:$A,'[8]october-2026'!$C:$C,0,0)</f>
        <v>53300</v>
      </c>
      <c r="CC48">
        <f t="shared" si="138"/>
        <v>9594</v>
      </c>
      <c r="CD48">
        <f t="shared" si="139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0"/>
        <v>69690</v>
      </c>
      <c r="CH48">
        <f>_xlfn.XLOOKUP(B48,'[8]october-2026'!$A:$A,'[8]october-2026'!$H:$H,0,0)</f>
        <v>7000</v>
      </c>
      <c r="CI48">
        <f>_xlfn.XLOOKUP(B48,'[8]october-2026'!$A:$A,'[8]october-2026'!$I:$I,0,0)</f>
        <v>0</v>
      </c>
      <c r="CJ48">
        <f t="shared" si="141"/>
        <v>200</v>
      </c>
      <c r="CK48">
        <f t="shared" si="142"/>
        <v>62490</v>
      </c>
      <c r="CL48">
        <f>_xlfn.XLOOKUP(B48,'[9]november-2026'!$A:$A,'[9]november-2026'!$C:$C,0,0)</f>
        <v>53300</v>
      </c>
      <c r="CM48">
        <f t="shared" si="143"/>
        <v>9594</v>
      </c>
      <c r="CN48">
        <f t="shared" si="144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5"/>
        <v>69690</v>
      </c>
      <c r="CR48">
        <f>_xlfn.XLOOKUP(B48,'[9]november-2026'!$A:$A,'[9]november-2026'!$H:$H,0,0)</f>
        <v>7000</v>
      </c>
      <c r="CS48">
        <f>_xlfn.XLOOKUP(B48,'[9]november-2026'!$A:$A,'[9]november-2026'!$I:$I,0,0)</f>
        <v>0</v>
      </c>
      <c r="CT48">
        <f t="shared" si="146"/>
        <v>200</v>
      </c>
      <c r="CU48">
        <f t="shared" si="147"/>
        <v>62490</v>
      </c>
      <c r="CV48">
        <f>_xlfn.XLOOKUP(B48,'[10]december-2026'!$A:$A,'[10]december-2026'!$C:$C,0,0)</f>
        <v>53300</v>
      </c>
      <c r="CW48">
        <f t="shared" si="148"/>
        <v>9594</v>
      </c>
      <c r="CX48">
        <f t="shared" si="149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0"/>
        <v>69690</v>
      </c>
      <c r="DB48">
        <f>_xlfn.XLOOKUP(B48,'[10]december-2026'!$A:$A,'[10]december-2026'!$H:$H,0,0)</f>
        <v>7000</v>
      </c>
      <c r="DC48">
        <f>_xlfn.XLOOKUP(B48,'[10]december-2026'!$A:$A,'[10]december-2026'!$I:$I,0,0)</f>
        <v>0</v>
      </c>
      <c r="DD48">
        <f t="shared" si="151"/>
        <v>200</v>
      </c>
      <c r="DE48">
        <f t="shared" si="152"/>
        <v>62490</v>
      </c>
      <c r="DF48">
        <f xml:space="preserve"> _xlfn.XLOOKUP(B48,
'[11]january-2027'!$A:$A,
'[11]january-2027'!$C:$C,
0,0)</f>
        <v>53300</v>
      </c>
      <c r="DG48">
        <f t="shared" si="153"/>
        <v>9594</v>
      </c>
      <c r="DH48">
        <f t="shared" si="154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5"/>
        <v>69690</v>
      </c>
      <c r="DL48">
        <f xml:space="preserve"> _xlfn.XLOOKUP(B48,
'[11]january-2027'!$A:$A,
'[11]january-2027'!$H:$H,
0,0)</f>
        <v>7000</v>
      </c>
      <c r="DM48">
        <f xml:space="preserve"> _xlfn.XLOOKUP(B48,
'[11]january-2027'!$A:$A,
'[11]january-2027'!$I:$I,
0,0)</f>
        <v>0</v>
      </c>
      <c r="DN48">
        <f t="shared" si="156"/>
        <v>200</v>
      </c>
      <c r="DO48">
        <f t="shared" si="157"/>
        <v>62490</v>
      </c>
      <c r="DP48">
        <f xml:space="preserve"> _xlfn.XLOOKUP(B48,
'[12]february-2027'!$A:$A,
'[12]february-2027'!$C:$C,
0,0)</f>
        <v>53300</v>
      </c>
      <c r="DQ48">
        <f t="shared" si="158"/>
        <v>9594</v>
      </c>
      <c r="DR48">
        <f t="shared" si="159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0"/>
        <v>69690</v>
      </c>
      <c r="DV48">
        <f xml:space="preserve"> _xlfn.XLOOKUP(B48,
'[12]february-2027'!$A:$A,
'[12]february-2027'!$H:$H,
0,0)</f>
        <v>7000</v>
      </c>
      <c r="DW48">
        <f xml:space="preserve"> _xlfn.XLOOKUP(B48,
'[12]february-2027'!$A:$A,
'[12]february-2027'!$I:$I,
0,0)</f>
        <v>0</v>
      </c>
      <c r="DX48">
        <f t="shared" si="161"/>
        <v>200</v>
      </c>
      <c r="DY48">
        <f t="shared" si="162"/>
        <v>62490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3"/>
        <v>0</v>
      </c>
      <c r="EM48">
        <f t="shared" si="164"/>
        <v>834806</v>
      </c>
      <c r="EN48">
        <f t="shared" si="165"/>
        <v>2400</v>
      </c>
      <c r="EO48">
        <f t="shared" si="166"/>
        <v>50000</v>
      </c>
      <c r="EP48">
        <v>0</v>
      </c>
      <c r="EQ48">
        <f t="shared" si="167"/>
        <v>782406</v>
      </c>
      <c r="ER48">
        <f t="shared" si="62"/>
        <v>84000</v>
      </c>
      <c r="ES48">
        <f t="shared" si="63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4"/>
        <v>84000</v>
      </c>
      <c r="FE48">
        <f t="shared" si="65"/>
        <v>84000</v>
      </c>
      <c r="FF48">
        <f t="shared" si="66"/>
        <v>698406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>SUM(FG48:FM48)+(IF(F48="YES",50000,0))</f>
        <v>0</v>
      </c>
      <c r="FO48">
        <f t="shared" si="67"/>
        <v>698406</v>
      </c>
      <c r="FP48">
        <f t="shared" si="68"/>
        <v>12500</v>
      </c>
      <c r="FQ48">
        <f t="shared" si="69"/>
        <v>39681</v>
      </c>
      <c r="FR48">
        <f t="shared" si="70"/>
        <v>52181</v>
      </c>
      <c r="FS48">
        <f t="shared" si="71"/>
        <v>52181</v>
      </c>
      <c r="FT48">
        <f t="shared" si="72"/>
        <v>2087.2400000000002</v>
      </c>
      <c r="FU48">
        <f t="shared" si="73"/>
        <v>54268</v>
      </c>
      <c r="FV48">
        <v>0</v>
      </c>
      <c r="FW48">
        <f t="shared" si="74"/>
        <v>54268</v>
      </c>
      <c r="FX48" t="b">
        <f t="shared" si="75"/>
        <v>1</v>
      </c>
      <c r="FY48">
        <f t="shared" ca="1" si="76"/>
        <v>626</v>
      </c>
      <c r="FZ48">
        <f t="shared" ca="1" si="77"/>
        <v>835432</v>
      </c>
      <c r="GA48">
        <f t="shared" si="78"/>
        <v>75000</v>
      </c>
      <c r="GB48">
        <f t="shared" ca="1" si="79"/>
        <v>760432</v>
      </c>
      <c r="GC48">
        <f t="shared" ca="1" si="80"/>
        <v>0</v>
      </c>
      <c r="GD48">
        <f t="shared" ca="1" si="81"/>
        <v>0</v>
      </c>
      <c r="GE48">
        <f t="shared" ca="1" si="82"/>
        <v>0</v>
      </c>
      <c r="GF48">
        <f t="shared" ca="1" si="83"/>
        <v>0</v>
      </c>
      <c r="GG48">
        <f t="shared" ca="1" si="84"/>
        <v>0</v>
      </c>
      <c r="GH48">
        <f t="shared" ca="1" si="85"/>
        <v>0</v>
      </c>
      <c r="GI48">
        <f ca="1">IF(GB48&gt;1200000,GB48-1200000-IF(F48="YES",50000,0)-GG48,0)</f>
        <v>0</v>
      </c>
      <c r="GJ48">
        <f t="shared" ca="1" si="86"/>
        <v>0</v>
      </c>
      <c r="GK48">
        <f t="shared" ca="1" si="87"/>
        <v>0</v>
      </c>
      <c r="GL48">
        <f t="shared" ca="1" si="88"/>
        <v>0</v>
      </c>
      <c r="GM48">
        <f t="shared" ca="1" si="89"/>
        <v>360432</v>
      </c>
      <c r="GN48">
        <f t="shared" ca="1" si="90"/>
        <v>18021.600000000002</v>
      </c>
      <c r="GO48">
        <f t="shared" ca="1" si="91"/>
        <v>18022</v>
      </c>
      <c r="GP48">
        <f t="shared" ca="1" si="92"/>
        <v>0</v>
      </c>
      <c r="GQ48">
        <f t="shared" ca="1" si="93"/>
        <v>0</v>
      </c>
      <c r="GR48">
        <f t="shared" ca="1" si="94"/>
        <v>18022</v>
      </c>
      <c r="GS48">
        <f t="shared" ca="1" si="95"/>
        <v>0</v>
      </c>
      <c r="GT48" t="b">
        <f t="shared" ca="1" si="96"/>
        <v>0</v>
      </c>
      <c r="GU48">
        <f t="shared" ca="1" si="97"/>
        <v>0</v>
      </c>
      <c r="GV48">
        <f t="shared" ca="1" si="98"/>
        <v>18022</v>
      </c>
      <c r="GW48">
        <f t="shared" ca="1" si="99"/>
        <v>0</v>
      </c>
      <c r="GX48">
        <f t="shared" ca="1" si="100"/>
        <v>0</v>
      </c>
      <c r="GY48">
        <f t="shared" ca="1" si="101"/>
        <v>0</v>
      </c>
    </row>
    <row r="49" spans="1:207" x14ac:dyDescent="0.25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2"/>
        <v>6800</v>
      </c>
      <c r="I49">
        <f>_xlfn.XLOOKUP(B49,'[1]march-2026'!$A:$A,'[1]march-2026'!$C:$C,0,0)</f>
        <v>35500</v>
      </c>
      <c r="J49">
        <f t="shared" si="168"/>
        <v>6390</v>
      </c>
      <c r="K49">
        <f t="shared" si="104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5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6"/>
        <v>200</v>
      </c>
      <c r="R49">
        <f t="shared" si="107"/>
        <v>41450</v>
      </c>
      <c r="S49">
        <f>_xlfn.XLOOKUP(B49,'[2]april-2026'!$A:$A,'[2]april-2026'!$C:$C,0,0)</f>
        <v>35500</v>
      </c>
      <c r="T49">
        <f t="shared" si="108"/>
        <v>6390</v>
      </c>
      <c r="U49">
        <f t="shared" si="109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0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1"/>
        <v>200</v>
      </c>
      <c r="AB49">
        <f t="shared" si="112"/>
        <v>41450</v>
      </c>
      <c r="AC49">
        <f>_xlfn.XLOOKUP(B49,'[3]may-2026'!$A:$A,'[3]may-2026'!$C:$C,0,0)</f>
        <v>35500</v>
      </c>
      <c r="AD49">
        <f t="shared" si="113"/>
        <v>6390</v>
      </c>
      <c r="AE49">
        <f t="shared" si="114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5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6"/>
        <v>200</v>
      </c>
      <c r="AL49">
        <f t="shared" si="117"/>
        <v>41450</v>
      </c>
      <c r="AM49">
        <f>_xlfn.XLOOKUP(B49,'[4]june-2026'!$A:$A,'[4]june-2026'!$C:$C,0,0)</f>
        <v>35500</v>
      </c>
      <c r="AN49">
        <f t="shared" si="118"/>
        <v>6390</v>
      </c>
      <c r="AO49">
        <f t="shared" si="119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0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1"/>
        <v>200</v>
      </c>
      <c r="AV49">
        <f t="shared" si="122"/>
        <v>41450</v>
      </c>
      <c r="AW49">
        <f>_xlfn.XLOOKUP(B49,'[5]july-2026'!$A:$A,'[5]july-2026'!$C:$C,0,0)</f>
        <v>36600</v>
      </c>
      <c r="AX49">
        <f t="shared" si="123"/>
        <v>6588</v>
      </c>
      <c r="AY49">
        <v>47</v>
      </c>
      <c r="AZ49">
        <f t="shared" si="124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5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6"/>
        <v>200</v>
      </c>
      <c r="BG49">
        <f t="shared" si="127"/>
        <v>42927</v>
      </c>
      <c r="BH49">
        <f>_xlfn.XLOOKUP(B49,'[6]august-2026'!$A:$A,'[6]august-2026'!$C:$C,0,0)</f>
        <v>36600</v>
      </c>
      <c r="BI49">
        <f t="shared" si="128"/>
        <v>6588</v>
      </c>
      <c r="BJ49">
        <f t="shared" si="129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0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1"/>
        <v>200</v>
      </c>
      <c r="BQ49">
        <f t="shared" si="132"/>
        <v>42880</v>
      </c>
      <c r="BR49">
        <f>_xlfn.XLOOKUP(B49,'[7]september-2026'!$A:$A,'[7]september-2026'!$C:$C,0,0)</f>
        <v>36600</v>
      </c>
      <c r="BS49">
        <f t="shared" si="133"/>
        <v>6588</v>
      </c>
      <c r="BT49">
        <f t="shared" si="134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5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6"/>
        <v>200</v>
      </c>
      <c r="CA49">
        <f t="shared" si="137"/>
        <v>42880</v>
      </c>
      <c r="CB49">
        <f>_xlfn.XLOOKUP(B49,'[8]october-2026'!$A:$A,'[8]october-2026'!$C:$C,0,0)</f>
        <v>36600</v>
      </c>
      <c r="CC49">
        <f t="shared" si="138"/>
        <v>6588</v>
      </c>
      <c r="CD49">
        <f t="shared" si="139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0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1"/>
        <v>200</v>
      </c>
      <c r="CK49">
        <f t="shared" si="142"/>
        <v>42880</v>
      </c>
      <c r="CL49">
        <f>_xlfn.XLOOKUP(B49,'[9]november-2026'!$A:$A,'[9]november-2026'!$C:$C,0,0)</f>
        <v>36600</v>
      </c>
      <c r="CM49">
        <f t="shared" si="143"/>
        <v>6588</v>
      </c>
      <c r="CN49">
        <f t="shared" si="144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5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6"/>
        <v>200</v>
      </c>
      <c r="CU49">
        <f t="shared" si="147"/>
        <v>42880</v>
      </c>
      <c r="CV49">
        <f>_xlfn.XLOOKUP(B49,'[10]december-2026'!$A:$A,'[10]december-2026'!$C:$C,0,0)</f>
        <v>36600</v>
      </c>
      <c r="CW49">
        <f t="shared" si="148"/>
        <v>6588</v>
      </c>
      <c r="CX49">
        <f t="shared" si="149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0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1"/>
        <v>200</v>
      </c>
      <c r="DE49">
        <f t="shared" si="152"/>
        <v>42880</v>
      </c>
      <c r="DF49">
        <f xml:space="preserve"> _xlfn.XLOOKUP(B49,
'[11]january-2027'!$A:$A,
'[11]january-2027'!$C:$C,
0,0)</f>
        <v>36600</v>
      </c>
      <c r="DG49">
        <f t="shared" si="153"/>
        <v>6588</v>
      </c>
      <c r="DH49">
        <f t="shared" si="154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5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6"/>
        <v>200</v>
      </c>
      <c r="DO49">
        <f t="shared" si="157"/>
        <v>42880</v>
      </c>
      <c r="DP49">
        <f xml:space="preserve"> _xlfn.XLOOKUP(B49,
'[12]february-2027'!$A:$A,
'[12]february-2027'!$C:$C,
0,0)</f>
        <v>36600</v>
      </c>
      <c r="DQ49">
        <f t="shared" si="158"/>
        <v>6588</v>
      </c>
      <c r="DR49">
        <f t="shared" si="159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0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1"/>
        <v>200</v>
      </c>
      <c r="DY49">
        <f t="shared" si="162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3"/>
        <v>0</v>
      </c>
      <c r="EM49">
        <f t="shared" si="164"/>
        <v>578087</v>
      </c>
      <c r="EN49">
        <f t="shared" si="165"/>
        <v>2400</v>
      </c>
      <c r="EO49">
        <f t="shared" si="166"/>
        <v>50000</v>
      </c>
      <c r="EP49">
        <v>0</v>
      </c>
      <c r="EQ49">
        <f t="shared" si="167"/>
        <v>525687</v>
      </c>
      <c r="ER49">
        <f t="shared" si="62"/>
        <v>60000</v>
      </c>
      <c r="ES49">
        <f t="shared" si="63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4"/>
        <v>60000</v>
      </c>
      <c r="FE49">
        <f t="shared" si="65"/>
        <v>60000</v>
      </c>
      <c r="FF49">
        <f t="shared" si="66"/>
        <v>465687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>SUM(FG49:FM49)+(IF(F49="YES",50000,0))</f>
        <v>0</v>
      </c>
      <c r="FO49">
        <f t="shared" si="67"/>
        <v>465687</v>
      </c>
      <c r="FP49">
        <f t="shared" si="68"/>
        <v>10784</v>
      </c>
      <c r="FQ49">
        <f t="shared" si="69"/>
        <v>0</v>
      </c>
      <c r="FR49">
        <f t="shared" si="70"/>
        <v>10784</v>
      </c>
      <c r="FS49">
        <f t="shared" si="71"/>
        <v>0</v>
      </c>
      <c r="FT49">
        <f t="shared" si="72"/>
        <v>0</v>
      </c>
      <c r="FU49">
        <f t="shared" si="73"/>
        <v>0</v>
      </c>
      <c r="FV49">
        <v>0</v>
      </c>
      <c r="FW49">
        <f t="shared" si="74"/>
        <v>0</v>
      </c>
      <c r="FX49" t="b">
        <f t="shared" si="75"/>
        <v>1</v>
      </c>
      <c r="FY49">
        <f t="shared" ca="1" si="76"/>
        <v>627</v>
      </c>
      <c r="FZ49">
        <f t="shared" ca="1" si="77"/>
        <v>578714</v>
      </c>
      <c r="GA49">
        <f t="shared" si="78"/>
        <v>75000</v>
      </c>
      <c r="GB49">
        <f t="shared" ca="1" si="79"/>
        <v>503714</v>
      </c>
      <c r="GC49">
        <f t="shared" ca="1" si="80"/>
        <v>0</v>
      </c>
      <c r="GD49">
        <f t="shared" ca="1" si="81"/>
        <v>0</v>
      </c>
      <c r="GE49">
        <f t="shared" ca="1" si="82"/>
        <v>0</v>
      </c>
      <c r="GF49">
        <f t="shared" ca="1" si="83"/>
        <v>0</v>
      </c>
      <c r="GG49">
        <f t="shared" ca="1" si="84"/>
        <v>0</v>
      </c>
      <c r="GH49">
        <f t="shared" ca="1" si="85"/>
        <v>0</v>
      </c>
      <c r="GI49">
        <f ca="1">IF(GB49&gt;1200000,GB49-1200000-IF(F49="YES",50000,0)-GG49,0)</f>
        <v>0</v>
      </c>
      <c r="GJ49">
        <f t="shared" ca="1" si="86"/>
        <v>0</v>
      </c>
      <c r="GK49">
        <f t="shared" ca="1" si="87"/>
        <v>0</v>
      </c>
      <c r="GL49">
        <f t="shared" ca="1" si="88"/>
        <v>0</v>
      </c>
      <c r="GM49">
        <f t="shared" ca="1" si="89"/>
        <v>103714</v>
      </c>
      <c r="GN49">
        <f t="shared" ca="1" si="90"/>
        <v>5185.7000000000007</v>
      </c>
      <c r="GO49">
        <f t="shared" ca="1" si="91"/>
        <v>5186</v>
      </c>
      <c r="GP49">
        <f t="shared" ca="1" si="92"/>
        <v>0</v>
      </c>
      <c r="GQ49">
        <f t="shared" ca="1" si="93"/>
        <v>0</v>
      </c>
      <c r="GR49">
        <f t="shared" ca="1" si="94"/>
        <v>5186</v>
      </c>
      <c r="GS49">
        <f t="shared" ca="1" si="95"/>
        <v>0</v>
      </c>
      <c r="GT49" t="b">
        <f t="shared" ca="1" si="96"/>
        <v>0</v>
      </c>
      <c r="GU49">
        <f t="shared" ca="1" si="97"/>
        <v>0</v>
      </c>
      <c r="GV49">
        <f t="shared" ca="1" si="98"/>
        <v>5186</v>
      </c>
      <c r="GW49">
        <f t="shared" ca="1" si="99"/>
        <v>0</v>
      </c>
      <c r="GX49">
        <f t="shared" ca="1" si="100"/>
        <v>0</v>
      </c>
      <c r="GY49">
        <f t="shared" ca="1" si="101"/>
        <v>0</v>
      </c>
    </row>
    <row r="50" spans="1:207" x14ac:dyDescent="0.25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2"/>
        <v>6800</v>
      </c>
      <c r="I50">
        <f>_xlfn.XLOOKUP(B50,'[1]march-2026'!$A:$A,'[1]march-2026'!$C:$C,0,0)</f>
        <v>35500</v>
      </c>
      <c r="J50">
        <f t="shared" si="168"/>
        <v>6390</v>
      </c>
      <c r="K50">
        <f t="shared" si="104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5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6"/>
        <v>200</v>
      </c>
      <c r="R50">
        <f t="shared" si="107"/>
        <v>38450</v>
      </c>
      <c r="S50">
        <f>_xlfn.XLOOKUP(B50,'[2]april-2026'!$A:$A,'[2]april-2026'!$C:$C,0,0)</f>
        <v>35500</v>
      </c>
      <c r="T50">
        <f t="shared" si="108"/>
        <v>6390</v>
      </c>
      <c r="U50">
        <f t="shared" si="109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0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1"/>
        <v>200</v>
      </c>
      <c r="AB50">
        <f t="shared" si="112"/>
        <v>38450</v>
      </c>
      <c r="AC50">
        <f>_xlfn.XLOOKUP(B50,'[3]may-2026'!$A:$A,'[3]may-2026'!$C:$C,0,0)</f>
        <v>35500</v>
      </c>
      <c r="AD50">
        <f t="shared" si="113"/>
        <v>6390</v>
      </c>
      <c r="AE50">
        <f t="shared" si="114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5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6"/>
        <v>200</v>
      </c>
      <c r="AL50">
        <f t="shared" si="117"/>
        <v>38450</v>
      </c>
      <c r="AM50">
        <f>_xlfn.XLOOKUP(B50,'[4]june-2026'!$A:$A,'[4]june-2026'!$C:$C,0,0)</f>
        <v>35500</v>
      </c>
      <c r="AN50">
        <f t="shared" si="118"/>
        <v>6390</v>
      </c>
      <c r="AO50">
        <f t="shared" si="119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0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1"/>
        <v>200</v>
      </c>
      <c r="AV50">
        <f t="shared" si="122"/>
        <v>38450</v>
      </c>
      <c r="AW50">
        <f>_xlfn.XLOOKUP(B50,'[5]july-2026'!$A:$A,'[5]july-2026'!$C:$C,0,0)</f>
        <v>36600</v>
      </c>
      <c r="AX50">
        <f t="shared" si="123"/>
        <v>6588</v>
      </c>
      <c r="AY50">
        <v>48</v>
      </c>
      <c r="AZ50">
        <f t="shared" si="124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5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6"/>
        <v>200</v>
      </c>
      <c r="BG50">
        <f t="shared" si="127"/>
        <v>39928</v>
      </c>
      <c r="BH50">
        <f>_xlfn.XLOOKUP(B50,'[6]august-2026'!$A:$A,'[6]august-2026'!$C:$C,0,0)</f>
        <v>36600</v>
      </c>
      <c r="BI50">
        <f t="shared" si="128"/>
        <v>6588</v>
      </c>
      <c r="BJ50">
        <f t="shared" si="129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0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1"/>
        <v>200</v>
      </c>
      <c r="BQ50">
        <f t="shared" si="132"/>
        <v>39880</v>
      </c>
      <c r="BR50">
        <f>_xlfn.XLOOKUP(B50,'[7]september-2026'!$A:$A,'[7]september-2026'!$C:$C,0,0)</f>
        <v>36600</v>
      </c>
      <c r="BS50">
        <f t="shared" si="133"/>
        <v>6588</v>
      </c>
      <c r="BT50">
        <f t="shared" si="134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5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6"/>
        <v>200</v>
      </c>
      <c r="CA50">
        <f t="shared" si="137"/>
        <v>39880</v>
      </c>
      <c r="CB50">
        <f>_xlfn.XLOOKUP(B50,'[8]october-2026'!$A:$A,'[8]october-2026'!$C:$C,0,0)</f>
        <v>36600</v>
      </c>
      <c r="CC50">
        <f t="shared" si="138"/>
        <v>6588</v>
      </c>
      <c r="CD50">
        <f t="shared" si="139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0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1"/>
        <v>200</v>
      </c>
      <c r="CK50">
        <f t="shared" si="142"/>
        <v>39880</v>
      </c>
      <c r="CL50">
        <f>_xlfn.XLOOKUP(B50,'[9]november-2026'!$A:$A,'[9]november-2026'!$C:$C,0,0)</f>
        <v>36600</v>
      </c>
      <c r="CM50">
        <f t="shared" si="143"/>
        <v>6588</v>
      </c>
      <c r="CN50">
        <f t="shared" si="144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5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6"/>
        <v>200</v>
      </c>
      <c r="CU50">
        <f t="shared" si="147"/>
        <v>39880</v>
      </c>
      <c r="CV50">
        <f>_xlfn.XLOOKUP(B50,'[10]december-2026'!$A:$A,'[10]december-2026'!$C:$C,0,0)</f>
        <v>36600</v>
      </c>
      <c r="CW50">
        <f t="shared" si="148"/>
        <v>6588</v>
      </c>
      <c r="CX50">
        <f t="shared" si="149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0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1"/>
        <v>200</v>
      </c>
      <c r="DE50">
        <f t="shared" si="152"/>
        <v>39880</v>
      </c>
      <c r="DF50">
        <f xml:space="preserve"> _xlfn.XLOOKUP(B50,
'[11]january-2027'!$A:$A,
'[11]january-2027'!$C:$C,
0,0)</f>
        <v>36600</v>
      </c>
      <c r="DG50">
        <f t="shared" si="153"/>
        <v>6588</v>
      </c>
      <c r="DH50">
        <f t="shared" si="154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5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6"/>
        <v>200</v>
      </c>
      <c r="DO50">
        <f t="shared" si="157"/>
        <v>39880</v>
      </c>
      <c r="DP50">
        <f xml:space="preserve"> _xlfn.XLOOKUP(B50,
'[12]february-2027'!$A:$A,
'[12]february-2027'!$C:$C,
0,0)</f>
        <v>36600</v>
      </c>
      <c r="DQ50">
        <f t="shared" si="158"/>
        <v>6588</v>
      </c>
      <c r="DR50">
        <f t="shared" si="159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0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1"/>
        <v>200</v>
      </c>
      <c r="DY50">
        <f t="shared" si="162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3"/>
        <v>0</v>
      </c>
      <c r="EM50">
        <f t="shared" si="164"/>
        <v>578088</v>
      </c>
      <c r="EN50">
        <f t="shared" si="165"/>
        <v>2400</v>
      </c>
      <c r="EO50">
        <f t="shared" si="166"/>
        <v>50000</v>
      </c>
      <c r="EP50">
        <v>0</v>
      </c>
      <c r="EQ50">
        <f t="shared" si="167"/>
        <v>525688</v>
      </c>
      <c r="ER50">
        <f t="shared" si="62"/>
        <v>96000</v>
      </c>
      <c r="ES50">
        <f t="shared" si="63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4"/>
        <v>96000</v>
      </c>
      <c r="FE50">
        <f t="shared" si="65"/>
        <v>96000</v>
      </c>
      <c r="FF50">
        <f t="shared" si="66"/>
        <v>429688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>SUM(FG50:FM50)+(IF(F50="YES",50000,0))</f>
        <v>0</v>
      </c>
      <c r="FO50">
        <f t="shared" si="67"/>
        <v>429688</v>
      </c>
      <c r="FP50">
        <f t="shared" si="68"/>
        <v>8984</v>
      </c>
      <c r="FQ50">
        <f t="shared" si="69"/>
        <v>0</v>
      </c>
      <c r="FR50">
        <f t="shared" si="70"/>
        <v>8984</v>
      </c>
      <c r="FS50">
        <f t="shared" si="71"/>
        <v>0</v>
      </c>
      <c r="FT50">
        <f t="shared" si="72"/>
        <v>0</v>
      </c>
      <c r="FU50">
        <f t="shared" si="73"/>
        <v>0</v>
      </c>
      <c r="FV50">
        <v>0</v>
      </c>
      <c r="FW50">
        <f t="shared" si="74"/>
        <v>0</v>
      </c>
      <c r="FX50" t="b">
        <f t="shared" si="75"/>
        <v>1</v>
      </c>
      <c r="FY50">
        <f t="shared" ca="1" si="76"/>
        <v>896</v>
      </c>
      <c r="FZ50">
        <f t="shared" ca="1" si="77"/>
        <v>578984</v>
      </c>
      <c r="GA50">
        <f t="shared" si="78"/>
        <v>75000</v>
      </c>
      <c r="GB50">
        <f t="shared" ca="1" si="79"/>
        <v>503984</v>
      </c>
      <c r="GC50">
        <f t="shared" ca="1" si="80"/>
        <v>0</v>
      </c>
      <c r="GD50">
        <f t="shared" ca="1" si="81"/>
        <v>0</v>
      </c>
      <c r="GE50">
        <f t="shared" ca="1" si="82"/>
        <v>0</v>
      </c>
      <c r="GF50">
        <f t="shared" ca="1" si="83"/>
        <v>0</v>
      </c>
      <c r="GG50">
        <f t="shared" ca="1" si="84"/>
        <v>0</v>
      </c>
      <c r="GH50">
        <f t="shared" ca="1" si="85"/>
        <v>0</v>
      </c>
      <c r="GI50">
        <f ca="1">IF(GB50&gt;1200000,GB50-1200000-IF(F50="YES",50000,0)-GG50,0)</f>
        <v>0</v>
      </c>
      <c r="GJ50">
        <f t="shared" ca="1" si="86"/>
        <v>0</v>
      </c>
      <c r="GK50">
        <f t="shared" ca="1" si="87"/>
        <v>0</v>
      </c>
      <c r="GL50">
        <f t="shared" ca="1" si="88"/>
        <v>0</v>
      </c>
      <c r="GM50">
        <f t="shared" ca="1" si="89"/>
        <v>103984</v>
      </c>
      <c r="GN50">
        <f t="shared" ca="1" si="90"/>
        <v>5199.2000000000007</v>
      </c>
      <c r="GO50">
        <f t="shared" ca="1" si="91"/>
        <v>5199</v>
      </c>
      <c r="GP50">
        <f t="shared" ca="1" si="92"/>
        <v>0</v>
      </c>
      <c r="GQ50">
        <f t="shared" ca="1" si="93"/>
        <v>0</v>
      </c>
      <c r="GR50">
        <f t="shared" ca="1" si="94"/>
        <v>5199</v>
      </c>
      <c r="GS50">
        <f t="shared" ca="1" si="95"/>
        <v>0</v>
      </c>
      <c r="GT50" t="b">
        <f t="shared" ca="1" si="96"/>
        <v>0</v>
      </c>
      <c r="GU50">
        <f t="shared" ca="1" si="97"/>
        <v>0</v>
      </c>
      <c r="GV50">
        <f t="shared" ca="1" si="98"/>
        <v>5199</v>
      </c>
      <c r="GW50">
        <f t="shared" ca="1" si="99"/>
        <v>0</v>
      </c>
      <c r="GX50">
        <f t="shared" ca="1" si="100"/>
        <v>0</v>
      </c>
      <c r="GY50">
        <f t="shared" ca="1" si="101"/>
        <v>0</v>
      </c>
    </row>
    <row r="51" spans="1:207" x14ac:dyDescent="0.25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2"/>
        <v>6800</v>
      </c>
      <c r="I51">
        <f>_xlfn.XLOOKUP(B51,'[1]march-2026'!$A:$A,'[1]march-2026'!$C:$C,0,0)</f>
        <v>35500</v>
      </c>
      <c r="J51">
        <f t="shared" si="168"/>
        <v>6390</v>
      </c>
      <c r="K51">
        <f t="shared" si="104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5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6"/>
        <v>200</v>
      </c>
      <c r="R51">
        <f t="shared" si="107"/>
        <v>41450</v>
      </c>
      <c r="S51">
        <f>_xlfn.XLOOKUP(B51,'[2]april-2026'!$A:$A,'[2]april-2026'!$C:$C,0,0)</f>
        <v>35500</v>
      </c>
      <c r="T51">
        <f t="shared" si="108"/>
        <v>6390</v>
      </c>
      <c r="U51">
        <f t="shared" si="109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0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1"/>
        <v>200</v>
      </c>
      <c r="AB51">
        <f t="shared" si="112"/>
        <v>41450</v>
      </c>
      <c r="AC51">
        <f>_xlfn.XLOOKUP(B51,'[3]may-2026'!$A:$A,'[3]may-2026'!$C:$C,0,0)</f>
        <v>35500</v>
      </c>
      <c r="AD51">
        <f t="shared" si="113"/>
        <v>6390</v>
      </c>
      <c r="AE51">
        <f t="shared" si="114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5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6"/>
        <v>200</v>
      </c>
      <c r="AL51">
        <f t="shared" si="117"/>
        <v>41450</v>
      </c>
      <c r="AM51">
        <f>_xlfn.XLOOKUP(B51,'[4]june-2026'!$A:$A,'[4]june-2026'!$C:$C,0,0)</f>
        <v>35500</v>
      </c>
      <c r="AN51">
        <f t="shared" si="118"/>
        <v>6390</v>
      </c>
      <c r="AO51">
        <f t="shared" si="119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0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1"/>
        <v>200</v>
      </c>
      <c r="AV51">
        <f t="shared" si="122"/>
        <v>41450</v>
      </c>
      <c r="AW51">
        <f>_xlfn.XLOOKUP(B51,'[5]july-2026'!$A:$A,'[5]july-2026'!$C:$C,0,0)</f>
        <v>36600</v>
      </c>
      <c r="AX51">
        <f t="shared" si="123"/>
        <v>6588</v>
      </c>
      <c r="AY51">
        <v>49</v>
      </c>
      <c r="AZ51">
        <f t="shared" si="124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5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6"/>
        <v>200</v>
      </c>
      <c r="BG51">
        <f t="shared" si="127"/>
        <v>42929</v>
      </c>
      <c r="BH51">
        <f>_xlfn.XLOOKUP(B51,'[6]august-2026'!$A:$A,'[6]august-2026'!$C:$C,0,0)</f>
        <v>36600</v>
      </c>
      <c r="BI51">
        <f t="shared" si="128"/>
        <v>6588</v>
      </c>
      <c r="BJ51">
        <f t="shared" si="129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0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1"/>
        <v>200</v>
      </c>
      <c r="BQ51">
        <f t="shared" si="132"/>
        <v>42880</v>
      </c>
      <c r="BR51">
        <f>_xlfn.XLOOKUP(B51,'[7]september-2026'!$A:$A,'[7]september-2026'!$C:$C,0,0)</f>
        <v>36600</v>
      </c>
      <c r="BS51">
        <f t="shared" si="133"/>
        <v>6588</v>
      </c>
      <c r="BT51">
        <f t="shared" si="134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5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6"/>
        <v>200</v>
      </c>
      <c r="CA51">
        <f t="shared" si="137"/>
        <v>42880</v>
      </c>
      <c r="CB51">
        <f>_xlfn.XLOOKUP(B51,'[8]october-2026'!$A:$A,'[8]october-2026'!$C:$C,0,0)</f>
        <v>36600</v>
      </c>
      <c r="CC51">
        <f t="shared" si="138"/>
        <v>6588</v>
      </c>
      <c r="CD51">
        <f t="shared" si="139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0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1"/>
        <v>200</v>
      </c>
      <c r="CK51">
        <f t="shared" si="142"/>
        <v>42880</v>
      </c>
      <c r="CL51">
        <f>_xlfn.XLOOKUP(B51,'[9]november-2026'!$A:$A,'[9]november-2026'!$C:$C,0,0)</f>
        <v>36600</v>
      </c>
      <c r="CM51">
        <f t="shared" si="143"/>
        <v>6588</v>
      </c>
      <c r="CN51">
        <f t="shared" si="144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5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6"/>
        <v>200</v>
      </c>
      <c r="CU51">
        <f t="shared" si="147"/>
        <v>42880</v>
      </c>
      <c r="CV51">
        <f>_xlfn.XLOOKUP(B51,'[10]december-2026'!$A:$A,'[10]december-2026'!$C:$C,0,0)</f>
        <v>36600</v>
      </c>
      <c r="CW51">
        <f t="shared" si="148"/>
        <v>6588</v>
      </c>
      <c r="CX51">
        <f t="shared" si="149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0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1"/>
        <v>200</v>
      </c>
      <c r="DE51">
        <f t="shared" si="152"/>
        <v>42880</v>
      </c>
      <c r="DF51">
        <f xml:space="preserve"> _xlfn.XLOOKUP(B51,
'[11]january-2027'!$A:$A,
'[11]january-2027'!$C:$C,
0,0)</f>
        <v>36600</v>
      </c>
      <c r="DG51">
        <f t="shared" si="153"/>
        <v>6588</v>
      </c>
      <c r="DH51">
        <f t="shared" si="154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5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6"/>
        <v>200</v>
      </c>
      <c r="DO51">
        <f t="shared" si="157"/>
        <v>42880</v>
      </c>
      <c r="DP51">
        <f xml:space="preserve"> _xlfn.XLOOKUP(B51,
'[12]february-2027'!$A:$A,
'[12]february-2027'!$C:$C,
0,0)</f>
        <v>36600</v>
      </c>
      <c r="DQ51">
        <f t="shared" si="158"/>
        <v>6588</v>
      </c>
      <c r="DR51">
        <f t="shared" si="159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0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1"/>
        <v>200</v>
      </c>
      <c r="DY51">
        <f t="shared" si="162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3"/>
        <v>0</v>
      </c>
      <c r="EM51">
        <f t="shared" si="164"/>
        <v>578089</v>
      </c>
      <c r="EN51">
        <f t="shared" si="165"/>
        <v>2400</v>
      </c>
      <c r="EO51">
        <f t="shared" si="166"/>
        <v>50000</v>
      </c>
      <c r="EP51">
        <v>0</v>
      </c>
      <c r="EQ51">
        <f t="shared" si="167"/>
        <v>525689</v>
      </c>
      <c r="ER51">
        <f t="shared" si="62"/>
        <v>60000</v>
      </c>
      <c r="ES51">
        <f t="shared" si="63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4"/>
        <v>60000</v>
      </c>
      <c r="FE51">
        <f t="shared" si="65"/>
        <v>60000</v>
      </c>
      <c r="FF51">
        <f t="shared" si="66"/>
        <v>465689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>SUM(FG51:FM51)+(IF(F51="YES",50000,0))</f>
        <v>0</v>
      </c>
      <c r="FO51">
        <f t="shared" si="67"/>
        <v>465689</v>
      </c>
      <c r="FP51">
        <f t="shared" si="68"/>
        <v>10784</v>
      </c>
      <c r="FQ51">
        <f t="shared" si="69"/>
        <v>0</v>
      </c>
      <c r="FR51">
        <f t="shared" si="70"/>
        <v>10784</v>
      </c>
      <c r="FS51">
        <f t="shared" si="71"/>
        <v>0</v>
      </c>
      <c r="FT51">
        <f t="shared" si="72"/>
        <v>0</v>
      </c>
      <c r="FU51">
        <f t="shared" si="73"/>
        <v>0</v>
      </c>
      <c r="FV51">
        <v>0</v>
      </c>
      <c r="FW51">
        <f t="shared" si="74"/>
        <v>0</v>
      </c>
      <c r="FX51" t="b">
        <f t="shared" si="75"/>
        <v>1</v>
      </c>
      <c r="FY51">
        <f t="shared" ca="1" si="76"/>
        <v>515</v>
      </c>
      <c r="FZ51">
        <f t="shared" ca="1" si="77"/>
        <v>578604</v>
      </c>
      <c r="GA51">
        <f t="shared" si="78"/>
        <v>75000</v>
      </c>
      <c r="GB51">
        <f t="shared" ca="1" si="79"/>
        <v>503604</v>
      </c>
      <c r="GC51">
        <f t="shared" ca="1" si="80"/>
        <v>0</v>
      </c>
      <c r="GD51">
        <f t="shared" ca="1" si="81"/>
        <v>0</v>
      </c>
      <c r="GE51">
        <f t="shared" ca="1" si="82"/>
        <v>0</v>
      </c>
      <c r="GF51">
        <f t="shared" ca="1" si="83"/>
        <v>0</v>
      </c>
      <c r="GG51">
        <f t="shared" ca="1" si="84"/>
        <v>0</v>
      </c>
      <c r="GH51">
        <f t="shared" ca="1" si="85"/>
        <v>0</v>
      </c>
      <c r="GI51">
        <f ca="1">IF(GB51&gt;1200000,GB51-1200000-IF(F51="YES",50000,0)-GG51,0)</f>
        <v>0</v>
      </c>
      <c r="GJ51">
        <f t="shared" ca="1" si="86"/>
        <v>0</v>
      </c>
      <c r="GK51">
        <f t="shared" ca="1" si="87"/>
        <v>0</v>
      </c>
      <c r="GL51">
        <f t="shared" ca="1" si="88"/>
        <v>0</v>
      </c>
      <c r="GM51">
        <f t="shared" ca="1" si="89"/>
        <v>103604</v>
      </c>
      <c r="GN51">
        <f t="shared" ca="1" si="90"/>
        <v>5180.2000000000007</v>
      </c>
      <c r="GO51">
        <f t="shared" ca="1" si="91"/>
        <v>5180</v>
      </c>
      <c r="GP51">
        <f t="shared" ca="1" si="92"/>
        <v>0</v>
      </c>
      <c r="GQ51">
        <f t="shared" ca="1" si="93"/>
        <v>0</v>
      </c>
      <c r="GR51">
        <f t="shared" ca="1" si="94"/>
        <v>5180</v>
      </c>
      <c r="GS51">
        <f t="shared" ca="1" si="95"/>
        <v>0</v>
      </c>
      <c r="GT51" t="b">
        <f t="shared" ca="1" si="96"/>
        <v>0</v>
      </c>
      <c r="GU51">
        <f t="shared" ca="1" si="97"/>
        <v>0</v>
      </c>
      <c r="GV51">
        <f t="shared" ca="1" si="98"/>
        <v>5180</v>
      </c>
      <c r="GW51">
        <f t="shared" ca="1" si="99"/>
        <v>0</v>
      </c>
      <c r="GX51">
        <f t="shared" ca="1" si="100"/>
        <v>0</v>
      </c>
      <c r="GY51">
        <f t="shared" ca="1" si="101"/>
        <v>0</v>
      </c>
    </row>
    <row r="52" spans="1:207" x14ac:dyDescent="0.25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2"/>
        <v>6800</v>
      </c>
      <c r="I52">
        <f>_xlfn.XLOOKUP(B52,'[1]march-2026'!$A:$A,'[1]march-2026'!$C:$C,0,0)</f>
        <v>50200</v>
      </c>
      <c r="J52">
        <f t="shared" si="168"/>
        <v>9036</v>
      </c>
      <c r="K52">
        <f t="shared" si="104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5"/>
        <v>66160</v>
      </c>
      <c r="O52">
        <f>_xlfn.XLOOKUP(B52,'[1]march-2026'!$A:$A,'[1]march-2026'!$H:$H,0,0)</f>
        <v>6000</v>
      </c>
      <c r="P52">
        <f>_xlfn.XLOOKUP(B52,'[1]march-2026'!$A:$A,'[1]march-2026'!$I:$I,0,0)</f>
        <v>0</v>
      </c>
      <c r="Q52">
        <f t="shared" si="106"/>
        <v>200</v>
      </c>
      <c r="R52">
        <f t="shared" si="107"/>
        <v>59960</v>
      </c>
      <c r="S52">
        <f>_xlfn.XLOOKUP(B52,'[2]april-2026'!$A:$A,'[2]april-2026'!$C:$C,0,0)</f>
        <v>50200</v>
      </c>
      <c r="T52">
        <f t="shared" si="108"/>
        <v>9036</v>
      </c>
      <c r="U52">
        <f t="shared" si="109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0"/>
        <v>66160</v>
      </c>
      <c r="Y52">
        <f>_xlfn.XLOOKUP(B52,'[2]april-2026'!$A:$A,'[2]april-2026'!$H:$H,0,0)</f>
        <v>6000</v>
      </c>
      <c r="Z52">
        <f>_xlfn.XLOOKUP(B52,'[2]april-2026'!$A:$A,'[2]april-2026'!$I:$I,0,0)</f>
        <v>0</v>
      </c>
      <c r="AA52">
        <f t="shared" si="111"/>
        <v>200</v>
      </c>
      <c r="AB52">
        <f t="shared" si="112"/>
        <v>59960</v>
      </c>
      <c r="AC52">
        <f>_xlfn.XLOOKUP(B52,'[3]may-2026'!$A:$A,'[3]may-2026'!$C:$C,0,0)</f>
        <v>50200</v>
      </c>
      <c r="AD52">
        <f t="shared" si="113"/>
        <v>9036</v>
      </c>
      <c r="AE52">
        <f t="shared" si="114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5"/>
        <v>66160</v>
      </c>
      <c r="AI52">
        <f>_xlfn.XLOOKUP(B52,'[3]may-2026'!$A:$A,'[3]may-2026'!$H:$H,0,0)</f>
        <v>6000</v>
      </c>
      <c r="AJ52">
        <f>_xlfn.XLOOKUP(B52,'[3]may-2026'!$A:$A,'[3]may-2026'!$I:$I,0,0)</f>
        <v>0</v>
      </c>
      <c r="AK52">
        <f t="shared" si="116"/>
        <v>200</v>
      </c>
      <c r="AL52">
        <f t="shared" si="117"/>
        <v>59960</v>
      </c>
      <c r="AM52">
        <f>_xlfn.XLOOKUP(B52,'[4]june-2026'!$A:$A,'[4]june-2026'!$C:$C,0,0)</f>
        <v>50200</v>
      </c>
      <c r="AN52">
        <f t="shared" si="118"/>
        <v>9036</v>
      </c>
      <c r="AO52">
        <f t="shared" si="119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0"/>
        <v>66160</v>
      </c>
      <c r="AS52">
        <f>_xlfn.XLOOKUP(B52,'[4]june-2026'!$A:$A,'[4]june-2026'!$H:$H,0,0)</f>
        <v>6000</v>
      </c>
      <c r="AT52">
        <f>_xlfn.XLOOKUP(B52,'[4]june-2026'!$A:$A,'[4]june-2026'!$I:$I,0,0)</f>
        <v>0</v>
      </c>
      <c r="AU52">
        <f t="shared" si="121"/>
        <v>200</v>
      </c>
      <c r="AV52">
        <f t="shared" si="122"/>
        <v>59960</v>
      </c>
      <c r="AW52">
        <f>_xlfn.XLOOKUP(B52,'[5]july-2026'!$A:$A,'[5]july-2026'!$C:$C,0,0)</f>
        <v>51700</v>
      </c>
      <c r="AX52">
        <f t="shared" si="123"/>
        <v>9306</v>
      </c>
      <c r="AY52">
        <v>50</v>
      </c>
      <c r="AZ52">
        <f t="shared" si="124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5"/>
        <v>68160</v>
      </c>
      <c r="BD52">
        <f>_xlfn.XLOOKUP(B52,'[5]july-2026'!$A:$A,'[5]july-2026'!$H:$H,0,0)</f>
        <v>6000</v>
      </c>
      <c r="BE52">
        <f>_xlfn.XLOOKUP(B52,'[5]july-2026'!$A:$A,'[5]july-2026'!$I:$I,0,0)</f>
        <v>0</v>
      </c>
      <c r="BF52">
        <f t="shared" si="126"/>
        <v>200</v>
      </c>
      <c r="BG52">
        <f t="shared" si="127"/>
        <v>61960</v>
      </c>
      <c r="BH52">
        <f>_xlfn.XLOOKUP(B52,'[6]august-2026'!$A:$A,'[6]august-2026'!$C:$C,0,0)</f>
        <v>51700</v>
      </c>
      <c r="BI52">
        <f t="shared" si="128"/>
        <v>9306</v>
      </c>
      <c r="BJ52">
        <f t="shared" si="129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0"/>
        <v>68110</v>
      </c>
      <c r="BN52">
        <f>_xlfn.XLOOKUP(B52,'[6]august-2026'!$A:$A,'[6]august-2026'!$H:$H,0,0)</f>
        <v>6000</v>
      </c>
      <c r="BO52">
        <f>_xlfn.XLOOKUP(B52,'[6]august-2026'!$A:$A,'[6]august-2026'!$I:$I,0,0)</f>
        <v>0</v>
      </c>
      <c r="BP52">
        <f t="shared" si="131"/>
        <v>200</v>
      </c>
      <c r="BQ52">
        <f t="shared" si="132"/>
        <v>61910</v>
      </c>
      <c r="BR52">
        <f>_xlfn.XLOOKUP(B52,'[7]september-2026'!$A:$A,'[7]september-2026'!$C:$C,0,0)</f>
        <v>51700</v>
      </c>
      <c r="BS52">
        <f t="shared" si="133"/>
        <v>9306</v>
      </c>
      <c r="BT52">
        <f t="shared" si="134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5"/>
        <v>68110</v>
      </c>
      <c r="BX52">
        <f>_xlfn.XLOOKUP(B52,'[7]september-2026'!$A:$A,'[7]september-2026'!$H:$H,0,0)</f>
        <v>6000</v>
      </c>
      <c r="BY52">
        <f>_xlfn.XLOOKUP(B52,'[7]september-2026'!$A:$A,'[7]september-2026'!$I:$I,0,0)</f>
        <v>0</v>
      </c>
      <c r="BZ52">
        <f t="shared" si="136"/>
        <v>200</v>
      </c>
      <c r="CA52">
        <f t="shared" si="137"/>
        <v>61910</v>
      </c>
      <c r="CB52">
        <f>_xlfn.XLOOKUP(B52,'[8]october-2026'!$A:$A,'[8]october-2026'!$C:$C,0,0)</f>
        <v>51700</v>
      </c>
      <c r="CC52">
        <f t="shared" si="138"/>
        <v>9306</v>
      </c>
      <c r="CD52">
        <f t="shared" si="139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0"/>
        <v>68110</v>
      </c>
      <c r="CH52">
        <f>_xlfn.XLOOKUP(B52,'[8]october-2026'!$A:$A,'[8]october-2026'!$H:$H,0,0)</f>
        <v>6000</v>
      </c>
      <c r="CI52">
        <f>_xlfn.XLOOKUP(B52,'[8]october-2026'!$A:$A,'[8]october-2026'!$I:$I,0,0)</f>
        <v>0</v>
      </c>
      <c r="CJ52">
        <f t="shared" si="141"/>
        <v>200</v>
      </c>
      <c r="CK52">
        <f t="shared" si="142"/>
        <v>61910</v>
      </c>
      <c r="CL52">
        <f>_xlfn.XLOOKUP(B52,'[9]november-2026'!$A:$A,'[9]november-2026'!$C:$C,0,0)</f>
        <v>51700</v>
      </c>
      <c r="CM52">
        <f t="shared" si="143"/>
        <v>9306</v>
      </c>
      <c r="CN52">
        <f t="shared" si="144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5"/>
        <v>68110</v>
      </c>
      <c r="CR52">
        <f>_xlfn.XLOOKUP(B52,'[9]november-2026'!$A:$A,'[9]november-2026'!$H:$H,0,0)</f>
        <v>6000</v>
      </c>
      <c r="CS52">
        <f>_xlfn.XLOOKUP(B52,'[9]november-2026'!$A:$A,'[9]november-2026'!$I:$I,0,0)</f>
        <v>0</v>
      </c>
      <c r="CT52">
        <f t="shared" si="146"/>
        <v>200</v>
      </c>
      <c r="CU52">
        <f t="shared" si="147"/>
        <v>61910</v>
      </c>
      <c r="CV52">
        <f>_xlfn.XLOOKUP(B52,'[10]december-2026'!$A:$A,'[10]december-2026'!$C:$C,0,0)</f>
        <v>51700</v>
      </c>
      <c r="CW52">
        <f t="shared" si="148"/>
        <v>9306</v>
      </c>
      <c r="CX52">
        <f t="shared" si="149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0"/>
        <v>68110</v>
      </c>
      <c r="DB52">
        <f>_xlfn.XLOOKUP(B52,'[10]december-2026'!$A:$A,'[10]december-2026'!$H:$H,0,0)</f>
        <v>6000</v>
      </c>
      <c r="DC52">
        <f>_xlfn.XLOOKUP(B52,'[10]december-2026'!$A:$A,'[10]december-2026'!$I:$I,0,0)</f>
        <v>0</v>
      </c>
      <c r="DD52">
        <f t="shared" si="151"/>
        <v>200</v>
      </c>
      <c r="DE52">
        <f t="shared" si="152"/>
        <v>61910</v>
      </c>
      <c r="DF52">
        <f xml:space="preserve"> _xlfn.XLOOKUP(B52,
'[11]january-2027'!$A:$A,
'[11]january-2027'!$C:$C,
0,0)</f>
        <v>51700</v>
      </c>
      <c r="DG52">
        <f t="shared" si="153"/>
        <v>9306</v>
      </c>
      <c r="DH52">
        <f t="shared" si="154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5"/>
        <v>68110</v>
      </c>
      <c r="DL52">
        <f xml:space="preserve"> _xlfn.XLOOKUP(B52,
'[11]january-2027'!$A:$A,
'[11]january-2027'!$H:$H,
0,0)</f>
        <v>6000</v>
      </c>
      <c r="DM52">
        <f xml:space="preserve"> _xlfn.XLOOKUP(B52,
'[11]january-2027'!$A:$A,
'[11]january-2027'!$I:$I,
0,0)</f>
        <v>0</v>
      </c>
      <c r="DN52">
        <f t="shared" si="156"/>
        <v>200</v>
      </c>
      <c r="DO52">
        <f t="shared" si="157"/>
        <v>61910</v>
      </c>
      <c r="DP52">
        <f xml:space="preserve"> _xlfn.XLOOKUP(B52,
'[12]february-2027'!$A:$A,
'[12]february-2027'!$C:$C,
0,0)</f>
        <v>51700</v>
      </c>
      <c r="DQ52">
        <f t="shared" si="158"/>
        <v>9306</v>
      </c>
      <c r="DR52">
        <f t="shared" si="159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0"/>
        <v>68110</v>
      </c>
      <c r="DV52">
        <f xml:space="preserve"> _xlfn.XLOOKUP(B52,
'[12]february-2027'!$A:$A,
'[12]february-2027'!$H:$H,
0,0)</f>
        <v>6000</v>
      </c>
      <c r="DW52">
        <f xml:space="preserve"> _xlfn.XLOOKUP(B52,
'[12]february-2027'!$A:$A,
'[12]february-2027'!$I:$I,
0,0)</f>
        <v>0</v>
      </c>
      <c r="DX52">
        <f t="shared" si="161"/>
        <v>200</v>
      </c>
      <c r="DY52">
        <f t="shared" si="162"/>
        <v>61910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3"/>
        <v>0</v>
      </c>
      <c r="EM52">
        <f t="shared" si="164"/>
        <v>816370</v>
      </c>
      <c r="EN52">
        <f t="shared" si="165"/>
        <v>2400</v>
      </c>
      <c r="EO52">
        <f t="shared" si="166"/>
        <v>50000</v>
      </c>
      <c r="EP52">
        <v>0</v>
      </c>
      <c r="EQ52">
        <f t="shared" si="167"/>
        <v>763970</v>
      </c>
      <c r="ER52">
        <f t="shared" si="62"/>
        <v>72000</v>
      </c>
      <c r="ES52">
        <f t="shared" si="63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4"/>
        <v>72000</v>
      </c>
      <c r="FE52">
        <f t="shared" si="65"/>
        <v>72000</v>
      </c>
      <c r="FF52">
        <f t="shared" si="66"/>
        <v>691970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>SUM(FG52:FM52)+(IF(F52="YES",50000,0))</f>
        <v>0</v>
      </c>
      <c r="FO52">
        <f t="shared" si="67"/>
        <v>691970</v>
      </c>
      <c r="FP52">
        <f t="shared" si="68"/>
        <v>12500</v>
      </c>
      <c r="FQ52">
        <f t="shared" si="69"/>
        <v>38394</v>
      </c>
      <c r="FR52">
        <f t="shared" si="70"/>
        <v>50894</v>
      </c>
      <c r="FS52">
        <f t="shared" si="71"/>
        <v>50894</v>
      </c>
      <c r="FT52">
        <f t="shared" si="72"/>
        <v>2035.76</v>
      </c>
      <c r="FU52">
        <f t="shared" si="73"/>
        <v>52930</v>
      </c>
      <c r="FV52">
        <v>0</v>
      </c>
      <c r="FW52">
        <f t="shared" si="74"/>
        <v>52930</v>
      </c>
      <c r="FX52" t="b">
        <f t="shared" si="75"/>
        <v>1</v>
      </c>
      <c r="FY52">
        <f t="shared" ca="1" si="76"/>
        <v>685</v>
      </c>
      <c r="FZ52">
        <f t="shared" ca="1" si="77"/>
        <v>817055</v>
      </c>
      <c r="GA52">
        <f t="shared" si="78"/>
        <v>75000</v>
      </c>
      <c r="GB52">
        <f t="shared" ca="1" si="79"/>
        <v>742055</v>
      </c>
      <c r="GC52">
        <f t="shared" ca="1" si="80"/>
        <v>0</v>
      </c>
      <c r="GD52">
        <f t="shared" ca="1" si="81"/>
        <v>0</v>
      </c>
      <c r="GE52">
        <f t="shared" ca="1" si="82"/>
        <v>0</v>
      </c>
      <c r="GF52">
        <f t="shared" ca="1" si="83"/>
        <v>0</v>
      </c>
      <c r="GG52">
        <f t="shared" ca="1" si="84"/>
        <v>0</v>
      </c>
      <c r="GH52">
        <f t="shared" ca="1" si="85"/>
        <v>0</v>
      </c>
      <c r="GI52">
        <f ca="1">IF(GB52&gt;1200000,GB52-1200000-IF(F52="YES",50000,0)-GG52,0)</f>
        <v>0</v>
      </c>
      <c r="GJ52">
        <f t="shared" ca="1" si="86"/>
        <v>0</v>
      </c>
      <c r="GK52">
        <f t="shared" ca="1" si="87"/>
        <v>0</v>
      </c>
      <c r="GL52">
        <f t="shared" ca="1" si="88"/>
        <v>0</v>
      </c>
      <c r="GM52">
        <f t="shared" ca="1" si="89"/>
        <v>342055</v>
      </c>
      <c r="GN52">
        <f t="shared" ca="1" si="90"/>
        <v>17102.75</v>
      </c>
      <c r="GO52">
        <f t="shared" ca="1" si="91"/>
        <v>17103</v>
      </c>
      <c r="GP52">
        <f t="shared" ca="1" si="92"/>
        <v>0</v>
      </c>
      <c r="GQ52">
        <f t="shared" ca="1" si="93"/>
        <v>0</v>
      </c>
      <c r="GR52">
        <f t="shared" ca="1" si="94"/>
        <v>17103</v>
      </c>
      <c r="GS52">
        <f t="shared" ca="1" si="95"/>
        <v>0</v>
      </c>
      <c r="GT52" t="b">
        <f t="shared" ca="1" si="96"/>
        <v>0</v>
      </c>
      <c r="GU52">
        <f t="shared" ca="1" si="97"/>
        <v>0</v>
      </c>
      <c r="GV52">
        <f t="shared" ca="1" si="98"/>
        <v>17103</v>
      </c>
      <c r="GW52">
        <f t="shared" ca="1" si="99"/>
        <v>0</v>
      </c>
      <c r="GX52">
        <f t="shared" ca="1" si="100"/>
        <v>0</v>
      </c>
      <c r="GY52">
        <f t="shared" ca="1" si="101"/>
        <v>0</v>
      </c>
    </row>
    <row r="53" spans="1:207" x14ac:dyDescent="0.25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2"/>
        <v>6800</v>
      </c>
      <c r="I53">
        <f>_xlfn.XLOOKUP(B53,'[1]march-2026'!$A:$A,'[1]march-2026'!$C:$C,0,0)</f>
        <v>35500</v>
      </c>
      <c r="J53">
        <f t="shared" si="168"/>
        <v>6390</v>
      </c>
      <c r="K53">
        <f t="shared" si="104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5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6"/>
        <v>200</v>
      </c>
      <c r="R53">
        <f t="shared" si="107"/>
        <v>40450</v>
      </c>
      <c r="S53">
        <f>_xlfn.XLOOKUP(B53,'[2]april-2026'!$A:$A,'[2]april-2026'!$C:$C,0,0)</f>
        <v>35500</v>
      </c>
      <c r="T53">
        <f t="shared" si="108"/>
        <v>6390</v>
      </c>
      <c r="U53">
        <f t="shared" si="109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0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1"/>
        <v>200</v>
      </c>
      <c r="AB53">
        <f t="shared" si="112"/>
        <v>40450</v>
      </c>
      <c r="AC53">
        <f>_xlfn.XLOOKUP(B53,'[3]may-2026'!$A:$A,'[3]may-2026'!$C:$C,0,0)</f>
        <v>35500</v>
      </c>
      <c r="AD53">
        <f t="shared" si="113"/>
        <v>6390</v>
      </c>
      <c r="AE53">
        <f t="shared" si="114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5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6"/>
        <v>200</v>
      </c>
      <c r="AL53">
        <f t="shared" si="117"/>
        <v>40450</v>
      </c>
      <c r="AM53">
        <f>_xlfn.XLOOKUP(B53,'[4]june-2026'!$A:$A,'[4]june-2026'!$C:$C,0,0)</f>
        <v>35500</v>
      </c>
      <c r="AN53">
        <f t="shared" si="118"/>
        <v>6390</v>
      </c>
      <c r="AO53">
        <f t="shared" si="119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0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1"/>
        <v>200</v>
      </c>
      <c r="AV53">
        <f t="shared" si="122"/>
        <v>40450</v>
      </c>
      <c r="AW53">
        <f>_xlfn.XLOOKUP(B53,'[5]july-2026'!$A:$A,'[5]july-2026'!$C:$C,0,0)</f>
        <v>36600</v>
      </c>
      <c r="AX53">
        <f t="shared" si="123"/>
        <v>6588</v>
      </c>
      <c r="AY53">
        <v>51</v>
      </c>
      <c r="AZ53">
        <f t="shared" si="124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5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6"/>
        <v>200</v>
      </c>
      <c r="BG53">
        <f t="shared" si="127"/>
        <v>41931</v>
      </c>
      <c r="BH53">
        <f>_xlfn.XLOOKUP(B53,'[6]august-2026'!$A:$A,'[6]august-2026'!$C:$C,0,0)</f>
        <v>36600</v>
      </c>
      <c r="BI53">
        <f t="shared" si="128"/>
        <v>6588</v>
      </c>
      <c r="BJ53">
        <f t="shared" si="129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0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1"/>
        <v>200</v>
      </c>
      <c r="BQ53">
        <f t="shared" si="132"/>
        <v>41880</v>
      </c>
      <c r="BR53">
        <f>_xlfn.XLOOKUP(B53,'[7]september-2026'!$A:$A,'[7]september-2026'!$C:$C,0,0)</f>
        <v>36600</v>
      </c>
      <c r="BS53">
        <f t="shared" si="133"/>
        <v>6588</v>
      </c>
      <c r="BT53">
        <f t="shared" si="134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5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6"/>
        <v>200</v>
      </c>
      <c r="CA53">
        <f t="shared" si="137"/>
        <v>41880</v>
      </c>
      <c r="CB53">
        <f>_xlfn.XLOOKUP(B53,'[8]october-2026'!$A:$A,'[8]october-2026'!$C:$C,0,0)</f>
        <v>36600</v>
      </c>
      <c r="CC53">
        <f t="shared" si="138"/>
        <v>6588</v>
      </c>
      <c r="CD53">
        <f t="shared" si="139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0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1"/>
        <v>200</v>
      </c>
      <c r="CK53">
        <f t="shared" si="142"/>
        <v>41880</v>
      </c>
      <c r="CL53">
        <f>_xlfn.XLOOKUP(B53,'[9]november-2026'!$A:$A,'[9]november-2026'!$C:$C,0,0)</f>
        <v>36600</v>
      </c>
      <c r="CM53">
        <f t="shared" si="143"/>
        <v>6588</v>
      </c>
      <c r="CN53">
        <f t="shared" si="144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5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6"/>
        <v>200</v>
      </c>
      <c r="CU53">
        <f t="shared" si="147"/>
        <v>41880</v>
      </c>
      <c r="CV53">
        <f>_xlfn.XLOOKUP(B53,'[10]december-2026'!$A:$A,'[10]december-2026'!$C:$C,0,0)</f>
        <v>36600</v>
      </c>
      <c r="CW53">
        <f t="shared" si="148"/>
        <v>6588</v>
      </c>
      <c r="CX53">
        <f t="shared" si="149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0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1"/>
        <v>200</v>
      </c>
      <c r="DE53">
        <f t="shared" si="152"/>
        <v>41880</v>
      </c>
      <c r="DF53">
        <f xml:space="preserve"> _xlfn.XLOOKUP(B53,
'[11]january-2027'!$A:$A,
'[11]january-2027'!$C:$C,
0,0)</f>
        <v>36600</v>
      </c>
      <c r="DG53">
        <f t="shared" si="153"/>
        <v>6588</v>
      </c>
      <c r="DH53">
        <f t="shared" si="154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5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6"/>
        <v>200</v>
      </c>
      <c r="DO53">
        <f t="shared" si="157"/>
        <v>41880</v>
      </c>
      <c r="DP53">
        <f xml:space="preserve"> _xlfn.XLOOKUP(B53,
'[12]february-2027'!$A:$A,
'[12]february-2027'!$C:$C,
0,0)</f>
        <v>36600</v>
      </c>
      <c r="DQ53">
        <f t="shared" si="158"/>
        <v>6588</v>
      </c>
      <c r="DR53">
        <f t="shared" si="159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0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1"/>
        <v>200</v>
      </c>
      <c r="DY53">
        <f t="shared" si="162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3"/>
        <v>0</v>
      </c>
      <c r="EM53">
        <f t="shared" si="164"/>
        <v>578091</v>
      </c>
      <c r="EN53">
        <f t="shared" si="165"/>
        <v>2400</v>
      </c>
      <c r="EO53">
        <f t="shared" si="166"/>
        <v>50000</v>
      </c>
      <c r="EP53">
        <v>0</v>
      </c>
      <c r="EQ53">
        <f t="shared" si="167"/>
        <v>525691</v>
      </c>
      <c r="ER53">
        <f t="shared" si="62"/>
        <v>72000</v>
      </c>
      <c r="ES53">
        <f t="shared" si="63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4"/>
        <v>72000</v>
      </c>
      <c r="FE53">
        <f t="shared" si="65"/>
        <v>72000</v>
      </c>
      <c r="FF53">
        <f t="shared" si="66"/>
        <v>453691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>SUM(FG53:FM53)+(IF(F53="YES",50000,0))</f>
        <v>0</v>
      </c>
      <c r="FO53">
        <f t="shared" si="67"/>
        <v>453691</v>
      </c>
      <c r="FP53">
        <f t="shared" si="68"/>
        <v>10185</v>
      </c>
      <c r="FQ53">
        <f t="shared" si="69"/>
        <v>0</v>
      </c>
      <c r="FR53">
        <f t="shared" si="70"/>
        <v>10185</v>
      </c>
      <c r="FS53">
        <f t="shared" si="71"/>
        <v>0</v>
      </c>
      <c r="FT53">
        <f t="shared" si="72"/>
        <v>0</v>
      </c>
      <c r="FU53">
        <f t="shared" si="73"/>
        <v>0</v>
      </c>
      <c r="FV53">
        <v>0</v>
      </c>
      <c r="FW53">
        <f t="shared" si="74"/>
        <v>0</v>
      </c>
      <c r="FX53" t="b">
        <f t="shared" si="75"/>
        <v>1</v>
      </c>
      <c r="FY53">
        <f t="shared" ca="1" si="76"/>
        <v>822</v>
      </c>
      <c r="FZ53">
        <f t="shared" ca="1" si="77"/>
        <v>578913</v>
      </c>
      <c r="GA53">
        <f t="shared" si="78"/>
        <v>75000</v>
      </c>
      <c r="GB53">
        <f t="shared" ca="1" si="79"/>
        <v>503913</v>
      </c>
      <c r="GC53">
        <f t="shared" ca="1" si="80"/>
        <v>0</v>
      </c>
      <c r="GD53">
        <f t="shared" ca="1" si="81"/>
        <v>0</v>
      </c>
      <c r="GE53">
        <f t="shared" ca="1" si="82"/>
        <v>0</v>
      </c>
      <c r="GF53">
        <f t="shared" ca="1" si="83"/>
        <v>0</v>
      </c>
      <c r="GG53">
        <f t="shared" ca="1" si="84"/>
        <v>0</v>
      </c>
      <c r="GH53">
        <f t="shared" ca="1" si="85"/>
        <v>0</v>
      </c>
      <c r="GI53">
        <f ca="1">IF(GB53&gt;1200000,GB53-1200000-IF(F53="YES",50000,0)-GG53,0)</f>
        <v>0</v>
      </c>
      <c r="GJ53">
        <f t="shared" ca="1" si="86"/>
        <v>0</v>
      </c>
      <c r="GK53">
        <f t="shared" ca="1" si="87"/>
        <v>0</v>
      </c>
      <c r="GL53">
        <f t="shared" ca="1" si="88"/>
        <v>0</v>
      </c>
      <c r="GM53">
        <f t="shared" ca="1" si="89"/>
        <v>103913</v>
      </c>
      <c r="GN53">
        <f t="shared" ca="1" si="90"/>
        <v>5195.6500000000005</v>
      </c>
      <c r="GO53">
        <f t="shared" ca="1" si="91"/>
        <v>5196</v>
      </c>
      <c r="GP53">
        <f t="shared" ca="1" si="92"/>
        <v>0</v>
      </c>
      <c r="GQ53">
        <f t="shared" ca="1" si="93"/>
        <v>0</v>
      </c>
      <c r="GR53">
        <f t="shared" ca="1" si="94"/>
        <v>5196</v>
      </c>
      <c r="GS53">
        <f t="shared" ca="1" si="95"/>
        <v>0</v>
      </c>
      <c r="GT53" t="b">
        <f t="shared" ca="1" si="96"/>
        <v>0</v>
      </c>
      <c r="GU53">
        <f t="shared" ca="1" si="97"/>
        <v>0</v>
      </c>
      <c r="GV53">
        <f t="shared" ca="1" si="98"/>
        <v>5196</v>
      </c>
      <c r="GW53">
        <f t="shared" ca="1" si="99"/>
        <v>0</v>
      </c>
      <c r="GX53">
        <f t="shared" ca="1" si="100"/>
        <v>0</v>
      </c>
      <c r="GY53">
        <f t="shared" ca="1" si="101"/>
        <v>0</v>
      </c>
    </row>
    <row r="54" spans="1:207" x14ac:dyDescent="0.25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2"/>
        <v>6800</v>
      </c>
      <c r="I54">
        <f>_xlfn.XLOOKUP(B54,'[1]march-2026'!$A:$A,'[1]march-2026'!$C:$C,0,0)</f>
        <v>35500</v>
      </c>
      <c r="J54">
        <f t="shared" si="168"/>
        <v>6390</v>
      </c>
      <c r="K54">
        <f t="shared" si="104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5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6"/>
        <v>200</v>
      </c>
      <c r="R54">
        <f t="shared" si="107"/>
        <v>43450</v>
      </c>
      <c r="S54">
        <f>_xlfn.XLOOKUP(B54,'[2]april-2026'!$A:$A,'[2]april-2026'!$C:$C,0,0)</f>
        <v>35500</v>
      </c>
      <c r="T54">
        <f t="shared" si="108"/>
        <v>6390</v>
      </c>
      <c r="U54">
        <f t="shared" si="109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0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1"/>
        <v>200</v>
      </c>
      <c r="AB54">
        <f t="shared" si="112"/>
        <v>43450</v>
      </c>
      <c r="AC54">
        <f>_xlfn.XLOOKUP(B54,'[3]may-2026'!$A:$A,'[3]may-2026'!$C:$C,0,0)</f>
        <v>35500</v>
      </c>
      <c r="AD54">
        <f t="shared" si="113"/>
        <v>6390</v>
      </c>
      <c r="AE54">
        <f t="shared" si="114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5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6"/>
        <v>200</v>
      </c>
      <c r="AL54">
        <f t="shared" si="117"/>
        <v>43450</v>
      </c>
      <c r="AM54">
        <f>_xlfn.XLOOKUP(B54,'[4]june-2026'!$A:$A,'[4]june-2026'!$C:$C,0,0)</f>
        <v>35500</v>
      </c>
      <c r="AN54">
        <f t="shared" si="118"/>
        <v>6390</v>
      </c>
      <c r="AO54">
        <f t="shared" si="119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0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1"/>
        <v>200</v>
      </c>
      <c r="AV54">
        <f t="shared" si="122"/>
        <v>43450</v>
      </c>
      <c r="AW54">
        <f>_xlfn.XLOOKUP(B54,'[5]july-2026'!$A:$A,'[5]july-2026'!$C:$C,0,0)</f>
        <v>36600</v>
      </c>
      <c r="AX54">
        <f t="shared" si="123"/>
        <v>6588</v>
      </c>
      <c r="AY54">
        <v>52</v>
      </c>
      <c r="AZ54">
        <f t="shared" si="124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5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6"/>
        <v>200</v>
      </c>
      <c r="BG54">
        <f t="shared" si="127"/>
        <v>44932</v>
      </c>
      <c r="BH54">
        <f>_xlfn.XLOOKUP(B54,'[6]august-2026'!$A:$A,'[6]august-2026'!$C:$C,0,0)</f>
        <v>36600</v>
      </c>
      <c r="BI54">
        <f t="shared" si="128"/>
        <v>6588</v>
      </c>
      <c r="BJ54">
        <f t="shared" si="129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0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1"/>
        <v>200</v>
      </c>
      <c r="BQ54">
        <f t="shared" si="132"/>
        <v>44880</v>
      </c>
      <c r="BR54">
        <f>_xlfn.XLOOKUP(B54,'[7]september-2026'!$A:$A,'[7]september-2026'!$C:$C,0,0)</f>
        <v>36600</v>
      </c>
      <c r="BS54">
        <f t="shared" si="133"/>
        <v>6588</v>
      </c>
      <c r="BT54">
        <f t="shared" si="134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5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6"/>
        <v>200</v>
      </c>
      <c r="CA54">
        <f t="shared" si="137"/>
        <v>44880</v>
      </c>
      <c r="CB54">
        <f>_xlfn.XLOOKUP(B54,'[8]october-2026'!$A:$A,'[8]october-2026'!$C:$C,0,0)</f>
        <v>36600</v>
      </c>
      <c r="CC54">
        <f t="shared" si="138"/>
        <v>6588</v>
      </c>
      <c r="CD54">
        <f t="shared" si="139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0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1"/>
        <v>200</v>
      </c>
      <c r="CK54">
        <f t="shared" si="142"/>
        <v>44880</v>
      </c>
      <c r="CL54">
        <f>_xlfn.XLOOKUP(B54,'[9]november-2026'!$A:$A,'[9]november-2026'!$C:$C,0,0)</f>
        <v>36600</v>
      </c>
      <c r="CM54">
        <f t="shared" si="143"/>
        <v>6588</v>
      </c>
      <c r="CN54">
        <f t="shared" si="144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5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6"/>
        <v>200</v>
      </c>
      <c r="CU54">
        <f t="shared" si="147"/>
        <v>44880</v>
      </c>
      <c r="CV54">
        <f>_xlfn.XLOOKUP(B54,'[10]december-2026'!$A:$A,'[10]december-2026'!$C:$C,0,0)</f>
        <v>36600</v>
      </c>
      <c r="CW54">
        <f t="shared" si="148"/>
        <v>6588</v>
      </c>
      <c r="CX54">
        <f t="shared" si="149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0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1"/>
        <v>200</v>
      </c>
      <c r="DE54">
        <f t="shared" si="152"/>
        <v>44880</v>
      </c>
      <c r="DF54">
        <f xml:space="preserve"> _xlfn.XLOOKUP(B54,
'[11]january-2027'!$A:$A,
'[11]january-2027'!$C:$C,
0,0)</f>
        <v>36600</v>
      </c>
      <c r="DG54">
        <f t="shared" si="153"/>
        <v>6588</v>
      </c>
      <c r="DH54">
        <f t="shared" si="154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5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6"/>
        <v>200</v>
      </c>
      <c r="DO54">
        <f t="shared" si="157"/>
        <v>44880</v>
      </c>
      <c r="DP54">
        <f xml:space="preserve"> _xlfn.XLOOKUP(B54,
'[12]february-2027'!$A:$A,
'[12]february-2027'!$C:$C,
0,0)</f>
        <v>36600</v>
      </c>
      <c r="DQ54">
        <f t="shared" si="158"/>
        <v>6588</v>
      </c>
      <c r="DR54">
        <f t="shared" si="159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0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1"/>
        <v>200</v>
      </c>
      <c r="DY54">
        <f t="shared" si="162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3"/>
        <v>0</v>
      </c>
      <c r="EM54">
        <f t="shared" si="164"/>
        <v>572092</v>
      </c>
      <c r="EN54">
        <f t="shared" si="165"/>
        <v>2400</v>
      </c>
      <c r="EO54">
        <f t="shared" si="166"/>
        <v>50000</v>
      </c>
      <c r="EP54">
        <v>0</v>
      </c>
      <c r="EQ54">
        <f t="shared" si="167"/>
        <v>519692</v>
      </c>
      <c r="ER54">
        <f t="shared" si="62"/>
        <v>30000</v>
      </c>
      <c r="ES54">
        <f t="shared" si="63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4"/>
        <v>30000</v>
      </c>
      <c r="FE54">
        <f t="shared" si="65"/>
        <v>30000</v>
      </c>
      <c r="FF54">
        <f t="shared" si="66"/>
        <v>489692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>SUM(FG54:FM54)+(IF(F54="YES",50000,0))</f>
        <v>0</v>
      </c>
      <c r="FO54">
        <f t="shared" si="67"/>
        <v>489692</v>
      </c>
      <c r="FP54">
        <f t="shared" si="68"/>
        <v>11985</v>
      </c>
      <c r="FQ54">
        <f t="shared" si="69"/>
        <v>0</v>
      </c>
      <c r="FR54">
        <f t="shared" si="70"/>
        <v>11985</v>
      </c>
      <c r="FS54">
        <f t="shared" si="71"/>
        <v>0</v>
      </c>
      <c r="FT54">
        <f t="shared" si="72"/>
        <v>0</v>
      </c>
      <c r="FU54">
        <f t="shared" si="73"/>
        <v>0</v>
      </c>
      <c r="FV54">
        <v>0</v>
      </c>
      <c r="FW54">
        <f t="shared" si="74"/>
        <v>0</v>
      </c>
      <c r="FX54" t="b">
        <f t="shared" si="75"/>
        <v>1</v>
      </c>
      <c r="FY54">
        <f t="shared" ca="1" si="76"/>
        <v>663</v>
      </c>
      <c r="FZ54">
        <f t="shared" ca="1" si="77"/>
        <v>572755</v>
      </c>
      <c r="GA54">
        <f t="shared" si="78"/>
        <v>75000</v>
      </c>
      <c r="GB54">
        <f t="shared" ca="1" si="79"/>
        <v>497755</v>
      </c>
      <c r="GC54">
        <f t="shared" ca="1" si="80"/>
        <v>0</v>
      </c>
      <c r="GD54">
        <f t="shared" ca="1" si="81"/>
        <v>0</v>
      </c>
      <c r="GE54">
        <f t="shared" ca="1" si="82"/>
        <v>0</v>
      </c>
      <c r="GF54">
        <f t="shared" ca="1" si="83"/>
        <v>0</v>
      </c>
      <c r="GG54">
        <f t="shared" ca="1" si="84"/>
        <v>0</v>
      </c>
      <c r="GH54">
        <f t="shared" ca="1" si="85"/>
        <v>0</v>
      </c>
      <c r="GI54">
        <f ca="1">IF(GB54&gt;1200000,GB54-1200000-IF(F54="YES",50000,0)-GG54,0)</f>
        <v>0</v>
      </c>
      <c r="GJ54">
        <f t="shared" ca="1" si="86"/>
        <v>0</v>
      </c>
      <c r="GK54">
        <f t="shared" ca="1" si="87"/>
        <v>0</v>
      </c>
      <c r="GL54">
        <f t="shared" ca="1" si="88"/>
        <v>0</v>
      </c>
      <c r="GM54">
        <f t="shared" ca="1" si="89"/>
        <v>97755</v>
      </c>
      <c r="GN54">
        <f t="shared" ca="1" si="90"/>
        <v>4887.75</v>
      </c>
      <c r="GO54">
        <f t="shared" ca="1" si="91"/>
        <v>4888</v>
      </c>
      <c r="GP54">
        <f t="shared" ca="1" si="92"/>
        <v>0</v>
      </c>
      <c r="GQ54">
        <f t="shared" ca="1" si="93"/>
        <v>0</v>
      </c>
      <c r="GR54">
        <f t="shared" ca="1" si="94"/>
        <v>4888</v>
      </c>
      <c r="GS54">
        <f t="shared" ca="1" si="95"/>
        <v>0</v>
      </c>
      <c r="GT54" t="b">
        <f t="shared" ca="1" si="96"/>
        <v>0</v>
      </c>
      <c r="GU54">
        <f t="shared" ca="1" si="97"/>
        <v>0</v>
      </c>
      <c r="GV54">
        <f t="shared" ca="1" si="98"/>
        <v>4888</v>
      </c>
      <c r="GW54">
        <f t="shared" ca="1" si="99"/>
        <v>0</v>
      </c>
      <c r="GX54">
        <f t="shared" ca="1" si="100"/>
        <v>0</v>
      </c>
      <c r="GY54">
        <f t="shared" ca="1" si="101"/>
        <v>0</v>
      </c>
    </row>
    <row r="55" spans="1:207" x14ac:dyDescent="0.25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2"/>
        <v>6800</v>
      </c>
      <c r="I55">
        <f>_xlfn.XLOOKUP(B55,'[1]march-2026'!$A:$A,'[1]march-2026'!$C:$C,0,0)</f>
        <v>35500</v>
      </c>
      <c r="J55">
        <f t="shared" si="168"/>
        <v>6390</v>
      </c>
      <c r="K55">
        <f t="shared" si="104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5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6"/>
        <v>200</v>
      </c>
      <c r="R55">
        <f t="shared" si="107"/>
        <v>41850</v>
      </c>
      <c r="S55">
        <f>_xlfn.XLOOKUP(B55,'[2]april-2026'!$A:$A,'[2]april-2026'!$C:$C,0,0)</f>
        <v>35500</v>
      </c>
      <c r="T55">
        <f t="shared" si="108"/>
        <v>6390</v>
      </c>
      <c r="U55">
        <f t="shared" si="109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0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1"/>
        <v>200</v>
      </c>
      <c r="AB55">
        <f t="shared" si="112"/>
        <v>41850</v>
      </c>
      <c r="AC55">
        <f>_xlfn.XLOOKUP(B55,'[3]may-2026'!$A:$A,'[3]may-2026'!$C:$C,0,0)</f>
        <v>35500</v>
      </c>
      <c r="AD55">
        <f t="shared" si="113"/>
        <v>6390</v>
      </c>
      <c r="AE55">
        <f t="shared" si="114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5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6"/>
        <v>200</v>
      </c>
      <c r="AL55">
        <f t="shared" si="117"/>
        <v>41850</v>
      </c>
      <c r="AM55">
        <f>_xlfn.XLOOKUP(B55,'[4]june-2026'!$A:$A,'[4]june-2026'!$C:$C,0,0)</f>
        <v>35500</v>
      </c>
      <c r="AN55">
        <f t="shared" si="118"/>
        <v>6390</v>
      </c>
      <c r="AO55">
        <f t="shared" si="119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0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1"/>
        <v>200</v>
      </c>
      <c r="AV55">
        <f t="shared" si="122"/>
        <v>41850</v>
      </c>
      <c r="AW55">
        <f>_xlfn.XLOOKUP(B55,'[5]july-2026'!$A:$A,'[5]july-2026'!$C:$C,0,0)</f>
        <v>36600</v>
      </c>
      <c r="AX55">
        <f t="shared" si="123"/>
        <v>6588</v>
      </c>
      <c r="AY55">
        <v>53</v>
      </c>
      <c r="AZ55">
        <f t="shared" si="124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5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6"/>
        <v>200</v>
      </c>
      <c r="BG55">
        <f t="shared" si="127"/>
        <v>43333</v>
      </c>
      <c r="BH55">
        <f>_xlfn.XLOOKUP(B55,'[6]august-2026'!$A:$A,'[6]august-2026'!$C:$C,0,0)</f>
        <v>36600</v>
      </c>
      <c r="BI55">
        <f t="shared" si="128"/>
        <v>6588</v>
      </c>
      <c r="BJ55">
        <f t="shared" si="129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0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1"/>
        <v>200</v>
      </c>
      <c r="BQ55">
        <f t="shared" si="132"/>
        <v>43280</v>
      </c>
      <c r="BR55">
        <f>_xlfn.XLOOKUP(B55,'[7]september-2026'!$A:$A,'[7]september-2026'!$C:$C,0,0)</f>
        <v>36600</v>
      </c>
      <c r="BS55">
        <f t="shared" si="133"/>
        <v>6588</v>
      </c>
      <c r="BT55">
        <f t="shared" si="134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5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6"/>
        <v>200</v>
      </c>
      <c r="CA55">
        <f t="shared" si="137"/>
        <v>43280</v>
      </c>
      <c r="CB55">
        <f>_xlfn.XLOOKUP(B55,'[8]october-2026'!$A:$A,'[8]october-2026'!$C:$C,0,0)</f>
        <v>36600</v>
      </c>
      <c r="CC55">
        <f t="shared" si="138"/>
        <v>6588</v>
      </c>
      <c r="CD55">
        <f t="shared" si="139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0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1"/>
        <v>200</v>
      </c>
      <c r="CK55">
        <f t="shared" si="142"/>
        <v>43280</v>
      </c>
      <c r="CL55">
        <f>_xlfn.XLOOKUP(B55,'[9]november-2026'!$A:$A,'[9]november-2026'!$C:$C,0,0)</f>
        <v>36600</v>
      </c>
      <c r="CM55">
        <f t="shared" si="143"/>
        <v>6588</v>
      </c>
      <c r="CN55">
        <f t="shared" si="144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5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6"/>
        <v>200</v>
      </c>
      <c r="CU55">
        <f t="shared" si="147"/>
        <v>43280</v>
      </c>
      <c r="CV55">
        <f>_xlfn.XLOOKUP(B55,'[10]december-2026'!$A:$A,'[10]december-2026'!$C:$C,0,0)</f>
        <v>36600</v>
      </c>
      <c r="CW55">
        <f t="shared" si="148"/>
        <v>6588</v>
      </c>
      <c r="CX55">
        <f t="shared" si="149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0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1"/>
        <v>200</v>
      </c>
      <c r="DE55">
        <f t="shared" si="152"/>
        <v>43280</v>
      </c>
      <c r="DF55">
        <f xml:space="preserve"> _xlfn.XLOOKUP(B55,
'[11]january-2027'!$A:$A,
'[11]january-2027'!$C:$C,
0,0)</f>
        <v>36600</v>
      </c>
      <c r="DG55">
        <f t="shared" si="153"/>
        <v>6588</v>
      </c>
      <c r="DH55">
        <f t="shared" si="154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5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6"/>
        <v>200</v>
      </c>
      <c r="DO55">
        <f t="shared" si="157"/>
        <v>43280</v>
      </c>
      <c r="DP55">
        <f xml:space="preserve"> _xlfn.XLOOKUP(B55,
'[12]february-2027'!$A:$A,
'[12]february-2027'!$C:$C,
0,0)</f>
        <v>36600</v>
      </c>
      <c r="DQ55">
        <f t="shared" si="158"/>
        <v>6588</v>
      </c>
      <c r="DR55">
        <f t="shared" si="159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0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1"/>
        <v>200</v>
      </c>
      <c r="DY55">
        <f t="shared" si="162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3"/>
        <v>0</v>
      </c>
      <c r="EM55">
        <f t="shared" si="164"/>
        <v>582893</v>
      </c>
      <c r="EN55">
        <f t="shared" si="165"/>
        <v>2400</v>
      </c>
      <c r="EO55">
        <f t="shared" si="166"/>
        <v>50000</v>
      </c>
      <c r="EP55">
        <v>0</v>
      </c>
      <c r="EQ55">
        <f t="shared" si="167"/>
        <v>530493</v>
      </c>
      <c r="ER55">
        <f t="shared" si="62"/>
        <v>60000</v>
      </c>
      <c r="ES55">
        <f t="shared" si="63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4"/>
        <v>60000</v>
      </c>
      <c r="FE55">
        <f t="shared" si="65"/>
        <v>60000</v>
      </c>
      <c r="FF55">
        <f t="shared" si="66"/>
        <v>470493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>SUM(FG55:FM55)+(IF(F55="YES",50000,0))</f>
        <v>0</v>
      </c>
      <c r="FO55">
        <f t="shared" si="67"/>
        <v>470493</v>
      </c>
      <c r="FP55">
        <f t="shared" si="68"/>
        <v>11025</v>
      </c>
      <c r="FQ55">
        <f t="shared" si="69"/>
        <v>0</v>
      </c>
      <c r="FR55">
        <f t="shared" si="70"/>
        <v>11025</v>
      </c>
      <c r="FS55">
        <f t="shared" si="71"/>
        <v>0</v>
      </c>
      <c r="FT55">
        <f t="shared" si="72"/>
        <v>0</v>
      </c>
      <c r="FU55">
        <f t="shared" si="73"/>
        <v>0</v>
      </c>
      <c r="FV55">
        <v>0</v>
      </c>
      <c r="FW55">
        <f t="shared" si="74"/>
        <v>0</v>
      </c>
      <c r="FX55" t="b">
        <f t="shared" si="75"/>
        <v>1</v>
      </c>
      <c r="FY55">
        <f t="shared" ca="1" si="76"/>
        <v>527</v>
      </c>
      <c r="FZ55">
        <f t="shared" ca="1" si="77"/>
        <v>583420</v>
      </c>
      <c r="GA55">
        <f t="shared" si="78"/>
        <v>75000</v>
      </c>
      <c r="GB55">
        <f t="shared" ca="1" si="79"/>
        <v>508420</v>
      </c>
      <c r="GC55">
        <f t="shared" ca="1" si="80"/>
        <v>0</v>
      </c>
      <c r="GD55">
        <f t="shared" ca="1" si="81"/>
        <v>0</v>
      </c>
      <c r="GE55">
        <f t="shared" ca="1" si="82"/>
        <v>0</v>
      </c>
      <c r="GF55">
        <f t="shared" ca="1" si="83"/>
        <v>0</v>
      </c>
      <c r="GG55">
        <f t="shared" ca="1" si="84"/>
        <v>0</v>
      </c>
      <c r="GH55">
        <f t="shared" ca="1" si="85"/>
        <v>0</v>
      </c>
      <c r="GI55">
        <f ca="1">IF(GB55&gt;1200000,GB55-1200000-IF(F55="YES",50000,0)-GG55,0)</f>
        <v>0</v>
      </c>
      <c r="GJ55">
        <f t="shared" ca="1" si="86"/>
        <v>0</v>
      </c>
      <c r="GK55">
        <f t="shared" ca="1" si="87"/>
        <v>0</v>
      </c>
      <c r="GL55">
        <f t="shared" ca="1" si="88"/>
        <v>0</v>
      </c>
      <c r="GM55">
        <f t="shared" ca="1" si="89"/>
        <v>108420</v>
      </c>
      <c r="GN55">
        <f t="shared" ca="1" si="90"/>
        <v>5421</v>
      </c>
      <c r="GO55">
        <f t="shared" ca="1" si="91"/>
        <v>5421</v>
      </c>
      <c r="GP55">
        <f t="shared" ca="1" si="92"/>
        <v>0</v>
      </c>
      <c r="GQ55">
        <f t="shared" ca="1" si="93"/>
        <v>0</v>
      </c>
      <c r="GR55">
        <f t="shared" ca="1" si="94"/>
        <v>5421</v>
      </c>
      <c r="GS55">
        <f t="shared" ca="1" si="95"/>
        <v>0</v>
      </c>
      <c r="GT55" t="b">
        <f t="shared" ca="1" si="96"/>
        <v>0</v>
      </c>
      <c r="GU55">
        <f t="shared" ca="1" si="97"/>
        <v>0</v>
      </c>
      <c r="GV55">
        <f t="shared" ca="1" si="98"/>
        <v>5421</v>
      </c>
      <c r="GW55">
        <f t="shared" ca="1" si="99"/>
        <v>0</v>
      </c>
      <c r="GX55">
        <f t="shared" ca="1" si="100"/>
        <v>0</v>
      </c>
      <c r="GY55">
        <f t="shared" ca="1" si="101"/>
        <v>0</v>
      </c>
    </row>
    <row r="56" spans="1:207" x14ac:dyDescent="0.25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2"/>
        <v>6800</v>
      </c>
      <c r="I56">
        <f>_xlfn.XLOOKUP(B56,'[1]march-2026'!$A:$A,'[1]march-2026'!$C:$C,0,0)</f>
        <v>35500</v>
      </c>
      <c r="J56">
        <f t="shared" si="168"/>
        <v>6390</v>
      </c>
      <c r="K56">
        <f t="shared" si="104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5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6"/>
        <v>200</v>
      </c>
      <c r="R56">
        <f t="shared" si="107"/>
        <v>43950</v>
      </c>
      <c r="S56">
        <f>_xlfn.XLOOKUP(B56,'[2]april-2026'!$A:$A,'[2]april-2026'!$C:$C,0,0)</f>
        <v>35500</v>
      </c>
      <c r="T56">
        <f t="shared" si="108"/>
        <v>6390</v>
      </c>
      <c r="U56">
        <f t="shared" si="109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0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1"/>
        <v>200</v>
      </c>
      <c r="AB56">
        <f t="shared" si="112"/>
        <v>43950</v>
      </c>
      <c r="AC56">
        <f>_xlfn.XLOOKUP(B56,'[3]may-2026'!$A:$A,'[3]may-2026'!$C:$C,0,0)</f>
        <v>35500</v>
      </c>
      <c r="AD56">
        <f t="shared" si="113"/>
        <v>6390</v>
      </c>
      <c r="AE56">
        <f t="shared" si="114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5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6"/>
        <v>200</v>
      </c>
      <c r="AL56">
        <f t="shared" si="117"/>
        <v>43950</v>
      </c>
      <c r="AM56">
        <f>_xlfn.XLOOKUP(B56,'[4]june-2026'!$A:$A,'[4]june-2026'!$C:$C,0,0)</f>
        <v>35500</v>
      </c>
      <c r="AN56">
        <f t="shared" si="118"/>
        <v>6390</v>
      </c>
      <c r="AO56">
        <f t="shared" si="119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0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1"/>
        <v>200</v>
      </c>
      <c r="AV56">
        <f t="shared" si="122"/>
        <v>43950</v>
      </c>
      <c r="AW56">
        <f>_xlfn.XLOOKUP(B56,'[5]july-2026'!$A:$A,'[5]july-2026'!$C:$C,0,0)</f>
        <v>36600</v>
      </c>
      <c r="AX56">
        <f t="shared" si="123"/>
        <v>6588</v>
      </c>
      <c r="AY56">
        <v>54</v>
      </c>
      <c r="AZ56">
        <f t="shared" si="124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5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6"/>
        <v>200</v>
      </c>
      <c r="BG56">
        <f t="shared" si="127"/>
        <v>45434</v>
      </c>
      <c r="BH56">
        <f>_xlfn.XLOOKUP(B56,'[6]august-2026'!$A:$A,'[6]august-2026'!$C:$C,0,0)</f>
        <v>36600</v>
      </c>
      <c r="BI56">
        <f t="shared" si="128"/>
        <v>6588</v>
      </c>
      <c r="BJ56">
        <f t="shared" si="129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0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1"/>
        <v>200</v>
      </c>
      <c r="BQ56">
        <f t="shared" si="132"/>
        <v>45380</v>
      </c>
      <c r="BR56">
        <f>_xlfn.XLOOKUP(B56,'[7]september-2026'!$A:$A,'[7]september-2026'!$C:$C,0,0)</f>
        <v>36600</v>
      </c>
      <c r="BS56">
        <f t="shared" si="133"/>
        <v>6588</v>
      </c>
      <c r="BT56">
        <f t="shared" si="134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5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6"/>
        <v>200</v>
      </c>
      <c r="CA56">
        <f t="shared" si="137"/>
        <v>45380</v>
      </c>
      <c r="CB56">
        <f>_xlfn.XLOOKUP(B56,'[8]october-2026'!$A:$A,'[8]october-2026'!$C:$C,0,0)</f>
        <v>36600</v>
      </c>
      <c r="CC56">
        <f t="shared" si="138"/>
        <v>6588</v>
      </c>
      <c r="CD56">
        <f t="shared" si="139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0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1"/>
        <v>200</v>
      </c>
      <c r="CK56">
        <f t="shared" si="142"/>
        <v>45380</v>
      </c>
      <c r="CL56">
        <f>_xlfn.XLOOKUP(B56,'[9]november-2026'!$A:$A,'[9]november-2026'!$C:$C,0,0)</f>
        <v>36600</v>
      </c>
      <c r="CM56">
        <f t="shared" si="143"/>
        <v>6588</v>
      </c>
      <c r="CN56">
        <f t="shared" si="144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5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6"/>
        <v>200</v>
      </c>
      <c r="CU56">
        <f t="shared" si="147"/>
        <v>45380</v>
      </c>
      <c r="CV56">
        <f>_xlfn.XLOOKUP(B56,'[10]december-2026'!$A:$A,'[10]december-2026'!$C:$C,0,0)</f>
        <v>36600</v>
      </c>
      <c r="CW56">
        <f t="shared" si="148"/>
        <v>6588</v>
      </c>
      <c r="CX56">
        <f t="shared" si="149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0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1"/>
        <v>200</v>
      </c>
      <c r="DE56">
        <f t="shared" si="152"/>
        <v>45380</v>
      </c>
      <c r="DF56">
        <f xml:space="preserve"> _xlfn.XLOOKUP(B56,
'[11]january-2027'!$A:$A,
'[11]january-2027'!$C:$C,
0,0)</f>
        <v>36600</v>
      </c>
      <c r="DG56">
        <f t="shared" si="153"/>
        <v>6588</v>
      </c>
      <c r="DH56">
        <f t="shared" si="154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5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6"/>
        <v>200</v>
      </c>
      <c r="DO56">
        <f t="shared" si="157"/>
        <v>45380</v>
      </c>
      <c r="DP56">
        <f xml:space="preserve"> _xlfn.XLOOKUP(B56,
'[12]february-2027'!$A:$A,
'[12]february-2027'!$C:$C,
0,0)</f>
        <v>36600</v>
      </c>
      <c r="DQ56">
        <f t="shared" si="158"/>
        <v>6588</v>
      </c>
      <c r="DR56">
        <f t="shared" si="159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0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1"/>
        <v>200</v>
      </c>
      <c r="DY56">
        <f t="shared" si="162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3"/>
        <v>0</v>
      </c>
      <c r="EM56">
        <f t="shared" si="164"/>
        <v>578094</v>
      </c>
      <c r="EN56">
        <f t="shared" si="165"/>
        <v>2400</v>
      </c>
      <c r="EO56">
        <f t="shared" si="166"/>
        <v>50000</v>
      </c>
      <c r="EP56">
        <v>0</v>
      </c>
      <c r="EQ56">
        <f t="shared" si="167"/>
        <v>525694</v>
      </c>
      <c r="ER56">
        <f t="shared" si="62"/>
        <v>30000</v>
      </c>
      <c r="ES56">
        <f t="shared" si="63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4"/>
        <v>30000</v>
      </c>
      <c r="FE56">
        <f t="shared" si="65"/>
        <v>30000</v>
      </c>
      <c r="FF56">
        <f t="shared" si="66"/>
        <v>495694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>SUM(FG56:FM56)+(IF(F56="YES",50000,0))</f>
        <v>0</v>
      </c>
      <c r="FO56">
        <f t="shared" si="67"/>
        <v>495694</v>
      </c>
      <c r="FP56">
        <f t="shared" si="68"/>
        <v>12285</v>
      </c>
      <c r="FQ56">
        <f t="shared" si="69"/>
        <v>0</v>
      </c>
      <c r="FR56">
        <f t="shared" si="70"/>
        <v>12285</v>
      </c>
      <c r="FS56">
        <f t="shared" si="71"/>
        <v>0</v>
      </c>
      <c r="FT56">
        <f t="shared" si="72"/>
        <v>0</v>
      </c>
      <c r="FU56">
        <f t="shared" si="73"/>
        <v>0</v>
      </c>
      <c r="FV56">
        <v>0</v>
      </c>
      <c r="FW56">
        <f t="shared" si="74"/>
        <v>0</v>
      </c>
      <c r="FX56" t="b">
        <f t="shared" si="75"/>
        <v>1</v>
      </c>
      <c r="FY56">
        <f t="shared" ca="1" si="76"/>
        <v>680</v>
      </c>
      <c r="FZ56">
        <f t="shared" ca="1" si="77"/>
        <v>578774</v>
      </c>
      <c r="GA56">
        <f t="shared" si="78"/>
        <v>75000</v>
      </c>
      <c r="GB56">
        <f t="shared" ca="1" si="79"/>
        <v>503774</v>
      </c>
      <c r="GC56">
        <f t="shared" ca="1" si="80"/>
        <v>0</v>
      </c>
      <c r="GD56">
        <f t="shared" ca="1" si="81"/>
        <v>0</v>
      </c>
      <c r="GE56">
        <f t="shared" ca="1" si="82"/>
        <v>0</v>
      </c>
      <c r="GF56">
        <f t="shared" ca="1" si="83"/>
        <v>0</v>
      </c>
      <c r="GG56">
        <f t="shared" ca="1" si="84"/>
        <v>0</v>
      </c>
      <c r="GH56">
        <f t="shared" ca="1" si="85"/>
        <v>0</v>
      </c>
      <c r="GI56">
        <f ca="1">IF(GB56&gt;1200000,GB56-1200000-IF(F56="YES",50000,0)-GG56,0)</f>
        <v>0</v>
      </c>
      <c r="GJ56">
        <f t="shared" ca="1" si="86"/>
        <v>0</v>
      </c>
      <c r="GK56">
        <f t="shared" ca="1" si="87"/>
        <v>0</v>
      </c>
      <c r="GL56">
        <f t="shared" ca="1" si="88"/>
        <v>0</v>
      </c>
      <c r="GM56">
        <f t="shared" ca="1" si="89"/>
        <v>103774</v>
      </c>
      <c r="GN56">
        <f t="shared" ca="1" si="90"/>
        <v>5188.7000000000007</v>
      </c>
      <c r="GO56">
        <f t="shared" ca="1" si="91"/>
        <v>5189</v>
      </c>
      <c r="GP56">
        <f t="shared" ca="1" si="92"/>
        <v>0</v>
      </c>
      <c r="GQ56">
        <f t="shared" ca="1" si="93"/>
        <v>0</v>
      </c>
      <c r="GR56">
        <f t="shared" ca="1" si="94"/>
        <v>5189</v>
      </c>
      <c r="GS56">
        <f t="shared" ca="1" si="95"/>
        <v>0</v>
      </c>
      <c r="GT56" t="b">
        <f t="shared" ca="1" si="96"/>
        <v>0</v>
      </c>
      <c r="GU56">
        <f t="shared" ca="1" si="97"/>
        <v>0</v>
      </c>
      <c r="GV56">
        <f t="shared" ca="1" si="98"/>
        <v>5189</v>
      </c>
      <c r="GW56">
        <f t="shared" ca="1" si="99"/>
        <v>0</v>
      </c>
      <c r="GX56">
        <f t="shared" ca="1" si="100"/>
        <v>0</v>
      </c>
      <c r="GY56">
        <f t="shared" ca="1" si="101"/>
        <v>0</v>
      </c>
    </row>
    <row r="57" spans="1:207" x14ac:dyDescent="0.25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2"/>
        <v>6800</v>
      </c>
      <c r="I57">
        <f>_xlfn.XLOOKUP(B57,'[1]march-2026'!$A:$A,'[1]march-2026'!$C:$C,0,0)</f>
        <v>34500</v>
      </c>
      <c r="J57">
        <f t="shared" si="168"/>
        <v>6210</v>
      </c>
      <c r="K57">
        <f t="shared" si="104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5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6"/>
        <v>200</v>
      </c>
      <c r="R57">
        <f t="shared" si="107"/>
        <v>41650</v>
      </c>
      <c r="S57">
        <f>_xlfn.XLOOKUP(B57,'[2]april-2026'!$A:$A,'[2]april-2026'!$C:$C,0,0)</f>
        <v>34500</v>
      </c>
      <c r="T57">
        <f t="shared" si="108"/>
        <v>6210</v>
      </c>
      <c r="U57">
        <f t="shared" si="109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0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1"/>
        <v>200</v>
      </c>
      <c r="AB57">
        <f t="shared" si="112"/>
        <v>41650</v>
      </c>
      <c r="AC57">
        <f>_xlfn.XLOOKUP(B57,'[3]may-2026'!$A:$A,'[3]may-2026'!$C:$C,0,0)</f>
        <v>34500</v>
      </c>
      <c r="AD57">
        <f t="shared" si="113"/>
        <v>6210</v>
      </c>
      <c r="AE57">
        <f t="shared" si="114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5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6"/>
        <v>200</v>
      </c>
      <c r="AL57">
        <f t="shared" si="117"/>
        <v>41650</v>
      </c>
      <c r="AM57">
        <f>_xlfn.XLOOKUP(B57,'[4]june-2026'!$A:$A,'[4]june-2026'!$C:$C,0,0)</f>
        <v>34500</v>
      </c>
      <c r="AN57">
        <f t="shared" si="118"/>
        <v>6210</v>
      </c>
      <c r="AO57">
        <f t="shared" si="119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0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1"/>
        <v>200</v>
      </c>
      <c r="AV57">
        <f t="shared" si="122"/>
        <v>41650</v>
      </c>
      <c r="AW57">
        <f>_xlfn.XLOOKUP(B57,'[5]july-2026'!$A:$A,'[5]july-2026'!$C:$C,0,0)</f>
        <v>35500</v>
      </c>
      <c r="AX57">
        <f t="shared" si="123"/>
        <v>6390</v>
      </c>
      <c r="AY57">
        <v>55</v>
      </c>
      <c r="AZ57">
        <f t="shared" si="124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5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6"/>
        <v>200</v>
      </c>
      <c r="BG57">
        <f t="shared" si="127"/>
        <v>43005</v>
      </c>
      <c r="BH57">
        <f>_xlfn.XLOOKUP(B57,'[6]august-2026'!$A:$A,'[6]august-2026'!$C:$C,0,0)</f>
        <v>35500</v>
      </c>
      <c r="BI57">
        <f t="shared" si="128"/>
        <v>6390</v>
      </c>
      <c r="BJ57">
        <f t="shared" si="129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0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1"/>
        <v>200</v>
      </c>
      <c r="BQ57">
        <f t="shared" si="132"/>
        <v>42950</v>
      </c>
      <c r="BR57">
        <f>_xlfn.XLOOKUP(B57,'[7]september-2026'!$A:$A,'[7]september-2026'!$C:$C,0,0)</f>
        <v>35500</v>
      </c>
      <c r="BS57">
        <f t="shared" si="133"/>
        <v>6390</v>
      </c>
      <c r="BT57">
        <f t="shared" si="134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5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6"/>
        <v>200</v>
      </c>
      <c r="CA57">
        <f t="shared" si="137"/>
        <v>42950</v>
      </c>
      <c r="CB57">
        <f>_xlfn.XLOOKUP(B57,'[8]october-2026'!$A:$A,'[8]october-2026'!$C:$C,0,0)</f>
        <v>35500</v>
      </c>
      <c r="CC57">
        <f t="shared" si="138"/>
        <v>6390</v>
      </c>
      <c r="CD57">
        <f t="shared" si="139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0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1"/>
        <v>200</v>
      </c>
      <c r="CK57">
        <f t="shared" si="142"/>
        <v>42950</v>
      </c>
      <c r="CL57">
        <f>_xlfn.XLOOKUP(B57,'[9]november-2026'!$A:$A,'[9]november-2026'!$C:$C,0,0)</f>
        <v>35500</v>
      </c>
      <c r="CM57">
        <f t="shared" si="143"/>
        <v>6390</v>
      </c>
      <c r="CN57">
        <f t="shared" si="144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5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6"/>
        <v>200</v>
      </c>
      <c r="CU57">
        <f t="shared" si="147"/>
        <v>42950</v>
      </c>
      <c r="CV57">
        <f>_xlfn.XLOOKUP(B57,'[10]december-2026'!$A:$A,'[10]december-2026'!$C:$C,0,0)</f>
        <v>35500</v>
      </c>
      <c r="CW57">
        <f t="shared" si="148"/>
        <v>6390</v>
      </c>
      <c r="CX57">
        <f t="shared" si="149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0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1"/>
        <v>200</v>
      </c>
      <c r="DE57">
        <f t="shared" si="152"/>
        <v>42950</v>
      </c>
      <c r="DF57">
        <f xml:space="preserve"> _xlfn.XLOOKUP(B57,
'[11]january-2027'!$A:$A,
'[11]january-2027'!$C:$C,
0,0)</f>
        <v>35500</v>
      </c>
      <c r="DG57">
        <f t="shared" si="153"/>
        <v>6390</v>
      </c>
      <c r="DH57">
        <f t="shared" si="154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5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6"/>
        <v>200</v>
      </c>
      <c r="DO57">
        <f t="shared" si="157"/>
        <v>42950</v>
      </c>
      <c r="DP57">
        <f xml:space="preserve"> _xlfn.XLOOKUP(B57,
'[12]february-2027'!$A:$A,
'[12]february-2027'!$C:$C,
0,0)</f>
        <v>35500</v>
      </c>
      <c r="DQ57">
        <f t="shared" si="158"/>
        <v>6390</v>
      </c>
      <c r="DR57">
        <f t="shared" si="159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0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1"/>
        <v>200</v>
      </c>
      <c r="DY57">
        <f t="shared" si="162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3"/>
        <v>0</v>
      </c>
      <c r="EM57">
        <f t="shared" si="164"/>
        <v>561455</v>
      </c>
      <c r="EN57">
        <f t="shared" si="165"/>
        <v>2400</v>
      </c>
      <c r="EO57">
        <f t="shared" si="166"/>
        <v>50000</v>
      </c>
      <c r="EP57">
        <v>0</v>
      </c>
      <c r="EQ57">
        <f t="shared" si="167"/>
        <v>509055</v>
      </c>
      <c r="ER57">
        <f t="shared" si="62"/>
        <v>42000</v>
      </c>
      <c r="ES57">
        <f t="shared" si="63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4"/>
        <v>42000</v>
      </c>
      <c r="FE57">
        <f t="shared" si="65"/>
        <v>42000</v>
      </c>
      <c r="FF57">
        <f t="shared" si="66"/>
        <v>467055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>SUM(FG57:FM57)+(IF(F57="YES",50000,0))</f>
        <v>0</v>
      </c>
      <c r="FO57">
        <f t="shared" si="67"/>
        <v>467055</v>
      </c>
      <c r="FP57">
        <f t="shared" si="68"/>
        <v>10853</v>
      </c>
      <c r="FQ57">
        <f t="shared" si="69"/>
        <v>0</v>
      </c>
      <c r="FR57">
        <f t="shared" si="70"/>
        <v>10853</v>
      </c>
      <c r="FS57">
        <f t="shared" si="71"/>
        <v>0</v>
      </c>
      <c r="FT57">
        <f t="shared" si="72"/>
        <v>0</v>
      </c>
      <c r="FU57">
        <f t="shared" si="73"/>
        <v>0</v>
      </c>
      <c r="FV57">
        <v>0</v>
      </c>
      <c r="FW57">
        <f t="shared" si="74"/>
        <v>0</v>
      </c>
      <c r="FX57" t="b">
        <f t="shared" si="75"/>
        <v>1</v>
      </c>
      <c r="FY57">
        <f t="shared" ca="1" si="76"/>
        <v>845</v>
      </c>
      <c r="FZ57">
        <f t="shared" ca="1" si="77"/>
        <v>562300</v>
      </c>
      <c r="GA57">
        <f t="shared" si="78"/>
        <v>75000</v>
      </c>
      <c r="GB57">
        <f t="shared" ca="1" si="79"/>
        <v>487300</v>
      </c>
      <c r="GC57">
        <f t="shared" ca="1" si="80"/>
        <v>0</v>
      </c>
      <c r="GD57">
        <f t="shared" ca="1" si="81"/>
        <v>0</v>
      </c>
      <c r="GE57">
        <f t="shared" ca="1" si="82"/>
        <v>0</v>
      </c>
      <c r="GF57">
        <f t="shared" ca="1" si="83"/>
        <v>0</v>
      </c>
      <c r="GG57">
        <f t="shared" ca="1" si="84"/>
        <v>0</v>
      </c>
      <c r="GH57">
        <f t="shared" ca="1" si="85"/>
        <v>0</v>
      </c>
      <c r="GI57">
        <f ca="1">IF(GB57&gt;1200000,GB57-1200000-IF(F57="YES",50000,0)-GG57,0)</f>
        <v>0</v>
      </c>
      <c r="GJ57">
        <f t="shared" ca="1" si="86"/>
        <v>0</v>
      </c>
      <c r="GK57">
        <f t="shared" ca="1" si="87"/>
        <v>0</v>
      </c>
      <c r="GL57">
        <f t="shared" ca="1" si="88"/>
        <v>0</v>
      </c>
      <c r="GM57">
        <f t="shared" ca="1" si="89"/>
        <v>87300</v>
      </c>
      <c r="GN57">
        <f t="shared" ca="1" si="90"/>
        <v>4365</v>
      </c>
      <c r="GO57">
        <f t="shared" ca="1" si="91"/>
        <v>4365</v>
      </c>
      <c r="GP57">
        <f t="shared" ca="1" si="92"/>
        <v>0</v>
      </c>
      <c r="GQ57">
        <f t="shared" ca="1" si="93"/>
        <v>0</v>
      </c>
      <c r="GR57">
        <f t="shared" ca="1" si="94"/>
        <v>4365</v>
      </c>
      <c r="GS57">
        <f t="shared" ca="1" si="95"/>
        <v>0</v>
      </c>
      <c r="GT57" t="b">
        <f t="shared" ca="1" si="96"/>
        <v>0</v>
      </c>
      <c r="GU57">
        <f t="shared" ca="1" si="97"/>
        <v>0</v>
      </c>
      <c r="GV57">
        <f t="shared" ca="1" si="98"/>
        <v>4365</v>
      </c>
      <c r="GW57">
        <f t="shared" ca="1" si="99"/>
        <v>0</v>
      </c>
      <c r="GX57">
        <f t="shared" ca="1" si="100"/>
        <v>0</v>
      </c>
      <c r="GY57">
        <f t="shared" ca="1" si="101"/>
        <v>0</v>
      </c>
    </row>
    <row r="58" spans="1:207" x14ac:dyDescent="0.25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2"/>
        <v>6800</v>
      </c>
      <c r="I58">
        <f>_xlfn.XLOOKUP(B58,'[1]march-2026'!$A:$A,'[1]march-2026'!$C:$C,0,0)</f>
        <v>32500</v>
      </c>
      <c r="J58">
        <f t="shared" si="168"/>
        <v>5850</v>
      </c>
      <c r="K58">
        <f t="shared" si="104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5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6"/>
        <v>200</v>
      </c>
      <c r="R58">
        <f t="shared" si="107"/>
        <v>39050</v>
      </c>
      <c r="S58">
        <f>_xlfn.XLOOKUP(B58,'[2]april-2026'!$A:$A,'[2]april-2026'!$C:$C,0,0)</f>
        <v>32500</v>
      </c>
      <c r="T58">
        <f t="shared" si="108"/>
        <v>5850</v>
      </c>
      <c r="U58">
        <f t="shared" si="109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0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1"/>
        <v>200</v>
      </c>
      <c r="AB58">
        <f t="shared" si="112"/>
        <v>39050</v>
      </c>
      <c r="AC58">
        <f>_xlfn.XLOOKUP(B58,'[3]may-2026'!$A:$A,'[3]may-2026'!$C:$C,0,0)</f>
        <v>32500</v>
      </c>
      <c r="AD58">
        <f t="shared" si="113"/>
        <v>5850</v>
      </c>
      <c r="AE58">
        <f t="shared" si="114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5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6"/>
        <v>200</v>
      </c>
      <c r="AL58">
        <f t="shared" si="117"/>
        <v>39050</v>
      </c>
      <c r="AM58">
        <f>_xlfn.XLOOKUP(B58,'[4]june-2026'!$A:$A,'[4]june-2026'!$C:$C,0,0)</f>
        <v>32500</v>
      </c>
      <c r="AN58">
        <f t="shared" si="118"/>
        <v>5850</v>
      </c>
      <c r="AO58">
        <f t="shared" si="119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0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1"/>
        <v>200</v>
      </c>
      <c r="AV58">
        <f t="shared" si="122"/>
        <v>39050</v>
      </c>
      <c r="AW58">
        <f>_xlfn.XLOOKUP(B58,'[5]july-2026'!$A:$A,'[5]july-2026'!$C:$C,0,0)</f>
        <v>33500</v>
      </c>
      <c r="AX58">
        <f t="shared" si="123"/>
        <v>6030</v>
      </c>
      <c r="AY58">
        <v>56</v>
      </c>
      <c r="AZ58">
        <f t="shared" si="124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5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6"/>
        <v>200</v>
      </c>
      <c r="BG58">
        <f t="shared" si="127"/>
        <v>40406</v>
      </c>
      <c r="BH58">
        <f>_xlfn.XLOOKUP(B58,'[6]august-2026'!$A:$A,'[6]august-2026'!$C:$C,0,0)</f>
        <v>33500</v>
      </c>
      <c r="BI58">
        <f t="shared" si="128"/>
        <v>6030</v>
      </c>
      <c r="BJ58">
        <f t="shared" si="129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0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1"/>
        <v>200</v>
      </c>
      <c r="BQ58">
        <f t="shared" si="132"/>
        <v>40350</v>
      </c>
      <c r="BR58">
        <f>_xlfn.XLOOKUP(B58,'[7]september-2026'!$A:$A,'[7]september-2026'!$C:$C,0,0)</f>
        <v>33500</v>
      </c>
      <c r="BS58">
        <f t="shared" si="133"/>
        <v>6030</v>
      </c>
      <c r="BT58">
        <f t="shared" si="134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5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6"/>
        <v>200</v>
      </c>
      <c r="CA58">
        <f t="shared" si="137"/>
        <v>40350</v>
      </c>
      <c r="CB58">
        <f>_xlfn.XLOOKUP(B58,'[8]october-2026'!$A:$A,'[8]october-2026'!$C:$C,0,0)</f>
        <v>33500</v>
      </c>
      <c r="CC58">
        <f t="shared" si="138"/>
        <v>6030</v>
      </c>
      <c r="CD58">
        <f t="shared" si="139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0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1"/>
        <v>200</v>
      </c>
      <c r="CK58">
        <f t="shared" si="142"/>
        <v>40350</v>
      </c>
      <c r="CL58">
        <f>_xlfn.XLOOKUP(B58,'[9]november-2026'!$A:$A,'[9]november-2026'!$C:$C,0,0)</f>
        <v>33500</v>
      </c>
      <c r="CM58">
        <f t="shared" si="143"/>
        <v>6030</v>
      </c>
      <c r="CN58">
        <f t="shared" si="144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5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6"/>
        <v>200</v>
      </c>
      <c r="CU58">
        <f t="shared" si="147"/>
        <v>40350</v>
      </c>
      <c r="CV58">
        <f>_xlfn.XLOOKUP(B58,'[10]december-2026'!$A:$A,'[10]december-2026'!$C:$C,0,0)</f>
        <v>33500</v>
      </c>
      <c r="CW58">
        <f t="shared" si="148"/>
        <v>6030</v>
      </c>
      <c r="CX58">
        <f t="shared" si="149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0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1"/>
        <v>200</v>
      </c>
      <c r="DE58">
        <f t="shared" si="152"/>
        <v>40350</v>
      </c>
      <c r="DF58">
        <f xml:space="preserve"> _xlfn.XLOOKUP(B58,
'[11]january-2027'!$A:$A,
'[11]january-2027'!$C:$C,
0,0)</f>
        <v>33500</v>
      </c>
      <c r="DG58">
        <f t="shared" si="153"/>
        <v>6030</v>
      </c>
      <c r="DH58">
        <f t="shared" si="154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5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6"/>
        <v>200</v>
      </c>
      <c r="DO58">
        <f t="shared" si="157"/>
        <v>40350</v>
      </c>
      <c r="DP58">
        <f xml:space="preserve"> _xlfn.XLOOKUP(B58,
'[12]february-2027'!$A:$A,
'[12]february-2027'!$C:$C,
0,0)</f>
        <v>33500</v>
      </c>
      <c r="DQ58">
        <f t="shared" si="158"/>
        <v>6030</v>
      </c>
      <c r="DR58">
        <f t="shared" si="159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0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1"/>
        <v>200</v>
      </c>
      <c r="DY58">
        <f t="shared" si="162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3"/>
        <v>0</v>
      </c>
      <c r="EM58">
        <f t="shared" si="164"/>
        <v>524256</v>
      </c>
      <c r="EN58">
        <f t="shared" si="165"/>
        <v>2400</v>
      </c>
      <c r="EO58">
        <f t="shared" si="166"/>
        <v>50000</v>
      </c>
      <c r="EP58">
        <v>0</v>
      </c>
      <c r="EQ58">
        <f t="shared" si="167"/>
        <v>471856</v>
      </c>
      <c r="ER58">
        <f t="shared" si="62"/>
        <v>36000</v>
      </c>
      <c r="ES58">
        <f t="shared" si="63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4"/>
        <v>36000</v>
      </c>
      <c r="FE58">
        <f t="shared" si="65"/>
        <v>36000</v>
      </c>
      <c r="FF58">
        <f t="shared" si="66"/>
        <v>435856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>SUM(FG58:FM58)+(IF(F58="YES",50000,0))</f>
        <v>0</v>
      </c>
      <c r="FO58">
        <f t="shared" si="67"/>
        <v>435856</v>
      </c>
      <c r="FP58">
        <f t="shared" si="68"/>
        <v>9293</v>
      </c>
      <c r="FQ58">
        <f t="shared" si="69"/>
        <v>0</v>
      </c>
      <c r="FR58">
        <f t="shared" si="70"/>
        <v>9293</v>
      </c>
      <c r="FS58">
        <f t="shared" si="71"/>
        <v>0</v>
      </c>
      <c r="FT58">
        <f t="shared" si="72"/>
        <v>0</v>
      </c>
      <c r="FU58">
        <f t="shared" si="73"/>
        <v>0</v>
      </c>
      <c r="FV58">
        <v>0</v>
      </c>
      <c r="FW58">
        <f t="shared" si="74"/>
        <v>0</v>
      </c>
      <c r="FX58" t="b">
        <f t="shared" si="75"/>
        <v>1</v>
      </c>
      <c r="FY58">
        <f t="shared" ca="1" si="76"/>
        <v>889</v>
      </c>
      <c r="FZ58">
        <f t="shared" ca="1" si="77"/>
        <v>525145</v>
      </c>
      <c r="GA58">
        <f t="shared" si="78"/>
        <v>75000</v>
      </c>
      <c r="GB58">
        <f t="shared" ca="1" si="79"/>
        <v>450145</v>
      </c>
      <c r="GC58">
        <f t="shared" ca="1" si="80"/>
        <v>0</v>
      </c>
      <c r="GD58">
        <f t="shared" ca="1" si="81"/>
        <v>0</v>
      </c>
      <c r="GE58">
        <f t="shared" ca="1" si="82"/>
        <v>0</v>
      </c>
      <c r="GF58">
        <f t="shared" ca="1" si="83"/>
        <v>0</v>
      </c>
      <c r="GG58">
        <f t="shared" ca="1" si="84"/>
        <v>0</v>
      </c>
      <c r="GH58">
        <f t="shared" ca="1" si="85"/>
        <v>0</v>
      </c>
      <c r="GI58">
        <f ca="1">IF(GB58&gt;1200000,GB58-1200000-IF(F58="YES",50000,0)-GG58,0)</f>
        <v>0</v>
      </c>
      <c r="GJ58">
        <f t="shared" ca="1" si="86"/>
        <v>0</v>
      </c>
      <c r="GK58">
        <f t="shared" ca="1" si="87"/>
        <v>0</v>
      </c>
      <c r="GL58">
        <f t="shared" ca="1" si="88"/>
        <v>0</v>
      </c>
      <c r="GM58">
        <f t="shared" ca="1" si="89"/>
        <v>50145</v>
      </c>
      <c r="GN58">
        <f t="shared" ca="1" si="90"/>
        <v>2507.25</v>
      </c>
      <c r="GO58">
        <f t="shared" ca="1" si="91"/>
        <v>2507</v>
      </c>
      <c r="GP58">
        <f t="shared" ca="1" si="92"/>
        <v>0</v>
      </c>
      <c r="GQ58">
        <f t="shared" ca="1" si="93"/>
        <v>0</v>
      </c>
      <c r="GR58">
        <f t="shared" ca="1" si="94"/>
        <v>2507</v>
      </c>
      <c r="GS58">
        <f t="shared" ca="1" si="95"/>
        <v>0</v>
      </c>
      <c r="GT58" t="b">
        <f t="shared" ca="1" si="96"/>
        <v>0</v>
      </c>
      <c r="GU58">
        <f t="shared" ca="1" si="97"/>
        <v>0</v>
      </c>
      <c r="GV58">
        <f t="shared" ca="1" si="98"/>
        <v>2507</v>
      </c>
      <c r="GW58">
        <f t="shared" ca="1" si="99"/>
        <v>0</v>
      </c>
      <c r="GX58">
        <f t="shared" ca="1" si="100"/>
        <v>0</v>
      </c>
      <c r="GY58">
        <f t="shared" ca="1" si="101"/>
        <v>0</v>
      </c>
    </row>
    <row r="59" spans="1:207" x14ac:dyDescent="0.25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2"/>
        <v>6800</v>
      </c>
      <c r="I59">
        <f>_xlfn.XLOOKUP(B59,'[1]march-2026'!$A:$A,'[1]march-2026'!$C:$C,0,0)</f>
        <v>34500</v>
      </c>
      <c r="J59">
        <f t="shared" si="168"/>
        <v>6210</v>
      </c>
      <c r="K59">
        <f t="shared" si="104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5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6"/>
        <v>200</v>
      </c>
      <c r="R59">
        <f t="shared" si="107"/>
        <v>42650</v>
      </c>
      <c r="S59">
        <f>_xlfn.XLOOKUP(B59,'[2]april-2026'!$A:$A,'[2]april-2026'!$C:$C,0,0)</f>
        <v>34500</v>
      </c>
      <c r="T59">
        <f t="shared" si="108"/>
        <v>6210</v>
      </c>
      <c r="U59">
        <f t="shared" si="109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0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1"/>
        <v>200</v>
      </c>
      <c r="AB59">
        <f t="shared" si="112"/>
        <v>42650</v>
      </c>
      <c r="AC59">
        <f>_xlfn.XLOOKUP(B59,'[3]may-2026'!$A:$A,'[3]may-2026'!$C:$C,0,0)</f>
        <v>34500</v>
      </c>
      <c r="AD59">
        <f t="shared" si="113"/>
        <v>6210</v>
      </c>
      <c r="AE59">
        <f t="shared" si="114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5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6"/>
        <v>200</v>
      </c>
      <c r="AL59">
        <f t="shared" si="117"/>
        <v>42650</v>
      </c>
      <c r="AM59">
        <f>_xlfn.XLOOKUP(B59,'[4]june-2026'!$A:$A,'[4]june-2026'!$C:$C,0,0)</f>
        <v>34500</v>
      </c>
      <c r="AN59">
        <f t="shared" si="118"/>
        <v>6210</v>
      </c>
      <c r="AO59">
        <f t="shared" si="119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0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1"/>
        <v>200</v>
      </c>
      <c r="AV59">
        <f t="shared" si="122"/>
        <v>42650</v>
      </c>
      <c r="AW59">
        <f>_xlfn.XLOOKUP(B59,'[5]july-2026'!$A:$A,'[5]july-2026'!$C:$C,0,0)</f>
        <v>35500</v>
      </c>
      <c r="AX59">
        <f t="shared" si="123"/>
        <v>6390</v>
      </c>
      <c r="AY59">
        <v>57</v>
      </c>
      <c r="AZ59">
        <f t="shared" si="124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5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6"/>
        <v>200</v>
      </c>
      <c r="BG59">
        <f t="shared" si="127"/>
        <v>44007</v>
      </c>
      <c r="BH59">
        <f>_xlfn.XLOOKUP(B59,'[6]august-2026'!$A:$A,'[6]august-2026'!$C:$C,0,0)</f>
        <v>35500</v>
      </c>
      <c r="BI59">
        <f t="shared" si="128"/>
        <v>6390</v>
      </c>
      <c r="BJ59">
        <f t="shared" si="129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0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1"/>
        <v>200</v>
      </c>
      <c r="BQ59">
        <f t="shared" si="132"/>
        <v>43950</v>
      </c>
      <c r="BR59">
        <f>_xlfn.XLOOKUP(B59,'[7]september-2026'!$A:$A,'[7]september-2026'!$C:$C,0,0)</f>
        <v>35500</v>
      </c>
      <c r="BS59">
        <f t="shared" si="133"/>
        <v>6390</v>
      </c>
      <c r="BT59">
        <f t="shared" si="134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5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6"/>
        <v>200</v>
      </c>
      <c r="CA59">
        <f t="shared" si="137"/>
        <v>43950</v>
      </c>
      <c r="CB59">
        <f>_xlfn.XLOOKUP(B59,'[8]october-2026'!$A:$A,'[8]october-2026'!$C:$C,0,0)</f>
        <v>35500</v>
      </c>
      <c r="CC59">
        <f t="shared" si="138"/>
        <v>6390</v>
      </c>
      <c r="CD59">
        <f t="shared" si="139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0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1"/>
        <v>200</v>
      </c>
      <c r="CK59">
        <f t="shared" si="142"/>
        <v>43950</v>
      </c>
      <c r="CL59">
        <f>_xlfn.XLOOKUP(B59,'[9]november-2026'!$A:$A,'[9]november-2026'!$C:$C,0,0)</f>
        <v>35500</v>
      </c>
      <c r="CM59">
        <f t="shared" si="143"/>
        <v>6390</v>
      </c>
      <c r="CN59">
        <f t="shared" si="144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5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6"/>
        <v>200</v>
      </c>
      <c r="CU59">
        <f t="shared" si="147"/>
        <v>43950</v>
      </c>
      <c r="CV59">
        <f>_xlfn.XLOOKUP(B59,'[10]december-2026'!$A:$A,'[10]december-2026'!$C:$C,0,0)</f>
        <v>35500</v>
      </c>
      <c r="CW59">
        <f t="shared" si="148"/>
        <v>6390</v>
      </c>
      <c r="CX59">
        <f t="shared" si="149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0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1"/>
        <v>200</v>
      </c>
      <c r="DE59">
        <f t="shared" si="152"/>
        <v>43950</v>
      </c>
      <c r="DF59">
        <f xml:space="preserve"> _xlfn.XLOOKUP(B59,
'[11]january-2027'!$A:$A,
'[11]january-2027'!$C:$C,
0,0)</f>
        <v>35500</v>
      </c>
      <c r="DG59">
        <f t="shared" si="153"/>
        <v>6390</v>
      </c>
      <c r="DH59">
        <f t="shared" si="154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5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6"/>
        <v>200</v>
      </c>
      <c r="DO59">
        <f t="shared" si="157"/>
        <v>43950</v>
      </c>
      <c r="DP59">
        <f xml:space="preserve"> _xlfn.XLOOKUP(B59,
'[12]february-2027'!$A:$A,
'[12]february-2027'!$C:$C,
0,0)</f>
        <v>35500</v>
      </c>
      <c r="DQ59">
        <f t="shared" si="158"/>
        <v>6390</v>
      </c>
      <c r="DR59">
        <f t="shared" si="159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0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1"/>
        <v>200</v>
      </c>
      <c r="DY59">
        <f t="shared" si="162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3"/>
        <v>0</v>
      </c>
      <c r="EM59">
        <f t="shared" si="164"/>
        <v>561457</v>
      </c>
      <c r="EN59">
        <f t="shared" si="165"/>
        <v>2400</v>
      </c>
      <c r="EO59">
        <f t="shared" si="166"/>
        <v>50000</v>
      </c>
      <c r="EP59">
        <v>0</v>
      </c>
      <c r="EQ59">
        <f t="shared" si="167"/>
        <v>509057</v>
      </c>
      <c r="ER59">
        <f t="shared" si="62"/>
        <v>30000</v>
      </c>
      <c r="ES59">
        <f t="shared" si="63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4"/>
        <v>30000</v>
      </c>
      <c r="FE59">
        <f t="shared" si="65"/>
        <v>30000</v>
      </c>
      <c r="FF59">
        <f t="shared" si="66"/>
        <v>479057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>SUM(FG59:FM59)+(IF(F59="YES",50000,0))</f>
        <v>0</v>
      </c>
      <c r="FO59">
        <f t="shared" si="67"/>
        <v>479057</v>
      </c>
      <c r="FP59">
        <f t="shared" si="68"/>
        <v>11453</v>
      </c>
      <c r="FQ59">
        <f t="shared" si="69"/>
        <v>0</v>
      </c>
      <c r="FR59">
        <f t="shared" si="70"/>
        <v>11453</v>
      </c>
      <c r="FS59">
        <f t="shared" si="71"/>
        <v>0</v>
      </c>
      <c r="FT59">
        <f t="shared" si="72"/>
        <v>0</v>
      </c>
      <c r="FU59">
        <f t="shared" si="73"/>
        <v>0</v>
      </c>
      <c r="FV59">
        <v>0</v>
      </c>
      <c r="FW59">
        <f t="shared" si="74"/>
        <v>0</v>
      </c>
      <c r="FX59" t="b">
        <f t="shared" si="75"/>
        <v>1</v>
      </c>
      <c r="FY59">
        <f t="shared" ca="1" si="76"/>
        <v>970</v>
      </c>
      <c r="FZ59">
        <f t="shared" ca="1" si="77"/>
        <v>562427</v>
      </c>
      <c r="GA59">
        <f t="shared" si="78"/>
        <v>75000</v>
      </c>
      <c r="GB59">
        <f t="shared" ca="1" si="79"/>
        <v>487427</v>
      </c>
      <c r="GC59">
        <f t="shared" ca="1" si="80"/>
        <v>0</v>
      </c>
      <c r="GD59">
        <f t="shared" ca="1" si="81"/>
        <v>0</v>
      </c>
      <c r="GE59">
        <f t="shared" ca="1" si="82"/>
        <v>0</v>
      </c>
      <c r="GF59">
        <f t="shared" ca="1" si="83"/>
        <v>0</v>
      </c>
      <c r="GG59">
        <f t="shared" ca="1" si="84"/>
        <v>0</v>
      </c>
      <c r="GH59">
        <f t="shared" ca="1" si="85"/>
        <v>0</v>
      </c>
      <c r="GI59">
        <f ca="1">IF(GB59&gt;1200000,GB59-1200000-IF(F59="YES",50000,0)-GG59,0)</f>
        <v>0</v>
      </c>
      <c r="GJ59">
        <f t="shared" ca="1" si="86"/>
        <v>0</v>
      </c>
      <c r="GK59">
        <f t="shared" ca="1" si="87"/>
        <v>0</v>
      </c>
      <c r="GL59">
        <f t="shared" ca="1" si="88"/>
        <v>0</v>
      </c>
      <c r="GM59">
        <f t="shared" ca="1" si="89"/>
        <v>87427</v>
      </c>
      <c r="GN59">
        <f t="shared" ca="1" si="90"/>
        <v>4371.3500000000004</v>
      </c>
      <c r="GO59">
        <f t="shared" ca="1" si="91"/>
        <v>4371</v>
      </c>
      <c r="GP59">
        <f t="shared" ca="1" si="92"/>
        <v>0</v>
      </c>
      <c r="GQ59">
        <f t="shared" ca="1" si="93"/>
        <v>0</v>
      </c>
      <c r="GR59">
        <f t="shared" ca="1" si="94"/>
        <v>4371</v>
      </c>
      <c r="GS59">
        <f t="shared" ca="1" si="95"/>
        <v>0</v>
      </c>
      <c r="GT59" t="b">
        <f t="shared" ca="1" si="96"/>
        <v>0</v>
      </c>
      <c r="GU59">
        <f t="shared" ca="1" si="97"/>
        <v>0</v>
      </c>
      <c r="GV59">
        <f t="shared" ca="1" si="98"/>
        <v>4371</v>
      </c>
      <c r="GW59">
        <f t="shared" ca="1" si="99"/>
        <v>0</v>
      </c>
      <c r="GX59">
        <f t="shared" ca="1" si="100"/>
        <v>0</v>
      </c>
      <c r="GY59">
        <f t="shared" ca="1" si="101"/>
        <v>0</v>
      </c>
    </row>
    <row r="60" spans="1:207" x14ac:dyDescent="0.25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2"/>
        <v>6800</v>
      </c>
      <c r="I60">
        <f>_xlfn.XLOOKUP(B60,'[1]march-2026'!$A:$A,'[1]march-2026'!$C:$C,0,0)</f>
        <v>38800</v>
      </c>
      <c r="J60">
        <f t="shared" si="168"/>
        <v>6984</v>
      </c>
      <c r="K60">
        <f t="shared" si="104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5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6"/>
        <v>200</v>
      </c>
      <c r="R60">
        <f t="shared" si="107"/>
        <v>48140</v>
      </c>
      <c r="S60">
        <f>_xlfn.XLOOKUP(B60,'[2]april-2026'!$A:$A,'[2]april-2026'!$C:$C,0,0)</f>
        <v>38800</v>
      </c>
      <c r="T60">
        <f t="shared" si="108"/>
        <v>6984</v>
      </c>
      <c r="U60">
        <f t="shared" si="109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0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1"/>
        <v>200</v>
      </c>
      <c r="AB60">
        <f t="shared" si="112"/>
        <v>48140</v>
      </c>
      <c r="AC60">
        <f>_xlfn.XLOOKUP(B60,'[3]may-2026'!$A:$A,'[3]may-2026'!$C:$C,0,0)</f>
        <v>38800</v>
      </c>
      <c r="AD60">
        <f t="shared" si="113"/>
        <v>6984</v>
      </c>
      <c r="AE60">
        <f t="shared" si="114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5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6"/>
        <v>200</v>
      </c>
      <c r="AL60">
        <f t="shared" si="117"/>
        <v>48140</v>
      </c>
      <c r="AM60">
        <f>_xlfn.XLOOKUP(B60,'[4]june-2026'!$A:$A,'[4]june-2026'!$C:$C,0,0)</f>
        <v>38800</v>
      </c>
      <c r="AN60">
        <f t="shared" si="118"/>
        <v>6984</v>
      </c>
      <c r="AO60">
        <f t="shared" si="119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0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1"/>
        <v>200</v>
      </c>
      <c r="AV60">
        <f t="shared" si="122"/>
        <v>48140</v>
      </c>
      <c r="AW60">
        <f>_xlfn.XLOOKUP(B60,'[5]july-2026'!$A:$A,'[5]july-2026'!$C:$C,0,0)</f>
        <v>40000</v>
      </c>
      <c r="AX60">
        <f t="shared" si="123"/>
        <v>7200</v>
      </c>
      <c r="AY60">
        <v>58</v>
      </c>
      <c r="AZ60">
        <f t="shared" si="124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5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6"/>
        <v>200</v>
      </c>
      <c r="BG60">
        <f t="shared" si="127"/>
        <v>49758</v>
      </c>
      <c r="BH60">
        <f>_xlfn.XLOOKUP(B60,'[6]august-2026'!$A:$A,'[6]august-2026'!$C:$C,0,0)</f>
        <v>40000</v>
      </c>
      <c r="BI60">
        <f t="shared" si="128"/>
        <v>7200</v>
      </c>
      <c r="BJ60">
        <f t="shared" si="129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0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1"/>
        <v>200</v>
      </c>
      <c r="BQ60">
        <f t="shared" si="132"/>
        <v>49700</v>
      </c>
      <c r="BR60">
        <f>_xlfn.XLOOKUP(B60,'[7]september-2026'!$A:$A,'[7]september-2026'!$C:$C,0,0)</f>
        <v>40000</v>
      </c>
      <c r="BS60">
        <f t="shared" si="133"/>
        <v>7200</v>
      </c>
      <c r="BT60">
        <f t="shared" si="134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5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6"/>
        <v>200</v>
      </c>
      <c r="CA60">
        <f t="shared" si="137"/>
        <v>49700</v>
      </c>
      <c r="CB60">
        <f>_xlfn.XLOOKUP(B60,'[8]october-2026'!$A:$A,'[8]october-2026'!$C:$C,0,0)</f>
        <v>40000</v>
      </c>
      <c r="CC60">
        <f t="shared" si="138"/>
        <v>7200</v>
      </c>
      <c r="CD60">
        <f t="shared" si="139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0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1"/>
        <v>200</v>
      </c>
      <c r="CK60">
        <f t="shared" si="142"/>
        <v>49700</v>
      </c>
      <c r="CL60">
        <f>_xlfn.XLOOKUP(B60,'[9]november-2026'!$A:$A,'[9]november-2026'!$C:$C,0,0)</f>
        <v>40000</v>
      </c>
      <c r="CM60">
        <f t="shared" si="143"/>
        <v>7200</v>
      </c>
      <c r="CN60">
        <f t="shared" si="144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5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6"/>
        <v>200</v>
      </c>
      <c r="CU60">
        <f t="shared" si="147"/>
        <v>49700</v>
      </c>
      <c r="CV60">
        <f>_xlfn.XLOOKUP(B60,'[10]december-2026'!$A:$A,'[10]december-2026'!$C:$C,0,0)</f>
        <v>40000</v>
      </c>
      <c r="CW60">
        <f t="shared" si="148"/>
        <v>7200</v>
      </c>
      <c r="CX60">
        <f t="shared" si="149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0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1"/>
        <v>200</v>
      </c>
      <c r="DE60">
        <f t="shared" si="152"/>
        <v>49700</v>
      </c>
      <c r="DF60">
        <f xml:space="preserve"> _xlfn.XLOOKUP(B60,
'[11]january-2027'!$A:$A,
'[11]january-2027'!$C:$C,
0,0)</f>
        <v>40000</v>
      </c>
      <c r="DG60">
        <f t="shared" si="153"/>
        <v>7200</v>
      </c>
      <c r="DH60">
        <f t="shared" si="154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5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6"/>
        <v>200</v>
      </c>
      <c r="DO60">
        <f t="shared" si="157"/>
        <v>49700</v>
      </c>
      <c r="DP60">
        <f xml:space="preserve"> _xlfn.XLOOKUP(B60,
'[12]february-2027'!$A:$A,
'[12]february-2027'!$C:$C,
0,0)</f>
        <v>40000</v>
      </c>
      <c r="DQ60">
        <f t="shared" si="158"/>
        <v>7200</v>
      </c>
      <c r="DR60">
        <f t="shared" si="159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0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1"/>
        <v>200</v>
      </c>
      <c r="DY60">
        <f t="shared" si="162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3"/>
        <v>0</v>
      </c>
      <c r="EM60">
        <f t="shared" si="164"/>
        <v>635418</v>
      </c>
      <c r="EN60">
        <f t="shared" si="165"/>
        <v>2400</v>
      </c>
      <c r="EO60">
        <f t="shared" si="166"/>
        <v>50000</v>
      </c>
      <c r="EP60">
        <v>0</v>
      </c>
      <c r="EQ60">
        <f t="shared" si="167"/>
        <v>583018</v>
      </c>
      <c r="ER60">
        <f t="shared" si="62"/>
        <v>36000</v>
      </c>
      <c r="ES60">
        <f t="shared" si="63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4"/>
        <v>36000</v>
      </c>
      <c r="FE60">
        <f t="shared" si="65"/>
        <v>36000</v>
      </c>
      <c r="FF60">
        <f t="shared" si="66"/>
        <v>547018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>SUM(FG60:FM60)+(IF(F60="YES",50000,0))</f>
        <v>0</v>
      </c>
      <c r="FO60">
        <f t="shared" si="67"/>
        <v>547018</v>
      </c>
      <c r="FP60">
        <f t="shared" si="68"/>
        <v>12500</v>
      </c>
      <c r="FQ60">
        <f t="shared" si="69"/>
        <v>9404</v>
      </c>
      <c r="FR60">
        <f t="shared" si="70"/>
        <v>21904</v>
      </c>
      <c r="FS60">
        <f t="shared" si="71"/>
        <v>21904</v>
      </c>
      <c r="FT60">
        <f t="shared" si="72"/>
        <v>876.16</v>
      </c>
      <c r="FU60">
        <f t="shared" si="73"/>
        <v>22780</v>
      </c>
      <c r="FV60">
        <v>0</v>
      </c>
      <c r="FW60">
        <f t="shared" si="74"/>
        <v>22780</v>
      </c>
      <c r="FX60" t="b">
        <f t="shared" si="75"/>
        <v>1</v>
      </c>
      <c r="FY60">
        <f t="shared" ca="1" si="76"/>
        <v>680</v>
      </c>
      <c r="FZ60">
        <f t="shared" ca="1" si="77"/>
        <v>636098</v>
      </c>
      <c r="GA60">
        <f t="shared" si="78"/>
        <v>75000</v>
      </c>
      <c r="GB60">
        <f t="shared" ca="1" si="79"/>
        <v>561098</v>
      </c>
      <c r="GC60">
        <f t="shared" ca="1" si="80"/>
        <v>0</v>
      </c>
      <c r="GD60">
        <f t="shared" ca="1" si="81"/>
        <v>0</v>
      </c>
      <c r="GE60">
        <f t="shared" ca="1" si="82"/>
        <v>0</v>
      </c>
      <c r="GF60">
        <f t="shared" ca="1" si="83"/>
        <v>0</v>
      </c>
      <c r="GG60">
        <f t="shared" ca="1" si="84"/>
        <v>0</v>
      </c>
      <c r="GH60">
        <f t="shared" ca="1" si="85"/>
        <v>0</v>
      </c>
      <c r="GI60">
        <f ca="1">IF(GB60&gt;1200000,GB60-1200000-IF(F60="YES",50000,0)-GG60,0)</f>
        <v>0</v>
      </c>
      <c r="GJ60">
        <f t="shared" ca="1" si="86"/>
        <v>0</v>
      </c>
      <c r="GK60">
        <f t="shared" ca="1" si="87"/>
        <v>0</v>
      </c>
      <c r="GL60">
        <f t="shared" ca="1" si="88"/>
        <v>0</v>
      </c>
      <c r="GM60">
        <f t="shared" ca="1" si="89"/>
        <v>161098</v>
      </c>
      <c r="GN60">
        <f t="shared" ca="1" si="90"/>
        <v>8054.9000000000005</v>
      </c>
      <c r="GO60">
        <f t="shared" ca="1" si="91"/>
        <v>8055</v>
      </c>
      <c r="GP60">
        <f t="shared" ca="1" si="92"/>
        <v>0</v>
      </c>
      <c r="GQ60">
        <f t="shared" ca="1" si="93"/>
        <v>0</v>
      </c>
      <c r="GR60">
        <f t="shared" ca="1" si="94"/>
        <v>8055</v>
      </c>
      <c r="GS60">
        <f t="shared" ca="1" si="95"/>
        <v>0</v>
      </c>
      <c r="GT60" t="b">
        <f t="shared" ca="1" si="96"/>
        <v>0</v>
      </c>
      <c r="GU60">
        <f t="shared" ca="1" si="97"/>
        <v>0</v>
      </c>
      <c r="GV60">
        <f t="shared" ca="1" si="98"/>
        <v>8055</v>
      </c>
      <c r="GW60">
        <f t="shared" ca="1" si="99"/>
        <v>0</v>
      </c>
      <c r="GX60">
        <f t="shared" ca="1" si="100"/>
        <v>0</v>
      </c>
      <c r="GY60">
        <f t="shared" ca="1" si="101"/>
        <v>0</v>
      </c>
    </row>
    <row r="61" spans="1:207" x14ac:dyDescent="0.25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2"/>
        <v>6800</v>
      </c>
      <c r="I61">
        <f>_xlfn.XLOOKUP(B61,'[1]march-2026'!$A:$A,'[1]march-2026'!$C:$C,0,0)</f>
        <v>34500</v>
      </c>
      <c r="J61">
        <f t="shared" si="168"/>
        <v>6210</v>
      </c>
      <c r="K61">
        <f t="shared" si="104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5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6"/>
        <v>200</v>
      </c>
      <c r="R61">
        <f t="shared" si="107"/>
        <v>42650</v>
      </c>
      <c r="S61">
        <f>_xlfn.XLOOKUP(B61,'[2]april-2026'!$A:$A,'[2]april-2026'!$C:$C,0,0)</f>
        <v>34500</v>
      </c>
      <c r="T61">
        <f t="shared" si="108"/>
        <v>6210</v>
      </c>
      <c r="U61">
        <f t="shared" si="109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0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1"/>
        <v>200</v>
      </c>
      <c r="AB61">
        <f t="shared" si="112"/>
        <v>42650</v>
      </c>
      <c r="AC61">
        <f>_xlfn.XLOOKUP(B61,'[3]may-2026'!$A:$A,'[3]may-2026'!$C:$C,0,0)</f>
        <v>34500</v>
      </c>
      <c r="AD61">
        <f t="shared" si="113"/>
        <v>6210</v>
      </c>
      <c r="AE61">
        <f t="shared" si="114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5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6"/>
        <v>200</v>
      </c>
      <c r="AL61">
        <f t="shared" si="117"/>
        <v>42650</v>
      </c>
      <c r="AM61">
        <f>_xlfn.XLOOKUP(B61,'[4]june-2026'!$A:$A,'[4]june-2026'!$C:$C,0,0)</f>
        <v>34500</v>
      </c>
      <c r="AN61">
        <f t="shared" si="118"/>
        <v>6210</v>
      </c>
      <c r="AO61">
        <f t="shared" si="119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0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1"/>
        <v>200</v>
      </c>
      <c r="AV61">
        <f t="shared" si="122"/>
        <v>42650</v>
      </c>
      <c r="AW61">
        <f>_xlfn.XLOOKUP(B61,'[5]july-2026'!$A:$A,'[5]july-2026'!$C:$C,0,0)</f>
        <v>35500</v>
      </c>
      <c r="AX61">
        <f t="shared" si="123"/>
        <v>6390</v>
      </c>
      <c r="AY61">
        <v>59</v>
      </c>
      <c r="AZ61">
        <f t="shared" si="124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5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6"/>
        <v>200</v>
      </c>
      <c r="BG61">
        <f t="shared" si="127"/>
        <v>44009</v>
      </c>
      <c r="BH61">
        <f>_xlfn.XLOOKUP(B61,'[6]august-2026'!$A:$A,'[6]august-2026'!$C:$C,0,0)</f>
        <v>35500</v>
      </c>
      <c r="BI61">
        <f t="shared" si="128"/>
        <v>6390</v>
      </c>
      <c r="BJ61">
        <f t="shared" si="129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0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1"/>
        <v>200</v>
      </c>
      <c r="BQ61">
        <f t="shared" si="132"/>
        <v>43950</v>
      </c>
      <c r="BR61">
        <f>_xlfn.XLOOKUP(B61,'[7]september-2026'!$A:$A,'[7]september-2026'!$C:$C,0,0)</f>
        <v>35500</v>
      </c>
      <c r="BS61">
        <f t="shared" si="133"/>
        <v>6390</v>
      </c>
      <c r="BT61">
        <f t="shared" si="134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5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6"/>
        <v>200</v>
      </c>
      <c r="CA61">
        <f t="shared" si="137"/>
        <v>43950</v>
      </c>
      <c r="CB61">
        <f>_xlfn.XLOOKUP(B61,'[8]october-2026'!$A:$A,'[8]october-2026'!$C:$C,0,0)</f>
        <v>35500</v>
      </c>
      <c r="CC61">
        <f t="shared" si="138"/>
        <v>6390</v>
      </c>
      <c r="CD61">
        <f t="shared" si="139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0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1"/>
        <v>200</v>
      </c>
      <c r="CK61">
        <f t="shared" si="142"/>
        <v>43950</v>
      </c>
      <c r="CL61">
        <f>_xlfn.XLOOKUP(B61,'[9]november-2026'!$A:$A,'[9]november-2026'!$C:$C,0,0)</f>
        <v>35500</v>
      </c>
      <c r="CM61">
        <f t="shared" si="143"/>
        <v>6390</v>
      </c>
      <c r="CN61">
        <f t="shared" si="144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5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6"/>
        <v>200</v>
      </c>
      <c r="CU61">
        <f t="shared" si="147"/>
        <v>43950</v>
      </c>
      <c r="CV61">
        <f>_xlfn.XLOOKUP(B61,'[10]december-2026'!$A:$A,'[10]december-2026'!$C:$C,0,0)</f>
        <v>35500</v>
      </c>
      <c r="CW61">
        <f t="shared" si="148"/>
        <v>6390</v>
      </c>
      <c r="CX61">
        <f t="shared" si="149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0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1"/>
        <v>200</v>
      </c>
      <c r="DE61">
        <f t="shared" si="152"/>
        <v>43950</v>
      </c>
      <c r="DF61">
        <f xml:space="preserve"> _xlfn.XLOOKUP(B61,
'[11]january-2027'!$A:$A,
'[11]january-2027'!$C:$C,
0,0)</f>
        <v>35500</v>
      </c>
      <c r="DG61">
        <f t="shared" si="153"/>
        <v>6390</v>
      </c>
      <c r="DH61">
        <f t="shared" si="154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5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6"/>
        <v>200</v>
      </c>
      <c r="DO61">
        <f t="shared" si="157"/>
        <v>43950</v>
      </c>
      <c r="DP61">
        <f xml:space="preserve"> _xlfn.XLOOKUP(B61,
'[12]february-2027'!$A:$A,
'[12]february-2027'!$C:$C,
0,0)</f>
        <v>35500</v>
      </c>
      <c r="DQ61">
        <f t="shared" si="158"/>
        <v>6390</v>
      </c>
      <c r="DR61">
        <f t="shared" si="159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0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1"/>
        <v>200</v>
      </c>
      <c r="DY61">
        <f t="shared" si="162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3"/>
        <v>0</v>
      </c>
      <c r="EM61">
        <f t="shared" si="164"/>
        <v>561459</v>
      </c>
      <c r="EN61">
        <f t="shared" si="165"/>
        <v>2400</v>
      </c>
      <c r="EO61">
        <f t="shared" si="166"/>
        <v>50000</v>
      </c>
      <c r="EP61">
        <v>0</v>
      </c>
      <c r="EQ61">
        <f t="shared" si="167"/>
        <v>509059</v>
      </c>
      <c r="ER61">
        <f t="shared" si="62"/>
        <v>30000</v>
      </c>
      <c r="ES61">
        <f t="shared" si="63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4"/>
        <v>30000</v>
      </c>
      <c r="FE61">
        <f t="shared" si="65"/>
        <v>30000</v>
      </c>
      <c r="FF61">
        <f t="shared" si="66"/>
        <v>479059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>SUM(FG61:FM61)+(IF(F61="YES",50000,0))</f>
        <v>0</v>
      </c>
      <c r="FO61">
        <f t="shared" si="67"/>
        <v>479059</v>
      </c>
      <c r="FP61">
        <f t="shared" si="68"/>
        <v>11453</v>
      </c>
      <c r="FQ61">
        <f t="shared" si="69"/>
        <v>0</v>
      </c>
      <c r="FR61">
        <f t="shared" si="70"/>
        <v>11453</v>
      </c>
      <c r="FS61">
        <f t="shared" si="71"/>
        <v>0</v>
      </c>
      <c r="FT61">
        <f t="shared" si="72"/>
        <v>0</v>
      </c>
      <c r="FU61">
        <f t="shared" si="73"/>
        <v>0</v>
      </c>
      <c r="FV61">
        <v>0</v>
      </c>
      <c r="FW61">
        <f t="shared" si="74"/>
        <v>0</v>
      </c>
      <c r="FX61" t="b">
        <f t="shared" si="75"/>
        <v>1</v>
      </c>
      <c r="FY61">
        <f t="shared" ca="1" si="76"/>
        <v>679</v>
      </c>
      <c r="FZ61">
        <f t="shared" ca="1" si="77"/>
        <v>562138</v>
      </c>
      <c r="GA61">
        <f t="shared" si="78"/>
        <v>75000</v>
      </c>
      <c r="GB61">
        <f t="shared" ca="1" si="79"/>
        <v>487138</v>
      </c>
      <c r="GC61">
        <f t="shared" ca="1" si="80"/>
        <v>0</v>
      </c>
      <c r="GD61">
        <f t="shared" ca="1" si="81"/>
        <v>0</v>
      </c>
      <c r="GE61">
        <f t="shared" ca="1" si="82"/>
        <v>0</v>
      </c>
      <c r="GF61">
        <f t="shared" ca="1" si="83"/>
        <v>0</v>
      </c>
      <c r="GG61">
        <f t="shared" ca="1" si="84"/>
        <v>0</v>
      </c>
      <c r="GH61">
        <f t="shared" ca="1" si="85"/>
        <v>0</v>
      </c>
      <c r="GI61">
        <f ca="1">IF(GB61&gt;1200000,GB61-1200000-IF(F61="YES",50000,0)-GG61,0)</f>
        <v>0</v>
      </c>
      <c r="GJ61">
        <f t="shared" ca="1" si="86"/>
        <v>0</v>
      </c>
      <c r="GK61">
        <f t="shared" ca="1" si="87"/>
        <v>0</v>
      </c>
      <c r="GL61">
        <f t="shared" ca="1" si="88"/>
        <v>0</v>
      </c>
      <c r="GM61">
        <f t="shared" ca="1" si="89"/>
        <v>87138</v>
      </c>
      <c r="GN61">
        <f t="shared" ca="1" si="90"/>
        <v>4356.9000000000005</v>
      </c>
      <c r="GO61">
        <f t="shared" ca="1" si="91"/>
        <v>4357</v>
      </c>
      <c r="GP61">
        <f t="shared" ca="1" si="92"/>
        <v>0</v>
      </c>
      <c r="GQ61">
        <f t="shared" ca="1" si="93"/>
        <v>0</v>
      </c>
      <c r="GR61">
        <f t="shared" ca="1" si="94"/>
        <v>4357</v>
      </c>
      <c r="GS61">
        <f t="shared" ca="1" si="95"/>
        <v>0</v>
      </c>
      <c r="GT61" t="b">
        <f t="shared" ca="1" si="96"/>
        <v>0</v>
      </c>
      <c r="GU61">
        <f t="shared" ca="1" si="97"/>
        <v>0</v>
      </c>
      <c r="GV61">
        <f t="shared" ca="1" si="98"/>
        <v>4357</v>
      </c>
      <c r="GW61">
        <f t="shared" ca="1" si="99"/>
        <v>0</v>
      </c>
      <c r="GX61">
        <f t="shared" ca="1" si="100"/>
        <v>0</v>
      </c>
      <c r="GY61">
        <f t="shared" ca="1" si="101"/>
        <v>0</v>
      </c>
    </row>
    <row r="62" spans="1:207" x14ac:dyDescent="0.25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2"/>
        <v>6800</v>
      </c>
      <c r="I62">
        <f>_xlfn.XLOOKUP(B62,'[1]march-2026'!$A:$A,'[1]march-2026'!$C:$C,0,0)</f>
        <v>34500</v>
      </c>
      <c r="J62">
        <f t="shared" si="168"/>
        <v>6210</v>
      </c>
      <c r="K62">
        <f t="shared" si="104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5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6"/>
        <v>200</v>
      </c>
      <c r="R62">
        <f t="shared" si="107"/>
        <v>42650</v>
      </c>
      <c r="S62">
        <f>_xlfn.XLOOKUP(B62,'[2]april-2026'!$A:$A,'[2]april-2026'!$C:$C,0,0)</f>
        <v>34500</v>
      </c>
      <c r="T62">
        <f t="shared" si="108"/>
        <v>6210</v>
      </c>
      <c r="U62">
        <f t="shared" si="109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0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1"/>
        <v>200</v>
      </c>
      <c r="AB62">
        <f t="shared" si="112"/>
        <v>42650</v>
      </c>
      <c r="AC62">
        <f>_xlfn.XLOOKUP(B62,'[3]may-2026'!$A:$A,'[3]may-2026'!$C:$C,0,0)</f>
        <v>34500</v>
      </c>
      <c r="AD62">
        <f t="shared" si="113"/>
        <v>6210</v>
      </c>
      <c r="AE62">
        <f t="shared" si="114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5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6"/>
        <v>200</v>
      </c>
      <c r="AL62">
        <f t="shared" si="117"/>
        <v>42650</v>
      </c>
      <c r="AM62">
        <f>_xlfn.XLOOKUP(B62,'[4]june-2026'!$A:$A,'[4]june-2026'!$C:$C,0,0)</f>
        <v>34500</v>
      </c>
      <c r="AN62">
        <f t="shared" si="118"/>
        <v>6210</v>
      </c>
      <c r="AO62">
        <f t="shared" si="119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0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1"/>
        <v>200</v>
      </c>
      <c r="AV62">
        <f t="shared" si="122"/>
        <v>42650</v>
      </c>
      <c r="AW62">
        <f>_xlfn.XLOOKUP(B62,'[5]july-2026'!$A:$A,'[5]july-2026'!$C:$C,0,0)</f>
        <v>35500</v>
      </c>
      <c r="AX62">
        <f t="shared" si="123"/>
        <v>6390</v>
      </c>
      <c r="AY62">
        <v>60</v>
      </c>
      <c r="AZ62">
        <f t="shared" si="124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5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6"/>
        <v>200</v>
      </c>
      <c r="BG62">
        <f t="shared" si="127"/>
        <v>44010</v>
      </c>
      <c r="BH62">
        <f>_xlfn.XLOOKUP(B62,'[6]august-2026'!$A:$A,'[6]august-2026'!$C:$C,0,0)</f>
        <v>35500</v>
      </c>
      <c r="BI62">
        <f t="shared" si="128"/>
        <v>6390</v>
      </c>
      <c r="BJ62">
        <f t="shared" si="129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0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1"/>
        <v>200</v>
      </c>
      <c r="BQ62">
        <f t="shared" si="132"/>
        <v>43950</v>
      </c>
      <c r="BR62">
        <f>_xlfn.XLOOKUP(B62,'[7]september-2026'!$A:$A,'[7]september-2026'!$C:$C,0,0)</f>
        <v>35500</v>
      </c>
      <c r="BS62">
        <f t="shared" si="133"/>
        <v>6390</v>
      </c>
      <c r="BT62">
        <f t="shared" si="134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5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6"/>
        <v>200</v>
      </c>
      <c r="CA62">
        <f t="shared" si="137"/>
        <v>43950</v>
      </c>
      <c r="CB62">
        <f>_xlfn.XLOOKUP(B62,'[8]october-2026'!$A:$A,'[8]october-2026'!$C:$C,0,0)</f>
        <v>35500</v>
      </c>
      <c r="CC62">
        <f t="shared" si="138"/>
        <v>6390</v>
      </c>
      <c r="CD62">
        <f t="shared" si="139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0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1"/>
        <v>200</v>
      </c>
      <c r="CK62">
        <f t="shared" si="142"/>
        <v>43950</v>
      </c>
      <c r="CL62">
        <f>_xlfn.XLOOKUP(B62,'[9]november-2026'!$A:$A,'[9]november-2026'!$C:$C,0,0)</f>
        <v>35500</v>
      </c>
      <c r="CM62">
        <f t="shared" si="143"/>
        <v>6390</v>
      </c>
      <c r="CN62">
        <f t="shared" si="144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5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6"/>
        <v>200</v>
      </c>
      <c r="CU62">
        <f t="shared" si="147"/>
        <v>43950</v>
      </c>
      <c r="CV62">
        <f>_xlfn.XLOOKUP(B62,'[10]december-2026'!$A:$A,'[10]december-2026'!$C:$C,0,0)</f>
        <v>35500</v>
      </c>
      <c r="CW62">
        <f t="shared" si="148"/>
        <v>6390</v>
      </c>
      <c r="CX62">
        <f t="shared" si="149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0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1"/>
        <v>200</v>
      </c>
      <c r="DE62">
        <f t="shared" si="152"/>
        <v>43950</v>
      </c>
      <c r="DF62">
        <f xml:space="preserve"> _xlfn.XLOOKUP(B62,
'[11]january-2027'!$A:$A,
'[11]january-2027'!$C:$C,
0,0)</f>
        <v>35500</v>
      </c>
      <c r="DG62">
        <f t="shared" si="153"/>
        <v>6390</v>
      </c>
      <c r="DH62">
        <f t="shared" si="154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5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6"/>
        <v>200</v>
      </c>
      <c r="DO62">
        <f t="shared" si="157"/>
        <v>43950</v>
      </c>
      <c r="DP62">
        <f xml:space="preserve"> _xlfn.XLOOKUP(B62,
'[12]february-2027'!$A:$A,
'[12]february-2027'!$C:$C,
0,0)</f>
        <v>35500</v>
      </c>
      <c r="DQ62">
        <f t="shared" si="158"/>
        <v>6390</v>
      </c>
      <c r="DR62">
        <f t="shared" si="159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0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1"/>
        <v>200</v>
      </c>
      <c r="DY62">
        <f t="shared" si="162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3"/>
        <v>0</v>
      </c>
      <c r="EM62">
        <f t="shared" si="164"/>
        <v>561460</v>
      </c>
      <c r="EN62">
        <f t="shared" si="165"/>
        <v>2400</v>
      </c>
      <c r="EO62">
        <f t="shared" si="166"/>
        <v>50000</v>
      </c>
      <c r="EP62">
        <v>0</v>
      </c>
      <c r="EQ62">
        <f t="shared" si="167"/>
        <v>509060</v>
      </c>
      <c r="ER62">
        <f t="shared" si="62"/>
        <v>30000</v>
      </c>
      <c r="ES62">
        <f t="shared" si="63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4"/>
        <v>30000</v>
      </c>
      <c r="FE62">
        <f t="shared" si="65"/>
        <v>30000</v>
      </c>
      <c r="FF62">
        <f t="shared" si="66"/>
        <v>479060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>SUM(FG62:FM62)+(IF(F62="YES",50000,0))</f>
        <v>0</v>
      </c>
      <c r="FO62">
        <f t="shared" si="67"/>
        <v>479060</v>
      </c>
      <c r="FP62">
        <f t="shared" si="68"/>
        <v>11453</v>
      </c>
      <c r="FQ62">
        <f t="shared" si="69"/>
        <v>0</v>
      </c>
      <c r="FR62">
        <f t="shared" si="70"/>
        <v>11453</v>
      </c>
      <c r="FS62">
        <f t="shared" si="71"/>
        <v>0</v>
      </c>
      <c r="FT62">
        <f t="shared" si="72"/>
        <v>0</v>
      </c>
      <c r="FU62">
        <f t="shared" si="73"/>
        <v>0</v>
      </c>
      <c r="FV62">
        <v>0</v>
      </c>
      <c r="FW62">
        <f t="shared" si="74"/>
        <v>0</v>
      </c>
      <c r="FX62" t="b">
        <f t="shared" si="75"/>
        <v>1</v>
      </c>
      <c r="FY62">
        <f t="shared" ca="1" si="76"/>
        <v>558</v>
      </c>
      <c r="FZ62">
        <f t="shared" ca="1" si="77"/>
        <v>562018</v>
      </c>
      <c r="GA62">
        <f t="shared" si="78"/>
        <v>75000</v>
      </c>
      <c r="GB62">
        <f t="shared" ca="1" si="79"/>
        <v>487018</v>
      </c>
      <c r="GC62">
        <f t="shared" ca="1" si="80"/>
        <v>0</v>
      </c>
      <c r="GD62">
        <f t="shared" ca="1" si="81"/>
        <v>0</v>
      </c>
      <c r="GE62">
        <f t="shared" ca="1" si="82"/>
        <v>0</v>
      </c>
      <c r="GF62">
        <f t="shared" ca="1" si="83"/>
        <v>0</v>
      </c>
      <c r="GG62">
        <f t="shared" ca="1" si="84"/>
        <v>0</v>
      </c>
      <c r="GH62">
        <f t="shared" ca="1" si="85"/>
        <v>0</v>
      </c>
      <c r="GI62">
        <f ca="1">IF(GB62&gt;1200000,GB62-1200000-IF(F62="YES",50000,0)-GG62,0)</f>
        <v>0</v>
      </c>
      <c r="GJ62">
        <f t="shared" ca="1" si="86"/>
        <v>0</v>
      </c>
      <c r="GK62">
        <f t="shared" ca="1" si="87"/>
        <v>0</v>
      </c>
      <c r="GL62">
        <f t="shared" ca="1" si="88"/>
        <v>0</v>
      </c>
      <c r="GM62">
        <f t="shared" ca="1" si="89"/>
        <v>87018</v>
      </c>
      <c r="GN62">
        <f t="shared" ca="1" si="90"/>
        <v>4350.9000000000005</v>
      </c>
      <c r="GO62">
        <f t="shared" ca="1" si="91"/>
        <v>4351</v>
      </c>
      <c r="GP62">
        <f t="shared" ca="1" si="92"/>
        <v>0</v>
      </c>
      <c r="GQ62">
        <f t="shared" ca="1" si="93"/>
        <v>0</v>
      </c>
      <c r="GR62">
        <f t="shared" ca="1" si="94"/>
        <v>4351</v>
      </c>
      <c r="GS62">
        <f t="shared" ca="1" si="95"/>
        <v>0</v>
      </c>
      <c r="GT62" t="b">
        <f t="shared" ca="1" si="96"/>
        <v>0</v>
      </c>
      <c r="GU62">
        <f t="shared" ca="1" si="97"/>
        <v>0</v>
      </c>
      <c r="GV62">
        <f t="shared" ca="1" si="98"/>
        <v>4351</v>
      </c>
      <c r="GW62">
        <f t="shared" ca="1" si="99"/>
        <v>0</v>
      </c>
      <c r="GX62">
        <f t="shared" ca="1" si="100"/>
        <v>0</v>
      </c>
      <c r="GY62">
        <f t="shared" ca="1" si="101"/>
        <v>0</v>
      </c>
    </row>
    <row r="63" spans="1:207" x14ac:dyDescent="0.25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2"/>
        <v>6800</v>
      </c>
      <c r="I63">
        <f>_xlfn.XLOOKUP(B63,'[1]march-2026'!$A:$A,'[1]march-2026'!$C:$C,0,0)</f>
        <v>32500</v>
      </c>
      <c r="J63">
        <f t="shared" si="168"/>
        <v>5850</v>
      </c>
      <c r="K63">
        <f t="shared" si="104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5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6"/>
        <v>200</v>
      </c>
      <c r="R63">
        <f t="shared" si="107"/>
        <v>40550</v>
      </c>
      <c r="S63">
        <f>_xlfn.XLOOKUP(B63,'[2]april-2026'!$A:$A,'[2]april-2026'!$C:$C,0,0)</f>
        <v>32500</v>
      </c>
      <c r="T63">
        <f t="shared" si="108"/>
        <v>5850</v>
      </c>
      <c r="U63">
        <f t="shared" si="109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0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1"/>
        <v>0</v>
      </c>
      <c r="AB63">
        <f t="shared" si="112"/>
        <v>40750</v>
      </c>
      <c r="AC63">
        <f>_xlfn.XLOOKUP(B63,'[3]may-2026'!$A:$A,'[3]may-2026'!$C:$C,0,0)</f>
        <v>32500</v>
      </c>
      <c r="AD63">
        <f t="shared" si="113"/>
        <v>5850</v>
      </c>
      <c r="AE63">
        <f t="shared" si="114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5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6"/>
        <v>0</v>
      </c>
      <c r="AL63">
        <f t="shared" si="117"/>
        <v>40750</v>
      </c>
      <c r="AM63">
        <f>_xlfn.XLOOKUP(B63,'[4]june-2026'!$A:$A,'[4]june-2026'!$C:$C,0,0)</f>
        <v>32500</v>
      </c>
      <c r="AN63">
        <f t="shared" si="118"/>
        <v>5850</v>
      </c>
      <c r="AO63">
        <f t="shared" si="119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0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1"/>
        <v>0</v>
      </c>
      <c r="AV63">
        <f t="shared" si="122"/>
        <v>40750</v>
      </c>
      <c r="AW63">
        <f>_xlfn.XLOOKUP(B63,'[5]july-2026'!$A:$A,'[5]july-2026'!$C:$C,0,0)</f>
        <v>33500</v>
      </c>
      <c r="AX63">
        <f t="shared" si="123"/>
        <v>6030</v>
      </c>
      <c r="AY63">
        <v>61</v>
      </c>
      <c r="AZ63">
        <f t="shared" si="124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5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6"/>
        <v>0</v>
      </c>
      <c r="BG63">
        <f t="shared" si="127"/>
        <v>42111</v>
      </c>
      <c r="BH63">
        <f>_xlfn.XLOOKUP(B63,'[6]august-2026'!$A:$A,'[6]august-2026'!$C:$C,0,0)</f>
        <v>33500</v>
      </c>
      <c r="BI63">
        <f t="shared" si="128"/>
        <v>6030</v>
      </c>
      <c r="BJ63">
        <f t="shared" si="129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0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1"/>
        <v>0</v>
      </c>
      <c r="BQ63">
        <f t="shared" si="132"/>
        <v>42050</v>
      </c>
      <c r="BR63">
        <f>_xlfn.XLOOKUP(B63,'[7]september-2026'!$A:$A,'[7]september-2026'!$C:$C,0,0)</f>
        <v>33500</v>
      </c>
      <c r="BS63">
        <f t="shared" si="133"/>
        <v>6030</v>
      </c>
      <c r="BT63">
        <f t="shared" si="134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5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6"/>
        <v>0</v>
      </c>
      <c r="CA63">
        <f t="shared" si="137"/>
        <v>42050</v>
      </c>
      <c r="CB63">
        <f>_xlfn.XLOOKUP(B63,'[8]october-2026'!$A:$A,'[8]october-2026'!$C:$C,0,0)</f>
        <v>33500</v>
      </c>
      <c r="CC63">
        <f t="shared" si="138"/>
        <v>6030</v>
      </c>
      <c r="CD63">
        <f t="shared" si="139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0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1"/>
        <v>0</v>
      </c>
      <c r="CK63">
        <f t="shared" si="142"/>
        <v>42050</v>
      </c>
      <c r="CL63">
        <f>_xlfn.XLOOKUP(B63,'[9]november-2026'!$A:$A,'[9]november-2026'!$C:$C,0,0)</f>
        <v>33500</v>
      </c>
      <c r="CM63">
        <f t="shared" si="143"/>
        <v>6030</v>
      </c>
      <c r="CN63">
        <f t="shared" si="144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5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6"/>
        <v>0</v>
      </c>
      <c r="CU63">
        <f t="shared" si="147"/>
        <v>42050</v>
      </c>
      <c r="CV63">
        <f>_xlfn.XLOOKUP(B63,'[10]december-2026'!$A:$A,'[10]december-2026'!$C:$C,0,0)</f>
        <v>33500</v>
      </c>
      <c r="CW63">
        <f t="shared" si="148"/>
        <v>6030</v>
      </c>
      <c r="CX63">
        <f t="shared" si="149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0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1"/>
        <v>0</v>
      </c>
      <c r="DE63">
        <f t="shared" si="152"/>
        <v>42050</v>
      </c>
      <c r="DF63">
        <f xml:space="preserve"> _xlfn.XLOOKUP(B63,
'[11]january-2027'!$A:$A,
'[11]january-2027'!$C:$C,
0,0)</f>
        <v>33500</v>
      </c>
      <c r="DG63">
        <f t="shared" si="153"/>
        <v>6030</v>
      </c>
      <c r="DH63">
        <f t="shared" si="154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5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6"/>
        <v>0</v>
      </c>
      <c r="DO63">
        <f t="shared" si="157"/>
        <v>42050</v>
      </c>
      <c r="DP63">
        <f xml:space="preserve"> _xlfn.XLOOKUP(B63,
'[12]february-2027'!$A:$A,
'[12]february-2027'!$C:$C,
0,0)</f>
        <v>33500</v>
      </c>
      <c r="DQ63">
        <f t="shared" si="158"/>
        <v>6030</v>
      </c>
      <c r="DR63">
        <f t="shared" si="159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0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1"/>
        <v>0</v>
      </c>
      <c r="DY63">
        <f t="shared" si="162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3"/>
        <v>0</v>
      </c>
      <c r="EM63">
        <f t="shared" si="164"/>
        <v>530261</v>
      </c>
      <c r="EN63">
        <f t="shared" si="165"/>
        <v>200</v>
      </c>
      <c r="EO63">
        <f t="shared" si="166"/>
        <v>50000</v>
      </c>
      <c r="EP63">
        <v>0</v>
      </c>
      <c r="EQ63">
        <f t="shared" si="167"/>
        <v>480061</v>
      </c>
      <c r="ER63">
        <f t="shared" si="62"/>
        <v>24000</v>
      </c>
      <c r="ES63">
        <f t="shared" si="63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4"/>
        <v>24000</v>
      </c>
      <c r="FE63">
        <f t="shared" si="65"/>
        <v>24000</v>
      </c>
      <c r="FF63">
        <f t="shared" si="66"/>
        <v>456061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>SUM(FG63:FM63)+(IF(F63="YES",50000,0))</f>
        <v>50000</v>
      </c>
      <c r="FO63">
        <f t="shared" si="67"/>
        <v>406061</v>
      </c>
      <c r="FP63">
        <f t="shared" si="68"/>
        <v>7803</v>
      </c>
      <c r="FQ63">
        <f t="shared" si="69"/>
        <v>0</v>
      </c>
      <c r="FR63">
        <f t="shared" si="70"/>
        <v>7803</v>
      </c>
      <c r="FS63">
        <f t="shared" si="71"/>
        <v>0</v>
      </c>
      <c r="FT63">
        <f t="shared" si="72"/>
        <v>0</v>
      </c>
      <c r="FU63">
        <f t="shared" si="73"/>
        <v>0</v>
      </c>
      <c r="FV63">
        <v>0</v>
      </c>
      <c r="FW63">
        <f t="shared" si="74"/>
        <v>0</v>
      </c>
      <c r="FX63" t="b">
        <f t="shared" si="75"/>
        <v>1</v>
      </c>
      <c r="FY63">
        <f t="shared" ca="1" si="76"/>
        <v>678</v>
      </c>
      <c r="FZ63">
        <f t="shared" ca="1" si="77"/>
        <v>530939</v>
      </c>
      <c r="GA63">
        <f t="shared" si="78"/>
        <v>75000</v>
      </c>
      <c r="GB63">
        <f t="shared" ca="1" si="79"/>
        <v>455939</v>
      </c>
      <c r="GC63">
        <f t="shared" ca="1" si="80"/>
        <v>0</v>
      </c>
      <c r="GD63">
        <f t="shared" ca="1" si="81"/>
        <v>0</v>
      </c>
      <c r="GE63">
        <f t="shared" ca="1" si="82"/>
        <v>0</v>
      </c>
      <c r="GF63">
        <f t="shared" ca="1" si="83"/>
        <v>0</v>
      </c>
      <c r="GG63">
        <f t="shared" ca="1" si="84"/>
        <v>0</v>
      </c>
      <c r="GH63">
        <f t="shared" ca="1" si="85"/>
        <v>0</v>
      </c>
      <c r="GI63">
        <f ca="1">IF(GB63&gt;1200000,GB63-1200000-IF(F63="YES",50000,0)-GG63,0)</f>
        <v>0</v>
      </c>
      <c r="GJ63">
        <f t="shared" ca="1" si="86"/>
        <v>0</v>
      </c>
      <c r="GK63">
        <f t="shared" ca="1" si="87"/>
        <v>0</v>
      </c>
      <c r="GL63">
        <f t="shared" ca="1" si="88"/>
        <v>0</v>
      </c>
      <c r="GM63">
        <f t="shared" ca="1" si="89"/>
        <v>55939</v>
      </c>
      <c r="GN63">
        <f t="shared" ca="1" si="90"/>
        <v>2796.9500000000003</v>
      </c>
      <c r="GO63">
        <f t="shared" ca="1" si="91"/>
        <v>2797</v>
      </c>
      <c r="GP63">
        <f t="shared" ca="1" si="92"/>
        <v>0</v>
      </c>
      <c r="GQ63">
        <f t="shared" ca="1" si="93"/>
        <v>0</v>
      </c>
      <c r="GR63">
        <f t="shared" ca="1" si="94"/>
        <v>2797</v>
      </c>
      <c r="GS63">
        <f t="shared" ca="1" si="95"/>
        <v>0</v>
      </c>
      <c r="GT63" t="b">
        <f t="shared" ca="1" si="96"/>
        <v>0</v>
      </c>
      <c r="GU63">
        <f t="shared" ca="1" si="97"/>
        <v>0</v>
      </c>
      <c r="GV63">
        <f t="shared" ca="1" si="98"/>
        <v>2797</v>
      </c>
      <c r="GW63">
        <f t="shared" ca="1" si="99"/>
        <v>0</v>
      </c>
      <c r="GX63">
        <f t="shared" ca="1" si="100"/>
        <v>0</v>
      </c>
      <c r="GY63">
        <f t="shared" ca="1" si="101"/>
        <v>0</v>
      </c>
    </row>
    <row r="64" spans="1:207" x14ac:dyDescent="0.25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2"/>
        <v>6800</v>
      </c>
      <c r="I64">
        <f>_xlfn.XLOOKUP(B64,'[1]march-2026'!$A:$A,'[1]march-2026'!$C:$C,0,0)</f>
        <v>35500</v>
      </c>
      <c r="J64">
        <f t="shared" si="168"/>
        <v>6390</v>
      </c>
      <c r="K64">
        <f t="shared" si="104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5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6"/>
        <v>200</v>
      </c>
      <c r="R64">
        <f t="shared" si="107"/>
        <v>41850</v>
      </c>
      <c r="S64">
        <f>_xlfn.XLOOKUP(B64,'[2]april-2026'!$A:$A,'[2]april-2026'!$C:$C,0,0)</f>
        <v>35500</v>
      </c>
      <c r="T64">
        <f t="shared" si="108"/>
        <v>6390</v>
      </c>
      <c r="U64">
        <f t="shared" si="109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0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1"/>
        <v>200</v>
      </c>
      <c r="AB64">
        <f t="shared" si="112"/>
        <v>41850</v>
      </c>
      <c r="AC64">
        <f>_xlfn.XLOOKUP(B64,'[3]may-2026'!$A:$A,'[3]may-2026'!$C:$C,0,0)</f>
        <v>35500</v>
      </c>
      <c r="AD64">
        <f t="shared" si="113"/>
        <v>6390</v>
      </c>
      <c r="AE64">
        <f t="shared" si="114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5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6"/>
        <v>200</v>
      </c>
      <c r="AL64">
        <f t="shared" si="117"/>
        <v>41850</v>
      </c>
      <c r="AM64">
        <f>_xlfn.XLOOKUP(B64,'[4]june-2026'!$A:$A,'[4]june-2026'!$C:$C,0,0)</f>
        <v>35500</v>
      </c>
      <c r="AN64">
        <f t="shared" si="118"/>
        <v>6390</v>
      </c>
      <c r="AO64">
        <f t="shared" si="119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0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1"/>
        <v>200</v>
      </c>
      <c r="AV64">
        <f t="shared" si="122"/>
        <v>41850</v>
      </c>
      <c r="AW64">
        <f>_xlfn.XLOOKUP(B64,'[5]july-2026'!$A:$A,'[5]july-2026'!$C:$C,0,0)</f>
        <v>36600</v>
      </c>
      <c r="AX64">
        <f t="shared" si="123"/>
        <v>6588</v>
      </c>
      <c r="AY64">
        <v>62</v>
      </c>
      <c r="AZ64">
        <f t="shared" si="124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5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6"/>
        <v>200</v>
      </c>
      <c r="BG64">
        <f t="shared" si="127"/>
        <v>43342</v>
      </c>
      <c r="BH64">
        <f>_xlfn.XLOOKUP(B64,'[6]august-2026'!$A:$A,'[6]august-2026'!$C:$C,0,0)</f>
        <v>36600</v>
      </c>
      <c r="BI64">
        <f t="shared" si="128"/>
        <v>6588</v>
      </c>
      <c r="BJ64">
        <f t="shared" si="129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0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1"/>
        <v>200</v>
      </c>
      <c r="BQ64">
        <f t="shared" si="132"/>
        <v>43280</v>
      </c>
      <c r="BR64">
        <f>_xlfn.XLOOKUP(B64,'[7]september-2026'!$A:$A,'[7]september-2026'!$C:$C,0,0)</f>
        <v>36600</v>
      </c>
      <c r="BS64">
        <f t="shared" si="133"/>
        <v>6588</v>
      </c>
      <c r="BT64">
        <f t="shared" si="134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5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6"/>
        <v>200</v>
      </c>
      <c r="CA64">
        <f t="shared" si="137"/>
        <v>43280</v>
      </c>
      <c r="CB64">
        <f>_xlfn.XLOOKUP(B64,'[8]october-2026'!$A:$A,'[8]october-2026'!$C:$C,0,0)</f>
        <v>36600</v>
      </c>
      <c r="CC64">
        <f t="shared" si="138"/>
        <v>6588</v>
      </c>
      <c r="CD64">
        <f t="shared" si="139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0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1"/>
        <v>200</v>
      </c>
      <c r="CK64">
        <f t="shared" si="142"/>
        <v>43280</v>
      </c>
      <c r="CL64">
        <f>_xlfn.XLOOKUP(B64,'[9]november-2026'!$A:$A,'[9]november-2026'!$C:$C,0,0)</f>
        <v>36600</v>
      </c>
      <c r="CM64">
        <f t="shared" si="143"/>
        <v>6588</v>
      </c>
      <c r="CN64">
        <f t="shared" si="144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5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6"/>
        <v>200</v>
      </c>
      <c r="CU64">
        <f t="shared" si="147"/>
        <v>43280</v>
      </c>
      <c r="CV64">
        <f>_xlfn.XLOOKUP(B64,'[10]december-2026'!$A:$A,'[10]december-2026'!$C:$C,0,0)</f>
        <v>36600</v>
      </c>
      <c r="CW64">
        <f t="shared" si="148"/>
        <v>6588</v>
      </c>
      <c r="CX64">
        <f t="shared" si="149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0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1"/>
        <v>200</v>
      </c>
      <c r="DE64">
        <f t="shared" si="152"/>
        <v>43280</v>
      </c>
      <c r="DF64">
        <f xml:space="preserve"> _xlfn.XLOOKUP(B64,
'[11]january-2027'!$A:$A,
'[11]january-2027'!$C:$C,
0,0)</f>
        <v>36600</v>
      </c>
      <c r="DG64">
        <f t="shared" si="153"/>
        <v>6588</v>
      </c>
      <c r="DH64">
        <f t="shared" si="154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5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6"/>
        <v>200</v>
      </c>
      <c r="DO64">
        <f t="shared" si="157"/>
        <v>43280</v>
      </c>
      <c r="DP64">
        <f xml:space="preserve"> _xlfn.XLOOKUP(B64,
'[12]february-2027'!$A:$A,
'[12]february-2027'!$C:$C,
0,0)</f>
        <v>36600</v>
      </c>
      <c r="DQ64">
        <f t="shared" si="158"/>
        <v>6588</v>
      </c>
      <c r="DR64">
        <f t="shared" si="159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0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1"/>
        <v>200</v>
      </c>
      <c r="DY64">
        <f t="shared" si="162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3"/>
        <v>0</v>
      </c>
      <c r="EM64">
        <f t="shared" si="164"/>
        <v>582902</v>
      </c>
      <c r="EN64">
        <f t="shared" si="165"/>
        <v>2400</v>
      </c>
      <c r="EO64">
        <f t="shared" si="166"/>
        <v>50000</v>
      </c>
      <c r="EP64">
        <v>0</v>
      </c>
      <c r="EQ64">
        <f t="shared" si="167"/>
        <v>530502</v>
      </c>
      <c r="ER64">
        <f t="shared" si="62"/>
        <v>60000</v>
      </c>
      <c r="ES64">
        <f t="shared" si="63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4"/>
        <v>60000</v>
      </c>
      <c r="FE64">
        <f t="shared" si="65"/>
        <v>60000</v>
      </c>
      <c r="FF64">
        <f t="shared" si="66"/>
        <v>470502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>SUM(FG64:FM64)+(IF(F64="YES",50000,0))</f>
        <v>0</v>
      </c>
      <c r="FO64">
        <f t="shared" si="67"/>
        <v>470502</v>
      </c>
      <c r="FP64">
        <f t="shared" si="68"/>
        <v>11025</v>
      </c>
      <c r="FQ64">
        <f t="shared" si="69"/>
        <v>0</v>
      </c>
      <c r="FR64">
        <f t="shared" si="70"/>
        <v>11025</v>
      </c>
      <c r="FS64">
        <f t="shared" si="71"/>
        <v>0</v>
      </c>
      <c r="FT64">
        <f t="shared" si="72"/>
        <v>0</v>
      </c>
      <c r="FU64">
        <f t="shared" si="73"/>
        <v>0</v>
      </c>
      <c r="FV64">
        <v>0</v>
      </c>
      <c r="FW64">
        <f t="shared" si="74"/>
        <v>0</v>
      </c>
      <c r="FX64" t="b">
        <f t="shared" si="75"/>
        <v>1</v>
      </c>
      <c r="FY64">
        <f t="shared" ca="1" si="76"/>
        <v>932</v>
      </c>
      <c r="FZ64">
        <f t="shared" ca="1" si="77"/>
        <v>583834</v>
      </c>
      <c r="GA64">
        <f t="shared" si="78"/>
        <v>75000</v>
      </c>
      <c r="GB64">
        <f t="shared" ca="1" si="79"/>
        <v>508834</v>
      </c>
      <c r="GC64">
        <f t="shared" ca="1" si="80"/>
        <v>0</v>
      </c>
      <c r="GD64">
        <f t="shared" ca="1" si="81"/>
        <v>0</v>
      </c>
      <c r="GE64">
        <f t="shared" ca="1" si="82"/>
        <v>0</v>
      </c>
      <c r="GF64">
        <f t="shared" ca="1" si="83"/>
        <v>0</v>
      </c>
      <c r="GG64">
        <f t="shared" ca="1" si="84"/>
        <v>0</v>
      </c>
      <c r="GH64">
        <f t="shared" ca="1" si="85"/>
        <v>0</v>
      </c>
      <c r="GI64">
        <f ca="1">IF(GB64&gt;1200000,GB64-1200000-IF(F64="YES",50000,0)-GG64,0)</f>
        <v>0</v>
      </c>
      <c r="GJ64">
        <f t="shared" ca="1" si="86"/>
        <v>0</v>
      </c>
      <c r="GK64">
        <f t="shared" ca="1" si="87"/>
        <v>0</v>
      </c>
      <c r="GL64">
        <f t="shared" ca="1" si="88"/>
        <v>0</v>
      </c>
      <c r="GM64">
        <f t="shared" ca="1" si="89"/>
        <v>108834</v>
      </c>
      <c r="GN64">
        <f t="shared" ca="1" si="90"/>
        <v>5441.7000000000007</v>
      </c>
      <c r="GO64">
        <f t="shared" ca="1" si="91"/>
        <v>5442</v>
      </c>
      <c r="GP64">
        <f t="shared" ca="1" si="92"/>
        <v>0</v>
      </c>
      <c r="GQ64">
        <f t="shared" ca="1" si="93"/>
        <v>0</v>
      </c>
      <c r="GR64">
        <f t="shared" ca="1" si="94"/>
        <v>5442</v>
      </c>
      <c r="GS64">
        <f t="shared" ca="1" si="95"/>
        <v>0</v>
      </c>
      <c r="GT64" t="b">
        <f t="shared" ca="1" si="96"/>
        <v>0</v>
      </c>
      <c r="GU64">
        <f t="shared" ca="1" si="97"/>
        <v>0</v>
      </c>
      <c r="GV64">
        <f t="shared" ca="1" si="98"/>
        <v>5442</v>
      </c>
      <c r="GW64">
        <f t="shared" ca="1" si="99"/>
        <v>0</v>
      </c>
      <c r="GX64">
        <f t="shared" ca="1" si="100"/>
        <v>0</v>
      </c>
      <c r="GY64">
        <f t="shared" ca="1" si="101"/>
        <v>0</v>
      </c>
    </row>
    <row r="65" spans="1:207" x14ac:dyDescent="0.25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2"/>
        <v>6800</v>
      </c>
      <c r="I65">
        <f>_xlfn.XLOOKUP(B65,'[1]march-2026'!$A:$A,'[1]march-2026'!$C:$C,0,0)</f>
        <v>35500</v>
      </c>
      <c r="J65">
        <f t="shared" si="168"/>
        <v>6390</v>
      </c>
      <c r="K65">
        <f t="shared" si="104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5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6"/>
        <v>200</v>
      </c>
      <c r="R65">
        <f t="shared" si="107"/>
        <v>43950</v>
      </c>
      <c r="S65">
        <f>_xlfn.XLOOKUP(B65,'[2]april-2026'!$A:$A,'[2]april-2026'!$C:$C,0,0)</f>
        <v>35500</v>
      </c>
      <c r="T65">
        <f t="shared" si="108"/>
        <v>6390</v>
      </c>
      <c r="U65">
        <f t="shared" si="109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0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1"/>
        <v>200</v>
      </c>
      <c r="AB65">
        <f t="shared" si="112"/>
        <v>43950</v>
      </c>
      <c r="AC65">
        <f>_xlfn.XLOOKUP(B65,'[3]may-2026'!$A:$A,'[3]may-2026'!$C:$C,0,0)</f>
        <v>35500</v>
      </c>
      <c r="AD65">
        <f t="shared" si="113"/>
        <v>6390</v>
      </c>
      <c r="AE65">
        <f t="shared" si="114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5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6"/>
        <v>200</v>
      </c>
      <c r="AL65">
        <f t="shared" si="117"/>
        <v>43950</v>
      </c>
      <c r="AM65">
        <f>_xlfn.XLOOKUP(B65,'[4]june-2026'!$A:$A,'[4]june-2026'!$C:$C,0,0)</f>
        <v>35500</v>
      </c>
      <c r="AN65">
        <f t="shared" si="118"/>
        <v>6390</v>
      </c>
      <c r="AO65">
        <f t="shared" si="119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0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1"/>
        <v>200</v>
      </c>
      <c r="AV65">
        <f t="shared" si="122"/>
        <v>43950</v>
      </c>
      <c r="AW65">
        <f>_xlfn.XLOOKUP(B65,'[5]july-2026'!$A:$A,'[5]july-2026'!$C:$C,0,0)</f>
        <v>36600</v>
      </c>
      <c r="AX65">
        <f t="shared" si="123"/>
        <v>6588</v>
      </c>
      <c r="AY65">
        <v>63</v>
      </c>
      <c r="AZ65">
        <f t="shared" si="124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5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6"/>
        <v>200</v>
      </c>
      <c r="BG65">
        <f t="shared" si="127"/>
        <v>45443</v>
      </c>
      <c r="BH65">
        <f>_xlfn.XLOOKUP(B65,'[6]august-2026'!$A:$A,'[6]august-2026'!$C:$C,0,0)</f>
        <v>36600</v>
      </c>
      <c r="BI65">
        <f t="shared" si="128"/>
        <v>6588</v>
      </c>
      <c r="BJ65">
        <f t="shared" si="129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0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1"/>
        <v>200</v>
      </c>
      <c r="BQ65">
        <f t="shared" si="132"/>
        <v>45380</v>
      </c>
      <c r="BR65">
        <f>_xlfn.XLOOKUP(B65,'[7]september-2026'!$A:$A,'[7]september-2026'!$C:$C,0,0)</f>
        <v>36600</v>
      </c>
      <c r="BS65">
        <f t="shared" si="133"/>
        <v>6588</v>
      </c>
      <c r="BT65">
        <f t="shared" si="134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5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6"/>
        <v>200</v>
      </c>
      <c r="CA65">
        <f t="shared" si="137"/>
        <v>45380</v>
      </c>
      <c r="CB65">
        <f>_xlfn.XLOOKUP(B65,'[8]october-2026'!$A:$A,'[8]october-2026'!$C:$C,0,0)</f>
        <v>36600</v>
      </c>
      <c r="CC65">
        <f t="shared" si="138"/>
        <v>6588</v>
      </c>
      <c r="CD65">
        <f t="shared" si="139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0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1"/>
        <v>200</v>
      </c>
      <c r="CK65">
        <f t="shared" si="142"/>
        <v>45380</v>
      </c>
      <c r="CL65">
        <f>_xlfn.XLOOKUP(B65,'[9]november-2026'!$A:$A,'[9]november-2026'!$C:$C,0,0)</f>
        <v>36600</v>
      </c>
      <c r="CM65">
        <f t="shared" si="143"/>
        <v>6588</v>
      </c>
      <c r="CN65">
        <f t="shared" si="144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5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6"/>
        <v>200</v>
      </c>
      <c r="CU65">
        <f t="shared" si="147"/>
        <v>45380</v>
      </c>
      <c r="CV65">
        <f>_xlfn.XLOOKUP(B65,'[10]december-2026'!$A:$A,'[10]december-2026'!$C:$C,0,0)</f>
        <v>36600</v>
      </c>
      <c r="CW65">
        <f t="shared" si="148"/>
        <v>6588</v>
      </c>
      <c r="CX65">
        <f t="shared" si="149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0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1"/>
        <v>200</v>
      </c>
      <c r="DE65">
        <f t="shared" si="152"/>
        <v>45380</v>
      </c>
      <c r="DF65">
        <f xml:space="preserve"> _xlfn.XLOOKUP(B65,
'[11]january-2027'!$A:$A,
'[11]january-2027'!$C:$C,
0,0)</f>
        <v>36600</v>
      </c>
      <c r="DG65">
        <f t="shared" si="153"/>
        <v>6588</v>
      </c>
      <c r="DH65">
        <f t="shared" si="154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5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6"/>
        <v>200</v>
      </c>
      <c r="DO65">
        <f t="shared" si="157"/>
        <v>45380</v>
      </c>
      <c r="DP65">
        <f xml:space="preserve"> _xlfn.XLOOKUP(B65,
'[12]february-2027'!$A:$A,
'[12]february-2027'!$C:$C,
0,0)</f>
        <v>36600</v>
      </c>
      <c r="DQ65">
        <f t="shared" si="158"/>
        <v>6588</v>
      </c>
      <c r="DR65">
        <f t="shared" si="159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0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1"/>
        <v>200</v>
      </c>
      <c r="DY65">
        <f t="shared" si="162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3"/>
        <v>0</v>
      </c>
      <c r="EM65">
        <f t="shared" si="164"/>
        <v>578103</v>
      </c>
      <c r="EN65">
        <f t="shared" si="165"/>
        <v>2400</v>
      </c>
      <c r="EO65">
        <f t="shared" si="166"/>
        <v>50000</v>
      </c>
      <c r="EP65">
        <v>0</v>
      </c>
      <c r="EQ65">
        <f t="shared" si="167"/>
        <v>525703</v>
      </c>
      <c r="ER65">
        <f t="shared" si="62"/>
        <v>30000</v>
      </c>
      <c r="ES65">
        <f t="shared" si="63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4"/>
        <v>30000</v>
      </c>
      <c r="FE65">
        <f t="shared" si="65"/>
        <v>30000</v>
      </c>
      <c r="FF65">
        <f t="shared" si="66"/>
        <v>495703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>SUM(FG65:FM65)+(IF(F65="YES",50000,0))</f>
        <v>0</v>
      </c>
      <c r="FO65">
        <f t="shared" si="67"/>
        <v>495703</v>
      </c>
      <c r="FP65">
        <f t="shared" si="68"/>
        <v>12285</v>
      </c>
      <c r="FQ65">
        <f t="shared" si="69"/>
        <v>0</v>
      </c>
      <c r="FR65">
        <f t="shared" si="70"/>
        <v>12285</v>
      </c>
      <c r="FS65">
        <f t="shared" si="71"/>
        <v>0</v>
      </c>
      <c r="FT65">
        <f t="shared" si="72"/>
        <v>0</v>
      </c>
      <c r="FU65">
        <f t="shared" si="73"/>
        <v>0</v>
      </c>
      <c r="FV65">
        <v>0</v>
      </c>
      <c r="FW65">
        <f t="shared" si="74"/>
        <v>0</v>
      </c>
      <c r="FX65" t="b">
        <f t="shared" si="75"/>
        <v>1</v>
      </c>
      <c r="FY65">
        <f t="shared" ca="1" si="76"/>
        <v>542</v>
      </c>
      <c r="FZ65">
        <f t="shared" ca="1" si="77"/>
        <v>578645</v>
      </c>
      <c r="GA65">
        <f t="shared" si="78"/>
        <v>75000</v>
      </c>
      <c r="GB65">
        <f t="shared" ca="1" si="79"/>
        <v>503645</v>
      </c>
      <c r="GC65">
        <f t="shared" ca="1" si="80"/>
        <v>0</v>
      </c>
      <c r="GD65">
        <f t="shared" ca="1" si="81"/>
        <v>0</v>
      </c>
      <c r="GE65">
        <f t="shared" ca="1" si="82"/>
        <v>0</v>
      </c>
      <c r="GF65">
        <f t="shared" ca="1" si="83"/>
        <v>0</v>
      </c>
      <c r="GG65">
        <f t="shared" ca="1" si="84"/>
        <v>0</v>
      </c>
      <c r="GH65">
        <f t="shared" ca="1" si="85"/>
        <v>0</v>
      </c>
      <c r="GI65">
        <f ca="1">IF(GB65&gt;1200000,GB65-1200000-IF(F65="YES",50000,0)-GG65,0)</f>
        <v>0</v>
      </c>
      <c r="GJ65">
        <f t="shared" ca="1" si="86"/>
        <v>0</v>
      </c>
      <c r="GK65">
        <f t="shared" ca="1" si="87"/>
        <v>0</v>
      </c>
      <c r="GL65">
        <f t="shared" ca="1" si="88"/>
        <v>0</v>
      </c>
      <c r="GM65">
        <f t="shared" ca="1" si="89"/>
        <v>103645</v>
      </c>
      <c r="GN65">
        <f t="shared" ca="1" si="90"/>
        <v>5182.25</v>
      </c>
      <c r="GO65">
        <f t="shared" ca="1" si="91"/>
        <v>5182</v>
      </c>
      <c r="GP65">
        <f t="shared" ca="1" si="92"/>
        <v>0</v>
      </c>
      <c r="GQ65">
        <f t="shared" ca="1" si="93"/>
        <v>0</v>
      </c>
      <c r="GR65">
        <f t="shared" ca="1" si="94"/>
        <v>5182</v>
      </c>
      <c r="GS65">
        <f t="shared" ca="1" si="95"/>
        <v>0</v>
      </c>
      <c r="GT65" t="b">
        <f t="shared" ca="1" si="96"/>
        <v>0</v>
      </c>
      <c r="GU65">
        <f t="shared" ca="1" si="97"/>
        <v>0</v>
      </c>
      <c r="GV65">
        <f t="shared" ca="1" si="98"/>
        <v>5182</v>
      </c>
      <c r="GW65">
        <f t="shared" ca="1" si="99"/>
        <v>0</v>
      </c>
      <c r="GX65">
        <f t="shared" ca="1" si="100"/>
        <v>0</v>
      </c>
      <c r="GY65">
        <f t="shared" ca="1" si="101"/>
        <v>0</v>
      </c>
    </row>
    <row r="66" spans="1:207" x14ac:dyDescent="0.25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2"/>
        <v>6800</v>
      </c>
      <c r="I66">
        <f>_xlfn.XLOOKUP(B66,'[1]march-2026'!$A:$A,'[1]march-2026'!$C:$C,0,0)</f>
        <v>34500</v>
      </c>
      <c r="J66">
        <f t="shared" si="168"/>
        <v>6210</v>
      </c>
      <c r="K66">
        <f t="shared" si="104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5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6"/>
        <v>200</v>
      </c>
      <c r="R66">
        <f t="shared" si="107"/>
        <v>42150</v>
      </c>
      <c r="S66">
        <f>_xlfn.XLOOKUP(B66,'[2]april-2026'!$A:$A,'[2]april-2026'!$C:$C,0,0)</f>
        <v>34500</v>
      </c>
      <c r="T66">
        <f t="shared" si="108"/>
        <v>6210</v>
      </c>
      <c r="U66">
        <f t="shared" si="109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0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1"/>
        <v>200</v>
      </c>
      <c r="AB66">
        <f t="shared" si="112"/>
        <v>42150</v>
      </c>
      <c r="AC66">
        <f>_xlfn.XLOOKUP(B66,'[3]may-2026'!$A:$A,'[3]may-2026'!$C:$C,0,0)</f>
        <v>34500</v>
      </c>
      <c r="AD66">
        <f t="shared" si="113"/>
        <v>6210</v>
      </c>
      <c r="AE66">
        <f t="shared" si="114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5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6"/>
        <v>200</v>
      </c>
      <c r="AL66">
        <f t="shared" si="117"/>
        <v>42150</v>
      </c>
      <c r="AM66">
        <f>_xlfn.XLOOKUP(B66,'[4]june-2026'!$A:$A,'[4]june-2026'!$C:$C,0,0)</f>
        <v>34500</v>
      </c>
      <c r="AN66">
        <f t="shared" si="118"/>
        <v>6210</v>
      </c>
      <c r="AO66">
        <f t="shared" si="119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0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1"/>
        <v>200</v>
      </c>
      <c r="AV66">
        <f t="shared" si="122"/>
        <v>42150</v>
      </c>
      <c r="AW66">
        <f>_xlfn.XLOOKUP(B66,'[5]july-2026'!$A:$A,'[5]july-2026'!$C:$C,0,0)</f>
        <v>35500</v>
      </c>
      <c r="AX66">
        <f t="shared" si="123"/>
        <v>6390</v>
      </c>
      <c r="AY66">
        <v>64</v>
      </c>
      <c r="AZ66">
        <f t="shared" si="124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5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6"/>
        <v>200</v>
      </c>
      <c r="BG66">
        <f t="shared" si="127"/>
        <v>43514</v>
      </c>
      <c r="BH66">
        <f>_xlfn.XLOOKUP(B66,'[6]august-2026'!$A:$A,'[6]august-2026'!$C:$C,0,0)</f>
        <v>35500</v>
      </c>
      <c r="BI66">
        <f t="shared" si="128"/>
        <v>6390</v>
      </c>
      <c r="BJ66">
        <f t="shared" si="129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0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1"/>
        <v>200</v>
      </c>
      <c r="BQ66">
        <f t="shared" si="132"/>
        <v>43450</v>
      </c>
      <c r="BR66">
        <f>_xlfn.XLOOKUP(B66,'[7]september-2026'!$A:$A,'[7]september-2026'!$C:$C,0,0)</f>
        <v>35500</v>
      </c>
      <c r="BS66">
        <f t="shared" si="133"/>
        <v>6390</v>
      </c>
      <c r="BT66">
        <f t="shared" si="134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5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6"/>
        <v>200</v>
      </c>
      <c r="CA66">
        <f t="shared" si="137"/>
        <v>43450</v>
      </c>
      <c r="CB66">
        <f>_xlfn.XLOOKUP(B66,'[8]october-2026'!$A:$A,'[8]october-2026'!$C:$C,0,0)</f>
        <v>35500</v>
      </c>
      <c r="CC66">
        <f t="shared" si="138"/>
        <v>6390</v>
      </c>
      <c r="CD66">
        <f t="shared" si="139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0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1"/>
        <v>200</v>
      </c>
      <c r="CK66">
        <f t="shared" si="142"/>
        <v>43450</v>
      </c>
      <c r="CL66">
        <f>_xlfn.XLOOKUP(B66,'[9]november-2026'!$A:$A,'[9]november-2026'!$C:$C,0,0)</f>
        <v>35500</v>
      </c>
      <c r="CM66">
        <f t="shared" si="143"/>
        <v>6390</v>
      </c>
      <c r="CN66">
        <f t="shared" si="144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5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6"/>
        <v>200</v>
      </c>
      <c r="CU66">
        <f t="shared" si="147"/>
        <v>43450</v>
      </c>
      <c r="CV66">
        <f>_xlfn.XLOOKUP(B66,'[10]december-2026'!$A:$A,'[10]december-2026'!$C:$C,0,0)</f>
        <v>35500</v>
      </c>
      <c r="CW66">
        <f t="shared" si="148"/>
        <v>6390</v>
      </c>
      <c r="CX66">
        <f t="shared" si="149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0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1"/>
        <v>200</v>
      </c>
      <c r="DE66">
        <f t="shared" si="152"/>
        <v>43450</v>
      </c>
      <c r="DF66">
        <f xml:space="preserve"> _xlfn.XLOOKUP(B66,
'[11]january-2027'!$A:$A,
'[11]january-2027'!$C:$C,
0,0)</f>
        <v>35500</v>
      </c>
      <c r="DG66">
        <f t="shared" si="153"/>
        <v>6390</v>
      </c>
      <c r="DH66">
        <f t="shared" si="154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5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6"/>
        <v>200</v>
      </c>
      <c r="DO66">
        <f t="shared" si="157"/>
        <v>43450</v>
      </c>
      <c r="DP66">
        <f xml:space="preserve"> _xlfn.XLOOKUP(B66,
'[12]february-2027'!$A:$A,
'[12]february-2027'!$C:$C,
0,0)</f>
        <v>35500</v>
      </c>
      <c r="DQ66">
        <f t="shared" si="158"/>
        <v>6390</v>
      </c>
      <c r="DR66">
        <f t="shared" si="159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0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1"/>
        <v>200</v>
      </c>
      <c r="DY66">
        <f t="shared" si="162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3"/>
        <v>0</v>
      </c>
      <c r="EM66">
        <f t="shared" si="164"/>
        <v>555464</v>
      </c>
      <c r="EN66">
        <f t="shared" si="165"/>
        <v>2400</v>
      </c>
      <c r="EO66">
        <f t="shared" si="166"/>
        <v>50000</v>
      </c>
      <c r="EP66">
        <v>0</v>
      </c>
      <c r="EQ66">
        <f t="shared" si="167"/>
        <v>503064</v>
      </c>
      <c r="ER66">
        <f t="shared" si="62"/>
        <v>30000</v>
      </c>
      <c r="ES66">
        <f t="shared" si="63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4"/>
        <v>30000</v>
      </c>
      <c r="FE66">
        <f t="shared" si="65"/>
        <v>30000</v>
      </c>
      <c r="FF66">
        <f t="shared" si="66"/>
        <v>473064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>SUM(FG66:FM66)+(IF(F66="YES",50000,0))</f>
        <v>0</v>
      </c>
      <c r="FO66">
        <f t="shared" si="67"/>
        <v>473064</v>
      </c>
      <c r="FP66">
        <f t="shared" si="68"/>
        <v>11153</v>
      </c>
      <c r="FQ66">
        <f t="shared" si="69"/>
        <v>0</v>
      </c>
      <c r="FR66">
        <f t="shared" si="70"/>
        <v>11153</v>
      </c>
      <c r="FS66">
        <f t="shared" si="71"/>
        <v>0</v>
      </c>
      <c r="FT66">
        <f t="shared" si="72"/>
        <v>0</v>
      </c>
      <c r="FU66">
        <f t="shared" si="73"/>
        <v>0</v>
      </c>
      <c r="FV66">
        <v>0</v>
      </c>
      <c r="FW66">
        <f t="shared" si="74"/>
        <v>0</v>
      </c>
      <c r="FX66" t="b">
        <f t="shared" si="75"/>
        <v>1</v>
      </c>
      <c r="FY66">
        <f t="shared" ca="1" si="76"/>
        <v>790</v>
      </c>
      <c r="FZ66">
        <f t="shared" ca="1" si="77"/>
        <v>556254</v>
      </c>
      <c r="GA66">
        <f t="shared" si="78"/>
        <v>75000</v>
      </c>
      <c r="GB66">
        <f t="shared" ca="1" si="79"/>
        <v>481254</v>
      </c>
      <c r="GC66">
        <f t="shared" ca="1" si="80"/>
        <v>0</v>
      </c>
      <c r="GD66">
        <f t="shared" ca="1" si="81"/>
        <v>0</v>
      </c>
      <c r="GE66">
        <f t="shared" ca="1" si="82"/>
        <v>0</v>
      </c>
      <c r="GF66">
        <f t="shared" ca="1" si="83"/>
        <v>0</v>
      </c>
      <c r="GG66">
        <f t="shared" ca="1" si="84"/>
        <v>0</v>
      </c>
      <c r="GH66">
        <f t="shared" ca="1" si="85"/>
        <v>0</v>
      </c>
      <c r="GI66">
        <f ca="1">IF(GB66&gt;1200000,GB66-1200000-IF(F66="YES",50000,0)-GG66,0)</f>
        <v>0</v>
      </c>
      <c r="GJ66">
        <f t="shared" ca="1" si="86"/>
        <v>0</v>
      </c>
      <c r="GK66">
        <f t="shared" ca="1" si="87"/>
        <v>0</v>
      </c>
      <c r="GL66">
        <f t="shared" ca="1" si="88"/>
        <v>0</v>
      </c>
      <c r="GM66">
        <f t="shared" ca="1" si="89"/>
        <v>81254</v>
      </c>
      <c r="GN66">
        <f t="shared" ca="1" si="90"/>
        <v>4062.7000000000003</v>
      </c>
      <c r="GO66">
        <f t="shared" ca="1" si="91"/>
        <v>4063</v>
      </c>
      <c r="GP66">
        <f t="shared" ca="1" si="92"/>
        <v>0</v>
      </c>
      <c r="GQ66">
        <f t="shared" ca="1" si="93"/>
        <v>0</v>
      </c>
      <c r="GR66">
        <f t="shared" ca="1" si="94"/>
        <v>4063</v>
      </c>
      <c r="GS66">
        <f t="shared" ca="1" si="95"/>
        <v>0</v>
      </c>
      <c r="GT66" t="b">
        <f t="shared" ca="1" si="96"/>
        <v>0</v>
      </c>
      <c r="GU66">
        <f t="shared" ca="1" si="97"/>
        <v>0</v>
      </c>
      <c r="GV66">
        <f t="shared" ca="1" si="98"/>
        <v>4063</v>
      </c>
      <c r="GW66">
        <f t="shared" ca="1" si="99"/>
        <v>0</v>
      </c>
      <c r="GX66">
        <f t="shared" ca="1" si="100"/>
        <v>0</v>
      </c>
      <c r="GY66">
        <f t="shared" ca="1" si="101"/>
        <v>0</v>
      </c>
    </row>
    <row r="67" spans="1:207" x14ac:dyDescent="0.25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1">IF(_xlfn.DAYS("31-03-2026",G67)&gt;=180,6800,0)</f>
        <v>6800</v>
      </c>
      <c r="I67">
        <f>_xlfn.XLOOKUP(B67,'[1]march-2026'!$A:$A,'[1]march-2026'!$C:$C,0,0)</f>
        <v>35500</v>
      </c>
      <c r="J67">
        <f t="shared" si="168"/>
        <v>6390</v>
      </c>
      <c r="K67">
        <f t="shared" ref="K67:K130" si="292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3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4">IF($F$2="YES",0,IF(N67&gt;40000,200,IF(N67&gt;25000,150,IF(N67&gt;15000,130,IF(N67&gt;10000,110,0)))))</f>
        <v>200</v>
      </c>
      <c r="R67">
        <f t="shared" ref="R67:R130" si="295">N67-O67-P67-Q67</f>
        <v>43450</v>
      </c>
      <c r="S67">
        <f>_xlfn.XLOOKUP(B67,'[2]april-2026'!$A:$A,'[2]april-2026'!$C:$C,0,0)</f>
        <v>35500</v>
      </c>
      <c r="T67">
        <f t="shared" ref="T67:T130" si="296">S67*0.18</f>
        <v>6390</v>
      </c>
      <c r="U67">
        <f t="shared" ref="U67:U130" si="297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298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299">IF($F67="YES",0,IF(X67&gt;40000,200,IF(X67&gt;25000,150,IF(X67&gt;15000,130,IF(X67&gt;10000,110,0)))))</f>
        <v>200</v>
      </c>
      <c r="AB67">
        <f t="shared" ref="AB67:AB130" si="300">X67-Y67-Z67-AA67</f>
        <v>43450</v>
      </c>
      <c r="AC67">
        <f>_xlfn.XLOOKUP(B67,'[3]may-2026'!$A:$A,'[3]may-2026'!$C:$C,0,0)</f>
        <v>35500</v>
      </c>
      <c r="AD67">
        <f t="shared" ref="AD67:AD130" si="301">AC67*0.18</f>
        <v>6390</v>
      </c>
      <c r="AE67">
        <f t="shared" ref="AE67:AE130" si="302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3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4">IF($F67="YES",0,IF(AH67&gt;40000,200,IF(AH67&gt;25000,150,IF(AH67&gt;15000,130,IF(AH67&gt;10000,110,0)))))</f>
        <v>200</v>
      </c>
      <c r="AL67">
        <f t="shared" ref="AL67:AL130" si="305">AH67-AI67-AJ67-AK67</f>
        <v>43450</v>
      </c>
      <c r="AM67">
        <f>_xlfn.XLOOKUP(B67,'[4]june-2026'!$A:$A,'[4]june-2026'!$C:$C,0,0)</f>
        <v>35500</v>
      </c>
      <c r="AN67">
        <f t="shared" ref="AN67:AN130" si="306">AM67*0.18</f>
        <v>6390</v>
      </c>
      <c r="AO67">
        <f t="shared" ref="AO67:AO130" si="307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08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09">IF($F67="YES",0,IF(AR67&gt;40000,200,IF(AR67&gt;25000,150,IF(AR67&gt;15000,130,IF(AR67&gt;10000,110,0)))))</f>
        <v>200</v>
      </c>
      <c r="AV67">
        <f t="shared" ref="AV67:AV130" si="310">AR67-AS67-AT67-AU67</f>
        <v>43450</v>
      </c>
      <c r="AW67">
        <f>_xlfn.XLOOKUP(B67,'[5]july-2026'!$A:$A,'[5]july-2026'!$C:$C,0,0)</f>
        <v>36600</v>
      </c>
      <c r="AX67">
        <f t="shared" ref="AX67:AX130" si="311">AW67*0.18</f>
        <v>6588</v>
      </c>
      <c r="AY67">
        <v>65</v>
      </c>
      <c r="AZ67">
        <f t="shared" ref="AZ67:AZ130" si="312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3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4">IF($F67="YES",0,IF(BC67&gt;40000,200,IF(BC67&gt;25000,150,IF(BC67&gt;15000,130,IF(BC67&gt;10000,110,0)))))</f>
        <v>200</v>
      </c>
      <c r="BG67">
        <f t="shared" ref="BG67:BG130" si="315">BC67-BD67-BE67-BF67</f>
        <v>44945</v>
      </c>
      <c r="BH67">
        <f>_xlfn.XLOOKUP(B67,'[6]august-2026'!$A:$A,'[6]august-2026'!$C:$C,0,0)</f>
        <v>36600</v>
      </c>
      <c r="BI67">
        <f t="shared" ref="BI67:BI130" si="316">BH67*0.18</f>
        <v>6588</v>
      </c>
      <c r="BJ67">
        <f t="shared" ref="BJ67:BJ130" si="317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18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19">IF($F67="YES",0,IF(BM67&gt;40000,200,IF(BM67&gt;25000,150,IF(BM67&gt;15000,130,IF(BM67&gt;10000,110,0)))))</f>
        <v>200</v>
      </c>
      <c r="BQ67">
        <f t="shared" ref="BQ67:BQ130" si="320">BM67-BN67-BO67-BP67</f>
        <v>44880</v>
      </c>
      <c r="BR67">
        <f>_xlfn.XLOOKUP(B67,'[7]september-2026'!$A:$A,'[7]september-2026'!$C:$C,0,0)</f>
        <v>36600</v>
      </c>
      <c r="BS67">
        <f t="shared" ref="BS67:BS130" si="321">BR67*0.18</f>
        <v>6588</v>
      </c>
      <c r="BT67">
        <f t="shared" ref="BT67:BT130" si="322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3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4">IF($F67="YES",0,IF(BW67&gt;40000,200,IF(BW67&gt;25000,150,IF(BW67&gt;15000,130,IF(BW67&gt;10000,110,0)))))</f>
        <v>200</v>
      </c>
      <c r="CA67">
        <f t="shared" ref="CA67:CA130" si="325">BW67-BX67-BY67-BZ67</f>
        <v>44880</v>
      </c>
      <c r="CB67">
        <f>_xlfn.XLOOKUP(B67,'[8]october-2026'!$A:$A,'[8]october-2026'!$C:$C,0,0)</f>
        <v>36600</v>
      </c>
      <c r="CC67">
        <f t="shared" ref="CC67:CC130" si="326">CB67*0.18</f>
        <v>6588</v>
      </c>
      <c r="CD67">
        <f t="shared" ref="CD67:CD130" si="327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28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29">IF($F67="YES",0,IF(CG67&gt;40000,200,IF(CG67&gt;25000,150,IF(CG67&gt;15000,130,IF(CG67&gt;10000,110,0)))))</f>
        <v>200</v>
      </c>
      <c r="CK67">
        <f t="shared" ref="CK67:CK130" si="330">CG67-CH67-CI67-CJ67</f>
        <v>44880</v>
      </c>
      <c r="CL67">
        <f>_xlfn.XLOOKUP(B67,'[9]november-2026'!$A:$A,'[9]november-2026'!$C:$C,0,0)</f>
        <v>36600</v>
      </c>
      <c r="CM67">
        <f t="shared" ref="CM67:CM130" si="331">CL67*0.18</f>
        <v>6588</v>
      </c>
      <c r="CN67">
        <f t="shared" ref="CN67:CN130" si="332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3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4">IF($F67="YES",0,IF(CQ67&gt;40000,200,IF(CQ67&gt;25000,150,IF(CQ67&gt;15000,130,IF(CQ67&gt;10000,110,0)))))</f>
        <v>200</v>
      </c>
      <c r="CU67">
        <f t="shared" ref="CU67:CU130" si="335">CQ67-CR67-CS67-CT67</f>
        <v>44880</v>
      </c>
      <c r="CV67">
        <f>_xlfn.XLOOKUP(B67,'[10]december-2026'!$A:$A,'[10]december-2026'!$C:$C,0,0)</f>
        <v>36600</v>
      </c>
      <c r="CW67">
        <f t="shared" ref="CW67:CW130" si="336">ROUND(CV67*0.18,0)</f>
        <v>6588</v>
      </c>
      <c r="CX67">
        <f t="shared" ref="CX67:CX130" si="337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38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39">IF($F67="YES",0,IF(DA67&gt;40000,200,IF(DA67&gt;25000,150,IF(DA67&gt;15000,130,IF(DA67&gt;10000,110,0)))))</f>
        <v>200</v>
      </c>
      <c r="DE67">
        <f t="shared" ref="DE67:DE130" si="340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1">DF67*0.18</f>
        <v>6588</v>
      </c>
      <c r="DH67">
        <f t="shared" ref="DH67:DH130" si="342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3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4">IF($F67="YES",0,IF(DK67&gt;40000,200,IF(DK67&gt;25000,150,IF(DK67&gt;15000,130,IF(DK67&gt;10000,110,0)))))</f>
        <v>200</v>
      </c>
      <c r="DO67">
        <f t="shared" ref="DO67:DO130" si="345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46">DP67*0.18</f>
        <v>6588</v>
      </c>
      <c r="DR67">
        <f t="shared" ref="DR67:DR130" si="347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48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49">IF($F67="YES",0,IF(DU67&gt;40000,200,IF(DU67&gt;25000,150,IF(DU67&gt;15000,130,IF(DU67&gt;10000,110,0)))))</f>
        <v>200</v>
      </c>
      <c r="DY67">
        <f t="shared" ref="DY67:DY130" si="350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1">SUM(DZ67:EK67)</f>
        <v>0</v>
      </c>
      <c r="EM67">
        <f t="shared" ref="EM67:EM130" si="352">DU67+DK67+DA67+CQ67+CG67+BW67+BM67+BC67+AR67+AH67+X67+N67+H67</f>
        <v>572105</v>
      </c>
      <c r="EN67">
        <f t="shared" ref="EN67:EN130" si="353">DX67+DN67+DD67+CT67+CJ67+BZ67+BP67+BF67+AU67+AK67+AA67+Q67</f>
        <v>2400</v>
      </c>
      <c r="EO67">
        <f t="shared" ref="EO67:EO130" si="354">IF(EM67&gt;0,50000,0)</f>
        <v>50000</v>
      </c>
      <c r="EP67">
        <v>0</v>
      </c>
      <c r="EQ67">
        <f t="shared" si="167"/>
        <v>519705</v>
      </c>
      <c r="ER67">
        <f t="shared" si="62"/>
        <v>30000</v>
      </c>
      <c r="ES67">
        <f t="shared" si="63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4"/>
        <v>30000</v>
      </c>
      <c r="FE67">
        <f t="shared" si="65"/>
        <v>30000</v>
      </c>
      <c r="FF67">
        <f t="shared" si="66"/>
        <v>489705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>SUM(FG67:FM67)+(IF(F67="YES",50000,0))</f>
        <v>0</v>
      </c>
      <c r="FO67">
        <f t="shared" si="67"/>
        <v>489705</v>
      </c>
      <c r="FP67">
        <f t="shared" si="68"/>
        <v>11985</v>
      </c>
      <c r="FQ67">
        <f t="shared" si="69"/>
        <v>0</v>
      </c>
      <c r="FR67">
        <f t="shared" si="70"/>
        <v>11985</v>
      </c>
      <c r="FS67">
        <f t="shared" si="71"/>
        <v>0</v>
      </c>
      <c r="FT67">
        <f t="shared" si="72"/>
        <v>0</v>
      </c>
      <c r="FU67">
        <f t="shared" si="73"/>
        <v>0</v>
      </c>
      <c r="FV67">
        <v>0</v>
      </c>
      <c r="FW67">
        <f t="shared" si="74"/>
        <v>0</v>
      </c>
      <c r="FX67" t="b">
        <f t="shared" si="75"/>
        <v>1</v>
      </c>
      <c r="FY67">
        <f t="shared" ca="1" si="76"/>
        <v>734</v>
      </c>
      <c r="FZ67">
        <f t="shared" ca="1" si="77"/>
        <v>572839</v>
      </c>
      <c r="GA67">
        <f t="shared" si="78"/>
        <v>75000</v>
      </c>
      <c r="GB67">
        <f t="shared" ca="1" si="79"/>
        <v>497839</v>
      </c>
      <c r="GC67">
        <f t="shared" ca="1" si="80"/>
        <v>0</v>
      </c>
      <c r="GD67">
        <f t="shared" ca="1" si="81"/>
        <v>0</v>
      </c>
      <c r="GE67">
        <f t="shared" ca="1" si="82"/>
        <v>0</v>
      </c>
      <c r="GF67">
        <f t="shared" ca="1" si="83"/>
        <v>0</v>
      </c>
      <c r="GG67">
        <f t="shared" ca="1" si="84"/>
        <v>0</v>
      </c>
      <c r="GH67">
        <f t="shared" ca="1" si="85"/>
        <v>0</v>
      </c>
      <c r="GI67">
        <f ca="1">IF(GB67&gt;1200000,GB67-1200000-IF(F67="YES",50000,0)-GG67,0)</f>
        <v>0</v>
      </c>
      <c r="GJ67">
        <f t="shared" ca="1" si="86"/>
        <v>0</v>
      </c>
      <c r="GK67">
        <f t="shared" ca="1" si="87"/>
        <v>0</v>
      </c>
      <c r="GL67">
        <f t="shared" ca="1" si="88"/>
        <v>0</v>
      </c>
      <c r="GM67">
        <f t="shared" ca="1" si="89"/>
        <v>97839</v>
      </c>
      <c r="GN67">
        <f t="shared" ca="1" si="90"/>
        <v>4891.95</v>
      </c>
      <c r="GO67">
        <f t="shared" ca="1" si="91"/>
        <v>4892</v>
      </c>
      <c r="GP67">
        <f t="shared" ca="1" si="92"/>
        <v>0</v>
      </c>
      <c r="GQ67">
        <f t="shared" ca="1" si="93"/>
        <v>0</v>
      </c>
      <c r="GR67">
        <f t="shared" ca="1" si="94"/>
        <v>4892</v>
      </c>
      <c r="GS67">
        <f t="shared" ca="1" si="95"/>
        <v>0</v>
      </c>
      <c r="GT67" t="b">
        <f t="shared" ca="1" si="96"/>
        <v>0</v>
      </c>
      <c r="GU67">
        <f t="shared" ca="1" si="97"/>
        <v>0</v>
      </c>
      <c r="GV67">
        <f t="shared" ca="1" si="98"/>
        <v>4892</v>
      </c>
      <c r="GW67">
        <f t="shared" ca="1" si="99"/>
        <v>0</v>
      </c>
      <c r="GX67">
        <f t="shared" ca="1" si="100"/>
        <v>0</v>
      </c>
      <c r="GY67">
        <f t="shared" ca="1" si="101"/>
        <v>0</v>
      </c>
    </row>
    <row r="68" spans="1:207" x14ac:dyDescent="0.25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1"/>
        <v>6800</v>
      </c>
      <c r="I68">
        <f>_xlfn.XLOOKUP(B68,'[1]march-2026'!$A:$A,'[1]march-2026'!$C:$C,0,0)</f>
        <v>32500</v>
      </c>
      <c r="J68">
        <f t="shared" si="168"/>
        <v>5850</v>
      </c>
      <c r="K68">
        <f t="shared" si="292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3"/>
        <v>42750</v>
      </c>
      <c r="O68">
        <f>_xlfn.XLOOKUP(B68,'[1]march-2026'!$A:$A,'[1]march-2026'!$H:$H,0,0)</f>
        <v>2000</v>
      </c>
      <c r="P68">
        <f>_xlfn.XLOOKUP(B68,'[1]march-2026'!$A:$A,'[1]march-2026'!$I:$I,0,0)</f>
        <v>0</v>
      </c>
      <c r="Q68">
        <f t="shared" si="294"/>
        <v>200</v>
      </c>
      <c r="R68">
        <f t="shared" si="295"/>
        <v>40550</v>
      </c>
      <c r="S68">
        <f>_xlfn.XLOOKUP(B68,'[2]april-2026'!$A:$A,'[2]april-2026'!$C:$C,0,0)</f>
        <v>32500</v>
      </c>
      <c r="T68">
        <f t="shared" si="296"/>
        <v>5850</v>
      </c>
      <c r="U68">
        <f t="shared" si="297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298"/>
        <v>42750</v>
      </c>
      <c r="Y68">
        <f>_xlfn.XLOOKUP(B68,'[2]april-2026'!$A:$A,'[2]april-2026'!$H:$H,0,0)</f>
        <v>2000</v>
      </c>
      <c r="Z68">
        <f>_xlfn.XLOOKUP(B68,'[2]april-2026'!$A:$A,'[2]april-2026'!$I:$I,0,0)</f>
        <v>0</v>
      </c>
      <c r="AA68">
        <f t="shared" si="299"/>
        <v>200</v>
      </c>
      <c r="AB68">
        <f t="shared" si="300"/>
        <v>40550</v>
      </c>
      <c r="AC68">
        <f>_xlfn.XLOOKUP(B68,'[3]may-2026'!$A:$A,'[3]may-2026'!$C:$C,0,0)</f>
        <v>32500</v>
      </c>
      <c r="AD68">
        <f t="shared" si="301"/>
        <v>5850</v>
      </c>
      <c r="AE68">
        <f t="shared" si="302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3"/>
        <v>42750</v>
      </c>
      <c r="AI68">
        <f>_xlfn.XLOOKUP(B68,'[3]may-2026'!$A:$A,'[3]may-2026'!$H:$H,0,0)</f>
        <v>2000</v>
      </c>
      <c r="AJ68">
        <f>_xlfn.XLOOKUP(B68,'[3]may-2026'!$A:$A,'[3]may-2026'!$I:$I,0,0)</f>
        <v>0</v>
      </c>
      <c r="AK68">
        <f t="shared" si="304"/>
        <v>200</v>
      </c>
      <c r="AL68">
        <f t="shared" si="305"/>
        <v>40550</v>
      </c>
      <c r="AM68">
        <f>_xlfn.XLOOKUP(B68,'[4]june-2026'!$A:$A,'[4]june-2026'!$C:$C,0,0)</f>
        <v>32500</v>
      </c>
      <c r="AN68">
        <f t="shared" si="306"/>
        <v>5850</v>
      </c>
      <c r="AO68">
        <f t="shared" si="307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08"/>
        <v>42750</v>
      </c>
      <c r="AS68">
        <f>_xlfn.XLOOKUP(B68,'[4]june-2026'!$A:$A,'[4]june-2026'!$H:$H,0,0)</f>
        <v>2000</v>
      </c>
      <c r="AT68">
        <f>_xlfn.XLOOKUP(B68,'[4]june-2026'!$A:$A,'[4]june-2026'!$I:$I,0,0)</f>
        <v>0</v>
      </c>
      <c r="AU68">
        <f t="shared" si="309"/>
        <v>200</v>
      </c>
      <c r="AV68">
        <f t="shared" si="310"/>
        <v>40550</v>
      </c>
      <c r="AW68">
        <f>_xlfn.XLOOKUP(B68,'[5]july-2026'!$A:$A,'[5]july-2026'!$C:$C,0,0)</f>
        <v>33500</v>
      </c>
      <c r="AX68">
        <f t="shared" si="311"/>
        <v>6030</v>
      </c>
      <c r="AY68">
        <v>66</v>
      </c>
      <c r="AZ68">
        <f t="shared" si="312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3"/>
        <v>44116</v>
      </c>
      <c r="BD68">
        <f>_xlfn.XLOOKUP(B68,'[5]july-2026'!$A:$A,'[5]july-2026'!$H:$H,0,0)</f>
        <v>2000</v>
      </c>
      <c r="BE68">
        <f>_xlfn.XLOOKUP(B68,'[5]july-2026'!$A:$A,'[5]july-2026'!$I:$I,0,0)</f>
        <v>0</v>
      </c>
      <c r="BF68">
        <f t="shared" si="314"/>
        <v>200</v>
      </c>
      <c r="BG68">
        <f t="shared" si="315"/>
        <v>41916</v>
      </c>
      <c r="BH68">
        <f>_xlfn.XLOOKUP(B68,'[6]august-2026'!$A:$A,'[6]august-2026'!$C:$C,0,0)</f>
        <v>33500</v>
      </c>
      <c r="BI68">
        <f t="shared" si="316"/>
        <v>6030</v>
      </c>
      <c r="BJ68">
        <f t="shared" si="317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18"/>
        <v>44050</v>
      </c>
      <c r="BN68">
        <f>_xlfn.XLOOKUP(B68,'[6]august-2026'!$A:$A,'[6]august-2026'!$H:$H,0,0)</f>
        <v>2000</v>
      </c>
      <c r="BO68">
        <f>_xlfn.XLOOKUP(B68,'[6]august-2026'!$A:$A,'[6]august-2026'!$I:$I,0,0)</f>
        <v>0</v>
      </c>
      <c r="BP68">
        <f t="shared" si="319"/>
        <v>200</v>
      </c>
      <c r="BQ68">
        <f t="shared" si="320"/>
        <v>41850</v>
      </c>
      <c r="BR68">
        <f>_xlfn.XLOOKUP(B68,'[7]september-2026'!$A:$A,'[7]september-2026'!$C:$C,0,0)</f>
        <v>33500</v>
      </c>
      <c r="BS68">
        <f t="shared" si="321"/>
        <v>6030</v>
      </c>
      <c r="BT68">
        <f t="shared" si="322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3"/>
        <v>44050</v>
      </c>
      <c r="BX68">
        <f>_xlfn.XLOOKUP(B68,'[7]september-2026'!$A:$A,'[7]september-2026'!$H:$H,0,0)</f>
        <v>2000</v>
      </c>
      <c r="BY68">
        <f>_xlfn.XLOOKUP(B68,'[7]september-2026'!$A:$A,'[7]september-2026'!$I:$I,0,0)</f>
        <v>0</v>
      </c>
      <c r="BZ68">
        <f t="shared" si="324"/>
        <v>200</v>
      </c>
      <c r="CA68">
        <f t="shared" si="325"/>
        <v>41850</v>
      </c>
      <c r="CB68">
        <f>_xlfn.XLOOKUP(B68,'[8]october-2026'!$A:$A,'[8]october-2026'!$C:$C,0,0)</f>
        <v>33500</v>
      </c>
      <c r="CC68">
        <f t="shared" si="326"/>
        <v>6030</v>
      </c>
      <c r="CD68">
        <f t="shared" si="327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28"/>
        <v>44050</v>
      </c>
      <c r="CH68">
        <f>_xlfn.XLOOKUP(B68,'[8]october-2026'!$A:$A,'[8]october-2026'!$H:$H,0,0)</f>
        <v>2000</v>
      </c>
      <c r="CI68">
        <f>_xlfn.XLOOKUP(B68,'[8]october-2026'!$A:$A,'[8]october-2026'!$I:$I,0,0)</f>
        <v>0</v>
      </c>
      <c r="CJ68">
        <f t="shared" si="329"/>
        <v>200</v>
      </c>
      <c r="CK68">
        <f t="shared" si="330"/>
        <v>41850</v>
      </c>
      <c r="CL68">
        <f>_xlfn.XLOOKUP(B68,'[9]november-2026'!$A:$A,'[9]november-2026'!$C:$C,0,0)</f>
        <v>33500</v>
      </c>
      <c r="CM68">
        <f t="shared" si="331"/>
        <v>6030</v>
      </c>
      <c r="CN68">
        <f t="shared" si="332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3"/>
        <v>44050</v>
      </c>
      <c r="CR68">
        <f>_xlfn.XLOOKUP(B68,'[9]november-2026'!$A:$A,'[9]november-2026'!$H:$H,0,0)</f>
        <v>2000</v>
      </c>
      <c r="CS68">
        <f>_xlfn.XLOOKUP(B68,'[9]november-2026'!$A:$A,'[9]november-2026'!$I:$I,0,0)</f>
        <v>0</v>
      </c>
      <c r="CT68">
        <f t="shared" si="334"/>
        <v>200</v>
      </c>
      <c r="CU68">
        <f t="shared" si="335"/>
        <v>41850</v>
      </c>
      <c r="CV68">
        <f>_xlfn.XLOOKUP(B68,'[10]december-2026'!$A:$A,'[10]december-2026'!$C:$C,0,0)</f>
        <v>33500</v>
      </c>
      <c r="CW68">
        <f t="shared" si="336"/>
        <v>6030</v>
      </c>
      <c r="CX68">
        <f t="shared" si="337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38"/>
        <v>44050</v>
      </c>
      <c r="DB68">
        <f>_xlfn.XLOOKUP(B68,'[10]december-2026'!$A:$A,'[10]december-2026'!$H:$H,0,0)</f>
        <v>2000</v>
      </c>
      <c r="DC68">
        <f>_xlfn.XLOOKUP(B68,'[10]december-2026'!$A:$A,'[10]december-2026'!$I:$I,0,0)</f>
        <v>0</v>
      </c>
      <c r="DD68">
        <f t="shared" si="339"/>
        <v>200</v>
      </c>
      <c r="DE68">
        <f t="shared" si="340"/>
        <v>41850</v>
      </c>
      <c r="DF68">
        <f xml:space="preserve"> _xlfn.XLOOKUP(B68,
'[11]january-2027'!$A:$A,
'[11]january-2027'!$C:$C,
0,0)</f>
        <v>33500</v>
      </c>
      <c r="DG68">
        <f t="shared" si="341"/>
        <v>6030</v>
      </c>
      <c r="DH68">
        <f t="shared" si="342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3"/>
        <v>44050</v>
      </c>
      <c r="DL68">
        <f xml:space="preserve"> _xlfn.XLOOKUP(B68,
'[11]january-2027'!$A:$A,
'[11]january-2027'!$H:$H,
0,0)</f>
        <v>2000</v>
      </c>
      <c r="DM68">
        <f xml:space="preserve"> _xlfn.XLOOKUP(B68,
'[11]january-2027'!$A:$A,
'[11]january-2027'!$I:$I,
0,0)</f>
        <v>0</v>
      </c>
      <c r="DN68">
        <f t="shared" si="344"/>
        <v>200</v>
      </c>
      <c r="DO68">
        <f t="shared" si="345"/>
        <v>41850</v>
      </c>
      <c r="DP68">
        <f xml:space="preserve"> _xlfn.XLOOKUP(B68,
'[12]february-2027'!$A:$A,
'[12]february-2027'!$C:$C,
0,0)</f>
        <v>33500</v>
      </c>
      <c r="DQ68">
        <f t="shared" si="346"/>
        <v>6030</v>
      </c>
      <c r="DR68">
        <f t="shared" si="347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48"/>
        <v>44050</v>
      </c>
      <c r="DV68">
        <f xml:space="preserve"> _xlfn.XLOOKUP(B68,
'[12]february-2027'!$A:$A,
'[12]february-2027'!$H:$H,
0,0)</f>
        <v>2000</v>
      </c>
      <c r="DW68">
        <f xml:space="preserve"> _xlfn.XLOOKUP(B68,
'[12]february-2027'!$A:$A,
'[12]february-2027'!$I:$I,
0,0)</f>
        <v>0</v>
      </c>
      <c r="DX68">
        <f t="shared" si="349"/>
        <v>200</v>
      </c>
      <c r="DY68">
        <f t="shared" si="350"/>
        <v>41850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1"/>
        <v>0</v>
      </c>
      <c r="EM68">
        <f t="shared" si="352"/>
        <v>530266</v>
      </c>
      <c r="EN68">
        <f t="shared" si="353"/>
        <v>2400</v>
      </c>
      <c r="EO68">
        <f t="shared" si="354"/>
        <v>50000</v>
      </c>
      <c r="EP68">
        <v>0</v>
      </c>
      <c r="EQ68">
        <f t="shared" si="167"/>
        <v>477866</v>
      </c>
      <c r="ER68">
        <f t="shared" si="62"/>
        <v>24000</v>
      </c>
      <c r="ES68">
        <f t="shared" si="63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4"/>
        <v>24000</v>
      </c>
      <c r="FE68">
        <f t="shared" si="65"/>
        <v>24000</v>
      </c>
      <c r="FF68">
        <f t="shared" si="66"/>
        <v>453866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>SUM(FG68:FM68)+(IF(F68="YES",50000,0))</f>
        <v>0</v>
      </c>
      <c r="FO68">
        <f t="shared" si="67"/>
        <v>453866</v>
      </c>
      <c r="FP68">
        <f t="shared" si="68"/>
        <v>10193</v>
      </c>
      <c r="FQ68">
        <f t="shared" si="69"/>
        <v>0</v>
      </c>
      <c r="FR68">
        <f t="shared" si="70"/>
        <v>10193</v>
      </c>
      <c r="FS68">
        <f t="shared" si="71"/>
        <v>0</v>
      </c>
      <c r="FT68">
        <f t="shared" si="72"/>
        <v>0</v>
      </c>
      <c r="FU68">
        <f t="shared" si="73"/>
        <v>0</v>
      </c>
      <c r="FV68">
        <v>0</v>
      </c>
      <c r="FW68">
        <f t="shared" si="74"/>
        <v>0</v>
      </c>
      <c r="FX68" t="b">
        <f t="shared" si="75"/>
        <v>1</v>
      </c>
      <c r="FY68">
        <f t="shared" ca="1" si="76"/>
        <v>942</v>
      </c>
      <c r="FZ68">
        <f t="shared" ca="1" si="77"/>
        <v>531208</v>
      </c>
      <c r="GA68">
        <f t="shared" si="78"/>
        <v>75000</v>
      </c>
      <c r="GB68">
        <f t="shared" ca="1" si="79"/>
        <v>456208</v>
      </c>
      <c r="GC68">
        <f t="shared" ca="1" si="80"/>
        <v>0</v>
      </c>
      <c r="GD68">
        <f t="shared" ca="1" si="81"/>
        <v>0</v>
      </c>
      <c r="GE68">
        <f t="shared" ca="1" si="82"/>
        <v>0</v>
      </c>
      <c r="GF68">
        <f t="shared" ca="1" si="83"/>
        <v>0</v>
      </c>
      <c r="GG68">
        <f t="shared" ca="1" si="84"/>
        <v>0</v>
      </c>
      <c r="GH68">
        <f t="shared" ca="1" si="85"/>
        <v>0</v>
      </c>
      <c r="GI68">
        <f ca="1">IF(GB68&gt;1200000,GB68-1200000-IF(F68="YES",50000,0)-GG68,0)</f>
        <v>0</v>
      </c>
      <c r="GJ68">
        <f t="shared" ca="1" si="86"/>
        <v>0</v>
      </c>
      <c r="GK68">
        <f t="shared" ca="1" si="87"/>
        <v>0</v>
      </c>
      <c r="GL68">
        <f t="shared" ca="1" si="88"/>
        <v>0</v>
      </c>
      <c r="GM68">
        <f t="shared" ca="1" si="89"/>
        <v>56208</v>
      </c>
      <c r="GN68">
        <f t="shared" ca="1" si="90"/>
        <v>2810.4</v>
      </c>
      <c r="GO68">
        <f t="shared" ca="1" si="91"/>
        <v>2810</v>
      </c>
      <c r="GP68">
        <f t="shared" ca="1" si="92"/>
        <v>0</v>
      </c>
      <c r="GQ68">
        <f t="shared" ca="1" si="93"/>
        <v>0</v>
      </c>
      <c r="GR68">
        <f t="shared" ca="1" si="94"/>
        <v>2810</v>
      </c>
      <c r="GS68">
        <f t="shared" ca="1" si="95"/>
        <v>0</v>
      </c>
      <c r="GT68" t="b">
        <f t="shared" ca="1" si="96"/>
        <v>0</v>
      </c>
      <c r="GU68">
        <f t="shared" ca="1" si="97"/>
        <v>0</v>
      </c>
      <c r="GV68">
        <f t="shared" ca="1" si="98"/>
        <v>2810</v>
      </c>
      <c r="GW68">
        <f t="shared" ca="1" si="99"/>
        <v>0</v>
      </c>
      <c r="GX68">
        <f t="shared" ca="1" si="100"/>
        <v>0</v>
      </c>
      <c r="GY68">
        <f t="shared" ca="1" si="101"/>
        <v>0</v>
      </c>
    </row>
    <row r="69" spans="1:207" x14ac:dyDescent="0.25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1"/>
        <v>6800</v>
      </c>
      <c r="I69">
        <f>_xlfn.XLOOKUP(B69,'[1]march-2026'!$A:$A,'[1]march-2026'!$C:$C,0,0)</f>
        <v>31600</v>
      </c>
      <c r="J69">
        <f t="shared" si="168"/>
        <v>5688</v>
      </c>
      <c r="K69">
        <f t="shared" si="292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3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4"/>
        <v>200</v>
      </c>
      <c r="R69">
        <f t="shared" si="295"/>
        <v>39380</v>
      </c>
      <c r="S69">
        <f>_xlfn.XLOOKUP(B69,'[2]april-2026'!$A:$A,'[2]april-2026'!$C:$C,0,0)</f>
        <v>31600</v>
      </c>
      <c r="T69">
        <f t="shared" si="296"/>
        <v>5688</v>
      </c>
      <c r="U69">
        <f t="shared" si="297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298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299"/>
        <v>200</v>
      </c>
      <c r="AB69">
        <f t="shared" si="300"/>
        <v>39380</v>
      </c>
      <c r="AC69">
        <f>_xlfn.XLOOKUP(B69,'[3]may-2026'!$A:$A,'[3]may-2026'!$C:$C,0,0)</f>
        <v>31600</v>
      </c>
      <c r="AD69">
        <f t="shared" si="301"/>
        <v>5688</v>
      </c>
      <c r="AE69">
        <f t="shared" si="302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3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4"/>
        <v>200</v>
      </c>
      <c r="AL69">
        <f t="shared" si="305"/>
        <v>39380</v>
      </c>
      <c r="AM69">
        <f>_xlfn.XLOOKUP(B69,'[4]june-2026'!$A:$A,'[4]june-2026'!$C:$C,0,0)</f>
        <v>31600</v>
      </c>
      <c r="AN69">
        <f t="shared" si="306"/>
        <v>5688</v>
      </c>
      <c r="AO69">
        <f t="shared" si="307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08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09"/>
        <v>200</v>
      </c>
      <c r="AV69">
        <f t="shared" si="310"/>
        <v>39380</v>
      </c>
      <c r="AW69">
        <f>_xlfn.XLOOKUP(B69,'[5]july-2026'!$A:$A,'[5]july-2026'!$C:$C,0,0)</f>
        <v>32500</v>
      </c>
      <c r="AX69">
        <f t="shared" si="311"/>
        <v>5850</v>
      </c>
      <c r="AY69">
        <v>67</v>
      </c>
      <c r="AZ69">
        <f t="shared" si="312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3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4"/>
        <v>200</v>
      </c>
      <c r="BG69">
        <f t="shared" si="315"/>
        <v>40617</v>
      </c>
      <c r="BH69">
        <f>_xlfn.XLOOKUP(B69,'[6]august-2026'!$A:$A,'[6]august-2026'!$C:$C,0,0)</f>
        <v>32500</v>
      </c>
      <c r="BI69">
        <f t="shared" si="316"/>
        <v>5850</v>
      </c>
      <c r="BJ69">
        <f t="shared" si="317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18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19"/>
        <v>200</v>
      </c>
      <c r="BQ69">
        <f t="shared" si="320"/>
        <v>40550</v>
      </c>
      <c r="BR69">
        <f>_xlfn.XLOOKUP(B69,'[7]september-2026'!$A:$A,'[7]september-2026'!$C:$C,0,0)</f>
        <v>32500</v>
      </c>
      <c r="BS69">
        <f t="shared" si="321"/>
        <v>5850</v>
      </c>
      <c r="BT69">
        <f t="shared" si="322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3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4"/>
        <v>200</v>
      </c>
      <c r="CA69">
        <f t="shared" si="325"/>
        <v>40550</v>
      </c>
      <c r="CB69">
        <f>_xlfn.XLOOKUP(B69,'[8]october-2026'!$A:$A,'[8]october-2026'!$C:$C,0,0)</f>
        <v>32500</v>
      </c>
      <c r="CC69">
        <f t="shared" si="326"/>
        <v>5850</v>
      </c>
      <c r="CD69">
        <f t="shared" si="327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28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29"/>
        <v>200</v>
      </c>
      <c r="CK69">
        <f t="shared" si="330"/>
        <v>40550</v>
      </c>
      <c r="CL69">
        <f>_xlfn.XLOOKUP(B69,'[9]november-2026'!$A:$A,'[9]november-2026'!$C:$C,0,0)</f>
        <v>32500</v>
      </c>
      <c r="CM69">
        <f t="shared" si="331"/>
        <v>5850</v>
      </c>
      <c r="CN69">
        <f t="shared" si="332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3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4"/>
        <v>200</v>
      </c>
      <c r="CU69">
        <f t="shared" si="335"/>
        <v>40550</v>
      </c>
      <c r="CV69">
        <f>_xlfn.XLOOKUP(B69,'[10]december-2026'!$A:$A,'[10]december-2026'!$C:$C,0,0)</f>
        <v>32500</v>
      </c>
      <c r="CW69">
        <f t="shared" si="336"/>
        <v>5850</v>
      </c>
      <c r="CX69">
        <f t="shared" si="337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38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39"/>
        <v>200</v>
      </c>
      <c r="DE69">
        <f t="shared" si="340"/>
        <v>40550</v>
      </c>
      <c r="DF69">
        <f xml:space="preserve"> _xlfn.XLOOKUP(B69,
'[11]january-2027'!$A:$A,
'[11]january-2027'!$C:$C,
0,0)</f>
        <v>32500</v>
      </c>
      <c r="DG69">
        <f t="shared" si="341"/>
        <v>5850</v>
      </c>
      <c r="DH69">
        <f t="shared" si="342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3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4"/>
        <v>200</v>
      </c>
      <c r="DO69">
        <f t="shared" si="345"/>
        <v>40550</v>
      </c>
      <c r="DP69">
        <f xml:space="preserve"> _xlfn.XLOOKUP(B69,
'[12]february-2027'!$A:$A,
'[12]february-2027'!$C:$C,
0,0)</f>
        <v>32500</v>
      </c>
      <c r="DQ69">
        <f t="shared" si="346"/>
        <v>5850</v>
      </c>
      <c r="DR69">
        <f t="shared" si="347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48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49"/>
        <v>200</v>
      </c>
      <c r="DY69">
        <f t="shared" si="350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1"/>
        <v>0</v>
      </c>
      <c r="EM69">
        <f t="shared" si="352"/>
        <v>515187</v>
      </c>
      <c r="EN69">
        <f t="shared" si="353"/>
        <v>2400</v>
      </c>
      <c r="EO69">
        <f t="shared" si="354"/>
        <v>50000</v>
      </c>
      <c r="EP69">
        <v>0</v>
      </c>
      <c r="EQ69">
        <f t="shared" ref="EQ69:EQ133" si="355">EM69-EN69-EO69+EL69</f>
        <v>462787</v>
      </c>
      <c r="ER69">
        <f t="shared" ref="ER69:ER134" si="356">DV69+DL69+DB69+CR69+CH69+BX69+BN69+BD69+AS69+AI69+Y69+O69</f>
        <v>24000</v>
      </c>
      <c r="ES69">
        <f t="shared" ref="ES69:ES134" si="357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58">SUM(ER69:FC69)</f>
        <v>24000</v>
      </c>
      <c r="FE69">
        <f t="shared" ref="FE69:FE134" si="359">IF(FD69&gt;=150000,150000,FD69)</f>
        <v>24000</v>
      </c>
      <c r="FF69">
        <f t="shared" ref="FF69:FF134" si="360">EQ69-FE69</f>
        <v>438787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>SUM(FG69:FM69)+(IF(F69="YES",50000,0))</f>
        <v>0</v>
      </c>
      <c r="FO69">
        <f t="shared" ref="FO69:FO134" si="361">FF69-FN69</f>
        <v>438787</v>
      </c>
      <c r="FP69">
        <f t="shared" ref="FP69:FP134" si="362">ROUND(IF(FO69&gt;0,IF(FO69&gt;500000,12500,(FO69-250000)*0.05),0),0)</f>
        <v>9439</v>
      </c>
      <c r="FQ69">
        <f t="shared" ref="FQ69:FQ134" si="363">IF(ROUND(IF(FO69&gt;0,IF(FO69&gt;1000000,25000,(FO69-500000)*0.2),0),0)&lt;0,0,ROUND(IF(FO69&gt;0,IF(FO69&gt;1000000,25000,(FO69-500000)*0.2),0),0))</f>
        <v>0</v>
      </c>
      <c r="FR69">
        <f t="shared" ref="FR69:FR134" si="364">FP69+FQ69</f>
        <v>9439</v>
      </c>
      <c r="FS69">
        <f t="shared" ref="FS69:FS134" si="365">IF(FR69&lt;12500,0,FR69)</f>
        <v>0</v>
      </c>
      <c r="FT69">
        <f t="shared" ref="FT69:FT134" si="366">FS69*0.04</f>
        <v>0</v>
      </c>
      <c r="FU69">
        <f t="shared" ref="FU69:FU134" si="367">ROUND(FT69+FS69,0)</f>
        <v>0</v>
      </c>
      <c r="FV69">
        <v>0</v>
      </c>
      <c r="FW69">
        <f t="shared" ref="FW69:FW134" si="368">FU69-FV69</f>
        <v>0</v>
      </c>
      <c r="FX69" t="b">
        <f t="shared" ref="FX69:FX134" si="369">IF(EM69&gt;500000,TRUE,FALSE)</f>
        <v>1</v>
      </c>
      <c r="FY69">
        <f t="shared" ref="FY69:FY134" ca="1" si="370">IF(FX69,RANDBETWEEN(500,1000),RANDBETWEEN(1000,3000))</f>
        <v>985</v>
      </c>
      <c r="FZ69">
        <f t="shared" ref="FZ69:FZ134" ca="1" si="371">EM69+FY69</f>
        <v>516172</v>
      </c>
      <c r="GA69">
        <f t="shared" ref="GA69:GA134" si="372">IF(EM69&gt;0,75000,0)</f>
        <v>75000</v>
      </c>
      <c r="GB69">
        <f t="shared" ref="GB69:GB134" ca="1" si="373">FZ69-GA69</f>
        <v>441172</v>
      </c>
      <c r="GC69">
        <f t="shared" ref="GC69:GC134" ca="1" si="374">IF(GB69&gt;2400000,GB69-2400000,0)</f>
        <v>0</v>
      </c>
      <c r="GD69">
        <f t="shared" ref="GD69:GD134" ca="1" si="375">GC69*0.3</f>
        <v>0</v>
      </c>
      <c r="GE69">
        <f t="shared" ref="GE69:GE134" ca="1" si="376">IF(GB69&gt;2000000,GB69-2000000,0)</f>
        <v>0</v>
      </c>
      <c r="GF69">
        <f t="shared" ref="GF69:GF134" ca="1" si="377">GE69*0.25</f>
        <v>0</v>
      </c>
      <c r="GG69">
        <f t="shared" ref="GG69:GG134" ca="1" si="378">IF(GB69&gt;1600000,GB69-1600000-GC69,0)</f>
        <v>0</v>
      </c>
      <c r="GH69">
        <f t="shared" ref="GH69:GH134" ca="1" si="379">GG69*0.2</f>
        <v>0</v>
      </c>
      <c r="GI69">
        <f ca="1">IF(GB69&gt;1200000,GB69-1200000-IF(F69="YES",50000,0)-GG69,0)</f>
        <v>0</v>
      </c>
      <c r="GJ69">
        <f t="shared" ref="GJ69:GJ134" ca="1" si="380">GI69*0.15</f>
        <v>0</v>
      </c>
      <c r="GK69">
        <f t="shared" ref="GK69:GK134" ca="1" si="381">IF(GB69&gt;800000,GB69-800000-GC69-GG69-GI69,0)</f>
        <v>0</v>
      </c>
      <c r="GL69">
        <f t="shared" ref="GL69:GL134" ca="1" si="382">GK69*0.1</f>
        <v>0</v>
      </c>
      <c r="GM69">
        <f t="shared" ref="GM69:GM134" ca="1" si="383">IF(GB69&gt;400000,GB69-400000-GC69-GG69-GI69-GK69,0)</f>
        <v>41172</v>
      </c>
      <c r="GN69">
        <f t="shared" ref="GN69:GN134" ca="1" si="384">GM69*0.05</f>
        <v>2058.6</v>
      </c>
      <c r="GO69">
        <f t="shared" ref="GO69:GO134" ca="1" si="385">ROUND(GD69+GF69+GH69+GJ69+GL69+GN69,0)</f>
        <v>2059</v>
      </c>
      <c r="GP69">
        <f t="shared" ref="GP69:GP134" ca="1" si="386">IF(GB69&gt;1200000,GB69,0)</f>
        <v>0</v>
      </c>
      <c r="GQ69">
        <f t="shared" ref="GQ69:GQ134" ca="1" si="387">IF(GB69&gt;1200000,GP69-1200000,0)</f>
        <v>0</v>
      </c>
      <c r="GR69">
        <f t="shared" ref="GR69:GR134" ca="1" si="388">IF(GB69&lt;1200001,MIN(GO69,60000),0)</f>
        <v>2059</v>
      </c>
      <c r="GS69">
        <f t="shared" ref="GS69:GS134" ca="1" si="389">IF(GB69&gt;1200000,GO69-GQ69,0)</f>
        <v>0</v>
      </c>
      <c r="GT69" t="b">
        <f t="shared" ref="GT69:GT134" ca="1" si="390">IF(GS69&gt;0,TRUE,FALSE)</f>
        <v>0</v>
      </c>
      <c r="GU69">
        <f t="shared" ref="GU69:GU134" ca="1" si="391">IF(GT69,GS69,0)</f>
        <v>0</v>
      </c>
      <c r="GV69">
        <f t="shared" ref="GV69:GV134" ca="1" si="392">GR69+GU69</f>
        <v>2059</v>
      </c>
      <c r="GW69">
        <f t="shared" ref="GW69:GW134" ca="1" si="393">ROUND(GO69-GV69,0)</f>
        <v>0</v>
      </c>
      <c r="GX69">
        <f t="shared" ref="GX69:GX134" ca="1" si="394">GW69*0.04</f>
        <v>0</v>
      </c>
      <c r="GY69">
        <f t="shared" ref="GY69:GY134" ca="1" si="395">ROUNDUP(GW69+GX69,0)</f>
        <v>0</v>
      </c>
    </row>
    <row r="70" spans="1:207" x14ac:dyDescent="0.25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1"/>
        <v>6800</v>
      </c>
      <c r="I70">
        <f>_xlfn.XLOOKUP(B70,'[1]march-2026'!$A:$A,'[1]march-2026'!$C:$C,0,0)</f>
        <v>29800</v>
      </c>
      <c r="J70">
        <f t="shared" ref="J70:J133" si="396">I70*0.18</f>
        <v>5364</v>
      </c>
      <c r="K70">
        <f t="shared" si="292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3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4"/>
        <v>150</v>
      </c>
      <c r="R70">
        <f t="shared" si="295"/>
        <v>37090</v>
      </c>
      <c r="S70">
        <f>_xlfn.XLOOKUP(B70,'[2]april-2026'!$A:$A,'[2]april-2026'!$C:$C,0,0)</f>
        <v>29800</v>
      </c>
      <c r="T70">
        <f t="shared" si="296"/>
        <v>5364</v>
      </c>
      <c r="U70">
        <f t="shared" si="297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298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299"/>
        <v>150</v>
      </c>
      <c r="AB70">
        <f t="shared" si="300"/>
        <v>37090</v>
      </c>
      <c r="AC70">
        <f>_xlfn.XLOOKUP(B70,'[3]may-2026'!$A:$A,'[3]may-2026'!$C:$C,0,0)</f>
        <v>29800</v>
      </c>
      <c r="AD70">
        <f t="shared" si="301"/>
        <v>5364</v>
      </c>
      <c r="AE70">
        <f t="shared" si="302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3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4"/>
        <v>150</v>
      </c>
      <c r="AL70">
        <f t="shared" si="305"/>
        <v>37090</v>
      </c>
      <c r="AM70">
        <f>_xlfn.XLOOKUP(B70,'[4]june-2026'!$A:$A,'[4]june-2026'!$C:$C,0,0)</f>
        <v>29800</v>
      </c>
      <c r="AN70">
        <f t="shared" si="306"/>
        <v>5364</v>
      </c>
      <c r="AO70">
        <f t="shared" si="307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08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09"/>
        <v>150</v>
      </c>
      <c r="AV70">
        <f t="shared" si="310"/>
        <v>37090</v>
      </c>
      <c r="AW70">
        <f>_xlfn.XLOOKUP(B70,'[5]july-2026'!$A:$A,'[5]july-2026'!$C:$C,0,0)</f>
        <v>30700</v>
      </c>
      <c r="AX70">
        <f t="shared" si="311"/>
        <v>5526</v>
      </c>
      <c r="AY70">
        <v>68</v>
      </c>
      <c r="AZ70">
        <f t="shared" si="312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3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4"/>
        <v>200</v>
      </c>
      <c r="BG70">
        <f t="shared" si="315"/>
        <v>38278</v>
      </c>
      <c r="BH70">
        <f>_xlfn.XLOOKUP(B70,'[6]august-2026'!$A:$A,'[6]august-2026'!$C:$C,0,0)</f>
        <v>30700</v>
      </c>
      <c r="BI70">
        <f t="shared" si="316"/>
        <v>5526</v>
      </c>
      <c r="BJ70">
        <f t="shared" si="317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18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19"/>
        <v>200</v>
      </c>
      <c r="BQ70">
        <f t="shared" si="320"/>
        <v>38210</v>
      </c>
      <c r="BR70">
        <f>_xlfn.XLOOKUP(B70,'[7]september-2026'!$A:$A,'[7]september-2026'!$C:$C,0,0)</f>
        <v>30700</v>
      </c>
      <c r="BS70">
        <f t="shared" si="321"/>
        <v>5526</v>
      </c>
      <c r="BT70">
        <f t="shared" si="322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3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4"/>
        <v>200</v>
      </c>
      <c r="CA70">
        <f t="shared" si="325"/>
        <v>38210</v>
      </c>
      <c r="CB70">
        <f>_xlfn.XLOOKUP(B70,'[8]october-2026'!$A:$A,'[8]october-2026'!$C:$C,0,0)</f>
        <v>30700</v>
      </c>
      <c r="CC70">
        <f t="shared" si="326"/>
        <v>5526</v>
      </c>
      <c r="CD70">
        <f t="shared" si="327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28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29"/>
        <v>200</v>
      </c>
      <c r="CK70">
        <f t="shared" si="330"/>
        <v>38210</v>
      </c>
      <c r="CL70">
        <f>_xlfn.XLOOKUP(B70,'[9]november-2026'!$A:$A,'[9]november-2026'!$C:$C,0,0)</f>
        <v>30700</v>
      </c>
      <c r="CM70">
        <f t="shared" si="331"/>
        <v>5526</v>
      </c>
      <c r="CN70">
        <f t="shared" si="332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3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4"/>
        <v>200</v>
      </c>
      <c r="CU70">
        <f t="shared" si="335"/>
        <v>38210</v>
      </c>
      <c r="CV70">
        <f>_xlfn.XLOOKUP(B70,'[10]december-2026'!$A:$A,'[10]december-2026'!$C:$C,0,0)</f>
        <v>30700</v>
      </c>
      <c r="CW70">
        <f t="shared" si="336"/>
        <v>5526</v>
      </c>
      <c r="CX70">
        <f t="shared" si="337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38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39"/>
        <v>200</v>
      </c>
      <c r="DE70">
        <f t="shared" si="340"/>
        <v>38210</v>
      </c>
      <c r="DF70">
        <f xml:space="preserve"> _xlfn.XLOOKUP(B70,
'[11]january-2027'!$A:$A,
'[11]january-2027'!$C:$C,
0,0)</f>
        <v>30700</v>
      </c>
      <c r="DG70">
        <f t="shared" si="341"/>
        <v>5526</v>
      </c>
      <c r="DH70">
        <f t="shared" si="342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3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4"/>
        <v>200</v>
      </c>
      <c r="DO70">
        <f t="shared" si="345"/>
        <v>38210</v>
      </c>
      <c r="DP70">
        <f xml:space="preserve"> _xlfn.XLOOKUP(B70,
'[12]february-2027'!$A:$A,
'[12]february-2027'!$C:$C,
0,0)</f>
        <v>30700</v>
      </c>
      <c r="DQ70">
        <f t="shared" si="346"/>
        <v>5526</v>
      </c>
      <c r="DR70">
        <f t="shared" si="347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48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49"/>
        <v>200</v>
      </c>
      <c r="DY70">
        <f t="shared" si="350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1"/>
        <v>0</v>
      </c>
      <c r="EM70">
        <f t="shared" si="352"/>
        <v>487108</v>
      </c>
      <c r="EN70">
        <f t="shared" si="353"/>
        <v>2200</v>
      </c>
      <c r="EO70">
        <f t="shared" si="354"/>
        <v>50000</v>
      </c>
      <c r="EP70">
        <v>0</v>
      </c>
      <c r="EQ70">
        <f t="shared" si="355"/>
        <v>434908</v>
      </c>
      <c r="ER70">
        <f t="shared" si="356"/>
        <v>24000</v>
      </c>
      <c r="ES70">
        <f t="shared" si="357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58"/>
        <v>24000</v>
      </c>
      <c r="FE70">
        <f t="shared" si="359"/>
        <v>24000</v>
      </c>
      <c r="FF70">
        <f t="shared" si="360"/>
        <v>410908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>SUM(FG70:FM70)+(IF(F70="YES",50000,0))</f>
        <v>0</v>
      </c>
      <c r="FO70">
        <f t="shared" si="361"/>
        <v>410908</v>
      </c>
      <c r="FP70">
        <f t="shared" si="362"/>
        <v>8045</v>
      </c>
      <c r="FQ70">
        <f t="shared" si="363"/>
        <v>0</v>
      </c>
      <c r="FR70">
        <f t="shared" si="364"/>
        <v>8045</v>
      </c>
      <c r="FS70">
        <f t="shared" si="365"/>
        <v>0</v>
      </c>
      <c r="FT70">
        <f t="shared" si="366"/>
        <v>0</v>
      </c>
      <c r="FU70">
        <f t="shared" si="367"/>
        <v>0</v>
      </c>
      <c r="FV70">
        <v>0</v>
      </c>
      <c r="FW70">
        <f t="shared" si="368"/>
        <v>0</v>
      </c>
      <c r="FX70" t="b">
        <f t="shared" si="369"/>
        <v>0</v>
      </c>
      <c r="FY70">
        <f t="shared" ca="1" si="370"/>
        <v>2419</v>
      </c>
      <c r="FZ70">
        <f t="shared" ca="1" si="371"/>
        <v>489527</v>
      </c>
      <c r="GA70">
        <f t="shared" si="372"/>
        <v>75000</v>
      </c>
      <c r="GB70">
        <f t="shared" ca="1" si="373"/>
        <v>414527</v>
      </c>
      <c r="GC70">
        <f t="shared" ca="1" si="374"/>
        <v>0</v>
      </c>
      <c r="GD70">
        <f t="shared" ca="1" si="375"/>
        <v>0</v>
      </c>
      <c r="GE70">
        <f t="shared" ca="1" si="376"/>
        <v>0</v>
      </c>
      <c r="GF70">
        <f t="shared" ca="1" si="377"/>
        <v>0</v>
      </c>
      <c r="GG70">
        <f t="shared" ca="1" si="378"/>
        <v>0</v>
      </c>
      <c r="GH70">
        <f t="shared" ca="1" si="379"/>
        <v>0</v>
      </c>
      <c r="GI70">
        <f ca="1">IF(GB70&gt;1200000,GB70-1200000-IF(F70="YES",50000,0)-GG70,0)</f>
        <v>0</v>
      </c>
      <c r="GJ70">
        <f t="shared" ca="1" si="380"/>
        <v>0</v>
      </c>
      <c r="GK70">
        <f t="shared" ca="1" si="381"/>
        <v>0</v>
      </c>
      <c r="GL70">
        <f t="shared" ca="1" si="382"/>
        <v>0</v>
      </c>
      <c r="GM70">
        <f t="shared" ca="1" si="383"/>
        <v>14527</v>
      </c>
      <c r="GN70">
        <f t="shared" ca="1" si="384"/>
        <v>726.35</v>
      </c>
      <c r="GO70">
        <f t="shared" ca="1" si="385"/>
        <v>726</v>
      </c>
      <c r="GP70">
        <f t="shared" ca="1" si="386"/>
        <v>0</v>
      </c>
      <c r="GQ70">
        <f t="shared" ca="1" si="387"/>
        <v>0</v>
      </c>
      <c r="GR70">
        <f t="shared" ca="1" si="388"/>
        <v>726</v>
      </c>
      <c r="GS70">
        <f t="shared" ca="1" si="389"/>
        <v>0</v>
      </c>
      <c r="GT70" t="b">
        <f t="shared" ca="1" si="390"/>
        <v>0</v>
      </c>
      <c r="GU70">
        <f t="shared" ca="1" si="391"/>
        <v>0</v>
      </c>
      <c r="GV70">
        <f t="shared" ca="1" si="392"/>
        <v>726</v>
      </c>
      <c r="GW70">
        <f t="shared" ca="1" si="393"/>
        <v>0</v>
      </c>
      <c r="GX70">
        <f t="shared" ca="1" si="394"/>
        <v>0</v>
      </c>
      <c r="GY70">
        <f t="shared" ca="1" si="395"/>
        <v>0</v>
      </c>
    </row>
    <row r="71" spans="1:207" x14ac:dyDescent="0.25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1"/>
        <v>6800</v>
      </c>
      <c r="I71">
        <f>_xlfn.XLOOKUP(B71,'[1]march-2026'!$A:$A,'[1]march-2026'!$C:$C,0,0)</f>
        <v>53300</v>
      </c>
      <c r="J71">
        <f t="shared" si="396"/>
        <v>9594</v>
      </c>
      <c r="K71">
        <f t="shared" si="292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3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4"/>
        <v>200</v>
      </c>
      <c r="R71">
        <f t="shared" si="295"/>
        <v>59930</v>
      </c>
      <c r="S71">
        <f>_xlfn.XLOOKUP(B71,'[2]april-2026'!$A:$A,'[2]april-2026'!$C:$C,0,0)</f>
        <v>53300</v>
      </c>
      <c r="T71">
        <f t="shared" si="296"/>
        <v>9594</v>
      </c>
      <c r="U71">
        <f t="shared" si="297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298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299"/>
        <v>200</v>
      </c>
      <c r="AB71">
        <f t="shared" si="300"/>
        <v>59930</v>
      </c>
      <c r="AC71">
        <f>_xlfn.XLOOKUP(B71,'[3]may-2026'!$A:$A,'[3]may-2026'!$C:$C,0,0)</f>
        <v>53300</v>
      </c>
      <c r="AD71">
        <f t="shared" si="301"/>
        <v>9594</v>
      </c>
      <c r="AE71">
        <f t="shared" si="302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3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4"/>
        <v>200</v>
      </c>
      <c r="AL71">
        <f t="shared" si="305"/>
        <v>59930</v>
      </c>
      <c r="AM71">
        <f>_xlfn.XLOOKUP(B71,'[4]june-2026'!$A:$A,'[4]june-2026'!$C:$C,0,0)</f>
        <v>53300</v>
      </c>
      <c r="AN71">
        <f t="shared" si="306"/>
        <v>9594</v>
      </c>
      <c r="AO71">
        <f t="shared" si="307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08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09"/>
        <v>200</v>
      </c>
      <c r="AV71">
        <f t="shared" si="310"/>
        <v>59930</v>
      </c>
      <c r="AW71">
        <f>_xlfn.XLOOKUP(B71,'[5]july-2026'!$A:$A,'[5]july-2026'!$C:$C,0,0)</f>
        <v>54900</v>
      </c>
      <c r="AX71">
        <f t="shared" si="311"/>
        <v>9882</v>
      </c>
      <c r="AY71">
        <v>69</v>
      </c>
      <c r="AZ71">
        <f t="shared" si="312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3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4"/>
        <v>200</v>
      </c>
      <c r="BG71">
        <f t="shared" si="315"/>
        <v>62079</v>
      </c>
      <c r="BH71">
        <f>_xlfn.XLOOKUP(B71,'[6]august-2026'!$A:$A,'[6]august-2026'!$C:$C,0,0)</f>
        <v>54900</v>
      </c>
      <c r="BI71">
        <f t="shared" si="316"/>
        <v>9882</v>
      </c>
      <c r="BJ71">
        <f t="shared" si="317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18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19"/>
        <v>200</v>
      </c>
      <c r="BQ71">
        <f t="shared" si="320"/>
        <v>62010</v>
      </c>
      <c r="BR71">
        <f>_xlfn.XLOOKUP(B71,'[7]september-2026'!$A:$A,'[7]september-2026'!$C:$C,0,0)</f>
        <v>54900</v>
      </c>
      <c r="BS71">
        <f t="shared" si="321"/>
        <v>9882</v>
      </c>
      <c r="BT71">
        <f t="shared" si="322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3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4"/>
        <v>200</v>
      </c>
      <c r="CA71">
        <f t="shared" si="325"/>
        <v>62010</v>
      </c>
      <c r="CB71">
        <f>_xlfn.XLOOKUP(B71,'[8]october-2026'!$A:$A,'[8]october-2026'!$C:$C,0,0)</f>
        <v>54900</v>
      </c>
      <c r="CC71">
        <f t="shared" si="326"/>
        <v>9882</v>
      </c>
      <c r="CD71">
        <f t="shared" si="327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28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29"/>
        <v>200</v>
      </c>
      <c r="CK71">
        <f t="shared" si="330"/>
        <v>62010</v>
      </c>
      <c r="CL71">
        <f>_xlfn.XLOOKUP(B71,'[9]november-2026'!$A:$A,'[9]november-2026'!$C:$C,0,0)</f>
        <v>54900</v>
      </c>
      <c r="CM71">
        <f t="shared" si="331"/>
        <v>9882</v>
      </c>
      <c r="CN71">
        <f t="shared" si="332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3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4"/>
        <v>200</v>
      </c>
      <c r="CU71">
        <f t="shared" si="335"/>
        <v>62010</v>
      </c>
      <c r="CV71">
        <f>_xlfn.XLOOKUP(B71,'[10]december-2026'!$A:$A,'[10]december-2026'!$C:$C,0,0)</f>
        <v>54900</v>
      </c>
      <c r="CW71">
        <f t="shared" si="336"/>
        <v>9882</v>
      </c>
      <c r="CX71">
        <f t="shared" si="337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38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39"/>
        <v>200</v>
      </c>
      <c r="DE71">
        <f t="shared" si="340"/>
        <v>62010</v>
      </c>
      <c r="DF71">
        <f xml:space="preserve"> _xlfn.XLOOKUP(B71,
'[11]january-2027'!$A:$A,
'[11]january-2027'!$C:$C,
0,0)</f>
        <v>54900</v>
      </c>
      <c r="DG71">
        <f t="shared" si="341"/>
        <v>9882</v>
      </c>
      <c r="DH71">
        <f t="shared" si="342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3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4"/>
        <v>200</v>
      </c>
      <c r="DO71">
        <f t="shared" si="345"/>
        <v>62010</v>
      </c>
      <c r="DP71">
        <f xml:space="preserve"> _xlfn.XLOOKUP(B71,
'[12]february-2027'!$A:$A,
'[12]february-2027'!$C:$C,
0,0)</f>
        <v>54900</v>
      </c>
      <c r="DQ71">
        <f t="shared" si="346"/>
        <v>9882</v>
      </c>
      <c r="DR71">
        <f t="shared" si="347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48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49"/>
        <v>200</v>
      </c>
      <c r="DY71">
        <f t="shared" si="350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1"/>
        <v>0</v>
      </c>
      <c r="EM71">
        <f t="shared" si="352"/>
        <v>865789</v>
      </c>
      <c r="EN71">
        <f t="shared" si="353"/>
        <v>2400</v>
      </c>
      <c r="EO71">
        <f t="shared" si="354"/>
        <v>50000</v>
      </c>
      <c r="EP71">
        <v>0</v>
      </c>
      <c r="EQ71">
        <f t="shared" si="355"/>
        <v>813389</v>
      </c>
      <c r="ER71">
        <f t="shared" si="356"/>
        <v>120000</v>
      </c>
      <c r="ES71">
        <f t="shared" si="357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58"/>
        <v>120720</v>
      </c>
      <c r="FE71">
        <f t="shared" si="359"/>
        <v>120720</v>
      </c>
      <c r="FF71">
        <f t="shared" si="360"/>
        <v>692669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>SUM(FG71:FM71)+(IF(F71="YES",50000,0))</f>
        <v>0</v>
      </c>
      <c r="FO71">
        <f t="shared" si="361"/>
        <v>692669</v>
      </c>
      <c r="FP71">
        <f t="shared" si="362"/>
        <v>12500</v>
      </c>
      <c r="FQ71">
        <f t="shared" si="363"/>
        <v>38534</v>
      </c>
      <c r="FR71">
        <f t="shared" si="364"/>
        <v>51034</v>
      </c>
      <c r="FS71">
        <f t="shared" si="365"/>
        <v>51034</v>
      </c>
      <c r="FT71">
        <f t="shared" si="366"/>
        <v>2041.3600000000001</v>
      </c>
      <c r="FU71">
        <f t="shared" si="367"/>
        <v>53075</v>
      </c>
      <c r="FV71">
        <v>0</v>
      </c>
      <c r="FW71">
        <f t="shared" si="368"/>
        <v>53075</v>
      </c>
      <c r="FX71" t="b">
        <f t="shared" si="369"/>
        <v>1</v>
      </c>
      <c r="FY71">
        <f t="shared" ca="1" si="370"/>
        <v>768</v>
      </c>
      <c r="FZ71">
        <f t="shared" ca="1" si="371"/>
        <v>866557</v>
      </c>
      <c r="GA71">
        <f t="shared" si="372"/>
        <v>75000</v>
      </c>
      <c r="GB71">
        <f t="shared" ca="1" si="373"/>
        <v>791557</v>
      </c>
      <c r="GC71">
        <f t="shared" ca="1" si="374"/>
        <v>0</v>
      </c>
      <c r="GD71">
        <f t="shared" ca="1" si="375"/>
        <v>0</v>
      </c>
      <c r="GE71">
        <f t="shared" ca="1" si="376"/>
        <v>0</v>
      </c>
      <c r="GF71">
        <f t="shared" ca="1" si="377"/>
        <v>0</v>
      </c>
      <c r="GG71">
        <f t="shared" ca="1" si="378"/>
        <v>0</v>
      </c>
      <c r="GH71">
        <f t="shared" ca="1" si="379"/>
        <v>0</v>
      </c>
      <c r="GI71">
        <f ca="1">IF(GB71&gt;1200000,GB71-1200000-IF(F71="YES",50000,0)-GG71,0)</f>
        <v>0</v>
      </c>
      <c r="GJ71">
        <f t="shared" ca="1" si="380"/>
        <v>0</v>
      </c>
      <c r="GK71">
        <f t="shared" ca="1" si="381"/>
        <v>0</v>
      </c>
      <c r="GL71">
        <f t="shared" ca="1" si="382"/>
        <v>0</v>
      </c>
      <c r="GM71">
        <f t="shared" ca="1" si="383"/>
        <v>391557</v>
      </c>
      <c r="GN71">
        <f t="shared" ca="1" si="384"/>
        <v>19577.850000000002</v>
      </c>
      <c r="GO71">
        <f t="shared" ca="1" si="385"/>
        <v>19578</v>
      </c>
      <c r="GP71">
        <f t="shared" ca="1" si="386"/>
        <v>0</v>
      </c>
      <c r="GQ71">
        <f t="shared" ca="1" si="387"/>
        <v>0</v>
      </c>
      <c r="GR71">
        <f t="shared" ca="1" si="388"/>
        <v>19578</v>
      </c>
      <c r="GS71">
        <f t="shared" ca="1" si="389"/>
        <v>0</v>
      </c>
      <c r="GT71" t="b">
        <f t="shared" ca="1" si="390"/>
        <v>0</v>
      </c>
      <c r="GU71">
        <f t="shared" ca="1" si="391"/>
        <v>0</v>
      </c>
      <c r="GV71">
        <f t="shared" ca="1" si="392"/>
        <v>19578</v>
      </c>
      <c r="GW71">
        <f t="shared" ca="1" si="393"/>
        <v>0</v>
      </c>
      <c r="GX71">
        <f t="shared" ca="1" si="394"/>
        <v>0</v>
      </c>
      <c r="GY71">
        <f t="shared" ca="1" si="395"/>
        <v>0</v>
      </c>
    </row>
    <row r="72" spans="1:207" x14ac:dyDescent="0.25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1"/>
        <v>6800</v>
      </c>
      <c r="I72">
        <f>_xlfn.XLOOKUP(B72,'[1]march-2026'!$A:$A,'[1]march-2026'!$C:$C,0,0)</f>
        <v>38800</v>
      </c>
      <c r="J72">
        <f t="shared" si="396"/>
        <v>6984</v>
      </c>
      <c r="K72">
        <f t="shared" si="292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3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4"/>
        <v>200</v>
      </c>
      <c r="R72">
        <f t="shared" si="295"/>
        <v>43740</v>
      </c>
      <c r="S72">
        <f>_xlfn.XLOOKUP(B72,'[2]april-2026'!$A:$A,'[2]april-2026'!$C:$C,0,0)</f>
        <v>38800</v>
      </c>
      <c r="T72">
        <f t="shared" si="296"/>
        <v>6984</v>
      </c>
      <c r="U72">
        <f t="shared" si="297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298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299"/>
        <v>200</v>
      </c>
      <c r="AB72">
        <f t="shared" si="300"/>
        <v>43740</v>
      </c>
      <c r="AC72">
        <f>_xlfn.XLOOKUP(B72,'[3]may-2026'!$A:$A,'[3]may-2026'!$C:$C,0,0)</f>
        <v>38800</v>
      </c>
      <c r="AD72">
        <f t="shared" si="301"/>
        <v>6984</v>
      </c>
      <c r="AE72">
        <f t="shared" si="302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3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4"/>
        <v>200</v>
      </c>
      <c r="AL72">
        <f t="shared" si="305"/>
        <v>43740</v>
      </c>
      <c r="AM72">
        <f>_xlfn.XLOOKUP(B72,'[4]june-2026'!$A:$A,'[4]june-2026'!$C:$C,0,0)</f>
        <v>38800</v>
      </c>
      <c r="AN72">
        <f t="shared" si="306"/>
        <v>6984</v>
      </c>
      <c r="AO72">
        <f t="shared" si="307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08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09"/>
        <v>200</v>
      </c>
      <c r="AV72">
        <f t="shared" si="310"/>
        <v>43740</v>
      </c>
      <c r="AW72">
        <f>_xlfn.XLOOKUP(B72,'[5]july-2026'!$A:$A,'[5]july-2026'!$C:$C,0,0)</f>
        <v>40000</v>
      </c>
      <c r="AX72">
        <f t="shared" si="311"/>
        <v>7200</v>
      </c>
      <c r="AY72">
        <v>70</v>
      </c>
      <c r="AZ72">
        <f t="shared" si="312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3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4"/>
        <v>200</v>
      </c>
      <c r="BG72">
        <f t="shared" si="315"/>
        <v>45370</v>
      </c>
      <c r="BH72">
        <f>_xlfn.XLOOKUP(B72,'[6]august-2026'!$A:$A,'[6]august-2026'!$C:$C,0,0)</f>
        <v>40000</v>
      </c>
      <c r="BI72">
        <f t="shared" si="316"/>
        <v>7200</v>
      </c>
      <c r="BJ72">
        <f t="shared" si="317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18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19"/>
        <v>200</v>
      </c>
      <c r="BQ72">
        <f t="shared" si="320"/>
        <v>45300</v>
      </c>
      <c r="BR72">
        <f>_xlfn.XLOOKUP(B72,'[7]september-2026'!$A:$A,'[7]september-2026'!$C:$C,0,0)</f>
        <v>40000</v>
      </c>
      <c r="BS72">
        <f t="shared" si="321"/>
        <v>7200</v>
      </c>
      <c r="BT72">
        <f t="shared" si="322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3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4"/>
        <v>200</v>
      </c>
      <c r="CA72">
        <f t="shared" si="325"/>
        <v>45300</v>
      </c>
      <c r="CB72">
        <f>_xlfn.XLOOKUP(B72,'[8]october-2026'!$A:$A,'[8]october-2026'!$C:$C,0,0)</f>
        <v>40000</v>
      </c>
      <c r="CC72">
        <f t="shared" si="326"/>
        <v>7200</v>
      </c>
      <c r="CD72">
        <f t="shared" si="327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28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29"/>
        <v>200</v>
      </c>
      <c r="CK72">
        <f t="shared" si="330"/>
        <v>45300</v>
      </c>
      <c r="CL72">
        <f>_xlfn.XLOOKUP(B72,'[9]november-2026'!$A:$A,'[9]november-2026'!$C:$C,0,0)</f>
        <v>40000</v>
      </c>
      <c r="CM72">
        <f t="shared" si="331"/>
        <v>7200</v>
      </c>
      <c r="CN72">
        <f t="shared" si="332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3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4"/>
        <v>200</v>
      </c>
      <c r="CU72">
        <f t="shared" si="335"/>
        <v>45300</v>
      </c>
      <c r="CV72">
        <f>_xlfn.XLOOKUP(B72,'[10]december-2026'!$A:$A,'[10]december-2026'!$C:$C,0,0)</f>
        <v>40000</v>
      </c>
      <c r="CW72">
        <f t="shared" si="336"/>
        <v>7200</v>
      </c>
      <c r="CX72">
        <f t="shared" si="337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38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39"/>
        <v>200</v>
      </c>
      <c r="DE72">
        <f t="shared" si="340"/>
        <v>45300</v>
      </c>
      <c r="DF72">
        <f xml:space="preserve"> _xlfn.XLOOKUP(B72,
'[11]january-2027'!$A:$A,
'[11]january-2027'!$C:$C,
0,0)</f>
        <v>40000</v>
      </c>
      <c r="DG72">
        <f t="shared" si="341"/>
        <v>7200</v>
      </c>
      <c r="DH72">
        <f t="shared" si="342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3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4"/>
        <v>200</v>
      </c>
      <c r="DO72">
        <f t="shared" si="345"/>
        <v>45300</v>
      </c>
      <c r="DP72">
        <f xml:space="preserve"> _xlfn.XLOOKUP(B72,
'[12]february-2027'!$A:$A,
'[12]february-2027'!$C:$C,
0,0)</f>
        <v>40000</v>
      </c>
      <c r="DQ72">
        <f t="shared" si="346"/>
        <v>7200</v>
      </c>
      <c r="DR72">
        <f t="shared" si="347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48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49"/>
        <v>200</v>
      </c>
      <c r="DY72">
        <f t="shared" si="350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1"/>
        <v>0</v>
      </c>
      <c r="EM72">
        <f t="shared" si="352"/>
        <v>630630</v>
      </c>
      <c r="EN72">
        <f t="shared" si="353"/>
        <v>2400</v>
      </c>
      <c r="EO72">
        <f t="shared" si="354"/>
        <v>50000</v>
      </c>
      <c r="EP72">
        <v>0</v>
      </c>
      <c r="EQ72">
        <f t="shared" si="355"/>
        <v>578230</v>
      </c>
      <c r="ER72">
        <f t="shared" si="356"/>
        <v>84000</v>
      </c>
      <c r="ES72">
        <f t="shared" si="357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58"/>
        <v>84000</v>
      </c>
      <c r="FE72">
        <f t="shared" si="359"/>
        <v>84000</v>
      </c>
      <c r="FF72">
        <f t="shared" si="360"/>
        <v>494230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>SUM(FG72:FM72)+(IF(F72="YES",50000,0))</f>
        <v>0</v>
      </c>
      <c r="FO72">
        <f t="shared" si="361"/>
        <v>494230</v>
      </c>
      <c r="FP72">
        <f t="shared" si="362"/>
        <v>12212</v>
      </c>
      <c r="FQ72">
        <f t="shared" si="363"/>
        <v>0</v>
      </c>
      <c r="FR72">
        <f t="shared" si="364"/>
        <v>12212</v>
      </c>
      <c r="FS72">
        <f t="shared" si="365"/>
        <v>0</v>
      </c>
      <c r="FT72">
        <f t="shared" si="366"/>
        <v>0</v>
      </c>
      <c r="FU72">
        <f t="shared" si="367"/>
        <v>0</v>
      </c>
      <c r="FV72">
        <v>0</v>
      </c>
      <c r="FW72">
        <f t="shared" si="368"/>
        <v>0</v>
      </c>
      <c r="FX72" t="b">
        <f t="shared" si="369"/>
        <v>1</v>
      </c>
      <c r="FY72">
        <f t="shared" ca="1" si="370"/>
        <v>707</v>
      </c>
      <c r="FZ72">
        <f t="shared" ca="1" si="371"/>
        <v>631337</v>
      </c>
      <c r="GA72">
        <f t="shared" si="372"/>
        <v>75000</v>
      </c>
      <c r="GB72">
        <f t="shared" ca="1" si="373"/>
        <v>556337</v>
      </c>
      <c r="GC72">
        <f t="shared" ca="1" si="374"/>
        <v>0</v>
      </c>
      <c r="GD72">
        <f t="shared" ca="1" si="375"/>
        <v>0</v>
      </c>
      <c r="GE72">
        <f t="shared" ca="1" si="376"/>
        <v>0</v>
      </c>
      <c r="GF72">
        <f t="shared" ca="1" si="377"/>
        <v>0</v>
      </c>
      <c r="GG72">
        <f t="shared" ca="1" si="378"/>
        <v>0</v>
      </c>
      <c r="GH72">
        <f t="shared" ca="1" si="379"/>
        <v>0</v>
      </c>
      <c r="GI72">
        <f ca="1">IF(GB72&gt;1200000,GB72-1200000-IF(F72="YES",50000,0)-GG72,0)</f>
        <v>0</v>
      </c>
      <c r="GJ72">
        <f t="shared" ca="1" si="380"/>
        <v>0</v>
      </c>
      <c r="GK72">
        <f t="shared" ca="1" si="381"/>
        <v>0</v>
      </c>
      <c r="GL72">
        <f t="shared" ca="1" si="382"/>
        <v>0</v>
      </c>
      <c r="GM72">
        <f t="shared" ca="1" si="383"/>
        <v>156337</v>
      </c>
      <c r="GN72">
        <f t="shared" ca="1" si="384"/>
        <v>7816.85</v>
      </c>
      <c r="GO72">
        <f t="shared" ca="1" si="385"/>
        <v>7817</v>
      </c>
      <c r="GP72">
        <f t="shared" ca="1" si="386"/>
        <v>0</v>
      </c>
      <c r="GQ72">
        <f t="shared" ca="1" si="387"/>
        <v>0</v>
      </c>
      <c r="GR72">
        <f t="shared" ca="1" si="388"/>
        <v>7817</v>
      </c>
      <c r="GS72">
        <f t="shared" ca="1" si="389"/>
        <v>0</v>
      </c>
      <c r="GT72" t="b">
        <f t="shared" ca="1" si="390"/>
        <v>0</v>
      </c>
      <c r="GU72">
        <f t="shared" ca="1" si="391"/>
        <v>0</v>
      </c>
      <c r="GV72">
        <f t="shared" ca="1" si="392"/>
        <v>7817</v>
      </c>
      <c r="GW72">
        <f t="shared" ca="1" si="393"/>
        <v>0</v>
      </c>
      <c r="GX72">
        <f t="shared" ca="1" si="394"/>
        <v>0</v>
      </c>
      <c r="GY72">
        <f t="shared" ca="1" si="395"/>
        <v>0</v>
      </c>
    </row>
    <row r="73" spans="1:207" x14ac:dyDescent="0.25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1"/>
        <v>6800</v>
      </c>
      <c r="I73">
        <f>_xlfn.XLOOKUP(B73,'[1]march-2026'!$A:$A,'[1]march-2026'!$C:$C,0,0)</f>
        <v>53300</v>
      </c>
      <c r="J73">
        <f t="shared" si="396"/>
        <v>9594</v>
      </c>
      <c r="K73">
        <f t="shared" si="292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3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4"/>
        <v>200</v>
      </c>
      <c r="R73">
        <f t="shared" si="295"/>
        <v>65990</v>
      </c>
      <c r="S73">
        <f>_xlfn.XLOOKUP(B73,'[2]april-2026'!$A:$A,'[2]april-2026'!$C:$C,0,0)</f>
        <v>53300</v>
      </c>
      <c r="T73">
        <f t="shared" si="296"/>
        <v>9594</v>
      </c>
      <c r="U73">
        <f t="shared" si="297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298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299"/>
        <v>200</v>
      </c>
      <c r="AB73">
        <f t="shared" si="300"/>
        <v>65990</v>
      </c>
      <c r="AC73">
        <f>_xlfn.XLOOKUP(B73,'[3]may-2026'!$A:$A,'[3]may-2026'!$C:$C,0,0)</f>
        <v>53300</v>
      </c>
      <c r="AD73">
        <f t="shared" si="301"/>
        <v>9594</v>
      </c>
      <c r="AE73">
        <f t="shared" si="302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3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4"/>
        <v>200</v>
      </c>
      <c r="AL73">
        <f t="shared" si="305"/>
        <v>65990</v>
      </c>
      <c r="AM73">
        <f>_xlfn.XLOOKUP(B73,'[4]june-2026'!$A:$A,'[4]june-2026'!$C:$C,0,0)</f>
        <v>53300</v>
      </c>
      <c r="AN73">
        <f t="shared" si="306"/>
        <v>9594</v>
      </c>
      <c r="AO73">
        <f t="shared" si="307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08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09"/>
        <v>200</v>
      </c>
      <c r="AV73">
        <f t="shared" si="310"/>
        <v>65990</v>
      </c>
      <c r="AW73">
        <f>_xlfn.XLOOKUP(B73,'[5]july-2026'!$A:$A,'[5]july-2026'!$C:$C,0,0)</f>
        <v>54900</v>
      </c>
      <c r="AX73">
        <f t="shared" si="311"/>
        <v>9882</v>
      </c>
      <c r="AY73">
        <v>71</v>
      </c>
      <c r="AZ73">
        <f t="shared" si="312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3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4"/>
        <v>200</v>
      </c>
      <c r="BG73">
        <f t="shared" si="315"/>
        <v>68141</v>
      </c>
      <c r="BH73">
        <f>_xlfn.XLOOKUP(B73,'[6]august-2026'!$A:$A,'[6]august-2026'!$C:$C,0,0)</f>
        <v>54900</v>
      </c>
      <c r="BI73">
        <f t="shared" si="316"/>
        <v>9882</v>
      </c>
      <c r="BJ73">
        <f t="shared" si="317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18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19"/>
        <v>200</v>
      </c>
      <c r="BQ73">
        <f t="shared" si="320"/>
        <v>68070</v>
      </c>
      <c r="BR73">
        <f>_xlfn.XLOOKUP(B73,'[7]september-2026'!$A:$A,'[7]september-2026'!$C:$C,0,0)</f>
        <v>54900</v>
      </c>
      <c r="BS73">
        <f t="shared" si="321"/>
        <v>9882</v>
      </c>
      <c r="BT73">
        <f t="shared" si="322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3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4"/>
        <v>200</v>
      </c>
      <c r="CA73">
        <f t="shared" si="325"/>
        <v>68070</v>
      </c>
      <c r="CB73">
        <f>_xlfn.XLOOKUP(B73,'[8]october-2026'!$A:$A,'[8]october-2026'!$C:$C,0,0)</f>
        <v>54900</v>
      </c>
      <c r="CC73">
        <f t="shared" si="326"/>
        <v>9882</v>
      </c>
      <c r="CD73">
        <f t="shared" si="327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28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29"/>
        <v>200</v>
      </c>
      <c r="CK73">
        <f t="shared" si="330"/>
        <v>68070</v>
      </c>
      <c r="CL73">
        <f>_xlfn.XLOOKUP(B73,'[9]november-2026'!$A:$A,'[9]november-2026'!$C:$C,0,0)</f>
        <v>54900</v>
      </c>
      <c r="CM73">
        <f t="shared" si="331"/>
        <v>9882</v>
      </c>
      <c r="CN73">
        <f t="shared" si="332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3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4"/>
        <v>200</v>
      </c>
      <c r="CU73">
        <f t="shared" si="335"/>
        <v>68070</v>
      </c>
      <c r="CV73">
        <f>_xlfn.XLOOKUP(B73,'[10]december-2026'!$A:$A,'[10]december-2026'!$C:$C,0,0)</f>
        <v>54900</v>
      </c>
      <c r="CW73">
        <f t="shared" si="336"/>
        <v>9882</v>
      </c>
      <c r="CX73">
        <f t="shared" si="337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38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39"/>
        <v>200</v>
      </c>
      <c r="DE73">
        <f t="shared" si="340"/>
        <v>68070</v>
      </c>
      <c r="DF73">
        <f xml:space="preserve"> _xlfn.XLOOKUP(B73,
'[11]january-2027'!$A:$A,
'[11]january-2027'!$C:$C,
0,0)</f>
        <v>54900</v>
      </c>
      <c r="DG73">
        <f t="shared" si="341"/>
        <v>9882</v>
      </c>
      <c r="DH73">
        <f t="shared" si="342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3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4"/>
        <v>200</v>
      </c>
      <c r="DO73">
        <f t="shared" si="345"/>
        <v>68070</v>
      </c>
      <c r="DP73">
        <f xml:space="preserve"> _xlfn.XLOOKUP(B73,
'[12]february-2027'!$A:$A,
'[12]february-2027'!$C:$C,
0,0)</f>
        <v>54900</v>
      </c>
      <c r="DQ73">
        <f t="shared" si="346"/>
        <v>9882</v>
      </c>
      <c r="DR73">
        <f t="shared" si="347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48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49"/>
        <v>200</v>
      </c>
      <c r="DY73">
        <f t="shared" si="350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1"/>
        <v>0</v>
      </c>
      <c r="EM73">
        <f t="shared" si="352"/>
        <v>865791</v>
      </c>
      <c r="EN73">
        <f t="shared" si="353"/>
        <v>2400</v>
      </c>
      <c r="EO73">
        <f t="shared" si="354"/>
        <v>50000</v>
      </c>
      <c r="EP73">
        <v>0</v>
      </c>
      <c r="EQ73">
        <f t="shared" si="355"/>
        <v>813391</v>
      </c>
      <c r="ER73">
        <f t="shared" si="356"/>
        <v>48000</v>
      </c>
      <c r="ES73">
        <f t="shared" si="357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58"/>
        <v>48000</v>
      </c>
      <c r="FE73">
        <f t="shared" si="359"/>
        <v>48000</v>
      </c>
      <c r="FF73">
        <f t="shared" si="360"/>
        <v>765391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>SUM(FG73:FM73)+(IF(F73="YES",50000,0))</f>
        <v>0</v>
      </c>
      <c r="FO73">
        <f t="shared" si="361"/>
        <v>765391</v>
      </c>
      <c r="FP73">
        <f t="shared" si="362"/>
        <v>12500</v>
      </c>
      <c r="FQ73">
        <f t="shared" si="363"/>
        <v>53078</v>
      </c>
      <c r="FR73">
        <f t="shared" si="364"/>
        <v>65578</v>
      </c>
      <c r="FS73">
        <f t="shared" si="365"/>
        <v>65578</v>
      </c>
      <c r="FT73">
        <f t="shared" si="366"/>
        <v>2623.12</v>
      </c>
      <c r="FU73">
        <f t="shared" si="367"/>
        <v>68201</v>
      </c>
      <c r="FV73">
        <v>0</v>
      </c>
      <c r="FW73">
        <f t="shared" si="368"/>
        <v>68201</v>
      </c>
      <c r="FX73" t="b">
        <f t="shared" si="369"/>
        <v>1</v>
      </c>
      <c r="FY73">
        <f t="shared" ca="1" si="370"/>
        <v>837</v>
      </c>
      <c r="FZ73">
        <f t="shared" ca="1" si="371"/>
        <v>866628</v>
      </c>
      <c r="GA73">
        <f t="shared" si="372"/>
        <v>75000</v>
      </c>
      <c r="GB73">
        <f t="shared" ca="1" si="373"/>
        <v>791628</v>
      </c>
      <c r="GC73">
        <f t="shared" ca="1" si="374"/>
        <v>0</v>
      </c>
      <c r="GD73">
        <f t="shared" ca="1" si="375"/>
        <v>0</v>
      </c>
      <c r="GE73">
        <f t="shared" ca="1" si="376"/>
        <v>0</v>
      </c>
      <c r="GF73">
        <f t="shared" ca="1" si="377"/>
        <v>0</v>
      </c>
      <c r="GG73">
        <f t="shared" ca="1" si="378"/>
        <v>0</v>
      </c>
      <c r="GH73">
        <f t="shared" ca="1" si="379"/>
        <v>0</v>
      </c>
      <c r="GI73">
        <f ca="1">IF(GB73&gt;1200000,GB73-1200000-IF(F73="YES",50000,0)-GG73,0)</f>
        <v>0</v>
      </c>
      <c r="GJ73">
        <f t="shared" ca="1" si="380"/>
        <v>0</v>
      </c>
      <c r="GK73">
        <f t="shared" ca="1" si="381"/>
        <v>0</v>
      </c>
      <c r="GL73">
        <f t="shared" ca="1" si="382"/>
        <v>0</v>
      </c>
      <c r="GM73">
        <f t="shared" ca="1" si="383"/>
        <v>391628</v>
      </c>
      <c r="GN73">
        <f t="shared" ca="1" si="384"/>
        <v>19581.400000000001</v>
      </c>
      <c r="GO73">
        <f t="shared" ca="1" si="385"/>
        <v>19581</v>
      </c>
      <c r="GP73">
        <f t="shared" ca="1" si="386"/>
        <v>0</v>
      </c>
      <c r="GQ73">
        <f t="shared" ca="1" si="387"/>
        <v>0</v>
      </c>
      <c r="GR73">
        <f t="shared" ca="1" si="388"/>
        <v>19581</v>
      </c>
      <c r="GS73">
        <f t="shared" ca="1" si="389"/>
        <v>0</v>
      </c>
      <c r="GT73" t="b">
        <f t="shared" ca="1" si="390"/>
        <v>0</v>
      </c>
      <c r="GU73">
        <f t="shared" ca="1" si="391"/>
        <v>0</v>
      </c>
      <c r="GV73">
        <f t="shared" ca="1" si="392"/>
        <v>19581</v>
      </c>
      <c r="GW73">
        <f t="shared" ca="1" si="393"/>
        <v>0</v>
      </c>
      <c r="GX73">
        <f t="shared" ca="1" si="394"/>
        <v>0</v>
      </c>
      <c r="GY73">
        <f t="shared" ca="1" si="395"/>
        <v>0</v>
      </c>
    </row>
    <row r="74" spans="1:207" x14ac:dyDescent="0.25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1"/>
        <v>6800</v>
      </c>
      <c r="I74">
        <f>_xlfn.XLOOKUP(B74,'[1]march-2026'!$A:$A,'[1]march-2026'!$C:$C,0,0)</f>
        <v>35500</v>
      </c>
      <c r="J74">
        <f t="shared" si="396"/>
        <v>6390</v>
      </c>
      <c r="K74">
        <f t="shared" si="292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3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4"/>
        <v>200</v>
      </c>
      <c r="R74">
        <f t="shared" si="295"/>
        <v>43950</v>
      </c>
      <c r="S74">
        <f>_xlfn.XLOOKUP(B74,'[2]april-2026'!$A:$A,'[2]april-2026'!$C:$C,0,0)</f>
        <v>35500</v>
      </c>
      <c r="T74">
        <f t="shared" si="296"/>
        <v>6390</v>
      </c>
      <c r="U74">
        <f t="shared" si="297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298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299"/>
        <v>200</v>
      </c>
      <c r="AB74">
        <f t="shared" si="300"/>
        <v>43950</v>
      </c>
      <c r="AC74">
        <f>_xlfn.XLOOKUP(B74,'[3]may-2026'!$A:$A,'[3]may-2026'!$C:$C,0,0)</f>
        <v>35500</v>
      </c>
      <c r="AD74">
        <f t="shared" si="301"/>
        <v>6390</v>
      </c>
      <c r="AE74">
        <f t="shared" si="302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3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4"/>
        <v>200</v>
      </c>
      <c r="AL74">
        <f t="shared" si="305"/>
        <v>43950</v>
      </c>
      <c r="AM74">
        <f>_xlfn.XLOOKUP(B74,'[4]june-2026'!$A:$A,'[4]june-2026'!$C:$C,0,0)</f>
        <v>35500</v>
      </c>
      <c r="AN74">
        <f t="shared" si="306"/>
        <v>6390</v>
      </c>
      <c r="AO74">
        <f t="shared" si="307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08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09"/>
        <v>200</v>
      </c>
      <c r="AV74">
        <f t="shared" si="310"/>
        <v>43950</v>
      </c>
      <c r="AW74">
        <f>_xlfn.XLOOKUP(B74,'[5]july-2026'!$A:$A,'[5]july-2026'!$C:$C,0,0)</f>
        <v>36600</v>
      </c>
      <c r="AX74">
        <f t="shared" si="311"/>
        <v>6588</v>
      </c>
      <c r="AY74">
        <v>72</v>
      </c>
      <c r="AZ74">
        <f t="shared" si="312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3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4"/>
        <v>200</v>
      </c>
      <c r="BG74">
        <f t="shared" si="315"/>
        <v>45452</v>
      </c>
      <c r="BH74">
        <f>_xlfn.XLOOKUP(B74,'[6]august-2026'!$A:$A,'[6]august-2026'!$C:$C,0,0)</f>
        <v>36600</v>
      </c>
      <c r="BI74">
        <f t="shared" si="316"/>
        <v>6588</v>
      </c>
      <c r="BJ74">
        <f t="shared" si="317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18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19"/>
        <v>200</v>
      </c>
      <c r="BQ74">
        <f t="shared" si="320"/>
        <v>45380</v>
      </c>
      <c r="BR74">
        <f>_xlfn.XLOOKUP(B74,'[7]september-2026'!$A:$A,'[7]september-2026'!$C:$C,0,0)</f>
        <v>36600</v>
      </c>
      <c r="BS74">
        <f t="shared" si="321"/>
        <v>6588</v>
      </c>
      <c r="BT74">
        <f t="shared" si="322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3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4"/>
        <v>200</v>
      </c>
      <c r="CA74">
        <f t="shared" si="325"/>
        <v>45380</v>
      </c>
      <c r="CB74">
        <f>_xlfn.XLOOKUP(B74,'[8]october-2026'!$A:$A,'[8]october-2026'!$C:$C,0,0)</f>
        <v>36600</v>
      </c>
      <c r="CC74">
        <f t="shared" si="326"/>
        <v>6588</v>
      </c>
      <c r="CD74">
        <f t="shared" si="327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28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29"/>
        <v>200</v>
      </c>
      <c r="CK74">
        <f t="shared" si="330"/>
        <v>45380</v>
      </c>
      <c r="CL74">
        <f>_xlfn.XLOOKUP(B74,'[9]november-2026'!$A:$A,'[9]november-2026'!$C:$C,0,0)</f>
        <v>36600</v>
      </c>
      <c r="CM74">
        <f t="shared" si="331"/>
        <v>6588</v>
      </c>
      <c r="CN74">
        <f t="shared" si="332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3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4"/>
        <v>200</v>
      </c>
      <c r="CU74">
        <f t="shared" si="335"/>
        <v>45380</v>
      </c>
      <c r="CV74">
        <f>_xlfn.XLOOKUP(B74,'[10]december-2026'!$A:$A,'[10]december-2026'!$C:$C,0,0)</f>
        <v>36600</v>
      </c>
      <c r="CW74">
        <f t="shared" si="336"/>
        <v>6588</v>
      </c>
      <c r="CX74">
        <f t="shared" si="337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38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39"/>
        <v>200</v>
      </c>
      <c r="DE74">
        <f t="shared" si="340"/>
        <v>45380</v>
      </c>
      <c r="DF74">
        <f xml:space="preserve"> _xlfn.XLOOKUP(B74,
'[11]january-2027'!$A:$A,
'[11]january-2027'!$C:$C,
0,0)</f>
        <v>36600</v>
      </c>
      <c r="DG74">
        <f t="shared" si="341"/>
        <v>6588</v>
      </c>
      <c r="DH74">
        <f t="shared" si="342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3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4"/>
        <v>200</v>
      </c>
      <c r="DO74">
        <f t="shared" si="345"/>
        <v>45380</v>
      </c>
      <c r="DP74">
        <f xml:space="preserve"> _xlfn.XLOOKUP(B74,
'[12]february-2027'!$A:$A,
'[12]february-2027'!$C:$C,
0,0)</f>
        <v>36600</v>
      </c>
      <c r="DQ74">
        <f t="shared" si="346"/>
        <v>6588</v>
      </c>
      <c r="DR74">
        <f t="shared" si="347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48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49"/>
        <v>200</v>
      </c>
      <c r="DY74">
        <f t="shared" si="350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1"/>
        <v>0</v>
      </c>
      <c r="EM74">
        <f t="shared" si="352"/>
        <v>578112</v>
      </c>
      <c r="EN74">
        <f t="shared" si="353"/>
        <v>2400</v>
      </c>
      <c r="EO74">
        <f t="shared" si="354"/>
        <v>50000</v>
      </c>
      <c r="EP74">
        <v>0</v>
      </c>
      <c r="EQ74">
        <f t="shared" si="355"/>
        <v>525712</v>
      </c>
      <c r="ER74">
        <f t="shared" si="356"/>
        <v>30000</v>
      </c>
      <c r="ES74">
        <f t="shared" si="357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58"/>
        <v>30000</v>
      </c>
      <c r="FE74">
        <f t="shared" si="359"/>
        <v>30000</v>
      </c>
      <c r="FF74">
        <f t="shared" si="360"/>
        <v>495712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>SUM(FG74:FM74)+(IF(F74="YES",50000,0))</f>
        <v>0</v>
      </c>
      <c r="FO74">
        <f t="shared" si="361"/>
        <v>495712</v>
      </c>
      <c r="FP74">
        <f t="shared" si="362"/>
        <v>12286</v>
      </c>
      <c r="FQ74">
        <f t="shared" si="363"/>
        <v>0</v>
      </c>
      <c r="FR74">
        <f t="shared" si="364"/>
        <v>12286</v>
      </c>
      <c r="FS74">
        <f t="shared" si="365"/>
        <v>0</v>
      </c>
      <c r="FT74">
        <f t="shared" si="366"/>
        <v>0</v>
      </c>
      <c r="FU74">
        <f t="shared" si="367"/>
        <v>0</v>
      </c>
      <c r="FV74">
        <v>0</v>
      </c>
      <c r="FW74">
        <f t="shared" si="368"/>
        <v>0</v>
      </c>
      <c r="FX74" t="b">
        <f t="shared" si="369"/>
        <v>1</v>
      </c>
      <c r="FY74">
        <f t="shared" ca="1" si="370"/>
        <v>693</v>
      </c>
      <c r="FZ74">
        <f t="shared" ca="1" si="371"/>
        <v>578805</v>
      </c>
      <c r="GA74">
        <f t="shared" si="372"/>
        <v>75000</v>
      </c>
      <c r="GB74">
        <f t="shared" ca="1" si="373"/>
        <v>503805</v>
      </c>
      <c r="GC74">
        <f t="shared" ca="1" si="374"/>
        <v>0</v>
      </c>
      <c r="GD74">
        <f t="shared" ca="1" si="375"/>
        <v>0</v>
      </c>
      <c r="GE74">
        <f t="shared" ca="1" si="376"/>
        <v>0</v>
      </c>
      <c r="GF74">
        <f t="shared" ca="1" si="377"/>
        <v>0</v>
      </c>
      <c r="GG74">
        <f t="shared" ca="1" si="378"/>
        <v>0</v>
      </c>
      <c r="GH74">
        <f t="shared" ca="1" si="379"/>
        <v>0</v>
      </c>
      <c r="GI74">
        <f ca="1">IF(GB74&gt;1200000,GB74-1200000-IF(F74="YES",50000,0)-GG74,0)</f>
        <v>0</v>
      </c>
      <c r="GJ74">
        <f t="shared" ca="1" si="380"/>
        <v>0</v>
      </c>
      <c r="GK74">
        <f t="shared" ca="1" si="381"/>
        <v>0</v>
      </c>
      <c r="GL74">
        <f t="shared" ca="1" si="382"/>
        <v>0</v>
      </c>
      <c r="GM74">
        <f t="shared" ca="1" si="383"/>
        <v>103805</v>
      </c>
      <c r="GN74">
        <f t="shared" ca="1" si="384"/>
        <v>5190.25</v>
      </c>
      <c r="GO74">
        <f t="shared" ca="1" si="385"/>
        <v>5190</v>
      </c>
      <c r="GP74">
        <f t="shared" ca="1" si="386"/>
        <v>0</v>
      </c>
      <c r="GQ74">
        <f t="shared" ca="1" si="387"/>
        <v>0</v>
      </c>
      <c r="GR74">
        <f t="shared" ca="1" si="388"/>
        <v>5190</v>
      </c>
      <c r="GS74">
        <f t="shared" ca="1" si="389"/>
        <v>0</v>
      </c>
      <c r="GT74" t="b">
        <f t="shared" ca="1" si="390"/>
        <v>0</v>
      </c>
      <c r="GU74">
        <f t="shared" ca="1" si="391"/>
        <v>0</v>
      </c>
      <c r="GV74">
        <f t="shared" ca="1" si="392"/>
        <v>5190</v>
      </c>
      <c r="GW74">
        <f t="shared" ca="1" si="393"/>
        <v>0</v>
      </c>
      <c r="GX74">
        <f t="shared" ca="1" si="394"/>
        <v>0</v>
      </c>
      <c r="GY74">
        <f t="shared" ca="1" si="395"/>
        <v>0</v>
      </c>
    </row>
    <row r="75" spans="1:207" x14ac:dyDescent="0.25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1"/>
        <v>6800</v>
      </c>
      <c r="I75">
        <f>_xlfn.XLOOKUP(B75,'[1]march-2026'!$A:$A,'[1]march-2026'!$C:$C,0,0)</f>
        <v>35500</v>
      </c>
      <c r="J75">
        <f t="shared" si="396"/>
        <v>6390</v>
      </c>
      <c r="K75">
        <f t="shared" si="292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3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4"/>
        <v>200</v>
      </c>
      <c r="R75">
        <f t="shared" si="295"/>
        <v>43950</v>
      </c>
      <c r="S75">
        <f>_xlfn.XLOOKUP(B75,'[2]april-2026'!$A:$A,'[2]april-2026'!$C:$C,0,0)</f>
        <v>35500</v>
      </c>
      <c r="T75">
        <f t="shared" si="296"/>
        <v>6390</v>
      </c>
      <c r="U75">
        <f t="shared" si="297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298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299"/>
        <v>200</v>
      </c>
      <c r="AB75">
        <f t="shared" si="300"/>
        <v>43950</v>
      </c>
      <c r="AC75">
        <f>_xlfn.XLOOKUP(B75,'[3]may-2026'!$A:$A,'[3]may-2026'!$C:$C,0,0)</f>
        <v>35500</v>
      </c>
      <c r="AD75">
        <f t="shared" si="301"/>
        <v>6390</v>
      </c>
      <c r="AE75">
        <f t="shared" si="302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3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4"/>
        <v>200</v>
      </c>
      <c r="AL75">
        <f t="shared" si="305"/>
        <v>43950</v>
      </c>
      <c r="AM75">
        <f>_xlfn.XLOOKUP(B75,'[4]june-2026'!$A:$A,'[4]june-2026'!$C:$C,0,0)</f>
        <v>35500</v>
      </c>
      <c r="AN75">
        <f t="shared" si="306"/>
        <v>6390</v>
      </c>
      <c r="AO75">
        <f t="shared" si="307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08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09"/>
        <v>200</v>
      </c>
      <c r="AV75">
        <f t="shared" si="310"/>
        <v>43950</v>
      </c>
      <c r="AW75">
        <f>_xlfn.XLOOKUP(B75,'[5]july-2026'!$A:$A,'[5]july-2026'!$C:$C,0,0)</f>
        <v>36600</v>
      </c>
      <c r="AX75">
        <f t="shared" si="311"/>
        <v>6588</v>
      </c>
      <c r="AY75">
        <v>73</v>
      </c>
      <c r="AZ75">
        <f t="shared" si="312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3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4"/>
        <v>200</v>
      </c>
      <c r="BG75">
        <f t="shared" si="315"/>
        <v>45453</v>
      </c>
      <c r="BH75">
        <f>_xlfn.XLOOKUP(B75,'[6]august-2026'!$A:$A,'[6]august-2026'!$C:$C,0,0)</f>
        <v>36600</v>
      </c>
      <c r="BI75">
        <f t="shared" si="316"/>
        <v>6588</v>
      </c>
      <c r="BJ75">
        <f t="shared" si="317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18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19"/>
        <v>200</v>
      </c>
      <c r="BQ75">
        <f t="shared" si="320"/>
        <v>45380</v>
      </c>
      <c r="BR75">
        <f>_xlfn.XLOOKUP(B75,'[7]september-2026'!$A:$A,'[7]september-2026'!$C:$C,0,0)</f>
        <v>36600</v>
      </c>
      <c r="BS75">
        <f t="shared" si="321"/>
        <v>6588</v>
      </c>
      <c r="BT75">
        <f t="shared" si="322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3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4"/>
        <v>200</v>
      </c>
      <c r="CA75">
        <f t="shared" si="325"/>
        <v>45380</v>
      </c>
      <c r="CB75">
        <f>_xlfn.XLOOKUP(B75,'[8]october-2026'!$A:$A,'[8]october-2026'!$C:$C,0,0)</f>
        <v>36600</v>
      </c>
      <c r="CC75">
        <f t="shared" si="326"/>
        <v>6588</v>
      </c>
      <c r="CD75">
        <f t="shared" si="327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28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29"/>
        <v>200</v>
      </c>
      <c r="CK75">
        <f t="shared" si="330"/>
        <v>45380</v>
      </c>
      <c r="CL75">
        <f>_xlfn.XLOOKUP(B75,'[9]november-2026'!$A:$A,'[9]november-2026'!$C:$C,0,0)</f>
        <v>36600</v>
      </c>
      <c r="CM75">
        <f t="shared" si="331"/>
        <v>6588</v>
      </c>
      <c r="CN75">
        <f t="shared" si="332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3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4"/>
        <v>200</v>
      </c>
      <c r="CU75">
        <f t="shared" si="335"/>
        <v>45380</v>
      </c>
      <c r="CV75">
        <f>_xlfn.XLOOKUP(B75,'[10]december-2026'!$A:$A,'[10]december-2026'!$C:$C,0,0)</f>
        <v>36600</v>
      </c>
      <c r="CW75">
        <f t="shared" si="336"/>
        <v>6588</v>
      </c>
      <c r="CX75">
        <f t="shared" si="337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38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39"/>
        <v>200</v>
      </c>
      <c r="DE75">
        <f t="shared" si="340"/>
        <v>45380</v>
      </c>
      <c r="DF75">
        <f xml:space="preserve"> _xlfn.XLOOKUP(B75,
'[11]january-2027'!$A:$A,
'[11]january-2027'!$C:$C,
0,0)</f>
        <v>36600</v>
      </c>
      <c r="DG75">
        <f t="shared" si="341"/>
        <v>6588</v>
      </c>
      <c r="DH75">
        <f t="shared" si="342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3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4"/>
        <v>200</v>
      </c>
      <c r="DO75">
        <f t="shared" si="345"/>
        <v>45380</v>
      </c>
      <c r="DP75">
        <f xml:space="preserve"> _xlfn.XLOOKUP(B75,
'[12]february-2027'!$A:$A,
'[12]february-2027'!$C:$C,
0,0)</f>
        <v>36600</v>
      </c>
      <c r="DQ75">
        <f t="shared" si="346"/>
        <v>6588</v>
      </c>
      <c r="DR75">
        <f t="shared" si="347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48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49"/>
        <v>200</v>
      </c>
      <c r="DY75">
        <f t="shared" si="350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1"/>
        <v>0</v>
      </c>
      <c r="EM75">
        <f t="shared" si="352"/>
        <v>578113</v>
      </c>
      <c r="EN75">
        <f t="shared" si="353"/>
        <v>2400</v>
      </c>
      <c r="EO75">
        <f t="shared" si="354"/>
        <v>50000</v>
      </c>
      <c r="EP75">
        <v>0</v>
      </c>
      <c r="EQ75">
        <f t="shared" si="355"/>
        <v>525713</v>
      </c>
      <c r="ER75">
        <f t="shared" si="356"/>
        <v>30000</v>
      </c>
      <c r="ES75">
        <f t="shared" si="357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58"/>
        <v>30000</v>
      </c>
      <c r="FE75">
        <f t="shared" si="359"/>
        <v>30000</v>
      </c>
      <c r="FF75">
        <f t="shared" si="360"/>
        <v>495713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>SUM(FG75:FM75)+(IF(F75="YES",50000,0))</f>
        <v>0</v>
      </c>
      <c r="FO75">
        <f t="shared" si="361"/>
        <v>495713</v>
      </c>
      <c r="FP75">
        <f t="shared" si="362"/>
        <v>12286</v>
      </c>
      <c r="FQ75">
        <f t="shared" si="363"/>
        <v>0</v>
      </c>
      <c r="FR75">
        <f t="shared" si="364"/>
        <v>12286</v>
      </c>
      <c r="FS75">
        <f t="shared" si="365"/>
        <v>0</v>
      </c>
      <c r="FT75">
        <f t="shared" si="366"/>
        <v>0</v>
      </c>
      <c r="FU75">
        <f t="shared" si="367"/>
        <v>0</v>
      </c>
      <c r="FV75">
        <v>0</v>
      </c>
      <c r="FW75">
        <f t="shared" si="368"/>
        <v>0</v>
      </c>
      <c r="FX75" t="b">
        <f t="shared" si="369"/>
        <v>1</v>
      </c>
      <c r="FY75">
        <f t="shared" ca="1" si="370"/>
        <v>931</v>
      </c>
      <c r="FZ75">
        <f t="shared" ca="1" si="371"/>
        <v>579044</v>
      </c>
      <c r="GA75">
        <f t="shared" si="372"/>
        <v>75000</v>
      </c>
      <c r="GB75">
        <f t="shared" ca="1" si="373"/>
        <v>504044</v>
      </c>
      <c r="GC75">
        <f t="shared" ca="1" si="374"/>
        <v>0</v>
      </c>
      <c r="GD75">
        <f t="shared" ca="1" si="375"/>
        <v>0</v>
      </c>
      <c r="GE75">
        <f t="shared" ca="1" si="376"/>
        <v>0</v>
      </c>
      <c r="GF75">
        <f t="shared" ca="1" si="377"/>
        <v>0</v>
      </c>
      <c r="GG75">
        <f t="shared" ca="1" si="378"/>
        <v>0</v>
      </c>
      <c r="GH75">
        <f t="shared" ca="1" si="379"/>
        <v>0</v>
      </c>
      <c r="GI75">
        <f ca="1">IF(GB75&gt;1200000,GB75-1200000-IF(F75="YES",50000,0)-GG75,0)</f>
        <v>0</v>
      </c>
      <c r="GJ75">
        <f t="shared" ca="1" si="380"/>
        <v>0</v>
      </c>
      <c r="GK75">
        <f t="shared" ca="1" si="381"/>
        <v>0</v>
      </c>
      <c r="GL75">
        <f t="shared" ca="1" si="382"/>
        <v>0</v>
      </c>
      <c r="GM75">
        <f t="shared" ca="1" si="383"/>
        <v>104044</v>
      </c>
      <c r="GN75">
        <f t="shared" ca="1" si="384"/>
        <v>5202.2000000000007</v>
      </c>
      <c r="GO75">
        <f t="shared" ca="1" si="385"/>
        <v>5202</v>
      </c>
      <c r="GP75">
        <f t="shared" ca="1" si="386"/>
        <v>0</v>
      </c>
      <c r="GQ75">
        <f t="shared" ca="1" si="387"/>
        <v>0</v>
      </c>
      <c r="GR75">
        <f t="shared" ca="1" si="388"/>
        <v>5202</v>
      </c>
      <c r="GS75">
        <f t="shared" ca="1" si="389"/>
        <v>0</v>
      </c>
      <c r="GT75" t="b">
        <f t="shared" ca="1" si="390"/>
        <v>0</v>
      </c>
      <c r="GU75">
        <f t="shared" ca="1" si="391"/>
        <v>0</v>
      </c>
      <c r="GV75">
        <f t="shared" ca="1" si="392"/>
        <v>5202</v>
      </c>
      <c r="GW75">
        <f t="shared" ca="1" si="393"/>
        <v>0</v>
      </c>
      <c r="GX75">
        <f t="shared" ca="1" si="394"/>
        <v>0</v>
      </c>
      <c r="GY75">
        <f t="shared" ca="1" si="395"/>
        <v>0</v>
      </c>
    </row>
    <row r="76" spans="1:207" x14ac:dyDescent="0.25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1"/>
        <v>6800</v>
      </c>
      <c r="I76">
        <f>_xlfn.XLOOKUP(B76,'[1]march-2026'!$A:$A,'[1]march-2026'!$C:$C,0,0)</f>
        <v>51700</v>
      </c>
      <c r="J76">
        <f t="shared" si="396"/>
        <v>9306</v>
      </c>
      <c r="K76">
        <f t="shared" si="292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3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4"/>
        <v>200</v>
      </c>
      <c r="R76">
        <f t="shared" si="295"/>
        <v>61910</v>
      </c>
      <c r="S76">
        <f>_xlfn.XLOOKUP(B76,'[2]april-2026'!$A:$A,'[2]april-2026'!$C:$C,0,0)</f>
        <v>51700</v>
      </c>
      <c r="T76">
        <f t="shared" si="296"/>
        <v>9306</v>
      </c>
      <c r="U76">
        <f t="shared" si="297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298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299"/>
        <v>200</v>
      </c>
      <c r="AB76">
        <f t="shared" si="300"/>
        <v>61910</v>
      </c>
      <c r="AC76">
        <f>_xlfn.XLOOKUP(B76,'[3]may-2026'!$A:$A,'[3]may-2026'!$C:$C,0,0)</f>
        <v>51700</v>
      </c>
      <c r="AD76">
        <f t="shared" si="301"/>
        <v>9306</v>
      </c>
      <c r="AE76">
        <f t="shared" si="302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3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4"/>
        <v>200</v>
      </c>
      <c r="AL76">
        <f t="shared" si="305"/>
        <v>61910</v>
      </c>
      <c r="AM76">
        <f>_xlfn.XLOOKUP(B76,'[4]june-2026'!$A:$A,'[4]june-2026'!$C:$C,0,0)</f>
        <v>51700</v>
      </c>
      <c r="AN76">
        <f t="shared" si="306"/>
        <v>9306</v>
      </c>
      <c r="AO76">
        <f t="shared" si="307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08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09"/>
        <v>200</v>
      </c>
      <c r="AV76">
        <f t="shared" si="310"/>
        <v>61910</v>
      </c>
      <c r="AW76">
        <f>_xlfn.XLOOKUP(B76,'[5]july-2026'!$A:$A,'[5]july-2026'!$C:$C,0,0)</f>
        <v>53300</v>
      </c>
      <c r="AX76">
        <f t="shared" si="311"/>
        <v>9594</v>
      </c>
      <c r="AY76">
        <v>74</v>
      </c>
      <c r="AZ76">
        <f t="shared" si="312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3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4"/>
        <v>200</v>
      </c>
      <c r="BG76">
        <f t="shared" si="315"/>
        <v>64064</v>
      </c>
      <c r="BH76">
        <f>_xlfn.XLOOKUP(B76,'[6]august-2026'!$A:$A,'[6]august-2026'!$C:$C,0,0)</f>
        <v>53300</v>
      </c>
      <c r="BI76">
        <f t="shared" si="316"/>
        <v>9594</v>
      </c>
      <c r="BJ76">
        <f t="shared" si="317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18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19"/>
        <v>200</v>
      </c>
      <c r="BQ76">
        <f t="shared" si="320"/>
        <v>63990</v>
      </c>
      <c r="BR76">
        <f>_xlfn.XLOOKUP(B76,'[7]september-2026'!$A:$A,'[7]september-2026'!$C:$C,0,0)</f>
        <v>53300</v>
      </c>
      <c r="BS76">
        <f t="shared" si="321"/>
        <v>9594</v>
      </c>
      <c r="BT76">
        <f t="shared" si="322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3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4"/>
        <v>200</v>
      </c>
      <c r="CA76">
        <f t="shared" si="325"/>
        <v>63990</v>
      </c>
      <c r="CB76">
        <f>_xlfn.XLOOKUP(B76,'[8]october-2026'!$A:$A,'[8]october-2026'!$C:$C,0,0)</f>
        <v>53300</v>
      </c>
      <c r="CC76">
        <f t="shared" si="326"/>
        <v>9594</v>
      </c>
      <c r="CD76">
        <f t="shared" si="327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28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29"/>
        <v>200</v>
      </c>
      <c r="CK76">
        <f t="shared" si="330"/>
        <v>63990</v>
      </c>
      <c r="CL76">
        <f>_xlfn.XLOOKUP(B76,'[9]november-2026'!$A:$A,'[9]november-2026'!$C:$C,0,0)</f>
        <v>53300</v>
      </c>
      <c r="CM76">
        <f t="shared" si="331"/>
        <v>9594</v>
      </c>
      <c r="CN76">
        <f t="shared" si="332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3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4"/>
        <v>200</v>
      </c>
      <c r="CU76">
        <f t="shared" si="335"/>
        <v>63990</v>
      </c>
      <c r="CV76">
        <f>_xlfn.XLOOKUP(B76,'[10]december-2026'!$A:$A,'[10]december-2026'!$C:$C,0,0)</f>
        <v>53300</v>
      </c>
      <c r="CW76">
        <f t="shared" si="336"/>
        <v>9594</v>
      </c>
      <c r="CX76">
        <f t="shared" si="337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38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39"/>
        <v>200</v>
      </c>
      <c r="DE76">
        <f t="shared" si="340"/>
        <v>63990</v>
      </c>
      <c r="DF76">
        <f xml:space="preserve"> _xlfn.XLOOKUP(B76,
'[11]january-2027'!$A:$A,
'[11]january-2027'!$C:$C,
0,0)</f>
        <v>53300</v>
      </c>
      <c r="DG76">
        <f t="shared" si="341"/>
        <v>9594</v>
      </c>
      <c r="DH76">
        <f t="shared" si="342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3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4"/>
        <v>200</v>
      </c>
      <c r="DO76">
        <f t="shared" si="345"/>
        <v>63990</v>
      </c>
      <c r="DP76">
        <f xml:space="preserve"> _xlfn.XLOOKUP(B76,
'[12]february-2027'!$A:$A,
'[12]february-2027'!$C:$C,
0,0)</f>
        <v>53300</v>
      </c>
      <c r="DQ76">
        <f t="shared" si="346"/>
        <v>9594</v>
      </c>
      <c r="DR76">
        <f t="shared" si="347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48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49"/>
        <v>200</v>
      </c>
      <c r="DY76">
        <f t="shared" si="350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1"/>
        <v>0</v>
      </c>
      <c r="EM76">
        <f t="shared" si="352"/>
        <v>840834</v>
      </c>
      <c r="EN76">
        <f t="shared" si="353"/>
        <v>2400</v>
      </c>
      <c r="EO76">
        <f t="shared" si="354"/>
        <v>50000</v>
      </c>
      <c r="EP76">
        <v>0</v>
      </c>
      <c r="EQ76">
        <f t="shared" si="355"/>
        <v>788434</v>
      </c>
      <c r="ER76">
        <f t="shared" si="356"/>
        <v>72000</v>
      </c>
      <c r="ES76">
        <f t="shared" si="357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58"/>
        <v>72000</v>
      </c>
      <c r="FE76">
        <f t="shared" si="359"/>
        <v>72000</v>
      </c>
      <c r="FF76">
        <f t="shared" si="360"/>
        <v>716434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>SUM(FG76:FM76)+(IF(F76="YES",50000,0))</f>
        <v>0</v>
      </c>
      <c r="FO76">
        <f t="shared" si="361"/>
        <v>716434</v>
      </c>
      <c r="FP76">
        <f t="shared" si="362"/>
        <v>12500</v>
      </c>
      <c r="FQ76">
        <f t="shared" si="363"/>
        <v>43287</v>
      </c>
      <c r="FR76">
        <f t="shared" si="364"/>
        <v>55787</v>
      </c>
      <c r="FS76">
        <f t="shared" si="365"/>
        <v>55787</v>
      </c>
      <c r="FT76">
        <f t="shared" si="366"/>
        <v>2231.48</v>
      </c>
      <c r="FU76">
        <f t="shared" si="367"/>
        <v>58018</v>
      </c>
      <c r="FV76">
        <v>0</v>
      </c>
      <c r="FW76">
        <f t="shared" si="368"/>
        <v>58018</v>
      </c>
      <c r="FX76" t="b">
        <f t="shared" si="369"/>
        <v>1</v>
      </c>
      <c r="FY76">
        <f t="shared" ca="1" si="370"/>
        <v>977</v>
      </c>
      <c r="FZ76">
        <f t="shared" ca="1" si="371"/>
        <v>841811</v>
      </c>
      <c r="GA76">
        <f t="shared" si="372"/>
        <v>75000</v>
      </c>
      <c r="GB76">
        <f t="shared" ca="1" si="373"/>
        <v>766811</v>
      </c>
      <c r="GC76">
        <f t="shared" ca="1" si="374"/>
        <v>0</v>
      </c>
      <c r="GD76">
        <f t="shared" ca="1" si="375"/>
        <v>0</v>
      </c>
      <c r="GE76">
        <f t="shared" ca="1" si="376"/>
        <v>0</v>
      </c>
      <c r="GF76">
        <f t="shared" ca="1" si="377"/>
        <v>0</v>
      </c>
      <c r="GG76">
        <f t="shared" ca="1" si="378"/>
        <v>0</v>
      </c>
      <c r="GH76">
        <f t="shared" ca="1" si="379"/>
        <v>0</v>
      </c>
      <c r="GI76">
        <f ca="1">IF(GB76&gt;1200000,GB76-1200000-IF(F76="YES",50000,0)-GG76,0)</f>
        <v>0</v>
      </c>
      <c r="GJ76">
        <f t="shared" ca="1" si="380"/>
        <v>0</v>
      </c>
      <c r="GK76">
        <f t="shared" ca="1" si="381"/>
        <v>0</v>
      </c>
      <c r="GL76">
        <f t="shared" ca="1" si="382"/>
        <v>0</v>
      </c>
      <c r="GM76">
        <f t="shared" ca="1" si="383"/>
        <v>366811</v>
      </c>
      <c r="GN76">
        <f t="shared" ca="1" si="384"/>
        <v>18340.55</v>
      </c>
      <c r="GO76">
        <f t="shared" ca="1" si="385"/>
        <v>18341</v>
      </c>
      <c r="GP76">
        <f t="shared" ca="1" si="386"/>
        <v>0</v>
      </c>
      <c r="GQ76">
        <f t="shared" ca="1" si="387"/>
        <v>0</v>
      </c>
      <c r="GR76">
        <f t="shared" ca="1" si="388"/>
        <v>18341</v>
      </c>
      <c r="GS76">
        <f t="shared" ca="1" si="389"/>
        <v>0</v>
      </c>
      <c r="GT76" t="b">
        <f t="shared" ca="1" si="390"/>
        <v>0</v>
      </c>
      <c r="GU76">
        <f t="shared" ca="1" si="391"/>
        <v>0</v>
      </c>
      <c r="GV76">
        <f t="shared" ca="1" si="392"/>
        <v>18341</v>
      </c>
      <c r="GW76">
        <f t="shared" ca="1" si="393"/>
        <v>0</v>
      </c>
      <c r="GX76">
        <f t="shared" ca="1" si="394"/>
        <v>0</v>
      </c>
      <c r="GY76">
        <f t="shared" ca="1" si="395"/>
        <v>0</v>
      </c>
    </row>
    <row r="77" spans="1:207" x14ac:dyDescent="0.25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1"/>
        <v>6800</v>
      </c>
      <c r="I77">
        <f>_xlfn.XLOOKUP(B77,'[1]march-2026'!$A:$A,'[1]march-2026'!$C:$C,0,0)</f>
        <v>48700</v>
      </c>
      <c r="J77">
        <f t="shared" si="396"/>
        <v>8766</v>
      </c>
      <c r="K77">
        <f t="shared" si="292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3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4"/>
        <v>200</v>
      </c>
      <c r="R77">
        <f t="shared" si="295"/>
        <v>60110</v>
      </c>
      <c r="S77">
        <f>_xlfn.XLOOKUP(B77,'[2]april-2026'!$A:$A,'[2]april-2026'!$C:$C,0,0)</f>
        <v>48700</v>
      </c>
      <c r="T77">
        <f t="shared" si="296"/>
        <v>8766</v>
      </c>
      <c r="U77">
        <f t="shared" si="297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298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299"/>
        <v>200</v>
      </c>
      <c r="AB77">
        <f t="shared" si="300"/>
        <v>60110</v>
      </c>
      <c r="AC77">
        <f>_xlfn.XLOOKUP(B77,'[3]may-2026'!$A:$A,'[3]may-2026'!$C:$C,0,0)</f>
        <v>48700</v>
      </c>
      <c r="AD77">
        <f t="shared" si="301"/>
        <v>8766</v>
      </c>
      <c r="AE77">
        <f t="shared" si="302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3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4"/>
        <v>200</v>
      </c>
      <c r="AL77">
        <f t="shared" si="305"/>
        <v>60110</v>
      </c>
      <c r="AM77">
        <f>_xlfn.XLOOKUP(B77,'[4]june-2026'!$A:$A,'[4]june-2026'!$C:$C,0,0)</f>
        <v>48700</v>
      </c>
      <c r="AN77">
        <f t="shared" si="306"/>
        <v>8766</v>
      </c>
      <c r="AO77">
        <f t="shared" si="307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08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09"/>
        <v>200</v>
      </c>
      <c r="AV77">
        <f t="shared" si="310"/>
        <v>60110</v>
      </c>
      <c r="AW77">
        <f>_xlfn.XLOOKUP(B77,'[5]july-2026'!$A:$A,'[5]july-2026'!$C:$C,0,0)</f>
        <v>50200</v>
      </c>
      <c r="AX77">
        <f t="shared" si="311"/>
        <v>9036</v>
      </c>
      <c r="AY77">
        <v>75</v>
      </c>
      <c r="AZ77">
        <f t="shared" si="312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3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4"/>
        <v>200</v>
      </c>
      <c r="BG77">
        <f t="shared" si="315"/>
        <v>62135</v>
      </c>
      <c r="BH77">
        <f>_xlfn.XLOOKUP(B77,'[6]august-2026'!$A:$A,'[6]august-2026'!$C:$C,0,0)</f>
        <v>50200</v>
      </c>
      <c r="BI77">
        <f t="shared" si="316"/>
        <v>9036</v>
      </c>
      <c r="BJ77">
        <f t="shared" si="317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18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19"/>
        <v>200</v>
      </c>
      <c r="BQ77">
        <f t="shared" si="320"/>
        <v>62060</v>
      </c>
      <c r="BR77">
        <f>_xlfn.XLOOKUP(B77,'[7]september-2026'!$A:$A,'[7]september-2026'!$C:$C,0,0)</f>
        <v>50200</v>
      </c>
      <c r="BS77">
        <f t="shared" si="321"/>
        <v>9036</v>
      </c>
      <c r="BT77">
        <f t="shared" si="322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3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4"/>
        <v>200</v>
      </c>
      <c r="CA77">
        <f t="shared" si="325"/>
        <v>62060</v>
      </c>
      <c r="CB77">
        <f>_xlfn.XLOOKUP(B77,'[8]october-2026'!$A:$A,'[8]october-2026'!$C:$C,0,0)</f>
        <v>50200</v>
      </c>
      <c r="CC77">
        <f t="shared" si="326"/>
        <v>9036</v>
      </c>
      <c r="CD77">
        <f t="shared" si="327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28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29"/>
        <v>200</v>
      </c>
      <c r="CK77">
        <f t="shared" si="330"/>
        <v>62060</v>
      </c>
      <c r="CL77">
        <f>_xlfn.XLOOKUP(B77,'[9]november-2026'!$A:$A,'[9]november-2026'!$C:$C,0,0)</f>
        <v>50200</v>
      </c>
      <c r="CM77">
        <f t="shared" si="331"/>
        <v>9036</v>
      </c>
      <c r="CN77">
        <f t="shared" si="332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3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4"/>
        <v>200</v>
      </c>
      <c r="CU77">
        <f t="shared" si="335"/>
        <v>62060</v>
      </c>
      <c r="CV77">
        <f>_xlfn.XLOOKUP(B77,'[10]december-2026'!$A:$A,'[10]december-2026'!$C:$C,0,0)</f>
        <v>50200</v>
      </c>
      <c r="CW77">
        <f t="shared" si="336"/>
        <v>9036</v>
      </c>
      <c r="CX77">
        <f t="shared" si="337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38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39"/>
        <v>200</v>
      </c>
      <c r="DE77">
        <f t="shared" si="340"/>
        <v>62060</v>
      </c>
      <c r="DF77">
        <f xml:space="preserve"> _xlfn.XLOOKUP(B77,
'[11]january-2027'!$A:$A,
'[11]january-2027'!$C:$C,
0,0)</f>
        <v>50200</v>
      </c>
      <c r="DG77">
        <f t="shared" si="341"/>
        <v>9036</v>
      </c>
      <c r="DH77">
        <f t="shared" si="342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3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4"/>
        <v>200</v>
      </c>
      <c r="DO77">
        <f t="shared" si="345"/>
        <v>62060</v>
      </c>
      <c r="DP77">
        <f xml:space="preserve"> _xlfn.XLOOKUP(B77,
'[12]february-2027'!$A:$A,
'[12]february-2027'!$C:$C,
0,0)</f>
        <v>50200</v>
      </c>
      <c r="DQ77">
        <f t="shared" si="346"/>
        <v>9036</v>
      </c>
      <c r="DR77">
        <f t="shared" si="347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48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49"/>
        <v>200</v>
      </c>
      <c r="DY77">
        <f t="shared" si="350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1"/>
        <v>0</v>
      </c>
      <c r="EM77">
        <f t="shared" si="352"/>
        <v>782195</v>
      </c>
      <c r="EN77">
        <f t="shared" si="353"/>
        <v>2400</v>
      </c>
      <c r="EO77">
        <f t="shared" si="354"/>
        <v>50000</v>
      </c>
      <c r="EP77">
        <v>0</v>
      </c>
      <c r="EQ77">
        <f t="shared" si="355"/>
        <v>729795</v>
      </c>
      <c r="ER77">
        <f t="shared" si="356"/>
        <v>36000</v>
      </c>
      <c r="ES77">
        <f t="shared" si="357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58"/>
        <v>36000</v>
      </c>
      <c r="FE77">
        <f t="shared" si="359"/>
        <v>36000</v>
      </c>
      <c r="FF77">
        <f t="shared" si="360"/>
        <v>693795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>SUM(FG77:FM77)+(IF(F77="YES",50000,0))</f>
        <v>0</v>
      </c>
      <c r="FO77">
        <f t="shared" si="361"/>
        <v>693795</v>
      </c>
      <c r="FP77">
        <f t="shared" si="362"/>
        <v>12500</v>
      </c>
      <c r="FQ77">
        <f t="shared" si="363"/>
        <v>38759</v>
      </c>
      <c r="FR77">
        <f t="shared" si="364"/>
        <v>51259</v>
      </c>
      <c r="FS77">
        <f t="shared" si="365"/>
        <v>51259</v>
      </c>
      <c r="FT77">
        <f t="shared" si="366"/>
        <v>2050.36</v>
      </c>
      <c r="FU77">
        <f t="shared" si="367"/>
        <v>53309</v>
      </c>
      <c r="FV77">
        <v>0</v>
      </c>
      <c r="FW77">
        <f t="shared" si="368"/>
        <v>53309</v>
      </c>
      <c r="FX77" t="b">
        <f t="shared" si="369"/>
        <v>1</v>
      </c>
      <c r="FY77">
        <f t="shared" ca="1" si="370"/>
        <v>916</v>
      </c>
      <c r="FZ77">
        <f t="shared" ca="1" si="371"/>
        <v>783111</v>
      </c>
      <c r="GA77">
        <f t="shared" si="372"/>
        <v>75000</v>
      </c>
      <c r="GB77">
        <f t="shared" ca="1" si="373"/>
        <v>708111</v>
      </c>
      <c r="GC77">
        <f t="shared" ca="1" si="374"/>
        <v>0</v>
      </c>
      <c r="GD77">
        <f t="shared" ca="1" si="375"/>
        <v>0</v>
      </c>
      <c r="GE77">
        <f t="shared" ca="1" si="376"/>
        <v>0</v>
      </c>
      <c r="GF77">
        <f t="shared" ca="1" si="377"/>
        <v>0</v>
      </c>
      <c r="GG77">
        <f t="shared" ca="1" si="378"/>
        <v>0</v>
      </c>
      <c r="GH77">
        <f t="shared" ca="1" si="379"/>
        <v>0</v>
      </c>
      <c r="GI77">
        <f ca="1">IF(GB77&gt;1200000,GB77-1200000-IF(F77="YES",50000,0)-GG77,0)</f>
        <v>0</v>
      </c>
      <c r="GJ77">
        <f t="shared" ca="1" si="380"/>
        <v>0</v>
      </c>
      <c r="GK77">
        <f t="shared" ca="1" si="381"/>
        <v>0</v>
      </c>
      <c r="GL77">
        <f t="shared" ca="1" si="382"/>
        <v>0</v>
      </c>
      <c r="GM77">
        <f t="shared" ca="1" si="383"/>
        <v>308111</v>
      </c>
      <c r="GN77">
        <f t="shared" ca="1" si="384"/>
        <v>15405.550000000001</v>
      </c>
      <c r="GO77">
        <f t="shared" ca="1" si="385"/>
        <v>15406</v>
      </c>
      <c r="GP77">
        <f t="shared" ca="1" si="386"/>
        <v>0</v>
      </c>
      <c r="GQ77">
        <f t="shared" ca="1" si="387"/>
        <v>0</v>
      </c>
      <c r="GR77">
        <f t="shared" ca="1" si="388"/>
        <v>15406</v>
      </c>
      <c r="GS77">
        <f t="shared" ca="1" si="389"/>
        <v>0</v>
      </c>
      <c r="GT77" t="b">
        <f t="shared" ca="1" si="390"/>
        <v>0</v>
      </c>
      <c r="GU77">
        <f t="shared" ca="1" si="391"/>
        <v>0</v>
      </c>
      <c r="GV77">
        <f t="shared" ca="1" si="392"/>
        <v>15406</v>
      </c>
      <c r="GW77">
        <f t="shared" ca="1" si="393"/>
        <v>0</v>
      </c>
      <c r="GX77">
        <f t="shared" ca="1" si="394"/>
        <v>0</v>
      </c>
      <c r="GY77">
        <f t="shared" ca="1" si="395"/>
        <v>0</v>
      </c>
    </row>
    <row r="78" spans="1:207" x14ac:dyDescent="0.25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1"/>
        <v>6800</v>
      </c>
      <c r="I78">
        <f>_xlfn.XLOOKUP(B78,'[1]march-2026'!$A:$A,'[1]march-2026'!$C:$C,0,0)</f>
        <v>29800</v>
      </c>
      <c r="J78">
        <f t="shared" si="396"/>
        <v>5364</v>
      </c>
      <c r="K78">
        <f t="shared" si="292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3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4"/>
        <v>150</v>
      </c>
      <c r="R78">
        <f t="shared" si="295"/>
        <v>37090</v>
      </c>
      <c r="S78">
        <f>_xlfn.XLOOKUP(B78,'[2]april-2026'!$A:$A,'[2]april-2026'!$C:$C,0,0)</f>
        <v>29800</v>
      </c>
      <c r="T78">
        <f t="shared" si="296"/>
        <v>5364</v>
      </c>
      <c r="U78">
        <f t="shared" si="297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298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299"/>
        <v>150</v>
      </c>
      <c r="AB78">
        <f t="shared" si="300"/>
        <v>37090</v>
      </c>
      <c r="AC78">
        <f>_xlfn.XLOOKUP(B78,'[3]may-2026'!$A:$A,'[3]may-2026'!$C:$C,0,0)</f>
        <v>29800</v>
      </c>
      <c r="AD78">
        <f t="shared" si="301"/>
        <v>5364</v>
      </c>
      <c r="AE78">
        <f t="shared" si="302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3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4"/>
        <v>150</v>
      </c>
      <c r="AL78">
        <f t="shared" si="305"/>
        <v>37090</v>
      </c>
      <c r="AM78">
        <f>_xlfn.XLOOKUP(B78,'[4]june-2026'!$A:$A,'[4]june-2026'!$C:$C,0,0)</f>
        <v>29800</v>
      </c>
      <c r="AN78">
        <f t="shared" si="306"/>
        <v>5364</v>
      </c>
      <c r="AO78">
        <f t="shared" si="307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08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09"/>
        <v>150</v>
      </c>
      <c r="AV78">
        <f t="shared" si="310"/>
        <v>37090</v>
      </c>
      <c r="AW78">
        <f>_xlfn.XLOOKUP(B78,'[5]july-2026'!$A:$A,'[5]july-2026'!$C:$C,0,0)</f>
        <v>30700</v>
      </c>
      <c r="AX78">
        <f t="shared" si="311"/>
        <v>5526</v>
      </c>
      <c r="AY78">
        <v>76</v>
      </c>
      <c r="AZ78">
        <f t="shared" si="312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3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4"/>
        <v>200</v>
      </c>
      <c r="BG78">
        <f t="shared" si="315"/>
        <v>38286</v>
      </c>
      <c r="BH78">
        <f>_xlfn.XLOOKUP(B78,'[6]august-2026'!$A:$A,'[6]august-2026'!$C:$C,0,0)</f>
        <v>30700</v>
      </c>
      <c r="BI78">
        <f t="shared" si="316"/>
        <v>5526</v>
      </c>
      <c r="BJ78">
        <f t="shared" si="317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18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19"/>
        <v>200</v>
      </c>
      <c r="BQ78">
        <f t="shared" si="320"/>
        <v>38210</v>
      </c>
      <c r="BR78">
        <f>_xlfn.XLOOKUP(B78,'[7]september-2026'!$A:$A,'[7]september-2026'!$C:$C,0,0)</f>
        <v>30700</v>
      </c>
      <c r="BS78">
        <f t="shared" si="321"/>
        <v>5526</v>
      </c>
      <c r="BT78">
        <f t="shared" si="322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3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4"/>
        <v>200</v>
      </c>
      <c r="CA78">
        <f t="shared" si="325"/>
        <v>38210</v>
      </c>
      <c r="CB78">
        <f>_xlfn.XLOOKUP(B78,'[8]october-2026'!$A:$A,'[8]october-2026'!$C:$C,0,0)</f>
        <v>30700</v>
      </c>
      <c r="CC78">
        <f t="shared" si="326"/>
        <v>5526</v>
      </c>
      <c r="CD78">
        <f t="shared" si="327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28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29"/>
        <v>200</v>
      </c>
      <c r="CK78">
        <f t="shared" si="330"/>
        <v>38210</v>
      </c>
      <c r="CL78">
        <f>_xlfn.XLOOKUP(B78,'[9]november-2026'!$A:$A,'[9]november-2026'!$C:$C,0,0)</f>
        <v>30700</v>
      </c>
      <c r="CM78">
        <f t="shared" si="331"/>
        <v>5526</v>
      </c>
      <c r="CN78">
        <f t="shared" si="332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3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4"/>
        <v>200</v>
      </c>
      <c r="CU78">
        <f t="shared" si="335"/>
        <v>38210</v>
      </c>
      <c r="CV78">
        <f>_xlfn.XLOOKUP(B78,'[10]december-2026'!$A:$A,'[10]december-2026'!$C:$C,0,0)</f>
        <v>30700</v>
      </c>
      <c r="CW78">
        <f t="shared" si="336"/>
        <v>5526</v>
      </c>
      <c r="CX78">
        <f t="shared" si="337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38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39"/>
        <v>200</v>
      </c>
      <c r="DE78">
        <f t="shared" si="340"/>
        <v>38210</v>
      </c>
      <c r="DF78">
        <f xml:space="preserve"> _xlfn.XLOOKUP(B78,
'[11]january-2027'!$A:$A,
'[11]january-2027'!$C:$C,
0,0)</f>
        <v>30700</v>
      </c>
      <c r="DG78">
        <f t="shared" si="341"/>
        <v>5526</v>
      </c>
      <c r="DH78">
        <f t="shared" si="342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3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4"/>
        <v>200</v>
      </c>
      <c r="DO78">
        <f t="shared" si="345"/>
        <v>38210</v>
      </c>
      <c r="DP78">
        <f xml:space="preserve"> _xlfn.XLOOKUP(B78,
'[12]february-2027'!$A:$A,
'[12]february-2027'!$C:$C,
0,0)</f>
        <v>30700</v>
      </c>
      <c r="DQ78">
        <f t="shared" si="346"/>
        <v>5526</v>
      </c>
      <c r="DR78">
        <f t="shared" si="347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48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49"/>
        <v>200</v>
      </c>
      <c r="DY78">
        <f t="shared" si="350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1"/>
        <v>0</v>
      </c>
      <c r="EM78">
        <f t="shared" si="352"/>
        <v>487116</v>
      </c>
      <c r="EN78">
        <f t="shared" si="353"/>
        <v>2200</v>
      </c>
      <c r="EO78">
        <f t="shared" si="354"/>
        <v>50000</v>
      </c>
      <c r="EP78">
        <v>0</v>
      </c>
      <c r="EQ78">
        <f t="shared" si="355"/>
        <v>434916</v>
      </c>
      <c r="ER78">
        <f t="shared" si="356"/>
        <v>24000</v>
      </c>
      <c r="ES78">
        <f t="shared" si="357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58"/>
        <v>24000</v>
      </c>
      <c r="FE78">
        <f t="shared" si="359"/>
        <v>24000</v>
      </c>
      <c r="FF78">
        <f t="shared" si="360"/>
        <v>410916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>SUM(FG78:FM78)+(IF(F78="YES",50000,0))</f>
        <v>0</v>
      </c>
      <c r="FO78">
        <f t="shared" si="361"/>
        <v>410916</v>
      </c>
      <c r="FP78">
        <f t="shared" si="362"/>
        <v>8046</v>
      </c>
      <c r="FQ78">
        <f t="shared" si="363"/>
        <v>0</v>
      </c>
      <c r="FR78">
        <f t="shared" si="364"/>
        <v>8046</v>
      </c>
      <c r="FS78">
        <f t="shared" si="365"/>
        <v>0</v>
      </c>
      <c r="FT78">
        <f t="shared" si="366"/>
        <v>0</v>
      </c>
      <c r="FU78">
        <f t="shared" si="367"/>
        <v>0</v>
      </c>
      <c r="FV78">
        <v>0</v>
      </c>
      <c r="FW78">
        <f t="shared" si="368"/>
        <v>0</v>
      </c>
      <c r="FX78" t="b">
        <f t="shared" si="369"/>
        <v>0</v>
      </c>
      <c r="FY78">
        <f t="shared" ca="1" si="370"/>
        <v>2055</v>
      </c>
      <c r="FZ78">
        <f t="shared" ca="1" si="371"/>
        <v>489171</v>
      </c>
      <c r="GA78">
        <f t="shared" si="372"/>
        <v>75000</v>
      </c>
      <c r="GB78">
        <f t="shared" ca="1" si="373"/>
        <v>414171</v>
      </c>
      <c r="GC78">
        <f t="shared" ca="1" si="374"/>
        <v>0</v>
      </c>
      <c r="GD78">
        <f t="shared" ca="1" si="375"/>
        <v>0</v>
      </c>
      <c r="GE78">
        <f t="shared" ca="1" si="376"/>
        <v>0</v>
      </c>
      <c r="GF78">
        <f t="shared" ca="1" si="377"/>
        <v>0</v>
      </c>
      <c r="GG78">
        <f t="shared" ca="1" si="378"/>
        <v>0</v>
      </c>
      <c r="GH78">
        <f t="shared" ca="1" si="379"/>
        <v>0</v>
      </c>
      <c r="GI78">
        <f ca="1">IF(GB78&gt;1200000,GB78-1200000-IF(F78="YES",50000,0)-GG78,0)</f>
        <v>0</v>
      </c>
      <c r="GJ78">
        <f t="shared" ca="1" si="380"/>
        <v>0</v>
      </c>
      <c r="GK78">
        <f t="shared" ca="1" si="381"/>
        <v>0</v>
      </c>
      <c r="GL78">
        <f t="shared" ca="1" si="382"/>
        <v>0</v>
      </c>
      <c r="GM78">
        <f t="shared" ca="1" si="383"/>
        <v>14171</v>
      </c>
      <c r="GN78">
        <f t="shared" ca="1" si="384"/>
        <v>708.55000000000007</v>
      </c>
      <c r="GO78">
        <f t="shared" ca="1" si="385"/>
        <v>709</v>
      </c>
      <c r="GP78">
        <f t="shared" ca="1" si="386"/>
        <v>0</v>
      </c>
      <c r="GQ78">
        <f t="shared" ca="1" si="387"/>
        <v>0</v>
      </c>
      <c r="GR78">
        <f t="shared" ca="1" si="388"/>
        <v>709</v>
      </c>
      <c r="GS78">
        <f t="shared" ca="1" si="389"/>
        <v>0</v>
      </c>
      <c r="GT78" t="b">
        <f t="shared" ca="1" si="390"/>
        <v>0</v>
      </c>
      <c r="GU78">
        <f t="shared" ca="1" si="391"/>
        <v>0</v>
      </c>
      <c r="GV78">
        <f t="shared" ca="1" si="392"/>
        <v>709</v>
      </c>
      <c r="GW78">
        <f t="shared" ca="1" si="393"/>
        <v>0</v>
      </c>
      <c r="GX78">
        <f t="shared" ca="1" si="394"/>
        <v>0</v>
      </c>
      <c r="GY78">
        <f t="shared" ca="1" si="395"/>
        <v>0</v>
      </c>
    </row>
    <row r="79" spans="1:207" x14ac:dyDescent="0.25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1"/>
        <v>6800</v>
      </c>
      <c r="I79">
        <f>_xlfn.XLOOKUP(B79,'[1]march-2026'!$A:$A,'[1]march-2026'!$C:$C,0,0)</f>
        <v>35500</v>
      </c>
      <c r="J79">
        <f t="shared" si="396"/>
        <v>6390</v>
      </c>
      <c r="K79">
        <f t="shared" si="292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3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4"/>
        <v>200</v>
      </c>
      <c r="R79">
        <f t="shared" si="295"/>
        <v>41850</v>
      </c>
      <c r="S79">
        <f>_xlfn.XLOOKUP(B79,'[2]april-2026'!$A:$A,'[2]april-2026'!$C:$C,0,0)</f>
        <v>35500</v>
      </c>
      <c r="T79">
        <f t="shared" si="296"/>
        <v>6390</v>
      </c>
      <c r="U79">
        <f t="shared" si="297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298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299"/>
        <v>200</v>
      </c>
      <c r="AB79">
        <f t="shared" si="300"/>
        <v>41850</v>
      </c>
      <c r="AC79">
        <f>_xlfn.XLOOKUP(B79,'[3]may-2026'!$A:$A,'[3]may-2026'!$C:$C,0,0)</f>
        <v>35500</v>
      </c>
      <c r="AD79">
        <f t="shared" si="301"/>
        <v>6390</v>
      </c>
      <c r="AE79">
        <f t="shared" si="302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3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4"/>
        <v>200</v>
      </c>
      <c r="AL79">
        <f t="shared" si="305"/>
        <v>41850</v>
      </c>
      <c r="AM79">
        <f>_xlfn.XLOOKUP(B79,'[4]june-2026'!$A:$A,'[4]june-2026'!$C:$C,0,0)</f>
        <v>35500</v>
      </c>
      <c r="AN79">
        <f t="shared" si="306"/>
        <v>6390</v>
      </c>
      <c r="AO79">
        <f t="shared" si="307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08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09"/>
        <v>200</v>
      </c>
      <c r="AV79">
        <f t="shared" si="310"/>
        <v>41850</v>
      </c>
      <c r="AW79">
        <f>_xlfn.XLOOKUP(B79,'[5]july-2026'!$A:$A,'[5]july-2026'!$C:$C,0,0)</f>
        <v>36600</v>
      </c>
      <c r="AX79">
        <f t="shared" si="311"/>
        <v>6588</v>
      </c>
      <c r="AY79">
        <v>77</v>
      </c>
      <c r="AZ79">
        <f t="shared" si="312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3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4"/>
        <v>200</v>
      </c>
      <c r="BG79">
        <f t="shared" si="315"/>
        <v>43357</v>
      </c>
      <c r="BH79">
        <f>_xlfn.XLOOKUP(B79,'[6]august-2026'!$A:$A,'[6]august-2026'!$C:$C,0,0)</f>
        <v>36600</v>
      </c>
      <c r="BI79">
        <f t="shared" si="316"/>
        <v>6588</v>
      </c>
      <c r="BJ79">
        <f t="shared" si="317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18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19"/>
        <v>200</v>
      </c>
      <c r="BQ79">
        <f t="shared" si="320"/>
        <v>43280</v>
      </c>
      <c r="BR79">
        <f>_xlfn.XLOOKUP(B79,'[7]september-2026'!$A:$A,'[7]september-2026'!$C:$C,0,0)</f>
        <v>36600</v>
      </c>
      <c r="BS79">
        <f t="shared" si="321"/>
        <v>6588</v>
      </c>
      <c r="BT79">
        <f t="shared" si="322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3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4"/>
        <v>200</v>
      </c>
      <c r="CA79">
        <f t="shared" si="325"/>
        <v>43280</v>
      </c>
      <c r="CB79">
        <f>_xlfn.XLOOKUP(B79,'[8]october-2026'!$A:$A,'[8]october-2026'!$C:$C,0,0)</f>
        <v>36600</v>
      </c>
      <c r="CC79">
        <f t="shared" si="326"/>
        <v>6588</v>
      </c>
      <c r="CD79">
        <f t="shared" si="327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28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29"/>
        <v>200</v>
      </c>
      <c r="CK79">
        <f t="shared" si="330"/>
        <v>43280</v>
      </c>
      <c r="CL79">
        <f>_xlfn.XLOOKUP(B79,'[9]november-2026'!$A:$A,'[9]november-2026'!$C:$C,0,0)</f>
        <v>36600</v>
      </c>
      <c r="CM79">
        <f t="shared" si="331"/>
        <v>6588</v>
      </c>
      <c r="CN79">
        <f t="shared" si="332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3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4"/>
        <v>200</v>
      </c>
      <c r="CU79">
        <f t="shared" si="335"/>
        <v>43280</v>
      </c>
      <c r="CV79">
        <f>_xlfn.XLOOKUP(B79,'[10]december-2026'!$A:$A,'[10]december-2026'!$C:$C,0,0)</f>
        <v>36600</v>
      </c>
      <c r="CW79">
        <f t="shared" si="336"/>
        <v>6588</v>
      </c>
      <c r="CX79">
        <f t="shared" si="337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38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39"/>
        <v>200</v>
      </c>
      <c r="DE79">
        <f t="shared" si="340"/>
        <v>43280</v>
      </c>
      <c r="DF79">
        <f xml:space="preserve"> _xlfn.XLOOKUP(B79,
'[11]january-2027'!$A:$A,
'[11]january-2027'!$C:$C,
0,0)</f>
        <v>36600</v>
      </c>
      <c r="DG79">
        <f t="shared" si="341"/>
        <v>6588</v>
      </c>
      <c r="DH79">
        <f t="shared" si="342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3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4"/>
        <v>200</v>
      </c>
      <c r="DO79">
        <f t="shared" si="345"/>
        <v>43280</v>
      </c>
      <c r="DP79">
        <f xml:space="preserve"> _xlfn.XLOOKUP(B79,
'[12]february-2027'!$A:$A,
'[12]february-2027'!$C:$C,
0,0)</f>
        <v>36600</v>
      </c>
      <c r="DQ79">
        <f t="shared" si="346"/>
        <v>6588</v>
      </c>
      <c r="DR79">
        <f t="shared" si="347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48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49"/>
        <v>200</v>
      </c>
      <c r="DY79">
        <f t="shared" si="350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1"/>
        <v>0</v>
      </c>
      <c r="EM79">
        <f t="shared" si="352"/>
        <v>582917</v>
      </c>
      <c r="EN79">
        <f t="shared" si="353"/>
        <v>2400</v>
      </c>
      <c r="EO79">
        <f t="shared" si="354"/>
        <v>50000</v>
      </c>
      <c r="EP79">
        <v>0</v>
      </c>
      <c r="EQ79">
        <f t="shared" si="355"/>
        <v>530517</v>
      </c>
      <c r="ER79">
        <f t="shared" si="356"/>
        <v>60000</v>
      </c>
      <c r="ES79">
        <f t="shared" si="357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58"/>
        <v>60000</v>
      </c>
      <c r="FE79">
        <f t="shared" si="359"/>
        <v>60000</v>
      </c>
      <c r="FF79">
        <f t="shared" si="360"/>
        <v>470517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>SUM(FG79:FM79)+(IF(F79="YES",50000,0))</f>
        <v>0</v>
      </c>
      <c r="FO79">
        <f t="shared" si="361"/>
        <v>470517</v>
      </c>
      <c r="FP79">
        <f t="shared" si="362"/>
        <v>11026</v>
      </c>
      <c r="FQ79">
        <f t="shared" si="363"/>
        <v>0</v>
      </c>
      <c r="FR79">
        <f t="shared" si="364"/>
        <v>11026</v>
      </c>
      <c r="FS79">
        <f t="shared" si="365"/>
        <v>0</v>
      </c>
      <c r="FT79">
        <f t="shared" si="366"/>
        <v>0</v>
      </c>
      <c r="FU79">
        <f t="shared" si="367"/>
        <v>0</v>
      </c>
      <c r="FV79">
        <v>0</v>
      </c>
      <c r="FW79">
        <f t="shared" si="368"/>
        <v>0</v>
      </c>
      <c r="FX79" t="b">
        <f t="shared" si="369"/>
        <v>1</v>
      </c>
      <c r="FY79">
        <f t="shared" ca="1" si="370"/>
        <v>566</v>
      </c>
      <c r="FZ79">
        <f t="shared" ca="1" si="371"/>
        <v>583483</v>
      </c>
      <c r="GA79">
        <f t="shared" si="372"/>
        <v>75000</v>
      </c>
      <c r="GB79">
        <f t="shared" ca="1" si="373"/>
        <v>508483</v>
      </c>
      <c r="GC79">
        <f t="shared" ca="1" si="374"/>
        <v>0</v>
      </c>
      <c r="GD79">
        <f t="shared" ca="1" si="375"/>
        <v>0</v>
      </c>
      <c r="GE79">
        <f t="shared" ca="1" si="376"/>
        <v>0</v>
      </c>
      <c r="GF79">
        <f t="shared" ca="1" si="377"/>
        <v>0</v>
      </c>
      <c r="GG79">
        <f t="shared" ca="1" si="378"/>
        <v>0</v>
      </c>
      <c r="GH79">
        <f t="shared" ca="1" si="379"/>
        <v>0</v>
      </c>
      <c r="GI79">
        <f ca="1">IF(GB79&gt;1200000,GB79-1200000-IF(F79="YES",50000,0)-GG79,0)</f>
        <v>0</v>
      </c>
      <c r="GJ79">
        <f t="shared" ca="1" si="380"/>
        <v>0</v>
      </c>
      <c r="GK79">
        <f t="shared" ca="1" si="381"/>
        <v>0</v>
      </c>
      <c r="GL79">
        <f t="shared" ca="1" si="382"/>
        <v>0</v>
      </c>
      <c r="GM79">
        <f t="shared" ca="1" si="383"/>
        <v>108483</v>
      </c>
      <c r="GN79">
        <f t="shared" ca="1" si="384"/>
        <v>5424.1500000000005</v>
      </c>
      <c r="GO79">
        <f t="shared" ca="1" si="385"/>
        <v>5424</v>
      </c>
      <c r="GP79">
        <f t="shared" ca="1" si="386"/>
        <v>0</v>
      </c>
      <c r="GQ79">
        <f t="shared" ca="1" si="387"/>
        <v>0</v>
      </c>
      <c r="GR79">
        <f t="shared" ca="1" si="388"/>
        <v>5424</v>
      </c>
      <c r="GS79">
        <f t="shared" ca="1" si="389"/>
        <v>0</v>
      </c>
      <c r="GT79" t="b">
        <f t="shared" ca="1" si="390"/>
        <v>0</v>
      </c>
      <c r="GU79">
        <f t="shared" ca="1" si="391"/>
        <v>0</v>
      </c>
      <c r="GV79">
        <f t="shared" ca="1" si="392"/>
        <v>5424</v>
      </c>
      <c r="GW79">
        <f t="shared" ca="1" si="393"/>
        <v>0</v>
      </c>
      <c r="GX79">
        <f t="shared" ca="1" si="394"/>
        <v>0</v>
      </c>
      <c r="GY79">
        <f t="shared" ca="1" si="395"/>
        <v>0</v>
      </c>
    </row>
    <row r="80" spans="1:207" x14ac:dyDescent="0.25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1"/>
        <v>6800</v>
      </c>
      <c r="I80">
        <f>_xlfn.XLOOKUP(B80,'[1]march-2026'!$A:$A,'[1]march-2026'!$C:$C,0,0)</f>
        <v>35500</v>
      </c>
      <c r="J80">
        <f t="shared" si="396"/>
        <v>6390</v>
      </c>
      <c r="K80">
        <f t="shared" si="292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3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4"/>
        <v>200</v>
      </c>
      <c r="R80">
        <f t="shared" si="295"/>
        <v>43950</v>
      </c>
      <c r="S80">
        <f>_xlfn.XLOOKUP(B80,'[2]april-2026'!$A:$A,'[2]april-2026'!$C:$C,0,0)</f>
        <v>35500</v>
      </c>
      <c r="T80">
        <f t="shared" si="296"/>
        <v>6390</v>
      </c>
      <c r="U80">
        <f t="shared" si="297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298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299"/>
        <v>200</v>
      </c>
      <c r="AB80">
        <f t="shared" si="300"/>
        <v>43950</v>
      </c>
      <c r="AC80">
        <f>_xlfn.XLOOKUP(B80,'[3]may-2026'!$A:$A,'[3]may-2026'!$C:$C,0,0)</f>
        <v>35500</v>
      </c>
      <c r="AD80">
        <f t="shared" si="301"/>
        <v>6390</v>
      </c>
      <c r="AE80">
        <f t="shared" si="302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3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4"/>
        <v>200</v>
      </c>
      <c r="AL80">
        <f t="shared" si="305"/>
        <v>43950</v>
      </c>
      <c r="AM80">
        <f>_xlfn.XLOOKUP(B80,'[4]june-2026'!$A:$A,'[4]june-2026'!$C:$C,0,0)</f>
        <v>35500</v>
      </c>
      <c r="AN80">
        <f t="shared" si="306"/>
        <v>6390</v>
      </c>
      <c r="AO80">
        <f t="shared" si="307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08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09"/>
        <v>200</v>
      </c>
      <c r="AV80">
        <f t="shared" si="310"/>
        <v>43950</v>
      </c>
      <c r="AW80">
        <f>_xlfn.XLOOKUP(B80,'[5]july-2026'!$A:$A,'[5]july-2026'!$C:$C,0,0)</f>
        <v>36600</v>
      </c>
      <c r="AX80">
        <f t="shared" si="311"/>
        <v>6588</v>
      </c>
      <c r="AY80">
        <v>78</v>
      </c>
      <c r="AZ80">
        <f t="shared" si="312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3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4"/>
        <v>200</v>
      </c>
      <c r="BG80">
        <f t="shared" si="315"/>
        <v>45458</v>
      </c>
      <c r="BH80">
        <f>_xlfn.XLOOKUP(B80,'[6]august-2026'!$A:$A,'[6]august-2026'!$C:$C,0,0)</f>
        <v>36600</v>
      </c>
      <c r="BI80">
        <f t="shared" si="316"/>
        <v>6588</v>
      </c>
      <c r="BJ80">
        <f t="shared" si="317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18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19"/>
        <v>200</v>
      </c>
      <c r="BQ80">
        <f t="shared" si="320"/>
        <v>45380</v>
      </c>
      <c r="BR80">
        <f>_xlfn.XLOOKUP(B80,'[7]september-2026'!$A:$A,'[7]september-2026'!$C:$C,0,0)</f>
        <v>36600</v>
      </c>
      <c r="BS80">
        <f t="shared" si="321"/>
        <v>6588</v>
      </c>
      <c r="BT80">
        <f t="shared" si="322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3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4"/>
        <v>200</v>
      </c>
      <c r="CA80">
        <f t="shared" si="325"/>
        <v>45380</v>
      </c>
      <c r="CB80">
        <f>_xlfn.XLOOKUP(B80,'[8]october-2026'!$A:$A,'[8]october-2026'!$C:$C,0,0)</f>
        <v>36600</v>
      </c>
      <c r="CC80">
        <f t="shared" si="326"/>
        <v>6588</v>
      </c>
      <c r="CD80">
        <f t="shared" si="327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28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29"/>
        <v>200</v>
      </c>
      <c r="CK80">
        <f t="shared" si="330"/>
        <v>45380</v>
      </c>
      <c r="CL80">
        <f>_xlfn.XLOOKUP(B80,'[9]november-2026'!$A:$A,'[9]november-2026'!$C:$C,0,0)</f>
        <v>36600</v>
      </c>
      <c r="CM80">
        <f t="shared" si="331"/>
        <v>6588</v>
      </c>
      <c r="CN80">
        <f t="shared" si="332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3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4"/>
        <v>200</v>
      </c>
      <c r="CU80">
        <f t="shared" si="335"/>
        <v>45380</v>
      </c>
      <c r="CV80">
        <f>_xlfn.XLOOKUP(B80,'[10]december-2026'!$A:$A,'[10]december-2026'!$C:$C,0,0)</f>
        <v>36600</v>
      </c>
      <c r="CW80">
        <f t="shared" si="336"/>
        <v>6588</v>
      </c>
      <c r="CX80">
        <f t="shared" si="337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38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39"/>
        <v>200</v>
      </c>
      <c r="DE80">
        <f t="shared" si="340"/>
        <v>45380</v>
      </c>
      <c r="DF80">
        <f xml:space="preserve"> _xlfn.XLOOKUP(B80,
'[11]january-2027'!$A:$A,
'[11]january-2027'!$C:$C,
0,0)</f>
        <v>36600</v>
      </c>
      <c r="DG80">
        <f t="shared" si="341"/>
        <v>6588</v>
      </c>
      <c r="DH80">
        <f t="shared" si="342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3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4"/>
        <v>200</v>
      </c>
      <c r="DO80">
        <f t="shared" si="345"/>
        <v>45380</v>
      </c>
      <c r="DP80">
        <f xml:space="preserve"> _xlfn.XLOOKUP(B80,
'[12]february-2027'!$A:$A,
'[12]february-2027'!$C:$C,
0,0)</f>
        <v>36600</v>
      </c>
      <c r="DQ80">
        <f t="shared" si="346"/>
        <v>6588</v>
      </c>
      <c r="DR80">
        <f t="shared" si="347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48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49"/>
        <v>200</v>
      </c>
      <c r="DY80">
        <f t="shared" si="350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1"/>
        <v>0</v>
      </c>
      <c r="EM80">
        <f t="shared" si="352"/>
        <v>578118</v>
      </c>
      <c r="EN80">
        <f t="shared" si="353"/>
        <v>2400</v>
      </c>
      <c r="EO80">
        <f t="shared" si="354"/>
        <v>50000</v>
      </c>
      <c r="EP80">
        <v>0</v>
      </c>
      <c r="EQ80">
        <f t="shared" si="355"/>
        <v>525718</v>
      </c>
      <c r="ER80">
        <f t="shared" si="356"/>
        <v>30000</v>
      </c>
      <c r="ES80">
        <f t="shared" si="357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58"/>
        <v>30000</v>
      </c>
      <c r="FE80">
        <f t="shared" si="359"/>
        <v>30000</v>
      </c>
      <c r="FF80">
        <f t="shared" si="360"/>
        <v>495718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>SUM(FG80:FM80)+(IF(F80="YES",50000,0))</f>
        <v>0</v>
      </c>
      <c r="FO80">
        <f t="shared" si="361"/>
        <v>495718</v>
      </c>
      <c r="FP80">
        <f t="shared" si="362"/>
        <v>12286</v>
      </c>
      <c r="FQ80">
        <f t="shared" si="363"/>
        <v>0</v>
      </c>
      <c r="FR80">
        <f t="shared" si="364"/>
        <v>12286</v>
      </c>
      <c r="FS80">
        <f t="shared" si="365"/>
        <v>0</v>
      </c>
      <c r="FT80">
        <f t="shared" si="366"/>
        <v>0</v>
      </c>
      <c r="FU80">
        <f t="shared" si="367"/>
        <v>0</v>
      </c>
      <c r="FV80">
        <v>0</v>
      </c>
      <c r="FW80">
        <f t="shared" si="368"/>
        <v>0</v>
      </c>
      <c r="FX80" t="b">
        <f t="shared" si="369"/>
        <v>1</v>
      </c>
      <c r="FY80">
        <f t="shared" ca="1" si="370"/>
        <v>943</v>
      </c>
      <c r="FZ80">
        <f t="shared" ca="1" si="371"/>
        <v>579061</v>
      </c>
      <c r="GA80">
        <f t="shared" si="372"/>
        <v>75000</v>
      </c>
      <c r="GB80">
        <f t="shared" ca="1" si="373"/>
        <v>504061</v>
      </c>
      <c r="GC80">
        <f t="shared" ca="1" si="374"/>
        <v>0</v>
      </c>
      <c r="GD80">
        <f t="shared" ca="1" si="375"/>
        <v>0</v>
      </c>
      <c r="GE80">
        <f t="shared" ca="1" si="376"/>
        <v>0</v>
      </c>
      <c r="GF80">
        <f t="shared" ca="1" si="377"/>
        <v>0</v>
      </c>
      <c r="GG80">
        <f t="shared" ca="1" si="378"/>
        <v>0</v>
      </c>
      <c r="GH80">
        <f t="shared" ca="1" si="379"/>
        <v>0</v>
      </c>
      <c r="GI80">
        <f ca="1">IF(GB80&gt;1200000,GB80-1200000-IF(F80="YES",50000,0)-GG80,0)</f>
        <v>0</v>
      </c>
      <c r="GJ80">
        <f t="shared" ca="1" si="380"/>
        <v>0</v>
      </c>
      <c r="GK80">
        <f t="shared" ca="1" si="381"/>
        <v>0</v>
      </c>
      <c r="GL80">
        <f t="shared" ca="1" si="382"/>
        <v>0</v>
      </c>
      <c r="GM80">
        <f t="shared" ca="1" si="383"/>
        <v>104061</v>
      </c>
      <c r="GN80">
        <f t="shared" ca="1" si="384"/>
        <v>5203.05</v>
      </c>
      <c r="GO80">
        <f t="shared" ca="1" si="385"/>
        <v>5203</v>
      </c>
      <c r="GP80">
        <f t="shared" ca="1" si="386"/>
        <v>0</v>
      </c>
      <c r="GQ80">
        <f t="shared" ca="1" si="387"/>
        <v>0</v>
      </c>
      <c r="GR80">
        <f t="shared" ca="1" si="388"/>
        <v>5203</v>
      </c>
      <c r="GS80">
        <f t="shared" ca="1" si="389"/>
        <v>0</v>
      </c>
      <c r="GT80" t="b">
        <f t="shared" ca="1" si="390"/>
        <v>0</v>
      </c>
      <c r="GU80">
        <f t="shared" ca="1" si="391"/>
        <v>0</v>
      </c>
      <c r="GV80">
        <f t="shared" ca="1" si="392"/>
        <v>5203</v>
      </c>
      <c r="GW80">
        <f t="shared" ca="1" si="393"/>
        <v>0</v>
      </c>
      <c r="GX80">
        <f t="shared" ca="1" si="394"/>
        <v>0</v>
      </c>
      <c r="GY80">
        <f t="shared" ca="1" si="395"/>
        <v>0</v>
      </c>
    </row>
    <row r="81" spans="1:207" x14ac:dyDescent="0.25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1"/>
        <v>6800</v>
      </c>
      <c r="I81">
        <f>_xlfn.XLOOKUP(B81,'[1]march-2026'!$A:$A,'[1]march-2026'!$C:$C,0,0)</f>
        <v>32500</v>
      </c>
      <c r="J81">
        <f t="shared" si="396"/>
        <v>5850</v>
      </c>
      <c r="K81">
        <f t="shared" si="292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3"/>
        <v>42750</v>
      </c>
      <c r="O81">
        <f>_xlfn.XLOOKUP(B81,'[1]march-2026'!$A:$A,'[1]march-2026'!$H:$H,0,0)</f>
        <v>2000</v>
      </c>
      <c r="P81">
        <f>_xlfn.XLOOKUP(B81,'[1]march-2026'!$A:$A,'[1]march-2026'!$I:$I,0,0)</f>
        <v>0</v>
      </c>
      <c r="Q81">
        <f t="shared" si="294"/>
        <v>200</v>
      </c>
      <c r="R81">
        <f t="shared" si="295"/>
        <v>40550</v>
      </c>
      <c r="S81">
        <f>_xlfn.XLOOKUP(B81,'[2]april-2026'!$A:$A,'[2]april-2026'!$C:$C,0,0)</f>
        <v>32500</v>
      </c>
      <c r="T81">
        <f t="shared" si="296"/>
        <v>5850</v>
      </c>
      <c r="U81">
        <f t="shared" si="297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298"/>
        <v>42750</v>
      </c>
      <c r="Y81">
        <f>_xlfn.XLOOKUP(B81,'[2]april-2026'!$A:$A,'[2]april-2026'!$H:$H,0,0)</f>
        <v>2000</v>
      </c>
      <c r="Z81">
        <f>_xlfn.XLOOKUP(B81,'[2]april-2026'!$A:$A,'[2]april-2026'!$I:$I,0,0)</f>
        <v>0</v>
      </c>
      <c r="AA81">
        <f t="shared" si="299"/>
        <v>200</v>
      </c>
      <c r="AB81">
        <f t="shared" si="300"/>
        <v>40550</v>
      </c>
      <c r="AC81">
        <f>_xlfn.XLOOKUP(B81,'[3]may-2026'!$A:$A,'[3]may-2026'!$C:$C,0,0)</f>
        <v>32500</v>
      </c>
      <c r="AD81">
        <f t="shared" si="301"/>
        <v>5850</v>
      </c>
      <c r="AE81">
        <f t="shared" si="302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3"/>
        <v>42750</v>
      </c>
      <c r="AI81">
        <f>_xlfn.XLOOKUP(B81,'[3]may-2026'!$A:$A,'[3]may-2026'!$H:$H,0,0)</f>
        <v>2000</v>
      </c>
      <c r="AJ81">
        <f>_xlfn.XLOOKUP(B81,'[3]may-2026'!$A:$A,'[3]may-2026'!$I:$I,0,0)</f>
        <v>0</v>
      </c>
      <c r="AK81">
        <f t="shared" si="304"/>
        <v>200</v>
      </c>
      <c r="AL81">
        <f t="shared" si="305"/>
        <v>40550</v>
      </c>
      <c r="AM81">
        <f>_xlfn.XLOOKUP(B81,'[4]june-2026'!$A:$A,'[4]june-2026'!$C:$C,0,0)</f>
        <v>32500</v>
      </c>
      <c r="AN81">
        <f t="shared" si="306"/>
        <v>5850</v>
      </c>
      <c r="AO81">
        <f t="shared" si="307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08"/>
        <v>42750</v>
      </c>
      <c r="AS81">
        <f>_xlfn.XLOOKUP(B81,'[4]june-2026'!$A:$A,'[4]june-2026'!$H:$H,0,0)</f>
        <v>2000</v>
      </c>
      <c r="AT81">
        <f>_xlfn.XLOOKUP(B81,'[4]june-2026'!$A:$A,'[4]june-2026'!$I:$I,0,0)</f>
        <v>0</v>
      </c>
      <c r="AU81">
        <f t="shared" si="309"/>
        <v>200</v>
      </c>
      <c r="AV81">
        <f t="shared" si="310"/>
        <v>40550</v>
      </c>
      <c r="AW81">
        <f>_xlfn.XLOOKUP(B81,'[5]july-2026'!$A:$A,'[5]july-2026'!$C:$C,0,0)</f>
        <v>33500</v>
      </c>
      <c r="AX81">
        <f t="shared" si="311"/>
        <v>6030</v>
      </c>
      <c r="AY81">
        <v>79</v>
      </c>
      <c r="AZ81">
        <f t="shared" si="312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3"/>
        <v>44129</v>
      </c>
      <c r="BD81">
        <f>_xlfn.XLOOKUP(B81,'[5]july-2026'!$A:$A,'[5]july-2026'!$H:$H,0,0)</f>
        <v>2000</v>
      </c>
      <c r="BE81">
        <f>_xlfn.XLOOKUP(B81,'[5]july-2026'!$A:$A,'[5]july-2026'!$I:$I,0,0)</f>
        <v>0</v>
      </c>
      <c r="BF81">
        <f t="shared" si="314"/>
        <v>200</v>
      </c>
      <c r="BG81">
        <f t="shared" si="315"/>
        <v>41929</v>
      </c>
      <c r="BH81">
        <f>_xlfn.XLOOKUP(B81,'[6]august-2026'!$A:$A,'[6]august-2026'!$C:$C,0,0)</f>
        <v>33500</v>
      </c>
      <c r="BI81">
        <f t="shared" si="316"/>
        <v>6030</v>
      </c>
      <c r="BJ81">
        <f t="shared" si="317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18"/>
        <v>44050</v>
      </c>
      <c r="BN81">
        <f>_xlfn.XLOOKUP(B81,'[6]august-2026'!$A:$A,'[6]august-2026'!$H:$H,0,0)</f>
        <v>2000</v>
      </c>
      <c r="BO81">
        <f>_xlfn.XLOOKUP(B81,'[6]august-2026'!$A:$A,'[6]august-2026'!$I:$I,0,0)</f>
        <v>0</v>
      </c>
      <c r="BP81">
        <f t="shared" si="319"/>
        <v>200</v>
      </c>
      <c r="BQ81">
        <f t="shared" si="320"/>
        <v>41850</v>
      </c>
      <c r="BR81">
        <f>_xlfn.XLOOKUP(B81,'[7]september-2026'!$A:$A,'[7]september-2026'!$C:$C,0,0)</f>
        <v>33500</v>
      </c>
      <c r="BS81">
        <f t="shared" si="321"/>
        <v>6030</v>
      </c>
      <c r="BT81">
        <f t="shared" si="322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3"/>
        <v>44050</v>
      </c>
      <c r="BX81">
        <f>_xlfn.XLOOKUP(B81,'[7]september-2026'!$A:$A,'[7]september-2026'!$H:$H,0,0)</f>
        <v>2000</v>
      </c>
      <c r="BY81">
        <f>_xlfn.XLOOKUP(B81,'[7]september-2026'!$A:$A,'[7]september-2026'!$I:$I,0,0)</f>
        <v>0</v>
      </c>
      <c r="BZ81">
        <f t="shared" si="324"/>
        <v>200</v>
      </c>
      <c r="CA81">
        <f t="shared" si="325"/>
        <v>41850</v>
      </c>
      <c r="CB81">
        <f>_xlfn.XLOOKUP(B81,'[8]october-2026'!$A:$A,'[8]october-2026'!$C:$C,0,0)</f>
        <v>33500</v>
      </c>
      <c r="CC81">
        <f t="shared" si="326"/>
        <v>6030</v>
      </c>
      <c r="CD81">
        <f t="shared" si="327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28"/>
        <v>44050</v>
      </c>
      <c r="CH81">
        <f>_xlfn.XLOOKUP(B81,'[8]october-2026'!$A:$A,'[8]october-2026'!$H:$H,0,0)</f>
        <v>2000</v>
      </c>
      <c r="CI81">
        <f>_xlfn.XLOOKUP(B81,'[8]october-2026'!$A:$A,'[8]october-2026'!$I:$I,0,0)</f>
        <v>0</v>
      </c>
      <c r="CJ81">
        <f t="shared" si="329"/>
        <v>200</v>
      </c>
      <c r="CK81">
        <f t="shared" si="330"/>
        <v>41850</v>
      </c>
      <c r="CL81">
        <f>_xlfn.XLOOKUP(B81,'[9]november-2026'!$A:$A,'[9]november-2026'!$C:$C,0,0)</f>
        <v>33500</v>
      </c>
      <c r="CM81">
        <f t="shared" si="331"/>
        <v>6030</v>
      </c>
      <c r="CN81">
        <f t="shared" si="332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3"/>
        <v>44050</v>
      </c>
      <c r="CR81">
        <f>_xlfn.XLOOKUP(B81,'[9]november-2026'!$A:$A,'[9]november-2026'!$H:$H,0,0)</f>
        <v>2000</v>
      </c>
      <c r="CS81">
        <f>_xlfn.XLOOKUP(B81,'[9]november-2026'!$A:$A,'[9]november-2026'!$I:$I,0,0)</f>
        <v>0</v>
      </c>
      <c r="CT81">
        <f t="shared" si="334"/>
        <v>200</v>
      </c>
      <c r="CU81">
        <f t="shared" si="335"/>
        <v>41850</v>
      </c>
      <c r="CV81">
        <f>_xlfn.XLOOKUP(B81,'[10]december-2026'!$A:$A,'[10]december-2026'!$C:$C,0,0)</f>
        <v>33500</v>
      </c>
      <c r="CW81">
        <f t="shared" si="336"/>
        <v>6030</v>
      </c>
      <c r="CX81">
        <f t="shared" si="337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38"/>
        <v>44050</v>
      </c>
      <c r="DB81">
        <f>_xlfn.XLOOKUP(B81,'[10]december-2026'!$A:$A,'[10]december-2026'!$H:$H,0,0)</f>
        <v>2000</v>
      </c>
      <c r="DC81">
        <f>_xlfn.XLOOKUP(B81,'[10]december-2026'!$A:$A,'[10]december-2026'!$I:$I,0,0)</f>
        <v>0</v>
      </c>
      <c r="DD81">
        <f t="shared" si="339"/>
        <v>200</v>
      </c>
      <c r="DE81">
        <f t="shared" si="340"/>
        <v>41850</v>
      </c>
      <c r="DF81">
        <f xml:space="preserve"> _xlfn.XLOOKUP(B81,
'[11]january-2027'!$A:$A,
'[11]january-2027'!$C:$C,
0,0)</f>
        <v>33500</v>
      </c>
      <c r="DG81">
        <f t="shared" si="341"/>
        <v>6030</v>
      </c>
      <c r="DH81">
        <f t="shared" si="342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3"/>
        <v>44050</v>
      </c>
      <c r="DL81">
        <f xml:space="preserve"> _xlfn.XLOOKUP(B81,
'[11]january-2027'!$A:$A,
'[11]january-2027'!$H:$H,
0,0)</f>
        <v>2000</v>
      </c>
      <c r="DM81">
        <f xml:space="preserve"> _xlfn.XLOOKUP(B81,
'[11]january-2027'!$A:$A,
'[11]january-2027'!$I:$I,
0,0)</f>
        <v>0</v>
      </c>
      <c r="DN81">
        <f t="shared" si="344"/>
        <v>200</v>
      </c>
      <c r="DO81">
        <f t="shared" si="345"/>
        <v>41850</v>
      </c>
      <c r="DP81">
        <f xml:space="preserve"> _xlfn.XLOOKUP(B81,
'[12]february-2027'!$A:$A,
'[12]february-2027'!$C:$C,
0,0)</f>
        <v>33500</v>
      </c>
      <c r="DQ81">
        <f t="shared" si="346"/>
        <v>6030</v>
      </c>
      <c r="DR81">
        <f t="shared" si="347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48"/>
        <v>44050</v>
      </c>
      <c r="DV81">
        <f xml:space="preserve"> _xlfn.XLOOKUP(B81,
'[12]february-2027'!$A:$A,
'[12]february-2027'!$H:$H,
0,0)</f>
        <v>2000</v>
      </c>
      <c r="DW81">
        <f xml:space="preserve"> _xlfn.XLOOKUP(B81,
'[12]february-2027'!$A:$A,
'[12]february-2027'!$I:$I,
0,0)</f>
        <v>0</v>
      </c>
      <c r="DX81">
        <f t="shared" si="349"/>
        <v>200</v>
      </c>
      <c r="DY81">
        <f t="shared" si="350"/>
        <v>41850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1"/>
        <v>0</v>
      </c>
      <c r="EM81">
        <f t="shared" si="352"/>
        <v>530279</v>
      </c>
      <c r="EN81">
        <f t="shared" si="353"/>
        <v>2400</v>
      </c>
      <c r="EO81">
        <f t="shared" si="354"/>
        <v>50000</v>
      </c>
      <c r="EP81">
        <v>0</v>
      </c>
      <c r="EQ81">
        <f t="shared" si="355"/>
        <v>477879</v>
      </c>
      <c r="ER81">
        <f t="shared" si="356"/>
        <v>24000</v>
      </c>
      <c r="ES81">
        <f t="shared" si="357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58"/>
        <v>24000</v>
      </c>
      <c r="FE81">
        <f t="shared" si="359"/>
        <v>24000</v>
      </c>
      <c r="FF81">
        <f t="shared" si="360"/>
        <v>453879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>SUM(FG81:FM81)+(IF(F81="YES",50000,0))</f>
        <v>0</v>
      </c>
      <c r="FO81">
        <f t="shared" si="361"/>
        <v>453879</v>
      </c>
      <c r="FP81">
        <f t="shared" si="362"/>
        <v>10194</v>
      </c>
      <c r="FQ81">
        <f t="shared" si="363"/>
        <v>0</v>
      </c>
      <c r="FR81">
        <f t="shared" si="364"/>
        <v>10194</v>
      </c>
      <c r="FS81">
        <f t="shared" si="365"/>
        <v>0</v>
      </c>
      <c r="FT81">
        <f t="shared" si="366"/>
        <v>0</v>
      </c>
      <c r="FU81">
        <f t="shared" si="367"/>
        <v>0</v>
      </c>
      <c r="FV81">
        <v>0</v>
      </c>
      <c r="FW81">
        <f t="shared" si="368"/>
        <v>0</v>
      </c>
      <c r="FX81" t="b">
        <f t="shared" si="369"/>
        <v>1</v>
      </c>
      <c r="FY81">
        <f t="shared" ca="1" si="370"/>
        <v>810</v>
      </c>
      <c r="FZ81">
        <f t="shared" ca="1" si="371"/>
        <v>531089</v>
      </c>
      <c r="GA81">
        <f t="shared" si="372"/>
        <v>75000</v>
      </c>
      <c r="GB81">
        <f t="shared" ca="1" si="373"/>
        <v>456089</v>
      </c>
      <c r="GC81">
        <f t="shared" ca="1" si="374"/>
        <v>0</v>
      </c>
      <c r="GD81">
        <f t="shared" ca="1" si="375"/>
        <v>0</v>
      </c>
      <c r="GE81">
        <f t="shared" ca="1" si="376"/>
        <v>0</v>
      </c>
      <c r="GF81">
        <f t="shared" ca="1" si="377"/>
        <v>0</v>
      </c>
      <c r="GG81">
        <f t="shared" ca="1" si="378"/>
        <v>0</v>
      </c>
      <c r="GH81">
        <f t="shared" ca="1" si="379"/>
        <v>0</v>
      </c>
      <c r="GI81">
        <f ca="1">IF(GB81&gt;1200000,GB81-1200000-IF(F81="YES",50000,0)-GG81,0)</f>
        <v>0</v>
      </c>
      <c r="GJ81">
        <f t="shared" ca="1" si="380"/>
        <v>0</v>
      </c>
      <c r="GK81">
        <f t="shared" ca="1" si="381"/>
        <v>0</v>
      </c>
      <c r="GL81">
        <f t="shared" ca="1" si="382"/>
        <v>0</v>
      </c>
      <c r="GM81">
        <f t="shared" ca="1" si="383"/>
        <v>56089</v>
      </c>
      <c r="GN81">
        <f t="shared" ca="1" si="384"/>
        <v>2804.4500000000003</v>
      </c>
      <c r="GO81">
        <f t="shared" ca="1" si="385"/>
        <v>2804</v>
      </c>
      <c r="GP81">
        <f t="shared" ca="1" si="386"/>
        <v>0</v>
      </c>
      <c r="GQ81">
        <f t="shared" ca="1" si="387"/>
        <v>0</v>
      </c>
      <c r="GR81">
        <f t="shared" ca="1" si="388"/>
        <v>2804</v>
      </c>
      <c r="GS81">
        <f t="shared" ca="1" si="389"/>
        <v>0</v>
      </c>
      <c r="GT81" t="b">
        <f t="shared" ca="1" si="390"/>
        <v>0</v>
      </c>
      <c r="GU81">
        <f t="shared" ca="1" si="391"/>
        <v>0</v>
      </c>
      <c r="GV81">
        <f t="shared" ca="1" si="392"/>
        <v>2804</v>
      </c>
      <c r="GW81">
        <f t="shared" ca="1" si="393"/>
        <v>0</v>
      </c>
      <c r="GX81">
        <f t="shared" ca="1" si="394"/>
        <v>0</v>
      </c>
      <c r="GY81">
        <f t="shared" ca="1" si="395"/>
        <v>0</v>
      </c>
    </row>
    <row r="82" spans="1:207" x14ac:dyDescent="0.25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1"/>
        <v>6800</v>
      </c>
      <c r="I82">
        <f>_xlfn.XLOOKUP(B82,'[1]march-2026'!$A:$A,'[1]march-2026'!$C:$C,0,0)</f>
        <v>32500</v>
      </c>
      <c r="J82">
        <f t="shared" si="396"/>
        <v>5850</v>
      </c>
      <c r="K82">
        <f t="shared" si="292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3"/>
        <v>42750</v>
      </c>
      <c r="O82">
        <f>_xlfn.XLOOKUP(B82,'[1]march-2026'!$A:$A,'[1]march-2026'!$H:$H,0,0)</f>
        <v>2000</v>
      </c>
      <c r="P82">
        <f>_xlfn.XLOOKUP(B82,'[1]march-2026'!$A:$A,'[1]march-2026'!$I:$I,0,0)</f>
        <v>0</v>
      </c>
      <c r="Q82">
        <f t="shared" si="294"/>
        <v>200</v>
      </c>
      <c r="R82">
        <f t="shared" si="295"/>
        <v>40550</v>
      </c>
      <c r="S82">
        <f>_xlfn.XLOOKUP(B82,'[2]april-2026'!$A:$A,'[2]april-2026'!$C:$C,0,0)</f>
        <v>32500</v>
      </c>
      <c r="T82">
        <f t="shared" si="296"/>
        <v>5850</v>
      </c>
      <c r="U82">
        <f t="shared" si="297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298"/>
        <v>42750</v>
      </c>
      <c r="Y82">
        <f>_xlfn.XLOOKUP(B82,'[2]april-2026'!$A:$A,'[2]april-2026'!$H:$H,0,0)</f>
        <v>2000</v>
      </c>
      <c r="Z82">
        <f>_xlfn.XLOOKUP(B82,'[2]april-2026'!$A:$A,'[2]april-2026'!$I:$I,0,0)</f>
        <v>0</v>
      </c>
      <c r="AA82">
        <f t="shared" si="299"/>
        <v>200</v>
      </c>
      <c r="AB82">
        <f t="shared" si="300"/>
        <v>40550</v>
      </c>
      <c r="AC82">
        <f>_xlfn.XLOOKUP(B82,'[3]may-2026'!$A:$A,'[3]may-2026'!$C:$C,0,0)</f>
        <v>32500</v>
      </c>
      <c r="AD82">
        <f t="shared" si="301"/>
        <v>5850</v>
      </c>
      <c r="AE82">
        <f t="shared" si="302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3"/>
        <v>42750</v>
      </c>
      <c r="AI82">
        <f>_xlfn.XLOOKUP(B82,'[3]may-2026'!$A:$A,'[3]may-2026'!$H:$H,0,0)</f>
        <v>2000</v>
      </c>
      <c r="AJ82">
        <f>_xlfn.XLOOKUP(B82,'[3]may-2026'!$A:$A,'[3]may-2026'!$I:$I,0,0)</f>
        <v>0</v>
      </c>
      <c r="AK82">
        <f t="shared" si="304"/>
        <v>200</v>
      </c>
      <c r="AL82">
        <f t="shared" si="305"/>
        <v>40550</v>
      </c>
      <c r="AM82">
        <f>_xlfn.XLOOKUP(B82,'[4]june-2026'!$A:$A,'[4]june-2026'!$C:$C,0,0)</f>
        <v>32500</v>
      </c>
      <c r="AN82">
        <f t="shared" si="306"/>
        <v>5850</v>
      </c>
      <c r="AO82">
        <f t="shared" si="307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08"/>
        <v>42750</v>
      </c>
      <c r="AS82">
        <f>_xlfn.XLOOKUP(B82,'[4]june-2026'!$A:$A,'[4]june-2026'!$H:$H,0,0)</f>
        <v>2000</v>
      </c>
      <c r="AT82">
        <f>_xlfn.XLOOKUP(B82,'[4]june-2026'!$A:$A,'[4]june-2026'!$I:$I,0,0)</f>
        <v>0</v>
      </c>
      <c r="AU82">
        <f t="shared" si="309"/>
        <v>200</v>
      </c>
      <c r="AV82">
        <f t="shared" si="310"/>
        <v>40550</v>
      </c>
      <c r="AW82">
        <f>_xlfn.XLOOKUP(B82,'[5]july-2026'!$A:$A,'[5]july-2026'!$C:$C,0,0)</f>
        <v>33500</v>
      </c>
      <c r="AX82">
        <f t="shared" si="311"/>
        <v>6030</v>
      </c>
      <c r="AY82">
        <v>80</v>
      </c>
      <c r="AZ82">
        <f t="shared" si="312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3"/>
        <v>44130</v>
      </c>
      <c r="BD82">
        <f>_xlfn.XLOOKUP(B82,'[5]july-2026'!$A:$A,'[5]july-2026'!$H:$H,0,0)</f>
        <v>2000</v>
      </c>
      <c r="BE82">
        <f>_xlfn.XLOOKUP(B82,'[5]july-2026'!$A:$A,'[5]july-2026'!$I:$I,0,0)</f>
        <v>0</v>
      </c>
      <c r="BF82">
        <f t="shared" si="314"/>
        <v>200</v>
      </c>
      <c r="BG82">
        <f t="shared" si="315"/>
        <v>41930</v>
      </c>
      <c r="BH82">
        <f>_xlfn.XLOOKUP(B82,'[6]august-2026'!$A:$A,'[6]august-2026'!$C:$C,0,0)</f>
        <v>33500</v>
      </c>
      <c r="BI82">
        <f t="shared" si="316"/>
        <v>6030</v>
      </c>
      <c r="BJ82">
        <f t="shared" si="317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18"/>
        <v>44050</v>
      </c>
      <c r="BN82">
        <f>_xlfn.XLOOKUP(B82,'[6]august-2026'!$A:$A,'[6]august-2026'!$H:$H,0,0)</f>
        <v>2000</v>
      </c>
      <c r="BO82">
        <f>_xlfn.XLOOKUP(B82,'[6]august-2026'!$A:$A,'[6]august-2026'!$I:$I,0,0)</f>
        <v>0</v>
      </c>
      <c r="BP82">
        <f t="shared" si="319"/>
        <v>200</v>
      </c>
      <c r="BQ82">
        <f t="shared" si="320"/>
        <v>41850</v>
      </c>
      <c r="BR82">
        <f>_xlfn.XLOOKUP(B82,'[7]september-2026'!$A:$A,'[7]september-2026'!$C:$C,0,0)</f>
        <v>33500</v>
      </c>
      <c r="BS82">
        <f t="shared" si="321"/>
        <v>6030</v>
      </c>
      <c r="BT82">
        <f t="shared" si="322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3"/>
        <v>44050</v>
      </c>
      <c r="BX82">
        <f>_xlfn.XLOOKUP(B82,'[7]september-2026'!$A:$A,'[7]september-2026'!$H:$H,0,0)</f>
        <v>2000</v>
      </c>
      <c r="BY82">
        <f>_xlfn.XLOOKUP(B82,'[7]september-2026'!$A:$A,'[7]september-2026'!$I:$I,0,0)</f>
        <v>0</v>
      </c>
      <c r="BZ82">
        <f t="shared" si="324"/>
        <v>200</v>
      </c>
      <c r="CA82">
        <f t="shared" si="325"/>
        <v>41850</v>
      </c>
      <c r="CB82">
        <f>_xlfn.XLOOKUP(B82,'[8]october-2026'!$A:$A,'[8]october-2026'!$C:$C,0,0)</f>
        <v>33500</v>
      </c>
      <c r="CC82">
        <f t="shared" si="326"/>
        <v>6030</v>
      </c>
      <c r="CD82">
        <f t="shared" si="327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28"/>
        <v>44050</v>
      </c>
      <c r="CH82">
        <f>_xlfn.XLOOKUP(B82,'[8]october-2026'!$A:$A,'[8]october-2026'!$H:$H,0,0)</f>
        <v>2000</v>
      </c>
      <c r="CI82">
        <f>_xlfn.XLOOKUP(B82,'[8]october-2026'!$A:$A,'[8]october-2026'!$I:$I,0,0)</f>
        <v>0</v>
      </c>
      <c r="CJ82">
        <f t="shared" si="329"/>
        <v>200</v>
      </c>
      <c r="CK82">
        <f t="shared" si="330"/>
        <v>41850</v>
      </c>
      <c r="CL82">
        <f>_xlfn.XLOOKUP(B82,'[9]november-2026'!$A:$A,'[9]november-2026'!$C:$C,0,0)</f>
        <v>33500</v>
      </c>
      <c r="CM82">
        <f t="shared" si="331"/>
        <v>6030</v>
      </c>
      <c r="CN82">
        <f t="shared" si="332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3"/>
        <v>44050</v>
      </c>
      <c r="CR82">
        <f>_xlfn.XLOOKUP(B82,'[9]november-2026'!$A:$A,'[9]november-2026'!$H:$H,0,0)</f>
        <v>2000</v>
      </c>
      <c r="CS82">
        <f>_xlfn.XLOOKUP(B82,'[9]november-2026'!$A:$A,'[9]november-2026'!$I:$I,0,0)</f>
        <v>0</v>
      </c>
      <c r="CT82">
        <f t="shared" si="334"/>
        <v>200</v>
      </c>
      <c r="CU82">
        <f t="shared" si="335"/>
        <v>41850</v>
      </c>
      <c r="CV82">
        <f>_xlfn.XLOOKUP(B82,'[10]december-2026'!$A:$A,'[10]december-2026'!$C:$C,0,0)</f>
        <v>33500</v>
      </c>
      <c r="CW82">
        <f t="shared" si="336"/>
        <v>6030</v>
      </c>
      <c r="CX82">
        <f t="shared" si="337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38"/>
        <v>44050</v>
      </c>
      <c r="DB82">
        <f>_xlfn.XLOOKUP(B82,'[10]december-2026'!$A:$A,'[10]december-2026'!$H:$H,0,0)</f>
        <v>2000</v>
      </c>
      <c r="DC82">
        <f>_xlfn.XLOOKUP(B82,'[10]december-2026'!$A:$A,'[10]december-2026'!$I:$I,0,0)</f>
        <v>0</v>
      </c>
      <c r="DD82">
        <f t="shared" si="339"/>
        <v>200</v>
      </c>
      <c r="DE82">
        <f t="shared" si="340"/>
        <v>41850</v>
      </c>
      <c r="DF82">
        <f xml:space="preserve"> _xlfn.XLOOKUP(B82,
'[11]january-2027'!$A:$A,
'[11]january-2027'!$C:$C,
0,0)</f>
        <v>33500</v>
      </c>
      <c r="DG82">
        <f t="shared" si="341"/>
        <v>6030</v>
      </c>
      <c r="DH82">
        <f t="shared" si="342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3"/>
        <v>44050</v>
      </c>
      <c r="DL82">
        <f xml:space="preserve"> _xlfn.XLOOKUP(B82,
'[11]january-2027'!$A:$A,
'[11]january-2027'!$H:$H,
0,0)</f>
        <v>2000</v>
      </c>
      <c r="DM82">
        <f xml:space="preserve"> _xlfn.XLOOKUP(B82,
'[11]january-2027'!$A:$A,
'[11]january-2027'!$I:$I,
0,0)</f>
        <v>0</v>
      </c>
      <c r="DN82">
        <f t="shared" si="344"/>
        <v>200</v>
      </c>
      <c r="DO82">
        <f t="shared" si="345"/>
        <v>41850</v>
      </c>
      <c r="DP82">
        <f xml:space="preserve"> _xlfn.XLOOKUP(B82,
'[12]february-2027'!$A:$A,
'[12]february-2027'!$C:$C,
0,0)</f>
        <v>33500</v>
      </c>
      <c r="DQ82">
        <f t="shared" si="346"/>
        <v>6030</v>
      </c>
      <c r="DR82">
        <f t="shared" si="347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48"/>
        <v>44050</v>
      </c>
      <c r="DV82">
        <f xml:space="preserve"> _xlfn.XLOOKUP(B82,
'[12]february-2027'!$A:$A,
'[12]february-2027'!$H:$H,
0,0)</f>
        <v>2000</v>
      </c>
      <c r="DW82">
        <f xml:space="preserve"> _xlfn.XLOOKUP(B82,
'[12]february-2027'!$A:$A,
'[12]february-2027'!$I:$I,
0,0)</f>
        <v>0</v>
      </c>
      <c r="DX82">
        <f t="shared" si="349"/>
        <v>200</v>
      </c>
      <c r="DY82">
        <f t="shared" si="350"/>
        <v>41850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1"/>
        <v>0</v>
      </c>
      <c r="EM82">
        <f t="shared" si="352"/>
        <v>530280</v>
      </c>
      <c r="EN82">
        <f t="shared" si="353"/>
        <v>2400</v>
      </c>
      <c r="EO82">
        <f t="shared" si="354"/>
        <v>50000</v>
      </c>
      <c r="EP82">
        <v>0</v>
      </c>
      <c r="EQ82">
        <f t="shared" si="355"/>
        <v>477880</v>
      </c>
      <c r="ER82">
        <f t="shared" si="356"/>
        <v>24000</v>
      </c>
      <c r="ES82">
        <f t="shared" si="357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58"/>
        <v>24000</v>
      </c>
      <c r="FE82">
        <f t="shared" si="359"/>
        <v>24000</v>
      </c>
      <c r="FF82">
        <f t="shared" si="360"/>
        <v>453880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>SUM(FG82:FM82)+(IF(F82="YES",50000,0))</f>
        <v>0</v>
      </c>
      <c r="FO82">
        <f t="shared" si="361"/>
        <v>453880</v>
      </c>
      <c r="FP82">
        <f t="shared" si="362"/>
        <v>10194</v>
      </c>
      <c r="FQ82">
        <f t="shared" si="363"/>
        <v>0</v>
      </c>
      <c r="FR82">
        <f t="shared" si="364"/>
        <v>10194</v>
      </c>
      <c r="FS82">
        <f t="shared" si="365"/>
        <v>0</v>
      </c>
      <c r="FT82">
        <f t="shared" si="366"/>
        <v>0</v>
      </c>
      <c r="FU82">
        <f t="shared" si="367"/>
        <v>0</v>
      </c>
      <c r="FV82">
        <v>0</v>
      </c>
      <c r="FW82">
        <f t="shared" si="368"/>
        <v>0</v>
      </c>
      <c r="FX82" t="b">
        <f t="shared" si="369"/>
        <v>1</v>
      </c>
      <c r="FY82">
        <f t="shared" ca="1" si="370"/>
        <v>976</v>
      </c>
      <c r="FZ82">
        <f t="shared" ca="1" si="371"/>
        <v>531256</v>
      </c>
      <c r="GA82">
        <f t="shared" si="372"/>
        <v>75000</v>
      </c>
      <c r="GB82">
        <f t="shared" ca="1" si="373"/>
        <v>456256</v>
      </c>
      <c r="GC82">
        <f t="shared" ca="1" si="374"/>
        <v>0</v>
      </c>
      <c r="GD82">
        <f t="shared" ca="1" si="375"/>
        <v>0</v>
      </c>
      <c r="GE82">
        <f t="shared" ca="1" si="376"/>
        <v>0</v>
      </c>
      <c r="GF82">
        <f t="shared" ca="1" si="377"/>
        <v>0</v>
      </c>
      <c r="GG82">
        <f t="shared" ca="1" si="378"/>
        <v>0</v>
      </c>
      <c r="GH82">
        <f t="shared" ca="1" si="379"/>
        <v>0</v>
      </c>
      <c r="GI82">
        <f ca="1">IF(GB82&gt;1200000,GB82-1200000-IF(F82="YES",50000,0)-GG82,0)</f>
        <v>0</v>
      </c>
      <c r="GJ82">
        <f t="shared" ca="1" si="380"/>
        <v>0</v>
      </c>
      <c r="GK82">
        <f t="shared" ca="1" si="381"/>
        <v>0</v>
      </c>
      <c r="GL82">
        <f t="shared" ca="1" si="382"/>
        <v>0</v>
      </c>
      <c r="GM82">
        <f t="shared" ca="1" si="383"/>
        <v>56256</v>
      </c>
      <c r="GN82">
        <f t="shared" ca="1" si="384"/>
        <v>2812.8</v>
      </c>
      <c r="GO82">
        <f t="shared" ca="1" si="385"/>
        <v>2813</v>
      </c>
      <c r="GP82">
        <f t="shared" ca="1" si="386"/>
        <v>0</v>
      </c>
      <c r="GQ82">
        <f t="shared" ca="1" si="387"/>
        <v>0</v>
      </c>
      <c r="GR82">
        <f t="shared" ca="1" si="388"/>
        <v>2813</v>
      </c>
      <c r="GS82">
        <f t="shared" ca="1" si="389"/>
        <v>0</v>
      </c>
      <c r="GT82" t="b">
        <f t="shared" ca="1" si="390"/>
        <v>0</v>
      </c>
      <c r="GU82">
        <f t="shared" ca="1" si="391"/>
        <v>0</v>
      </c>
      <c r="GV82">
        <f t="shared" ca="1" si="392"/>
        <v>2813</v>
      </c>
      <c r="GW82">
        <f t="shared" ca="1" si="393"/>
        <v>0</v>
      </c>
      <c r="GX82">
        <f t="shared" ca="1" si="394"/>
        <v>0</v>
      </c>
      <c r="GY82">
        <f t="shared" ca="1" si="395"/>
        <v>0</v>
      </c>
    </row>
    <row r="83" spans="1:207" x14ac:dyDescent="0.25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1"/>
        <v>6800</v>
      </c>
      <c r="I83">
        <f>_xlfn.XLOOKUP(B83,'[1]march-2026'!$A:$A,'[1]march-2026'!$C:$C,0,0)</f>
        <v>29800</v>
      </c>
      <c r="J83">
        <f t="shared" si="396"/>
        <v>5364</v>
      </c>
      <c r="K83">
        <f t="shared" si="292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3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4"/>
        <v>150</v>
      </c>
      <c r="R83">
        <f t="shared" si="295"/>
        <v>36590</v>
      </c>
      <c r="S83">
        <f>_xlfn.XLOOKUP(B83,'[2]april-2026'!$A:$A,'[2]april-2026'!$C:$C,0,0)</f>
        <v>29800</v>
      </c>
      <c r="T83">
        <f t="shared" si="296"/>
        <v>5364</v>
      </c>
      <c r="U83">
        <f t="shared" si="297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298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299"/>
        <v>150</v>
      </c>
      <c r="AB83">
        <f t="shared" si="300"/>
        <v>36590</v>
      </c>
      <c r="AC83">
        <f>_xlfn.XLOOKUP(B83,'[3]may-2026'!$A:$A,'[3]may-2026'!$C:$C,0,0)</f>
        <v>29800</v>
      </c>
      <c r="AD83">
        <f t="shared" si="301"/>
        <v>5364</v>
      </c>
      <c r="AE83">
        <f t="shared" si="302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3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4"/>
        <v>150</v>
      </c>
      <c r="AL83">
        <f t="shared" si="305"/>
        <v>36590</v>
      </c>
      <c r="AM83">
        <f>_xlfn.XLOOKUP(B83,'[4]june-2026'!$A:$A,'[4]june-2026'!$C:$C,0,0)</f>
        <v>29800</v>
      </c>
      <c r="AN83">
        <f t="shared" si="306"/>
        <v>5364</v>
      </c>
      <c r="AO83">
        <f t="shared" si="307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08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09"/>
        <v>150</v>
      </c>
      <c r="AV83">
        <f t="shared" si="310"/>
        <v>36590</v>
      </c>
      <c r="AW83">
        <f>_xlfn.XLOOKUP(B83,'[5]july-2026'!$A:$A,'[5]july-2026'!$C:$C,0,0)</f>
        <v>30700</v>
      </c>
      <c r="AX83">
        <f t="shared" si="311"/>
        <v>5526</v>
      </c>
      <c r="AY83">
        <v>81</v>
      </c>
      <c r="AZ83">
        <f t="shared" si="312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3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4"/>
        <v>150</v>
      </c>
      <c r="BG83">
        <f t="shared" si="315"/>
        <v>37841</v>
      </c>
      <c r="BH83">
        <f>_xlfn.XLOOKUP(B83,'[6]august-2026'!$A:$A,'[6]august-2026'!$C:$C,0,0)</f>
        <v>30700</v>
      </c>
      <c r="BI83">
        <f t="shared" si="316"/>
        <v>5526</v>
      </c>
      <c r="BJ83">
        <f t="shared" si="317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18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19"/>
        <v>150</v>
      </c>
      <c r="BQ83">
        <f t="shared" si="320"/>
        <v>37760</v>
      </c>
      <c r="BR83">
        <f>_xlfn.XLOOKUP(B83,'[7]september-2026'!$A:$A,'[7]september-2026'!$C:$C,0,0)</f>
        <v>30700</v>
      </c>
      <c r="BS83">
        <f t="shared" si="321"/>
        <v>5526</v>
      </c>
      <c r="BT83">
        <f t="shared" si="322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3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4"/>
        <v>150</v>
      </c>
      <c r="CA83">
        <f t="shared" si="325"/>
        <v>37760</v>
      </c>
      <c r="CB83">
        <f>_xlfn.XLOOKUP(B83,'[8]october-2026'!$A:$A,'[8]october-2026'!$C:$C,0,0)</f>
        <v>30700</v>
      </c>
      <c r="CC83">
        <f t="shared" si="326"/>
        <v>5526</v>
      </c>
      <c r="CD83">
        <f t="shared" si="327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28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29"/>
        <v>150</v>
      </c>
      <c r="CK83">
        <f t="shared" si="330"/>
        <v>37760</v>
      </c>
      <c r="CL83">
        <f>_xlfn.XLOOKUP(B83,'[9]november-2026'!$A:$A,'[9]november-2026'!$C:$C,0,0)</f>
        <v>30700</v>
      </c>
      <c r="CM83">
        <f t="shared" si="331"/>
        <v>5526</v>
      </c>
      <c r="CN83">
        <f t="shared" si="332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3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4"/>
        <v>150</v>
      </c>
      <c r="CU83">
        <f t="shared" si="335"/>
        <v>37760</v>
      </c>
      <c r="CV83">
        <f>_xlfn.XLOOKUP(B83,'[10]december-2026'!$A:$A,'[10]december-2026'!$C:$C,0,0)</f>
        <v>30700</v>
      </c>
      <c r="CW83">
        <f t="shared" si="336"/>
        <v>5526</v>
      </c>
      <c r="CX83">
        <f t="shared" si="337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38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39"/>
        <v>150</v>
      </c>
      <c r="DE83">
        <f t="shared" si="340"/>
        <v>37760</v>
      </c>
      <c r="DF83">
        <f xml:space="preserve"> _xlfn.XLOOKUP(B83,
'[11]january-2027'!$A:$A,
'[11]january-2027'!$C:$C,
0,0)</f>
        <v>30700</v>
      </c>
      <c r="DG83">
        <f t="shared" si="341"/>
        <v>5526</v>
      </c>
      <c r="DH83">
        <f t="shared" si="342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3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4"/>
        <v>150</v>
      </c>
      <c r="DO83">
        <f t="shared" si="345"/>
        <v>37760</v>
      </c>
      <c r="DP83">
        <f xml:space="preserve"> _xlfn.XLOOKUP(B83,
'[12]february-2027'!$A:$A,
'[12]february-2027'!$C:$C,
0,0)</f>
        <v>30700</v>
      </c>
      <c r="DQ83">
        <f t="shared" si="346"/>
        <v>5526</v>
      </c>
      <c r="DR83">
        <f t="shared" si="347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48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49"/>
        <v>150</v>
      </c>
      <c r="DY83">
        <f t="shared" si="350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1"/>
        <v>0</v>
      </c>
      <c r="EM83">
        <f t="shared" si="352"/>
        <v>481121</v>
      </c>
      <c r="EN83">
        <f t="shared" si="353"/>
        <v>1800</v>
      </c>
      <c r="EO83">
        <f t="shared" si="354"/>
        <v>50000</v>
      </c>
      <c r="EP83">
        <v>0</v>
      </c>
      <c r="EQ83">
        <f t="shared" si="355"/>
        <v>429321</v>
      </c>
      <c r="ER83">
        <f t="shared" si="356"/>
        <v>24000</v>
      </c>
      <c r="ES83">
        <f t="shared" si="357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58"/>
        <v>24000</v>
      </c>
      <c r="FE83">
        <f t="shared" si="359"/>
        <v>24000</v>
      </c>
      <c r="FF83">
        <f t="shared" si="360"/>
        <v>405321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>SUM(FG83:FM83)+(IF(F83="YES",50000,0))</f>
        <v>0</v>
      </c>
      <c r="FO83">
        <f t="shared" si="361"/>
        <v>405321</v>
      </c>
      <c r="FP83">
        <f t="shared" si="362"/>
        <v>7766</v>
      </c>
      <c r="FQ83">
        <f t="shared" si="363"/>
        <v>0</v>
      </c>
      <c r="FR83">
        <f t="shared" si="364"/>
        <v>7766</v>
      </c>
      <c r="FS83">
        <f t="shared" si="365"/>
        <v>0</v>
      </c>
      <c r="FT83">
        <f t="shared" si="366"/>
        <v>0</v>
      </c>
      <c r="FU83">
        <f t="shared" si="367"/>
        <v>0</v>
      </c>
      <c r="FV83">
        <v>0</v>
      </c>
      <c r="FW83">
        <f t="shared" si="368"/>
        <v>0</v>
      </c>
      <c r="FX83" t="b">
        <f t="shared" si="369"/>
        <v>0</v>
      </c>
      <c r="FY83">
        <f t="shared" ca="1" si="370"/>
        <v>2417</v>
      </c>
      <c r="FZ83">
        <f t="shared" ca="1" si="371"/>
        <v>483538</v>
      </c>
      <c r="GA83">
        <f t="shared" si="372"/>
        <v>75000</v>
      </c>
      <c r="GB83">
        <f t="shared" ca="1" si="373"/>
        <v>408538</v>
      </c>
      <c r="GC83">
        <f t="shared" ca="1" si="374"/>
        <v>0</v>
      </c>
      <c r="GD83">
        <f t="shared" ca="1" si="375"/>
        <v>0</v>
      </c>
      <c r="GE83">
        <f t="shared" ca="1" si="376"/>
        <v>0</v>
      </c>
      <c r="GF83">
        <f t="shared" ca="1" si="377"/>
        <v>0</v>
      </c>
      <c r="GG83">
        <f t="shared" ca="1" si="378"/>
        <v>0</v>
      </c>
      <c r="GH83">
        <f t="shared" ca="1" si="379"/>
        <v>0</v>
      </c>
      <c r="GI83">
        <f ca="1">IF(GB83&gt;1200000,GB83-1200000-IF(F83="YES",50000,0)-GG83,0)</f>
        <v>0</v>
      </c>
      <c r="GJ83">
        <f t="shared" ca="1" si="380"/>
        <v>0</v>
      </c>
      <c r="GK83">
        <f t="shared" ca="1" si="381"/>
        <v>0</v>
      </c>
      <c r="GL83">
        <f t="shared" ca="1" si="382"/>
        <v>0</v>
      </c>
      <c r="GM83">
        <f t="shared" ca="1" si="383"/>
        <v>8538</v>
      </c>
      <c r="GN83">
        <f t="shared" ca="1" si="384"/>
        <v>426.90000000000003</v>
      </c>
      <c r="GO83">
        <f t="shared" ca="1" si="385"/>
        <v>427</v>
      </c>
      <c r="GP83">
        <f t="shared" ca="1" si="386"/>
        <v>0</v>
      </c>
      <c r="GQ83">
        <f t="shared" ca="1" si="387"/>
        <v>0</v>
      </c>
      <c r="GR83">
        <f t="shared" ca="1" si="388"/>
        <v>427</v>
      </c>
      <c r="GS83">
        <f t="shared" ca="1" si="389"/>
        <v>0</v>
      </c>
      <c r="GT83" t="b">
        <f t="shared" ca="1" si="390"/>
        <v>0</v>
      </c>
      <c r="GU83">
        <f t="shared" ca="1" si="391"/>
        <v>0</v>
      </c>
      <c r="GV83">
        <f t="shared" ca="1" si="392"/>
        <v>427</v>
      </c>
      <c r="GW83">
        <f t="shared" ca="1" si="393"/>
        <v>0</v>
      </c>
      <c r="GX83">
        <f t="shared" ca="1" si="394"/>
        <v>0</v>
      </c>
      <c r="GY83">
        <f t="shared" ca="1" si="395"/>
        <v>0</v>
      </c>
    </row>
    <row r="84" spans="1:207" x14ac:dyDescent="0.25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1"/>
        <v>6800</v>
      </c>
      <c r="I84">
        <f>_xlfn.XLOOKUP(B84,'[1]march-2026'!$A:$A,'[1]march-2026'!$C:$C,0,0)</f>
        <v>35500</v>
      </c>
      <c r="J84">
        <f t="shared" si="396"/>
        <v>6390</v>
      </c>
      <c r="K84">
        <f t="shared" si="292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3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4"/>
        <v>200</v>
      </c>
      <c r="R84">
        <f t="shared" si="295"/>
        <v>44350</v>
      </c>
      <c r="S84">
        <f>_xlfn.XLOOKUP(B84,'[2]april-2026'!$A:$A,'[2]april-2026'!$C:$C,0,0)</f>
        <v>35500</v>
      </c>
      <c r="T84">
        <f t="shared" si="296"/>
        <v>6390</v>
      </c>
      <c r="U84">
        <f t="shared" si="297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298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299"/>
        <v>200</v>
      </c>
      <c r="AB84">
        <f t="shared" si="300"/>
        <v>44350</v>
      </c>
      <c r="AC84">
        <f>_xlfn.XLOOKUP(B84,'[3]may-2026'!$A:$A,'[3]may-2026'!$C:$C,0,0)</f>
        <v>35500</v>
      </c>
      <c r="AD84">
        <f t="shared" si="301"/>
        <v>6390</v>
      </c>
      <c r="AE84">
        <f t="shared" si="302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3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4"/>
        <v>200</v>
      </c>
      <c r="AL84">
        <f t="shared" si="305"/>
        <v>44350</v>
      </c>
      <c r="AM84">
        <f>_xlfn.XLOOKUP(B84,'[4]june-2026'!$A:$A,'[4]june-2026'!$C:$C,0,0)</f>
        <v>35500</v>
      </c>
      <c r="AN84">
        <f t="shared" si="306"/>
        <v>6390</v>
      </c>
      <c r="AO84">
        <f t="shared" si="307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08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09"/>
        <v>200</v>
      </c>
      <c r="AV84">
        <f t="shared" si="310"/>
        <v>44350</v>
      </c>
      <c r="AW84">
        <f>_xlfn.XLOOKUP(B84,'[5]july-2026'!$A:$A,'[5]july-2026'!$C:$C,0,0)</f>
        <v>36600</v>
      </c>
      <c r="AX84">
        <f t="shared" si="311"/>
        <v>6588</v>
      </c>
      <c r="AY84">
        <v>82</v>
      </c>
      <c r="AZ84">
        <f t="shared" si="312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3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4"/>
        <v>200</v>
      </c>
      <c r="BG84">
        <f t="shared" si="315"/>
        <v>45862</v>
      </c>
      <c r="BH84">
        <f>_xlfn.XLOOKUP(B84,'[6]august-2026'!$A:$A,'[6]august-2026'!$C:$C,0,0)</f>
        <v>36600</v>
      </c>
      <c r="BI84">
        <f t="shared" si="316"/>
        <v>6588</v>
      </c>
      <c r="BJ84">
        <f t="shared" si="317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18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19"/>
        <v>200</v>
      </c>
      <c r="BQ84">
        <f t="shared" si="320"/>
        <v>45780</v>
      </c>
      <c r="BR84">
        <f>_xlfn.XLOOKUP(B84,'[7]september-2026'!$A:$A,'[7]september-2026'!$C:$C,0,0)</f>
        <v>36600</v>
      </c>
      <c r="BS84">
        <f t="shared" si="321"/>
        <v>6588</v>
      </c>
      <c r="BT84">
        <f t="shared" si="322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3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4"/>
        <v>200</v>
      </c>
      <c r="CA84">
        <f t="shared" si="325"/>
        <v>45780</v>
      </c>
      <c r="CB84">
        <f>_xlfn.XLOOKUP(B84,'[8]october-2026'!$A:$A,'[8]october-2026'!$C:$C,0,0)</f>
        <v>36600</v>
      </c>
      <c r="CC84">
        <f t="shared" si="326"/>
        <v>6588</v>
      </c>
      <c r="CD84">
        <f t="shared" si="327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28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29"/>
        <v>200</v>
      </c>
      <c r="CK84">
        <f t="shared" si="330"/>
        <v>45780</v>
      </c>
      <c r="CL84">
        <f>_xlfn.XLOOKUP(B84,'[9]november-2026'!$A:$A,'[9]november-2026'!$C:$C,0,0)</f>
        <v>36600</v>
      </c>
      <c r="CM84">
        <f t="shared" si="331"/>
        <v>6588</v>
      </c>
      <c r="CN84">
        <f t="shared" si="332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3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4"/>
        <v>200</v>
      </c>
      <c r="CU84">
        <f t="shared" si="335"/>
        <v>45780</v>
      </c>
      <c r="CV84">
        <f>_xlfn.XLOOKUP(B84,'[10]december-2026'!$A:$A,'[10]december-2026'!$C:$C,0,0)</f>
        <v>36600</v>
      </c>
      <c r="CW84">
        <f t="shared" si="336"/>
        <v>6588</v>
      </c>
      <c r="CX84">
        <f t="shared" si="337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38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39"/>
        <v>200</v>
      </c>
      <c r="DE84">
        <f t="shared" si="340"/>
        <v>45780</v>
      </c>
      <c r="DF84">
        <f xml:space="preserve"> _xlfn.XLOOKUP(B84,
'[11]january-2027'!$A:$A,
'[11]january-2027'!$C:$C,
0,0)</f>
        <v>36600</v>
      </c>
      <c r="DG84">
        <f t="shared" si="341"/>
        <v>6588</v>
      </c>
      <c r="DH84">
        <f t="shared" si="342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3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4"/>
        <v>200</v>
      </c>
      <c r="DO84">
        <f t="shared" si="345"/>
        <v>45780</v>
      </c>
      <c r="DP84">
        <f xml:space="preserve"> _xlfn.XLOOKUP(B84,
'[12]february-2027'!$A:$A,
'[12]february-2027'!$C:$C,
0,0)</f>
        <v>36600</v>
      </c>
      <c r="DQ84">
        <f t="shared" si="346"/>
        <v>6588</v>
      </c>
      <c r="DR84">
        <f t="shared" si="347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48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49"/>
        <v>200</v>
      </c>
      <c r="DY84">
        <f t="shared" si="350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1"/>
        <v>0</v>
      </c>
      <c r="EM84">
        <f t="shared" si="352"/>
        <v>582922</v>
      </c>
      <c r="EN84">
        <f t="shared" si="353"/>
        <v>2400</v>
      </c>
      <c r="EO84">
        <f t="shared" si="354"/>
        <v>50000</v>
      </c>
      <c r="EP84">
        <v>0</v>
      </c>
      <c r="EQ84">
        <f t="shared" si="355"/>
        <v>530522</v>
      </c>
      <c r="ER84">
        <f t="shared" si="356"/>
        <v>30000</v>
      </c>
      <c r="ES84">
        <f t="shared" si="357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58"/>
        <v>30000</v>
      </c>
      <c r="FE84">
        <f t="shared" si="359"/>
        <v>30000</v>
      </c>
      <c r="FF84">
        <f t="shared" si="360"/>
        <v>500522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>SUM(FG84:FM84)+(IF(F84="YES",50000,0))</f>
        <v>0</v>
      </c>
      <c r="FO84">
        <f t="shared" si="361"/>
        <v>500522</v>
      </c>
      <c r="FP84">
        <f t="shared" si="362"/>
        <v>12500</v>
      </c>
      <c r="FQ84">
        <f t="shared" si="363"/>
        <v>104</v>
      </c>
      <c r="FR84">
        <f t="shared" si="364"/>
        <v>12604</v>
      </c>
      <c r="FS84">
        <f t="shared" si="365"/>
        <v>12604</v>
      </c>
      <c r="FT84">
        <f t="shared" si="366"/>
        <v>504.16</v>
      </c>
      <c r="FU84">
        <f t="shared" si="367"/>
        <v>13108</v>
      </c>
      <c r="FV84">
        <v>0</v>
      </c>
      <c r="FW84">
        <f t="shared" si="368"/>
        <v>13108</v>
      </c>
      <c r="FX84" t="b">
        <f t="shared" si="369"/>
        <v>1</v>
      </c>
      <c r="FY84">
        <f t="shared" ca="1" si="370"/>
        <v>622</v>
      </c>
      <c r="FZ84">
        <f t="shared" ca="1" si="371"/>
        <v>583544</v>
      </c>
      <c r="GA84">
        <f t="shared" si="372"/>
        <v>75000</v>
      </c>
      <c r="GB84">
        <f t="shared" ca="1" si="373"/>
        <v>508544</v>
      </c>
      <c r="GC84">
        <f t="shared" ca="1" si="374"/>
        <v>0</v>
      </c>
      <c r="GD84">
        <f t="shared" ca="1" si="375"/>
        <v>0</v>
      </c>
      <c r="GE84">
        <f t="shared" ca="1" si="376"/>
        <v>0</v>
      </c>
      <c r="GF84">
        <f t="shared" ca="1" si="377"/>
        <v>0</v>
      </c>
      <c r="GG84">
        <f t="shared" ca="1" si="378"/>
        <v>0</v>
      </c>
      <c r="GH84">
        <f t="shared" ca="1" si="379"/>
        <v>0</v>
      </c>
      <c r="GI84">
        <f ca="1">IF(GB84&gt;1200000,GB84-1200000-IF(F84="YES",50000,0)-GG84,0)</f>
        <v>0</v>
      </c>
      <c r="GJ84">
        <f t="shared" ca="1" si="380"/>
        <v>0</v>
      </c>
      <c r="GK84">
        <f t="shared" ca="1" si="381"/>
        <v>0</v>
      </c>
      <c r="GL84">
        <f t="shared" ca="1" si="382"/>
        <v>0</v>
      </c>
      <c r="GM84">
        <f t="shared" ca="1" si="383"/>
        <v>108544</v>
      </c>
      <c r="GN84">
        <f t="shared" ca="1" si="384"/>
        <v>5427.2000000000007</v>
      </c>
      <c r="GO84">
        <f t="shared" ca="1" si="385"/>
        <v>5427</v>
      </c>
      <c r="GP84">
        <f t="shared" ca="1" si="386"/>
        <v>0</v>
      </c>
      <c r="GQ84">
        <f t="shared" ca="1" si="387"/>
        <v>0</v>
      </c>
      <c r="GR84">
        <f t="shared" ca="1" si="388"/>
        <v>5427</v>
      </c>
      <c r="GS84">
        <f t="shared" ca="1" si="389"/>
        <v>0</v>
      </c>
      <c r="GT84" t="b">
        <f t="shared" ca="1" si="390"/>
        <v>0</v>
      </c>
      <c r="GU84">
        <f t="shared" ca="1" si="391"/>
        <v>0</v>
      </c>
      <c r="GV84">
        <f t="shared" ca="1" si="392"/>
        <v>5427</v>
      </c>
      <c r="GW84">
        <f t="shared" ca="1" si="393"/>
        <v>0</v>
      </c>
      <c r="GX84">
        <f t="shared" ca="1" si="394"/>
        <v>0</v>
      </c>
      <c r="GY84">
        <f t="shared" ca="1" si="395"/>
        <v>0</v>
      </c>
    </row>
    <row r="85" spans="1:207" x14ac:dyDescent="0.25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1"/>
        <v>6800</v>
      </c>
      <c r="I85">
        <f>_xlfn.XLOOKUP(B85,'[1]march-2026'!$A:$A,'[1]march-2026'!$C:$C,0,0)</f>
        <v>34500</v>
      </c>
      <c r="J85">
        <f t="shared" si="396"/>
        <v>6210</v>
      </c>
      <c r="K85">
        <f t="shared" si="292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3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4"/>
        <v>200</v>
      </c>
      <c r="R85">
        <f t="shared" si="295"/>
        <v>42150</v>
      </c>
      <c r="S85">
        <f>_xlfn.XLOOKUP(B85,'[2]april-2026'!$A:$A,'[2]april-2026'!$C:$C,0,0)</f>
        <v>34500</v>
      </c>
      <c r="T85">
        <f t="shared" si="296"/>
        <v>6210</v>
      </c>
      <c r="U85">
        <f t="shared" si="297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298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299"/>
        <v>200</v>
      </c>
      <c r="AB85">
        <f t="shared" si="300"/>
        <v>42150</v>
      </c>
      <c r="AC85">
        <f>_xlfn.XLOOKUP(B85,'[3]may-2026'!$A:$A,'[3]may-2026'!$C:$C,0,0)</f>
        <v>34500</v>
      </c>
      <c r="AD85">
        <f t="shared" si="301"/>
        <v>6210</v>
      </c>
      <c r="AE85">
        <f t="shared" si="302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3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4"/>
        <v>200</v>
      </c>
      <c r="AL85">
        <f t="shared" si="305"/>
        <v>42150</v>
      </c>
      <c r="AM85">
        <f>_xlfn.XLOOKUP(B85,'[4]june-2026'!$A:$A,'[4]june-2026'!$C:$C,0,0)</f>
        <v>34500</v>
      </c>
      <c r="AN85">
        <f t="shared" si="306"/>
        <v>6210</v>
      </c>
      <c r="AO85">
        <f t="shared" si="307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08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09"/>
        <v>200</v>
      </c>
      <c r="AV85">
        <f t="shared" si="310"/>
        <v>42150</v>
      </c>
      <c r="AW85">
        <f>_xlfn.XLOOKUP(B85,'[5]july-2026'!$A:$A,'[5]july-2026'!$C:$C,0,0)</f>
        <v>35500</v>
      </c>
      <c r="AX85">
        <f t="shared" si="311"/>
        <v>6390</v>
      </c>
      <c r="AY85">
        <v>83</v>
      </c>
      <c r="AZ85">
        <f t="shared" si="312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3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4"/>
        <v>200</v>
      </c>
      <c r="BG85">
        <f t="shared" si="315"/>
        <v>43533</v>
      </c>
      <c r="BH85">
        <f>_xlfn.XLOOKUP(B85,'[6]august-2026'!$A:$A,'[6]august-2026'!$C:$C,0,0)</f>
        <v>35500</v>
      </c>
      <c r="BI85">
        <f t="shared" si="316"/>
        <v>6390</v>
      </c>
      <c r="BJ85">
        <f t="shared" si="317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18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19"/>
        <v>200</v>
      </c>
      <c r="BQ85">
        <f t="shared" si="320"/>
        <v>43450</v>
      </c>
      <c r="BR85">
        <f>_xlfn.XLOOKUP(B85,'[7]september-2026'!$A:$A,'[7]september-2026'!$C:$C,0,0)</f>
        <v>35500</v>
      </c>
      <c r="BS85">
        <f t="shared" si="321"/>
        <v>6390</v>
      </c>
      <c r="BT85">
        <f t="shared" si="322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3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4"/>
        <v>200</v>
      </c>
      <c r="CA85">
        <f t="shared" si="325"/>
        <v>43450</v>
      </c>
      <c r="CB85">
        <f>_xlfn.XLOOKUP(B85,'[8]october-2026'!$A:$A,'[8]october-2026'!$C:$C,0,0)</f>
        <v>35500</v>
      </c>
      <c r="CC85">
        <f t="shared" si="326"/>
        <v>6390</v>
      </c>
      <c r="CD85">
        <f t="shared" si="327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28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29"/>
        <v>200</v>
      </c>
      <c r="CK85">
        <f t="shared" si="330"/>
        <v>43450</v>
      </c>
      <c r="CL85">
        <f>_xlfn.XLOOKUP(B85,'[9]november-2026'!$A:$A,'[9]november-2026'!$C:$C,0,0)</f>
        <v>35500</v>
      </c>
      <c r="CM85">
        <f t="shared" si="331"/>
        <v>6390</v>
      </c>
      <c r="CN85">
        <f t="shared" si="332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3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4"/>
        <v>200</v>
      </c>
      <c r="CU85">
        <f t="shared" si="335"/>
        <v>43450</v>
      </c>
      <c r="CV85">
        <f>_xlfn.XLOOKUP(B85,'[10]december-2026'!$A:$A,'[10]december-2026'!$C:$C,0,0)</f>
        <v>35500</v>
      </c>
      <c r="CW85">
        <f t="shared" si="336"/>
        <v>6390</v>
      </c>
      <c r="CX85">
        <f t="shared" si="337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38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39"/>
        <v>200</v>
      </c>
      <c r="DE85">
        <f t="shared" si="340"/>
        <v>43450</v>
      </c>
      <c r="DF85">
        <f xml:space="preserve"> _xlfn.XLOOKUP(B85,
'[11]january-2027'!$A:$A,
'[11]january-2027'!$C:$C,
0,0)</f>
        <v>35500</v>
      </c>
      <c r="DG85">
        <f t="shared" si="341"/>
        <v>6390</v>
      </c>
      <c r="DH85">
        <f t="shared" si="342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3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4"/>
        <v>200</v>
      </c>
      <c r="DO85">
        <f t="shared" si="345"/>
        <v>43450</v>
      </c>
      <c r="DP85">
        <f xml:space="preserve"> _xlfn.XLOOKUP(B85,
'[12]february-2027'!$A:$A,
'[12]february-2027'!$C:$C,
0,0)</f>
        <v>35500</v>
      </c>
      <c r="DQ85">
        <f t="shared" si="346"/>
        <v>6390</v>
      </c>
      <c r="DR85">
        <f t="shared" si="347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48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49"/>
        <v>200</v>
      </c>
      <c r="DY85">
        <f t="shared" si="350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1"/>
        <v>0</v>
      </c>
      <c r="EM85">
        <f t="shared" si="352"/>
        <v>555483</v>
      </c>
      <c r="EN85">
        <f t="shared" si="353"/>
        <v>2400</v>
      </c>
      <c r="EO85">
        <f t="shared" si="354"/>
        <v>50000</v>
      </c>
      <c r="EP85">
        <v>0</v>
      </c>
      <c r="EQ85">
        <f t="shared" si="355"/>
        <v>503083</v>
      </c>
      <c r="ER85">
        <f t="shared" si="356"/>
        <v>30000</v>
      </c>
      <c r="ES85">
        <f t="shared" si="357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58"/>
        <v>30000</v>
      </c>
      <c r="FE85">
        <f t="shared" si="359"/>
        <v>30000</v>
      </c>
      <c r="FF85">
        <f t="shared" si="360"/>
        <v>473083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>SUM(FG85:FM85)+(IF(F85="YES",50000,0))</f>
        <v>0</v>
      </c>
      <c r="FO85">
        <f t="shared" si="361"/>
        <v>473083</v>
      </c>
      <c r="FP85">
        <f t="shared" si="362"/>
        <v>11154</v>
      </c>
      <c r="FQ85">
        <f t="shared" si="363"/>
        <v>0</v>
      </c>
      <c r="FR85">
        <f t="shared" si="364"/>
        <v>11154</v>
      </c>
      <c r="FS85">
        <f t="shared" si="365"/>
        <v>0</v>
      </c>
      <c r="FT85">
        <f t="shared" si="366"/>
        <v>0</v>
      </c>
      <c r="FU85">
        <f t="shared" si="367"/>
        <v>0</v>
      </c>
      <c r="FV85">
        <v>0</v>
      </c>
      <c r="FW85">
        <f t="shared" si="368"/>
        <v>0</v>
      </c>
      <c r="FX85" t="b">
        <f t="shared" si="369"/>
        <v>1</v>
      </c>
      <c r="FY85">
        <f t="shared" ca="1" si="370"/>
        <v>523</v>
      </c>
      <c r="FZ85">
        <f t="shared" ca="1" si="371"/>
        <v>556006</v>
      </c>
      <c r="GA85">
        <f t="shared" si="372"/>
        <v>75000</v>
      </c>
      <c r="GB85">
        <f t="shared" ca="1" si="373"/>
        <v>481006</v>
      </c>
      <c r="GC85">
        <f t="shared" ca="1" si="374"/>
        <v>0</v>
      </c>
      <c r="GD85">
        <f t="shared" ca="1" si="375"/>
        <v>0</v>
      </c>
      <c r="GE85">
        <f t="shared" ca="1" si="376"/>
        <v>0</v>
      </c>
      <c r="GF85">
        <f t="shared" ca="1" si="377"/>
        <v>0</v>
      </c>
      <c r="GG85">
        <f t="shared" ca="1" si="378"/>
        <v>0</v>
      </c>
      <c r="GH85">
        <f t="shared" ca="1" si="379"/>
        <v>0</v>
      </c>
      <c r="GI85">
        <f ca="1">IF(GB85&gt;1200000,GB85-1200000-IF(F85="YES",50000,0)-GG85,0)</f>
        <v>0</v>
      </c>
      <c r="GJ85">
        <f t="shared" ca="1" si="380"/>
        <v>0</v>
      </c>
      <c r="GK85">
        <f t="shared" ca="1" si="381"/>
        <v>0</v>
      </c>
      <c r="GL85">
        <f t="shared" ca="1" si="382"/>
        <v>0</v>
      </c>
      <c r="GM85">
        <f t="shared" ca="1" si="383"/>
        <v>81006</v>
      </c>
      <c r="GN85">
        <f t="shared" ca="1" si="384"/>
        <v>4050.3</v>
      </c>
      <c r="GO85">
        <f t="shared" ca="1" si="385"/>
        <v>4050</v>
      </c>
      <c r="GP85">
        <f t="shared" ca="1" si="386"/>
        <v>0</v>
      </c>
      <c r="GQ85">
        <f t="shared" ca="1" si="387"/>
        <v>0</v>
      </c>
      <c r="GR85">
        <f t="shared" ca="1" si="388"/>
        <v>4050</v>
      </c>
      <c r="GS85">
        <f t="shared" ca="1" si="389"/>
        <v>0</v>
      </c>
      <c r="GT85" t="b">
        <f t="shared" ca="1" si="390"/>
        <v>0</v>
      </c>
      <c r="GU85">
        <f t="shared" ca="1" si="391"/>
        <v>0</v>
      </c>
      <c r="GV85">
        <f t="shared" ca="1" si="392"/>
        <v>4050</v>
      </c>
      <c r="GW85">
        <f t="shared" ca="1" si="393"/>
        <v>0</v>
      </c>
      <c r="GX85">
        <f t="shared" ca="1" si="394"/>
        <v>0</v>
      </c>
      <c r="GY85">
        <f t="shared" ca="1" si="395"/>
        <v>0</v>
      </c>
    </row>
    <row r="86" spans="1:207" x14ac:dyDescent="0.25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1"/>
        <v>6800</v>
      </c>
      <c r="I86">
        <f>_xlfn.XLOOKUP(B86,'[1]march-2026'!$A:$A,'[1]march-2026'!$C:$C,0,0)</f>
        <v>34500</v>
      </c>
      <c r="J86">
        <f t="shared" si="396"/>
        <v>6210</v>
      </c>
      <c r="K86">
        <f t="shared" si="292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3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4"/>
        <v>200</v>
      </c>
      <c r="R86">
        <f t="shared" si="295"/>
        <v>42550</v>
      </c>
      <c r="S86">
        <f>_xlfn.XLOOKUP(B86,'[2]april-2026'!$A:$A,'[2]april-2026'!$C:$C,0,0)</f>
        <v>34500</v>
      </c>
      <c r="T86">
        <f t="shared" si="296"/>
        <v>6210</v>
      </c>
      <c r="U86">
        <f t="shared" si="297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298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299"/>
        <v>200</v>
      </c>
      <c r="AB86">
        <f t="shared" si="300"/>
        <v>42550</v>
      </c>
      <c r="AC86">
        <f>_xlfn.XLOOKUP(B86,'[3]may-2026'!$A:$A,'[3]may-2026'!$C:$C,0,0)</f>
        <v>34500</v>
      </c>
      <c r="AD86">
        <f t="shared" si="301"/>
        <v>6210</v>
      </c>
      <c r="AE86">
        <f t="shared" si="302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3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4"/>
        <v>200</v>
      </c>
      <c r="AL86">
        <f t="shared" si="305"/>
        <v>42550</v>
      </c>
      <c r="AM86">
        <f>_xlfn.XLOOKUP(B86,'[4]june-2026'!$A:$A,'[4]june-2026'!$C:$C,0,0)</f>
        <v>34500</v>
      </c>
      <c r="AN86">
        <f t="shared" si="306"/>
        <v>6210</v>
      </c>
      <c r="AO86">
        <f t="shared" si="307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08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09"/>
        <v>200</v>
      </c>
      <c r="AV86">
        <f t="shared" si="310"/>
        <v>42550</v>
      </c>
      <c r="AW86">
        <f>_xlfn.XLOOKUP(B86,'[5]july-2026'!$A:$A,'[5]july-2026'!$C:$C,0,0)</f>
        <v>35500</v>
      </c>
      <c r="AX86">
        <f t="shared" si="311"/>
        <v>6390</v>
      </c>
      <c r="AY86">
        <v>84</v>
      </c>
      <c r="AZ86">
        <f t="shared" si="312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3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4"/>
        <v>200</v>
      </c>
      <c r="BG86">
        <f t="shared" si="315"/>
        <v>43934</v>
      </c>
      <c r="BH86">
        <f>_xlfn.XLOOKUP(B86,'[6]august-2026'!$A:$A,'[6]august-2026'!$C:$C,0,0)</f>
        <v>35500</v>
      </c>
      <c r="BI86">
        <f t="shared" si="316"/>
        <v>6390</v>
      </c>
      <c r="BJ86">
        <f t="shared" si="317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18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19"/>
        <v>200</v>
      </c>
      <c r="BQ86">
        <f t="shared" si="320"/>
        <v>43850</v>
      </c>
      <c r="BR86">
        <f>_xlfn.XLOOKUP(B86,'[7]september-2026'!$A:$A,'[7]september-2026'!$C:$C,0,0)</f>
        <v>35500</v>
      </c>
      <c r="BS86">
        <f t="shared" si="321"/>
        <v>6390</v>
      </c>
      <c r="BT86">
        <f t="shared" si="322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3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4"/>
        <v>200</v>
      </c>
      <c r="CA86">
        <f t="shared" si="325"/>
        <v>43850</v>
      </c>
      <c r="CB86">
        <f>_xlfn.XLOOKUP(B86,'[8]october-2026'!$A:$A,'[8]october-2026'!$C:$C,0,0)</f>
        <v>35500</v>
      </c>
      <c r="CC86">
        <f t="shared" si="326"/>
        <v>6390</v>
      </c>
      <c r="CD86">
        <f t="shared" si="327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28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29"/>
        <v>200</v>
      </c>
      <c r="CK86">
        <f t="shared" si="330"/>
        <v>43850</v>
      </c>
      <c r="CL86">
        <f>_xlfn.XLOOKUP(B86,'[9]november-2026'!$A:$A,'[9]november-2026'!$C:$C,0,0)</f>
        <v>35500</v>
      </c>
      <c r="CM86">
        <f t="shared" si="331"/>
        <v>6390</v>
      </c>
      <c r="CN86">
        <f t="shared" si="332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3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4"/>
        <v>200</v>
      </c>
      <c r="CU86">
        <f t="shared" si="335"/>
        <v>43850</v>
      </c>
      <c r="CV86">
        <f>_xlfn.XLOOKUP(B86,'[10]december-2026'!$A:$A,'[10]december-2026'!$C:$C,0,0)</f>
        <v>35500</v>
      </c>
      <c r="CW86">
        <f t="shared" si="336"/>
        <v>6390</v>
      </c>
      <c r="CX86">
        <f t="shared" si="337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38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39"/>
        <v>200</v>
      </c>
      <c r="DE86">
        <f t="shared" si="340"/>
        <v>43850</v>
      </c>
      <c r="DF86">
        <f xml:space="preserve"> _xlfn.XLOOKUP(B86,
'[11]january-2027'!$A:$A,
'[11]january-2027'!$C:$C,
0,0)</f>
        <v>35500</v>
      </c>
      <c r="DG86">
        <f t="shared" si="341"/>
        <v>6390</v>
      </c>
      <c r="DH86">
        <f t="shared" si="342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3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4"/>
        <v>200</v>
      </c>
      <c r="DO86">
        <f t="shared" si="345"/>
        <v>43850</v>
      </c>
      <c r="DP86">
        <f xml:space="preserve"> _xlfn.XLOOKUP(B86,
'[12]february-2027'!$A:$A,
'[12]february-2027'!$C:$C,
0,0)</f>
        <v>35500</v>
      </c>
      <c r="DQ86">
        <f t="shared" si="346"/>
        <v>6390</v>
      </c>
      <c r="DR86">
        <f t="shared" si="347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48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49"/>
        <v>200</v>
      </c>
      <c r="DY86">
        <f t="shared" si="350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1"/>
        <v>0</v>
      </c>
      <c r="EM86">
        <f t="shared" si="352"/>
        <v>566284</v>
      </c>
      <c r="EN86">
        <f t="shared" si="353"/>
        <v>2400</v>
      </c>
      <c r="EO86">
        <f t="shared" si="354"/>
        <v>50000</v>
      </c>
      <c r="EP86">
        <v>0</v>
      </c>
      <c r="EQ86">
        <f t="shared" si="355"/>
        <v>513884</v>
      </c>
      <c r="ER86">
        <f t="shared" si="356"/>
        <v>36000</v>
      </c>
      <c r="ES86">
        <f t="shared" si="357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58"/>
        <v>36000</v>
      </c>
      <c r="FE86">
        <f t="shared" si="359"/>
        <v>36000</v>
      </c>
      <c r="FF86">
        <f t="shared" si="360"/>
        <v>477884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>SUM(FG86:FM86)+(IF(F86="YES",50000,0))</f>
        <v>0</v>
      </c>
      <c r="FO86">
        <f t="shared" si="361"/>
        <v>477884</v>
      </c>
      <c r="FP86">
        <f t="shared" si="362"/>
        <v>11394</v>
      </c>
      <c r="FQ86">
        <f t="shared" si="363"/>
        <v>0</v>
      </c>
      <c r="FR86">
        <f t="shared" si="364"/>
        <v>11394</v>
      </c>
      <c r="FS86">
        <f t="shared" si="365"/>
        <v>0</v>
      </c>
      <c r="FT86">
        <f t="shared" si="366"/>
        <v>0</v>
      </c>
      <c r="FU86">
        <f t="shared" si="367"/>
        <v>0</v>
      </c>
      <c r="FV86">
        <v>0</v>
      </c>
      <c r="FW86">
        <f t="shared" si="368"/>
        <v>0</v>
      </c>
      <c r="FX86" t="b">
        <f t="shared" si="369"/>
        <v>1</v>
      </c>
      <c r="FY86">
        <f t="shared" ca="1" si="370"/>
        <v>605</v>
      </c>
      <c r="FZ86">
        <f t="shared" ca="1" si="371"/>
        <v>566889</v>
      </c>
      <c r="GA86">
        <f t="shared" si="372"/>
        <v>75000</v>
      </c>
      <c r="GB86">
        <f t="shared" ca="1" si="373"/>
        <v>491889</v>
      </c>
      <c r="GC86">
        <f t="shared" ca="1" si="374"/>
        <v>0</v>
      </c>
      <c r="GD86">
        <f t="shared" ca="1" si="375"/>
        <v>0</v>
      </c>
      <c r="GE86">
        <f t="shared" ca="1" si="376"/>
        <v>0</v>
      </c>
      <c r="GF86">
        <f t="shared" ca="1" si="377"/>
        <v>0</v>
      </c>
      <c r="GG86">
        <f t="shared" ca="1" si="378"/>
        <v>0</v>
      </c>
      <c r="GH86">
        <f t="shared" ca="1" si="379"/>
        <v>0</v>
      </c>
      <c r="GI86">
        <f ca="1">IF(GB86&gt;1200000,GB86-1200000-IF(F86="YES",50000,0)-GG86,0)</f>
        <v>0</v>
      </c>
      <c r="GJ86">
        <f t="shared" ca="1" si="380"/>
        <v>0</v>
      </c>
      <c r="GK86">
        <f t="shared" ca="1" si="381"/>
        <v>0</v>
      </c>
      <c r="GL86">
        <f t="shared" ca="1" si="382"/>
        <v>0</v>
      </c>
      <c r="GM86">
        <f t="shared" ca="1" si="383"/>
        <v>91889</v>
      </c>
      <c r="GN86">
        <f t="shared" ca="1" si="384"/>
        <v>4594.45</v>
      </c>
      <c r="GO86">
        <f t="shared" ca="1" si="385"/>
        <v>4594</v>
      </c>
      <c r="GP86">
        <f t="shared" ca="1" si="386"/>
        <v>0</v>
      </c>
      <c r="GQ86">
        <f t="shared" ca="1" si="387"/>
        <v>0</v>
      </c>
      <c r="GR86">
        <f t="shared" ca="1" si="388"/>
        <v>4594</v>
      </c>
      <c r="GS86">
        <f t="shared" ca="1" si="389"/>
        <v>0</v>
      </c>
      <c r="GT86" t="b">
        <f t="shared" ca="1" si="390"/>
        <v>0</v>
      </c>
      <c r="GU86">
        <f t="shared" ca="1" si="391"/>
        <v>0</v>
      </c>
      <c r="GV86">
        <f t="shared" ca="1" si="392"/>
        <v>4594</v>
      </c>
      <c r="GW86">
        <f t="shared" ca="1" si="393"/>
        <v>0</v>
      </c>
      <c r="GX86">
        <f t="shared" ca="1" si="394"/>
        <v>0</v>
      </c>
      <c r="GY86">
        <f t="shared" ca="1" si="395"/>
        <v>0</v>
      </c>
    </row>
    <row r="87" spans="1:207" x14ac:dyDescent="0.25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1"/>
        <v>6800</v>
      </c>
      <c r="I87">
        <f>_xlfn.XLOOKUP(B87,'[1]march-2026'!$A:$A,'[1]march-2026'!$C:$C,0,0)</f>
        <v>30700</v>
      </c>
      <c r="J87">
        <f t="shared" si="396"/>
        <v>5526</v>
      </c>
      <c r="K87">
        <f t="shared" si="292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3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4"/>
        <v>200</v>
      </c>
      <c r="R87">
        <f t="shared" si="295"/>
        <v>38210</v>
      </c>
      <c r="S87">
        <f>_xlfn.XLOOKUP(B87,'[2]april-2026'!$A:$A,'[2]april-2026'!$C:$C,0,0)</f>
        <v>30700</v>
      </c>
      <c r="T87">
        <f t="shared" si="296"/>
        <v>5526</v>
      </c>
      <c r="U87">
        <f t="shared" si="297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298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299"/>
        <v>200</v>
      </c>
      <c r="AB87">
        <f t="shared" si="300"/>
        <v>38210</v>
      </c>
      <c r="AC87">
        <f>_xlfn.XLOOKUP(B87,'[3]may-2026'!$A:$A,'[3]may-2026'!$C:$C,0,0)</f>
        <v>30700</v>
      </c>
      <c r="AD87">
        <f t="shared" si="301"/>
        <v>5526</v>
      </c>
      <c r="AE87">
        <f t="shared" si="302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3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4"/>
        <v>200</v>
      </c>
      <c r="AL87">
        <f t="shared" si="305"/>
        <v>38210</v>
      </c>
      <c r="AM87">
        <f>_xlfn.XLOOKUP(B87,'[4]june-2026'!$A:$A,'[4]june-2026'!$C:$C,0,0)</f>
        <v>30700</v>
      </c>
      <c r="AN87">
        <f t="shared" si="306"/>
        <v>5526</v>
      </c>
      <c r="AO87">
        <f t="shared" si="307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08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09"/>
        <v>200</v>
      </c>
      <c r="AV87">
        <f t="shared" si="310"/>
        <v>38210</v>
      </c>
      <c r="AW87">
        <f>_xlfn.XLOOKUP(B87,'[5]july-2026'!$A:$A,'[5]july-2026'!$C:$C,0,0)</f>
        <v>31600</v>
      </c>
      <c r="AX87">
        <f t="shared" si="311"/>
        <v>5688</v>
      </c>
      <c r="AY87">
        <v>85</v>
      </c>
      <c r="AZ87">
        <f t="shared" si="312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3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4"/>
        <v>200</v>
      </c>
      <c r="BG87">
        <f t="shared" si="315"/>
        <v>39465</v>
      </c>
      <c r="BH87">
        <f>_xlfn.XLOOKUP(B87,'[6]august-2026'!$A:$A,'[6]august-2026'!$C:$C,0,0)</f>
        <v>31600</v>
      </c>
      <c r="BI87">
        <f t="shared" si="316"/>
        <v>5688</v>
      </c>
      <c r="BJ87">
        <f t="shared" si="317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18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19"/>
        <v>200</v>
      </c>
      <c r="BQ87">
        <f t="shared" si="320"/>
        <v>39380</v>
      </c>
      <c r="BR87">
        <f>_xlfn.XLOOKUP(B87,'[7]september-2026'!$A:$A,'[7]september-2026'!$C:$C,0,0)</f>
        <v>31600</v>
      </c>
      <c r="BS87">
        <f t="shared" si="321"/>
        <v>5688</v>
      </c>
      <c r="BT87">
        <f t="shared" si="322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3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4"/>
        <v>200</v>
      </c>
      <c r="CA87">
        <f t="shared" si="325"/>
        <v>39380</v>
      </c>
      <c r="CB87">
        <f>_xlfn.XLOOKUP(B87,'[8]october-2026'!$A:$A,'[8]october-2026'!$C:$C,0,0)</f>
        <v>31600</v>
      </c>
      <c r="CC87">
        <f t="shared" si="326"/>
        <v>5688</v>
      </c>
      <c r="CD87">
        <f t="shared" si="327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28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29"/>
        <v>200</v>
      </c>
      <c r="CK87">
        <f t="shared" si="330"/>
        <v>39380</v>
      </c>
      <c r="CL87">
        <f>_xlfn.XLOOKUP(B87,'[9]november-2026'!$A:$A,'[9]november-2026'!$C:$C,0,0)</f>
        <v>31600</v>
      </c>
      <c r="CM87">
        <f t="shared" si="331"/>
        <v>5688</v>
      </c>
      <c r="CN87">
        <f t="shared" si="332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3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4"/>
        <v>200</v>
      </c>
      <c r="CU87">
        <f t="shared" si="335"/>
        <v>39380</v>
      </c>
      <c r="CV87">
        <f>_xlfn.XLOOKUP(B87,'[10]december-2026'!$A:$A,'[10]december-2026'!$C:$C,0,0)</f>
        <v>31600</v>
      </c>
      <c r="CW87">
        <f t="shared" si="336"/>
        <v>5688</v>
      </c>
      <c r="CX87">
        <f t="shared" si="337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38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39"/>
        <v>200</v>
      </c>
      <c r="DE87">
        <f t="shared" si="340"/>
        <v>39380</v>
      </c>
      <c r="DF87">
        <f xml:space="preserve"> _xlfn.XLOOKUP(B87,
'[11]january-2027'!$A:$A,
'[11]january-2027'!$C:$C,
0,0)</f>
        <v>31600</v>
      </c>
      <c r="DG87">
        <f t="shared" si="341"/>
        <v>5688</v>
      </c>
      <c r="DH87">
        <f t="shared" si="342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3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4"/>
        <v>200</v>
      </c>
      <c r="DO87">
        <f t="shared" si="345"/>
        <v>39380</v>
      </c>
      <c r="DP87">
        <f xml:space="preserve"> _xlfn.XLOOKUP(B87,
'[12]february-2027'!$A:$A,
'[12]february-2027'!$C:$C,
0,0)</f>
        <v>31600</v>
      </c>
      <c r="DQ87">
        <f t="shared" si="346"/>
        <v>5688</v>
      </c>
      <c r="DR87">
        <f t="shared" si="347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48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49"/>
        <v>200</v>
      </c>
      <c r="DY87">
        <f t="shared" si="350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1"/>
        <v>0</v>
      </c>
      <c r="EM87">
        <f t="shared" si="352"/>
        <v>501165</v>
      </c>
      <c r="EN87">
        <f t="shared" si="353"/>
        <v>2400</v>
      </c>
      <c r="EO87">
        <f t="shared" si="354"/>
        <v>50000</v>
      </c>
      <c r="EP87">
        <v>0</v>
      </c>
      <c r="EQ87">
        <f t="shared" si="355"/>
        <v>448765</v>
      </c>
      <c r="ER87">
        <f t="shared" si="356"/>
        <v>24000</v>
      </c>
      <c r="ES87">
        <f t="shared" si="357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58"/>
        <v>24000</v>
      </c>
      <c r="FE87">
        <f t="shared" si="359"/>
        <v>24000</v>
      </c>
      <c r="FF87">
        <f t="shared" si="360"/>
        <v>424765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>SUM(FG87:FM87)+(IF(F87="YES",50000,0))</f>
        <v>0</v>
      </c>
      <c r="FO87">
        <f t="shared" si="361"/>
        <v>424765</v>
      </c>
      <c r="FP87">
        <f t="shared" si="362"/>
        <v>8738</v>
      </c>
      <c r="FQ87">
        <f t="shared" si="363"/>
        <v>0</v>
      </c>
      <c r="FR87">
        <f t="shared" si="364"/>
        <v>8738</v>
      </c>
      <c r="FS87">
        <f t="shared" si="365"/>
        <v>0</v>
      </c>
      <c r="FT87">
        <f t="shared" si="366"/>
        <v>0</v>
      </c>
      <c r="FU87">
        <f t="shared" si="367"/>
        <v>0</v>
      </c>
      <c r="FV87">
        <v>0</v>
      </c>
      <c r="FW87">
        <f t="shared" si="368"/>
        <v>0</v>
      </c>
      <c r="FX87" t="b">
        <f t="shared" si="369"/>
        <v>1</v>
      </c>
      <c r="FY87">
        <f t="shared" ca="1" si="370"/>
        <v>639</v>
      </c>
      <c r="FZ87">
        <f t="shared" ca="1" si="371"/>
        <v>501804</v>
      </c>
      <c r="GA87">
        <f t="shared" si="372"/>
        <v>75000</v>
      </c>
      <c r="GB87">
        <f t="shared" ca="1" si="373"/>
        <v>426804</v>
      </c>
      <c r="GC87">
        <f t="shared" ca="1" si="374"/>
        <v>0</v>
      </c>
      <c r="GD87">
        <f t="shared" ca="1" si="375"/>
        <v>0</v>
      </c>
      <c r="GE87">
        <f t="shared" ca="1" si="376"/>
        <v>0</v>
      </c>
      <c r="GF87">
        <f t="shared" ca="1" si="377"/>
        <v>0</v>
      </c>
      <c r="GG87">
        <f t="shared" ca="1" si="378"/>
        <v>0</v>
      </c>
      <c r="GH87">
        <f t="shared" ca="1" si="379"/>
        <v>0</v>
      </c>
      <c r="GI87">
        <f ca="1">IF(GB87&gt;1200000,GB87-1200000-IF(F87="YES",50000,0)-GG87,0)</f>
        <v>0</v>
      </c>
      <c r="GJ87">
        <f t="shared" ca="1" si="380"/>
        <v>0</v>
      </c>
      <c r="GK87">
        <f t="shared" ca="1" si="381"/>
        <v>0</v>
      </c>
      <c r="GL87">
        <f t="shared" ca="1" si="382"/>
        <v>0</v>
      </c>
      <c r="GM87">
        <f t="shared" ca="1" si="383"/>
        <v>26804</v>
      </c>
      <c r="GN87">
        <f t="shared" ca="1" si="384"/>
        <v>1340.2</v>
      </c>
      <c r="GO87">
        <f t="shared" ca="1" si="385"/>
        <v>1340</v>
      </c>
      <c r="GP87">
        <f t="shared" ca="1" si="386"/>
        <v>0</v>
      </c>
      <c r="GQ87">
        <f t="shared" ca="1" si="387"/>
        <v>0</v>
      </c>
      <c r="GR87">
        <f t="shared" ca="1" si="388"/>
        <v>1340</v>
      </c>
      <c r="GS87">
        <f t="shared" ca="1" si="389"/>
        <v>0</v>
      </c>
      <c r="GT87" t="b">
        <f t="shared" ca="1" si="390"/>
        <v>0</v>
      </c>
      <c r="GU87">
        <f t="shared" ca="1" si="391"/>
        <v>0</v>
      </c>
      <c r="GV87">
        <f t="shared" ca="1" si="392"/>
        <v>1340</v>
      </c>
      <c r="GW87">
        <f t="shared" ca="1" si="393"/>
        <v>0</v>
      </c>
      <c r="GX87">
        <f t="shared" ca="1" si="394"/>
        <v>0</v>
      </c>
      <c r="GY87">
        <f t="shared" ca="1" si="395"/>
        <v>0</v>
      </c>
    </row>
    <row r="88" spans="1:207" x14ac:dyDescent="0.25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1"/>
        <v>6800</v>
      </c>
      <c r="I88">
        <f>_xlfn.XLOOKUP(B88,'[1]march-2026'!$A:$A,'[1]march-2026'!$C:$C,0,0)</f>
        <v>50200</v>
      </c>
      <c r="J88">
        <f t="shared" si="396"/>
        <v>9036</v>
      </c>
      <c r="K88">
        <f t="shared" si="292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3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4"/>
        <v>200</v>
      </c>
      <c r="R88">
        <f t="shared" si="295"/>
        <v>60960</v>
      </c>
      <c r="S88">
        <f>_xlfn.XLOOKUP(B88,'[2]april-2026'!$A:$A,'[2]april-2026'!$C:$C,0,0)</f>
        <v>50200</v>
      </c>
      <c r="T88">
        <f t="shared" si="296"/>
        <v>9036</v>
      </c>
      <c r="U88">
        <f t="shared" si="297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298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299"/>
        <v>200</v>
      </c>
      <c r="AB88">
        <f t="shared" si="300"/>
        <v>60960</v>
      </c>
      <c r="AC88">
        <f>_xlfn.XLOOKUP(B88,'[3]may-2026'!$A:$A,'[3]may-2026'!$C:$C,0,0)</f>
        <v>50200</v>
      </c>
      <c r="AD88">
        <f t="shared" si="301"/>
        <v>9036</v>
      </c>
      <c r="AE88">
        <f t="shared" si="302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3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4"/>
        <v>200</v>
      </c>
      <c r="AL88">
        <f t="shared" si="305"/>
        <v>60960</v>
      </c>
      <c r="AM88">
        <f>_xlfn.XLOOKUP(B88,'[4]june-2026'!$A:$A,'[4]june-2026'!$C:$C,0,0)</f>
        <v>50200</v>
      </c>
      <c r="AN88">
        <f t="shared" si="306"/>
        <v>9036</v>
      </c>
      <c r="AO88">
        <f t="shared" si="307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08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09"/>
        <v>200</v>
      </c>
      <c r="AV88">
        <f t="shared" si="310"/>
        <v>60960</v>
      </c>
      <c r="AW88">
        <f>_xlfn.XLOOKUP(B88,'[5]july-2026'!$A:$A,'[5]july-2026'!$C:$C,0,0)</f>
        <v>51700</v>
      </c>
      <c r="AX88">
        <f t="shared" si="311"/>
        <v>9306</v>
      </c>
      <c r="AY88">
        <v>86</v>
      </c>
      <c r="AZ88">
        <f t="shared" si="312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3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4"/>
        <v>200</v>
      </c>
      <c r="BG88">
        <f t="shared" si="315"/>
        <v>62996</v>
      </c>
      <c r="BH88">
        <f>_xlfn.XLOOKUP(B88,'[6]august-2026'!$A:$A,'[6]august-2026'!$C:$C,0,0)</f>
        <v>51700</v>
      </c>
      <c r="BI88">
        <f t="shared" si="316"/>
        <v>9306</v>
      </c>
      <c r="BJ88">
        <f t="shared" si="317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18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19"/>
        <v>200</v>
      </c>
      <c r="BQ88">
        <f t="shared" si="320"/>
        <v>62910</v>
      </c>
      <c r="BR88">
        <f>_xlfn.XLOOKUP(B88,'[7]september-2026'!$A:$A,'[7]september-2026'!$C:$C,0,0)</f>
        <v>51700</v>
      </c>
      <c r="BS88">
        <f t="shared" si="321"/>
        <v>9306</v>
      </c>
      <c r="BT88">
        <f t="shared" si="322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3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4"/>
        <v>200</v>
      </c>
      <c r="CA88">
        <f t="shared" si="325"/>
        <v>62910</v>
      </c>
      <c r="CB88">
        <f>_xlfn.XLOOKUP(B88,'[8]october-2026'!$A:$A,'[8]october-2026'!$C:$C,0,0)</f>
        <v>51700</v>
      </c>
      <c r="CC88">
        <f t="shared" si="326"/>
        <v>9306</v>
      </c>
      <c r="CD88">
        <f t="shared" si="327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28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29"/>
        <v>200</v>
      </c>
      <c r="CK88">
        <f t="shared" si="330"/>
        <v>62910</v>
      </c>
      <c r="CL88">
        <f>_xlfn.XLOOKUP(B88,'[9]november-2026'!$A:$A,'[9]november-2026'!$C:$C,0,0)</f>
        <v>51700</v>
      </c>
      <c r="CM88">
        <f t="shared" si="331"/>
        <v>9306</v>
      </c>
      <c r="CN88">
        <f t="shared" si="332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3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4"/>
        <v>200</v>
      </c>
      <c r="CU88">
        <f t="shared" si="335"/>
        <v>62910</v>
      </c>
      <c r="CV88">
        <f>_xlfn.XLOOKUP(B88,'[10]december-2026'!$A:$A,'[10]december-2026'!$C:$C,0,0)</f>
        <v>51700</v>
      </c>
      <c r="CW88">
        <f t="shared" si="336"/>
        <v>9306</v>
      </c>
      <c r="CX88">
        <f t="shared" si="337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38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39"/>
        <v>200</v>
      </c>
      <c r="DE88">
        <f t="shared" si="340"/>
        <v>62910</v>
      </c>
      <c r="DF88">
        <f xml:space="preserve"> _xlfn.XLOOKUP(B88,
'[11]january-2027'!$A:$A,
'[11]january-2027'!$C:$C,
0,0)</f>
        <v>51700</v>
      </c>
      <c r="DG88">
        <f t="shared" si="341"/>
        <v>9306</v>
      </c>
      <c r="DH88">
        <f t="shared" si="342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3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4"/>
        <v>200</v>
      </c>
      <c r="DO88">
        <f t="shared" si="345"/>
        <v>62910</v>
      </c>
      <c r="DP88">
        <f xml:space="preserve"> _xlfn.XLOOKUP(B88,
'[12]february-2027'!$A:$A,
'[12]february-2027'!$C:$C,
0,0)</f>
        <v>51700</v>
      </c>
      <c r="DQ88">
        <f t="shared" si="346"/>
        <v>9306</v>
      </c>
      <c r="DR88">
        <f t="shared" si="347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48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49"/>
        <v>200</v>
      </c>
      <c r="DY88">
        <f t="shared" si="350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1"/>
        <v>0</v>
      </c>
      <c r="EM88">
        <f t="shared" si="352"/>
        <v>816406</v>
      </c>
      <c r="EN88">
        <f t="shared" si="353"/>
        <v>2400</v>
      </c>
      <c r="EO88">
        <f t="shared" si="354"/>
        <v>50000</v>
      </c>
      <c r="EP88">
        <v>0</v>
      </c>
      <c r="EQ88">
        <f t="shared" si="355"/>
        <v>764006</v>
      </c>
      <c r="ER88">
        <f t="shared" si="356"/>
        <v>60000</v>
      </c>
      <c r="ES88">
        <f t="shared" si="357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58"/>
        <v>60000</v>
      </c>
      <c r="FE88">
        <f t="shared" si="359"/>
        <v>60000</v>
      </c>
      <c r="FF88">
        <f t="shared" si="360"/>
        <v>704006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>SUM(FG88:FM88)+(IF(F88="YES",50000,0))</f>
        <v>0</v>
      </c>
      <c r="FO88">
        <f t="shared" si="361"/>
        <v>704006</v>
      </c>
      <c r="FP88">
        <f t="shared" si="362"/>
        <v>12500</v>
      </c>
      <c r="FQ88">
        <f t="shared" si="363"/>
        <v>40801</v>
      </c>
      <c r="FR88">
        <f t="shared" si="364"/>
        <v>53301</v>
      </c>
      <c r="FS88">
        <f t="shared" si="365"/>
        <v>53301</v>
      </c>
      <c r="FT88">
        <f t="shared" si="366"/>
        <v>2132.04</v>
      </c>
      <c r="FU88">
        <f t="shared" si="367"/>
        <v>55433</v>
      </c>
      <c r="FV88">
        <v>0</v>
      </c>
      <c r="FW88">
        <f t="shared" si="368"/>
        <v>55433</v>
      </c>
      <c r="FX88" t="b">
        <f t="shared" si="369"/>
        <v>1</v>
      </c>
      <c r="FY88">
        <f t="shared" ca="1" si="370"/>
        <v>861</v>
      </c>
      <c r="FZ88">
        <f t="shared" ca="1" si="371"/>
        <v>817267</v>
      </c>
      <c r="GA88">
        <f t="shared" si="372"/>
        <v>75000</v>
      </c>
      <c r="GB88">
        <f t="shared" ca="1" si="373"/>
        <v>742267</v>
      </c>
      <c r="GC88">
        <f t="shared" ca="1" si="374"/>
        <v>0</v>
      </c>
      <c r="GD88">
        <f t="shared" ca="1" si="375"/>
        <v>0</v>
      </c>
      <c r="GE88">
        <f t="shared" ca="1" si="376"/>
        <v>0</v>
      </c>
      <c r="GF88">
        <f t="shared" ca="1" si="377"/>
        <v>0</v>
      </c>
      <c r="GG88">
        <f t="shared" ca="1" si="378"/>
        <v>0</v>
      </c>
      <c r="GH88">
        <f t="shared" ca="1" si="379"/>
        <v>0</v>
      </c>
      <c r="GI88">
        <f ca="1">IF(GB88&gt;1200000,GB88-1200000-IF(F88="YES",50000,0)-GG88,0)</f>
        <v>0</v>
      </c>
      <c r="GJ88">
        <f t="shared" ca="1" si="380"/>
        <v>0</v>
      </c>
      <c r="GK88">
        <f t="shared" ca="1" si="381"/>
        <v>0</v>
      </c>
      <c r="GL88">
        <f t="shared" ca="1" si="382"/>
        <v>0</v>
      </c>
      <c r="GM88">
        <f t="shared" ca="1" si="383"/>
        <v>342267</v>
      </c>
      <c r="GN88">
        <f t="shared" ca="1" si="384"/>
        <v>17113.350000000002</v>
      </c>
      <c r="GO88">
        <f t="shared" ca="1" si="385"/>
        <v>17113</v>
      </c>
      <c r="GP88">
        <f t="shared" ca="1" si="386"/>
        <v>0</v>
      </c>
      <c r="GQ88">
        <f t="shared" ca="1" si="387"/>
        <v>0</v>
      </c>
      <c r="GR88">
        <f t="shared" ca="1" si="388"/>
        <v>17113</v>
      </c>
      <c r="GS88">
        <f t="shared" ca="1" si="389"/>
        <v>0</v>
      </c>
      <c r="GT88" t="b">
        <f t="shared" ca="1" si="390"/>
        <v>0</v>
      </c>
      <c r="GU88">
        <f t="shared" ca="1" si="391"/>
        <v>0</v>
      </c>
      <c r="GV88">
        <f t="shared" ca="1" si="392"/>
        <v>17113</v>
      </c>
      <c r="GW88">
        <f t="shared" ca="1" si="393"/>
        <v>0</v>
      </c>
      <c r="GX88">
        <f t="shared" ca="1" si="394"/>
        <v>0</v>
      </c>
      <c r="GY88">
        <f t="shared" ca="1" si="395"/>
        <v>0</v>
      </c>
    </row>
    <row r="89" spans="1:207" x14ac:dyDescent="0.25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1"/>
        <v>6800</v>
      </c>
      <c r="I89">
        <f>_xlfn.XLOOKUP(B89,'[1]march-2026'!$A:$A,'[1]march-2026'!$C:$C,0,0)</f>
        <v>35500</v>
      </c>
      <c r="J89">
        <f t="shared" si="396"/>
        <v>6390</v>
      </c>
      <c r="K89">
        <f t="shared" si="292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3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4"/>
        <v>200</v>
      </c>
      <c r="R89">
        <f t="shared" si="295"/>
        <v>42950</v>
      </c>
      <c r="S89">
        <f>_xlfn.XLOOKUP(B89,'[2]april-2026'!$A:$A,'[2]april-2026'!$C:$C,0,0)</f>
        <v>35500</v>
      </c>
      <c r="T89">
        <f t="shared" si="296"/>
        <v>6390</v>
      </c>
      <c r="U89">
        <f t="shared" si="297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298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299"/>
        <v>200</v>
      </c>
      <c r="AB89">
        <f t="shared" si="300"/>
        <v>42950</v>
      </c>
      <c r="AC89">
        <f>_xlfn.XLOOKUP(B89,'[3]may-2026'!$A:$A,'[3]may-2026'!$C:$C,0,0)</f>
        <v>35500</v>
      </c>
      <c r="AD89">
        <f t="shared" si="301"/>
        <v>6390</v>
      </c>
      <c r="AE89">
        <f t="shared" si="302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3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4"/>
        <v>200</v>
      </c>
      <c r="AL89">
        <f t="shared" si="305"/>
        <v>42950</v>
      </c>
      <c r="AM89">
        <f>_xlfn.XLOOKUP(B89,'[4]june-2026'!$A:$A,'[4]june-2026'!$C:$C,0,0)</f>
        <v>35500</v>
      </c>
      <c r="AN89">
        <f t="shared" si="306"/>
        <v>6390</v>
      </c>
      <c r="AO89">
        <f t="shared" si="307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08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09"/>
        <v>200</v>
      </c>
      <c r="AV89">
        <f t="shared" si="310"/>
        <v>42950</v>
      </c>
      <c r="AW89">
        <f>_xlfn.XLOOKUP(B89,'[5]july-2026'!$A:$A,'[5]july-2026'!$C:$C,0,0)</f>
        <v>36600</v>
      </c>
      <c r="AX89">
        <f t="shared" si="311"/>
        <v>6588</v>
      </c>
      <c r="AY89">
        <v>87</v>
      </c>
      <c r="AZ89">
        <f t="shared" si="312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3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4"/>
        <v>200</v>
      </c>
      <c r="BG89">
        <f t="shared" si="315"/>
        <v>44467</v>
      </c>
      <c r="BH89">
        <f>_xlfn.XLOOKUP(B89,'[6]august-2026'!$A:$A,'[6]august-2026'!$C:$C,0,0)</f>
        <v>36600</v>
      </c>
      <c r="BI89">
        <f t="shared" si="316"/>
        <v>6588</v>
      </c>
      <c r="BJ89">
        <f t="shared" si="317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18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19"/>
        <v>200</v>
      </c>
      <c r="BQ89">
        <f t="shared" si="320"/>
        <v>44380</v>
      </c>
      <c r="BR89">
        <f>_xlfn.XLOOKUP(B89,'[7]september-2026'!$A:$A,'[7]september-2026'!$C:$C,0,0)</f>
        <v>36600</v>
      </c>
      <c r="BS89">
        <f t="shared" si="321"/>
        <v>6588</v>
      </c>
      <c r="BT89">
        <f t="shared" si="322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3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4"/>
        <v>200</v>
      </c>
      <c r="CA89">
        <f t="shared" si="325"/>
        <v>44380</v>
      </c>
      <c r="CB89">
        <f>_xlfn.XLOOKUP(B89,'[8]october-2026'!$A:$A,'[8]october-2026'!$C:$C,0,0)</f>
        <v>36600</v>
      </c>
      <c r="CC89">
        <f t="shared" si="326"/>
        <v>6588</v>
      </c>
      <c r="CD89">
        <f t="shared" si="327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28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29"/>
        <v>200</v>
      </c>
      <c r="CK89">
        <f t="shared" si="330"/>
        <v>44380</v>
      </c>
      <c r="CL89">
        <f>_xlfn.XLOOKUP(B89,'[9]november-2026'!$A:$A,'[9]november-2026'!$C:$C,0,0)</f>
        <v>36600</v>
      </c>
      <c r="CM89">
        <f t="shared" si="331"/>
        <v>6588</v>
      </c>
      <c r="CN89">
        <f t="shared" si="332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3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4"/>
        <v>200</v>
      </c>
      <c r="CU89">
        <f t="shared" si="335"/>
        <v>44380</v>
      </c>
      <c r="CV89">
        <f>_xlfn.XLOOKUP(B89,'[10]december-2026'!$A:$A,'[10]december-2026'!$C:$C,0,0)</f>
        <v>36600</v>
      </c>
      <c r="CW89">
        <f t="shared" si="336"/>
        <v>6588</v>
      </c>
      <c r="CX89">
        <f t="shared" si="337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38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39"/>
        <v>200</v>
      </c>
      <c r="DE89">
        <f t="shared" si="340"/>
        <v>44380</v>
      </c>
      <c r="DF89">
        <f xml:space="preserve"> _xlfn.XLOOKUP(B89,
'[11]january-2027'!$A:$A,
'[11]january-2027'!$C:$C,
0,0)</f>
        <v>36600</v>
      </c>
      <c r="DG89">
        <f t="shared" si="341"/>
        <v>6588</v>
      </c>
      <c r="DH89">
        <f t="shared" si="342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3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4"/>
        <v>200</v>
      </c>
      <c r="DO89">
        <f t="shared" si="345"/>
        <v>44380</v>
      </c>
      <c r="DP89">
        <f xml:space="preserve"> _xlfn.XLOOKUP(B89,
'[12]february-2027'!$A:$A,
'[12]february-2027'!$C:$C,
0,0)</f>
        <v>36600</v>
      </c>
      <c r="DQ89">
        <f t="shared" si="346"/>
        <v>6588</v>
      </c>
      <c r="DR89">
        <f t="shared" si="347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48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49"/>
        <v>200</v>
      </c>
      <c r="DY89">
        <f t="shared" si="350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1"/>
        <v>0</v>
      </c>
      <c r="EM89">
        <f t="shared" si="352"/>
        <v>572127</v>
      </c>
      <c r="EN89">
        <f t="shared" si="353"/>
        <v>2400</v>
      </c>
      <c r="EO89">
        <f t="shared" si="354"/>
        <v>50000</v>
      </c>
      <c r="EP89">
        <v>0</v>
      </c>
      <c r="EQ89">
        <f t="shared" si="355"/>
        <v>519727</v>
      </c>
      <c r="ER89">
        <f t="shared" si="356"/>
        <v>36000</v>
      </c>
      <c r="ES89">
        <f t="shared" si="357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58"/>
        <v>36000</v>
      </c>
      <c r="FE89">
        <f t="shared" si="359"/>
        <v>36000</v>
      </c>
      <c r="FF89">
        <f t="shared" si="360"/>
        <v>483727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>SUM(FG89:FM89)+(IF(F89="YES",50000,0))</f>
        <v>0</v>
      </c>
      <c r="FO89">
        <f t="shared" si="361"/>
        <v>483727</v>
      </c>
      <c r="FP89">
        <f t="shared" si="362"/>
        <v>11686</v>
      </c>
      <c r="FQ89">
        <f t="shared" si="363"/>
        <v>0</v>
      </c>
      <c r="FR89">
        <f t="shared" si="364"/>
        <v>11686</v>
      </c>
      <c r="FS89">
        <f t="shared" si="365"/>
        <v>0</v>
      </c>
      <c r="FT89">
        <f t="shared" si="366"/>
        <v>0</v>
      </c>
      <c r="FU89">
        <f t="shared" si="367"/>
        <v>0</v>
      </c>
      <c r="FV89">
        <v>0</v>
      </c>
      <c r="FW89">
        <f t="shared" si="368"/>
        <v>0</v>
      </c>
      <c r="FX89" t="b">
        <f t="shared" si="369"/>
        <v>1</v>
      </c>
      <c r="FY89">
        <f t="shared" ca="1" si="370"/>
        <v>896</v>
      </c>
      <c r="FZ89">
        <f t="shared" ca="1" si="371"/>
        <v>573023</v>
      </c>
      <c r="GA89">
        <f t="shared" si="372"/>
        <v>75000</v>
      </c>
      <c r="GB89">
        <f t="shared" ca="1" si="373"/>
        <v>498023</v>
      </c>
      <c r="GC89">
        <f t="shared" ca="1" si="374"/>
        <v>0</v>
      </c>
      <c r="GD89">
        <f t="shared" ca="1" si="375"/>
        <v>0</v>
      </c>
      <c r="GE89">
        <f t="shared" ca="1" si="376"/>
        <v>0</v>
      </c>
      <c r="GF89">
        <f t="shared" ca="1" si="377"/>
        <v>0</v>
      </c>
      <c r="GG89">
        <f t="shared" ca="1" si="378"/>
        <v>0</v>
      </c>
      <c r="GH89">
        <f t="shared" ca="1" si="379"/>
        <v>0</v>
      </c>
      <c r="GI89">
        <f ca="1">IF(GB89&gt;1200000,GB89-1200000-IF(F89="YES",50000,0)-GG89,0)</f>
        <v>0</v>
      </c>
      <c r="GJ89">
        <f t="shared" ca="1" si="380"/>
        <v>0</v>
      </c>
      <c r="GK89">
        <f t="shared" ca="1" si="381"/>
        <v>0</v>
      </c>
      <c r="GL89">
        <f t="shared" ca="1" si="382"/>
        <v>0</v>
      </c>
      <c r="GM89">
        <f t="shared" ca="1" si="383"/>
        <v>98023</v>
      </c>
      <c r="GN89">
        <f t="shared" ca="1" si="384"/>
        <v>4901.1500000000005</v>
      </c>
      <c r="GO89">
        <f t="shared" ca="1" si="385"/>
        <v>4901</v>
      </c>
      <c r="GP89">
        <f t="shared" ca="1" si="386"/>
        <v>0</v>
      </c>
      <c r="GQ89">
        <f t="shared" ca="1" si="387"/>
        <v>0</v>
      </c>
      <c r="GR89">
        <f t="shared" ca="1" si="388"/>
        <v>4901</v>
      </c>
      <c r="GS89">
        <f t="shared" ca="1" si="389"/>
        <v>0</v>
      </c>
      <c r="GT89" t="b">
        <f t="shared" ca="1" si="390"/>
        <v>0</v>
      </c>
      <c r="GU89">
        <f t="shared" ca="1" si="391"/>
        <v>0</v>
      </c>
      <c r="GV89">
        <f t="shared" ca="1" si="392"/>
        <v>4901</v>
      </c>
      <c r="GW89">
        <f t="shared" ca="1" si="393"/>
        <v>0</v>
      </c>
      <c r="GX89">
        <f t="shared" ca="1" si="394"/>
        <v>0</v>
      </c>
      <c r="GY89">
        <f t="shared" ca="1" si="395"/>
        <v>0</v>
      </c>
    </row>
    <row r="90" spans="1:207" x14ac:dyDescent="0.25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1"/>
        <v>6800</v>
      </c>
      <c r="I90">
        <f>_xlfn.XLOOKUP(B90,'[1]march-2026'!$A:$A,'[1]march-2026'!$C:$C,0,0)</f>
        <v>32500</v>
      </c>
      <c r="J90">
        <f t="shared" si="396"/>
        <v>5850</v>
      </c>
      <c r="K90">
        <f t="shared" si="292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3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4"/>
        <v>200</v>
      </c>
      <c r="R90">
        <f t="shared" si="295"/>
        <v>40550</v>
      </c>
      <c r="S90">
        <f>_xlfn.XLOOKUP(B90,'[2]april-2026'!$A:$A,'[2]april-2026'!$C:$C,0,0)</f>
        <v>32500</v>
      </c>
      <c r="T90">
        <f t="shared" si="296"/>
        <v>5850</v>
      </c>
      <c r="U90">
        <f t="shared" si="297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298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299"/>
        <v>200</v>
      </c>
      <c r="AB90">
        <f t="shared" si="300"/>
        <v>40550</v>
      </c>
      <c r="AC90">
        <f>_xlfn.XLOOKUP(B90,'[3]may-2026'!$A:$A,'[3]may-2026'!$C:$C,0,0)</f>
        <v>32500</v>
      </c>
      <c r="AD90">
        <f t="shared" si="301"/>
        <v>5850</v>
      </c>
      <c r="AE90">
        <f t="shared" si="302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3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4"/>
        <v>200</v>
      </c>
      <c r="AL90">
        <f t="shared" si="305"/>
        <v>40550</v>
      </c>
      <c r="AM90">
        <f>_xlfn.XLOOKUP(B90,'[4]june-2026'!$A:$A,'[4]june-2026'!$C:$C,0,0)</f>
        <v>32500</v>
      </c>
      <c r="AN90">
        <f t="shared" si="306"/>
        <v>5850</v>
      </c>
      <c r="AO90">
        <f t="shared" si="307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08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09"/>
        <v>200</v>
      </c>
      <c r="AV90">
        <f t="shared" si="310"/>
        <v>40550</v>
      </c>
      <c r="AW90">
        <f>_xlfn.XLOOKUP(B90,'[5]july-2026'!$A:$A,'[5]july-2026'!$C:$C,0,0)</f>
        <v>33500</v>
      </c>
      <c r="AX90">
        <f t="shared" si="311"/>
        <v>6030</v>
      </c>
      <c r="AY90">
        <v>88</v>
      </c>
      <c r="AZ90">
        <f t="shared" si="312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3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4"/>
        <v>200</v>
      </c>
      <c r="BG90">
        <f t="shared" si="315"/>
        <v>41938</v>
      </c>
      <c r="BH90">
        <f>_xlfn.XLOOKUP(B90,'[6]august-2026'!$A:$A,'[6]august-2026'!$C:$C,0,0)</f>
        <v>33500</v>
      </c>
      <c r="BI90">
        <f t="shared" si="316"/>
        <v>6030</v>
      </c>
      <c r="BJ90">
        <f t="shared" si="317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18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19"/>
        <v>200</v>
      </c>
      <c r="BQ90">
        <f t="shared" si="320"/>
        <v>41850</v>
      </c>
      <c r="BR90">
        <f>_xlfn.XLOOKUP(B90,'[7]september-2026'!$A:$A,'[7]september-2026'!$C:$C,0,0)</f>
        <v>33500</v>
      </c>
      <c r="BS90">
        <f t="shared" si="321"/>
        <v>6030</v>
      </c>
      <c r="BT90">
        <f t="shared" si="322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3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4"/>
        <v>200</v>
      </c>
      <c r="CA90">
        <f t="shared" si="325"/>
        <v>41850</v>
      </c>
      <c r="CB90">
        <f>_xlfn.XLOOKUP(B90,'[8]october-2026'!$A:$A,'[8]october-2026'!$C:$C,0,0)</f>
        <v>33500</v>
      </c>
      <c r="CC90">
        <f t="shared" si="326"/>
        <v>6030</v>
      </c>
      <c r="CD90">
        <f t="shared" si="327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28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29"/>
        <v>200</v>
      </c>
      <c r="CK90">
        <f t="shared" si="330"/>
        <v>41850</v>
      </c>
      <c r="CL90">
        <f>_xlfn.XLOOKUP(B90,'[9]november-2026'!$A:$A,'[9]november-2026'!$C:$C,0,0)</f>
        <v>33500</v>
      </c>
      <c r="CM90">
        <f t="shared" si="331"/>
        <v>6030</v>
      </c>
      <c r="CN90">
        <f t="shared" si="332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3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4"/>
        <v>200</v>
      </c>
      <c r="CU90">
        <f t="shared" si="335"/>
        <v>41850</v>
      </c>
      <c r="CV90">
        <f>_xlfn.XLOOKUP(B90,'[10]december-2026'!$A:$A,'[10]december-2026'!$C:$C,0,0)</f>
        <v>33500</v>
      </c>
      <c r="CW90">
        <f t="shared" si="336"/>
        <v>6030</v>
      </c>
      <c r="CX90">
        <f t="shared" si="337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38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39"/>
        <v>200</v>
      </c>
      <c r="DE90">
        <f t="shared" si="340"/>
        <v>41850</v>
      </c>
      <c r="DF90">
        <f xml:space="preserve"> _xlfn.XLOOKUP(B90,
'[11]january-2027'!$A:$A,
'[11]january-2027'!$C:$C,
0,0)</f>
        <v>33500</v>
      </c>
      <c r="DG90">
        <f t="shared" si="341"/>
        <v>6030</v>
      </c>
      <c r="DH90">
        <f t="shared" si="342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3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4"/>
        <v>200</v>
      </c>
      <c r="DO90">
        <f t="shared" si="345"/>
        <v>41850</v>
      </c>
      <c r="DP90">
        <f xml:space="preserve"> _xlfn.XLOOKUP(B90,
'[12]february-2027'!$A:$A,
'[12]february-2027'!$C:$C,
0,0)</f>
        <v>33500</v>
      </c>
      <c r="DQ90">
        <f t="shared" si="346"/>
        <v>6030</v>
      </c>
      <c r="DR90">
        <f t="shared" si="347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48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49"/>
        <v>200</v>
      </c>
      <c r="DY90">
        <f t="shared" si="350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1"/>
        <v>0</v>
      </c>
      <c r="EM90">
        <f t="shared" si="352"/>
        <v>530288</v>
      </c>
      <c r="EN90">
        <f t="shared" si="353"/>
        <v>2400</v>
      </c>
      <c r="EO90">
        <f t="shared" si="354"/>
        <v>50000</v>
      </c>
      <c r="EP90">
        <v>0</v>
      </c>
      <c r="EQ90">
        <f t="shared" si="355"/>
        <v>477888</v>
      </c>
      <c r="ER90">
        <f t="shared" si="356"/>
        <v>24000</v>
      </c>
      <c r="ES90">
        <f t="shared" si="357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58"/>
        <v>24000</v>
      </c>
      <c r="FE90">
        <f t="shared" si="359"/>
        <v>24000</v>
      </c>
      <c r="FF90">
        <f t="shared" si="360"/>
        <v>453888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>SUM(FG90:FM90)+(IF(F90="YES",50000,0))</f>
        <v>0</v>
      </c>
      <c r="FO90">
        <f t="shared" si="361"/>
        <v>453888</v>
      </c>
      <c r="FP90">
        <f t="shared" si="362"/>
        <v>10194</v>
      </c>
      <c r="FQ90">
        <f t="shared" si="363"/>
        <v>0</v>
      </c>
      <c r="FR90">
        <f t="shared" si="364"/>
        <v>10194</v>
      </c>
      <c r="FS90">
        <f t="shared" si="365"/>
        <v>0</v>
      </c>
      <c r="FT90">
        <f t="shared" si="366"/>
        <v>0</v>
      </c>
      <c r="FU90">
        <f t="shared" si="367"/>
        <v>0</v>
      </c>
      <c r="FV90">
        <v>0</v>
      </c>
      <c r="FW90">
        <f t="shared" si="368"/>
        <v>0</v>
      </c>
      <c r="FX90" t="b">
        <f t="shared" si="369"/>
        <v>1</v>
      </c>
      <c r="FY90">
        <f t="shared" ca="1" si="370"/>
        <v>850</v>
      </c>
      <c r="FZ90">
        <f t="shared" ca="1" si="371"/>
        <v>531138</v>
      </c>
      <c r="GA90">
        <f t="shared" si="372"/>
        <v>75000</v>
      </c>
      <c r="GB90">
        <f t="shared" ca="1" si="373"/>
        <v>456138</v>
      </c>
      <c r="GC90">
        <f t="shared" ca="1" si="374"/>
        <v>0</v>
      </c>
      <c r="GD90">
        <f t="shared" ca="1" si="375"/>
        <v>0</v>
      </c>
      <c r="GE90">
        <f t="shared" ca="1" si="376"/>
        <v>0</v>
      </c>
      <c r="GF90">
        <f t="shared" ca="1" si="377"/>
        <v>0</v>
      </c>
      <c r="GG90">
        <f t="shared" ca="1" si="378"/>
        <v>0</v>
      </c>
      <c r="GH90">
        <f t="shared" ca="1" si="379"/>
        <v>0</v>
      </c>
      <c r="GI90">
        <f ca="1">IF(GB90&gt;1200000,GB90-1200000-IF(F90="YES",50000,0)-GG90,0)</f>
        <v>0</v>
      </c>
      <c r="GJ90">
        <f t="shared" ca="1" si="380"/>
        <v>0</v>
      </c>
      <c r="GK90">
        <f t="shared" ca="1" si="381"/>
        <v>0</v>
      </c>
      <c r="GL90">
        <f t="shared" ca="1" si="382"/>
        <v>0</v>
      </c>
      <c r="GM90">
        <f t="shared" ca="1" si="383"/>
        <v>56138</v>
      </c>
      <c r="GN90">
        <f t="shared" ca="1" si="384"/>
        <v>2806.9</v>
      </c>
      <c r="GO90">
        <f t="shared" ca="1" si="385"/>
        <v>2807</v>
      </c>
      <c r="GP90">
        <f t="shared" ca="1" si="386"/>
        <v>0</v>
      </c>
      <c r="GQ90">
        <f t="shared" ca="1" si="387"/>
        <v>0</v>
      </c>
      <c r="GR90">
        <f t="shared" ca="1" si="388"/>
        <v>2807</v>
      </c>
      <c r="GS90">
        <f t="shared" ca="1" si="389"/>
        <v>0</v>
      </c>
      <c r="GT90" t="b">
        <f t="shared" ca="1" si="390"/>
        <v>0</v>
      </c>
      <c r="GU90">
        <f t="shared" ca="1" si="391"/>
        <v>0</v>
      </c>
      <c r="GV90">
        <f t="shared" ca="1" si="392"/>
        <v>2807</v>
      </c>
      <c r="GW90">
        <f t="shared" ca="1" si="393"/>
        <v>0</v>
      </c>
      <c r="GX90">
        <f t="shared" ca="1" si="394"/>
        <v>0</v>
      </c>
      <c r="GY90">
        <f t="shared" ca="1" si="395"/>
        <v>0</v>
      </c>
    </row>
    <row r="91" spans="1:207" x14ac:dyDescent="0.25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1"/>
        <v>6800</v>
      </c>
      <c r="I91">
        <f>_xlfn.XLOOKUP(B91,'[1]march-2026'!$A:$A,'[1]march-2026'!$C:$C,0,0)</f>
        <v>57100</v>
      </c>
      <c r="J91">
        <f t="shared" si="396"/>
        <v>10278</v>
      </c>
      <c r="K91">
        <f t="shared" si="292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3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4"/>
        <v>200</v>
      </c>
      <c r="R91">
        <f t="shared" si="295"/>
        <v>69930</v>
      </c>
      <c r="S91">
        <f>_xlfn.XLOOKUP(B91,'[2]april-2026'!$A:$A,'[2]april-2026'!$C:$C,0,0)</f>
        <v>57100</v>
      </c>
      <c r="T91">
        <f t="shared" si="296"/>
        <v>10278</v>
      </c>
      <c r="U91">
        <f t="shared" si="297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298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299"/>
        <v>200</v>
      </c>
      <c r="AB91">
        <f t="shared" si="300"/>
        <v>69930</v>
      </c>
      <c r="AC91">
        <f>_xlfn.XLOOKUP(B91,'[3]may-2026'!$A:$A,'[3]may-2026'!$C:$C,0,0)</f>
        <v>57100</v>
      </c>
      <c r="AD91">
        <f t="shared" si="301"/>
        <v>10278</v>
      </c>
      <c r="AE91">
        <f t="shared" si="302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3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4"/>
        <v>200</v>
      </c>
      <c r="AL91">
        <f t="shared" si="305"/>
        <v>69930</v>
      </c>
      <c r="AM91">
        <f>_xlfn.XLOOKUP(B91,'[4]june-2026'!$A:$A,'[4]june-2026'!$C:$C,0,0)</f>
        <v>57100</v>
      </c>
      <c r="AN91">
        <f t="shared" si="306"/>
        <v>10278</v>
      </c>
      <c r="AO91">
        <f t="shared" si="307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08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09"/>
        <v>200</v>
      </c>
      <c r="AV91">
        <f t="shared" si="310"/>
        <v>69930</v>
      </c>
      <c r="AW91">
        <f>_xlfn.XLOOKUP(B91,'[5]july-2026'!$A:$A,'[5]july-2026'!$C:$C,0,0)</f>
        <v>58800</v>
      </c>
      <c r="AX91">
        <f t="shared" si="311"/>
        <v>10584</v>
      </c>
      <c r="AY91">
        <v>89</v>
      </c>
      <c r="AZ91">
        <f t="shared" si="312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3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4"/>
        <v>200</v>
      </c>
      <c r="BG91">
        <f t="shared" si="315"/>
        <v>72229</v>
      </c>
      <c r="BH91">
        <f>_xlfn.XLOOKUP(B91,'[6]august-2026'!$A:$A,'[6]august-2026'!$C:$C,0,0)</f>
        <v>58800</v>
      </c>
      <c r="BI91">
        <f t="shared" si="316"/>
        <v>10584</v>
      </c>
      <c r="BJ91">
        <f t="shared" si="317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18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19"/>
        <v>200</v>
      </c>
      <c r="BQ91">
        <f t="shared" si="320"/>
        <v>72140</v>
      </c>
      <c r="BR91">
        <f>_xlfn.XLOOKUP(B91,'[7]september-2026'!$A:$A,'[7]september-2026'!$C:$C,0,0)</f>
        <v>58800</v>
      </c>
      <c r="BS91">
        <f t="shared" si="321"/>
        <v>10584</v>
      </c>
      <c r="BT91">
        <f t="shared" si="322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3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4"/>
        <v>200</v>
      </c>
      <c r="CA91">
        <f t="shared" si="325"/>
        <v>72140</v>
      </c>
      <c r="CB91">
        <f>_xlfn.XLOOKUP(B91,'[8]october-2026'!$A:$A,'[8]october-2026'!$C:$C,0,0)</f>
        <v>58800</v>
      </c>
      <c r="CC91">
        <f t="shared" si="326"/>
        <v>10584</v>
      </c>
      <c r="CD91">
        <f t="shared" si="327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28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29"/>
        <v>200</v>
      </c>
      <c r="CK91">
        <f t="shared" si="330"/>
        <v>72140</v>
      </c>
      <c r="CL91">
        <f>_xlfn.XLOOKUP(B91,'[9]november-2026'!$A:$A,'[9]november-2026'!$C:$C,0,0)</f>
        <v>58800</v>
      </c>
      <c r="CM91">
        <f t="shared" si="331"/>
        <v>10584</v>
      </c>
      <c r="CN91">
        <f t="shared" si="332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3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4"/>
        <v>200</v>
      </c>
      <c r="CU91">
        <f t="shared" si="335"/>
        <v>72140</v>
      </c>
      <c r="CV91">
        <f>_xlfn.XLOOKUP(B91,'[10]december-2026'!$A:$A,'[10]december-2026'!$C:$C,0,0)</f>
        <v>58800</v>
      </c>
      <c r="CW91">
        <f t="shared" si="336"/>
        <v>10584</v>
      </c>
      <c r="CX91">
        <f t="shared" si="337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38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39"/>
        <v>200</v>
      </c>
      <c r="DE91">
        <f t="shared" si="340"/>
        <v>72140</v>
      </c>
      <c r="DF91">
        <f xml:space="preserve"> _xlfn.XLOOKUP(B91,
'[11]january-2027'!$A:$A,
'[11]january-2027'!$C:$C,
0,0)</f>
        <v>58800</v>
      </c>
      <c r="DG91">
        <f t="shared" si="341"/>
        <v>10584</v>
      </c>
      <c r="DH91">
        <f t="shared" si="342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3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4"/>
        <v>200</v>
      </c>
      <c r="DO91">
        <f t="shared" si="345"/>
        <v>72140</v>
      </c>
      <c r="DP91">
        <f xml:space="preserve"> _xlfn.XLOOKUP(B91,
'[12]february-2027'!$A:$A,
'[12]february-2027'!$C:$C,
0,0)</f>
        <v>58800</v>
      </c>
      <c r="DQ91">
        <f t="shared" si="346"/>
        <v>10584</v>
      </c>
      <c r="DR91">
        <f t="shared" si="347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48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49"/>
        <v>200</v>
      </c>
      <c r="DY91">
        <f t="shared" si="350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1"/>
        <v>0</v>
      </c>
      <c r="EM91">
        <f t="shared" si="352"/>
        <v>926129</v>
      </c>
      <c r="EN91">
        <f t="shared" si="353"/>
        <v>2400</v>
      </c>
      <c r="EO91">
        <f t="shared" si="354"/>
        <v>50000</v>
      </c>
      <c r="EP91">
        <v>0</v>
      </c>
      <c r="EQ91">
        <f t="shared" si="355"/>
        <v>873729</v>
      </c>
      <c r="ER91">
        <f t="shared" si="356"/>
        <v>60000</v>
      </c>
      <c r="ES91">
        <f t="shared" si="357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58"/>
        <v>60000</v>
      </c>
      <c r="FE91">
        <f t="shared" si="359"/>
        <v>60000</v>
      </c>
      <c r="FF91">
        <f t="shared" si="360"/>
        <v>813729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>SUM(FG91:FM91)+(IF(F91="YES",50000,0))</f>
        <v>0</v>
      </c>
      <c r="FO91">
        <f t="shared" si="361"/>
        <v>813729</v>
      </c>
      <c r="FP91">
        <f t="shared" si="362"/>
        <v>12500</v>
      </c>
      <c r="FQ91">
        <f t="shared" si="363"/>
        <v>62746</v>
      </c>
      <c r="FR91">
        <f t="shared" si="364"/>
        <v>75246</v>
      </c>
      <c r="FS91">
        <f t="shared" si="365"/>
        <v>75246</v>
      </c>
      <c r="FT91">
        <f t="shared" si="366"/>
        <v>3009.84</v>
      </c>
      <c r="FU91">
        <f t="shared" si="367"/>
        <v>78256</v>
      </c>
      <c r="FV91">
        <v>0</v>
      </c>
      <c r="FW91">
        <f t="shared" si="368"/>
        <v>78256</v>
      </c>
      <c r="FX91" t="b">
        <f t="shared" si="369"/>
        <v>1</v>
      </c>
      <c r="FY91">
        <f t="shared" ca="1" si="370"/>
        <v>815</v>
      </c>
      <c r="FZ91">
        <f t="shared" ca="1" si="371"/>
        <v>926944</v>
      </c>
      <c r="GA91">
        <f t="shared" si="372"/>
        <v>75000</v>
      </c>
      <c r="GB91">
        <f t="shared" ca="1" si="373"/>
        <v>851944</v>
      </c>
      <c r="GC91">
        <f t="shared" ca="1" si="374"/>
        <v>0</v>
      </c>
      <c r="GD91">
        <f t="shared" ca="1" si="375"/>
        <v>0</v>
      </c>
      <c r="GE91">
        <f t="shared" ca="1" si="376"/>
        <v>0</v>
      </c>
      <c r="GF91">
        <f t="shared" ca="1" si="377"/>
        <v>0</v>
      </c>
      <c r="GG91">
        <f t="shared" ca="1" si="378"/>
        <v>0</v>
      </c>
      <c r="GH91">
        <f t="shared" ca="1" si="379"/>
        <v>0</v>
      </c>
      <c r="GI91">
        <f ca="1">IF(GB91&gt;1200000,GB91-1200000-IF(F91="YES",50000,0)-GG91,0)</f>
        <v>0</v>
      </c>
      <c r="GJ91">
        <f t="shared" ca="1" si="380"/>
        <v>0</v>
      </c>
      <c r="GK91">
        <f t="shared" ca="1" si="381"/>
        <v>51944</v>
      </c>
      <c r="GL91">
        <f t="shared" ca="1" si="382"/>
        <v>5194.4000000000005</v>
      </c>
      <c r="GM91">
        <f t="shared" ca="1" si="383"/>
        <v>400000</v>
      </c>
      <c r="GN91">
        <f t="shared" ca="1" si="384"/>
        <v>20000</v>
      </c>
      <c r="GO91">
        <f t="shared" ca="1" si="385"/>
        <v>25194</v>
      </c>
      <c r="GP91">
        <f t="shared" ca="1" si="386"/>
        <v>0</v>
      </c>
      <c r="GQ91">
        <f t="shared" ca="1" si="387"/>
        <v>0</v>
      </c>
      <c r="GR91">
        <f t="shared" ca="1" si="388"/>
        <v>25194</v>
      </c>
      <c r="GS91">
        <f t="shared" ca="1" si="389"/>
        <v>0</v>
      </c>
      <c r="GT91" t="b">
        <f t="shared" ca="1" si="390"/>
        <v>0</v>
      </c>
      <c r="GU91">
        <f t="shared" ca="1" si="391"/>
        <v>0</v>
      </c>
      <c r="GV91">
        <f t="shared" ca="1" si="392"/>
        <v>25194</v>
      </c>
      <c r="GW91">
        <f t="shared" ca="1" si="393"/>
        <v>0</v>
      </c>
      <c r="GX91">
        <f t="shared" ca="1" si="394"/>
        <v>0</v>
      </c>
      <c r="GY91">
        <f t="shared" ca="1" si="395"/>
        <v>0</v>
      </c>
    </row>
    <row r="92" spans="1:207" x14ac:dyDescent="0.25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1"/>
        <v>6800</v>
      </c>
      <c r="I92">
        <f>_xlfn.XLOOKUP(B92,'[1]march-2026'!$A:$A,'[1]march-2026'!$C:$C,0,0)</f>
        <v>48700</v>
      </c>
      <c r="J92">
        <f t="shared" si="396"/>
        <v>8766</v>
      </c>
      <c r="K92">
        <f t="shared" si="292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3"/>
        <v>63810</v>
      </c>
      <c r="O92">
        <f>_xlfn.XLOOKUP(B92,'[1]march-2026'!$A:$A,'[1]march-2026'!$H:$H,0,0)</f>
        <v>3000</v>
      </c>
      <c r="P92">
        <f>_xlfn.XLOOKUP(B92,'[1]march-2026'!$A:$A,'[1]march-2026'!$I:$I,0,0)</f>
        <v>60</v>
      </c>
      <c r="Q92">
        <f t="shared" si="294"/>
        <v>200</v>
      </c>
      <c r="R92">
        <f t="shared" si="295"/>
        <v>60550</v>
      </c>
      <c r="S92">
        <f>_xlfn.XLOOKUP(B92,'[2]april-2026'!$A:$A,'[2]april-2026'!$C:$C,0,0)</f>
        <v>48700</v>
      </c>
      <c r="T92">
        <f t="shared" si="296"/>
        <v>8766</v>
      </c>
      <c r="U92">
        <f t="shared" si="297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298"/>
        <v>63810</v>
      </c>
      <c r="Y92">
        <f>_xlfn.XLOOKUP(B92,'[2]april-2026'!$A:$A,'[2]april-2026'!$H:$H,0,0)</f>
        <v>3000</v>
      </c>
      <c r="Z92">
        <f>_xlfn.XLOOKUP(B92,'[2]april-2026'!$A:$A,'[2]april-2026'!$I:$I,0,0)</f>
        <v>60</v>
      </c>
      <c r="AA92">
        <f t="shared" si="299"/>
        <v>200</v>
      </c>
      <c r="AB92">
        <f t="shared" si="300"/>
        <v>60550</v>
      </c>
      <c r="AC92">
        <f>_xlfn.XLOOKUP(B92,'[3]may-2026'!$A:$A,'[3]may-2026'!$C:$C,0,0)</f>
        <v>48700</v>
      </c>
      <c r="AD92">
        <f t="shared" si="301"/>
        <v>8766</v>
      </c>
      <c r="AE92">
        <f t="shared" si="302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3"/>
        <v>63810</v>
      </c>
      <c r="AI92">
        <f>_xlfn.XLOOKUP(B92,'[3]may-2026'!$A:$A,'[3]may-2026'!$H:$H,0,0)</f>
        <v>3000</v>
      </c>
      <c r="AJ92">
        <f>_xlfn.XLOOKUP(B92,'[3]may-2026'!$A:$A,'[3]may-2026'!$I:$I,0,0)</f>
        <v>60</v>
      </c>
      <c r="AK92">
        <f t="shared" si="304"/>
        <v>200</v>
      </c>
      <c r="AL92">
        <f t="shared" si="305"/>
        <v>60550</v>
      </c>
      <c r="AM92">
        <f>_xlfn.XLOOKUP(B92,'[4]june-2026'!$A:$A,'[4]june-2026'!$C:$C,0,0)</f>
        <v>48700</v>
      </c>
      <c r="AN92">
        <f t="shared" si="306"/>
        <v>8766</v>
      </c>
      <c r="AO92">
        <f t="shared" si="307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08"/>
        <v>63810</v>
      </c>
      <c r="AS92">
        <f>_xlfn.XLOOKUP(B92,'[4]june-2026'!$A:$A,'[4]june-2026'!$H:$H,0,0)</f>
        <v>3000</v>
      </c>
      <c r="AT92">
        <f>_xlfn.XLOOKUP(B92,'[4]june-2026'!$A:$A,'[4]june-2026'!$I:$I,0,0)</f>
        <v>60</v>
      </c>
      <c r="AU92">
        <f t="shared" si="309"/>
        <v>200</v>
      </c>
      <c r="AV92">
        <f t="shared" si="310"/>
        <v>60550</v>
      </c>
      <c r="AW92">
        <f>_xlfn.XLOOKUP(B92,'[5]july-2026'!$A:$A,'[5]july-2026'!$C:$C,0,0)</f>
        <v>50200</v>
      </c>
      <c r="AX92">
        <f t="shared" si="311"/>
        <v>9036</v>
      </c>
      <c r="AY92">
        <v>90</v>
      </c>
      <c r="AZ92">
        <f t="shared" si="312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3"/>
        <v>65850</v>
      </c>
      <c r="BD92">
        <f>_xlfn.XLOOKUP(B92,'[5]july-2026'!$A:$A,'[5]july-2026'!$H:$H,0,0)</f>
        <v>3000</v>
      </c>
      <c r="BE92">
        <f>_xlfn.XLOOKUP(B92,'[5]july-2026'!$A:$A,'[5]july-2026'!$I:$I,0,0)</f>
        <v>60</v>
      </c>
      <c r="BF92">
        <f t="shared" si="314"/>
        <v>200</v>
      </c>
      <c r="BG92">
        <f t="shared" si="315"/>
        <v>62590</v>
      </c>
      <c r="BH92">
        <f>_xlfn.XLOOKUP(B92,'[6]august-2026'!$A:$A,'[6]august-2026'!$C:$C,0,0)</f>
        <v>50200</v>
      </c>
      <c r="BI92">
        <f t="shared" si="316"/>
        <v>9036</v>
      </c>
      <c r="BJ92">
        <f t="shared" si="317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18"/>
        <v>65760</v>
      </c>
      <c r="BN92">
        <f>_xlfn.XLOOKUP(B92,'[6]august-2026'!$A:$A,'[6]august-2026'!$H:$H,0,0)</f>
        <v>3000</v>
      </c>
      <c r="BO92">
        <f>_xlfn.XLOOKUP(B92,'[6]august-2026'!$A:$A,'[6]august-2026'!$I:$I,0,0)</f>
        <v>60</v>
      </c>
      <c r="BP92">
        <f t="shared" si="319"/>
        <v>200</v>
      </c>
      <c r="BQ92">
        <f t="shared" si="320"/>
        <v>62500</v>
      </c>
      <c r="BR92">
        <f>_xlfn.XLOOKUP(B92,'[7]september-2026'!$A:$A,'[7]september-2026'!$C:$C,0,0)</f>
        <v>50200</v>
      </c>
      <c r="BS92">
        <f t="shared" si="321"/>
        <v>9036</v>
      </c>
      <c r="BT92">
        <f t="shared" si="322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3"/>
        <v>65760</v>
      </c>
      <c r="BX92">
        <f>_xlfn.XLOOKUP(B92,'[7]september-2026'!$A:$A,'[7]september-2026'!$H:$H,0,0)</f>
        <v>3000</v>
      </c>
      <c r="BY92">
        <f>_xlfn.XLOOKUP(B92,'[7]september-2026'!$A:$A,'[7]september-2026'!$I:$I,0,0)</f>
        <v>60</v>
      </c>
      <c r="BZ92">
        <f t="shared" si="324"/>
        <v>200</v>
      </c>
      <c r="CA92">
        <f t="shared" si="325"/>
        <v>62500</v>
      </c>
      <c r="CB92">
        <f>_xlfn.XLOOKUP(B92,'[8]october-2026'!$A:$A,'[8]october-2026'!$C:$C,0,0)</f>
        <v>50200</v>
      </c>
      <c r="CC92">
        <f t="shared" si="326"/>
        <v>9036</v>
      </c>
      <c r="CD92">
        <f t="shared" si="327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28"/>
        <v>65760</v>
      </c>
      <c r="CH92">
        <f>_xlfn.XLOOKUP(B92,'[8]october-2026'!$A:$A,'[8]october-2026'!$H:$H,0,0)</f>
        <v>3000</v>
      </c>
      <c r="CI92">
        <f>_xlfn.XLOOKUP(B92,'[8]october-2026'!$A:$A,'[8]october-2026'!$I:$I,0,0)</f>
        <v>60</v>
      </c>
      <c r="CJ92">
        <f t="shared" si="329"/>
        <v>200</v>
      </c>
      <c r="CK92">
        <f t="shared" si="330"/>
        <v>62500</v>
      </c>
      <c r="CL92">
        <f>_xlfn.XLOOKUP(B92,'[9]november-2026'!$A:$A,'[9]november-2026'!$C:$C,0,0)</f>
        <v>50200</v>
      </c>
      <c r="CM92">
        <f t="shared" si="331"/>
        <v>9036</v>
      </c>
      <c r="CN92">
        <f t="shared" si="332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3"/>
        <v>65760</v>
      </c>
      <c r="CR92">
        <f>_xlfn.XLOOKUP(B92,'[9]november-2026'!$A:$A,'[9]november-2026'!$H:$H,0,0)</f>
        <v>3000</v>
      </c>
      <c r="CS92">
        <f>_xlfn.XLOOKUP(B92,'[9]november-2026'!$A:$A,'[9]november-2026'!$I:$I,0,0)</f>
        <v>60</v>
      </c>
      <c r="CT92">
        <f t="shared" si="334"/>
        <v>200</v>
      </c>
      <c r="CU92">
        <f t="shared" si="335"/>
        <v>62500</v>
      </c>
      <c r="CV92">
        <f>_xlfn.XLOOKUP(B92,'[10]december-2026'!$A:$A,'[10]december-2026'!$C:$C,0,0)</f>
        <v>50200</v>
      </c>
      <c r="CW92">
        <f t="shared" si="336"/>
        <v>9036</v>
      </c>
      <c r="CX92">
        <f t="shared" si="337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38"/>
        <v>65760</v>
      </c>
      <c r="DB92">
        <f>_xlfn.XLOOKUP(B92,'[10]december-2026'!$A:$A,'[10]december-2026'!$H:$H,0,0)</f>
        <v>3000</v>
      </c>
      <c r="DC92">
        <f>_xlfn.XLOOKUP(B92,'[10]december-2026'!$A:$A,'[10]december-2026'!$I:$I,0,0)</f>
        <v>60</v>
      </c>
      <c r="DD92">
        <f t="shared" si="339"/>
        <v>200</v>
      </c>
      <c r="DE92">
        <f t="shared" si="340"/>
        <v>62500</v>
      </c>
      <c r="DF92">
        <f xml:space="preserve"> _xlfn.XLOOKUP(B92,
'[11]january-2027'!$A:$A,
'[11]january-2027'!$C:$C,
0,0)</f>
        <v>50200</v>
      </c>
      <c r="DG92">
        <f t="shared" si="341"/>
        <v>9036</v>
      </c>
      <c r="DH92">
        <f t="shared" si="342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3"/>
        <v>65760</v>
      </c>
      <c r="DL92">
        <f xml:space="preserve"> _xlfn.XLOOKUP(B92,
'[11]january-2027'!$A:$A,
'[11]january-2027'!$H:$H,
0,0)</f>
        <v>3000</v>
      </c>
      <c r="DM92">
        <f xml:space="preserve"> _xlfn.XLOOKUP(B92,
'[11]january-2027'!$A:$A,
'[11]january-2027'!$I:$I,
0,0)</f>
        <v>60</v>
      </c>
      <c r="DN92">
        <f t="shared" si="344"/>
        <v>200</v>
      </c>
      <c r="DO92">
        <f t="shared" si="345"/>
        <v>62500</v>
      </c>
      <c r="DP92">
        <f xml:space="preserve"> _xlfn.XLOOKUP(B92,
'[12]february-2027'!$A:$A,
'[12]february-2027'!$C:$C,
0,0)</f>
        <v>50200</v>
      </c>
      <c r="DQ92">
        <f t="shared" si="346"/>
        <v>9036</v>
      </c>
      <c r="DR92">
        <f t="shared" si="347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48"/>
        <v>65760</v>
      </c>
      <c r="DV92">
        <f xml:space="preserve"> _xlfn.XLOOKUP(B92,
'[12]february-2027'!$A:$A,
'[12]february-2027'!$H:$H,
0,0)</f>
        <v>3000</v>
      </c>
      <c r="DW92">
        <f xml:space="preserve"> _xlfn.XLOOKUP(B92,
'[12]february-2027'!$A:$A,
'[12]february-2027'!$I:$I,
0,0)</f>
        <v>60</v>
      </c>
      <c r="DX92">
        <f t="shared" si="349"/>
        <v>200</v>
      </c>
      <c r="DY92">
        <f t="shared" si="350"/>
        <v>62500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1"/>
        <v>0</v>
      </c>
      <c r="EM92">
        <f t="shared" si="352"/>
        <v>788210</v>
      </c>
      <c r="EN92">
        <f t="shared" si="353"/>
        <v>2400</v>
      </c>
      <c r="EO92">
        <f t="shared" si="354"/>
        <v>50000</v>
      </c>
      <c r="EP92">
        <v>0</v>
      </c>
      <c r="EQ92">
        <f t="shared" si="355"/>
        <v>735810</v>
      </c>
      <c r="ER92">
        <f t="shared" si="356"/>
        <v>36000</v>
      </c>
      <c r="ES92">
        <f t="shared" si="357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58"/>
        <v>36720</v>
      </c>
      <c r="FE92">
        <f t="shared" si="359"/>
        <v>36720</v>
      </c>
      <c r="FF92">
        <f t="shared" si="360"/>
        <v>699090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>SUM(FG92:FM92)+(IF(F92="YES",50000,0))</f>
        <v>0</v>
      </c>
      <c r="FO92">
        <f t="shared" si="361"/>
        <v>699090</v>
      </c>
      <c r="FP92">
        <f t="shared" si="362"/>
        <v>12500</v>
      </c>
      <c r="FQ92">
        <f t="shared" si="363"/>
        <v>39818</v>
      </c>
      <c r="FR92">
        <f t="shared" si="364"/>
        <v>52318</v>
      </c>
      <c r="FS92">
        <f t="shared" si="365"/>
        <v>52318</v>
      </c>
      <c r="FT92">
        <f t="shared" si="366"/>
        <v>2092.7200000000003</v>
      </c>
      <c r="FU92">
        <f t="shared" si="367"/>
        <v>54411</v>
      </c>
      <c r="FV92">
        <v>0</v>
      </c>
      <c r="FW92">
        <f t="shared" si="368"/>
        <v>54411</v>
      </c>
      <c r="FX92" t="b">
        <f t="shared" si="369"/>
        <v>1</v>
      </c>
      <c r="FY92">
        <f t="shared" ca="1" si="370"/>
        <v>590</v>
      </c>
      <c r="FZ92">
        <f t="shared" ca="1" si="371"/>
        <v>788800</v>
      </c>
      <c r="GA92">
        <f t="shared" si="372"/>
        <v>75000</v>
      </c>
      <c r="GB92">
        <f t="shared" ca="1" si="373"/>
        <v>713800</v>
      </c>
      <c r="GC92">
        <f t="shared" ca="1" si="374"/>
        <v>0</v>
      </c>
      <c r="GD92">
        <f t="shared" ca="1" si="375"/>
        <v>0</v>
      </c>
      <c r="GE92">
        <f t="shared" ca="1" si="376"/>
        <v>0</v>
      </c>
      <c r="GF92">
        <f t="shared" ca="1" si="377"/>
        <v>0</v>
      </c>
      <c r="GG92">
        <f t="shared" ca="1" si="378"/>
        <v>0</v>
      </c>
      <c r="GH92">
        <f t="shared" ca="1" si="379"/>
        <v>0</v>
      </c>
      <c r="GI92">
        <f ca="1">IF(GB92&gt;1200000,GB92-1200000-IF(F92="YES",50000,0)-GG92,0)</f>
        <v>0</v>
      </c>
      <c r="GJ92">
        <f t="shared" ca="1" si="380"/>
        <v>0</v>
      </c>
      <c r="GK92">
        <f t="shared" ca="1" si="381"/>
        <v>0</v>
      </c>
      <c r="GL92">
        <f t="shared" ca="1" si="382"/>
        <v>0</v>
      </c>
      <c r="GM92">
        <f t="shared" ca="1" si="383"/>
        <v>313800</v>
      </c>
      <c r="GN92">
        <f t="shared" ca="1" si="384"/>
        <v>15690</v>
      </c>
      <c r="GO92">
        <f t="shared" ca="1" si="385"/>
        <v>15690</v>
      </c>
      <c r="GP92">
        <f t="shared" ca="1" si="386"/>
        <v>0</v>
      </c>
      <c r="GQ92">
        <f t="shared" ca="1" si="387"/>
        <v>0</v>
      </c>
      <c r="GR92">
        <f t="shared" ca="1" si="388"/>
        <v>15690</v>
      </c>
      <c r="GS92">
        <f t="shared" ca="1" si="389"/>
        <v>0</v>
      </c>
      <c r="GT92" t="b">
        <f t="shared" ca="1" si="390"/>
        <v>0</v>
      </c>
      <c r="GU92">
        <f t="shared" ca="1" si="391"/>
        <v>0</v>
      </c>
      <c r="GV92">
        <f t="shared" ca="1" si="392"/>
        <v>15690</v>
      </c>
      <c r="GW92">
        <f t="shared" ca="1" si="393"/>
        <v>0</v>
      </c>
      <c r="GX92">
        <f t="shared" ca="1" si="394"/>
        <v>0</v>
      </c>
      <c r="GY92">
        <f t="shared" ca="1" si="395"/>
        <v>0</v>
      </c>
    </row>
    <row r="93" spans="1:207" x14ac:dyDescent="0.25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1"/>
        <v>6800</v>
      </c>
      <c r="I93">
        <f>_xlfn.XLOOKUP(B93,'[1]march-2026'!$A:$A,'[1]march-2026'!$C:$C,0,0)</f>
        <v>36600</v>
      </c>
      <c r="J93">
        <f t="shared" si="396"/>
        <v>6588</v>
      </c>
      <c r="K93">
        <f t="shared" si="292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3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4"/>
        <v>200</v>
      </c>
      <c r="R93">
        <f t="shared" si="295"/>
        <v>44880</v>
      </c>
      <c r="S93">
        <f>_xlfn.XLOOKUP(B93,'[2]april-2026'!$A:$A,'[2]april-2026'!$C:$C,0,0)</f>
        <v>36600</v>
      </c>
      <c r="T93">
        <f t="shared" si="296"/>
        <v>6588</v>
      </c>
      <c r="U93">
        <f t="shared" si="297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298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299"/>
        <v>200</v>
      </c>
      <c r="AB93">
        <f t="shared" si="300"/>
        <v>44880</v>
      </c>
      <c r="AC93">
        <f>_xlfn.XLOOKUP(B93,'[3]may-2026'!$A:$A,'[3]may-2026'!$C:$C,0,0)</f>
        <v>36600</v>
      </c>
      <c r="AD93">
        <f t="shared" si="301"/>
        <v>6588</v>
      </c>
      <c r="AE93">
        <f t="shared" si="302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3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4"/>
        <v>200</v>
      </c>
      <c r="AL93">
        <f t="shared" si="305"/>
        <v>44880</v>
      </c>
      <c r="AM93">
        <f>_xlfn.XLOOKUP(B93,'[4]june-2026'!$A:$A,'[4]june-2026'!$C:$C,0,0)</f>
        <v>36600</v>
      </c>
      <c r="AN93">
        <f t="shared" si="306"/>
        <v>6588</v>
      </c>
      <c r="AO93">
        <f t="shared" si="307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08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09"/>
        <v>200</v>
      </c>
      <c r="AV93">
        <f t="shared" si="310"/>
        <v>44880</v>
      </c>
      <c r="AW93">
        <f>_xlfn.XLOOKUP(B93,'[5]july-2026'!$A:$A,'[5]july-2026'!$C:$C,0,0)</f>
        <v>37700</v>
      </c>
      <c r="AX93">
        <f t="shared" si="311"/>
        <v>6786</v>
      </c>
      <c r="AY93">
        <v>91</v>
      </c>
      <c r="AZ93">
        <f t="shared" si="312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3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4"/>
        <v>200</v>
      </c>
      <c r="BG93">
        <f t="shared" si="315"/>
        <v>46401</v>
      </c>
      <c r="BH93">
        <f>_xlfn.XLOOKUP(B93,'[6]august-2026'!$A:$A,'[6]august-2026'!$C:$C,0,0)</f>
        <v>37700</v>
      </c>
      <c r="BI93">
        <f t="shared" si="316"/>
        <v>6786</v>
      </c>
      <c r="BJ93">
        <f t="shared" si="317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18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19"/>
        <v>200</v>
      </c>
      <c r="BQ93">
        <f t="shared" si="320"/>
        <v>46310</v>
      </c>
      <c r="BR93">
        <f>_xlfn.XLOOKUP(B93,'[7]september-2026'!$A:$A,'[7]september-2026'!$C:$C,0,0)</f>
        <v>37700</v>
      </c>
      <c r="BS93">
        <f t="shared" si="321"/>
        <v>6786</v>
      </c>
      <c r="BT93">
        <f t="shared" si="322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3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4"/>
        <v>200</v>
      </c>
      <c r="CA93">
        <f t="shared" si="325"/>
        <v>46310</v>
      </c>
      <c r="CB93">
        <f>_xlfn.XLOOKUP(B93,'[8]october-2026'!$A:$A,'[8]october-2026'!$C:$C,0,0)</f>
        <v>37700</v>
      </c>
      <c r="CC93">
        <f t="shared" si="326"/>
        <v>6786</v>
      </c>
      <c r="CD93">
        <f t="shared" si="327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28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29"/>
        <v>200</v>
      </c>
      <c r="CK93">
        <f t="shared" si="330"/>
        <v>46310</v>
      </c>
      <c r="CL93">
        <f>_xlfn.XLOOKUP(B93,'[9]november-2026'!$A:$A,'[9]november-2026'!$C:$C,0,0)</f>
        <v>37700</v>
      </c>
      <c r="CM93">
        <f t="shared" si="331"/>
        <v>6786</v>
      </c>
      <c r="CN93">
        <f t="shared" si="332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3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4"/>
        <v>200</v>
      </c>
      <c r="CU93">
        <f t="shared" si="335"/>
        <v>46310</v>
      </c>
      <c r="CV93">
        <f>_xlfn.XLOOKUP(B93,'[10]december-2026'!$A:$A,'[10]december-2026'!$C:$C,0,0)</f>
        <v>37700</v>
      </c>
      <c r="CW93">
        <f t="shared" si="336"/>
        <v>6786</v>
      </c>
      <c r="CX93">
        <f t="shared" si="337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38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39"/>
        <v>200</v>
      </c>
      <c r="DE93">
        <f t="shared" si="340"/>
        <v>46310</v>
      </c>
      <c r="DF93">
        <f xml:space="preserve"> _xlfn.XLOOKUP(B93,
'[11]january-2027'!$A:$A,
'[11]january-2027'!$C:$C,
0,0)</f>
        <v>37700</v>
      </c>
      <c r="DG93">
        <f t="shared" si="341"/>
        <v>6786</v>
      </c>
      <c r="DH93">
        <f t="shared" si="342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3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4"/>
        <v>200</v>
      </c>
      <c r="DO93">
        <f t="shared" si="345"/>
        <v>46310</v>
      </c>
      <c r="DP93">
        <f xml:space="preserve"> _xlfn.XLOOKUP(B93,
'[12]february-2027'!$A:$A,
'[12]february-2027'!$C:$C,
0,0)</f>
        <v>37700</v>
      </c>
      <c r="DQ93">
        <f t="shared" si="346"/>
        <v>6786</v>
      </c>
      <c r="DR93">
        <f t="shared" si="347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48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49"/>
        <v>200</v>
      </c>
      <c r="DY93">
        <f t="shared" si="350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1"/>
        <v>0</v>
      </c>
      <c r="EM93">
        <f t="shared" si="352"/>
        <v>595291</v>
      </c>
      <c r="EN93">
        <f t="shared" si="353"/>
        <v>2400</v>
      </c>
      <c r="EO93">
        <f t="shared" si="354"/>
        <v>50000</v>
      </c>
      <c r="EP93">
        <v>0</v>
      </c>
      <c r="EQ93">
        <f t="shared" si="355"/>
        <v>542891</v>
      </c>
      <c r="ER93">
        <f t="shared" si="356"/>
        <v>36000</v>
      </c>
      <c r="ES93">
        <f t="shared" si="357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58"/>
        <v>36000</v>
      </c>
      <c r="FE93">
        <f t="shared" si="359"/>
        <v>36000</v>
      </c>
      <c r="FF93">
        <f t="shared" si="360"/>
        <v>506891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>SUM(FG93:FM93)+(IF(F93="YES",50000,0))</f>
        <v>0</v>
      </c>
      <c r="FO93">
        <f t="shared" si="361"/>
        <v>506891</v>
      </c>
      <c r="FP93">
        <f t="shared" si="362"/>
        <v>12500</v>
      </c>
      <c r="FQ93">
        <f t="shared" si="363"/>
        <v>1378</v>
      </c>
      <c r="FR93">
        <f t="shared" si="364"/>
        <v>13878</v>
      </c>
      <c r="FS93">
        <f t="shared" si="365"/>
        <v>13878</v>
      </c>
      <c r="FT93">
        <f t="shared" si="366"/>
        <v>555.12</v>
      </c>
      <c r="FU93">
        <f t="shared" si="367"/>
        <v>14433</v>
      </c>
      <c r="FV93">
        <v>0</v>
      </c>
      <c r="FW93">
        <f t="shared" si="368"/>
        <v>14433</v>
      </c>
      <c r="FX93" t="b">
        <f t="shared" si="369"/>
        <v>1</v>
      </c>
      <c r="FY93">
        <f t="shared" ca="1" si="370"/>
        <v>730</v>
      </c>
      <c r="FZ93">
        <f t="shared" ca="1" si="371"/>
        <v>596021</v>
      </c>
      <c r="GA93">
        <f t="shared" si="372"/>
        <v>75000</v>
      </c>
      <c r="GB93">
        <f t="shared" ca="1" si="373"/>
        <v>521021</v>
      </c>
      <c r="GC93">
        <f t="shared" ca="1" si="374"/>
        <v>0</v>
      </c>
      <c r="GD93">
        <f t="shared" ca="1" si="375"/>
        <v>0</v>
      </c>
      <c r="GE93">
        <f t="shared" ca="1" si="376"/>
        <v>0</v>
      </c>
      <c r="GF93">
        <f t="shared" ca="1" si="377"/>
        <v>0</v>
      </c>
      <c r="GG93">
        <f t="shared" ca="1" si="378"/>
        <v>0</v>
      </c>
      <c r="GH93">
        <f t="shared" ca="1" si="379"/>
        <v>0</v>
      </c>
      <c r="GI93">
        <f ca="1">IF(GB93&gt;1200000,GB93-1200000-IF(F93="YES",50000,0)-GG93,0)</f>
        <v>0</v>
      </c>
      <c r="GJ93">
        <f t="shared" ca="1" si="380"/>
        <v>0</v>
      </c>
      <c r="GK93">
        <f t="shared" ca="1" si="381"/>
        <v>0</v>
      </c>
      <c r="GL93">
        <f t="shared" ca="1" si="382"/>
        <v>0</v>
      </c>
      <c r="GM93">
        <f t="shared" ca="1" si="383"/>
        <v>121021</v>
      </c>
      <c r="GN93">
        <f t="shared" ca="1" si="384"/>
        <v>6051.05</v>
      </c>
      <c r="GO93">
        <f t="shared" ca="1" si="385"/>
        <v>6051</v>
      </c>
      <c r="GP93">
        <f t="shared" ca="1" si="386"/>
        <v>0</v>
      </c>
      <c r="GQ93">
        <f t="shared" ca="1" si="387"/>
        <v>0</v>
      </c>
      <c r="GR93">
        <f t="shared" ca="1" si="388"/>
        <v>6051</v>
      </c>
      <c r="GS93">
        <f t="shared" ca="1" si="389"/>
        <v>0</v>
      </c>
      <c r="GT93" t="b">
        <f t="shared" ca="1" si="390"/>
        <v>0</v>
      </c>
      <c r="GU93">
        <f t="shared" ca="1" si="391"/>
        <v>0</v>
      </c>
      <c r="GV93">
        <f t="shared" ca="1" si="392"/>
        <v>6051</v>
      </c>
      <c r="GW93">
        <f t="shared" ca="1" si="393"/>
        <v>0</v>
      </c>
      <c r="GX93">
        <f t="shared" ca="1" si="394"/>
        <v>0</v>
      </c>
      <c r="GY93">
        <f t="shared" ca="1" si="395"/>
        <v>0</v>
      </c>
    </row>
    <row r="94" spans="1:207" x14ac:dyDescent="0.25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1"/>
        <v>6800</v>
      </c>
      <c r="I94">
        <f>_xlfn.XLOOKUP(B94,'[1]march-2026'!$A:$A,'[1]march-2026'!$C:$C,0,0)</f>
        <v>35500</v>
      </c>
      <c r="J94">
        <f t="shared" si="396"/>
        <v>6390</v>
      </c>
      <c r="K94">
        <f t="shared" si="292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3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4"/>
        <v>200</v>
      </c>
      <c r="R94">
        <f t="shared" si="295"/>
        <v>43450</v>
      </c>
      <c r="S94">
        <f>_xlfn.XLOOKUP(B94,'[2]april-2026'!$A:$A,'[2]april-2026'!$C:$C,0,0)</f>
        <v>35500</v>
      </c>
      <c r="T94">
        <f t="shared" si="296"/>
        <v>6390</v>
      </c>
      <c r="U94">
        <f t="shared" si="297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298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299"/>
        <v>200</v>
      </c>
      <c r="AB94">
        <f t="shared" si="300"/>
        <v>43450</v>
      </c>
      <c r="AC94">
        <f>_xlfn.XLOOKUP(B94,'[3]may-2026'!$A:$A,'[3]may-2026'!$C:$C,0,0)</f>
        <v>35500</v>
      </c>
      <c r="AD94">
        <f t="shared" si="301"/>
        <v>6390</v>
      </c>
      <c r="AE94">
        <f t="shared" si="302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3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4"/>
        <v>200</v>
      </c>
      <c r="AL94">
        <f t="shared" si="305"/>
        <v>43450</v>
      </c>
      <c r="AM94">
        <f>_xlfn.XLOOKUP(B94,'[4]june-2026'!$A:$A,'[4]june-2026'!$C:$C,0,0)</f>
        <v>35500</v>
      </c>
      <c r="AN94">
        <f t="shared" si="306"/>
        <v>6390</v>
      </c>
      <c r="AO94">
        <f t="shared" si="307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08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09"/>
        <v>200</v>
      </c>
      <c r="AV94">
        <f t="shared" si="310"/>
        <v>43450</v>
      </c>
      <c r="AW94">
        <f>_xlfn.XLOOKUP(B94,'[5]july-2026'!$A:$A,'[5]july-2026'!$C:$C,0,0)</f>
        <v>36600</v>
      </c>
      <c r="AX94">
        <f t="shared" si="311"/>
        <v>6588</v>
      </c>
      <c r="AY94">
        <v>92</v>
      </c>
      <c r="AZ94">
        <f t="shared" si="312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3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4"/>
        <v>200</v>
      </c>
      <c r="BG94">
        <f t="shared" si="315"/>
        <v>44972</v>
      </c>
      <c r="BH94">
        <f>_xlfn.XLOOKUP(B94,'[6]august-2026'!$A:$A,'[6]august-2026'!$C:$C,0,0)</f>
        <v>36600</v>
      </c>
      <c r="BI94">
        <f t="shared" si="316"/>
        <v>6588</v>
      </c>
      <c r="BJ94">
        <f t="shared" si="317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18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19"/>
        <v>200</v>
      </c>
      <c r="BQ94">
        <f t="shared" si="320"/>
        <v>44880</v>
      </c>
      <c r="BR94">
        <f>_xlfn.XLOOKUP(B94,'[7]september-2026'!$A:$A,'[7]september-2026'!$C:$C,0,0)</f>
        <v>36600</v>
      </c>
      <c r="BS94">
        <f t="shared" si="321"/>
        <v>6588</v>
      </c>
      <c r="BT94">
        <f t="shared" si="322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3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4"/>
        <v>200</v>
      </c>
      <c r="CA94">
        <f t="shared" si="325"/>
        <v>44880</v>
      </c>
      <c r="CB94">
        <f>_xlfn.XLOOKUP(B94,'[8]october-2026'!$A:$A,'[8]october-2026'!$C:$C,0,0)</f>
        <v>36600</v>
      </c>
      <c r="CC94">
        <f t="shared" si="326"/>
        <v>6588</v>
      </c>
      <c r="CD94">
        <f t="shared" si="327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28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29"/>
        <v>200</v>
      </c>
      <c r="CK94">
        <f t="shared" si="330"/>
        <v>44880</v>
      </c>
      <c r="CL94">
        <f>_xlfn.XLOOKUP(B94,'[9]november-2026'!$A:$A,'[9]november-2026'!$C:$C,0,0)</f>
        <v>36600</v>
      </c>
      <c r="CM94">
        <f t="shared" si="331"/>
        <v>6588</v>
      </c>
      <c r="CN94">
        <f t="shared" si="332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3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4"/>
        <v>200</v>
      </c>
      <c r="CU94">
        <f t="shared" si="335"/>
        <v>44880</v>
      </c>
      <c r="CV94">
        <f>_xlfn.XLOOKUP(B94,'[10]december-2026'!$A:$A,'[10]december-2026'!$C:$C,0,0)</f>
        <v>36600</v>
      </c>
      <c r="CW94">
        <f t="shared" si="336"/>
        <v>6588</v>
      </c>
      <c r="CX94">
        <f t="shared" si="337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38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39"/>
        <v>200</v>
      </c>
      <c r="DE94">
        <f t="shared" si="340"/>
        <v>44880</v>
      </c>
      <c r="DF94">
        <f xml:space="preserve"> _xlfn.XLOOKUP(B94,
'[11]january-2027'!$A:$A,
'[11]january-2027'!$C:$C,
0,0)</f>
        <v>36600</v>
      </c>
      <c r="DG94">
        <f t="shared" si="341"/>
        <v>6588</v>
      </c>
      <c r="DH94">
        <f t="shared" si="342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3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4"/>
        <v>200</v>
      </c>
      <c r="DO94">
        <f t="shared" si="345"/>
        <v>44880</v>
      </c>
      <c r="DP94">
        <f xml:space="preserve"> _xlfn.XLOOKUP(B94,
'[12]february-2027'!$A:$A,
'[12]february-2027'!$C:$C,
0,0)</f>
        <v>36600</v>
      </c>
      <c r="DQ94">
        <f t="shared" si="346"/>
        <v>6588</v>
      </c>
      <c r="DR94">
        <f t="shared" si="347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48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49"/>
        <v>200</v>
      </c>
      <c r="DY94">
        <f t="shared" si="350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1"/>
        <v>0</v>
      </c>
      <c r="EM94">
        <f t="shared" si="352"/>
        <v>578132</v>
      </c>
      <c r="EN94">
        <f t="shared" si="353"/>
        <v>2400</v>
      </c>
      <c r="EO94">
        <f t="shared" si="354"/>
        <v>50000</v>
      </c>
      <c r="EP94">
        <v>0</v>
      </c>
      <c r="EQ94">
        <f t="shared" si="355"/>
        <v>525732</v>
      </c>
      <c r="ER94">
        <f t="shared" si="356"/>
        <v>36000</v>
      </c>
      <c r="ES94">
        <f t="shared" si="357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58"/>
        <v>36000</v>
      </c>
      <c r="FE94">
        <f t="shared" si="359"/>
        <v>36000</v>
      </c>
      <c r="FF94">
        <f t="shared" si="360"/>
        <v>489732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>SUM(FG94:FM94)+(IF(F94="YES",50000,0))</f>
        <v>0</v>
      </c>
      <c r="FO94">
        <f t="shared" si="361"/>
        <v>489732</v>
      </c>
      <c r="FP94">
        <f t="shared" si="362"/>
        <v>11987</v>
      </c>
      <c r="FQ94">
        <f t="shared" si="363"/>
        <v>0</v>
      </c>
      <c r="FR94">
        <f t="shared" si="364"/>
        <v>11987</v>
      </c>
      <c r="FS94">
        <f t="shared" si="365"/>
        <v>0</v>
      </c>
      <c r="FT94">
        <f t="shared" si="366"/>
        <v>0</v>
      </c>
      <c r="FU94">
        <f t="shared" si="367"/>
        <v>0</v>
      </c>
      <c r="FV94">
        <v>0</v>
      </c>
      <c r="FW94">
        <f t="shared" si="368"/>
        <v>0</v>
      </c>
      <c r="FX94" t="b">
        <f t="shared" si="369"/>
        <v>1</v>
      </c>
      <c r="FY94">
        <f t="shared" ca="1" si="370"/>
        <v>829</v>
      </c>
      <c r="FZ94">
        <f t="shared" ca="1" si="371"/>
        <v>578961</v>
      </c>
      <c r="GA94">
        <f t="shared" si="372"/>
        <v>75000</v>
      </c>
      <c r="GB94">
        <f t="shared" ca="1" si="373"/>
        <v>503961</v>
      </c>
      <c r="GC94">
        <f t="shared" ca="1" si="374"/>
        <v>0</v>
      </c>
      <c r="GD94">
        <f t="shared" ca="1" si="375"/>
        <v>0</v>
      </c>
      <c r="GE94">
        <f t="shared" ca="1" si="376"/>
        <v>0</v>
      </c>
      <c r="GF94">
        <f t="shared" ca="1" si="377"/>
        <v>0</v>
      </c>
      <c r="GG94">
        <f t="shared" ca="1" si="378"/>
        <v>0</v>
      </c>
      <c r="GH94">
        <f t="shared" ca="1" si="379"/>
        <v>0</v>
      </c>
      <c r="GI94">
        <f ca="1">IF(GB94&gt;1200000,GB94-1200000-IF(F94="YES",50000,0)-GG94,0)</f>
        <v>0</v>
      </c>
      <c r="GJ94">
        <f t="shared" ca="1" si="380"/>
        <v>0</v>
      </c>
      <c r="GK94">
        <f t="shared" ca="1" si="381"/>
        <v>0</v>
      </c>
      <c r="GL94">
        <f t="shared" ca="1" si="382"/>
        <v>0</v>
      </c>
      <c r="GM94">
        <f t="shared" ca="1" si="383"/>
        <v>103961</v>
      </c>
      <c r="GN94">
        <f t="shared" ca="1" si="384"/>
        <v>5198.05</v>
      </c>
      <c r="GO94">
        <f t="shared" ca="1" si="385"/>
        <v>5198</v>
      </c>
      <c r="GP94">
        <f t="shared" ca="1" si="386"/>
        <v>0</v>
      </c>
      <c r="GQ94">
        <f t="shared" ca="1" si="387"/>
        <v>0</v>
      </c>
      <c r="GR94">
        <f t="shared" ca="1" si="388"/>
        <v>5198</v>
      </c>
      <c r="GS94">
        <f t="shared" ca="1" si="389"/>
        <v>0</v>
      </c>
      <c r="GT94" t="b">
        <f t="shared" ca="1" si="390"/>
        <v>0</v>
      </c>
      <c r="GU94">
        <f t="shared" ca="1" si="391"/>
        <v>0</v>
      </c>
      <c r="GV94">
        <f t="shared" ca="1" si="392"/>
        <v>5198</v>
      </c>
      <c r="GW94">
        <f t="shared" ca="1" si="393"/>
        <v>0</v>
      </c>
      <c r="GX94">
        <f t="shared" ca="1" si="394"/>
        <v>0</v>
      </c>
      <c r="GY94">
        <f t="shared" ca="1" si="395"/>
        <v>0</v>
      </c>
    </row>
    <row r="95" spans="1:207" x14ac:dyDescent="0.25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1"/>
        <v>6800</v>
      </c>
      <c r="I95">
        <f>_xlfn.XLOOKUP(B95,'[1]march-2026'!$A:$A,'[1]march-2026'!$C:$C,0,0)</f>
        <v>29800</v>
      </c>
      <c r="J95">
        <f t="shared" si="396"/>
        <v>5364</v>
      </c>
      <c r="K95">
        <f t="shared" si="292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3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4"/>
        <v>150</v>
      </c>
      <c r="R95">
        <f t="shared" si="295"/>
        <v>37090</v>
      </c>
      <c r="S95">
        <f>_xlfn.XLOOKUP(B95,'[2]april-2026'!$A:$A,'[2]april-2026'!$C:$C,0,0)</f>
        <v>29800</v>
      </c>
      <c r="T95">
        <f t="shared" si="296"/>
        <v>5364</v>
      </c>
      <c r="U95">
        <f t="shared" si="297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298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299"/>
        <v>150</v>
      </c>
      <c r="AB95">
        <f t="shared" si="300"/>
        <v>37090</v>
      </c>
      <c r="AC95">
        <f>_xlfn.XLOOKUP(B95,'[3]may-2026'!$A:$A,'[3]may-2026'!$C:$C,0,0)</f>
        <v>29800</v>
      </c>
      <c r="AD95">
        <f t="shared" si="301"/>
        <v>5364</v>
      </c>
      <c r="AE95">
        <f t="shared" si="302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3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4"/>
        <v>150</v>
      </c>
      <c r="AL95">
        <f t="shared" si="305"/>
        <v>37090</v>
      </c>
      <c r="AM95">
        <f>_xlfn.XLOOKUP(B95,'[4]june-2026'!$A:$A,'[4]june-2026'!$C:$C,0,0)</f>
        <v>29800</v>
      </c>
      <c r="AN95">
        <f t="shared" si="306"/>
        <v>5364</v>
      </c>
      <c r="AO95">
        <f t="shared" si="307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08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09"/>
        <v>150</v>
      </c>
      <c r="AV95">
        <f t="shared" si="310"/>
        <v>37090</v>
      </c>
      <c r="AW95">
        <f>_xlfn.XLOOKUP(B95,'[5]july-2026'!$A:$A,'[5]july-2026'!$C:$C,0,0)</f>
        <v>30700</v>
      </c>
      <c r="AX95">
        <f t="shared" si="311"/>
        <v>5526</v>
      </c>
      <c r="AY95">
        <v>93</v>
      </c>
      <c r="AZ95">
        <f t="shared" si="312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3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4"/>
        <v>200</v>
      </c>
      <c r="BG95">
        <f t="shared" si="315"/>
        <v>38303</v>
      </c>
      <c r="BH95">
        <f>_xlfn.XLOOKUP(B95,'[6]august-2026'!$A:$A,'[6]august-2026'!$C:$C,0,0)</f>
        <v>30700</v>
      </c>
      <c r="BI95">
        <f t="shared" si="316"/>
        <v>5526</v>
      </c>
      <c r="BJ95">
        <f t="shared" si="317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18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19"/>
        <v>200</v>
      </c>
      <c r="BQ95">
        <f t="shared" si="320"/>
        <v>38210</v>
      </c>
      <c r="BR95">
        <f>_xlfn.XLOOKUP(B95,'[7]september-2026'!$A:$A,'[7]september-2026'!$C:$C,0,0)</f>
        <v>30700</v>
      </c>
      <c r="BS95">
        <f t="shared" si="321"/>
        <v>5526</v>
      </c>
      <c r="BT95">
        <f t="shared" si="322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3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4"/>
        <v>200</v>
      </c>
      <c r="CA95">
        <f t="shared" si="325"/>
        <v>38210</v>
      </c>
      <c r="CB95">
        <f>_xlfn.XLOOKUP(B95,'[8]october-2026'!$A:$A,'[8]october-2026'!$C:$C,0,0)</f>
        <v>30700</v>
      </c>
      <c r="CC95">
        <f t="shared" si="326"/>
        <v>5526</v>
      </c>
      <c r="CD95">
        <f t="shared" si="327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28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29"/>
        <v>200</v>
      </c>
      <c r="CK95">
        <f t="shared" si="330"/>
        <v>38210</v>
      </c>
      <c r="CL95">
        <f>_xlfn.XLOOKUP(B95,'[9]november-2026'!$A:$A,'[9]november-2026'!$C:$C,0,0)</f>
        <v>30700</v>
      </c>
      <c r="CM95">
        <f t="shared" si="331"/>
        <v>5526</v>
      </c>
      <c r="CN95">
        <f t="shared" si="332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3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4"/>
        <v>200</v>
      </c>
      <c r="CU95">
        <f t="shared" si="335"/>
        <v>38210</v>
      </c>
      <c r="CV95">
        <f>_xlfn.XLOOKUP(B95,'[10]december-2026'!$A:$A,'[10]december-2026'!$C:$C,0,0)</f>
        <v>30700</v>
      </c>
      <c r="CW95">
        <f t="shared" si="336"/>
        <v>5526</v>
      </c>
      <c r="CX95">
        <f t="shared" si="337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38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39"/>
        <v>200</v>
      </c>
      <c r="DE95">
        <f t="shared" si="340"/>
        <v>38210</v>
      </c>
      <c r="DF95">
        <f xml:space="preserve"> _xlfn.XLOOKUP(B95,
'[11]january-2027'!$A:$A,
'[11]january-2027'!$C:$C,
0,0)</f>
        <v>30700</v>
      </c>
      <c r="DG95">
        <f t="shared" si="341"/>
        <v>5526</v>
      </c>
      <c r="DH95">
        <f t="shared" si="342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3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4"/>
        <v>200</v>
      </c>
      <c r="DO95">
        <f t="shared" si="345"/>
        <v>38210</v>
      </c>
      <c r="DP95">
        <f xml:space="preserve"> _xlfn.XLOOKUP(B95,
'[12]february-2027'!$A:$A,
'[12]february-2027'!$C:$C,
0,0)</f>
        <v>30700</v>
      </c>
      <c r="DQ95">
        <f t="shared" si="346"/>
        <v>5526</v>
      </c>
      <c r="DR95">
        <f t="shared" si="347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48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49"/>
        <v>200</v>
      </c>
      <c r="DY95">
        <f t="shared" si="350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1"/>
        <v>0</v>
      </c>
      <c r="EM95">
        <f t="shared" si="352"/>
        <v>487133</v>
      </c>
      <c r="EN95">
        <f t="shared" si="353"/>
        <v>2200</v>
      </c>
      <c r="EO95">
        <f t="shared" si="354"/>
        <v>50000</v>
      </c>
      <c r="EP95">
        <v>0</v>
      </c>
      <c r="EQ95">
        <f t="shared" si="355"/>
        <v>434933</v>
      </c>
      <c r="ER95">
        <f t="shared" si="356"/>
        <v>24000</v>
      </c>
      <c r="ES95">
        <f t="shared" si="357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58"/>
        <v>24000</v>
      </c>
      <c r="FE95">
        <f t="shared" si="359"/>
        <v>24000</v>
      </c>
      <c r="FF95">
        <f t="shared" si="360"/>
        <v>410933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>SUM(FG95:FM95)+(IF(F95="YES",50000,0))</f>
        <v>0</v>
      </c>
      <c r="FO95">
        <f t="shared" si="361"/>
        <v>410933</v>
      </c>
      <c r="FP95">
        <f t="shared" si="362"/>
        <v>8047</v>
      </c>
      <c r="FQ95">
        <f t="shared" si="363"/>
        <v>0</v>
      </c>
      <c r="FR95">
        <f t="shared" si="364"/>
        <v>8047</v>
      </c>
      <c r="FS95">
        <f t="shared" si="365"/>
        <v>0</v>
      </c>
      <c r="FT95">
        <f t="shared" si="366"/>
        <v>0</v>
      </c>
      <c r="FU95">
        <f t="shared" si="367"/>
        <v>0</v>
      </c>
      <c r="FV95">
        <v>0</v>
      </c>
      <c r="FW95">
        <f t="shared" si="368"/>
        <v>0</v>
      </c>
      <c r="FX95" t="b">
        <f t="shared" si="369"/>
        <v>0</v>
      </c>
      <c r="FY95">
        <f t="shared" ca="1" si="370"/>
        <v>1189</v>
      </c>
      <c r="FZ95">
        <f t="shared" ca="1" si="371"/>
        <v>488322</v>
      </c>
      <c r="GA95">
        <f t="shared" si="372"/>
        <v>75000</v>
      </c>
      <c r="GB95">
        <f t="shared" ca="1" si="373"/>
        <v>413322</v>
      </c>
      <c r="GC95">
        <f t="shared" ca="1" si="374"/>
        <v>0</v>
      </c>
      <c r="GD95">
        <f t="shared" ca="1" si="375"/>
        <v>0</v>
      </c>
      <c r="GE95">
        <f t="shared" ca="1" si="376"/>
        <v>0</v>
      </c>
      <c r="GF95">
        <f t="shared" ca="1" si="377"/>
        <v>0</v>
      </c>
      <c r="GG95">
        <f t="shared" ca="1" si="378"/>
        <v>0</v>
      </c>
      <c r="GH95">
        <f t="shared" ca="1" si="379"/>
        <v>0</v>
      </c>
      <c r="GI95">
        <f ca="1">IF(GB95&gt;1200000,GB95-1200000-IF(F95="YES",50000,0)-GG95,0)</f>
        <v>0</v>
      </c>
      <c r="GJ95">
        <f t="shared" ca="1" si="380"/>
        <v>0</v>
      </c>
      <c r="GK95">
        <f t="shared" ca="1" si="381"/>
        <v>0</v>
      </c>
      <c r="GL95">
        <f t="shared" ca="1" si="382"/>
        <v>0</v>
      </c>
      <c r="GM95">
        <f t="shared" ca="1" si="383"/>
        <v>13322</v>
      </c>
      <c r="GN95">
        <f t="shared" ca="1" si="384"/>
        <v>666.1</v>
      </c>
      <c r="GO95">
        <f t="shared" ca="1" si="385"/>
        <v>666</v>
      </c>
      <c r="GP95">
        <f t="shared" ca="1" si="386"/>
        <v>0</v>
      </c>
      <c r="GQ95">
        <f t="shared" ca="1" si="387"/>
        <v>0</v>
      </c>
      <c r="GR95">
        <f t="shared" ca="1" si="388"/>
        <v>666</v>
      </c>
      <c r="GS95">
        <f t="shared" ca="1" si="389"/>
        <v>0</v>
      </c>
      <c r="GT95" t="b">
        <f t="shared" ca="1" si="390"/>
        <v>0</v>
      </c>
      <c r="GU95">
        <f t="shared" ca="1" si="391"/>
        <v>0</v>
      </c>
      <c r="GV95">
        <f t="shared" ca="1" si="392"/>
        <v>666</v>
      </c>
      <c r="GW95">
        <f t="shared" ca="1" si="393"/>
        <v>0</v>
      </c>
      <c r="GX95">
        <f t="shared" ca="1" si="394"/>
        <v>0</v>
      </c>
      <c r="GY95">
        <f t="shared" ca="1" si="395"/>
        <v>0</v>
      </c>
    </row>
    <row r="96" spans="1:207" x14ac:dyDescent="0.25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1"/>
        <v>6800</v>
      </c>
      <c r="I96">
        <f>_xlfn.XLOOKUP(B96,'[1]march-2026'!$A:$A,'[1]march-2026'!$C:$C,0,0)</f>
        <v>35500</v>
      </c>
      <c r="J96">
        <f t="shared" si="396"/>
        <v>6390</v>
      </c>
      <c r="K96">
        <f t="shared" si="292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3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4"/>
        <v>200</v>
      </c>
      <c r="R96">
        <f t="shared" si="295"/>
        <v>43950</v>
      </c>
      <c r="S96">
        <f>_xlfn.XLOOKUP(B96,'[2]april-2026'!$A:$A,'[2]april-2026'!$C:$C,0,0)</f>
        <v>35500</v>
      </c>
      <c r="T96">
        <f t="shared" si="296"/>
        <v>6390</v>
      </c>
      <c r="U96">
        <f t="shared" si="297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298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299"/>
        <v>200</v>
      </c>
      <c r="AB96">
        <f t="shared" si="300"/>
        <v>43950</v>
      </c>
      <c r="AC96">
        <f>_xlfn.XLOOKUP(B96,'[3]may-2026'!$A:$A,'[3]may-2026'!$C:$C,0,0)</f>
        <v>35500</v>
      </c>
      <c r="AD96">
        <f t="shared" si="301"/>
        <v>6390</v>
      </c>
      <c r="AE96">
        <f t="shared" si="302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3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4"/>
        <v>200</v>
      </c>
      <c r="AL96">
        <f t="shared" si="305"/>
        <v>43950</v>
      </c>
      <c r="AM96">
        <f>_xlfn.XLOOKUP(B96,'[4]june-2026'!$A:$A,'[4]june-2026'!$C:$C,0,0)</f>
        <v>35500</v>
      </c>
      <c r="AN96">
        <f t="shared" si="306"/>
        <v>6390</v>
      </c>
      <c r="AO96">
        <f t="shared" si="307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08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09"/>
        <v>200</v>
      </c>
      <c r="AV96">
        <f t="shared" si="310"/>
        <v>43950</v>
      </c>
      <c r="AW96">
        <f>_xlfn.XLOOKUP(B96,'[5]july-2026'!$A:$A,'[5]july-2026'!$C:$C,0,0)</f>
        <v>36600</v>
      </c>
      <c r="AX96">
        <f t="shared" si="311"/>
        <v>6588</v>
      </c>
      <c r="AY96">
        <v>94</v>
      </c>
      <c r="AZ96">
        <f t="shared" si="312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3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4"/>
        <v>200</v>
      </c>
      <c r="BG96">
        <f t="shared" si="315"/>
        <v>45474</v>
      </c>
      <c r="BH96">
        <f>_xlfn.XLOOKUP(B96,'[6]august-2026'!$A:$A,'[6]august-2026'!$C:$C,0,0)</f>
        <v>36600</v>
      </c>
      <c r="BI96">
        <f t="shared" si="316"/>
        <v>6588</v>
      </c>
      <c r="BJ96">
        <f t="shared" si="317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18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19"/>
        <v>200</v>
      </c>
      <c r="BQ96">
        <f t="shared" si="320"/>
        <v>45380</v>
      </c>
      <c r="BR96">
        <f>_xlfn.XLOOKUP(B96,'[7]september-2026'!$A:$A,'[7]september-2026'!$C:$C,0,0)</f>
        <v>36600</v>
      </c>
      <c r="BS96">
        <f t="shared" si="321"/>
        <v>6588</v>
      </c>
      <c r="BT96">
        <f t="shared" si="322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3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4"/>
        <v>200</v>
      </c>
      <c r="CA96">
        <f t="shared" si="325"/>
        <v>45380</v>
      </c>
      <c r="CB96">
        <f>_xlfn.XLOOKUP(B96,'[8]october-2026'!$A:$A,'[8]october-2026'!$C:$C,0,0)</f>
        <v>36600</v>
      </c>
      <c r="CC96">
        <f t="shared" si="326"/>
        <v>6588</v>
      </c>
      <c r="CD96">
        <f t="shared" si="327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28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29"/>
        <v>200</v>
      </c>
      <c r="CK96">
        <f t="shared" si="330"/>
        <v>45380</v>
      </c>
      <c r="CL96">
        <f>_xlfn.XLOOKUP(B96,'[9]november-2026'!$A:$A,'[9]november-2026'!$C:$C,0,0)</f>
        <v>36600</v>
      </c>
      <c r="CM96">
        <f t="shared" si="331"/>
        <v>6588</v>
      </c>
      <c r="CN96">
        <f t="shared" si="332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3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4"/>
        <v>200</v>
      </c>
      <c r="CU96">
        <f t="shared" si="335"/>
        <v>45380</v>
      </c>
      <c r="CV96">
        <f>_xlfn.XLOOKUP(B96,'[10]december-2026'!$A:$A,'[10]december-2026'!$C:$C,0,0)</f>
        <v>36600</v>
      </c>
      <c r="CW96">
        <f t="shared" si="336"/>
        <v>6588</v>
      </c>
      <c r="CX96">
        <f t="shared" si="337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38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39"/>
        <v>200</v>
      </c>
      <c r="DE96">
        <f t="shared" si="340"/>
        <v>45380</v>
      </c>
      <c r="DF96">
        <f xml:space="preserve"> _xlfn.XLOOKUP(B96,
'[11]january-2027'!$A:$A,
'[11]january-2027'!$C:$C,
0,0)</f>
        <v>36600</v>
      </c>
      <c r="DG96">
        <f t="shared" si="341"/>
        <v>6588</v>
      </c>
      <c r="DH96">
        <f t="shared" si="342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3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4"/>
        <v>200</v>
      </c>
      <c r="DO96">
        <f t="shared" si="345"/>
        <v>45380</v>
      </c>
      <c r="DP96">
        <f xml:space="preserve"> _xlfn.XLOOKUP(B96,
'[12]february-2027'!$A:$A,
'[12]february-2027'!$C:$C,
0,0)</f>
        <v>36600</v>
      </c>
      <c r="DQ96">
        <f t="shared" si="346"/>
        <v>6588</v>
      </c>
      <c r="DR96">
        <f t="shared" si="347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48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49"/>
        <v>200</v>
      </c>
      <c r="DY96">
        <f t="shared" si="350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1"/>
        <v>0</v>
      </c>
      <c r="EM96">
        <f t="shared" si="352"/>
        <v>578134</v>
      </c>
      <c r="EN96">
        <f t="shared" si="353"/>
        <v>2400</v>
      </c>
      <c r="EO96">
        <f t="shared" si="354"/>
        <v>50000</v>
      </c>
      <c r="EP96">
        <v>0</v>
      </c>
      <c r="EQ96">
        <f t="shared" si="355"/>
        <v>525734</v>
      </c>
      <c r="ER96">
        <f t="shared" si="356"/>
        <v>30000</v>
      </c>
      <c r="ES96">
        <f t="shared" si="357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58"/>
        <v>30000</v>
      </c>
      <c r="FE96">
        <f t="shared" si="359"/>
        <v>30000</v>
      </c>
      <c r="FF96">
        <f t="shared" si="360"/>
        <v>495734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>SUM(FG96:FM96)+(IF(F96="YES",50000,0))</f>
        <v>0</v>
      </c>
      <c r="FO96">
        <f t="shared" si="361"/>
        <v>495734</v>
      </c>
      <c r="FP96">
        <f t="shared" si="362"/>
        <v>12287</v>
      </c>
      <c r="FQ96">
        <f t="shared" si="363"/>
        <v>0</v>
      </c>
      <c r="FR96">
        <f t="shared" si="364"/>
        <v>12287</v>
      </c>
      <c r="FS96">
        <f t="shared" si="365"/>
        <v>0</v>
      </c>
      <c r="FT96">
        <f t="shared" si="366"/>
        <v>0</v>
      </c>
      <c r="FU96">
        <f t="shared" si="367"/>
        <v>0</v>
      </c>
      <c r="FV96">
        <v>0</v>
      </c>
      <c r="FW96">
        <f t="shared" si="368"/>
        <v>0</v>
      </c>
      <c r="FX96" t="b">
        <f t="shared" si="369"/>
        <v>1</v>
      </c>
      <c r="FY96">
        <f t="shared" ca="1" si="370"/>
        <v>562</v>
      </c>
      <c r="FZ96">
        <f t="shared" ca="1" si="371"/>
        <v>578696</v>
      </c>
      <c r="GA96">
        <f t="shared" si="372"/>
        <v>75000</v>
      </c>
      <c r="GB96">
        <f t="shared" ca="1" si="373"/>
        <v>503696</v>
      </c>
      <c r="GC96">
        <f t="shared" ca="1" si="374"/>
        <v>0</v>
      </c>
      <c r="GD96">
        <f t="shared" ca="1" si="375"/>
        <v>0</v>
      </c>
      <c r="GE96">
        <f t="shared" ca="1" si="376"/>
        <v>0</v>
      </c>
      <c r="GF96">
        <f t="shared" ca="1" si="377"/>
        <v>0</v>
      </c>
      <c r="GG96">
        <f t="shared" ca="1" si="378"/>
        <v>0</v>
      </c>
      <c r="GH96">
        <f t="shared" ca="1" si="379"/>
        <v>0</v>
      </c>
      <c r="GI96">
        <f ca="1">IF(GB96&gt;1200000,GB96-1200000-IF(F96="YES",50000,0)-GG96,0)</f>
        <v>0</v>
      </c>
      <c r="GJ96">
        <f t="shared" ca="1" si="380"/>
        <v>0</v>
      </c>
      <c r="GK96">
        <f t="shared" ca="1" si="381"/>
        <v>0</v>
      </c>
      <c r="GL96">
        <f t="shared" ca="1" si="382"/>
        <v>0</v>
      </c>
      <c r="GM96">
        <f t="shared" ca="1" si="383"/>
        <v>103696</v>
      </c>
      <c r="GN96">
        <f t="shared" ca="1" si="384"/>
        <v>5184.8</v>
      </c>
      <c r="GO96">
        <f t="shared" ca="1" si="385"/>
        <v>5185</v>
      </c>
      <c r="GP96">
        <f t="shared" ca="1" si="386"/>
        <v>0</v>
      </c>
      <c r="GQ96">
        <f t="shared" ca="1" si="387"/>
        <v>0</v>
      </c>
      <c r="GR96">
        <f t="shared" ca="1" si="388"/>
        <v>5185</v>
      </c>
      <c r="GS96">
        <f t="shared" ca="1" si="389"/>
        <v>0</v>
      </c>
      <c r="GT96" t="b">
        <f t="shared" ca="1" si="390"/>
        <v>0</v>
      </c>
      <c r="GU96">
        <f t="shared" ca="1" si="391"/>
        <v>0</v>
      </c>
      <c r="GV96">
        <f t="shared" ca="1" si="392"/>
        <v>5185</v>
      </c>
      <c r="GW96">
        <f t="shared" ca="1" si="393"/>
        <v>0</v>
      </c>
      <c r="GX96">
        <f t="shared" ca="1" si="394"/>
        <v>0</v>
      </c>
      <c r="GY96">
        <f t="shared" ca="1" si="395"/>
        <v>0</v>
      </c>
    </row>
    <row r="97" spans="1:207" x14ac:dyDescent="0.25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1"/>
        <v>6800</v>
      </c>
      <c r="I97">
        <f>_xlfn.XLOOKUP(B97,'[1]march-2026'!$A:$A,'[1]march-2026'!$C:$C,0,0)</f>
        <v>26200</v>
      </c>
      <c r="J97">
        <f t="shared" si="396"/>
        <v>4716</v>
      </c>
      <c r="K97">
        <f t="shared" si="292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3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4"/>
        <v>150</v>
      </c>
      <c r="R97">
        <f t="shared" si="295"/>
        <v>32410</v>
      </c>
      <c r="S97">
        <f>_xlfn.XLOOKUP(B97,'[2]april-2026'!$A:$A,'[2]april-2026'!$C:$C,0,0)</f>
        <v>26200</v>
      </c>
      <c r="T97">
        <f t="shared" si="296"/>
        <v>4716</v>
      </c>
      <c r="U97">
        <f t="shared" si="297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298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299"/>
        <v>150</v>
      </c>
      <c r="AB97">
        <f t="shared" si="300"/>
        <v>32410</v>
      </c>
      <c r="AC97">
        <f>_xlfn.XLOOKUP(B97,'[3]may-2026'!$A:$A,'[3]may-2026'!$C:$C,0,0)</f>
        <v>26200</v>
      </c>
      <c r="AD97">
        <f t="shared" si="301"/>
        <v>4716</v>
      </c>
      <c r="AE97">
        <f t="shared" si="302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3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4"/>
        <v>150</v>
      </c>
      <c r="AL97">
        <f t="shared" si="305"/>
        <v>32410</v>
      </c>
      <c r="AM97">
        <f>_xlfn.XLOOKUP(B97,'[4]june-2026'!$A:$A,'[4]june-2026'!$C:$C,0,0)</f>
        <v>26200</v>
      </c>
      <c r="AN97">
        <f t="shared" si="306"/>
        <v>4716</v>
      </c>
      <c r="AO97">
        <f t="shared" si="307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08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09"/>
        <v>150</v>
      </c>
      <c r="AV97">
        <f t="shared" si="310"/>
        <v>32410</v>
      </c>
      <c r="AW97">
        <f>_xlfn.XLOOKUP(B97,'[5]july-2026'!$A:$A,'[5]july-2026'!$C:$C,0,0)</f>
        <v>27000</v>
      </c>
      <c r="AX97">
        <f t="shared" si="311"/>
        <v>4860</v>
      </c>
      <c r="AY97">
        <v>95</v>
      </c>
      <c r="AZ97">
        <f t="shared" si="312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3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4"/>
        <v>150</v>
      </c>
      <c r="BG97">
        <f t="shared" si="315"/>
        <v>33545</v>
      </c>
      <c r="BH97">
        <f>_xlfn.XLOOKUP(B97,'[6]august-2026'!$A:$A,'[6]august-2026'!$C:$C,0,0)</f>
        <v>27000</v>
      </c>
      <c r="BI97">
        <f t="shared" si="316"/>
        <v>4860</v>
      </c>
      <c r="BJ97">
        <f t="shared" si="317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18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19"/>
        <v>150</v>
      </c>
      <c r="BQ97">
        <f t="shared" si="320"/>
        <v>33450</v>
      </c>
      <c r="BR97">
        <f>_xlfn.XLOOKUP(B97,'[7]september-2026'!$A:$A,'[7]september-2026'!$C:$C,0,0)</f>
        <v>27000</v>
      </c>
      <c r="BS97">
        <f t="shared" si="321"/>
        <v>4860</v>
      </c>
      <c r="BT97">
        <f t="shared" si="322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3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4"/>
        <v>150</v>
      </c>
      <c r="CA97">
        <f t="shared" si="325"/>
        <v>33450</v>
      </c>
      <c r="CB97">
        <f>_xlfn.XLOOKUP(B97,'[8]october-2026'!$A:$A,'[8]october-2026'!$C:$C,0,0)</f>
        <v>27000</v>
      </c>
      <c r="CC97">
        <f t="shared" si="326"/>
        <v>4860</v>
      </c>
      <c r="CD97">
        <f t="shared" si="327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28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29"/>
        <v>150</v>
      </c>
      <c r="CK97">
        <f t="shared" si="330"/>
        <v>33450</v>
      </c>
      <c r="CL97">
        <f>_xlfn.XLOOKUP(B97,'[9]november-2026'!$A:$A,'[9]november-2026'!$C:$C,0,0)</f>
        <v>27000</v>
      </c>
      <c r="CM97">
        <f t="shared" si="331"/>
        <v>4860</v>
      </c>
      <c r="CN97">
        <f t="shared" si="332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3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4"/>
        <v>150</v>
      </c>
      <c r="CU97">
        <f t="shared" si="335"/>
        <v>33450</v>
      </c>
      <c r="CV97">
        <f>_xlfn.XLOOKUP(B97,'[10]december-2026'!$A:$A,'[10]december-2026'!$C:$C,0,0)</f>
        <v>27000</v>
      </c>
      <c r="CW97">
        <f t="shared" si="336"/>
        <v>4860</v>
      </c>
      <c r="CX97">
        <f t="shared" si="337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38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39"/>
        <v>150</v>
      </c>
      <c r="DE97">
        <f t="shared" si="340"/>
        <v>33450</v>
      </c>
      <c r="DF97">
        <f xml:space="preserve"> _xlfn.XLOOKUP(B97,
'[11]january-2027'!$A:$A,
'[11]january-2027'!$C:$C,
0,0)</f>
        <v>27000</v>
      </c>
      <c r="DG97">
        <f t="shared" si="341"/>
        <v>4860</v>
      </c>
      <c r="DH97">
        <f t="shared" si="342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3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4"/>
        <v>150</v>
      </c>
      <c r="DO97">
        <f t="shared" si="345"/>
        <v>33450</v>
      </c>
      <c r="DP97">
        <f xml:space="preserve"> _xlfn.XLOOKUP(B97,
'[12]february-2027'!$A:$A,
'[12]february-2027'!$C:$C,
0,0)</f>
        <v>27000</v>
      </c>
      <c r="DQ97">
        <f t="shared" si="346"/>
        <v>4860</v>
      </c>
      <c r="DR97">
        <f t="shared" si="347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48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49"/>
        <v>150</v>
      </c>
      <c r="DY97">
        <f t="shared" si="350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1"/>
        <v>0</v>
      </c>
      <c r="EM97">
        <f t="shared" si="352"/>
        <v>429935</v>
      </c>
      <c r="EN97">
        <f t="shared" si="353"/>
        <v>1800</v>
      </c>
      <c r="EO97">
        <f t="shared" si="354"/>
        <v>50000</v>
      </c>
      <c r="EP97">
        <v>0</v>
      </c>
      <c r="EQ97">
        <f t="shared" si="355"/>
        <v>378135</v>
      </c>
      <c r="ER97">
        <f t="shared" si="356"/>
        <v>24000</v>
      </c>
      <c r="ES97">
        <f t="shared" si="357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58"/>
        <v>24000</v>
      </c>
      <c r="FE97">
        <f t="shared" si="359"/>
        <v>24000</v>
      </c>
      <c r="FF97">
        <f t="shared" si="360"/>
        <v>354135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>SUM(FG97:FM97)+(IF(F97="YES",50000,0))</f>
        <v>0</v>
      </c>
      <c r="FO97">
        <f t="shared" si="361"/>
        <v>354135</v>
      </c>
      <c r="FP97">
        <f t="shared" si="362"/>
        <v>5207</v>
      </c>
      <c r="FQ97">
        <f t="shared" si="363"/>
        <v>0</v>
      </c>
      <c r="FR97">
        <f t="shared" si="364"/>
        <v>5207</v>
      </c>
      <c r="FS97">
        <f t="shared" si="365"/>
        <v>0</v>
      </c>
      <c r="FT97">
        <f t="shared" si="366"/>
        <v>0</v>
      </c>
      <c r="FU97">
        <f t="shared" si="367"/>
        <v>0</v>
      </c>
      <c r="FV97">
        <v>0</v>
      </c>
      <c r="FW97">
        <f t="shared" si="368"/>
        <v>0</v>
      </c>
      <c r="FX97" t="b">
        <f t="shared" si="369"/>
        <v>0</v>
      </c>
      <c r="FY97">
        <f t="shared" ca="1" si="370"/>
        <v>2262</v>
      </c>
      <c r="FZ97">
        <f t="shared" ca="1" si="371"/>
        <v>432197</v>
      </c>
      <c r="GA97">
        <f t="shared" si="372"/>
        <v>75000</v>
      </c>
      <c r="GB97">
        <f t="shared" ca="1" si="373"/>
        <v>357197</v>
      </c>
      <c r="GC97">
        <f t="shared" ca="1" si="374"/>
        <v>0</v>
      </c>
      <c r="GD97">
        <f t="shared" ca="1" si="375"/>
        <v>0</v>
      </c>
      <c r="GE97">
        <f t="shared" ca="1" si="376"/>
        <v>0</v>
      </c>
      <c r="GF97">
        <f t="shared" ca="1" si="377"/>
        <v>0</v>
      </c>
      <c r="GG97">
        <f t="shared" ca="1" si="378"/>
        <v>0</v>
      </c>
      <c r="GH97">
        <f t="shared" ca="1" si="379"/>
        <v>0</v>
      </c>
      <c r="GI97">
        <f ca="1">IF(GB97&gt;1200000,GB97-1200000-IF(F97="YES",50000,0)-GG97,0)</f>
        <v>0</v>
      </c>
      <c r="GJ97">
        <f t="shared" ca="1" si="380"/>
        <v>0</v>
      </c>
      <c r="GK97">
        <f t="shared" ca="1" si="381"/>
        <v>0</v>
      </c>
      <c r="GL97">
        <f t="shared" ca="1" si="382"/>
        <v>0</v>
      </c>
      <c r="GM97">
        <f t="shared" ca="1" si="383"/>
        <v>0</v>
      </c>
      <c r="GN97">
        <f t="shared" ca="1" si="384"/>
        <v>0</v>
      </c>
      <c r="GO97">
        <f t="shared" ca="1" si="385"/>
        <v>0</v>
      </c>
      <c r="GP97">
        <f t="shared" ca="1" si="386"/>
        <v>0</v>
      </c>
      <c r="GQ97">
        <f t="shared" ca="1" si="387"/>
        <v>0</v>
      </c>
      <c r="GR97">
        <f t="shared" ca="1" si="388"/>
        <v>0</v>
      </c>
      <c r="GS97">
        <f t="shared" ca="1" si="389"/>
        <v>0</v>
      </c>
      <c r="GT97" t="b">
        <f t="shared" ca="1" si="390"/>
        <v>0</v>
      </c>
      <c r="GU97">
        <f t="shared" ca="1" si="391"/>
        <v>0</v>
      </c>
      <c r="GV97">
        <f t="shared" ca="1" si="392"/>
        <v>0</v>
      </c>
      <c r="GW97">
        <f t="shared" ca="1" si="393"/>
        <v>0</v>
      </c>
      <c r="GX97">
        <f t="shared" ca="1" si="394"/>
        <v>0</v>
      </c>
      <c r="GY97">
        <f t="shared" ca="1" si="395"/>
        <v>0</v>
      </c>
    </row>
    <row r="98" spans="1:207" x14ac:dyDescent="0.25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1"/>
        <v>6800</v>
      </c>
      <c r="I98">
        <f>_xlfn.XLOOKUP(B98,'[1]march-2026'!$A:$A,'[1]march-2026'!$C:$C,0,0)</f>
        <v>29800</v>
      </c>
      <c r="J98">
        <f t="shared" si="396"/>
        <v>5364</v>
      </c>
      <c r="K98">
        <f t="shared" si="292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3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4"/>
        <v>150</v>
      </c>
      <c r="R98">
        <f t="shared" si="295"/>
        <v>37090</v>
      </c>
      <c r="S98">
        <f>_xlfn.XLOOKUP(B98,'[2]april-2026'!$A:$A,'[2]april-2026'!$C:$C,0,0)</f>
        <v>29800</v>
      </c>
      <c r="T98">
        <f t="shared" si="296"/>
        <v>5364</v>
      </c>
      <c r="U98">
        <f t="shared" si="297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298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299"/>
        <v>150</v>
      </c>
      <c r="AB98">
        <f t="shared" si="300"/>
        <v>37090</v>
      </c>
      <c r="AC98">
        <f>_xlfn.XLOOKUP(B98,'[3]may-2026'!$A:$A,'[3]may-2026'!$C:$C,0,0)</f>
        <v>29800</v>
      </c>
      <c r="AD98">
        <f t="shared" si="301"/>
        <v>5364</v>
      </c>
      <c r="AE98">
        <f t="shared" si="302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3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4"/>
        <v>150</v>
      </c>
      <c r="AL98">
        <f t="shared" si="305"/>
        <v>37090</v>
      </c>
      <c r="AM98">
        <f>_xlfn.XLOOKUP(B98,'[4]june-2026'!$A:$A,'[4]june-2026'!$C:$C,0,0)</f>
        <v>29800</v>
      </c>
      <c r="AN98">
        <f t="shared" si="306"/>
        <v>5364</v>
      </c>
      <c r="AO98">
        <f t="shared" si="307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08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09"/>
        <v>150</v>
      </c>
      <c r="AV98">
        <f t="shared" si="310"/>
        <v>37090</v>
      </c>
      <c r="AW98">
        <f>_xlfn.XLOOKUP(B98,'[5]july-2026'!$A:$A,'[5]july-2026'!$C:$C,0,0)</f>
        <v>30700</v>
      </c>
      <c r="AX98">
        <f t="shared" si="311"/>
        <v>5526</v>
      </c>
      <c r="AY98">
        <v>96</v>
      </c>
      <c r="AZ98">
        <f t="shared" si="312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3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4"/>
        <v>200</v>
      </c>
      <c r="BG98">
        <f t="shared" si="315"/>
        <v>38306</v>
      </c>
      <c r="BH98">
        <f>_xlfn.XLOOKUP(B98,'[6]august-2026'!$A:$A,'[6]august-2026'!$C:$C,0,0)</f>
        <v>30700</v>
      </c>
      <c r="BI98">
        <f t="shared" si="316"/>
        <v>5526</v>
      </c>
      <c r="BJ98">
        <f t="shared" si="317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18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19"/>
        <v>200</v>
      </c>
      <c r="BQ98">
        <f t="shared" si="320"/>
        <v>38210</v>
      </c>
      <c r="BR98">
        <f>_xlfn.XLOOKUP(B98,'[7]september-2026'!$A:$A,'[7]september-2026'!$C:$C,0,0)</f>
        <v>30700</v>
      </c>
      <c r="BS98">
        <f t="shared" si="321"/>
        <v>5526</v>
      </c>
      <c r="BT98">
        <f t="shared" si="322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3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4"/>
        <v>200</v>
      </c>
      <c r="CA98">
        <f t="shared" si="325"/>
        <v>38210</v>
      </c>
      <c r="CB98">
        <f>_xlfn.XLOOKUP(B98,'[8]october-2026'!$A:$A,'[8]october-2026'!$C:$C,0,0)</f>
        <v>30700</v>
      </c>
      <c r="CC98">
        <f t="shared" si="326"/>
        <v>5526</v>
      </c>
      <c r="CD98">
        <f t="shared" si="327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28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29"/>
        <v>200</v>
      </c>
      <c r="CK98">
        <f t="shared" si="330"/>
        <v>38210</v>
      </c>
      <c r="CL98">
        <f>_xlfn.XLOOKUP(B98,'[9]november-2026'!$A:$A,'[9]november-2026'!$C:$C,0,0)</f>
        <v>30700</v>
      </c>
      <c r="CM98">
        <f t="shared" si="331"/>
        <v>5526</v>
      </c>
      <c r="CN98">
        <f t="shared" si="332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3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4"/>
        <v>200</v>
      </c>
      <c r="CU98">
        <f t="shared" si="335"/>
        <v>38210</v>
      </c>
      <c r="CV98">
        <f>_xlfn.XLOOKUP(B98,'[10]december-2026'!$A:$A,'[10]december-2026'!$C:$C,0,0)</f>
        <v>30700</v>
      </c>
      <c r="CW98">
        <f t="shared" si="336"/>
        <v>5526</v>
      </c>
      <c r="CX98">
        <f t="shared" si="337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38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39"/>
        <v>200</v>
      </c>
      <c r="DE98">
        <f t="shared" si="340"/>
        <v>38210</v>
      </c>
      <c r="DF98">
        <f xml:space="preserve"> _xlfn.XLOOKUP(B98,
'[11]january-2027'!$A:$A,
'[11]january-2027'!$C:$C,
0,0)</f>
        <v>30700</v>
      </c>
      <c r="DG98">
        <f t="shared" si="341"/>
        <v>5526</v>
      </c>
      <c r="DH98">
        <f t="shared" si="342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3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4"/>
        <v>200</v>
      </c>
      <c r="DO98">
        <f t="shared" si="345"/>
        <v>38210</v>
      </c>
      <c r="DP98">
        <f xml:space="preserve"> _xlfn.XLOOKUP(B98,
'[12]february-2027'!$A:$A,
'[12]february-2027'!$C:$C,
0,0)</f>
        <v>30700</v>
      </c>
      <c r="DQ98">
        <f t="shared" si="346"/>
        <v>5526</v>
      </c>
      <c r="DR98">
        <f t="shared" si="347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48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49"/>
        <v>200</v>
      </c>
      <c r="DY98">
        <f t="shared" si="350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1"/>
        <v>0</v>
      </c>
      <c r="EM98">
        <f t="shared" si="352"/>
        <v>487136</v>
      </c>
      <c r="EN98">
        <f t="shared" si="353"/>
        <v>2200</v>
      </c>
      <c r="EO98">
        <f t="shared" si="354"/>
        <v>50000</v>
      </c>
      <c r="EP98">
        <v>0</v>
      </c>
      <c r="EQ98">
        <f t="shared" si="355"/>
        <v>434936</v>
      </c>
      <c r="ER98">
        <f t="shared" si="356"/>
        <v>24000</v>
      </c>
      <c r="ES98">
        <f t="shared" si="357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58"/>
        <v>24000</v>
      </c>
      <c r="FE98">
        <f t="shared" si="359"/>
        <v>24000</v>
      </c>
      <c r="FF98">
        <f t="shared" si="360"/>
        <v>410936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>SUM(FG98:FM98)+(IF(F98="YES",50000,0))</f>
        <v>0</v>
      </c>
      <c r="FO98">
        <f t="shared" si="361"/>
        <v>410936</v>
      </c>
      <c r="FP98">
        <f t="shared" si="362"/>
        <v>8047</v>
      </c>
      <c r="FQ98">
        <f t="shared" si="363"/>
        <v>0</v>
      </c>
      <c r="FR98">
        <f t="shared" si="364"/>
        <v>8047</v>
      </c>
      <c r="FS98">
        <f t="shared" si="365"/>
        <v>0</v>
      </c>
      <c r="FT98">
        <f t="shared" si="366"/>
        <v>0</v>
      </c>
      <c r="FU98">
        <f t="shared" si="367"/>
        <v>0</v>
      </c>
      <c r="FV98">
        <v>0</v>
      </c>
      <c r="FW98">
        <f t="shared" si="368"/>
        <v>0</v>
      </c>
      <c r="FX98" t="b">
        <f t="shared" si="369"/>
        <v>0</v>
      </c>
      <c r="FY98">
        <f t="shared" ca="1" si="370"/>
        <v>1819</v>
      </c>
      <c r="FZ98">
        <f t="shared" ca="1" si="371"/>
        <v>488955</v>
      </c>
      <c r="GA98">
        <f t="shared" si="372"/>
        <v>75000</v>
      </c>
      <c r="GB98">
        <f t="shared" ca="1" si="373"/>
        <v>413955</v>
      </c>
      <c r="GC98">
        <f t="shared" ca="1" si="374"/>
        <v>0</v>
      </c>
      <c r="GD98">
        <f t="shared" ca="1" si="375"/>
        <v>0</v>
      </c>
      <c r="GE98">
        <f t="shared" ca="1" si="376"/>
        <v>0</v>
      </c>
      <c r="GF98">
        <f t="shared" ca="1" si="377"/>
        <v>0</v>
      </c>
      <c r="GG98">
        <f t="shared" ca="1" si="378"/>
        <v>0</v>
      </c>
      <c r="GH98">
        <f t="shared" ca="1" si="379"/>
        <v>0</v>
      </c>
      <c r="GI98">
        <f ca="1">IF(GB98&gt;1200000,GB98-1200000-IF(F98="YES",50000,0)-GG98,0)</f>
        <v>0</v>
      </c>
      <c r="GJ98">
        <f t="shared" ca="1" si="380"/>
        <v>0</v>
      </c>
      <c r="GK98">
        <f t="shared" ca="1" si="381"/>
        <v>0</v>
      </c>
      <c r="GL98">
        <f t="shared" ca="1" si="382"/>
        <v>0</v>
      </c>
      <c r="GM98">
        <f t="shared" ca="1" si="383"/>
        <v>13955</v>
      </c>
      <c r="GN98">
        <f t="shared" ca="1" si="384"/>
        <v>697.75</v>
      </c>
      <c r="GO98">
        <f t="shared" ca="1" si="385"/>
        <v>698</v>
      </c>
      <c r="GP98">
        <f t="shared" ca="1" si="386"/>
        <v>0</v>
      </c>
      <c r="GQ98">
        <f t="shared" ca="1" si="387"/>
        <v>0</v>
      </c>
      <c r="GR98">
        <f t="shared" ca="1" si="388"/>
        <v>698</v>
      </c>
      <c r="GS98">
        <f t="shared" ca="1" si="389"/>
        <v>0</v>
      </c>
      <c r="GT98" t="b">
        <f t="shared" ca="1" si="390"/>
        <v>0</v>
      </c>
      <c r="GU98">
        <f t="shared" ca="1" si="391"/>
        <v>0</v>
      </c>
      <c r="GV98">
        <f t="shared" ca="1" si="392"/>
        <v>698</v>
      </c>
      <c r="GW98">
        <f t="shared" ca="1" si="393"/>
        <v>0</v>
      </c>
      <c r="GX98">
        <f t="shared" ca="1" si="394"/>
        <v>0</v>
      </c>
      <c r="GY98">
        <f t="shared" ca="1" si="395"/>
        <v>0</v>
      </c>
    </row>
    <row r="99" spans="1:207" x14ac:dyDescent="0.25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1"/>
        <v>0</v>
      </c>
      <c r="I99">
        <f>_xlfn.XLOOKUP(B99,'[1]march-2026'!$A:$A,'[1]march-2026'!$C:$C,0,0)</f>
        <v>28900</v>
      </c>
      <c r="J99">
        <f t="shared" si="396"/>
        <v>5202</v>
      </c>
      <c r="K99">
        <f t="shared" si="292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3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4"/>
        <v>150</v>
      </c>
      <c r="R99">
        <f t="shared" si="295"/>
        <v>37420</v>
      </c>
      <c r="S99">
        <f>_xlfn.XLOOKUP(B99,'[2]april-2026'!$A:$A,'[2]april-2026'!$C:$C,0,0)</f>
        <v>28900</v>
      </c>
      <c r="T99">
        <f t="shared" si="296"/>
        <v>5202</v>
      </c>
      <c r="U99">
        <f t="shared" si="297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298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299"/>
        <v>150</v>
      </c>
      <c r="AB99">
        <f t="shared" si="300"/>
        <v>37420</v>
      </c>
      <c r="AC99">
        <f>_xlfn.XLOOKUP(B99,'[3]may-2026'!$A:$A,'[3]may-2026'!$C:$C,0,0)</f>
        <v>28900</v>
      </c>
      <c r="AD99">
        <f t="shared" si="301"/>
        <v>5202</v>
      </c>
      <c r="AE99">
        <f t="shared" si="302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3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4"/>
        <v>150</v>
      </c>
      <c r="AL99">
        <f t="shared" si="305"/>
        <v>37420</v>
      </c>
      <c r="AM99">
        <f>_xlfn.XLOOKUP(B99,'[4]june-2026'!$A:$A,'[4]june-2026'!$C:$C,0,0)</f>
        <v>28900</v>
      </c>
      <c r="AN99">
        <f t="shared" si="306"/>
        <v>5202</v>
      </c>
      <c r="AO99">
        <f t="shared" si="307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08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09"/>
        <v>150</v>
      </c>
      <c r="AV99">
        <f t="shared" si="310"/>
        <v>37420</v>
      </c>
      <c r="AW99">
        <f>_xlfn.XLOOKUP(B99,'[5]july-2026'!$A:$A,'[5]july-2026'!$C:$C,0,0)</f>
        <v>28900</v>
      </c>
      <c r="AX99">
        <f t="shared" si="311"/>
        <v>5202</v>
      </c>
      <c r="AY99">
        <v>97</v>
      </c>
      <c r="AZ99">
        <f t="shared" si="312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3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4"/>
        <v>150</v>
      </c>
      <c r="BG99">
        <f t="shared" si="315"/>
        <v>37517</v>
      </c>
      <c r="BH99">
        <f>_xlfn.XLOOKUP(B99,'[6]august-2026'!$A:$A,'[6]august-2026'!$C:$C,0,0)</f>
        <v>28900</v>
      </c>
      <c r="BI99">
        <f t="shared" si="316"/>
        <v>5202</v>
      </c>
      <c r="BJ99">
        <f t="shared" si="317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18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19"/>
        <v>150</v>
      </c>
      <c r="BQ99">
        <f t="shared" si="320"/>
        <v>37420</v>
      </c>
      <c r="BR99">
        <f>_xlfn.XLOOKUP(B99,'[7]september-2026'!$A:$A,'[7]september-2026'!$C:$C,0,0)</f>
        <v>28900</v>
      </c>
      <c r="BS99">
        <f t="shared" si="321"/>
        <v>5202</v>
      </c>
      <c r="BT99">
        <f t="shared" si="322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3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4"/>
        <v>150</v>
      </c>
      <c r="CA99">
        <f t="shared" si="325"/>
        <v>37420</v>
      </c>
      <c r="CB99">
        <f>_xlfn.XLOOKUP(B99,'[8]october-2026'!$A:$A,'[8]october-2026'!$C:$C,0,0)</f>
        <v>28900</v>
      </c>
      <c r="CC99">
        <f t="shared" si="326"/>
        <v>5202</v>
      </c>
      <c r="CD99">
        <f t="shared" si="327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28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29"/>
        <v>150</v>
      </c>
      <c r="CK99">
        <f t="shared" si="330"/>
        <v>37420</v>
      </c>
      <c r="CL99">
        <f>_xlfn.XLOOKUP(B99,'[9]november-2026'!$A:$A,'[9]november-2026'!$C:$C,0,0)</f>
        <v>28900</v>
      </c>
      <c r="CM99">
        <f t="shared" si="331"/>
        <v>5202</v>
      </c>
      <c r="CN99">
        <f t="shared" si="332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3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4"/>
        <v>150</v>
      </c>
      <c r="CU99">
        <f t="shared" si="335"/>
        <v>37420</v>
      </c>
      <c r="CV99">
        <f>_xlfn.XLOOKUP(B99,'[10]december-2026'!$A:$A,'[10]december-2026'!$C:$C,0,0)</f>
        <v>28900</v>
      </c>
      <c r="CW99">
        <f t="shared" si="336"/>
        <v>5202</v>
      </c>
      <c r="CX99">
        <f t="shared" si="337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38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39"/>
        <v>150</v>
      </c>
      <c r="DE99">
        <f t="shared" si="340"/>
        <v>37420</v>
      </c>
      <c r="DF99">
        <f xml:space="preserve"> _xlfn.XLOOKUP(B99,
'[11]january-2027'!$A:$A,
'[11]january-2027'!$C:$C,
0,0)</f>
        <v>28900</v>
      </c>
      <c r="DG99">
        <f t="shared" si="341"/>
        <v>5202</v>
      </c>
      <c r="DH99">
        <f t="shared" si="342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3"/>
        <v>37570</v>
      </c>
      <c r="DL99">
        <f xml:space="preserve"> _xlfn.XLOOKUP(B99,
'[11]january-2027'!$A:$A,
'[11]january-2027'!$H:$H,
0,0)</f>
        <v>2000</v>
      </c>
      <c r="DM99">
        <f xml:space="preserve"> _xlfn.XLOOKUP(B99,
'[11]january-2027'!$A:$A,
'[11]january-2027'!$I:$I,
0,0)</f>
        <v>0</v>
      </c>
      <c r="DN99">
        <f t="shared" si="344"/>
        <v>150</v>
      </c>
      <c r="DO99">
        <f t="shared" si="345"/>
        <v>35420</v>
      </c>
      <c r="DP99">
        <f xml:space="preserve"> _xlfn.XLOOKUP(B99,
'[12]february-2027'!$A:$A,
'[12]february-2027'!$C:$C,
0,0)</f>
        <v>28900</v>
      </c>
      <c r="DQ99">
        <f t="shared" si="346"/>
        <v>5202</v>
      </c>
      <c r="DR99">
        <f t="shared" si="347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48"/>
        <v>37570</v>
      </c>
      <c r="DV99">
        <f xml:space="preserve"> _xlfn.XLOOKUP(B99,
'[12]february-2027'!$A:$A,
'[12]february-2027'!$H:$H,
0,0)</f>
        <v>2000</v>
      </c>
      <c r="DW99">
        <f xml:space="preserve"> _xlfn.XLOOKUP(B99,
'[12]february-2027'!$A:$A,
'[12]february-2027'!$I:$I,
0,0)</f>
        <v>0</v>
      </c>
      <c r="DX99">
        <f t="shared" si="349"/>
        <v>150</v>
      </c>
      <c r="DY99">
        <f t="shared" si="350"/>
        <v>35420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1"/>
        <v>0</v>
      </c>
      <c r="EM99">
        <f t="shared" si="352"/>
        <v>450937</v>
      </c>
      <c r="EN99">
        <f t="shared" si="353"/>
        <v>1800</v>
      </c>
      <c r="EO99">
        <f t="shared" si="354"/>
        <v>50000</v>
      </c>
      <c r="EP99">
        <v>1</v>
      </c>
      <c r="EQ99">
        <f t="shared" ref="EQ99" si="397">EM99-EN99-EO99+EL99</f>
        <v>399137</v>
      </c>
      <c r="ER99">
        <f t="shared" ref="ER99" si="398">DV99+DL99+DB99+CR99+CH99+BX99+BN99+BD99+AS99+AI99+Y99+O99</f>
        <v>4000</v>
      </c>
      <c r="ES99">
        <f t="shared" ref="ES99" si="399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0">SUM(ER99:FC99)</f>
        <v>4000</v>
      </c>
      <c r="FE99">
        <f t="shared" ref="FE99" si="401">IF(FD99&gt;=150000,150000,FD99)</f>
        <v>4000</v>
      </c>
      <c r="FF99">
        <f t="shared" ref="FF99" si="402">EQ99-FE99</f>
        <v>395137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>SUM(FG99:FM99)+(IF(F99="YES",50000,0))</f>
        <v>0</v>
      </c>
      <c r="FO99">
        <f t="shared" ref="FO99" si="403">FF99-FN99</f>
        <v>395137</v>
      </c>
      <c r="FP99">
        <f t="shared" ref="FP99" si="404">ROUND(IF(FO99&gt;0,IF(FO99&gt;500000,12500,(FO99-250000)*0.05),0),0)</f>
        <v>7257</v>
      </c>
      <c r="FQ99">
        <f t="shared" ref="FQ99" si="405">IF(ROUND(IF(FO99&gt;0,IF(FO99&gt;1000000,25000,(FO99-500000)*0.2),0),0)&lt;0,0,ROUND(IF(FO99&gt;0,IF(FO99&gt;1000000,25000,(FO99-500000)*0.2),0),0))</f>
        <v>0</v>
      </c>
      <c r="FR99">
        <f t="shared" ref="FR99" si="406">FP99+FQ99</f>
        <v>7257</v>
      </c>
      <c r="FS99">
        <f t="shared" ref="FS99" si="407">IF(FR99&lt;12500,0,FR99)</f>
        <v>0</v>
      </c>
      <c r="FT99">
        <f t="shared" ref="FT99" si="408">FS99*0.04</f>
        <v>0</v>
      </c>
      <c r="FU99">
        <f t="shared" ref="FU99" si="409">ROUND(FT99+FS99,0)</f>
        <v>0</v>
      </c>
      <c r="FV99">
        <v>1</v>
      </c>
      <c r="FW99">
        <f t="shared" ref="FW99" si="410">FU99-FV99</f>
        <v>-1</v>
      </c>
      <c r="FX99" t="b">
        <f t="shared" ref="FX99" si="411">IF(EM99&gt;500000,TRUE,FALSE)</f>
        <v>0</v>
      </c>
      <c r="FY99">
        <f t="shared" ref="FY99" ca="1" si="412">IF(FX99,RANDBETWEEN(500,1000),RANDBETWEEN(1000,3000))</f>
        <v>2203</v>
      </c>
      <c r="FZ99">
        <f t="shared" ref="FZ99" ca="1" si="413">EM99+FY99</f>
        <v>453140</v>
      </c>
      <c r="GA99">
        <f t="shared" ref="GA99" si="414">IF(EM99&gt;0,75000,0)</f>
        <v>75000</v>
      </c>
      <c r="GB99">
        <f t="shared" ref="GB99" ca="1" si="415">FZ99-GA99</f>
        <v>378140</v>
      </c>
      <c r="GC99">
        <f t="shared" ref="GC99" ca="1" si="416">IF(GB99&gt;2400000,GB99-2400000,0)</f>
        <v>0</v>
      </c>
      <c r="GD99">
        <f t="shared" ref="GD99" ca="1" si="417">GC99*0.3</f>
        <v>0</v>
      </c>
      <c r="GE99">
        <f t="shared" ref="GE99" ca="1" si="418">IF(GB99&gt;2000000,GB99-2000000,0)</f>
        <v>0</v>
      </c>
      <c r="GF99">
        <f t="shared" ref="GF99" ca="1" si="419">GE99*0.25</f>
        <v>0</v>
      </c>
      <c r="GG99">
        <f t="shared" ref="GG99" ca="1" si="420">IF(GB99&gt;1600000,GB99-1600000-GC99,0)</f>
        <v>0</v>
      </c>
      <c r="GH99">
        <f t="shared" ref="GH99" ca="1" si="421">GG99*0.2</f>
        <v>0</v>
      </c>
      <c r="GI99">
        <f ca="1">IF(GB99&gt;1200000,GB99-1200000-IF(F99="YES",50000,0)-GG99,0)</f>
        <v>0</v>
      </c>
      <c r="GJ99">
        <f t="shared" ref="GJ99" ca="1" si="422">GI99*0.15</f>
        <v>0</v>
      </c>
      <c r="GK99">
        <f t="shared" ref="GK99" ca="1" si="423">IF(GB99&gt;800000,GB99-800000-GC99-GG99-GI99,0)</f>
        <v>0</v>
      </c>
      <c r="GL99">
        <f t="shared" ref="GL99" ca="1" si="424">GK99*0.1</f>
        <v>0</v>
      </c>
      <c r="GM99">
        <f t="shared" ref="GM99" ca="1" si="425">IF(GB99&gt;400000,GB99-400000-GC99-GG99-GI99-GK99,0)</f>
        <v>0</v>
      </c>
      <c r="GN99">
        <f t="shared" ref="GN99" ca="1" si="426">GM99*0.05</f>
        <v>0</v>
      </c>
      <c r="GO99">
        <f t="shared" ref="GO99" ca="1" si="427">ROUND(GD99+GF99+GH99+GJ99+GL99+GN99,0)</f>
        <v>0</v>
      </c>
      <c r="GP99">
        <f t="shared" ref="GP99" ca="1" si="428">IF(GB99&gt;1200000,GB99,0)</f>
        <v>0</v>
      </c>
      <c r="GQ99">
        <f t="shared" ref="GQ99" ca="1" si="429">IF(GB99&gt;1200000,GP99-1200000,0)</f>
        <v>0</v>
      </c>
      <c r="GR99">
        <f t="shared" ref="GR99" ca="1" si="430">IF(GB99&lt;1200001,MIN(GO99,60000),0)</f>
        <v>0</v>
      </c>
      <c r="GS99">
        <f t="shared" ref="GS99" ca="1" si="431">IF(GB99&gt;1200000,GO99-GQ99,0)</f>
        <v>0</v>
      </c>
      <c r="GT99" t="b">
        <f t="shared" ref="GT99" ca="1" si="432">IF(GS99&gt;0,TRUE,FALSE)</f>
        <v>0</v>
      </c>
      <c r="GU99">
        <f t="shared" ref="GU99" ca="1" si="433">IF(GT99,GS99,0)</f>
        <v>0</v>
      </c>
      <c r="GV99">
        <f t="shared" ref="GV99" ca="1" si="434">GR99+GU99</f>
        <v>0</v>
      </c>
      <c r="GW99">
        <f t="shared" ref="GW99" ca="1" si="435">ROUND(GO99-GV99,0)</f>
        <v>0</v>
      </c>
      <c r="GX99">
        <f t="shared" ref="GX99" ca="1" si="436">GW99*0.04</f>
        <v>0</v>
      </c>
      <c r="GY99">
        <f t="shared" ref="GY99" ca="1" si="437">ROUNDUP(GW99+GX99,0)</f>
        <v>0</v>
      </c>
    </row>
    <row r="100" spans="1:207" x14ac:dyDescent="0.25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1"/>
        <v>6800</v>
      </c>
      <c r="I100">
        <f>_xlfn.XLOOKUP(B100,'[1]march-2026'!$A:$A,'[1]march-2026'!$C:$C,0,0)</f>
        <v>35500</v>
      </c>
      <c r="J100">
        <f t="shared" si="396"/>
        <v>6390</v>
      </c>
      <c r="K100">
        <f t="shared" si="292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3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4"/>
        <v>200</v>
      </c>
      <c r="R100">
        <f t="shared" si="295"/>
        <v>44350</v>
      </c>
      <c r="S100">
        <f>_xlfn.XLOOKUP(B100,'[2]april-2026'!$A:$A,'[2]april-2026'!$C:$C,0,0)</f>
        <v>35500</v>
      </c>
      <c r="T100">
        <f t="shared" si="296"/>
        <v>6390</v>
      </c>
      <c r="U100">
        <f t="shared" si="297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298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299"/>
        <v>200</v>
      </c>
      <c r="AB100">
        <f t="shared" si="300"/>
        <v>44350</v>
      </c>
      <c r="AC100">
        <f>_xlfn.XLOOKUP(B100,'[3]may-2026'!$A:$A,'[3]may-2026'!$C:$C,0,0)</f>
        <v>35500</v>
      </c>
      <c r="AD100">
        <f t="shared" si="301"/>
        <v>6390</v>
      </c>
      <c r="AE100">
        <f t="shared" si="302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3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4"/>
        <v>200</v>
      </c>
      <c r="AL100">
        <f t="shared" si="305"/>
        <v>44350</v>
      </c>
      <c r="AM100">
        <f>_xlfn.XLOOKUP(B100,'[4]june-2026'!$A:$A,'[4]june-2026'!$C:$C,0,0)</f>
        <v>35500</v>
      </c>
      <c r="AN100">
        <f t="shared" si="306"/>
        <v>6390</v>
      </c>
      <c r="AO100">
        <f t="shared" si="307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08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09"/>
        <v>200</v>
      </c>
      <c r="AV100">
        <f t="shared" si="310"/>
        <v>44350</v>
      </c>
      <c r="AW100">
        <f>_xlfn.XLOOKUP(B100,'[5]july-2026'!$A:$A,'[5]july-2026'!$C:$C,0,0)</f>
        <v>36600</v>
      </c>
      <c r="AX100">
        <f t="shared" si="311"/>
        <v>6588</v>
      </c>
      <c r="AY100">
        <v>98</v>
      </c>
      <c r="AZ100">
        <f t="shared" si="312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3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4"/>
        <v>200</v>
      </c>
      <c r="BG100">
        <f t="shared" si="315"/>
        <v>45878</v>
      </c>
      <c r="BH100">
        <f>_xlfn.XLOOKUP(B100,'[6]august-2026'!$A:$A,'[6]august-2026'!$C:$C,0,0)</f>
        <v>36600</v>
      </c>
      <c r="BI100">
        <f t="shared" si="316"/>
        <v>6588</v>
      </c>
      <c r="BJ100">
        <f t="shared" si="317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18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19"/>
        <v>200</v>
      </c>
      <c r="BQ100">
        <f t="shared" si="320"/>
        <v>45780</v>
      </c>
      <c r="BR100">
        <f>_xlfn.XLOOKUP(B100,'[7]september-2026'!$A:$A,'[7]september-2026'!$C:$C,0,0)</f>
        <v>36600</v>
      </c>
      <c r="BS100">
        <f t="shared" si="321"/>
        <v>6588</v>
      </c>
      <c r="BT100">
        <f t="shared" si="322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3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4"/>
        <v>200</v>
      </c>
      <c r="CA100">
        <f t="shared" si="325"/>
        <v>45780</v>
      </c>
      <c r="CB100">
        <f>_xlfn.XLOOKUP(B100,'[8]october-2026'!$A:$A,'[8]october-2026'!$C:$C,0,0)</f>
        <v>36600</v>
      </c>
      <c r="CC100">
        <f t="shared" si="326"/>
        <v>6588</v>
      </c>
      <c r="CD100">
        <f t="shared" si="327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28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29"/>
        <v>200</v>
      </c>
      <c r="CK100">
        <f t="shared" si="330"/>
        <v>45780</v>
      </c>
      <c r="CL100">
        <f>_xlfn.XLOOKUP(B100,'[9]november-2026'!$A:$A,'[9]november-2026'!$C:$C,0,0)</f>
        <v>36600</v>
      </c>
      <c r="CM100">
        <f t="shared" si="331"/>
        <v>6588</v>
      </c>
      <c r="CN100">
        <f t="shared" si="332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3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4"/>
        <v>200</v>
      </c>
      <c r="CU100">
        <f t="shared" si="335"/>
        <v>45780</v>
      </c>
      <c r="CV100">
        <f>_xlfn.XLOOKUP(B100,'[10]december-2026'!$A:$A,'[10]december-2026'!$C:$C,0,0)</f>
        <v>36600</v>
      </c>
      <c r="CW100">
        <f t="shared" si="336"/>
        <v>6588</v>
      </c>
      <c r="CX100">
        <f t="shared" si="337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38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39"/>
        <v>200</v>
      </c>
      <c r="DE100">
        <f t="shared" si="340"/>
        <v>45780</v>
      </c>
      <c r="DF100">
        <f xml:space="preserve"> _xlfn.XLOOKUP(B100,
'[11]january-2027'!$A:$A,
'[11]january-2027'!$C:$C,
0,0)</f>
        <v>36600</v>
      </c>
      <c r="DG100">
        <f t="shared" si="341"/>
        <v>6588</v>
      </c>
      <c r="DH100">
        <f t="shared" si="342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3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4"/>
        <v>200</v>
      </c>
      <c r="DO100">
        <f t="shared" si="345"/>
        <v>45780</v>
      </c>
      <c r="DP100">
        <f xml:space="preserve"> _xlfn.XLOOKUP(B100,
'[12]february-2027'!$A:$A,
'[12]february-2027'!$C:$C,
0,0)</f>
        <v>36600</v>
      </c>
      <c r="DQ100">
        <f t="shared" si="346"/>
        <v>6588</v>
      </c>
      <c r="DR100">
        <f t="shared" si="347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48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49"/>
        <v>200</v>
      </c>
      <c r="DY100">
        <f t="shared" si="350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1"/>
        <v>0</v>
      </c>
      <c r="EM100">
        <f t="shared" si="352"/>
        <v>582938</v>
      </c>
      <c r="EN100">
        <f t="shared" si="353"/>
        <v>2400</v>
      </c>
      <c r="EO100">
        <f t="shared" si="354"/>
        <v>50000</v>
      </c>
      <c r="EP100">
        <v>0</v>
      </c>
      <c r="EQ100">
        <f t="shared" si="355"/>
        <v>530538</v>
      </c>
      <c r="ER100">
        <f t="shared" si="356"/>
        <v>30000</v>
      </c>
      <c r="ES100">
        <f t="shared" si="357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58"/>
        <v>30000</v>
      </c>
      <c r="FE100">
        <f t="shared" si="359"/>
        <v>30000</v>
      </c>
      <c r="FF100">
        <f t="shared" si="360"/>
        <v>500538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>SUM(FG100:FM100)+(IF(F100="YES",50000,0))</f>
        <v>0</v>
      </c>
      <c r="FO100">
        <f t="shared" si="361"/>
        <v>500538</v>
      </c>
      <c r="FP100">
        <f t="shared" si="362"/>
        <v>12500</v>
      </c>
      <c r="FQ100">
        <f t="shared" si="363"/>
        <v>108</v>
      </c>
      <c r="FR100">
        <f t="shared" si="364"/>
        <v>12608</v>
      </c>
      <c r="FS100">
        <f t="shared" si="365"/>
        <v>12608</v>
      </c>
      <c r="FT100">
        <f t="shared" si="366"/>
        <v>504.32</v>
      </c>
      <c r="FU100">
        <f t="shared" si="367"/>
        <v>13112</v>
      </c>
      <c r="FV100">
        <v>0</v>
      </c>
      <c r="FW100">
        <f t="shared" si="368"/>
        <v>13112</v>
      </c>
      <c r="FX100" t="b">
        <f t="shared" si="369"/>
        <v>1</v>
      </c>
      <c r="FY100">
        <f t="shared" ca="1" si="370"/>
        <v>789</v>
      </c>
      <c r="FZ100">
        <f t="shared" ca="1" si="371"/>
        <v>583727</v>
      </c>
      <c r="GA100">
        <f t="shared" si="372"/>
        <v>75000</v>
      </c>
      <c r="GB100">
        <f t="shared" ca="1" si="373"/>
        <v>508727</v>
      </c>
      <c r="GC100">
        <f t="shared" ca="1" si="374"/>
        <v>0</v>
      </c>
      <c r="GD100">
        <f t="shared" ca="1" si="375"/>
        <v>0</v>
      </c>
      <c r="GE100">
        <f t="shared" ca="1" si="376"/>
        <v>0</v>
      </c>
      <c r="GF100">
        <f t="shared" ca="1" si="377"/>
        <v>0</v>
      </c>
      <c r="GG100">
        <f t="shared" ca="1" si="378"/>
        <v>0</v>
      </c>
      <c r="GH100">
        <f t="shared" ca="1" si="379"/>
        <v>0</v>
      </c>
      <c r="GI100">
        <f ca="1">IF(GB100&gt;1200000,GB100-1200000-IF(F100="YES",50000,0)-GG100,0)</f>
        <v>0</v>
      </c>
      <c r="GJ100">
        <f t="shared" ca="1" si="380"/>
        <v>0</v>
      </c>
      <c r="GK100">
        <f t="shared" ca="1" si="381"/>
        <v>0</v>
      </c>
      <c r="GL100">
        <f t="shared" ca="1" si="382"/>
        <v>0</v>
      </c>
      <c r="GM100">
        <f t="shared" ca="1" si="383"/>
        <v>108727</v>
      </c>
      <c r="GN100">
        <f t="shared" ca="1" si="384"/>
        <v>5436.35</v>
      </c>
      <c r="GO100">
        <f t="shared" ca="1" si="385"/>
        <v>5436</v>
      </c>
      <c r="GP100">
        <f t="shared" ca="1" si="386"/>
        <v>0</v>
      </c>
      <c r="GQ100">
        <f t="shared" ca="1" si="387"/>
        <v>0</v>
      </c>
      <c r="GR100">
        <f t="shared" ca="1" si="388"/>
        <v>5436</v>
      </c>
      <c r="GS100">
        <f t="shared" ca="1" si="389"/>
        <v>0</v>
      </c>
      <c r="GT100" t="b">
        <f t="shared" ca="1" si="390"/>
        <v>0</v>
      </c>
      <c r="GU100">
        <f t="shared" ca="1" si="391"/>
        <v>0</v>
      </c>
      <c r="GV100">
        <f t="shared" ca="1" si="392"/>
        <v>5436</v>
      </c>
      <c r="GW100">
        <f t="shared" ca="1" si="393"/>
        <v>0</v>
      </c>
      <c r="GX100">
        <f t="shared" ca="1" si="394"/>
        <v>0</v>
      </c>
      <c r="GY100">
        <f t="shared" ca="1" si="395"/>
        <v>0</v>
      </c>
    </row>
    <row r="101" spans="1:207" x14ac:dyDescent="0.25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1"/>
        <v>6800</v>
      </c>
      <c r="I101">
        <f>_xlfn.XLOOKUP(B101,'[1]march-2026'!$A:$A,'[1]march-2026'!$C:$C,0,0)</f>
        <v>35500</v>
      </c>
      <c r="J101">
        <f t="shared" si="396"/>
        <v>6390</v>
      </c>
      <c r="K101">
        <f t="shared" si="292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3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4"/>
        <v>200</v>
      </c>
      <c r="R101">
        <f t="shared" si="295"/>
        <v>43450</v>
      </c>
      <c r="S101">
        <f>_xlfn.XLOOKUP(B101,'[2]april-2026'!$A:$A,'[2]april-2026'!$C:$C,0,0)</f>
        <v>35500</v>
      </c>
      <c r="T101">
        <f t="shared" si="296"/>
        <v>6390</v>
      </c>
      <c r="U101">
        <f t="shared" si="297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298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299"/>
        <v>200</v>
      </c>
      <c r="AB101">
        <f t="shared" si="300"/>
        <v>43450</v>
      </c>
      <c r="AC101">
        <f>_xlfn.XLOOKUP(B101,'[3]may-2026'!$A:$A,'[3]may-2026'!$C:$C,0,0)</f>
        <v>35500</v>
      </c>
      <c r="AD101">
        <f t="shared" si="301"/>
        <v>6390</v>
      </c>
      <c r="AE101">
        <f t="shared" si="302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3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4"/>
        <v>200</v>
      </c>
      <c r="AL101">
        <f t="shared" si="305"/>
        <v>43450</v>
      </c>
      <c r="AM101">
        <f>_xlfn.XLOOKUP(B101,'[4]june-2026'!$A:$A,'[4]june-2026'!$C:$C,0,0)</f>
        <v>35500</v>
      </c>
      <c r="AN101">
        <f t="shared" si="306"/>
        <v>6390</v>
      </c>
      <c r="AO101">
        <f t="shared" si="307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08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09"/>
        <v>200</v>
      </c>
      <c r="AV101">
        <f t="shared" si="310"/>
        <v>43450</v>
      </c>
      <c r="AW101">
        <f>_xlfn.XLOOKUP(B101,'[5]july-2026'!$A:$A,'[5]july-2026'!$C:$C,0,0)</f>
        <v>36600</v>
      </c>
      <c r="AX101">
        <f t="shared" si="311"/>
        <v>6588</v>
      </c>
      <c r="AY101">
        <v>99</v>
      </c>
      <c r="AZ101">
        <f t="shared" si="312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3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4"/>
        <v>200</v>
      </c>
      <c r="BG101">
        <f t="shared" si="315"/>
        <v>44979</v>
      </c>
      <c r="BH101">
        <f>_xlfn.XLOOKUP(B101,'[6]august-2026'!$A:$A,'[6]august-2026'!$C:$C,0,0)</f>
        <v>36600</v>
      </c>
      <c r="BI101">
        <f t="shared" si="316"/>
        <v>6588</v>
      </c>
      <c r="BJ101">
        <f t="shared" si="317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18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19"/>
        <v>200</v>
      </c>
      <c r="BQ101">
        <f t="shared" si="320"/>
        <v>44880</v>
      </c>
      <c r="BR101">
        <f>_xlfn.XLOOKUP(B101,'[7]september-2026'!$A:$A,'[7]september-2026'!$C:$C,0,0)</f>
        <v>36600</v>
      </c>
      <c r="BS101">
        <f t="shared" si="321"/>
        <v>6588</v>
      </c>
      <c r="BT101">
        <f t="shared" si="322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3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4"/>
        <v>200</v>
      </c>
      <c r="CA101">
        <f t="shared" si="325"/>
        <v>44880</v>
      </c>
      <c r="CB101">
        <f>_xlfn.XLOOKUP(B101,'[8]october-2026'!$A:$A,'[8]october-2026'!$C:$C,0,0)</f>
        <v>36600</v>
      </c>
      <c r="CC101">
        <f t="shared" si="326"/>
        <v>6588</v>
      </c>
      <c r="CD101">
        <f t="shared" si="327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28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29"/>
        <v>200</v>
      </c>
      <c r="CK101">
        <f t="shared" si="330"/>
        <v>44880</v>
      </c>
      <c r="CL101">
        <f>_xlfn.XLOOKUP(B101,'[9]november-2026'!$A:$A,'[9]november-2026'!$C:$C,0,0)</f>
        <v>36600</v>
      </c>
      <c r="CM101">
        <f t="shared" si="331"/>
        <v>6588</v>
      </c>
      <c r="CN101">
        <f t="shared" si="332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3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4"/>
        <v>200</v>
      </c>
      <c r="CU101">
        <f t="shared" si="335"/>
        <v>44880</v>
      </c>
      <c r="CV101">
        <f>_xlfn.XLOOKUP(B101,'[10]december-2026'!$A:$A,'[10]december-2026'!$C:$C,0,0)</f>
        <v>36600</v>
      </c>
      <c r="CW101">
        <f t="shared" si="336"/>
        <v>6588</v>
      </c>
      <c r="CX101">
        <f t="shared" si="337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38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39"/>
        <v>200</v>
      </c>
      <c r="DE101">
        <f t="shared" si="340"/>
        <v>44880</v>
      </c>
      <c r="DF101">
        <f xml:space="preserve"> _xlfn.XLOOKUP(B101,
'[11]january-2027'!$A:$A,
'[11]january-2027'!$C:$C,
0,0)</f>
        <v>36600</v>
      </c>
      <c r="DG101">
        <f t="shared" si="341"/>
        <v>6588</v>
      </c>
      <c r="DH101">
        <f t="shared" si="342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3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4"/>
        <v>200</v>
      </c>
      <c r="DO101">
        <f t="shared" si="345"/>
        <v>44880</v>
      </c>
      <c r="DP101">
        <f xml:space="preserve"> _xlfn.XLOOKUP(B101,
'[12]february-2027'!$A:$A,
'[12]february-2027'!$C:$C,
0,0)</f>
        <v>36600</v>
      </c>
      <c r="DQ101">
        <f t="shared" si="346"/>
        <v>6588</v>
      </c>
      <c r="DR101">
        <f t="shared" si="347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48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49"/>
        <v>200</v>
      </c>
      <c r="DY101">
        <f t="shared" si="350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1"/>
        <v>0</v>
      </c>
      <c r="EM101">
        <f t="shared" si="352"/>
        <v>578139</v>
      </c>
      <c r="EN101">
        <f t="shared" si="353"/>
        <v>2400</v>
      </c>
      <c r="EO101">
        <f t="shared" si="354"/>
        <v>50000</v>
      </c>
      <c r="EP101">
        <v>0</v>
      </c>
      <c r="EQ101">
        <f t="shared" si="355"/>
        <v>525739</v>
      </c>
      <c r="ER101">
        <f t="shared" si="356"/>
        <v>36000</v>
      </c>
      <c r="ES101">
        <f t="shared" si="357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58"/>
        <v>36000</v>
      </c>
      <c r="FE101">
        <f t="shared" si="359"/>
        <v>36000</v>
      </c>
      <c r="FF101">
        <f t="shared" si="360"/>
        <v>489739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>SUM(FG101:FM101)+(IF(F101="YES",50000,0))</f>
        <v>0</v>
      </c>
      <c r="FO101">
        <f t="shared" si="361"/>
        <v>489739</v>
      </c>
      <c r="FP101">
        <f t="shared" si="362"/>
        <v>11987</v>
      </c>
      <c r="FQ101">
        <f t="shared" si="363"/>
        <v>0</v>
      </c>
      <c r="FR101">
        <f t="shared" si="364"/>
        <v>11987</v>
      </c>
      <c r="FS101">
        <f t="shared" si="365"/>
        <v>0</v>
      </c>
      <c r="FT101">
        <f t="shared" si="366"/>
        <v>0</v>
      </c>
      <c r="FU101">
        <f t="shared" si="367"/>
        <v>0</v>
      </c>
      <c r="FV101">
        <v>0</v>
      </c>
      <c r="FW101">
        <f t="shared" si="368"/>
        <v>0</v>
      </c>
      <c r="FX101" t="b">
        <f t="shared" si="369"/>
        <v>1</v>
      </c>
      <c r="FY101">
        <f t="shared" ca="1" si="370"/>
        <v>974</v>
      </c>
      <c r="FZ101">
        <f t="shared" ca="1" si="371"/>
        <v>579113</v>
      </c>
      <c r="GA101">
        <f t="shared" si="372"/>
        <v>75000</v>
      </c>
      <c r="GB101">
        <f t="shared" ca="1" si="373"/>
        <v>504113</v>
      </c>
      <c r="GC101">
        <f t="shared" ca="1" si="374"/>
        <v>0</v>
      </c>
      <c r="GD101">
        <f t="shared" ca="1" si="375"/>
        <v>0</v>
      </c>
      <c r="GE101">
        <f t="shared" ca="1" si="376"/>
        <v>0</v>
      </c>
      <c r="GF101">
        <f t="shared" ca="1" si="377"/>
        <v>0</v>
      </c>
      <c r="GG101">
        <f t="shared" ca="1" si="378"/>
        <v>0</v>
      </c>
      <c r="GH101">
        <f t="shared" ca="1" si="379"/>
        <v>0</v>
      </c>
      <c r="GI101">
        <f ca="1">IF(GB101&gt;1200000,GB101-1200000-IF(F101="YES",50000,0)-GG101,0)</f>
        <v>0</v>
      </c>
      <c r="GJ101">
        <f t="shared" ca="1" si="380"/>
        <v>0</v>
      </c>
      <c r="GK101">
        <f t="shared" ca="1" si="381"/>
        <v>0</v>
      </c>
      <c r="GL101">
        <f t="shared" ca="1" si="382"/>
        <v>0</v>
      </c>
      <c r="GM101">
        <f t="shared" ca="1" si="383"/>
        <v>104113</v>
      </c>
      <c r="GN101">
        <f t="shared" ca="1" si="384"/>
        <v>5205.6500000000005</v>
      </c>
      <c r="GO101">
        <f t="shared" ca="1" si="385"/>
        <v>5206</v>
      </c>
      <c r="GP101">
        <f t="shared" ca="1" si="386"/>
        <v>0</v>
      </c>
      <c r="GQ101">
        <f t="shared" ca="1" si="387"/>
        <v>0</v>
      </c>
      <c r="GR101">
        <f t="shared" ca="1" si="388"/>
        <v>5206</v>
      </c>
      <c r="GS101">
        <f t="shared" ca="1" si="389"/>
        <v>0</v>
      </c>
      <c r="GT101" t="b">
        <f t="shared" ca="1" si="390"/>
        <v>0</v>
      </c>
      <c r="GU101">
        <f t="shared" ca="1" si="391"/>
        <v>0</v>
      </c>
      <c r="GV101">
        <f t="shared" ca="1" si="392"/>
        <v>5206</v>
      </c>
      <c r="GW101">
        <f t="shared" ca="1" si="393"/>
        <v>0</v>
      </c>
      <c r="GX101">
        <f t="shared" ca="1" si="394"/>
        <v>0</v>
      </c>
      <c r="GY101">
        <f t="shared" ca="1" si="395"/>
        <v>0</v>
      </c>
    </row>
    <row r="102" spans="1:207" x14ac:dyDescent="0.25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1"/>
        <v>6800</v>
      </c>
      <c r="I102">
        <f>_xlfn.XLOOKUP(B102,'[1]march-2026'!$A:$A,'[1]march-2026'!$C:$C,0,0)</f>
        <v>29500</v>
      </c>
      <c r="J102">
        <f t="shared" si="396"/>
        <v>5310</v>
      </c>
      <c r="K102">
        <f t="shared" si="292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3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4"/>
        <v>150</v>
      </c>
      <c r="R102">
        <f t="shared" si="295"/>
        <v>36700</v>
      </c>
      <c r="S102">
        <f>_xlfn.XLOOKUP(B102,'[2]april-2026'!$A:$A,'[2]april-2026'!$C:$C,0,0)</f>
        <v>29500</v>
      </c>
      <c r="T102">
        <f t="shared" si="296"/>
        <v>5310</v>
      </c>
      <c r="U102">
        <f t="shared" si="297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298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299"/>
        <v>150</v>
      </c>
      <c r="AB102">
        <f t="shared" si="300"/>
        <v>36700</v>
      </c>
      <c r="AC102">
        <f>_xlfn.XLOOKUP(B102,'[3]may-2026'!$A:$A,'[3]may-2026'!$C:$C,0,0)</f>
        <v>29500</v>
      </c>
      <c r="AD102">
        <f t="shared" si="301"/>
        <v>5310</v>
      </c>
      <c r="AE102">
        <f t="shared" si="302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3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4"/>
        <v>150</v>
      </c>
      <c r="AL102">
        <f t="shared" si="305"/>
        <v>36700</v>
      </c>
      <c r="AM102">
        <f>_xlfn.XLOOKUP(B102,'[4]june-2026'!$A:$A,'[4]june-2026'!$C:$C,0,0)</f>
        <v>29500</v>
      </c>
      <c r="AN102">
        <f t="shared" si="306"/>
        <v>5310</v>
      </c>
      <c r="AO102">
        <f t="shared" si="307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08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09"/>
        <v>150</v>
      </c>
      <c r="AV102">
        <f t="shared" si="310"/>
        <v>36700</v>
      </c>
      <c r="AW102">
        <f>_xlfn.XLOOKUP(B102,'[5]july-2026'!$A:$A,'[5]july-2026'!$C:$C,0,0)</f>
        <v>30400</v>
      </c>
      <c r="AX102">
        <f t="shared" si="311"/>
        <v>5472</v>
      </c>
      <c r="AY102">
        <v>100</v>
      </c>
      <c r="AZ102">
        <f t="shared" si="312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3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4"/>
        <v>200</v>
      </c>
      <c r="BG102">
        <f t="shared" si="315"/>
        <v>37920</v>
      </c>
      <c r="BH102">
        <f>_xlfn.XLOOKUP(B102,'[6]august-2026'!$A:$A,'[6]august-2026'!$C:$C,0,0)</f>
        <v>30400</v>
      </c>
      <c r="BI102">
        <f t="shared" si="316"/>
        <v>5472</v>
      </c>
      <c r="BJ102">
        <f t="shared" si="317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18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19"/>
        <v>200</v>
      </c>
      <c r="BQ102">
        <f t="shared" si="320"/>
        <v>37820</v>
      </c>
      <c r="BR102">
        <f>_xlfn.XLOOKUP(B102,'[7]september-2026'!$A:$A,'[7]september-2026'!$C:$C,0,0)</f>
        <v>30400</v>
      </c>
      <c r="BS102">
        <f t="shared" si="321"/>
        <v>5472</v>
      </c>
      <c r="BT102">
        <f t="shared" si="322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3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4"/>
        <v>200</v>
      </c>
      <c r="CA102">
        <f t="shared" si="325"/>
        <v>37820</v>
      </c>
      <c r="CB102">
        <f>_xlfn.XLOOKUP(B102,'[8]october-2026'!$A:$A,'[8]october-2026'!$C:$C,0,0)</f>
        <v>30400</v>
      </c>
      <c r="CC102">
        <f t="shared" si="326"/>
        <v>5472</v>
      </c>
      <c r="CD102">
        <f t="shared" si="327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28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29"/>
        <v>200</v>
      </c>
      <c r="CK102">
        <f t="shared" si="330"/>
        <v>37820</v>
      </c>
      <c r="CL102">
        <f>_xlfn.XLOOKUP(B102,'[9]november-2026'!$A:$A,'[9]november-2026'!$C:$C,0,0)</f>
        <v>30400</v>
      </c>
      <c r="CM102">
        <f t="shared" si="331"/>
        <v>5472</v>
      </c>
      <c r="CN102">
        <f t="shared" si="332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3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4"/>
        <v>200</v>
      </c>
      <c r="CU102">
        <f t="shared" si="335"/>
        <v>37820</v>
      </c>
      <c r="CV102">
        <f>_xlfn.XLOOKUP(B102,'[10]december-2026'!$A:$A,'[10]december-2026'!$C:$C,0,0)</f>
        <v>30400</v>
      </c>
      <c r="CW102">
        <f t="shared" si="336"/>
        <v>5472</v>
      </c>
      <c r="CX102">
        <f t="shared" si="337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38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39"/>
        <v>200</v>
      </c>
      <c r="DE102">
        <f t="shared" si="340"/>
        <v>37820</v>
      </c>
      <c r="DF102">
        <f xml:space="preserve"> _xlfn.XLOOKUP(B102,
'[11]january-2027'!$A:$A,
'[11]january-2027'!$C:$C,
0,0)</f>
        <v>30400</v>
      </c>
      <c r="DG102">
        <f t="shared" si="341"/>
        <v>5472</v>
      </c>
      <c r="DH102">
        <f t="shared" si="342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3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4"/>
        <v>200</v>
      </c>
      <c r="DO102">
        <f t="shared" si="345"/>
        <v>37820</v>
      </c>
      <c r="DP102">
        <f xml:space="preserve"> _xlfn.XLOOKUP(B102,
'[12]february-2027'!$A:$A,
'[12]february-2027'!$C:$C,
0,0)</f>
        <v>30400</v>
      </c>
      <c r="DQ102">
        <f t="shared" si="346"/>
        <v>5472</v>
      </c>
      <c r="DR102">
        <f t="shared" si="347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48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49"/>
        <v>200</v>
      </c>
      <c r="DY102">
        <f t="shared" si="350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1"/>
        <v>0</v>
      </c>
      <c r="EM102">
        <f t="shared" si="352"/>
        <v>482460</v>
      </c>
      <c r="EN102">
        <f t="shared" si="353"/>
        <v>2200</v>
      </c>
      <c r="EO102">
        <f t="shared" si="354"/>
        <v>50000</v>
      </c>
      <c r="EP102">
        <v>0</v>
      </c>
      <c r="EQ102">
        <f t="shared" si="355"/>
        <v>430260</v>
      </c>
      <c r="ER102">
        <f t="shared" si="356"/>
        <v>24000</v>
      </c>
      <c r="ES102">
        <f t="shared" si="357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58"/>
        <v>24000</v>
      </c>
      <c r="FE102">
        <f t="shared" si="359"/>
        <v>24000</v>
      </c>
      <c r="FF102">
        <f t="shared" si="360"/>
        <v>406260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>SUM(FG102:FM102)+(IF(F102="YES",50000,0))</f>
        <v>0</v>
      </c>
      <c r="FO102">
        <f t="shared" si="361"/>
        <v>406260</v>
      </c>
      <c r="FP102">
        <f t="shared" si="362"/>
        <v>7813</v>
      </c>
      <c r="FQ102">
        <f t="shared" si="363"/>
        <v>0</v>
      </c>
      <c r="FR102">
        <f t="shared" si="364"/>
        <v>7813</v>
      </c>
      <c r="FS102">
        <f t="shared" si="365"/>
        <v>0</v>
      </c>
      <c r="FT102">
        <f t="shared" si="366"/>
        <v>0</v>
      </c>
      <c r="FU102">
        <f t="shared" si="367"/>
        <v>0</v>
      </c>
      <c r="FV102">
        <v>0</v>
      </c>
      <c r="FW102">
        <f t="shared" si="368"/>
        <v>0</v>
      </c>
      <c r="FX102" t="b">
        <f t="shared" si="369"/>
        <v>0</v>
      </c>
      <c r="FY102">
        <f t="shared" ca="1" si="370"/>
        <v>1290</v>
      </c>
      <c r="FZ102">
        <f t="shared" ca="1" si="371"/>
        <v>483750</v>
      </c>
      <c r="GA102">
        <f t="shared" si="372"/>
        <v>75000</v>
      </c>
      <c r="GB102">
        <f t="shared" ca="1" si="373"/>
        <v>408750</v>
      </c>
      <c r="GC102">
        <f t="shared" ca="1" si="374"/>
        <v>0</v>
      </c>
      <c r="GD102">
        <f t="shared" ca="1" si="375"/>
        <v>0</v>
      </c>
      <c r="GE102">
        <f t="shared" ca="1" si="376"/>
        <v>0</v>
      </c>
      <c r="GF102">
        <f t="shared" ca="1" si="377"/>
        <v>0</v>
      </c>
      <c r="GG102">
        <f t="shared" ca="1" si="378"/>
        <v>0</v>
      </c>
      <c r="GH102">
        <f t="shared" ca="1" si="379"/>
        <v>0</v>
      </c>
      <c r="GI102">
        <f ca="1">IF(GB102&gt;1200000,GB102-1200000-IF(F102="YES",50000,0)-GG102,0)</f>
        <v>0</v>
      </c>
      <c r="GJ102">
        <f t="shared" ca="1" si="380"/>
        <v>0</v>
      </c>
      <c r="GK102">
        <f t="shared" ca="1" si="381"/>
        <v>0</v>
      </c>
      <c r="GL102">
        <f t="shared" ca="1" si="382"/>
        <v>0</v>
      </c>
      <c r="GM102">
        <f t="shared" ca="1" si="383"/>
        <v>8750</v>
      </c>
      <c r="GN102">
        <f t="shared" ca="1" si="384"/>
        <v>437.5</v>
      </c>
      <c r="GO102">
        <f t="shared" ca="1" si="385"/>
        <v>438</v>
      </c>
      <c r="GP102">
        <f t="shared" ca="1" si="386"/>
        <v>0</v>
      </c>
      <c r="GQ102">
        <f t="shared" ca="1" si="387"/>
        <v>0</v>
      </c>
      <c r="GR102">
        <f t="shared" ca="1" si="388"/>
        <v>438</v>
      </c>
      <c r="GS102">
        <f t="shared" ca="1" si="389"/>
        <v>0</v>
      </c>
      <c r="GT102" t="b">
        <f t="shared" ca="1" si="390"/>
        <v>0</v>
      </c>
      <c r="GU102">
        <f t="shared" ca="1" si="391"/>
        <v>0</v>
      </c>
      <c r="GV102">
        <f t="shared" ca="1" si="392"/>
        <v>438</v>
      </c>
      <c r="GW102">
        <f t="shared" ca="1" si="393"/>
        <v>0</v>
      </c>
      <c r="GX102">
        <f t="shared" ca="1" si="394"/>
        <v>0</v>
      </c>
      <c r="GY102">
        <f t="shared" ca="1" si="395"/>
        <v>0</v>
      </c>
    </row>
    <row r="103" spans="1:207" x14ac:dyDescent="0.25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1"/>
        <v>6800</v>
      </c>
      <c r="I103">
        <f>_xlfn.XLOOKUP(B103,'[1]march-2026'!$A:$A,'[1]march-2026'!$C:$C,0,0)</f>
        <v>32500</v>
      </c>
      <c r="J103">
        <f t="shared" si="396"/>
        <v>5850</v>
      </c>
      <c r="K103">
        <f t="shared" si="292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3"/>
        <v>42750</v>
      </c>
      <c r="O103">
        <f>_xlfn.XLOOKUP(B103,'[1]march-2026'!$A:$A,'[1]march-2026'!$H:$H,0,0)</f>
        <v>2000</v>
      </c>
      <c r="P103">
        <f>_xlfn.XLOOKUP(B103,'[1]march-2026'!$A:$A,'[1]march-2026'!$I:$I,0,0)</f>
        <v>0</v>
      </c>
      <c r="Q103">
        <f t="shared" si="294"/>
        <v>200</v>
      </c>
      <c r="R103">
        <f t="shared" si="295"/>
        <v>40550</v>
      </c>
      <c r="S103">
        <f>_xlfn.XLOOKUP(B103,'[2]april-2026'!$A:$A,'[2]april-2026'!$C:$C,0,0)</f>
        <v>32500</v>
      </c>
      <c r="T103">
        <f t="shared" si="296"/>
        <v>5850</v>
      </c>
      <c r="U103">
        <f t="shared" si="297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298"/>
        <v>42750</v>
      </c>
      <c r="Y103">
        <f>_xlfn.XLOOKUP(B103,'[2]april-2026'!$A:$A,'[2]april-2026'!$H:$H,0,0)</f>
        <v>2000</v>
      </c>
      <c r="Z103">
        <f>_xlfn.XLOOKUP(B103,'[2]april-2026'!$A:$A,'[2]april-2026'!$I:$I,0,0)</f>
        <v>0</v>
      </c>
      <c r="AA103">
        <f t="shared" si="299"/>
        <v>200</v>
      </c>
      <c r="AB103">
        <f t="shared" si="300"/>
        <v>40550</v>
      </c>
      <c r="AC103">
        <f>_xlfn.XLOOKUP(B103,'[3]may-2026'!$A:$A,'[3]may-2026'!$C:$C,0,0)</f>
        <v>32500</v>
      </c>
      <c r="AD103">
        <f t="shared" si="301"/>
        <v>5850</v>
      </c>
      <c r="AE103">
        <f t="shared" si="302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3"/>
        <v>42750</v>
      </c>
      <c r="AI103">
        <f>_xlfn.XLOOKUP(B103,'[3]may-2026'!$A:$A,'[3]may-2026'!$H:$H,0,0)</f>
        <v>2000</v>
      </c>
      <c r="AJ103">
        <f>_xlfn.XLOOKUP(B103,'[3]may-2026'!$A:$A,'[3]may-2026'!$I:$I,0,0)</f>
        <v>0</v>
      </c>
      <c r="AK103">
        <f t="shared" si="304"/>
        <v>200</v>
      </c>
      <c r="AL103">
        <f t="shared" si="305"/>
        <v>40550</v>
      </c>
      <c r="AM103">
        <f>_xlfn.XLOOKUP(B103,'[4]june-2026'!$A:$A,'[4]june-2026'!$C:$C,0,0)</f>
        <v>32500</v>
      </c>
      <c r="AN103">
        <f t="shared" si="306"/>
        <v>5850</v>
      </c>
      <c r="AO103">
        <f t="shared" si="307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08"/>
        <v>42750</v>
      </c>
      <c r="AS103">
        <f>_xlfn.XLOOKUP(B103,'[4]june-2026'!$A:$A,'[4]june-2026'!$H:$H,0,0)</f>
        <v>2000</v>
      </c>
      <c r="AT103">
        <f>_xlfn.XLOOKUP(B103,'[4]june-2026'!$A:$A,'[4]june-2026'!$I:$I,0,0)</f>
        <v>0</v>
      </c>
      <c r="AU103">
        <f t="shared" si="309"/>
        <v>200</v>
      </c>
      <c r="AV103">
        <f t="shared" si="310"/>
        <v>40550</v>
      </c>
      <c r="AW103">
        <f>_xlfn.XLOOKUP(B103,'[5]july-2026'!$A:$A,'[5]july-2026'!$C:$C,0,0)</f>
        <v>33500</v>
      </c>
      <c r="AX103">
        <f t="shared" si="311"/>
        <v>6030</v>
      </c>
      <c r="AY103">
        <v>101</v>
      </c>
      <c r="AZ103">
        <f t="shared" si="312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3"/>
        <v>44151</v>
      </c>
      <c r="BD103">
        <f>_xlfn.XLOOKUP(B103,'[5]july-2026'!$A:$A,'[5]july-2026'!$H:$H,0,0)</f>
        <v>2000</v>
      </c>
      <c r="BE103">
        <f>_xlfn.XLOOKUP(B103,'[5]july-2026'!$A:$A,'[5]july-2026'!$I:$I,0,0)</f>
        <v>0</v>
      </c>
      <c r="BF103">
        <f t="shared" si="314"/>
        <v>200</v>
      </c>
      <c r="BG103">
        <f t="shared" si="315"/>
        <v>41951</v>
      </c>
      <c r="BH103">
        <f>_xlfn.XLOOKUP(B103,'[6]august-2026'!$A:$A,'[6]august-2026'!$C:$C,0,0)</f>
        <v>33500</v>
      </c>
      <c r="BI103">
        <f t="shared" si="316"/>
        <v>6030</v>
      </c>
      <c r="BJ103">
        <f t="shared" si="317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18"/>
        <v>44050</v>
      </c>
      <c r="BN103">
        <f>_xlfn.XLOOKUP(B103,'[6]august-2026'!$A:$A,'[6]august-2026'!$H:$H,0,0)</f>
        <v>2000</v>
      </c>
      <c r="BO103">
        <f>_xlfn.XLOOKUP(B103,'[6]august-2026'!$A:$A,'[6]august-2026'!$I:$I,0,0)</f>
        <v>0</v>
      </c>
      <c r="BP103">
        <f t="shared" si="319"/>
        <v>200</v>
      </c>
      <c r="BQ103">
        <f t="shared" si="320"/>
        <v>41850</v>
      </c>
      <c r="BR103">
        <f>_xlfn.XLOOKUP(B103,'[7]september-2026'!$A:$A,'[7]september-2026'!$C:$C,0,0)</f>
        <v>33500</v>
      </c>
      <c r="BS103">
        <f t="shared" si="321"/>
        <v>6030</v>
      </c>
      <c r="BT103">
        <f t="shared" si="322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3"/>
        <v>44050</v>
      </c>
      <c r="BX103">
        <f>_xlfn.XLOOKUP(B103,'[7]september-2026'!$A:$A,'[7]september-2026'!$H:$H,0,0)</f>
        <v>2000</v>
      </c>
      <c r="BY103">
        <f>_xlfn.XLOOKUP(B103,'[7]september-2026'!$A:$A,'[7]september-2026'!$I:$I,0,0)</f>
        <v>0</v>
      </c>
      <c r="BZ103">
        <f t="shared" si="324"/>
        <v>200</v>
      </c>
      <c r="CA103">
        <f t="shared" si="325"/>
        <v>41850</v>
      </c>
      <c r="CB103">
        <f>_xlfn.XLOOKUP(B103,'[8]october-2026'!$A:$A,'[8]october-2026'!$C:$C,0,0)</f>
        <v>33500</v>
      </c>
      <c r="CC103">
        <f t="shared" si="326"/>
        <v>6030</v>
      </c>
      <c r="CD103">
        <f t="shared" si="327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28"/>
        <v>44050</v>
      </c>
      <c r="CH103">
        <f>_xlfn.XLOOKUP(B103,'[8]october-2026'!$A:$A,'[8]october-2026'!$H:$H,0,0)</f>
        <v>2000</v>
      </c>
      <c r="CI103">
        <f>_xlfn.XLOOKUP(B103,'[8]october-2026'!$A:$A,'[8]october-2026'!$I:$I,0,0)</f>
        <v>0</v>
      </c>
      <c r="CJ103">
        <f t="shared" si="329"/>
        <v>200</v>
      </c>
      <c r="CK103">
        <f t="shared" si="330"/>
        <v>41850</v>
      </c>
      <c r="CL103">
        <f>_xlfn.XLOOKUP(B103,'[9]november-2026'!$A:$A,'[9]november-2026'!$C:$C,0,0)</f>
        <v>33500</v>
      </c>
      <c r="CM103">
        <f t="shared" si="331"/>
        <v>6030</v>
      </c>
      <c r="CN103">
        <f t="shared" si="332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3"/>
        <v>44050</v>
      </c>
      <c r="CR103">
        <f>_xlfn.XLOOKUP(B103,'[9]november-2026'!$A:$A,'[9]november-2026'!$H:$H,0,0)</f>
        <v>2000</v>
      </c>
      <c r="CS103">
        <f>_xlfn.XLOOKUP(B103,'[9]november-2026'!$A:$A,'[9]november-2026'!$I:$I,0,0)</f>
        <v>0</v>
      </c>
      <c r="CT103">
        <f t="shared" si="334"/>
        <v>200</v>
      </c>
      <c r="CU103">
        <f t="shared" si="335"/>
        <v>41850</v>
      </c>
      <c r="CV103">
        <f>_xlfn.XLOOKUP(B103,'[10]december-2026'!$A:$A,'[10]december-2026'!$C:$C,0,0)</f>
        <v>33500</v>
      </c>
      <c r="CW103">
        <f t="shared" si="336"/>
        <v>6030</v>
      </c>
      <c r="CX103">
        <f t="shared" si="337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38"/>
        <v>44050</v>
      </c>
      <c r="DB103">
        <f>_xlfn.XLOOKUP(B103,'[10]december-2026'!$A:$A,'[10]december-2026'!$H:$H,0,0)</f>
        <v>2000</v>
      </c>
      <c r="DC103">
        <f>_xlfn.XLOOKUP(B103,'[10]december-2026'!$A:$A,'[10]december-2026'!$I:$I,0,0)</f>
        <v>0</v>
      </c>
      <c r="DD103">
        <f t="shared" si="339"/>
        <v>200</v>
      </c>
      <c r="DE103">
        <f t="shared" si="340"/>
        <v>41850</v>
      </c>
      <c r="DF103">
        <f xml:space="preserve"> _xlfn.XLOOKUP(B103,
'[11]january-2027'!$A:$A,
'[11]january-2027'!$C:$C,
0,0)</f>
        <v>33500</v>
      </c>
      <c r="DG103">
        <f t="shared" si="341"/>
        <v>6030</v>
      </c>
      <c r="DH103">
        <f t="shared" si="342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3"/>
        <v>44050</v>
      </c>
      <c r="DL103">
        <f xml:space="preserve"> _xlfn.XLOOKUP(B103,
'[11]january-2027'!$A:$A,
'[11]january-2027'!$H:$H,
0,0)</f>
        <v>2000</v>
      </c>
      <c r="DM103">
        <f xml:space="preserve"> _xlfn.XLOOKUP(B103,
'[11]january-2027'!$A:$A,
'[11]january-2027'!$I:$I,
0,0)</f>
        <v>0</v>
      </c>
      <c r="DN103">
        <f t="shared" si="344"/>
        <v>200</v>
      </c>
      <c r="DO103">
        <f t="shared" si="345"/>
        <v>41850</v>
      </c>
      <c r="DP103">
        <f xml:space="preserve"> _xlfn.XLOOKUP(B103,
'[12]february-2027'!$A:$A,
'[12]february-2027'!$C:$C,
0,0)</f>
        <v>33500</v>
      </c>
      <c r="DQ103">
        <f t="shared" si="346"/>
        <v>6030</v>
      </c>
      <c r="DR103">
        <f t="shared" si="347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48"/>
        <v>44050</v>
      </c>
      <c r="DV103">
        <f xml:space="preserve"> _xlfn.XLOOKUP(B103,
'[12]february-2027'!$A:$A,
'[12]february-2027'!$H:$H,
0,0)</f>
        <v>2000</v>
      </c>
      <c r="DW103">
        <f xml:space="preserve"> _xlfn.XLOOKUP(B103,
'[12]february-2027'!$A:$A,
'[12]february-2027'!$I:$I,
0,0)</f>
        <v>0</v>
      </c>
      <c r="DX103">
        <f t="shared" si="349"/>
        <v>200</v>
      </c>
      <c r="DY103">
        <f t="shared" si="350"/>
        <v>41850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1"/>
        <v>0</v>
      </c>
      <c r="EM103">
        <f t="shared" si="352"/>
        <v>530301</v>
      </c>
      <c r="EN103">
        <f t="shared" si="353"/>
        <v>2400</v>
      </c>
      <c r="EO103">
        <f t="shared" si="354"/>
        <v>50000</v>
      </c>
      <c r="EP103">
        <v>0</v>
      </c>
      <c r="EQ103">
        <f t="shared" si="355"/>
        <v>477901</v>
      </c>
      <c r="ER103">
        <f t="shared" si="356"/>
        <v>24000</v>
      </c>
      <c r="ES103">
        <f t="shared" si="357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58"/>
        <v>24000</v>
      </c>
      <c r="FE103">
        <f t="shared" si="359"/>
        <v>24000</v>
      </c>
      <c r="FF103">
        <f t="shared" si="360"/>
        <v>453901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>SUM(FG103:FM103)+(IF(F103="YES",50000,0))</f>
        <v>0</v>
      </c>
      <c r="FO103">
        <f t="shared" si="361"/>
        <v>453901</v>
      </c>
      <c r="FP103">
        <f t="shared" si="362"/>
        <v>10195</v>
      </c>
      <c r="FQ103">
        <f t="shared" si="363"/>
        <v>0</v>
      </c>
      <c r="FR103">
        <f t="shared" si="364"/>
        <v>10195</v>
      </c>
      <c r="FS103">
        <f t="shared" si="365"/>
        <v>0</v>
      </c>
      <c r="FT103">
        <f t="shared" si="366"/>
        <v>0</v>
      </c>
      <c r="FU103">
        <f t="shared" si="367"/>
        <v>0</v>
      </c>
      <c r="FV103">
        <v>0</v>
      </c>
      <c r="FW103">
        <f t="shared" si="368"/>
        <v>0</v>
      </c>
      <c r="FX103" t="b">
        <f t="shared" si="369"/>
        <v>1</v>
      </c>
      <c r="FY103">
        <f t="shared" ca="1" si="370"/>
        <v>924</v>
      </c>
      <c r="FZ103">
        <f t="shared" ca="1" si="371"/>
        <v>531225</v>
      </c>
      <c r="GA103">
        <f t="shared" si="372"/>
        <v>75000</v>
      </c>
      <c r="GB103">
        <f t="shared" ca="1" si="373"/>
        <v>456225</v>
      </c>
      <c r="GC103">
        <f t="shared" ca="1" si="374"/>
        <v>0</v>
      </c>
      <c r="GD103">
        <f t="shared" ca="1" si="375"/>
        <v>0</v>
      </c>
      <c r="GE103">
        <f t="shared" ca="1" si="376"/>
        <v>0</v>
      </c>
      <c r="GF103">
        <f t="shared" ca="1" si="377"/>
        <v>0</v>
      </c>
      <c r="GG103">
        <f t="shared" ca="1" si="378"/>
        <v>0</v>
      </c>
      <c r="GH103">
        <f t="shared" ca="1" si="379"/>
        <v>0</v>
      </c>
      <c r="GI103">
        <f ca="1">IF(GB103&gt;1200000,GB103-1200000-IF(F103="YES",50000,0)-GG103,0)</f>
        <v>0</v>
      </c>
      <c r="GJ103">
        <f t="shared" ca="1" si="380"/>
        <v>0</v>
      </c>
      <c r="GK103">
        <f t="shared" ca="1" si="381"/>
        <v>0</v>
      </c>
      <c r="GL103">
        <f t="shared" ca="1" si="382"/>
        <v>0</v>
      </c>
      <c r="GM103">
        <f t="shared" ca="1" si="383"/>
        <v>56225</v>
      </c>
      <c r="GN103">
        <f t="shared" ca="1" si="384"/>
        <v>2811.25</v>
      </c>
      <c r="GO103">
        <f t="shared" ca="1" si="385"/>
        <v>2811</v>
      </c>
      <c r="GP103">
        <f t="shared" ca="1" si="386"/>
        <v>0</v>
      </c>
      <c r="GQ103">
        <f t="shared" ca="1" si="387"/>
        <v>0</v>
      </c>
      <c r="GR103">
        <f t="shared" ca="1" si="388"/>
        <v>2811</v>
      </c>
      <c r="GS103">
        <f t="shared" ca="1" si="389"/>
        <v>0</v>
      </c>
      <c r="GT103" t="b">
        <f t="shared" ca="1" si="390"/>
        <v>0</v>
      </c>
      <c r="GU103">
        <f t="shared" ca="1" si="391"/>
        <v>0</v>
      </c>
      <c r="GV103">
        <f t="shared" ca="1" si="392"/>
        <v>2811</v>
      </c>
      <c r="GW103">
        <f t="shared" ca="1" si="393"/>
        <v>0</v>
      </c>
      <c r="GX103">
        <f t="shared" ca="1" si="394"/>
        <v>0</v>
      </c>
      <c r="GY103">
        <f t="shared" ca="1" si="395"/>
        <v>0</v>
      </c>
    </row>
    <row r="104" spans="1:207" x14ac:dyDescent="0.25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1"/>
        <v>6800</v>
      </c>
      <c r="I104">
        <f>_xlfn.XLOOKUP(B104,'[1]march-2026'!$A:$A,'[1]march-2026'!$C:$C,0,0)</f>
        <v>34500</v>
      </c>
      <c r="J104">
        <f t="shared" si="396"/>
        <v>6210</v>
      </c>
      <c r="K104">
        <f t="shared" si="292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3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4"/>
        <v>200</v>
      </c>
      <c r="R104">
        <f t="shared" si="295"/>
        <v>42650</v>
      </c>
      <c r="S104">
        <f>_xlfn.XLOOKUP(B104,'[2]april-2026'!$A:$A,'[2]april-2026'!$C:$C,0,0)</f>
        <v>34500</v>
      </c>
      <c r="T104">
        <f t="shared" si="296"/>
        <v>6210</v>
      </c>
      <c r="U104">
        <f t="shared" si="297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298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299"/>
        <v>200</v>
      </c>
      <c r="AB104">
        <f t="shared" si="300"/>
        <v>42650</v>
      </c>
      <c r="AC104">
        <f>_xlfn.XLOOKUP(B104,'[3]may-2026'!$A:$A,'[3]may-2026'!$C:$C,0,0)</f>
        <v>34500</v>
      </c>
      <c r="AD104">
        <f t="shared" si="301"/>
        <v>6210</v>
      </c>
      <c r="AE104">
        <f t="shared" si="302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3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4"/>
        <v>200</v>
      </c>
      <c r="AL104">
        <f t="shared" si="305"/>
        <v>42650</v>
      </c>
      <c r="AM104">
        <f>_xlfn.XLOOKUP(B104,'[4]june-2026'!$A:$A,'[4]june-2026'!$C:$C,0,0)</f>
        <v>34500</v>
      </c>
      <c r="AN104">
        <f t="shared" si="306"/>
        <v>6210</v>
      </c>
      <c r="AO104">
        <f t="shared" si="307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08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09"/>
        <v>200</v>
      </c>
      <c r="AV104">
        <f t="shared" si="310"/>
        <v>42650</v>
      </c>
      <c r="AW104">
        <f>_xlfn.XLOOKUP(B104,'[5]july-2026'!$A:$A,'[5]july-2026'!$C:$C,0,0)</f>
        <v>35500</v>
      </c>
      <c r="AX104">
        <f t="shared" si="311"/>
        <v>6390</v>
      </c>
      <c r="AY104">
        <v>102</v>
      </c>
      <c r="AZ104">
        <f t="shared" si="312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3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4"/>
        <v>200</v>
      </c>
      <c r="BG104">
        <f t="shared" si="315"/>
        <v>44052</v>
      </c>
      <c r="BH104">
        <f>_xlfn.XLOOKUP(B104,'[6]august-2026'!$A:$A,'[6]august-2026'!$C:$C,0,0)</f>
        <v>35500</v>
      </c>
      <c r="BI104">
        <f t="shared" si="316"/>
        <v>6390</v>
      </c>
      <c r="BJ104">
        <f t="shared" si="317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18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19"/>
        <v>200</v>
      </c>
      <c r="BQ104">
        <f t="shared" si="320"/>
        <v>43950</v>
      </c>
      <c r="BR104">
        <f>_xlfn.XLOOKUP(B104,'[7]september-2026'!$A:$A,'[7]september-2026'!$C:$C,0,0)</f>
        <v>35500</v>
      </c>
      <c r="BS104">
        <f t="shared" si="321"/>
        <v>6390</v>
      </c>
      <c r="BT104">
        <f t="shared" si="322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3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4"/>
        <v>200</v>
      </c>
      <c r="CA104">
        <f t="shared" si="325"/>
        <v>43950</v>
      </c>
      <c r="CB104">
        <f>_xlfn.XLOOKUP(B104,'[8]october-2026'!$A:$A,'[8]october-2026'!$C:$C,0,0)</f>
        <v>35500</v>
      </c>
      <c r="CC104">
        <f t="shared" si="326"/>
        <v>6390</v>
      </c>
      <c r="CD104">
        <f t="shared" si="327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28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29"/>
        <v>200</v>
      </c>
      <c r="CK104">
        <f t="shared" si="330"/>
        <v>43950</v>
      </c>
      <c r="CL104">
        <f>_xlfn.XLOOKUP(B104,'[9]november-2026'!$A:$A,'[9]november-2026'!$C:$C,0,0)</f>
        <v>35500</v>
      </c>
      <c r="CM104">
        <f t="shared" si="331"/>
        <v>6390</v>
      </c>
      <c r="CN104">
        <f t="shared" si="332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3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4"/>
        <v>200</v>
      </c>
      <c r="CU104">
        <f t="shared" si="335"/>
        <v>43950</v>
      </c>
      <c r="CV104">
        <f>_xlfn.XLOOKUP(B104,'[10]december-2026'!$A:$A,'[10]december-2026'!$C:$C,0,0)</f>
        <v>35500</v>
      </c>
      <c r="CW104">
        <f t="shared" si="336"/>
        <v>6390</v>
      </c>
      <c r="CX104">
        <f t="shared" si="337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38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39"/>
        <v>200</v>
      </c>
      <c r="DE104">
        <f t="shared" si="340"/>
        <v>43950</v>
      </c>
      <c r="DF104">
        <f xml:space="preserve"> _xlfn.XLOOKUP(B104,
'[11]january-2027'!$A:$A,
'[11]january-2027'!$C:$C,
0,0)</f>
        <v>35500</v>
      </c>
      <c r="DG104">
        <f t="shared" si="341"/>
        <v>6390</v>
      </c>
      <c r="DH104">
        <f t="shared" si="342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3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4"/>
        <v>200</v>
      </c>
      <c r="DO104">
        <f t="shared" si="345"/>
        <v>43950</v>
      </c>
      <c r="DP104">
        <f xml:space="preserve"> _xlfn.XLOOKUP(B104,
'[12]february-2027'!$A:$A,
'[12]february-2027'!$C:$C,
0,0)</f>
        <v>35500</v>
      </c>
      <c r="DQ104">
        <f t="shared" si="346"/>
        <v>6390</v>
      </c>
      <c r="DR104">
        <f t="shared" si="347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48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49"/>
        <v>200</v>
      </c>
      <c r="DY104">
        <f t="shared" si="350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1"/>
        <v>0</v>
      </c>
      <c r="EM104">
        <f t="shared" si="352"/>
        <v>561502</v>
      </c>
      <c r="EN104">
        <f t="shared" si="353"/>
        <v>2400</v>
      </c>
      <c r="EO104">
        <f t="shared" si="354"/>
        <v>50000</v>
      </c>
      <c r="EP104">
        <v>0</v>
      </c>
      <c r="EQ104">
        <f t="shared" si="355"/>
        <v>509102</v>
      </c>
      <c r="ER104">
        <f t="shared" si="356"/>
        <v>30000</v>
      </c>
      <c r="ES104">
        <f t="shared" si="357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58"/>
        <v>30000</v>
      </c>
      <c r="FE104">
        <f t="shared" si="359"/>
        <v>30000</v>
      </c>
      <c r="FF104">
        <f t="shared" si="360"/>
        <v>479102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>SUM(FG104:FM104)+(IF(F104="YES",50000,0))</f>
        <v>0</v>
      </c>
      <c r="FO104">
        <f t="shared" si="361"/>
        <v>479102</v>
      </c>
      <c r="FP104">
        <f t="shared" si="362"/>
        <v>11455</v>
      </c>
      <c r="FQ104">
        <f t="shared" si="363"/>
        <v>0</v>
      </c>
      <c r="FR104">
        <f t="shared" si="364"/>
        <v>11455</v>
      </c>
      <c r="FS104">
        <f t="shared" si="365"/>
        <v>0</v>
      </c>
      <c r="FT104">
        <f t="shared" si="366"/>
        <v>0</v>
      </c>
      <c r="FU104">
        <f t="shared" si="367"/>
        <v>0</v>
      </c>
      <c r="FV104">
        <v>0</v>
      </c>
      <c r="FW104">
        <f t="shared" si="368"/>
        <v>0</v>
      </c>
      <c r="FX104" t="b">
        <f t="shared" si="369"/>
        <v>1</v>
      </c>
      <c r="FY104">
        <f t="shared" ca="1" si="370"/>
        <v>741</v>
      </c>
      <c r="FZ104">
        <f t="shared" ca="1" si="371"/>
        <v>562243</v>
      </c>
      <c r="GA104">
        <f t="shared" si="372"/>
        <v>75000</v>
      </c>
      <c r="GB104">
        <f t="shared" ca="1" si="373"/>
        <v>487243</v>
      </c>
      <c r="GC104">
        <f t="shared" ca="1" si="374"/>
        <v>0</v>
      </c>
      <c r="GD104">
        <f t="shared" ca="1" si="375"/>
        <v>0</v>
      </c>
      <c r="GE104">
        <f t="shared" ca="1" si="376"/>
        <v>0</v>
      </c>
      <c r="GF104">
        <f t="shared" ca="1" si="377"/>
        <v>0</v>
      </c>
      <c r="GG104">
        <f t="shared" ca="1" si="378"/>
        <v>0</v>
      </c>
      <c r="GH104">
        <f t="shared" ca="1" si="379"/>
        <v>0</v>
      </c>
      <c r="GI104">
        <f ca="1">IF(GB104&gt;1200000,GB104-1200000-IF(F104="YES",50000,0)-GG104,0)</f>
        <v>0</v>
      </c>
      <c r="GJ104">
        <f t="shared" ca="1" si="380"/>
        <v>0</v>
      </c>
      <c r="GK104">
        <f t="shared" ca="1" si="381"/>
        <v>0</v>
      </c>
      <c r="GL104">
        <f t="shared" ca="1" si="382"/>
        <v>0</v>
      </c>
      <c r="GM104">
        <f t="shared" ca="1" si="383"/>
        <v>87243</v>
      </c>
      <c r="GN104">
        <f t="shared" ca="1" si="384"/>
        <v>4362.1500000000005</v>
      </c>
      <c r="GO104">
        <f t="shared" ca="1" si="385"/>
        <v>4362</v>
      </c>
      <c r="GP104">
        <f t="shared" ca="1" si="386"/>
        <v>0</v>
      </c>
      <c r="GQ104">
        <f t="shared" ca="1" si="387"/>
        <v>0</v>
      </c>
      <c r="GR104">
        <f t="shared" ca="1" si="388"/>
        <v>4362</v>
      </c>
      <c r="GS104">
        <f t="shared" ca="1" si="389"/>
        <v>0</v>
      </c>
      <c r="GT104" t="b">
        <f t="shared" ca="1" si="390"/>
        <v>0</v>
      </c>
      <c r="GU104">
        <f t="shared" ca="1" si="391"/>
        <v>0</v>
      </c>
      <c r="GV104">
        <f t="shared" ca="1" si="392"/>
        <v>4362</v>
      </c>
      <c r="GW104">
        <f t="shared" ca="1" si="393"/>
        <v>0</v>
      </c>
      <c r="GX104">
        <f t="shared" ca="1" si="394"/>
        <v>0</v>
      </c>
      <c r="GY104">
        <f t="shared" ca="1" si="395"/>
        <v>0</v>
      </c>
    </row>
    <row r="105" spans="1:207" x14ac:dyDescent="0.25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1"/>
        <v>6800</v>
      </c>
      <c r="I105">
        <f>_xlfn.XLOOKUP(B105,'[1]march-2026'!$A:$A,'[1]march-2026'!$C:$C,0,0)</f>
        <v>51700</v>
      </c>
      <c r="J105">
        <f t="shared" si="396"/>
        <v>9306</v>
      </c>
      <c r="K105">
        <f t="shared" si="292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3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4"/>
        <v>200</v>
      </c>
      <c r="R105">
        <f t="shared" si="295"/>
        <v>62850</v>
      </c>
      <c r="S105">
        <f>_xlfn.XLOOKUP(B105,'[2]april-2026'!$A:$A,'[2]april-2026'!$C:$C,0,0)</f>
        <v>51700</v>
      </c>
      <c r="T105">
        <f t="shared" si="296"/>
        <v>9306</v>
      </c>
      <c r="U105">
        <f t="shared" si="297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298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299"/>
        <v>200</v>
      </c>
      <c r="AB105">
        <f t="shared" si="300"/>
        <v>62850</v>
      </c>
      <c r="AC105">
        <f>_xlfn.XLOOKUP(B105,'[3]may-2026'!$A:$A,'[3]may-2026'!$C:$C,0,0)</f>
        <v>51700</v>
      </c>
      <c r="AD105">
        <f t="shared" si="301"/>
        <v>9306</v>
      </c>
      <c r="AE105">
        <f t="shared" si="302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3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4"/>
        <v>200</v>
      </c>
      <c r="AL105">
        <f t="shared" si="305"/>
        <v>62850</v>
      </c>
      <c r="AM105">
        <f>_xlfn.XLOOKUP(B105,'[4]june-2026'!$A:$A,'[4]june-2026'!$C:$C,0,0)</f>
        <v>51700</v>
      </c>
      <c r="AN105">
        <f t="shared" si="306"/>
        <v>9306</v>
      </c>
      <c r="AO105">
        <f t="shared" si="307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08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09"/>
        <v>200</v>
      </c>
      <c r="AV105">
        <f t="shared" si="310"/>
        <v>62850</v>
      </c>
      <c r="AW105">
        <f>_xlfn.XLOOKUP(B105,'[5]july-2026'!$A:$A,'[5]july-2026'!$C:$C,0,0)</f>
        <v>53300</v>
      </c>
      <c r="AX105">
        <f t="shared" si="311"/>
        <v>9594</v>
      </c>
      <c r="AY105">
        <v>103</v>
      </c>
      <c r="AZ105">
        <f t="shared" si="312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3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4"/>
        <v>200</v>
      </c>
      <c r="BG105">
        <f t="shared" si="315"/>
        <v>65033</v>
      </c>
      <c r="BH105">
        <f>_xlfn.XLOOKUP(B105,'[6]august-2026'!$A:$A,'[6]august-2026'!$C:$C,0,0)</f>
        <v>53300</v>
      </c>
      <c r="BI105">
        <f t="shared" si="316"/>
        <v>9594</v>
      </c>
      <c r="BJ105">
        <f t="shared" si="317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18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19"/>
        <v>200</v>
      </c>
      <c r="BQ105">
        <f t="shared" si="320"/>
        <v>64930</v>
      </c>
      <c r="BR105">
        <f>_xlfn.XLOOKUP(B105,'[7]september-2026'!$A:$A,'[7]september-2026'!$C:$C,0,0)</f>
        <v>53300</v>
      </c>
      <c r="BS105">
        <f t="shared" si="321"/>
        <v>9594</v>
      </c>
      <c r="BT105">
        <f t="shared" si="322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3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4"/>
        <v>200</v>
      </c>
      <c r="CA105">
        <f t="shared" si="325"/>
        <v>64930</v>
      </c>
      <c r="CB105">
        <f>_xlfn.XLOOKUP(B105,'[8]october-2026'!$A:$A,'[8]october-2026'!$C:$C,0,0)</f>
        <v>53300</v>
      </c>
      <c r="CC105">
        <f t="shared" si="326"/>
        <v>9594</v>
      </c>
      <c r="CD105">
        <f t="shared" si="327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28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29"/>
        <v>200</v>
      </c>
      <c r="CK105">
        <f t="shared" si="330"/>
        <v>64930</v>
      </c>
      <c r="CL105">
        <f>_xlfn.XLOOKUP(B105,'[9]november-2026'!$A:$A,'[9]november-2026'!$C:$C,0,0)</f>
        <v>53300</v>
      </c>
      <c r="CM105">
        <f t="shared" si="331"/>
        <v>9594</v>
      </c>
      <c r="CN105">
        <f t="shared" si="332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3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4"/>
        <v>200</v>
      </c>
      <c r="CU105">
        <f t="shared" si="335"/>
        <v>64930</v>
      </c>
      <c r="CV105">
        <f>_xlfn.XLOOKUP(B105,'[10]december-2026'!$A:$A,'[10]december-2026'!$C:$C,0,0)</f>
        <v>53300</v>
      </c>
      <c r="CW105">
        <f t="shared" si="336"/>
        <v>9594</v>
      </c>
      <c r="CX105">
        <f t="shared" si="337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38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39"/>
        <v>200</v>
      </c>
      <c r="DE105">
        <f t="shared" si="340"/>
        <v>64930</v>
      </c>
      <c r="DF105">
        <f xml:space="preserve"> _xlfn.XLOOKUP(B105,
'[11]january-2027'!$A:$A,
'[11]january-2027'!$C:$C,
0,0)</f>
        <v>53300</v>
      </c>
      <c r="DG105">
        <f t="shared" si="341"/>
        <v>9594</v>
      </c>
      <c r="DH105">
        <f t="shared" si="342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3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4"/>
        <v>200</v>
      </c>
      <c r="DO105">
        <f t="shared" si="345"/>
        <v>64930</v>
      </c>
      <c r="DP105">
        <f xml:space="preserve"> _xlfn.XLOOKUP(B105,
'[12]february-2027'!$A:$A,
'[12]february-2027'!$C:$C,
0,0)</f>
        <v>53300</v>
      </c>
      <c r="DQ105">
        <f t="shared" si="346"/>
        <v>9594</v>
      </c>
      <c r="DR105">
        <f t="shared" si="347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48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49"/>
        <v>200</v>
      </c>
      <c r="DY105">
        <f t="shared" si="350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1"/>
        <v>0</v>
      </c>
      <c r="EM105">
        <f t="shared" si="352"/>
        <v>840863</v>
      </c>
      <c r="EN105">
        <f t="shared" si="353"/>
        <v>2400</v>
      </c>
      <c r="EO105">
        <f t="shared" si="354"/>
        <v>50000</v>
      </c>
      <c r="EP105">
        <v>0</v>
      </c>
      <c r="EQ105">
        <f t="shared" si="355"/>
        <v>788463</v>
      </c>
      <c r="ER105">
        <f t="shared" si="356"/>
        <v>60000</v>
      </c>
      <c r="ES105">
        <f t="shared" si="357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58"/>
        <v>60720</v>
      </c>
      <c r="FE105">
        <f t="shared" si="359"/>
        <v>60720</v>
      </c>
      <c r="FF105">
        <f t="shared" si="360"/>
        <v>727743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>SUM(FG105:FM105)+(IF(F105="YES",50000,0))</f>
        <v>0</v>
      </c>
      <c r="FO105">
        <f t="shared" si="361"/>
        <v>727743</v>
      </c>
      <c r="FP105">
        <f t="shared" si="362"/>
        <v>12500</v>
      </c>
      <c r="FQ105">
        <f t="shared" si="363"/>
        <v>45549</v>
      </c>
      <c r="FR105">
        <f t="shared" si="364"/>
        <v>58049</v>
      </c>
      <c r="FS105">
        <f t="shared" si="365"/>
        <v>58049</v>
      </c>
      <c r="FT105">
        <f t="shared" si="366"/>
        <v>2321.96</v>
      </c>
      <c r="FU105">
        <f t="shared" si="367"/>
        <v>60371</v>
      </c>
      <c r="FV105">
        <v>0</v>
      </c>
      <c r="FW105">
        <f t="shared" si="368"/>
        <v>60371</v>
      </c>
      <c r="FX105" t="b">
        <f t="shared" si="369"/>
        <v>1</v>
      </c>
      <c r="FY105">
        <f t="shared" ca="1" si="370"/>
        <v>720</v>
      </c>
      <c r="FZ105">
        <f t="shared" ca="1" si="371"/>
        <v>841583</v>
      </c>
      <c r="GA105">
        <f t="shared" si="372"/>
        <v>75000</v>
      </c>
      <c r="GB105">
        <f t="shared" ca="1" si="373"/>
        <v>766583</v>
      </c>
      <c r="GC105">
        <f t="shared" ca="1" si="374"/>
        <v>0</v>
      </c>
      <c r="GD105">
        <f t="shared" ca="1" si="375"/>
        <v>0</v>
      </c>
      <c r="GE105">
        <f t="shared" ca="1" si="376"/>
        <v>0</v>
      </c>
      <c r="GF105">
        <f t="shared" ca="1" si="377"/>
        <v>0</v>
      </c>
      <c r="GG105">
        <f t="shared" ca="1" si="378"/>
        <v>0</v>
      </c>
      <c r="GH105">
        <f t="shared" ca="1" si="379"/>
        <v>0</v>
      </c>
      <c r="GI105">
        <f ca="1">IF(GB105&gt;1200000,GB105-1200000-IF(F105="YES",50000,0)-GG105,0)</f>
        <v>0</v>
      </c>
      <c r="GJ105">
        <f t="shared" ca="1" si="380"/>
        <v>0</v>
      </c>
      <c r="GK105">
        <f t="shared" ca="1" si="381"/>
        <v>0</v>
      </c>
      <c r="GL105">
        <f t="shared" ca="1" si="382"/>
        <v>0</v>
      </c>
      <c r="GM105">
        <f t="shared" ca="1" si="383"/>
        <v>366583</v>
      </c>
      <c r="GN105">
        <f t="shared" ca="1" si="384"/>
        <v>18329.150000000001</v>
      </c>
      <c r="GO105">
        <f t="shared" ca="1" si="385"/>
        <v>18329</v>
      </c>
      <c r="GP105">
        <f t="shared" ca="1" si="386"/>
        <v>0</v>
      </c>
      <c r="GQ105">
        <f t="shared" ca="1" si="387"/>
        <v>0</v>
      </c>
      <c r="GR105">
        <f t="shared" ca="1" si="388"/>
        <v>18329</v>
      </c>
      <c r="GS105">
        <f t="shared" ca="1" si="389"/>
        <v>0</v>
      </c>
      <c r="GT105" t="b">
        <f t="shared" ca="1" si="390"/>
        <v>0</v>
      </c>
      <c r="GU105">
        <f t="shared" ca="1" si="391"/>
        <v>0</v>
      </c>
      <c r="GV105">
        <f t="shared" ca="1" si="392"/>
        <v>18329</v>
      </c>
      <c r="GW105">
        <f t="shared" ca="1" si="393"/>
        <v>0</v>
      </c>
      <c r="GX105">
        <f t="shared" ca="1" si="394"/>
        <v>0</v>
      </c>
      <c r="GY105">
        <f t="shared" ca="1" si="395"/>
        <v>0</v>
      </c>
    </row>
    <row r="106" spans="1:207" x14ac:dyDescent="0.25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1"/>
        <v>6800</v>
      </c>
      <c r="I106">
        <f>_xlfn.XLOOKUP(B106,'[1]march-2026'!$A:$A,'[1]march-2026'!$C:$C,0,0)</f>
        <v>32500</v>
      </c>
      <c r="J106">
        <f t="shared" si="396"/>
        <v>5850</v>
      </c>
      <c r="K106">
        <f t="shared" si="292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3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4"/>
        <v>200</v>
      </c>
      <c r="R106">
        <f t="shared" si="295"/>
        <v>40550</v>
      </c>
      <c r="S106">
        <f>_xlfn.XLOOKUP(B106,'[2]april-2026'!$A:$A,'[2]april-2026'!$C:$C,0,0)</f>
        <v>32500</v>
      </c>
      <c r="T106">
        <f t="shared" si="296"/>
        <v>5850</v>
      </c>
      <c r="U106">
        <f t="shared" si="297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298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299"/>
        <v>200</v>
      </c>
      <c r="AB106">
        <f t="shared" si="300"/>
        <v>40550</v>
      </c>
      <c r="AC106">
        <f>_xlfn.XLOOKUP(B106,'[3]may-2026'!$A:$A,'[3]may-2026'!$C:$C,0,0)</f>
        <v>32500</v>
      </c>
      <c r="AD106">
        <f t="shared" si="301"/>
        <v>5850</v>
      </c>
      <c r="AE106">
        <f t="shared" si="302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3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4"/>
        <v>200</v>
      </c>
      <c r="AL106">
        <f t="shared" si="305"/>
        <v>40550</v>
      </c>
      <c r="AM106">
        <f>_xlfn.XLOOKUP(B106,'[4]june-2026'!$A:$A,'[4]june-2026'!$C:$C,0,0)</f>
        <v>32500</v>
      </c>
      <c r="AN106">
        <f t="shared" si="306"/>
        <v>5850</v>
      </c>
      <c r="AO106">
        <f t="shared" si="307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08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09"/>
        <v>200</v>
      </c>
      <c r="AV106">
        <f t="shared" si="310"/>
        <v>40550</v>
      </c>
      <c r="AW106">
        <f>_xlfn.XLOOKUP(B106,'[5]july-2026'!$A:$A,'[5]july-2026'!$C:$C,0,0)</f>
        <v>33500</v>
      </c>
      <c r="AX106">
        <f t="shared" si="311"/>
        <v>6030</v>
      </c>
      <c r="AY106">
        <v>104</v>
      </c>
      <c r="AZ106">
        <f t="shared" si="312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3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4"/>
        <v>200</v>
      </c>
      <c r="BG106">
        <f t="shared" si="315"/>
        <v>41954</v>
      </c>
      <c r="BH106">
        <f>_xlfn.XLOOKUP(B106,'[6]august-2026'!$A:$A,'[6]august-2026'!$C:$C,0,0)</f>
        <v>33500</v>
      </c>
      <c r="BI106">
        <f t="shared" si="316"/>
        <v>6030</v>
      </c>
      <c r="BJ106">
        <f t="shared" si="317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18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19"/>
        <v>200</v>
      </c>
      <c r="BQ106">
        <f t="shared" si="320"/>
        <v>41850</v>
      </c>
      <c r="BR106">
        <f>_xlfn.XLOOKUP(B106,'[7]september-2026'!$A:$A,'[7]september-2026'!$C:$C,0,0)</f>
        <v>33500</v>
      </c>
      <c r="BS106">
        <f t="shared" si="321"/>
        <v>6030</v>
      </c>
      <c r="BT106">
        <f t="shared" si="322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3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4"/>
        <v>200</v>
      </c>
      <c r="CA106">
        <f t="shared" si="325"/>
        <v>41850</v>
      </c>
      <c r="CB106">
        <f>_xlfn.XLOOKUP(B106,'[8]october-2026'!$A:$A,'[8]october-2026'!$C:$C,0,0)</f>
        <v>33500</v>
      </c>
      <c r="CC106">
        <f t="shared" si="326"/>
        <v>6030</v>
      </c>
      <c r="CD106">
        <f t="shared" si="327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28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29"/>
        <v>200</v>
      </c>
      <c r="CK106">
        <f t="shared" si="330"/>
        <v>41850</v>
      </c>
      <c r="CL106">
        <f>_xlfn.XLOOKUP(B106,'[9]november-2026'!$A:$A,'[9]november-2026'!$C:$C,0,0)</f>
        <v>33500</v>
      </c>
      <c r="CM106">
        <f t="shared" si="331"/>
        <v>6030</v>
      </c>
      <c r="CN106">
        <f t="shared" si="332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3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4"/>
        <v>200</v>
      </c>
      <c r="CU106">
        <f t="shared" si="335"/>
        <v>41850</v>
      </c>
      <c r="CV106">
        <f>_xlfn.XLOOKUP(B106,'[10]december-2026'!$A:$A,'[10]december-2026'!$C:$C,0,0)</f>
        <v>33500</v>
      </c>
      <c r="CW106">
        <f t="shared" si="336"/>
        <v>6030</v>
      </c>
      <c r="CX106">
        <f t="shared" si="337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38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39"/>
        <v>200</v>
      </c>
      <c r="DE106">
        <f t="shared" si="340"/>
        <v>41850</v>
      </c>
      <c r="DF106">
        <f xml:space="preserve"> _xlfn.XLOOKUP(B106,
'[11]january-2027'!$A:$A,
'[11]january-2027'!$C:$C,
0,0)</f>
        <v>33500</v>
      </c>
      <c r="DG106">
        <f t="shared" si="341"/>
        <v>6030</v>
      </c>
      <c r="DH106">
        <f t="shared" si="342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3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4"/>
        <v>200</v>
      </c>
      <c r="DO106">
        <f t="shared" si="345"/>
        <v>41850</v>
      </c>
      <c r="DP106">
        <f xml:space="preserve"> _xlfn.XLOOKUP(B106,
'[12]february-2027'!$A:$A,
'[12]february-2027'!$C:$C,
0,0)</f>
        <v>33500</v>
      </c>
      <c r="DQ106">
        <f t="shared" si="346"/>
        <v>6030</v>
      </c>
      <c r="DR106">
        <f t="shared" si="347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48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49"/>
        <v>200</v>
      </c>
      <c r="DY106">
        <f t="shared" si="350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1"/>
        <v>0</v>
      </c>
      <c r="EM106">
        <f t="shared" si="352"/>
        <v>530304</v>
      </c>
      <c r="EN106">
        <f t="shared" si="353"/>
        <v>2400</v>
      </c>
      <c r="EO106">
        <f t="shared" si="354"/>
        <v>50000</v>
      </c>
      <c r="EP106">
        <v>0</v>
      </c>
      <c r="EQ106">
        <f t="shared" si="355"/>
        <v>477904</v>
      </c>
      <c r="ER106">
        <f t="shared" si="356"/>
        <v>24000</v>
      </c>
      <c r="ES106">
        <f t="shared" si="357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58"/>
        <v>24000</v>
      </c>
      <c r="FE106">
        <f t="shared" si="359"/>
        <v>24000</v>
      </c>
      <c r="FF106">
        <f t="shared" si="360"/>
        <v>453904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>SUM(FG106:FM106)+(IF(F106="YES",50000,0))</f>
        <v>0</v>
      </c>
      <c r="FO106">
        <f t="shared" si="361"/>
        <v>453904</v>
      </c>
      <c r="FP106">
        <f t="shared" si="362"/>
        <v>10195</v>
      </c>
      <c r="FQ106">
        <f t="shared" si="363"/>
        <v>0</v>
      </c>
      <c r="FR106">
        <f t="shared" si="364"/>
        <v>10195</v>
      </c>
      <c r="FS106">
        <f t="shared" si="365"/>
        <v>0</v>
      </c>
      <c r="FT106">
        <f t="shared" si="366"/>
        <v>0</v>
      </c>
      <c r="FU106">
        <f t="shared" si="367"/>
        <v>0</v>
      </c>
      <c r="FV106">
        <v>0</v>
      </c>
      <c r="FW106">
        <f t="shared" si="368"/>
        <v>0</v>
      </c>
      <c r="FX106" t="b">
        <f t="shared" si="369"/>
        <v>1</v>
      </c>
      <c r="FY106">
        <f t="shared" ca="1" si="370"/>
        <v>800</v>
      </c>
      <c r="FZ106">
        <f t="shared" ca="1" si="371"/>
        <v>531104</v>
      </c>
      <c r="GA106">
        <f t="shared" si="372"/>
        <v>75000</v>
      </c>
      <c r="GB106">
        <f t="shared" ca="1" si="373"/>
        <v>456104</v>
      </c>
      <c r="GC106">
        <f t="shared" ca="1" si="374"/>
        <v>0</v>
      </c>
      <c r="GD106">
        <f t="shared" ca="1" si="375"/>
        <v>0</v>
      </c>
      <c r="GE106">
        <f t="shared" ca="1" si="376"/>
        <v>0</v>
      </c>
      <c r="GF106">
        <f t="shared" ca="1" si="377"/>
        <v>0</v>
      </c>
      <c r="GG106">
        <f t="shared" ca="1" si="378"/>
        <v>0</v>
      </c>
      <c r="GH106">
        <f t="shared" ca="1" si="379"/>
        <v>0</v>
      </c>
      <c r="GI106">
        <f ca="1">IF(GB106&gt;1200000,GB106-1200000-IF(F106="YES",50000,0)-GG106,0)</f>
        <v>0</v>
      </c>
      <c r="GJ106">
        <f t="shared" ca="1" si="380"/>
        <v>0</v>
      </c>
      <c r="GK106">
        <f t="shared" ca="1" si="381"/>
        <v>0</v>
      </c>
      <c r="GL106">
        <f t="shared" ca="1" si="382"/>
        <v>0</v>
      </c>
      <c r="GM106">
        <f t="shared" ca="1" si="383"/>
        <v>56104</v>
      </c>
      <c r="GN106">
        <f t="shared" ca="1" si="384"/>
        <v>2805.2000000000003</v>
      </c>
      <c r="GO106">
        <f t="shared" ca="1" si="385"/>
        <v>2805</v>
      </c>
      <c r="GP106">
        <f t="shared" ca="1" si="386"/>
        <v>0</v>
      </c>
      <c r="GQ106">
        <f t="shared" ca="1" si="387"/>
        <v>0</v>
      </c>
      <c r="GR106">
        <f t="shared" ca="1" si="388"/>
        <v>2805</v>
      </c>
      <c r="GS106">
        <f t="shared" ca="1" si="389"/>
        <v>0</v>
      </c>
      <c r="GT106" t="b">
        <f t="shared" ca="1" si="390"/>
        <v>0</v>
      </c>
      <c r="GU106">
        <f t="shared" ca="1" si="391"/>
        <v>0</v>
      </c>
      <c r="GV106">
        <f t="shared" ca="1" si="392"/>
        <v>2805</v>
      </c>
      <c r="GW106">
        <f t="shared" ca="1" si="393"/>
        <v>0</v>
      </c>
      <c r="GX106">
        <f t="shared" ca="1" si="394"/>
        <v>0</v>
      </c>
      <c r="GY106">
        <f t="shared" ca="1" si="395"/>
        <v>0</v>
      </c>
    </row>
    <row r="107" spans="1:207" x14ac:dyDescent="0.25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1"/>
        <v>6800</v>
      </c>
      <c r="I107">
        <f>_xlfn.XLOOKUP(B107,'[1]march-2026'!$A:$A,'[1]march-2026'!$C:$C,0,0)</f>
        <v>26200</v>
      </c>
      <c r="J107">
        <f t="shared" si="396"/>
        <v>4716</v>
      </c>
      <c r="K107">
        <f t="shared" si="292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3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4"/>
        <v>150</v>
      </c>
      <c r="R107">
        <f t="shared" si="295"/>
        <v>32410</v>
      </c>
      <c r="S107">
        <f>_xlfn.XLOOKUP(B107,'[2]april-2026'!$A:$A,'[2]april-2026'!$C:$C,0,0)</f>
        <v>26200</v>
      </c>
      <c r="T107">
        <f t="shared" si="296"/>
        <v>4716</v>
      </c>
      <c r="U107">
        <f t="shared" si="297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298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299"/>
        <v>150</v>
      </c>
      <c r="AB107">
        <f t="shared" si="300"/>
        <v>32410</v>
      </c>
      <c r="AC107">
        <f>_xlfn.XLOOKUP(B107,'[3]may-2026'!$A:$A,'[3]may-2026'!$C:$C,0,0)</f>
        <v>26200</v>
      </c>
      <c r="AD107">
        <f t="shared" si="301"/>
        <v>4716</v>
      </c>
      <c r="AE107">
        <f t="shared" si="302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3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4"/>
        <v>150</v>
      </c>
      <c r="AL107">
        <f t="shared" si="305"/>
        <v>32410</v>
      </c>
      <c r="AM107">
        <f>_xlfn.XLOOKUP(B107,'[4]june-2026'!$A:$A,'[4]june-2026'!$C:$C,0,0)</f>
        <v>26200</v>
      </c>
      <c r="AN107">
        <f t="shared" si="306"/>
        <v>4716</v>
      </c>
      <c r="AO107">
        <f t="shared" si="307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08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09"/>
        <v>150</v>
      </c>
      <c r="AV107">
        <f t="shared" si="310"/>
        <v>32410</v>
      </c>
      <c r="AW107">
        <f>_xlfn.XLOOKUP(B107,'[5]july-2026'!$A:$A,'[5]july-2026'!$C:$C,0,0)</f>
        <v>27000</v>
      </c>
      <c r="AX107">
        <f t="shared" si="311"/>
        <v>4860</v>
      </c>
      <c r="AY107">
        <v>105</v>
      </c>
      <c r="AZ107">
        <f t="shared" si="312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3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4"/>
        <v>150</v>
      </c>
      <c r="BG107">
        <f t="shared" si="315"/>
        <v>33555</v>
      </c>
      <c r="BH107">
        <f>_xlfn.XLOOKUP(B107,'[6]august-2026'!$A:$A,'[6]august-2026'!$C:$C,0,0)</f>
        <v>27000</v>
      </c>
      <c r="BI107">
        <f t="shared" si="316"/>
        <v>4860</v>
      </c>
      <c r="BJ107">
        <f t="shared" si="317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18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19"/>
        <v>150</v>
      </c>
      <c r="BQ107">
        <f t="shared" si="320"/>
        <v>33450</v>
      </c>
      <c r="BR107">
        <f>_xlfn.XLOOKUP(B107,'[7]september-2026'!$A:$A,'[7]september-2026'!$C:$C,0,0)</f>
        <v>27000</v>
      </c>
      <c r="BS107">
        <f t="shared" si="321"/>
        <v>4860</v>
      </c>
      <c r="BT107">
        <f t="shared" si="322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3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4"/>
        <v>150</v>
      </c>
      <c r="CA107">
        <f t="shared" si="325"/>
        <v>33450</v>
      </c>
      <c r="CB107">
        <f>_xlfn.XLOOKUP(B107,'[8]october-2026'!$A:$A,'[8]october-2026'!$C:$C,0,0)</f>
        <v>27000</v>
      </c>
      <c r="CC107">
        <f t="shared" si="326"/>
        <v>4860</v>
      </c>
      <c r="CD107">
        <f t="shared" si="327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28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29"/>
        <v>150</v>
      </c>
      <c r="CK107">
        <f t="shared" si="330"/>
        <v>33450</v>
      </c>
      <c r="CL107">
        <f>_xlfn.XLOOKUP(B107,'[9]november-2026'!$A:$A,'[9]november-2026'!$C:$C,0,0)</f>
        <v>27000</v>
      </c>
      <c r="CM107">
        <f t="shared" si="331"/>
        <v>4860</v>
      </c>
      <c r="CN107">
        <f t="shared" si="332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3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4"/>
        <v>150</v>
      </c>
      <c r="CU107">
        <f t="shared" si="335"/>
        <v>33450</v>
      </c>
      <c r="CV107">
        <f>_xlfn.XLOOKUP(B107,'[10]december-2026'!$A:$A,'[10]december-2026'!$C:$C,0,0)</f>
        <v>27000</v>
      </c>
      <c r="CW107">
        <f t="shared" si="336"/>
        <v>4860</v>
      </c>
      <c r="CX107">
        <f t="shared" si="337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38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39"/>
        <v>150</v>
      </c>
      <c r="DE107">
        <f t="shared" si="340"/>
        <v>33450</v>
      </c>
      <c r="DF107">
        <f xml:space="preserve"> _xlfn.XLOOKUP(B107,
'[11]january-2027'!$A:$A,
'[11]january-2027'!$C:$C,
0,0)</f>
        <v>27000</v>
      </c>
      <c r="DG107">
        <f t="shared" si="341"/>
        <v>4860</v>
      </c>
      <c r="DH107">
        <f t="shared" si="342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3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4"/>
        <v>150</v>
      </c>
      <c r="DO107">
        <f t="shared" si="345"/>
        <v>33450</v>
      </c>
      <c r="DP107">
        <f xml:space="preserve"> _xlfn.XLOOKUP(B107,
'[12]february-2027'!$A:$A,
'[12]february-2027'!$C:$C,
0,0)</f>
        <v>27000</v>
      </c>
      <c r="DQ107">
        <f t="shared" si="346"/>
        <v>4860</v>
      </c>
      <c r="DR107">
        <f t="shared" si="347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48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49"/>
        <v>150</v>
      </c>
      <c r="DY107">
        <f t="shared" si="350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1"/>
        <v>0</v>
      </c>
      <c r="EM107">
        <f t="shared" si="352"/>
        <v>429945</v>
      </c>
      <c r="EN107">
        <f t="shared" si="353"/>
        <v>1800</v>
      </c>
      <c r="EO107">
        <f t="shared" si="354"/>
        <v>50000</v>
      </c>
      <c r="EP107">
        <v>0</v>
      </c>
      <c r="EQ107">
        <f t="shared" si="355"/>
        <v>378145</v>
      </c>
      <c r="ER107">
        <f t="shared" si="356"/>
        <v>24000</v>
      </c>
      <c r="ES107">
        <f t="shared" si="357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58"/>
        <v>24000</v>
      </c>
      <c r="FE107">
        <f t="shared" si="359"/>
        <v>24000</v>
      </c>
      <c r="FF107">
        <f t="shared" si="360"/>
        <v>354145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>SUM(FG107:FM107)+(IF(F107="YES",50000,0))</f>
        <v>0</v>
      </c>
      <c r="FO107">
        <f t="shared" si="361"/>
        <v>354145</v>
      </c>
      <c r="FP107">
        <f t="shared" si="362"/>
        <v>5207</v>
      </c>
      <c r="FQ107">
        <f t="shared" si="363"/>
        <v>0</v>
      </c>
      <c r="FR107">
        <f t="shared" si="364"/>
        <v>5207</v>
      </c>
      <c r="FS107">
        <f t="shared" si="365"/>
        <v>0</v>
      </c>
      <c r="FT107">
        <f t="shared" si="366"/>
        <v>0</v>
      </c>
      <c r="FU107">
        <f t="shared" si="367"/>
        <v>0</v>
      </c>
      <c r="FV107">
        <v>0</v>
      </c>
      <c r="FW107">
        <f t="shared" si="368"/>
        <v>0</v>
      </c>
      <c r="FX107" t="b">
        <f t="shared" si="369"/>
        <v>0</v>
      </c>
      <c r="FY107">
        <f t="shared" ca="1" si="370"/>
        <v>2226</v>
      </c>
      <c r="FZ107">
        <f t="shared" ca="1" si="371"/>
        <v>432171</v>
      </c>
      <c r="GA107">
        <f t="shared" si="372"/>
        <v>75000</v>
      </c>
      <c r="GB107">
        <f t="shared" ca="1" si="373"/>
        <v>357171</v>
      </c>
      <c r="GC107">
        <f t="shared" ca="1" si="374"/>
        <v>0</v>
      </c>
      <c r="GD107">
        <f t="shared" ca="1" si="375"/>
        <v>0</v>
      </c>
      <c r="GE107">
        <f t="shared" ca="1" si="376"/>
        <v>0</v>
      </c>
      <c r="GF107">
        <f t="shared" ca="1" si="377"/>
        <v>0</v>
      </c>
      <c r="GG107">
        <f t="shared" ca="1" si="378"/>
        <v>0</v>
      </c>
      <c r="GH107">
        <f t="shared" ca="1" si="379"/>
        <v>0</v>
      </c>
      <c r="GI107">
        <f ca="1">IF(GB107&gt;1200000,GB107-1200000-IF(F107="YES",50000,0)-GG107,0)</f>
        <v>0</v>
      </c>
      <c r="GJ107">
        <f t="shared" ca="1" si="380"/>
        <v>0</v>
      </c>
      <c r="GK107">
        <f t="shared" ca="1" si="381"/>
        <v>0</v>
      </c>
      <c r="GL107">
        <f t="shared" ca="1" si="382"/>
        <v>0</v>
      </c>
      <c r="GM107">
        <f t="shared" ca="1" si="383"/>
        <v>0</v>
      </c>
      <c r="GN107">
        <f t="shared" ca="1" si="384"/>
        <v>0</v>
      </c>
      <c r="GO107">
        <f t="shared" ca="1" si="385"/>
        <v>0</v>
      </c>
      <c r="GP107">
        <f t="shared" ca="1" si="386"/>
        <v>0</v>
      </c>
      <c r="GQ107">
        <f t="shared" ca="1" si="387"/>
        <v>0</v>
      </c>
      <c r="GR107">
        <f t="shared" ca="1" si="388"/>
        <v>0</v>
      </c>
      <c r="GS107">
        <f t="shared" ca="1" si="389"/>
        <v>0</v>
      </c>
      <c r="GT107" t="b">
        <f t="shared" ca="1" si="390"/>
        <v>0</v>
      </c>
      <c r="GU107">
        <f t="shared" ca="1" si="391"/>
        <v>0</v>
      </c>
      <c r="GV107">
        <f t="shared" ca="1" si="392"/>
        <v>0</v>
      </c>
      <c r="GW107">
        <f t="shared" ca="1" si="393"/>
        <v>0</v>
      </c>
      <c r="GX107">
        <f t="shared" ca="1" si="394"/>
        <v>0</v>
      </c>
      <c r="GY107">
        <f t="shared" ca="1" si="395"/>
        <v>0</v>
      </c>
    </row>
    <row r="108" spans="1:207" x14ac:dyDescent="0.25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1"/>
        <v>6800</v>
      </c>
      <c r="I108">
        <f>_xlfn.XLOOKUP(B108,'[1]march-2026'!$A:$A,'[1]march-2026'!$C:$C,0,0)</f>
        <v>35500</v>
      </c>
      <c r="J108">
        <f t="shared" si="396"/>
        <v>6390</v>
      </c>
      <c r="K108">
        <f t="shared" si="292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3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4"/>
        <v>200</v>
      </c>
      <c r="R108">
        <f t="shared" si="295"/>
        <v>42850</v>
      </c>
      <c r="S108">
        <f>_xlfn.XLOOKUP(B108,'[2]april-2026'!$A:$A,'[2]april-2026'!$C:$C,0,0)</f>
        <v>35500</v>
      </c>
      <c r="T108">
        <f t="shared" si="296"/>
        <v>6390</v>
      </c>
      <c r="U108">
        <f t="shared" si="297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298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299"/>
        <v>200</v>
      </c>
      <c r="AB108">
        <f t="shared" si="300"/>
        <v>42850</v>
      </c>
      <c r="AC108">
        <f>_xlfn.XLOOKUP(B108,'[3]may-2026'!$A:$A,'[3]may-2026'!$C:$C,0,0)</f>
        <v>35500</v>
      </c>
      <c r="AD108">
        <f t="shared" si="301"/>
        <v>6390</v>
      </c>
      <c r="AE108">
        <f t="shared" si="302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3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4"/>
        <v>200</v>
      </c>
      <c r="AL108">
        <f t="shared" si="305"/>
        <v>42850</v>
      </c>
      <c r="AM108">
        <f>_xlfn.XLOOKUP(B108,'[4]june-2026'!$A:$A,'[4]june-2026'!$C:$C,0,0)</f>
        <v>35500</v>
      </c>
      <c r="AN108">
        <f t="shared" si="306"/>
        <v>6390</v>
      </c>
      <c r="AO108">
        <f t="shared" si="307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08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09"/>
        <v>200</v>
      </c>
      <c r="AV108">
        <f t="shared" si="310"/>
        <v>42850</v>
      </c>
      <c r="AW108">
        <f>_xlfn.XLOOKUP(B108,'[5]july-2026'!$A:$A,'[5]july-2026'!$C:$C,0,0)</f>
        <v>36600</v>
      </c>
      <c r="AX108">
        <f t="shared" si="311"/>
        <v>6588</v>
      </c>
      <c r="AY108">
        <v>106</v>
      </c>
      <c r="AZ108">
        <f t="shared" si="312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3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4"/>
        <v>200</v>
      </c>
      <c r="BG108">
        <f t="shared" si="315"/>
        <v>44386</v>
      </c>
      <c r="BH108">
        <f>_xlfn.XLOOKUP(B108,'[6]august-2026'!$A:$A,'[6]august-2026'!$C:$C,0,0)</f>
        <v>36600</v>
      </c>
      <c r="BI108">
        <f t="shared" si="316"/>
        <v>6588</v>
      </c>
      <c r="BJ108">
        <f t="shared" si="317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18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19"/>
        <v>200</v>
      </c>
      <c r="BQ108">
        <f t="shared" si="320"/>
        <v>44280</v>
      </c>
      <c r="BR108">
        <f>_xlfn.XLOOKUP(B108,'[7]september-2026'!$A:$A,'[7]september-2026'!$C:$C,0,0)</f>
        <v>36600</v>
      </c>
      <c r="BS108">
        <f t="shared" si="321"/>
        <v>6588</v>
      </c>
      <c r="BT108">
        <f t="shared" si="322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3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4"/>
        <v>200</v>
      </c>
      <c r="CA108">
        <f t="shared" si="325"/>
        <v>44280</v>
      </c>
      <c r="CB108">
        <f>_xlfn.XLOOKUP(B108,'[8]october-2026'!$A:$A,'[8]october-2026'!$C:$C,0,0)</f>
        <v>36600</v>
      </c>
      <c r="CC108">
        <f t="shared" si="326"/>
        <v>6588</v>
      </c>
      <c r="CD108">
        <f t="shared" si="327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28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29"/>
        <v>200</v>
      </c>
      <c r="CK108">
        <f t="shared" si="330"/>
        <v>44280</v>
      </c>
      <c r="CL108">
        <f>_xlfn.XLOOKUP(B108,'[9]november-2026'!$A:$A,'[9]november-2026'!$C:$C,0,0)</f>
        <v>36600</v>
      </c>
      <c r="CM108">
        <f t="shared" si="331"/>
        <v>6588</v>
      </c>
      <c r="CN108">
        <f t="shared" si="332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3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4"/>
        <v>200</v>
      </c>
      <c r="CU108">
        <f t="shared" si="335"/>
        <v>44280</v>
      </c>
      <c r="CV108">
        <f>_xlfn.XLOOKUP(B108,'[10]december-2026'!$A:$A,'[10]december-2026'!$C:$C,0,0)</f>
        <v>36600</v>
      </c>
      <c r="CW108">
        <f t="shared" si="336"/>
        <v>6588</v>
      </c>
      <c r="CX108">
        <f t="shared" si="337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38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39"/>
        <v>200</v>
      </c>
      <c r="DE108">
        <f t="shared" si="340"/>
        <v>44280</v>
      </c>
      <c r="DF108">
        <f xml:space="preserve"> _xlfn.XLOOKUP(B108,
'[11]january-2027'!$A:$A,
'[11]january-2027'!$C:$C,
0,0)</f>
        <v>36600</v>
      </c>
      <c r="DG108">
        <f t="shared" si="341"/>
        <v>6588</v>
      </c>
      <c r="DH108">
        <f t="shared" si="342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3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4"/>
        <v>200</v>
      </c>
      <c r="DO108">
        <f t="shared" si="345"/>
        <v>44280</v>
      </c>
      <c r="DP108">
        <f xml:space="preserve"> _xlfn.XLOOKUP(B108,
'[12]february-2027'!$A:$A,
'[12]february-2027'!$C:$C,
0,0)</f>
        <v>36600</v>
      </c>
      <c r="DQ108">
        <f t="shared" si="346"/>
        <v>6588</v>
      </c>
      <c r="DR108">
        <f t="shared" si="347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48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49"/>
        <v>200</v>
      </c>
      <c r="DY108">
        <f t="shared" si="350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1"/>
        <v>0</v>
      </c>
      <c r="EM108">
        <f t="shared" si="352"/>
        <v>582946</v>
      </c>
      <c r="EN108">
        <f t="shared" si="353"/>
        <v>2400</v>
      </c>
      <c r="EO108">
        <f t="shared" si="354"/>
        <v>50000</v>
      </c>
      <c r="EP108">
        <v>0</v>
      </c>
      <c r="EQ108">
        <f t="shared" si="355"/>
        <v>530546</v>
      </c>
      <c r="ER108">
        <f t="shared" si="356"/>
        <v>48000</v>
      </c>
      <c r="ES108">
        <f t="shared" si="357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58"/>
        <v>48000</v>
      </c>
      <c r="FE108">
        <f t="shared" si="359"/>
        <v>48000</v>
      </c>
      <c r="FF108">
        <f t="shared" si="360"/>
        <v>482546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>SUM(FG108:FM108)+(IF(F108="YES",50000,0))</f>
        <v>0</v>
      </c>
      <c r="FO108">
        <f t="shared" si="361"/>
        <v>482546</v>
      </c>
      <c r="FP108">
        <f t="shared" si="362"/>
        <v>11627</v>
      </c>
      <c r="FQ108">
        <f t="shared" si="363"/>
        <v>0</v>
      </c>
      <c r="FR108">
        <f t="shared" si="364"/>
        <v>11627</v>
      </c>
      <c r="FS108">
        <f t="shared" si="365"/>
        <v>0</v>
      </c>
      <c r="FT108">
        <f t="shared" si="366"/>
        <v>0</v>
      </c>
      <c r="FU108">
        <f t="shared" si="367"/>
        <v>0</v>
      </c>
      <c r="FV108">
        <v>0</v>
      </c>
      <c r="FW108">
        <f t="shared" si="368"/>
        <v>0</v>
      </c>
      <c r="FX108" t="b">
        <f t="shared" si="369"/>
        <v>1</v>
      </c>
      <c r="FY108">
        <f t="shared" ca="1" si="370"/>
        <v>580</v>
      </c>
      <c r="FZ108">
        <f t="shared" ca="1" si="371"/>
        <v>583526</v>
      </c>
      <c r="GA108">
        <f t="shared" si="372"/>
        <v>75000</v>
      </c>
      <c r="GB108">
        <f t="shared" ca="1" si="373"/>
        <v>508526</v>
      </c>
      <c r="GC108">
        <f t="shared" ca="1" si="374"/>
        <v>0</v>
      </c>
      <c r="GD108">
        <f t="shared" ca="1" si="375"/>
        <v>0</v>
      </c>
      <c r="GE108">
        <f t="shared" ca="1" si="376"/>
        <v>0</v>
      </c>
      <c r="GF108">
        <f t="shared" ca="1" si="377"/>
        <v>0</v>
      </c>
      <c r="GG108">
        <f t="shared" ca="1" si="378"/>
        <v>0</v>
      </c>
      <c r="GH108">
        <f t="shared" ca="1" si="379"/>
        <v>0</v>
      </c>
      <c r="GI108">
        <f ca="1">IF(GB108&gt;1200000,GB108-1200000-IF(F108="YES",50000,0)-GG108,0)</f>
        <v>0</v>
      </c>
      <c r="GJ108">
        <f t="shared" ca="1" si="380"/>
        <v>0</v>
      </c>
      <c r="GK108">
        <f t="shared" ca="1" si="381"/>
        <v>0</v>
      </c>
      <c r="GL108">
        <f t="shared" ca="1" si="382"/>
        <v>0</v>
      </c>
      <c r="GM108">
        <f t="shared" ca="1" si="383"/>
        <v>108526</v>
      </c>
      <c r="GN108">
        <f t="shared" ca="1" si="384"/>
        <v>5426.3</v>
      </c>
      <c r="GO108">
        <f t="shared" ca="1" si="385"/>
        <v>5426</v>
      </c>
      <c r="GP108">
        <f t="shared" ca="1" si="386"/>
        <v>0</v>
      </c>
      <c r="GQ108">
        <f t="shared" ca="1" si="387"/>
        <v>0</v>
      </c>
      <c r="GR108">
        <f t="shared" ca="1" si="388"/>
        <v>5426</v>
      </c>
      <c r="GS108">
        <f t="shared" ca="1" si="389"/>
        <v>0</v>
      </c>
      <c r="GT108" t="b">
        <f t="shared" ca="1" si="390"/>
        <v>0</v>
      </c>
      <c r="GU108">
        <f t="shared" ca="1" si="391"/>
        <v>0</v>
      </c>
      <c r="GV108">
        <f t="shared" ca="1" si="392"/>
        <v>5426</v>
      </c>
      <c r="GW108">
        <f t="shared" ca="1" si="393"/>
        <v>0</v>
      </c>
      <c r="GX108">
        <f t="shared" ca="1" si="394"/>
        <v>0</v>
      </c>
      <c r="GY108">
        <f t="shared" ca="1" si="395"/>
        <v>0</v>
      </c>
    </row>
    <row r="109" spans="1:207" x14ac:dyDescent="0.25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1"/>
        <v>6800</v>
      </c>
      <c r="I109">
        <f>_xlfn.XLOOKUP(B109,'[1]march-2026'!$A:$A,'[1]march-2026'!$C:$C,0,0)</f>
        <v>35500</v>
      </c>
      <c r="J109">
        <f t="shared" si="396"/>
        <v>6390</v>
      </c>
      <c r="K109">
        <f t="shared" si="292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3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4"/>
        <v>200</v>
      </c>
      <c r="R109">
        <f t="shared" si="295"/>
        <v>42450</v>
      </c>
      <c r="S109">
        <f>_xlfn.XLOOKUP(B109,'[2]april-2026'!$A:$A,'[2]april-2026'!$C:$C,0,0)</f>
        <v>35500</v>
      </c>
      <c r="T109">
        <f t="shared" si="296"/>
        <v>6390</v>
      </c>
      <c r="U109">
        <f t="shared" si="297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298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299"/>
        <v>200</v>
      </c>
      <c r="AB109">
        <f t="shared" si="300"/>
        <v>42450</v>
      </c>
      <c r="AC109">
        <f>_xlfn.XLOOKUP(B109,'[3]may-2026'!$A:$A,'[3]may-2026'!$C:$C,0,0)</f>
        <v>35500</v>
      </c>
      <c r="AD109">
        <f t="shared" si="301"/>
        <v>6390</v>
      </c>
      <c r="AE109">
        <f t="shared" si="302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3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4"/>
        <v>200</v>
      </c>
      <c r="AL109">
        <f t="shared" si="305"/>
        <v>42450</v>
      </c>
      <c r="AM109">
        <f>_xlfn.XLOOKUP(B109,'[4]june-2026'!$A:$A,'[4]june-2026'!$C:$C,0,0)</f>
        <v>35500</v>
      </c>
      <c r="AN109">
        <f t="shared" si="306"/>
        <v>6390</v>
      </c>
      <c r="AO109">
        <f t="shared" si="307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08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09"/>
        <v>200</v>
      </c>
      <c r="AV109">
        <f t="shared" si="310"/>
        <v>42450</v>
      </c>
      <c r="AW109">
        <f>_xlfn.XLOOKUP(B109,'[5]july-2026'!$A:$A,'[5]july-2026'!$C:$C,0,0)</f>
        <v>36600</v>
      </c>
      <c r="AX109">
        <f t="shared" si="311"/>
        <v>6588</v>
      </c>
      <c r="AY109">
        <v>107</v>
      </c>
      <c r="AZ109">
        <f t="shared" si="312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3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4"/>
        <v>200</v>
      </c>
      <c r="BG109">
        <f t="shared" si="315"/>
        <v>43987</v>
      </c>
      <c r="BH109">
        <f>_xlfn.XLOOKUP(B109,'[6]august-2026'!$A:$A,'[6]august-2026'!$C:$C,0,0)</f>
        <v>36600</v>
      </c>
      <c r="BI109">
        <f t="shared" si="316"/>
        <v>6588</v>
      </c>
      <c r="BJ109">
        <f t="shared" si="317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18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19"/>
        <v>200</v>
      </c>
      <c r="BQ109">
        <f t="shared" si="320"/>
        <v>43880</v>
      </c>
      <c r="BR109">
        <f>_xlfn.XLOOKUP(B109,'[7]september-2026'!$A:$A,'[7]september-2026'!$C:$C,0,0)</f>
        <v>36600</v>
      </c>
      <c r="BS109">
        <f t="shared" si="321"/>
        <v>6588</v>
      </c>
      <c r="BT109">
        <f t="shared" si="322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3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4"/>
        <v>200</v>
      </c>
      <c r="CA109">
        <f t="shared" si="325"/>
        <v>43880</v>
      </c>
      <c r="CB109">
        <f>_xlfn.XLOOKUP(B109,'[8]october-2026'!$A:$A,'[8]october-2026'!$C:$C,0,0)</f>
        <v>36600</v>
      </c>
      <c r="CC109">
        <f t="shared" si="326"/>
        <v>6588</v>
      </c>
      <c r="CD109">
        <f t="shared" si="327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28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29"/>
        <v>200</v>
      </c>
      <c r="CK109">
        <f t="shared" si="330"/>
        <v>43880</v>
      </c>
      <c r="CL109">
        <f>_xlfn.XLOOKUP(B109,'[9]november-2026'!$A:$A,'[9]november-2026'!$C:$C,0,0)</f>
        <v>36600</v>
      </c>
      <c r="CM109">
        <f t="shared" si="331"/>
        <v>6588</v>
      </c>
      <c r="CN109">
        <f t="shared" si="332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3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4"/>
        <v>200</v>
      </c>
      <c r="CU109">
        <f t="shared" si="335"/>
        <v>43880</v>
      </c>
      <c r="CV109">
        <f>_xlfn.XLOOKUP(B109,'[10]december-2026'!$A:$A,'[10]december-2026'!$C:$C,0,0)</f>
        <v>36600</v>
      </c>
      <c r="CW109">
        <f t="shared" si="336"/>
        <v>6588</v>
      </c>
      <c r="CX109">
        <f t="shared" si="337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38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39"/>
        <v>200</v>
      </c>
      <c r="DE109">
        <f t="shared" si="340"/>
        <v>43880</v>
      </c>
      <c r="DF109">
        <f xml:space="preserve"> _xlfn.XLOOKUP(B109,
'[11]january-2027'!$A:$A,
'[11]january-2027'!$C:$C,
0,0)</f>
        <v>36600</v>
      </c>
      <c r="DG109">
        <f t="shared" si="341"/>
        <v>6588</v>
      </c>
      <c r="DH109">
        <f t="shared" si="342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3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4"/>
        <v>200</v>
      </c>
      <c r="DO109">
        <f t="shared" si="345"/>
        <v>43880</v>
      </c>
      <c r="DP109">
        <f xml:space="preserve"> _xlfn.XLOOKUP(B109,
'[12]february-2027'!$A:$A,
'[12]february-2027'!$C:$C,
0,0)</f>
        <v>36600</v>
      </c>
      <c r="DQ109">
        <f t="shared" si="346"/>
        <v>6588</v>
      </c>
      <c r="DR109">
        <f t="shared" si="347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48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49"/>
        <v>200</v>
      </c>
      <c r="DY109">
        <f t="shared" si="350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1"/>
        <v>0</v>
      </c>
      <c r="EM109">
        <f t="shared" si="352"/>
        <v>578147</v>
      </c>
      <c r="EN109">
        <f t="shared" si="353"/>
        <v>2400</v>
      </c>
      <c r="EO109">
        <f t="shared" si="354"/>
        <v>50000</v>
      </c>
      <c r="EP109">
        <v>0</v>
      </c>
      <c r="EQ109">
        <f t="shared" si="355"/>
        <v>525747</v>
      </c>
      <c r="ER109">
        <f t="shared" si="356"/>
        <v>48000</v>
      </c>
      <c r="ES109">
        <f t="shared" si="357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58"/>
        <v>48000</v>
      </c>
      <c r="FE109">
        <f t="shared" si="359"/>
        <v>48000</v>
      </c>
      <c r="FF109">
        <f t="shared" si="360"/>
        <v>477747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>SUM(FG109:FM109)+(IF(F109="YES",50000,0))</f>
        <v>0</v>
      </c>
      <c r="FO109">
        <f t="shared" si="361"/>
        <v>477747</v>
      </c>
      <c r="FP109">
        <f t="shared" si="362"/>
        <v>11387</v>
      </c>
      <c r="FQ109">
        <f t="shared" si="363"/>
        <v>0</v>
      </c>
      <c r="FR109">
        <f t="shared" si="364"/>
        <v>11387</v>
      </c>
      <c r="FS109">
        <f t="shared" si="365"/>
        <v>0</v>
      </c>
      <c r="FT109">
        <f t="shared" si="366"/>
        <v>0</v>
      </c>
      <c r="FU109">
        <f t="shared" si="367"/>
        <v>0</v>
      </c>
      <c r="FV109">
        <v>0</v>
      </c>
      <c r="FW109">
        <f t="shared" si="368"/>
        <v>0</v>
      </c>
      <c r="FX109" t="b">
        <f t="shared" si="369"/>
        <v>1</v>
      </c>
      <c r="FY109">
        <f t="shared" ca="1" si="370"/>
        <v>1000</v>
      </c>
      <c r="FZ109">
        <f t="shared" ca="1" si="371"/>
        <v>579147</v>
      </c>
      <c r="GA109">
        <f t="shared" si="372"/>
        <v>75000</v>
      </c>
      <c r="GB109">
        <f t="shared" ca="1" si="373"/>
        <v>504147</v>
      </c>
      <c r="GC109">
        <f t="shared" ca="1" si="374"/>
        <v>0</v>
      </c>
      <c r="GD109">
        <f t="shared" ca="1" si="375"/>
        <v>0</v>
      </c>
      <c r="GE109">
        <f t="shared" ca="1" si="376"/>
        <v>0</v>
      </c>
      <c r="GF109">
        <f t="shared" ca="1" si="377"/>
        <v>0</v>
      </c>
      <c r="GG109">
        <f t="shared" ca="1" si="378"/>
        <v>0</v>
      </c>
      <c r="GH109">
        <f t="shared" ca="1" si="379"/>
        <v>0</v>
      </c>
      <c r="GI109">
        <f ca="1">IF(GB109&gt;1200000,GB109-1200000-IF(F109="YES",50000,0)-GG109,0)</f>
        <v>0</v>
      </c>
      <c r="GJ109">
        <f t="shared" ca="1" si="380"/>
        <v>0</v>
      </c>
      <c r="GK109">
        <f t="shared" ca="1" si="381"/>
        <v>0</v>
      </c>
      <c r="GL109">
        <f t="shared" ca="1" si="382"/>
        <v>0</v>
      </c>
      <c r="GM109">
        <f t="shared" ca="1" si="383"/>
        <v>104147</v>
      </c>
      <c r="GN109">
        <f t="shared" ca="1" si="384"/>
        <v>5207.3500000000004</v>
      </c>
      <c r="GO109">
        <f t="shared" ca="1" si="385"/>
        <v>5207</v>
      </c>
      <c r="GP109">
        <f t="shared" ca="1" si="386"/>
        <v>0</v>
      </c>
      <c r="GQ109">
        <f t="shared" ca="1" si="387"/>
        <v>0</v>
      </c>
      <c r="GR109">
        <f t="shared" ca="1" si="388"/>
        <v>5207</v>
      </c>
      <c r="GS109">
        <f t="shared" ca="1" si="389"/>
        <v>0</v>
      </c>
      <c r="GT109" t="b">
        <f t="shared" ca="1" si="390"/>
        <v>0</v>
      </c>
      <c r="GU109">
        <f t="shared" ca="1" si="391"/>
        <v>0</v>
      </c>
      <c r="GV109">
        <f t="shared" ca="1" si="392"/>
        <v>5207</v>
      </c>
      <c r="GW109">
        <f t="shared" ca="1" si="393"/>
        <v>0</v>
      </c>
      <c r="GX109">
        <f t="shared" ca="1" si="394"/>
        <v>0</v>
      </c>
      <c r="GY109">
        <f t="shared" ca="1" si="395"/>
        <v>0</v>
      </c>
    </row>
    <row r="110" spans="1:207" x14ac:dyDescent="0.25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1"/>
        <v>6800</v>
      </c>
      <c r="I110">
        <f>_xlfn.XLOOKUP(B110,'[1]march-2026'!$A:$A,'[1]march-2026'!$C:$C,0,0)</f>
        <v>32500</v>
      </c>
      <c r="J110">
        <f t="shared" si="396"/>
        <v>5850</v>
      </c>
      <c r="K110">
        <f t="shared" si="292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3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4"/>
        <v>200</v>
      </c>
      <c r="R110">
        <f t="shared" si="295"/>
        <v>40550</v>
      </c>
      <c r="S110">
        <f>_xlfn.XLOOKUP(B110,'[2]april-2026'!$A:$A,'[2]april-2026'!$C:$C,0,0)</f>
        <v>32500</v>
      </c>
      <c r="T110">
        <f t="shared" si="296"/>
        <v>5850</v>
      </c>
      <c r="U110">
        <f t="shared" si="297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298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299"/>
        <v>200</v>
      </c>
      <c r="AB110">
        <f t="shared" si="300"/>
        <v>40550</v>
      </c>
      <c r="AC110">
        <f>_xlfn.XLOOKUP(B110,'[3]may-2026'!$A:$A,'[3]may-2026'!$C:$C,0,0)</f>
        <v>32500</v>
      </c>
      <c r="AD110">
        <f t="shared" si="301"/>
        <v>5850</v>
      </c>
      <c r="AE110">
        <f t="shared" si="302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3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4"/>
        <v>200</v>
      </c>
      <c r="AL110">
        <f t="shared" si="305"/>
        <v>40550</v>
      </c>
      <c r="AM110">
        <f>_xlfn.XLOOKUP(B110,'[4]june-2026'!$A:$A,'[4]june-2026'!$C:$C,0,0)</f>
        <v>32500</v>
      </c>
      <c r="AN110">
        <f t="shared" si="306"/>
        <v>5850</v>
      </c>
      <c r="AO110">
        <f t="shared" si="307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08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09"/>
        <v>200</v>
      </c>
      <c r="AV110">
        <f t="shared" si="310"/>
        <v>40550</v>
      </c>
      <c r="AW110">
        <f>_xlfn.XLOOKUP(B110,'[5]july-2026'!$A:$A,'[5]july-2026'!$C:$C,0,0)</f>
        <v>33500</v>
      </c>
      <c r="AX110">
        <f t="shared" si="311"/>
        <v>6030</v>
      </c>
      <c r="AY110">
        <v>108</v>
      </c>
      <c r="AZ110">
        <f t="shared" si="312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3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4"/>
        <v>200</v>
      </c>
      <c r="BG110">
        <f t="shared" si="315"/>
        <v>41958</v>
      </c>
      <c r="BH110">
        <f>_xlfn.XLOOKUP(B110,'[6]august-2026'!$A:$A,'[6]august-2026'!$C:$C,0,0)</f>
        <v>33500</v>
      </c>
      <c r="BI110">
        <f t="shared" si="316"/>
        <v>6030</v>
      </c>
      <c r="BJ110">
        <f t="shared" si="317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18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19"/>
        <v>200</v>
      </c>
      <c r="BQ110">
        <f t="shared" si="320"/>
        <v>41850</v>
      </c>
      <c r="BR110">
        <f>_xlfn.XLOOKUP(B110,'[7]september-2026'!$A:$A,'[7]september-2026'!$C:$C,0,0)</f>
        <v>33500</v>
      </c>
      <c r="BS110">
        <f t="shared" si="321"/>
        <v>6030</v>
      </c>
      <c r="BT110">
        <f t="shared" si="322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3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4"/>
        <v>200</v>
      </c>
      <c r="CA110">
        <f t="shared" si="325"/>
        <v>41850</v>
      </c>
      <c r="CB110">
        <f>_xlfn.XLOOKUP(B110,'[8]october-2026'!$A:$A,'[8]october-2026'!$C:$C,0,0)</f>
        <v>33500</v>
      </c>
      <c r="CC110">
        <f t="shared" si="326"/>
        <v>6030</v>
      </c>
      <c r="CD110">
        <f t="shared" si="327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28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29"/>
        <v>200</v>
      </c>
      <c r="CK110">
        <f t="shared" si="330"/>
        <v>41850</v>
      </c>
      <c r="CL110">
        <f>_xlfn.XLOOKUP(B110,'[9]november-2026'!$A:$A,'[9]november-2026'!$C:$C,0,0)</f>
        <v>33500</v>
      </c>
      <c r="CM110">
        <f t="shared" si="331"/>
        <v>6030</v>
      </c>
      <c r="CN110">
        <f t="shared" si="332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3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4"/>
        <v>200</v>
      </c>
      <c r="CU110">
        <f t="shared" si="335"/>
        <v>41850</v>
      </c>
      <c r="CV110">
        <f>_xlfn.XLOOKUP(B110,'[10]december-2026'!$A:$A,'[10]december-2026'!$C:$C,0,0)</f>
        <v>33500</v>
      </c>
      <c r="CW110">
        <f t="shared" si="336"/>
        <v>6030</v>
      </c>
      <c r="CX110">
        <f t="shared" si="337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38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39"/>
        <v>200</v>
      </c>
      <c r="DE110">
        <f t="shared" si="340"/>
        <v>41850</v>
      </c>
      <c r="DF110">
        <f xml:space="preserve"> _xlfn.XLOOKUP(B110,
'[11]january-2027'!$A:$A,
'[11]january-2027'!$C:$C,
0,0)</f>
        <v>33500</v>
      </c>
      <c r="DG110">
        <f t="shared" si="341"/>
        <v>6030</v>
      </c>
      <c r="DH110">
        <f t="shared" si="342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3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4"/>
        <v>200</v>
      </c>
      <c r="DO110">
        <f t="shared" si="345"/>
        <v>41850</v>
      </c>
      <c r="DP110">
        <f xml:space="preserve"> _xlfn.XLOOKUP(B110,
'[12]february-2027'!$A:$A,
'[12]february-2027'!$C:$C,
0,0)</f>
        <v>33500</v>
      </c>
      <c r="DQ110">
        <f t="shared" si="346"/>
        <v>6030</v>
      </c>
      <c r="DR110">
        <f t="shared" si="347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48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49"/>
        <v>200</v>
      </c>
      <c r="DY110">
        <f t="shared" si="350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1"/>
        <v>0</v>
      </c>
      <c r="EM110">
        <f t="shared" si="352"/>
        <v>530308</v>
      </c>
      <c r="EN110">
        <f t="shared" si="353"/>
        <v>2400</v>
      </c>
      <c r="EO110">
        <f t="shared" si="354"/>
        <v>50000</v>
      </c>
      <c r="EP110">
        <v>0</v>
      </c>
      <c r="EQ110">
        <f t="shared" si="355"/>
        <v>477908</v>
      </c>
      <c r="ER110">
        <f t="shared" si="356"/>
        <v>24000</v>
      </c>
      <c r="ES110">
        <f t="shared" si="357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58"/>
        <v>24000</v>
      </c>
      <c r="FE110">
        <f t="shared" si="359"/>
        <v>24000</v>
      </c>
      <c r="FF110">
        <f t="shared" si="360"/>
        <v>453908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>SUM(FG110:FM110)+(IF(F110="YES",50000,0))</f>
        <v>0</v>
      </c>
      <c r="FO110">
        <f t="shared" si="361"/>
        <v>453908</v>
      </c>
      <c r="FP110">
        <f t="shared" si="362"/>
        <v>10195</v>
      </c>
      <c r="FQ110">
        <f t="shared" si="363"/>
        <v>0</v>
      </c>
      <c r="FR110">
        <f t="shared" si="364"/>
        <v>10195</v>
      </c>
      <c r="FS110">
        <f t="shared" si="365"/>
        <v>0</v>
      </c>
      <c r="FT110">
        <f t="shared" si="366"/>
        <v>0</v>
      </c>
      <c r="FU110">
        <f t="shared" si="367"/>
        <v>0</v>
      </c>
      <c r="FV110">
        <v>0</v>
      </c>
      <c r="FW110">
        <f t="shared" si="368"/>
        <v>0</v>
      </c>
      <c r="FX110" t="b">
        <f t="shared" si="369"/>
        <v>1</v>
      </c>
      <c r="FY110">
        <f t="shared" ca="1" si="370"/>
        <v>671</v>
      </c>
      <c r="FZ110">
        <f t="shared" ca="1" si="371"/>
        <v>530979</v>
      </c>
      <c r="GA110">
        <f t="shared" si="372"/>
        <v>75000</v>
      </c>
      <c r="GB110">
        <f t="shared" ca="1" si="373"/>
        <v>455979</v>
      </c>
      <c r="GC110">
        <f t="shared" ca="1" si="374"/>
        <v>0</v>
      </c>
      <c r="GD110">
        <f t="shared" ca="1" si="375"/>
        <v>0</v>
      </c>
      <c r="GE110">
        <f t="shared" ca="1" si="376"/>
        <v>0</v>
      </c>
      <c r="GF110">
        <f t="shared" ca="1" si="377"/>
        <v>0</v>
      </c>
      <c r="GG110">
        <f t="shared" ca="1" si="378"/>
        <v>0</v>
      </c>
      <c r="GH110">
        <f t="shared" ca="1" si="379"/>
        <v>0</v>
      </c>
      <c r="GI110">
        <f ca="1">IF(GB110&gt;1200000,GB110-1200000-IF(F110="YES",50000,0)-GG110,0)</f>
        <v>0</v>
      </c>
      <c r="GJ110">
        <f t="shared" ca="1" si="380"/>
        <v>0</v>
      </c>
      <c r="GK110">
        <f t="shared" ca="1" si="381"/>
        <v>0</v>
      </c>
      <c r="GL110">
        <f t="shared" ca="1" si="382"/>
        <v>0</v>
      </c>
      <c r="GM110">
        <f t="shared" ca="1" si="383"/>
        <v>55979</v>
      </c>
      <c r="GN110">
        <f t="shared" ca="1" si="384"/>
        <v>2798.9500000000003</v>
      </c>
      <c r="GO110">
        <f t="shared" ca="1" si="385"/>
        <v>2799</v>
      </c>
      <c r="GP110">
        <f t="shared" ca="1" si="386"/>
        <v>0</v>
      </c>
      <c r="GQ110">
        <f t="shared" ca="1" si="387"/>
        <v>0</v>
      </c>
      <c r="GR110">
        <f t="shared" ca="1" si="388"/>
        <v>2799</v>
      </c>
      <c r="GS110">
        <f t="shared" ca="1" si="389"/>
        <v>0</v>
      </c>
      <c r="GT110" t="b">
        <f t="shared" ca="1" si="390"/>
        <v>0</v>
      </c>
      <c r="GU110">
        <f t="shared" ca="1" si="391"/>
        <v>0</v>
      </c>
      <c r="GV110">
        <f t="shared" ca="1" si="392"/>
        <v>2799</v>
      </c>
      <c r="GW110">
        <f t="shared" ca="1" si="393"/>
        <v>0</v>
      </c>
      <c r="GX110">
        <f t="shared" ca="1" si="394"/>
        <v>0</v>
      </c>
      <c r="GY110">
        <f t="shared" ca="1" si="395"/>
        <v>0</v>
      </c>
    </row>
    <row r="111" spans="1:207" x14ac:dyDescent="0.25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1"/>
        <v>6800</v>
      </c>
      <c r="I111">
        <f>_xlfn.XLOOKUP(B111,'[1]march-2026'!$A:$A,'[1]march-2026'!$C:$C,0,0)</f>
        <v>29800</v>
      </c>
      <c r="J111">
        <f t="shared" si="396"/>
        <v>5364</v>
      </c>
      <c r="K111">
        <f t="shared" si="292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3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4"/>
        <v>150</v>
      </c>
      <c r="R111">
        <f t="shared" si="295"/>
        <v>37090</v>
      </c>
      <c r="S111">
        <f>_xlfn.XLOOKUP(B111,'[2]april-2026'!$A:$A,'[2]april-2026'!$C:$C,0,0)</f>
        <v>29800</v>
      </c>
      <c r="T111">
        <f t="shared" si="296"/>
        <v>5364</v>
      </c>
      <c r="U111">
        <f t="shared" si="297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298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299"/>
        <v>150</v>
      </c>
      <c r="AB111">
        <f t="shared" si="300"/>
        <v>37090</v>
      </c>
      <c r="AC111">
        <f>_xlfn.XLOOKUP(B111,'[3]may-2026'!$A:$A,'[3]may-2026'!$C:$C,0,0)</f>
        <v>29800</v>
      </c>
      <c r="AD111">
        <f t="shared" si="301"/>
        <v>5364</v>
      </c>
      <c r="AE111">
        <f t="shared" si="302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3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4"/>
        <v>150</v>
      </c>
      <c r="AL111">
        <f t="shared" si="305"/>
        <v>37090</v>
      </c>
      <c r="AM111">
        <f>_xlfn.XLOOKUP(B111,'[4]june-2026'!$A:$A,'[4]june-2026'!$C:$C,0,0)</f>
        <v>29800</v>
      </c>
      <c r="AN111">
        <f t="shared" si="306"/>
        <v>5364</v>
      </c>
      <c r="AO111">
        <f t="shared" si="307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08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09"/>
        <v>150</v>
      </c>
      <c r="AV111">
        <f t="shared" si="310"/>
        <v>37090</v>
      </c>
      <c r="AW111">
        <f>_xlfn.XLOOKUP(B111,'[5]july-2026'!$A:$A,'[5]july-2026'!$C:$C,0,0)</f>
        <v>30700</v>
      </c>
      <c r="AX111">
        <f t="shared" si="311"/>
        <v>5526</v>
      </c>
      <c r="AY111">
        <v>109</v>
      </c>
      <c r="AZ111">
        <f t="shared" si="312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3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4"/>
        <v>200</v>
      </c>
      <c r="BG111">
        <f t="shared" si="315"/>
        <v>38319</v>
      </c>
      <c r="BH111">
        <f>_xlfn.XLOOKUP(B111,'[6]august-2026'!$A:$A,'[6]august-2026'!$C:$C,0,0)</f>
        <v>30700</v>
      </c>
      <c r="BI111">
        <f t="shared" si="316"/>
        <v>5526</v>
      </c>
      <c r="BJ111">
        <f t="shared" si="317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18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19"/>
        <v>200</v>
      </c>
      <c r="BQ111">
        <f t="shared" si="320"/>
        <v>38210</v>
      </c>
      <c r="BR111">
        <f>_xlfn.XLOOKUP(B111,'[7]september-2026'!$A:$A,'[7]september-2026'!$C:$C,0,0)</f>
        <v>30700</v>
      </c>
      <c r="BS111">
        <f t="shared" si="321"/>
        <v>5526</v>
      </c>
      <c r="BT111">
        <f t="shared" si="322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3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4"/>
        <v>200</v>
      </c>
      <c r="CA111">
        <f t="shared" si="325"/>
        <v>38210</v>
      </c>
      <c r="CB111">
        <f>_xlfn.XLOOKUP(B111,'[8]october-2026'!$A:$A,'[8]october-2026'!$C:$C,0,0)</f>
        <v>30700</v>
      </c>
      <c r="CC111">
        <f t="shared" si="326"/>
        <v>5526</v>
      </c>
      <c r="CD111">
        <f t="shared" si="327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28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29"/>
        <v>200</v>
      </c>
      <c r="CK111">
        <f t="shared" si="330"/>
        <v>38210</v>
      </c>
      <c r="CL111">
        <f>_xlfn.XLOOKUP(B111,'[9]november-2026'!$A:$A,'[9]november-2026'!$C:$C,0,0)</f>
        <v>30700</v>
      </c>
      <c r="CM111">
        <f t="shared" si="331"/>
        <v>5526</v>
      </c>
      <c r="CN111">
        <f t="shared" si="332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3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4"/>
        <v>200</v>
      </c>
      <c r="CU111">
        <f t="shared" si="335"/>
        <v>38210</v>
      </c>
      <c r="CV111">
        <f>_xlfn.XLOOKUP(B111,'[10]december-2026'!$A:$A,'[10]december-2026'!$C:$C,0,0)</f>
        <v>30700</v>
      </c>
      <c r="CW111">
        <f t="shared" si="336"/>
        <v>5526</v>
      </c>
      <c r="CX111">
        <f t="shared" si="337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38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39"/>
        <v>200</v>
      </c>
      <c r="DE111">
        <f t="shared" si="340"/>
        <v>38210</v>
      </c>
      <c r="DF111">
        <f xml:space="preserve"> _xlfn.XLOOKUP(B111,
'[11]january-2027'!$A:$A,
'[11]january-2027'!$C:$C,
0,0)</f>
        <v>30700</v>
      </c>
      <c r="DG111">
        <f t="shared" si="341"/>
        <v>5526</v>
      </c>
      <c r="DH111">
        <f t="shared" si="342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3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4"/>
        <v>200</v>
      </c>
      <c r="DO111">
        <f t="shared" si="345"/>
        <v>38210</v>
      </c>
      <c r="DP111">
        <f xml:space="preserve"> _xlfn.XLOOKUP(B111,
'[12]february-2027'!$A:$A,
'[12]february-2027'!$C:$C,
0,0)</f>
        <v>30700</v>
      </c>
      <c r="DQ111">
        <f t="shared" si="346"/>
        <v>5526</v>
      </c>
      <c r="DR111">
        <f t="shared" si="347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48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49"/>
        <v>200</v>
      </c>
      <c r="DY111">
        <f t="shared" si="350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1"/>
        <v>0</v>
      </c>
      <c r="EM111">
        <f t="shared" si="352"/>
        <v>487149</v>
      </c>
      <c r="EN111">
        <f t="shared" si="353"/>
        <v>2200</v>
      </c>
      <c r="EO111">
        <f t="shared" si="354"/>
        <v>50000</v>
      </c>
      <c r="EP111">
        <v>0</v>
      </c>
      <c r="EQ111">
        <f t="shared" si="355"/>
        <v>434949</v>
      </c>
      <c r="ER111">
        <f t="shared" si="356"/>
        <v>24000</v>
      </c>
      <c r="ES111">
        <f t="shared" si="357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58"/>
        <v>24000</v>
      </c>
      <c r="FE111">
        <f t="shared" si="359"/>
        <v>24000</v>
      </c>
      <c r="FF111">
        <f t="shared" si="360"/>
        <v>410949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>SUM(FG111:FM111)+(IF(F111="YES",50000,0))</f>
        <v>0</v>
      </c>
      <c r="FO111">
        <f t="shared" si="361"/>
        <v>410949</v>
      </c>
      <c r="FP111">
        <f t="shared" si="362"/>
        <v>8047</v>
      </c>
      <c r="FQ111">
        <f t="shared" si="363"/>
        <v>0</v>
      </c>
      <c r="FR111">
        <f t="shared" si="364"/>
        <v>8047</v>
      </c>
      <c r="FS111">
        <f t="shared" si="365"/>
        <v>0</v>
      </c>
      <c r="FT111">
        <f t="shared" si="366"/>
        <v>0</v>
      </c>
      <c r="FU111">
        <f t="shared" si="367"/>
        <v>0</v>
      </c>
      <c r="FV111">
        <v>0</v>
      </c>
      <c r="FW111">
        <f t="shared" si="368"/>
        <v>0</v>
      </c>
      <c r="FX111" t="b">
        <f t="shared" si="369"/>
        <v>0</v>
      </c>
      <c r="FY111">
        <f t="shared" ca="1" si="370"/>
        <v>1491</v>
      </c>
      <c r="FZ111">
        <f t="shared" ca="1" si="371"/>
        <v>488640</v>
      </c>
      <c r="GA111">
        <f t="shared" si="372"/>
        <v>75000</v>
      </c>
      <c r="GB111">
        <f t="shared" ca="1" si="373"/>
        <v>413640</v>
      </c>
      <c r="GC111">
        <f t="shared" ca="1" si="374"/>
        <v>0</v>
      </c>
      <c r="GD111">
        <f t="shared" ca="1" si="375"/>
        <v>0</v>
      </c>
      <c r="GE111">
        <f t="shared" ca="1" si="376"/>
        <v>0</v>
      </c>
      <c r="GF111">
        <f t="shared" ca="1" si="377"/>
        <v>0</v>
      </c>
      <c r="GG111">
        <f t="shared" ca="1" si="378"/>
        <v>0</v>
      </c>
      <c r="GH111">
        <f t="shared" ca="1" si="379"/>
        <v>0</v>
      </c>
      <c r="GI111">
        <f ca="1">IF(GB111&gt;1200000,GB111-1200000-IF(F111="YES",50000,0)-GG111,0)</f>
        <v>0</v>
      </c>
      <c r="GJ111">
        <f t="shared" ca="1" si="380"/>
        <v>0</v>
      </c>
      <c r="GK111">
        <f t="shared" ca="1" si="381"/>
        <v>0</v>
      </c>
      <c r="GL111">
        <f t="shared" ca="1" si="382"/>
        <v>0</v>
      </c>
      <c r="GM111">
        <f t="shared" ca="1" si="383"/>
        <v>13640</v>
      </c>
      <c r="GN111">
        <f t="shared" ca="1" si="384"/>
        <v>682</v>
      </c>
      <c r="GO111">
        <f t="shared" ca="1" si="385"/>
        <v>682</v>
      </c>
      <c r="GP111">
        <f t="shared" ca="1" si="386"/>
        <v>0</v>
      </c>
      <c r="GQ111">
        <f t="shared" ca="1" si="387"/>
        <v>0</v>
      </c>
      <c r="GR111">
        <f t="shared" ca="1" si="388"/>
        <v>682</v>
      </c>
      <c r="GS111">
        <f t="shared" ca="1" si="389"/>
        <v>0</v>
      </c>
      <c r="GT111" t="b">
        <f t="shared" ca="1" si="390"/>
        <v>0</v>
      </c>
      <c r="GU111">
        <f t="shared" ca="1" si="391"/>
        <v>0</v>
      </c>
      <c r="GV111">
        <f t="shared" ca="1" si="392"/>
        <v>682</v>
      </c>
      <c r="GW111">
        <f t="shared" ca="1" si="393"/>
        <v>0</v>
      </c>
      <c r="GX111">
        <f t="shared" ca="1" si="394"/>
        <v>0</v>
      </c>
      <c r="GY111">
        <f t="shared" ca="1" si="395"/>
        <v>0</v>
      </c>
    </row>
    <row r="112" spans="1:207" x14ac:dyDescent="0.25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1"/>
        <v>6800</v>
      </c>
      <c r="I112">
        <f>_xlfn.XLOOKUP(B112,'[1]march-2026'!$A:$A,'[1]march-2026'!$C:$C,0,0)</f>
        <v>34500</v>
      </c>
      <c r="J112">
        <f t="shared" si="396"/>
        <v>6210</v>
      </c>
      <c r="K112">
        <f t="shared" si="292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3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4"/>
        <v>200</v>
      </c>
      <c r="R112">
        <f t="shared" si="295"/>
        <v>43050</v>
      </c>
      <c r="S112">
        <f>_xlfn.XLOOKUP(B112,'[2]april-2026'!$A:$A,'[2]april-2026'!$C:$C,0,0)</f>
        <v>34500</v>
      </c>
      <c r="T112">
        <f t="shared" si="296"/>
        <v>6210</v>
      </c>
      <c r="U112">
        <f t="shared" si="297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298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299"/>
        <v>200</v>
      </c>
      <c r="AB112">
        <f t="shared" si="300"/>
        <v>43050</v>
      </c>
      <c r="AC112">
        <f>_xlfn.XLOOKUP(B112,'[3]may-2026'!$A:$A,'[3]may-2026'!$C:$C,0,0)</f>
        <v>34500</v>
      </c>
      <c r="AD112">
        <f t="shared" si="301"/>
        <v>6210</v>
      </c>
      <c r="AE112">
        <f t="shared" si="302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3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4"/>
        <v>200</v>
      </c>
      <c r="AL112">
        <f t="shared" si="305"/>
        <v>43050</v>
      </c>
      <c r="AM112">
        <f>_xlfn.XLOOKUP(B112,'[4]june-2026'!$A:$A,'[4]june-2026'!$C:$C,0,0)</f>
        <v>34500</v>
      </c>
      <c r="AN112">
        <f t="shared" si="306"/>
        <v>6210</v>
      </c>
      <c r="AO112">
        <f t="shared" si="307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08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09"/>
        <v>200</v>
      </c>
      <c r="AV112">
        <f t="shared" si="310"/>
        <v>43050</v>
      </c>
      <c r="AW112">
        <f>_xlfn.XLOOKUP(B112,'[5]july-2026'!$A:$A,'[5]july-2026'!$C:$C,0,0)</f>
        <v>35500</v>
      </c>
      <c r="AX112">
        <f t="shared" si="311"/>
        <v>6390</v>
      </c>
      <c r="AY112">
        <v>110</v>
      </c>
      <c r="AZ112">
        <f t="shared" si="312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3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4"/>
        <v>200</v>
      </c>
      <c r="BG112">
        <f t="shared" si="315"/>
        <v>44460</v>
      </c>
      <c r="BH112">
        <f>_xlfn.XLOOKUP(B112,'[6]august-2026'!$A:$A,'[6]august-2026'!$C:$C,0,0)</f>
        <v>35500</v>
      </c>
      <c r="BI112">
        <f t="shared" si="316"/>
        <v>6390</v>
      </c>
      <c r="BJ112">
        <f t="shared" si="317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18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19"/>
        <v>200</v>
      </c>
      <c r="BQ112">
        <f t="shared" si="320"/>
        <v>44350</v>
      </c>
      <c r="BR112">
        <f>_xlfn.XLOOKUP(B112,'[7]september-2026'!$A:$A,'[7]september-2026'!$C:$C,0,0)</f>
        <v>35500</v>
      </c>
      <c r="BS112">
        <f t="shared" si="321"/>
        <v>6390</v>
      </c>
      <c r="BT112">
        <f t="shared" si="322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3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4"/>
        <v>200</v>
      </c>
      <c r="CA112">
        <f t="shared" si="325"/>
        <v>44350</v>
      </c>
      <c r="CB112">
        <f>_xlfn.XLOOKUP(B112,'[8]october-2026'!$A:$A,'[8]october-2026'!$C:$C,0,0)</f>
        <v>35500</v>
      </c>
      <c r="CC112">
        <f t="shared" si="326"/>
        <v>6390</v>
      </c>
      <c r="CD112">
        <f t="shared" si="327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28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29"/>
        <v>200</v>
      </c>
      <c r="CK112">
        <f t="shared" si="330"/>
        <v>44350</v>
      </c>
      <c r="CL112">
        <f>_xlfn.XLOOKUP(B112,'[9]november-2026'!$A:$A,'[9]november-2026'!$C:$C,0,0)</f>
        <v>35500</v>
      </c>
      <c r="CM112">
        <f t="shared" si="331"/>
        <v>6390</v>
      </c>
      <c r="CN112">
        <f t="shared" si="332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3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4"/>
        <v>200</v>
      </c>
      <c r="CU112">
        <f t="shared" si="335"/>
        <v>44350</v>
      </c>
      <c r="CV112">
        <f>_xlfn.XLOOKUP(B112,'[10]december-2026'!$A:$A,'[10]december-2026'!$C:$C,0,0)</f>
        <v>35500</v>
      </c>
      <c r="CW112">
        <f t="shared" si="336"/>
        <v>6390</v>
      </c>
      <c r="CX112">
        <f t="shared" si="337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38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39"/>
        <v>200</v>
      </c>
      <c r="DE112">
        <f t="shared" si="340"/>
        <v>44350</v>
      </c>
      <c r="DF112">
        <f xml:space="preserve"> _xlfn.XLOOKUP(B112,
'[11]january-2027'!$A:$A,
'[11]january-2027'!$C:$C,
0,0)</f>
        <v>35500</v>
      </c>
      <c r="DG112">
        <f t="shared" si="341"/>
        <v>6390</v>
      </c>
      <c r="DH112">
        <f t="shared" si="342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3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4"/>
        <v>200</v>
      </c>
      <c r="DO112">
        <f t="shared" si="345"/>
        <v>44350</v>
      </c>
      <c r="DP112">
        <f xml:space="preserve"> _xlfn.XLOOKUP(B112,
'[12]february-2027'!$A:$A,
'[12]february-2027'!$C:$C,
0,0)</f>
        <v>35500</v>
      </c>
      <c r="DQ112">
        <f t="shared" si="346"/>
        <v>6390</v>
      </c>
      <c r="DR112">
        <f t="shared" si="347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48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49"/>
        <v>200</v>
      </c>
      <c r="DY112">
        <f t="shared" si="350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1"/>
        <v>0</v>
      </c>
      <c r="EM112">
        <f t="shared" si="352"/>
        <v>566310</v>
      </c>
      <c r="EN112">
        <f t="shared" si="353"/>
        <v>2400</v>
      </c>
      <c r="EO112">
        <f t="shared" si="354"/>
        <v>50000</v>
      </c>
      <c r="EP112">
        <v>0</v>
      </c>
      <c r="EQ112">
        <f t="shared" si="355"/>
        <v>513910</v>
      </c>
      <c r="ER112">
        <f t="shared" si="356"/>
        <v>30000</v>
      </c>
      <c r="ES112">
        <f t="shared" si="357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58"/>
        <v>30000</v>
      </c>
      <c r="FE112">
        <f t="shared" si="359"/>
        <v>30000</v>
      </c>
      <c r="FF112">
        <f t="shared" si="360"/>
        <v>483910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>SUM(FG112:FM112)+(IF(F112="YES",50000,0))</f>
        <v>0</v>
      </c>
      <c r="FO112">
        <f t="shared" si="361"/>
        <v>483910</v>
      </c>
      <c r="FP112">
        <f t="shared" si="362"/>
        <v>11696</v>
      </c>
      <c r="FQ112">
        <f t="shared" si="363"/>
        <v>0</v>
      </c>
      <c r="FR112">
        <f t="shared" si="364"/>
        <v>11696</v>
      </c>
      <c r="FS112">
        <f t="shared" si="365"/>
        <v>0</v>
      </c>
      <c r="FT112">
        <f t="shared" si="366"/>
        <v>0</v>
      </c>
      <c r="FU112">
        <f t="shared" si="367"/>
        <v>0</v>
      </c>
      <c r="FV112">
        <v>0</v>
      </c>
      <c r="FW112">
        <f t="shared" si="368"/>
        <v>0</v>
      </c>
      <c r="FX112" t="b">
        <f t="shared" si="369"/>
        <v>1</v>
      </c>
      <c r="FY112">
        <f t="shared" ca="1" si="370"/>
        <v>868</v>
      </c>
      <c r="FZ112">
        <f t="shared" ca="1" si="371"/>
        <v>567178</v>
      </c>
      <c r="GA112">
        <f t="shared" si="372"/>
        <v>75000</v>
      </c>
      <c r="GB112">
        <f t="shared" ca="1" si="373"/>
        <v>492178</v>
      </c>
      <c r="GC112">
        <f t="shared" ca="1" si="374"/>
        <v>0</v>
      </c>
      <c r="GD112">
        <f t="shared" ca="1" si="375"/>
        <v>0</v>
      </c>
      <c r="GE112">
        <f t="shared" ca="1" si="376"/>
        <v>0</v>
      </c>
      <c r="GF112">
        <f t="shared" ca="1" si="377"/>
        <v>0</v>
      </c>
      <c r="GG112">
        <f t="shared" ca="1" si="378"/>
        <v>0</v>
      </c>
      <c r="GH112">
        <f t="shared" ca="1" si="379"/>
        <v>0</v>
      </c>
      <c r="GI112">
        <f ca="1">IF(GB112&gt;1200000,GB112-1200000-IF(F112="YES",50000,0)-GG112,0)</f>
        <v>0</v>
      </c>
      <c r="GJ112">
        <f t="shared" ca="1" si="380"/>
        <v>0</v>
      </c>
      <c r="GK112">
        <f t="shared" ca="1" si="381"/>
        <v>0</v>
      </c>
      <c r="GL112">
        <f t="shared" ca="1" si="382"/>
        <v>0</v>
      </c>
      <c r="GM112">
        <f t="shared" ca="1" si="383"/>
        <v>92178</v>
      </c>
      <c r="GN112">
        <f t="shared" ca="1" si="384"/>
        <v>4608.9000000000005</v>
      </c>
      <c r="GO112">
        <f t="shared" ca="1" si="385"/>
        <v>4609</v>
      </c>
      <c r="GP112">
        <f t="shared" ca="1" si="386"/>
        <v>0</v>
      </c>
      <c r="GQ112">
        <f t="shared" ca="1" si="387"/>
        <v>0</v>
      </c>
      <c r="GR112">
        <f t="shared" ca="1" si="388"/>
        <v>4609</v>
      </c>
      <c r="GS112">
        <f t="shared" ca="1" si="389"/>
        <v>0</v>
      </c>
      <c r="GT112" t="b">
        <f t="shared" ca="1" si="390"/>
        <v>0</v>
      </c>
      <c r="GU112">
        <f t="shared" ca="1" si="391"/>
        <v>0</v>
      </c>
      <c r="GV112">
        <f t="shared" ca="1" si="392"/>
        <v>4609</v>
      </c>
      <c r="GW112">
        <f t="shared" ca="1" si="393"/>
        <v>0</v>
      </c>
      <c r="GX112">
        <f t="shared" ca="1" si="394"/>
        <v>0</v>
      </c>
      <c r="GY112">
        <f t="shared" ca="1" si="395"/>
        <v>0</v>
      </c>
    </row>
    <row r="113" spans="1:207" x14ac:dyDescent="0.25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1"/>
        <v>6800</v>
      </c>
      <c r="I113">
        <f>_xlfn.XLOOKUP(B113,'[1]march-2026'!$A:$A,'[1]march-2026'!$C:$C,0,0)</f>
        <v>34500</v>
      </c>
      <c r="J113">
        <f t="shared" si="396"/>
        <v>6210</v>
      </c>
      <c r="K113">
        <f t="shared" si="292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3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4"/>
        <v>200</v>
      </c>
      <c r="R113">
        <f t="shared" si="295"/>
        <v>42650</v>
      </c>
      <c r="S113">
        <f>_xlfn.XLOOKUP(B113,'[2]april-2026'!$A:$A,'[2]april-2026'!$C:$C,0,0)</f>
        <v>34500</v>
      </c>
      <c r="T113">
        <f t="shared" si="296"/>
        <v>6210</v>
      </c>
      <c r="U113">
        <f t="shared" si="297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298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299"/>
        <v>200</v>
      </c>
      <c r="AB113">
        <f t="shared" si="300"/>
        <v>42650</v>
      </c>
      <c r="AC113">
        <f>_xlfn.XLOOKUP(B113,'[3]may-2026'!$A:$A,'[3]may-2026'!$C:$C,0,0)</f>
        <v>34500</v>
      </c>
      <c r="AD113">
        <f t="shared" si="301"/>
        <v>6210</v>
      </c>
      <c r="AE113">
        <f t="shared" si="302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3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4"/>
        <v>200</v>
      </c>
      <c r="AL113">
        <f t="shared" si="305"/>
        <v>42650</v>
      </c>
      <c r="AM113">
        <f>_xlfn.XLOOKUP(B113,'[4]june-2026'!$A:$A,'[4]june-2026'!$C:$C,0,0)</f>
        <v>34500</v>
      </c>
      <c r="AN113">
        <f t="shared" si="306"/>
        <v>6210</v>
      </c>
      <c r="AO113">
        <f t="shared" si="307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08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09"/>
        <v>200</v>
      </c>
      <c r="AV113">
        <f t="shared" si="310"/>
        <v>42650</v>
      </c>
      <c r="AW113">
        <f>_xlfn.XLOOKUP(B113,'[5]july-2026'!$A:$A,'[5]july-2026'!$C:$C,0,0)</f>
        <v>35500</v>
      </c>
      <c r="AX113">
        <f t="shared" si="311"/>
        <v>6390</v>
      </c>
      <c r="AY113">
        <v>111</v>
      </c>
      <c r="AZ113">
        <f t="shared" si="312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3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4"/>
        <v>200</v>
      </c>
      <c r="BG113">
        <f t="shared" si="315"/>
        <v>44061</v>
      </c>
      <c r="BH113">
        <f>_xlfn.XLOOKUP(B113,'[6]august-2026'!$A:$A,'[6]august-2026'!$C:$C,0,0)</f>
        <v>35500</v>
      </c>
      <c r="BI113">
        <f t="shared" si="316"/>
        <v>6390</v>
      </c>
      <c r="BJ113">
        <f t="shared" si="317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18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19"/>
        <v>200</v>
      </c>
      <c r="BQ113">
        <f t="shared" si="320"/>
        <v>43950</v>
      </c>
      <c r="BR113">
        <f>_xlfn.XLOOKUP(B113,'[7]september-2026'!$A:$A,'[7]september-2026'!$C:$C,0,0)</f>
        <v>35500</v>
      </c>
      <c r="BS113">
        <f t="shared" si="321"/>
        <v>6390</v>
      </c>
      <c r="BT113">
        <f t="shared" si="322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3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4"/>
        <v>200</v>
      </c>
      <c r="CA113">
        <f t="shared" si="325"/>
        <v>43950</v>
      </c>
      <c r="CB113">
        <f>_xlfn.XLOOKUP(B113,'[8]october-2026'!$A:$A,'[8]october-2026'!$C:$C,0,0)</f>
        <v>35500</v>
      </c>
      <c r="CC113">
        <f t="shared" si="326"/>
        <v>6390</v>
      </c>
      <c r="CD113">
        <f t="shared" si="327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28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29"/>
        <v>200</v>
      </c>
      <c r="CK113">
        <f t="shared" si="330"/>
        <v>43950</v>
      </c>
      <c r="CL113">
        <f>_xlfn.XLOOKUP(B113,'[9]november-2026'!$A:$A,'[9]november-2026'!$C:$C,0,0)</f>
        <v>35500</v>
      </c>
      <c r="CM113">
        <f t="shared" si="331"/>
        <v>6390</v>
      </c>
      <c r="CN113">
        <f t="shared" si="332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3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4"/>
        <v>200</v>
      </c>
      <c r="CU113">
        <f t="shared" si="335"/>
        <v>43950</v>
      </c>
      <c r="CV113">
        <f>_xlfn.XLOOKUP(B113,'[10]december-2026'!$A:$A,'[10]december-2026'!$C:$C,0,0)</f>
        <v>35500</v>
      </c>
      <c r="CW113">
        <f t="shared" si="336"/>
        <v>6390</v>
      </c>
      <c r="CX113">
        <f t="shared" si="337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38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39"/>
        <v>200</v>
      </c>
      <c r="DE113">
        <f t="shared" si="340"/>
        <v>43950</v>
      </c>
      <c r="DF113">
        <f xml:space="preserve"> _xlfn.XLOOKUP(B113,
'[11]january-2027'!$A:$A,
'[11]january-2027'!$C:$C,
0,0)</f>
        <v>35500</v>
      </c>
      <c r="DG113">
        <f t="shared" si="341"/>
        <v>6390</v>
      </c>
      <c r="DH113">
        <f t="shared" si="342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3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4"/>
        <v>200</v>
      </c>
      <c r="DO113">
        <f t="shared" si="345"/>
        <v>43950</v>
      </c>
      <c r="DP113">
        <f xml:space="preserve"> _xlfn.XLOOKUP(B113,
'[12]february-2027'!$A:$A,
'[12]february-2027'!$C:$C,
0,0)</f>
        <v>35500</v>
      </c>
      <c r="DQ113">
        <f t="shared" si="346"/>
        <v>6390</v>
      </c>
      <c r="DR113">
        <f t="shared" si="347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48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49"/>
        <v>200</v>
      </c>
      <c r="DY113">
        <f t="shared" si="350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1"/>
        <v>0</v>
      </c>
      <c r="EM113">
        <f t="shared" si="352"/>
        <v>561511</v>
      </c>
      <c r="EN113">
        <f t="shared" si="353"/>
        <v>2400</v>
      </c>
      <c r="EO113">
        <f t="shared" si="354"/>
        <v>50000</v>
      </c>
      <c r="EP113">
        <v>0</v>
      </c>
      <c r="EQ113">
        <f t="shared" si="355"/>
        <v>509111</v>
      </c>
      <c r="ER113">
        <f t="shared" si="356"/>
        <v>30000</v>
      </c>
      <c r="ES113">
        <f t="shared" si="357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58"/>
        <v>30000</v>
      </c>
      <c r="FE113">
        <f t="shared" si="359"/>
        <v>30000</v>
      </c>
      <c r="FF113">
        <f t="shared" si="360"/>
        <v>479111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>SUM(FG113:FM113)+(IF(F113="YES",50000,0))</f>
        <v>0</v>
      </c>
      <c r="FO113">
        <f t="shared" si="361"/>
        <v>479111</v>
      </c>
      <c r="FP113">
        <f t="shared" si="362"/>
        <v>11456</v>
      </c>
      <c r="FQ113">
        <f t="shared" si="363"/>
        <v>0</v>
      </c>
      <c r="FR113">
        <f t="shared" si="364"/>
        <v>11456</v>
      </c>
      <c r="FS113">
        <f t="shared" si="365"/>
        <v>0</v>
      </c>
      <c r="FT113">
        <f t="shared" si="366"/>
        <v>0</v>
      </c>
      <c r="FU113">
        <f t="shared" si="367"/>
        <v>0</v>
      </c>
      <c r="FV113">
        <v>0</v>
      </c>
      <c r="FW113">
        <f t="shared" si="368"/>
        <v>0</v>
      </c>
      <c r="FX113" t="b">
        <f t="shared" si="369"/>
        <v>1</v>
      </c>
      <c r="FY113">
        <f t="shared" ca="1" si="370"/>
        <v>685</v>
      </c>
      <c r="FZ113">
        <f t="shared" ca="1" si="371"/>
        <v>562196</v>
      </c>
      <c r="GA113">
        <f t="shared" si="372"/>
        <v>75000</v>
      </c>
      <c r="GB113">
        <f t="shared" ca="1" si="373"/>
        <v>487196</v>
      </c>
      <c r="GC113">
        <f t="shared" ca="1" si="374"/>
        <v>0</v>
      </c>
      <c r="GD113">
        <f t="shared" ca="1" si="375"/>
        <v>0</v>
      </c>
      <c r="GE113">
        <f t="shared" ca="1" si="376"/>
        <v>0</v>
      </c>
      <c r="GF113">
        <f t="shared" ca="1" si="377"/>
        <v>0</v>
      </c>
      <c r="GG113">
        <f t="shared" ca="1" si="378"/>
        <v>0</v>
      </c>
      <c r="GH113">
        <f t="shared" ca="1" si="379"/>
        <v>0</v>
      </c>
      <c r="GI113">
        <f ca="1">IF(GB113&gt;1200000,GB113-1200000-IF(F113="YES",50000,0)-GG113,0)</f>
        <v>0</v>
      </c>
      <c r="GJ113">
        <f t="shared" ca="1" si="380"/>
        <v>0</v>
      </c>
      <c r="GK113">
        <f t="shared" ca="1" si="381"/>
        <v>0</v>
      </c>
      <c r="GL113">
        <f t="shared" ca="1" si="382"/>
        <v>0</v>
      </c>
      <c r="GM113">
        <f t="shared" ca="1" si="383"/>
        <v>87196</v>
      </c>
      <c r="GN113">
        <f t="shared" ca="1" si="384"/>
        <v>4359.8</v>
      </c>
      <c r="GO113">
        <f t="shared" ca="1" si="385"/>
        <v>4360</v>
      </c>
      <c r="GP113">
        <f t="shared" ca="1" si="386"/>
        <v>0</v>
      </c>
      <c r="GQ113">
        <f t="shared" ca="1" si="387"/>
        <v>0</v>
      </c>
      <c r="GR113">
        <f t="shared" ca="1" si="388"/>
        <v>4360</v>
      </c>
      <c r="GS113">
        <f t="shared" ca="1" si="389"/>
        <v>0</v>
      </c>
      <c r="GT113" t="b">
        <f t="shared" ca="1" si="390"/>
        <v>0</v>
      </c>
      <c r="GU113">
        <f t="shared" ca="1" si="391"/>
        <v>0</v>
      </c>
      <c r="GV113">
        <f t="shared" ca="1" si="392"/>
        <v>4360</v>
      </c>
      <c r="GW113">
        <f t="shared" ca="1" si="393"/>
        <v>0</v>
      </c>
      <c r="GX113">
        <f t="shared" ca="1" si="394"/>
        <v>0</v>
      </c>
      <c r="GY113">
        <f t="shared" ca="1" si="395"/>
        <v>0</v>
      </c>
    </row>
    <row r="114" spans="1:207" x14ac:dyDescent="0.25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1"/>
        <v>6800</v>
      </c>
      <c r="I114">
        <f>_xlfn.XLOOKUP(B114,'[1]march-2026'!$A:$A,'[1]march-2026'!$C:$C,0,0)</f>
        <v>32500</v>
      </c>
      <c r="J114">
        <f t="shared" si="396"/>
        <v>5850</v>
      </c>
      <c r="K114">
        <f t="shared" si="292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3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4"/>
        <v>200</v>
      </c>
      <c r="R114">
        <f t="shared" si="295"/>
        <v>40050</v>
      </c>
      <c r="S114">
        <f>_xlfn.XLOOKUP(B114,'[2]april-2026'!$A:$A,'[2]april-2026'!$C:$C,0,0)</f>
        <v>32500</v>
      </c>
      <c r="T114">
        <f t="shared" si="296"/>
        <v>5850</v>
      </c>
      <c r="U114">
        <f t="shared" si="297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298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299"/>
        <v>200</v>
      </c>
      <c r="AB114">
        <f t="shared" si="300"/>
        <v>40050</v>
      </c>
      <c r="AC114">
        <f>_xlfn.XLOOKUP(B114,'[3]may-2026'!$A:$A,'[3]may-2026'!$C:$C,0,0)</f>
        <v>32500</v>
      </c>
      <c r="AD114">
        <f t="shared" si="301"/>
        <v>5850</v>
      </c>
      <c r="AE114">
        <f t="shared" si="302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3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4"/>
        <v>200</v>
      </c>
      <c r="AL114">
        <f t="shared" si="305"/>
        <v>40050</v>
      </c>
      <c r="AM114">
        <f>_xlfn.XLOOKUP(B114,'[4]june-2026'!$A:$A,'[4]june-2026'!$C:$C,0,0)</f>
        <v>32500</v>
      </c>
      <c r="AN114">
        <f t="shared" si="306"/>
        <v>5850</v>
      </c>
      <c r="AO114">
        <f t="shared" si="307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08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09"/>
        <v>200</v>
      </c>
      <c r="AV114">
        <f t="shared" si="310"/>
        <v>40050</v>
      </c>
      <c r="AW114">
        <f>_xlfn.XLOOKUP(B114,'[5]july-2026'!$A:$A,'[5]july-2026'!$C:$C,0,0)</f>
        <v>33500</v>
      </c>
      <c r="AX114">
        <f t="shared" si="311"/>
        <v>6030</v>
      </c>
      <c r="AY114">
        <v>112</v>
      </c>
      <c r="AZ114">
        <f t="shared" si="312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3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4"/>
        <v>200</v>
      </c>
      <c r="BG114">
        <f t="shared" si="315"/>
        <v>41462</v>
      </c>
      <c r="BH114">
        <f>_xlfn.XLOOKUP(B114,'[6]august-2026'!$A:$A,'[6]august-2026'!$C:$C,0,0)</f>
        <v>33500</v>
      </c>
      <c r="BI114">
        <f t="shared" si="316"/>
        <v>6030</v>
      </c>
      <c r="BJ114">
        <f t="shared" si="317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18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19"/>
        <v>200</v>
      </c>
      <c r="BQ114">
        <f t="shared" si="320"/>
        <v>41350</v>
      </c>
      <c r="BR114">
        <f>_xlfn.XLOOKUP(B114,'[7]september-2026'!$A:$A,'[7]september-2026'!$C:$C,0,0)</f>
        <v>33500</v>
      </c>
      <c r="BS114">
        <f t="shared" si="321"/>
        <v>6030</v>
      </c>
      <c r="BT114">
        <f t="shared" si="322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3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4"/>
        <v>200</v>
      </c>
      <c r="CA114">
        <f t="shared" si="325"/>
        <v>41350</v>
      </c>
      <c r="CB114">
        <f>_xlfn.XLOOKUP(B114,'[8]october-2026'!$A:$A,'[8]october-2026'!$C:$C,0,0)</f>
        <v>33500</v>
      </c>
      <c r="CC114">
        <f t="shared" si="326"/>
        <v>6030</v>
      </c>
      <c r="CD114">
        <f t="shared" si="327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28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29"/>
        <v>200</v>
      </c>
      <c r="CK114">
        <f t="shared" si="330"/>
        <v>41350</v>
      </c>
      <c r="CL114">
        <f>_xlfn.XLOOKUP(B114,'[9]november-2026'!$A:$A,'[9]november-2026'!$C:$C,0,0)</f>
        <v>33500</v>
      </c>
      <c r="CM114">
        <f t="shared" si="331"/>
        <v>6030</v>
      </c>
      <c r="CN114">
        <f t="shared" si="332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3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4"/>
        <v>200</v>
      </c>
      <c r="CU114">
        <f t="shared" si="335"/>
        <v>41350</v>
      </c>
      <c r="CV114">
        <f>_xlfn.XLOOKUP(B114,'[10]december-2026'!$A:$A,'[10]december-2026'!$C:$C,0,0)</f>
        <v>33500</v>
      </c>
      <c r="CW114">
        <f t="shared" si="336"/>
        <v>6030</v>
      </c>
      <c r="CX114">
        <f t="shared" si="337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38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39"/>
        <v>200</v>
      </c>
      <c r="DE114">
        <f t="shared" si="340"/>
        <v>41350</v>
      </c>
      <c r="DF114">
        <f xml:space="preserve"> _xlfn.XLOOKUP(B114,
'[11]january-2027'!$A:$A,
'[11]january-2027'!$C:$C,
0,0)</f>
        <v>33500</v>
      </c>
      <c r="DG114">
        <f t="shared" si="341"/>
        <v>6030</v>
      </c>
      <c r="DH114">
        <f t="shared" si="342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3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4"/>
        <v>200</v>
      </c>
      <c r="DO114">
        <f t="shared" si="345"/>
        <v>41350</v>
      </c>
      <c r="DP114">
        <f xml:space="preserve"> _xlfn.XLOOKUP(B114,
'[12]february-2027'!$A:$A,
'[12]february-2027'!$C:$C,
0,0)</f>
        <v>33500</v>
      </c>
      <c r="DQ114">
        <f t="shared" si="346"/>
        <v>6030</v>
      </c>
      <c r="DR114">
        <f t="shared" si="347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48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49"/>
        <v>200</v>
      </c>
      <c r="DY114">
        <f t="shared" si="350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1"/>
        <v>0</v>
      </c>
      <c r="EM114">
        <f t="shared" si="352"/>
        <v>524312</v>
      </c>
      <c r="EN114">
        <f t="shared" si="353"/>
        <v>2400</v>
      </c>
      <c r="EO114">
        <f t="shared" si="354"/>
        <v>50000</v>
      </c>
      <c r="EP114">
        <v>0</v>
      </c>
      <c r="EQ114">
        <f t="shared" si="355"/>
        <v>471912</v>
      </c>
      <c r="ER114">
        <f t="shared" si="356"/>
        <v>24000</v>
      </c>
      <c r="ES114">
        <f t="shared" si="357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58"/>
        <v>24000</v>
      </c>
      <c r="FE114">
        <f t="shared" si="359"/>
        <v>24000</v>
      </c>
      <c r="FF114">
        <f t="shared" si="360"/>
        <v>447912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>SUM(FG114:FM114)+(IF(F114="YES",50000,0))</f>
        <v>0</v>
      </c>
      <c r="FO114">
        <f t="shared" si="361"/>
        <v>447912</v>
      </c>
      <c r="FP114">
        <f t="shared" si="362"/>
        <v>9896</v>
      </c>
      <c r="FQ114">
        <f t="shared" si="363"/>
        <v>0</v>
      </c>
      <c r="FR114">
        <f t="shared" si="364"/>
        <v>9896</v>
      </c>
      <c r="FS114">
        <f t="shared" si="365"/>
        <v>0</v>
      </c>
      <c r="FT114">
        <f t="shared" si="366"/>
        <v>0</v>
      </c>
      <c r="FU114">
        <f t="shared" si="367"/>
        <v>0</v>
      </c>
      <c r="FV114">
        <v>0</v>
      </c>
      <c r="FW114">
        <f t="shared" si="368"/>
        <v>0</v>
      </c>
      <c r="FX114" t="b">
        <f t="shared" si="369"/>
        <v>1</v>
      </c>
      <c r="FY114">
        <f t="shared" ca="1" si="370"/>
        <v>610</v>
      </c>
      <c r="FZ114">
        <f t="shared" ca="1" si="371"/>
        <v>524922</v>
      </c>
      <c r="GA114">
        <f t="shared" si="372"/>
        <v>75000</v>
      </c>
      <c r="GB114">
        <f t="shared" ca="1" si="373"/>
        <v>449922</v>
      </c>
      <c r="GC114">
        <f t="shared" ca="1" si="374"/>
        <v>0</v>
      </c>
      <c r="GD114">
        <f t="shared" ca="1" si="375"/>
        <v>0</v>
      </c>
      <c r="GE114">
        <f t="shared" ca="1" si="376"/>
        <v>0</v>
      </c>
      <c r="GF114">
        <f t="shared" ca="1" si="377"/>
        <v>0</v>
      </c>
      <c r="GG114">
        <f t="shared" ca="1" si="378"/>
        <v>0</v>
      </c>
      <c r="GH114">
        <f t="shared" ca="1" si="379"/>
        <v>0</v>
      </c>
      <c r="GI114">
        <f ca="1">IF(GB114&gt;1200000,GB114-1200000-IF(F114="YES",50000,0)-GG114,0)</f>
        <v>0</v>
      </c>
      <c r="GJ114">
        <f t="shared" ca="1" si="380"/>
        <v>0</v>
      </c>
      <c r="GK114">
        <f t="shared" ca="1" si="381"/>
        <v>0</v>
      </c>
      <c r="GL114">
        <f t="shared" ca="1" si="382"/>
        <v>0</v>
      </c>
      <c r="GM114">
        <f t="shared" ca="1" si="383"/>
        <v>49922</v>
      </c>
      <c r="GN114">
        <f t="shared" ca="1" si="384"/>
        <v>2496.1000000000004</v>
      </c>
      <c r="GO114">
        <f t="shared" ca="1" si="385"/>
        <v>2496</v>
      </c>
      <c r="GP114">
        <f t="shared" ca="1" si="386"/>
        <v>0</v>
      </c>
      <c r="GQ114">
        <f t="shared" ca="1" si="387"/>
        <v>0</v>
      </c>
      <c r="GR114">
        <f t="shared" ca="1" si="388"/>
        <v>2496</v>
      </c>
      <c r="GS114">
        <f t="shared" ca="1" si="389"/>
        <v>0</v>
      </c>
      <c r="GT114" t="b">
        <f t="shared" ca="1" si="390"/>
        <v>0</v>
      </c>
      <c r="GU114">
        <f t="shared" ca="1" si="391"/>
        <v>0</v>
      </c>
      <c r="GV114">
        <f t="shared" ca="1" si="392"/>
        <v>2496</v>
      </c>
      <c r="GW114">
        <f t="shared" ca="1" si="393"/>
        <v>0</v>
      </c>
      <c r="GX114">
        <f t="shared" ca="1" si="394"/>
        <v>0</v>
      </c>
      <c r="GY114">
        <f t="shared" ca="1" si="395"/>
        <v>0</v>
      </c>
    </row>
    <row r="115" spans="1:207" x14ac:dyDescent="0.25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1"/>
        <v>6800</v>
      </c>
      <c r="I115">
        <f>_xlfn.XLOOKUP(B115,'[1]march-2026'!$A:$A,'[1]march-2026'!$C:$C,0,0)</f>
        <v>53300</v>
      </c>
      <c r="J115">
        <f t="shared" si="396"/>
        <v>9594</v>
      </c>
      <c r="K115">
        <f t="shared" si="292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3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4"/>
        <v>200</v>
      </c>
      <c r="R115">
        <f t="shared" si="295"/>
        <v>59930</v>
      </c>
      <c r="S115">
        <f>_xlfn.XLOOKUP(B115,'[2]april-2026'!$A:$A,'[2]april-2026'!$C:$C,0,0)</f>
        <v>53300</v>
      </c>
      <c r="T115">
        <f t="shared" si="296"/>
        <v>9594</v>
      </c>
      <c r="U115">
        <f t="shared" si="297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298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299"/>
        <v>200</v>
      </c>
      <c r="AB115">
        <f t="shared" si="300"/>
        <v>59930</v>
      </c>
      <c r="AC115">
        <f>_xlfn.XLOOKUP(B115,'[3]may-2026'!$A:$A,'[3]may-2026'!$C:$C,0,0)</f>
        <v>53300</v>
      </c>
      <c r="AD115">
        <f t="shared" si="301"/>
        <v>9594</v>
      </c>
      <c r="AE115">
        <f t="shared" si="302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3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4"/>
        <v>200</v>
      </c>
      <c r="AL115">
        <f t="shared" si="305"/>
        <v>59930</v>
      </c>
      <c r="AM115">
        <f>_xlfn.XLOOKUP(B115,'[4]june-2026'!$A:$A,'[4]june-2026'!$C:$C,0,0)</f>
        <v>53300</v>
      </c>
      <c r="AN115">
        <f t="shared" si="306"/>
        <v>9594</v>
      </c>
      <c r="AO115">
        <f t="shared" si="307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08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09"/>
        <v>200</v>
      </c>
      <c r="AV115">
        <f t="shared" si="310"/>
        <v>59930</v>
      </c>
      <c r="AW115">
        <f>_xlfn.XLOOKUP(B115,'[5]july-2026'!$A:$A,'[5]july-2026'!$C:$C,0,0)</f>
        <v>54900</v>
      </c>
      <c r="AX115">
        <f t="shared" si="311"/>
        <v>9882</v>
      </c>
      <c r="AY115">
        <v>113</v>
      </c>
      <c r="AZ115">
        <f t="shared" si="312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3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4"/>
        <v>200</v>
      </c>
      <c r="BG115">
        <f t="shared" si="315"/>
        <v>62123</v>
      </c>
      <c r="BH115">
        <f>_xlfn.XLOOKUP(B115,'[6]august-2026'!$A:$A,'[6]august-2026'!$C:$C,0,0)</f>
        <v>54900</v>
      </c>
      <c r="BI115">
        <f t="shared" si="316"/>
        <v>9882</v>
      </c>
      <c r="BJ115">
        <f t="shared" si="317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18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19"/>
        <v>200</v>
      </c>
      <c r="BQ115">
        <f t="shared" si="320"/>
        <v>62010</v>
      </c>
      <c r="BR115">
        <f>_xlfn.XLOOKUP(B115,'[7]september-2026'!$A:$A,'[7]september-2026'!$C:$C,0,0)</f>
        <v>54900</v>
      </c>
      <c r="BS115">
        <f t="shared" si="321"/>
        <v>9882</v>
      </c>
      <c r="BT115">
        <f t="shared" si="322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3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4"/>
        <v>200</v>
      </c>
      <c r="CA115">
        <f t="shared" si="325"/>
        <v>62010</v>
      </c>
      <c r="CB115">
        <f>_xlfn.XLOOKUP(B115,'[8]october-2026'!$A:$A,'[8]october-2026'!$C:$C,0,0)</f>
        <v>54900</v>
      </c>
      <c r="CC115">
        <f t="shared" si="326"/>
        <v>9882</v>
      </c>
      <c r="CD115">
        <f t="shared" si="327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28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29"/>
        <v>200</v>
      </c>
      <c r="CK115">
        <f t="shared" si="330"/>
        <v>62010</v>
      </c>
      <c r="CL115">
        <f>_xlfn.XLOOKUP(B115,'[9]november-2026'!$A:$A,'[9]november-2026'!$C:$C,0,0)</f>
        <v>54900</v>
      </c>
      <c r="CM115">
        <f t="shared" si="331"/>
        <v>9882</v>
      </c>
      <c r="CN115">
        <f t="shared" si="332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3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4"/>
        <v>200</v>
      </c>
      <c r="CU115">
        <f t="shared" si="335"/>
        <v>62010</v>
      </c>
      <c r="CV115">
        <f>_xlfn.XLOOKUP(B115,'[10]december-2026'!$A:$A,'[10]december-2026'!$C:$C,0,0)</f>
        <v>54900</v>
      </c>
      <c r="CW115">
        <f t="shared" si="336"/>
        <v>9882</v>
      </c>
      <c r="CX115">
        <f t="shared" si="337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38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39"/>
        <v>200</v>
      </c>
      <c r="DE115">
        <f t="shared" si="340"/>
        <v>62010</v>
      </c>
      <c r="DF115">
        <f xml:space="preserve"> _xlfn.XLOOKUP(B115,
'[11]january-2027'!$A:$A,
'[11]january-2027'!$C:$C,
0,0)</f>
        <v>54900</v>
      </c>
      <c r="DG115">
        <f t="shared" si="341"/>
        <v>9882</v>
      </c>
      <c r="DH115">
        <f t="shared" si="342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3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4"/>
        <v>200</v>
      </c>
      <c r="DO115">
        <f t="shared" si="345"/>
        <v>62010</v>
      </c>
      <c r="DP115">
        <f xml:space="preserve"> _xlfn.XLOOKUP(B115,
'[12]february-2027'!$A:$A,
'[12]february-2027'!$C:$C,
0,0)</f>
        <v>54900</v>
      </c>
      <c r="DQ115">
        <f t="shared" si="346"/>
        <v>9882</v>
      </c>
      <c r="DR115">
        <f t="shared" si="347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48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49"/>
        <v>200</v>
      </c>
      <c r="DY115">
        <f t="shared" si="350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1"/>
        <v>0</v>
      </c>
      <c r="EM115">
        <f t="shared" si="352"/>
        <v>865833</v>
      </c>
      <c r="EN115">
        <f t="shared" si="353"/>
        <v>2400</v>
      </c>
      <c r="EO115">
        <f t="shared" si="354"/>
        <v>50000</v>
      </c>
      <c r="EP115">
        <v>0</v>
      </c>
      <c r="EQ115">
        <f t="shared" si="355"/>
        <v>813433</v>
      </c>
      <c r="ER115">
        <f t="shared" si="356"/>
        <v>120000</v>
      </c>
      <c r="ES115">
        <f t="shared" si="357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58"/>
        <v>120720</v>
      </c>
      <c r="FE115">
        <f t="shared" si="359"/>
        <v>120720</v>
      </c>
      <c r="FF115">
        <f t="shared" si="360"/>
        <v>692713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>SUM(FG115:FM115)+(IF(F115="YES",50000,0))</f>
        <v>0</v>
      </c>
      <c r="FO115">
        <f t="shared" si="361"/>
        <v>692713</v>
      </c>
      <c r="FP115">
        <f t="shared" si="362"/>
        <v>12500</v>
      </c>
      <c r="FQ115">
        <f t="shared" si="363"/>
        <v>38543</v>
      </c>
      <c r="FR115">
        <f t="shared" si="364"/>
        <v>51043</v>
      </c>
      <c r="FS115">
        <f t="shared" si="365"/>
        <v>51043</v>
      </c>
      <c r="FT115">
        <f t="shared" si="366"/>
        <v>2041.72</v>
      </c>
      <c r="FU115">
        <f t="shared" si="367"/>
        <v>53085</v>
      </c>
      <c r="FV115">
        <v>0</v>
      </c>
      <c r="FW115">
        <f t="shared" si="368"/>
        <v>53085</v>
      </c>
      <c r="FX115" t="b">
        <f t="shared" si="369"/>
        <v>1</v>
      </c>
      <c r="FY115">
        <f t="shared" ca="1" si="370"/>
        <v>691</v>
      </c>
      <c r="FZ115">
        <f t="shared" ca="1" si="371"/>
        <v>866524</v>
      </c>
      <c r="GA115">
        <f t="shared" si="372"/>
        <v>75000</v>
      </c>
      <c r="GB115">
        <f t="shared" ca="1" si="373"/>
        <v>791524</v>
      </c>
      <c r="GC115">
        <f t="shared" ca="1" si="374"/>
        <v>0</v>
      </c>
      <c r="GD115">
        <f t="shared" ca="1" si="375"/>
        <v>0</v>
      </c>
      <c r="GE115">
        <f t="shared" ca="1" si="376"/>
        <v>0</v>
      </c>
      <c r="GF115">
        <f t="shared" ca="1" si="377"/>
        <v>0</v>
      </c>
      <c r="GG115">
        <f t="shared" ca="1" si="378"/>
        <v>0</v>
      </c>
      <c r="GH115">
        <f t="shared" ca="1" si="379"/>
        <v>0</v>
      </c>
      <c r="GI115">
        <f ca="1">IF(GB115&gt;1200000,GB115-1200000-IF(F115="YES",50000,0)-GG115,0)</f>
        <v>0</v>
      </c>
      <c r="GJ115">
        <f t="shared" ca="1" si="380"/>
        <v>0</v>
      </c>
      <c r="GK115">
        <f t="shared" ca="1" si="381"/>
        <v>0</v>
      </c>
      <c r="GL115">
        <f t="shared" ca="1" si="382"/>
        <v>0</v>
      </c>
      <c r="GM115">
        <f t="shared" ca="1" si="383"/>
        <v>391524</v>
      </c>
      <c r="GN115">
        <f t="shared" ca="1" si="384"/>
        <v>19576.2</v>
      </c>
      <c r="GO115">
        <f t="shared" ca="1" si="385"/>
        <v>19576</v>
      </c>
      <c r="GP115">
        <f t="shared" ca="1" si="386"/>
        <v>0</v>
      </c>
      <c r="GQ115">
        <f t="shared" ca="1" si="387"/>
        <v>0</v>
      </c>
      <c r="GR115">
        <f t="shared" ca="1" si="388"/>
        <v>19576</v>
      </c>
      <c r="GS115">
        <f t="shared" ca="1" si="389"/>
        <v>0</v>
      </c>
      <c r="GT115" t="b">
        <f t="shared" ca="1" si="390"/>
        <v>0</v>
      </c>
      <c r="GU115">
        <f t="shared" ca="1" si="391"/>
        <v>0</v>
      </c>
      <c r="GV115">
        <f t="shared" ca="1" si="392"/>
        <v>19576</v>
      </c>
      <c r="GW115">
        <f t="shared" ca="1" si="393"/>
        <v>0</v>
      </c>
      <c r="GX115">
        <f t="shared" ca="1" si="394"/>
        <v>0</v>
      </c>
      <c r="GY115">
        <f t="shared" ca="1" si="395"/>
        <v>0</v>
      </c>
    </row>
    <row r="116" spans="1:207" x14ac:dyDescent="0.25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1"/>
        <v>6800</v>
      </c>
      <c r="I116">
        <f>_xlfn.XLOOKUP(B116,'[1]march-2026'!$A:$A,'[1]march-2026'!$C:$C,0,0)</f>
        <v>38800</v>
      </c>
      <c r="J116">
        <f t="shared" si="396"/>
        <v>6984</v>
      </c>
      <c r="K116">
        <f t="shared" si="292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3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4"/>
        <v>200</v>
      </c>
      <c r="R116">
        <f t="shared" si="295"/>
        <v>45740</v>
      </c>
      <c r="S116">
        <f>_xlfn.XLOOKUP(B116,'[2]april-2026'!$A:$A,'[2]april-2026'!$C:$C,0,0)</f>
        <v>38800</v>
      </c>
      <c r="T116">
        <f t="shared" si="296"/>
        <v>6984</v>
      </c>
      <c r="U116">
        <f t="shared" si="297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298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299"/>
        <v>200</v>
      </c>
      <c r="AB116">
        <f t="shared" si="300"/>
        <v>45740</v>
      </c>
      <c r="AC116">
        <f>_xlfn.XLOOKUP(B116,'[3]may-2026'!$A:$A,'[3]may-2026'!$C:$C,0,0)</f>
        <v>38800</v>
      </c>
      <c r="AD116">
        <f t="shared" si="301"/>
        <v>6984</v>
      </c>
      <c r="AE116">
        <f t="shared" si="302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3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4"/>
        <v>200</v>
      </c>
      <c r="AL116">
        <f t="shared" si="305"/>
        <v>45740</v>
      </c>
      <c r="AM116">
        <f>_xlfn.XLOOKUP(B116,'[4]june-2026'!$A:$A,'[4]june-2026'!$C:$C,0,0)</f>
        <v>38800</v>
      </c>
      <c r="AN116">
        <f t="shared" si="306"/>
        <v>6984</v>
      </c>
      <c r="AO116">
        <f t="shared" si="307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08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09"/>
        <v>200</v>
      </c>
      <c r="AV116">
        <f t="shared" si="310"/>
        <v>45740</v>
      </c>
      <c r="AW116">
        <f>_xlfn.XLOOKUP(B116,'[5]july-2026'!$A:$A,'[5]july-2026'!$C:$C,0,0)</f>
        <v>40000</v>
      </c>
      <c r="AX116">
        <f t="shared" si="311"/>
        <v>7200</v>
      </c>
      <c r="AY116">
        <v>114</v>
      </c>
      <c r="AZ116">
        <f t="shared" si="312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3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4"/>
        <v>200</v>
      </c>
      <c r="BG116">
        <f t="shared" si="315"/>
        <v>47414</v>
      </c>
      <c r="BH116">
        <f>_xlfn.XLOOKUP(B116,'[6]august-2026'!$A:$A,'[6]august-2026'!$C:$C,0,0)</f>
        <v>40000</v>
      </c>
      <c r="BI116">
        <f t="shared" si="316"/>
        <v>7200</v>
      </c>
      <c r="BJ116">
        <f t="shared" si="317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18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19"/>
        <v>200</v>
      </c>
      <c r="BQ116">
        <f t="shared" si="320"/>
        <v>47300</v>
      </c>
      <c r="BR116">
        <f>_xlfn.XLOOKUP(B116,'[7]september-2026'!$A:$A,'[7]september-2026'!$C:$C,0,0)</f>
        <v>40000</v>
      </c>
      <c r="BS116">
        <f t="shared" si="321"/>
        <v>7200</v>
      </c>
      <c r="BT116">
        <f t="shared" si="322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3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4"/>
        <v>200</v>
      </c>
      <c r="CA116">
        <f t="shared" si="325"/>
        <v>47300</v>
      </c>
      <c r="CB116">
        <f>_xlfn.XLOOKUP(B116,'[8]october-2026'!$A:$A,'[8]october-2026'!$C:$C,0,0)</f>
        <v>40000</v>
      </c>
      <c r="CC116">
        <f t="shared" si="326"/>
        <v>7200</v>
      </c>
      <c r="CD116">
        <f t="shared" si="327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28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29"/>
        <v>200</v>
      </c>
      <c r="CK116">
        <f t="shared" si="330"/>
        <v>47300</v>
      </c>
      <c r="CL116">
        <f>_xlfn.XLOOKUP(B116,'[9]november-2026'!$A:$A,'[9]november-2026'!$C:$C,0,0)</f>
        <v>40000</v>
      </c>
      <c r="CM116">
        <f t="shared" si="331"/>
        <v>7200</v>
      </c>
      <c r="CN116">
        <f t="shared" si="332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3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4"/>
        <v>200</v>
      </c>
      <c r="CU116">
        <f t="shared" si="335"/>
        <v>47300</v>
      </c>
      <c r="CV116">
        <f>_xlfn.XLOOKUP(B116,'[10]december-2026'!$A:$A,'[10]december-2026'!$C:$C,0,0)</f>
        <v>40000</v>
      </c>
      <c r="CW116">
        <f t="shared" si="336"/>
        <v>7200</v>
      </c>
      <c r="CX116">
        <f t="shared" si="337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38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39"/>
        <v>200</v>
      </c>
      <c r="DE116">
        <f t="shared" si="340"/>
        <v>47300</v>
      </c>
      <c r="DF116">
        <f xml:space="preserve"> _xlfn.XLOOKUP(B116,
'[11]january-2027'!$A:$A,
'[11]january-2027'!$C:$C,
0,0)</f>
        <v>40000</v>
      </c>
      <c r="DG116">
        <f t="shared" si="341"/>
        <v>7200</v>
      </c>
      <c r="DH116">
        <f t="shared" si="342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3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4"/>
        <v>200</v>
      </c>
      <c r="DO116">
        <f t="shared" si="345"/>
        <v>47300</v>
      </c>
      <c r="DP116">
        <f xml:space="preserve"> _xlfn.XLOOKUP(B116,
'[12]february-2027'!$A:$A,
'[12]february-2027'!$C:$C,
0,0)</f>
        <v>40000</v>
      </c>
      <c r="DQ116">
        <f t="shared" si="346"/>
        <v>7200</v>
      </c>
      <c r="DR116">
        <f t="shared" si="347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48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49"/>
        <v>200</v>
      </c>
      <c r="DY116">
        <f t="shared" si="350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1"/>
        <v>0</v>
      </c>
      <c r="EM116">
        <f t="shared" si="352"/>
        <v>630674</v>
      </c>
      <c r="EN116">
        <f t="shared" si="353"/>
        <v>2400</v>
      </c>
      <c r="EO116">
        <f t="shared" si="354"/>
        <v>50000</v>
      </c>
      <c r="EP116">
        <v>0</v>
      </c>
      <c r="EQ116">
        <f t="shared" si="355"/>
        <v>578274</v>
      </c>
      <c r="ER116">
        <f t="shared" si="356"/>
        <v>60000</v>
      </c>
      <c r="ES116">
        <f t="shared" si="357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58"/>
        <v>60000</v>
      </c>
      <c r="FE116">
        <f t="shared" si="359"/>
        <v>60000</v>
      </c>
      <c r="FF116">
        <f t="shared" si="360"/>
        <v>518274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>SUM(FG116:FM116)+(IF(F116="YES",50000,0))</f>
        <v>0</v>
      </c>
      <c r="FO116">
        <f t="shared" si="361"/>
        <v>518274</v>
      </c>
      <c r="FP116">
        <f t="shared" si="362"/>
        <v>12500</v>
      </c>
      <c r="FQ116">
        <f t="shared" si="363"/>
        <v>3655</v>
      </c>
      <c r="FR116">
        <f t="shared" si="364"/>
        <v>16155</v>
      </c>
      <c r="FS116">
        <f t="shared" si="365"/>
        <v>16155</v>
      </c>
      <c r="FT116">
        <f t="shared" si="366"/>
        <v>646.20000000000005</v>
      </c>
      <c r="FU116">
        <f t="shared" si="367"/>
        <v>16801</v>
      </c>
      <c r="FV116">
        <v>0</v>
      </c>
      <c r="FW116">
        <f t="shared" si="368"/>
        <v>16801</v>
      </c>
      <c r="FX116" t="b">
        <f t="shared" si="369"/>
        <v>1</v>
      </c>
      <c r="FY116">
        <f t="shared" ca="1" si="370"/>
        <v>520</v>
      </c>
      <c r="FZ116">
        <f t="shared" ca="1" si="371"/>
        <v>631194</v>
      </c>
      <c r="GA116">
        <f t="shared" si="372"/>
        <v>75000</v>
      </c>
      <c r="GB116">
        <f t="shared" ca="1" si="373"/>
        <v>556194</v>
      </c>
      <c r="GC116">
        <f t="shared" ca="1" si="374"/>
        <v>0</v>
      </c>
      <c r="GD116">
        <f t="shared" ca="1" si="375"/>
        <v>0</v>
      </c>
      <c r="GE116">
        <f t="shared" ca="1" si="376"/>
        <v>0</v>
      </c>
      <c r="GF116">
        <f t="shared" ca="1" si="377"/>
        <v>0</v>
      </c>
      <c r="GG116">
        <f t="shared" ca="1" si="378"/>
        <v>0</v>
      </c>
      <c r="GH116">
        <f t="shared" ca="1" si="379"/>
        <v>0</v>
      </c>
      <c r="GI116">
        <f ca="1">IF(GB116&gt;1200000,GB116-1200000-IF(F116="YES",50000,0)-GG116,0)</f>
        <v>0</v>
      </c>
      <c r="GJ116">
        <f t="shared" ca="1" si="380"/>
        <v>0</v>
      </c>
      <c r="GK116">
        <f t="shared" ca="1" si="381"/>
        <v>0</v>
      </c>
      <c r="GL116">
        <f t="shared" ca="1" si="382"/>
        <v>0</v>
      </c>
      <c r="GM116">
        <f t="shared" ca="1" si="383"/>
        <v>156194</v>
      </c>
      <c r="GN116">
        <f t="shared" ca="1" si="384"/>
        <v>7809.7000000000007</v>
      </c>
      <c r="GO116">
        <f t="shared" ca="1" si="385"/>
        <v>7810</v>
      </c>
      <c r="GP116">
        <f t="shared" ca="1" si="386"/>
        <v>0</v>
      </c>
      <c r="GQ116">
        <f t="shared" ca="1" si="387"/>
        <v>0</v>
      </c>
      <c r="GR116">
        <f t="shared" ca="1" si="388"/>
        <v>7810</v>
      </c>
      <c r="GS116">
        <f t="shared" ca="1" si="389"/>
        <v>0</v>
      </c>
      <c r="GT116" t="b">
        <f t="shared" ca="1" si="390"/>
        <v>0</v>
      </c>
      <c r="GU116">
        <f t="shared" ca="1" si="391"/>
        <v>0</v>
      </c>
      <c r="GV116">
        <f t="shared" ca="1" si="392"/>
        <v>7810</v>
      </c>
      <c r="GW116">
        <f t="shared" ca="1" si="393"/>
        <v>0</v>
      </c>
      <c r="GX116">
        <f t="shared" ca="1" si="394"/>
        <v>0</v>
      </c>
      <c r="GY116">
        <f t="shared" ca="1" si="395"/>
        <v>0</v>
      </c>
    </row>
    <row r="117" spans="1:207" x14ac:dyDescent="0.25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1"/>
        <v>6800</v>
      </c>
      <c r="I117">
        <f>_xlfn.XLOOKUP(B117,'[1]march-2026'!$A:$A,'[1]march-2026'!$C:$C,0,0)</f>
        <v>32200</v>
      </c>
      <c r="J117">
        <f t="shared" si="396"/>
        <v>5796</v>
      </c>
      <c r="K117">
        <f t="shared" si="292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3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4"/>
        <v>200</v>
      </c>
      <c r="R117">
        <f t="shared" si="295"/>
        <v>39660</v>
      </c>
      <c r="S117">
        <f>_xlfn.XLOOKUP(B117,'[2]april-2026'!$A:$A,'[2]april-2026'!$C:$C,0,0)</f>
        <v>32200</v>
      </c>
      <c r="T117">
        <f t="shared" si="296"/>
        <v>5796</v>
      </c>
      <c r="U117">
        <f t="shared" si="297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298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299"/>
        <v>200</v>
      </c>
      <c r="AB117">
        <f t="shared" si="300"/>
        <v>39660</v>
      </c>
      <c r="AC117">
        <f>_xlfn.XLOOKUP(B117,'[3]may-2026'!$A:$A,'[3]may-2026'!$C:$C,0,0)</f>
        <v>32200</v>
      </c>
      <c r="AD117">
        <f t="shared" si="301"/>
        <v>5796</v>
      </c>
      <c r="AE117">
        <f t="shared" si="302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3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4"/>
        <v>200</v>
      </c>
      <c r="AL117">
        <f t="shared" si="305"/>
        <v>39660</v>
      </c>
      <c r="AM117">
        <f>_xlfn.XLOOKUP(B117,'[4]june-2026'!$A:$A,'[4]june-2026'!$C:$C,0,0)</f>
        <v>32200</v>
      </c>
      <c r="AN117">
        <f t="shared" si="306"/>
        <v>5796</v>
      </c>
      <c r="AO117">
        <f t="shared" si="307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08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09"/>
        <v>200</v>
      </c>
      <c r="AV117">
        <f t="shared" si="310"/>
        <v>39660</v>
      </c>
      <c r="AW117">
        <f>_xlfn.XLOOKUP(B117,'[5]july-2026'!$A:$A,'[5]july-2026'!$C:$C,0,0)</f>
        <v>33200</v>
      </c>
      <c r="AX117">
        <f t="shared" si="311"/>
        <v>5976</v>
      </c>
      <c r="AY117">
        <v>115</v>
      </c>
      <c r="AZ117">
        <f t="shared" si="312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3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4"/>
        <v>200</v>
      </c>
      <c r="BG117">
        <f t="shared" si="315"/>
        <v>41075</v>
      </c>
      <c r="BH117">
        <f>_xlfn.XLOOKUP(B117,'[6]august-2026'!$A:$A,'[6]august-2026'!$C:$C,0,0)</f>
        <v>33200</v>
      </c>
      <c r="BI117">
        <f t="shared" si="316"/>
        <v>5976</v>
      </c>
      <c r="BJ117">
        <f t="shared" si="317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18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19"/>
        <v>200</v>
      </c>
      <c r="BQ117">
        <f t="shared" si="320"/>
        <v>40960</v>
      </c>
      <c r="BR117">
        <f>_xlfn.XLOOKUP(B117,'[7]september-2026'!$A:$A,'[7]september-2026'!$C:$C,0,0)</f>
        <v>33200</v>
      </c>
      <c r="BS117">
        <f t="shared" si="321"/>
        <v>5976</v>
      </c>
      <c r="BT117">
        <f t="shared" si="322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3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4"/>
        <v>200</v>
      </c>
      <c r="CA117">
        <f t="shared" si="325"/>
        <v>40960</v>
      </c>
      <c r="CB117">
        <f>_xlfn.XLOOKUP(B117,'[8]october-2026'!$A:$A,'[8]october-2026'!$C:$C,0,0)</f>
        <v>33200</v>
      </c>
      <c r="CC117">
        <f t="shared" si="326"/>
        <v>5976</v>
      </c>
      <c r="CD117">
        <f t="shared" si="327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28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29"/>
        <v>200</v>
      </c>
      <c r="CK117">
        <f t="shared" si="330"/>
        <v>40960</v>
      </c>
      <c r="CL117">
        <f>_xlfn.XLOOKUP(B117,'[9]november-2026'!$A:$A,'[9]november-2026'!$C:$C,0,0)</f>
        <v>33200</v>
      </c>
      <c r="CM117">
        <f t="shared" si="331"/>
        <v>5976</v>
      </c>
      <c r="CN117">
        <f t="shared" si="332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3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4"/>
        <v>200</v>
      </c>
      <c r="CU117">
        <f t="shared" si="335"/>
        <v>40960</v>
      </c>
      <c r="CV117">
        <f>_xlfn.XLOOKUP(B117,'[10]december-2026'!$A:$A,'[10]december-2026'!$C:$C,0,0)</f>
        <v>33200</v>
      </c>
      <c r="CW117">
        <f t="shared" si="336"/>
        <v>5976</v>
      </c>
      <c r="CX117">
        <f t="shared" si="337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38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39"/>
        <v>200</v>
      </c>
      <c r="DE117">
        <f t="shared" si="340"/>
        <v>40960</v>
      </c>
      <c r="DF117">
        <f xml:space="preserve"> _xlfn.XLOOKUP(B117,
'[11]january-2027'!$A:$A,
'[11]january-2027'!$C:$C,
0,0)</f>
        <v>33200</v>
      </c>
      <c r="DG117">
        <f t="shared" si="341"/>
        <v>5976</v>
      </c>
      <c r="DH117">
        <f t="shared" si="342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3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4"/>
        <v>200</v>
      </c>
      <c r="DO117">
        <f t="shared" si="345"/>
        <v>40960</v>
      </c>
      <c r="DP117">
        <f xml:space="preserve"> _xlfn.XLOOKUP(B117,
'[12]february-2027'!$A:$A,
'[12]february-2027'!$C:$C,
0,0)</f>
        <v>33200</v>
      </c>
      <c r="DQ117">
        <f t="shared" si="346"/>
        <v>5976</v>
      </c>
      <c r="DR117">
        <f t="shared" si="347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48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49"/>
        <v>200</v>
      </c>
      <c r="DY117">
        <f t="shared" si="350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1"/>
        <v>0</v>
      </c>
      <c r="EM117">
        <f t="shared" si="352"/>
        <v>519635</v>
      </c>
      <c r="EN117">
        <f t="shared" si="353"/>
        <v>2400</v>
      </c>
      <c r="EO117">
        <f t="shared" si="354"/>
        <v>50000</v>
      </c>
      <c r="EP117">
        <v>0</v>
      </c>
      <c r="EQ117">
        <f t="shared" si="355"/>
        <v>467235</v>
      </c>
      <c r="ER117">
        <f t="shared" si="356"/>
        <v>24000</v>
      </c>
      <c r="ES117">
        <f t="shared" si="357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58"/>
        <v>24000</v>
      </c>
      <c r="FE117">
        <f t="shared" si="359"/>
        <v>24000</v>
      </c>
      <c r="FF117">
        <f t="shared" si="360"/>
        <v>443235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>SUM(FG117:FM117)+(IF(F117="YES",50000,0))</f>
        <v>0</v>
      </c>
      <c r="FO117">
        <f t="shared" si="361"/>
        <v>443235</v>
      </c>
      <c r="FP117">
        <f t="shared" si="362"/>
        <v>9662</v>
      </c>
      <c r="FQ117">
        <f t="shared" si="363"/>
        <v>0</v>
      </c>
      <c r="FR117">
        <f t="shared" si="364"/>
        <v>9662</v>
      </c>
      <c r="FS117">
        <f t="shared" si="365"/>
        <v>0</v>
      </c>
      <c r="FT117">
        <f t="shared" si="366"/>
        <v>0</v>
      </c>
      <c r="FU117">
        <f t="shared" si="367"/>
        <v>0</v>
      </c>
      <c r="FV117">
        <v>0</v>
      </c>
      <c r="FW117">
        <f t="shared" si="368"/>
        <v>0</v>
      </c>
      <c r="FX117" t="b">
        <f t="shared" si="369"/>
        <v>1</v>
      </c>
      <c r="FY117">
        <f t="shared" ca="1" si="370"/>
        <v>683</v>
      </c>
      <c r="FZ117">
        <f t="shared" ca="1" si="371"/>
        <v>520318</v>
      </c>
      <c r="GA117">
        <f t="shared" si="372"/>
        <v>75000</v>
      </c>
      <c r="GB117">
        <f t="shared" ca="1" si="373"/>
        <v>445318</v>
      </c>
      <c r="GC117">
        <f t="shared" ca="1" si="374"/>
        <v>0</v>
      </c>
      <c r="GD117">
        <f t="shared" ca="1" si="375"/>
        <v>0</v>
      </c>
      <c r="GE117">
        <f t="shared" ca="1" si="376"/>
        <v>0</v>
      </c>
      <c r="GF117">
        <f t="shared" ca="1" si="377"/>
        <v>0</v>
      </c>
      <c r="GG117">
        <f t="shared" ca="1" si="378"/>
        <v>0</v>
      </c>
      <c r="GH117">
        <f t="shared" ca="1" si="379"/>
        <v>0</v>
      </c>
      <c r="GI117">
        <f ca="1">IF(GB117&gt;1200000,GB117-1200000-IF(F117="YES",50000,0)-GG117,0)</f>
        <v>0</v>
      </c>
      <c r="GJ117">
        <f t="shared" ca="1" si="380"/>
        <v>0</v>
      </c>
      <c r="GK117">
        <f t="shared" ca="1" si="381"/>
        <v>0</v>
      </c>
      <c r="GL117">
        <f t="shared" ca="1" si="382"/>
        <v>0</v>
      </c>
      <c r="GM117">
        <f t="shared" ca="1" si="383"/>
        <v>45318</v>
      </c>
      <c r="GN117">
        <f t="shared" ca="1" si="384"/>
        <v>2265.9</v>
      </c>
      <c r="GO117">
        <f t="shared" ca="1" si="385"/>
        <v>2266</v>
      </c>
      <c r="GP117">
        <f t="shared" ca="1" si="386"/>
        <v>0</v>
      </c>
      <c r="GQ117">
        <f t="shared" ca="1" si="387"/>
        <v>0</v>
      </c>
      <c r="GR117">
        <f t="shared" ca="1" si="388"/>
        <v>2266</v>
      </c>
      <c r="GS117">
        <f t="shared" ca="1" si="389"/>
        <v>0</v>
      </c>
      <c r="GT117" t="b">
        <f t="shared" ca="1" si="390"/>
        <v>0</v>
      </c>
      <c r="GU117">
        <f t="shared" ca="1" si="391"/>
        <v>0</v>
      </c>
      <c r="GV117">
        <f t="shared" ca="1" si="392"/>
        <v>2266</v>
      </c>
      <c r="GW117">
        <f t="shared" ca="1" si="393"/>
        <v>0</v>
      </c>
      <c r="GX117">
        <f t="shared" ca="1" si="394"/>
        <v>0</v>
      </c>
      <c r="GY117">
        <f t="shared" ca="1" si="395"/>
        <v>0</v>
      </c>
    </row>
    <row r="118" spans="1:207" x14ac:dyDescent="0.25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1"/>
        <v>6800</v>
      </c>
      <c r="I118">
        <f>_xlfn.XLOOKUP(B118,'[1]march-2026'!$A:$A,'[1]march-2026'!$C:$C,0,0)</f>
        <v>55000</v>
      </c>
      <c r="J118">
        <f t="shared" si="396"/>
        <v>9900</v>
      </c>
      <c r="K118">
        <f t="shared" si="292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3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4"/>
        <v>200</v>
      </c>
      <c r="R118">
        <f t="shared" si="295"/>
        <v>66800</v>
      </c>
      <c r="S118">
        <f>_xlfn.XLOOKUP(B118,'[2]april-2026'!$A:$A,'[2]april-2026'!$C:$C,0,0)</f>
        <v>55000</v>
      </c>
      <c r="T118">
        <f t="shared" si="296"/>
        <v>9900</v>
      </c>
      <c r="U118">
        <f t="shared" si="297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298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299"/>
        <v>200</v>
      </c>
      <c r="AB118">
        <f t="shared" si="300"/>
        <v>66800</v>
      </c>
      <c r="AC118">
        <f>_xlfn.XLOOKUP(B118,'[3]may-2026'!$A:$A,'[3]may-2026'!$C:$C,0,0)</f>
        <v>55000</v>
      </c>
      <c r="AD118">
        <f t="shared" si="301"/>
        <v>9900</v>
      </c>
      <c r="AE118">
        <f t="shared" si="302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3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4"/>
        <v>200</v>
      </c>
      <c r="AL118">
        <f t="shared" si="305"/>
        <v>66800</v>
      </c>
      <c r="AM118">
        <f>_xlfn.XLOOKUP(B118,'[4]june-2026'!$A:$A,'[4]june-2026'!$C:$C,0,0)</f>
        <v>55000</v>
      </c>
      <c r="AN118">
        <f t="shared" si="306"/>
        <v>9900</v>
      </c>
      <c r="AO118">
        <f t="shared" si="307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08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09"/>
        <v>200</v>
      </c>
      <c r="AV118">
        <f t="shared" si="310"/>
        <v>66800</v>
      </c>
      <c r="AW118">
        <f>_xlfn.XLOOKUP(B118,'[5]july-2026'!$A:$A,'[5]july-2026'!$C:$C,0,0)</f>
        <v>56700</v>
      </c>
      <c r="AX118">
        <f t="shared" si="311"/>
        <v>10206</v>
      </c>
      <c r="AY118">
        <v>116</v>
      </c>
      <c r="AZ118">
        <f t="shared" si="312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3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4"/>
        <v>200</v>
      </c>
      <c r="BG118">
        <f t="shared" si="315"/>
        <v>69126</v>
      </c>
      <c r="BH118">
        <f>_xlfn.XLOOKUP(B118,'[6]august-2026'!$A:$A,'[6]august-2026'!$C:$C,0,0)</f>
        <v>56700</v>
      </c>
      <c r="BI118">
        <f t="shared" si="316"/>
        <v>10206</v>
      </c>
      <c r="BJ118">
        <f t="shared" si="317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18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19"/>
        <v>200</v>
      </c>
      <c r="BQ118">
        <f t="shared" si="320"/>
        <v>69010</v>
      </c>
      <c r="BR118">
        <f>_xlfn.XLOOKUP(B118,'[7]september-2026'!$A:$A,'[7]september-2026'!$C:$C,0,0)</f>
        <v>56700</v>
      </c>
      <c r="BS118">
        <f t="shared" si="321"/>
        <v>10206</v>
      </c>
      <c r="BT118">
        <f t="shared" si="322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3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4"/>
        <v>200</v>
      </c>
      <c r="CA118">
        <f t="shared" si="325"/>
        <v>69010</v>
      </c>
      <c r="CB118">
        <f>_xlfn.XLOOKUP(B118,'[8]october-2026'!$A:$A,'[8]october-2026'!$C:$C,0,0)</f>
        <v>56700</v>
      </c>
      <c r="CC118">
        <f t="shared" si="326"/>
        <v>10206</v>
      </c>
      <c r="CD118">
        <f t="shared" si="327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28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29"/>
        <v>200</v>
      </c>
      <c r="CK118">
        <f t="shared" si="330"/>
        <v>69010</v>
      </c>
      <c r="CL118">
        <f>_xlfn.XLOOKUP(B118,'[9]november-2026'!$A:$A,'[9]november-2026'!$C:$C,0,0)</f>
        <v>56700</v>
      </c>
      <c r="CM118">
        <f t="shared" si="331"/>
        <v>10206</v>
      </c>
      <c r="CN118">
        <f t="shared" si="332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3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4"/>
        <v>200</v>
      </c>
      <c r="CU118">
        <f t="shared" si="335"/>
        <v>69010</v>
      </c>
      <c r="CV118">
        <f>_xlfn.XLOOKUP(B118,'[10]december-2026'!$A:$A,'[10]december-2026'!$C:$C,0,0)</f>
        <v>56700</v>
      </c>
      <c r="CW118">
        <f t="shared" si="336"/>
        <v>10206</v>
      </c>
      <c r="CX118">
        <f t="shared" si="337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38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39"/>
        <v>200</v>
      </c>
      <c r="DE118">
        <f t="shared" si="340"/>
        <v>69010</v>
      </c>
      <c r="DF118">
        <f xml:space="preserve"> _xlfn.XLOOKUP(B118,
'[11]january-2027'!$A:$A,
'[11]january-2027'!$C:$C,
0,0)</f>
        <v>56700</v>
      </c>
      <c r="DG118">
        <f t="shared" si="341"/>
        <v>10206</v>
      </c>
      <c r="DH118">
        <f t="shared" si="342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3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4"/>
        <v>200</v>
      </c>
      <c r="DO118">
        <f t="shared" si="345"/>
        <v>69010</v>
      </c>
      <c r="DP118">
        <f xml:space="preserve"> _xlfn.XLOOKUP(B118,
'[12]february-2027'!$A:$A,
'[12]february-2027'!$C:$C,
0,0)</f>
        <v>56700</v>
      </c>
      <c r="DQ118">
        <f t="shared" si="346"/>
        <v>10206</v>
      </c>
      <c r="DR118">
        <f t="shared" si="347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48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49"/>
        <v>200</v>
      </c>
      <c r="DY118">
        <f t="shared" si="350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1"/>
        <v>0</v>
      </c>
      <c r="EM118">
        <f t="shared" si="352"/>
        <v>888596</v>
      </c>
      <c r="EN118">
        <f t="shared" si="353"/>
        <v>2400</v>
      </c>
      <c r="EO118">
        <f t="shared" si="354"/>
        <v>50000</v>
      </c>
      <c r="EP118">
        <v>0</v>
      </c>
      <c r="EQ118">
        <f t="shared" si="355"/>
        <v>836196</v>
      </c>
      <c r="ER118">
        <f t="shared" si="356"/>
        <v>60000</v>
      </c>
      <c r="ES118">
        <f t="shared" si="357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58"/>
        <v>60000</v>
      </c>
      <c r="FE118">
        <f t="shared" si="359"/>
        <v>60000</v>
      </c>
      <c r="FF118">
        <f t="shared" si="360"/>
        <v>776196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>SUM(FG118:FM118)+(IF(F118="YES",50000,0))</f>
        <v>0</v>
      </c>
      <c r="FO118">
        <f t="shared" si="361"/>
        <v>776196</v>
      </c>
      <c r="FP118">
        <f t="shared" si="362"/>
        <v>12500</v>
      </c>
      <c r="FQ118">
        <f t="shared" si="363"/>
        <v>55239</v>
      </c>
      <c r="FR118">
        <f t="shared" si="364"/>
        <v>67739</v>
      </c>
      <c r="FS118">
        <f t="shared" si="365"/>
        <v>67739</v>
      </c>
      <c r="FT118">
        <f t="shared" si="366"/>
        <v>2709.56</v>
      </c>
      <c r="FU118">
        <f t="shared" si="367"/>
        <v>70449</v>
      </c>
      <c r="FV118">
        <v>0</v>
      </c>
      <c r="FW118">
        <f t="shared" si="368"/>
        <v>70449</v>
      </c>
      <c r="FX118" t="b">
        <f t="shared" si="369"/>
        <v>1</v>
      </c>
      <c r="FY118">
        <f t="shared" ca="1" si="370"/>
        <v>588</v>
      </c>
      <c r="FZ118">
        <f t="shared" ca="1" si="371"/>
        <v>889184</v>
      </c>
      <c r="GA118">
        <f t="shared" si="372"/>
        <v>75000</v>
      </c>
      <c r="GB118">
        <f t="shared" ca="1" si="373"/>
        <v>814184</v>
      </c>
      <c r="GC118">
        <f t="shared" ca="1" si="374"/>
        <v>0</v>
      </c>
      <c r="GD118">
        <f t="shared" ca="1" si="375"/>
        <v>0</v>
      </c>
      <c r="GE118">
        <f t="shared" ca="1" si="376"/>
        <v>0</v>
      </c>
      <c r="GF118">
        <f t="shared" ca="1" si="377"/>
        <v>0</v>
      </c>
      <c r="GG118">
        <f t="shared" ca="1" si="378"/>
        <v>0</v>
      </c>
      <c r="GH118">
        <f t="shared" ca="1" si="379"/>
        <v>0</v>
      </c>
      <c r="GI118">
        <f ca="1">IF(GB118&gt;1200000,GB118-1200000-IF(F118="YES",50000,0)-GG118,0)</f>
        <v>0</v>
      </c>
      <c r="GJ118">
        <f t="shared" ca="1" si="380"/>
        <v>0</v>
      </c>
      <c r="GK118">
        <f t="shared" ca="1" si="381"/>
        <v>14184</v>
      </c>
      <c r="GL118">
        <f t="shared" ca="1" si="382"/>
        <v>1418.4</v>
      </c>
      <c r="GM118">
        <f t="shared" ca="1" si="383"/>
        <v>400000</v>
      </c>
      <c r="GN118">
        <f t="shared" ca="1" si="384"/>
        <v>20000</v>
      </c>
      <c r="GO118">
        <f t="shared" ca="1" si="385"/>
        <v>21418</v>
      </c>
      <c r="GP118">
        <f t="shared" ca="1" si="386"/>
        <v>0</v>
      </c>
      <c r="GQ118">
        <f t="shared" ca="1" si="387"/>
        <v>0</v>
      </c>
      <c r="GR118">
        <f t="shared" ca="1" si="388"/>
        <v>21418</v>
      </c>
      <c r="GS118">
        <f t="shared" ca="1" si="389"/>
        <v>0</v>
      </c>
      <c r="GT118" t="b">
        <f t="shared" ca="1" si="390"/>
        <v>0</v>
      </c>
      <c r="GU118">
        <f t="shared" ca="1" si="391"/>
        <v>0</v>
      </c>
      <c r="GV118">
        <f t="shared" ca="1" si="392"/>
        <v>21418</v>
      </c>
      <c r="GW118">
        <f t="shared" ca="1" si="393"/>
        <v>0</v>
      </c>
      <c r="GX118">
        <f t="shared" ca="1" si="394"/>
        <v>0</v>
      </c>
      <c r="GY118">
        <f t="shared" ca="1" si="395"/>
        <v>0</v>
      </c>
    </row>
    <row r="119" spans="1:207" x14ac:dyDescent="0.25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1"/>
        <v>6800</v>
      </c>
      <c r="I119">
        <f>_xlfn.XLOOKUP(B119,'[1]march-2026'!$A:$A,'[1]march-2026'!$C:$C,0,0)</f>
        <v>34500</v>
      </c>
      <c r="J119">
        <f t="shared" si="396"/>
        <v>6210</v>
      </c>
      <c r="K119">
        <f t="shared" si="292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3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4"/>
        <v>200</v>
      </c>
      <c r="R119">
        <f t="shared" si="295"/>
        <v>42150</v>
      </c>
      <c r="S119">
        <f>_xlfn.XLOOKUP(B119,'[2]april-2026'!$A:$A,'[2]april-2026'!$C:$C,0,0)</f>
        <v>34500</v>
      </c>
      <c r="T119">
        <f t="shared" si="296"/>
        <v>6210</v>
      </c>
      <c r="U119">
        <f t="shared" si="297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298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299"/>
        <v>200</v>
      </c>
      <c r="AB119">
        <f t="shared" si="300"/>
        <v>42150</v>
      </c>
      <c r="AC119">
        <f>_xlfn.XLOOKUP(B119,'[3]may-2026'!$A:$A,'[3]may-2026'!$C:$C,0,0)</f>
        <v>34500</v>
      </c>
      <c r="AD119">
        <f t="shared" si="301"/>
        <v>6210</v>
      </c>
      <c r="AE119">
        <f t="shared" si="302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3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4"/>
        <v>200</v>
      </c>
      <c r="AL119">
        <f t="shared" si="305"/>
        <v>42150</v>
      </c>
      <c r="AM119">
        <f>_xlfn.XLOOKUP(B119,'[4]june-2026'!$A:$A,'[4]june-2026'!$C:$C,0,0)</f>
        <v>34500</v>
      </c>
      <c r="AN119">
        <f t="shared" si="306"/>
        <v>6210</v>
      </c>
      <c r="AO119">
        <f t="shared" si="307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08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09"/>
        <v>200</v>
      </c>
      <c r="AV119">
        <f t="shared" si="310"/>
        <v>42150</v>
      </c>
      <c r="AW119">
        <f>_xlfn.XLOOKUP(B119,'[5]july-2026'!$A:$A,'[5]july-2026'!$C:$C,0,0)</f>
        <v>35500</v>
      </c>
      <c r="AX119">
        <f t="shared" si="311"/>
        <v>6390</v>
      </c>
      <c r="AY119">
        <v>117</v>
      </c>
      <c r="AZ119">
        <f t="shared" si="312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3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4"/>
        <v>200</v>
      </c>
      <c r="BG119">
        <f t="shared" si="315"/>
        <v>43567</v>
      </c>
      <c r="BH119">
        <f>_xlfn.XLOOKUP(B119,'[6]august-2026'!$A:$A,'[6]august-2026'!$C:$C,0,0)</f>
        <v>35500</v>
      </c>
      <c r="BI119">
        <f t="shared" si="316"/>
        <v>6390</v>
      </c>
      <c r="BJ119">
        <f t="shared" si="317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18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19"/>
        <v>200</v>
      </c>
      <c r="BQ119">
        <f t="shared" si="320"/>
        <v>43450</v>
      </c>
      <c r="BR119">
        <f>_xlfn.XLOOKUP(B119,'[7]september-2026'!$A:$A,'[7]september-2026'!$C:$C,0,0)</f>
        <v>35500</v>
      </c>
      <c r="BS119">
        <f t="shared" si="321"/>
        <v>6390</v>
      </c>
      <c r="BT119">
        <f t="shared" si="322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3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4"/>
        <v>200</v>
      </c>
      <c r="CA119">
        <f t="shared" si="325"/>
        <v>43450</v>
      </c>
      <c r="CB119">
        <f>_xlfn.XLOOKUP(B119,'[8]october-2026'!$A:$A,'[8]october-2026'!$C:$C,0,0)</f>
        <v>35500</v>
      </c>
      <c r="CC119">
        <f t="shared" si="326"/>
        <v>6390</v>
      </c>
      <c r="CD119">
        <f t="shared" si="327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28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29"/>
        <v>200</v>
      </c>
      <c r="CK119">
        <f t="shared" si="330"/>
        <v>43450</v>
      </c>
      <c r="CL119">
        <f>_xlfn.XLOOKUP(B119,'[9]november-2026'!$A:$A,'[9]november-2026'!$C:$C,0,0)</f>
        <v>35500</v>
      </c>
      <c r="CM119">
        <f t="shared" si="331"/>
        <v>6390</v>
      </c>
      <c r="CN119">
        <f t="shared" si="332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3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4"/>
        <v>200</v>
      </c>
      <c r="CU119">
        <f t="shared" si="335"/>
        <v>43450</v>
      </c>
      <c r="CV119">
        <f>_xlfn.XLOOKUP(B119,'[10]december-2026'!$A:$A,'[10]december-2026'!$C:$C,0,0)</f>
        <v>35500</v>
      </c>
      <c r="CW119">
        <f t="shared" si="336"/>
        <v>6390</v>
      </c>
      <c r="CX119">
        <f t="shared" si="337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38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39"/>
        <v>200</v>
      </c>
      <c r="DE119">
        <f t="shared" si="340"/>
        <v>43450</v>
      </c>
      <c r="DF119">
        <f xml:space="preserve"> _xlfn.XLOOKUP(B119,
'[11]january-2027'!$A:$A,
'[11]january-2027'!$C:$C,
0,0)</f>
        <v>35500</v>
      </c>
      <c r="DG119">
        <f t="shared" si="341"/>
        <v>6390</v>
      </c>
      <c r="DH119">
        <f t="shared" si="342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3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4"/>
        <v>200</v>
      </c>
      <c r="DO119">
        <f t="shared" si="345"/>
        <v>43450</v>
      </c>
      <c r="DP119">
        <f xml:space="preserve"> _xlfn.XLOOKUP(B119,
'[12]february-2027'!$A:$A,
'[12]february-2027'!$C:$C,
0,0)</f>
        <v>35500</v>
      </c>
      <c r="DQ119">
        <f t="shared" si="346"/>
        <v>6390</v>
      </c>
      <c r="DR119">
        <f t="shared" si="347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48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49"/>
        <v>200</v>
      </c>
      <c r="DY119">
        <f t="shared" si="350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1"/>
        <v>0</v>
      </c>
      <c r="EM119">
        <f t="shared" si="352"/>
        <v>555517</v>
      </c>
      <c r="EN119">
        <f t="shared" si="353"/>
        <v>2400</v>
      </c>
      <c r="EO119">
        <f t="shared" si="354"/>
        <v>50000</v>
      </c>
      <c r="EP119">
        <v>0</v>
      </c>
      <c r="EQ119">
        <f t="shared" si="355"/>
        <v>503117</v>
      </c>
      <c r="ER119">
        <f t="shared" si="356"/>
        <v>30000</v>
      </c>
      <c r="ES119">
        <f t="shared" si="357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58"/>
        <v>30000</v>
      </c>
      <c r="FE119">
        <f t="shared" si="359"/>
        <v>30000</v>
      </c>
      <c r="FF119">
        <f t="shared" si="360"/>
        <v>473117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>SUM(FG119:FM119)+(IF(F119="YES",50000,0))</f>
        <v>0</v>
      </c>
      <c r="FO119">
        <f t="shared" si="361"/>
        <v>473117</v>
      </c>
      <c r="FP119">
        <f t="shared" si="362"/>
        <v>11156</v>
      </c>
      <c r="FQ119">
        <f t="shared" si="363"/>
        <v>0</v>
      </c>
      <c r="FR119">
        <f t="shared" si="364"/>
        <v>11156</v>
      </c>
      <c r="FS119">
        <f t="shared" si="365"/>
        <v>0</v>
      </c>
      <c r="FT119">
        <f t="shared" si="366"/>
        <v>0</v>
      </c>
      <c r="FU119">
        <f t="shared" si="367"/>
        <v>0</v>
      </c>
      <c r="FV119">
        <v>0</v>
      </c>
      <c r="FW119">
        <f t="shared" si="368"/>
        <v>0</v>
      </c>
      <c r="FX119" t="b">
        <f t="shared" si="369"/>
        <v>1</v>
      </c>
      <c r="FY119">
        <f t="shared" ca="1" si="370"/>
        <v>902</v>
      </c>
      <c r="FZ119">
        <f t="shared" ca="1" si="371"/>
        <v>556419</v>
      </c>
      <c r="GA119">
        <f t="shared" si="372"/>
        <v>75000</v>
      </c>
      <c r="GB119">
        <f t="shared" ca="1" si="373"/>
        <v>481419</v>
      </c>
      <c r="GC119">
        <f t="shared" ca="1" si="374"/>
        <v>0</v>
      </c>
      <c r="GD119">
        <f t="shared" ca="1" si="375"/>
        <v>0</v>
      </c>
      <c r="GE119">
        <f t="shared" ca="1" si="376"/>
        <v>0</v>
      </c>
      <c r="GF119">
        <f t="shared" ca="1" si="377"/>
        <v>0</v>
      </c>
      <c r="GG119">
        <f t="shared" ca="1" si="378"/>
        <v>0</v>
      </c>
      <c r="GH119">
        <f t="shared" ca="1" si="379"/>
        <v>0</v>
      </c>
      <c r="GI119">
        <f ca="1">IF(GB119&gt;1200000,GB119-1200000-IF(F119="YES",50000,0)-GG119,0)</f>
        <v>0</v>
      </c>
      <c r="GJ119">
        <f t="shared" ca="1" si="380"/>
        <v>0</v>
      </c>
      <c r="GK119">
        <f t="shared" ca="1" si="381"/>
        <v>0</v>
      </c>
      <c r="GL119">
        <f t="shared" ca="1" si="382"/>
        <v>0</v>
      </c>
      <c r="GM119">
        <f t="shared" ca="1" si="383"/>
        <v>81419</v>
      </c>
      <c r="GN119">
        <f t="shared" ca="1" si="384"/>
        <v>4070.9500000000003</v>
      </c>
      <c r="GO119">
        <f t="shared" ca="1" si="385"/>
        <v>4071</v>
      </c>
      <c r="GP119">
        <f t="shared" ca="1" si="386"/>
        <v>0</v>
      </c>
      <c r="GQ119">
        <f t="shared" ca="1" si="387"/>
        <v>0</v>
      </c>
      <c r="GR119">
        <f t="shared" ca="1" si="388"/>
        <v>4071</v>
      </c>
      <c r="GS119">
        <f t="shared" ca="1" si="389"/>
        <v>0</v>
      </c>
      <c r="GT119" t="b">
        <f t="shared" ca="1" si="390"/>
        <v>0</v>
      </c>
      <c r="GU119">
        <f t="shared" ca="1" si="391"/>
        <v>0</v>
      </c>
      <c r="GV119">
        <f t="shared" ca="1" si="392"/>
        <v>4071</v>
      </c>
      <c r="GW119">
        <f t="shared" ca="1" si="393"/>
        <v>0</v>
      </c>
      <c r="GX119">
        <f t="shared" ca="1" si="394"/>
        <v>0</v>
      </c>
      <c r="GY119">
        <f t="shared" ca="1" si="395"/>
        <v>0</v>
      </c>
    </row>
    <row r="120" spans="1:207" x14ac:dyDescent="0.25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1"/>
        <v>6800</v>
      </c>
      <c r="I120">
        <f>_xlfn.XLOOKUP(B120,'[1]march-2026'!$A:$A,'[1]march-2026'!$C:$C,0,0)</f>
        <v>53300</v>
      </c>
      <c r="J120">
        <f t="shared" si="396"/>
        <v>9594</v>
      </c>
      <c r="K120">
        <f t="shared" si="292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3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4"/>
        <v>200</v>
      </c>
      <c r="R120">
        <f t="shared" si="295"/>
        <v>64990</v>
      </c>
      <c r="S120">
        <f>_xlfn.XLOOKUP(B120,'[2]april-2026'!$A:$A,'[2]april-2026'!$C:$C,0,0)</f>
        <v>53300</v>
      </c>
      <c r="T120">
        <f t="shared" si="296"/>
        <v>9594</v>
      </c>
      <c r="U120">
        <f t="shared" si="297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298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299"/>
        <v>200</v>
      </c>
      <c r="AB120">
        <f t="shared" si="300"/>
        <v>64990</v>
      </c>
      <c r="AC120">
        <f>_xlfn.XLOOKUP(B120,'[3]may-2026'!$A:$A,'[3]may-2026'!$C:$C,0,0)</f>
        <v>53300</v>
      </c>
      <c r="AD120">
        <f t="shared" si="301"/>
        <v>9594</v>
      </c>
      <c r="AE120">
        <f t="shared" si="302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3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4"/>
        <v>200</v>
      </c>
      <c r="AL120">
        <f t="shared" si="305"/>
        <v>64990</v>
      </c>
      <c r="AM120">
        <f>_xlfn.XLOOKUP(B120,'[4]june-2026'!$A:$A,'[4]june-2026'!$C:$C,0,0)</f>
        <v>53300</v>
      </c>
      <c r="AN120">
        <f t="shared" si="306"/>
        <v>9594</v>
      </c>
      <c r="AO120">
        <f t="shared" si="307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08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09"/>
        <v>200</v>
      </c>
      <c r="AV120">
        <f t="shared" si="310"/>
        <v>64990</v>
      </c>
      <c r="AW120">
        <f>_xlfn.XLOOKUP(B120,'[5]july-2026'!$A:$A,'[5]july-2026'!$C:$C,0,0)</f>
        <v>54900</v>
      </c>
      <c r="AX120">
        <f t="shared" si="311"/>
        <v>9882</v>
      </c>
      <c r="AY120">
        <v>118</v>
      </c>
      <c r="AZ120">
        <f t="shared" si="312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3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4"/>
        <v>200</v>
      </c>
      <c r="BG120">
        <f t="shared" si="315"/>
        <v>67188</v>
      </c>
      <c r="BH120">
        <f>_xlfn.XLOOKUP(B120,'[6]august-2026'!$A:$A,'[6]august-2026'!$C:$C,0,0)</f>
        <v>54900</v>
      </c>
      <c r="BI120">
        <f t="shared" si="316"/>
        <v>9882</v>
      </c>
      <c r="BJ120">
        <f t="shared" si="317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18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19"/>
        <v>200</v>
      </c>
      <c r="BQ120">
        <f t="shared" si="320"/>
        <v>67070</v>
      </c>
      <c r="BR120">
        <f>_xlfn.XLOOKUP(B120,'[7]september-2026'!$A:$A,'[7]september-2026'!$C:$C,0,0)</f>
        <v>54900</v>
      </c>
      <c r="BS120">
        <f t="shared" si="321"/>
        <v>9882</v>
      </c>
      <c r="BT120">
        <f t="shared" si="322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3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4"/>
        <v>200</v>
      </c>
      <c r="CA120">
        <f t="shared" si="325"/>
        <v>67070</v>
      </c>
      <c r="CB120">
        <f>_xlfn.XLOOKUP(B120,'[8]october-2026'!$A:$A,'[8]october-2026'!$C:$C,0,0)</f>
        <v>54900</v>
      </c>
      <c r="CC120">
        <f t="shared" si="326"/>
        <v>9882</v>
      </c>
      <c r="CD120">
        <f t="shared" si="327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28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29"/>
        <v>200</v>
      </c>
      <c r="CK120">
        <f t="shared" si="330"/>
        <v>67070</v>
      </c>
      <c r="CL120">
        <f>_xlfn.XLOOKUP(B120,'[9]november-2026'!$A:$A,'[9]november-2026'!$C:$C,0,0)</f>
        <v>54900</v>
      </c>
      <c r="CM120">
        <f t="shared" si="331"/>
        <v>9882</v>
      </c>
      <c r="CN120">
        <f t="shared" si="332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3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4"/>
        <v>200</v>
      </c>
      <c r="CU120">
        <f t="shared" si="335"/>
        <v>67070</v>
      </c>
      <c r="CV120">
        <f>_xlfn.XLOOKUP(B120,'[10]december-2026'!$A:$A,'[10]december-2026'!$C:$C,0,0)</f>
        <v>54900</v>
      </c>
      <c r="CW120">
        <f t="shared" si="336"/>
        <v>9882</v>
      </c>
      <c r="CX120">
        <f t="shared" si="337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38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39"/>
        <v>200</v>
      </c>
      <c r="DE120">
        <f t="shared" si="340"/>
        <v>67070</v>
      </c>
      <c r="DF120">
        <f xml:space="preserve"> _xlfn.XLOOKUP(B120,
'[11]january-2027'!$A:$A,
'[11]january-2027'!$C:$C,
0,0)</f>
        <v>54900</v>
      </c>
      <c r="DG120">
        <f t="shared" si="341"/>
        <v>9882</v>
      </c>
      <c r="DH120">
        <f t="shared" si="342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3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4"/>
        <v>200</v>
      </c>
      <c r="DO120">
        <f t="shared" si="345"/>
        <v>67070</v>
      </c>
      <c r="DP120">
        <f xml:space="preserve"> _xlfn.XLOOKUP(B120,
'[12]february-2027'!$A:$A,
'[12]february-2027'!$C:$C,
0,0)</f>
        <v>54900</v>
      </c>
      <c r="DQ120">
        <f t="shared" si="346"/>
        <v>9882</v>
      </c>
      <c r="DR120">
        <f t="shared" si="347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48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49"/>
        <v>200</v>
      </c>
      <c r="DY120">
        <f t="shared" si="350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1"/>
        <v>0</v>
      </c>
      <c r="EM120">
        <f t="shared" si="352"/>
        <v>865838</v>
      </c>
      <c r="EN120">
        <f t="shared" si="353"/>
        <v>2400</v>
      </c>
      <c r="EO120">
        <f t="shared" si="354"/>
        <v>50000</v>
      </c>
      <c r="EP120">
        <v>0</v>
      </c>
      <c r="EQ120">
        <f t="shared" si="355"/>
        <v>813438</v>
      </c>
      <c r="ER120">
        <f t="shared" si="356"/>
        <v>60000</v>
      </c>
      <c r="ES120">
        <f t="shared" si="357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58"/>
        <v>60000</v>
      </c>
      <c r="FE120">
        <f t="shared" si="359"/>
        <v>60000</v>
      </c>
      <c r="FF120">
        <f t="shared" si="360"/>
        <v>753438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>SUM(FG120:FM120)+(IF(F120="YES",50000,0))</f>
        <v>0</v>
      </c>
      <c r="FO120">
        <f t="shared" si="361"/>
        <v>753438</v>
      </c>
      <c r="FP120">
        <f t="shared" si="362"/>
        <v>12500</v>
      </c>
      <c r="FQ120">
        <f t="shared" si="363"/>
        <v>50688</v>
      </c>
      <c r="FR120">
        <f t="shared" si="364"/>
        <v>63188</v>
      </c>
      <c r="FS120">
        <f t="shared" si="365"/>
        <v>63188</v>
      </c>
      <c r="FT120">
        <f t="shared" si="366"/>
        <v>2527.52</v>
      </c>
      <c r="FU120">
        <f t="shared" si="367"/>
        <v>65716</v>
      </c>
      <c r="FV120">
        <v>0</v>
      </c>
      <c r="FW120">
        <f t="shared" si="368"/>
        <v>65716</v>
      </c>
      <c r="FX120" t="b">
        <f t="shared" si="369"/>
        <v>1</v>
      </c>
      <c r="FY120">
        <f t="shared" ca="1" si="370"/>
        <v>914</v>
      </c>
      <c r="FZ120">
        <f t="shared" ca="1" si="371"/>
        <v>866752</v>
      </c>
      <c r="GA120">
        <f t="shared" si="372"/>
        <v>75000</v>
      </c>
      <c r="GB120">
        <f t="shared" ca="1" si="373"/>
        <v>791752</v>
      </c>
      <c r="GC120">
        <f t="shared" ca="1" si="374"/>
        <v>0</v>
      </c>
      <c r="GD120">
        <f t="shared" ca="1" si="375"/>
        <v>0</v>
      </c>
      <c r="GE120">
        <f t="shared" ca="1" si="376"/>
        <v>0</v>
      </c>
      <c r="GF120">
        <f t="shared" ca="1" si="377"/>
        <v>0</v>
      </c>
      <c r="GG120">
        <f t="shared" ca="1" si="378"/>
        <v>0</v>
      </c>
      <c r="GH120">
        <f t="shared" ca="1" si="379"/>
        <v>0</v>
      </c>
      <c r="GI120">
        <f ca="1">IF(GB120&gt;1200000,GB120-1200000-IF(F120="YES",50000,0)-GG120,0)</f>
        <v>0</v>
      </c>
      <c r="GJ120">
        <f t="shared" ca="1" si="380"/>
        <v>0</v>
      </c>
      <c r="GK120">
        <f t="shared" ca="1" si="381"/>
        <v>0</v>
      </c>
      <c r="GL120">
        <f t="shared" ca="1" si="382"/>
        <v>0</v>
      </c>
      <c r="GM120">
        <f t="shared" ca="1" si="383"/>
        <v>391752</v>
      </c>
      <c r="GN120">
        <f t="shared" ca="1" si="384"/>
        <v>19587.600000000002</v>
      </c>
      <c r="GO120">
        <f t="shared" ca="1" si="385"/>
        <v>19588</v>
      </c>
      <c r="GP120">
        <f t="shared" ca="1" si="386"/>
        <v>0</v>
      </c>
      <c r="GQ120">
        <f t="shared" ca="1" si="387"/>
        <v>0</v>
      </c>
      <c r="GR120">
        <f t="shared" ca="1" si="388"/>
        <v>19588</v>
      </c>
      <c r="GS120">
        <f t="shared" ca="1" si="389"/>
        <v>0</v>
      </c>
      <c r="GT120" t="b">
        <f t="shared" ca="1" si="390"/>
        <v>0</v>
      </c>
      <c r="GU120">
        <f t="shared" ca="1" si="391"/>
        <v>0</v>
      </c>
      <c r="GV120">
        <f t="shared" ca="1" si="392"/>
        <v>19588</v>
      </c>
      <c r="GW120">
        <f t="shared" ca="1" si="393"/>
        <v>0</v>
      </c>
      <c r="GX120">
        <f t="shared" ca="1" si="394"/>
        <v>0</v>
      </c>
      <c r="GY120">
        <f t="shared" ca="1" si="395"/>
        <v>0</v>
      </c>
    </row>
    <row r="121" spans="1:207" x14ac:dyDescent="0.25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1"/>
        <v>6800</v>
      </c>
      <c r="I121">
        <f>_xlfn.XLOOKUP(B121,'[1]march-2026'!$A:$A,'[1]march-2026'!$C:$C,0,0)</f>
        <v>48700</v>
      </c>
      <c r="J121">
        <f t="shared" si="396"/>
        <v>8766</v>
      </c>
      <c r="K121">
        <f t="shared" si="292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3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4"/>
        <v>200</v>
      </c>
      <c r="R121">
        <f t="shared" si="295"/>
        <v>57110</v>
      </c>
      <c r="S121">
        <f>_xlfn.XLOOKUP(B121,'[2]april-2026'!$A:$A,'[2]april-2026'!$C:$C,0,0)</f>
        <v>48700</v>
      </c>
      <c r="T121">
        <f t="shared" si="296"/>
        <v>8766</v>
      </c>
      <c r="U121">
        <f t="shared" si="297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298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299"/>
        <v>200</v>
      </c>
      <c r="AB121">
        <f t="shared" si="300"/>
        <v>57110</v>
      </c>
      <c r="AC121">
        <f>_xlfn.XLOOKUP(B121,'[3]may-2026'!$A:$A,'[3]may-2026'!$C:$C,0,0)</f>
        <v>48700</v>
      </c>
      <c r="AD121">
        <f t="shared" si="301"/>
        <v>8766</v>
      </c>
      <c r="AE121">
        <f t="shared" si="302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3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4"/>
        <v>200</v>
      </c>
      <c r="AL121">
        <f t="shared" si="305"/>
        <v>57110</v>
      </c>
      <c r="AM121">
        <f>_xlfn.XLOOKUP(B121,'[4]june-2026'!$A:$A,'[4]june-2026'!$C:$C,0,0)</f>
        <v>48700</v>
      </c>
      <c r="AN121">
        <f t="shared" si="306"/>
        <v>8766</v>
      </c>
      <c r="AO121">
        <f t="shared" si="307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08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09"/>
        <v>200</v>
      </c>
      <c r="AV121">
        <f t="shared" si="310"/>
        <v>57110</v>
      </c>
      <c r="AW121">
        <f>_xlfn.XLOOKUP(B121,'[5]july-2026'!$A:$A,'[5]july-2026'!$C:$C,0,0)</f>
        <v>50200</v>
      </c>
      <c r="AX121">
        <f t="shared" si="311"/>
        <v>9036</v>
      </c>
      <c r="AY121">
        <v>119</v>
      </c>
      <c r="AZ121">
        <f t="shared" si="312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3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4"/>
        <v>200</v>
      </c>
      <c r="BG121">
        <f t="shared" si="315"/>
        <v>59179</v>
      </c>
      <c r="BH121">
        <f>_xlfn.XLOOKUP(B121,'[6]august-2026'!$A:$A,'[6]august-2026'!$C:$C,0,0)</f>
        <v>50200</v>
      </c>
      <c r="BI121">
        <f t="shared" si="316"/>
        <v>9036</v>
      </c>
      <c r="BJ121">
        <f t="shared" si="317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18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19"/>
        <v>200</v>
      </c>
      <c r="BQ121">
        <f t="shared" si="320"/>
        <v>59060</v>
      </c>
      <c r="BR121">
        <f>_xlfn.XLOOKUP(B121,'[7]september-2026'!$A:$A,'[7]september-2026'!$C:$C,0,0)</f>
        <v>50200</v>
      </c>
      <c r="BS121">
        <f t="shared" si="321"/>
        <v>9036</v>
      </c>
      <c r="BT121">
        <f t="shared" si="322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3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4"/>
        <v>200</v>
      </c>
      <c r="CA121">
        <f t="shared" si="325"/>
        <v>59060</v>
      </c>
      <c r="CB121">
        <f>_xlfn.XLOOKUP(B121,'[8]october-2026'!$A:$A,'[8]october-2026'!$C:$C,0,0)</f>
        <v>50200</v>
      </c>
      <c r="CC121">
        <f t="shared" si="326"/>
        <v>9036</v>
      </c>
      <c r="CD121">
        <f t="shared" si="327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28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29"/>
        <v>200</v>
      </c>
      <c r="CK121">
        <f t="shared" si="330"/>
        <v>59060</v>
      </c>
      <c r="CL121">
        <f>_xlfn.XLOOKUP(B121,'[9]november-2026'!$A:$A,'[9]november-2026'!$C:$C,0,0)</f>
        <v>50200</v>
      </c>
      <c r="CM121">
        <f t="shared" si="331"/>
        <v>9036</v>
      </c>
      <c r="CN121">
        <f t="shared" si="332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3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4"/>
        <v>200</v>
      </c>
      <c r="CU121">
        <f t="shared" si="335"/>
        <v>59060</v>
      </c>
      <c r="CV121">
        <f>_xlfn.XLOOKUP(B121,'[10]december-2026'!$A:$A,'[10]december-2026'!$C:$C,0,0)</f>
        <v>50200</v>
      </c>
      <c r="CW121">
        <f t="shared" si="336"/>
        <v>9036</v>
      </c>
      <c r="CX121">
        <f t="shared" si="337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38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39"/>
        <v>200</v>
      </c>
      <c r="DE121">
        <f t="shared" si="340"/>
        <v>59060</v>
      </c>
      <c r="DF121">
        <f xml:space="preserve"> _xlfn.XLOOKUP(B121,
'[11]january-2027'!$A:$A,
'[11]january-2027'!$C:$C,
0,0)</f>
        <v>50200</v>
      </c>
      <c r="DG121">
        <f t="shared" si="341"/>
        <v>9036</v>
      </c>
      <c r="DH121">
        <f t="shared" si="342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3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4"/>
        <v>200</v>
      </c>
      <c r="DO121">
        <f t="shared" si="345"/>
        <v>59060</v>
      </c>
      <c r="DP121">
        <f xml:space="preserve"> _xlfn.XLOOKUP(B121,
'[12]february-2027'!$A:$A,
'[12]february-2027'!$C:$C,
0,0)</f>
        <v>50200</v>
      </c>
      <c r="DQ121">
        <f t="shared" si="346"/>
        <v>9036</v>
      </c>
      <c r="DR121">
        <f t="shared" si="347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48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49"/>
        <v>200</v>
      </c>
      <c r="DY121">
        <f t="shared" si="350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1"/>
        <v>0</v>
      </c>
      <c r="EM121">
        <f t="shared" si="352"/>
        <v>782239</v>
      </c>
      <c r="EN121">
        <f t="shared" si="353"/>
        <v>2400</v>
      </c>
      <c r="EO121">
        <f t="shared" si="354"/>
        <v>50000</v>
      </c>
      <c r="EP121">
        <v>0</v>
      </c>
      <c r="EQ121">
        <f t="shared" si="355"/>
        <v>729839</v>
      </c>
      <c r="ER121">
        <f t="shared" si="356"/>
        <v>72000</v>
      </c>
      <c r="ES121">
        <f t="shared" si="357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58"/>
        <v>72000</v>
      </c>
      <c r="FE121">
        <f t="shared" si="359"/>
        <v>72000</v>
      </c>
      <c r="FF121">
        <f t="shared" si="360"/>
        <v>657839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>SUM(FG121:FM121)+(IF(F121="YES",50000,0))</f>
        <v>0</v>
      </c>
      <c r="FO121">
        <f t="shared" si="361"/>
        <v>657839</v>
      </c>
      <c r="FP121">
        <f t="shared" si="362"/>
        <v>12500</v>
      </c>
      <c r="FQ121">
        <f t="shared" si="363"/>
        <v>31568</v>
      </c>
      <c r="FR121">
        <f t="shared" si="364"/>
        <v>44068</v>
      </c>
      <c r="FS121">
        <f t="shared" si="365"/>
        <v>44068</v>
      </c>
      <c r="FT121">
        <f t="shared" si="366"/>
        <v>1762.72</v>
      </c>
      <c r="FU121">
        <f t="shared" si="367"/>
        <v>45831</v>
      </c>
      <c r="FV121">
        <v>0</v>
      </c>
      <c r="FW121">
        <f t="shared" si="368"/>
        <v>45831</v>
      </c>
      <c r="FX121" t="b">
        <f t="shared" si="369"/>
        <v>1</v>
      </c>
      <c r="FY121">
        <f t="shared" ca="1" si="370"/>
        <v>866</v>
      </c>
      <c r="FZ121">
        <f t="shared" ca="1" si="371"/>
        <v>783105</v>
      </c>
      <c r="GA121">
        <f t="shared" si="372"/>
        <v>75000</v>
      </c>
      <c r="GB121">
        <f t="shared" ca="1" si="373"/>
        <v>708105</v>
      </c>
      <c r="GC121">
        <f t="shared" ca="1" si="374"/>
        <v>0</v>
      </c>
      <c r="GD121">
        <f t="shared" ca="1" si="375"/>
        <v>0</v>
      </c>
      <c r="GE121">
        <f t="shared" ca="1" si="376"/>
        <v>0</v>
      </c>
      <c r="GF121">
        <f t="shared" ca="1" si="377"/>
        <v>0</v>
      </c>
      <c r="GG121">
        <f t="shared" ca="1" si="378"/>
        <v>0</v>
      </c>
      <c r="GH121">
        <f t="shared" ca="1" si="379"/>
        <v>0</v>
      </c>
      <c r="GI121">
        <f ca="1">IF(GB121&gt;1200000,GB121-1200000-IF(F121="YES",50000,0)-GG121,0)</f>
        <v>0</v>
      </c>
      <c r="GJ121">
        <f t="shared" ca="1" si="380"/>
        <v>0</v>
      </c>
      <c r="GK121">
        <f t="shared" ca="1" si="381"/>
        <v>0</v>
      </c>
      <c r="GL121">
        <f t="shared" ca="1" si="382"/>
        <v>0</v>
      </c>
      <c r="GM121">
        <f t="shared" ca="1" si="383"/>
        <v>308105</v>
      </c>
      <c r="GN121">
        <f t="shared" ca="1" si="384"/>
        <v>15405.25</v>
      </c>
      <c r="GO121">
        <f t="shared" ca="1" si="385"/>
        <v>15405</v>
      </c>
      <c r="GP121">
        <f t="shared" ca="1" si="386"/>
        <v>0</v>
      </c>
      <c r="GQ121">
        <f t="shared" ca="1" si="387"/>
        <v>0</v>
      </c>
      <c r="GR121">
        <f t="shared" ca="1" si="388"/>
        <v>15405</v>
      </c>
      <c r="GS121">
        <f t="shared" ca="1" si="389"/>
        <v>0</v>
      </c>
      <c r="GT121" t="b">
        <f t="shared" ca="1" si="390"/>
        <v>0</v>
      </c>
      <c r="GU121">
        <f t="shared" ca="1" si="391"/>
        <v>0</v>
      </c>
      <c r="GV121">
        <f t="shared" ca="1" si="392"/>
        <v>15405</v>
      </c>
      <c r="GW121">
        <f t="shared" ca="1" si="393"/>
        <v>0</v>
      </c>
      <c r="GX121">
        <f t="shared" ca="1" si="394"/>
        <v>0</v>
      </c>
      <c r="GY121">
        <f t="shared" ca="1" si="395"/>
        <v>0</v>
      </c>
    </row>
    <row r="122" spans="1:207" x14ac:dyDescent="0.25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1"/>
        <v>6800</v>
      </c>
      <c r="I122">
        <f>_xlfn.XLOOKUP(B122,'[1]march-2026'!$A:$A,'[1]march-2026'!$C:$C,0,0)</f>
        <v>35500</v>
      </c>
      <c r="J122">
        <f t="shared" si="396"/>
        <v>6390</v>
      </c>
      <c r="K122">
        <f t="shared" si="292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3"/>
        <v>46150</v>
      </c>
      <c r="O122">
        <f>_xlfn.XLOOKUP(B122,'[1]march-2026'!$A:$A,'[1]march-2026'!$H:$H,0,0)</f>
        <v>5000</v>
      </c>
      <c r="P122">
        <f>_xlfn.XLOOKUP(B122,'[1]march-2026'!$A:$A,'[1]march-2026'!$I:$I,0,0)</f>
        <v>0</v>
      </c>
      <c r="Q122">
        <f t="shared" si="294"/>
        <v>200</v>
      </c>
      <c r="R122">
        <f t="shared" si="295"/>
        <v>40950</v>
      </c>
      <c r="S122">
        <f>_xlfn.XLOOKUP(B122,'[2]april-2026'!$A:$A,'[2]april-2026'!$C:$C,0,0)</f>
        <v>35500</v>
      </c>
      <c r="T122">
        <f t="shared" si="296"/>
        <v>6390</v>
      </c>
      <c r="U122">
        <f t="shared" si="297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298"/>
        <v>46150</v>
      </c>
      <c r="Y122">
        <f>_xlfn.XLOOKUP(B122,'[2]april-2026'!$A:$A,'[2]april-2026'!$H:$H,0,0)</f>
        <v>5000</v>
      </c>
      <c r="Z122">
        <f>_xlfn.XLOOKUP(B122,'[2]april-2026'!$A:$A,'[2]april-2026'!$I:$I,0,0)</f>
        <v>0</v>
      </c>
      <c r="AA122">
        <f t="shared" si="299"/>
        <v>200</v>
      </c>
      <c r="AB122">
        <f t="shared" si="300"/>
        <v>40950</v>
      </c>
      <c r="AC122">
        <f>_xlfn.XLOOKUP(B122,'[3]may-2026'!$A:$A,'[3]may-2026'!$C:$C,0,0)</f>
        <v>35500</v>
      </c>
      <c r="AD122">
        <f t="shared" si="301"/>
        <v>6390</v>
      </c>
      <c r="AE122">
        <f t="shared" si="302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3"/>
        <v>46150</v>
      </c>
      <c r="AI122">
        <f>_xlfn.XLOOKUP(B122,'[3]may-2026'!$A:$A,'[3]may-2026'!$H:$H,0,0)</f>
        <v>5000</v>
      </c>
      <c r="AJ122">
        <f>_xlfn.XLOOKUP(B122,'[3]may-2026'!$A:$A,'[3]may-2026'!$I:$I,0,0)</f>
        <v>0</v>
      </c>
      <c r="AK122">
        <f t="shared" si="304"/>
        <v>200</v>
      </c>
      <c r="AL122">
        <f t="shared" si="305"/>
        <v>40950</v>
      </c>
      <c r="AM122">
        <f>_xlfn.XLOOKUP(B122,'[4]june-2026'!$A:$A,'[4]june-2026'!$C:$C,0,0)</f>
        <v>35500</v>
      </c>
      <c r="AN122">
        <f t="shared" si="306"/>
        <v>6390</v>
      </c>
      <c r="AO122">
        <f t="shared" si="307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08"/>
        <v>46150</v>
      </c>
      <c r="AS122">
        <f>_xlfn.XLOOKUP(B122,'[4]june-2026'!$A:$A,'[4]june-2026'!$H:$H,0,0)</f>
        <v>5000</v>
      </c>
      <c r="AT122">
        <f>_xlfn.XLOOKUP(B122,'[4]june-2026'!$A:$A,'[4]june-2026'!$I:$I,0,0)</f>
        <v>0</v>
      </c>
      <c r="AU122">
        <f t="shared" si="309"/>
        <v>200</v>
      </c>
      <c r="AV122">
        <f t="shared" si="310"/>
        <v>40950</v>
      </c>
      <c r="AW122">
        <f>_xlfn.XLOOKUP(B122,'[5]july-2026'!$A:$A,'[5]july-2026'!$C:$C,0,0)</f>
        <v>36600</v>
      </c>
      <c r="AX122">
        <f t="shared" si="311"/>
        <v>6588</v>
      </c>
      <c r="AY122">
        <v>120</v>
      </c>
      <c r="AZ122">
        <f t="shared" si="312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3"/>
        <v>47700</v>
      </c>
      <c r="BD122">
        <f>_xlfn.XLOOKUP(B122,'[5]july-2026'!$A:$A,'[5]july-2026'!$H:$H,0,0)</f>
        <v>5000</v>
      </c>
      <c r="BE122">
        <f>_xlfn.XLOOKUP(B122,'[5]july-2026'!$A:$A,'[5]july-2026'!$I:$I,0,0)</f>
        <v>0</v>
      </c>
      <c r="BF122">
        <f t="shared" si="314"/>
        <v>200</v>
      </c>
      <c r="BG122">
        <f t="shared" si="315"/>
        <v>42500</v>
      </c>
      <c r="BH122">
        <f>_xlfn.XLOOKUP(B122,'[6]august-2026'!$A:$A,'[6]august-2026'!$C:$C,0,0)</f>
        <v>36600</v>
      </c>
      <c r="BI122">
        <f t="shared" si="316"/>
        <v>6588</v>
      </c>
      <c r="BJ122">
        <f t="shared" si="317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18"/>
        <v>47580</v>
      </c>
      <c r="BN122">
        <f>_xlfn.XLOOKUP(B122,'[6]august-2026'!$A:$A,'[6]august-2026'!$H:$H,0,0)</f>
        <v>5000</v>
      </c>
      <c r="BO122">
        <f>_xlfn.XLOOKUP(B122,'[6]august-2026'!$A:$A,'[6]august-2026'!$I:$I,0,0)</f>
        <v>0</v>
      </c>
      <c r="BP122">
        <f t="shared" si="319"/>
        <v>200</v>
      </c>
      <c r="BQ122">
        <f t="shared" si="320"/>
        <v>42380</v>
      </c>
      <c r="BR122">
        <f>_xlfn.XLOOKUP(B122,'[7]september-2026'!$A:$A,'[7]september-2026'!$C:$C,0,0)</f>
        <v>36600</v>
      </c>
      <c r="BS122">
        <f t="shared" si="321"/>
        <v>6588</v>
      </c>
      <c r="BT122">
        <f t="shared" si="322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3"/>
        <v>47580</v>
      </c>
      <c r="BX122">
        <f>_xlfn.XLOOKUP(B122,'[7]september-2026'!$A:$A,'[7]september-2026'!$H:$H,0,0)</f>
        <v>5000</v>
      </c>
      <c r="BY122">
        <f>_xlfn.XLOOKUP(B122,'[7]september-2026'!$A:$A,'[7]september-2026'!$I:$I,0,0)</f>
        <v>0</v>
      </c>
      <c r="BZ122">
        <f t="shared" si="324"/>
        <v>200</v>
      </c>
      <c r="CA122">
        <f t="shared" si="325"/>
        <v>42380</v>
      </c>
      <c r="CB122">
        <f>_xlfn.XLOOKUP(B122,'[8]october-2026'!$A:$A,'[8]october-2026'!$C:$C,0,0)</f>
        <v>36600</v>
      </c>
      <c r="CC122">
        <f t="shared" si="326"/>
        <v>6588</v>
      </c>
      <c r="CD122">
        <f t="shared" si="327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28"/>
        <v>47580</v>
      </c>
      <c r="CH122">
        <f>_xlfn.XLOOKUP(B122,'[8]october-2026'!$A:$A,'[8]october-2026'!$H:$H,0,0)</f>
        <v>5000</v>
      </c>
      <c r="CI122">
        <f>_xlfn.XLOOKUP(B122,'[8]october-2026'!$A:$A,'[8]october-2026'!$I:$I,0,0)</f>
        <v>0</v>
      </c>
      <c r="CJ122">
        <f t="shared" si="329"/>
        <v>200</v>
      </c>
      <c r="CK122">
        <f t="shared" si="330"/>
        <v>42380</v>
      </c>
      <c r="CL122">
        <f>_xlfn.XLOOKUP(B122,'[9]november-2026'!$A:$A,'[9]november-2026'!$C:$C,0,0)</f>
        <v>36600</v>
      </c>
      <c r="CM122">
        <f t="shared" si="331"/>
        <v>6588</v>
      </c>
      <c r="CN122">
        <f t="shared" si="332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3"/>
        <v>47580</v>
      </c>
      <c r="CR122">
        <f>_xlfn.XLOOKUP(B122,'[9]november-2026'!$A:$A,'[9]november-2026'!$H:$H,0,0)</f>
        <v>5000</v>
      </c>
      <c r="CS122">
        <f>_xlfn.XLOOKUP(B122,'[9]november-2026'!$A:$A,'[9]november-2026'!$I:$I,0,0)</f>
        <v>0</v>
      </c>
      <c r="CT122">
        <f t="shared" si="334"/>
        <v>200</v>
      </c>
      <c r="CU122">
        <f t="shared" si="335"/>
        <v>42380</v>
      </c>
      <c r="CV122">
        <f>_xlfn.XLOOKUP(B122,'[10]december-2026'!$A:$A,'[10]december-2026'!$C:$C,0,0)</f>
        <v>36600</v>
      </c>
      <c r="CW122">
        <f t="shared" si="336"/>
        <v>6588</v>
      </c>
      <c r="CX122">
        <f t="shared" si="337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38"/>
        <v>47580</v>
      </c>
      <c r="DB122">
        <f>_xlfn.XLOOKUP(B122,'[10]december-2026'!$A:$A,'[10]december-2026'!$H:$H,0,0)</f>
        <v>5000</v>
      </c>
      <c r="DC122">
        <f>_xlfn.XLOOKUP(B122,'[10]december-2026'!$A:$A,'[10]december-2026'!$I:$I,0,0)</f>
        <v>0</v>
      </c>
      <c r="DD122">
        <f t="shared" si="339"/>
        <v>200</v>
      </c>
      <c r="DE122">
        <f t="shared" si="340"/>
        <v>42380</v>
      </c>
      <c r="DF122">
        <f xml:space="preserve"> _xlfn.XLOOKUP(B122,
'[11]january-2027'!$A:$A,
'[11]january-2027'!$C:$C,
0,0)</f>
        <v>36600</v>
      </c>
      <c r="DG122">
        <f t="shared" si="341"/>
        <v>6588</v>
      </c>
      <c r="DH122">
        <f t="shared" si="342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3"/>
        <v>47580</v>
      </c>
      <c r="DL122">
        <f xml:space="preserve"> _xlfn.XLOOKUP(B122,
'[11]january-2027'!$A:$A,
'[11]january-2027'!$H:$H,
0,0)</f>
        <v>5000</v>
      </c>
      <c r="DM122">
        <f xml:space="preserve"> _xlfn.XLOOKUP(B122,
'[11]january-2027'!$A:$A,
'[11]january-2027'!$I:$I,
0,0)</f>
        <v>0</v>
      </c>
      <c r="DN122">
        <f t="shared" si="344"/>
        <v>200</v>
      </c>
      <c r="DO122">
        <f t="shared" si="345"/>
        <v>42380</v>
      </c>
      <c r="DP122">
        <f xml:space="preserve"> _xlfn.XLOOKUP(B122,
'[12]february-2027'!$A:$A,
'[12]february-2027'!$C:$C,
0,0)</f>
        <v>36600</v>
      </c>
      <c r="DQ122">
        <f t="shared" si="346"/>
        <v>6588</v>
      </c>
      <c r="DR122">
        <f t="shared" si="347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48"/>
        <v>47580</v>
      </c>
      <c r="DV122">
        <f xml:space="preserve"> _xlfn.XLOOKUP(B122,
'[12]february-2027'!$A:$A,
'[12]february-2027'!$H:$H,
0,0)</f>
        <v>5000</v>
      </c>
      <c r="DW122">
        <f xml:space="preserve"> _xlfn.XLOOKUP(B122,
'[12]february-2027'!$A:$A,
'[12]february-2027'!$I:$I,
0,0)</f>
        <v>0</v>
      </c>
      <c r="DX122">
        <f t="shared" si="349"/>
        <v>200</v>
      </c>
      <c r="DY122">
        <f t="shared" si="350"/>
        <v>42380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1"/>
        <v>0</v>
      </c>
      <c r="EM122">
        <f t="shared" si="352"/>
        <v>572160</v>
      </c>
      <c r="EN122">
        <f t="shared" si="353"/>
        <v>2400</v>
      </c>
      <c r="EO122">
        <f t="shared" si="354"/>
        <v>50000</v>
      </c>
      <c r="EP122">
        <v>0</v>
      </c>
      <c r="EQ122">
        <f t="shared" si="355"/>
        <v>519760</v>
      </c>
      <c r="ER122">
        <f t="shared" si="356"/>
        <v>60000</v>
      </c>
      <c r="ES122">
        <f t="shared" si="357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58"/>
        <v>60000</v>
      </c>
      <c r="FE122">
        <f t="shared" si="359"/>
        <v>60000</v>
      </c>
      <c r="FF122">
        <f t="shared" si="360"/>
        <v>459760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>SUM(FG122:FM122)+(IF(F122="YES",50000,0))</f>
        <v>0</v>
      </c>
      <c r="FO122">
        <f t="shared" si="361"/>
        <v>459760</v>
      </c>
      <c r="FP122">
        <f t="shared" si="362"/>
        <v>10488</v>
      </c>
      <c r="FQ122">
        <f t="shared" si="363"/>
        <v>0</v>
      </c>
      <c r="FR122">
        <f t="shared" si="364"/>
        <v>10488</v>
      </c>
      <c r="FS122">
        <f t="shared" si="365"/>
        <v>0</v>
      </c>
      <c r="FT122">
        <f t="shared" si="366"/>
        <v>0</v>
      </c>
      <c r="FU122">
        <f t="shared" si="367"/>
        <v>0</v>
      </c>
      <c r="FV122">
        <v>0</v>
      </c>
      <c r="FW122">
        <f t="shared" si="368"/>
        <v>0</v>
      </c>
      <c r="FX122" t="b">
        <f t="shared" si="369"/>
        <v>1</v>
      </c>
      <c r="FY122">
        <f t="shared" ca="1" si="370"/>
        <v>701</v>
      </c>
      <c r="FZ122">
        <f t="shared" ca="1" si="371"/>
        <v>572861</v>
      </c>
      <c r="GA122">
        <f t="shared" si="372"/>
        <v>75000</v>
      </c>
      <c r="GB122">
        <f t="shared" ca="1" si="373"/>
        <v>497861</v>
      </c>
      <c r="GC122">
        <f t="shared" ca="1" si="374"/>
        <v>0</v>
      </c>
      <c r="GD122">
        <f t="shared" ca="1" si="375"/>
        <v>0</v>
      </c>
      <c r="GE122">
        <f t="shared" ca="1" si="376"/>
        <v>0</v>
      </c>
      <c r="GF122">
        <f t="shared" ca="1" si="377"/>
        <v>0</v>
      </c>
      <c r="GG122">
        <f t="shared" ca="1" si="378"/>
        <v>0</v>
      </c>
      <c r="GH122">
        <f t="shared" ca="1" si="379"/>
        <v>0</v>
      </c>
      <c r="GI122">
        <f ca="1">IF(GB122&gt;1200000,GB122-1200000-IF(F122="YES",50000,0)-GG122,0)</f>
        <v>0</v>
      </c>
      <c r="GJ122">
        <f t="shared" ca="1" si="380"/>
        <v>0</v>
      </c>
      <c r="GK122">
        <f t="shared" ca="1" si="381"/>
        <v>0</v>
      </c>
      <c r="GL122">
        <f t="shared" ca="1" si="382"/>
        <v>0</v>
      </c>
      <c r="GM122">
        <f t="shared" ca="1" si="383"/>
        <v>97861</v>
      </c>
      <c r="GN122">
        <f t="shared" ca="1" si="384"/>
        <v>4893.05</v>
      </c>
      <c r="GO122">
        <f t="shared" ca="1" si="385"/>
        <v>4893</v>
      </c>
      <c r="GP122">
        <f t="shared" ca="1" si="386"/>
        <v>0</v>
      </c>
      <c r="GQ122">
        <f t="shared" ca="1" si="387"/>
        <v>0</v>
      </c>
      <c r="GR122">
        <f t="shared" ca="1" si="388"/>
        <v>4893</v>
      </c>
      <c r="GS122">
        <f t="shared" ca="1" si="389"/>
        <v>0</v>
      </c>
      <c r="GT122" t="b">
        <f t="shared" ca="1" si="390"/>
        <v>0</v>
      </c>
      <c r="GU122">
        <f t="shared" ca="1" si="391"/>
        <v>0</v>
      </c>
      <c r="GV122">
        <f t="shared" ca="1" si="392"/>
        <v>4893</v>
      </c>
      <c r="GW122">
        <f t="shared" ca="1" si="393"/>
        <v>0</v>
      </c>
      <c r="GX122">
        <f t="shared" ca="1" si="394"/>
        <v>0</v>
      </c>
      <c r="GY122">
        <f t="shared" ca="1" si="395"/>
        <v>0</v>
      </c>
    </row>
    <row r="123" spans="1:207" x14ac:dyDescent="0.25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1"/>
        <v>6800</v>
      </c>
      <c r="I123">
        <f>_xlfn.XLOOKUP(B123,'[1]march-2026'!$A:$A,'[1]march-2026'!$C:$C,0,0)</f>
        <v>35500</v>
      </c>
      <c r="J123">
        <f t="shared" si="396"/>
        <v>6390</v>
      </c>
      <c r="K123">
        <f t="shared" si="292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3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4"/>
        <v>200</v>
      </c>
      <c r="R123">
        <f t="shared" si="295"/>
        <v>41450</v>
      </c>
      <c r="S123">
        <f>_xlfn.XLOOKUP(B123,'[2]april-2026'!$A:$A,'[2]april-2026'!$C:$C,0,0)</f>
        <v>35500</v>
      </c>
      <c r="T123">
        <f t="shared" si="296"/>
        <v>6390</v>
      </c>
      <c r="U123">
        <f t="shared" si="297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298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299"/>
        <v>200</v>
      </c>
      <c r="AB123">
        <f t="shared" si="300"/>
        <v>41450</v>
      </c>
      <c r="AC123">
        <f>_xlfn.XLOOKUP(B123,'[3]may-2026'!$A:$A,'[3]may-2026'!$C:$C,0,0)</f>
        <v>35500</v>
      </c>
      <c r="AD123">
        <f t="shared" si="301"/>
        <v>6390</v>
      </c>
      <c r="AE123">
        <f t="shared" si="302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3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4"/>
        <v>200</v>
      </c>
      <c r="AL123">
        <f t="shared" si="305"/>
        <v>41450</v>
      </c>
      <c r="AM123">
        <f>_xlfn.XLOOKUP(B123,'[4]june-2026'!$A:$A,'[4]june-2026'!$C:$C,0,0)</f>
        <v>35500</v>
      </c>
      <c r="AN123">
        <f t="shared" si="306"/>
        <v>6390</v>
      </c>
      <c r="AO123">
        <f t="shared" si="307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08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09"/>
        <v>200</v>
      </c>
      <c r="AV123">
        <f t="shared" si="310"/>
        <v>41450</v>
      </c>
      <c r="AW123">
        <f>_xlfn.XLOOKUP(B123,'[5]july-2026'!$A:$A,'[5]july-2026'!$C:$C,0,0)</f>
        <v>36600</v>
      </c>
      <c r="AX123">
        <f t="shared" si="311"/>
        <v>6588</v>
      </c>
      <c r="AY123">
        <v>121</v>
      </c>
      <c r="AZ123">
        <f t="shared" si="312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3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4"/>
        <v>200</v>
      </c>
      <c r="BG123">
        <f t="shared" si="315"/>
        <v>43001</v>
      </c>
      <c r="BH123">
        <f>_xlfn.XLOOKUP(B123,'[6]august-2026'!$A:$A,'[6]august-2026'!$C:$C,0,0)</f>
        <v>36600</v>
      </c>
      <c r="BI123">
        <f t="shared" si="316"/>
        <v>6588</v>
      </c>
      <c r="BJ123">
        <f t="shared" si="317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18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19"/>
        <v>200</v>
      </c>
      <c r="BQ123">
        <f t="shared" si="320"/>
        <v>42880</v>
      </c>
      <c r="BR123">
        <f>_xlfn.XLOOKUP(B123,'[7]september-2026'!$A:$A,'[7]september-2026'!$C:$C,0,0)</f>
        <v>36600</v>
      </c>
      <c r="BS123">
        <f t="shared" si="321"/>
        <v>6588</v>
      </c>
      <c r="BT123">
        <f t="shared" si="322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3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4"/>
        <v>200</v>
      </c>
      <c r="CA123">
        <f t="shared" si="325"/>
        <v>42880</v>
      </c>
      <c r="CB123">
        <f>_xlfn.XLOOKUP(B123,'[8]october-2026'!$A:$A,'[8]october-2026'!$C:$C,0,0)</f>
        <v>36600</v>
      </c>
      <c r="CC123">
        <f t="shared" si="326"/>
        <v>6588</v>
      </c>
      <c r="CD123">
        <f t="shared" si="327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28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29"/>
        <v>200</v>
      </c>
      <c r="CK123">
        <f t="shared" si="330"/>
        <v>42880</v>
      </c>
      <c r="CL123">
        <f>_xlfn.XLOOKUP(B123,'[9]november-2026'!$A:$A,'[9]november-2026'!$C:$C,0,0)</f>
        <v>36600</v>
      </c>
      <c r="CM123">
        <f t="shared" si="331"/>
        <v>6588</v>
      </c>
      <c r="CN123">
        <f t="shared" si="332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3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4"/>
        <v>200</v>
      </c>
      <c r="CU123">
        <f t="shared" si="335"/>
        <v>42880</v>
      </c>
      <c r="CV123">
        <f>_xlfn.XLOOKUP(B123,'[10]december-2026'!$A:$A,'[10]december-2026'!$C:$C,0,0)</f>
        <v>36600</v>
      </c>
      <c r="CW123">
        <f t="shared" si="336"/>
        <v>6588</v>
      </c>
      <c r="CX123">
        <f t="shared" si="337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38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39"/>
        <v>200</v>
      </c>
      <c r="DE123">
        <f t="shared" si="340"/>
        <v>42880</v>
      </c>
      <c r="DF123">
        <f xml:space="preserve"> _xlfn.XLOOKUP(B123,
'[11]january-2027'!$A:$A,
'[11]january-2027'!$C:$C,
0,0)</f>
        <v>36600</v>
      </c>
      <c r="DG123">
        <f t="shared" si="341"/>
        <v>6588</v>
      </c>
      <c r="DH123">
        <f t="shared" si="342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3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4"/>
        <v>200</v>
      </c>
      <c r="DO123">
        <f t="shared" si="345"/>
        <v>42880</v>
      </c>
      <c r="DP123">
        <f xml:space="preserve"> _xlfn.XLOOKUP(B123,
'[12]february-2027'!$A:$A,
'[12]february-2027'!$C:$C,
0,0)</f>
        <v>36600</v>
      </c>
      <c r="DQ123">
        <f t="shared" si="346"/>
        <v>6588</v>
      </c>
      <c r="DR123">
        <f t="shared" si="347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48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49"/>
        <v>200</v>
      </c>
      <c r="DY123">
        <f t="shared" si="350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1"/>
        <v>0</v>
      </c>
      <c r="EM123">
        <f t="shared" si="352"/>
        <v>578161</v>
      </c>
      <c r="EN123">
        <f t="shared" si="353"/>
        <v>2400</v>
      </c>
      <c r="EO123">
        <f t="shared" si="354"/>
        <v>50000</v>
      </c>
      <c r="EP123">
        <v>0</v>
      </c>
      <c r="EQ123">
        <f t="shared" si="355"/>
        <v>525761</v>
      </c>
      <c r="ER123">
        <f t="shared" si="356"/>
        <v>60000</v>
      </c>
      <c r="ES123">
        <f t="shared" si="357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58"/>
        <v>60000</v>
      </c>
      <c r="FE123">
        <f t="shared" si="359"/>
        <v>60000</v>
      </c>
      <c r="FF123">
        <f t="shared" si="360"/>
        <v>465761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>SUM(FG123:FM123)+(IF(F123="YES",50000,0))</f>
        <v>0</v>
      </c>
      <c r="FO123">
        <f t="shared" si="361"/>
        <v>465761</v>
      </c>
      <c r="FP123">
        <f t="shared" si="362"/>
        <v>10788</v>
      </c>
      <c r="FQ123">
        <f t="shared" si="363"/>
        <v>0</v>
      </c>
      <c r="FR123">
        <f t="shared" si="364"/>
        <v>10788</v>
      </c>
      <c r="FS123">
        <f t="shared" si="365"/>
        <v>0</v>
      </c>
      <c r="FT123">
        <f t="shared" si="366"/>
        <v>0</v>
      </c>
      <c r="FU123">
        <f t="shared" si="367"/>
        <v>0</v>
      </c>
      <c r="FV123">
        <v>0</v>
      </c>
      <c r="FW123">
        <f t="shared" si="368"/>
        <v>0</v>
      </c>
      <c r="FX123" t="b">
        <f t="shared" si="369"/>
        <v>1</v>
      </c>
      <c r="FY123">
        <f t="shared" ca="1" si="370"/>
        <v>741</v>
      </c>
      <c r="FZ123">
        <f t="shared" ca="1" si="371"/>
        <v>578902</v>
      </c>
      <c r="GA123">
        <f t="shared" si="372"/>
        <v>75000</v>
      </c>
      <c r="GB123">
        <f t="shared" ca="1" si="373"/>
        <v>503902</v>
      </c>
      <c r="GC123">
        <f t="shared" ca="1" si="374"/>
        <v>0</v>
      </c>
      <c r="GD123">
        <f t="shared" ca="1" si="375"/>
        <v>0</v>
      </c>
      <c r="GE123">
        <f t="shared" ca="1" si="376"/>
        <v>0</v>
      </c>
      <c r="GF123">
        <f t="shared" ca="1" si="377"/>
        <v>0</v>
      </c>
      <c r="GG123">
        <f t="shared" ca="1" si="378"/>
        <v>0</v>
      </c>
      <c r="GH123">
        <f t="shared" ca="1" si="379"/>
        <v>0</v>
      </c>
      <c r="GI123">
        <f ca="1">IF(GB123&gt;1200000,GB123-1200000-IF(F123="YES",50000,0)-GG123,0)</f>
        <v>0</v>
      </c>
      <c r="GJ123">
        <f t="shared" ca="1" si="380"/>
        <v>0</v>
      </c>
      <c r="GK123">
        <f t="shared" ca="1" si="381"/>
        <v>0</v>
      </c>
      <c r="GL123">
        <f t="shared" ca="1" si="382"/>
        <v>0</v>
      </c>
      <c r="GM123">
        <f t="shared" ca="1" si="383"/>
        <v>103902</v>
      </c>
      <c r="GN123">
        <f t="shared" ca="1" si="384"/>
        <v>5195.1000000000004</v>
      </c>
      <c r="GO123">
        <f t="shared" ca="1" si="385"/>
        <v>5195</v>
      </c>
      <c r="GP123">
        <f t="shared" ca="1" si="386"/>
        <v>0</v>
      </c>
      <c r="GQ123">
        <f t="shared" ca="1" si="387"/>
        <v>0</v>
      </c>
      <c r="GR123">
        <f t="shared" ca="1" si="388"/>
        <v>5195</v>
      </c>
      <c r="GS123">
        <f t="shared" ca="1" si="389"/>
        <v>0</v>
      </c>
      <c r="GT123" t="b">
        <f t="shared" ca="1" si="390"/>
        <v>0</v>
      </c>
      <c r="GU123">
        <f t="shared" ca="1" si="391"/>
        <v>0</v>
      </c>
      <c r="GV123">
        <f t="shared" ca="1" si="392"/>
        <v>5195</v>
      </c>
      <c r="GW123">
        <f t="shared" ca="1" si="393"/>
        <v>0</v>
      </c>
      <c r="GX123">
        <f t="shared" ca="1" si="394"/>
        <v>0</v>
      </c>
      <c r="GY123">
        <f t="shared" ca="1" si="395"/>
        <v>0</v>
      </c>
    </row>
    <row r="124" spans="1:207" x14ac:dyDescent="0.25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1"/>
        <v>6800</v>
      </c>
      <c r="I124">
        <f>_xlfn.XLOOKUP(B124,'[1]march-2026'!$A:$A,'[1]march-2026'!$C:$C,0,0)</f>
        <v>32500</v>
      </c>
      <c r="J124">
        <f t="shared" si="396"/>
        <v>5850</v>
      </c>
      <c r="K124">
        <f t="shared" si="292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3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4"/>
        <v>200</v>
      </c>
      <c r="R124">
        <f t="shared" si="295"/>
        <v>40050</v>
      </c>
      <c r="S124">
        <f>_xlfn.XLOOKUP(B124,'[2]april-2026'!$A:$A,'[2]april-2026'!$C:$C,0,0)</f>
        <v>32500</v>
      </c>
      <c r="T124">
        <f t="shared" si="296"/>
        <v>5850</v>
      </c>
      <c r="U124">
        <f t="shared" si="297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298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299"/>
        <v>200</v>
      </c>
      <c r="AB124">
        <f t="shared" si="300"/>
        <v>40050</v>
      </c>
      <c r="AC124">
        <f>_xlfn.XLOOKUP(B124,'[3]may-2026'!$A:$A,'[3]may-2026'!$C:$C,0,0)</f>
        <v>32500</v>
      </c>
      <c r="AD124">
        <f t="shared" si="301"/>
        <v>5850</v>
      </c>
      <c r="AE124">
        <f t="shared" si="302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3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4"/>
        <v>200</v>
      </c>
      <c r="AL124">
        <f t="shared" si="305"/>
        <v>40050</v>
      </c>
      <c r="AM124">
        <f>_xlfn.XLOOKUP(B124,'[4]june-2026'!$A:$A,'[4]june-2026'!$C:$C,0,0)</f>
        <v>32500</v>
      </c>
      <c r="AN124">
        <f t="shared" si="306"/>
        <v>5850</v>
      </c>
      <c r="AO124">
        <f t="shared" si="307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08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09"/>
        <v>200</v>
      </c>
      <c r="AV124">
        <f t="shared" si="310"/>
        <v>40050</v>
      </c>
      <c r="AW124">
        <f>_xlfn.XLOOKUP(B124,'[5]july-2026'!$A:$A,'[5]july-2026'!$C:$C,0,0)</f>
        <v>33500</v>
      </c>
      <c r="AX124">
        <f t="shared" si="311"/>
        <v>6030</v>
      </c>
      <c r="AY124">
        <v>122</v>
      </c>
      <c r="AZ124">
        <f t="shared" si="312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3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4"/>
        <v>200</v>
      </c>
      <c r="BG124">
        <f t="shared" si="315"/>
        <v>41472</v>
      </c>
      <c r="BH124">
        <f>_xlfn.XLOOKUP(B124,'[6]august-2026'!$A:$A,'[6]august-2026'!$C:$C,0,0)</f>
        <v>33500</v>
      </c>
      <c r="BI124">
        <f t="shared" si="316"/>
        <v>6030</v>
      </c>
      <c r="BJ124">
        <f t="shared" si="317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18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19"/>
        <v>200</v>
      </c>
      <c r="BQ124">
        <f t="shared" si="320"/>
        <v>41350</v>
      </c>
      <c r="BR124">
        <f>_xlfn.XLOOKUP(B124,'[7]september-2026'!$A:$A,'[7]september-2026'!$C:$C,0,0)</f>
        <v>33500</v>
      </c>
      <c r="BS124">
        <f t="shared" si="321"/>
        <v>6030</v>
      </c>
      <c r="BT124">
        <f t="shared" si="322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3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4"/>
        <v>200</v>
      </c>
      <c r="CA124">
        <f t="shared" si="325"/>
        <v>41350</v>
      </c>
      <c r="CB124">
        <f>_xlfn.XLOOKUP(B124,'[8]october-2026'!$A:$A,'[8]october-2026'!$C:$C,0,0)</f>
        <v>33500</v>
      </c>
      <c r="CC124">
        <f t="shared" si="326"/>
        <v>6030</v>
      </c>
      <c r="CD124">
        <f t="shared" si="327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28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29"/>
        <v>200</v>
      </c>
      <c r="CK124">
        <f t="shared" si="330"/>
        <v>41350</v>
      </c>
      <c r="CL124">
        <f>_xlfn.XLOOKUP(B124,'[9]november-2026'!$A:$A,'[9]november-2026'!$C:$C,0,0)</f>
        <v>33500</v>
      </c>
      <c r="CM124">
        <f t="shared" si="331"/>
        <v>6030</v>
      </c>
      <c r="CN124">
        <f t="shared" si="332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3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4"/>
        <v>200</v>
      </c>
      <c r="CU124">
        <f t="shared" si="335"/>
        <v>41350</v>
      </c>
      <c r="CV124">
        <f>_xlfn.XLOOKUP(B124,'[10]december-2026'!$A:$A,'[10]december-2026'!$C:$C,0,0)</f>
        <v>33500</v>
      </c>
      <c r="CW124">
        <f t="shared" si="336"/>
        <v>6030</v>
      </c>
      <c r="CX124">
        <f t="shared" si="337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38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39"/>
        <v>200</v>
      </c>
      <c r="DE124">
        <f t="shared" si="340"/>
        <v>41350</v>
      </c>
      <c r="DF124">
        <f xml:space="preserve"> _xlfn.XLOOKUP(B124,
'[11]january-2027'!$A:$A,
'[11]january-2027'!$C:$C,
0,0)</f>
        <v>33500</v>
      </c>
      <c r="DG124">
        <f t="shared" si="341"/>
        <v>6030</v>
      </c>
      <c r="DH124">
        <f t="shared" si="342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3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4"/>
        <v>200</v>
      </c>
      <c r="DO124">
        <f t="shared" si="345"/>
        <v>41350</v>
      </c>
      <c r="DP124">
        <f xml:space="preserve"> _xlfn.XLOOKUP(B124,
'[12]february-2027'!$A:$A,
'[12]february-2027'!$C:$C,
0,0)</f>
        <v>33500</v>
      </c>
      <c r="DQ124">
        <f t="shared" si="346"/>
        <v>6030</v>
      </c>
      <c r="DR124">
        <f t="shared" si="347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48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49"/>
        <v>200</v>
      </c>
      <c r="DY124">
        <f t="shared" si="350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1"/>
        <v>0</v>
      </c>
      <c r="EM124">
        <f t="shared" si="352"/>
        <v>524322</v>
      </c>
      <c r="EN124">
        <f t="shared" si="353"/>
        <v>2400</v>
      </c>
      <c r="EO124">
        <f t="shared" si="354"/>
        <v>50000</v>
      </c>
      <c r="EP124">
        <v>0</v>
      </c>
      <c r="EQ124">
        <f t="shared" si="355"/>
        <v>471922</v>
      </c>
      <c r="ER124">
        <f t="shared" si="356"/>
        <v>24000</v>
      </c>
      <c r="ES124">
        <f t="shared" si="357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58"/>
        <v>24000</v>
      </c>
      <c r="FE124">
        <f t="shared" si="359"/>
        <v>24000</v>
      </c>
      <c r="FF124">
        <f t="shared" si="360"/>
        <v>447922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>SUM(FG124:FM124)+(IF(F124="YES",50000,0))</f>
        <v>0</v>
      </c>
      <c r="FO124">
        <f t="shared" si="361"/>
        <v>447922</v>
      </c>
      <c r="FP124">
        <f t="shared" si="362"/>
        <v>9896</v>
      </c>
      <c r="FQ124">
        <f t="shared" si="363"/>
        <v>0</v>
      </c>
      <c r="FR124">
        <f t="shared" si="364"/>
        <v>9896</v>
      </c>
      <c r="FS124">
        <f t="shared" si="365"/>
        <v>0</v>
      </c>
      <c r="FT124">
        <f t="shared" si="366"/>
        <v>0</v>
      </c>
      <c r="FU124">
        <f t="shared" si="367"/>
        <v>0</v>
      </c>
      <c r="FV124">
        <v>0</v>
      </c>
      <c r="FW124">
        <f t="shared" si="368"/>
        <v>0</v>
      </c>
      <c r="FX124" t="b">
        <f t="shared" si="369"/>
        <v>1</v>
      </c>
      <c r="FY124">
        <f t="shared" ca="1" si="370"/>
        <v>641</v>
      </c>
      <c r="FZ124">
        <f t="shared" ca="1" si="371"/>
        <v>524963</v>
      </c>
      <c r="GA124">
        <f t="shared" si="372"/>
        <v>75000</v>
      </c>
      <c r="GB124">
        <f t="shared" ca="1" si="373"/>
        <v>449963</v>
      </c>
      <c r="GC124">
        <f t="shared" ca="1" si="374"/>
        <v>0</v>
      </c>
      <c r="GD124">
        <f t="shared" ca="1" si="375"/>
        <v>0</v>
      </c>
      <c r="GE124">
        <f t="shared" ca="1" si="376"/>
        <v>0</v>
      </c>
      <c r="GF124">
        <f t="shared" ca="1" si="377"/>
        <v>0</v>
      </c>
      <c r="GG124">
        <f t="shared" ca="1" si="378"/>
        <v>0</v>
      </c>
      <c r="GH124">
        <f t="shared" ca="1" si="379"/>
        <v>0</v>
      </c>
      <c r="GI124">
        <f ca="1">IF(GB124&gt;1200000,GB124-1200000-IF(F124="YES",50000,0)-GG124,0)</f>
        <v>0</v>
      </c>
      <c r="GJ124">
        <f t="shared" ca="1" si="380"/>
        <v>0</v>
      </c>
      <c r="GK124">
        <f t="shared" ca="1" si="381"/>
        <v>0</v>
      </c>
      <c r="GL124">
        <f t="shared" ca="1" si="382"/>
        <v>0</v>
      </c>
      <c r="GM124">
        <f t="shared" ca="1" si="383"/>
        <v>49963</v>
      </c>
      <c r="GN124">
        <f t="shared" ca="1" si="384"/>
        <v>2498.15</v>
      </c>
      <c r="GO124">
        <f t="shared" ca="1" si="385"/>
        <v>2498</v>
      </c>
      <c r="GP124">
        <f t="shared" ca="1" si="386"/>
        <v>0</v>
      </c>
      <c r="GQ124">
        <f t="shared" ca="1" si="387"/>
        <v>0</v>
      </c>
      <c r="GR124">
        <f t="shared" ca="1" si="388"/>
        <v>2498</v>
      </c>
      <c r="GS124">
        <f t="shared" ca="1" si="389"/>
        <v>0</v>
      </c>
      <c r="GT124" t="b">
        <f t="shared" ca="1" si="390"/>
        <v>0</v>
      </c>
      <c r="GU124">
        <f t="shared" ca="1" si="391"/>
        <v>0</v>
      </c>
      <c r="GV124">
        <f t="shared" ca="1" si="392"/>
        <v>2498</v>
      </c>
      <c r="GW124">
        <f t="shared" ca="1" si="393"/>
        <v>0</v>
      </c>
      <c r="GX124">
        <f t="shared" ca="1" si="394"/>
        <v>0</v>
      </c>
      <c r="GY124">
        <f t="shared" ca="1" si="395"/>
        <v>0</v>
      </c>
    </row>
    <row r="125" spans="1:207" x14ac:dyDescent="0.25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1"/>
        <v>6800</v>
      </c>
      <c r="I125">
        <f>_xlfn.XLOOKUP(B125,'[1]march-2026'!$A:$A,'[1]march-2026'!$C:$C,0,0)</f>
        <v>32500</v>
      </c>
      <c r="J125">
        <f t="shared" si="396"/>
        <v>5850</v>
      </c>
      <c r="K125">
        <f t="shared" si="292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3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4"/>
        <v>200</v>
      </c>
      <c r="R125">
        <f t="shared" si="295"/>
        <v>40550</v>
      </c>
      <c r="S125">
        <f>_xlfn.XLOOKUP(B125,'[2]april-2026'!$A:$A,'[2]april-2026'!$C:$C,0,0)</f>
        <v>32500</v>
      </c>
      <c r="T125">
        <f t="shared" si="296"/>
        <v>5850</v>
      </c>
      <c r="U125">
        <f t="shared" si="297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298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299"/>
        <v>200</v>
      </c>
      <c r="AB125">
        <f t="shared" si="300"/>
        <v>40550</v>
      </c>
      <c r="AC125">
        <f>_xlfn.XLOOKUP(B125,'[3]may-2026'!$A:$A,'[3]may-2026'!$C:$C,0,0)</f>
        <v>32500</v>
      </c>
      <c r="AD125">
        <f t="shared" si="301"/>
        <v>5850</v>
      </c>
      <c r="AE125">
        <f t="shared" si="302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3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4"/>
        <v>200</v>
      </c>
      <c r="AL125">
        <f t="shared" si="305"/>
        <v>40550</v>
      </c>
      <c r="AM125">
        <f>_xlfn.XLOOKUP(B125,'[4]june-2026'!$A:$A,'[4]june-2026'!$C:$C,0,0)</f>
        <v>32500</v>
      </c>
      <c r="AN125">
        <f t="shared" si="306"/>
        <v>5850</v>
      </c>
      <c r="AO125">
        <f t="shared" si="307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08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09"/>
        <v>200</v>
      </c>
      <c r="AV125">
        <f t="shared" si="310"/>
        <v>40550</v>
      </c>
      <c r="AW125">
        <f>_xlfn.XLOOKUP(B125,'[5]july-2026'!$A:$A,'[5]july-2026'!$C:$C,0,0)</f>
        <v>33500</v>
      </c>
      <c r="AX125">
        <f t="shared" si="311"/>
        <v>6030</v>
      </c>
      <c r="AY125">
        <v>123</v>
      </c>
      <c r="AZ125">
        <f t="shared" si="312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3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4"/>
        <v>200</v>
      </c>
      <c r="BG125">
        <f t="shared" si="315"/>
        <v>41973</v>
      </c>
      <c r="BH125">
        <f>_xlfn.XLOOKUP(B125,'[6]august-2026'!$A:$A,'[6]august-2026'!$C:$C,0,0)</f>
        <v>33500</v>
      </c>
      <c r="BI125">
        <f t="shared" si="316"/>
        <v>6030</v>
      </c>
      <c r="BJ125">
        <f t="shared" si="317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18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19"/>
        <v>200</v>
      </c>
      <c r="BQ125">
        <f t="shared" si="320"/>
        <v>41850</v>
      </c>
      <c r="BR125">
        <f>_xlfn.XLOOKUP(B125,'[7]september-2026'!$A:$A,'[7]september-2026'!$C:$C,0,0)</f>
        <v>33500</v>
      </c>
      <c r="BS125">
        <f t="shared" si="321"/>
        <v>6030</v>
      </c>
      <c r="BT125">
        <f t="shared" si="322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3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4"/>
        <v>200</v>
      </c>
      <c r="CA125">
        <f t="shared" si="325"/>
        <v>41850</v>
      </c>
      <c r="CB125">
        <f>_xlfn.XLOOKUP(B125,'[8]october-2026'!$A:$A,'[8]october-2026'!$C:$C,0,0)</f>
        <v>33500</v>
      </c>
      <c r="CC125">
        <f t="shared" si="326"/>
        <v>6030</v>
      </c>
      <c r="CD125">
        <f t="shared" si="327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28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29"/>
        <v>200</v>
      </c>
      <c r="CK125">
        <f t="shared" si="330"/>
        <v>41850</v>
      </c>
      <c r="CL125">
        <f>_xlfn.XLOOKUP(B125,'[9]november-2026'!$A:$A,'[9]november-2026'!$C:$C,0,0)</f>
        <v>33500</v>
      </c>
      <c r="CM125">
        <f t="shared" si="331"/>
        <v>6030</v>
      </c>
      <c r="CN125">
        <f t="shared" si="332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3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4"/>
        <v>200</v>
      </c>
      <c r="CU125">
        <f t="shared" si="335"/>
        <v>41850</v>
      </c>
      <c r="CV125">
        <f>_xlfn.XLOOKUP(B125,'[10]december-2026'!$A:$A,'[10]december-2026'!$C:$C,0,0)</f>
        <v>33500</v>
      </c>
      <c r="CW125">
        <f t="shared" si="336"/>
        <v>6030</v>
      </c>
      <c r="CX125">
        <f t="shared" si="337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38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39"/>
        <v>200</v>
      </c>
      <c r="DE125">
        <f t="shared" si="340"/>
        <v>41850</v>
      </c>
      <c r="DF125">
        <f xml:space="preserve"> _xlfn.XLOOKUP(B125,
'[11]january-2027'!$A:$A,
'[11]january-2027'!$C:$C,
0,0)</f>
        <v>33500</v>
      </c>
      <c r="DG125">
        <f t="shared" si="341"/>
        <v>6030</v>
      </c>
      <c r="DH125">
        <f t="shared" si="342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3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4"/>
        <v>200</v>
      </c>
      <c r="DO125">
        <f t="shared" si="345"/>
        <v>41850</v>
      </c>
      <c r="DP125">
        <f xml:space="preserve"> _xlfn.XLOOKUP(B125,
'[12]february-2027'!$A:$A,
'[12]february-2027'!$C:$C,
0,0)</f>
        <v>33500</v>
      </c>
      <c r="DQ125">
        <f t="shared" si="346"/>
        <v>6030</v>
      </c>
      <c r="DR125">
        <f t="shared" si="347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48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49"/>
        <v>200</v>
      </c>
      <c r="DY125">
        <f t="shared" si="350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1"/>
        <v>0</v>
      </c>
      <c r="EM125">
        <f t="shared" si="352"/>
        <v>530323</v>
      </c>
      <c r="EN125">
        <f t="shared" si="353"/>
        <v>2400</v>
      </c>
      <c r="EO125">
        <f t="shared" si="354"/>
        <v>50000</v>
      </c>
      <c r="EP125">
        <v>0</v>
      </c>
      <c r="EQ125">
        <f t="shared" si="355"/>
        <v>477923</v>
      </c>
      <c r="ER125">
        <f t="shared" si="356"/>
        <v>24000</v>
      </c>
      <c r="ES125">
        <f t="shared" si="357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58"/>
        <v>24000</v>
      </c>
      <c r="FE125">
        <f t="shared" si="359"/>
        <v>24000</v>
      </c>
      <c r="FF125">
        <f t="shared" si="360"/>
        <v>453923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>SUM(FG125:FM125)+(IF(F125="YES",50000,0))</f>
        <v>0</v>
      </c>
      <c r="FO125">
        <f t="shared" si="361"/>
        <v>453923</v>
      </c>
      <c r="FP125">
        <f t="shared" si="362"/>
        <v>10196</v>
      </c>
      <c r="FQ125">
        <f t="shared" si="363"/>
        <v>0</v>
      </c>
      <c r="FR125">
        <f t="shared" si="364"/>
        <v>10196</v>
      </c>
      <c r="FS125">
        <f t="shared" si="365"/>
        <v>0</v>
      </c>
      <c r="FT125">
        <f t="shared" si="366"/>
        <v>0</v>
      </c>
      <c r="FU125">
        <f t="shared" si="367"/>
        <v>0</v>
      </c>
      <c r="FV125">
        <v>0</v>
      </c>
      <c r="FW125">
        <f t="shared" si="368"/>
        <v>0</v>
      </c>
      <c r="FX125" t="b">
        <f t="shared" si="369"/>
        <v>1</v>
      </c>
      <c r="FY125">
        <f t="shared" ca="1" si="370"/>
        <v>727</v>
      </c>
      <c r="FZ125">
        <f t="shared" ca="1" si="371"/>
        <v>531050</v>
      </c>
      <c r="GA125">
        <f t="shared" si="372"/>
        <v>75000</v>
      </c>
      <c r="GB125">
        <f t="shared" ca="1" si="373"/>
        <v>456050</v>
      </c>
      <c r="GC125">
        <f t="shared" ca="1" si="374"/>
        <v>0</v>
      </c>
      <c r="GD125">
        <f t="shared" ca="1" si="375"/>
        <v>0</v>
      </c>
      <c r="GE125">
        <f t="shared" ca="1" si="376"/>
        <v>0</v>
      </c>
      <c r="GF125">
        <f t="shared" ca="1" si="377"/>
        <v>0</v>
      </c>
      <c r="GG125">
        <f t="shared" ca="1" si="378"/>
        <v>0</v>
      </c>
      <c r="GH125">
        <f t="shared" ca="1" si="379"/>
        <v>0</v>
      </c>
      <c r="GI125">
        <f ca="1">IF(GB125&gt;1200000,GB125-1200000-IF(F125="YES",50000,0)-GG125,0)</f>
        <v>0</v>
      </c>
      <c r="GJ125">
        <f t="shared" ca="1" si="380"/>
        <v>0</v>
      </c>
      <c r="GK125">
        <f t="shared" ca="1" si="381"/>
        <v>0</v>
      </c>
      <c r="GL125">
        <f t="shared" ca="1" si="382"/>
        <v>0</v>
      </c>
      <c r="GM125">
        <f t="shared" ca="1" si="383"/>
        <v>56050</v>
      </c>
      <c r="GN125">
        <f t="shared" ca="1" si="384"/>
        <v>2802.5</v>
      </c>
      <c r="GO125">
        <f t="shared" ca="1" si="385"/>
        <v>2803</v>
      </c>
      <c r="GP125">
        <f t="shared" ca="1" si="386"/>
        <v>0</v>
      </c>
      <c r="GQ125">
        <f t="shared" ca="1" si="387"/>
        <v>0</v>
      </c>
      <c r="GR125">
        <f t="shared" ca="1" si="388"/>
        <v>2803</v>
      </c>
      <c r="GS125">
        <f t="shared" ca="1" si="389"/>
        <v>0</v>
      </c>
      <c r="GT125" t="b">
        <f t="shared" ca="1" si="390"/>
        <v>0</v>
      </c>
      <c r="GU125">
        <f t="shared" ca="1" si="391"/>
        <v>0</v>
      </c>
      <c r="GV125">
        <f t="shared" ca="1" si="392"/>
        <v>2803</v>
      </c>
      <c r="GW125">
        <f t="shared" ca="1" si="393"/>
        <v>0</v>
      </c>
      <c r="GX125">
        <f t="shared" ca="1" si="394"/>
        <v>0</v>
      </c>
      <c r="GY125">
        <f t="shared" ca="1" si="395"/>
        <v>0</v>
      </c>
    </row>
    <row r="126" spans="1:207" x14ac:dyDescent="0.25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1"/>
        <v>6800</v>
      </c>
      <c r="I126">
        <f>_xlfn.XLOOKUP(B126,'[1]march-2026'!$A:$A,'[1]march-2026'!$C:$C,0,0)</f>
        <v>32500</v>
      </c>
      <c r="J126">
        <f t="shared" si="396"/>
        <v>5850</v>
      </c>
      <c r="K126">
        <f t="shared" si="292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3"/>
        <v>42750</v>
      </c>
      <c r="O126">
        <f>_xlfn.XLOOKUP(B126,'[1]march-2026'!$A:$A,'[1]march-2026'!$H:$H,0,0)</f>
        <v>2000</v>
      </c>
      <c r="P126">
        <f>_xlfn.XLOOKUP(B126,'[1]march-2026'!$A:$A,'[1]march-2026'!$I:$I,0,0)</f>
        <v>0</v>
      </c>
      <c r="Q126">
        <f t="shared" si="294"/>
        <v>200</v>
      </c>
      <c r="R126">
        <f t="shared" si="295"/>
        <v>40550</v>
      </c>
      <c r="S126">
        <f>_xlfn.XLOOKUP(B126,'[2]april-2026'!$A:$A,'[2]april-2026'!$C:$C,0,0)</f>
        <v>32500</v>
      </c>
      <c r="T126">
        <f t="shared" si="296"/>
        <v>5850</v>
      </c>
      <c r="U126">
        <f t="shared" si="297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298"/>
        <v>42750</v>
      </c>
      <c r="Y126">
        <f>_xlfn.XLOOKUP(B126,'[2]april-2026'!$A:$A,'[2]april-2026'!$H:$H,0,0)</f>
        <v>2000</v>
      </c>
      <c r="Z126">
        <f>_xlfn.XLOOKUP(B126,'[2]april-2026'!$A:$A,'[2]april-2026'!$I:$I,0,0)</f>
        <v>0</v>
      </c>
      <c r="AA126">
        <f t="shared" si="299"/>
        <v>200</v>
      </c>
      <c r="AB126">
        <f t="shared" si="300"/>
        <v>40550</v>
      </c>
      <c r="AC126">
        <f>_xlfn.XLOOKUP(B126,'[3]may-2026'!$A:$A,'[3]may-2026'!$C:$C,0,0)</f>
        <v>32500</v>
      </c>
      <c r="AD126">
        <f t="shared" si="301"/>
        <v>5850</v>
      </c>
      <c r="AE126">
        <f t="shared" si="302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3"/>
        <v>42750</v>
      </c>
      <c r="AI126">
        <f>_xlfn.XLOOKUP(B126,'[3]may-2026'!$A:$A,'[3]may-2026'!$H:$H,0,0)</f>
        <v>2000</v>
      </c>
      <c r="AJ126">
        <f>_xlfn.XLOOKUP(B126,'[3]may-2026'!$A:$A,'[3]may-2026'!$I:$I,0,0)</f>
        <v>0</v>
      </c>
      <c r="AK126">
        <f t="shared" si="304"/>
        <v>200</v>
      </c>
      <c r="AL126">
        <f t="shared" si="305"/>
        <v>40550</v>
      </c>
      <c r="AM126">
        <f>_xlfn.XLOOKUP(B126,'[4]june-2026'!$A:$A,'[4]june-2026'!$C:$C,0,0)</f>
        <v>32500</v>
      </c>
      <c r="AN126">
        <f t="shared" si="306"/>
        <v>5850</v>
      </c>
      <c r="AO126">
        <f t="shared" si="307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08"/>
        <v>42750</v>
      </c>
      <c r="AS126">
        <f>_xlfn.XLOOKUP(B126,'[4]june-2026'!$A:$A,'[4]june-2026'!$H:$H,0,0)</f>
        <v>2000</v>
      </c>
      <c r="AT126">
        <f>_xlfn.XLOOKUP(B126,'[4]june-2026'!$A:$A,'[4]june-2026'!$I:$I,0,0)</f>
        <v>0</v>
      </c>
      <c r="AU126">
        <f t="shared" si="309"/>
        <v>200</v>
      </c>
      <c r="AV126">
        <f t="shared" si="310"/>
        <v>40550</v>
      </c>
      <c r="AW126">
        <f>_xlfn.XLOOKUP(B126,'[5]july-2026'!$A:$A,'[5]july-2026'!$C:$C,0,0)</f>
        <v>33500</v>
      </c>
      <c r="AX126">
        <f t="shared" si="311"/>
        <v>6030</v>
      </c>
      <c r="AY126">
        <v>124</v>
      </c>
      <c r="AZ126">
        <f t="shared" si="312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3"/>
        <v>44174</v>
      </c>
      <c r="BD126">
        <f>_xlfn.XLOOKUP(B126,'[5]july-2026'!$A:$A,'[5]july-2026'!$H:$H,0,0)</f>
        <v>2000</v>
      </c>
      <c r="BE126">
        <f>_xlfn.XLOOKUP(B126,'[5]july-2026'!$A:$A,'[5]july-2026'!$I:$I,0,0)</f>
        <v>0</v>
      </c>
      <c r="BF126">
        <f t="shared" si="314"/>
        <v>200</v>
      </c>
      <c r="BG126">
        <f t="shared" si="315"/>
        <v>41974</v>
      </c>
      <c r="BH126">
        <f>_xlfn.XLOOKUP(B126,'[6]august-2026'!$A:$A,'[6]august-2026'!$C:$C,0,0)</f>
        <v>33500</v>
      </c>
      <c r="BI126">
        <f t="shared" si="316"/>
        <v>6030</v>
      </c>
      <c r="BJ126">
        <f t="shared" si="317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18"/>
        <v>44050</v>
      </c>
      <c r="BN126">
        <f>_xlfn.XLOOKUP(B126,'[6]august-2026'!$A:$A,'[6]august-2026'!$H:$H,0,0)</f>
        <v>2000</v>
      </c>
      <c r="BO126">
        <f>_xlfn.XLOOKUP(B126,'[6]august-2026'!$A:$A,'[6]august-2026'!$I:$I,0,0)</f>
        <v>0</v>
      </c>
      <c r="BP126">
        <f t="shared" si="319"/>
        <v>200</v>
      </c>
      <c r="BQ126">
        <f t="shared" si="320"/>
        <v>41850</v>
      </c>
      <c r="BR126">
        <f>_xlfn.XLOOKUP(B126,'[7]september-2026'!$A:$A,'[7]september-2026'!$C:$C,0,0)</f>
        <v>33500</v>
      </c>
      <c r="BS126">
        <f t="shared" si="321"/>
        <v>6030</v>
      </c>
      <c r="BT126">
        <f t="shared" si="322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3"/>
        <v>44050</v>
      </c>
      <c r="BX126">
        <f>_xlfn.XLOOKUP(B126,'[7]september-2026'!$A:$A,'[7]september-2026'!$H:$H,0,0)</f>
        <v>2000</v>
      </c>
      <c r="BY126">
        <f>_xlfn.XLOOKUP(B126,'[7]september-2026'!$A:$A,'[7]september-2026'!$I:$I,0,0)</f>
        <v>0</v>
      </c>
      <c r="BZ126">
        <f t="shared" si="324"/>
        <v>200</v>
      </c>
      <c r="CA126">
        <f t="shared" si="325"/>
        <v>41850</v>
      </c>
      <c r="CB126">
        <f>_xlfn.XLOOKUP(B126,'[8]october-2026'!$A:$A,'[8]october-2026'!$C:$C,0,0)</f>
        <v>33500</v>
      </c>
      <c r="CC126">
        <f t="shared" si="326"/>
        <v>6030</v>
      </c>
      <c r="CD126">
        <f t="shared" si="327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28"/>
        <v>44050</v>
      </c>
      <c r="CH126">
        <f>_xlfn.XLOOKUP(B126,'[8]october-2026'!$A:$A,'[8]october-2026'!$H:$H,0,0)</f>
        <v>2000</v>
      </c>
      <c r="CI126">
        <f>_xlfn.XLOOKUP(B126,'[8]october-2026'!$A:$A,'[8]october-2026'!$I:$I,0,0)</f>
        <v>0</v>
      </c>
      <c r="CJ126">
        <f t="shared" si="329"/>
        <v>200</v>
      </c>
      <c r="CK126">
        <f t="shared" si="330"/>
        <v>41850</v>
      </c>
      <c r="CL126">
        <f>_xlfn.XLOOKUP(B126,'[9]november-2026'!$A:$A,'[9]november-2026'!$C:$C,0,0)</f>
        <v>33500</v>
      </c>
      <c r="CM126">
        <f t="shared" si="331"/>
        <v>6030</v>
      </c>
      <c r="CN126">
        <f t="shared" si="332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3"/>
        <v>44050</v>
      </c>
      <c r="CR126">
        <f>_xlfn.XLOOKUP(B126,'[9]november-2026'!$A:$A,'[9]november-2026'!$H:$H,0,0)</f>
        <v>2000</v>
      </c>
      <c r="CS126">
        <f>_xlfn.XLOOKUP(B126,'[9]november-2026'!$A:$A,'[9]november-2026'!$I:$I,0,0)</f>
        <v>0</v>
      </c>
      <c r="CT126">
        <f t="shared" si="334"/>
        <v>200</v>
      </c>
      <c r="CU126">
        <f t="shared" si="335"/>
        <v>41850</v>
      </c>
      <c r="CV126">
        <f>_xlfn.XLOOKUP(B126,'[10]december-2026'!$A:$A,'[10]december-2026'!$C:$C,0,0)</f>
        <v>33500</v>
      </c>
      <c r="CW126">
        <f t="shared" si="336"/>
        <v>6030</v>
      </c>
      <c r="CX126">
        <f t="shared" si="337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38"/>
        <v>44050</v>
      </c>
      <c r="DB126">
        <f>_xlfn.XLOOKUP(B126,'[10]december-2026'!$A:$A,'[10]december-2026'!$H:$H,0,0)</f>
        <v>2000</v>
      </c>
      <c r="DC126">
        <f>_xlfn.XLOOKUP(B126,'[10]december-2026'!$A:$A,'[10]december-2026'!$I:$I,0,0)</f>
        <v>0</v>
      </c>
      <c r="DD126">
        <f t="shared" si="339"/>
        <v>200</v>
      </c>
      <c r="DE126">
        <f t="shared" si="340"/>
        <v>41850</v>
      </c>
      <c r="DF126">
        <f xml:space="preserve"> _xlfn.XLOOKUP(B126,
'[11]january-2027'!$A:$A,
'[11]january-2027'!$C:$C,
0,0)</f>
        <v>33500</v>
      </c>
      <c r="DG126">
        <f t="shared" si="341"/>
        <v>6030</v>
      </c>
      <c r="DH126">
        <f t="shared" si="342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3"/>
        <v>44050</v>
      </c>
      <c r="DL126">
        <f xml:space="preserve"> _xlfn.XLOOKUP(B126,
'[11]january-2027'!$A:$A,
'[11]january-2027'!$H:$H,
0,0)</f>
        <v>2000</v>
      </c>
      <c r="DM126">
        <f xml:space="preserve"> _xlfn.XLOOKUP(B126,
'[11]january-2027'!$A:$A,
'[11]january-2027'!$I:$I,
0,0)</f>
        <v>0</v>
      </c>
      <c r="DN126">
        <f t="shared" si="344"/>
        <v>200</v>
      </c>
      <c r="DO126">
        <f t="shared" si="345"/>
        <v>41850</v>
      </c>
      <c r="DP126">
        <f xml:space="preserve"> _xlfn.XLOOKUP(B126,
'[12]february-2027'!$A:$A,
'[12]february-2027'!$C:$C,
0,0)</f>
        <v>33500</v>
      </c>
      <c r="DQ126">
        <f t="shared" si="346"/>
        <v>6030</v>
      </c>
      <c r="DR126">
        <f t="shared" si="347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48"/>
        <v>44050</v>
      </c>
      <c r="DV126">
        <f xml:space="preserve"> _xlfn.XLOOKUP(B126,
'[12]february-2027'!$A:$A,
'[12]february-2027'!$H:$H,
0,0)</f>
        <v>2000</v>
      </c>
      <c r="DW126">
        <f xml:space="preserve"> _xlfn.XLOOKUP(B126,
'[12]february-2027'!$A:$A,
'[12]february-2027'!$I:$I,
0,0)</f>
        <v>0</v>
      </c>
      <c r="DX126">
        <f t="shared" si="349"/>
        <v>200</v>
      </c>
      <c r="DY126">
        <f t="shared" si="350"/>
        <v>41850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1"/>
        <v>0</v>
      </c>
      <c r="EM126">
        <f t="shared" si="352"/>
        <v>530324</v>
      </c>
      <c r="EN126">
        <f t="shared" si="353"/>
        <v>2400</v>
      </c>
      <c r="EO126">
        <f t="shared" si="354"/>
        <v>50000</v>
      </c>
      <c r="EP126">
        <v>1</v>
      </c>
      <c r="EQ126">
        <f t="shared" si="355"/>
        <v>477924</v>
      </c>
      <c r="ER126">
        <f t="shared" ref="ER126" si="438">DV126+DL126+DB126+CR126+CH126+BX126+BN126+BD126+AS126+AI126+Y126+O126</f>
        <v>24000</v>
      </c>
      <c r="ES126">
        <f t="shared" ref="ES126" si="439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0">SUM(ER126:FC126)</f>
        <v>24000</v>
      </c>
      <c r="FE126">
        <f t="shared" ref="FE126" si="441">IF(FD126&gt;=150000,150000,FD126)</f>
        <v>24000</v>
      </c>
      <c r="FF126">
        <f t="shared" ref="FF126" si="442">EQ126-FE126</f>
        <v>453924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>SUM(FG126:FM126)+(IF(F126="YES",50000,0))</f>
        <v>0</v>
      </c>
      <c r="FO126">
        <f t="shared" ref="FO126" si="443">FF126-FN126</f>
        <v>453924</v>
      </c>
      <c r="FP126">
        <f t="shared" ref="FP126" si="444">ROUND(IF(FO126&gt;0,IF(FO126&gt;500000,12500,(FO126-250000)*0.05),0),0)</f>
        <v>10196</v>
      </c>
      <c r="FQ126">
        <f t="shared" ref="FQ126" si="445">IF(ROUND(IF(FO126&gt;0,IF(FO126&gt;1000000,25000,(FO126-500000)*0.2),0),0)&lt;0,0,ROUND(IF(FO126&gt;0,IF(FO126&gt;1000000,25000,(FO126-500000)*0.2),0),0))</f>
        <v>0</v>
      </c>
      <c r="FR126">
        <f t="shared" ref="FR126" si="446">FP126+FQ126</f>
        <v>10196</v>
      </c>
      <c r="FS126">
        <f t="shared" ref="FS126" si="447">IF(FR126&lt;12500,0,FR126)</f>
        <v>0</v>
      </c>
      <c r="FT126">
        <f t="shared" ref="FT126" si="448">FS126*0.04</f>
        <v>0</v>
      </c>
      <c r="FU126">
        <f t="shared" ref="FU126" si="449">ROUND(FT126+FS126,0)</f>
        <v>0</v>
      </c>
      <c r="FV126">
        <v>1</v>
      </c>
      <c r="FW126">
        <f t="shared" ref="FW126" si="450">FU126-FV126</f>
        <v>-1</v>
      </c>
      <c r="FX126" t="b">
        <f t="shared" ref="FX126" si="451">IF(EM126&gt;500000,TRUE,FALSE)</f>
        <v>1</v>
      </c>
      <c r="FY126">
        <f t="shared" ref="FY126" ca="1" si="452">IF(FX126,RANDBETWEEN(500,1000),RANDBETWEEN(1000,3000))</f>
        <v>719</v>
      </c>
      <c r="FZ126">
        <f t="shared" ref="FZ126" ca="1" si="453">EM126+FY126</f>
        <v>531043</v>
      </c>
      <c r="GA126">
        <f t="shared" ref="GA126" si="454">IF(EM126&gt;0,75000,0)</f>
        <v>75000</v>
      </c>
      <c r="GB126">
        <f t="shared" ref="GB126" ca="1" si="455">FZ126-GA126</f>
        <v>456043</v>
      </c>
      <c r="GC126">
        <f t="shared" ref="GC126" ca="1" si="456">IF(GB126&gt;2400000,GB126-2400000,0)</f>
        <v>0</v>
      </c>
      <c r="GD126">
        <f t="shared" ref="GD126" ca="1" si="457">GC126*0.3</f>
        <v>0</v>
      </c>
      <c r="GE126">
        <f t="shared" ref="GE126" ca="1" si="458">IF(GB126&gt;2000000,GB126-2000000,0)</f>
        <v>0</v>
      </c>
      <c r="GF126">
        <f t="shared" ref="GF126" ca="1" si="459">GE126*0.25</f>
        <v>0</v>
      </c>
      <c r="GG126">
        <f t="shared" ref="GG126" ca="1" si="460">IF(GB126&gt;1600000,GB126-1600000-GC126,0)</f>
        <v>0</v>
      </c>
      <c r="GH126">
        <f t="shared" ref="GH126" ca="1" si="461">GG126*0.2</f>
        <v>0</v>
      </c>
      <c r="GI126">
        <f ca="1">IF(GB126&gt;1200000,GB126-1200000-IF(F126="YES",50000,0)-GG126,0)</f>
        <v>0</v>
      </c>
      <c r="GJ126">
        <f t="shared" ref="GJ126" ca="1" si="462">GI126*0.15</f>
        <v>0</v>
      </c>
      <c r="GK126">
        <f t="shared" ref="GK126" ca="1" si="463">IF(GB126&gt;800000,GB126-800000-GC126-GG126-GI126,0)</f>
        <v>0</v>
      </c>
      <c r="GL126">
        <f t="shared" ref="GL126" ca="1" si="464">GK126*0.1</f>
        <v>0</v>
      </c>
      <c r="GM126">
        <f t="shared" ref="GM126" ca="1" si="465">IF(GB126&gt;400000,GB126-400000-GC126-GG126-GI126-GK126,0)</f>
        <v>56043</v>
      </c>
      <c r="GN126">
        <f t="shared" ref="GN126" ca="1" si="466">GM126*0.05</f>
        <v>2802.15</v>
      </c>
      <c r="GO126">
        <f t="shared" ref="GO126" ca="1" si="467">ROUND(GD126+GF126+GH126+GJ126+GL126+GN126,0)</f>
        <v>2802</v>
      </c>
      <c r="GP126">
        <f t="shared" ref="GP126" ca="1" si="468">IF(GB126&gt;1200000,GB126,0)</f>
        <v>0</v>
      </c>
      <c r="GQ126">
        <f t="shared" ref="GQ126" ca="1" si="469">IF(GB126&gt;1200000,GP126-1200000,0)</f>
        <v>0</v>
      </c>
      <c r="GR126">
        <f t="shared" ref="GR126" ca="1" si="470">IF(GB126&lt;1200001,MIN(GO126,60000),0)</f>
        <v>2802</v>
      </c>
      <c r="GS126">
        <f t="shared" ref="GS126" ca="1" si="471">IF(GB126&gt;1200000,GO126-GQ126,0)</f>
        <v>0</v>
      </c>
      <c r="GT126" t="b">
        <f t="shared" ref="GT126" ca="1" si="472">IF(GS126&gt;0,TRUE,FALSE)</f>
        <v>0</v>
      </c>
      <c r="GU126">
        <f t="shared" ref="GU126" ca="1" si="473">IF(GT126,GS126,0)</f>
        <v>0</v>
      </c>
      <c r="GV126">
        <f t="shared" ref="GV126" ca="1" si="474">GR126+GU126</f>
        <v>2802</v>
      </c>
      <c r="GW126">
        <f t="shared" ref="GW126" ca="1" si="475">ROUND(GO126-GV126,0)</f>
        <v>0</v>
      </c>
      <c r="GX126">
        <f t="shared" ref="GX126" ca="1" si="476">GW126*0.04</f>
        <v>0</v>
      </c>
      <c r="GY126">
        <f t="shared" ref="GY126" ca="1" si="477">ROUNDUP(GW126+GX126,0)</f>
        <v>0</v>
      </c>
    </row>
    <row r="127" spans="1:207" x14ac:dyDescent="0.25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1"/>
        <v>6800</v>
      </c>
      <c r="I127">
        <f>_xlfn.XLOOKUP(B127,'[1]march-2026'!$A:$A,'[1]march-2026'!$C:$C,0,0)</f>
        <v>48700</v>
      </c>
      <c r="J127">
        <f t="shared" si="396"/>
        <v>8766</v>
      </c>
      <c r="K127">
        <f t="shared" si="292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3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4"/>
        <v>200</v>
      </c>
      <c r="R127">
        <f t="shared" si="295"/>
        <v>60950</v>
      </c>
      <c r="S127">
        <f>_xlfn.XLOOKUP(B127,'[2]april-2026'!$A:$A,'[2]april-2026'!$C:$C,0,0)</f>
        <v>48700</v>
      </c>
      <c r="T127">
        <f t="shared" si="296"/>
        <v>8766</v>
      </c>
      <c r="U127">
        <f t="shared" si="297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298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299"/>
        <v>200</v>
      </c>
      <c r="AB127">
        <f t="shared" si="300"/>
        <v>60950</v>
      </c>
      <c r="AC127">
        <f>_xlfn.XLOOKUP(B127,'[3]may-2026'!$A:$A,'[3]may-2026'!$C:$C,0,0)</f>
        <v>48700</v>
      </c>
      <c r="AD127">
        <f t="shared" si="301"/>
        <v>8766</v>
      </c>
      <c r="AE127">
        <f t="shared" si="302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3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4"/>
        <v>200</v>
      </c>
      <c r="AL127">
        <f t="shared" si="305"/>
        <v>60950</v>
      </c>
      <c r="AM127">
        <f>_xlfn.XLOOKUP(B127,'[4]june-2026'!$A:$A,'[4]june-2026'!$C:$C,0,0)</f>
        <v>48700</v>
      </c>
      <c r="AN127">
        <f t="shared" si="306"/>
        <v>8766</v>
      </c>
      <c r="AO127">
        <f t="shared" si="307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08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09"/>
        <v>200</v>
      </c>
      <c r="AV127">
        <f t="shared" si="310"/>
        <v>60950</v>
      </c>
      <c r="AW127">
        <f>_xlfn.XLOOKUP(B127,'[5]july-2026'!$A:$A,'[5]july-2026'!$C:$C,0,0)</f>
        <v>50200</v>
      </c>
      <c r="AX127">
        <f t="shared" si="311"/>
        <v>9036</v>
      </c>
      <c r="AY127">
        <v>125</v>
      </c>
      <c r="AZ127">
        <f t="shared" si="312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3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4"/>
        <v>200</v>
      </c>
      <c r="BG127">
        <f t="shared" si="315"/>
        <v>63025</v>
      </c>
      <c r="BH127">
        <f>_xlfn.XLOOKUP(B127,'[6]august-2026'!$A:$A,'[6]august-2026'!$C:$C,0,0)</f>
        <v>50200</v>
      </c>
      <c r="BI127">
        <f t="shared" si="316"/>
        <v>9036</v>
      </c>
      <c r="BJ127">
        <f t="shared" si="317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18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19"/>
        <v>200</v>
      </c>
      <c r="BQ127">
        <f t="shared" si="320"/>
        <v>62900</v>
      </c>
      <c r="BR127">
        <f>_xlfn.XLOOKUP(B127,'[7]september-2026'!$A:$A,'[7]september-2026'!$C:$C,0,0)</f>
        <v>50200</v>
      </c>
      <c r="BS127">
        <f t="shared" si="321"/>
        <v>9036</v>
      </c>
      <c r="BT127">
        <f t="shared" si="322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3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4"/>
        <v>200</v>
      </c>
      <c r="CA127">
        <f t="shared" si="325"/>
        <v>62900</v>
      </c>
      <c r="CB127">
        <f>_xlfn.XLOOKUP(B127,'[8]october-2026'!$A:$A,'[8]october-2026'!$C:$C,0,0)</f>
        <v>50200</v>
      </c>
      <c r="CC127">
        <f t="shared" si="326"/>
        <v>9036</v>
      </c>
      <c r="CD127">
        <f t="shared" si="327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28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29"/>
        <v>200</v>
      </c>
      <c r="CK127">
        <f t="shared" si="330"/>
        <v>62900</v>
      </c>
      <c r="CL127">
        <f>_xlfn.XLOOKUP(B127,'[9]november-2026'!$A:$A,'[9]november-2026'!$C:$C,0,0)</f>
        <v>50200</v>
      </c>
      <c r="CM127">
        <f t="shared" si="331"/>
        <v>9036</v>
      </c>
      <c r="CN127">
        <f t="shared" si="332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3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4"/>
        <v>200</v>
      </c>
      <c r="CU127">
        <f t="shared" si="335"/>
        <v>62900</v>
      </c>
      <c r="CV127">
        <f>_xlfn.XLOOKUP(B127,'[10]december-2026'!$A:$A,'[10]december-2026'!$C:$C,0,0)</f>
        <v>50200</v>
      </c>
      <c r="CW127">
        <f t="shared" si="336"/>
        <v>9036</v>
      </c>
      <c r="CX127">
        <f t="shared" si="337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38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39"/>
        <v>200</v>
      </c>
      <c r="DE127">
        <f t="shared" si="340"/>
        <v>62900</v>
      </c>
      <c r="DF127">
        <f xml:space="preserve"> _xlfn.XLOOKUP(B127,
'[11]january-2027'!$A:$A,
'[11]january-2027'!$C:$C,
0,0)</f>
        <v>50200</v>
      </c>
      <c r="DG127">
        <f t="shared" si="341"/>
        <v>9036</v>
      </c>
      <c r="DH127">
        <f t="shared" si="342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3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4"/>
        <v>200</v>
      </c>
      <c r="DO127">
        <f t="shared" si="345"/>
        <v>62900</v>
      </c>
      <c r="DP127">
        <f xml:space="preserve"> _xlfn.XLOOKUP(B127,
'[12]february-2027'!$A:$A,
'[12]february-2027'!$C:$C,
0,0)</f>
        <v>50200</v>
      </c>
      <c r="DQ127">
        <f t="shared" si="346"/>
        <v>9036</v>
      </c>
      <c r="DR127">
        <f t="shared" si="347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48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49"/>
        <v>200</v>
      </c>
      <c r="DY127">
        <f t="shared" si="350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1"/>
        <v>0</v>
      </c>
      <c r="EM127">
        <f t="shared" si="352"/>
        <v>793045</v>
      </c>
      <c r="EN127">
        <f t="shared" si="353"/>
        <v>2400</v>
      </c>
      <c r="EO127">
        <f t="shared" si="354"/>
        <v>50000</v>
      </c>
      <c r="EP127">
        <v>0</v>
      </c>
      <c r="EQ127">
        <f t="shared" si="355"/>
        <v>740645</v>
      </c>
      <c r="ER127">
        <f t="shared" si="356"/>
        <v>36000</v>
      </c>
      <c r="ES127">
        <f t="shared" si="357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58"/>
        <v>36720</v>
      </c>
      <c r="FE127">
        <f t="shared" si="359"/>
        <v>36720</v>
      </c>
      <c r="FF127">
        <f t="shared" si="360"/>
        <v>703925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>SUM(FG127:FM127)+(IF(F127="YES",50000,0))</f>
        <v>0</v>
      </c>
      <c r="FO127">
        <f t="shared" si="361"/>
        <v>703925</v>
      </c>
      <c r="FP127">
        <f t="shared" si="362"/>
        <v>12500</v>
      </c>
      <c r="FQ127">
        <f t="shared" si="363"/>
        <v>40785</v>
      </c>
      <c r="FR127">
        <f t="shared" si="364"/>
        <v>53285</v>
      </c>
      <c r="FS127">
        <f t="shared" si="365"/>
        <v>53285</v>
      </c>
      <c r="FT127">
        <f t="shared" si="366"/>
        <v>2131.4</v>
      </c>
      <c r="FU127">
        <f t="shared" si="367"/>
        <v>55416</v>
      </c>
      <c r="FV127">
        <v>0</v>
      </c>
      <c r="FW127">
        <f t="shared" si="368"/>
        <v>55416</v>
      </c>
      <c r="FX127" t="b">
        <f t="shared" si="369"/>
        <v>1</v>
      </c>
      <c r="FY127">
        <f t="shared" ca="1" si="370"/>
        <v>674</v>
      </c>
      <c r="FZ127">
        <f t="shared" ca="1" si="371"/>
        <v>793719</v>
      </c>
      <c r="GA127">
        <f t="shared" si="372"/>
        <v>75000</v>
      </c>
      <c r="GB127">
        <f t="shared" ca="1" si="373"/>
        <v>718719</v>
      </c>
      <c r="GC127">
        <f t="shared" ca="1" si="374"/>
        <v>0</v>
      </c>
      <c r="GD127">
        <f t="shared" ca="1" si="375"/>
        <v>0</v>
      </c>
      <c r="GE127">
        <f t="shared" ca="1" si="376"/>
        <v>0</v>
      </c>
      <c r="GF127">
        <f t="shared" ca="1" si="377"/>
        <v>0</v>
      </c>
      <c r="GG127">
        <f t="shared" ca="1" si="378"/>
        <v>0</v>
      </c>
      <c r="GH127">
        <f t="shared" ca="1" si="379"/>
        <v>0</v>
      </c>
      <c r="GI127">
        <f ca="1">IF(GB127&gt;1200000,GB127-1200000-IF(F127="YES",50000,0)-GG127,0)</f>
        <v>0</v>
      </c>
      <c r="GJ127">
        <f t="shared" ca="1" si="380"/>
        <v>0</v>
      </c>
      <c r="GK127">
        <f t="shared" ca="1" si="381"/>
        <v>0</v>
      </c>
      <c r="GL127">
        <f t="shared" ca="1" si="382"/>
        <v>0</v>
      </c>
      <c r="GM127">
        <f t="shared" ca="1" si="383"/>
        <v>318719</v>
      </c>
      <c r="GN127">
        <f t="shared" ca="1" si="384"/>
        <v>15935.95</v>
      </c>
      <c r="GO127">
        <f t="shared" ca="1" si="385"/>
        <v>15936</v>
      </c>
      <c r="GP127">
        <f t="shared" ca="1" si="386"/>
        <v>0</v>
      </c>
      <c r="GQ127">
        <f t="shared" ca="1" si="387"/>
        <v>0</v>
      </c>
      <c r="GR127">
        <f t="shared" ca="1" si="388"/>
        <v>15936</v>
      </c>
      <c r="GS127">
        <f t="shared" ca="1" si="389"/>
        <v>0</v>
      </c>
      <c r="GT127" t="b">
        <f t="shared" ca="1" si="390"/>
        <v>0</v>
      </c>
      <c r="GU127">
        <f t="shared" ca="1" si="391"/>
        <v>0</v>
      </c>
      <c r="GV127">
        <f t="shared" ca="1" si="392"/>
        <v>15936</v>
      </c>
      <c r="GW127">
        <f t="shared" ca="1" si="393"/>
        <v>0</v>
      </c>
      <c r="GX127">
        <f t="shared" ca="1" si="394"/>
        <v>0</v>
      </c>
      <c r="GY127">
        <f t="shared" ca="1" si="395"/>
        <v>0</v>
      </c>
    </row>
    <row r="128" spans="1:207" x14ac:dyDescent="0.25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1"/>
        <v>6800</v>
      </c>
      <c r="I128">
        <f>_xlfn.XLOOKUP(B128,'[1]march-2026'!$A:$A,'[1]march-2026'!$C:$C,0,0)</f>
        <v>32500</v>
      </c>
      <c r="J128">
        <f t="shared" si="396"/>
        <v>5850</v>
      </c>
      <c r="K128">
        <f t="shared" si="292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3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4"/>
        <v>200</v>
      </c>
      <c r="R128">
        <f t="shared" si="295"/>
        <v>40550</v>
      </c>
      <c r="S128">
        <f>_xlfn.XLOOKUP(B128,'[2]april-2026'!$A:$A,'[2]april-2026'!$C:$C,0,0)</f>
        <v>32500</v>
      </c>
      <c r="T128">
        <f t="shared" si="296"/>
        <v>5850</v>
      </c>
      <c r="U128">
        <f t="shared" si="297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298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299"/>
        <v>200</v>
      </c>
      <c r="AB128">
        <f t="shared" si="300"/>
        <v>40550</v>
      </c>
      <c r="AC128">
        <f>_xlfn.XLOOKUP(B128,'[3]may-2026'!$A:$A,'[3]may-2026'!$C:$C,0,0)</f>
        <v>32500</v>
      </c>
      <c r="AD128">
        <f t="shared" si="301"/>
        <v>5850</v>
      </c>
      <c r="AE128">
        <f t="shared" si="302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3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4"/>
        <v>200</v>
      </c>
      <c r="AL128">
        <f t="shared" si="305"/>
        <v>40550</v>
      </c>
      <c r="AM128">
        <f>_xlfn.XLOOKUP(B128,'[4]june-2026'!$A:$A,'[4]june-2026'!$C:$C,0,0)</f>
        <v>32500</v>
      </c>
      <c r="AN128">
        <f t="shared" si="306"/>
        <v>5850</v>
      </c>
      <c r="AO128">
        <f t="shared" si="307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08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09"/>
        <v>200</v>
      </c>
      <c r="AV128">
        <f t="shared" si="310"/>
        <v>40550</v>
      </c>
      <c r="AW128">
        <f>_xlfn.XLOOKUP(B128,'[5]july-2026'!$A:$A,'[5]july-2026'!$C:$C,0,0)</f>
        <v>33500</v>
      </c>
      <c r="AX128">
        <f t="shared" si="311"/>
        <v>6030</v>
      </c>
      <c r="AY128">
        <v>126</v>
      </c>
      <c r="AZ128">
        <f t="shared" si="312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3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4"/>
        <v>200</v>
      </c>
      <c r="BG128">
        <f t="shared" si="315"/>
        <v>41976</v>
      </c>
      <c r="BH128">
        <f>_xlfn.XLOOKUP(B128,'[6]august-2026'!$A:$A,'[6]august-2026'!$C:$C,0,0)</f>
        <v>33500</v>
      </c>
      <c r="BI128">
        <f t="shared" si="316"/>
        <v>6030</v>
      </c>
      <c r="BJ128">
        <f t="shared" si="317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18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19"/>
        <v>200</v>
      </c>
      <c r="BQ128">
        <f t="shared" si="320"/>
        <v>41850</v>
      </c>
      <c r="BR128">
        <f>_xlfn.XLOOKUP(B128,'[7]september-2026'!$A:$A,'[7]september-2026'!$C:$C,0,0)</f>
        <v>33500</v>
      </c>
      <c r="BS128">
        <f t="shared" si="321"/>
        <v>6030</v>
      </c>
      <c r="BT128">
        <f t="shared" si="322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3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4"/>
        <v>200</v>
      </c>
      <c r="CA128">
        <f t="shared" si="325"/>
        <v>41850</v>
      </c>
      <c r="CB128">
        <f>_xlfn.XLOOKUP(B128,'[8]october-2026'!$A:$A,'[8]october-2026'!$C:$C,0,0)</f>
        <v>33500</v>
      </c>
      <c r="CC128">
        <f t="shared" si="326"/>
        <v>6030</v>
      </c>
      <c r="CD128">
        <f t="shared" si="327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28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29"/>
        <v>200</v>
      </c>
      <c r="CK128">
        <f t="shared" si="330"/>
        <v>41850</v>
      </c>
      <c r="CL128">
        <f>_xlfn.XLOOKUP(B128,'[9]november-2026'!$A:$A,'[9]november-2026'!$C:$C,0,0)</f>
        <v>33500</v>
      </c>
      <c r="CM128">
        <f t="shared" si="331"/>
        <v>6030</v>
      </c>
      <c r="CN128">
        <f t="shared" si="332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3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4"/>
        <v>200</v>
      </c>
      <c r="CU128">
        <f t="shared" si="335"/>
        <v>41850</v>
      </c>
      <c r="CV128">
        <f>_xlfn.XLOOKUP(B128,'[10]december-2026'!$A:$A,'[10]december-2026'!$C:$C,0,0)</f>
        <v>33500</v>
      </c>
      <c r="CW128">
        <f t="shared" si="336"/>
        <v>6030</v>
      </c>
      <c r="CX128">
        <f t="shared" si="337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38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39"/>
        <v>200</v>
      </c>
      <c r="DE128">
        <f t="shared" si="340"/>
        <v>41850</v>
      </c>
      <c r="DF128">
        <f xml:space="preserve"> _xlfn.XLOOKUP(B128,
'[11]january-2027'!$A:$A,
'[11]january-2027'!$C:$C,
0,0)</f>
        <v>33500</v>
      </c>
      <c r="DG128">
        <f t="shared" si="341"/>
        <v>6030</v>
      </c>
      <c r="DH128">
        <f t="shared" si="342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3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4"/>
        <v>200</v>
      </c>
      <c r="DO128">
        <f t="shared" si="345"/>
        <v>41850</v>
      </c>
      <c r="DP128">
        <f xml:space="preserve"> _xlfn.XLOOKUP(B128,
'[12]february-2027'!$A:$A,
'[12]february-2027'!$C:$C,
0,0)</f>
        <v>33500</v>
      </c>
      <c r="DQ128">
        <f t="shared" si="346"/>
        <v>6030</v>
      </c>
      <c r="DR128">
        <f t="shared" si="347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48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49"/>
        <v>200</v>
      </c>
      <c r="DY128">
        <f t="shared" si="350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1"/>
        <v>0</v>
      </c>
      <c r="EM128">
        <f t="shared" si="352"/>
        <v>530326</v>
      </c>
      <c r="EN128">
        <f t="shared" si="353"/>
        <v>2400</v>
      </c>
      <c r="EO128">
        <f t="shared" si="354"/>
        <v>50000</v>
      </c>
      <c r="EP128">
        <v>0</v>
      </c>
      <c r="EQ128">
        <f t="shared" si="355"/>
        <v>477926</v>
      </c>
      <c r="ER128">
        <f t="shared" si="356"/>
        <v>24000</v>
      </c>
      <c r="ES128">
        <f t="shared" si="357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58"/>
        <v>24000</v>
      </c>
      <c r="FE128">
        <f t="shared" si="359"/>
        <v>24000</v>
      </c>
      <c r="FF128">
        <f t="shared" si="360"/>
        <v>453926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>SUM(FG128:FM128)+(IF(F128="YES",50000,0))</f>
        <v>0</v>
      </c>
      <c r="FO128">
        <f t="shared" si="361"/>
        <v>453926</v>
      </c>
      <c r="FP128">
        <f t="shared" si="362"/>
        <v>10196</v>
      </c>
      <c r="FQ128">
        <f t="shared" si="363"/>
        <v>0</v>
      </c>
      <c r="FR128">
        <f t="shared" si="364"/>
        <v>10196</v>
      </c>
      <c r="FS128">
        <f t="shared" si="365"/>
        <v>0</v>
      </c>
      <c r="FT128">
        <f t="shared" si="366"/>
        <v>0</v>
      </c>
      <c r="FU128">
        <f t="shared" si="367"/>
        <v>0</v>
      </c>
      <c r="FV128">
        <v>0</v>
      </c>
      <c r="FW128">
        <f t="shared" si="368"/>
        <v>0</v>
      </c>
      <c r="FX128" t="b">
        <f t="shared" si="369"/>
        <v>1</v>
      </c>
      <c r="FY128">
        <f t="shared" ca="1" si="370"/>
        <v>727</v>
      </c>
      <c r="FZ128">
        <f t="shared" ca="1" si="371"/>
        <v>531053</v>
      </c>
      <c r="GA128">
        <f t="shared" si="372"/>
        <v>75000</v>
      </c>
      <c r="GB128">
        <f t="shared" ca="1" si="373"/>
        <v>456053</v>
      </c>
      <c r="GC128">
        <f t="shared" ca="1" si="374"/>
        <v>0</v>
      </c>
      <c r="GD128">
        <f t="shared" ca="1" si="375"/>
        <v>0</v>
      </c>
      <c r="GE128">
        <f t="shared" ca="1" si="376"/>
        <v>0</v>
      </c>
      <c r="GF128">
        <f t="shared" ca="1" si="377"/>
        <v>0</v>
      </c>
      <c r="GG128">
        <f t="shared" ca="1" si="378"/>
        <v>0</v>
      </c>
      <c r="GH128">
        <f t="shared" ca="1" si="379"/>
        <v>0</v>
      </c>
      <c r="GI128">
        <f ca="1">IF(GB128&gt;1200000,GB128-1200000-IF(F128="YES",50000,0)-GG128,0)</f>
        <v>0</v>
      </c>
      <c r="GJ128">
        <f t="shared" ca="1" si="380"/>
        <v>0</v>
      </c>
      <c r="GK128">
        <f t="shared" ca="1" si="381"/>
        <v>0</v>
      </c>
      <c r="GL128">
        <f t="shared" ca="1" si="382"/>
        <v>0</v>
      </c>
      <c r="GM128">
        <f t="shared" ca="1" si="383"/>
        <v>56053</v>
      </c>
      <c r="GN128">
        <f t="shared" ca="1" si="384"/>
        <v>2802.65</v>
      </c>
      <c r="GO128">
        <f t="shared" ca="1" si="385"/>
        <v>2803</v>
      </c>
      <c r="GP128">
        <f t="shared" ca="1" si="386"/>
        <v>0</v>
      </c>
      <c r="GQ128">
        <f t="shared" ca="1" si="387"/>
        <v>0</v>
      </c>
      <c r="GR128">
        <f t="shared" ca="1" si="388"/>
        <v>2803</v>
      </c>
      <c r="GS128">
        <f t="shared" ca="1" si="389"/>
        <v>0</v>
      </c>
      <c r="GT128" t="b">
        <f t="shared" ca="1" si="390"/>
        <v>0</v>
      </c>
      <c r="GU128">
        <f t="shared" ca="1" si="391"/>
        <v>0</v>
      </c>
      <c r="GV128">
        <f t="shared" ca="1" si="392"/>
        <v>2803</v>
      </c>
      <c r="GW128">
        <f t="shared" ca="1" si="393"/>
        <v>0</v>
      </c>
      <c r="GX128">
        <f t="shared" ca="1" si="394"/>
        <v>0</v>
      </c>
      <c r="GY128">
        <f t="shared" ca="1" si="395"/>
        <v>0</v>
      </c>
    </row>
    <row r="129" spans="1:207" x14ac:dyDescent="0.25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1"/>
        <v>6800</v>
      </c>
      <c r="I129">
        <f>_xlfn.XLOOKUP(B129,'[1]march-2026'!$A:$A,'[1]march-2026'!$C:$C,0,0)</f>
        <v>34500</v>
      </c>
      <c r="J129">
        <f t="shared" si="396"/>
        <v>6210</v>
      </c>
      <c r="K129">
        <f t="shared" si="292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3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4"/>
        <v>200</v>
      </c>
      <c r="R129">
        <f t="shared" si="295"/>
        <v>42650</v>
      </c>
      <c r="S129">
        <f>_xlfn.XLOOKUP(B129,'[2]april-2026'!$A:$A,'[2]april-2026'!$C:$C,0,0)</f>
        <v>34500</v>
      </c>
      <c r="T129">
        <f t="shared" si="296"/>
        <v>6210</v>
      </c>
      <c r="U129">
        <f t="shared" si="297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298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299"/>
        <v>200</v>
      </c>
      <c r="AB129">
        <f t="shared" si="300"/>
        <v>42650</v>
      </c>
      <c r="AC129">
        <f>_xlfn.XLOOKUP(B129,'[3]may-2026'!$A:$A,'[3]may-2026'!$C:$C,0,0)</f>
        <v>34500</v>
      </c>
      <c r="AD129">
        <f t="shared" si="301"/>
        <v>6210</v>
      </c>
      <c r="AE129">
        <f t="shared" si="302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3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4"/>
        <v>200</v>
      </c>
      <c r="AL129">
        <f t="shared" si="305"/>
        <v>42650</v>
      </c>
      <c r="AM129">
        <f>_xlfn.XLOOKUP(B129,'[4]june-2026'!$A:$A,'[4]june-2026'!$C:$C,0,0)</f>
        <v>34500</v>
      </c>
      <c r="AN129">
        <f t="shared" si="306"/>
        <v>6210</v>
      </c>
      <c r="AO129">
        <f t="shared" si="307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08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09"/>
        <v>200</v>
      </c>
      <c r="AV129">
        <f t="shared" si="310"/>
        <v>42650</v>
      </c>
      <c r="AW129">
        <f>_xlfn.XLOOKUP(B129,'[5]july-2026'!$A:$A,'[5]july-2026'!$C:$C,0,0)</f>
        <v>35500</v>
      </c>
      <c r="AX129">
        <f t="shared" si="311"/>
        <v>6390</v>
      </c>
      <c r="AY129">
        <v>127</v>
      </c>
      <c r="AZ129">
        <f t="shared" si="312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3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4"/>
        <v>200</v>
      </c>
      <c r="BG129">
        <f t="shared" si="315"/>
        <v>44077</v>
      </c>
      <c r="BH129">
        <f>_xlfn.XLOOKUP(B129,'[6]august-2026'!$A:$A,'[6]august-2026'!$C:$C,0,0)</f>
        <v>35500</v>
      </c>
      <c r="BI129">
        <f t="shared" si="316"/>
        <v>6390</v>
      </c>
      <c r="BJ129">
        <f t="shared" si="317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18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19"/>
        <v>200</v>
      </c>
      <c r="BQ129">
        <f t="shared" si="320"/>
        <v>43950</v>
      </c>
      <c r="BR129">
        <f>_xlfn.XLOOKUP(B129,'[7]september-2026'!$A:$A,'[7]september-2026'!$C:$C,0,0)</f>
        <v>35500</v>
      </c>
      <c r="BS129">
        <f t="shared" si="321"/>
        <v>6390</v>
      </c>
      <c r="BT129">
        <f t="shared" si="322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3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4"/>
        <v>200</v>
      </c>
      <c r="CA129">
        <f t="shared" si="325"/>
        <v>43950</v>
      </c>
      <c r="CB129">
        <f>_xlfn.XLOOKUP(B129,'[8]october-2026'!$A:$A,'[8]october-2026'!$C:$C,0,0)</f>
        <v>35500</v>
      </c>
      <c r="CC129">
        <f t="shared" si="326"/>
        <v>6390</v>
      </c>
      <c r="CD129">
        <f t="shared" si="327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28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29"/>
        <v>200</v>
      </c>
      <c r="CK129">
        <f t="shared" si="330"/>
        <v>43950</v>
      </c>
      <c r="CL129">
        <f>_xlfn.XLOOKUP(B129,'[9]november-2026'!$A:$A,'[9]november-2026'!$C:$C,0,0)</f>
        <v>35500</v>
      </c>
      <c r="CM129">
        <f t="shared" si="331"/>
        <v>6390</v>
      </c>
      <c r="CN129">
        <f t="shared" si="332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3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4"/>
        <v>200</v>
      </c>
      <c r="CU129">
        <f t="shared" si="335"/>
        <v>43950</v>
      </c>
      <c r="CV129">
        <f>_xlfn.XLOOKUP(B129,'[10]december-2026'!$A:$A,'[10]december-2026'!$C:$C,0,0)</f>
        <v>35500</v>
      </c>
      <c r="CW129">
        <f t="shared" si="336"/>
        <v>6390</v>
      </c>
      <c r="CX129">
        <f t="shared" si="337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38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39"/>
        <v>200</v>
      </c>
      <c r="DE129">
        <f t="shared" si="340"/>
        <v>43950</v>
      </c>
      <c r="DF129">
        <f xml:space="preserve"> _xlfn.XLOOKUP(B129,
'[11]january-2027'!$A:$A,
'[11]january-2027'!$C:$C,
0,0)</f>
        <v>35500</v>
      </c>
      <c r="DG129">
        <f t="shared" si="341"/>
        <v>6390</v>
      </c>
      <c r="DH129">
        <f t="shared" si="342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3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4"/>
        <v>200</v>
      </c>
      <c r="DO129">
        <f t="shared" si="345"/>
        <v>43950</v>
      </c>
      <c r="DP129">
        <f xml:space="preserve"> _xlfn.XLOOKUP(B129,
'[12]february-2027'!$A:$A,
'[12]february-2027'!$C:$C,
0,0)</f>
        <v>35500</v>
      </c>
      <c r="DQ129">
        <f t="shared" si="346"/>
        <v>6390</v>
      </c>
      <c r="DR129">
        <f t="shared" si="347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48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49"/>
        <v>200</v>
      </c>
      <c r="DY129">
        <f t="shared" si="350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1"/>
        <v>0</v>
      </c>
      <c r="EM129">
        <f t="shared" si="352"/>
        <v>561527</v>
      </c>
      <c r="EN129">
        <f t="shared" si="353"/>
        <v>2400</v>
      </c>
      <c r="EO129">
        <f t="shared" si="354"/>
        <v>50000</v>
      </c>
      <c r="EP129">
        <v>0</v>
      </c>
      <c r="EQ129">
        <f t="shared" si="355"/>
        <v>509127</v>
      </c>
      <c r="ER129">
        <f t="shared" si="356"/>
        <v>30000</v>
      </c>
      <c r="ES129">
        <f t="shared" si="357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58"/>
        <v>30000</v>
      </c>
      <c r="FE129">
        <f t="shared" si="359"/>
        <v>30000</v>
      </c>
      <c r="FF129">
        <f t="shared" si="360"/>
        <v>479127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>SUM(FG129:FM129)+(IF(F129="YES",50000,0))</f>
        <v>0</v>
      </c>
      <c r="FO129">
        <f t="shared" si="361"/>
        <v>479127</v>
      </c>
      <c r="FP129">
        <f t="shared" si="362"/>
        <v>11456</v>
      </c>
      <c r="FQ129">
        <f t="shared" si="363"/>
        <v>0</v>
      </c>
      <c r="FR129">
        <f t="shared" si="364"/>
        <v>11456</v>
      </c>
      <c r="FS129">
        <f t="shared" si="365"/>
        <v>0</v>
      </c>
      <c r="FT129">
        <f t="shared" si="366"/>
        <v>0</v>
      </c>
      <c r="FU129">
        <f t="shared" si="367"/>
        <v>0</v>
      </c>
      <c r="FV129">
        <v>0</v>
      </c>
      <c r="FW129">
        <f t="shared" si="368"/>
        <v>0</v>
      </c>
      <c r="FX129" t="b">
        <f t="shared" si="369"/>
        <v>1</v>
      </c>
      <c r="FY129">
        <f t="shared" ca="1" si="370"/>
        <v>959</v>
      </c>
      <c r="FZ129">
        <f t="shared" ca="1" si="371"/>
        <v>562486</v>
      </c>
      <c r="GA129">
        <f t="shared" si="372"/>
        <v>75000</v>
      </c>
      <c r="GB129">
        <f t="shared" ca="1" si="373"/>
        <v>487486</v>
      </c>
      <c r="GC129">
        <f t="shared" ca="1" si="374"/>
        <v>0</v>
      </c>
      <c r="GD129">
        <f t="shared" ca="1" si="375"/>
        <v>0</v>
      </c>
      <c r="GE129">
        <f t="shared" ca="1" si="376"/>
        <v>0</v>
      </c>
      <c r="GF129">
        <f t="shared" ca="1" si="377"/>
        <v>0</v>
      </c>
      <c r="GG129">
        <f t="shared" ca="1" si="378"/>
        <v>0</v>
      </c>
      <c r="GH129">
        <f t="shared" ca="1" si="379"/>
        <v>0</v>
      </c>
      <c r="GI129">
        <f ca="1">IF(GB129&gt;1200000,GB129-1200000-IF(F129="YES",50000,0)-GG129,0)</f>
        <v>0</v>
      </c>
      <c r="GJ129">
        <f t="shared" ca="1" si="380"/>
        <v>0</v>
      </c>
      <c r="GK129">
        <f t="shared" ca="1" si="381"/>
        <v>0</v>
      </c>
      <c r="GL129">
        <f t="shared" ca="1" si="382"/>
        <v>0</v>
      </c>
      <c r="GM129">
        <f t="shared" ca="1" si="383"/>
        <v>87486</v>
      </c>
      <c r="GN129">
        <f t="shared" ca="1" si="384"/>
        <v>4374.3</v>
      </c>
      <c r="GO129">
        <f t="shared" ca="1" si="385"/>
        <v>4374</v>
      </c>
      <c r="GP129">
        <f t="shared" ca="1" si="386"/>
        <v>0</v>
      </c>
      <c r="GQ129">
        <f t="shared" ca="1" si="387"/>
        <v>0</v>
      </c>
      <c r="GR129">
        <f t="shared" ca="1" si="388"/>
        <v>4374</v>
      </c>
      <c r="GS129">
        <f t="shared" ca="1" si="389"/>
        <v>0</v>
      </c>
      <c r="GT129" t="b">
        <f t="shared" ca="1" si="390"/>
        <v>0</v>
      </c>
      <c r="GU129">
        <f t="shared" ca="1" si="391"/>
        <v>0</v>
      </c>
      <c r="GV129">
        <f t="shared" ca="1" si="392"/>
        <v>4374</v>
      </c>
      <c r="GW129">
        <f t="shared" ca="1" si="393"/>
        <v>0</v>
      </c>
      <c r="GX129">
        <f t="shared" ca="1" si="394"/>
        <v>0</v>
      </c>
      <c r="GY129">
        <f t="shared" ca="1" si="395"/>
        <v>0</v>
      </c>
    </row>
    <row r="130" spans="1:207" x14ac:dyDescent="0.25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1"/>
        <v>6800</v>
      </c>
      <c r="I130">
        <f>_xlfn.XLOOKUP(B130,'[1]march-2026'!$A:$A,'[1]march-2026'!$C:$C,0,0)</f>
        <v>34500</v>
      </c>
      <c r="J130">
        <f t="shared" si="396"/>
        <v>6210</v>
      </c>
      <c r="K130">
        <f t="shared" si="292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3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4"/>
        <v>200</v>
      </c>
      <c r="R130">
        <f t="shared" si="295"/>
        <v>42550</v>
      </c>
      <c r="S130">
        <f>_xlfn.XLOOKUP(B130,'[2]april-2026'!$A:$A,'[2]april-2026'!$C:$C,0,0)</f>
        <v>34500</v>
      </c>
      <c r="T130">
        <f t="shared" si="296"/>
        <v>6210</v>
      </c>
      <c r="U130">
        <f t="shared" si="297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298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299"/>
        <v>200</v>
      </c>
      <c r="AB130">
        <f t="shared" si="300"/>
        <v>42550</v>
      </c>
      <c r="AC130">
        <f>_xlfn.XLOOKUP(B130,'[3]may-2026'!$A:$A,'[3]may-2026'!$C:$C,0,0)</f>
        <v>34500</v>
      </c>
      <c r="AD130">
        <f t="shared" si="301"/>
        <v>6210</v>
      </c>
      <c r="AE130">
        <f t="shared" si="302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3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4"/>
        <v>200</v>
      </c>
      <c r="AL130">
        <f t="shared" si="305"/>
        <v>42550</v>
      </c>
      <c r="AM130">
        <f>_xlfn.XLOOKUP(B130,'[4]june-2026'!$A:$A,'[4]june-2026'!$C:$C,0,0)</f>
        <v>34500</v>
      </c>
      <c r="AN130">
        <f t="shared" si="306"/>
        <v>6210</v>
      </c>
      <c r="AO130">
        <f t="shared" si="307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08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09"/>
        <v>200</v>
      </c>
      <c r="AV130">
        <f t="shared" si="310"/>
        <v>42550</v>
      </c>
      <c r="AW130">
        <f>_xlfn.XLOOKUP(B130,'[5]july-2026'!$A:$A,'[5]july-2026'!$C:$C,0,0)</f>
        <v>35500</v>
      </c>
      <c r="AX130">
        <f t="shared" si="311"/>
        <v>6390</v>
      </c>
      <c r="AY130">
        <v>128</v>
      </c>
      <c r="AZ130">
        <f t="shared" si="312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3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4"/>
        <v>200</v>
      </c>
      <c r="BG130">
        <f t="shared" si="315"/>
        <v>43978</v>
      </c>
      <c r="BH130">
        <f>_xlfn.XLOOKUP(B130,'[6]august-2026'!$A:$A,'[6]august-2026'!$C:$C,0,0)</f>
        <v>35500</v>
      </c>
      <c r="BI130">
        <f t="shared" si="316"/>
        <v>6390</v>
      </c>
      <c r="BJ130">
        <f t="shared" si="317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18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19"/>
        <v>200</v>
      </c>
      <c r="BQ130">
        <f t="shared" si="320"/>
        <v>43850</v>
      </c>
      <c r="BR130">
        <f>_xlfn.XLOOKUP(B130,'[7]september-2026'!$A:$A,'[7]september-2026'!$C:$C,0,0)</f>
        <v>35500</v>
      </c>
      <c r="BS130">
        <f t="shared" si="321"/>
        <v>6390</v>
      </c>
      <c r="BT130">
        <f t="shared" si="322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3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4"/>
        <v>200</v>
      </c>
      <c r="CA130">
        <f t="shared" si="325"/>
        <v>43850</v>
      </c>
      <c r="CB130">
        <f>_xlfn.XLOOKUP(B130,'[8]october-2026'!$A:$A,'[8]october-2026'!$C:$C,0,0)</f>
        <v>35500</v>
      </c>
      <c r="CC130">
        <f t="shared" si="326"/>
        <v>6390</v>
      </c>
      <c r="CD130">
        <f t="shared" si="327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28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29"/>
        <v>200</v>
      </c>
      <c r="CK130">
        <f t="shared" si="330"/>
        <v>43850</v>
      </c>
      <c r="CL130">
        <f>_xlfn.XLOOKUP(B130,'[9]november-2026'!$A:$A,'[9]november-2026'!$C:$C,0,0)</f>
        <v>35500</v>
      </c>
      <c r="CM130">
        <f t="shared" si="331"/>
        <v>6390</v>
      </c>
      <c r="CN130">
        <f t="shared" si="332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3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4"/>
        <v>200</v>
      </c>
      <c r="CU130">
        <f t="shared" si="335"/>
        <v>43850</v>
      </c>
      <c r="CV130">
        <f>_xlfn.XLOOKUP(B130,'[10]december-2026'!$A:$A,'[10]december-2026'!$C:$C,0,0)</f>
        <v>35500</v>
      </c>
      <c r="CW130">
        <f t="shared" si="336"/>
        <v>6390</v>
      </c>
      <c r="CX130">
        <f t="shared" si="337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38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39"/>
        <v>200</v>
      </c>
      <c r="DE130">
        <f t="shared" si="340"/>
        <v>43850</v>
      </c>
      <c r="DF130">
        <f xml:space="preserve"> _xlfn.XLOOKUP(B130,
'[11]january-2027'!$A:$A,
'[11]january-2027'!$C:$C,
0,0)</f>
        <v>35500</v>
      </c>
      <c r="DG130">
        <f t="shared" si="341"/>
        <v>6390</v>
      </c>
      <c r="DH130">
        <f t="shared" si="342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3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4"/>
        <v>200</v>
      </c>
      <c r="DO130">
        <f t="shared" si="345"/>
        <v>43850</v>
      </c>
      <c r="DP130">
        <f xml:space="preserve"> _xlfn.XLOOKUP(B130,
'[12]february-2027'!$A:$A,
'[12]february-2027'!$C:$C,
0,0)</f>
        <v>35500</v>
      </c>
      <c r="DQ130">
        <f t="shared" si="346"/>
        <v>6390</v>
      </c>
      <c r="DR130">
        <f t="shared" si="347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48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49"/>
        <v>200</v>
      </c>
      <c r="DY130">
        <f t="shared" si="350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1"/>
        <v>0</v>
      </c>
      <c r="EM130">
        <f t="shared" si="352"/>
        <v>560328</v>
      </c>
      <c r="EN130">
        <f t="shared" si="353"/>
        <v>2400</v>
      </c>
      <c r="EO130">
        <f t="shared" si="354"/>
        <v>50000</v>
      </c>
      <c r="EP130">
        <v>0</v>
      </c>
      <c r="EQ130">
        <f t="shared" si="355"/>
        <v>507928</v>
      </c>
      <c r="ER130">
        <f t="shared" si="356"/>
        <v>30000</v>
      </c>
      <c r="ES130">
        <f t="shared" si="357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58"/>
        <v>30000</v>
      </c>
      <c r="FE130">
        <f t="shared" si="359"/>
        <v>30000</v>
      </c>
      <c r="FF130">
        <f t="shared" si="360"/>
        <v>477928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>SUM(FG130:FM130)+(IF(F130="YES",50000,0))</f>
        <v>0</v>
      </c>
      <c r="FO130">
        <f t="shared" si="361"/>
        <v>477928</v>
      </c>
      <c r="FP130">
        <f t="shared" si="362"/>
        <v>11396</v>
      </c>
      <c r="FQ130">
        <f t="shared" si="363"/>
        <v>0</v>
      </c>
      <c r="FR130">
        <f t="shared" si="364"/>
        <v>11396</v>
      </c>
      <c r="FS130">
        <f t="shared" si="365"/>
        <v>0</v>
      </c>
      <c r="FT130">
        <f t="shared" si="366"/>
        <v>0</v>
      </c>
      <c r="FU130">
        <f t="shared" si="367"/>
        <v>0</v>
      </c>
      <c r="FV130">
        <v>0</v>
      </c>
      <c r="FW130">
        <f t="shared" si="368"/>
        <v>0</v>
      </c>
      <c r="FX130" t="b">
        <f t="shared" si="369"/>
        <v>1</v>
      </c>
      <c r="FY130">
        <f t="shared" ca="1" si="370"/>
        <v>578</v>
      </c>
      <c r="FZ130">
        <f t="shared" ca="1" si="371"/>
        <v>560906</v>
      </c>
      <c r="GA130">
        <f t="shared" si="372"/>
        <v>75000</v>
      </c>
      <c r="GB130">
        <f t="shared" ca="1" si="373"/>
        <v>485906</v>
      </c>
      <c r="GC130">
        <f t="shared" ca="1" si="374"/>
        <v>0</v>
      </c>
      <c r="GD130">
        <f t="shared" ca="1" si="375"/>
        <v>0</v>
      </c>
      <c r="GE130">
        <f t="shared" ca="1" si="376"/>
        <v>0</v>
      </c>
      <c r="GF130">
        <f t="shared" ca="1" si="377"/>
        <v>0</v>
      </c>
      <c r="GG130">
        <f t="shared" ca="1" si="378"/>
        <v>0</v>
      </c>
      <c r="GH130">
        <f t="shared" ca="1" si="379"/>
        <v>0</v>
      </c>
      <c r="GI130">
        <f ca="1">IF(GB130&gt;1200000,GB130-1200000-IF(F130="YES",50000,0)-GG130,0)</f>
        <v>0</v>
      </c>
      <c r="GJ130">
        <f t="shared" ca="1" si="380"/>
        <v>0</v>
      </c>
      <c r="GK130">
        <f t="shared" ca="1" si="381"/>
        <v>0</v>
      </c>
      <c r="GL130">
        <f t="shared" ca="1" si="382"/>
        <v>0</v>
      </c>
      <c r="GM130">
        <f t="shared" ca="1" si="383"/>
        <v>85906</v>
      </c>
      <c r="GN130">
        <f t="shared" ca="1" si="384"/>
        <v>4295.3</v>
      </c>
      <c r="GO130">
        <f t="shared" ca="1" si="385"/>
        <v>4295</v>
      </c>
      <c r="GP130">
        <f t="shared" ca="1" si="386"/>
        <v>0</v>
      </c>
      <c r="GQ130">
        <f t="shared" ca="1" si="387"/>
        <v>0</v>
      </c>
      <c r="GR130">
        <f t="shared" ca="1" si="388"/>
        <v>4295</v>
      </c>
      <c r="GS130">
        <f t="shared" ca="1" si="389"/>
        <v>0</v>
      </c>
      <c r="GT130" t="b">
        <f t="shared" ca="1" si="390"/>
        <v>0</v>
      </c>
      <c r="GU130">
        <f t="shared" ca="1" si="391"/>
        <v>0</v>
      </c>
      <c r="GV130">
        <f t="shared" ca="1" si="392"/>
        <v>4295</v>
      </c>
      <c r="GW130">
        <f t="shared" ca="1" si="393"/>
        <v>0</v>
      </c>
      <c r="GX130">
        <f t="shared" ca="1" si="394"/>
        <v>0</v>
      </c>
      <c r="GY130">
        <f t="shared" ca="1" si="395"/>
        <v>0</v>
      </c>
    </row>
    <row r="131" spans="1:207" x14ac:dyDescent="0.25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78">IF(_xlfn.DAYS("31-03-2026",G131)&gt;=180,6800,0)</f>
        <v>6800</v>
      </c>
      <c r="I131">
        <f>_xlfn.XLOOKUP(B131,'[1]march-2026'!$A:$A,'[1]march-2026'!$C:$C,0,0)</f>
        <v>32500</v>
      </c>
      <c r="J131">
        <f t="shared" si="396"/>
        <v>5850</v>
      </c>
      <c r="K131">
        <f t="shared" ref="K131:K194" si="479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0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1">IF($F$2="YES",0,IF(N131&gt;40000,200,IF(N131&gt;25000,150,IF(N131&gt;15000,130,IF(N131&gt;10000,110,0)))))</f>
        <v>200</v>
      </c>
      <c r="R131">
        <f t="shared" ref="R131:R194" si="482">N131-O131-P131-Q131</f>
        <v>40050</v>
      </c>
      <c r="S131">
        <f>_xlfn.XLOOKUP(B131,'[2]april-2026'!$A:$A,'[2]april-2026'!$C:$C,0,0)</f>
        <v>32500</v>
      </c>
      <c r="T131">
        <f t="shared" ref="T131:T194" si="483">S131*0.18</f>
        <v>5850</v>
      </c>
      <c r="U131">
        <f t="shared" ref="U131:U194" si="484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85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86">IF($F131="YES",0,IF(X131&gt;40000,200,IF(X131&gt;25000,150,IF(X131&gt;15000,130,IF(X131&gt;10000,110,0)))))</f>
        <v>200</v>
      </c>
      <c r="AB131">
        <f t="shared" ref="AB131:AB194" si="487">X131-Y131-Z131-AA131</f>
        <v>40050</v>
      </c>
      <c r="AC131">
        <f>_xlfn.XLOOKUP(B131,'[3]may-2026'!$A:$A,'[3]may-2026'!$C:$C,0,0)</f>
        <v>32500</v>
      </c>
      <c r="AD131">
        <f t="shared" ref="AD131:AD194" si="488">AC131*0.18</f>
        <v>5850</v>
      </c>
      <c r="AE131">
        <f t="shared" ref="AE131:AE194" si="489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0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1">IF($F131="YES",0,IF(AH131&gt;40000,200,IF(AH131&gt;25000,150,IF(AH131&gt;15000,130,IF(AH131&gt;10000,110,0)))))</f>
        <v>200</v>
      </c>
      <c r="AL131">
        <f t="shared" ref="AL131:AL194" si="492">AH131-AI131-AJ131-AK131</f>
        <v>40050</v>
      </c>
      <c r="AM131">
        <f>_xlfn.XLOOKUP(B131,'[4]june-2026'!$A:$A,'[4]june-2026'!$C:$C,0,0)</f>
        <v>32500</v>
      </c>
      <c r="AN131">
        <f t="shared" ref="AN131:AN194" si="493">AM131*0.18</f>
        <v>5850</v>
      </c>
      <c r="AO131">
        <f t="shared" ref="AO131:AO194" si="494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495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496">IF($F131="YES",0,IF(AR131&gt;40000,200,IF(AR131&gt;25000,150,IF(AR131&gt;15000,130,IF(AR131&gt;10000,110,0)))))</f>
        <v>200</v>
      </c>
      <c r="AV131">
        <f t="shared" ref="AV131:AV194" si="497">AR131-AS131-AT131-AU131</f>
        <v>40050</v>
      </c>
      <c r="AW131">
        <f>_xlfn.XLOOKUP(B131,'[5]july-2026'!$A:$A,'[5]july-2026'!$C:$C,0,0)</f>
        <v>33500</v>
      </c>
      <c r="AX131">
        <f t="shared" ref="AX131:AX194" si="498">AW131*0.18</f>
        <v>6030</v>
      </c>
      <c r="AY131">
        <v>129</v>
      </c>
      <c r="AZ131">
        <f t="shared" ref="AZ131:AZ194" si="499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0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1">IF($F131="YES",0,IF(BC131&gt;40000,200,IF(BC131&gt;25000,150,IF(BC131&gt;15000,130,IF(BC131&gt;10000,110,0)))))</f>
        <v>200</v>
      </c>
      <c r="BG131">
        <f t="shared" ref="BG131:BG194" si="502">BC131-BD131-BE131-BF131</f>
        <v>41479</v>
      </c>
      <c r="BH131">
        <f>_xlfn.XLOOKUP(B131,'[6]august-2026'!$A:$A,'[6]august-2026'!$C:$C,0,0)</f>
        <v>33500</v>
      </c>
      <c r="BI131">
        <f t="shared" ref="BI131:BI194" si="503">BH131*0.18</f>
        <v>6030</v>
      </c>
      <c r="BJ131">
        <f t="shared" ref="BJ131:BJ194" si="504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05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06">IF($F131="YES",0,IF(BM131&gt;40000,200,IF(BM131&gt;25000,150,IF(BM131&gt;15000,130,IF(BM131&gt;10000,110,0)))))</f>
        <v>200</v>
      </c>
      <c r="BQ131">
        <f t="shared" ref="BQ131:BQ194" si="507">BM131-BN131-BO131-BP131</f>
        <v>41350</v>
      </c>
      <c r="BR131">
        <f>_xlfn.XLOOKUP(B131,'[7]september-2026'!$A:$A,'[7]september-2026'!$C:$C,0,0)</f>
        <v>33500</v>
      </c>
      <c r="BS131">
        <f t="shared" ref="BS131:BS194" si="508">BR131*0.18</f>
        <v>6030</v>
      </c>
      <c r="BT131">
        <f t="shared" ref="BT131:BT194" si="509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0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1">IF($F131="YES",0,IF(BW131&gt;40000,200,IF(BW131&gt;25000,150,IF(BW131&gt;15000,130,IF(BW131&gt;10000,110,0)))))</f>
        <v>200</v>
      </c>
      <c r="CA131">
        <f t="shared" ref="CA131:CA194" si="512">BW131-BX131-BY131-BZ131</f>
        <v>41350</v>
      </c>
      <c r="CB131">
        <f>_xlfn.XLOOKUP(B131,'[8]october-2026'!$A:$A,'[8]october-2026'!$C:$C,0,0)</f>
        <v>33500</v>
      </c>
      <c r="CC131">
        <f t="shared" ref="CC131:CC194" si="513">CB131*0.18</f>
        <v>6030</v>
      </c>
      <c r="CD131">
        <f t="shared" ref="CD131:CD194" si="514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15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16">IF($F131="YES",0,IF(CG131&gt;40000,200,IF(CG131&gt;25000,150,IF(CG131&gt;15000,130,IF(CG131&gt;10000,110,0)))))</f>
        <v>200</v>
      </c>
      <c r="CK131">
        <f t="shared" ref="CK131:CK194" si="517">CG131-CH131-CI131-CJ131</f>
        <v>41350</v>
      </c>
      <c r="CL131">
        <f>_xlfn.XLOOKUP(B131,'[9]november-2026'!$A:$A,'[9]november-2026'!$C:$C,0,0)</f>
        <v>33500</v>
      </c>
      <c r="CM131">
        <f t="shared" ref="CM131:CM194" si="518">CL131*0.18</f>
        <v>6030</v>
      </c>
      <c r="CN131">
        <f t="shared" ref="CN131:CN194" si="519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0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1">IF($F131="YES",0,IF(CQ131&gt;40000,200,IF(CQ131&gt;25000,150,IF(CQ131&gt;15000,130,IF(CQ131&gt;10000,110,0)))))</f>
        <v>200</v>
      </c>
      <c r="CU131">
        <f t="shared" ref="CU131:CU194" si="522">CQ131-CR131-CS131-CT131</f>
        <v>41350</v>
      </c>
      <c r="CV131">
        <f>_xlfn.XLOOKUP(B131,'[10]december-2026'!$A:$A,'[10]december-2026'!$C:$C,0,0)</f>
        <v>33500</v>
      </c>
      <c r="CW131">
        <f t="shared" ref="CW131:CW194" si="523">ROUND(CV131*0.18,0)</f>
        <v>6030</v>
      </c>
      <c r="CX131">
        <f t="shared" ref="CX131:CX194" si="524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25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26">IF($F131="YES",0,IF(DA131&gt;40000,200,IF(DA131&gt;25000,150,IF(DA131&gt;15000,130,IF(DA131&gt;10000,110,0)))))</f>
        <v>200</v>
      </c>
      <c r="DE131">
        <f t="shared" ref="DE131:DE194" si="527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28">DF131*0.18</f>
        <v>6030</v>
      </c>
      <c r="DH131">
        <f t="shared" ref="DH131:DH194" si="529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0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1">IF($F131="YES",0,IF(DK131&gt;40000,200,IF(DK131&gt;25000,150,IF(DK131&gt;15000,130,IF(DK131&gt;10000,110,0)))))</f>
        <v>200</v>
      </c>
      <c r="DO131">
        <f t="shared" ref="DO131:DO194" si="532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3">DP131*0.18</f>
        <v>6030</v>
      </c>
      <c r="DR131">
        <f t="shared" ref="DR131:DR194" si="534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35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36">IF($F131="YES",0,IF(DU131&gt;40000,200,IF(DU131&gt;25000,150,IF(DU131&gt;15000,130,IF(DU131&gt;10000,110,0)))))</f>
        <v>200</v>
      </c>
      <c r="DY131">
        <f t="shared" ref="DY131:DY194" si="537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38">SUM(DZ131:EK131)</f>
        <v>0</v>
      </c>
      <c r="EM131">
        <f t="shared" ref="EM131:EM194" si="539">DU131+DK131+DA131+CQ131+CG131+BW131+BM131+BC131+AR131+AH131+X131+N131+H131</f>
        <v>524329</v>
      </c>
      <c r="EN131">
        <f t="shared" ref="EN131:EN194" si="540">DX131+DN131+DD131+CT131+CJ131+BZ131+BP131+BF131+AU131+AK131+AA131+Q131</f>
        <v>2400</v>
      </c>
      <c r="EO131">
        <f t="shared" ref="EO131:EO194" si="541">IF(EM131&gt;0,50000,0)</f>
        <v>50000</v>
      </c>
      <c r="EP131">
        <v>0</v>
      </c>
      <c r="EQ131">
        <f t="shared" si="355"/>
        <v>471929</v>
      </c>
      <c r="ER131">
        <f t="shared" si="356"/>
        <v>24000</v>
      </c>
      <c r="ES131">
        <f t="shared" si="357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58"/>
        <v>24000</v>
      </c>
      <c r="FE131">
        <f t="shared" si="359"/>
        <v>24000</v>
      </c>
      <c r="FF131">
        <f t="shared" si="360"/>
        <v>447929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>SUM(FG131:FM131)+(IF(F131="YES",50000,0))</f>
        <v>0</v>
      </c>
      <c r="FO131">
        <f t="shared" si="361"/>
        <v>447929</v>
      </c>
      <c r="FP131">
        <f t="shared" si="362"/>
        <v>9896</v>
      </c>
      <c r="FQ131">
        <f t="shared" si="363"/>
        <v>0</v>
      </c>
      <c r="FR131">
        <f t="shared" si="364"/>
        <v>9896</v>
      </c>
      <c r="FS131">
        <f t="shared" si="365"/>
        <v>0</v>
      </c>
      <c r="FT131">
        <f t="shared" si="366"/>
        <v>0</v>
      </c>
      <c r="FU131">
        <f t="shared" si="367"/>
        <v>0</v>
      </c>
      <c r="FV131">
        <v>0</v>
      </c>
      <c r="FW131">
        <f t="shared" si="368"/>
        <v>0</v>
      </c>
      <c r="FX131" t="b">
        <f t="shared" si="369"/>
        <v>1</v>
      </c>
      <c r="FY131">
        <f t="shared" ca="1" si="370"/>
        <v>691</v>
      </c>
      <c r="FZ131">
        <f t="shared" ca="1" si="371"/>
        <v>525020</v>
      </c>
      <c r="GA131">
        <f t="shared" si="372"/>
        <v>75000</v>
      </c>
      <c r="GB131">
        <f t="shared" ca="1" si="373"/>
        <v>450020</v>
      </c>
      <c r="GC131">
        <f t="shared" ca="1" si="374"/>
        <v>0</v>
      </c>
      <c r="GD131">
        <f t="shared" ca="1" si="375"/>
        <v>0</v>
      </c>
      <c r="GE131">
        <f t="shared" ca="1" si="376"/>
        <v>0</v>
      </c>
      <c r="GF131">
        <f t="shared" ca="1" si="377"/>
        <v>0</v>
      </c>
      <c r="GG131">
        <f t="shared" ca="1" si="378"/>
        <v>0</v>
      </c>
      <c r="GH131">
        <f t="shared" ca="1" si="379"/>
        <v>0</v>
      </c>
      <c r="GI131">
        <f ca="1">IF(GB131&gt;1200000,GB131-1200000-IF(F131="YES",50000,0)-GG131,0)</f>
        <v>0</v>
      </c>
      <c r="GJ131">
        <f t="shared" ca="1" si="380"/>
        <v>0</v>
      </c>
      <c r="GK131">
        <f t="shared" ca="1" si="381"/>
        <v>0</v>
      </c>
      <c r="GL131">
        <f t="shared" ca="1" si="382"/>
        <v>0</v>
      </c>
      <c r="GM131">
        <f t="shared" ca="1" si="383"/>
        <v>50020</v>
      </c>
      <c r="GN131">
        <f t="shared" ca="1" si="384"/>
        <v>2501</v>
      </c>
      <c r="GO131">
        <f t="shared" ca="1" si="385"/>
        <v>2501</v>
      </c>
      <c r="GP131">
        <f t="shared" ca="1" si="386"/>
        <v>0</v>
      </c>
      <c r="GQ131">
        <f t="shared" ca="1" si="387"/>
        <v>0</v>
      </c>
      <c r="GR131">
        <f t="shared" ca="1" si="388"/>
        <v>2501</v>
      </c>
      <c r="GS131">
        <f t="shared" ca="1" si="389"/>
        <v>0</v>
      </c>
      <c r="GT131" t="b">
        <f t="shared" ca="1" si="390"/>
        <v>0</v>
      </c>
      <c r="GU131">
        <f t="shared" ca="1" si="391"/>
        <v>0</v>
      </c>
      <c r="GV131">
        <f t="shared" ca="1" si="392"/>
        <v>2501</v>
      </c>
      <c r="GW131">
        <f t="shared" ca="1" si="393"/>
        <v>0</v>
      </c>
      <c r="GX131">
        <f t="shared" ca="1" si="394"/>
        <v>0</v>
      </c>
      <c r="GY131">
        <f t="shared" ca="1" si="395"/>
        <v>0</v>
      </c>
    </row>
    <row r="132" spans="1:207" x14ac:dyDescent="0.25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78"/>
        <v>6800</v>
      </c>
      <c r="I132">
        <f>_xlfn.XLOOKUP(B132,'[1]march-2026'!$A:$A,'[1]march-2026'!$C:$C,0,0)</f>
        <v>29800</v>
      </c>
      <c r="J132">
        <f t="shared" si="396"/>
        <v>5364</v>
      </c>
      <c r="K132">
        <f t="shared" si="479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0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1"/>
        <v>150</v>
      </c>
      <c r="R132">
        <f t="shared" si="482"/>
        <v>37090</v>
      </c>
      <c r="S132">
        <f>_xlfn.XLOOKUP(B132,'[2]april-2026'!$A:$A,'[2]april-2026'!$C:$C,0,0)</f>
        <v>29800</v>
      </c>
      <c r="T132">
        <f t="shared" si="483"/>
        <v>5364</v>
      </c>
      <c r="U132">
        <f t="shared" si="484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85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86"/>
        <v>150</v>
      </c>
      <c r="AB132">
        <f t="shared" si="487"/>
        <v>37090</v>
      </c>
      <c r="AC132">
        <f>_xlfn.XLOOKUP(B132,'[3]may-2026'!$A:$A,'[3]may-2026'!$C:$C,0,0)</f>
        <v>29800</v>
      </c>
      <c r="AD132">
        <f t="shared" si="488"/>
        <v>5364</v>
      </c>
      <c r="AE132">
        <f t="shared" si="489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0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1"/>
        <v>150</v>
      </c>
      <c r="AL132">
        <f t="shared" si="492"/>
        <v>37090</v>
      </c>
      <c r="AM132">
        <f>_xlfn.XLOOKUP(B132,'[4]june-2026'!$A:$A,'[4]june-2026'!$C:$C,0,0)</f>
        <v>29800</v>
      </c>
      <c r="AN132">
        <f t="shared" si="493"/>
        <v>5364</v>
      </c>
      <c r="AO132">
        <f t="shared" si="494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495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496"/>
        <v>150</v>
      </c>
      <c r="AV132">
        <f t="shared" si="497"/>
        <v>37090</v>
      </c>
      <c r="AW132">
        <f>_xlfn.XLOOKUP(B132,'[5]july-2026'!$A:$A,'[5]july-2026'!$C:$C,0,0)</f>
        <v>30700</v>
      </c>
      <c r="AX132">
        <f t="shared" si="498"/>
        <v>5526</v>
      </c>
      <c r="AY132">
        <v>130</v>
      </c>
      <c r="AZ132">
        <f t="shared" si="499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0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1"/>
        <v>200</v>
      </c>
      <c r="BG132">
        <f t="shared" si="502"/>
        <v>38340</v>
      </c>
      <c r="BH132">
        <f>_xlfn.XLOOKUP(B132,'[6]august-2026'!$A:$A,'[6]august-2026'!$C:$C,0,0)</f>
        <v>30700</v>
      </c>
      <c r="BI132">
        <f t="shared" si="503"/>
        <v>5526</v>
      </c>
      <c r="BJ132">
        <f t="shared" si="504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05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06"/>
        <v>200</v>
      </c>
      <c r="BQ132">
        <f t="shared" si="507"/>
        <v>38210</v>
      </c>
      <c r="BR132">
        <f>_xlfn.XLOOKUP(B132,'[7]september-2026'!$A:$A,'[7]september-2026'!$C:$C,0,0)</f>
        <v>30700</v>
      </c>
      <c r="BS132">
        <f t="shared" si="508"/>
        <v>5526</v>
      </c>
      <c r="BT132">
        <f t="shared" si="509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0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1"/>
        <v>200</v>
      </c>
      <c r="CA132">
        <f t="shared" si="512"/>
        <v>38210</v>
      </c>
      <c r="CB132">
        <f>_xlfn.XLOOKUP(B132,'[8]october-2026'!$A:$A,'[8]october-2026'!$C:$C,0,0)</f>
        <v>30700</v>
      </c>
      <c r="CC132">
        <f t="shared" si="513"/>
        <v>5526</v>
      </c>
      <c r="CD132">
        <f t="shared" si="514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15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16"/>
        <v>200</v>
      </c>
      <c r="CK132">
        <f t="shared" si="517"/>
        <v>38210</v>
      </c>
      <c r="CL132">
        <f>_xlfn.XLOOKUP(B132,'[9]november-2026'!$A:$A,'[9]november-2026'!$C:$C,0,0)</f>
        <v>30700</v>
      </c>
      <c r="CM132">
        <f t="shared" si="518"/>
        <v>5526</v>
      </c>
      <c r="CN132">
        <f t="shared" si="519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0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1"/>
        <v>200</v>
      </c>
      <c r="CU132">
        <f t="shared" si="522"/>
        <v>38210</v>
      </c>
      <c r="CV132">
        <f>_xlfn.XLOOKUP(B132,'[10]december-2026'!$A:$A,'[10]december-2026'!$C:$C,0,0)</f>
        <v>30700</v>
      </c>
      <c r="CW132">
        <f t="shared" si="523"/>
        <v>5526</v>
      </c>
      <c r="CX132">
        <f t="shared" si="524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25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26"/>
        <v>200</v>
      </c>
      <c r="DE132">
        <f t="shared" si="527"/>
        <v>38210</v>
      </c>
      <c r="DF132">
        <f xml:space="preserve"> _xlfn.XLOOKUP(B132,
'[11]january-2027'!$A:$A,
'[11]january-2027'!$C:$C,
0,0)</f>
        <v>30700</v>
      </c>
      <c r="DG132">
        <f t="shared" si="528"/>
        <v>5526</v>
      </c>
      <c r="DH132">
        <f t="shared" si="529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0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1"/>
        <v>200</v>
      </c>
      <c r="DO132">
        <f t="shared" si="532"/>
        <v>38210</v>
      </c>
      <c r="DP132">
        <f xml:space="preserve"> _xlfn.XLOOKUP(B132,
'[12]february-2027'!$A:$A,
'[12]february-2027'!$C:$C,
0,0)</f>
        <v>30700</v>
      </c>
      <c r="DQ132">
        <f t="shared" si="533"/>
        <v>5526</v>
      </c>
      <c r="DR132">
        <f t="shared" si="534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35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36"/>
        <v>200</v>
      </c>
      <c r="DY132">
        <f t="shared" si="537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38"/>
        <v>0</v>
      </c>
      <c r="EM132">
        <f t="shared" si="539"/>
        <v>487170</v>
      </c>
      <c r="EN132">
        <f t="shared" si="540"/>
        <v>2200</v>
      </c>
      <c r="EO132">
        <f t="shared" si="541"/>
        <v>50000</v>
      </c>
      <c r="EP132">
        <v>0</v>
      </c>
      <c r="EQ132">
        <f t="shared" si="355"/>
        <v>434970</v>
      </c>
      <c r="ER132">
        <f t="shared" si="356"/>
        <v>24000</v>
      </c>
      <c r="ES132">
        <f t="shared" si="357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58"/>
        <v>24000</v>
      </c>
      <c r="FE132">
        <f t="shared" si="359"/>
        <v>24000</v>
      </c>
      <c r="FF132">
        <f t="shared" si="360"/>
        <v>410970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>SUM(FG132:FM132)+(IF(F132="YES",50000,0))</f>
        <v>0</v>
      </c>
      <c r="FO132">
        <f t="shared" si="361"/>
        <v>410970</v>
      </c>
      <c r="FP132">
        <f t="shared" si="362"/>
        <v>8049</v>
      </c>
      <c r="FQ132">
        <f t="shared" si="363"/>
        <v>0</v>
      </c>
      <c r="FR132">
        <f t="shared" si="364"/>
        <v>8049</v>
      </c>
      <c r="FS132">
        <f t="shared" si="365"/>
        <v>0</v>
      </c>
      <c r="FT132">
        <f t="shared" si="366"/>
        <v>0</v>
      </c>
      <c r="FU132">
        <f t="shared" si="367"/>
        <v>0</v>
      </c>
      <c r="FV132">
        <v>0</v>
      </c>
      <c r="FW132">
        <f t="shared" si="368"/>
        <v>0</v>
      </c>
      <c r="FX132" t="b">
        <f t="shared" si="369"/>
        <v>0</v>
      </c>
      <c r="FY132">
        <f t="shared" ca="1" si="370"/>
        <v>1350</v>
      </c>
      <c r="FZ132">
        <f t="shared" ca="1" si="371"/>
        <v>488520</v>
      </c>
      <c r="GA132">
        <f t="shared" si="372"/>
        <v>75000</v>
      </c>
      <c r="GB132">
        <f t="shared" ca="1" si="373"/>
        <v>413520</v>
      </c>
      <c r="GC132">
        <f t="shared" ca="1" si="374"/>
        <v>0</v>
      </c>
      <c r="GD132">
        <f t="shared" ca="1" si="375"/>
        <v>0</v>
      </c>
      <c r="GE132">
        <f t="shared" ca="1" si="376"/>
        <v>0</v>
      </c>
      <c r="GF132">
        <f t="shared" ca="1" si="377"/>
        <v>0</v>
      </c>
      <c r="GG132">
        <f t="shared" ca="1" si="378"/>
        <v>0</v>
      </c>
      <c r="GH132">
        <f t="shared" ca="1" si="379"/>
        <v>0</v>
      </c>
      <c r="GI132">
        <f ca="1">IF(GB132&gt;1200000,GB132-1200000-IF(F132="YES",50000,0)-GG132,0)</f>
        <v>0</v>
      </c>
      <c r="GJ132">
        <f t="shared" ca="1" si="380"/>
        <v>0</v>
      </c>
      <c r="GK132">
        <f t="shared" ca="1" si="381"/>
        <v>0</v>
      </c>
      <c r="GL132">
        <f t="shared" ca="1" si="382"/>
        <v>0</v>
      </c>
      <c r="GM132">
        <f t="shared" ca="1" si="383"/>
        <v>13520</v>
      </c>
      <c r="GN132">
        <f t="shared" ca="1" si="384"/>
        <v>676</v>
      </c>
      <c r="GO132">
        <f t="shared" ca="1" si="385"/>
        <v>676</v>
      </c>
      <c r="GP132">
        <f t="shared" ca="1" si="386"/>
        <v>0</v>
      </c>
      <c r="GQ132">
        <f t="shared" ca="1" si="387"/>
        <v>0</v>
      </c>
      <c r="GR132">
        <f t="shared" ca="1" si="388"/>
        <v>676</v>
      </c>
      <c r="GS132">
        <f t="shared" ca="1" si="389"/>
        <v>0</v>
      </c>
      <c r="GT132" t="b">
        <f t="shared" ca="1" si="390"/>
        <v>0</v>
      </c>
      <c r="GU132">
        <f t="shared" ca="1" si="391"/>
        <v>0</v>
      </c>
      <c r="GV132">
        <f t="shared" ca="1" si="392"/>
        <v>676</v>
      </c>
      <c r="GW132">
        <f t="shared" ca="1" si="393"/>
        <v>0</v>
      </c>
      <c r="GX132">
        <f t="shared" ca="1" si="394"/>
        <v>0</v>
      </c>
      <c r="GY132">
        <f t="shared" ca="1" si="395"/>
        <v>0</v>
      </c>
    </row>
    <row r="133" spans="1:207" x14ac:dyDescent="0.25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78"/>
        <v>6800</v>
      </c>
      <c r="I133">
        <f>_xlfn.XLOOKUP(B133,'[1]march-2026'!$A:$A,'[1]march-2026'!$C:$C,0,0)</f>
        <v>53300</v>
      </c>
      <c r="J133">
        <f t="shared" si="396"/>
        <v>9594</v>
      </c>
      <c r="K133">
        <f t="shared" si="479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0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1"/>
        <v>200</v>
      </c>
      <c r="R133">
        <f t="shared" si="482"/>
        <v>64990</v>
      </c>
      <c r="S133">
        <f>_xlfn.XLOOKUP(B133,'[2]april-2026'!$A:$A,'[2]april-2026'!$C:$C,0,0)</f>
        <v>53300</v>
      </c>
      <c r="T133">
        <f t="shared" si="483"/>
        <v>9594</v>
      </c>
      <c r="U133">
        <f t="shared" si="484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85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86"/>
        <v>200</v>
      </c>
      <c r="AB133">
        <f t="shared" si="487"/>
        <v>64990</v>
      </c>
      <c r="AC133">
        <f>_xlfn.XLOOKUP(B133,'[3]may-2026'!$A:$A,'[3]may-2026'!$C:$C,0,0)</f>
        <v>53300</v>
      </c>
      <c r="AD133">
        <f t="shared" si="488"/>
        <v>9594</v>
      </c>
      <c r="AE133">
        <f t="shared" si="489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0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1"/>
        <v>200</v>
      </c>
      <c r="AL133">
        <f t="shared" si="492"/>
        <v>64990</v>
      </c>
      <c r="AM133">
        <f>_xlfn.XLOOKUP(B133,'[4]june-2026'!$A:$A,'[4]june-2026'!$C:$C,0,0)</f>
        <v>53300</v>
      </c>
      <c r="AN133">
        <f t="shared" si="493"/>
        <v>9594</v>
      </c>
      <c r="AO133">
        <f t="shared" si="494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495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496"/>
        <v>200</v>
      </c>
      <c r="AV133">
        <f t="shared" si="497"/>
        <v>64990</v>
      </c>
      <c r="AW133">
        <f>_xlfn.XLOOKUP(B133,'[5]july-2026'!$A:$A,'[5]july-2026'!$C:$C,0,0)</f>
        <v>54900</v>
      </c>
      <c r="AX133">
        <f t="shared" si="498"/>
        <v>9882</v>
      </c>
      <c r="AY133">
        <v>131</v>
      </c>
      <c r="AZ133">
        <f t="shared" si="499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0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1"/>
        <v>200</v>
      </c>
      <c r="BG133">
        <f t="shared" si="502"/>
        <v>67201</v>
      </c>
      <c r="BH133">
        <f>_xlfn.XLOOKUP(B133,'[6]august-2026'!$A:$A,'[6]august-2026'!$C:$C,0,0)</f>
        <v>54900</v>
      </c>
      <c r="BI133">
        <f t="shared" si="503"/>
        <v>9882</v>
      </c>
      <c r="BJ133">
        <f t="shared" si="504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05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06"/>
        <v>200</v>
      </c>
      <c r="BQ133">
        <f t="shared" si="507"/>
        <v>67070</v>
      </c>
      <c r="BR133">
        <f>_xlfn.XLOOKUP(B133,'[7]september-2026'!$A:$A,'[7]september-2026'!$C:$C,0,0)</f>
        <v>54900</v>
      </c>
      <c r="BS133">
        <f t="shared" si="508"/>
        <v>9882</v>
      </c>
      <c r="BT133">
        <f t="shared" si="509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0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1"/>
        <v>200</v>
      </c>
      <c r="CA133">
        <f t="shared" si="512"/>
        <v>67070</v>
      </c>
      <c r="CB133">
        <f>_xlfn.XLOOKUP(B133,'[8]october-2026'!$A:$A,'[8]october-2026'!$C:$C,0,0)</f>
        <v>54900</v>
      </c>
      <c r="CC133">
        <f t="shared" si="513"/>
        <v>9882</v>
      </c>
      <c r="CD133">
        <f t="shared" si="514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15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16"/>
        <v>200</v>
      </c>
      <c r="CK133">
        <f t="shared" si="517"/>
        <v>67070</v>
      </c>
      <c r="CL133">
        <f>_xlfn.XLOOKUP(B133,'[9]november-2026'!$A:$A,'[9]november-2026'!$C:$C,0,0)</f>
        <v>54900</v>
      </c>
      <c r="CM133">
        <f t="shared" si="518"/>
        <v>9882</v>
      </c>
      <c r="CN133">
        <f t="shared" si="519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0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1"/>
        <v>200</v>
      </c>
      <c r="CU133">
        <f t="shared" si="522"/>
        <v>67070</v>
      </c>
      <c r="CV133">
        <f>_xlfn.XLOOKUP(B133,'[10]december-2026'!$A:$A,'[10]december-2026'!$C:$C,0,0)</f>
        <v>54900</v>
      </c>
      <c r="CW133">
        <f t="shared" si="523"/>
        <v>9882</v>
      </c>
      <c r="CX133">
        <f t="shared" si="524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25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26"/>
        <v>200</v>
      </c>
      <c r="DE133">
        <f t="shared" si="527"/>
        <v>67070</v>
      </c>
      <c r="DF133">
        <f xml:space="preserve"> _xlfn.XLOOKUP(B133,
'[11]january-2027'!$A:$A,
'[11]january-2027'!$C:$C,
0,0)</f>
        <v>54900</v>
      </c>
      <c r="DG133">
        <f t="shared" si="528"/>
        <v>9882</v>
      </c>
      <c r="DH133">
        <f t="shared" si="529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0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1"/>
        <v>200</v>
      </c>
      <c r="DO133">
        <f t="shared" si="532"/>
        <v>67070</v>
      </c>
      <c r="DP133">
        <f xml:space="preserve"> _xlfn.XLOOKUP(B133,
'[12]february-2027'!$A:$A,
'[12]february-2027'!$C:$C,
0,0)</f>
        <v>54900</v>
      </c>
      <c r="DQ133">
        <f t="shared" si="533"/>
        <v>9882</v>
      </c>
      <c r="DR133">
        <f t="shared" si="534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35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36"/>
        <v>200</v>
      </c>
      <c r="DY133">
        <f t="shared" si="537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38"/>
        <v>0</v>
      </c>
      <c r="EM133">
        <f t="shared" si="539"/>
        <v>865851</v>
      </c>
      <c r="EN133">
        <f t="shared" si="540"/>
        <v>2400</v>
      </c>
      <c r="EO133">
        <f t="shared" si="541"/>
        <v>50000</v>
      </c>
      <c r="EP133">
        <v>0</v>
      </c>
      <c r="EQ133">
        <f t="shared" si="355"/>
        <v>813451</v>
      </c>
      <c r="ER133">
        <f t="shared" si="356"/>
        <v>60000</v>
      </c>
      <c r="ES133">
        <f t="shared" si="357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58"/>
        <v>60000</v>
      </c>
      <c r="FE133">
        <f t="shared" si="359"/>
        <v>60000</v>
      </c>
      <c r="FF133">
        <f t="shared" si="360"/>
        <v>753451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>SUM(FG133:FM133)+(IF(F133="YES",50000,0))</f>
        <v>0</v>
      </c>
      <c r="FO133">
        <f t="shared" si="361"/>
        <v>753451</v>
      </c>
      <c r="FP133">
        <f t="shared" si="362"/>
        <v>12500</v>
      </c>
      <c r="FQ133">
        <f t="shared" si="363"/>
        <v>50690</v>
      </c>
      <c r="FR133">
        <f t="shared" si="364"/>
        <v>63190</v>
      </c>
      <c r="FS133">
        <f t="shared" si="365"/>
        <v>63190</v>
      </c>
      <c r="FT133">
        <f t="shared" si="366"/>
        <v>2527.6</v>
      </c>
      <c r="FU133">
        <f t="shared" si="367"/>
        <v>65718</v>
      </c>
      <c r="FV133">
        <v>0</v>
      </c>
      <c r="FW133">
        <f t="shared" si="368"/>
        <v>65718</v>
      </c>
      <c r="FX133" t="b">
        <f t="shared" si="369"/>
        <v>1</v>
      </c>
      <c r="FY133">
        <f t="shared" ca="1" si="370"/>
        <v>743</v>
      </c>
      <c r="FZ133">
        <f t="shared" ca="1" si="371"/>
        <v>866594</v>
      </c>
      <c r="GA133">
        <f t="shared" si="372"/>
        <v>75000</v>
      </c>
      <c r="GB133">
        <f t="shared" ca="1" si="373"/>
        <v>791594</v>
      </c>
      <c r="GC133">
        <f t="shared" ca="1" si="374"/>
        <v>0</v>
      </c>
      <c r="GD133">
        <f t="shared" ca="1" si="375"/>
        <v>0</v>
      </c>
      <c r="GE133">
        <f t="shared" ca="1" si="376"/>
        <v>0</v>
      </c>
      <c r="GF133">
        <f t="shared" ca="1" si="377"/>
        <v>0</v>
      </c>
      <c r="GG133">
        <f t="shared" ca="1" si="378"/>
        <v>0</v>
      </c>
      <c r="GH133">
        <f t="shared" ca="1" si="379"/>
        <v>0</v>
      </c>
      <c r="GI133">
        <f ca="1">IF(GB133&gt;1200000,GB133-1200000-IF(F133="YES",50000,0)-GG133,0)</f>
        <v>0</v>
      </c>
      <c r="GJ133">
        <f t="shared" ca="1" si="380"/>
        <v>0</v>
      </c>
      <c r="GK133">
        <f t="shared" ca="1" si="381"/>
        <v>0</v>
      </c>
      <c r="GL133">
        <f t="shared" ca="1" si="382"/>
        <v>0</v>
      </c>
      <c r="GM133">
        <f t="shared" ca="1" si="383"/>
        <v>391594</v>
      </c>
      <c r="GN133">
        <f t="shared" ca="1" si="384"/>
        <v>19579.7</v>
      </c>
      <c r="GO133">
        <f t="shared" ca="1" si="385"/>
        <v>19580</v>
      </c>
      <c r="GP133">
        <f t="shared" ca="1" si="386"/>
        <v>0</v>
      </c>
      <c r="GQ133">
        <f t="shared" ca="1" si="387"/>
        <v>0</v>
      </c>
      <c r="GR133">
        <f t="shared" ca="1" si="388"/>
        <v>19580</v>
      </c>
      <c r="GS133">
        <f t="shared" ca="1" si="389"/>
        <v>0</v>
      </c>
      <c r="GT133" t="b">
        <f t="shared" ca="1" si="390"/>
        <v>0</v>
      </c>
      <c r="GU133">
        <f t="shared" ca="1" si="391"/>
        <v>0</v>
      </c>
      <c r="GV133">
        <f t="shared" ca="1" si="392"/>
        <v>19580</v>
      </c>
      <c r="GW133">
        <f t="shared" ca="1" si="393"/>
        <v>0</v>
      </c>
      <c r="GX133">
        <f t="shared" ca="1" si="394"/>
        <v>0</v>
      </c>
      <c r="GY133">
        <f t="shared" ca="1" si="395"/>
        <v>0</v>
      </c>
    </row>
    <row r="134" spans="1:207" x14ac:dyDescent="0.25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78"/>
        <v>6800</v>
      </c>
      <c r="I134">
        <f>_xlfn.XLOOKUP(B134,'[1]march-2026'!$A:$A,'[1]march-2026'!$C:$C,0,0)</f>
        <v>32500</v>
      </c>
      <c r="J134">
        <f t="shared" ref="J134:J197" si="542">I134*0.18</f>
        <v>5850</v>
      </c>
      <c r="K134">
        <f t="shared" si="479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0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1"/>
        <v>200</v>
      </c>
      <c r="R134">
        <f t="shared" si="482"/>
        <v>39550</v>
      </c>
      <c r="S134">
        <f>_xlfn.XLOOKUP(B134,'[2]april-2026'!$A:$A,'[2]april-2026'!$C:$C,0,0)</f>
        <v>32500</v>
      </c>
      <c r="T134">
        <f t="shared" si="483"/>
        <v>5850</v>
      </c>
      <c r="U134">
        <f t="shared" si="484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85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86"/>
        <v>200</v>
      </c>
      <c r="AB134">
        <f t="shared" si="487"/>
        <v>39550</v>
      </c>
      <c r="AC134">
        <f>_xlfn.XLOOKUP(B134,'[3]may-2026'!$A:$A,'[3]may-2026'!$C:$C,0,0)</f>
        <v>32500</v>
      </c>
      <c r="AD134">
        <f t="shared" si="488"/>
        <v>5850</v>
      </c>
      <c r="AE134">
        <f t="shared" si="489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0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1"/>
        <v>200</v>
      </c>
      <c r="AL134">
        <f t="shared" si="492"/>
        <v>39550</v>
      </c>
      <c r="AM134">
        <f>_xlfn.XLOOKUP(B134,'[4]june-2026'!$A:$A,'[4]june-2026'!$C:$C,0,0)</f>
        <v>32500</v>
      </c>
      <c r="AN134">
        <f t="shared" si="493"/>
        <v>5850</v>
      </c>
      <c r="AO134">
        <f t="shared" si="494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495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496"/>
        <v>200</v>
      </c>
      <c r="AV134">
        <f t="shared" si="497"/>
        <v>39550</v>
      </c>
      <c r="AW134">
        <f>_xlfn.XLOOKUP(B134,'[5]july-2026'!$A:$A,'[5]july-2026'!$C:$C,0,0)</f>
        <v>33500</v>
      </c>
      <c r="AX134">
        <f t="shared" si="498"/>
        <v>6030</v>
      </c>
      <c r="AY134">
        <v>132</v>
      </c>
      <c r="AZ134">
        <f t="shared" si="499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0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1"/>
        <v>200</v>
      </c>
      <c r="BG134">
        <f t="shared" si="502"/>
        <v>40982</v>
      </c>
      <c r="BH134">
        <f>_xlfn.XLOOKUP(B134,'[6]august-2026'!$A:$A,'[6]august-2026'!$C:$C,0,0)</f>
        <v>33500</v>
      </c>
      <c r="BI134">
        <f t="shared" si="503"/>
        <v>6030</v>
      </c>
      <c r="BJ134">
        <f t="shared" si="504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05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06"/>
        <v>200</v>
      </c>
      <c r="BQ134">
        <f t="shared" si="507"/>
        <v>40850</v>
      </c>
      <c r="BR134">
        <f>_xlfn.XLOOKUP(B134,'[7]september-2026'!$A:$A,'[7]september-2026'!$C:$C,0,0)</f>
        <v>33500</v>
      </c>
      <c r="BS134">
        <f t="shared" si="508"/>
        <v>6030</v>
      </c>
      <c r="BT134">
        <f t="shared" si="509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0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1"/>
        <v>200</v>
      </c>
      <c r="CA134">
        <f t="shared" si="512"/>
        <v>40850</v>
      </c>
      <c r="CB134">
        <f>_xlfn.XLOOKUP(B134,'[8]october-2026'!$A:$A,'[8]october-2026'!$C:$C,0,0)</f>
        <v>33500</v>
      </c>
      <c r="CC134">
        <f t="shared" si="513"/>
        <v>6030</v>
      </c>
      <c r="CD134">
        <f t="shared" si="514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15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16"/>
        <v>200</v>
      </c>
      <c r="CK134">
        <f t="shared" si="517"/>
        <v>40850</v>
      </c>
      <c r="CL134">
        <f>_xlfn.XLOOKUP(B134,'[9]november-2026'!$A:$A,'[9]november-2026'!$C:$C,0,0)</f>
        <v>33500</v>
      </c>
      <c r="CM134">
        <f t="shared" si="518"/>
        <v>6030</v>
      </c>
      <c r="CN134">
        <f t="shared" si="519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0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1"/>
        <v>200</v>
      </c>
      <c r="CU134">
        <f t="shared" si="522"/>
        <v>40850</v>
      </c>
      <c r="CV134">
        <f>_xlfn.XLOOKUP(B134,'[10]december-2026'!$A:$A,'[10]december-2026'!$C:$C,0,0)</f>
        <v>33500</v>
      </c>
      <c r="CW134">
        <f t="shared" si="523"/>
        <v>6030</v>
      </c>
      <c r="CX134">
        <f t="shared" si="524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25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26"/>
        <v>200</v>
      </c>
      <c r="DE134">
        <f t="shared" si="527"/>
        <v>40850</v>
      </c>
      <c r="DF134">
        <f xml:space="preserve"> _xlfn.XLOOKUP(B134,
'[11]january-2027'!$A:$A,
'[11]january-2027'!$C:$C,
0,0)</f>
        <v>33500</v>
      </c>
      <c r="DG134">
        <f t="shared" si="528"/>
        <v>6030</v>
      </c>
      <c r="DH134">
        <f t="shared" si="529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0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1"/>
        <v>200</v>
      </c>
      <c r="DO134">
        <f t="shared" si="532"/>
        <v>40850</v>
      </c>
      <c r="DP134">
        <f xml:space="preserve"> _xlfn.XLOOKUP(B134,
'[12]february-2027'!$A:$A,
'[12]february-2027'!$C:$C,
0,0)</f>
        <v>33500</v>
      </c>
      <c r="DQ134">
        <f t="shared" si="533"/>
        <v>6030</v>
      </c>
      <c r="DR134">
        <f t="shared" si="534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35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36"/>
        <v>200</v>
      </c>
      <c r="DY134">
        <f t="shared" si="537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38"/>
        <v>0</v>
      </c>
      <c r="EM134">
        <f t="shared" si="539"/>
        <v>530332</v>
      </c>
      <c r="EN134">
        <f t="shared" si="540"/>
        <v>2400</v>
      </c>
      <c r="EO134">
        <f t="shared" si="541"/>
        <v>50000</v>
      </c>
      <c r="EP134">
        <v>0</v>
      </c>
      <c r="EQ134">
        <f t="shared" ref="EQ134:EQ198" si="543">EM134-EN134-EO134+EL134</f>
        <v>477932</v>
      </c>
      <c r="ER134">
        <f t="shared" si="356"/>
        <v>36000</v>
      </c>
      <c r="ES134">
        <f t="shared" si="357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58"/>
        <v>36000</v>
      </c>
      <c r="FE134">
        <f t="shared" si="359"/>
        <v>36000</v>
      </c>
      <c r="FF134">
        <f t="shared" si="360"/>
        <v>441932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>SUM(FG134:FM134)+(IF(F134="YES",50000,0))</f>
        <v>0</v>
      </c>
      <c r="FO134">
        <f t="shared" si="361"/>
        <v>441932</v>
      </c>
      <c r="FP134">
        <f t="shared" si="362"/>
        <v>9597</v>
      </c>
      <c r="FQ134">
        <f t="shared" si="363"/>
        <v>0</v>
      </c>
      <c r="FR134">
        <f t="shared" si="364"/>
        <v>9597</v>
      </c>
      <c r="FS134">
        <f t="shared" si="365"/>
        <v>0</v>
      </c>
      <c r="FT134">
        <f t="shared" si="366"/>
        <v>0</v>
      </c>
      <c r="FU134">
        <f t="shared" si="367"/>
        <v>0</v>
      </c>
      <c r="FV134">
        <v>0</v>
      </c>
      <c r="FW134">
        <f t="shared" si="368"/>
        <v>0</v>
      </c>
      <c r="FX134" t="b">
        <f t="shared" si="369"/>
        <v>1</v>
      </c>
      <c r="FY134">
        <f t="shared" ca="1" si="370"/>
        <v>591</v>
      </c>
      <c r="FZ134">
        <f t="shared" ca="1" si="371"/>
        <v>530923</v>
      </c>
      <c r="GA134">
        <f t="shared" si="372"/>
        <v>75000</v>
      </c>
      <c r="GB134">
        <f t="shared" ca="1" si="373"/>
        <v>455923</v>
      </c>
      <c r="GC134">
        <f t="shared" ca="1" si="374"/>
        <v>0</v>
      </c>
      <c r="GD134">
        <f t="shared" ca="1" si="375"/>
        <v>0</v>
      </c>
      <c r="GE134">
        <f t="shared" ca="1" si="376"/>
        <v>0</v>
      </c>
      <c r="GF134">
        <f t="shared" ca="1" si="377"/>
        <v>0</v>
      </c>
      <c r="GG134">
        <f t="shared" ca="1" si="378"/>
        <v>0</v>
      </c>
      <c r="GH134">
        <f t="shared" ca="1" si="379"/>
        <v>0</v>
      </c>
      <c r="GI134">
        <f ca="1">IF(GB134&gt;1200000,GB134-1200000-IF(F134="YES",50000,0)-GG134,0)</f>
        <v>0</v>
      </c>
      <c r="GJ134">
        <f t="shared" ca="1" si="380"/>
        <v>0</v>
      </c>
      <c r="GK134">
        <f t="shared" ca="1" si="381"/>
        <v>0</v>
      </c>
      <c r="GL134">
        <f t="shared" ca="1" si="382"/>
        <v>0</v>
      </c>
      <c r="GM134">
        <f t="shared" ca="1" si="383"/>
        <v>55923</v>
      </c>
      <c r="GN134">
        <f t="shared" ca="1" si="384"/>
        <v>2796.15</v>
      </c>
      <c r="GO134">
        <f t="shared" ca="1" si="385"/>
        <v>2796</v>
      </c>
      <c r="GP134">
        <f t="shared" ca="1" si="386"/>
        <v>0</v>
      </c>
      <c r="GQ134">
        <f t="shared" ca="1" si="387"/>
        <v>0</v>
      </c>
      <c r="GR134">
        <f t="shared" ca="1" si="388"/>
        <v>2796</v>
      </c>
      <c r="GS134">
        <f t="shared" ca="1" si="389"/>
        <v>0</v>
      </c>
      <c r="GT134" t="b">
        <f t="shared" ca="1" si="390"/>
        <v>0</v>
      </c>
      <c r="GU134">
        <f t="shared" ca="1" si="391"/>
        <v>0</v>
      </c>
      <c r="GV134">
        <f t="shared" ca="1" si="392"/>
        <v>2796</v>
      </c>
      <c r="GW134">
        <f t="shared" ca="1" si="393"/>
        <v>0</v>
      </c>
      <c r="GX134">
        <f t="shared" ca="1" si="394"/>
        <v>0</v>
      </c>
      <c r="GY134">
        <f t="shared" ca="1" si="395"/>
        <v>0</v>
      </c>
    </row>
    <row r="135" spans="1:207" x14ac:dyDescent="0.25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78"/>
        <v>0</v>
      </c>
      <c r="I135">
        <f>_xlfn.XLOOKUP(B135,'[1]march-2026'!$A:$A,'[1]march-2026'!$C:$C,0,0)</f>
        <v>24700</v>
      </c>
      <c r="J135">
        <f t="shared" si="542"/>
        <v>4446</v>
      </c>
      <c r="K135">
        <f t="shared" si="479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0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1"/>
        <v>150</v>
      </c>
      <c r="R135">
        <f t="shared" si="482"/>
        <v>29960</v>
      </c>
      <c r="S135">
        <f>_xlfn.XLOOKUP(B135,'[2]april-2026'!$A:$A,'[2]april-2026'!$C:$C,0,0)</f>
        <v>24700</v>
      </c>
      <c r="T135">
        <f t="shared" si="483"/>
        <v>4446</v>
      </c>
      <c r="U135">
        <f t="shared" si="484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85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86"/>
        <v>150</v>
      </c>
      <c r="AB135">
        <f t="shared" si="487"/>
        <v>29960</v>
      </c>
      <c r="AC135">
        <f>_xlfn.XLOOKUP(B135,'[3]may-2026'!$A:$A,'[3]may-2026'!$C:$C,0,0)</f>
        <v>24700</v>
      </c>
      <c r="AD135">
        <f t="shared" si="488"/>
        <v>4446</v>
      </c>
      <c r="AE135">
        <f t="shared" si="489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0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1"/>
        <v>150</v>
      </c>
      <c r="AL135">
        <f t="shared" si="492"/>
        <v>29960</v>
      </c>
      <c r="AM135">
        <f>_xlfn.XLOOKUP(B135,'[4]june-2026'!$A:$A,'[4]june-2026'!$C:$C,0,0)</f>
        <v>24700</v>
      </c>
      <c r="AN135">
        <f t="shared" si="493"/>
        <v>4446</v>
      </c>
      <c r="AO135">
        <f t="shared" si="494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495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496"/>
        <v>150</v>
      </c>
      <c r="AV135">
        <f t="shared" si="497"/>
        <v>29960</v>
      </c>
      <c r="AW135">
        <f>_xlfn.XLOOKUP(B135,'[5]july-2026'!$A:$A,'[5]july-2026'!$C:$C,0,0)</f>
        <v>25400</v>
      </c>
      <c r="AX135">
        <f t="shared" si="498"/>
        <v>4572</v>
      </c>
      <c r="AY135">
        <v>133</v>
      </c>
      <c r="AZ135">
        <f t="shared" si="499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0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1"/>
        <v>150</v>
      </c>
      <c r="BG135">
        <f t="shared" si="502"/>
        <v>31003</v>
      </c>
      <c r="BH135">
        <f>_xlfn.XLOOKUP(B135,'[6]august-2026'!$A:$A,'[6]august-2026'!$C:$C,0,0)</f>
        <v>25400</v>
      </c>
      <c r="BI135">
        <f t="shared" si="503"/>
        <v>4572</v>
      </c>
      <c r="BJ135">
        <f t="shared" si="504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05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06"/>
        <v>150</v>
      </c>
      <c r="BQ135">
        <f t="shared" si="507"/>
        <v>30870</v>
      </c>
      <c r="BR135">
        <f>_xlfn.XLOOKUP(B135,'[7]september-2026'!$A:$A,'[7]september-2026'!$C:$C,0,0)</f>
        <v>25400</v>
      </c>
      <c r="BS135">
        <f t="shared" si="508"/>
        <v>4572</v>
      </c>
      <c r="BT135">
        <f t="shared" si="509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0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1"/>
        <v>150</v>
      </c>
      <c r="CA135">
        <f t="shared" si="512"/>
        <v>30870</v>
      </c>
      <c r="CB135">
        <f>_xlfn.XLOOKUP(B135,'[8]october-2026'!$A:$A,'[8]october-2026'!$C:$C,0,0)</f>
        <v>25400</v>
      </c>
      <c r="CC135">
        <f t="shared" si="513"/>
        <v>4572</v>
      </c>
      <c r="CD135">
        <f t="shared" si="514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15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16"/>
        <v>150</v>
      </c>
      <c r="CK135">
        <f t="shared" si="517"/>
        <v>30870</v>
      </c>
      <c r="CL135">
        <f>_xlfn.XLOOKUP(B135,'[9]november-2026'!$A:$A,'[9]november-2026'!$C:$C,0,0)</f>
        <v>25400</v>
      </c>
      <c r="CM135">
        <f t="shared" si="518"/>
        <v>4572</v>
      </c>
      <c r="CN135">
        <f t="shared" si="519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0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1"/>
        <v>150</v>
      </c>
      <c r="CU135">
        <f t="shared" si="522"/>
        <v>30870</v>
      </c>
      <c r="CV135">
        <f>_xlfn.XLOOKUP(B135,'[10]december-2026'!$A:$A,'[10]december-2026'!$C:$C,0,0)</f>
        <v>25400</v>
      </c>
      <c r="CW135">
        <f t="shared" si="523"/>
        <v>4572</v>
      </c>
      <c r="CX135">
        <f t="shared" si="524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25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26"/>
        <v>150</v>
      </c>
      <c r="DE135">
        <f t="shared" si="527"/>
        <v>30870</v>
      </c>
      <c r="DF135">
        <f xml:space="preserve"> _xlfn.XLOOKUP(B135,
'[11]january-2027'!$A:$A,
'[11]january-2027'!$C:$C,
0,0)</f>
        <v>25400</v>
      </c>
      <c r="DG135">
        <f t="shared" si="528"/>
        <v>4572</v>
      </c>
      <c r="DH135">
        <f t="shared" si="529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0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1"/>
        <v>150</v>
      </c>
      <c r="DO135">
        <f t="shared" si="532"/>
        <v>30870</v>
      </c>
      <c r="DP135">
        <f xml:space="preserve"> _xlfn.XLOOKUP(B135,
'[12]february-2027'!$A:$A,
'[12]february-2027'!$C:$C,
0,0)</f>
        <v>25400</v>
      </c>
      <c r="DQ135">
        <f t="shared" si="533"/>
        <v>4572</v>
      </c>
      <c r="DR135">
        <f t="shared" si="534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35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36"/>
        <v>150</v>
      </c>
      <c r="DY135">
        <f t="shared" si="537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38"/>
        <v>0</v>
      </c>
      <c r="EM135">
        <f t="shared" si="539"/>
        <v>392733</v>
      </c>
      <c r="EN135">
        <f t="shared" si="540"/>
        <v>1800</v>
      </c>
      <c r="EO135">
        <f t="shared" si="541"/>
        <v>50000</v>
      </c>
      <c r="EP135">
        <v>0</v>
      </c>
      <c r="EQ135">
        <f t="shared" si="543"/>
        <v>340933</v>
      </c>
      <c r="ER135">
        <f t="shared" ref="ER135:ER199" si="544">DV135+DL135+DB135+CR135+CH135+BX135+BN135+BD135+AS135+AI135+Y135+O135</f>
        <v>24000</v>
      </c>
      <c r="ES135">
        <f t="shared" ref="ES135:ES199" si="545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46">SUM(ER135:FC135)</f>
        <v>24000</v>
      </c>
      <c r="FE135">
        <f t="shared" ref="FE135:FE199" si="547">IF(FD135&gt;=150000,150000,FD135)</f>
        <v>24000</v>
      </c>
      <c r="FF135">
        <f t="shared" ref="FF135:FF199" si="548">EQ135-FE135</f>
        <v>316933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>SUM(FG135:FM135)+(IF(F135="YES",50000,0))</f>
        <v>0</v>
      </c>
      <c r="FO135">
        <f t="shared" ref="FO135:FO199" si="549">FF135-FN135</f>
        <v>316933</v>
      </c>
      <c r="FP135">
        <f t="shared" ref="FP135:FP199" si="550">ROUND(IF(FO135&gt;0,IF(FO135&gt;500000,12500,(FO135-250000)*0.05),0),0)</f>
        <v>3347</v>
      </c>
      <c r="FQ135">
        <f t="shared" ref="FQ135:FQ199" si="551">IF(ROUND(IF(FO135&gt;0,IF(FO135&gt;1000000,25000,(FO135-500000)*0.2),0),0)&lt;0,0,ROUND(IF(FO135&gt;0,IF(FO135&gt;1000000,25000,(FO135-500000)*0.2),0),0))</f>
        <v>0</v>
      </c>
      <c r="FR135">
        <f t="shared" ref="FR135:FR199" si="552">FP135+FQ135</f>
        <v>3347</v>
      </c>
      <c r="FS135">
        <f t="shared" ref="FS135:FS199" si="553">IF(FR135&lt;12500,0,FR135)</f>
        <v>0</v>
      </c>
      <c r="FT135">
        <f t="shared" ref="FT135:FT199" si="554">FS135*0.04</f>
        <v>0</v>
      </c>
      <c r="FU135">
        <f t="shared" ref="FU135:FU199" si="555">ROUND(FT135+FS135,0)</f>
        <v>0</v>
      </c>
      <c r="FV135">
        <v>0</v>
      </c>
      <c r="FW135">
        <f t="shared" ref="FW135:FW199" si="556">FU135-FV135</f>
        <v>0</v>
      </c>
      <c r="FX135" t="b">
        <f t="shared" ref="FX135:FX199" si="557">IF(EM135&gt;500000,TRUE,FALSE)</f>
        <v>0</v>
      </c>
      <c r="FY135">
        <f t="shared" ref="FY135:FY199" ca="1" si="558">IF(FX135,RANDBETWEEN(500,1000),RANDBETWEEN(1000,3000))</f>
        <v>1262</v>
      </c>
      <c r="FZ135">
        <f t="shared" ref="FZ135:FZ199" ca="1" si="559">EM135+FY135</f>
        <v>393995</v>
      </c>
      <c r="GA135">
        <f t="shared" ref="GA135:GA199" si="560">IF(EM135&gt;0,75000,0)</f>
        <v>75000</v>
      </c>
      <c r="GB135">
        <f t="shared" ref="GB135:GB199" ca="1" si="561">FZ135-GA135</f>
        <v>318995</v>
      </c>
      <c r="GC135">
        <f t="shared" ref="GC135:GC199" ca="1" si="562">IF(GB135&gt;2400000,GB135-2400000,0)</f>
        <v>0</v>
      </c>
      <c r="GD135">
        <f t="shared" ref="GD135:GD199" ca="1" si="563">GC135*0.3</f>
        <v>0</v>
      </c>
      <c r="GE135">
        <f t="shared" ref="GE135:GE199" ca="1" si="564">IF(GB135&gt;2000000,GB135-2000000,0)</f>
        <v>0</v>
      </c>
      <c r="GF135">
        <f t="shared" ref="GF135:GF199" ca="1" si="565">GE135*0.25</f>
        <v>0</v>
      </c>
      <c r="GG135">
        <f t="shared" ref="GG135:GG199" ca="1" si="566">IF(GB135&gt;1600000,GB135-1600000-GC135,0)</f>
        <v>0</v>
      </c>
      <c r="GH135">
        <f t="shared" ref="GH135:GH199" ca="1" si="567">GG135*0.2</f>
        <v>0</v>
      </c>
      <c r="GI135">
        <f ca="1">IF(GB135&gt;1200000,GB135-1200000-IF(F135="YES",50000,0)-GG135,0)</f>
        <v>0</v>
      </c>
      <c r="GJ135">
        <f t="shared" ref="GJ135:GJ199" ca="1" si="568">GI135*0.15</f>
        <v>0</v>
      </c>
      <c r="GK135">
        <f t="shared" ref="GK135:GK199" ca="1" si="569">IF(GB135&gt;800000,GB135-800000-GC135-GG135-GI135,0)</f>
        <v>0</v>
      </c>
      <c r="GL135">
        <f t="shared" ref="GL135:GL199" ca="1" si="570">GK135*0.1</f>
        <v>0</v>
      </c>
      <c r="GM135">
        <f t="shared" ref="GM135:GM199" ca="1" si="571">IF(GB135&gt;400000,GB135-400000-GC135-GG135-GI135-GK135,0)</f>
        <v>0</v>
      </c>
      <c r="GN135">
        <f t="shared" ref="GN135:GN199" ca="1" si="572">GM135*0.05</f>
        <v>0</v>
      </c>
      <c r="GO135">
        <f t="shared" ref="GO135:GO199" ca="1" si="573">ROUND(GD135+GF135+GH135+GJ135+GL135+GN135,0)</f>
        <v>0</v>
      </c>
      <c r="GP135">
        <f t="shared" ref="GP135:GP199" ca="1" si="574">IF(GB135&gt;1200000,GB135,0)</f>
        <v>0</v>
      </c>
      <c r="GQ135">
        <f t="shared" ref="GQ135:GQ199" ca="1" si="575">IF(GB135&gt;1200000,GP135-1200000,0)</f>
        <v>0</v>
      </c>
      <c r="GR135">
        <f t="shared" ref="GR135:GR199" ca="1" si="576">IF(GB135&lt;1200001,MIN(GO135,60000),0)</f>
        <v>0</v>
      </c>
      <c r="GS135">
        <f t="shared" ref="GS135:GS199" ca="1" si="577">IF(GB135&gt;1200000,GO135-GQ135,0)</f>
        <v>0</v>
      </c>
      <c r="GT135" t="b">
        <f t="shared" ref="GT135:GT199" ca="1" si="578">IF(GS135&gt;0,TRUE,FALSE)</f>
        <v>0</v>
      </c>
      <c r="GU135">
        <f t="shared" ref="GU135:GU199" ca="1" si="579">IF(GT135,GS135,0)</f>
        <v>0</v>
      </c>
      <c r="GV135">
        <f t="shared" ref="GV135:GV199" ca="1" si="580">GR135+GU135</f>
        <v>0</v>
      </c>
      <c r="GW135">
        <f t="shared" ref="GW135:GW199" ca="1" si="581">ROUND(GO135-GV135,0)</f>
        <v>0</v>
      </c>
      <c r="GX135">
        <f t="shared" ref="GX135:GX199" ca="1" si="582">GW135*0.04</f>
        <v>0</v>
      </c>
      <c r="GY135">
        <f t="shared" ref="GY135:GY199" ca="1" si="583">ROUNDUP(GW135+GX135,0)</f>
        <v>0</v>
      </c>
    </row>
    <row r="136" spans="1:207" x14ac:dyDescent="0.25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78"/>
        <v>6800</v>
      </c>
      <c r="I136">
        <f>_xlfn.XLOOKUP(B136,'[1]march-2026'!$A:$A,'[1]march-2026'!$C:$C,0,0)</f>
        <v>34500</v>
      </c>
      <c r="J136">
        <f t="shared" si="542"/>
        <v>6210</v>
      </c>
      <c r="K136">
        <f t="shared" si="479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0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1"/>
        <v>200</v>
      </c>
      <c r="R136">
        <f t="shared" si="482"/>
        <v>42650</v>
      </c>
      <c r="S136">
        <f>_xlfn.XLOOKUP(B136,'[2]april-2026'!$A:$A,'[2]april-2026'!$C:$C,0,0)</f>
        <v>34500</v>
      </c>
      <c r="T136">
        <f t="shared" si="483"/>
        <v>6210</v>
      </c>
      <c r="U136">
        <f t="shared" si="484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85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86"/>
        <v>200</v>
      </c>
      <c r="AB136">
        <f t="shared" si="487"/>
        <v>42650</v>
      </c>
      <c r="AC136">
        <f>_xlfn.XLOOKUP(B136,'[3]may-2026'!$A:$A,'[3]may-2026'!$C:$C,0,0)</f>
        <v>34500</v>
      </c>
      <c r="AD136">
        <f t="shared" si="488"/>
        <v>6210</v>
      </c>
      <c r="AE136">
        <f t="shared" si="489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0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1"/>
        <v>200</v>
      </c>
      <c r="AL136">
        <f t="shared" si="492"/>
        <v>42650</v>
      </c>
      <c r="AM136">
        <f>_xlfn.XLOOKUP(B136,'[4]june-2026'!$A:$A,'[4]june-2026'!$C:$C,0,0)</f>
        <v>34500</v>
      </c>
      <c r="AN136">
        <f t="shared" si="493"/>
        <v>6210</v>
      </c>
      <c r="AO136">
        <f t="shared" si="494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495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496"/>
        <v>200</v>
      </c>
      <c r="AV136">
        <f t="shared" si="497"/>
        <v>42650</v>
      </c>
      <c r="AW136">
        <f>_xlfn.XLOOKUP(B136,'[5]july-2026'!$A:$A,'[5]july-2026'!$C:$C,0,0)</f>
        <v>35500</v>
      </c>
      <c r="AX136">
        <f t="shared" si="498"/>
        <v>6390</v>
      </c>
      <c r="AY136">
        <v>134</v>
      </c>
      <c r="AZ136">
        <f t="shared" si="499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0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1"/>
        <v>200</v>
      </c>
      <c r="BG136">
        <f t="shared" si="502"/>
        <v>44084</v>
      </c>
      <c r="BH136">
        <f>_xlfn.XLOOKUP(B136,'[6]august-2026'!$A:$A,'[6]august-2026'!$C:$C,0,0)</f>
        <v>35500</v>
      </c>
      <c r="BI136">
        <f t="shared" si="503"/>
        <v>6390</v>
      </c>
      <c r="BJ136">
        <f t="shared" si="504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05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06"/>
        <v>200</v>
      </c>
      <c r="BQ136">
        <f t="shared" si="507"/>
        <v>43950</v>
      </c>
      <c r="BR136">
        <f>_xlfn.XLOOKUP(B136,'[7]september-2026'!$A:$A,'[7]september-2026'!$C:$C,0,0)</f>
        <v>35500</v>
      </c>
      <c r="BS136">
        <f t="shared" si="508"/>
        <v>6390</v>
      </c>
      <c r="BT136">
        <f t="shared" si="509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0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1"/>
        <v>200</v>
      </c>
      <c r="CA136">
        <f t="shared" si="512"/>
        <v>43950</v>
      </c>
      <c r="CB136">
        <f>_xlfn.XLOOKUP(B136,'[8]october-2026'!$A:$A,'[8]october-2026'!$C:$C,0,0)</f>
        <v>35500</v>
      </c>
      <c r="CC136">
        <f t="shared" si="513"/>
        <v>6390</v>
      </c>
      <c r="CD136">
        <f t="shared" si="514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15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16"/>
        <v>200</v>
      </c>
      <c r="CK136">
        <f t="shared" si="517"/>
        <v>43950</v>
      </c>
      <c r="CL136">
        <f>_xlfn.XLOOKUP(B136,'[9]november-2026'!$A:$A,'[9]november-2026'!$C:$C,0,0)</f>
        <v>35500</v>
      </c>
      <c r="CM136">
        <f t="shared" si="518"/>
        <v>6390</v>
      </c>
      <c r="CN136">
        <f t="shared" si="519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0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1"/>
        <v>200</v>
      </c>
      <c r="CU136">
        <f t="shared" si="522"/>
        <v>43950</v>
      </c>
      <c r="CV136">
        <f>_xlfn.XLOOKUP(B136,'[10]december-2026'!$A:$A,'[10]december-2026'!$C:$C,0,0)</f>
        <v>35500</v>
      </c>
      <c r="CW136">
        <f t="shared" si="523"/>
        <v>6390</v>
      </c>
      <c r="CX136">
        <f t="shared" si="524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25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26"/>
        <v>200</v>
      </c>
      <c r="DE136">
        <f t="shared" si="527"/>
        <v>43950</v>
      </c>
      <c r="DF136">
        <f xml:space="preserve"> _xlfn.XLOOKUP(B136,
'[11]january-2027'!$A:$A,
'[11]january-2027'!$C:$C,
0,0)</f>
        <v>35500</v>
      </c>
      <c r="DG136">
        <f t="shared" si="528"/>
        <v>6390</v>
      </c>
      <c r="DH136">
        <f t="shared" si="529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0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1"/>
        <v>200</v>
      </c>
      <c r="DO136">
        <f t="shared" si="532"/>
        <v>43950</v>
      </c>
      <c r="DP136">
        <f xml:space="preserve"> _xlfn.XLOOKUP(B136,
'[12]february-2027'!$A:$A,
'[12]february-2027'!$C:$C,
0,0)</f>
        <v>35500</v>
      </c>
      <c r="DQ136">
        <f t="shared" si="533"/>
        <v>6390</v>
      </c>
      <c r="DR136">
        <f t="shared" si="534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35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36"/>
        <v>200</v>
      </c>
      <c r="DY136">
        <f t="shared" si="537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38"/>
        <v>0</v>
      </c>
      <c r="EM136">
        <f t="shared" si="539"/>
        <v>561534</v>
      </c>
      <c r="EN136">
        <f t="shared" si="540"/>
        <v>2400</v>
      </c>
      <c r="EO136">
        <f t="shared" si="541"/>
        <v>50000</v>
      </c>
      <c r="EP136">
        <v>0</v>
      </c>
      <c r="EQ136">
        <f t="shared" si="543"/>
        <v>509134</v>
      </c>
      <c r="ER136">
        <f t="shared" si="544"/>
        <v>30000</v>
      </c>
      <c r="ES136">
        <f t="shared" si="545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46"/>
        <v>30000</v>
      </c>
      <c r="FE136">
        <f t="shared" si="547"/>
        <v>30000</v>
      </c>
      <c r="FF136">
        <f t="shared" si="548"/>
        <v>479134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>SUM(FG136:FM136)+(IF(F136="YES",50000,0))</f>
        <v>0</v>
      </c>
      <c r="FO136">
        <f t="shared" si="549"/>
        <v>479134</v>
      </c>
      <c r="FP136">
        <f t="shared" si="550"/>
        <v>11457</v>
      </c>
      <c r="FQ136">
        <f t="shared" si="551"/>
        <v>0</v>
      </c>
      <c r="FR136">
        <f t="shared" si="552"/>
        <v>11457</v>
      </c>
      <c r="FS136">
        <f t="shared" si="553"/>
        <v>0</v>
      </c>
      <c r="FT136">
        <f t="shared" si="554"/>
        <v>0</v>
      </c>
      <c r="FU136">
        <f t="shared" si="555"/>
        <v>0</v>
      </c>
      <c r="FV136">
        <v>0</v>
      </c>
      <c r="FW136">
        <f t="shared" si="556"/>
        <v>0</v>
      </c>
      <c r="FX136" t="b">
        <f t="shared" si="557"/>
        <v>1</v>
      </c>
      <c r="FY136">
        <f t="shared" ca="1" si="558"/>
        <v>765</v>
      </c>
      <c r="FZ136">
        <f t="shared" ca="1" si="559"/>
        <v>562299</v>
      </c>
      <c r="GA136">
        <f t="shared" si="560"/>
        <v>75000</v>
      </c>
      <c r="GB136">
        <f t="shared" ca="1" si="561"/>
        <v>487299</v>
      </c>
      <c r="GC136">
        <f t="shared" ca="1" si="562"/>
        <v>0</v>
      </c>
      <c r="GD136">
        <f t="shared" ca="1" si="563"/>
        <v>0</v>
      </c>
      <c r="GE136">
        <f t="shared" ca="1" si="564"/>
        <v>0</v>
      </c>
      <c r="GF136">
        <f t="shared" ca="1" si="565"/>
        <v>0</v>
      </c>
      <c r="GG136">
        <f t="shared" ca="1" si="566"/>
        <v>0</v>
      </c>
      <c r="GH136">
        <f t="shared" ca="1" si="567"/>
        <v>0</v>
      </c>
      <c r="GI136">
        <f ca="1">IF(GB136&gt;1200000,GB136-1200000-IF(F136="YES",50000,0)-GG136,0)</f>
        <v>0</v>
      </c>
      <c r="GJ136">
        <f t="shared" ca="1" si="568"/>
        <v>0</v>
      </c>
      <c r="GK136">
        <f t="shared" ca="1" si="569"/>
        <v>0</v>
      </c>
      <c r="GL136">
        <f t="shared" ca="1" si="570"/>
        <v>0</v>
      </c>
      <c r="GM136">
        <f t="shared" ca="1" si="571"/>
        <v>87299</v>
      </c>
      <c r="GN136">
        <f t="shared" ca="1" si="572"/>
        <v>4364.95</v>
      </c>
      <c r="GO136">
        <f t="shared" ca="1" si="573"/>
        <v>4365</v>
      </c>
      <c r="GP136">
        <f t="shared" ca="1" si="574"/>
        <v>0</v>
      </c>
      <c r="GQ136">
        <f t="shared" ca="1" si="575"/>
        <v>0</v>
      </c>
      <c r="GR136">
        <f t="shared" ca="1" si="576"/>
        <v>4365</v>
      </c>
      <c r="GS136">
        <f t="shared" ca="1" si="577"/>
        <v>0</v>
      </c>
      <c r="GT136" t="b">
        <f t="shared" ca="1" si="578"/>
        <v>0</v>
      </c>
      <c r="GU136">
        <f t="shared" ca="1" si="579"/>
        <v>0</v>
      </c>
      <c r="GV136">
        <f t="shared" ca="1" si="580"/>
        <v>4365</v>
      </c>
      <c r="GW136">
        <f t="shared" ca="1" si="581"/>
        <v>0</v>
      </c>
      <c r="GX136">
        <f t="shared" ca="1" si="582"/>
        <v>0</v>
      </c>
      <c r="GY136">
        <f t="shared" ca="1" si="583"/>
        <v>0</v>
      </c>
    </row>
    <row r="137" spans="1:207" x14ac:dyDescent="0.25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78"/>
        <v>0</v>
      </c>
      <c r="I137">
        <f>_xlfn.XLOOKUP(B137,'[1]march-2026'!$A:$A,'[1]march-2026'!$C:$C,0,0)</f>
        <v>24700</v>
      </c>
      <c r="J137">
        <f t="shared" si="542"/>
        <v>4446</v>
      </c>
      <c r="K137">
        <f t="shared" si="479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0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1"/>
        <v>150</v>
      </c>
      <c r="R137">
        <f t="shared" si="482"/>
        <v>32460</v>
      </c>
      <c r="S137">
        <f>_xlfn.XLOOKUP(B137,'[2]april-2026'!$A:$A,'[2]april-2026'!$C:$C,0,0)</f>
        <v>24700</v>
      </c>
      <c r="T137">
        <f t="shared" si="483"/>
        <v>4446</v>
      </c>
      <c r="U137">
        <f t="shared" si="484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85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86"/>
        <v>150</v>
      </c>
      <c r="AB137">
        <f t="shared" si="487"/>
        <v>32460</v>
      </c>
      <c r="AC137">
        <f>_xlfn.XLOOKUP(B137,'[3]may-2026'!$A:$A,'[3]may-2026'!$C:$C,0,0)</f>
        <v>24700</v>
      </c>
      <c r="AD137">
        <f t="shared" si="488"/>
        <v>4446</v>
      </c>
      <c r="AE137">
        <f t="shared" si="489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0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1"/>
        <v>150</v>
      </c>
      <c r="AL137">
        <f t="shared" si="492"/>
        <v>32460</v>
      </c>
      <c r="AM137">
        <f>_xlfn.XLOOKUP(B137,'[4]june-2026'!$A:$A,'[4]june-2026'!$C:$C,0,0)</f>
        <v>24700</v>
      </c>
      <c r="AN137">
        <f t="shared" si="493"/>
        <v>4446</v>
      </c>
      <c r="AO137">
        <f t="shared" si="494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495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496"/>
        <v>150</v>
      </c>
      <c r="AV137">
        <f t="shared" si="497"/>
        <v>32460</v>
      </c>
      <c r="AW137">
        <f>_xlfn.XLOOKUP(B137,'[5]july-2026'!$A:$A,'[5]july-2026'!$C:$C,0,0)</f>
        <v>25400</v>
      </c>
      <c r="AX137">
        <f t="shared" si="498"/>
        <v>4572</v>
      </c>
      <c r="AY137">
        <v>135</v>
      </c>
      <c r="AZ137">
        <f t="shared" si="499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0"/>
        <v>33655</v>
      </c>
      <c r="BD137">
        <f>_xlfn.XLOOKUP(B137,'[5]july-2026'!$A:$A,'[5]july-2026'!$H:$H,0,0)</f>
        <v>0</v>
      </c>
      <c r="BE137">
        <f>_xlfn.XLOOKUP(B137,'[5]july-2026'!$A:$A,'[5]july-2026'!$I:$I,0,0)</f>
        <v>0</v>
      </c>
      <c r="BF137">
        <f t="shared" si="501"/>
        <v>150</v>
      </c>
      <c r="BG137">
        <f t="shared" si="502"/>
        <v>33505</v>
      </c>
      <c r="BH137">
        <f>_xlfn.XLOOKUP(B137,'[6]august-2026'!$A:$A,'[6]august-2026'!$C:$C,0,0)</f>
        <v>25400</v>
      </c>
      <c r="BI137">
        <f t="shared" si="503"/>
        <v>4572</v>
      </c>
      <c r="BJ137">
        <f t="shared" si="504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05"/>
        <v>33520</v>
      </c>
      <c r="BN137">
        <f>_xlfn.XLOOKUP(B137,'[6]august-2026'!$A:$A,'[6]august-2026'!$H:$H,0,0)</f>
        <v>0</v>
      </c>
      <c r="BO137">
        <f>_xlfn.XLOOKUP(B137,'[6]august-2026'!$A:$A,'[6]august-2026'!$I:$I,0,0)</f>
        <v>0</v>
      </c>
      <c r="BP137">
        <f t="shared" si="506"/>
        <v>150</v>
      </c>
      <c r="BQ137">
        <f t="shared" si="507"/>
        <v>33370</v>
      </c>
      <c r="BR137">
        <f>_xlfn.XLOOKUP(B137,'[7]september-2026'!$A:$A,'[7]september-2026'!$C:$C,0,0)</f>
        <v>25400</v>
      </c>
      <c r="BS137">
        <f t="shared" si="508"/>
        <v>4572</v>
      </c>
      <c r="BT137">
        <f t="shared" si="509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0"/>
        <v>33520</v>
      </c>
      <c r="BX137">
        <f>_xlfn.XLOOKUP(B137,'[7]september-2026'!$A:$A,'[7]september-2026'!$H:$H,0,0)</f>
        <v>0</v>
      </c>
      <c r="BY137">
        <f>_xlfn.XLOOKUP(B137,'[7]september-2026'!$A:$A,'[7]september-2026'!$I:$I,0,0)</f>
        <v>0</v>
      </c>
      <c r="BZ137">
        <f t="shared" si="511"/>
        <v>150</v>
      </c>
      <c r="CA137">
        <f t="shared" si="512"/>
        <v>33370</v>
      </c>
      <c r="CB137">
        <f>_xlfn.XLOOKUP(B137,'[8]october-2026'!$A:$A,'[8]october-2026'!$C:$C,0,0)</f>
        <v>25400</v>
      </c>
      <c r="CC137">
        <f t="shared" si="513"/>
        <v>4572</v>
      </c>
      <c r="CD137">
        <f t="shared" si="514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15"/>
        <v>33520</v>
      </c>
      <c r="CH137">
        <f>_xlfn.XLOOKUP(B137,'[8]october-2026'!$A:$A,'[8]october-2026'!$H:$H,0,0)</f>
        <v>0</v>
      </c>
      <c r="CI137">
        <f>_xlfn.XLOOKUP(B137,'[8]october-2026'!$A:$A,'[8]october-2026'!$I:$I,0,0)</f>
        <v>0</v>
      </c>
      <c r="CJ137">
        <f t="shared" si="516"/>
        <v>150</v>
      </c>
      <c r="CK137">
        <f t="shared" si="517"/>
        <v>33370</v>
      </c>
      <c r="CL137">
        <f>_xlfn.XLOOKUP(B137,'[9]november-2026'!$A:$A,'[9]november-2026'!$C:$C,0,0)</f>
        <v>25400</v>
      </c>
      <c r="CM137">
        <f t="shared" si="518"/>
        <v>4572</v>
      </c>
      <c r="CN137">
        <f t="shared" si="519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0"/>
        <v>33520</v>
      </c>
      <c r="CR137">
        <f>_xlfn.XLOOKUP(B137,'[9]november-2026'!$A:$A,'[9]november-2026'!$H:$H,0,0)</f>
        <v>0</v>
      </c>
      <c r="CS137">
        <f>_xlfn.XLOOKUP(B137,'[9]november-2026'!$A:$A,'[9]november-2026'!$I:$I,0,0)</f>
        <v>0</v>
      </c>
      <c r="CT137">
        <f t="shared" si="521"/>
        <v>150</v>
      </c>
      <c r="CU137">
        <f t="shared" si="522"/>
        <v>33370</v>
      </c>
      <c r="CV137">
        <f>_xlfn.XLOOKUP(B137,'[10]december-2026'!$A:$A,'[10]december-2026'!$C:$C,0,0)</f>
        <v>25400</v>
      </c>
      <c r="CW137">
        <f t="shared" si="523"/>
        <v>4572</v>
      </c>
      <c r="CX137">
        <f t="shared" si="524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25"/>
        <v>33520</v>
      </c>
      <c r="DB137">
        <f>_xlfn.XLOOKUP(B137,'[10]december-2026'!$A:$A,'[10]december-2026'!$H:$H,0,0)</f>
        <v>0</v>
      </c>
      <c r="DC137">
        <f>_xlfn.XLOOKUP(B137,'[10]december-2026'!$A:$A,'[10]december-2026'!$I:$I,0,0)</f>
        <v>0</v>
      </c>
      <c r="DD137">
        <f t="shared" si="526"/>
        <v>150</v>
      </c>
      <c r="DE137">
        <f t="shared" si="527"/>
        <v>33370</v>
      </c>
      <c r="DF137">
        <f xml:space="preserve"> _xlfn.XLOOKUP(B137,
'[11]january-2027'!$A:$A,
'[11]january-2027'!$C:$C,
0,0)</f>
        <v>25400</v>
      </c>
      <c r="DG137">
        <f t="shared" si="528"/>
        <v>4572</v>
      </c>
      <c r="DH137">
        <f t="shared" si="529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0"/>
        <v>33520</v>
      </c>
      <c r="DL137">
        <f xml:space="preserve"> _xlfn.XLOOKUP(B137,
'[11]january-2027'!$A:$A,
'[11]january-2027'!$H:$H,
0,0)</f>
        <v>0</v>
      </c>
      <c r="DM137">
        <f xml:space="preserve"> _xlfn.XLOOKUP(B137,
'[11]january-2027'!$A:$A,
'[11]january-2027'!$I:$I,
0,0)</f>
        <v>0</v>
      </c>
      <c r="DN137">
        <f t="shared" si="531"/>
        <v>150</v>
      </c>
      <c r="DO137">
        <f t="shared" si="532"/>
        <v>33370</v>
      </c>
      <c r="DP137">
        <f xml:space="preserve"> _xlfn.XLOOKUP(B137,
'[12]february-2027'!$A:$A,
'[12]february-2027'!$C:$C,
0,0)</f>
        <v>25400</v>
      </c>
      <c r="DQ137">
        <f t="shared" si="533"/>
        <v>4572</v>
      </c>
      <c r="DR137">
        <f t="shared" si="534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35"/>
        <v>33520</v>
      </c>
      <c r="DV137">
        <f xml:space="preserve"> _xlfn.XLOOKUP(B137,
'[12]february-2027'!$A:$A,
'[12]february-2027'!$H:$H,
0,0)</f>
        <v>0</v>
      </c>
      <c r="DW137">
        <f xml:space="preserve"> _xlfn.XLOOKUP(B137,
'[12]february-2027'!$A:$A,
'[12]february-2027'!$I:$I,
0,0)</f>
        <v>0</v>
      </c>
      <c r="DX137">
        <f t="shared" si="536"/>
        <v>150</v>
      </c>
      <c r="DY137">
        <f t="shared" si="537"/>
        <v>33370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38"/>
        <v>0</v>
      </c>
      <c r="EM137">
        <f t="shared" si="539"/>
        <v>398735</v>
      </c>
      <c r="EN137">
        <f t="shared" si="540"/>
        <v>1800</v>
      </c>
      <c r="EO137">
        <f t="shared" si="541"/>
        <v>50000</v>
      </c>
      <c r="EP137">
        <v>1</v>
      </c>
      <c r="EQ137">
        <f t="shared" si="543"/>
        <v>346935</v>
      </c>
      <c r="ER137">
        <f t="shared" si="544"/>
        <v>0</v>
      </c>
      <c r="ES137">
        <f t="shared" si="545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46"/>
        <v>0</v>
      </c>
      <c r="FE137">
        <f t="shared" si="547"/>
        <v>0</v>
      </c>
      <c r="FF137">
        <f t="shared" si="548"/>
        <v>346935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>SUM(FG137:FM137)+(IF(F137="YES",50000,0))</f>
        <v>0</v>
      </c>
      <c r="FO137">
        <f t="shared" si="549"/>
        <v>346935</v>
      </c>
      <c r="FP137">
        <f t="shared" si="550"/>
        <v>4847</v>
      </c>
      <c r="FQ137">
        <f t="shared" si="551"/>
        <v>0</v>
      </c>
      <c r="FR137">
        <f t="shared" si="552"/>
        <v>4847</v>
      </c>
      <c r="FS137">
        <f t="shared" si="553"/>
        <v>0</v>
      </c>
      <c r="FT137">
        <f t="shared" si="554"/>
        <v>0</v>
      </c>
      <c r="FU137">
        <f t="shared" si="555"/>
        <v>0</v>
      </c>
      <c r="FV137">
        <v>1</v>
      </c>
      <c r="FW137">
        <f t="shared" si="556"/>
        <v>-1</v>
      </c>
      <c r="FX137" t="b">
        <f t="shared" si="557"/>
        <v>0</v>
      </c>
      <c r="FY137">
        <f t="shared" ca="1" si="558"/>
        <v>2522</v>
      </c>
      <c r="FZ137">
        <f t="shared" ca="1" si="559"/>
        <v>401257</v>
      </c>
      <c r="GA137">
        <f t="shared" si="560"/>
        <v>75000</v>
      </c>
      <c r="GB137">
        <f t="shared" ca="1" si="561"/>
        <v>326257</v>
      </c>
      <c r="GC137">
        <f t="shared" ca="1" si="562"/>
        <v>0</v>
      </c>
      <c r="GD137">
        <f t="shared" ca="1" si="563"/>
        <v>0</v>
      </c>
      <c r="GE137">
        <f t="shared" ca="1" si="564"/>
        <v>0</v>
      </c>
      <c r="GF137">
        <f t="shared" ca="1" si="565"/>
        <v>0</v>
      </c>
      <c r="GG137">
        <f t="shared" ca="1" si="566"/>
        <v>0</v>
      </c>
      <c r="GH137">
        <f t="shared" ca="1" si="567"/>
        <v>0</v>
      </c>
      <c r="GI137">
        <f ca="1">IF(GB137&gt;1200000,GB137-1200000-IF(F137="YES",50000,0)-GG137,0)</f>
        <v>0</v>
      </c>
      <c r="GJ137">
        <f t="shared" ca="1" si="568"/>
        <v>0</v>
      </c>
      <c r="GK137">
        <f t="shared" ca="1" si="569"/>
        <v>0</v>
      </c>
      <c r="GL137">
        <f t="shared" ca="1" si="570"/>
        <v>0</v>
      </c>
      <c r="GM137">
        <f t="shared" ca="1" si="571"/>
        <v>0</v>
      </c>
      <c r="GN137">
        <f t="shared" ca="1" si="572"/>
        <v>0</v>
      </c>
      <c r="GO137">
        <f t="shared" ca="1" si="573"/>
        <v>0</v>
      </c>
      <c r="GP137">
        <f t="shared" ca="1" si="574"/>
        <v>0</v>
      </c>
      <c r="GQ137">
        <f t="shared" ca="1" si="575"/>
        <v>0</v>
      </c>
      <c r="GR137">
        <f t="shared" ca="1" si="576"/>
        <v>0</v>
      </c>
      <c r="GS137">
        <f t="shared" ca="1" si="577"/>
        <v>0</v>
      </c>
      <c r="GT137" t="b">
        <f t="shared" ca="1" si="578"/>
        <v>0</v>
      </c>
      <c r="GU137">
        <f t="shared" ca="1" si="579"/>
        <v>0</v>
      </c>
      <c r="GV137">
        <f t="shared" ca="1" si="580"/>
        <v>0</v>
      </c>
      <c r="GW137">
        <f t="shared" ca="1" si="581"/>
        <v>0</v>
      </c>
      <c r="GX137">
        <f t="shared" ca="1" si="582"/>
        <v>0</v>
      </c>
      <c r="GY137">
        <f t="shared" ca="1" si="583"/>
        <v>0</v>
      </c>
    </row>
    <row r="138" spans="1:207" x14ac:dyDescent="0.25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78"/>
        <v>6800</v>
      </c>
      <c r="I138">
        <f>_xlfn.XLOOKUP(B138,'[1]march-2026'!$A:$A,'[1]march-2026'!$C:$C,0,0)</f>
        <v>36600</v>
      </c>
      <c r="J138">
        <f t="shared" si="542"/>
        <v>6588</v>
      </c>
      <c r="K138">
        <f t="shared" si="479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0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1"/>
        <v>200</v>
      </c>
      <c r="R138">
        <f t="shared" si="482"/>
        <v>43280</v>
      </c>
      <c r="S138">
        <f>_xlfn.XLOOKUP(B138,'[2]april-2026'!$A:$A,'[2]april-2026'!$C:$C,0,0)</f>
        <v>36600</v>
      </c>
      <c r="T138">
        <f t="shared" si="483"/>
        <v>6588</v>
      </c>
      <c r="U138">
        <f t="shared" si="484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85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86"/>
        <v>200</v>
      </c>
      <c r="AB138">
        <f t="shared" si="487"/>
        <v>43280</v>
      </c>
      <c r="AC138">
        <f>_xlfn.XLOOKUP(B138,'[3]may-2026'!$A:$A,'[3]may-2026'!$C:$C,0,0)</f>
        <v>36600</v>
      </c>
      <c r="AD138">
        <f t="shared" si="488"/>
        <v>6588</v>
      </c>
      <c r="AE138">
        <f t="shared" si="489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0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1"/>
        <v>200</v>
      </c>
      <c r="AL138">
        <f t="shared" si="492"/>
        <v>43280</v>
      </c>
      <c r="AM138">
        <f>_xlfn.XLOOKUP(B138,'[4]june-2026'!$A:$A,'[4]june-2026'!$C:$C,0,0)</f>
        <v>36600</v>
      </c>
      <c r="AN138">
        <f t="shared" si="493"/>
        <v>6588</v>
      </c>
      <c r="AO138">
        <f t="shared" si="494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495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496"/>
        <v>200</v>
      </c>
      <c r="AV138">
        <f t="shared" si="497"/>
        <v>43280</v>
      </c>
      <c r="AW138">
        <f>_xlfn.XLOOKUP(B138,'[5]july-2026'!$A:$A,'[5]july-2026'!$C:$C,0,0)</f>
        <v>37700</v>
      </c>
      <c r="AX138">
        <f t="shared" si="498"/>
        <v>6786</v>
      </c>
      <c r="AY138">
        <v>136</v>
      </c>
      <c r="AZ138">
        <f t="shared" si="499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0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1"/>
        <v>200</v>
      </c>
      <c r="BG138">
        <f t="shared" si="502"/>
        <v>44846</v>
      </c>
      <c r="BH138">
        <f>_xlfn.XLOOKUP(B138,'[6]august-2026'!$A:$A,'[6]august-2026'!$C:$C,0,0)</f>
        <v>37700</v>
      </c>
      <c r="BI138">
        <f t="shared" si="503"/>
        <v>6786</v>
      </c>
      <c r="BJ138">
        <f t="shared" si="504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05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06"/>
        <v>200</v>
      </c>
      <c r="BQ138">
        <f t="shared" si="507"/>
        <v>44710</v>
      </c>
      <c r="BR138">
        <f>_xlfn.XLOOKUP(B138,'[7]september-2026'!$A:$A,'[7]september-2026'!$C:$C,0,0)</f>
        <v>37700</v>
      </c>
      <c r="BS138">
        <f t="shared" si="508"/>
        <v>6786</v>
      </c>
      <c r="BT138">
        <f t="shared" si="509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0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1"/>
        <v>200</v>
      </c>
      <c r="CA138">
        <f t="shared" si="512"/>
        <v>44710</v>
      </c>
      <c r="CB138">
        <f>_xlfn.XLOOKUP(B138,'[8]october-2026'!$A:$A,'[8]october-2026'!$C:$C,0,0)</f>
        <v>37700</v>
      </c>
      <c r="CC138">
        <f t="shared" si="513"/>
        <v>6786</v>
      </c>
      <c r="CD138">
        <f t="shared" si="514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15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16"/>
        <v>200</v>
      </c>
      <c r="CK138">
        <f t="shared" si="517"/>
        <v>44710</v>
      </c>
      <c r="CL138">
        <f>_xlfn.XLOOKUP(B138,'[9]november-2026'!$A:$A,'[9]november-2026'!$C:$C,0,0)</f>
        <v>37700</v>
      </c>
      <c r="CM138">
        <f t="shared" si="518"/>
        <v>6786</v>
      </c>
      <c r="CN138">
        <f t="shared" si="519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0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1"/>
        <v>200</v>
      </c>
      <c r="CU138">
        <f t="shared" si="522"/>
        <v>44710</v>
      </c>
      <c r="CV138">
        <f>_xlfn.XLOOKUP(B138,'[10]december-2026'!$A:$A,'[10]december-2026'!$C:$C,0,0)</f>
        <v>37700</v>
      </c>
      <c r="CW138">
        <f t="shared" si="523"/>
        <v>6786</v>
      </c>
      <c r="CX138">
        <f t="shared" si="524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25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26"/>
        <v>200</v>
      </c>
      <c r="DE138">
        <f t="shared" si="527"/>
        <v>44710</v>
      </c>
      <c r="DF138">
        <f xml:space="preserve"> _xlfn.XLOOKUP(B138,
'[11]january-2027'!$A:$A,
'[11]january-2027'!$C:$C,
0,0)</f>
        <v>37700</v>
      </c>
      <c r="DG138">
        <f t="shared" si="528"/>
        <v>6786</v>
      </c>
      <c r="DH138">
        <f t="shared" si="529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0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1"/>
        <v>200</v>
      </c>
      <c r="DO138">
        <f t="shared" si="532"/>
        <v>44710</v>
      </c>
      <c r="DP138">
        <f xml:space="preserve"> _xlfn.XLOOKUP(B138,
'[12]february-2027'!$A:$A,
'[12]february-2027'!$C:$C,
0,0)</f>
        <v>37700</v>
      </c>
      <c r="DQ138">
        <f t="shared" si="533"/>
        <v>6786</v>
      </c>
      <c r="DR138">
        <f t="shared" si="534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35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36"/>
        <v>200</v>
      </c>
      <c r="DY138">
        <f t="shared" si="537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38"/>
        <v>0</v>
      </c>
      <c r="EM138">
        <f t="shared" si="539"/>
        <v>600136</v>
      </c>
      <c r="EN138">
        <f t="shared" si="540"/>
        <v>2400</v>
      </c>
      <c r="EO138">
        <f t="shared" si="541"/>
        <v>50000</v>
      </c>
      <c r="EP138">
        <v>0</v>
      </c>
      <c r="EQ138">
        <f t="shared" si="543"/>
        <v>547736</v>
      </c>
      <c r="ER138">
        <f t="shared" si="544"/>
        <v>60000</v>
      </c>
      <c r="ES138">
        <f t="shared" si="545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46"/>
        <v>60000</v>
      </c>
      <c r="FE138">
        <f t="shared" si="547"/>
        <v>60000</v>
      </c>
      <c r="FF138">
        <f t="shared" si="548"/>
        <v>487736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>SUM(FG138:FM138)+(IF(F138="YES",50000,0))</f>
        <v>0</v>
      </c>
      <c r="FO138">
        <f t="shared" si="549"/>
        <v>487736</v>
      </c>
      <c r="FP138">
        <f t="shared" si="550"/>
        <v>11887</v>
      </c>
      <c r="FQ138">
        <f t="shared" si="551"/>
        <v>0</v>
      </c>
      <c r="FR138">
        <f t="shared" si="552"/>
        <v>11887</v>
      </c>
      <c r="FS138">
        <f t="shared" si="553"/>
        <v>0</v>
      </c>
      <c r="FT138">
        <f t="shared" si="554"/>
        <v>0</v>
      </c>
      <c r="FU138">
        <f t="shared" si="555"/>
        <v>0</v>
      </c>
      <c r="FV138">
        <v>0</v>
      </c>
      <c r="FW138">
        <f t="shared" si="556"/>
        <v>0</v>
      </c>
      <c r="FX138" t="b">
        <f t="shared" si="557"/>
        <v>1</v>
      </c>
      <c r="FY138">
        <f t="shared" ca="1" si="558"/>
        <v>788</v>
      </c>
      <c r="FZ138">
        <f t="shared" ca="1" si="559"/>
        <v>600924</v>
      </c>
      <c r="GA138">
        <f t="shared" si="560"/>
        <v>75000</v>
      </c>
      <c r="GB138">
        <f t="shared" ca="1" si="561"/>
        <v>525924</v>
      </c>
      <c r="GC138">
        <f t="shared" ca="1" si="562"/>
        <v>0</v>
      </c>
      <c r="GD138">
        <f t="shared" ca="1" si="563"/>
        <v>0</v>
      </c>
      <c r="GE138">
        <f t="shared" ca="1" si="564"/>
        <v>0</v>
      </c>
      <c r="GF138">
        <f t="shared" ca="1" si="565"/>
        <v>0</v>
      </c>
      <c r="GG138">
        <f t="shared" ca="1" si="566"/>
        <v>0</v>
      </c>
      <c r="GH138">
        <f t="shared" ca="1" si="567"/>
        <v>0</v>
      </c>
      <c r="GI138">
        <f ca="1">IF(GB138&gt;1200000,GB138-1200000-IF(F138="YES",50000,0)-GG138,0)</f>
        <v>0</v>
      </c>
      <c r="GJ138">
        <f t="shared" ca="1" si="568"/>
        <v>0</v>
      </c>
      <c r="GK138">
        <f t="shared" ca="1" si="569"/>
        <v>0</v>
      </c>
      <c r="GL138">
        <f t="shared" ca="1" si="570"/>
        <v>0</v>
      </c>
      <c r="GM138">
        <f t="shared" ca="1" si="571"/>
        <v>125924</v>
      </c>
      <c r="GN138">
        <f t="shared" ca="1" si="572"/>
        <v>6296.2000000000007</v>
      </c>
      <c r="GO138">
        <f t="shared" ca="1" si="573"/>
        <v>6296</v>
      </c>
      <c r="GP138">
        <f t="shared" ca="1" si="574"/>
        <v>0</v>
      </c>
      <c r="GQ138">
        <f t="shared" ca="1" si="575"/>
        <v>0</v>
      </c>
      <c r="GR138">
        <f t="shared" ca="1" si="576"/>
        <v>6296</v>
      </c>
      <c r="GS138">
        <f t="shared" ca="1" si="577"/>
        <v>0</v>
      </c>
      <c r="GT138" t="b">
        <f t="shared" ca="1" si="578"/>
        <v>0</v>
      </c>
      <c r="GU138">
        <f t="shared" ca="1" si="579"/>
        <v>0</v>
      </c>
      <c r="GV138">
        <f t="shared" ca="1" si="580"/>
        <v>6296</v>
      </c>
      <c r="GW138">
        <f t="shared" ca="1" si="581"/>
        <v>0</v>
      </c>
      <c r="GX138">
        <f t="shared" ca="1" si="582"/>
        <v>0</v>
      </c>
      <c r="GY138">
        <f t="shared" ca="1" si="583"/>
        <v>0</v>
      </c>
    </row>
    <row r="139" spans="1:207" x14ac:dyDescent="0.25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78"/>
        <v>6800</v>
      </c>
      <c r="I139">
        <f>_xlfn.XLOOKUP(B139,'[1]march-2026'!$A:$A,'[1]march-2026'!$C:$C,0,0)</f>
        <v>29800</v>
      </c>
      <c r="J139">
        <f t="shared" si="542"/>
        <v>5364</v>
      </c>
      <c r="K139">
        <f t="shared" si="479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0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1"/>
        <v>150</v>
      </c>
      <c r="R139">
        <f t="shared" si="482"/>
        <v>37090</v>
      </c>
      <c r="S139">
        <f>_xlfn.XLOOKUP(B139,'[2]april-2026'!$A:$A,'[2]april-2026'!$C:$C,0,0)</f>
        <v>29800</v>
      </c>
      <c r="T139">
        <f t="shared" si="483"/>
        <v>5364</v>
      </c>
      <c r="U139">
        <f t="shared" si="484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85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86"/>
        <v>150</v>
      </c>
      <c r="AB139">
        <f t="shared" si="487"/>
        <v>37090</v>
      </c>
      <c r="AC139">
        <f>_xlfn.XLOOKUP(B139,'[3]may-2026'!$A:$A,'[3]may-2026'!$C:$C,0,0)</f>
        <v>29800</v>
      </c>
      <c r="AD139">
        <f t="shared" si="488"/>
        <v>5364</v>
      </c>
      <c r="AE139">
        <f t="shared" si="489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0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1"/>
        <v>150</v>
      </c>
      <c r="AL139">
        <f t="shared" si="492"/>
        <v>37090</v>
      </c>
      <c r="AM139">
        <f>_xlfn.XLOOKUP(B139,'[4]june-2026'!$A:$A,'[4]june-2026'!$C:$C,0,0)</f>
        <v>29800</v>
      </c>
      <c r="AN139">
        <f t="shared" si="493"/>
        <v>5364</v>
      </c>
      <c r="AO139">
        <f t="shared" si="494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495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496"/>
        <v>150</v>
      </c>
      <c r="AV139">
        <f t="shared" si="497"/>
        <v>37090</v>
      </c>
      <c r="AW139">
        <f>_xlfn.XLOOKUP(B139,'[5]july-2026'!$A:$A,'[5]july-2026'!$C:$C,0,0)</f>
        <v>30700</v>
      </c>
      <c r="AX139">
        <f t="shared" si="498"/>
        <v>5526</v>
      </c>
      <c r="AY139">
        <v>137</v>
      </c>
      <c r="AZ139">
        <f t="shared" si="499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0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1"/>
        <v>200</v>
      </c>
      <c r="BG139">
        <f t="shared" si="502"/>
        <v>38347</v>
      </c>
      <c r="BH139">
        <f>_xlfn.XLOOKUP(B139,'[6]august-2026'!$A:$A,'[6]august-2026'!$C:$C,0,0)</f>
        <v>30700</v>
      </c>
      <c r="BI139">
        <f t="shared" si="503"/>
        <v>5526</v>
      </c>
      <c r="BJ139">
        <f t="shared" si="504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05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06"/>
        <v>200</v>
      </c>
      <c r="BQ139">
        <f t="shared" si="507"/>
        <v>38210</v>
      </c>
      <c r="BR139">
        <f>_xlfn.XLOOKUP(B139,'[7]september-2026'!$A:$A,'[7]september-2026'!$C:$C,0,0)</f>
        <v>30700</v>
      </c>
      <c r="BS139">
        <f t="shared" si="508"/>
        <v>5526</v>
      </c>
      <c r="BT139">
        <f t="shared" si="509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0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1"/>
        <v>200</v>
      </c>
      <c r="CA139">
        <f t="shared" si="512"/>
        <v>38210</v>
      </c>
      <c r="CB139">
        <f>_xlfn.XLOOKUP(B139,'[8]october-2026'!$A:$A,'[8]october-2026'!$C:$C,0,0)</f>
        <v>30700</v>
      </c>
      <c r="CC139">
        <f t="shared" si="513"/>
        <v>5526</v>
      </c>
      <c r="CD139">
        <f t="shared" si="514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15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16"/>
        <v>200</v>
      </c>
      <c r="CK139">
        <f t="shared" si="517"/>
        <v>38210</v>
      </c>
      <c r="CL139">
        <f>_xlfn.XLOOKUP(B139,'[9]november-2026'!$A:$A,'[9]november-2026'!$C:$C,0,0)</f>
        <v>30700</v>
      </c>
      <c r="CM139">
        <f t="shared" si="518"/>
        <v>5526</v>
      </c>
      <c r="CN139">
        <f t="shared" si="519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0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1"/>
        <v>200</v>
      </c>
      <c r="CU139">
        <f t="shared" si="522"/>
        <v>38210</v>
      </c>
      <c r="CV139">
        <f>_xlfn.XLOOKUP(B139,'[10]december-2026'!$A:$A,'[10]december-2026'!$C:$C,0,0)</f>
        <v>30700</v>
      </c>
      <c r="CW139">
        <f t="shared" si="523"/>
        <v>5526</v>
      </c>
      <c r="CX139">
        <f t="shared" si="524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25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26"/>
        <v>200</v>
      </c>
      <c r="DE139">
        <f t="shared" si="527"/>
        <v>38210</v>
      </c>
      <c r="DF139">
        <f xml:space="preserve"> _xlfn.XLOOKUP(B139,
'[11]january-2027'!$A:$A,
'[11]january-2027'!$C:$C,
0,0)</f>
        <v>30700</v>
      </c>
      <c r="DG139">
        <f t="shared" si="528"/>
        <v>5526</v>
      </c>
      <c r="DH139">
        <f t="shared" si="529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0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1"/>
        <v>200</v>
      </c>
      <c r="DO139">
        <f t="shared" si="532"/>
        <v>38210</v>
      </c>
      <c r="DP139">
        <f xml:space="preserve"> _xlfn.XLOOKUP(B139,
'[12]february-2027'!$A:$A,
'[12]february-2027'!$C:$C,
0,0)</f>
        <v>30700</v>
      </c>
      <c r="DQ139">
        <f t="shared" si="533"/>
        <v>5526</v>
      </c>
      <c r="DR139">
        <f t="shared" si="534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35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36"/>
        <v>200</v>
      </c>
      <c r="DY139">
        <f t="shared" si="537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38"/>
        <v>0</v>
      </c>
      <c r="EM139">
        <f t="shared" si="539"/>
        <v>487177</v>
      </c>
      <c r="EN139">
        <f t="shared" si="540"/>
        <v>2200</v>
      </c>
      <c r="EO139">
        <f t="shared" si="541"/>
        <v>50000</v>
      </c>
      <c r="EP139">
        <v>0</v>
      </c>
      <c r="EQ139">
        <f t="shared" si="543"/>
        <v>434977</v>
      </c>
      <c r="ER139">
        <f t="shared" si="544"/>
        <v>24000</v>
      </c>
      <c r="ES139">
        <f t="shared" si="545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46"/>
        <v>24000</v>
      </c>
      <c r="FE139">
        <f t="shared" si="547"/>
        <v>24000</v>
      </c>
      <c r="FF139">
        <f t="shared" si="548"/>
        <v>410977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>SUM(FG139:FM139)+(IF(F139="YES",50000,0))</f>
        <v>0</v>
      </c>
      <c r="FO139">
        <f t="shared" si="549"/>
        <v>410977</v>
      </c>
      <c r="FP139">
        <f t="shared" si="550"/>
        <v>8049</v>
      </c>
      <c r="FQ139">
        <f t="shared" si="551"/>
        <v>0</v>
      </c>
      <c r="FR139">
        <f t="shared" si="552"/>
        <v>8049</v>
      </c>
      <c r="FS139">
        <f t="shared" si="553"/>
        <v>0</v>
      </c>
      <c r="FT139">
        <f t="shared" si="554"/>
        <v>0</v>
      </c>
      <c r="FU139">
        <f t="shared" si="555"/>
        <v>0</v>
      </c>
      <c r="FV139">
        <v>0</v>
      </c>
      <c r="FW139">
        <f t="shared" si="556"/>
        <v>0</v>
      </c>
      <c r="FX139" t="b">
        <f t="shared" si="557"/>
        <v>0</v>
      </c>
      <c r="FY139">
        <f t="shared" ca="1" si="558"/>
        <v>1430</v>
      </c>
      <c r="FZ139">
        <f t="shared" ca="1" si="559"/>
        <v>488607</v>
      </c>
      <c r="GA139">
        <f t="shared" si="560"/>
        <v>75000</v>
      </c>
      <c r="GB139">
        <f t="shared" ca="1" si="561"/>
        <v>413607</v>
      </c>
      <c r="GC139">
        <f t="shared" ca="1" si="562"/>
        <v>0</v>
      </c>
      <c r="GD139">
        <f t="shared" ca="1" si="563"/>
        <v>0</v>
      </c>
      <c r="GE139">
        <f t="shared" ca="1" si="564"/>
        <v>0</v>
      </c>
      <c r="GF139">
        <f t="shared" ca="1" si="565"/>
        <v>0</v>
      </c>
      <c r="GG139">
        <f t="shared" ca="1" si="566"/>
        <v>0</v>
      </c>
      <c r="GH139">
        <f t="shared" ca="1" si="567"/>
        <v>0</v>
      </c>
      <c r="GI139">
        <f ca="1">IF(GB139&gt;1200000,GB139-1200000-IF(F139="YES",50000,0)-GG139,0)</f>
        <v>0</v>
      </c>
      <c r="GJ139">
        <f t="shared" ca="1" si="568"/>
        <v>0</v>
      </c>
      <c r="GK139">
        <f t="shared" ca="1" si="569"/>
        <v>0</v>
      </c>
      <c r="GL139">
        <f t="shared" ca="1" si="570"/>
        <v>0</v>
      </c>
      <c r="GM139">
        <f t="shared" ca="1" si="571"/>
        <v>13607</v>
      </c>
      <c r="GN139">
        <f t="shared" ca="1" si="572"/>
        <v>680.35</v>
      </c>
      <c r="GO139">
        <f t="shared" ca="1" si="573"/>
        <v>680</v>
      </c>
      <c r="GP139">
        <f t="shared" ca="1" si="574"/>
        <v>0</v>
      </c>
      <c r="GQ139">
        <f t="shared" ca="1" si="575"/>
        <v>0</v>
      </c>
      <c r="GR139">
        <f t="shared" ca="1" si="576"/>
        <v>680</v>
      </c>
      <c r="GS139">
        <f t="shared" ca="1" si="577"/>
        <v>0</v>
      </c>
      <c r="GT139" t="b">
        <f t="shared" ca="1" si="578"/>
        <v>0</v>
      </c>
      <c r="GU139">
        <f t="shared" ca="1" si="579"/>
        <v>0</v>
      </c>
      <c r="GV139">
        <f t="shared" ca="1" si="580"/>
        <v>680</v>
      </c>
      <c r="GW139">
        <f t="shared" ca="1" si="581"/>
        <v>0</v>
      </c>
      <c r="GX139">
        <f t="shared" ca="1" si="582"/>
        <v>0</v>
      </c>
      <c r="GY139">
        <f t="shared" ca="1" si="583"/>
        <v>0</v>
      </c>
    </row>
    <row r="140" spans="1:207" x14ac:dyDescent="0.25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78"/>
        <v>0</v>
      </c>
      <c r="I140">
        <f>_xlfn.XLOOKUP(B140,'[1]march-2026'!$A:$A,'[1]march-2026'!$C:$C,0,0)</f>
        <v>24700</v>
      </c>
      <c r="J140">
        <f t="shared" si="542"/>
        <v>4446</v>
      </c>
      <c r="K140">
        <f t="shared" si="479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0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1"/>
        <v>150</v>
      </c>
      <c r="R140">
        <f t="shared" si="482"/>
        <v>30460</v>
      </c>
      <c r="S140">
        <f>_xlfn.XLOOKUP(B140,'[2]april-2026'!$A:$A,'[2]april-2026'!$C:$C,0,0)</f>
        <v>24700</v>
      </c>
      <c r="T140">
        <f t="shared" si="483"/>
        <v>4446</v>
      </c>
      <c r="U140">
        <f t="shared" si="484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85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86"/>
        <v>150</v>
      </c>
      <c r="AB140">
        <f t="shared" si="487"/>
        <v>30460</v>
      </c>
      <c r="AC140">
        <f>_xlfn.XLOOKUP(B140,'[3]may-2026'!$A:$A,'[3]may-2026'!$C:$C,0,0)</f>
        <v>24700</v>
      </c>
      <c r="AD140">
        <f t="shared" si="488"/>
        <v>4446</v>
      </c>
      <c r="AE140">
        <f t="shared" si="489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0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1"/>
        <v>150</v>
      </c>
      <c r="AL140">
        <f t="shared" si="492"/>
        <v>30460</v>
      </c>
      <c r="AM140">
        <f>_xlfn.XLOOKUP(B140,'[4]june-2026'!$A:$A,'[4]june-2026'!$C:$C,0,0)</f>
        <v>24700</v>
      </c>
      <c r="AN140">
        <f t="shared" si="493"/>
        <v>4446</v>
      </c>
      <c r="AO140">
        <f t="shared" si="494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495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496"/>
        <v>150</v>
      </c>
      <c r="AV140">
        <f t="shared" si="497"/>
        <v>30460</v>
      </c>
      <c r="AW140">
        <f>_xlfn.XLOOKUP(B140,'[5]july-2026'!$A:$A,'[5]july-2026'!$C:$C,0,0)</f>
        <v>25400</v>
      </c>
      <c r="AX140">
        <f t="shared" si="498"/>
        <v>4572</v>
      </c>
      <c r="AY140">
        <v>138</v>
      </c>
      <c r="AZ140">
        <f t="shared" si="499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0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1"/>
        <v>150</v>
      </c>
      <c r="BG140">
        <f t="shared" si="502"/>
        <v>31508</v>
      </c>
      <c r="BH140">
        <f>_xlfn.XLOOKUP(B140,'[6]august-2026'!$A:$A,'[6]august-2026'!$C:$C,0,0)</f>
        <v>25400</v>
      </c>
      <c r="BI140">
        <f t="shared" si="503"/>
        <v>4572</v>
      </c>
      <c r="BJ140">
        <f t="shared" si="504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05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06"/>
        <v>150</v>
      </c>
      <c r="BQ140">
        <f t="shared" si="507"/>
        <v>31370</v>
      </c>
      <c r="BR140">
        <f>_xlfn.XLOOKUP(B140,'[7]september-2026'!$A:$A,'[7]september-2026'!$C:$C,0,0)</f>
        <v>25400</v>
      </c>
      <c r="BS140">
        <f t="shared" si="508"/>
        <v>4572</v>
      </c>
      <c r="BT140">
        <f t="shared" si="509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0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1"/>
        <v>150</v>
      </c>
      <c r="CA140">
        <f t="shared" si="512"/>
        <v>31370</v>
      </c>
      <c r="CB140">
        <f>_xlfn.XLOOKUP(B140,'[8]october-2026'!$A:$A,'[8]october-2026'!$C:$C,0,0)</f>
        <v>25400</v>
      </c>
      <c r="CC140">
        <f t="shared" si="513"/>
        <v>4572</v>
      </c>
      <c r="CD140">
        <f t="shared" si="514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15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16"/>
        <v>150</v>
      </c>
      <c r="CK140">
        <f t="shared" si="517"/>
        <v>31370</v>
      </c>
      <c r="CL140">
        <f>_xlfn.XLOOKUP(B140,'[9]november-2026'!$A:$A,'[9]november-2026'!$C:$C,0,0)</f>
        <v>25400</v>
      </c>
      <c r="CM140">
        <f t="shared" si="518"/>
        <v>4572</v>
      </c>
      <c r="CN140">
        <f t="shared" si="519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0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1"/>
        <v>150</v>
      </c>
      <c r="CU140">
        <f t="shared" si="522"/>
        <v>31370</v>
      </c>
      <c r="CV140">
        <f>_xlfn.XLOOKUP(B140,'[10]december-2026'!$A:$A,'[10]december-2026'!$C:$C,0,0)</f>
        <v>25400</v>
      </c>
      <c r="CW140">
        <f t="shared" si="523"/>
        <v>4572</v>
      </c>
      <c r="CX140">
        <f t="shared" si="524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25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26"/>
        <v>150</v>
      </c>
      <c r="DE140">
        <f t="shared" si="527"/>
        <v>31370</v>
      </c>
      <c r="DF140">
        <f xml:space="preserve"> _xlfn.XLOOKUP(B140,
'[11]january-2027'!$A:$A,
'[11]january-2027'!$C:$C,
0,0)</f>
        <v>25400</v>
      </c>
      <c r="DG140">
        <f t="shared" si="528"/>
        <v>4572</v>
      </c>
      <c r="DH140">
        <f t="shared" si="529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0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1"/>
        <v>150</v>
      </c>
      <c r="DO140">
        <f t="shared" si="532"/>
        <v>31370</v>
      </c>
      <c r="DP140">
        <f xml:space="preserve"> _xlfn.XLOOKUP(B140,
'[12]february-2027'!$A:$A,
'[12]february-2027'!$C:$C,
0,0)</f>
        <v>25400</v>
      </c>
      <c r="DQ140">
        <f t="shared" si="533"/>
        <v>4572</v>
      </c>
      <c r="DR140">
        <f t="shared" si="534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35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36"/>
        <v>150</v>
      </c>
      <c r="DY140">
        <f t="shared" si="537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38"/>
        <v>0</v>
      </c>
      <c r="EM140">
        <f t="shared" si="539"/>
        <v>398738</v>
      </c>
      <c r="EN140">
        <f t="shared" si="540"/>
        <v>1800</v>
      </c>
      <c r="EO140">
        <f t="shared" si="541"/>
        <v>50000</v>
      </c>
      <c r="EP140">
        <v>0</v>
      </c>
      <c r="EQ140">
        <f t="shared" si="543"/>
        <v>346938</v>
      </c>
      <c r="ER140">
        <f t="shared" si="544"/>
        <v>24000</v>
      </c>
      <c r="ES140">
        <f t="shared" si="545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46"/>
        <v>24000</v>
      </c>
      <c r="FE140">
        <f t="shared" si="547"/>
        <v>24000</v>
      </c>
      <c r="FF140">
        <f t="shared" si="548"/>
        <v>322938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>SUM(FG140:FM140)+(IF(F140="YES",50000,0))</f>
        <v>0</v>
      </c>
      <c r="FO140">
        <f t="shared" si="549"/>
        <v>322938</v>
      </c>
      <c r="FP140">
        <f t="shared" si="550"/>
        <v>3647</v>
      </c>
      <c r="FQ140">
        <f t="shared" si="551"/>
        <v>0</v>
      </c>
      <c r="FR140">
        <f t="shared" si="552"/>
        <v>3647</v>
      </c>
      <c r="FS140">
        <f t="shared" si="553"/>
        <v>0</v>
      </c>
      <c r="FT140">
        <f t="shared" si="554"/>
        <v>0</v>
      </c>
      <c r="FU140">
        <f t="shared" si="555"/>
        <v>0</v>
      </c>
      <c r="FV140">
        <v>0</v>
      </c>
      <c r="FW140">
        <f t="shared" si="556"/>
        <v>0</v>
      </c>
      <c r="FX140" t="b">
        <f t="shared" si="557"/>
        <v>0</v>
      </c>
      <c r="FY140">
        <f t="shared" ca="1" si="558"/>
        <v>1458</v>
      </c>
      <c r="FZ140">
        <f t="shared" ca="1" si="559"/>
        <v>400196</v>
      </c>
      <c r="GA140">
        <f t="shared" si="560"/>
        <v>75000</v>
      </c>
      <c r="GB140">
        <f t="shared" ca="1" si="561"/>
        <v>325196</v>
      </c>
      <c r="GC140">
        <f t="shared" ca="1" si="562"/>
        <v>0</v>
      </c>
      <c r="GD140">
        <f t="shared" ca="1" si="563"/>
        <v>0</v>
      </c>
      <c r="GE140">
        <f t="shared" ca="1" si="564"/>
        <v>0</v>
      </c>
      <c r="GF140">
        <f t="shared" ca="1" si="565"/>
        <v>0</v>
      </c>
      <c r="GG140">
        <f t="shared" ca="1" si="566"/>
        <v>0</v>
      </c>
      <c r="GH140">
        <f t="shared" ca="1" si="567"/>
        <v>0</v>
      </c>
      <c r="GI140">
        <f ca="1">IF(GB140&gt;1200000,GB140-1200000-IF(F140="YES",50000,0)-GG140,0)</f>
        <v>0</v>
      </c>
      <c r="GJ140">
        <f t="shared" ca="1" si="568"/>
        <v>0</v>
      </c>
      <c r="GK140">
        <f t="shared" ca="1" si="569"/>
        <v>0</v>
      </c>
      <c r="GL140">
        <f t="shared" ca="1" si="570"/>
        <v>0</v>
      </c>
      <c r="GM140">
        <f t="shared" ca="1" si="571"/>
        <v>0</v>
      </c>
      <c r="GN140">
        <f t="shared" ca="1" si="572"/>
        <v>0</v>
      </c>
      <c r="GO140">
        <f t="shared" ca="1" si="573"/>
        <v>0</v>
      </c>
      <c r="GP140">
        <f t="shared" ca="1" si="574"/>
        <v>0</v>
      </c>
      <c r="GQ140">
        <f t="shared" ca="1" si="575"/>
        <v>0</v>
      </c>
      <c r="GR140">
        <f t="shared" ca="1" si="576"/>
        <v>0</v>
      </c>
      <c r="GS140">
        <f t="shared" ca="1" si="577"/>
        <v>0</v>
      </c>
      <c r="GT140" t="b">
        <f t="shared" ca="1" si="578"/>
        <v>0</v>
      </c>
      <c r="GU140">
        <f t="shared" ca="1" si="579"/>
        <v>0</v>
      </c>
      <c r="GV140">
        <f t="shared" ca="1" si="580"/>
        <v>0</v>
      </c>
      <c r="GW140">
        <f t="shared" ca="1" si="581"/>
        <v>0</v>
      </c>
      <c r="GX140">
        <f t="shared" ca="1" si="582"/>
        <v>0</v>
      </c>
      <c r="GY140">
        <f t="shared" ca="1" si="583"/>
        <v>0</v>
      </c>
    </row>
    <row r="141" spans="1:207" x14ac:dyDescent="0.25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78"/>
        <v>6800</v>
      </c>
      <c r="I141">
        <f>_xlfn.XLOOKUP(B141,'[1]march-2026'!$A:$A,'[1]march-2026'!$C:$C,0,0)</f>
        <v>48700</v>
      </c>
      <c r="J141">
        <f t="shared" si="542"/>
        <v>8766</v>
      </c>
      <c r="K141">
        <f t="shared" si="479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0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1"/>
        <v>200</v>
      </c>
      <c r="R141">
        <f t="shared" si="482"/>
        <v>58950</v>
      </c>
      <c r="S141">
        <f>_xlfn.XLOOKUP(B141,'[2]april-2026'!$A:$A,'[2]april-2026'!$C:$C,0,0)</f>
        <v>48700</v>
      </c>
      <c r="T141">
        <f t="shared" si="483"/>
        <v>8766</v>
      </c>
      <c r="U141">
        <f t="shared" si="484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85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86"/>
        <v>0</v>
      </c>
      <c r="AB141">
        <f t="shared" si="487"/>
        <v>59150</v>
      </c>
      <c r="AC141">
        <f>_xlfn.XLOOKUP(B141,'[3]may-2026'!$A:$A,'[3]may-2026'!$C:$C,0,0)</f>
        <v>48700</v>
      </c>
      <c r="AD141">
        <f t="shared" si="488"/>
        <v>8766</v>
      </c>
      <c r="AE141">
        <f t="shared" si="489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0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1"/>
        <v>0</v>
      </c>
      <c r="AL141">
        <f t="shared" si="492"/>
        <v>59150</v>
      </c>
      <c r="AM141">
        <f>_xlfn.XLOOKUP(B141,'[4]june-2026'!$A:$A,'[4]june-2026'!$C:$C,0,0)</f>
        <v>48700</v>
      </c>
      <c r="AN141">
        <f t="shared" si="493"/>
        <v>8766</v>
      </c>
      <c r="AO141">
        <f t="shared" si="494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495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496"/>
        <v>0</v>
      </c>
      <c r="AV141">
        <f t="shared" si="497"/>
        <v>59150</v>
      </c>
      <c r="AW141">
        <f>_xlfn.XLOOKUP(B141,'[5]july-2026'!$A:$A,'[5]july-2026'!$C:$C,0,0)</f>
        <v>50200</v>
      </c>
      <c r="AX141">
        <f t="shared" si="498"/>
        <v>9036</v>
      </c>
      <c r="AY141">
        <v>139</v>
      </c>
      <c r="AZ141">
        <f t="shared" si="499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0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1"/>
        <v>0</v>
      </c>
      <c r="BG141">
        <f t="shared" si="502"/>
        <v>61239</v>
      </c>
      <c r="BH141">
        <f>_xlfn.XLOOKUP(B141,'[6]august-2026'!$A:$A,'[6]august-2026'!$C:$C,0,0)</f>
        <v>50200</v>
      </c>
      <c r="BI141">
        <f t="shared" si="503"/>
        <v>9036</v>
      </c>
      <c r="BJ141">
        <f t="shared" si="504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05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06"/>
        <v>0</v>
      </c>
      <c r="BQ141">
        <f t="shared" si="507"/>
        <v>61100</v>
      </c>
      <c r="BR141">
        <f>_xlfn.XLOOKUP(B141,'[7]september-2026'!$A:$A,'[7]september-2026'!$C:$C,0,0)</f>
        <v>50200</v>
      </c>
      <c r="BS141">
        <f t="shared" si="508"/>
        <v>9036</v>
      </c>
      <c r="BT141">
        <f t="shared" si="509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0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1"/>
        <v>0</v>
      </c>
      <c r="CA141">
        <f t="shared" si="512"/>
        <v>61100</v>
      </c>
      <c r="CB141">
        <f>_xlfn.XLOOKUP(B141,'[8]october-2026'!$A:$A,'[8]october-2026'!$C:$C,0,0)</f>
        <v>50200</v>
      </c>
      <c r="CC141">
        <f t="shared" si="513"/>
        <v>9036</v>
      </c>
      <c r="CD141">
        <f t="shared" si="514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15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16"/>
        <v>0</v>
      </c>
      <c r="CK141">
        <f t="shared" si="517"/>
        <v>61100</v>
      </c>
      <c r="CL141">
        <f>_xlfn.XLOOKUP(B141,'[9]november-2026'!$A:$A,'[9]november-2026'!$C:$C,0,0)</f>
        <v>50200</v>
      </c>
      <c r="CM141">
        <f t="shared" si="518"/>
        <v>9036</v>
      </c>
      <c r="CN141">
        <f t="shared" si="519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0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1"/>
        <v>0</v>
      </c>
      <c r="CU141">
        <f t="shared" si="522"/>
        <v>61100</v>
      </c>
      <c r="CV141">
        <f>_xlfn.XLOOKUP(B141,'[10]december-2026'!$A:$A,'[10]december-2026'!$C:$C,0,0)</f>
        <v>50200</v>
      </c>
      <c r="CW141">
        <f t="shared" si="523"/>
        <v>9036</v>
      </c>
      <c r="CX141">
        <f t="shared" si="524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25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26"/>
        <v>0</v>
      </c>
      <c r="DE141">
        <f t="shared" si="527"/>
        <v>61100</v>
      </c>
      <c r="DF141">
        <f xml:space="preserve"> _xlfn.XLOOKUP(B141,
'[11]january-2027'!$A:$A,
'[11]january-2027'!$C:$C,
0,0)</f>
        <v>50200</v>
      </c>
      <c r="DG141">
        <f t="shared" si="528"/>
        <v>9036</v>
      </c>
      <c r="DH141">
        <f t="shared" si="529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0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1"/>
        <v>0</v>
      </c>
      <c r="DO141">
        <f t="shared" si="532"/>
        <v>61100</v>
      </c>
      <c r="DP141">
        <f xml:space="preserve"> _xlfn.XLOOKUP(B141,
'[12]february-2027'!$A:$A,
'[12]february-2027'!$C:$C,
0,0)</f>
        <v>50200</v>
      </c>
      <c r="DQ141">
        <f t="shared" si="533"/>
        <v>9036</v>
      </c>
      <c r="DR141">
        <f t="shared" si="534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35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36"/>
        <v>0</v>
      </c>
      <c r="DY141">
        <f t="shared" si="537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38"/>
        <v>0</v>
      </c>
      <c r="EM141">
        <f t="shared" si="539"/>
        <v>793059</v>
      </c>
      <c r="EN141">
        <f t="shared" si="540"/>
        <v>200</v>
      </c>
      <c r="EO141">
        <f t="shared" si="541"/>
        <v>50000</v>
      </c>
      <c r="EP141">
        <v>0</v>
      </c>
      <c r="EQ141">
        <f t="shared" si="543"/>
        <v>742859</v>
      </c>
      <c r="ER141">
        <f t="shared" si="544"/>
        <v>60000</v>
      </c>
      <c r="ES141">
        <f t="shared" si="545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46"/>
        <v>60720</v>
      </c>
      <c r="FE141">
        <f t="shared" si="547"/>
        <v>60720</v>
      </c>
      <c r="FF141">
        <f t="shared" si="548"/>
        <v>682139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>SUM(FG141:FM141)+(IF(F141="YES",50000,0))</f>
        <v>50000</v>
      </c>
      <c r="FO141">
        <f t="shared" si="549"/>
        <v>632139</v>
      </c>
      <c r="FP141">
        <f t="shared" si="550"/>
        <v>12500</v>
      </c>
      <c r="FQ141">
        <f t="shared" si="551"/>
        <v>26428</v>
      </c>
      <c r="FR141">
        <f t="shared" si="552"/>
        <v>38928</v>
      </c>
      <c r="FS141">
        <f t="shared" si="553"/>
        <v>38928</v>
      </c>
      <c r="FT141">
        <f t="shared" si="554"/>
        <v>1557.1200000000001</v>
      </c>
      <c r="FU141">
        <f t="shared" si="555"/>
        <v>40485</v>
      </c>
      <c r="FV141">
        <v>0</v>
      </c>
      <c r="FW141">
        <f t="shared" si="556"/>
        <v>40485</v>
      </c>
      <c r="FX141" t="b">
        <f t="shared" si="557"/>
        <v>1</v>
      </c>
      <c r="FY141">
        <f t="shared" ca="1" si="558"/>
        <v>541</v>
      </c>
      <c r="FZ141">
        <f t="shared" ca="1" si="559"/>
        <v>793600</v>
      </c>
      <c r="GA141">
        <f t="shared" si="560"/>
        <v>75000</v>
      </c>
      <c r="GB141">
        <f t="shared" ca="1" si="561"/>
        <v>718600</v>
      </c>
      <c r="GC141">
        <f t="shared" ca="1" si="562"/>
        <v>0</v>
      </c>
      <c r="GD141">
        <f t="shared" ca="1" si="563"/>
        <v>0</v>
      </c>
      <c r="GE141">
        <f t="shared" ca="1" si="564"/>
        <v>0</v>
      </c>
      <c r="GF141">
        <f t="shared" ca="1" si="565"/>
        <v>0</v>
      </c>
      <c r="GG141">
        <f t="shared" ca="1" si="566"/>
        <v>0</v>
      </c>
      <c r="GH141">
        <f t="shared" ca="1" si="567"/>
        <v>0</v>
      </c>
      <c r="GI141">
        <f ca="1">IF(GB141&gt;1200000,GB141-1200000-IF(F141="YES",50000,0)-GG141,0)</f>
        <v>0</v>
      </c>
      <c r="GJ141">
        <f t="shared" ca="1" si="568"/>
        <v>0</v>
      </c>
      <c r="GK141">
        <f t="shared" ca="1" si="569"/>
        <v>0</v>
      </c>
      <c r="GL141">
        <f t="shared" ca="1" si="570"/>
        <v>0</v>
      </c>
      <c r="GM141">
        <f t="shared" ca="1" si="571"/>
        <v>318600</v>
      </c>
      <c r="GN141">
        <f t="shared" ca="1" si="572"/>
        <v>15930</v>
      </c>
      <c r="GO141">
        <f t="shared" ca="1" si="573"/>
        <v>15930</v>
      </c>
      <c r="GP141">
        <f t="shared" ca="1" si="574"/>
        <v>0</v>
      </c>
      <c r="GQ141">
        <f t="shared" ca="1" si="575"/>
        <v>0</v>
      </c>
      <c r="GR141">
        <f t="shared" ca="1" si="576"/>
        <v>15930</v>
      </c>
      <c r="GS141">
        <f t="shared" ca="1" si="577"/>
        <v>0</v>
      </c>
      <c r="GT141" t="b">
        <f t="shared" ca="1" si="578"/>
        <v>0</v>
      </c>
      <c r="GU141">
        <f t="shared" ca="1" si="579"/>
        <v>0</v>
      </c>
      <c r="GV141">
        <f t="shared" ca="1" si="580"/>
        <v>15930</v>
      </c>
      <c r="GW141">
        <f t="shared" ca="1" si="581"/>
        <v>0</v>
      </c>
      <c r="GX141">
        <f t="shared" ca="1" si="582"/>
        <v>0</v>
      </c>
      <c r="GY141">
        <f t="shared" ca="1" si="583"/>
        <v>0</v>
      </c>
    </row>
    <row r="142" spans="1:207" x14ac:dyDescent="0.25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78"/>
        <v>6800</v>
      </c>
      <c r="I142">
        <f>_xlfn.XLOOKUP(B142,'[1]march-2026'!$A:$A,'[1]march-2026'!$C:$C,0,0)</f>
        <v>35500</v>
      </c>
      <c r="J142">
        <f t="shared" si="542"/>
        <v>6390</v>
      </c>
      <c r="K142">
        <f t="shared" si="479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0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1"/>
        <v>200</v>
      </c>
      <c r="R142">
        <f t="shared" si="482"/>
        <v>43450</v>
      </c>
      <c r="S142">
        <f>_xlfn.XLOOKUP(B142,'[2]april-2026'!$A:$A,'[2]april-2026'!$C:$C,0,0)</f>
        <v>35500</v>
      </c>
      <c r="T142">
        <f t="shared" si="483"/>
        <v>6390</v>
      </c>
      <c r="U142">
        <f t="shared" si="484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85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86"/>
        <v>200</v>
      </c>
      <c r="AB142">
        <f t="shared" si="487"/>
        <v>43450</v>
      </c>
      <c r="AC142">
        <f>_xlfn.XLOOKUP(B142,'[3]may-2026'!$A:$A,'[3]may-2026'!$C:$C,0,0)</f>
        <v>35500</v>
      </c>
      <c r="AD142">
        <f t="shared" si="488"/>
        <v>6390</v>
      </c>
      <c r="AE142">
        <f t="shared" si="489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0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1"/>
        <v>200</v>
      </c>
      <c r="AL142">
        <f t="shared" si="492"/>
        <v>43450</v>
      </c>
      <c r="AM142">
        <f>_xlfn.XLOOKUP(B142,'[4]june-2026'!$A:$A,'[4]june-2026'!$C:$C,0,0)</f>
        <v>35500</v>
      </c>
      <c r="AN142">
        <f t="shared" si="493"/>
        <v>6390</v>
      </c>
      <c r="AO142">
        <f t="shared" si="494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495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496"/>
        <v>200</v>
      </c>
      <c r="AV142">
        <f t="shared" si="497"/>
        <v>43450</v>
      </c>
      <c r="AW142">
        <f>_xlfn.XLOOKUP(B142,'[5]july-2026'!$A:$A,'[5]july-2026'!$C:$C,0,0)</f>
        <v>36600</v>
      </c>
      <c r="AX142">
        <f t="shared" si="498"/>
        <v>6588</v>
      </c>
      <c r="AY142">
        <v>140</v>
      </c>
      <c r="AZ142">
        <f t="shared" si="499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0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1"/>
        <v>200</v>
      </c>
      <c r="BG142">
        <f t="shared" si="502"/>
        <v>45020</v>
      </c>
      <c r="BH142">
        <f>_xlfn.XLOOKUP(B142,'[6]august-2026'!$A:$A,'[6]august-2026'!$C:$C,0,0)</f>
        <v>36600</v>
      </c>
      <c r="BI142">
        <f t="shared" si="503"/>
        <v>6588</v>
      </c>
      <c r="BJ142">
        <f t="shared" si="504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05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06"/>
        <v>200</v>
      </c>
      <c r="BQ142">
        <f t="shared" si="507"/>
        <v>44880</v>
      </c>
      <c r="BR142">
        <f>_xlfn.XLOOKUP(B142,'[7]september-2026'!$A:$A,'[7]september-2026'!$C:$C,0,0)</f>
        <v>36600</v>
      </c>
      <c r="BS142">
        <f t="shared" si="508"/>
        <v>6588</v>
      </c>
      <c r="BT142">
        <f t="shared" si="509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0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1"/>
        <v>200</v>
      </c>
      <c r="CA142">
        <f t="shared" si="512"/>
        <v>44880</v>
      </c>
      <c r="CB142">
        <f>_xlfn.XLOOKUP(B142,'[8]october-2026'!$A:$A,'[8]october-2026'!$C:$C,0,0)</f>
        <v>36600</v>
      </c>
      <c r="CC142">
        <f t="shared" si="513"/>
        <v>6588</v>
      </c>
      <c r="CD142">
        <f t="shared" si="514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15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16"/>
        <v>200</v>
      </c>
      <c r="CK142">
        <f t="shared" si="517"/>
        <v>44880</v>
      </c>
      <c r="CL142">
        <f>_xlfn.XLOOKUP(B142,'[9]november-2026'!$A:$A,'[9]november-2026'!$C:$C,0,0)</f>
        <v>36600</v>
      </c>
      <c r="CM142">
        <f t="shared" si="518"/>
        <v>6588</v>
      </c>
      <c r="CN142">
        <f t="shared" si="519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0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1"/>
        <v>200</v>
      </c>
      <c r="CU142">
        <f t="shared" si="522"/>
        <v>44880</v>
      </c>
      <c r="CV142">
        <f>_xlfn.XLOOKUP(B142,'[10]december-2026'!$A:$A,'[10]december-2026'!$C:$C,0,0)</f>
        <v>36600</v>
      </c>
      <c r="CW142">
        <f t="shared" si="523"/>
        <v>6588</v>
      </c>
      <c r="CX142">
        <f t="shared" si="524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25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26"/>
        <v>200</v>
      </c>
      <c r="DE142">
        <f t="shared" si="527"/>
        <v>44880</v>
      </c>
      <c r="DF142">
        <f xml:space="preserve"> _xlfn.XLOOKUP(B142,
'[11]january-2027'!$A:$A,
'[11]january-2027'!$C:$C,
0,0)</f>
        <v>36600</v>
      </c>
      <c r="DG142">
        <f t="shared" si="528"/>
        <v>6588</v>
      </c>
      <c r="DH142">
        <f t="shared" si="529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0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1"/>
        <v>200</v>
      </c>
      <c r="DO142">
        <f t="shared" si="532"/>
        <v>44880</v>
      </c>
      <c r="DP142">
        <f xml:space="preserve"> _xlfn.XLOOKUP(B142,
'[12]february-2027'!$A:$A,
'[12]february-2027'!$C:$C,
0,0)</f>
        <v>36600</v>
      </c>
      <c r="DQ142">
        <f t="shared" si="533"/>
        <v>6588</v>
      </c>
      <c r="DR142">
        <f t="shared" si="534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35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36"/>
        <v>200</v>
      </c>
      <c r="DY142">
        <f t="shared" si="537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38"/>
        <v>0</v>
      </c>
      <c r="EM142">
        <f t="shared" si="539"/>
        <v>578180</v>
      </c>
      <c r="EN142">
        <f t="shared" si="540"/>
        <v>2400</v>
      </c>
      <c r="EO142">
        <f t="shared" si="541"/>
        <v>50000</v>
      </c>
      <c r="EP142">
        <v>0</v>
      </c>
      <c r="EQ142">
        <f t="shared" si="543"/>
        <v>525780</v>
      </c>
      <c r="ER142">
        <f t="shared" si="544"/>
        <v>36000</v>
      </c>
      <c r="ES142">
        <f t="shared" si="545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46"/>
        <v>36000</v>
      </c>
      <c r="FE142">
        <f t="shared" si="547"/>
        <v>36000</v>
      </c>
      <c r="FF142">
        <f t="shared" si="548"/>
        <v>489780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>SUM(FG142:FM142)+(IF(F142="YES",50000,0))</f>
        <v>0</v>
      </c>
      <c r="FO142">
        <f t="shared" si="549"/>
        <v>489780</v>
      </c>
      <c r="FP142">
        <f t="shared" si="550"/>
        <v>11989</v>
      </c>
      <c r="FQ142">
        <f t="shared" si="551"/>
        <v>0</v>
      </c>
      <c r="FR142">
        <f t="shared" si="552"/>
        <v>11989</v>
      </c>
      <c r="FS142">
        <f t="shared" si="553"/>
        <v>0</v>
      </c>
      <c r="FT142">
        <f t="shared" si="554"/>
        <v>0</v>
      </c>
      <c r="FU142">
        <f t="shared" si="555"/>
        <v>0</v>
      </c>
      <c r="FV142">
        <v>0</v>
      </c>
      <c r="FW142">
        <f t="shared" si="556"/>
        <v>0</v>
      </c>
      <c r="FX142" t="b">
        <f t="shared" si="557"/>
        <v>1</v>
      </c>
      <c r="FY142">
        <f t="shared" ca="1" si="558"/>
        <v>510</v>
      </c>
      <c r="FZ142">
        <f t="shared" ca="1" si="559"/>
        <v>578690</v>
      </c>
      <c r="GA142">
        <f t="shared" si="560"/>
        <v>75000</v>
      </c>
      <c r="GB142">
        <f t="shared" ca="1" si="561"/>
        <v>503690</v>
      </c>
      <c r="GC142">
        <f t="shared" ca="1" si="562"/>
        <v>0</v>
      </c>
      <c r="GD142">
        <f t="shared" ca="1" si="563"/>
        <v>0</v>
      </c>
      <c r="GE142">
        <f t="shared" ca="1" si="564"/>
        <v>0</v>
      </c>
      <c r="GF142">
        <f t="shared" ca="1" si="565"/>
        <v>0</v>
      </c>
      <c r="GG142">
        <f t="shared" ca="1" si="566"/>
        <v>0</v>
      </c>
      <c r="GH142">
        <f t="shared" ca="1" si="567"/>
        <v>0</v>
      </c>
      <c r="GI142">
        <f ca="1">IF(GB142&gt;1200000,GB142-1200000-IF(F142="YES",50000,0)-GG142,0)</f>
        <v>0</v>
      </c>
      <c r="GJ142">
        <f t="shared" ca="1" si="568"/>
        <v>0</v>
      </c>
      <c r="GK142">
        <f t="shared" ca="1" si="569"/>
        <v>0</v>
      </c>
      <c r="GL142">
        <f t="shared" ca="1" si="570"/>
        <v>0</v>
      </c>
      <c r="GM142">
        <f t="shared" ca="1" si="571"/>
        <v>103690</v>
      </c>
      <c r="GN142">
        <f t="shared" ca="1" si="572"/>
        <v>5184.5</v>
      </c>
      <c r="GO142">
        <f t="shared" ca="1" si="573"/>
        <v>5185</v>
      </c>
      <c r="GP142">
        <f t="shared" ca="1" si="574"/>
        <v>0</v>
      </c>
      <c r="GQ142">
        <f t="shared" ca="1" si="575"/>
        <v>0</v>
      </c>
      <c r="GR142">
        <f t="shared" ca="1" si="576"/>
        <v>5185</v>
      </c>
      <c r="GS142">
        <f t="shared" ca="1" si="577"/>
        <v>0</v>
      </c>
      <c r="GT142" t="b">
        <f t="shared" ca="1" si="578"/>
        <v>0</v>
      </c>
      <c r="GU142">
        <f t="shared" ca="1" si="579"/>
        <v>0</v>
      </c>
      <c r="GV142">
        <f t="shared" ca="1" si="580"/>
        <v>5185</v>
      </c>
      <c r="GW142">
        <f t="shared" ca="1" si="581"/>
        <v>0</v>
      </c>
      <c r="GX142">
        <f t="shared" ca="1" si="582"/>
        <v>0</v>
      </c>
      <c r="GY142">
        <f t="shared" ca="1" si="583"/>
        <v>0</v>
      </c>
    </row>
    <row r="143" spans="1:207" x14ac:dyDescent="0.25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78"/>
        <v>6800</v>
      </c>
      <c r="I143">
        <f>_xlfn.XLOOKUP(B143,'[1]march-2026'!$A:$A,'[1]march-2026'!$C:$C,0,0)</f>
        <v>34500</v>
      </c>
      <c r="J143">
        <f t="shared" si="542"/>
        <v>6210</v>
      </c>
      <c r="K143">
        <f t="shared" si="479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0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1"/>
        <v>200</v>
      </c>
      <c r="R143">
        <f t="shared" si="482"/>
        <v>41650</v>
      </c>
      <c r="S143">
        <f>_xlfn.XLOOKUP(B143,'[2]april-2026'!$A:$A,'[2]april-2026'!$C:$C,0,0)</f>
        <v>34500</v>
      </c>
      <c r="T143">
        <f t="shared" si="483"/>
        <v>6210</v>
      </c>
      <c r="U143">
        <f t="shared" si="484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85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86"/>
        <v>200</v>
      </c>
      <c r="AB143">
        <f t="shared" si="487"/>
        <v>41650</v>
      </c>
      <c r="AC143">
        <f>_xlfn.XLOOKUP(B143,'[3]may-2026'!$A:$A,'[3]may-2026'!$C:$C,0,0)</f>
        <v>34500</v>
      </c>
      <c r="AD143">
        <f t="shared" si="488"/>
        <v>6210</v>
      </c>
      <c r="AE143">
        <f t="shared" si="489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0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1"/>
        <v>200</v>
      </c>
      <c r="AL143">
        <f t="shared" si="492"/>
        <v>41650</v>
      </c>
      <c r="AM143">
        <f>_xlfn.XLOOKUP(B143,'[4]june-2026'!$A:$A,'[4]june-2026'!$C:$C,0,0)</f>
        <v>34500</v>
      </c>
      <c r="AN143">
        <f t="shared" si="493"/>
        <v>6210</v>
      </c>
      <c r="AO143">
        <f t="shared" si="494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495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496"/>
        <v>200</v>
      </c>
      <c r="AV143">
        <f t="shared" si="497"/>
        <v>41650</v>
      </c>
      <c r="AW143">
        <f>_xlfn.XLOOKUP(B143,'[5]july-2026'!$A:$A,'[5]july-2026'!$C:$C,0,0)</f>
        <v>35500</v>
      </c>
      <c r="AX143">
        <f t="shared" si="498"/>
        <v>6390</v>
      </c>
      <c r="AY143">
        <v>141</v>
      </c>
      <c r="AZ143">
        <f t="shared" si="499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0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1"/>
        <v>200</v>
      </c>
      <c r="BG143">
        <f t="shared" si="502"/>
        <v>43091</v>
      </c>
      <c r="BH143">
        <f>_xlfn.XLOOKUP(B143,'[6]august-2026'!$A:$A,'[6]august-2026'!$C:$C,0,0)</f>
        <v>35500</v>
      </c>
      <c r="BI143">
        <f t="shared" si="503"/>
        <v>6390</v>
      </c>
      <c r="BJ143">
        <f t="shared" si="504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05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06"/>
        <v>200</v>
      </c>
      <c r="BQ143">
        <f t="shared" si="507"/>
        <v>42950</v>
      </c>
      <c r="BR143">
        <f>_xlfn.XLOOKUP(B143,'[7]september-2026'!$A:$A,'[7]september-2026'!$C:$C,0,0)</f>
        <v>35500</v>
      </c>
      <c r="BS143">
        <f t="shared" si="508"/>
        <v>6390</v>
      </c>
      <c r="BT143">
        <f t="shared" si="509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0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1"/>
        <v>200</v>
      </c>
      <c r="CA143">
        <f t="shared" si="512"/>
        <v>42950</v>
      </c>
      <c r="CB143">
        <f>_xlfn.XLOOKUP(B143,'[8]october-2026'!$A:$A,'[8]october-2026'!$C:$C,0,0)</f>
        <v>35500</v>
      </c>
      <c r="CC143">
        <f t="shared" si="513"/>
        <v>6390</v>
      </c>
      <c r="CD143">
        <f t="shared" si="514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15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16"/>
        <v>200</v>
      </c>
      <c r="CK143">
        <f t="shared" si="517"/>
        <v>42950</v>
      </c>
      <c r="CL143">
        <f>_xlfn.XLOOKUP(B143,'[9]november-2026'!$A:$A,'[9]november-2026'!$C:$C,0,0)</f>
        <v>35500</v>
      </c>
      <c r="CM143">
        <f t="shared" si="518"/>
        <v>6390</v>
      </c>
      <c r="CN143">
        <f t="shared" si="519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0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1"/>
        <v>200</v>
      </c>
      <c r="CU143">
        <f t="shared" si="522"/>
        <v>42950</v>
      </c>
      <c r="CV143">
        <f>_xlfn.XLOOKUP(B143,'[10]december-2026'!$A:$A,'[10]december-2026'!$C:$C,0,0)</f>
        <v>35500</v>
      </c>
      <c r="CW143">
        <f t="shared" si="523"/>
        <v>6390</v>
      </c>
      <c r="CX143">
        <f t="shared" si="524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25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26"/>
        <v>200</v>
      </c>
      <c r="DE143">
        <f t="shared" si="527"/>
        <v>42950</v>
      </c>
      <c r="DF143">
        <f xml:space="preserve"> _xlfn.XLOOKUP(B143,
'[11]january-2027'!$A:$A,
'[11]january-2027'!$C:$C,
0,0)</f>
        <v>35500</v>
      </c>
      <c r="DG143">
        <f t="shared" si="528"/>
        <v>6390</v>
      </c>
      <c r="DH143">
        <f t="shared" si="529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0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1"/>
        <v>200</v>
      </c>
      <c r="DO143">
        <f t="shared" si="532"/>
        <v>42950</v>
      </c>
      <c r="DP143">
        <f xml:space="preserve"> _xlfn.XLOOKUP(B143,
'[12]february-2027'!$A:$A,
'[12]february-2027'!$C:$C,
0,0)</f>
        <v>35500</v>
      </c>
      <c r="DQ143">
        <f t="shared" si="533"/>
        <v>6390</v>
      </c>
      <c r="DR143">
        <f t="shared" si="534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35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36"/>
        <v>200</v>
      </c>
      <c r="DY143">
        <f t="shared" si="537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38"/>
        <v>0</v>
      </c>
      <c r="EM143">
        <f t="shared" si="539"/>
        <v>555541</v>
      </c>
      <c r="EN143">
        <f t="shared" si="540"/>
        <v>2400</v>
      </c>
      <c r="EO143">
        <f t="shared" si="541"/>
        <v>50000</v>
      </c>
      <c r="EP143">
        <v>0</v>
      </c>
      <c r="EQ143">
        <f t="shared" si="543"/>
        <v>503141</v>
      </c>
      <c r="ER143">
        <f t="shared" si="544"/>
        <v>36000</v>
      </c>
      <c r="ES143">
        <f t="shared" si="545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46"/>
        <v>36000</v>
      </c>
      <c r="FE143">
        <f t="shared" si="547"/>
        <v>36000</v>
      </c>
      <c r="FF143">
        <f t="shared" si="548"/>
        <v>467141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>SUM(FG143:FM143)+(IF(F143="YES",50000,0))</f>
        <v>0</v>
      </c>
      <c r="FO143">
        <f t="shared" si="549"/>
        <v>467141</v>
      </c>
      <c r="FP143">
        <f t="shared" si="550"/>
        <v>10857</v>
      </c>
      <c r="FQ143">
        <f t="shared" si="551"/>
        <v>0</v>
      </c>
      <c r="FR143">
        <f t="shared" si="552"/>
        <v>10857</v>
      </c>
      <c r="FS143">
        <f t="shared" si="553"/>
        <v>0</v>
      </c>
      <c r="FT143">
        <f t="shared" si="554"/>
        <v>0</v>
      </c>
      <c r="FU143">
        <f t="shared" si="555"/>
        <v>0</v>
      </c>
      <c r="FV143">
        <v>0</v>
      </c>
      <c r="FW143">
        <f t="shared" si="556"/>
        <v>0</v>
      </c>
      <c r="FX143" t="b">
        <f t="shared" si="557"/>
        <v>1</v>
      </c>
      <c r="FY143">
        <f t="shared" ca="1" si="558"/>
        <v>561</v>
      </c>
      <c r="FZ143">
        <f t="shared" ca="1" si="559"/>
        <v>556102</v>
      </c>
      <c r="GA143">
        <f t="shared" si="560"/>
        <v>75000</v>
      </c>
      <c r="GB143">
        <f t="shared" ca="1" si="561"/>
        <v>481102</v>
      </c>
      <c r="GC143">
        <f t="shared" ca="1" si="562"/>
        <v>0</v>
      </c>
      <c r="GD143">
        <f t="shared" ca="1" si="563"/>
        <v>0</v>
      </c>
      <c r="GE143">
        <f t="shared" ca="1" si="564"/>
        <v>0</v>
      </c>
      <c r="GF143">
        <f t="shared" ca="1" si="565"/>
        <v>0</v>
      </c>
      <c r="GG143">
        <f t="shared" ca="1" si="566"/>
        <v>0</v>
      </c>
      <c r="GH143">
        <f t="shared" ca="1" si="567"/>
        <v>0</v>
      </c>
      <c r="GI143">
        <f ca="1">IF(GB143&gt;1200000,GB143-1200000-IF(F143="YES",50000,0)-GG143,0)</f>
        <v>0</v>
      </c>
      <c r="GJ143">
        <f t="shared" ca="1" si="568"/>
        <v>0</v>
      </c>
      <c r="GK143">
        <f t="shared" ca="1" si="569"/>
        <v>0</v>
      </c>
      <c r="GL143">
        <f t="shared" ca="1" si="570"/>
        <v>0</v>
      </c>
      <c r="GM143">
        <f t="shared" ca="1" si="571"/>
        <v>81102</v>
      </c>
      <c r="GN143">
        <f t="shared" ca="1" si="572"/>
        <v>4055.1000000000004</v>
      </c>
      <c r="GO143">
        <f t="shared" ca="1" si="573"/>
        <v>4055</v>
      </c>
      <c r="GP143">
        <f t="shared" ca="1" si="574"/>
        <v>0</v>
      </c>
      <c r="GQ143">
        <f t="shared" ca="1" si="575"/>
        <v>0</v>
      </c>
      <c r="GR143">
        <f t="shared" ca="1" si="576"/>
        <v>4055</v>
      </c>
      <c r="GS143">
        <f t="shared" ca="1" si="577"/>
        <v>0</v>
      </c>
      <c r="GT143" t="b">
        <f t="shared" ca="1" si="578"/>
        <v>0</v>
      </c>
      <c r="GU143">
        <f t="shared" ca="1" si="579"/>
        <v>0</v>
      </c>
      <c r="GV143">
        <f t="shared" ca="1" si="580"/>
        <v>4055</v>
      </c>
      <c r="GW143">
        <f t="shared" ca="1" si="581"/>
        <v>0</v>
      </c>
      <c r="GX143">
        <f t="shared" ca="1" si="582"/>
        <v>0</v>
      </c>
      <c r="GY143">
        <f t="shared" ca="1" si="583"/>
        <v>0</v>
      </c>
    </row>
    <row r="144" spans="1:207" x14ac:dyDescent="0.25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78"/>
        <v>6800</v>
      </c>
      <c r="I144">
        <f>_xlfn.XLOOKUP(B144,'[1]march-2026'!$A:$A,'[1]march-2026'!$C:$C,0,0)</f>
        <v>29800</v>
      </c>
      <c r="J144">
        <f t="shared" si="542"/>
        <v>5364</v>
      </c>
      <c r="K144">
        <f t="shared" si="479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0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1"/>
        <v>150</v>
      </c>
      <c r="R144">
        <f t="shared" si="482"/>
        <v>35090</v>
      </c>
      <c r="S144">
        <f>_xlfn.XLOOKUP(B144,'[2]april-2026'!$A:$A,'[2]april-2026'!$C:$C,0,0)</f>
        <v>29800</v>
      </c>
      <c r="T144">
        <f t="shared" si="483"/>
        <v>5364</v>
      </c>
      <c r="U144">
        <f t="shared" si="484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85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86"/>
        <v>150</v>
      </c>
      <c r="AB144">
        <f t="shared" si="487"/>
        <v>35090</v>
      </c>
      <c r="AC144">
        <f>_xlfn.XLOOKUP(B144,'[3]may-2026'!$A:$A,'[3]may-2026'!$C:$C,0,0)</f>
        <v>29800</v>
      </c>
      <c r="AD144">
        <f t="shared" si="488"/>
        <v>5364</v>
      </c>
      <c r="AE144">
        <f t="shared" si="489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0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1"/>
        <v>150</v>
      </c>
      <c r="AL144">
        <f t="shared" si="492"/>
        <v>35090</v>
      </c>
      <c r="AM144">
        <f>_xlfn.XLOOKUP(B144,'[4]june-2026'!$A:$A,'[4]june-2026'!$C:$C,0,0)</f>
        <v>29800</v>
      </c>
      <c r="AN144">
        <f t="shared" si="493"/>
        <v>5364</v>
      </c>
      <c r="AO144">
        <f t="shared" si="494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495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496"/>
        <v>150</v>
      </c>
      <c r="AV144">
        <f t="shared" si="497"/>
        <v>35090</v>
      </c>
      <c r="AW144">
        <f>_xlfn.XLOOKUP(B144,'[5]july-2026'!$A:$A,'[5]july-2026'!$C:$C,0,0)</f>
        <v>30700</v>
      </c>
      <c r="AX144">
        <f t="shared" si="498"/>
        <v>5526</v>
      </c>
      <c r="AY144">
        <v>142</v>
      </c>
      <c r="AZ144">
        <f t="shared" si="499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0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1"/>
        <v>200</v>
      </c>
      <c r="BG144">
        <f t="shared" si="502"/>
        <v>36352</v>
      </c>
      <c r="BH144">
        <f>_xlfn.XLOOKUP(B144,'[6]august-2026'!$A:$A,'[6]august-2026'!$C:$C,0,0)</f>
        <v>30700</v>
      </c>
      <c r="BI144">
        <f t="shared" si="503"/>
        <v>5526</v>
      </c>
      <c r="BJ144">
        <f t="shared" si="504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05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06"/>
        <v>200</v>
      </c>
      <c r="BQ144">
        <f t="shared" si="507"/>
        <v>36210</v>
      </c>
      <c r="BR144">
        <f>_xlfn.XLOOKUP(B144,'[7]september-2026'!$A:$A,'[7]september-2026'!$C:$C,0,0)</f>
        <v>30700</v>
      </c>
      <c r="BS144">
        <f t="shared" si="508"/>
        <v>5526</v>
      </c>
      <c r="BT144">
        <f t="shared" si="509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0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1"/>
        <v>200</v>
      </c>
      <c r="CA144">
        <f t="shared" si="512"/>
        <v>36210</v>
      </c>
      <c r="CB144">
        <f>_xlfn.XLOOKUP(B144,'[8]october-2026'!$A:$A,'[8]october-2026'!$C:$C,0,0)</f>
        <v>30700</v>
      </c>
      <c r="CC144">
        <f t="shared" si="513"/>
        <v>5526</v>
      </c>
      <c r="CD144">
        <f t="shared" si="514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15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16"/>
        <v>200</v>
      </c>
      <c r="CK144">
        <f t="shared" si="517"/>
        <v>36210</v>
      </c>
      <c r="CL144">
        <f>_xlfn.XLOOKUP(B144,'[9]november-2026'!$A:$A,'[9]november-2026'!$C:$C,0,0)</f>
        <v>30700</v>
      </c>
      <c r="CM144">
        <f t="shared" si="518"/>
        <v>5526</v>
      </c>
      <c r="CN144">
        <f t="shared" si="519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0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1"/>
        <v>200</v>
      </c>
      <c r="CU144">
        <f t="shared" si="522"/>
        <v>36210</v>
      </c>
      <c r="CV144">
        <f>_xlfn.XLOOKUP(B144,'[10]december-2026'!$A:$A,'[10]december-2026'!$C:$C,0,0)</f>
        <v>30700</v>
      </c>
      <c r="CW144">
        <f t="shared" si="523"/>
        <v>5526</v>
      </c>
      <c r="CX144">
        <f t="shared" si="524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25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26"/>
        <v>200</v>
      </c>
      <c r="DE144">
        <f t="shared" si="527"/>
        <v>36210</v>
      </c>
      <c r="DF144">
        <f xml:space="preserve"> _xlfn.XLOOKUP(B144,
'[11]january-2027'!$A:$A,
'[11]january-2027'!$C:$C,
0,0)</f>
        <v>30700</v>
      </c>
      <c r="DG144">
        <f t="shared" si="528"/>
        <v>5526</v>
      </c>
      <c r="DH144">
        <f t="shared" si="529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0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1"/>
        <v>200</v>
      </c>
      <c r="DO144">
        <f t="shared" si="532"/>
        <v>36210</v>
      </c>
      <c r="DP144">
        <f xml:space="preserve"> _xlfn.XLOOKUP(B144,
'[12]february-2027'!$A:$A,
'[12]february-2027'!$C:$C,
0,0)</f>
        <v>30700</v>
      </c>
      <c r="DQ144">
        <f t="shared" si="533"/>
        <v>5526</v>
      </c>
      <c r="DR144">
        <f t="shared" si="534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35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36"/>
        <v>200</v>
      </c>
      <c r="DY144">
        <f t="shared" si="537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38"/>
        <v>0</v>
      </c>
      <c r="EM144">
        <f t="shared" si="539"/>
        <v>487182</v>
      </c>
      <c r="EN144">
        <f t="shared" si="540"/>
        <v>2200</v>
      </c>
      <c r="EO144">
        <f t="shared" si="541"/>
        <v>50000</v>
      </c>
      <c r="EP144">
        <v>0</v>
      </c>
      <c r="EQ144">
        <f t="shared" si="543"/>
        <v>434982</v>
      </c>
      <c r="ER144">
        <f t="shared" si="544"/>
        <v>48000</v>
      </c>
      <c r="ES144">
        <f t="shared" si="545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46"/>
        <v>48000</v>
      </c>
      <c r="FE144">
        <f t="shared" si="547"/>
        <v>48000</v>
      </c>
      <c r="FF144">
        <f t="shared" si="548"/>
        <v>386982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>SUM(FG144:FM144)+(IF(F144="YES",50000,0))</f>
        <v>0</v>
      </c>
      <c r="FO144">
        <f t="shared" si="549"/>
        <v>386982</v>
      </c>
      <c r="FP144">
        <f t="shared" si="550"/>
        <v>6849</v>
      </c>
      <c r="FQ144">
        <f t="shared" si="551"/>
        <v>0</v>
      </c>
      <c r="FR144">
        <f t="shared" si="552"/>
        <v>6849</v>
      </c>
      <c r="FS144">
        <f t="shared" si="553"/>
        <v>0</v>
      </c>
      <c r="FT144">
        <f t="shared" si="554"/>
        <v>0</v>
      </c>
      <c r="FU144">
        <f t="shared" si="555"/>
        <v>0</v>
      </c>
      <c r="FV144">
        <v>0</v>
      </c>
      <c r="FW144">
        <f t="shared" si="556"/>
        <v>0</v>
      </c>
      <c r="FX144" t="b">
        <f t="shared" si="557"/>
        <v>0</v>
      </c>
      <c r="FY144">
        <f t="shared" ca="1" si="558"/>
        <v>2002</v>
      </c>
      <c r="FZ144">
        <f t="shared" ca="1" si="559"/>
        <v>489184</v>
      </c>
      <c r="GA144">
        <f t="shared" si="560"/>
        <v>75000</v>
      </c>
      <c r="GB144">
        <f t="shared" ca="1" si="561"/>
        <v>414184</v>
      </c>
      <c r="GC144">
        <f t="shared" ca="1" si="562"/>
        <v>0</v>
      </c>
      <c r="GD144">
        <f t="shared" ca="1" si="563"/>
        <v>0</v>
      </c>
      <c r="GE144">
        <f t="shared" ca="1" si="564"/>
        <v>0</v>
      </c>
      <c r="GF144">
        <f t="shared" ca="1" si="565"/>
        <v>0</v>
      </c>
      <c r="GG144">
        <f t="shared" ca="1" si="566"/>
        <v>0</v>
      </c>
      <c r="GH144">
        <f t="shared" ca="1" si="567"/>
        <v>0</v>
      </c>
      <c r="GI144">
        <f ca="1">IF(GB144&gt;1200000,GB144-1200000-IF(F144="YES",50000,0)-GG144,0)</f>
        <v>0</v>
      </c>
      <c r="GJ144">
        <f t="shared" ca="1" si="568"/>
        <v>0</v>
      </c>
      <c r="GK144">
        <f t="shared" ca="1" si="569"/>
        <v>0</v>
      </c>
      <c r="GL144">
        <f t="shared" ca="1" si="570"/>
        <v>0</v>
      </c>
      <c r="GM144">
        <f t="shared" ca="1" si="571"/>
        <v>14184</v>
      </c>
      <c r="GN144">
        <f t="shared" ca="1" si="572"/>
        <v>709.2</v>
      </c>
      <c r="GO144">
        <f t="shared" ca="1" si="573"/>
        <v>709</v>
      </c>
      <c r="GP144">
        <f t="shared" ca="1" si="574"/>
        <v>0</v>
      </c>
      <c r="GQ144">
        <f t="shared" ca="1" si="575"/>
        <v>0</v>
      </c>
      <c r="GR144">
        <f t="shared" ca="1" si="576"/>
        <v>709</v>
      </c>
      <c r="GS144">
        <f t="shared" ca="1" si="577"/>
        <v>0</v>
      </c>
      <c r="GT144" t="b">
        <f t="shared" ca="1" si="578"/>
        <v>0</v>
      </c>
      <c r="GU144">
        <f t="shared" ca="1" si="579"/>
        <v>0</v>
      </c>
      <c r="GV144">
        <f t="shared" ca="1" si="580"/>
        <v>709</v>
      </c>
      <c r="GW144">
        <f t="shared" ca="1" si="581"/>
        <v>0</v>
      </c>
      <c r="GX144">
        <f t="shared" ca="1" si="582"/>
        <v>0</v>
      </c>
      <c r="GY144">
        <f t="shared" ca="1" si="583"/>
        <v>0</v>
      </c>
    </row>
    <row r="145" spans="1:207" x14ac:dyDescent="0.25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78"/>
        <v>6800</v>
      </c>
      <c r="I145">
        <f>_xlfn.XLOOKUP(B145,'[1]march-2026'!$A:$A,'[1]march-2026'!$C:$C,0,0)</f>
        <v>29800</v>
      </c>
      <c r="J145">
        <f t="shared" si="542"/>
        <v>5364</v>
      </c>
      <c r="K145">
        <f t="shared" si="479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0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1"/>
        <v>150</v>
      </c>
      <c r="R145">
        <f t="shared" si="482"/>
        <v>36590</v>
      </c>
      <c r="S145">
        <f>_xlfn.XLOOKUP(B145,'[2]april-2026'!$A:$A,'[2]april-2026'!$C:$C,0,0)</f>
        <v>29800</v>
      </c>
      <c r="T145">
        <f t="shared" si="483"/>
        <v>5364</v>
      </c>
      <c r="U145">
        <f t="shared" si="484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85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86"/>
        <v>150</v>
      </c>
      <c r="AB145">
        <f t="shared" si="487"/>
        <v>36590</v>
      </c>
      <c r="AC145">
        <f>_xlfn.XLOOKUP(B145,'[3]may-2026'!$A:$A,'[3]may-2026'!$C:$C,0,0)</f>
        <v>29800</v>
      </c>
      <c r="AD145">
        <f t="shared" si="488"/>
        <v>5364</v>
      </c>
      <c r="AE145">
        <f t="shared" si="489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0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1"/>
        <v>150</v>
      </c>
      <c r="AL145">
        <f t="shared" si="492"/>
        <v>36590</v>
      </c>
      <c r="AM145">
        <f>_xlfn.XLOOKUP(B145,'[4]june-2026'!$A:$A,'[4]june-2026'!$C:$C,0,0)</f>
        <v>29800</v>
      </c>
      <c r="AN145">
        <f t="shared" si="493"/>
        <v>5364</v>
      </c>
      <c r="AO145">
        <f t="shared" si="494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495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496"/>
        <v>150</v>
      </c>
      <c r="AV145">
        <f t="shared" si="497"/>
        <v>36590</v>
      </c>
      <c r="AW145">
        <f>_xlfn.XLOOKUP(B145,'[5]july-2026'!$A:$A,'[5]july-2026'!$C:$C,0,0)</f>
        <v>30700</v>
      </c>
      <c r="AX145">
        <f t="shared" si="498"/>
        <v>5526</v>
      </c>
      <c r="AY145">
        <v>143</v>
      </c>
      <c r="AZ145">
        <f t="shared" si="499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0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1"/>
        <v>200</v>
      </c>
      <c r="BG145">
        <f t="shared" si="502"/>
        <v>37853</v>
      </c>
      <c r="BH145">
        <f>_xlfn.XLOOKUP(B145,'[6]august-2026'!$A:$A,'[6]august-2026'!$C:$C,0,0)</f>
        <v>30700</v>
      </c>
      <c r="BI145">
        <f t="shared" si="503"/>
        <v>5526</v>
      </c>
      <c r="BJ145">
        <f t="shared" si="504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05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06"/>
        <v>150</v>
      </c>
      <c r="BQ145">
        <f t="shared" si="507"/>
        <v>37760</v>
      </c>
      <c r="BR145">
        <f>_xlfn.XLOOKUP(B145,'[7]september-2026'!$A:$A,'[7]september-2026'!$C:$C,0,0)</f>
        <v>30700</v>
      </c>
      <c r="BS145">
        <f t="shared" si="508"/>
        <v>5526</v>
      </c>
      <c r="BT145">
        <f t="shared" si="509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0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1"/>
        <v>150</v>
      </c>
      <c r="CA145">
        <f t="shared" si="512"/>
        <v>37760</v>
      </c>
      <c r="CB145">
        <f>_xlfn.XLOOKUP(B145,'[8]october-2026'!$A:$A,'[8]october-2026'!$C:$C,0,0)</f>
        <v>30700</v>
      </c>
      <c r="CC145">
        <f t="shared" si="513"/>
        <v>5526</v>
      </c>
      <c r="CD145">
        <f t="shared" si="514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15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16"/>
        <v>150</v>
      </c>
      <c r="CK145">
        <f t="shared" si="517"/>
        <v>37760</v>
      </c>
      <c r="CL145">
        <f>_xlfn.XLOOKUP(B145,'[9]november-2026'!$A:$A,'[9]november-2026'!$C:$C,0,0)</f>
        <v>30700</v>
      </c>
      <c r="CM145">
        <f t="shared" si="518"/>
        <v>5526</v>
      </c>
      <c r="CN145">
        <f t="shared" si="519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0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1"/>
        <v>150</v>
      </c>
      <c r="CU145">
        <f t="shared" si="522"/>
        <v>37760</v>
      </c>
      <c r="CV145">
        <f>_xlfn.XLOOKUP(B145,'[10]december-2026'!$A:$A,'[10]december-2026'!$C:$C,0,0)</f>
        <v>30700</v>
      </c>
      <c r="CW145">
        <f t="shared" si="523"/>
        <v>5526</v>
      </c>
      <c r="CX145">
        <f t="shared" si="524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25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26"/>
        <v>150</v>
      </c>
      <c r="DE145">
        <f t="shared" si="527"/>
        <v>37760</v>
      </c>
      <c r="DF145">
        <f xml:space="preserve"> _xlfn.XLOOKUP(B145,
'[11]january-2027'!$A:$A,
'[11]january-2027'!$C:$C,
0,0)</f>
        <v>30700</v>
      </c>
      <c r="DG145">
        <f t="shared" si="528"/>
        <v>5526</v>
      </c>
      <c r="DH145">
        <f t="shared" si="529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0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1"/>
        <v>150</v>
      </c>
      <c r="DO145">
        <f t="shared" si="532"/>
        <v>37760</v>
      </c>
      <c r="DP145">
        <f xml:space="preserve"> _xlfn.XLOOKUP(B145,
'[12]february-2027'!$A:$A,
'[12]february-2027'!$C:$C,
0,0)</f>
        <v>30700</v>
      </c>
      <c r="DQ145">
        <f t="shared" si="533"/>
        <v>5526</v>
      </c>
      <c r="DR145">
        <f t="shared" si="534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35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36"/>
        <v>150</v>
      </c>
      <c r="DY145">
        <f t="shared" si="537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38"/>
        <v>0</v>
      </c>
      <c r="EM145">
        <f t="shared" si="539"/>
        <v>481183</v>
      </c>
      <c r="EN145">
        <f t="shared" si="540"/>
        <v>1850</v>
      </c>
      <c r="EO145">
        <f t="shared" si="541"/>
        <v>50000</v>
      </c>
      <c r="EP145">
        <v>0</v>
      </c>
      <c r="EQ145">
        <f t="shared" si="543"/>
        <v>429333</v>
      </c>
      <c r="ER145">
        <f t="shared" si="544"/>
        <v>24000</v>
      </c>
      <c r="ES145">
        <f t="shared" si="545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46"/>
        <v>24000</v>
      </c>
      <c r="FE145">
        <f t="shared" si="547"/>
        <v>24000</v>
      </c>
      <c r="FF145">
        <f t="shared" si="548"/>
        <v>405333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>SUM(FG145:FM145)+(IF(F145="YES",50000,0))</f>
        <v>0</v>
      </c>
      <c r="FO145">
        <f t="shared" si="549"/>
        <v>405333</v>
      </c>
      <c r="FP145">
        <f t="shared" si="550"/>
        <v>7767</v>
      </c>
      <c r="FQ145">
        <f t="shared" si="551"/>
        <v>0</v>
      </c>
      <c r="FR145">
        <f t="shared" si="552"/>
        <v>7767</v>
      </c>
      <c r="FS145">
        <f t="shared" si="553"/>
        <v>0</v>
      </c>
      <c r="FT145">
        <f t="shared" si="554"/>
        <v>0</v>
      </c>
      <c r="FU145">
        <f t="shared" si="555"/>
        <v>0</v>
      </c>
      <c r="FV145">
        <v>0</v>
      </c>
      <c r="FW145">
        <f t="shared" si="556"/>
        <v>0</v>
      </c>
      <c r="FX145" t="b">
        <f t="shared" si="557"/>
        <v>0</v>
      </c>
      <c r="FY145">
        <f t="shared" ca="1" si="558"/>
        <v>1347</v>
      </c>
      <c r="FZ145">
        <f t="shared" ca="1" si="559"/>
        <v>482530</v>
      </c>
      <c r="GA145">
        <f t="shared" si="560"/>
        <v>75000</v>
      </c>
      <c r="GB145">
        <f t="shared" ca="1" si="561"/>
        <v>407530</v>
      </c>
      <c r="GC145">
        <f t="shared" ca="1" si="562"/>
        <v>0</v>
      </c>
      <c r="GD145">
        <f t="shared" ca="1" si="563"/>
        <v>0</v>
      </c>
      <c r="GE145">
        <f t="shared" ca="1" si="564"/>
        <v>0</v>
      </c>
      <c r="GF145">
        <f t="shared" ca="1" si="565"/>
        <v>0</v>
      </c>
      <c r="GG145">
        <f t="shared" ca="1" si="566"/>
        <v>0</v>
      </c>
      <c r="GH145">
        <f t="shared" ca="1" si="567"/>
        <v>0</v>
      </c>
      <c r="GI145">
        <f ca="1">IF(GB145&gt;1200000,GB145-1200000-IF(F145="YES",50000,0)-GG145,0)</f>
        <v>0</v>
      </c>
      <c r="GJ145">
        <f t="shared" ca="1" si="568"/>
        <v>0</v>
      </c>
      <c r="GK145">
        <f t="shared" ca="1" si="569"/>
        <v>0</v>
      </c>
      <c r="GL145">
        <f t="shared" ca="1" si="570"/>
        <v>0</v>
      </c>
      <c r="GM145">
        <f t="shared" ca="1" si="571"/>
        <v>7530</v>
      </c>
      <c r="GN145">
        <f t="shared" ca="1" si="572"/>
        <v>376.5</v>
      </c>
      <c r="GO145">
        <f t="shared" ca="1" si="573"/>
        <v>377</v>
      </c>
      <c r="GP145">
        <f t="shared" ca="1" si="574"/>
        <v>0</v>
      </c>
      <c r="GQ145">
        <f t="shared" ca="1" si="575"/>
        <v>0</v>
      </c>
      <c r="GR145">
        <f t="shared" ca="1" si="576"/>
        <v>377</v>
      </c>
      <c r="GS145">
        <f t="shared" ca="1" si="577"/>
        <v>0</v>
      </c>
      <c r="GT145" t="b">
        <f t="shared" ca="1" si="578"/>
        <v>0</v>
      </c>
      <c r="GU145">
        <f t="shared" ca="1" si="579"/>
        <v>0</v>
      </c>
      <c r="GV145">
        <f t="shared" ca="1" si="580"/>
        <v>377</v>
      </c>
      <c r="GW145">
        <f t="shared" ca="1" si="581"/>
        <v>0</v>
      </c>
      <c r="GX145">
        <f t="shared" ca="1" si="582"/>
        <v>0</v>
      </c>
      <c r="GY145">
        <f t="shared" ca="1" si="583"/>
        <v>0</v>
      </c>
    </row>
    <row r="146" spans="1:207" x14ac:dyDescent="0.25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78"/>
        <v>6800</v>
      </c>
      <c r="I146">
        <f>_xlfn.XLOOKUP(B146,'[1]march-2026'!$A:$A,'[1]march-2026'!$C:$C,0,0)</f>
        <v>35500</v>
      </c>
      <c r="J146">
        <f t="shared" si="542"/>
        <v>6390</v>
      </c>
      <c r="K146">
        <f t="shared" si="479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0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1"/>
        <v>200</v>
      </c>
      <c r="R146">
        <f t="shared" si="482"/>
        <v>39850</v>
      </c>
      <c r="S146">
        <f>_xlfn.XLOOKUP(B146,'[2]april-2026'!$A:$A,'[2]april-2026'!$C:$C,0,0)</f>
        <v>35500</v>
      </c>
      <c r="T146">
        <f t="shared" si="483"/>
        <v>6390</v>
      </c>
      <c r="U146">
        <f t="shared" si="484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85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86"/>
        <v>200</v>
      </c>
      <c r="AB146">
        <f t="shared" si="487"/>
        <v>39850</v>
      </c>
      <c r="AC146">
        <f>_xlfn.XLOOKUP(B146,'[3]may-2026'!$A:$A,'[3]may-2026'!$C:$C,0,0)</f>
        <v>35500</v>
      </c>
      <c r="AD146">
        <f t="shared" si="488"/>
        <v>6390</v>
      </c>
      <c r="AE146">
        <f t="shared" si="489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0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1"/>
        <v>200</v>
      </c>
      <c r="AL146">
        <f t="shared" si="492"/>
        <v>39850</v>
      </c>
      <c r="AM146">
        <f>_xlfn.XLOOKUP(B146,'[4]june-2026'!$A:$A,'[4]june-2026'!$C:$C,0,0)</f>
        <v>35500</v>
      </c>
      <c r="AN146">
        <f t="shared" si="493"/>
        <v>6390</v>
      </c>
      <c r="AO146">
        <f t="shared" si="494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495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496"/>
        <v>200</v>
      </c>
      <c r="AV146">
        <f t="shared" si="497"/>
        <v>39850</v>
      </c>
      <c r="AW146">
        <f>_xlfn.XLOOKUP(B146,'[5]july-2026'!$A:$A,'[5]july-2026'!$C:$C,0,0)</f>
        <v>36600</v>
      </c>
      <c r="AX146">
        <f t="shared" si="498"/>
        <v>6588</v>
      </c>
      <c r="AY146">
        <v>144</v>
      </c>
      <c r="AZ146">
        <f t="shared" si="499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0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1"/>
        <v>200</v>
      </c>
      <c r="BG146">
        <f t="shared" si="502"/>
        <v>41424</v>
      </c>
      <c r="BH146">
        <f>_xlfn.XLOOKUP(B146,'[6]august-2026'!$A:$A,'[6]august-2026'!$C:$C,0,0)</f>
        <v>36600</v>
      </c>
      <c r="BI146">
        <f t="shared" si="503"/>
        <v>6588</v>
      </c>
      <c r="BJ146">
        <f t="shared" si="504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05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06"/>
        <v>200</v>
      </c>
      <c r="BQ146">
        <f t="shared" si="507"/>
        <v>41280</v>
      </c>
      <c r="BR146">
        <f>_xlfn.XLOOKUP(B146,'[7]september-2026'!$A:$A,'[7]september-2026'!$C:$C,0,0)</f>
        <v>36600</v>
      </c>
      <c r="BS146">
        <f t="shared" si="508"/>
        <v>6588</v>
      </c>
      <c r="BT146">
        <f t="shared" si="509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0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1"/>
        <v>200</v>
      </c>
      <c r="CA146">
        <f t="shared" si="512"/>
        <v>41280</v>
      </c>
      <c r="CB146">
        <f>_xlfn.XLOOKUP(B146,'[8]october-2026'!$A:$A,'[8]october-2026'!$C:$C,0,0)</f>
        <v>36600</v>
      </c>
      <c r="CC146">
        <f t="shared" si="513"/>
        <v>6588</v>
      </c>
      <c r="CD146">
        <f t="shared" si="514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15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16"/>
        <v>200</v>
      </c>
      <c r="CK146">
        <f t="shared" si="517"/>
        <v>41280</v>
      </c>
      <c r="CL146">
        <f>_xlfn.XLOOKUP(B146,'[9]november-2026'!$A:$A,'[9]november-2026'!$C:$C,0,0)</f>
        <v>36600</v>
      </c>
      <c r="CM146">
        <f t="shared" si="518"/>
        <v>6588</v>
      </c>
      <c r="CN146">
        <f t="shared" si="519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0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1"/>
        <v>200</v>
      </c>
      <c r="CU146">
        <f t="shared" si="522"/>
        <v>41280</v>
      </c>
      <c r="CV146">
        <f>_xlfn.XLOOKUP(B146,'[10]december-2026'!$A:$A,'[10]december-2026'!$C:$C,0,0)</f>
        <v>36600</v>
      </c>
      <c r="CW146">
        <f t="shared" si="523"/>
        <v>6588</v>
      </c>
      <c r="CX146">
        <f t="shared" si="524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25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26"/>
        <v>200</v>
      </c>
      <c r="DE146">
        <f t="shared" si="527"/>
        <v>41280</v>
      </c>
      <c r="DF146">
        <f xml:space="preserve"> _xlfn.XLOOKUP(B146,
'[11]january-2027'!$A:$A,
'[11]january-2027'!$C:$C,
0,0)</f>
        <v>36600</v>
      </c>
      <c r="DG146">
        <f t="shared" si="528"/>
        <v>6588</v>
      </c>
      <c r="DH146">
        <f t="shared" si="529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0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1"/>
        <v>200</v>
      </c>
      <c r="DO146">
        <f t="shared" si="532"/>
        <v>41280</v>
      </c>
      <c r="DP146">
        <f xml:space="preserve"> _xlfn.XLOOKUP(B146,
'[12]february-2027'!$A:$A,
'[12]february-2027'!$C:$C,
0,0)</f>
        <v>36600</v>
      </c>
      <c r="DQ146">
        <f t="shared" si="533"/>
        <v>6588</v>
      </c>
      <c r="DR146">
        <f t="shared" si="534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35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36"/>
        <v>200</v>
      </c>
      <c r="DY146">
        <f t="shared" si="537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38"/>
        <v>0</v>
      </c>
      <c r="EM146">
        <f t="shared" si="539"/>
        <v>582984</v>
      </c>
      <c r="EN146">
        <f t="shared" si="540"/>
        <v>2400</v>
      </c>
      <c r="EO146">
        <f t="shared" si="541"/>
        <v>50000</v>
      </c>
      <c r="EP146">
        <v>0</v>
      </c>
      <c r="EQ146">
        <f t="shared" si="543"/>
        <v>530584</v>
      </c>
      <c r="ER146">
        <f t="shared" si="544"/>
        <v>84000</v>
      </c>
      <c r="ES146">
        <f t="shared" si="545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46"/>
        <v>84000</v>
      </c>
      <c r="FE146">
        <f t="shared" si="547"/>
        <v>84000</v>
      </c>
      <c r="FF146">
        <f t="shared" si="548"/>
        <v>446584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>SUM(FG146:FM146)+(IF(F146="YES",50000,0))</f>
        <v>0</v>
      </c>
      <c r="FO146">
        <f t="shared" si="549"/>
        <v>446584</v>
      </c>
      <c r="FP146">
        <f t="shared" si="550"/>
        <v>9829</v>
      </c>
      <c r="FQ146">
        <f t="shared" si="551"/>
        <v>0</v>
      </c>
      <c r="FR146">
        <f t="shared" si="552"/>
        <v>9829</v>
      </c>
      <c r="FS146">
        <f t="shared" si="553"/>
        <v>0</v>
      </c>
      <c r="FT146">
        <f t="shared" si="554"/>
        <v>0</v>
      </c>
      <c r="FU146">
        <f t="shared" si="555"/>
        <v>0</v>
      </c>
      <c r="FV146">
        <v>0</v>
      </c>
      <c r="FW146">
        <f t="shared" si="556"/>
        <v>0</v>
      </c>
      <c r="FX146" t="b">
        <f t="shared" si="557"/>
        <v>1</v>
      </c>
      <c r="FY146">
        <f t="shared" ca="1" si="558"/>
        <v>837</v>
      </c>
      <c r="FZ146">
        <f t="shared" ca="1" si="559"/>
        <v>583821</v>
      </c>
      <c r="GA146">
        <f t="shared" si="560"/>
        <v>75000</v>
      </c>
      <c r="GB146">
        <f t="shared" ca="1" si="561"/>
        <v>508821</v>
      </c>
      <c r="GC146">
        <f t="shared" ca="1" si="562"/>
        <v>0</v>
      </c>
      <c r="GD146">
        <f t="shared" ca="1" si="563"/>
        <v>0</v>
      </c>
      <c r="GE146">
        <f t="shared" ca="1" si="564"/>
        <v>0</v>
      </c>
      <c r="GF146">
        <f t="shared" ca="1" si="565"/>
        <v>0</v>
      </c>
      <c r="GG146">
        <f t="shared" ca="1" si="566"/>
        <v>0</v>
      </c>
      <c r="GH146">
        <f t="shared" ca="1" si="567"/>
        <v>0</v>
      </c>
      <c r="GI146">
        <f ca="1">IF(GB146&gt;1200000,GB146-1200000-IF(F146="YES",50000,0)-GG146,0)</f>
        <v>0</v>
      </c>
      <c r="GJ146">
        <f t="shared" ca="1" si="568"/>
        <v>0</v>
      </c>
      <c r="GK146">
        <f t="shared" ca="1" si="569"/>
        <v>0</v>
      </c>
      <c r="GL146">
        <f t="shared" ca="1" si="570"/>
        <v>0</v>
      </c>
      <c r="GM146">
        <f t="shared" ca="1" si="571"/>
        <v>108821</v>
      </c>
      <c r="GN146">
        <f t="shared" ca="1" si="572"/>
        <v>5441.05</v>
      </c>
      <c r="GO146">
        <f t="shared" ca="1" si="573"/>
        <v>5441</v>
      </c>
      <c r="GP146">
        <f t="shared" ca="1" si="574"/>
        <v>0</v>
      </c>
      <c r="GQ146">
        <f t="shared" ca="1" si="575"/>
        <v>0</v>
      </c>
      <c r="GR146">
        <f t="shared" ca="1" si="576"/>
        <v>5441</v>
      </c>
      <c r="GS146">
        <f t="shared" ca="1" si="577"/>
        <v>0</v>
      </c>
      <c r="GT146" t="b">
        <f t="shared" ca="1" si="578"/>
        <v>0</v>
      </c>
      <c r="GU146">
        <f t="shared" ca="1" si="579"/>
        <v>0</v>
      </c>
      <c r="GV146">
        <f t="shared" ca="1" si="580"/>
        <v>5441</v>
      </c>
      <c r="GW146">
        <f t="shared" ca="1" si="581"/>
        <v>0</v>
      </c>
      <c r="GX146">
        <f t="shared" ca="1" si="582"/>
        <v>0</v>
      </c>
      <c r="GY146">
        <f t="shared" ca="1" si="583"/>
        <v>0</v>
      </c>
    </row>
    <row r="147" spans="1:207" x14ac:dyDescent="0.25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78"/>
        <v>6800</v>
      </c>
      <c r="I147">
        <f>_xlfn.XLOOKUP(B147,'[1]march-2026'!$A:$A,'[1]march-2026'!$C:$C,0,0)</f>
        <v>31600</v>
      </c>
      <c r="J147">
        <f t="shared" si="542"/>
        <v>5688</v>
      </c>
      <c r="K147">
        <f t="shared" si="479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0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1"/>
        <v>200</v>
      </c>
      <c r="R147">
        <f t="shared" si="482"/>
        <v>37380</v>
      </c>
      <c r="S147">
        <f>_xlfn.XLOOKUP(B147,'[2]april-2026'!$A:$A,'[2]april-2026'!$C:$C,0,0)</f>
        <v>31600</v>
      </c>
      <c r="T147">
        <f t="shared" si="483"/>
        <v>5688</v>
      </c>
      <c r="U147">
        <f t="shared" si="484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85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86"/>
        <v>200</v>
      </c>
      <c r="AB147">
        <f t="shared" si="487"/>
        <v>37380</v>
      </c>
      <c r="AC147">
        <f>_xlfn.XLOOKUP(B147,'[3]may-2026'!$A:$A,'[3]may-2026'!$C:$C,0,0)</f>
        <v>31600</v>
      </c>
      <c r="AD147">
        <f t="shared" si="488"/>
        <v>5688</v>
      </c>
      <c r="AE147">
        <f t="shared" si="489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0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1"/>
        <v>200</v>
      </c>
      <c r="AL147">
        <f t="shared" si="492"/>
        <v>37380</v>
      </c>
      <c r="AM147">
        <f>_xlfn.XLOOKUP(B147,'[4]june-2026'!$A:$A,'[4]june-2026'!$C:$C,0,0)</f>
        <v>31600</v>
      </c>
      <c r="AN147">
        <f t="shared" si="493"/>
        <v>5688</v>
      </c>
      <c r="AO147">
        <f t="shared" si="494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495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496"/>
        <v>200</v>
      </c>
      <c r="AV147">
        <f t="shared" si="497"/>
        <v>37380</v>
      </c>
      <c r="AW147">
        <f>_xlfn.XLOOKUP(B147,'[5]july-2026'!$A:$A,'[5]july-2026'!$C:$C,0,0)</f>
        <v>32500</v>
      </c>
      <c r="AX147">
        <f t="shared" si="498"/>
        <v>5850</v>
      </c>
      <c r="AY147">
        <v>145</v>
      </c>
      <c r="AZ147">
        <f t="shared" si="499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0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1"/>
        <v>200</v>
      </c>
      <c r="BG147">
        <f t="shared" si="502"/>
        <v>38695</v>
      </c>
      <c r="BH147">
        <f>_xlfn.XLOOKUP(B147,'[6]august-2026'!$A:$A,'[6]august-2026'!$C:$C,0,0)</f>
        <v>32500</v>
      </c>
      <c r="BI147">
        <f t="shared" si="503"/>
        <v>5850</v>
      </c>
      <c r="BJ147">
        <f t="shared" si="504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05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06"/>
        <v>200</v>
      </c>
      <c r="BQ147">
        <f t="shared" si="507"/>
        <v>38550</v>
      </c>
      <c r="BR147">
        <f>_xlfn.XLOOKUP(B147,'[7]september-2026'!$A:$A,'[7]september-2026'!$C:$C,0,0)</f>
        <v>32500</v>
      </c>
      <c r="BS147">
        <f t="shared" si="508"/>
        <v>5850</v>
      </c>
      <c r="BT147">
        <f t="shared" si="509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0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1"/>
        <v>200</v>
      </c>
      <c r="CA147">
        <f t="shared" si="512"/>
        <v>38550</v>
      </c>
      <c r="CB147">
        <f>_xlfn.XLOOKUP(B147,'[8]october-2026'!$A:$A,'[8]october-2026'!$C:$C,0,0)</f>
        <v>32500</v>
      </c>
      <c r="CC147">
        <f t="shared" si="513"/>
        <v>5850</v>
      </c>
      <c r="CD147">
        <f t="shared" si="514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15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16"/>
        <v>200</v>
      </c>
      <c r="CK147">
        <f t="shared" si="517"/>
        <v>38550</v>
      </c>
      <c r="CL147">
        <f>_xlfn.XLOOKUP(B147,'[9]november-2026'!$A:$A,'[9]november-2026'!$C:$C,0,0)</f>
        <v>32500</v>
      </c>
      <c r="CM147">
        <f t="shared" si="518"/>
        <v>5850</v>
      </c>
      <c r="CN147">
        <f t="shared" si="519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0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1"/>
        <v>200</v>
      </c>
      <c r="CU147">
        <f t="shared" si="522"/>
        <v>38550</v>
      </c>
      <c r="CV147">
        <f>_xlfn.XLOOKUP(B147,'[10]december-2026'!$A:$A,'[10]december-2026'!$C:$C,0,0)</f>
        <v>32500</v>
      </c>
      <c r="CW147">
        <f t="shared" si="523"/>
        <v>5850</v>
      </c>
      <c r="CX147">
        <f t="shared" si="524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25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26"/>
        <v>200</v>
      </c>
      <c r="DE147">
        <f t="shared" si="527"/>
        <v>38550</v>
      </c>
      <c r="DF147">
        <f xml:space="preserve"> _xlfn.XLOOKUP(B147,
'[11]january-2027'!$A:$A,
'[11]january-2027'!$C:$C,
0,0)</f>
        <v>32500</v>
      </c>
      <c r="DG147">
        <f t="shared" si="528"/>
        <v>5850</v>
      </c>
      <c r="DH147">
        <f t="shared" si="529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0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1"/>
        <v>200</v>
      </c>
      <c r="DO147">
        <f t="shared" si="532"/>
        <v>38550</v>
      </c>
      <c r="DP147">
        <f xml:space="preserve"> _xlfn.XLOOKUP(B147,
'[12]february-2027'!$A:$A,
'[12]february-2027'!$C:$C,
0,0)</f>
        <v>32500</v>
      </c>
      <c r="DQ147">
        <f t="shared" si="533"/>
        <v>5850</v>
      </c>
      <c r="DR147">
        <f t="shared" si="534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35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36"/>
        <v>200</v>
      </c>
      <c r="DY147">
        <f t="shared" si="537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38"/>
        <v>0</v>
      </c>
      <c r="EM147">
        <f t="shared" si="539"/>
        <v>515265</v>
      </c>
      <c r="EN147">
        <f t="shared" si="540"/>
        <v>2400</v>
      </c>
      <c r="EO147">
        <f t="shared" si="541"/>
        <v>50000</v>
      </c>
      <c r="EP147">
        <v>0</v>
      </c>
      <c r="EQ147">
        <f t="shared" si="543"/>
        <v>462865</v>
      </c>
      <c r="ER147">
        <f t="shared" si="544"/>
        <v>48000</v>
      </c>
      <c r="ES147">
        <f t="shared" si="545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46"/>
        <v>48000</v>
      </c>
      <c r="FE147">
        <f t="shared" si="547"/>
        <v>48000</v>
      </c>
      <c r="FF147">
        <f t="shared" si="548"/>
        <v>414865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>SUM(FG147:FM147)+(IF(F147="YES",50000,0))</f>
        <v>0</v>
      </c>
      <c r="FO147">
        <f t="shared" si="549"/>
        <v>414865</v>
      </c>
      <c r="FP147">
        <f t="shared" si="550"/>
        <v>8243</v>
      </c>
      <c r="FQ147">
        <f t="shared" si="551"/>
        <v>0</v>
      </c>
      <c r="FR147">
        <f t="shared" si="552"/>
        <v>8243</v>
      </c>
      <c r="FS147">
        <f t="shared" si="553"/>
        <v>0</v>
      </c>
      <c r="FT147">
        <f t="shared" si="554"/>
        <v>0</v>
      </c>
      <c r="FU147">
        <f t="shared" si="555"/>
        <v>0</v>
      </c>
      <c r="FV147">
        <v>0</v>
      </c>
      <c r="FW147">
        <f t="shared" si="556"/>
        <v>0</v>
      </c>
      <c r="FX147" t="b">
        <f t="shared" si="557"/>
        <v>1</v>
      </c>
      <c r="FY147">
        <f t="shared" ca="1" si="558"/>
        <v>571</v>
      </c>
      <c r="FZ147">
        <f t="shared" ca="1" si="559"/>
        <v>515836</v>
      </c>
      <c r="GA147">
        <f t="shared" si="560"/>
        <v>75000</v>
      </c>
      <c r="GB147">
        <f t="shared" ca="1" si="561"/>
        <v>440836</v>
      </c>
      <c r="GC147">
        <f t="shared" ca="1" si="562"/>
        <v>0</v>
      </c>
      <c r="GD147">
        <f t="shared" ca="1" si="563"/>
        <v>0</v>
      </c>
      <c r="GE147">
        <f t="shared" ca="1" si="564"/>
        <v>0</v>
      </c>
      <c r="GF147">
        <f t="shared" ca="1" si="565"/>
        <v>0</v>
      </c>
      <c r="GG147">
        <f t="shared" ca="1" si="566"/>
        <v>0</v>
      </c>
      <c r="GH147">
        <f t="shared" ca="1" si="567"/>
        <v>0</v>
      </c>
      <c r="GI147">
        <f ca="1">IF(GB147&gt;1200000,GB147-1200000-IF(F147="YES",50000,0)-GG147,0)</f>
        <v>0</v>
      </c>
      <c r="GJ147">
        <f t="shared" ca="1" si="568"/>
        <v>0</v>
      </c>
      <c r="GK147">
        <f t="shared" ca="1" si="569"/>
        <v>0</v>
      </c>
      <c r="GL147">
        <f t="shared" ca="1" si="570"/>
        <v>0</v>
      </c>
      <c r="GM147">
        <f t="shared" ca="1" si="571"/>
        <v>40836</v>
      </c>
      <c r="GN147">
        <f t="shared" ca="1" si="572"/>
        <v>2041.8000000000002</v>
      </c>
      <c r="GO147">
        <f t="shared" ca="1" si="573"/>
        <v>2042</v>
      </c>
      <c r="GP147">
        <f t="shared" ca="1" si="574"/>
        <v>0</v>
      </c>
      <c r="GQ147">
        <f t="shared" ca="1" si="575"/>
        <v>0</v>
      </c>
      <c r="GR147">
        <f t="shared" ca="1" si="576"/>
        <v>2042</v>
      </c>
      <c r="GS147">
        <f t="shared" ca="1" si="577"/>
        <v>0</v>
      </c>
      <c r="GT147" t="b">
        <f t="shared" ca="1" si="578"/>
        <v>0</v>
      </c>
      <c r="GU147">
        <f t="shared" ca="1" si="579"/>
        <v>0</v>
      </c>
      <c r="GV147">
        <f t="shared" ca="1" si="580"/>
        <v>2042</v>
      </c>
      <c r="GW147">
        <f t="shared" ca="1" si="581"/>
        <v>0</v>
      </c>
      <c r="GX147">
        <f t="shared" ca="1" si="582"/>
        <v>0</v>
      </c>
      <c r="GY147">
        <f t="shared" ca="1" si="583"/>
        <v>0</v>
      </c>
    </row>
    <row r="148" spans="1:207" x14ac:dyDescent="0.25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78"/>
        <v>6800</v>
      </c>
      <c r="I148">
        <f>_xlfn.XLOOKUP(B148,'[1]march-2026'!$A:$A,'[1]march-2026'!$C:$C,0,0)</f>
        <v>29800</v>
      </c>
      <c r="J148">
        <f t="shared" si="542"/>
        <v>5364</v>
      </c>
      <c r="K148">
        <f t="shared" si="479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0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1"/>
        <v>150</v>
      </c>
      <c r="R148">
        <f t="shared" si="482"/>
        <v>36590</v>
      </c>
      <c r="S148">
        <f>_xlfn.XLOOKUP(B148,'[2]april-2026'!$A:$A,'[2]april-2026'!$C:$C,0,0)</f>
        <v>29800</v>
      </c>
      <c r="T148">
        <f t="shared" si="483"/>
        <v>5364</v>
      </c>
      <c r="U148">
        <f t="shared" si="484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85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86"/>
        <v>150</v>
      </c>
      <c r="AB148">
        <f t="shared" si="487"/>
        <v>36590</v>
      </c>
      <c r="AC148">
        <f>_xlfn.XLOOKUP(B148,'[3]may-2026'!$A:$A,'[3]may-2026'!$C:$C,0,0)</f>
        <v>29800</v>
      </c>
      <c r="AD148">
        <f t="shared" si="488"/>
        <v>5364</v>
      </c>
      <c r="AE148">
        <f t="shared" si="489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0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1"/>
        <v>150</v>
      </c>
      <c r="AL148">
        <f t="shared" si="492"/>
        <v>36590</v>
      </c>
      <c r="AM148">
        <f>_xlfn.XLOOKUP(B148,'[4]june-2026'!$A:$A,'[4]june-2026'!$C:$C,0,0)</f>
        <v>29800</v>
      </c>
      <c r="AN148">
        <f t="shared" si="493"/>
        <v>5364</v>
      </c>
      <c r="AO148">
        <f t="shared" si="494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495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496"/>
        <v>150</v>
      </c>
      <c r="AV148">
        <f t="shared" si="497"/>
        <v>36590</v>
      </c>
      <c r="AW148">
        <f>_xlfn.XLOOKUP(B148,'[5]july-2026'!$A:$A,'[5]july-2026'!$C:$C,0,0)</f>
        <v>30700</v>
      </c>
      <c r="AX148">
        <f t="shared" si="498"/>
        <v>5526</v>
      </c>
      <c r="AY148">
        <v>146</v>
      </c>
      <c r="AZ148">
        <f t="shared" si="499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0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1"/>
        <v>200</v>
      </c>
      <c r="BG148">
        <f t="shared" si="502"/>
        <v>37856</v>
      </c>
      <c r="BH148">
        <f>_xlfn.XLOOKUP(B148,'[6]august-2026'!$A:$A,'[6]august-2026'!$C:$C,0,0)</f>
        <v>30700</v>
      </c>
      <c r="BI148">
        <f t="shared" si="503"/>
        <v>5526</v>
      </c>
      <c r="BJ148">
        <f t="shared" si="504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05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06"/>
        <v>150</v>
      </c>
      <c r="BQ148">
        <f t="shared" si="507"/>
        <v>37760</v>
      </c>
      <c r="BR148">
        <f>_xlfn.XLOOKUP(B148,'[7]september-2026'!$A:$A,'[7]september-2026'!$C:$C,0,0)</f>
        <v>30700</v>
      </c>
      <c r="BS148">
        <f t="shared" si="508"/>
        <v>5526</v>
      </c>
      <c r="BT148">
        <f t="shared" si="509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0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1"/>
        <v>150</v>
      </c>
      <c r="CA148">
        <f t="shared" si="512"/>
        <v>37760</v>
      </c>
      <c r="CB148">
        <f>_xlfn.XLOOKUP(B148,'[8]october-2026'!$A:$A,'[8]october-2026'!$C:$C,0,0)</f>
        <v>30700</v>
      </c>
      <c r="CC148">
        <f t="shared" si="513"/>
        <v>5526</v>
      </c>
      <c r="CD148">
        <f t="shared" si="514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15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16"/>
        <v>150</v>
      </c>
      <c r="CK148">
        <f t="shared" si="517"/>
        <v>37760</v>
      </c>
      <c r="CL148">
        <f>_xlfn.XLOOKUP(B148,'[9]november-2026'!$A:$A,'[9]november-2026'!$C:$C,0,0)</f>
        <v>30700</v>
      </c>
      <c r="CM148">
        <f t="shared" si="518"/>
        <v>5526</v>
      </c>
      <c r="CN148">
        <f t="shared" si="519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0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1"/>
        <v>150</v>
      </c>
      <c r="CU148">
        <f t="shared" si="522"/>
        <v>37760</v>
      </c>
      <c r="CV148">
        <f>_xlfn.XLOOKUP(B148,'[10]december-2026'!$A:$A,'[10]december-2026'!$C:$C,0,0)</f>
        <v>30700</v>
      </c>
      <c r="CW148">
        <f t="shared" si="523"/>
        <v>5526</v>
      </c>
      <c r="CX148">
        <f t="shared" si="524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25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26"/>
        <v>150</v>
      </c>
      <c r="DE148">
        <f t="shared" si="527"/>
        <v>37760</v>
      </c>
      <c r="DF148">
        <f xml:space="preserve"> _xlfn.XLOOKUP(B148,
'[11]january-2027'!$A:$A,
'[11]january-2027'!$C:$C,
0,0)</f>
        <v>30700</v>
      </c>
      <c r="DG148">
        <f t="shared" si="528"/>
        <v>5526</v>
      </c>
      <c r="DH148">
        <f t="shared" si="529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0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1"/>
        <v>150</v>
      </c>
      <c r="DO148">
        <f t="shared" si="532"/>
        <v>37760</v>
      </c>
      <c r="DP148">
        <f xml:space="preserve"> _xlfn.XLOOKUP(B148,
'[12]february-2027'!$A:$A,
'[12]february-2027'!$C:$C,
0,0)</f>
        <v>30700</v>
      </c>
      <c r="DQ148">
        <f t="shared" si="533"/>
        <v>5526</v>
      </c>
      <c r="DR148">
        <f t="shared" si="534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35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36"/>
        <v>150</v>
      </c>
      <c r="DY148">
        <f t="shared" si="537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38"/>
        <v>0</v>
      </c>
      <c r="EM148">
        <f t="shared" si="539"/>
        <v>481186</v>
      </c>
      <c r="EN148">
        <f t="shared" si="540"/>
        <v>1850</v>
      </c>
      <c r="EO148">
        <f t="shared" si="541"/>
        <v>50000</v>
      </c>
      <c r="EP148">
        <v>0</v>
      </c>
      <c r="EQ148">
        <f t="shared" si="543"/>
        <v>429336</v>
      </c>
      <c r="ER148">
        <f t="shared" si="544"/>
        <v>24000</v>
      </c>
      <c r="ES148">
        <f t="shared" si="545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46"/>
        <v>24000</v>
      </c>
      <c r="FE148">
        <f t="shared" si="547"/>
        <v>24000</v>
      </c>
      <c r="FF148">
        <f t="shared" si="548"/>
        <v>405336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>SUM(FG148:FM148)+(IF(F148="YES",50000,0))</f>
        <v>0</v>
      </c>
      <c r="FO148">
        <f t="shared" si="549"/>
        <v>405336</v>
      </c>
      <c r="FP148">
        <f t="shared" si="550"/>
        <v>7767</v>
      </c>
      <c r="FQ148">
        <f t="shared" si="551"/>
        <v>0</v>
      </c>
      <c r="FR148">
        <f t="shared" si="552"/>
        <v>7767</v>
      </c>
      <c r="FS148">
        <f t="shared" si="553"/>
        <v>0</v>
      </c>
      <c r="FT148">
        <f t="shared" si="554"/>
        <v>0</v>
      </c>
      <c r="FU148">
        <f t="shared" si="555"/>
        <v>0</v>
      </c>
      <c r="FV148">
        <v>0</v>
      </c>
      <c r="FW148">
        <f t="shared" si="556"/>
        <v>0</v>
      </c>
      <c r="FX148" t="b">
        <f t="shared" si="557"/>
        <v>0</v>
      </c>
      <c r="FY148">
        <f t="shared" ca="1" si="558"/>
        <v>2250</v>
      </c>
      <c r="FZ148">
        <f t="shared" ca="1" si="559"/>
        <v>483436</v>
      </c>
      <c r="GA148">
        <f t="shared" si="560"/>
        <v>75000</v>
      </c>
      <c r="GB148">
        <f t="shared" ca="1" si="561"/>
        <v>408436</v>
      </c>
      <c r="GC148">
        <f t="shared" ca="1" si="562"/>
        <v>0</v>
      </c>
      <c r="GD148">
        <f t="shared" ca="1" si="563"/>
        <v>0</v>
      </c>
      <c r="GE148">
        <f t="shared" ca="1" si="564"/>
        <v>0</v>
      </c>
      <c r="GF148">
        <f t="shared" ca="1" si="565"/>
        <v>0</v>
      </c>
      <c r="GG148">
        <f t="shared" ca="1" si="566"/>
        <v>0</v>
      </c>
      <c r="GH148">
        <f t="shared" ca="1" si="567"/>
        <v>0</v>
      </c>
      <c r="GI148">
        <f ca="1">IF(GB148&gt;1200000,GB148-1200000-IF(F148="YES",50000,0)-GG148,0)</f>
        <v>0</v>
      </c>
      <c r="GJ148">
        <f t="shared" ca="1" si="568"/>
        <v>0</v>
      </c>
      <c r="GK148">
        <f t="shared" ca="1" si="569"/>
        <v>0</v>
      </c>
      <c r="GL148">
        <f t="shared" ca="1" si="570"/>
        <v>0</v>
      </c>
      <c r="GM148">
        <f t="shared" ca="1" si="571"/>
        <v>8436</v>
      </c>
      <c r="GN148">
        <f t="shared" ca="1" si="572"/>
        <v>421.8</v>
      </c>
      <c r="GO148">
        <f t="shared" ca="1" si="573"/>
        <v>422</v>
      </c>
      <c r="GP148">
        <f t="shared" ca="1" si="574"/>
        <v>0</v>
      </c>
      <c r="GQ148">
        <f t="shared" ca="1" si="575"/>
        <v>0</v>
      </c>
      <c r="GR148">
        <f t="shared" ca="1" si="576"/>
        <v>422</v>
      </c>
      <c r="GS148">
        <f t="shared" ca="1" si="577"/>
        <v>0</v>
      </c>
      <c r="GT148" t="b">
        <f t="shared" ca="1" si="578"/>
        <v>0</v>
      </c>
      <c r="GU148">
        <f t="shared" ca="1" si="579"/>
        <v>0</v>
      </c>
      <c r="GV148">
        <f t="shared" ca="1" si="580"/>
        <v>422</v>
      </c>
      <c r="GW148">
        <f t="shared" ca="1" si="581"/>
        <v>0</v>
      </c>
      <c r="GX148">
        <f t="shared" ca="1" si="582"/>
        <v>0</v>
      </c>
      <c r="GY148">
        <f t="shared" ca="1" si="583"/>
        <v>0</v>
      </c>
    </row>
    <row r="149" spans="1:207" x14ac:dyDescent="0.25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78"/>
        <v>6800</v>
      </c>
      <c r="I149">
        <f>_xlfn.XLOOKUP(B149,'[1]march-2026'!$A:$A,'[1]march-2026'!$C:$C,0,0)</f>
        <v>51700</v>
      </c>
      <c r="J149">
        <f t="shared" si="542"/>
        <v>9306</v>
      </c>
      <c r="K149">
        <f t="shared" si="479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0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1"/>
        <v>200</v>
      </c>
      <c r="R149">
        <f t="shared" si="482"/>
        <v>60910</v>
      </c>
      <c r="S149">
        <f>_xlfn.XLOOKUP(B149,'[2]april-2026'!$A:$A,'[2]april-2026'!$C:$C,0,0)</f>
        <v>51700</v>
      </c>
      <c r="T149">
        <f t="shared" si="483"/>
        <v>9306</v>
      </c>
      <c r="U149">
        <f t="shared" si="484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85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86"/>
        <v>200</v>
      </c>
      <c r="AB149">
        <f t="shared" si="487"/>
        <v>60910</v>
      </c>
      <c r="AC149">
        <f>_xlfn.XLOOKUP(B149,'[3]may-2026'!$A:$A,'[3]may-2026'!$C:$C,0,0)</f>
        <v>51700</v>
      </c>
      <c r="AD149">
        <f t="shared" si="488"/>
        <v>9306</v>
      </c>
      <c r="AE149">
        <f t="shared" si="489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0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1"/>
        <v>200</v>
      </c>
      <c r="AL149">
        <f t="shared" si="492"/>
        <v>60910</v>
      </c>
      <c r="AM149">
        <f>_xlfn.XLOOKUP(B149,'[4]june-2026'!$A:$A,'[4]june-2026'!$C:$C,0,0)</f>
        <v>51700</v>
      </c>
      <c r="AN149">
        <f t="shared" si="493"/>
        <v>9306</v>
      </c>
      <c r="AO149">
        <f t="shared" si="494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495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496"/>
        <v>200</v>
      </c>
      <c r="AV149">
        <f t="shared" si="497"/>
        <v>60910</v>
      </c>
      <c r="AW149">
        <f>_xlfn.XLOOKUP(B149,'[5]july-2026'!$A:$A,'[5]july-2026'!$C:$C,0,0)</f>
        <v>53300</v>
      </c>
      <c r="AX149">
        <f t="shared" si="498"/>
        <v>9594</v>
      </c>
      <c r="AY149">
        <v>147</v>
      </c>
      <c r="AZ149">
        <f t="shared" si="499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0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1"/>
        <v>200</v>
      </c>
      <c r="BG149">
        <f t="shared" si="502"/>
        <v>63137</v>
      </c>
      <c r="BH149">
        <f>_xlfn.XLOOKUP(B149,'[6]august-2026'!$A:$A,'[6]august-2026'!$C:$C,0,0)</f>
        <v>53300</v>
      </c>
      <c r="BI149">
        <f t="shared" si="503"/>
        <v>9594</v>
      </c>
      <c r="BJ149">
        <f t="shared" si="504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05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06"/>
        <v>200</v>
      </c>
      <c r="BQ149">
        <f t="shared" si="507"/>
        <v>62990</v>
      </c>
      <c r="BR149">
        <f>_xlfn.XLOOKUP(B149,'[7]september-2026'!$A:$A,'[7]september-2026'!$C:$C,0,0)</f>
        <v>53300</v>
      </c>
      <c r="BS149">
        <f t="shared" si="508"/>
        <v>9594</v>
      </c>
      <c r="BT149">
        <f t="shared" si="509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0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1"/>
        <v>200</v>
      </c>
      <c r="CA149">
        <f t="shared" si="512"/>
        <v>62990</v>
      </c>
      <c r="CB149">
        <f>_xlfn.XLOOKUP(B149,'[8]october-2026'!$A:$A,'[8]october-2026'!$C:$C,0,0)</f>
        <v>53300</v>
      </c>
      <c r="CC149">
        <f t="shared" si="513"/>
        <v>9594</v>
      </c>
      <c r="CD149">
        <f t="shared" si="514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15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16"/>
        <v>200</v>
      </c>
      <c r="CK149">
        <f t="shared" si="517"/>
        <v>62990</v>
      </c>
      <c r="CL149">
        <f>_xlfn.XLOOKUP(B149,'[9]november-2026'!$A:$A,'[9]november-2026'!$C:$C,0,0)</f>
        <v>53300</v>
      </c>
      <c r="CM149">
        <f t="shared" si="518"/>
        <v>9594</v>
      </c>
      <c r="CN149">
        <f t="shared" si="519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0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1"/>
        <v>200</v>
      </c>
      <c r="CU149">
        <f t="shared" si="522"/>
        <v>62990</v>
      </c>
      <c r="CV149">
        <f>_xlfn.XLOOKUP(B149,'[10]december-2026'!$A:$A,'[10]december-2026'!$C:$C,0,0)</f>
        <v>53300</v>
      </c>
      <c r="CW149">
        <f t="shared" si="523"/>
        <v>9594</v>
      </c>
      <c r="CX149">
        <f t="shared" si="524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25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26"/>
        <v>200</v>
      </c>
      <c r="DE149">
        <f t="shared" si="527"/>
        <v>62990</v>
      </c>
      <c r="DF149">
        <f xml:space="preserve"> _xlfn.XLOOKUP(B149,
'[11]january-2027'!$A:$A,
'[11]january-2027'!$C:$C,
0,0)</f>
        <v>53300</v>
      </c>
      <c r="DG149">
        <f t="shared" si="528"/>
        <v>9594</v>
      </c>
      <c r="DH149">
        <f t="shared" si="529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0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1"/>
        <v>200</v>
      </c>
      <c r="DO149">
        <f t="shared" si="532"/>
        <v>62990</v>
      </c>
      <c r="DP149">
        <f xml:space="preserve"> _xlfn.XLOOKUP(B149,
'[12]february-2027'!$A:$A,
'[12]february-2027'!$C:$C,
0,0)</f>
        <v>53300</v>
      </c>
      <c r="DQ149">
        <f t="shared" si="533"/>
        <v>9594</v>
      </c>
      <c r="DR149">
        <f t="shared" si="534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35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36"/>
        <v>200</v>
      </c>
      <c r="DY149">
        <f t="shared" si="537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38"/>
        <v>0</v>
      </c>
      <c r="EM149">
        <f t="shared" si="539"/>
        <v>840907</v>
      </c>
      <c r="EN149">
        <f t="shared" si="540"/>
        <v>2400</v>
      </c>
      <c r="EO149">
        <f t="shared" si="541"/>
        <v>50000</v>
      </c>
      <c r="EP149">
        <v>0</v>
      </c>
      <c r="EQ149">
        <f t="shared" si="543"/>
        <v>788507</v>
      </c>
      <c r="ER149">
        <f t="shared" si="544"/>
        <v>84000</v>
      </c>
      <c r="ES149">
        <f t="shared" si="545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46"/>
        <v>84000</v>
      </c>
      <c r="FE149">
        <f t="shared" si="547"/>
        <v>84000</v>
      </c>
      <c r="FF149">
        <f t="shared" si="548"/>
        <v>704507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>SUM(FG149:FM149)+(IF(F149="YES",50000,0))</f>
        <v>0</v>
      </c>
      <c r="FO149">
        <f t="shared" si="549"/>
        <v>704507</v>
      </c>
      <c r="FP149">
        <f t="shared" si="550"/>
        <v>12500</v>
      </c>
      <c r="FQ149">
        <f t="shared" si="551"/>
        <v>40901</v>
      </c>
      <c r="FR149">
        <f t="shared" si="552"/>
        <v>53401</v>
      </c>
      <c r="FS149">
        <f t="shared" si="553"/>
        <v>53401</v>
      </c>
      <c r="FT149">
        <f t="shared" si="554"/>
        <v>2136.04</v>
      </c>
      <c r="FU149">
        <f t="shared" si="555"/>
        <v>55537</v>
      </c>
      <c r="FV149">
        <v>0</v>
      </c>
      <c r="FW149">
        <f t="shared" si="556"/>
        <v>55537</v>
      </c>
      <c r="FX149" t="b">
        <f t="shared" si="557"/>
        <v>1</v>
      </c>
      <c r="FY149">
        <f t="shared" ca="1" si="558"/>
        <v>853</v>
      </c>
      <c r="FZ149">
        <f t="shared" ca="1" si="559"/>
        <v>841760</v>
      </c>
      <c r="GA149">
        <f t="shared" si="560"/>
        <v>75000</v>
      </c>
      <c r="GB149">
        <f t="shared" ca="1" si="561"/>
        <v>766760</v>
      </c>
      <c r="GC149">
        <f t="shared" ca="1" si="562"/>
        <v>0</v>
      </c>
      <c r="GD149">
        <f t="shared" ca="1" si="563"/>
        <v>0</v>
      </c>
      <c r="GE149">
        <f t="shared" ca="1" si="564"/>
        <v>0</v>
      </c>
      <c r="GF149">
        <f t="shared" ca="1" si="565"/>
        <v>0</v>
      </c>
      <c r="GG149">
        <f t="shared" ca="1" si="566"/>
        <v>0</v>
      </c>
      <c r="GH149">
        <f t="shared" ca="1" si="567"/>
        <v>0</v>
      </c>
      <c r="GI149">
        <f ca="1">IF(GB149&gt;1200000,GB149-1200000-IF(F149="YES",50000,0)-GG149,0)</f>
        <v>0</v>
      </c>
      <c r="GJ149">
        <f t="shared" ca="1" si="568"/>
        <v>0</v>
      </c>
      <c r="GK149">
        <f t="shared" ca="1" si="569"/>
        <v>0</v>
      </c>
      <c r="GL149">
        <f t="shared" ca="1" si="570"/>
        <v>0</v>
      </c>
      <c r="GM149">
        <f t="shared" ca="1" si="571"/>
        <v>366760</v>
      </c>
      <c r="GN149">
        <f t="shared" ca="1" si="572"/>
        <v>18338</v>
      </c>
      <c r="GO149">
        <f t="shared" ca="1" si="573"/>
        <v>18338</v>
      </c>
      <c r="GP149">
        <f t="shared" ca="1" si="574"/>
        <v>0</v>
      </c>
      <c r="GQ149">
        <f t="shared" ca="1" si="575"/>
        <v>0</v>
      </c>
      <c r="GR149">
        <f t="shared" ca="1" si="576"/>
        <v>18338</v>
      </c>
      <c r="GS149">
        <f t="shared" ca="1" si="577"/>
        <v>0</v>
      </c>
      <c r="GT149" t="b">
        <f t="shared" ca="1" si="578"/>
        <v>0</v>
      </c>
      <c r="GU149">
        <f t="shared" ca="1" si="579"/>
        <v>0</v>
      </c>
      <c r="GV149">
        <f t="shared" ca="1" si="580"/>
        <v>18338</v>
      </c>
      <c r="GW149">
        <f t="shared" ca="1" si="581"/>
        <v>0</v>
      </c>
      <c r="GX149">
        <f t="shared" ca="1" si="582"/>
        <v>0</v>
      </c>
      <c r="GY149">
        <f t="shared" ca="1" si="583"/>
        <v>0</v>
      </c>
    </row>
    <row r="150" spans="1:207" x14ac:dyDescent="0.25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78"/>
        <v>6800</v>
      </c>
      <c r="I150">
        <f>_xlfn.XLOOKUP(B150,'[1]march-2026'!$A:$A,'[1]march-2026'!$C:$C,0,0)</f>
        <v>38800</v>
      </c>
      <c r="J150">
        <f t="shared" si="542"/>
        <v>6984</v>
      </c>
      <c r="K150">
        <f t="shared" si="479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0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1"/>
        <v>200</v>
      </c>
      <c r="R150">
        <f t="shared" si="482"/>
        <v>47740</v>
      </c>
      <c r="S150">
        <f>_xlfn.XLOOKUP(B150,'[2]april-2026'!$A:$A,'[2]april-2026'!$C:$C,0,0)</f>
        <v>38800</v>
      </c>
      <c r="T150">
        <f t="shared" si="483"/>
        <v>6984</v>
      </c>
      <c r="U150">
        <f t="shared" si="484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85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86"/>
        <v>0</v>
      </c>
      <c r="AB150">
        <f t="shared" si="487"/>
        <v>47940</v>
      </c>
      <c r="AC150">
        <f>_xlfn.XLOOKUP(B150,'[3]may-2026'!$A:$A,'[3]may-2026'!$C:$C,0,0)</f>
        <v>38800</v>
      </c>
      <c r="AD150">
        <f t="shared" si="488"/>
        <v>6984</v>
      </c>
      <c r="AE150">
        <f t="shared" si="489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0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1"/>
        <v>0</v>
      </c>
      <c r="AL150">
        <f t="shared" si="492"/>
        <v>47940</v>
      </c>
      <c r="AM150">
        <f>_xlfn.XLOOKUP(B150,'[4]june-2026'!$A:$A,'[4]june-2026'!$C:$C,0,0)</f>
        <v>38800</v>
      </c>
      <c r="AN150">
        <f t="shared" si="493"/>
        <v>6984</v>
      </c>
      <c r="AO150">
        <f t="shared" si="494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495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496"/>
        <v>0</v>
      </c>
      <c r="AV150">
        <f t="shared" si="497"/>
        <v>47940</v>
      </c>
      <c r="AW150">
        <f>_xlfn.XLOOKUP(B150,'[5]july-2026'!$A:$A,'[5]july-2026'!$C:$C,0,0)</f>
        <v>40000</v>
      </c>
      <c r="AX150">
        <f t="shared" si="498"/>
        <v>7200</v>
      </c>
      <c r="AY150">
        <v>148</v>
      </c>
      <c r="AZ150">
        <f t="shared" si="499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0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1"/>
        <v>0</v>
      </c>
      <c r="BG150">
        <f t="shared" si="502"/>
        <v>49648</v>
      </c>
      <c r="BH150">
        <f>_xlfn.XLOOKUP(B150,'[6]august-2026'!$A:$A,'[6]august-2026'!$C:$C,0,0)</f>
        <v>40000</v>
      </c>
      <c r="BI150">
        <f t="shared" si="503"/>
        <v>7200</v>
      </c>
      <c r="BJ150">
        <f t="shared" si="504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05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06"/>
        <v>0</v>
      </c>
      <c r="BQ150">
        <f t="shared" si="507"/>
        <v>49500</v>
      </c>
      <c r="BR150">
        <f>_xlfn.XLOOKUP(B150,'[7]september-2026'!$A:$A,'[7]september-2026'!$C:$C,0,0)</f>
        <v>40000</v>
      </c>
      <c r="BS150">
        <f t="shared" si="508"/>
        <v>7200</v>
      </c>
      <c r="BT150">
        <f t="shared" si="509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0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1"/>
        <v>0</v>
      </c>
      <c r="CA150">
        <f t="shared" si="512"/>
        <v>49500</v>
      </c>
      <c r="CB150">
        <f>_xlfn.XLOOKUP(B150,'[8]october-2026'!$A:$A,'[8]october-2026'!$C:$C,0,0)</f>
        <v>40000</v>
      </c>
      <c r="CC150">
        <f t="shared" si="513"/>
        <v>7200</v>
      </c>
      <c r="CD150">
        <f t="shared" si="514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15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16"/>
        <v>0</v>
      </c>
      <c r="CK150">
        <f t="shared" si="517"/>
        <v>49500</v>
      </c>
      <c r="CL150">
        <f>_xlfn.XLOOKUP(B150,'[9]november-2026'!$A:$A,'[9]november-2026'!$C:$C,0,0)</f>
        <v>40000</v>
      </c>
      <c r="CM150">
        <f t="shared" si="518"/>
        <v>7200</v>
      </c>
      <c r="CN150">
        <f t="shared" si="519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0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1"/>
        <v>0</v>
      </c>
      <c r="CU150">
        <f t="shared" si="522"/>
        <v>49500</v>
      </c>
      <c r="CV150">
        <f>_xlfn.XLOOKUP(B150,'[10]december-2026'!$A:$A,'[10]december-2026'!$C:$C,0,0)</f>
        <v>40000</v>
      </c>
      <c r="CW150">
        <f t="shared" si="523"/>
        <v>7200</v>
      </c>
      <c r="CX150">
        <f t="shared" si="524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25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26"/>
        <v>0</v>
      </c>
      <c r="DE150">
        <f t="shared" si="527"/>
        <v>49500</v>
      </c>
      <c r="DF150">
        <f xml:space="preserve"> _xlfn.XLOOKUP(B150,
'[11]january-2027'!$A:$A,
'[11]january-2027'!$C:$C,
0,0)</f>
        <v>40000</v>
      </c>
      <c r="DG150">
        <f t="shared" si="528"/>
        <v>7200</v>
      </c>
      <c r="DH150">
        <f t="shared" si="529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0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1"/>
        <v>0</v>
      </c>
      <c r="DO150">
        <f t="shared" si="532"/>
        <v>49500</v>
      </c>
      <c r="DP150">
        <f xml:space="preserve"> _xlfn.XLOOKUP(B150,
'[12]february-2027'!$A:$A,
'[12]february-2027'!$C:$C,
0,0)</f>
        <v>40000</v>
      </c>
      <c r="DQ150">
        <f t="shared" si="533"/>
        <v>7200</v>
      </c>
      <c r="DR150">
        <f t="shared" si="534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35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36"/>
        <v>0</v>
      </c>
      <c r="DY150">
        <f t="shared" si="537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38"/>
        <v>0</v>
      </c>
      <c r="EM150">
        <f t="shared" si="539"/>
        <v>624708</v>
      </c>
      <c r="EN150">
        <f t="shared" si="540"/>
        <v>200</v>
      </c>
      <c r="EO150">
        <f t="shared" si="541"/>
        <v>50000</v>
      </c>
      <c r="EP150">
        <v>0</v>
      </c>
      <c r="EQ150">
        <f t="shared" si="543"/>
        <v>574508</v>
      </c>
      <c r="ER150">
        <f t="shared" si="544"/>
        <v>30000</v>
      </c>
      <c r="ES150">
        <f t="shared" si="545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46"/>
        <v>30000</v>
      </c>
      <c r="FE150">
        <f t="shared" si="547"/>
        <v>30000</v>
      </c>
      <c r="FF150">
        <f t="shared" si="548"/>
        <v>544508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>SUM(FG150:FM150)+(IF(F150="YES",50000,0))</f>
        <v>50000</v>
      </c>
      <c r="FO150">
        <f t="shared" si="549"/>
        <v>494508</v>
      </c>
      <c r="FP150">
        <f t="shared" si="550"/>
        <v>12225</v>
      </c>
      <c r="FQ150">
        <f t="shared" si="551"/>
        <v>0</v>
      </c>
      <c r="FR150">
        <f t="shared" si="552"/>
        <v>12225</v>
      </c>
      <c r="FS150">
        <f t="shared" si="553"/>
        <v>0</v>
      </c>
      <c r="FT150">
        <f t="shared" si="554"/>
        <v>0</v>
      </c>
      <c r="FU150">
        <f t="shared" si="555"/>
        <v>0</v>
      </c>
      <c r="FV150">
        <v>0</v>
      </c>
      <c r="FW150">
        <f t="shared" si="556"/>
        <v>0</v>
      </c>
      <c r="FX150" t="b">
        <f t="shared" si="557"/>
        <v>1</v>
      </c>
      <c r="FY150">
        <f t="shared" ca="1" si="558"/>
        <v>542</v>
      </c>
      <c r="FZ150">
        <f t="shared" ca="1" si="559"/>
        <v>625250</v>
      </c>
      <c r="GA150">
        <f t="shared" si="560"/>
        <v>75000</v>
      </c>
      <c r="GB150">
        <f t="shared" ca="1" si="561"/>
        <v>550250</v>
      </c>
      <c r="GC150">
        <f t="shared" ca="1" si="562"/>
        <v>0</v>
      </c>
      <c r="GD150">
        <f t="shared" ca="1" si="563"/>
        <v>0</v>
      </c>
      <c r="GE150">
        <f t="shared" ca="1" si="564"/>
        <v>0</v>
      </c>
      <c r="GF150">
        <f t="shared" ca="1" si="565"/>
        <v>0</v>
      </c>
      <c r="GG150">
        <f t="shared" ca="1" si="566"/>
        <v>0</v>
      </c>
      <c r="GH150">
        <f t="shared" ca="1" si="567"/>
        <v>0</v>
      </c>
      <c r="GI150">
        <f ca="1">IF(GB150&gt;1200000,GB150-1200000-IF(F150="YES",50000,0)-GG150,0)</f>
        <v>0</v>
      </c>
      <c r="GJ150">
        <f t="shared" ca="1" si="568"/>
        <v>0</v>
      </c>
      <c r="GK150">
        <f t="shared" ca="1" si="569"/>
        <v>0</v>
      </c>
      <c r="GL150">
        <f t="shared" ca="1" si="570"/>
        <v>0</v>
      </c>
      <c r="GM150">
        <f t="shared" ca="1" si="571"/>
        <v>150250</v>
      </c>
      <c r="GN150">
        <f t="shared" ca="1" si="572"/>
        <v>7512.5</v>
      </c>
      <c r="GO150">
        <f t="shared" ca="1" si="573"/>
        <v>7513</v>
      </c>
      <c r="GP150">
        <f t="shared" ca="1" si="574"/>
        <v>0</v>
      </c>
      <c r="GQ150">
        <f t="shared" ca="1" si="575"/>
        <v>0</v>
      </c>
      <c r="GR150">
        <f t="shared" ca="1" si="576"/>
        <v>7513</v>
      </c>
      <c r="GS150">
        <f t="shared" ca="1" si="577"/>
        <v>0</v>
      </c>
      <c r="GT150" t="b">
        <f t="shared" ca="1" si="578"/>
        <v>0</v>
      </c>
      <c r="GU150">
        <f t="shared" ca="1" si="579"/>
        <v>0</v>
      </c>
      <c r="GV150">
        <f t="shared" ca="1" si="580"/>
        <v>7513</v>
      </c>
      <c r="GW150">
        <f t="shared" ca="1" si="581"/>
        <v>0</v>
      </c>
      <c r="GX150">
        <f t="shared" ca="1" si="582"/>
        <v>0</v>
      </c>
      <c r="GY150">
        <f t="shared" ca="1" si="583"/>
        <v>0</v>
      </c>
    </row>
    <row r="151" spans="1:207" x14ac:dyDescent="0.25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78"/>
        <v>6800</v>
      </c>
      <c r="I151">
        <f>_xlfn.XLOOKUP(B151,'[1]march-2026'!$A:$A,'[1]march-2026'!$C:$C,0,0)</f>
        <v>38800</v>
      </c>
      <c r="J151">
        <f t="shared" si="542"/>
        <v>6984</v>
      </c>
      <c r="K151">
        <f t="shared" si="479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0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1"/>
        <v>200</v>
      </c>
      <c r="R151">
        <f t="shared" si="482"/>
        <v>48240</v>
      </c>
      <c r="S151">
        <f>_xlfn.XLOOKUP(B151,'[2]april-2026'!$A:$A,'[2]april-2026'!$C:$C,0,0)</f>
        <v>38800</v>
      </c>
      <c r="T151">
        <f t="shared" si="483"/>
        <v>6984</v>
      </c>
      <c r="U151">
        <f t="shared" si="484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85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86"/>
        <v>200</v>
      </c>
      <c r="AB151">
        <f t="shared" si="487"/>
        <v>48240</v>
      </c>
      <c r="AC151">
        <f>_xlfn.XLOOKUP(B151,'[3]may-2026'!$A:$A,'[3]may-2026'!$C:$C,0,0)</f>
        <v>38800</v>
      </c>
      <c r="AD151">
        <f t="shared" si="488"/>
        <v>6984</v>
      </c>
      <c r="AE151">
        <f t="shared" si="489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0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1"/>
        <v>200</v>
      </c>
      <c r="AL151">
        <f t="shared" si="492"/>
        <v>48240</v>
      </c>
      <c r="AM151">
        <f>_xlfn.XLOOKUP(B151,'[4]june-2026'!$A:$A,'[4]june-2026'!$C:$C,0,0)</f>
        <v>38800</v>
      </c>
      <c r="AN151">
        <f t="shared" si="493"/>
        <v>6984</v>
      </c>
      <c r="AO151">
        <f t="shared" si="494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495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496"/>
        <v>200</v>
      </c>
      <c r="AV151">
        <f t="shared" si="497"/>
        <v>48240</v>
      </c>
      <c r="AW151">
        <f>_xlfn.XLOOKUP(B151,'[5]july-2026'!$A:$A,'[5]july-2026'!$C:$C,0,0)</f>
        <v>40000</v>
      </c>
      <c r="AX151">
        <f t="shared" si="498"/>
        <v>7200</v>
      </c>
      <c r="AY151">
        <v>149</v>
      </c>
      <c r="AZ151">
        <f t="shared" si="499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0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1"/>
        <v>200</v>
      </c>
      <c r="BG151">
        <f t="shared" si="502"/>
        <v>49949</v>
      </c>
      <c r="BH151">
        <f>_xlfn.XLOOKUP(B151,'[6]august-2026'!$A:$A,'[6]august-2026'!$C:$C,0,0)</f>
        <v>40000</v>
      </c>
      <c r="BI151">
        <f t="shared" si="503"/>
        <v>7200</v>
      </c>
      <c r="BJ151">
        <f t="shared" si="504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05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06"/>
        <v>200</v>
      </c>
      <c r="BQ151">
        <f t="shared" si="507"/>
        <v>49800</v>
      </c>
      <c r="BR151">
        <f>_xlfn.XLOOKUP(B151,'[7]september-2026'!$A:$A,'[7]september-2026'!$C:$C,0,0)</f>
        <v>40000</v>
      </c>
      <c r="BS151">
        <f t="shared" si="508"/>
        <v>7200</v>
      </c>
      <c r="BT151">
        <f t="shared" si="509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0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1"/>
        <v>200</v>
      </c>
      <c r="CA151">
        <f t="shared" si="512"/>
        <v>49800</v>
      </c>
      <c r="CB151">
        <f>_xlfn.XLOOKUP(B151,'[8]october-2026'!$A:$A,'[8]october-2026'!$C:$C,0,0)</f>
        <v>40000</v>
      </c>
      <c r="CC151">
        <f t="shared" si="513"/>
        <v>7200</v>
      </c>
      <c r="CD151">
        <f t="shared" si="514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15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16"/>
        <v>200</v>
      </c>
      <c r="CK151">
        <f t="shared" si="517"/>
        <v>49800</v>
      </c>
      <c r="CL151">
        <f>_xlfn.XLOOKUP(B151,'[9]november-2026'!$A:$A,'[9]november-2026'!$C:$C,0,0)</f>
        <v>40000</v>
      </c>
      <c r="CM151">
        <f t="shared" si="518"/>
        <v>7200</v>
      </c>
      <c r="CN151">
        <f t="shared" si="519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0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1"/>
        <v>200</v>
      </c>
      <c r="CU151">
        <f t="shared" si="522"/>
        <v>49800</v>
      </c>
      <c r="CV151">
        <f>_xlfn.XLOOKUP(B151,'[10]december-2026'!$A:$A,'[10]december-2026'!$C:$C,0,0)</f>
        <v>40000</v>
      </c>
      <c r="CW151">
        <f t="shared" si="523"/>
        <v>7200</v>
      </c>
      <c r="CX151">
        <f t="shared" si="524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25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26"/>
        <v>200</v>
      </c>
      <c r="DE151">
        <f t="shared" si="527"/>
        <v>49800</v>
      </c>
      <c r="DF151">
        <f xml:space="preserve"> _xlfn.XLOOKUP(B151,
'[11]january-2027'!$A:$A,
'[11]january-2027'!$C:$C,
0,0)</f>
        <v>40000</v>
      </c>
      <c r="DG151">
        <f t="shared" si="528"/>
        <v>7200</v>
      </c>
      <c r="DH151">
        <f t="shared" si="529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0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1"/>
        <v>200</v>
      </c>
      <c r="DO151">
        <f t="shared" si="532"/>
        <v>49800</v>
      </c>
      <c r="DP151">
        <f xml:space="preserve"> _xlfn.XLOOKUP(B151,
'[12]february-2027'!$A:$A,
'[12]february-2027'!$C:$C,
0,0)</f>
        <v>40000</v>
      </c>
      <c r="DQ151">
        <f t="shared" si="533"/>
        <v>7200</v>
      </c>
      <c r="DR151">
        <f t="shared" si="534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35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36"/>
        <v>200</v>
      </c>
      <c r="DY151">
        <f t="shared" si="537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38"/>
        <v>0</v>
      </c>
      <c r="EM151">
        <f t="shared" si="539"/>
        <v>630709</v>
      </c>
      <c r="EN151">
        <f t="shared" si="540"/>
        <v>2400</v>
      </c>
      <c r="EO151">
        <f t="shared" si="541"/>
        <v>50000</v>
      </c>
      <c r="EP151">
        <v>0</v>
      </c>
      <c r="EQ151">
        <f t="shared" si="543"/>
        <v>578309</v>
      </c>
      <c r="ER151">
        <f t="shared" si="544"/>
        <v>30000</v>
      </c>
      <c r="ES151">
        <f t="shared" si="545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46"/>
        <v>30000</v>
      </c>
      <c r="FE151">
        <f t="shared" si="547"/>
        <v>30000</v>
      </c>
      <c r="FF151">
        <f t="shared" si="548"/>
        <v>548309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>SUM(FG151:FM151)+(IF(F151="YES",50000,0))</f>
        <v>0</v>
      </c>
      <c r="FO151">
        <f t="shared" si="549"/>
        <v>548309</v>
      </c>
      <c r="FP151">
        <f t="shared" si="550"/>
        <v>12500</v>
      </c>
      <c r="FQ151">
        <f t="shared" si="551"/>
        <v>9662</v>
      </c>
      <c r="FR151">
        <f t="shared" si="552"/>
        <v>22162</v>
      </c>
      <c r="FS151">
        <f t="shared" si="553"/>
        <v>22162</v>
      </c>
      <c r="FT151">
        <f t="shared" si="554"/>
        <v>886.48</v>
      </c>
      <c r="FU151">
        <f t="shared" si="555"/>
        <v>23048</v>
      </c>
      <c r="FV151">
        <v>0</v>
      </c>
      <c r="FW151">
        <f t="shared" si="556"/>
        <v>23048</v>
      </c>
      <c r="FX151" t="b">
        <f t="shared" si="557"/>
        <v>1</v>
      </c>
      <c r="FY151">
        <f t="shared" ca="1" si="558"/>
        <v>677</v>
      </c>
      <c r="FZ151">
        <f t="shared" ca="1" si="559"/>
        <v>631386</v>
      </c>
      <c r="GA151">
        <f t="shared" si="560"/>
        <v>75000</v>
      </c>
      <c r="GB151">
        <f t="shared" ca="1" si="561"/>
        <v>556386</v>
      </c>
      <c r="GC151">
        <f t="shared" ca="1" si="562"/>
        <v>0</v>
      </c>
      <c r="GD151">
        <f t="shared" ca="1" si="563"/>
        <v>0</v>
      </c>
      <c r="GE151">
        <f t="shared" ca="1" si="564"/>
        <v>0</v>
      </c>
      <c r="GF151">
        <f t="shared" ca="1" si="565"/>
        <v>0</v>
      </c>
      <c r="GG151">
        <f t="shared" ca="1" si="566"/>
        <v>0</v>
      </c>
      <c r="GH151">
        <f t="shared" ca="1" si="567"/>
        <v>0</v>
      </c>
      <c r="GI151">
        <f ca="1">IF(GB151&gt;1200000,GB151-1200000-IF(F151="YES",50000,0)-GG151,0)</f>
        <v>0</v>
      </c>
      <c r="GJ151">
        <f t="shared" ca="1" si="568"/>
        <v>0</v>
      </c>
      <c r="GK151">
        <f t="shared" ca="1" si="569"/>
        <v>0</v>
      </c>
      <c r="GL151">
        <f t="shared" ca="1" si="570"/>
        <v>0</v>
      </c>
      <c r="GM151">
        <f t="shared" ca="1" si="571"/>
        <v>156386</v>
      </c>
      <c r="GN151">
        <f t="shared" ca="1" si="572"/>
        <v>7819.3</v>
      </c>
      <c r="GO151">
        <f t="shared" ca="1" si="573"/>
        <v>7819</v>
      </c>
      <c r="GP151">
        <f t="shared" ca="1" si="574"/>
        <v>0</v>
      </c>
      <c r="GQ151">
        <f t="shared" ca="1" si="575"/>
        <v>0</v>
      </c>
      <c r="GR151">
        <f t="shared" ca="1" si="576"/>
        <v>7819</v>
      </c>
      <c r="GS151">
        <f t="shared" ca="1" si="577"/>
        <v>0</v>
      </c>
      <c r="GT151" t="b">
        <f t="shared" ca="1" si="578"/>
        <v>0</v>
      </c>
      <c r="GU151">
        <f t="shared" ca="1" si="579"/>
        <v>0</v>
      </c>
      <c r="GV151">
        <f t="shared" ca="1" si="580"/>
        <v>7819</v>
      </c>
      <c r="GW151">
        <f t="shared" ca="1" si="581"/>
        <v>0</v>
      </c>
      <c r="GX151">
        <f t="shared" ca="1" si="582"/>
        <v>0</v>
      </c>
      <c r="GY151">
        <f t="shared" ca="1" si="583"/>
        <v>0</v>
      </c>
    </row>
    <row r="152" spans="1:207" x14ac:dyDescent="0.25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78"/>
        <v>6800</v>
      </c>
      <c r="I152">
        <f>_xlfn.XLOOKUP(B152,'[1]march-2026'!$A:$A,'[1]march-2026'!$C:$C,0,0)</f>
        <v>48700</v>
      </c>
      <c r="J152">
        <f t="shared" si="542"/>
        <v>8766</v>
      </c>
      <c r="K152">
        <f t="shared" si="479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0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1"/>
        <v>200</v>
      </c>
      <c r="R152">
        <f t="shared" si="482"/>
        <v>60450</v>
      </c>
      <c r="S152">
        <f>_xlfn.XLOOKUP(B152,'[2]april-2026'!$A:$A,'[2]april-2026'!$C:$C,0,0)</f>
        <v>48700</v>
      </c>
      <c r="T152">
        <f t="shared" si="483"/>
        <v>8766</v>
      </c>
      <c r="U152">
        <f t="shared" si="484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85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86"/>
        <v>200</v>
      </c>
      <c r="AB152">
        <f t="shared" si="487"/>
        <v>60450</v>
      </c>
      <c r="AC152">
        <f>_xlfn.XLOOKUP(B152,'[3]may-2026'!$A:$A,'[3]may-2026'!$C:$C,0,0)</f>
        <v>48700</v>
      </c>
      <c r="AD152">
        <f t="shared" si="488"/>
        <v>8766</v>
      </c>
      <c r="AE152">
        <f t="shared" si="489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0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1"/>
        <v>200</v>
      </c>
      <c r="AL152">
        <f t="shared" si="492"/>
        <v>60450</v>
      </c>
      <c r="AM152">
        <f>_xlfn.XLOOKUP(B152,'[4]june-2026'!$A:$A,'[4]june-2026'!$C:$C,0,0)</f>
        <v>48700</v>
      </c>
      <c r="AN152">
        <f t="shared" si="493"/>
        <v>8766</v>
      </c>
      <c r="AO152">
        <f t="shared" si="494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495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496"/>
        <v>200</v>
      </c>
      <c r="AV152">
        <f t="shared" si="497"/>
        <v>60450</v>
      </c>
      <c r="AW152">
        <f>_xlfn.XLOOKUP(B152,'[5]july-2026'!$A:$A,'[5]july-2026'!$C:$C,0,0)</f>
        <v>50200</v>
      </c>
      <c r="AX152">
        <f t="shared" si="498"/>
        <v>9036</v>
      </c>
      <c r="AY152">
        <v>150</v>
      </c>
      <c r="AZ152">
        <f t="shared" si="499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0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1"/>
        <v>200</v>
      </c>
      <c r="BG152">
        <f t="shared" si="502"/>
        <v>62550</v>
      </c>
      <c r="BH152">
        <f>_xlfn.XLOOKUP(B152,'[6]august-2026'!$A:$A,'[6]august-2026'!$C:$C,0,0)</f>
        <v>50200</v>
      </c>
      <c r="BI152">
        <f t="shared" si="503"/>
        <v>9036</v>
      </c>
      <c r="BJ152">
        <f t="shared" si="504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05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06"/>
        <v>200</v>
      </c>
      <c r="BQ152">
        <f t="shared" si="507"/>
        <v>62400</v>
      </c>
      <c r="BR152">
        <f>_xlfn.XLOOKUP(B152,'[7]september-2026'!$A:$A,'[7]september-2026'!$C:$C,0,0)</f>
        <v>50200</v>
      </c>
      <c r="BS152">
        <f t="shared" si="508"/>
        <v>9036</v>
      </c>
      <c r="BT152">
        <f t="shared" si="509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0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1"/>
        <v>200</v>
      </c>
      <c r="CA152">
        <f t="shared" si="512"/>
        <v>62400</v>
      </c>
      <c r="CB152">
        <f>_xlfn.XLOOKUP(B152,'[8]october-2026'!$A:$A,'[8]october-2026'!$C:$C,0,0)</f>
        <v>50200</v>
      </c>
      <c r="CC152">
        <f t="shared" si="513"/>
        <v>9036</v>
      </c>
      <c r="CD152">
        <f t="shared" si="514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15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16"/>
        <v>200</v>
      </c>
      <c r="CK152">
        <f t="shared" si="517"/>
        <v>62400</v>
      </c>
      <c r="CL152">
        <f>_xlfn.XLOOKUP(B152,'[9]november-2026'!$A:$A,'[9]november-2026'!$C:$C,0,0)</f>
        <v>50200</v>
      </c>
      <c r="CM152">
        <f t="shared" si="518"/>
        <v>9036</v>
      </c>
      <c r="CN152">
        <f t="shared" si="519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0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1"/>
        <v>200</v>
      </c>
      <c r="CU152">
        <f t="shared" si="522"/>
        <v>62400</v>
      </c>
      <c r="CV152">
        <f>_xlfn.XLOOKUP(B152,'[10]december-2026'!$A:$A,'[10]december-2026'!$C:$C,0,0)</f>
        <v>50200</v>
      </c>
      <c r="CW152">
        <f t="shared" si="523"/>
        <v>9036</v>
      </c>
      <c r="CX152">
        <f t="shared" si="524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25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26"/>
        <v>200</v>
      </c>
      <c r="DE152">
        <f t="shared" si="527"/>
        <v>62400</v>
      </c>
      <c r="DF152">
        <f xml:space="preserve"> _xlfn.XLOOKUP(B152,
'[11]january-2027'!$A:$A,
'[11]january-2027'!$C:$C,
0,0)</f>
        <v>50200</v>
      </c>
      <c r="DG152">
        <f t="shared" si="528"/>
        <v>9036</v>
      </c>
      <c r="DH152">
        <f t="shared" si="529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0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1"/>
        <v>200</v>
      </c>
      <c r="DO152">
        <f t="shared" si="532"/>
        <v>62400</v>
      </c>
      <c r="DP152">
        <f xml:space="preserve"> _xlfn.XLOOKUP(B152,
'[12]february-2027'!$A:$A,
'[12]february-2027'!$C:$C,
0,0)</f>
        <v>50200</v>
      </c>
      <c r="DQ152">
        <f t="shared" si="533"/>
        <v>9036</v>
      </c>
      <c r="DR152">
        <f t="shared" si="534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35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36"/>
        <v>200</v>
      </c>
      <c r="DY152">
        <f t="shared" si="537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38"/>
        <v>0</v>
      </c>
      <c r="EM152">
        <f t="shared" si="539"/>
        <v>787070</v>
      </c>
      <c r="EN152">
        <f t="shared" si="540"/>
        <v>2400</v>
      </c>
      <c r="EO152">
        <f t="shared" si="541"/>
        <v>50000</v>
      </c>
      <c r="EP152">
        <v>0</v>
      </c>
      <c r="EQ152">
        <f t="shared" si="543"/>
        <v>734670</v>
      </c>
      <c r="ER152">
        <f t="shared" si="544"/>
        <v>36000</v>
      </c>
      <c r="ES152">
        <f t="shared" si="545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46"/>
        <v>36720</v>
      </c>
      <c r="FE152">
        <f t="shared" si="547"/>
        <v>36720</v>
      </c>
      <c r="FF152">
        <f t="shared" si="548"/>
        <v>697950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>SUM(FG152:FM152)+(IF(F152="YES",50000,0))</f>
        <v>0</v>
      </c>
      <c r="FO152">
        <f t="shared" si="549"/>
        <v>697950</v>
      </c>
      <c r="FP152">
        <f t="shared" si="550"/>
        <v>12500</v>
      </c>
      <c r="FQ152">
        <f t="shared" si="551"/>
        <v>39590</v>
      </c>
      <c r="FR152">
        <f t="shared" si="552"/>
        <v>52090</v>
      </c>
      <c r="FS152">
        <f t="shared" si="553"/>
        <v>52090</v>
      </c>
      <c r="FT152">
        <f t="shared" si="554"/>
        <v>2083.6</v>
      </c>
      <c r="FU152">
        <f t="shared" si="555"/>
        <v>54174</v>
      </c>
      <c r="FV152">
        <v>0</v>
      </c>
      <c r="FW152">
        <f t="shared" si="556"/>
        <v>54174</v>
      </c>
      <c r="FX152" t="b">
        <f t="shared" si="557"/>
        <v>1</v>
      </c>
      <c r="FY152">
        <f t="shared" ca="1" si="558"/>
        <v>608</v>
      </c>
      <c r="FZ152">
        <f t="shared" ca="1" si="559"/>
        <v>787678</v>
      </c>
      <c r="GA152">
        <f t="shared" si="560"/>
        <v>75000</v>
      </c>
      <c r="GB152">
        <f t="shared" ca="1" si="561"/>
        <v>712678</v>
      </c>
      <c r="GC152">
        <f t="shared" ca="1" si="562"/>
        <v>0</v>
      </c>
      <c r="GD152">
        <f t="shared" ca="1" si="563"/>
        <v>0</v>
      </c>
      <c r="GE152">
        <f t="shared" ca="1" si="564"/>
        <v>0</v>
      </c>
      <c r="GF152">
        <f t="shared" ca="1" si="565"/>
        <v>0</v>
      </c>
      <c r="GG152">
        <f t="shared" ca="1" si="566"/>
        <v>0</v>
      </c>
      <c r="GH152">
        <f t="shared" ca="1" si="567"/>
        <v>0</v>
      </c>
      <c r="GI152">
        <f ca="1">IF(GB152&gt;1200000,GB152-1200000-IF(F152="YES",50000,0)-GG152,0)</f>
        <v>0</v>
      </c>
      <c r="GJ152">
        <f t="shared" ca="1" si="568"/>
        <v>0</v>
      </c>
      <c r="GK152">
        <f t="shared" ca="1" si="569"/>
        <v>0</v>
      </c>
      <c r="GL152">
        <f t="shared" ca="1" si="570"/>
        <v>0</v>
      </c>
      <c r="GM152">
        <f t="shared" ca="1" si="571"/>
        <v>312678</v>
      </c>
      <c r="GN152">
        <f t="shared" ca="1" si="572"/>
        <v>15633.900000000001</v>
      </c>
      <c r="GO152">
        <f t="shared" ca="1" si="573"/>
        <v>15634</v>
      </c>
      <c r="GP152">
        <f t="shared" ca="1" si="574"/>
        <v>0</v>
      </c>
      <c r="GQ152">
        <f t="shared" ca="1" si="575"/>
        <v>0</v>
      </c>
      <c r="GR152">
        <f t="shared" ca="1" si="576"/>
        <v>15634</v>
      </c>
      <c r="GS152">
        <f t="shared" ca="1" si="577"/>
        <v>0</v>
      </c>
      <c r="GT152" t="b">
        <f t="shared" ca="1" si="578"/>
        <v>0</v>
      </c>
      <c r="GU152">
        <f t="shared" ca="1" si="579"/>
        <v>0</v>
      </c>
      <c r="GV152">
        <f t="shared" ca="1" si="580"/>
        <v>15634</v>
      </c>
      <c r="GW152">
        <f t="shared" ca="1" si="581"/>
        <v>0</v>
      </c>
      <c r="GX152">
        <f t="shared" ca="1" si="582"/>
        <v>0</v>
      </c>
      <c r="GY152">
        <f t="shared" ca="1" si="583"/>
        <v>0</v>
      </c>
    </row>
    <row r="153" spans="1:207" x14ac:dyDescent="0.25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78"/>
        <v>6800</v>
      </c>
      <c r="I153">
        <f>_xlfn.XLOOKUP(B153,'[1]march-2026'!$A:$A,'[1]march-2026'!$C:$C,0,0)</f>
        <v>32500</v>
      </c>
      <c r="J153">
        <f t="shared" si="542"/>
        <v>5850</v>
      </c>
      <c r="K153">
        <f t="shared" si="479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0"/>
        <v>42750</v>
      </c>
      <c r="O153">
        <f>_xlfn.XLOOKUP(B153,'[1]march-2026'!$A:$A,'[1]march-2026'!$H:$H,0,0)</f>
        <v>2000</v>
      </c>
      <c r="P153">
        <f>_xlfn.XLOOKUP(B153,'[1]march-2026'!$A:$A,'[1]march-2026'!$I:$I,0,0)</f>
        <v>0</v>
      </c>
      <c r="Q153">
        <f t="shared" si="481"/>
        <v>200</v>
      </c>
      <c r="R153">
        <f t="shared" si="482"/>
        <v>40550</v>
      </c>
      <c r="S153">
        <f>_xlfn.XLOOKUP(B153,'[2]april-2026'!$A:$A,'[2]april-2026'!$C:$C,0,0)</f>
        <v>32500</v>
      </c>
      <c r="T153">
        <f t="shared" si="483"/>
        <v>5850</v>
      </c>
      <c r="U153">
        <f t="shared" si="484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85"/>
        <v>42750</v>
      </c>
      <c r="Y153">
        <f>_xlfn.XLOOKUP(B153,'[2]april-2026'!$A:$A,'[2]april-2026'!$H:$H,0,0)</f>
        <v>2000</v>
      </c>
      <c r="Z153">
        <f>_xlfn.XLOOKUP(B153,'[2]april-2026'!$A:$A,'[2]april-2026'!$I:$I,0,0)</f>
        <v>0</v>
      </c>
      <c r="AA153">
        <f t="shared" si="486"/>
        <v>200</v>
      </c>
      <c r="AB153">
        <f t="shared" si="487"/>
        <v>40550</v>
      </c>
      <c r="AC153">
        <f>_xlfn.XLOOKUP(B153,'[3]may-2026'!$A:$A,'[3]may-2026'!$C:$C,0,0)</f>
        <v>32500</v>
      </c>
      <c r="AD153">
        <f t="shared" si="488"/>
        <v>5850</v>
      </c>
      <c r="AE153">
        <f t="shared" si="489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0"/>
        <v>42750</v>
      </c>
      <c r="AI153">
        <f>_xlfn.XLOOKUP(B153,'[3]may-2026'!$A:$A,'[3]may-2026'!$H:$H,0,0)</f>
        <v>2000</v>
      </c>
      <c r="AJ153">
        <f>_xlfn.XLOOKUP(B153,'[3]may-2026'!$A:$A,'[3]may-2026'!$I:$I,0,0)</f>
        <v>0</v>
      </c>
      <c r="AK153">
        <f t="shared" si="491"/>
        <v>200</v>
      </c>
      <c r="AL153">
        <f t="shared" si="492"/>
        <v>40550</v>
      </c>
      <c r="AM153">
        <f>_xlfn.XLOOKUP(B153,'[4]june-2026'!$A:$A,'[4]june-2026'!$C:$C,0,0)</f>
        <v>32500</v>
      </c>
      <c r="AN153">
        <f t="shared" si="493"/>
        <v>5850</v>
      </c>
      <c r="AO153">
        <f t="shared" si="494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495"/>
        <v>42750</v>
      </c>
      <c r="AS153">
        <f>_xlfn.XLOOKUP(B153,'[4]june-2026'!$A:$A,'[4]june-2026'!$H:$H,0,0)</f>
        <v>2000</v>
      </c>
      <c r="AT153">
        <f>_xlfn.XLOOKUP(B153,'[4]june-2026'!$A:$A,'[4]june-2026'!$I:$I,0,0)</f>
        <v>0</v>
      </c>
      <c r="AU153">
        <f t="shared" si="496"/>
        <v>200</v>
      </c>
      <c r="AV153">
        <f t="shared" si="497"/>
        <v>40550</v>
      </c>
      <c r="AW153">
        <f>_xlfn.XLOOKUP(B153,'[5]july-2026'!$A:$A,'[5]july-2026'!$C:$C,0,0)</f>
        <v>33500</v>
      </c>
      <c r="AX153">
        <f t="shared" si="498"/>
        <v>6030</v>
      </c>
      <c r="AY153">
        <v>151</v>
      </c>
      <c r="AZ153">
        <f t="shared" si="499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0"/>
        <v>44201</v>
      </c>
      <c r="BD153">
        <f>_xlfn.XLOOKUP(B153,'[5]july-2026'!$A:$A,'[5]july-2026'!$H:$H,0,0)</f>
        <v>2000</v>
      </c>
      <c r="BE153">
        <f>_xlfn.XLOOKUP(B153,'[5]july-2026'!$A:$A,'[5]july-2026'!$I:$I,0,0)</f>
        <v>0</v>
      </c>
      <c r="BF153">
        <f t="shared" si="501"/>
        <v>200</v>
      </c>
      <c r="BG153">
        <f t="shared" si="502"/>
        <v>42001</v>
      </c>
      <c r="BH153">
        <f>_xlfn.XLOOKUP(B153,'[6]august-2026'!$A:$A,'[6]august-2026'!$C:$C,0,0)</f>
        <v>33500</v>
      </c>
      <c r="BI153">
        <f t="shared" si="503"/>
        <v>6030</v>
      </c>
      <c r="BJ153">
        <f t="shared" si="504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05"/>
        <v>44050</v>
      </c>
      <c r="BN153">
        <f>_xlfn.XLOOKUP(B153,'[6]august-2026'!$A:$A,'[6]august-2026'!$H:$H,0,0)</f>
        <v>2000</v>
      </c>
      <c r="BO153">
        <f>_xlfn.XLOOKUP(B153,'[6]august-2026'!$A:$A,'[6]august-2026'!$I:$I,0,0)</f>
        <v>0</v>
      </c>
      <c r="BP153">
        <f t="shared" si="506"/>
        <v>200</v>
      </c>
      <c r="BQ153">
        <f t="shared" si="507"/>
        <v>41850</v>
      </c>
      <c r="BR153">
        <f>_xlfn.XLOOKUP(B153,'[7]september-2026'!$A:$A,'[7]september-2026'!$C:$C,0,0)</f>
        <v>33500</v>
      </c>
      <c r="BS153">
        <f t="shared" si="508"/>
        <v>6030</v>
      </c>
      <c r="BT153">
        <f t="shared" si="509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0"/>
        <v>44050</v>
      </c>
      <c r="BX153">
        <f>_xlfn.XLOOKUP(B153,'[7]september-2026'!$A:$A,'[7]september-2026'!$H:$H,0,0)</f>
        <v>2000</v>
      </c>
      <c r="BY153">
        <f>_xlfn.XLOOKUP(B153,'[7]september-2026'!$A:$A,'[7]september-2026'!$I:$I,0,0)</f>
        <v>0</v>
      </c>
      <c r="BZ153">
        <f t="shared" si="511"/>
        <v>200</v>
      </c>
      <c r="CA153">
        <f t="shared" si="512"/>
        <v>41850</v>
      </c>
      <c r="CB153">
        <f>_xlfn.XLOOKUP(B153,'[8]october-2026'!$A:$A,'[8]october-2026'!$C:$C,0,0)</f>
        <v>33500</v>
      </c>
      <c r="CC153">
        <f t="shared" si="513"/>
        <v>6030</v>
      </c>
      <c r="CD153">
        <f t="shared" si="514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15"/>
        <v>44050</v>
      </c>
      <c r="CH153">
        <f>_xlfn.XLOOKUP(B153,'[8]october-2026'!$A:$A,'[8]october-2026'!$H:$H,0,0)</f>
        <v>2000</v>
      </c>
      <c r="CI153">
        <f>_xlfn.XLOOKUP(B153,'[8]october-2026'!$A:$A,'[8]october-2026'!$I:$I,0,0)</f>
        <v>0</v>
      </c>
      <c r="CJ153">
        <f t="shared" si="516"/>
        <v>200</v>
      </c>
      <c r="CK153">
        <f t="shared" si="517"/>
        <v>41850</v>
      </c>
      <c r="CL153">
        <f>_xlfn.XLOOKUP(B153,'[9]november-2026'!$A:$A,'[9]november-2026'!$C:$C,0,0)</f>
        <v>33500</v>
      </c>
      <c r="CM153">
        <f t="shared" si="518"/>
        <v>6030</v>
      </c>
      <c r="CN153">
        <f t="shared" si="519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0"/>
        <v>44050</v>
      </c>
      <c r="CR153">
        <f>_xlfn.XLOOKUP(B153,'[9]november-2026'!$A:$A,'[9]november-2026'!$H:$H,0,0)</f>
        <v>2000</v>
      </c>
      <c r="CS153">
        <f>_xlfn.XLOOKUP(B153,'[9]november-2026'!$A:$A,'[9]november-2026'!$I:$I,0,0)</f>
        <v>0</v>
      </c>
      <c r="CT153">
        <f t="shared" si="521"/>
        <v>200</v>
      </c>
      <c r="CU153">
        <f t="shared" si="522"/>
        <v>41850</v>
      </c>
      <c r="CV153">
        <f>_xlfn.XLOOKUP(B153,'[10]december-2026'!$A:$A,'[10]december-2026'!$C:$C,0,0)</f>
        <v>33500</v>
      </c>
      <c r="CW153">
        <f t="shared" si="523"/>
        <v>6030</v>
      </c>
      <c r="CX153">
        <f t="shared" si="524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25"/>
        <v>44050</v>
      </c>
      <c r="DB153">
        <f>_xlfn.XLOOKUP(B153,'[10]december-2026'!$A:$A,'[10]december-2026'!$H:$H,0,0)</f>
        <v>2000</v>
      </c>
      <c r="DC153">
        <f>_xlfn.XLOOKUP(B153,'[10]december-2026'!$A:$A,'[10]december-2026'!$I:$I,0,0)</f>
        <v>0</v>
      </c>
      <c r="DD153">
        <f t="shared" si="526"/>
        <v>200</v>
      </c>
      <c r="DE153">
        <f t="shared" si="527"/>
        <v>41850</v>
      </c>
      <c r="DF153">
        <f xml:space="preserve"> _xlfn.XLOOKUP(B153,
'[11]january-2027'!$A:$A,
'[11]january-2027'!$C:$C,
0,0)</f>
        <v>33500</v>
      </c>
      <c r="DG153">
        <f t="shared" si="528"/>
        <v>6030</v>
      </c>
      <c r="DH153">
        <f t="shared" si="529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0"/>
        <v>44050</v>
      </c>
      <c r="DL153">
        <f xml:space="preserve"> _xlfn.XLOOKUP(B153,
'[11]january-2027'!$A:$A,
'[11]january-2027'!$H:$H,
0,0)</f>
        <v>2000</v>
      </c>
      <c r="DM153">
        <f xml:space="preserve"> _xlfn.XLOOKUP(B153,
'[11]january-2027'!$A:$A,
'[11]january-2027'!$I:$I,
0,0)</f>
        <v>0</v>
      </c>
      <c r="DN153">
        <f t="shared" si="531"/>
        <v>200</v>
      </c>
      <c r="DO153">
        <f t="shared" si="532"/>
        <v>41850</v>
      </c>
      <c r="DP153">
        <f xml:space="preserve"> _xlfn.XLOOKUP(B153,
'[12]february-2027'!$A:$A,
'[12]february-2027'!$C:$C,
0,0)</f>
        <v>33500</v>
      </c>
      <c r="DQ153">
        <f t="shared" si="533"/>
        <v>6030</v>
      </c>
      <c r="DR153">
        <f t="shared" si="534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35"/>
        <v>44050</v>
      </c>
      <c r="DV153">
        <f xml:space="preserve"> _xlfn.XLOOKUP(B153,
'[12]february-2027'!$A:$A,
'[12]february-2027'!$H:$H,
0,0)</f>
        <v>2000</v>
      </c>
      <c r="DW153">
        <f xml:space="preserve"> _xlfn.XLOOKUP(B153,
'[12]february-2027'!$A:$A,
'[12]february-2027'!$I:$I,
0,0)</f>
        <v>0</v>
      </c>
      <c r="DX153">
        <f t="shared" si="536"/>
        <v>200</v>
      </c>
      <c r="DY153">
        <f t="shared" si="537"/>
        <v>41850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38"/>
        <v>0</v>
      </c>
      <c r="EM153">
        <f t="shared" si="539"/>
        <v>530351</v>
      </c>
      <c r="EN153">
        <f t="shared" si="540"/>
        <v>2400</v>
      </c>
      <c r="EO153">
        <f t="shared" si="541"/>
        <v>50000</v>
      </c>
      <c r="EP153">
        <v>0</v>
      </c>
      <c r="EQ153">
        <f t="shared" si="543"/>
        <v>477951</v>
      </c>
      <c r="ER153">
        <f t="shared" si="544"/>
        <v>24000</v>
      </c>
      <c r="ES153">
        <f t="shared" si="545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46"/>
        <v>24000</v>
      </c>
      <c r="FE153">
        <f t="shared" si="547"/>
        <v>24000</v>
      </c>
      <c r="FF153">
        <f t="shared" si="548"/>
        <v>453951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>SUM(FG153:FM153)+(IF(F153="YES",50000,0))</f>
        <v>0</v>
      </c>
      <c r="FO153">
        <f t="shared" si="549"/>
        <v>453951</v>
      </c>
      <c r="FP153">
        <f t="shared" si="550"/>
        <v>10198</v>
      </c>
      <c r="FQ153">
        <f t="shared" si="551"/>
        <v>0</v>
      </c>
      <c r="FR153">
        <f t="shared" si="552"/>
        <v>10198</v>
      </c>
      <c r="FS153">
        <f t="shared" si="553"/>
        <v>0</v>
      </c>
      <c r="FT153">
        <f t="shared" si="554"/>
        <v>0</v>
      </c>
      <c r="FU153">
        <f t="shared" si="555"/>
        <v>0</v>
      </c>
      <c r="FV153">
        <v>0</v>
      </c>
      <c r="FW153">
        <f t="shared" si="556"/>
        <v>0</v>
      </c>
      <c r="FX153" t="b">
        <f t="shared" si="557"/>
        <v>1</v>
      </c>
      <c r="FY153">
        <f t="shared" ca="1" si="558"/>
        <v>834</v>
      </c>
      <c r="FZ153">
        <f t="shared" ca="1" si="559"/>
        <v>531185</v>
      </c>
      <c r="GA153">
        <f t="shared" si="560"/>
        <v>75000</v>
      </c>
      <c r="GB153">
        <f t="shared" ca="1" si="561"/>
        <v>456185</v>
      </c>
      <c r="GC153">
        <f t="shared" ca="1" si="562"/>
        <v>0</v>
      </c>
      <c r="GD153">
        <f t="shared" ca="1" si="563"/>
        <v>0</v>
      </c>
      <c r="GE153">
        <f t="shared" ca="1" si="564"/>
        <v>0</v>
      </c>
      <c r="GF153">
        <f t="shared" ca="1" si="565"/>
        <v>0</v>
      </c>
      <c r="GG153">
        <f t="shared" ca="1" si="566"/>
        <v>0</v>
      </c>
      <c r="GH153">
        <f t="shared" ca="1" si="567"/>
        <v>0</v>
      </c>
      <c r="GI153">
        <f ca="1">IF(GB153&gt;1200000,GB153-1200000-IF(F153="YES",50000,0)-GG153,0)</f>
        <v>0</v>
      </c>
      <c r="GJ153">
        <f t="shared" ca="1" si="568"/>
        <v>0</v>
      </c>
      <c r="GK153">
        <f t="shared" ca="1" si="569"/>
        <v>0</v>
      </c>
      <c r="GL153">
        <f t="shared" ca="1" si="570"/>
        <v>0</v>
      </c>
      <c r="GM153">
        <f t="shared" ca="1" si="571"/>
        <v>56185</v>
      </c>
      <c r="GN153">
        <f t="shared" ca="1" si="572"/>
        <v>2809.25</v>
      </c>
      <c r="GO153">
        <f t="shared" ca="1" si="573"/>
        <v>2809</v>
      </c>
      <c r="GP153">
        <f t="shared" ca="1" si="574"/>
        <v>0</v>
      </c>
      <c r="GQ153">
        <f t="shared" ca="1" si="575"/>
        <v>0</v>
      </c>
      <c r="GR153">
        <f t="shared" ca="1" si="576"/>
        <v>2809</v>
      </c>
      <c r="GS153">
        <f t="shared" ca="1" si="577"/>
        <v>0</v>
      </c>
      <c r="GT153" t="b">
        <f t="shared" ca="1" si="578"/>
        <v>0</v>
      </c>
      <c r="GU153">
        <f t="shared" ca="1" si="579"/>
        <v>0</v>
      </c>
      <c r="GV153">
        <f t="shared" ca="1" si="580"/>
        <v>2809</v>
      </c>
      <c r="GW153">
        <f t="shared" ca="1" si="581"/>
        <v>0</v>
      </c>
      <c r="GX153">
        <f t="shared" ca="1" si="582"/>
        <v>0</v>
      </c>
      <c r="GY153">
        <f t="shared" ca="1" si="583"/>
        <v>0</v>
      </c>
    </row>
    <row r="154" spans="1:207" x14ac:dyDescent="0.25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78"/>
        <v>6800</v>
      </c>
      <c r="I154">
        <f>_xlfn.XLOOKUP(B154,'[1]march-2026'!$A:$A,'[1]march-2026'!$C:$C,0,0)</f>
        <v>32500</v>
      </c>
      <c r="J154">
        <f t="shared" si="542"/>
        <v>5850</v>
      </c>
      <c r="K154">
        <f t="shared" si="479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0"/>
        <v>42750</v>
      </c>
      <c r="O154">
        <f>_xlfn.XLOOKUP(B154,'[1]march-2026'!$A:$A,'[1]march-2026'!$H:$H,0,0)</f>
        <v>2000</v>
      </c>
      <c r="P154">
        <f>_xlfn.XLOOKUP(B154,'[1]march-2026'!$A:$A,'[1]march-2026'!$I:$I,0,0)</f>
        <v>0</v>
      </c>
      <c r="Q154">
        <f t="shared" si="481"/>
        <v>200</v>
      </c>
      <c r="R154">
        <f t="shared" si="482"/>
        <v>40550</v>
      </c>
      <c r="S154">
        <f>_xlfn.XLOOKUP(B154,'[2]april-2026'!$A:$A,'[2]april-2026'!$C:$C,0,0)</f>
        <v>32500</v>
      </c>
      <c r="T154">
        <f t="shared" si="483"/>
        <v>5850</v>
      </c>
      <c r="U154">
        <f t="shared" si="484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85"/>
        <v>42750</v>
      </c>
      <c r="Y154">
        <f>_xlfn.XLOOKUP(B154,'[2]april-2026'!$A:$A,'[2]april-2026'!$H:$H,0,0)</f>
        <v>2000</v>
      </c>
      <c r="Z154">
        <f>_xlfn.XLOOKUP(B154,'[2]april-2026'!$A:$A,'[2]april-2026'!$I:$I,0,0)</f>
        <v>0</v>
      </c>
      <c r="AA154">
        <f t="shared" si="486"/>
        <v>200</v>
      </c>
      <c r="AB154">
        <f t="shared" si="487"/>
        <v>40550</v>
      </c>
      <c r="AC154">
        <f>_xlfn.XLOOKUP(B154,'[3]may-2026'!$A:$A,'[3]may-2026'!$C:$C,0,0)</f>
        <v>32500</v>
      </c>
      <c r="AD154">
        <f t="shared" si="488"/>
        <v>5850</v>
      </c>
      <c r="AE154">
        <f t="shared" si="489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0"/>
        <v>42750</v>
      </c>
      <c r="AI154">
        <f>_xlfn.XLOOKUP(B154,'[3]may-2026'!$A:$A,'[3]may-2026'!$H:$H,0,0)</f>
        <v>2000</v>
      </c>
      <c r="AJ154">
        <f>_xlfn.XLOOKUP(B154,'[3]may-2026'!$A:$A,'[3]may-2026'!$I:$I,0,0)</f>
        <v>0</v>
      </c>
      <c r="AK154">
        <f t="shared" si="491"/>
        <v>200</v>
      </c>
      <c r="AL154">
        <f t="shared" si="492"/>
        <v>40550</v>
      </c>
      <c r="AM154">
        <f>_xlfn.XLOOKUP(B154,'[4]june-2026'!$A:$A,'[4]june-2026'!$C:$C,0,0)</f>
        <v>32500</v>
      </c>
      <c r="AN154">
        <f t="shared" si="493"/>
        <v>5850</v>
      </c>
      <c r="AO154">
        <f t="shared" si="494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495"/>
        <v>42750</v>
      </c>
      <c r="AS154">
        <f>_xlfn.XLOOKUP(B154,'[4]june-2026'!$A:$A,'[4]june-2026'!$H:$H,0,0)</f>
        <v>2000</v>
      </c>
      <c r="AT154">
        <f>_xlfn.XLOOKUP(B154,'[4]june-2026'!$A:$A,'[4]june-2026'!$I:$I,0,0)</f>
        <v>0</v>
      </c>
      <c r="AU154">
        <f t="shared" si="496"/>
        <v>200</v>
      </c>
      <c r="AV154">
        <f t="shared" si="497"/>
        <v>40550</v>
      </c>
      <c r="AW154">
        <f>_xlfn.XLOOKUP(B154,'[5]july-2026'!$A:$A,'[5]july-2026'!$C:$C,0,0)</f>
        <v>33500</v>
      </c>
      <c r="AX154">
        <f t="shared" si="498"/>
        <v>6030</v>
      </c>
      <c r="AY154">
        <v>152</v>
      </c>
      <c r="AZ154">
        <f t="shared" si="499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0"/>
        <v>44202</v>
      </c>
      <c r="BD154">
        <f>_xlfn.XLOOKUP(B154,'[5]july-2026'!$A:$A,'[5]july-2026'!$H:$H,0,0)</f>
        <v>2000</v>
      </c>
      <c r="BE154">
        <f>_xlfn.XLOOKUP(B154,'[5]july-2026'!$A:$A,'[5]july-2026'!$I:$I,0,0)</f>
        <v>0</v>
      </c>
      <c r="BF154">
        <f t="shared" si="501"/>
        <v>200</v>
      </c>
      <c r="BG154">
        <f t="shared" si="502"/>
        <v>42002</v>
      </c>
      <c r="BH154">
        <f>_xlfn.XLOOKUP(B154,'[6]august-2026'!$A:$A,'[6]august-2026'!$C:$C,0,0)</f>
        <v>33500</v>
      </c>
      <c r="BI154">
        <f t="shared" si="503"/>
        <v>6030</v>
      </c>
      <c r="BJ154">
        <f t="shared" si="504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05"/>
        <v>44050</v>
      </c>
      <c r="BN154">
        <f>_xlfn.XLOOKUP(B154,'[6]august-2026'!$A:$A,'[6]august-2026'!$H:$H,0,0)</f>
        <v>2000</v>
      </c>
      <c r="BO154">
        <f>_xlfn.XLOOKUP(B154,'[6]august-2026'!$A:$A,'[6]august-2026'!$I:$I,0,0)</f>
        <v>0</v>
      </c>
      <c r="BP154">
        <f t="shared" si="506"/>
        <v>200</v>
      </c>
      <c r="BQ154">
        <f t="shared" si="507"/>
        <v>41850</v>
      </c>
      <c r="BR154">
        <f>_xlfn.XLOOKUP(B154,'[7]september-2026'!$A:$A,'[7]september-2026'!$C:$C,0,0)</f>
        <v>33500</v>
      </c>
      <c r="BS154">
        <f t="shared" si="508"/>
        <v>6030</v>
      </c>
      <c r="BT154">
        <f t="shared" si="509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0"/>
        <v>44050</v>
      </c>
      <c r="BX154">
        <f>_xlfn.XLOOKUP(B154,'[7]september-2026'!$A:$A,'[7]september-2026'!$H:$H,0,0)</f>
        <v>2000</v>
      </c>
      <c r="BY154">
        <f>_xlfn.XLOOKUP(B154,'[7]september-2026'!$A:$A,'[7]september-2026'!$I:$I,0,0)</f>
        <v>0</v>
      </c>
      <c r="BZ154">
        <f t="shared" si="511"/>
        <v>200</v>
      </c>
      <c r="CA154">
        <f t="shared" si="512"/>
        <v>41850</v>
      </c>
      <c r="CB154">
        <f>_xlfn.XLOOKUP(B154,'[8]october-2026'!$A:$A,'[8]october-2026'!$C:$C,0,0)</f>
        <v>33500</v>
      </c>
      <c r="CC154">
        <f t="shared" si="513"/>
        <v>6030</v>
      </c>
      <c r="CD154">
        <f t="shared" si="514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15"/>
        <v>44050</v>
      </c>
      <c r="CH154">
        <f>_xlfn.XLOOKUP(B154,'[8]october-2026'!$A:$A,'[8]october-2026'!$H:$H,0,0)</f>
        <v>2000</v>
      </c>
      <c r="CI154">
        <f>_xlfn.XLOOKUP(B154,'[8]october-2026'!$A:$A,'[8]october-2026'!$I:$I,0,0)</f>
        <v>0</v>
      </c>
      <c r="CJ154">
        <f t="shared" si="516"/>
        <v>200</v>
      </c>
      <c r="CK154">
        <f t="shared" si="517"/>
        <v>41850</v>
      </c>
      <c r="CL154">
        <f>_xlfn.XLOOKUP(B154,'[9]november-2026'!$A:$A,'[9]november-2026'!$C:$C,0,0)</f>
        <v>33500</v>
      </c>
      <c r="CM154">
        <f t="shared" si="518"/>
        <v>6030</v>
      </c>
      <c r="CN154">
        <f t="shared" si="519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0"/>
        <v>44050</v>
      </c>
      <c r="CR154">
        <f>_xlfn.XLOOKUP(B154,'[9]november-2026'!$A:$A,'[9]november-2026'!$H:$H,0,0)</f>
        <v>2000</v>
      </c>
      <c r="CS154">
        <f>_xlfn.XLOOKUP(B154,'[9]november-2026'!$A:$A,'[9]november-2026'!$I:$I,0,0)</f>
        <v>0</v>
      </c>
      <c r="CT154">
        <f t="shared" si="521"/>
        <v>200</v>
      </c>
      <c r="CU154">
        <f t="shared" si="522"/>
        <v>41850</v>
      </c>
      <c r="CV154">
        <f>_xlfn.XLOOKUP(B154,'[10]december-2026'!$A:$A,'[10]december-2026'!$C:$C,0,0)</f>
        <v>33500</v>
      </c>
      <c r="CW154">
        <f t="shared" si="523"/>
        <v>6030</v>
      </c>
      <c r="CX154">
        <f t="shared" si="524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25"/>
        <v>44050</v>
      </c>
      <c r="DB154">
        <f>_xlfn.XLOOKUP(B154,'[10]december-2026'!$A:$A,'[10]december-2026'!$H:$H,0,0)</f>
        <v>2000</v>
      </c>
      <c r="DC154">
        <f>_xlfn.XLOOKUP(B154,'[10]december-2026'!$A:$A,'[10]december-2026'!$I:$I,0,0)</f>
        <v>0</v>
      </c>
      <c r="DD154">
        <f t="shared" si="526"/>
        <v>200</v>
      </c>
      <c r="DE154">
        <f t="shared" si="527"/>
        <v>41850</v>
      </c>
      <c r="DF154">
        <f xml:space="preserve"> _xlfn.XLOOKUP(B154,
'[11]january-2027'!$A:$A,
'[11]january-2027'!$C:$C,
0,0)</f>
        <v>33500</v>
      </c>
      <c r="DG154">
        <f t="shared" si="528"/>
        <v>6030</v>
      </c>
      <c r="DH154">
        <f t="shared" si="529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0"/>
        <v>44050</v>
      </c>
      <c r="DL154">
        <f xml:space="preserve"> _xlfn.XLOOKUP(B154,
'[11]january-2027'!$A:$A,
'[11]january-2027'!$H:$H,
0,0)</f>
        <v>2000</v>
      </c>
      <c r="DM154">
        <f xml:space="preserve"> _xlfn.XLOOKUP(B154,
'[11]january-2027'!$A:$A,
'[11]january-2027'!$I:$I,
0,0)</f>
        <v>0</v>
      </c>
      <c r="DN154">
        <f t="shared" si="531"/>
        <v>200</v>
      </c>
      <c r="DO154">
        <f t="shared" si="532"/>
        <v>41850</v>
      </c>
      <c r="DP154">
        <f xml:space="preserve"> _xlfn.XLOOKUP(B154,
'[12]february-2027'!$A:$A,
'[12]february-2027'!$C:$C,
0,0)</f>
        <v>33500</v>
      </c>
      <c r="DQ154">
        <f t="shared" si="533"/>
        <v>6030</v>
      </c>
      <c r="DR154">
        <f t="shared" si="534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35"/>
        <v>44050</v>
      </c>
      <c r="DV154">
        <f xml:space="preserve"> _xlfn.XLOOKUP(B154,
'[12]february-2027'!$A:$A,
'[12]february-2027'!$H:$H,
0,0)</f>
        <v>2000</v>
      </c>
      <c r="DW154">
        <f xml:space="preserve"> _xlfn.XLOOKUP(B154,
'[12]february-2027'!$A:$A,
'[12]february-2027'!$I:$I,
0,0)</f>
        <v>0</v>
      </c>
      <c r="DX154">
        <f t="shared" si="536"/>
        <v>200</v>
      </c>
      <c r="DY154">
        <f t="shared" si="537"/>
        <v>41850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38"/>
        <v>0</v>
      </c>
      <c r="EM154">
        <f t="shared" si="539"/>
        <v>530352</v>
      </c>
      <c r="EN154">
        <f t="shared" si="540"/>
        <v>2400</v>
      </c>
      <c r="EO154">
        <f t="shared" si="541"/>
        <v>50000</v>
      </c>
      <c r="EP154">
        <v>0</v>
      </c>
      <c r="EQ154">
        <f t="shared" si="543"/>
        <v>477952</v>
      </c>
      <c r="ER154">
        <f t="shared" si="544"/>
        <v>24000</v>
      </c>
      <c r="ES154">
        <f t="shared" si="545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46"/>
        <v>24000</v>
      </c>
      <c r="FE154">
        <f t="shared" si="547"/>
        <v>24000</v>
      </c>
      <c r="FF154">
        <f t="shared" si="548"/>
        <v>453952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>SUM(FG154:FM154)+(IF(F154="YES",50000,0))</f>
        <v>0</v>
      </c>
      <c r="FO154">
        <f t="shared" si="549"/>
        <v>453952</v>
      </c>
      <c r="FP154">
        <f t="shared" si="550"/>
        <v>10198</v>
      </c>
      <c r="FQ154">
        <f t="shared" si="551"/>
        <v>0</v>
      </c>
      <c r="FR154">
        <f t="shared" si="552"/>
        <v>10198</v>
      </c>
      <c r="FS154">
        <f t="shared" si="553"/>
        <v>0</v>
      </c>
      <c r="FT154">
        <f t="shared" si="554"/>
        <v>0</v>
      </c>
      <c r="FU154">
        <f t="shared" si="555"/>
        <v>0</v>
      </c>
      <c r="FV154">
        <v>0</v>
      </c>
      <c r="FW154">
        <f t="shared" si="556"/>
        <v>0</v>
      </c>
      <c r="FX154" t="b">
        <f t="shared" si="557"/>
        <v>1</v>
      </c>
      <c r="FY154">
        <f t="shared" ca="1" si="558"/>
        <v>528</v>
      </c>
      <c r="FZ154">
        <f t="shared" ca="1" si="559"/>
        <v>530880</v>
      </c>
      <c r="GA154">
        <f t="shared" si="560"/>
        <v>75000</v>
      </c>
      <c r="GB154">
        <f t="shared" ca="1" si="561"/>
        <v>455880</v>
      </c>
      <c r="GC154">
        <f t="shared" ca="1" si="562"/>
        <v>0</v>
      </c>
      <c r="GD154">
        <f t="shared" ca="1" si="563"/>
        <v>0</v>
      </c>
      <c r="GE154">
        <f t="shared" ca="1" si="564"/>
        <v>0</v>
      </c>
      <c r="GF154">
        <f t="shared" ca="1" si="565"/>
        <v>0</v>
      </c>
      <c r="GG154">
        <f t="shared" ca="1" si="566"/>
        <v>0</v>
      </c>
      <c r="GH154">
        <f t="shared" ca="1" si="567"/>
        <v>0</v>
      </c>
      <c r="GI154">
        <f ca="1">IF(GB154&gt;1200000,GB154-1200000-IF(F154="YES",50000,0)-GG154,0)</f>
        <v>0</v>
      </c>
      <c r="GJ154">
        <f t="shared" ca="1" si="568"/>
        <v>0</v>
      </c>
      <c r="GK154">
        <f t="shared" ca="1" si="569"/>
        <v>0</v>
      </c>
      <c r="GL154">
        <f t="shared" ca="1" si="570"/>
        <v>0</v>
      </c>
      <c r="GM154">
        <f t="shared" ca="1" si="571"/>
        <v>55880</v>
      </c>
      <c r="GN154">
        <f t="shared" ca="1" si="572"/>
        <v>2794</v>
      </c>
      <c r="GO154">
        <f t="shared" ca="1" si="573"/>
        <v>2794</v>
      </c>
      <c r="GP154">
        <f t="shared" ca="1" si="574"/>
        <v>0</v>
      </c>
      <c r="GQ154">
        <f t="shared" ca="1" si="575"/>
        <v>0</v>
      </c>
      <c r="GR154">
        <f t="shared" ca="1" si="576"/>
        <v>2794</v>
      </c>
      <c r="GS154">
        <f t="shared" ca="1" si="577"/>
        <v>0</v>
      </c>
      <c r="GT154" t="b">
        <f t="shared" ca="1" si="578"/>
        <v>0</v>
      </c>
      <c r="GU154">
        <f t="shared" ca="1" si="579"/>
        <v>0</v>
      </c>
      <c r="GV154">
        <f t="shared" ca="1" si="580"/>
        <v>2794</v>
      </c>
      <c r="GW154">
        <f t="shared" ca="1" si="581"/>
        <v>0</v>
      </c>
      <c r="GX154">
        <f t="shared" ca="1" si="582"/>
        <v>0</v>
      </c>
      <c r="GY154">
        <f t="shared" ca="1" si="583"/>
        <v>0</v>
      </c>
    </row>
    <row r="155" spans="1:207" x14ac:dyDescent="0.25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78"/>
        <v>6800</v>
      </c>
      <c r="I155">
        <f>_xlfn.XLOOKUP(B155,'[1]march-2026'!$A:$A,'[1]march-2026'!$C:$C,0,0)</f>
        <v>29800</v>
      </c>
      <c r="J155">
        <f t="shared" si="542"/>
        <v>5364</v>
      </c>
      <c r="K155">
        <f t="shared" si="479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0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1"/>
        <v>150</v>
      </c>
      <c r="R155">
        <f t="shared" si="482"/>
        <v>36590</v>
      </c>
      <c r="S155">
        <f>_xlfn.XLOOKUP(B155,'[2]april-2026'!$A:$A,'[2]april-2026'!$C:$C,0,0)</f>
        <v>29800</v>
      </c>
      <c r="T155">
        <f t="shared" si="483"/>
        <v>5364</v>
      </c>
      <c r="U155">
        <f t="shared" si="484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85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86"/>
        <v>150</v>
      </c>
      <c r="AB155">
        <f t="shared" si="487"/>
        <v>36590</v>
      </c>
      <c r="AC155">
        <f>_xlfn.XLOOKUP(B155,'[3]may-2026'!$A:$A,'[3]may-2026'!$C:$C,0,0)</f>
        <v>29800</v>
      </c>
      <c r="AD155">
        <f t="shared" si="488"/>
        <v>5364</v>
      </c>
      <c r="AE155">
        <f t="shared" si="489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0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1"/>
        <v>150</v>
      </c>
      <c r="AL155">
        <f t="shared" si="492"/>
        <v>36590</v>
      </c>
      <c r="AM155">
        <f>_xlfn.XLOOKUP(B155,'[4]june-2026'!$A:$A,'[4]june-2026'!$C:$C,0,0)</f>
        <v>29800</v>
      </c>
      <c r="AN155">
        <f t="shared" si="493"/>
        <v>5364</v>
      </c>
      <c r="AO155">
        <f t="shared" si="494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495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496"/>
        <v>150</v>
      </c>
      <c r="AV155">
        <f t="shared" si="497"/>
        <v>36590</v>
      </c>
      <c r="AW155">
        <f>_xlfn.XLOOKUP(B155,'[5]july-2026'!$A:$A,'[5]july-2026'!$C:$C,0,0)</f>
        <v>30700</v>
      </c>
      <c r="AX155">
        <f t="shared" si="498"/>
        <v>5526</v>
      </c>
      <c r="AY155">
        <v>153</v>
      </c>
      <c r="AZ155">
        <f t="shared" si="499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0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1"/>
        <v>200</v>
      </c>
      <c r="BG155">
        <f t="shared" si="502"/>
        <v>37863</v>
      </c>
      <c r="BH155">
        <f>_xlfn.XLOOKUP(B155,'[6]august-2026'!$A:$A,'[6]august-2026'!$C:$C,0,0)</f>
        <v>30700</v>
      </c>
      <c r="BI155">
        <f t="shared" si="503"/>
        <v>5526</v>
      </c>
      <c r="BJ155">
        <f t="shared" si="504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05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06"/>
        <v>150</v>
      </c>
      <c r="BQ155">
        <f t="shared" si="507"/>
        <v>37760</v>
      </c>
      <c r="BR155">
        <f>_xlfn.XLOOKUP(B155,'[7]september-2026'!$A:$A,'[7]september-2026'!$C:$C,0,0)</f>
        <v>30700</v>
      </c>
      <c r="BS155">
        <f t="shared" si="508"/>
        <v>5526</v>
      </c>
      <c r="BT155">
        <f t="shared" si="509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0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1"/>
        <v>150</v>
      </c>
      <c r="CA155">
        <f t="shared" si="512"/>
        <v>37760</v>
      </c>
      <c r="CB155">
        <f>_xlfn.XLOOKUP(B155,'[8]october-2026'!$A:$A,'[8]october-2026'!$C:$C,0,0)</f>
        <v>30700</v>
      </c>
      <c r="CC155">
        <f t="shared" si="513"/>
        <v>5526</v>
      </c>
      <c r="CD155">
        <f t="shared" si="514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15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16"/>
        <v>150</v>
      </c>
      <c r="CK155">
        <f t="shared" si="517"/>
        <v>37760</v>
      </c>
      <c r="CL155">
        <f>_xlfn.XLOOKUP(B155,'[9]november-2026'!$A:$A,'[9]november-2026'!$C:$C,0,0)</f>
        <v>30700</v>
      </c>
      <c r="CM155">
        <f t="shared" si="518"/>
        <v>5526</v>
      </c>
      <c r="CN155">
        <f t="shared" si="519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0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1"/>
        <v>150</v>
      </c>
      <c r="CU155">
        <f t="shared" si="522"/>
        <v>37760</v>
      </c>
      <c r="CV155">
        <f>_xlfn.XLOOKUP(B155,'[10]december-2026'!$A:$A,'[10]december-2026'!$C:$C,0,0)</f>
        <v>30700</v>
      </c>
      <c r="CW155">
        <f t="shared" si="523"/>
        <v>5526</v>
      </c>
      <c r="CX155">
        <f t="shared" si="524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25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26"/>
        <v>150</v>
      </c>
      <c r="DE155">
        <f t="shared" si="527"/>
        <v>37760</v>
      </c>
      <c r="DF155">
        <f xml:space="preserve"> _xlfn.XLOOKUP(B155,
'[11]january-2027'!$A:$A,
'[11]january-2027'!$C:$C,
0,0)</f>
        <v>30700</v>
      </c>
      <c r="DG155">
        <f t="shared" si="528"/>
        <v>5526</v>
      </c>
      <c r="DH155">
        <f t="shared" si="529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0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1"/>
        <v>150</v>
      </c>
      <c r="DO155">
        <f t="shared" si="532"/>
        <v>37760</v>
      </c>
      <c r="DP155">
        <f xml:space="preserve"> _xlfn.XLOOKUP(B155,
'[12]february-2027'!$A:$A,
'[12]february-2027'!$C:$C,
0,0)</f>
        <v>30700</v>
      </c>
      <c r="DQ155">
        <f t="shared" si="533"/>
        <v>5526</v>
      </c>
      <c r="DR155">
        <f t="shared" si="534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35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36"/>
        <v>150</v>
      </c>
      <c r="DY155">
        <f t="shared" si="537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38"/>
        <v>0</v>
      </c>
      <c r="EM155">
        <f t="shared" si="539"/>
        <v>481193</v>
      </c>
      <c r="EN155">
        <f t="shared" si="540"/>
        <v>1850</v>
      </c>
      <c r="EO155">
        <f t="shared" si="541"/>
        <v>50000</v>
      </c>
      <c r="EP155">
        <v>0</v>
      </c>
      <c r="EQ155">
        <f t="shared" si="543"/>
        <v>429343</v>
      </c>
      <c r="ER155">
        <f t="shared" si="544"/>
        <v>24000</v>
      </c>
      <c r="ES155">
        <f t="shared" si="545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46"/>
        <v>24000</v>
      </c>
      <c r="FE155">
        <f t="shared" si="547"/>
        <v>24000</v>
      </c>
      <c r="FF155">
        <f t="shared" si="548"/>
        <v>405343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>SUM(FG155:FM155)+(IF(F155="YES",50000,0))</f>
        <v>0</v>
      </c>
      <c r="FO155">
        <f t="shared" si="549"/>
        <v>405343</v>
      </c>
      <c r="FP155">
        <f t="shared" si="550"/>
        <v>7767</v>
      </c>
      <c r="FQ155">
        <f t="shared" si="551"/>
        <v>0</v>
      </c>
      <c r="FR155">
        <f t="shared" si="552"/>
        <v>7767</v>
      </c>
      <c r="FS155">
        <f t="shared" si="553"/>
        <v>0</v>
      </c>
      <c r="FT155">
        <f t="shared" si="554"/>
        <v>0</v>
      </c>
      <c r="FU155">
        <f t="shared" si="555"/>
        <v>0</v>
      </c>
      <c r="FV155">
        <v>0</v>
      </c>
      <c r="FW155">
        <f t="shared" si="556"/>
        <v>0</v>
      </c>
      <c r="FX155" t="b">
        <f t="shared" si="557"/>
        <v>0</v>
      </c>
      <c r="FY155">
        <f t="shared" ca="1" si="558"/>
        <v>1439</v>
      </c>
      <c r="FZ155">
        <f t="shared" ca="1" si="559"/>
        <v>482632</v>
      </c>
      <c r="GA155">
        <f t="shared" si="560"/>
        <v>75000</v>
      </c>
      <c r="GB155">
        <f t="shared" ca="1" si="561"/>
        <v>407632</v>
      </c>
      <c r="GC155">
        <f t="shared" ca="1" si="562"/>
        <v>0</v>
      </c>
      <c r="GD155">
        <f t="shared" ca="1" si="563"/>
        <v>0</v>
      </c>
      <c r="GE155">
        <f t="shared" ca="1" si="564"/>
        <v>0</v>
      </c>
      <c r="GF155">
        <f t="shared" ca="1" si="565"/>
        <v>0</v>
      </c>
      <c r="GG155">
        <f t="shared" ca="1" si="566"/>
        <v>0</v>
      </c>
      <c r="GH155">
        <f t="shared" ca="1" si="567"/>
        <v>0</v>
      </c>
      <c r="GI155">
        <f ca="1">IF(GB155&gt;1200000,GB155-1200000-IF(F155="YES",50000,0)-GG155,0)</f>
        <v>0</v>
      </c>
      <c r="GJ155">
        <f t="shared" ca="1" si="568"/>
        <v>0</v>
      </c>
      <c r="GK155">
        <f t="shared" ca="1" si="569"/>
        <v>0</v>
      </c>
      <c r="GL155">
        <f t="shared" ca="1" si="570"/>
        <v>0</v>
      </c>
      <c r="GM155">
        <f t="shared" ca="1" si="571"/>
        <v>7632</v>
      </c>
      <c r="GN155">
        <f t="shared" ca="1" si="572"/>
        <v>381.6</v>
      </c>
      <c r="GO155">
        <f t="shared" ca="1" si="573"/>
        <v>382</v>
      </c>
      <c r="GP155">
        <f t="shared" ca="1" si="574"/>
        <v>0</v>
      </c>
      <c r="GQ155">
        <f t="shared" ca="1" si="575"/>
        <v>0</v>
      </c>
      <c r="GR155">
        <f t="shared" ca="1" si="576"/>
        <v>382</v>
      </c>
      <c r="GS155">
        <f t="shared" ca="1" si="577"/>
        <v>0</v>
      </c>
      <c r="GT155" t="b">
        <f t="shared" ca="1" si="578"/>
        <v>0</v>
      </c>
      <c r="GU155">
        <f t="shared" ca="1" si="579"/>
        <v>0</v>
      </c>
      <c r="GV155">
        <f t="shared" ca="1" si="580"/>
        <v>382</v>
      </c>
      <c r="GW155">
        <f t="shared" ca="1" si="581"/>
        <v>0</v>
      </c>
      <c r="GX155">
        <f t="shared" ca="1" si="582"/>
        <v>0</v>
      </c>
      <c r="GY155">
        <f t="shared" ca="1" si="583"/>
        <v>0</v>
      </c>
    </row>
    <row r="156" spans="1:207" x14ac:dyDescent="0.25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78"/>
        <v>6800</v>
      </c>
      <c r="I156">
        <f>_xlfn.XLOOKUP(B156,'[1]march-2026'!$A:$A,'[1]march-2026'!$C:$C,0,0)</f>
        <v>50200</v>
      </c>
      <c r="J156">
        <f t="shared" si="542"/>
        <v>9036</v>
      </c>
      <c r="K156">
        <f t="shared" si="479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0"/>
        <v>66160</v>
      </c>
      <c r="O156">
        <f>_xlfn.XLOOKUP(B156,'[1]march-2026'!$A:$A,'[1]march-2026'!$H:$H,0,0)</f>
        <v>8000</v>
      </c>
      <c r="P156">
        <f>_xlfn.XLOOKUP(B156,'[1]march-2026'!$A:$A,'[1]march-2026'!$I:$I,0,0)</f>
        <v>0</v>
      </c>
      <c r="Q156">
        <f t="shared" si="481"/>
        <v>200</v>
      </c>
      <c r="R156">
        <f t="shared" si="482"/>
        <v>57960</v>
      </c>
      <c r="S156">
        <f>_xlfn.XLOOKUP(B156,'[2]april-2026'!$A:$A,'[2]april-2026'!$C:$C,0,0)</f>
        <v>50200</v>
      </c>
      <c r="T156">
        <f t="shared" si="483"/>
        <v>9036</v>
      </c>
      <c r="U156">
        <f t="shared" si="484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85"/>
        <v>66160</v>
      </c>
      <c r="Y156">
        <f>_xlfn.XLOOKUP(B156,'[2]april-2026'!$A:$A,'[2]april-2026'!$H:$H,0,0)</f>
        <v>8000</v>
      </c>
      <c r="Z156">
        <f>_xlfn.XLOOKUP(B156,'[2]april-2026'!$A:$A,'[2]april-2026'!$I:$I,0,0)</f>
        <v>0</v>
      </c>
      <c r="AA156">
        <f t="shared" si="486"/>
        <v>200</v>
      </c>
      <c r="AB156">
        <f t="shared" si="487"/>
        <v>57960</v>
      </c>
      <c r="AC156">
        <f>_xlfn.XLOOKUP(B156,'[3]may-2026'!$A:$A,'[3]may-2026'!$C:$C,0,0)</f>
        <v>50200</v>
      </c>
      <c r="AD156">
        <f t="shared" si="488"/>
        <v>9036</v>
      </c>
      <c r="AE156">
        <f t="shared" si="489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0"/>
        <v>66160</v>
      </c>
      <c r="AI156">
        <f>_xlfn.XLOOKUP(B156,'[3]may-2026'!$A:$A,'[3]may-2026'!$H:$H,0,0)</f>
        <v>8000</v>
      </c>
      <c r="AJ156">
        <f>_xlfn.XLOOKUP(B156,'[3]may-2026'!$A:$A,'[3]may-2026'!$I:$I,0,0)</f>
        <v>0</v>
      </c>
      <c r="AK156">
        <f t="shared" si="491"/>
        <v>200</v>
      </c>
      <c r="AL156">
        <f t="shared" si="492"/>
        <v>57960</v>
      </c>
      <c r="AM156">
        <f>_xlfn.XLOOKUP(B156,'[4]june-2026'!$A:$A,'[4]june-2026'!$C:$C,0,0)</f>
        <v>50200</v>
      </c>
      <c r="AN156">
        <f t="shared" si="493"/>
        <v>9036</v>
      </c>
      <c r="AO156">
        <f t="shared" si="494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495"/>
        <v>66160</v>
      </c>
      <c r="AS156">
        <f>_xlfn.XLOOKUP(B156,'[4]june-2026'!$A:$A,'[4]june-2026'!$H:$H,0,0)</f>
        <v>8000</v>
      </c>
      <c r="AT156">
        <f>_xlfn.XLOOKUP(B156,'[4]june-2026'!$A:$A,'[4]june-2026'!$I:$I,0,0)</f>
        <v>0</v>
      </c>
      <c r="AU156">
        <f t="shared" si="496"/>
        <v>200</v>
      </c>
      <c r="AV156">
        <f t="shared" si="497"/>
        <v>57960</v>
      </c>
      <c r="AW156">
        <f>_xlfn.XLOOKUP(B156,'[5]july-2026'!$A:$A,'[5]july-2026'!$C:$C,0,0)</f>
        <v>51700</v>
      </c>
      <c r="AX156">
        <f t="shared" si="498"/>
        <v>9306</v>
      </c>
      <c r="AY156">
        <v>154</v>
      </c>
      <c r="AZ156">
        <f t="shared" si="499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0"/>
        <v>68264</v>
      </c>
      <c r="BD156">
        <f>_xlfn.XLOOKUP(B156,'[5]july-2026'!$A:$A,'[5]july-2026'!$H:$H,0,0)</f>
        <v>8000</v>
      </c>
      <c r="BE156">
        <f>_xlfn.XLOOKUP(B156,'[5]july-2026'!$A:$A,'[5]july-2026'!$I:$I,0,0)</f>
        <v>0</v>
      </c>
      <c r="BF156">
        <f t="shared" si="501"/>
        <v>200</v>
      </c>
      <c r="BG156">
        <f t="shared" si="502"/>
        <v>60064</v>
      </c>
      <c r="BH156">
        <f>_xlfn.XLOOKUP(B156,'[6]august-2026'!$A:$A,'[6]august-2026'!$C:$C,0,0)</f>
        <v>51700</v>
      </c>
      <c r="BI156">
        <f t="shared" si="503"/>
        <v>9306</v>
      </c>
      <c r="BJ156">
        <f t="shared" si="504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05"/>
        <v>68110</v>
      </c>
      <c r="BN156">
        <f>_xlfn.XLOOKUP(B156,'[6]august-2026'!$A:$A,'[6]august-2026'!$H:$H,0,0)</f>
        <v>8000</v>
      </c>
      <c r="BO156">
        <f>_xlfn.XLOOKUP(B156,'[6]august-2026'!$A:$A,'[6]august-2026'!$I:$I,0,0)</f>
        <v>0</v>
      </c>
      <c r="BP156">
        <f t="shared" si="506"/>
        <v>200</v>
      </c>
      <c r="BQ156">
        <f t="shared" si="507"/>
        <v>59910</v>
      </c>
      <c r="BR156">
        <f>_xlfn.XLOOKUP(B156,'[7]september-2026'!$A:$A,'[7]september-2026'!$C:$C,0,0)</f>
        <v>51700</v>
      </c>
      <c r="BS156">
        <f t="shared" si="508"/>
        <v>9306</v>
      </c>
      <c r="BT156">
        <f t="shared" si="509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0"/>
        <v>68110</v>
      </c>
      <c r="BX156">
        <f>_xlfn.XLOOKUP(B156,'[7]september-2026'!$A:$A,'[7]september-2026'!$H:$H,0,0)</f>
        <v>8000</v>
      </c>
      <c r="BY156">
        <f>_xlfn.XLOOKUP(B156,'[7]september-2026'!$A:$A,'[7]september-2026'!$I:$I,0,0)</f>
        <v>0</v>
      </c>
      <c r="BZ156">
        <f t="shared" si="511"/>
        <v>200</v>
      </c>
      <c r="CA156">
        <f t="shared" si="512"/>
        <v>59910</v>
      </c>
      <c r="CB156">
        <f>_xlfn.XLOOKUP(B156,'[8]october-2026'!$A:$A,'[8]october-2026'!$C:$C,0,0)</f>
        <v>51700</v>
      </c>
      <c r="CC156">
        <f t="shared" si="513"/>
        <v>9306</v>
      </c>
      <c r="CD156">
        <f t="shared" si="514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15"/>
        <v>68110</v>
      </c>
      <c r="CH156">
        <f>_xlfn.XLOOKUP(B156,'[8]october-2026'!$A:$A,'[8]october-2026'!$H:$H,0,0)</f>
        <v>8000</v>
      </c>
      <c r="CI156">
        <f>_xlfn.XLOOKUP(B156,'[8]october-2026'!$A:$A,'[8]october-2026'!$I:$I,0,0)</f>
        <v>0</v>
      </c>
      <c r="CJ156">
        <f t="shared" si="516"/>
        <v>200</v>
      </c>
      <c r="CK156">
        <f t="shared" si="517"/>
        <v>59910</v>
      </c>
      <c r="CL156">
        <f>_xlfn.XLOOKUP(B156,'[9]november-2026'!$A:$A,'[9]november-2026'!$C:$C,0,0)</f>
        <v>51700</v>
      </c>
      <c r="CM156">
        <f t="shared" si="518"/>
        <v>9306</v>
      </c>
      <c r="CN156">
        <f t="shared" si="519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0"/>
        <v>68110</v>
      </c>
      <c r="CR156">
        <f>_xlfn.XLOOKUP(B156,'[9]november-2026'!$A:$A,'[9]november-2026'!$H:$H,0,0)</f>
        <v>8000</v>
      </c>
      <c r="CS156">
        <f>_xlfn.XLOOKUP(B156,'[9]november-2026'!$A:$A,'[9]november-2026'!$I:$I,0,0)</f>
        <v>0</v>
      </c>
      <c r="CT156">
        <f t="shared" si="521"/>
        <v>200</v>
      </c>
      <c r="CU156">
        <f t="shared" si="522"/>
        <v>59910</v>
      </c>
      <c r="CV156">
        <f>_xlfn.XLOOKUP(B156,'[10]december-2026'!$A:$A,'[10]december-2026'!$C:$C,0,0)</f>
        <v>51700</v>
      </c>
      <c r="CW156">
        <f t="shared" si="523"/>
        <v>9306</v>
      </c>
      <c r="CX156">
        <f t="shared" si="524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25"/>
        <v>68110</v>
      </c>
      <c r="DB156">
        <f>_xlfn.XLOOKUP(B156,'[10]december-2026'!$A:$A,'[10]december-2026'!$H:$H,0,0)</f>
        <v>8000</v>
      </c>
      <c r="DC156">
        <f>_xlfn.XLOOKUP(B156,'[10]december-2026'!$A:$A,'[10]december-2026'!$I:$I,0,0)</f>
        <v>0</v>
      </c>
      <c r="DD156">
        <f t="shared" si="526"/>
        <v>200</v>
      </c>
      <c r="DE156">
        <f t="shared" si="527"/>
        <v>59910</v>
      </c>
      <c r="DF156">
        <f xml:space="preserve"> _xlfn.XLOOKUP(B156,
'[11]january-2027'!$A:$A,
'[11]january-2027'!$C:$C,
0,0)</f>
        <v>51700</v>
      </c>
      <c r="DG156">
        <f t="shared" si="528"/>
        <v>9306</v>
      </c>
      <c r="DH156">
        <f t="shared" si="529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0"/>
        <v>68110</v>
      </c>
      <c r="DL156">
        <f xml:space="preserve"> _xlfn.XLOOKUP(B156,
'[11]january-2027'!$A:$A,
'[11]january-2027'!$H:$H,
0,0)</f>
        <v>8000</v>
      </c>
      <c r="DM156">
        <f xml:space="preserve"> _xlfn.XLOOKUP(B156,
'[11]january-2027'!$A:$A,
'[11]january-2027'!$I:$I,
0,0)</f>
        <v>0</v>
      </c>
      <c r="DN156">
        <f t="shared" si="531"/>
        <v>200</v>
      </c>
      <c r="DO156">
        <f t="shared" si="532"/>
        <v>59910</v>
      </c>
      <c r="DP156">
        <f xml:space="preserve"> _xlfn.XLOOKUP(B156,
'[12]february-2027'!$A:$A,
'[12]february-2027'!$C:$C,
0,0)</f>
        <v>51700</v>
      </c>
      <c r="DQ156">
        <f t="shared" si="533"/>
        <v>9306</v>
      </c>
      <c r="DR156">
        <f t="shared" si="534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35"/>
        <v>68110</v>
      </c>
      <c r="DV156">
        <f xml:space="preserve"> _xlfn.XLOOKUP(B156,
'[12]february-2027'!$A:$A,
'[12]february-2027'!$H:$H,
0,0)</f>
        <v>8000</v>
      </c>
      <c r="DW156">
        <f xml:space="preserve"> _xlfn.XLOOKUP(B156,
'[12]february-2027'!$A:$A,
'[12]february-2027'!$I:$I,
0,0)</f>
        <v>0</v>
      </c>
      <c r="DX156">
        <f t="shared" si="536"/>
        <v>200</v>
      </c>
      <c r="DY156">
        <f t="shared" si="537"/>
        <v>59910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38"/>
        <v>0</v>
      </c>
      <c r="EM156">
        <f t="shared" si="539"/>
        <v>816474</v>
      </c>
      <c r="EN156">
        <f t="shared" si="540"/>
        <v>2400</v>
      </c>
      <c r="EO156">
        <f t="shared" si="541"/>
        <v>50000</v>
      </c>
      <c r="EP156">
        <v>0</v>
      </c>
      <c r="EQ156">
        <f t="shared" si="543"/>
        <v>764074</v>
      </c>
      <c r="ER156">
        <f t="shared" si="544"/>
        <v>96000</v>
      </c>
      <c r="ES156">
        <f t="shared" si="545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46"/>
        <v>96000</v>
      </c>
      <c r="FE156">
        <f t="shared" si="547"/>
        <v>96000</v>
      </c>
      <c r="FF156">
        <f t="shared" si="548"/>
        <v>668074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>SUM(FG156:FM156)+(IF(F156="YES",50000,0))</f>
        <v>0</v>
      </c>
      <c r="FO156">
        <f t="shared" si="549"/>
        <v>668074</v>
      </c>
      <c r="FP156">
        <f t="shared" si="550"/>
        <v>12500</v>
      </c>
      <c r="FQ156">
        <f t="shared" si="551"/>
        <v>33615</v>
      </c>
      <c r="FR156">
        <f t="shared" si="552"/>
        <v>46115</v>
      </c>
      <c r="FS156">
        <f t="shared" si="553"/>
        <v>46115</v>
      </c>
      <c r="FT156">
        <f t="shared" si="554"/>
        <v>1844.6000000000001</v>
      </c>
      <c r="FU156">
        <f t="shared" si="555"/>
        <v>47960</v>
      </c>
      <c r="FV156">
        <v>0</v>
      </c>
      <c r="FW156">
        <f t="shared" si="556"/>
        <v>47960</v>
      </c>
      <c r="FX156" t="b">
        <f t="shared" si="557"/>
        <v>1</v>
      </c>
      <c r="FY156">
        <f t="shared" ca="1" si="558"/>
        <v>714</v>
      </c>
      <c r="FZ156">
        <f t="shared" ca="1" si="559"/>
        <v>817188</v>
      </c>
      <c r="GA156">
        <f t="shared" si="560"/>
        <v>75000</v>
      </c>
      <c r="GB156">
        <f t="shared" ca="1" si="561"/>
        <v>742188</v>
      </c>
      <c r="GC156">
        <f t="shared" ca="1" si="562"/>
        <v>0</v>
      </c>
      <c r="GD156">
        <f t="shared" ca="1" si="563"/>
        <v>0</v>
      </c>
      <c r="GE156">
        <f t="shared" ca="1" si="564"/>
        <v>0</v>
      </c>
      <c r="GF156">
        <f t="shared" ca="1" si="565"/>
        <v>0</v>
      </c>
      <c r="GG156">
        <f t="shared" ca="1" si="566"/>
        <v>0</v>
      </c>
      <c r="GH156">
        <f t="shared" ca="1" si="567"/>
        <v>0</v>
      </c>
      <c r="GI156">
        <f ca="1">IF(GB156&gt;1200000,GB156-1200000-IF(F156="YES",50000,0)-GG156,0)</f>
        <v>0</v>
      </c>
      <c r="GJ156">
        <f t="shared" ca="1" si="568"/>
        <v>0</v>
      </c>
      <c r="GK156">
        <f t="shared" ca="1" si="569"/>
        <v>0</v>
      </c>
      <c r="GL156">
        <f t="shared" ca="1" si="570"/>
        <v>0</v>
      </c>
      <c r="GM156">
        <f t="shared" ca="1" si="571"/>
        <v>342188</v>
      </c>
      <c r="GN156">
        <f t="shared" ca="1" si="572"/>
        <v>17109.400000000001</v>
      </c>
      <c r="GO156">
        <f t="shared" ca="1" si="573"/>
        <v>17109</v>
      </c>
      <c r="GP156">
        <f t="shared" ca="1" si="574"/>
        <v>0</v>
      </c>
      <c r="GQ156">
        <f t="shared" ca="1" si="575"/>
        <v>0</v>
      </c>
      <c r="GR156">
        <f t="shared" ca="1" si="576"/>
        <v>17109</v>
      </c>
      <c r="GS156">
        <f t="shared" ca="1" si="577"/>
        <v>0</v>
      </c>
      <c r="GT156" t="b">
        <f t="shared" ca="1" si="578"/>
        <v>0</v>
      </c>
      <c r="GU156">
        <f t="shared" ca="1" si="579"/>
        <v>0</v>
      </c>
      <c r="GV156">
        <f t="shared" ca="1" si="580"/>
        <v>17109</v>
      </c>
      <c r="GW156">
        <f t="shared" ca="1" si="581"/>
        <v>0</v>
      </c>
      <c r="GX156">
        <f t="shared" ca="1" si="582"/>
        <v>0</v>
      </c>
      <c r="GY156">
        <f t="shared" ca="1" si="583"/>
        <v>0</v>
      </c>
    </row>
    <row r="157" spans="1:207" x14ac:dyDescent="0.25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78"/>
        <v>6800</v>
      </c>
      <c r="I157">
        <f>_xlfn.XLOOKUP(B157,'[1]march-2026'!$A:$A,'[1]march-2026'!$C:$C,0,0)</f>
        <v>48700</v>
      </c>
      <c r="J157">
        <f t="shared" si="542"/>
        <v>8766</v>
      </c>
      <c r="K157">
        <f t="shared" si="479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0"/>
        <v>63310</v>
      </c>
      <c r="O157">
        <f>_xlfn.XLOOKUP(B157,'[1]march-2026'!$A:$A,'[1]march-2026'!$H:$H,0,0)</f>
        <v>9000</v>
      </c>
      <c r="P157">
        <f>_xlfn.XLOOKUP(B157,'[1]march-2026'!$A:$A,'[1]march-2026'!$I:$I,0,0)</f>
        <v>0</v>
      </c>
      <c r="Q157">
        <f t="shared" si="481"/>
        <v>200</v>
      </c>
      <c r="R157">
        <f t="shared" si="482"/>
        <v>54110</v>
      </c>
      <c r="S157">
        <f>_xlfn.XLOOKUP(B157,'[2]april-2026'!$A:$A,'[2]april-2026'!$C:$C,0,0)</f>
        <v>48700</v>
      </c>
      <c r="T157">
        <f t="shared" si="483"/>
        <v>8766</v>
      </c>
      <c r="U157">
        <f t="shared" si="484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85"/>
        <v>63310</v>
      </c>
      <c r="Y157">
        <f>_xlfn.XLOOKUP(B157,'[2]april-2026'!$A:$A,'[2]april-2026'!$H:$H,0,0)</f>
        <v>9000</v>
      </c>
      <c r="Z157">
        <f>_xlfn.XLOOKUP(B157,'[2]april-2026'!$A:$A,'[2]april-2026'!$I:$I,0,0)</f>
        <v>0</v>
      </c>
      <c r="AA157">
        <f t="shared" si="486"/>
        <v>200</v>
      </c>
      <c r="AB157">
        <f t="shared" si="487"/>
        <v>54110</v>
      </c>
      <c r="AC157">
        <f>_xlfn.XLOOKUP(B157,'[3]may-2026'!$A:$A,'[3]may-2026'!$C:$C,0,0)</f>
        <v>48700</v>
      </c>
      <c r="AD157">
        <f t="shared" si="488"/>
        <v>8766</v>
      </c>
      <c r="AE157">
        <f t="shared" si="489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0"/>
        <v>63310</v>
      </c>
      <c r="AI157">
        <f>_xlfn.XLOOKUP(B157,'[3]may-2026'!$A:$A,'[3]may-2026'!$H:$H,0,0)</f>
        <v>9000</v>
      </c>
      <c r="AJ157">
        <f>_xlfn.XLOOKUP(B157,'[3]may-2026'!$A:$A,'[3]may-2026'!$I:$I,0,0)</f>
        <v>0</v>
      </c>
      <c r="AK157">
        <f t="shared" si="491"/>
        <v>200</v>
      </c>
      <c r="AL157">
        <f t="shared" si="492"/>
        <v>54110</v>
      </c>
      <c r="AM157">
        <f>_xlfn.XLOOKUP(B157,'[4]june-2026'!$A:$A,'[4]june-2026'!$C:$C,0,0)</f>
        <v>48700</v>
      </c>
      <c r="AN157">
        <f t="shared" si="493"/>
        <v>8766</v>
      </c>
      <c r="AO157">
        <f t="shared" si="494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495"/>
        <v>63310</v>
      </c>
      <c r="AS157">
        <f>_xlfn.XLOOKUP(B157,'[4]june-2026'!$A:$A,'[4]june-2026'!$H:$H,0,0)</f>
        <v>9000</v>
      </c>
      <c r="AT157">
        <f>_xlfn.XLOOKUP(B157,'[4]june-2026'!$A:$A,'[4]june-2026'!$I:$I,0,0)</f>
        <v>0</v>
      </c>
      <c r="AU157">
        <f t="shared" si="496"/>
        <v>200</v>
      </c>
      <c r="AV157">
        <f t="shared" si="497"/>
        <v>54110</v>
      </c>
      <c r="AW157">
        <f>_xlfn.XLOOKUP(B157,'[5]july-2026'!$A:$A,'[5]july-2026'!$C:$C,0,0)</f>
        <v>50200</v>
      </c>
      <c r="AX157">
        <f t="shared" si="498"/>
        <v>9036</v>
      </c>
      <c r="AY157">
        <v>155</v>
      </c>
      <c r="AZ157">
        <f t="shared" si="499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0"/>
        <v>65415</v>
      </c>
      <c r="BD157">
        <f>_xlfn.XLOOKUP(B157,'[5]july-2026'!$A:$A,'[5]july-2026'!$H:$H,0,0)</f>
        <v>9000</v>
      </c>
      <c r="BE157">
        <f>_xlfn.XLOOKUP(B157,'[5]july-2026'!$A:$A,'[5]july-2026'!$I:$I,0,0)</f>
        <v>0</v>
      </c>
      <c r="BF157">
        <f t="shared" si="501"/>
        <v>200</v>
      </c>
      <c r="BG157">
        <f t="shared" si="502"/>
        <v>56215</v>
      </c>
      <c r="BH157">
        <f>_xlfn.XLOOKUP(B157,'[6]august-2026'!$A:$A,'[6]august-2026'!$C:$C,0,0)</f>
        <v>50200</v>
      </c>
      <c r="BI157">
        <f t="shared" si="503"/>
        <v>9036</v>
      </c>
      <c r="BJ157">
        <f t="shared" si="504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05"/>
        <v>65260</v>
      </c>
      <c r="BN157">
        <f>_xlfn.XLOOKUP(B157,'[6]august-2026'!$A:$A,'[6]august-2026'!$H:$H,0,0)</f>
        <v>9000</v>
      </c>
      <c r="BO157">
        <f>_xlfn.XLOOKUP(B157,'[6]august-2026'!$A:$A,'[6]august-2026'!$I:$I,0,0)</f>
        <v>0</v>
      </c>
      <c r="BP157">
        <f t="shared" si="506"/>
        <v>200</v>
      </c>
      <c r="BQ157">
        <f t="shared" si="507"/>
        <v>56060</v>
      </c>
      <c r="BR157">
        <f>_xlfn.XLOOKUP(B157,'[7]september-2026'!$A:$A,'[7]september-2026'!$C:$C,0,0)</f>
        <v>50200</v>
      </c>
      <c r="BS157">
        <f t="shared" si="508"/>
        <v>9036</v>
      </c>
      <c r="BT157">
        <f t="shared" si="509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0"/>
        <v>65260</v>
      </c>
      <c r="BX157">
        <f>_xlfn.XLOOKUP(B157,'[7]september-2026'!$A:$A,'[7]september-2026'!$H:$H,0,0)</f>
        <v>9000</v>
      </c>
      <c r="BY157">
        <f>_xlfn.XLOOKUP(B157,'[7]september-2026'!$A:$A,'[7]september-2026'!$I:$I,0,0)</f>
        <v>0</v>
      </c>
      <c r="BZ157">
        <f t="shared" si="511"/>
        <v>200</v>
      </c>
      <c r="CA157">
        <f t="shared" si="512"/>
        <v>56060</v>
      </c>
      <c r="CB157">
        <f>_xlfn.XLOOKUP(B157,'[8]october-2026'!$A:$A,'[8]october-2026'!$C:$C,0,0)</f>
        <v>50200</v>
      </c>
      <c r="CC157">
        <f t="shared" si="513"/>
        <v>9036</v>
      </c>
      <c r="CD157">
        <f t="shared" si="514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15"/>
        <v>65260</v>
      </c>
      <c r="CH157">
        <f>_xlfn.XLOOKUP(B157,'[8]october-2026'!$A:$A,'[8]october-2026'!$H:$H,0,0)</f>
        <v>9000</v>
      </c>
      <c r="CI157">
        <f>_xlfn.XLOOKUP(B157,'[8]october-2026'!$A:$A,'[8]october-2026'!$I:$I,0,0)</f>
        <v>0</v>
      </c>
      <c r="CJ157">
        <f t="shared" si="516"/>
        <v>200</v>
      </c>
      <c r="CK157">
        <f t="shared" si="517"/>
        <v>56060</v>
      </c>
      <c r="CL157">
        <f>_xlfn.XLOOKUP(B157,'[9]november-2026'!$A:$A,'[9]november-2026'!$C:$C,0,0)</f>
        <v>50200</v>
      </c>
      <c r="CM157">
        <f t="shared" si="518"/>
        <v>9036</v>
      </c>
      <c r="CN157">
        <f t="shared" si="519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0"/>
        <v>65260</v>
      </c>
      <c r="CR157">
        <f>_xlfn.XLOOKUP(B157,'[9]november-2026'!$A:$A,'[9]november-2026'!$H:$H,0,0)</f>
        <v>9000</v>
      </c>
      <c r="CS157">
        <f>_xlfn.XLOOKUP(B157,'[9]november-2026'!$A:$A,'[9]november-2026'!$I:$I,0,0)</f>
        <v>0</v>
      </c>
      <c r="CT157">
        <f t="shared" si="521"/>
        <v>200</v>
      </c>
      <c r="CU157">
        <f t="shared" si="522"/>
        <v>56060</v>
      </c>
      <c r="CV157">
        <f>_xlfn.XLOOKUP(B157,'[10]december-2026'!$A:$A,'[10]december-2026'!$C:$C,0,0)</f>
        <v>50200</v>
      </c>
      <c r="CW157">
        <f t="shared" si="523"/>
        <v>9036</v>
      </c>
      <c r="CX157">
        <f t="shared" si="524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25"/>
        <v>65260</v>
      </c>
      <c r="DB157">
        <f>_xlfn.XLOOKUP(B157,'[10]december-2026'!$A:$A,'[10]december-2026'!$H:$H,0,0)</f>
        <v>9000</v>
      </c>
      <c r="DC157">
        <f>_xlfn.XLOOKUP(B157,'[10]december-2026'!$A:$A,'[10]december-2026'!$I:$I,0,0)</f>
        <v>0</v>
      </c>
      <c r="DD157">
        <f t="shared" si="526"/>
        <v>200</v>
      </c>
      <c r="DE157">
        <f t="shared" si="527"/>
        <v>56060</v>
      </c>
      <c r="DF157">
        <f xml:space="preserve"> _xlfn.XLOOKUP(B157,
'[11]january-2027'!$A:$A,
'[11]january-2027'!$C:$C,
0,0)</f>
        <v>50200</v>
      </c>
      <c r="DG157">
        <f t="shared" si="528"/>
        <v>9036</v>
      </c>
      <c r="DH157">
        <f t="shared" si="529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0"/>
        <v>65260</v>
      </c>
      <c r="DL157">
        <f xml:space="preserve"> _xlfn.XLOOKUP(B157,
'[11]january-2027'!$A:$A,
'[11]january-2027'!$H:$H,
0,0)</f>
        <v>9000</v>
      </c>
      <c r="DM157">
        <f xml:space="preserve"> _xlfn.XLOOKUP(B157,
'[11]january-2027'!$A:$A,
'[11]january-2027'!$I:$I,
0,0)</f>
        <v>0</v>
      </c>
      <c r="DN157">
        <f t="shared" si="531"/>
        <v>200</v>
      </c>
      <c r="DO157">
        <f t="shared" si="532"/>
        <v>56060</v>
      </c>
      <c r="DP157">
        <f xml:space="preserve"> _xlfn.XLOOKUP(B157,
'[12]february-2027'!$A:$A,
'[12]february-2027'!$C:$C,
0,0)</f>
        <v>50200</v>
      </c>
      <c r="DQ157">
        <f t="shared" si="533"/>
        <v>9036</v>
      </c>
      <c r="DR157">
        <f t="shared" si="534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35"/>
        <v>65260</v>
      </c>
      <c r="DV157">
        <f xml:space="preserve"> _xlfn.XLOOKUP(B157,
'[12]february-2027'!$A:$A,
'[12]february-2027'!$H:$H,
0,0)</f>
        <v>9000</v>
      </c>
      <c r="DW157">
        <f xml:space="preserve"> _xlfn.XLOOKUP(B157,
'[12]february-2027'!$A:$A,
'[12]february-2027'!$I:$I,
0,0)</f>
        <v>0</v>
      </c>
      <c r="DX157">
        <f t="shared" si="536"/>
        <v>200</v>
      </c>
      <c r="DY157">
        <f t="shared" si="537"/>
        <v>56060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38"/>
        <v>0</v>
      </c>
      <c r="EM157">
        <f t="shared" si="539"/>
        <v>782275</v>
      </c>
      <c r="EN157">
        <f t="shared" si="540"/>
        <v>2400</v>
      </c>
      <c r="EO157">
        <f t="shared" si="541"/>
        <v>50000</v>
      </c>
      <c r="EP157">
        <v>0</v>
      </c>
      <c r="EQ157">
        <f t="shared" si="543"/>
        <v>729875</v>
      </c>
      <c r="ER157">
        <f t="shared" si="544"/>
        <v>108000</v>
      </c>
      <c r="ES157">
        <f t="shared" si="545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46"/>
        <v>108000</v>
      </c>
      <c r="FE157">
        <f t="shared" si="547"/>
        <v>108000</v>
      </c>
      <c r="FF157">
        <f t="shared" si="548"/>
        <v>621875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>SUM(FG157:FM157)+(IF(F157="YES",50000,0))</f>
        <v>0</v>
      </c>
      <c r="FO157">
        <f t="shared" si="549"/>
        <v>621875</v>
      </c>
      <c r="FP157">
        <f t="shared" si="550"/>
        <v>12500</v>
      </c>
      <c r="FQ157">
        <f t="shared" si="551"/>
        <v>24375</v>
      </c>
      <c r="FR157">
        <f t="shared" si="552"/>
        <v>36875</v>
      </c>
      <c r="FS157">
        <f t="shared" si="553"/>
        <v>36875</v>
      </c>
      <c r="FT157">
        <f t="shared" si="554"/>
        <v>1475</v>
      </c>
      <c r="FU157">
        <f t="shared" si="555"/>
        <v>38350</v>
      </c>
      <c r="FV157">
        <v>0</v>
      </c>
      <c r="FW157">
        <f t="shared" si="556"/>
        <v>38350</v>
      </c>
      <c r="FX157" t="b">
        <f t="shared" si="557"/>
        <v>1</v>
      </c>
      <c r="FY157">
        <f t="shared" ca="1" si="558"/>
        <v>860</v>
      </c>
      <c r="FZ157">
        <f t="shared" ca="1" si="559"/>
        <v>783135</v>
      </c>
      <c r="GA157">
        <f t="shared" si="560"/>
        <v>75000</v>
      </c>
      <c r="GB157">
        <f t="shared" ca="1" si="561"/>
        <v>708135</v>
      </c>
      <c r="GC157">
        <f t="shared" ca="1" si="562"/>
        <v>0</v>
      </c>
      <c r="GD157">
        <f t="shared" ca="1" si="563"/>
        <v>0</v>
      </c>
      <c r="GE157">
        <f t="shared" ca="1" si="564"/>
        <v>0</v>
      </c>
      <c r="GF157">
        <f t="shared" ca="1" si="565"/>
        <v>0</v>
      </c>
      <c r="GG157">
        <f t="shared" ca="1" si="566"/>
        <v>0</v>
      </c>
      <c r="GH157">
        <f t="shared" ca="1" si="567"/>
        <v>0</v>
      </c>
      <c r="GI157">
        <f ca="1">IF(GB157&gt;1200000,GB157-1200000-IF(F157="YES",50000,0)-GG157,0)</f>
        <v>0</v>
      </c>
      <c r="GJ157">
        <f t="shared" ca="1" si="568"/>
        <v>0</v>
      </c>
      <c r="GK157">
        <f t="shared" ca="1" si="569"/>
        <v>0</v>
      </c>
      <c r="GL157">
        <f t="shared" ca="1" si="570"/>
        <v>0</v>
      </c>
      <c r="GM157">
        <f t="shared" ca="1" si="571"/>
        <v>308135</v>
      </c>
      <c r="GN157">
        <f t="shared" ca="1" si="572"/>
        <v>15406.75</v>
      </c>
      <c r="GO157">
        <f t="shared" ca="1" si="573"/>
        <v>15407</v>
      </c>
      <c r="GP157">
        <f t="shared" ca="1" si="574"/>
        <v>0</v>
      </c>
      <c r="GQ157">
        <f t="shared" ca="1" si="575"/>
        <v>0</v>
      </c>
      <c r="GR157">
        <f t="shared" ca="1" si="576"/>
        <v>15407</v>
      </c>
      <c r="GS157">
        <f t="shared" ca="1" si="577"/>
        <v>0</v>
      </c>
      <c r="GT157" t="b">
        <f t="shared" ca="1" si="578"/>
        <v>0</v>
      </c>
      <c r="GU157">
        <f t="shared" ca="1" si="579"/>
        <v>0</v>
      </c>
      <c r="GV157">
        <f t="shared" ca="1" si="580"/>
        <v>15407</v>
      </c>
      <c r="GW157">
        <f t="shared" ca="1" si="581"/>
        <v>0</v>
      </c>
      <c r="GX157">
        <f t="shared" ca="1" si="582"/>
        <v>0</v>
      </c>
      <c r="GY157">
        <f t="shared" ca="1" si="583"/>
        <v>0</v>
      </c>
    </row>
    <row r="158" spans="1:207" x14ac:dyDescent="0.25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78"/>
        <v>6800</v>
      </c>
      <c r="I158">
        <f>_xlfn.XLOOKUP(B158,'[1]march-2026'!$A:$A,'[1]march-2026'!$C:$C,0,0)</f>
        <v>38800</v>
      </c>
      <c r="J158">
        <f t="shared" si="542"/>
        <v>6984</v>
      </c>
      <c r="K158">
        <f t="shared" si="479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0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1"/>
        <v>200</v>
      </c>
      <c r="R158">
        <f t="shared" si="482"/>
        <v>47240</v>
      </c>
      <c r="S158">
        <f>_xlfn.XLOOKUP(B158,'[2]april-2026'!$A:$A,'[2]april-2026'!$C:$C,0,0)</f>
        <v>38800</v>
      </c>
      <c r="T158">
        <f t="shared" si="483"/>
        <v>6984</v>
      </c>
      <c r="U158">
        <f t="shared" si="484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85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86"/>
        <v>200</v>
      </c>
      <c r="AB158">
        <f t="shared" si="487"/>
        <v>47240</v>
      </c>
      <c r="AC158">
        <f>_xlfn.XLOOKUP(B158,'[3]may-2026'!$A:$A,'[3]may-2026'!$C:$C,0,0)</f>
        <v>38800</v>
      </c>
      <c r="AD158">
        <f t="shared" si="488"/>
        <v>6984</v>
      </c>
      <c r="AE158">
        <f t="shared" si="489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0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1"/>
        <v>200</v>
      </c>
      <c r="AL158">
        <f t="shared" si="492"/>
        <v>47240</v>
      </c>
      <c r="AM158">
        <f>_xlfn.XLOOKUP(B158,'[4]june-2026'!$A:$A,'[4]june-2026'!$C:$C,0,0)</f>
        <v>38800</v>
      </c>
      <c r="AN158">
        <f t="shared" si="493"/>
        <v>6984</v>
      </c>
      <c r="AO158">
        <f t="shared" si="494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495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496"/>
        <v>200</v>
      </c>
      <c r="AV158">
        <f t="shared" si="497"/>
        <v>47240</v>
      </c>
      <c r="AW158">
        <f>_xlfn.XLOOKUP(B158,'[5]july-2026'!$A:$A,'[5]july-2026'!$C:$C,0,0)</f>
        <v>40000</v>
      </c>
      <c r="AX158">
        <f t="shared" si="498"/>
        <v>7200</v>
      </c>
      <c r="AY158">
        <v>156</v>
      </c>
      <c r="AZ158">
        <f t="shared" si="499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0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1"/>
        <v>200</v>
      </c>
      <c r="BG158">
        <f t="shared" si="502"/>
        <v>48956</v>
      </c>
      <c r="BH158">
        <f>_xlfn.XLOOKUP(B158,'[6]august-2026'!$A:$A,'[6]august-2026'!$C:$C,0,0)</f>
        <v>40000</v>
      </c>
      <c r="BI158">
        <f t="shared" si="503"/>
        <v>7200</v>
      </c>
      <c r="BJ158">
        <f t="shared" si="504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05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06"/>
        <v>200</v>
      </c>
      <c r="BQ158">
        <f t="shared" si="507"/>
        <v>48800</v>
      </c>
      <c r="BR158">
        <f>_xlfn.XLOOKUP(B158,'[7]september-2026'!$A:$A,'[7]september-2026'!$C:$C,0,0)</f>
        <v>40000</v>
      </c>
      <c r="BS158">
        <f t="shared" si="508"/>
        <v>7200</v>
      </c>
      <c r="BT158">
        <f t="shared" si="509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0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1"/>
        <v>200</v>
      </c>
      <c r="CA158">
        <f t="shared" si="512"/>
        <v>48800</v>
      </c>
      <c r="CB158">
        <f>_xlfn.XLOOKUP(B158,'[8]october-2026'!$A:$A,'[8]october-2026'!$C:$C,0,0)</f>
        <v>40000</v>
      </c>
      <c r="CC158">
        <f t="shared" si="513"/>
        <v>7200</v>
      </c>
      <c r="CD158">
        <f t="shared" si="514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15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16"/>
        <v>200</v>
      </c>
      <c r="CK158">
        <f t="shared" si="517"/>
        <v>48800</v>
      </c>
      <c r="CL158">
        <f>_xlfn.XLOOKUP(B158,'[9]november-2026'!$A:$A,'[9]november-2026'!$C:$C,0,0)</f>
        <v>40000</v>
      </c>
      <c r="CM158">
        <f t="shared" si="518"/>
        <v>7200</v>
      </c>
      <c r="CN158">
        <f t="shared" si="519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0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1"/>
        <v>200</v>
      </c>
      <c r="CU158">
        <f t="shared" si="522"/>
        <v>48800</v>
      </c>
      <c r="CV158">
        <f>_xlfn.XLOOKUP(B158,'[10]december-2026'!$A:$A,'[10]december-2026'!$C:$C,0,0)</f>
        <v>40000</v>
      </c>
      <c r="CW158">
        <f t="shared" si="523"/>
        <v>7200</v>
      </c>
      <c r="CX158">
        <f t="shared" si="524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25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26"/>
        <v>200</v>
      </c>
      <c r="DE158">
        <f t="shared" si="527"/>
        <v>48800</v>
      </c>
      <c r="DF158">
        <f xml:space="preserve"> _xlfn.XLOOKUP(B158,
'[11]january-2027'!$A:$A,
'[11]january-2027'!$C:$C,
0,0)</f>
        <v>40000</v>
      </c>
      <c r="DG158">
        <f t="shared" si="528"/>
        <v>7200</v>
      </c>
      <c r="DH158">
        <f t="shared" si="529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0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1"/>
        <v>200</v>
      </c>
      <c r="DO158">
        <f t="shared" si="532"/>
        <v>48800</v>
      </c>
      <c r="DP158">
        <f xml:space="preserve"> _xlfn.XLOOKUP(B158,
'[12]february-2027'!$A:$A,
'[12]february-2027'!$C:$C,
0,0)</f>
        <v>40000</v>
      </c>
      <c r="DQ158">
        <f t="shared" si="533"/>
        <v>7200</v>
      </c>
      <c r="DR158">
        <f t="shared" si="534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35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36"/>
        <v>200</v>
      </c>
      <c r="DY158">
        <f t="shared" si="537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38"/>
        <v>0</v>
      </c>
      <c r="EM158">
        <f t="shared" si="539"/>
        <v>624716</v>
      </c>
      <c r="EN158">
        <f t="shared" si="540"/>
        <v>2400</v>
      </c>
      <c r="EO158">
        <f t="shared" si="541"/>
        <v>50000</v>
      </c>
      <c r="EP158">
        <v>0</v>
      </c>
      <c r="EQ158">
        <f t="shared" si="543"/>
        <v>572316</v>
      </c>
      <c r="ER158">
        <f t="shared" si="544"/>
        <v>36000</v>
      </c>
      <c r="ES158">
        <f t="shared" si="545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46"/>
        <v>36000</v>
      </c>
      <c r="FE158">
        <f t="shared" si="547"/>
        <v>36000</v>
      </c>
      <c r="FF158">
        <f t="shared" si="548"/>
        <v>536316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>SUM(FG158:FM158)+(IF(F158="YES",50000,0))</f>
        <v>0</v>
      </c>
      <c r="FO158">
        <f t="shared" si="549"/>
        <v>536316</v>
      </c>
      <c r="FP158">
        <f t="shared" si="550"/>
        <v>12500</v>
      </c>
      <c r="FQ158">
        <f t="shared" si="551"/>
        <v>7263</v>
      </c>
      <c r="FR158">
        <f t="shared" si="552"/>
        <v>19763</v>
      </c>
      <c r="FS158">
        <f t="shared" si="553"/>
        <v>19763</v>
      </c>
      <c r="FT158">
        <f t="shared" si="554"/>
        <v>790.52</v>
      </c>
      <c r="FU158">
        <f t="shared" si="555"/>
        <v>20554</v>
      </c>
      <c r="FV158">
        <v>0</v>
      </c>
      <c r="FW158">
        <f t="shared" si="556"/>
        <v>20554</v>
      </c>
      <c r="FX158" t="b">
        <f t="shared" si="557"/>
        <v>1</v>
      </c>
      <c r="FY158">
        <f t="shared" ca="1" si="558"/>
        <v>774</v>
      </c>
      <c r="FZ158">
        <f t="shared" ca="1" si="559"/>
        <v>625490</v>
      </c>
      <c r="GA158">
        <f t="shared" si="560"/>
        <v>75000</v>
      </c>
      <c r="GB158">
        <f t="shared" ca="1" si="561"/>
        <v>550490</v>
      </c>
      <c r="GC158">
        <f t="shared" ca="1" si="562"/>
        <v>0</v>
      </c>
      <c r="GD158">
        <f t="shared" ca="1" si="563"/>
        <v>0</v>
      </c>
      <c r="GE158">
        <f t="shared" ca="1" si="564"/>
        <v>0</v>
      </c>
      <c r="GF158">
        <f t="shared" ca="1" si="565"/>
        <v>0</v>
      </c>
      <c r="GG158">
        <f t="shared" ca="1" si="566"/>
        <v>0</v>
      </c>
      <c r="GH158">
        <f t="shared" ca="1" si="567"/>
        <v>0</v>
      </c>
      <c r="GI158">
        <f ca="1">IF(GB158&gt;1200000,GB158-1200000-IF(F158="YES",50000,0)-GG158,0)</f>
        <v>0</v>
      </c>
      <c r="GJ158">
        <f t="shared" ca="1" si="568"/>
        <v>0</v>
      </c>
      <c r="GK158">
        <f t="shared" ca="1" si="569"/>
        <v>0</v>
      </c>
      <c r="GL158">
        <f t="shared" ca="1" si="570"/>
        <v>0</v>
      </c>
      <c r="GM158">
        <f t="shared" ca="1" si="571"/>
        <v>150490</v>
      </c>
      <c r="GN158">
        <f t="shared" ca="1" si="572"/>
        <v>7524.5</v>
      </c>
      <c r="GO158">
        <f t="shared" ca="1" si="573"/>
        <v>7525</v>
      </c>
      <c r="GP158">
        <f t="shared" ca="1" si="574"/>
        <v>0</v>
      </c>
      <c r="GQ158">
        <f t="shared" ca="1" si="575"/>
        <v>0</v>
      </c>
      <c r="GR158">
        <f t="shared" ca="1" si="576"/>
        <v>7525</v>
      </c>
      <c r="GS158">
        <f t="shared" ca="1" si="577"/>
        <v>0</v>
      </c>
      <c r="GT158" t="b">
        <f t="shared" ca="1" si="578"/>
        <v>0</v>
      </c>
      <c r="GU158">
        <f t="shared" ca="1" si="579"/>
        <v>0</v>
      </c>
      <c r="GV158">
        <f t="shared" ca="1" si="580"/>
        <v>7525</v>
      </c>
      <c r="GW158">
        <f t="shared" ca="1" si="581"/>
        <v>0</v>
      </c>
      <c r="GX158">
        <f t="shared" ca="1" si="582"/>
        <v>0</v>
      </c>
      <c r="GY158">
        <f t="shared" ca="1" si="583"/>
        <v>0</v>
      </c>
    </row>
    <row r="159" spans="1:207" x14ac:dyDescent="0.25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78"/>
        <v>6800</v>
      </c>
      <c r="I159">
        <f>_xlfn.XLOOKUP(B159,'[1]march-2026'!$A:$A,'[1]march-2026'!$C:$C,0,0)</f>
        <v>34500</v>
      </c>
      <c r="J159">
        <f t="shared" si="542"/>
        <v>6210</v>
      </c>
      <c r="K159">
        <f t="shared" si="479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0"/>
        <v>45350</v>
      </c>
      <c r="O159">
        <f>_xlfn.XLOOKUP(B159,'[1]march-2026'!$A:$A,'[1]march-2026'!$H:$H,0,0)</f>
        <v>3000</v>
      </c>
      <c r="P159">
        <f>_xlfn.XLOOKUP(B159,'[1]march-2026'!$A:$A,'[1]march-2026'!$I:$I,0,0)</f>
        <v>0</v>
      </c>
      <c r="Q159">
        <f t="shared" si="481"/>
        <v>200</v>
      </c>
      <c r="R159">
        <f t="shared" si="482"/>
        <v>42150</v>
      </c>
      <c r="S159">
        <f>_xlfn.XLOOKUP(B159,'[2]april-2026'!$A:$A,'[2]april-2026'!$C:$C,0,0)</f>
        <v>34500</v>
      </c>
      <c r="T159">
        <f t="shared" si="483"/>
        <v>6210</v>
      </c>
      <c r="U159">
        <f t="shared" si="484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85"/>
        <v>45350</v>
      </c>
      <c r="Y159">
        <f>_xlfn.XLOOKUP(B159,'[2]april-2026'!$A:$A,'[2]april-2026'!$H:$H,0,0)</f>
        <v>3000</v>
      </c>
      <c r="Z159">
        <f>_xlfn.XLOOKUP(B159,'[2]april-2026'!$A:$A,'[2]april-2026'!$I:$I,0,0)</f>
        <v>0</v>
      </c>
      <c r="AA159">
        <f t="shared" si="486"/>
        <v>200</v>
      </c>
      <c r="AB159">
        <f t="shared" si="487"/>
        <v>42150</v>
      </c>
      <c r="AC159">
        <f>_xlfn.XLOOKUP(B159,'[3]may-2026'!$A:$A,'[3]may-2026'!$C:$C,0,0)</f>
        <v>34500</v>
      </c>
      <c r="AD159">
        <f t="shared" si="488"/>
        <v>6210</v>
      </c>
      <c r="AE159">
        <f t="shared" si="489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0"/>
        <v>45350</v>
      </c>
      <c r="AI159">
        <f>_xlfn.XLOOKUP(B159,'[3]may-2026'!$A:$A,'[3]may-2026'!$H:$H,0,0)</f>
        <v>3000</v>
      </c>
      <c r="AJ159">
        <f>_xlfn.XLOOKUP(B159,'[3]may-2026'!$A:$A,'[3]may-2026'!$I:$I,0,0)</f>
        <v>0</v>
      </c>
      <c r="AK159">
        <f t="shared" si="491"/>
        <v>200</v>
      </c>
      <c r="AL159">
        <f t="shared" si="492"/>
        <v>42150</v>
      </c>
      <c r="AM159">
        <f>_xlfn.XLOOKUP(B159,'[4]june-2026'!$A:$A,'[4]june-2026'!$C:$C,0,0)</f>
        <v>34500</v>
      </c>
      <c r="AN159">
        <f t="shared" si="493"/>
        <v>6210</v>
      </c>
      <c r="AO159">
        <f t="shared" si="494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495"/>
        <v>45350</v>
      </c>
      <c r="AS159">
        <f>_xlfn.XLOOKUP(B159,'[4]june-2026'!$A:$A,'[4]june-2026'!$H:$H,0,0)</f>
        <v>3000</v>
      </c>
      <c r="AT159">
        <f>_xlfn.XLOOKUP(B159,'[4]june-2026'!$A:$A,'[4]june-2026'!$I:$I,0,0)</f>
        <v>0</v>
      </c>
      <c r="AU159">
        <f t="shared" si="496"/>
        <v>200</v>
      </c>
      <c r="AV159">
        <f t="shared" si="497"/>
        <v>42150</v>
      </c>
      <c r="AW159">
        <f>_xlfn.XLOOKUP(B159,'[5]july-2026'!$A:$A,'[5]july-2026'!$C:$C,0,0)</f>
        <v>35500</v>
      </c>
      <c r="AX159">
        <f t="shared" si="498"/>
        <v>6390</v>
      </c>
      <c r="AY159">
        <v>157</v>
      </c>
      <c r="AZ159">
        <f t="shared" si="499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0"/>
        <v>46807</v>
      </c>
      <c r="BD159">
        <f>_xlfn.XLOOKUP(B159,'[5]july-2026'!$A:$A,'[5]july-2026'!$H:$H,0,0)</f>
        <v>3000</v>
      </c>
      <c r="BE159">
        <f>_xlfn.XLOOKUP(B159,'[5]july-2026'!$A:$A,'[5]july-2026'!$I:$I,0,0)</f>
        <v>0</v>
      </c>
      <c r="BF159">
        <f t="shared" si="501"/>
        <v>200</v>
      </c>
      <c r="BG159">
        <f t="shared" si="502"/>
        <v>43607</v>
      </c>
      <c r="BH159">
        <f>_xlfn.XLOOKUP(B159,'[6]august-2026'!$A:$A,'[6]august-2026'!$C:$C,0,0)</f>
        <v>35500</v>
      </c>
      <c r="BI159">
        <f t="shared" si="503"/>
        <v>6390</v>
      </c>
      <c r="BJ159">
        <f t="shared" si="504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05"/>
        <v>46650</v>
      </c>
      <c r="BN159">
        <f>_xlfn.XLOOKUP(B159,'[6]august-2026'!$A:$A,'[6]august-2026'!$H:$H,0,0)</f>
        <v>3000</v>
      </c>
      <c r="BO159">
        <f>_xlfn.XLOOKUP(B159,'[6]august-2026'!$A:$A,'[6]august-2026'!$I:$I,0,0)</f>
        <v>0</v>
      </c>
      <c r="BP159">
        <f t="shared" si="506"/>
        <v>200</v>
      </c>
      <c r="BQ159">
        <f t="shared" si="507"/>
        <v>43450</v>
      </c>
      <c r="BR159">
        <f>_xlfn.XLOOKUP(B159,'[7]september-2026'!$A:$A,'[7]september-2026'!$C:$C,0,0)</f>
        <v>35500</v>
      </c>
      <c r="BS159">
        <f t="shared" si="508"/>
        <v>6390</v>
      </c>
      <c r="BT159">
        <f t="shared" si="509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0"/>
        <v>46650</v>
      </c>
      <c r="BX159">
        <f>_xlfn.XLOOKUP(B159,'[7]september-2026'!$A:$A,'[7]september-2026'!$H:$H,0,0)</f>
        <v>3000</v>
      </c>
      <c r="BY159">
        <f>_xlfn.XLOOKUP(B159,'[7]september-2026'!$A:$A,'[7]september-2026'!$I:$I,0,0)</f>
        <v>0</v>
      </c>
      <c r="BZ159">
        <f t="shared" si="511"/>
        <v>200</v>
      </c>
      <c r="CA159">
        <f t="shared" si="512"/>
        <v>43450</v>
      </c>
      <c r="CB159">
        <f>_xlfn.XLOOKUP(B159,'[8]october-2026'!$A:$A,'[8]october-2026'!$C:$C,0,0)</f>
        <v>35500</v>
      </c>
      <c r="CC159">
        <f t="shared" si="513"/>
        <v>6390</v>
      </c>
      <c r="CD159">
        <f t="shared" si="514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15"/>
        <v>46650</v>
      </c>
      <c r="CH159">
        <f>_xlfn.XLOOKUP(B159,'[8]october-2026'!$A:$A,'[8]october-2026'!$H:$H,0,0)</f>
        <v>3000</v>
      </c>
      <c r="CI159">
        <f>_xlfn.XLOOKUP(B159,'[8]october-2026'!$A:$A,'[8]october-2026'!$I:$I,0,0)</f>
        <v>0</v>
      </c>
      <c r="CJ159">
        <f t="shared" si="516"/>
        <v>200</v>
      </c>
      <c r="CK159">
        <f t="shared" si="517"/>
        <v>43450</v>
      </c>
      <c r="CL159">
        <f>_xlfn.XLOOKUP(B159,'[9]november-2026'!$A:$A,'[9]november-2026'!$C:$C,0,0)</f>
        <v>35500</v>
      </c>
      <c r="CM159">
        <f t="shared" si="518"/>
        <v>6390</v>
      </c>
      <c r="CN159">
        <f t="shared" si="519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0"/>
        <v>46650</v>
      </c>
      <c r="CR159">
        <f>_xlfn.XLOOKUP(B159,'[9]november-2026'!$A:$A,'[9]november-2026'!$H:$H,0,0)</f>
        <v>3000</v>
      </c>
      <c r="CS159">
        <f>_xlfn.XLOOKUP(B159,'[9]november-2026'!$A:$A,'[9]november-2026'!$I:$I,0,0)</f>
        <v>0</v>
      </c>
      <c r="CT159">
        <f t="shared" si="521"/>
        <v>200</v>
      </c>
      <c r="CU159">
        <f t="shared" si="522"/>
        <v>43450</v>
      </c>
      <c r="CV159">
        <f>_xlfn.XLOOKUP(B159,'[10]december-2026'!$A:$A,'[10]december-2026'!$C:$C,0,0)</f>
        <v>35500</v>
      </c>
      <c r="CW159">
        <f t="shared" si="523"/>
        <v>6390</v>
      </c>
      <c r="CX159">
        <f t="shared" si="524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25"/>
        <v>46650</v>
      </c>
      <c r="DB159">
        <f>_xlfn.XLOOKUP(B159,'[10]december-2026'!$A:$A,'[10]december-2026'!$H:$H,0,0)</f>
        <v>3000</v>
      </c>
      <c r="DC159">
        <f>_xlfn.XLOOKUP(B159,'[10]december-2026'!$A:$A,'[10]december-2026'!$I:$I,0,0)</f>
        <v>0</v>
      </c>
      <c r="DD159">
        <f t="shared" si="526"/>
        <v>200</v>
      </c>
      <c r="DE159">
        <f t="shared" si="527"/>
        <v>43450</v>
      </c>
      <c r="DF159">
        <f xml:space="preserve"> _xlfn.XLOOKUP(B159,
'[11]january-2027'!$A:$A,
'[11]january-2027'!$C:$C,
0,0)</f>
        <v>35500</v>
      </c>
      <c r="DG159">
        <f t="shared" si="528"/>
        <v>6390</v>
      </c>
      <c r="DH159">
        <f t="shared" si="529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0"/>
        <v>46650</v>
      </c>
      <c r="DL159">
        <f xml:space="preserve"> _xlfn.XLOOKUP(B159,
'[11]january-2027'!$A:$A,
'[11]january-2027'!$H:$H,
0,0)</f>
        <v>3000</v>
      </c>
      <c r="DM159">
        <f xml:space="preserve"> _xlfn.XLOOKUP(B159,
'[11]january-2027'!$A:$A,
'[11]january-2027'!$I:$I,
0,0)</f>
        <v>0</v>
      </c>
      <c r="DN159">
        <f t="shared" si="531"/>
        <v>200</v>
      </c>
      <c r="DO159">
        <f t="shared" si="532"/>
        <v>43450</v>
      </c>
      <c r="DP159">
        <f xml:space="preserve"> _xlfn.XLOOKUP(B159,
'[12]february-2027'!$A:$A,
'[12]february-2027'!$C:$C,
0,0)</f>
        <v>35500</v>
      </c>
      <c r="DQ159">
        <f t="shared" si="533"/>
        <v>6390</v>
      </c>
      <c r="DR159">
        <f t="shared" si="534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35"/>
        <v>46650</v>
      </c>
      <c r="DV159">
        <f xml:space="preserve"> _xlfn.XLOOKUP(B159,
'[12]february-2027'!$A:$A,
'[12]february-2027'!$H:$H,
0,0)</f>
        <v>3000</v>
      </c>
      <c r="DW159">
        <f xml:space="preserve"> _xlfn.XLOOKUP(B159,
'[12]february-2027'!$A:$A,
'[12]february-2027'!$I:$I,
0,0)</f>
        <v>0</v>
      </c>
      <c r="DX159">
        <f t="shared" si="536"/>
        <v>200</v>
      </c>
      <c r="DY159">
        <f t="shared" si="537"/>
        <v>43450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38"/>
        <v>0</v>
      </c>
      <c r="EM159">
        <f t="shared" si="539"/>
        <v>561557</v>
      </c>
      <c r="EN159">
        <f t="shared" si="540"/>
        <v>2400</v>
      </c>
      <c r="EO159">
        <f t="shared" si="541"/>
        <v>50000</v>
      </c>
      <c r="EP159">
        <v>0</v>
      </c>
      <c r="EQ159">
        <f t="shared" si="543"/>
        <v>509157</v>
      </c>
      <c r="ER159">
        <f t="shared" si="544"/>
        <v>36000</v>
      </c>
      <c r="ES159">
        <f t="shared" si="545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46"/>
        <v>36000</v>
      </c>
      <c r="FE159">
        <f t="shared" si="547"/>
        <v>36000</v>
      </c>
      <c r="FF159">
        <f t="shared" si="548"/>
        <v>473157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>SUM(FG159:FM159)+(IF(F159="YES",50000,0))</f>
        <v>0</v>
      </c>
      <c r="FO159">
        <f t="shared" si="549"/>
        <v>473157</v>
      </c>
      <c r="FP159">
        <f t="shared" si="550"/>
        <v>11158</v>
      </c>
      <c r="FQ159">
        <f t="shared" si="551"/>
        <v>0</v>
      </c>
      <c r="FR159">
        <f t="shared" si="552"/>
        <v>11158</v>
      </c>
      <c r="FS159">
        <f t="shared" si="553"/>
        <v>0</v>
      </c>
      <c r="FT159">
        <f t="shared" si="554"/>
        <v>0</v>
      </c>
      <c r="FU159">
        <f t="shared" si="555"/>
        <v>0</v>
      </c>
      <c r="FV159">
        <v>0</v>
      </c>
      <c r="FW159">
        <f t="shared" si="556"/>
        <v>0</v>
      </c>
      <c r="FX159" t="b">
        <f t="shared" si="557"/>
        <v>1</v>
      </c>
      <c r="FY159">
        <f t="shared" ca="1" si="558"/>
        <v>551</v>
      </c>
      <c r="FZ159">
        <f t="shared" ca="1" si="559"/>
        <v>562108</v>
      </c>
      <c r="GA159">
        <f t="shared" si="560"/>
        <v>75000</v>
      </c>
      <c r="GB159">
        <f t="shared" ca="1" si="561"/>
        <v>487108</v>
      </c>
      <c r="GC159">
        <f t="shared" ca="1" si="562"/>
        <v>0</v>
      </c>
      <c r="GD159">
        <f t="shared" ca="1" si="563"/>
        <v>0</v>
      </c>
      <c r="GE159">
        <f t="shared" ca="1" si="564"/>
        <v>0</v>
      </c>
      <c r="GF159">
        <f t="shared" ca="1" si="565"/>
        <v>0</v>
      </c>
      <c r="GG159">
        <f t="shared" ca="1" si="566"/>
        <v>0</v>
      </c>
      <c r="GH159">
        <f t="shared" ca="1" si="567"/>
        <v>0</v>
      </c>
      <c r="GI159">
        <f ca="1">IF(GB159&gt;1200000,GB159-1200000-IF(F159="YES",50000,0)-GG159,0)</f>
        <v>0</v>
      </c>
      <c r="GJ159">
        <f t="shared" ca="1" si="568"/>
        <v>0</v>
      </c>
      <c r="GK159">
        <f t="shared" ca="1" si="569"/>
        <v>0</v>
      </c>
      <c r="GL159">
        <f t="shared" ca="1" si="570"/>
        <v>0</v>
      </c>
      <c r="GM159">
        <f t="shared" ca="1" si="571"/>
        <v>87108</v>
      </c>
      <c r="GN159">
        <f t="shared" ca="1" si="572"/>
        <v>4355.4000000000005</v>
      </c>
      <c r="GO159">
        <f t="shared" ca="1" si="573"/>
        <v>4355</v>
      </c>
      <c r="GP159">
        <f t="shared" ca="1" si="574"/>
        <v>0</v>
      </c>
      <c r="GQ159">
        <f t="shared" ca="1" si="575"/>
        <v>0</v>
      </c>
      <c r="GR159">
        <f t="shared" ca="1" si="576"/>
        <v>4355</v>
      </c>
      <c r="GS159">
        <f t="shared" ca="1" si="577"/>
        <v>0</v>
      </c>
      <c r="GT159" t="b">
        <f t="shared" ca="1" si="578"/>
        <v>0</v>
      </c>
      <c r="GU159">
        <f t="shared" ca="1" si="579"/>
        <v>0</v>
      </c>
      <c r="GV159">
        <f t="shared" ca="1" si="580"/>
        <v>4355</v>
      </c>
      <c r="GW159">
        <f t="shared" ca="1" si="581"/>
        <v>0</v>
      </c>
      <c r="GX159">
        <f t="shared" ca="1" si="582"/>
        <v>0</v>
      </c>
      <c r="GY159">
        <f t="shared" ca="1" si="583"/>
        <v>0</v>
      </c>
    </row>
    <row r="160" spans="1:207" x14ac:dyDescent="0.25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78"/>
        <v>6800</v>
      </c>
      <c r="I160">
        <f>_xlfn.XLOOKUP(B160,'[1]march-2026'!$A:$A,'[1]march-2026'!$C:$C,0,0)</f>
        <v>48700</v>
      </c>
      <c r="J160">
        <f t="shared" si="542"/>
        <v>8766</v>
      </c>
      <c r="K160">
        <f t="shared" si="479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0"/>
        <v>64210</v>
      </c>
      <c r="O160">
        <f>_xlfn.XLOOKUP(B160,'[1]march-2026'!$A:$A,'[1]march-2026'!$H:$H,0,0)</f>
        <v>8000</v>
      </c>
      <c r="P160">
        <f>_xlfn.XLOOKUP(B160,'[1]march-2026'!$A:$A,'[1]march-2026'!$I:$I,0,0)</f>
        <v>60</v>
      </c>
      <c r="Q160">
        <f t="shared" si="481"/>
        <v>200</v>
      </c>
      <c r="R160">
        <f t="shared" si="482"/>
        <v>55950</v>
      </c>
      <c r="S160">
        <f>_xlfn.XLOOKUP(B160,'[2]april-2026'!$A:$A,'[2]april-2026'!$C:$C,0,0)</f>
        <v>48700</v>
      </c>
      <c r="T160">
        <f t="shared" si="483"/>
        <v>8766</v>
      </c>
      <c r="U160">
        <f t="shared" si="484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85"/>
        <v>64210</v>
      </c>
      <c r="Y160">
        <f>_xlfn.XLOOKUP(B160,'[2]april-2026'!$A:$A,'[2]april-2026'!$H:$H,0,0)</f>
        <v>8000</v>
      </c>
      <c r="Z160">
        <f>_xlfn.XLOOKUP(B160,'[2]april-2026'!$A:$A,'[2]april-2026'!$I:$I,0,0)</f>
        <v>60</v>
      </c>
      <c r="AA160">
        <f t="shared" si="486"/>
        <v>200</v>
      </c>
      <c r="AB160">
        <f t="shared" si="487"/>
        <v>55950</v>
      </c>
      <c r="AC160">
        <f>_xlfn.XLOOKUP(B160,'[3]may-2026'!$A:$A,'[3]may-2026'!$C:$C,0,0)</f>
        <v>48700</v>
      </c>
      <c r="AD160">
        <f t="shared" si="488"/>
        <v>8766</v>
      </c>
      <c r="AE160">
        <f t="shared" si="489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0"/>
        <v>64210</v>
      </c>
      <c r="AI160">
        <f>_xlfn.XLOOKUP(B160,'[3]may-2026'!$A:$A,'[3]may-2026'!$H:$H,0,0)</f>
        <v>8000</v>
      </c>
      <c r="AJ160">
        <f>_xlfn.XLOOKUP(B160,'[3]may-2026'!$A:$A,'[3]may-2026'!$I:$I,0,0)</f>
        <v>60</v>
      </c>
      <c r="AK160">
        <f t="shared" si="491"/>
        <v>200</v>
      </c>
      <c r="AL160">
        <f t="shared" si="492"/>
        <v>55950</v>
      </c>
      <c r="AM160">
        <f>_xlfn.XLOOKUP(B160,'[4]june-2026'!$A:$A,'[4]june-2026'!$C:$C,0,0)</f>
        <v>48700</v>
      </c>
      <c r="AN160">
        <f t="shared" si="493"/>
        <v>8766</v>
      </c>
      <c r="AO160">
        <f t="shared" si="494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495"/>
        <v>64210</v>
      </c>
      <c r="AS160">
        <f>_xlfn.XLOOKUP(B160,'[4]june-2026'!$A:$A,'[4]june-2026'!$H:$H,0,0)</f>
        <v>8000</v>
      </c>
      <c r="AT160">
        <f>_xlfn.XLOOKUP(B160,'[4]june-2026'!$A:$A,'[4]june-2026'!$I:$I,0,0)</f>
        <v>60</v>
      </c>
      <c r="AU160">
        <f t="shared" si="496"/>
        <v>200</v>
      </c>
      <c r="AV160">
        <f t="shared" si="497"/>
        <v>55950</v>
      </c>
      <c r="AW160">
        <f>_xlfn.XLOOKUP(B160,'[5]july-2026'!$A:$A,'[5]july-2026'!$C:$C,0,0)</f>
        <v>50200</v>
      </c>
      <c r="AX160">
        <f t="shared" si="498"/>
        <v>9036</v>
      </c>
      <c r="AY160">
        <v>158</v>
      </c>
      <c r="AZ160">
        <f t="shared" si="499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0"/>
        <v>66318</v>
      </c>
      <c r="BD160">
        <f>_xlfn.XLOOKUP(B160,'[5]july-2026'!$A:$A,'[5]july-2026'!$H:$H,0,0)</f>
        <v>8000</v>
      </c>
      <c r="BE160">
        <f>_xlfn.XLOOKUP(B160,'[5]july-2026'!$A:$A,'[5]july-2026'!$I:$I,0,0)</f>
        <v>60</v>
      </c>
      <c r="BF160">
        <f t="shared" si="501"/>
        <v>200</v>
      </c>
      <c r="BG160">
        <f t="shared" si="502"/>
        <v>58058</v>
      </c>
      <c r="BH160">
        <f>_xlfn.XLOOKUP(B160,'[6]august-2026'!$A:$A,'[6]august-2026'!$C:$C,0,0)</f>
        <v>50200</v>
      </c>
      <c r="BI160">
        <f t="shared" si="503"/>
        <v>9036</v>
      </c>
      <c r="BJ160">
        <f t="shared" si="504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05"/>
        <v>66160</v>
      </c>
      <c r="BN160">
        <f>_xlfn.XLOOKUP(B160,'[6]august-2026'!$A:$A,'[6]august-2026'!$H:$H,0,0)</f>
        <v>8000</v>
      </c>
      <c r="BO160">
        <f>_xlfn.XLOOKUP(B160,'[6]august-2026'!$A:$A,'[6]august-2026'!$I:$I,0,0)</f>
        <v>60</v>
      </c>
      <c r="BP160">
        <f t="shared" si="506"/>
        <v>200</v>
      </c>
      <c r="BQ160">
        <f t="shared" si="507"/>
        <v>57900</v>
      </c>
      <c r="BR160">
        <f>_xlfn.XLOOKUP(B160,'[7]september-2026'!$A:$A,'[7]september-2026'!$C:$C,0,0)</f>
        <v>50200</v>
      </c>
      <c r="BS160">
        <f t="shared" si="508"/>
        <v>9036</v>
      </c>
      <c r="BT160">
        <f t="shared" si="509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0"/>
        <v>66160</v>
      </c>
      <c r="BX160">
        <f>_xlfn.XLOOKUP(B160,'[7]september-2026'!$A:$A,'[7]september-2026'!$H:$H,0,0)</f>
        <v>8000</v>
      </c>
      <c r="BY160">
        <f>_xlfn.XLOOKUP(B160,'[7]september-2026'!$A:$A,'[7]september-2026'!$I:$I,0,0)</f>
        <v>60</v>
      </c>
      <c r="BZ160">
        <f t="shared" si="511"/>
        <v>200</v>
      </c>
      <c r="CA160">
        <f t="shared" si="512"/>
        <v>57900</v>
      </c>
      <c r="CB160">
        <f>_xlfn.XLOOKUP(B160,'[8]october-2026'!$A:$A,'[8]october-2026'!$C:$C,0,0)</f>
        <v>50200</v>
      </c>
      <c r="CC160">
        <f t="shared" si="513"/>
        <v>9036</v>
      </c>
      <c r="CD160">
        <f t="shared" si="514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15"/>
        <v>66160</v>
      </c>
      <c r="CH160">
        <f>_xlfn.XLOOKUP(B160,'[8]october-2026'!$A:$A,'[8]october-2026'!$H:$H,0,0)</f>
        <v>8000</v>
      </c>
      <c r="CI160">
        <f>_xlfn.XLOOKUP(B160,'[8]october-2026'!$A:$A,'[8]october-2026'!$I:$I,0,0)</f>
        <v>60</v>
      </c>
      <c r="CJ160">
        <f t="shared" si="516"/>
        <v>200</v>
      </c>
      <c r="CK160">
        <f t="shared" si="517"/>
        <v>57900</v>
      </c>
      <c r="CL160">
        <f>_xlfn.XLOOKUP(B160,'[9]november-2026'!$A:$A,'[9]november-2026'!$C:$C,0,0)</f>
        <v>50200</v>
      </c>
      <c r="CM160">
        <f t="shared" si="518"/>
        <v>9036</v>
      </c>
      <c r="CN160">
        <f t="shared" si="519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0"/>
        <v>66160</v>
      </c>
      <c r="CR160">
        <f>_xlfn.XLOOKUP(B160,'[9]november-2026'!$A:$A,'[9]november-2026'!$H:$H,0,0)</f>
        <v>8000</v>
      </c>
      <c r="CS160">
        <f>_xlfn.XLOOKUP(B160,'[9]november-2026'!$A:$A,'[9]november-2026'!$I:$I,0,0)</f>
        <v>60</v>
      </c>
      <c r="CT160">
        <f t="shared" si="521"/>
        <v>200</v>
      </c>
      <c r="CU160">
        <f t="shared" si="522"/>
        <v>57900</v>
      </c>
      <c r="CV160">
        <f>_xlfn.XLOOKUP(B160,'[10]december-2026'!$A:$A,'[10]december-2026'!$C:$C,0,0)</f>
        <v>50200</v>
      </c>
      <c r="CW160">
        <f t="shared" si="523"/>
        <v>9036</v>
      </c>
      <c r="CX160">
        <f t="shared" si="524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25"/>
        <v>66160</v>
      </c>
      <c r="DB160">
        <f>_xlfn.XLOOKUP(B160,'[10]december-2026'!$A:$A,'[10]december-2026'!$H:$H,0,0)</f>
        <v>8000</v>
      </c>
      <c r="DC160">
        <f>_xlfn.XLOOKUP(B160,'[10]december-2026'!$A:$A,'[10]december-2026'!$I:$I,0,0)</f>
        <v>60</v>
      </c>
      <c r="DD160">
        <f t="shared" si="526"/>
        <v>200</v>
      </c>
      <c r="DE160">
        <f t="shared" si="527"/>
        <v>57900</v>
      </c>
      <c r="DF160">
        <f xml:space="preserve"> _xlfn.XLOOKUP(B160,
'[11]january-2027'!$A:$A,
'[11]january-2027'!$C:$C,
0,0)</f>
        <v>50200</v>
      </c>
      <c r="DG160">
        <f t="shared" si="528"/>
        <v>9036</v>
      </c>
      <c r="DH160">
        <f t="shared" si="529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0"/>
        <v>66160</v>
      </c>
      <c r="DL160">
        <f xml:space="preserve"> _xlfn.XLOOKUP(B160,
'[11]january-2027'!$A:$A,
'[11]january-2027'!$H:$H,
0,0)</f>
        <v>8000</v>
      </c>
      <c r="DM160">
        <f xml:space="preserve"> _xlfn.XLOOKUP(B160,
'[11]january-2027'!$A:$A,
'[11]january-2027'!$I:$I,
0,0)</f>
        <v>60</v>
      </c>
      <c r="DN160">
        <f t="shared" si="531"/>
        <v>200</v>
      </c>
      <c r="DO160">
        <f t="shared" si="532"/>
        <v>57900</v>
      </c>
      <c r="DP160">
        <f xml:space="preserve"> _xlfn.XLOOKUP(B160,
'[12]february-2027'!$A:$A,
'[12]february-2027'!$C:$C,
0,0)</f>
        <v>50200</v>
      </c>
      <c r="DQ160">
        <f t="shared" si="533"/>
        <v>9036</v>
      </c>
      <c r="DR160">
        <f t="shared" si="534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35"/>
        <v>66160</v>
      </c>
      <c r="DV160">
        <f xml:space="preserve"> _xlfn.XLOOKUP(B160,
'[12]february-2027'!$A:$A,
'[12]february-2027'!$H:$H,
0,0)</f>
        <v>8000</v>
      </c>
      <c r="DW160">
        <f xml:space="preserve"> _xlfn.XLOOKUP(B160,
'[12]february-2027'!$A:$A,
'[12]february-2027'!$I:$I,
0,0)</f>
        <v>60</v>
      </c>
      <c r="DX160">
        <f t="shared" si="536"/>
        <v>200</v>
      </c>
      <c r="DY160">
        <f t="shared" si="537"/>
        <v>57900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38"/>
        <v>0</v>
      </c>
      <c r="EM160">
        <f t="shared" si="539"/>
        <v>793078</v>
      </c>
      <c r="EN160">
        <f t="shared" si="540"/>
        <v>2400</v>
      </c>
      <c r="EO160">
        <f t="shared" si="541"/>
        <v>50000</v>
      </c>
      <c r="EP160">
        <v>0</v>
      </c>
      <c r="EQ160">
        <f t="shared" si="543"/>
        <v>740678</v>
      </c>
      <c r="ER160">
        <f t="shared" si="544"/>
        <v>96000</v>
      </c>
      <c r="ES160">
        <f t="shared" si="545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46"/>
        <v>96720</v>
      </c>
      <c r="FE160">
        <f t="shared" si="547"/>
        <v>96720</v>
      </c>
      <c r="FF160">
        <f t="shared" si="548"/>
        <v>643958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>SUM(FG160:FM160)+(IF(F160="YES",50000,0))</f>
        <v>0</v>
      </c>
      <c r="FO160">
        <f t="shared" si="549"/>
        <v>643958</v>
      </c>
      <c r="FP160">
        <f t="shared" si="550"/>
        <v>12500</v>
      </c>
      <c r="FQ160">
        <f t="shared" si="551"/>
        <v>28792</v>
      </c>
      <c r="FR160">
        <f t="shared" si="552"/>
        <v>41292</v>
      </c>
      <c r="FS160">
        <f t="shared" si="553"/>
        <v>41292</v>
      </c>
      <c r="FT160">
        <f t="shared" si="554"/>
        <v>1651.68</v>
      </c>
      <c r="FU160">
        <f t="shared" si="555"/>
        <v>42944</v>
      </c>
      <c r="FV160">
        <v>0</v>
      </c>
      <c r="FW160">
        <f t="shared" si="556"/>
        <v>42944</v>
      </c>
      <c r="FX160" t="b">
        <f t="shared" si="557"/>
        <v>1</v>
      </c>
      <c r="FY160">
        <f t="shared" ca="1" si="558"/>
        <v>998</v>
      </c>
      <c r="FZ160">
        <f t="shared" ca="1" si="559"/>
        <v>794076</v>
      </c>
      <c r="GA160">
        <f t="shared" si="560"/>
        <v>75000</v>
      </c>
      <c r="GB160">
        <f t="shared" ca="1" si="561"/>
        <v>719076</v>
      </c>
      <c r="GC160">
        <f t="shared" ca="1" si="562"/>
        <v>0</v>
      </c>
      <c r="GD160">
        <f t="shared" ca="1" si="563"/>
        <v>0</v>
      </c>
      <c r="GE160">
        <f t="shared" ca="1" si="564"/>
        <v>0</v>
      </c>
      <c r="GF160">
        <f t="shared" ca="1" si="565"/>
        <v>0</v>
      </c>
      <c r="GG160">
        <f t="shared" ca="1" si="566"/>
        <v>0</v>
      </c>
      <c r="GH160">
        <f t="shared" ca="1" si="567"/>
        <v>0</v>
      </c>
      <c r="GI160">
        <f ca="1">IF(GB160&gt;1200000,GB160-1200000-IF(F160="YES",50000,0)-GG160,0)</f>
        <v>0</v>
      </c>
      <c r="GJ160">
        <f t="shared" ca="1" si="568"/>
        <v>0</v>
      </c>
      <c r="GK160">
        <f t="shared" ca="1" si="569"/>
        <v>0</v>
      </c>
      <c r="GL160">
        <f t="shared" ca="1" si="570"/>
        <v>0</v>
      </c>
      <c r="GM160">
        <f t="shared" ca="1" si="571"/>
        <v>319076</v>
      </c>
      <c r="GN160">
        <f t="shared" ca="1" si="572"/>
        <v>15953.800000000001</v>
      </c>
      <c r="GO160">
        <f t="shared" ca="1" si="573"/>
        <v>15954</v>
      </c>
      <c r="GP160">
        <f t="shared" ca="1" si="574"/>
        <v>0</v>
      </c>
      <c r="GQ160">
        <f t="shared" ca="1" si="575"/>
        <v>0</v>
      </c>
      <c r="GR160">
        <f t="shared" ca="1" si="576"/>
        <v>15954</v>
      </c>
      <c r="GS160">
        <f t="shared" ca="1" si="577"/>
        <v>0</v>
      </c>
      <c r="GT160" t="b">
        <f t="shared" ca="1" si="578"/>
        <v>0</v>
      </c>
      <c r="GU160">
        <f t="shared" ca="1" si="579"/>
        <v>0</v>
      </c>
      <c r="GV160">
        <f t="shared" ca="1" si="580"/>
        <v>15954</v>
      </c>
      <c r="GW160">
        <f t="shared" ca="1" si="581"/>
        <v>0</v>
      </c>
      <c r="GX160">
        <f t="shared" ca="1" si="582"/>
        <v>0</v>
      </c>
      <c r="GY160">
        <f t="shared" ca="1" si="583"/>
        <v>0</v>
      </c>
    </row>
    <row r="161" spans="1:207" x14ac:dyDescent="0.25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78"/>
        <v>6800</v>
      </c>
      <c r="I161">
        <f>_xlfn.XLOOKUP(B161,'[1]march-2026'!$A:$A,'[1]march-2026'!$C:$C,0,0)</f>
        <v>35500</v>
      </c>
      <c r="J161">
        <f t="shared" si="542"/>
        <v>6390</v>
      </c>
      <c r="K161">
        <f t="shared" si="479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0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1"/>
        <v>200</v>
      </c>
      <c r="R161">
        <f t="shared" si="482"/>
        <v>41450</v>
      </c>
      <c r="S161">
        <f>_xlfn.XLOOKUP(B161,'[2]april-2026'!$A:$A,'[2]april-2026'!$C:$C,0,0)</f>
        <v>35500</v>
      </c>
      <c r="T161">
        <f t="shared" si="483"/>
        <v>6390</v>
      </c>
      <c r="U161">
        <f t="shared" si="484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85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86"/>
        <v>200</v>
      </c>
      <c r="AB161">
        <f t="shared" si="487"/>
        <v>41450</v>
      </c>
      <c r="AC161">
        <f>_xlfn.XLOOKUP(B161,'[3]may-2026'!$A:$A,'[3]may-2026'!$C:$C,0,0)</f>
        <v>35500</v>
      </c>
      <c r="AD161">
        <f t="shared" si="488"/>
        <v>6390</v>
      </c>
      <c r="AE161">
        <f t="shared" si="489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0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1"/>
        <v>200</v>
      </c>
      <c r="AL161">
        <f t="shared" si="492"/>
        <v>41450</v>
      </c>
      <c r="AM161">
        <f>_xlfn.XLOOKUP(B161,'[4]june-2026'!$A:$A,'[4]june-2026'!$C:$C,0,0)</f>
        <v>35500</v>
      </c>
      <c r="AN161">
        <f t="shared" si="493"/>
        <v>6390</v>
      </c>
      <c r="AO161">
        <f t="shared" si="494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495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496"/>
        <v>200</v>
      </c>
      <c r="AV161">
        <f t="shared" si="497"/>
        <v>41450</v>
      </c>
      <c r="AW161">
        <f>_xlfn.XLOOKUP(B161,'[5]july-2026'!$A:$A,'[5]july-2026'!$C:$C,0,0)</f>
        <v>36600</v>
      </c>
      <c r="AX161">
        <f t="shared" si="498"/>
        <v>6588</v>
      </c>
      <c r="AY161">
        <v>159</v>
      </c>
      <c r="AZ161">
        <f t="shared" si="499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0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1"/>
        <v>200</v>
      </c>
      <c r="BG161">
        <f t="shared" si="502"/>
        <v>43039</v>
      </c>
      <c r="BH161">
        <f>_xlfn.XLOOKUP(B161,'[6]august-2026'!$A:$A,'[6]august-2026'!$C:$C,0,0)</f>
        <v>36600</v>
      </c>
      <c r="BI161">
        <f t="shared" si="503"/>
        <v>6588</v>
      </c>
      <c r="BJ161">
        <f t="shared" si="504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05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06"/>
        <v>200</v>
      </c>
      <c r="BQ161">
        <f t="shared" si="507"/>
        <v>42880</v>
      </c>
      <c r="BR161">
        <f>_xlfn.XLOOKUP(B161,'[7]september-2026'!$A:$A,'[7]september-2026'!$C:$C,0,0)</f>
        <v>36600</v>
      </c>
      <c r="BS161">
        <f t="shared" si="508"/>
        <v>6588</v>
      </c>
      <c r="BT161">
        <f t="shared" si="509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0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1"/>
        <v>200</v>
      </c>
      <c r="CA161">
        <f t="shared" si="512"/>
        <v>42880</v>
      </c>
      <c r="CB161">
        <f>_xlfn.XLOOKUP(B161,'[8]october-2026'!$A:$A,'[8]october-2026'!$C:$C,0,0)</f>
        <v>36600</v>
      </c>
      <c r="CC161">
        <f t="shared" si="513"/>
        <v>6588</v>
      </c>
      <c r="CD161">
        <f t="shared" si="514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15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16"/>
        <v>200</v>
      </c>
      <c r="CK161">
        <f t="shared" si="517"/>
        <v>42880</v>
      </c>
      <c r="CL161">
        <f>_xlfn.XLOOKUP(B161,'[9]november-2026'!$A:$A,'[9]november-2026'!$C:$C,0,0)</f>
        <v>36600</v>
      </c>
      <c r="CM161">
        <f t="shared" si="518"/>
        <v>6588</v>
      </c>
      <c r="CN161">
        <f t="shared" si="519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0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1"/>
        <v>200</v>
      </c>
      <c r="CU161">
        <f t="shared" si="522"/>
        <v>42880</v>
      </c>
      <c r="CV161">
        <f>_xlfn.XLOOKUP(B161,'[10]december-2026'!$A:$A,'[10]december-2026'!$C:$C,0,0)</f>
        <v>36600</v>
      </c>
      <c r="CW161">
        <f t="shared" si="523"/>
        <v>6588</v>
      </c>
      <c r="CX161">
        <f t="shared" si="524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25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26"/>
        <v>200</v>
      </c>
      <c r="DE161">
        <f t="shared" si="527"/>
        <v>42880</v>
      </c>
      <c r="DF161">
        <f xml:space="preserve"> _xlfn.XLOOKUP(B161,
'[11]january-2027'!$A:$A,
'[11]january-2027'!$C:$C,
0,0)</f>
        <v>36600</v>
      </c>
      <c r="DG161">
        <f t="shared" si="528"/>
        <v>6588</v>
      </c>
      <c r="DH161">
        <f t="shared" si="529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0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1"/>
        <v>200</v>
      </c>
      <c r="DO161">
        <f t="shared" si="532"/>
        <v>42880</v>
      </c>
      <c r="DP161">
        <f xml:space="preserve"> _xlfn.XLOOKUP(B161,
'[12]february-2027'!$A:$A,
'[12]february-2027'!$C:$C,
0,0)</f>
        <v>36600</v>
      </c>
      <c r="DQ161">
        <f t="shared" si="533"/>
        <v>6588</v>
      </c>
      <c r="DR161">
        <f t="shared" si="534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35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36"/>
        <v>200</v>
      </c>
      <c r="DY161">
        <f t="shared" si="537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38"/>
        <v>0</v>
      </c>
      <c r="EM161">
        <f t="shared" si="539"/>
        <v>578199</v>
      </c>
      <c r="EN161">
        <f t="shared" si="540"/>
        <v>2400</v>
      </c>
      <c r="EO161">
        <f t="shared" si="541"/>
        <v>50000</v>
      </c>
      <c r="EP161">
        <v>0</v>
      </c>
      <c r="EQ161">
        <f t="shared" si="543"/>
        <v>525799</v>
      </c>
      <c r="ER161">
        <f t="shared" si="544"/>
        <v>60000</v>
      </c>
      <c r="ES161">
        <f t="shared" si="545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46"/>
        <v>60000</v>
      </c>
      <c r="FE161">
        <f t="shared" si="547"/>
        <v>60000</v>
      </c>
      <c r="FF161">
        <f t="shared" si="548"/>
        <v>465799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>SUM(FG161:FM161)+(IF(F161="YES",50000,0))</f>
        <v>0</v>
      </c>
      <c r="FO161">
        <f t="shared" si="549"/>
        <v>465799</v>
      </c>
      <c r="FP161">
        <f t="shared" si="550"/>
        <v>10790</v>
      </c>
      <c r="FQ161">
        <f t="shared" si="551"/>
        <v>0</v>
      </c>
      <c r="FR161">
        <f t="shared" si="552"/>
        <v>10790</v>
      </c>
      <c r="FS161">
        <f t="shared" si="553"/>
        <v>0</v>
      </c>
      <c r="FT161">
        <f t="shared" si="554"/>
        <v>0</v>
      </c>
      <c r="FU161">
        <f t="shared" si="555"/>
        <v>0</v>
      </c>
      <c r="FV161">
        <v>0</v>
      </c>
      <c r="FW161">
        <f t="shared" si="556"/>
        <v>0</v>
      </c>
      <c r="FX161" t="b">
        <f t="shared" si="557"/>
        <v>1</v>
      </c>
      <c r="FY161">
        <f t="shared" ca="1" si="558"/>
        <v>696</v>
      </c>
      <c r="FZ161">
        <f t="shared" ca="1" si="559"/>
        <v>578895</v>
      </c>
      <c r="GA161">
        <f t="shared" si="560"/>
        <v>75000</v>
      </c>
      <c r="GB161">
        <f t="shared" ca="1" si="561"/>
        <v>503895</v>
      </c>
      <c r="GC161">
        <f t="shared" ca="1" si="562"/>
        <v>0</v>
      </c>
      <c r="GD161">
        <f t="shared" ca="1" si="563"/>
        <v>0</v>
      </c>
      <c r="GE161">
        <f t="shared" ca="1" si="564"/>
        <v>0</v>
      </c>
      <c r="GF161">
        <f t="shared" ca="1" si="565"/>
        <v>0</v>
      </c>
      <c r="GG161">
        <f t="shared" ca="1" si="566"/>
        <v>0</v>
      </c>
      <c r="GH161">
        <f t="shared" ca="1" si="567"/>
        <v>0</v>
      </c>
      <c r="GI161">
        <f ca="1">IF(GB161&gt;1200000,GB161-1200000-IF(F161="YES",50000,0)-GG161,0)</f>
        <v>0</v>
      </c>
      <c r="GJ161">
        <f t="shared" ca="1" si="568"/>
        <v>0</v>
      </c>
      <c r="GK161">
        <f t="shared" ca="1" si="569"/>
        <v>0</v>
      </c>
      <c r="GL161">
        <f t="shared" ca="1" si="570"/>
        <v>0</v>
      </c>
      <c r="GM161">
        <f t="shared" ca="1" si="571"/>
        <v>103895</v>
      </c>
      <c r="GN161">
        <f t="shared" ca="1" si="572"/>
        <v>5194.75</v>
      </c>
      <c r="GO161">
        <f t="shared" ca="1" si="573"/>
        <v>5195</v>
      </c>
      <c r="GP161">
        <f t="shared" ca="1" si="574"/>
        <v>0</v>
      </c>
      <c r="GQ161">
        <f t="shared" ca="1" si="575"/>
        <v>0</v>
      </c>
      <c r="GR161">
        <f t="shared" ca="1" si="576"/>
        <v>5195</v>
      </c>
      <c r="GS161">
        <f t="shared" ca="1" si="577"/>
        <v>0</v>
      </c>
      <c r="GT161" t="b">
        <f t="shared" ca="1" si="578"/>
        <v>0</v>
      </c>
      <c r="GU161">
        <f t="shared" ca="1" si="579"/>
        <v>0</v>
      </c>
      <c r="GV161">
        <f t="shared" ca="1" si="580"/>
        <v>5195</v>
      </c>
      <c r="GW161">
        <f t="shared" ca="1" si="581"/>
        <v>0</v>
      </c>
      <c r="GX161">
        <f t="shared" ca="1" si="582"/>
        <v>0</v>
      </c>
      <c r="GY161">
        <f t="shared" ca="1" si="583"/>
        <v>0</v>
      </c>
    </row>
    <row r="162" spans="1:207" x14ac:dyDescent="0.25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78"/>
        <v>6800</v>
      </c>
      <c r="I162">
        <f>_xlfn.XLOOKUP(B162,'[1]march-2026'!$A:$A,'[1]march-2026'!$C:$C,0,0)</f>
        <v>35500</v>
      </c>
      <c r="J162">
        <f t="shared" si="542"/>
        <v>6390</v>
      </c>
      <c r="K162">
        <f t="shared" si="479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0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1"/>
        <v>200</v>
      </c>
      <c r="R162">
        <f t="shared" si="482"/>
        <v>39950</v>
      </c>
      <c r="S162">
        <f>_xlfn.XLOOKUP(B162,'[2]april-2026'!$A:$A,'[2]april-2026'!$C:$C,0,0)</f>
        <v>35500</v>
      </c>
      <c r="T162">
        <f t="shared" si="483"/>
        <v>6390</v>
      </c>
      <c r="U162">
        <f t="shared" si="484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85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86"/>
        <v>200</v>
      </c>
      <c r="AB162">
        <f t="shared" si="487"/>
        <v>39950</v>
      </c>
      <c r="AC162">
        <f>_xlfn.XLOOKUP(B162,'[3]may-2026'!$A:$A,'[3]may-2026'!$C:$C,0,0)</f>
        <v>35500</v>
      </c>
      <c r="AD162">
        <f t="shared" si="488"/>
        <v>6390</v>
      </c>
      <c r="AE162">
        <f t="shared" si="489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0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1"/>
        <v>200</v>
      </c>
      <c r="AL162">
        <f t="shared" si="492"/>
        <v>39950</v>
      </c>
      <c r="AM162">
        <f>_xlfn.XLOOKUP(B162,'[4]june-2026'!$A:$A,'[4]june-2026'!$C:$C,0,0)</f>
        <v>35500</v>
      </c>
      <c r="AN162">
        <f t="shared" si="493"/>
        <v>6390</v>
      </c>
      <c r="AO162">
        <f t="shared" si="494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495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496"/>
        <v>200</v>
      </c>
      <c r="AV162">
        <f t="shared" si="497"/>
        <v>39950</v>
      </c>
      <c r="AW162">
        <f>_xlfn.XLOOKUP(B162,'[5]july-2026'!$A:$A,'[5]july-2026'!$C:$C,0,0)</f>
        <v>36600</v>
      </c>
      <c r="AX162">
        <f t="shared" si="498"/>
        <v>6588</v>
      </c>
      <c r="AY162">
        <v>160</v>
      </c>
      <c r="AZ162">
        <f t="shared" si="499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0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1"/>
        <v>200</v>
      </c>
      <c r="BG162">
        <f t="shared" si="502"/>
        <v>41540</v>
      </c>
      <c r="BH162">
        <f>_xlfn.XLOOKUP(B162,'[6]august-2026'!$A:$A,'[6]august-2026'!$C:$C,0,0)</f>
        <v>36600</v>
      </c>
      <c r="BI162">
        <f t="shared" si="503"/>
        <v>6588</v>
      </c>
      <c r="BJ162">
        <f t="shared" si="504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05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06"/>
        <v>200</v>
      </c>
      <c r="BQ162">
        <f t="shared" si="507"/>
        <v>41380</v>
      </c>
      <c r="BR162">
        <f>_xlfn.XLOOKUP(B162,'[7]september-2026'!$A:$A,'[7]september-2026'!$C:$C,0,0)</f>
        <v>36600</v>
      </c>
      <c r="BS162">
        <f t="shared" si="508"/>
        <v>6588</v>
      </c>
      <c r="BT162">
        <f t="shared" si="509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0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1"/>
        <v>200</v>
      </c>
      <c r="CA162">
        <f t="shared" si="512"/>
        <v>41380</v>
      </c>
      <c r="CB162">
        <f>_xlfn.XLOOKUP(B162,'[8]october-2026'!$A:$A,'[8]october-2026'!$C:$C,0,0)</f>
        <v>36600</v>
      </c>
      <c r="CC162">
        <f t="shared" si="513"/>
        <v>6588</v>
      </c>
      <c r="CD162">
        <f t="shared" si="514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15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16"/>
        <v>200</v>
      </c>
      <c r="CK162">
        <f t="shared" si="517"/>
        <v>41380</v>
      </c>
      <c r="CL162">
        <f>_xlfn.XLOOKUP(B162,'[9]november-2026'!$A:$A,'[9]november-2026'!$C:$C,0,0)</f>
        <v>36600</v>
      </c>
      <c r="CM162">
        <f t="shared" si="518"/>
        <v>6588</v>
      </c>
      <c r="CN162">
        <f t="shared" si="519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0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1"/>
        <v>200</v>
      </c>
      <c r="CU162">
        <f t="shared" si="522"/>
        <v>41380</v>
      </c>
      <c r="CV162">
        <f>_xlfn.XLOOKUP(B162,'[10]december-2026'!$A:$A,'[10]december-2026'!$C:$C,0,0)</f>
        <v>36600</v>
      </c>
      <c r="CW162">
        <f t="shared" si="523"/>
        <v>6588</v>
      </c>
      <c r="CX162">
        <f t="shared" si="524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25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26"/>
        <v>200</v>
      </c>
      <c r="DE162">
        <f t="shared" si="527"/>
        <v>41380</v>
      </c>
      <c r="DF162">
        <f xml:space="preserve"> _xlfn.XLOOKUP(B162,
'[11]january-2027'!$A:$A,
'[11]january-2027'!$C:$C,
0,0)</f>
        <v>36600</v>
      </c>
      <c r="DG162">
        <f t="shared" si="528"/>
        <v>6588</v>
      </c>
      <c r="DH162">
        <f t="shared" si="529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0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1"/>
        <v>200</v>
      </c>
      <c r="DO162">
        <f t="shared" si="532"/>
        <v>41380</v>
      </c>
      <c r="DP162">
        <f xml:space="preserve"> _xlfn.XLOOKUP(B162,
'[12]february-2027'!$A:$A,
'[12]february-2027'!$C:$C,
0,0)</f>
        <v>36600</v>
      </c>
      <c r="DQ162">
        <f t="shared" si="533"/>
        <v>6588</v>
      </c>
      <c r="DR162">
        <f t="shared" si="534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35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36"/>
        <v>200</v>
      </c>
      <c r="DY162">
        <f t="shared" si="537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38"/>
        <v>0</v>
      </c>
      <c r="EM162">
        <f t="shared" si="539"/>
        <v>572200</v>
      </c>
      <c r="EN162">
        <f t="shared" si="540"/>
        <v>2400</v>
      </c>
      <c r="EO162">
        <f t="shared" si="541"/>
        <v>50000</v>
      </c>
      <c r="EP162">
        <v>0</v>
      </c>
      <c r="EQ162">
        <f t="shared" si="543"/>
        <v>519800</v>
      </c>
      <c r="ER162">
        <f t="shared" si="544"/>
        <v>72000</v>
      </c>
      <c r="ES162">
        <f t="shared" si="545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46"/>
        <v>72000</v>
      </c>
      <c r="FE162">
        <f t="shared" si="547"/>
        <v>72000</v>
      </c>
      <c r="FF162">
        <f t="shared" si="548"/>
        <v>447800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>SUM(FG162:FM162)+(IF(F162="YES",50000,0))</f>
        <v>0</v>
      </c>
      <c r="FO162">
        <f t="shared" si="549"/>
        <v>447800</v>
      </c>
      <c r="FP162">
        <f t="shared" si="550"/>
        <v>9890</v>
      </c>
      <c r="FQ162">
        <f t="shared" si="551"/>
        <v>0</v>
      </c>
      <c r="FR162">
        <f t="shared" si="552"/>
        <v>9890</v>
      </c>
      <c r="FS162">
        <f t="shared" si="553"/>
        <v>0</v>
      </c>
      <c r="FT162">
        <f t="shared" si="554"/>
        <v>0</v>
      </c>
      <c r="FU162">
        <f t="shared" si="555"/>
        <v>0</v>
      </c>
      <c r="FV162">
        <v>0</v>
      </c>
      <c r="FW162">
        <f t="shared" si="556"/>
        <v>0</v>
      </c>
      <c r="FX162" t="b">
        <f t="shared" si="557"/>
        <v>1</v>
      </c>
      <c r="FY162">
        <f t="shared" ca="1" si="558"/>
        <v>542</v>
      </c>
      <c r="FZ162">
        <f t="shared" ca="1" si="559"/>
        <v>572742</v>
      </c>
      <c r="GA162">
        <f t="shared" si="560"/>
        <v>75000</v>
      </c>
      <c r="GB162">
        <f t="shared" ca="1" si="561"/>
        <v>497742</v>
      </c>
      <c r="GC162">
        <f t="shared" ca="1" si="562"/>
        <v>0</v>
      </c>
      <c r="GD162">
        <f t="shared" ca="1" si="563"/>
        <v>0</v>
      </c>
      <c r="GE162">
        <f t="shared" ca="1" si="564"/>
        <v>0</v>
      </c>
      <c r="GF162">
        <f t="shared" ca="1" si="565"/>
        <v>0</v>
      </c>
      <c r="GG162">
        <f t="shared" ca="1" si="566"/>
        <v>0</v>
      </c>
      <c r="GH162">
        <f t="shared" ca="1" si="567"/>
        <v>0</v>
      </c>
      <c r="GI162">
        <f ca="1">IF(GB162&gt;1200000,GB162-1200000-IF(F162="YES",50000,0)-GG162,0)</f>
        <v>0</v>
      </c>
      <c r="GJ162">
        <f t="shared" ca="1" si="568"/>
        <v>0</v>
      </c>
      <c r="GK162">
        <f t="shared" ca="1" si="569"/>
        <v>0</v>
      </c>
      <c r="GL162">
        <f t="shared" ca="1" si="570"/>
        <v>0</v>
      </c>
      <c r="GM162">
        <f t="shared" ca="1" si="571"/>
        <v>97742</v>
      </c>
      <c r="GN162">
        <f t="shared" ca="1" si="572"/>
        <v>4887.1000000000004</v>
      </c>
      <c r="GO162">
        <f t="shared" ca="1" si="573"/>
        <v>4887</v>
      </c>
      <c r="GP162">
        <f t="shared" ca="1" si="574"/>
        <v>0</v>
      </c>
      <c r="GQ162">
        <f t="shared" ca="1" si="575"/>
        <v>0</v>
      </c>
      <c r="GR162">
        <f t="shared" ca="1" si="576"/>
        <v>4887</v>
      </c>
      <c r="GS162">
        <f t="shared" ca="1" si="577"/>
        <v>0</v>
      </c>
      <c r="GT162" t="b">
        <f t="shared" ca="1" si="578"/>
        <v>0</v>
      </c>
      <c r="GU162">
        <f t="shared" ca="1" si="579"/>
        <v>0</v>
      </c>
      <c r="GV162">
        <f t="shared" ca="1" si="580"/>
        <v>4887</v>
      </c>
      <c r="GW162">
        <f t="shared" ca="1" si="581"/>
        <v>0</v>
      </c>
      <c r="GX162">
        <f t="shared" ca="1" si="582"/>
        <v>0</v>
      </c>
      <c r="GY162">
        <f t="shared" ca="1" si="583"/>
        <v>0</v>
      </c>
    </row>
    <row r="163" spans="1:207" x14ac:dyDescent="0.25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78"/>
        <v>6800</v>
      </c>
      <c r="I163">
        <f>_xlfn.XLOOKUP(B163,'[1]march-2026'!$A:$A,'[1]march-2026'!$C:$C,0,0)</f>
        <v>29800</v>
      </c>
      <c r="J163">
        <f t="shared" si="542"/>
        <v>5364</v>
      </c>
      <c r="K163">
        <f t="shared" si="479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0"/>
        <v>39240</v>
      </c>
      <c r="O163">
        <f>_xlfn.XLOOKUP(B163,'[1]march-2026'!$A:$A,'[1]march-2026'!$H:$H,0,0)</f>
        <v>4000</v>
      </c>
      <c r="P163">
        <f>_xlfn.XLOOKUP(B163,'[1]march-2026'!$A:$A,'[1]march-2026'!$I:$I,0,0)</f>
        <v>0</v>
      </c>
      <c r="Q163">
        <f t="shared" si="481"/>
        <v>150</v>
      </c>
      <c r="R163">
        <f t="shared" si="482"/>
        <v>35090</v>
      </c>
      <c r="S163">
        <f>_xlfn.XLOOKUP(B163,'[2]april-2026'!$A:$A,'[2]april-2026'!$C:$C,0,0)</f>
        <v>29800</v>
      </c>
      <c r="T163">
        <f t="shared" si="483"/>
        <v>5364</v>
      </c>
      <c r="U163">
        <f t="shared" si="484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85"/>
        <v>39240</v>
      </c>
      <c r="Y163">
        <f>_xlfn.XLOOKUP(B163,'[2]april-2026'!$A:$A,'[2]april-2026'!$H:$H,0,0)</f>
        <v>4000</v>
      </c>
      <c r="Z163">
        <f>_xlfn.XLOOKUP(B163,'[2]april-2026'!$A:$A,'[2]april-2026'!$I:$I,0,0)</f>
        <v>0</v>
      </c>
      <c r="AA163">
        <f t="shared" si="486"/>
        <v>150</v>
      </c>
      <c r="AB163">
        <f t="shared" si="487"/>
        <v>35090</v>
      </c>
      <c r="AC163">
        <f>_xlfn.XLOOKUP(B163,'[3]may-2026'!$A:$A,'[3]may-2026'!$C:$C,0,0)</f>
        <v>29800</v>
      </c>
      <c r="AD163">
        <f t="shared" si="488"/>
        <v>5364</v>
      </c>
      <c r="AE163">
        <f t="shared" si="489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0"/>
        <v>39240</v>
      </c>
      <c r="AI163">
        <f>_xlfn.XLOOKUP(B163,'[3]may-2026'!$A:$A,'[3]may-2026'!$H:$H,0,0)</f>
        <v>4000</v>
      </c>
      <c r="AJ163">
        <f>_xlfn.XLOOKUP(B163,'[3]may-2026'!$A:$A,'[3]may-2026'!$I:$I,0,0)</f>
        <v>0</v>
      </c>
      <c r="AK163">
        <f t="shared" si="491"/>
        <v>150</v>
      </c>
      <c r="AL163">
        <f t="shared" si="492"/>
        <v>35090</v>
      </c>
      <c r="AM163">
        <f>_xlfn.XLOOKUP(B163,'[4]june-2026'!$A:$A,'[4]june-2026'!$C:$C,0,0)</f>
        <v>29800</v>
      </c>
      <c r="AN163">
        <f t="shared" si="493"/>
        <v>5364</v>
      </c>
      <c r="AO163">
        <f t="shared" si="494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495"/>
        <v>39240</v>
      </c>
      <c r="AS163">
        <f>_xlfn.XLOOKUP(B163,'[4]june-2026'!$A:$A,'[4]june-2026'!$H:$H,0,0)</f>
        <v>4000</v>
      </c>
      <c r="AT163">
        <f>_xlfn.XLOOKUP(B163,'[4]june-2026'!$A:$A,'[4]june-2026'!$I:$I,0,0)</f>
        <v>0</v>
      </c>
      <c r="AU163">
        <f t="shared" si="496"/>
        <v>150</v>
      </c>
      <c r="AV163">
        <f t="shared" si="497"/>
        <v>35090</v>
      </c>
      <c r="AW163">
        <f>_xlfn.XLOOKUP(B163,'[5]july-2026'!$A:$A,'[5]july-2026'!$C:$C,0,0)</f>
        <v>30700</v>
      </c>
      <c r="AX163">
        <f t="shared" si="498"/>
        <v>5526</v>
      </c>
      <c r="AY163">
        <v>161</v>
      </c>
      <c r="AZ163">
        <f t="shared" si="499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0"/>
        <v>40571</v>
      </c>
      <c r="BD163">
        <f>_xlfn.XLOOKUP(B163,'[5]july-2026'!$A:$A,'[5]july-2026'!$H:$H,0,0)</f>
        <v>4000</v>
      </c>
      <c r="BE163">
        <f>_xlfn.XLOOKUP(B163,'[5]july-2026'!$A:$A,'[5]july-2026'!$I:$I,0,0)</f>
        <v>0</v>
      </c>
      <c r="BF163">
        <f t="shared" si="501"/>
        <v>200</v>
      </c>
      <c r="BG163">
        <f t="shared" si="502"/>
        <v>36371</v>
      </c>
      <c r="BH163">
        <f>_xlfn.XLOOKUP(B163,'[6]august-2026'!$A:$A,'[6]august-2026'!$C:$C,0,0)</f>
        <v>30700</v>
      </c>
      <c r="BI163">
        <f t="shared" si="503"/>
        <v>5526</v>
      </c>
      <c r="BJ163">
        <f t="shared" si="504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05"/>
        <v>40410</v>
      </c>
      <c r="BN163">
        <f>_xlfn.XLOOKUP(B163,'[6]august-2026'!$A:$A,'[6]august-2026'!$H:$H,0,0)</f>
        <v>4000</v>
      </c>
      <c r="BO163">
        <f>_xlfn.XLOOKUP(B163,'[6]august-2026'!$A:$A,'[6]august-2026'!$I:$I,0,0)</f>
        <v>0</v>
      </c>
      <c r="BP163">
        <f t="shared" si="506"/>
        <v>200</v>
      </c>
      <c r="BQ163">
        <f t="shared" si="507"/>
        <v>36210</v>
      </c>
      <c r="BR163">
        <f>_xlfn.XLOOKUP(B163,'[7]september-2026'!$A:$A,'[7]september-2026'!$C:$C,0,0)</f>
        <v>30700</v>
      </c>
      <c r="BS163">
        <f t="shared" si="508"/>
        <v>5526</v>
      </c>
      <c r="BT163">
        <f t="shared" si="509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0"/>
        <v>40410</v>
      </c>
      <c r="BX163">
        <f>_xlfn.XLOOKUP(B163,'[7]september-2026'!$A:$A,'[7]september-2026'!$H:$H,0,0)</f>
        <v>4000</v>
      </c>
      <c r="BY163">
        <f>_xlfn.XLOOKUP(B163,'[7]september-2026'!$A:$A,'[7]september-2026'!$I:$I,0,0)</f>
        <v>0</v>
      </c>
      <c r="BZ163">
        <f t="shared" si="511"/>
        <v>200</v>
      </c>
      <c r="CA163">
        <f t="shared" si="512"/>
        <v>36210</v>
      </c>
      <c r="CB163">
        <f>_xlfn.XLOOKUP(B163,'[8]october-2026'!$A:$A,'[8]october-2026'!$C:$C,0,0)</f>
        <v>30700</v>
      </c>
      <c r="CC163">
        <f t="shared" si="513"/>
        <v>5526</v>
      </c>
      <c r="CD163">
        <f t="shared" si="514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15"/>
        <v>40410</v>
      </c>
      <c r="CH163">
        <f>_xlfn.XLOOKUP(B163,'[8]october-2026'!$A:$A,'[8]october-2026'!$H:$H,0,0)</f>
        <v>4000</v>
      </c>
      <c r="CI163">
        <f>_xlfn.XLOOKUP(B163,'[8]october-2026'!$A:$A,'[8]october-2026'!$I:$I,0,0)</f>
        <v>0</v>
      </c>
      <c r="CJ163">
        <f t="shared" si="516"/>
        <v>200</v>
      </c>
      <c r="CK163">
        <f t="shared" si="517"/>
        <v>36210</v>
      </c>
      <c r="CL163">
        <f>_xlfn.XLOOKUP(B163,'[9]november-2026'!$A:$A,'[9]november-2026'!$C:$C,0,0)</f>
        <v>30700</v>
      </c>
      <c r="CM163">
        <f t="shared" si="518"/>
        <v>5526</v>
      </c>
      <c r="CN163">
        <f t="shared" si="519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0"/>
        <v>40410</v>
      </c>
      <c r="CR163">
        <f>_xlfn.XLOOKUP(B163,'[9]november-2026'!$A:$A,'[9]november-2026'!$H:$H,0,0)</f>
        <v>4000</v>
      </c>
      <c r="CS163">
        <f>_xlfn.XLOOKUP(B163,'[9]november-2026'!$A:$A,'[9]november-2026'!$I:$I,0,0)</f>
        <v>0</v>
      </c>
      <c r="CT163">
        <f t="shared" si="521"/>
        <v>200</v>
      </c>
      <c r="CU163">
        <f t="shared" si="522"/>
        <v>36210</v>
      </c>
      <c r="CV163">
        <f>_xlfn.XLOOKUP(B163,'[10]december-2026'!$A:$A,'[10]december-2026'!$C:$C,0,0)</f>
        <v>30700</v>
      </c>
      <c r="CW163">
        <f t="shared" si="523"/>
        <v>5526</v>
      </c>
      <c r="CX163">
        <f t="shared" si="524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25"/>
        <v>40410</v>
      </c>
      <c r="DB163">
        <f>_xlfn.XLOOKUP(B163,'[10]december-2026'!$A:$A,'[10]december-2026'!$H:$H,0,0)</f>
        <v>4000</v>
      </c>
      <c r="DC163">
        <f>_xlfn.XLOOKUP(B163,'[10]december-2026'!$A:$A,'[10]december-2026'!$I:$I,0,0)</f>
        <v>0</v>
      </c>
      <c r="DD163">
        <f t="shared" si="526"/>
        <v>200</v>
      </c>
      <c r="DE163">
        <f t="shared" si="527"/>
        <v>36210</v>
      </c>
      <c r="DF163">
        <f xml:space="preserve"> _xlfn.XLOOKUP(B163,
'[11]january-2027'!$A:$A,
'[11]january-2027'!$C:$C,
0,0)</f>
        <v>30700</v>
      </c>
      <c r="DG163">
        <f t="shared" si="528"/>
        <v>5526</v>
      </c>
      <c r="DH163">
        <f t="shared" si="529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0"/>
        <v>40410</v>
      </c>
      <c r="DL163">
        <f xml:space="preserve"> _xlfn.XLOOKUP(B163,
'[11]january-2027'!$A:$A,
'[11]january-2027'!$H:$H,
0,0)</f>
        <v>4000</v>
      </c>
      <c r="DM163">
        <f xml:space="preserve"> _xlfn.XLOOKUP(B163,
'[11]january-2027'!$A:$A,
'[11]january-2027'!$I:$I,
0,0)</f>
        <v>0</v>
      </c>
      <c r="DN163">
        <f t="shared" si="531"/>
        <v>200</v>
      </c>
      <c r="DO163">
        <f t="shared" si="532"/>
        <v>36210</v>
      </c>
      <c r="DP163">
        <f xml:space="preserve"> _xlfn.XLOOKUP(B163,
'[12]february-2027'!$A:$A,
'[12]february-2027'!$C:$C,
0,0)</f>
        <v>30700</v>
      </c>
      <c r="DQ163">
        <f t="shared" si="533"/>
        <v>5526</v>
      </c>
      <c r="DR163">
        <f t="shared" si="534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35"/>
        <v>40410</v>
      </c>
      <c r="DV163">
        <f xml:space="preserve"> _xlfn.XLOOKUP(B163,
'[12]february-2027'!$A:$A,
'[12]february-2027'!$H:$H,
0,0)</f>
        <v>4000</v>
      </c>
      <c r="DW163">
        <f xml:space="preserve"> _xlfn.XLOOKUP(B163,
'[12]february-2027'!$A:$A,
'[12]february-2027'!$I:$I,
0,0)</f>
        <v>0</v>
      </c>
      <c r="DX163">
        <f t="shared" si="536"/>
        <v>200</v>
      </c>
      <c r="DY163">
        <f t="shared" si="537"/>
        <v>36210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38"/>
        <v>0</v>
      </c>
      <c r="EM163">
        <f t="shared" si="539"/>
        <v>487201</v>
      </c>
      <c r="EN163">
        <f t="shared" si="540"/>
        <v>2200</v>
      </c>
      <c r="EO163">
        <f t="shared" si="541"/>
        <v>50000</v>
      </c>
      <c r="EP163">
        <v>0</v>
      </c>
      <c r="EQ163">
        <f t="shared" si="543"/>
        <v>435001</v>
      </c>
      <c r="ER163">
        <f t="shared" si="544"/>
        <v>48000</v>
      </c>
      <c r="ES163">
        <f t="shared" si="545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46"/>
        <v>48000</v>
      </c>
      <c r="FE163">
        <f t="shared" si="547"/>
        <v>48000</v>
      </c>
      <c r="FF163">
        <f t="shared" si="548"/>
        <v>387001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>SUM(FG163:FM163)+(IF(F163="YES",50000,0))</f>
        <v>0</v>
      </c>
      <c r="FO163">
        <f t="shared" si="549"/>
        <v>387001</v>
      </c>
      <c r="FP163">
        <f t="shared" si="550"/>
        <v>6850</v>
      </c>
      <c r="FQ163">
        <f t="shared" si="551"/>
        <v>0</v>
      </c>
      <c r="FR163">
        <f t="shared" si="552"/>
        <v>6850</v>
      </c>
      <c r="FS163">
        <f t="shared" si="553"/>
        <v>0</v>
      </c>
      <c r="FT163">
        <f t="shared" si="554"/>
        <v>0</v>
      </c>
      <c r="FU163">
        <f t="shared" si="555"/>
        <v>0</v>
      </c>
      <c r="FV163">
        <v>0</v>
      </c>
      <c r="FW163">
        <f t="shared" si="556"/>
        <v>0</v>
      </c>
      <c r="FX163" t="b">
        <f t="shared" si="557"/>
        <v>0</v>
      </c>
      <c r="FY163">
        <f t="shared" ca="1" si="558"/>
        <v>1561</v>
      </c>
      <c r="FZ163">
        <f t="shared" ca="1" si="559"/>
        <v>488762</v>
      </c>
      <c r="GA163">
        <f t="shared" si="560"/>
        <v>75000</v>
      </c>
      <c r="GB163">
        <f t="shared" ca="1" si="561"/>
        <v>413762</v>
      </c>
      <c r="GC163">
        <f t="shared" ca="1" si="562"/>
        <v>0</v>
      </c>
      <c r="GD163">
        <f t="shared" ca="1" si="563"/>
        <v>0</v>
      </c>
      <c r="GE163">
        <f t="shared" ca="1" si="564"/>
        <v>0</v>
      </c>
      <c r="GF163">
        <f t="shared" ca="1" si="565"/>
        <v>0</v>
      </c>
      <c r="GG163">
        <f t="shared" ca="1" si="566"/>
        <v>0</v>
      </c>
      <c r="GH163">
        <f t="shared" ca="1" si="567"/>
        <v>0</v>
      </c>
      <c r="GI163">
        <f ca="1">IF(GB163&gt;1200000,GB163-1200000-IF(F163="YES",50000,0)-GG163,0)</f>
        <v>0</v>
      </c>
      <c r="GJ163">
        <f t="shared" ca="1" si="568"/>
        <v>0</v>
      </c>
      <c r="GK163">
        <f t="shared" ca="1" si="569"/>
        <v>0</v>
      </c>
      <c r="GL163">
        <f t="shared" ca="1" si="570"/>
        <v>0</v>
      </c>
      <c r="GM163">
        <f t="shared" ca="1" si="571"/>
        <v>13762</v>
      </c>
      <c r="GN163">
        <f t="shared" ca="1" si="572"/>
        <v>688.1</v>
      </c>
      <c r="GO163">
        <f t="shared" ca="1" si="573"/>
        <v>688</v>
      </c>
      <c r="GP163">
        <f t="shared" ca="1" si="574"/>
        <v>0</v>
      </c>
      <c r="GQ163">
        <f t="shared" ca="1" si="575"/>
        <v>0</v>
      </c>
      <c r="GR163">
        <f t="shared" ca="1" si="576"/>
        <v>688</v>
      </c>
      <c r="GS163">
        <f t="shared" ca="1" si="577"/>
        <v>0</v>
      </c>
      <c r="GT163" t="b">
        <f t="shared" ca="1" si="578"/>
        <v>0</v>
      </c>
      <c r="GU163">
        <f t="shared" ca="1" si="579"/>
        <v>0</v>
      </c>
      <c r="GV163">
        <f t="shared" ca="1" si="580"/>
        <v>688</v>
      </c>
      <c r="GW163">
        <f t="shared" ca="1" si="581"/>
        <v>0</v>
      </c>
      <c r="GX163">
        <f t="shared" ca="1" si="582"/>
        <v>0</v>
      </c>
      <c r="GY163">
        <f t="shared" ca="1" si="583"/>
        <v>0</v>
      </c>
    </row>
    <row r="164" spans="1:207" x14ac:dyDescent="0.25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78"/>
        <v>6800</v>
      </c>
      <c r="I164">
        <f>_xlfn.XLOOKUP(B164,'[1]march-2026'!$A:$A,'[1]march-2026'!$C:$C,0,0)</f>
        <v>29800</v>
      </c>
      <c r="J164">
        <f t="shared" si="542"/>
        <v>5364</v>
      </c>
      <c r="K164">
        <f t="shared" si="479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0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1"/>
        <v>150</v>
      </c>
      <c r="R164">
        <f t="shared" si="482"/>
        <v>37090</v>
      </c>
      <c r="S164">
        <f>_xlfn.XLOOKUP(B164,'[2]april-2026'!$A:$A,'[2]april-2026'!$C:$C,0,0)</f>
        <v>29800</v>
      </c>
      <c r="T164">
        <f t="shared" si="483"/>
        <v>5364</v>
      </c>
      <c r="U164">
        <f t="shared" si="484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85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86"/>
        <v>150</v>
      </c>
      <c r="AB164">
        <f t="shared" si="487"/>
        <v>37090</v>
      </c>
      <c r="AC164">
        <f>_xlfn.XLOOKUP(B164,'[3]may-2026'!$A:$A,'[3]may-2026'!$C:$C,0,0)</f>
        <v>29800</v>
      </c>
      <c r="AD164">
        <f t="shared" si="488"/>
        <v>5364</v>
      </c>
      <c r="AE164">
        <f t="shared" si="489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0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1"/>
        <v>150</v>
      </c>
      <c r="AL164">
        <f t="shared" si="492"/>
        <v>37090</v>
      </c>
      <c r="AM164">
        <f>_xlfn.XLOOKUP(B164,'[4]june-2026'!$A:$A,'[4]june-2026'!$C:$C,0,0)</f>
        <v>29800</v>
      </c>
      <c r="AN164">
        <f t="shared" si="493"/>
        <v>5364</v>
      </c>
      <c r="AO164">
        <f t="shared" si="494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495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496"/>
        <v>150</v>
      </c>
      <c r="AV164">
        <f t="shared" si="497"/>
        <v>37090</v>
      </c>
      <c r="AW164">
        <f>_xlfn.XLOOKUP(B164,'[5]july-2026'!$A:$A,'[5]july-2026'!$C:$C,0,0)</f>
        <v>30700</v>
      </c>
      <c r="AX164">
        <f t="shared" si="498"/>
        <v>5526</v>
      </c>
      <c r="AY164">
        <v>162</v>
      </c>
      <c r="AZ164">
        <f t="shared" si="499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0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1"/>
        <v>200</v>
      </c>
      <c r="BG164">
        <f t="shared" si="502"/>
        <v>38372</v>
      </c>
      <c r="BH164">
        <f>_xlfn.XLOOKUP(B164,'[6]august-2026'!$A:$A,'[6]august-2026'!$C:$C,0,0)</f>
        <v>30700</v>
      </c>
      <c r="BI164">
        <f t="shared" si="503"/>
        <v>5526</v>
      </c>
      <c r="BJ164">
        <f t="shared" si="504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05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06"/>
        <v>200</v>
      </c>
      <c r="BQ164">
        <f t="shared" si="507"/>
        <v>38210</v>
      </c>
      <c r="BR164">
        <f>_xlfn.XLOOKUP(B164,'[7]september-2026'!$A:$A,'[7]september-2026'!$C:$C,0,0)</f>
        <v>30700</v>
      </c>
      <c r="BS164">
        <f t="shared" si="508"/>
        <v>5526</v>
      </c>
      <c r="BT164">
        <f t="shared" si="509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0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1"/>
        <v>200</v>
      </c>
      <c r="CA164">
        <f t="shared" si="512"/>
        <v>38210</v>
      </c>
      <c r="CB164">
        <f>_xlfn.XLOOKUP(B164,'[8]october-2026'!$A:$A,'[8]october-2026'!$C:$C,0,0)</f>
        <v>30700</v>
      </c>
      <c r="CC164">
        <f t="shared" si="513"/>
        <v>5526</v>
      </c>
      <c r="CD164">
        <f t="shared" si="514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15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16"/>
        <v>200</v>
      </c>
      <c r="CK164">
        <f t="shared" si="517"/>
        <v>38210</v>
      </c>
      <c r="CL164">
        <f>_xlfn.XLOOKUP(B164,'[9]november-2026'!$A:$A,'[9]november-2026'!$C:$C,0,0)</f>
        <v>30700</v>
      </c>
      <c r="CM164">
        <f t="shared" si="518"/>
        <v>5526</v>
      </c>
      <c r="CN164">
        <f t="shared" si="519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0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1"/>
        <v>200</v>
      </c>
      <c r="CU164">
        <f t="shared" si="522"/>
        <v>38210</v>
      </c>
      <c r="CV164">
        <f>_xlfn.XLOOKUP(B164,'[10]december-2026'!$A:$A,'[10]december-2026'!$C:$C,0,0)</f>
        <v>30700</v>
      </c>
      <c r="CW164">
        <f t="shared" si="523"/>
        <v>5526</v>
      </c>
      <c r="CX164">
        <f t="shared" si="524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25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26"/>
        <v>200</v>
      </c>
      <c r="DE164">
        <f t="shared" si="527"/>
        <v>38210</v>
      </c>
      <c r="DF164">
        <f xml:space="preserve"> _xlfn.XLOOKUP(B164,
'[11]january-2027'!$A:$A,
'[11]january-2027'!$C:$C,
0,0)</f>
        <v>30700</v>
      </c>
      <c r="DG164">
        <f t="shared" si="528"/>
        <v>5526</v>
      </c>
      <c r="DH164">
        <f t="shared" si="529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0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1"/>
        <v>200</v>
      </c>
      <c r="DO164">
        <f t="shared" si="532"/>
        <v>38210</v>
      </c>
      <c r="DP164">
        <f xml:space="preserve"> _xlfn.XLOOKUP(B164,
'[12]february-2027'!$A:$A,
'[12]february-2027'!$C:$C,
0,0)</f>
        <v>30700</v>
      </c>
      <c r="DQ164">
        <f t="shared" si="533"/>
        <v>5526</v>
      </c>
      <c r="DR164">
        <f t="shared" si="534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35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36"/>
        <v>200</v>
      </c>
      <c r="DY164">
        <f t="shared" si="537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38"/>
        <v>0</v>
      </c>
      <c r="EM164">
        <f t="shared" si="539"/>
        <v>487202</v>
      </c>
      <c r="EN164">
        <f t="shared" si="540"/>
        <v>2200</v>
      </c>
      <c r="EO164">
        <f t="shared" si="541"/>
        <v>50000</v>
      </c>
      <c r="EP164">
        <v>0</v>
      </c>
      <c r="EQ164">
        <f t="shared" si="543"/>
        <v>435002</v>
      </c>
      <c r="ER164">
        <f t="shared" si="544"/>
        <v>24000</v>
      </c>
      <c r="ES164">
        <f t="shared" si="545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46"/>
        <v>24000</v>
      </c>
      <c r="FE164">
        <f t="shared" si="547"/>
        <v>24000</v>
      </c>
      <c r="FF164">
        <f t="shared" si="548"/>
        <v>411002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>SUM(FG164:FM164)+(IF(F164="YES",50000,0))</f>
        <v>0</v>
      </c>
      <c r="FO164">
        <f t="shared" si="549"/>
        <v>411002</v>
      </c>
      <c r="FP164">
        <f t="shared" si="550"/>
        <v>8050</v>
      </c>
      <c r="FQ164">
        <f t="shared" si="551"/>
        <v>0</v>
      </c>
      <c r="FR164">
        <f t="shared" si="552"/>
        <v>8050</v>
      </c>
      <c r="FS164">
        <f t="shared" si="553"/>
        <v>0</v>
      </c>
      <c r="FT164">
        <f t="shared" si="554"/>
        <v>0</v>
      </c>
      <c r="FU164">
        <f t="shared" si="555"/>
        <v>0</v>
      </c>
      <c r="FV164">
        <v>0</v>
      </c>
      <c r="FW164">
        <f t="shared" si="556"/>
        <v>0</v>
      </c>
      <c r="FX164" t="b">
        <f t="shared" si="557"/>
        <v>0</v>
      </c>
      <c r="FY164">
        <f t="shared" ca="1" si="558"/>
        <v>2107</v>
      </c>
      <c r="FZ164">
        <f t="shared" ca="1" si="559"/>
        <v>489309</v>
      </c>
      <c r="GA164">
        <f t="shared" si="560"/>
        <v>75000</v>
      </c>
      <c r="GB164">
        <f t="shared" ca="1" si="561"/>
        <v>414309</v>
      </c>
      <c r="GC164">
        <f t="shared" ca="1" si="562"/>
        <v>0</v>
      </c>
      <c r="GD164">
        <f t="shared" ca="1" si="563"/>
        <v>0</v>
      </c>
      <c r="GE164">
        <f t="shared" ca="1" si="564"/>
        <v>0</v>
      </c>
      <c r="GF164">
        <f t="shared" ca="1" si="565"/>
        <v>0</v>
      </c>
      <c r="GG164">
        <f t="shared" ca="1" si="566"/>
        <v>0</v>
      </c>
      <c r="GH164">
        <f t="shared" ca="1" si="567"/>
        <v>0</v>
      </c>
      <c r="GI164">
        <f ca="1">IF(GB164&gt;1200000,GB164-1200000-IF(F164="YES",50000,0)-GG164,0)</f>
        <v>0</v>
      </c>
      <c r="GJ164">
        <f t="shared" ca="1" si="568"/>
        <v>0</v>
      </c>
      <c r="GK164">
        <f t="shared" ca="1" si="569"/>
        <v>0</v>
      </c>
      <c r="GL164">
        <f t="shared" ca="1" si="570"/>
        <v>0</v>
      </c>
      <c r="GM164">
        <f t="shared" ca="1" si="571"/>
        <v>14309</v>
      </c>
      <c r="GN164">
        <f t="shared" ca="1" si="572"/>
        <v>715.45</v>
      </c>
      <c r="GO164">
        <f t="shared" ca="1" si="573"/>
        <v>715</v>
      </c>
      <c r="GP164">
        <f t="shared" ca="1" si="574"/>
        <v>0</v>
      </c>
      <c r="GQ164">
        <f t="shared" ca="1" si="575"/>
        <v>0</v>
      </c>
      <c r="GR164">
        <f t="shared" ca="1" si="576"/>
        <v>715</v>
      </c>
      <c r="GS164">
        <f t="shared" ca="1" si="577"/>
        <v>0</v>
      </c>
      <c r="GT164" t="b">
        <f t="shared" ca="1" si="578"/>
        <v>0</v>
      </c>
      <c r="GU164">
        <f t="shared" ca="1" si="579"/>
        <v>0</v>
      </c>
      <c r="GV164">
        <f t="shared" ca="1" si="580"/>
        <v>715</v>
      </c>
      <c r="GW164">
        <f t="shared" ca="1" si="581"/>
        <v>0</v>
      </c>
      <c r="GX164">
        <f t="shared" ca="1" si="582"/>
        <v>0</v>
      </c>
      <c r="GY164">
        <f t="shared" ca="1" si="583"/>
        <v>0</v>
      </c>
    </row>
    <row r="165" spans="1:207" x14ac:dyDescent="0.25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78"/>
        <v>6800</v>
      </c>
      <c r="I165">
        <f>_xlfn.XLOOKUP(B165,'[1]march-2026'!$A:$A,'[1]march-2026'!$C:$C,0,0)</f>
        <v>53300</v>
      </c>
      <c r="J165">
        <f t="shared" si="542"/>
        <v>9594</v>
      </c>
      <c r="K165">
        <f t="shared" si="479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0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1"/>
        <v>200</v>
      </c>
      <c r="R165">
        <f t="shared" si="482"/>
        <v>63930</v>
      </c>
      <c r="S165">
        <f>_xlfn.XLOOKUP(B165,'[2]april-2026'!$A:$A,'[2]april-2026'!$C:$C,0,0)</f>
        <v>53300</v>
      </c>
      <c r="T165">
        <f t="shared" si="483"/>
        <v>9594</v>
      </c>
      <c r="U165">
        <f t="shared" si="484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85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86"/>
        <v>200</v>
      </c>
      <c r="AB165">
        <f t="shared" si="487"/>
        <v>63930</v>
      </c>
      <c r="AC165">
        <f>_xlfn.XLOOKUP(B165,'[3]may-2026'!$A:$A,'[3]may-2026'!$C:$C,0,0)</f>
        <v>53300</v>
      </c>
      <c r="AD165">
        <f t="shared" si="488"/>
        <v>9594</v>
      </c>
      <c r="AE165">
        <f t="shared" si="489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0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1"/>
        <v>200</v>
      </c>
      <c r="AL165">
        <f t="shared" si="492"/>
        <v>63930</v>
      </c>
      <c r="AM165">
        <f>_xlfn.XLOOKUP(B165,'[4]june-2026'!$A:$A,'[4]june-2026'!$C:$C,0,0)</f>
        <v>53300</v>
      </c>
      <c r="AN165">
        <f t="shared" si="493"/>
        <v>9594</v>
      </c>
      <c r="AO165">
        <f t="shared" si="494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495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496"/>
        <v>200</v>
      </c>
      <c r="AV165">
        <f t="shared" si="497"/>
        <v>63930</v>
      </c>
      <c r="AW165">
        <f>_xlfn.XLOOKUP(B165,'[5]july-2026'!$A:$A,'[5]july-2026'!$C:$C,0,0)</f>
        <v>54900</v>
      </c>
      <c r="AX165">
        <f t="shared" si="498"/>
        <v>9882</v>
      </c>
      <c r="AY165">
        <v>163</v>
      </c>
      <c r="AZ165">
        <f t="shared" si="499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0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1"/>
        <v>200</v>
      </c>
      <c r="BG165">
        <f t="shared" si="502"/>
        <v>66173</v>
      </c>
      <c r="BH165">
        <f>_xlfn.XLOOKUP(B165,'[6]august-2026'!$A:$A,'[6]august-2026'!$C:$C,0,0)</f>
        <v>54900</v>
      </c>
      <c r="BI165">
        <f t="shared" si="503"/>
        <v>9882</v>
      </c>
      <c r="BJ165">
        <f t="shared" si="504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05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06"/>
        <v>200</v>
      </c>
      <c r="BQ165">
        <f t="shared" si="507"/>
        <v>66010</v>
      </c>
      <c r="BR165">
        <f>_xlfn.XLOOKUP(B165,'[7]september-2026'!$A:$A,'[7]september-2026'!$C:$C,0,0)</f>
        <v>54900</v>
      </c>
      <c r="BS165">
        <f t="shared" si="508"/>
        <v>9882</v>
      </c>
      <c r="BT165">
        <f t="shared" si="509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0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1"/>
        <v>200</v>
      </c>
      <c r="CA165">
        <f t="shared" si="512"/>
        <v>66010</v>
      </c>
      <c r="CB165">
        <f>_xlfn.XLOOKUP(B165,'[8]october-2026'!$A:$A,'[8]october-2026'!$C:$C,0,0)</f>
        <v>54900</v>
      </c>
      <c r="CC165">
        <f t="shared" si="513"/>
        <v>9882</v>
      </c>
      <c r="CD165">
        <f t="shared" si="514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15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16"/>
        <v>200</v>
      </c>
      <c r="CK165">
        <f t="shared" si="517"/>
        <v>66010</v>
      </c>
      <c r="CL165">
        <f>_xlfn.XLOOKUP(B165,'[9]november-2026'!$A:$A,'[9]november-2026'!$C:$C,0,0)</f>
        <v>54900</v>
      </c>
      <c r="CM165">
        <f t="shared" si="518"/>
        <v>9882</v>
      </c>
      <c r="CN165">
        <f t="shared" si="519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0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1"/>
        <v>200</v>
      </c>
      <c r="CU165">
        <f t="shared" si="522"/>
        <v>66010</v>
      </c>
      <c r="CV165">
        <f>_xlfn.XLOOKUP(B165,'[10]december-2026'!$A:$A,'[10]december-2026'!$C:$C,0,0)</f>
        <v>54900</v>
      </c>
      <c r="CW165">
        <f t="shared" si="523"/>
        <v>9882</v>
      </c>
      <c r="CX165">
        <f t="shared" si="524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25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26"/>
        <v>200</v>
      </c>
      <c r="DE165">
        <f t="shared" si="527"/>
        <v>66010</v>
      </c>
      <c r="DF165">
        <f xml:space="preserve"> _xlfn.XLOOKUP(B165,
'[11]january-2027'!$A:$A,
'[11]january-2027'!$C:$C,
0,0)</f>
        <v>54900</v>
      </c>
      <c r="DG165">
        <f t="shared" si="528"/>
        <v>9882</v>
      </c>
      <c r="DH165">
        <f t="shared" si="529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0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1"/>
        <v>200</v>
      </c>
      <c r="DO165">
        <f t="shared" si="532"/>
        <v>66010</v>
      </c>
      <c r="DP165">
        <f xml:space="preserve"> _xlfn.XLOOKUP(B165,
'[12]february-2027'!$A:$A,
'[12]february-2027'!$C:$C,
0,0)</f>
        <v>54900</v>
      </c>
      <c r="DQ165">
        <f t="shared" si="533"/>
        <v>9882</v>
      </c>
      <c r="DR165">
        <f t="shared" si="534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35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36"/>
        <v>200</v>
      </c>
      <c r="DY165">
        <f t="shared" si="537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38"/>
        <v>0</v>
      </c>
      <c r="EM165">
        <f t="shared" si="539"/>
        <v>865883</v>
      </c>
      <c r="EN165">
        <f t="shared" si="540"/>
        <v>2400</v>
      </c>
      <c r="EO165">
        <f t="shared" si="541"/>
        <v>50000</v>
      </c>
      <c r="EP165">
        <v>0</v>
      </c>
      <c r="EQ165">
        <f t="shared" si="543"/>
        <v>813483</v>
      </c>
      <c r="ER165">
        <f t="shared" si="544"/>
        <v>72000</v>
      </c>
      <c r="ES165">
        <f t="shared" si="545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46"/>
        <v>72720</v>
      </c>
      <c r="FE165">
        <f t="shared" si="547"/>
        <v>72720</v>
      </c>
      <c r="FF165">
        <f t="shared" si="548"/>
        <v>740763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>SUM(FG165:FM165)+(IF(F165="YES",50000,0))</f>
        <v>0</v>
      </c>
      <c r="FO165">
        <f t="shared" si="549"/>
        <v>740763</v>
      </c>
      <c r="FP165">
        <f t="shared" si="550"/>
        <v>12500</v>
      </c>
      <c r="FQ165">
        <f t="shared" si="551"/>
        <v>48153</v>
      </c>
      <c r="FR165">
        <f t="shared" si="552"/>
        <v>60653</v>
      </c>
      <c r="FS165">
        <f t="shared" si="553"/>
        <v>60653</v>
      </c>
      <c r="FT165">
        <f t="shared" si="554"/>
        <v>2426.12</v>
      </c>
      <c r="FU165">
        <f t="shared" si="555"/>
        <v>63079</v>
      </c>
      <c r="FV165">
        <v>0</v>
      </c>
      <c r="FW165">
        <f t="shared" si="556"/>
        <v>63079</v>
      </c>
      <c r="FX165" t="b">
        <f t="shared" si="557"/>
        <v>1</v>
      </c>
      <c r="FY165">
        <f t="shared" ca="1" si="558"/>
        <v>830</v>
      </c>
      <c r="FZ165">
        <f t="shared" ca="1" si="559"/>
        <v>866713</v>
      </c>
      <c r="GA165">
        <f t="shared" si="560"/>
        <v>75000</v>
      </c>
      <c r="GB165">
        <f t="shared" ca="1" si="561"/>
        <v>791713</v>
      </c>
      <c r="GC165">
        <f t="shared" ca="1" si="562"/>
        <v>0</v>
      </c>
      <c r="GD165">
        <f t="shared" ca="1" si="563"/>
        <v>0</v>
      </c>
      <c r="GE165">
        <f t="shared" ca="1" si="564"/>
        <v>0</v>
      </c>
      <c r="GF165">
        <f t="shared" ca="1" si="565"/>
        <v>0</v>
      </c>
      <c r="GG165">
        <f t="shared" ca="1" si="566"/>
        <v>0</v>
      </c>
      <c r="GH165">
        <f t="shared" ca="1" si="567"/>
        <v>0</v>
      </c>
      <c r="GI165">
        <f ca="1">IF(GB165&gt;1200000,GB165-1200000-IF(F165="YES",50000,0)-GG165,0)</f>
        <v>0</v>
      </c>
      <c r="GJ165">
        <f t="shared" ca="1" si="568"/>
        <v>0</v>
      </c>
      <c r="GK165">
        <f t="shared" ca="1" si="569"/>
        <v>0</v>
      </c>
      <c r="GL165">
        <f t="shared" ca="1" si="570"/>
        <v>0</v>
      </c>
      <c r="GM165">
        <f t="shared" ca="1" si="571"/>
        <v>391713</v>
      </c>
      <c r="GN165">
        <f t="shared" ca="1" si="572"/>
        <v>19585.650000000001</v>
      </c>
      <c r="GO165">
        <f t="shared" ca="1" si="573"/>
        <v>19586</v>
      </c>
      <c r="GP165">
        <f t="shared" ca="1" si="574"/>
        <v>0</v>
      </c>
      <c r="GQ165">
        <f t="shared" ca="1" si="575"/>
        <v>0</v>
      </c>
      <c r="GR165">
        <f t="shared" ca="1" si="576"/>
        <v>19586</v>
      </c>
      <c r="GS165">
        <f t="shared" ca="1" si="577"/>
        <v>0</v>
      </c>
      <c r="GT165" t="b">
        <f t="shared" ca="1" si="578"/>
        <v>0</v>
      </c>
      <c r="GU165">
        <f t="shared" ca="1" si="579"/>
        <v>0</v>
      </c>
      <c r="GV165">
        <f t="shared" ca="1" si="580"/>
        <v>19586</v>
      </c>
      <c r="GW165">
        <f t="shared" ca="1" si="581"/>
        <v>0</v>
      </c>
      <c r="GX165">
        <f t="shared" ca="1" si="582"/>
        <v>0</v>
      </c>
      <c r="GY165">
        <f t="shared" ca="1" si="583"/>
        <v>0</v>
      </c>
    </row>
    <row r="166" spans="1:207" x14ac:dyDescent="0.25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78"/>
        <v>6800</v>
      </c>
      <c r="I166">
        <f>_xlfn.XLOOKUP(B166,'[1]march-2026'!$A:$A,'[1]march-2026'!$C:$C,0,0)</f>
        <v>35500</v>
      </c>
      <c r="J166">
        <f t="shared" si="542"/>
        <v>6390</v>
      </c>
      <c r="K166">
        <f t="shared" si="479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0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1"/>
        <v>200</v>
      </c>
      <c r="R166">
        <f t="shared" si="482"/>
        <v>42450</v>
      </c>
      <c r="S166">
        <f>_xlfn.XLOOKUP(B166,'[2]april-2026'!$A:$A,'[2]april-2026'!$C:$C,0,0)</f>
        <v>35500</v>
      </c>
      <c r="T166">
        <f t="shared" si="483"/>
        <v>6390</v>
      </c>
      <c r="U166">
        <f t="shared" si="484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85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86"/>
        <v>200</v>
      </c>
      <c r="AB166">
        <f t="shared" si="487"/>
        <v>42450</v>
      </c>
      <c r="AC166">
        <f>_xlfn.XLOOKUP(B166,'[3]may-2026'!$A:$A,'[3]may-2026'!$C:$C,0,0)</f>
        <v>35500</v>
      </c>
      <c r="AD166">
        <f t="shared" si="488"/>
        <v>6390</v>
      </c>
      <c r="AE166">
        <f t="shared" si="489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0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1"/>
        <v>200</v>
      </c>
      <c r="AL166">
        <f t="shared" si="492"/>
        <v>42450</v>
      </c>
      <c r="AM166">
        <f>_xlfn.XLOOKUP(B166,'[4]june-2026'!$A:$A,'[4]june-2026'!$C:$C,0,0)</f>
        <v>35500</v>
      </c>
      <c r="AN166">
        <f t="shared" si="493"/>
        <v>6390</v>
      </c>
      <c r="AO166">
        <f t="shared" si="494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495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496"/>
        <v>200</v>
      </c>
      <c r="AV166">
        <f t="shared" si="497"/>
        <v>42450</v>
      </c>
      <c r="AW166">
        <f>_xlfn.XLOOKUP(B166,'[5]july-2026'!$A:$A,'[5]july-2026'!$C:$C,0,0)</f>
        <v>36600</v>
      </c>
      <c r="AX166">
        <f t="shared" si="498"/>
        <v>6588</v>
      </c>
      <c r="AY166">
        <v>164</v>
      </c>
      <c r="AZ166">
        <f t="shared" si="499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0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1"/>
        <v>200</v>
      </c>
      <c r="BG166">
        <f t="shared" si="502"/>
        <v>44044</v>
      </c>
      <c r="BH166">
        <f>_xlfn.XLOOKUP(B166,'[6]august-2026'!$A:$A,'[6]august-2026'!$C:$C,0,0)</f>
        <v>36600</v>
      </c>
      <c r="BI166">
        <f t="shared" si="503"/>
        <v>6588</v>
      </c>
      <c r="BJ166">
        <f t="shared" si="504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05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06"/>
        <v>200</v>
      </c>
      <c r="BQ166">
        <f t="shared" si="507"/>
        <v>43880</v>
      </c>
      <c r="BR166">
        <f>_xlfn.XLOOKUP(B166,'[7]september-2026'!$A:$A,'[7]september-2026'!$C:$C,0,0)</f>
        <v>36600</v>
      </c>
      <c r="BS166">
        <f t="shared" si="508"/>
        <v>6588</v>
      </c>
      <c r="BT166">
        <f t="shared" si="509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0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1"/>
        <v>200</v>
      </c>
      <c r="CA166">
        <f t="shared" si="512"/>
        <v>43880</v>
      </c>
      <c r="CB166">
        <f>_xlfn.XLOOKUP(B166,'[8]october-2026'!$A:$A,'[8]october-2026'!$C:$C,0,0)</f>
        <v>36600</v>
      </c>
      <c r="CC166">
        <f t="shared" si="513"/>
        <v>6588</v>
      </c>
      <c r="CD166">
        <f t="shared" si="514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15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16"/>
        <v>200</v>
      </c>
      <c r="CK166">
        <f t="shared" si="517"/>
        <v>43880</v>
      </c>
      <c r="CL166">
        <f>_xlfn.XLOOKUP(B166,'[9]november-2026'!$A:$A,'[9]november-2026'!$C:$C,0,0)</f>
        <v>36600</v>
      </c>
      <c r="CM166">
        <f t="shared" si="518"/>
        <v>6588</v>
      </c>
      <c r="CN166">
        <f t="shared" si="519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0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1"/>
        <v>200</v>
      </c>
      <c r="CU166">
        <f t="shared" si="522"/>
        <v>43880</v>
      </c>
      <c r="CV166">
        <f>_xlfn.XLOOKUP(B166,'[10]december-2026'!$A:$A,'[10]december-2026'!$C:$C,0,0)</f>
        <v>36600</v>
      </c>
      <c r="CW166">
        <f t="shared" si="523"/>
        <v>6588</v>
      </c>
      <c r="CX166">
        <f t="shared" si="524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25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26"/>
        <v>200</v>
      </c>
      <c r="DE166">
        <f t="shared" si="527"/>
        <v>43880</v>
      </c>
      <c r="DF166">
        <f xml:space="preserve"> _xlfn.XLOOKUP(B166,
'[11]january-2027'!$A:$A,
'[11]january-2027'!$C:$C,
0,0)</f>
        <v>36600</v>
      </c>
      <c r="DG166">
        <f t="shared" si="528"/>
        <v>6588</v>
      </c>
      <c r="DH166">
        <f t="shared" si="529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0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1"/>
        <v>200</v>
      </c>
      <c r="DO166">
        <f t="shared" si="532"/>
        <v>43880</v>
      </c>
      <c r="DP166">
        <f xml:space="preserve"> _xlfn.XLOOKUP(B166,
'[12]february-2027'!$A:$A,
'[12]february-2027'!$C:$C,
0,0)</f>
        <v>36600</v>
      </c>
      <c r="DQ166">
        <f t="shared" si="533"/>
        <v>6588</v>
      </c>
      <c r="DR166">
        <f t="shared" si="534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35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36"/>
        <v>200</v>
      </c>
      <c r="DY166">
        <f t="shared" si="537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38"/>
        <v>0</v>
      </c>
      <c r="EM166">
        <f t="shared" si="539"/>
        <v>578204</v>
      </c>
      <c r="EN166">
        <f t="shared" si="540"/>
        <v>2400</v>
      </c>
      <c r="EO166">
        <f t="shared" si="541"/>
        <v>50000</v>
      </c>
      <c r="EP166">
        <v>0</v>
      </c>
      <c r="EQ166">
        <f t="shared" si="543"/>
        <v>525804</v>
      </c>
      <c r="ER166">
        <f t="shared" si="544"/>
        <v>48000</v>
      </c>
      <c r="ES166">
        <f t="shared" si="545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46"/>
        <v>48000</v>
      </c>
      <c r="FE166">
        <f t="shared" si="547"/>
        <v>48000</v>
      </c>
      <c r="FF166">
        <f t="shared" si="548"/>
        <v>477804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>SUM(FG166:FM166)+(IF(F166="YES",50000,0))</f>
        <v>0</v>
      </c>
      <c r="FO166">
        <f t="shared" si="549"/>
        <v>477804</v>
      </c>
      <c r="FP166">
        <f t="shared" si="550"/>
        <v>11390</v>
      </c>
      <c r="FQ166">
        <f t="shared" si="551"/>
        <v>0</v>
      </c>
      <c r="FR166">
        <f t="shared" si="552"/>
        <v>11390</v>
      </c>
      <c r="FS166">
        <f t="shared" si="553"/>
        <v>0</v>
      </c>
      <c r="FT166">
        <f t="shared" si="554"/>
        <v>0</v>
      </c>
      <c r="FU166">
        <f t="shared" si="555"/>
        <v>0</v>
      </c>
      <c r="FV166">
        <v>0</v>
      </c>
      <c r="FW166">
        <f t="shared" si="556"/>
        <v>0</v>
      </c>
      <c r="FX166" t="b">
        <f t="shared" si="557"/>
        <v>1</v>
      </c>
      <c r="FY166">
        <f t="shared" ca="1" si="558"/>
        <v>504</v>
      </c>
      <c r="FZ166">
        <f t="shared" ca="1" si="559"/>
        <v>578708</v>
      </c>
      <c r="GA166">
        <f t="shared" si="560"/>
        <v>75000</v>
      </c>
      <c r="GB166">
        <f t="shared" ca="1" si="561"/>
        <v>503708</v>
      </c>
      <c r="GC166">
        <f t="shared" ca="1" si="562"/>
        <v>0</v>
      </c>
      <c r="GD166">
        <f t="shared" ca="1" si="563"/>
        <v>0</v>
      </c>
      <c r="GE166">
        <f t="shared" ca="1" si="564"/>
        <v>0</v>
      </c>
      <c r="GF166">
        <f t="shared" ca="1" si="565"/>
        <v>0</v>
      </c>
      <c r="GG166">
        <f t="shared" ca="1" si="566"/>
        <v>0</v>
      </c>
      <c r="GH166">
        <f t="shared" ca="1" si="567"/>
        <v>0</v>
      </c>
      <c r="GI166">
        <f ca="1">IF(GB166&gt;1200000,GB166-1200000-IF(F166="YES",50000,0)-GG166,0)</f>
        <v>0</v>
      </c>
      <c r="GJ166">
        <f t="shared" ca="1" si="568"/>
        <v>0</v>
      </c>
      <c r="GK166">
        <f t="shared" ca="1" si="569"/>
        <v>0</v>
      </c>
      <c r="GL166">
        <f t="shared" ca="1" si="570"/>
        <v>0</v>
      </c>
      <c r="GM166">
        <f t="shared" ca="1" si="571"/>
        <v>103708</v>
      </c>
      <c r="GN166">
        <f t="shared" ca="1" si="572"/>
        <v>5185.4000000000005</v>
      </c>
      <c r="GO166">
        <f t="shared" ca="1" si="573"/>
        <v>5185</v>
      </c>
      <c r="GP166">
        <f t="shared" ca="1" si="574"/>
        <v>0</v>
      </c>
      <c r="GQ166">
        <f t="shared" ca="1" si="575"/>
        <v>0</v>
      </c>
      <c r="GR166">
        <f t="shared" ca="1" si="576"/>
        <v>5185</v>
      </c>
      <c r="GS166">
        <f t="shared" ca="1" si="577"/>
        <v>0</v>
      </c>
      <c r="GT166" t="b">
        <f t="shared" ca="1" si="578"/>
        <v>0</v>
      </c>
      <c r="GU166">
        <f t="shared" ca="1" si="579"/>
        <v>0</v>
      </c>
      <c r="GV166">
        <f t="shared" ca="1" si="580"/>
        <v>5185</v>
      </c>
      <c r="GW166">
        <f t="shared" ca="1" si="581"/>
        <v>0</v>
      </c>
      <c r="GX166">
        <f t="shared" ca="1" si="582"/>
        <v>0</v>
      </c>
      <c r="GY166">
        <f t="shared" ca="1" si="583"/>
        <v>0</v>
      </c>
    </row>
    <row r="167" spans="1:207" x14ac:dyDescent="0.25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78"/>
        <v>6800</v>
      </c>
      <c r="I167">
        <f>_xlfn.XLOOKUP(B167,'[1]march-2026'!$A:$A,'[1]march-2026'!$C:$C,0,0)</f>
        <v>35500</v>
      </c>
      <c r="J167">
        <f t="shared" si="542"/>
        <v>6390</v>
      </c>
      <c r="K167">
        <f t="shared" si="479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0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1"/>
        <v>200</v>
      </c>
      <c r="R167">
        <f t="shared" si="482"/>
        <v>42450</v>
      </c>
      <c r="S167">
        <f>_xlfn.XLOOKUP(B167,'[2]april-2026'!$A:$A,'[2]april-2026'!$C:$C,0,0)</f>
        <v>35500</v>
      </c>
      <c r="T167">
        <f t="shared" si="483"/>
        <v>6390</v>
      </c>
      <c r="U167">
        <f t="shared" si="484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85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86"/>
        <v>200</v>
      </c>
      <c r="AB167">
        <f t="shared" si="487"/>
        <v>42450</v>
      </c>
      <c r="AC167">
        <f>_xlfn.XLOOKUP(B167,'[3]may-2026'!$A:$A,'[3]may-2026'!$C:$C,0,0)</f>
        <v>35500</v>
      </c>
      <c r="AD167">
        <f t="shared" si="488"/>
        <v>6390</v>
      </c>
      <c r="AE167">
        <f t="shared" si="489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0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1"/>
        <v>200</v>
      </c>
      <c r="AL167">
        <f t="shared" si="492"/>
        <v>42450</v>
      </c>
      <c r="AM167">
        <f>_xlfn.XLOOKUP(B167,'[4]june-2026'!$A:$A,'[4]june-2026'!$C:$C,0,0)</f>
        <v>35500</v>
      </c>
      <c r="AN167">
        <f t="shared" si="493"/>
        <v>6390</v>
      </c>
      <c r="AO167">
        <f t="shared" si="494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495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496"/>
        <v>200</v>
      </c>
      <c r="AV167">
        <f t="shared" si="497"/>
        <v>42450</v>
      </c>
      <c r="AW167">
        <f>_xlfn.XLOOKUP(B167,'[5]july-2026'!$A:$A,'[5]july-2026'!$C:$C,0,0)</f>
        <v>36600</v>
      </c>
      <c r="AX167">
        <f t="shared" si="498"/>
        <v>6588</v>
      </c>
      <c r="AY167">
        <v>165</v>
      </c>
      <c r="AZ167">
        <f t="shared" si="499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0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1"/>
        <v>200</v>
      </c>
      <c r="BG167">
        <f t="shared" si="502"/>
        <v>44045</v>
      </c>
      <c r="BH167">
        <f>_xlfn.XLOOKUP(B167,'[6]august-2026'!$A:$A,'[6]august-2026'!$C:$C,0,0)</f>
        <v>36600</v>
      </c>
      <c r="BI167">
        <f t="shared" si="503"/>
        <v>6588</v>
      </c>
      <c r="BJ167">
        <f t="shared" si="504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05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06"/>
        <v>200</v>
      </c>
      <c r="BQ167">
        <f t="shared" si="507"/>
        <v>43880</v>
      </c>
      <c r="BR167">
        <f>_xlfn.XLOOKUP(B167,'[7]september-2026'!$A:$A,'[7]september-2026'!$C:$C,0,0)</f>
        <v>36600</v>
      </c>
      <c r="BS167">
        <f t="shared" si="508"/>
        <v>6588</v>
      </c>
      <c r="BT167">
        <f t="shared" si="509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0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1"/>
        <v>200</v>
      </c>
      <c r="CA167">
        <f t="shared" si="512"/>
        <v>43880</v>
      </c>
      <c r="CB167">
        <f>_xlfn.XLOOKUP(B167,'[8]october-2026'!$A:$A,'[8]october-2026'!$C:$C,0,0)</f>
        <v>36600</v>
      </c>
      <c r="CC167">
        <f t="shared" si="513"/>
        <v>6588</v>
      </c>
      <c r="CD167">
        <f t="shared" si="514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15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16"/>
        <v>200</v>
      </c>
      <c r="CK167">
        <f t="shared" si="517"/>
        <v>43880</v>
      </c>
      <c r="CL167">
        <f>_xlfn.XLOOKUP(B167,'[9]november-2026'!$A:$A,'[9]november-2026'!$C:$C,0,0)</f>
        <v>36600</v>
      </c>
      <c r="CM167">
        <f t="shared" si="518"/>
        <v>6588</v>
      </c>
      <c r="CN167">
        <f t="shared" si="519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0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1"/>
        <v>200</v>
      </c>
      <c r="CU167">
        <f t="shared" si="522"/>
        <v>43880</v>
      </c>
      <c r="CV167">
        <f>_xlfn.XLOOKUP(B167,'[10]december-2026'!$A:$A,'[10]december-2026'!$C:$C,0,0)</f>
        <v>36600</v>
      </c>
      <c r="CW167">
        <f t="shared" si="523"/>
        <v>6588</v>
      </c>
      <c r="CX167">
        <f t="shared" si="524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25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26"/>
        <v>200</v>
      </c>
      <c r="DE167">
        <f t="shared" si="527"/>
        <v>43880</v>
      </c>
      <c r="DF167">
        <f xml:space="preserve"> _xlfn.XLOOKUP(B167,
'[11]january-2027'!$A:$A,
'[11]january-2027'!$C:$C,
0,0)</f>
        <v>36600</v>
      </c>
      <c r="DG167">
        <f t="shared" si="528"/>
        <v>6588</v>
      </c>
      <c r="DH167">
        <f t="shared" si="529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0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1"/>
        <v>200</v>
      </c>
      <c r="DO167">
        <f t="shared" si="532"/>
        <v>43880</v>
      </c>
      <c r="DP167">
        <f xml:space="preserve"> _xlfn.XLOOKUP(B167,
'[12]february-2027'!$A:$A,
'[12]february-2027'!$C:$C,
0,0)</f>
        <v>36600</v>
      </c>
      <c r="DQ167">
        <f t="shared" si="533"/>
        <v>6588</v>
      </c>
      <c r="DR167">
        <f t="shared" si="534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35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36"/>
        <v>200</v>
      </c>
      <c r="DY167">
        <f t="shared" si="537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38"/>
        <v>0</v>
      </c>
      <c r="EM167">
        <f t="shared" si="539"/>
        <v>578205</v>
      </c>
      <c r="EN167">
        <f t="shared" si="540"/>
        <v>2400</v>
      </c>
      <c r="EO167">
        <f t="shared" si="541"/>
        <v>50000</v>
      </c>
      <c r="EP167">
        <v>0</v>
      </c>
      <c r="EQ167">
        <f t="shared" si="543"/>
        <v>525805</v>
      </c>
      <c r="ER167">
        <f t="shared" si="544"/>
        <v>48000</v>
      </c>
      <c r="ES167">
        <f t="shared" si="545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46"/>
        <v>48000</v>
      </c>
      <c r="FE167">
        <f t="shared" si="547"/>
        <v>48000</v>
      </c>
      <c r="FF167">
        <f t="shared" si="548"/>
        <v>477805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>SUM(FG167:FM167)+(IF(F167="YES",50000,0))</f>
        <v>0</v>
      </c>
      <c r="FO167">
        <f t="shared" si="549"/>
        <v>477805</v>
      </c>
      <c r="FP167">
        <f t="shared" si="550"/>
        <v>11390</v>
      </c>
      <c r="FQ167">
        <f t="shared" si="551"/>
        <v>0</v>
      </c>
      <c r="FR167">
        <f t="shared" si="552"/>
        <v>11390</v>
      </c>
      <c r="FS167">
        <f t="shared" si="553"/>
        <v>0</v>
      </c>
      <c r="FT167">
        <f t="shared" si="554"/>
        <v>0</v>
      </c>
      <c r="FU167">
        <f t="shared" si="555"/>
        <v>0</v>
      </c>
      <c r="FV167">
        <v>0</v>
      </c>
      <c r="FW167">
        <f t="shared" si="556"/>
        <v>0</v>
      </c>
      <c r="FX167" t="b">
        <f t="shared" si="557"/>
        <v>1</v>
      </c>
      <c r="FY167">
        <f t="shared" ca="1" si="558"/>
        <v>868</v>
      </c>
      <c r="FZ167">
        <f t="shared" ca="1" si="559"/>
        <v>579073</v>
      </c>
      <c r="GA167">
        <f t="shared" si="560"/>
        <v>75000</v>
      </c>
      <c r="GB167">
        <f t="shared" ca="1" si="561"/>
        <v>504073</v>
      </c>
      <c r="GC167">
        <f t="shared" ca="1" si="562"/>
        <v>0</v>
      </c>
      <c r="GD167">
        <f t="shared" ca="1" si="563"/>
        <v>0</v>
      </c>
      <c r="GE167">
        <f t="shared" ca="1" si="564"/>
        <v>0</v>
      </c>
      <c r="GF167">
        <f t="shared" ca="1" si="565"/>
        <v>0</v>
      </c>
      <c r="GG167">
        <f t="shared" ca="1" si="566"/>
        <v>0</v>
      </c>
      <c r="GH167">
        <f t="shared" ca="1" si="567"/>
        <v>0</v>
      </c>
      <c r="GI167">
        <f ca="1">IF(GB167&gt;1200000,GB167-1200000-IF(F167="YES",50000,0)-GG167,0)</f>
        <v>0</v>
      </c>
      <c r="GJ167">
        <f t="shared" ca="1" si="568"/>
        <v>0</v>
      </c>
      <c r="GK167">
        <f t="shared" ca="1" si="569"/>
        <v>0</v>
      </c>
      <c r="GL167">
        <f t="shared" ca="1" si="570"/>
        <v>0</v>
      </c>
      <c r="GM167">
        <f t="shared" ca="1" si="571"/>
        <v>104073</v>
      </c>
      <c r="GN167">
        <f t="shared" ca="1" si="572"/>
        <v>5203.6500000000005</v>
      </c>
      <c r="GO167">
        <f t="shared" ca="1" si="573"/>
        <v>5204</v>
      </c>
      <c r="GP167">
        <f t="shared" ca="1" si="574"/>
        <v>0</v>
      </c>
      <c r="GQ167">
        <f t="shared" ca="1" si="575"/>
        <v>0</v>
      </c>
      <c r="GR167">
        <f t="shared" ca="1" si="576"/>
        <v>5204</v>
      </c>
      <c r="GS167">
        <f t="shared" ca="1" si="577"/>
        <v>0</v>
      </c>
      <c r="GT167" t="b">
        <f t="shared" ca="1" si="578"/>
        <v>0</v>
      </c>
      <c r="GU167">
        <f t="shared" ca="1" si="579"/>
        <v>0</v>
      </c>
      <c r="GV167">
        <f t="shared" ca="1" si="580"/>
        <v>5204</v>
      </c>
      <c r="GW167">
        <f t="shared" ca="1" si="581"/>
        <v>0</v>
      </c>
      <c r="GX167">
        <f t="shared" ca="1" si="582"/>
        <v>0</v>
      </c>
      <c r="GY167">
        <f t="shared" ca="1" si="583"/>
        <v>0</v>
      </c>
    </row>
    <row r="168" spans="1:207" x14ac:dyDescent="0.25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78"/>
        <v>6800</v>
      </c>
      <c r="I168">
        <f>_xlfn.XLOOKUP(B168,'[1]march-2026'!$A:$A,'[1]march-2026'!$C:$C,0,0)</f>
        <v>35500</v>
      </c>
      <c r="J168">
        <f t="shared" si="542"/>
        <v>6390</v>
      </c>
      <c r="K168">
        <f t="shared" si="479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0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1"/>
        <v>200</v>
      </c>
      <c r="R168">
        <f t="shared" si="482"/>
        <v>42450</v>
      </c>
      <c r="S168">
        <f>_xlfn.XLOOKUP(B168,'[2]april-2026'!$A:$A,'[2]april-2026'!$C:$C,0,0)</f>
        <v>35500</v>
      </c>
      <c r="T168">
        <f t="shared" si="483"/>
        <v>6390</v>
      </c>
      <c r="U168">
        <f t="shared" si="484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85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86"/>
        <v>200</v>
      </c>
      <c r="AB168">
        <f t="shared" si="487"/>
        <v>42450</v>
      </c>
      <c r="AC168">
        <f>_xlfn.XLOOKUP(B168,'[3]may-2026'!$A:$A,'[3]may-2026'!$C:$C,0,0)</f>
        <v>35500</v>
      </c>
      <c r="AD168">
        <f t="shared" si="488"/>
        <v>6390</v>
      </c>
      <c r="AE168">
        <f t="shared" si="489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0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1"/>
        <v>200</v>
      </c>
      <c r="AL168">
        <f t="shared" si="492"/>
        <v>42450</v>
      </c>
      <c r="AM168">
        <f>_xlfn.XLOOKUP(B168,'[4]june-2026'!$A:$A,'[4]june-2026'!$C:$C,0,0)</f>
        <v>35500</v>
      </c>
      <c r="AN168">
        <f t="shared" si="493"/>
        <v>6390</v>
      </c>
      <c r="AO168">
        <f t="shared" si="494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495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496"/>
        <v>200</v>
      </c>
      <c r="AV168">
        <f t="shared" si="497"/>
        <v>42450</v>
      </c>
      <c r="AW168">
        <f>_xlfn.XLOOKUP(B168,'[5]july-2026'!$A:$A,'[5]july-2026'!$C:$C,0,0)</f>
        <v>36600</v>
      </c>
      <c r="AX168">
        <f t="shared" si="498"/>
        <v>6588</v>
      </c>
      <c r="AY168">
        <v>166</v>
      </c>
      <c r="AZ168">
        <f t="shared" si="499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0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1"/>
        <v>200</v>
      </c>
      <c r="BG168">
        <f t="shared" si="502"/>
        <v>44046</v>
      </c>
      <c r="BH168">
        <f>_xlfn.XLOOKUP(B168,'[6]august-2026'!$A:$A,'[6]august-2026'!$C:$C,0,0)</f>
        <v>36600</v>
      </c>
      <c r="BI168">
        <f t="shared" si="503"/>
        <v>6588</v>
      </c>
      <c r="BJ168">
        <f t="shared" si="504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05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06"/>
        <v>200</v>
      </c>
      <c r="BQ168">
        <f t="shared" si="507"/>
        <v>43880</v>
      </c>
      <c r="BR168">
        <f>_xlfn.XLOOKUP(B168,'[7]september-2026'!$A:$A,'[7]september-2026'!$C:$C,0,0)</f>
        <v>36600</v>
      </c>
      <c r="BS168">
        <f t="shared" si="508"/>
        <v>6588</v>
      </c>
      <c r="BT168">
        <f t="shared" si="509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0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1"/>
        <v>200</v>
      </c>
      <c r="CA168">
        <f t="shared" si="512"/>
        <v>43880</v>
      </c>
      <c r="CB168">
        <f>_xlfn.XLOOKUP(B168,'[8]october-2026'!$A:$A,'[8]october-2026'!$C:$C,0,0)</f>
        <v>36600</v>
      </c>
      <c r="CC168">
        <f t="shared" si="513"/>
        <v>6588</v>
      </c>
      <c r="CD168">
        <f t="shared" si="514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15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16"/>
        <v>200</v>
      </c>
      <c r="CK168">
        <f t="shared" si="517"/>
        <v>43880</v>
      </c>
      <c r="CL168">
        <f>_xlfn.XLOOKUP(B168,'[9]november-2026'!$A:$A,'[9]november-2026'!$C:$C,0,0)</f>
        <v>36600</v>
      </c>
      <c r="CM168">
        <f t="shared" si="518"/>
        <v>6588</v>
      </c>
      <c r="CN168">
        <f t="shared" si="519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0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1"/>
        <v>200</v>
      </c>
      <c r="CU168">
        <f t="shared" si="522"/>
        <v>43880</v>
      </c>
      <c r="CV168">
        <f>_xlfn.XLOOKUP(B168,'[10]december-2026'!$A:$A,'[10]december-2026'!$C:$C,0,0)</f>
        <v>36600</v>
      </c>
      <c r="CW168">
        <f t="shared" si="523"/>
        <v>6588</v>
      </c>
      <c r="CX168">
        <f t="shared" si="524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25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26"/>
        <v>200</v>
      </c>
      <c r="DE168">
        <f t="shared" si="527"/>
        <v>43880</v>
      </c>
      <c r="DF168">
        <f xml:space="preserve"> _xlfn.XLOOKUP(B168,
'[11]january-2027'!$A:$A,
'[11]january-2027'!$C:$C,
0,0)</f>
        <v>36600</v>
      </c>
      <c r="DG168">
        <f t="shared" si="528"/>
        <v>6588</v>
      </c>
      <c r="DH168">
        <f t="shared" si="529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0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1"/>
        <v>200</v>
      </c>
      <c r="DO168">
        <f t="shared" si="532"/>
        <v>43880</v>
      </c>
      <c r="DP168">
        <f xml:space="preserve"> _xlfn.XLOOKUP(B168,
'[12]february-2027'!$A:$A,
'[12]february-2027'!$C:$C,
0,0)</f>
        <v>36600</v>
      </c>
      <c r="DQ168">
        <f t="shared" si="533"/>
        <v>6588</v>
      </c>
      <c r="DR168">
        <f t="shared" si="534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35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36"/>
        <v>200</v>
      </c>
      <c r="DY168">
        <f t="shared" si="537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38"/>
        <v>0</v>
      </c>
      <c r="EM168">
        <f t="shared" si="539"/>
        <v>578206</v>
      </c>
      <c r="EN168">
        <f t="shared" si="540"/>
        <v>2400</v>
      </c>
      <c r="EO168">
        <f t="shared" si="541"/>
        <v>50000</v>
      </c>
      <c r="EP168">
        <v>0</v>
      </c>
      <c r="EQ168">
        <f t="shared" si="543"/>
        <v>525806</v>
      </c>
      <c r="ER168">
        <f t="shared" si="544"/>
        <v>48000</v>
      </c>
      <c r="ES168">
        <f t="shared" si="545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46"/>
        <v>48000</v>
      </c>
      <c r="FE168">
        <f t="shared" si="547"/>
        <v>48000</v>
      </c>
      <c r="FF168">
        <f t="shared" si="548"/>
        <v>477806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>SUM(FG168:FM168)+(IF(F168="YES",50000,0))</f>
        <v>0</v>
      </c>
      <c r="FO168">
        <f t="shared" si="549"/>
        <v>477806</v>
      </c>
      <c r="FP168">
        <f t="shared" si="550"/>
        <v>11390</v>
      </c>
      <c r="FQ168">
        <f t="shared" si="551"/>
        <v>0</v>
      </c>
      <c r="FR168">
        <f t="shared" si="552"/>
        <v>11390</v>
      </c>
      <c r="FS168">
        <f t="shared" si="553"/>
        <v>0</v>
      </c>
      <c r="FT168">
        <f t="shared" si="554"/>
        <v>0</v>
      </c>
      <c r="FU168">
        <f t="shared" si="555"/>
        <v>0</v>
      </c>
      <c r="FV168">
        <v>0</v>
      </c>
      <c r="FW168">
        <f t="shared" si="556"/>
        <v>0</v>
      </c>
      <c r="FX168" t="b">
        <f t="shared" si="557"/>
        <v>1</v>
      </c>
      <c r="FY168">
        <f t="shared" ca="1" si="558"/>
        <v>534</v>
      </c>
      <c r="FZ168">
        <f t="shared" ca="1" si="559"/>
        <v>578740</v>
      </c>
      <c r="GA168">
        <f t="shared" si="560"/>
        <v>75000</v>
      </c>
      <c r="GB168">
        <f t="shared" ca="1" si="561"/>
        <v>503740</v>
      </c>
      <c r="GC168">
        <f t="shared" ca="1" si="562"/>
        <v>0</v>
      </c>
      <c r="GD168">
        <f t="shared" ca="1" si="563"/>
        <v>0</v>
      </c>
      <c r="GE168">
        <f t="shared" ca="1" si="564"/>
        <v>0</v>
      </c>
      <c r="GF168">
        <f t="shared" ca="1" si="565"/>
        <v>0</v>
      </c>
      <c r="GG168">
        <f t="shared" ca="1" si="566"/>
        <v>0</v>
      </c>
      <c r="GH168">
        <f t="shared" ca="1" si="567"/>
        <v>0</v>
      </c>
      <c r="GI168">
        <f ca="1">IF(GB168&gt;1200000,GB168-1200000-IF(F168="YES",50000,0)-GG168,0)</f>
        <v>0</v>
      </c>
      <c r="GJ168">
        <f t="shared" ca="1" si="568"/>
        <v>0</v>
      </c>
      <c r="GK168">
        <f t="shared" ca="1" si="569"/>
        <v>0</v>
      </c>
      <c r="GL168">
        <f t="shared" ca="1" si="570"/>
        <v>0</v>
      </c>
      <c r="GM168">
        <f t="shared" ca="1" si="571"/>
        <v>103740</v>
      </c>
      <c r="GN168">
        <f t="shared" ca="1" si="572"/>
        <v>5187</v>
      </c>
      <c r="GO168">
        <f t="shared" ca="1" si="573"/>
        <v>5187</v>
      </c>
      <c r="GP168">
        <f t="shared" ca="1" si="574"/>
        <v>0</v>
      </c>
      <c r="GQ168">
        <f t="shared" ca="1" si="575"/>
        <v>0</v>
      </c>
      <c r="GR168">
        <f t="shared" ca="1" si="576"/>
        <v>5187</v>
      </c>
      <c r="GS168">
        <f t="shared" ca="1" si="577"/>
        <v>0</v>
      </c>
      <c r="GT168" t="b">
        <f t="shared" ca="1" si="578"/>
        <v>0</v>
      </c>
      <c r="GU168">
        <f t="shared" ca="1" si="579"/>
        <v>0</v>
      </c>
      <c r="GV168">
        <f t="shared" ca="1" si="580"/>
        <v>5187</v>
      </c>
      <c r="GW168">
        <f t="shared" ca="1" si="581"/>
        <v>0</v>
      </c>
      <c r="GX168">
        <f t="shared" ca="1" si="582"/>
        <v>0</v>
      </c>
      <c r="GY168">
        <f t="shared" ca="1" si="583"/>
        <v>0</v>
      </c>
    </row>
    <row r="169" spans="1:207" x14ac:dyDescent="0.25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78"/>
        <v>6800</v>
      </c>
      <c r="I169">
        <f>_xlfn.XLOOKUP(B169,'[1]march-2026'!$A:$A,'[1]march-2026'!$C:$C,0,0)</f>
        <v>35500</v>
      </c>
      <c r="J169">
        <f t="shared" si="542"/>
        <v>6390</v>
      </c>
      <c r="K169">
        <f t="shared" si="479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0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1"/>
        <v>200</v>
      </c>
      <c r="R169">
        <f t="shared" si="482"/>
        <v>42450</v>
      </c>
      <c r="S169">
        <f>_xlfn.XLOOKUP(B169,'[2]april-2026'!$A:$A,'[2]april-2026'!$C:$C,0,0)</f>
        <v>35500</v>
      </c>
      <c r="T169">
        <f t="shared" si="483"/>
        <v>6390</v>
      </c>
      <c r="U169">
        <f t="shared" si="484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85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86"/>
        <v>200</v>
      </c>
      <c r="AB169">
        <f t="shared" si="487"/>
        <v>42450</v>
      </c>
      <c r="AC169">
        <f>_xlfn.XLOOKUP(B169,'[3]may-2026'!$A:$A,'[3]may-2026'!$C:$C,0,0)</f>
        <v>35500</v>
      </c>
      <c r="AD169">
        <f t="shared" si="488"/>
        <v>6390</v>
      </c>
      <c r="AE169">
        <f t="shared" si="489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0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1"/>
        <v>200</v>
      </c>
      <c r="AL169">
        <f t="shared" si="492"/>
        <v>42450</v>
      </c>
      <c r="AM169">
        <f>_xlfn.XLOOKUP(B169,'[4]june-2026'!$A:$A,'[4]june-2026'!$C:$C,0,0)</f>
        <v>35500</v>
      </c>
      <c r="AN169">
        <f t="shared" si="493"/>
        <v>6390</v>
      </c>
      <c r="AO169">
        <f t="shared" si="494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495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496"/>
        <v>200</v>
      </c>
      <c r="AV169">
        <f t="shared" si="497"/>
        <v>42450</v>
      </c>
      <c r="AW169">
        <f>_xlfn.XLOOKUP(B169,'[5]july-2026'!$A:$A,'[5]july-2026'!$C:$C,0,0)</f>
        <v>36600</v>
      </c>
      <c r="AX169">
        <f t="shared" si="498"/>
        <v>6588</v>
      </c>
      <c r="AY169">
        <v>167</v>
      </c>
      <c r="AZ169">
        <f t="shared" si="499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0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1"/>
        <v>200</v>
      </c>
      <c r="BG169">
        <f t="shared" si="502"/>
        <v>44047</v>
      </c>
      <c r="BH169">
        <f>_xlfn.XLOOKUP(B169,'[6]august-2026'!$A:$A,'[6]august-2026'!$C:$C,0,0)</f>
        <v>36600</v>
      </c>
      <c r="BI169">
        <f t="shared" si="503"/>
        <v>6588</v>
      </c>
      <c r="BJ169">
        <f t="shared" si="504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05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06"/>
        <v>200</v>
      </c>
      <c r="BQ169">
        <f t="shared" si="507"/>
        <v>43880</v>
      </c>
      <c r="BR169">
        <f>_xlfn.XLOOKUP(B169,'[7]september-2026'!$A:$A,'[7]september-2026'!$C:$C,0,0)</f>
        <v>36600</v>
      </c>
      <c r="BS169">
        <f t="shared" si="508"/>
        <v>6588</v>
      </c>
      <c r="BT169">
        <f t="shared" si="509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0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1"/>
        <v>200</v>
      </c>
      <c r="CA169">
        <f t="shared" si="512"/>
        <v>43880</v>
      </c>
      <c r="CB169">
        <f>_xlfn.XLOOKUP(B169,'[8]october-2026'!$A:$A,'[8]october-2026'!$C:$C,0,0)</f>
        <v>36600</v>
      </c>
      <c r="CC169">
        <f t="shared" si="513"/>
        <v>6588</v>
      </c>
      <c r="CD169">
        <f t="shared" si="514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15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16"/>
        <v>200</v>
      </c>
      <c r="CK169">
        <f t="shared" si="517"/>
        <v>43880</v>
      </c>
      <c r="CL169">
        <f>_xlfn.XLOOKUP(B169,'[9]november-2026'!$A:$A,'[9]november-2026'!$C:$C,0,0)</f>
        <v>36600</v>
      </c>
      <c r="CM169">
        <f t="shared" si="518"/>
        <v>6588</v>
      </c>
      <c r="CN169">
        <f t="shared" si="519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0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1"/>
        <v>200</v>
      </c>
      <c r="CU169">
        <f t="shared" si="522"/>
        <v>43880</v>
      </c>
      <c r="CV169">
        <f>_xlfn.XLOOKUP(B169,'[10]december-2026'!$A:$A,'[10]december-2026'!$C:$C,0,0)</f>
        <v>36600</v>
      </c>
      <c r="CW169">
        <f t="shared" si="523"/>
        <v>6588</v>
      </c>
      <c r="CX169">
        <f t="shared" si="524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25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26"/>
        <v>200</v>
      </c>
      <c r="DE169">
        <f t="shared" si="527"/>
        <v>43880</v>
      </c>
      <c r="DF169">
        <f xml:space="preserve"> _xlfn.XLOOKUP(B169,
'[11]january-2027'!$A:$A,
'[11]january-2027'!$C:$C,
0,0)</f>
        <v>36600</v>
      </c>
      <c r="DG169">
        <f t="shared" si="528"/>
        <v>6588</v>
      </c>
      <c r="DH169">
        <f t="shared" si="529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0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1"/>
        <v>200</v>
      </c>
      <c r="DO169">
        <f t="shared" si="532"/>
        <v>43880</v>
      </c>
      <c r="DP169">
        <f xml:space="preserve"> _xlfn.XLOOKUP(B169,
'[12]february-2027'!$A:$A,
'[12]february-2027'!$C:$C,
0,0)</f>
        <v>36600</v>
      </c>
      <c r="DQ169">
        <f t="shared" si="533"/>
        <v>6588</v>
      </c>
      <c r="DR169">
        <f t="shared" si="534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35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36"/>
        <v>200</v>
      </c>
      <c r="DY169">
        <f t="shared" si="537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38"/>
        <v>0</v>
      </c>
      <c r="EM169">
        <f t="shared" si="539"/>
        <v>578207</v>
      </c>
      <c r="EN169">
        <f t="shared" si="540"/>
        <v>2400</v>
      </c>
      <c r="EO169">
        <f t="shared" si="541"/>
        <v>50000</v>
      </c>
      <c r="EP169">
        <v>0</v>
      </c>
      <c r="EQ169">
        <f t="shared" si="543"/>
        <v>525807</v>
      </c>
      <c r="ER169">
        <f t="shared" si="544"/>
        <v>48000</v>
      </c>
      <c r="ES169">
        <f t="shared" si="545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46"/>
        <v>48000</v>
      </c>
      <c r="FE169">
        <f t="shared" si="547"/>
        <v>48000</v>
      </c>
      <c r="FF169">
        <f t="shared" si="548"/>
        <v>477807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>SUM(FG169:FM169)+(IF(F169="YES",50000,0))</f>
        <v>0</v>
      </c>
      <c r="FO169">
        <f t="shared" si="549"/>
        <v>477807</v>
      </c>
      <c r="FP169">
        <f t="shared" si="550"/>
        <v>11390</v>
      </c>
      <c r="FQ169">
        <f t="shared" si="551"/>
        <v>0</v>
      </c>
      <c r="FR169">
        <f t="shared" si="552"/>
        <v>11390</v>
      </c>
      <c r="FS169">
        <f t="shared" si="553"/>
        <v>0</v>
      </c>
      <c r="FT169">
        <f t="shared" si="554"/>
        <v>0</v>
      </c>
      <c r="FU169">
        <f t="shared" si="555"/>
        <v>0</v>
      </c>
      <c r="FV169">
        <v>0</v>
      </c>
      <c r="FW169">
        <f t="shared" si="556"/>
        <v>0</v>
      </c>
      <c r="FX169" t="b">
        <f t="shared" si="557"/>
        <v>1</v>
      </c>
      <c r="FY169">
        <f t="shared" ca="1" si="558"/>
        <v>697</v>
      </c>
      <c r="FZ169">
        <f t="shared" ca="1" si="559"/>
        <v>578904</v>
      </c>
      <c r="GA169">
        <f t="shared" si="560"/>
        <v>75000</v>
      </c>
      <c r="GB169">
        <f t="shared" ca="1" si="561"/>
        <v>503904</v>
      </c>
      <c r="GC169">
        <f t="shared" ca="1" si="562"/>
        <v>0</v>
      </c>
      <c r="GD169">
        <f t="shared" ca="1" si="563"/>
        <v>0</v>
      </c>
      <c r="GE169">
        <f t="shared" ca="1" si="564"/>
        <v>0</v>
      </c>
      <c r="GF169">
        <f t="shared" ca="1" si="565"/>
        <v>0</v>
      </c>
      <c r="GG169">
        <f t="shared" ca="1" si="566"/>
        <v>0</v>
      </c>
      <c r="GH169">
        <f t="shared" ca="1" si="567"/>
        <v>0</v>
      </c>
      <c r="GI169">
        <f ca="1">IF(GB169&gt;1200000,GB169-1200000-IF(F169="YES",50000,0)-GG169,0)</f>
        <v>0</v>
      </c>
      <c r="GJ169">
        <f t="shared" ca="1" si="568"/>
        <v>0</v>
      </c>
      <c r="GK169">
        <f t="shared" ca="1" si="569"/>
        <v>0</v>
      </c>
      <c r="GL169">
        <f t="shared" ca="1" si="570"/>
        <v>0</v>
      </c>
      <c r="GM169">
        <f t="shared" ca="1" si="571"/>
        <v>103904</v>
      </c>
      <c r="GN169">
        <f t="shared" ca="1" si="572"/>
        <v>5195.2000000000007</v>
      </c>
      <c r="GO169">
        <f t="shared" ca="1" si="573"/>
        <v>5195</v>
      </c>
      <c r="GP169">
        <f t="shared" ca="1" si="574"/>
        <v>0</v>
      </c>
      <c r="GQ169">
        <f t="shared" ca="1" si="575"/>
        <v>0</v>
      </c>
      <c r="GR169">
        <f t="shared" ca="1" si="576"/>
        <v>5195</v>
      </c>
      <c r="GS169">
        <f t="shared" ca="1" si="577"/>
        <v>0</v>
      </c>
      <c r="GT169" t="b">
        <f t="shared" ca="1" si="578"/>
        <v>0</v>
      </c>
      <c r="GU169">
        <f t="shared" ca="1" si="579"/>
        <v>0</v>
      </c>
      <c r="GV169">
        <f t="shared" ca="1" si="580"/>
        <v>5195</v>
      </c>
      <c r="GW169">
        <f t="shared" ca="1" si="581"/>
        <v>0</v>
      </c>
      <c r="GX169">
        <f t="shared" ca="1" si="582"/>
        <v>0</v>
      </c>
      <c r="GY169">
        <f t="shared" ca="1" si="583"/>
        <v>0</v>
      </c>
    </row>
    <row r="170" spans="1:207" x14ac:dyDescent="0.25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78"/>
        <v>6800</v>
      </c>
      <c r="I170">
        <f>_xlfn.XLOOKUP(B170,'[1]march-2026'!$A:$A,'[1]march-2026'!$C:$C,0,0)</f>
        <v>34500</v>
      </c>
      <c r="J170">
        <f t="shared" si="542"/>
        <v>6210</v>
      </c>
      <c r="K170">
        <f t="shared" si="479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0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1"/>
        <v>200</v>
      </c>
      <c r="R170">
        <f t="shared" si="482"/>
        <v>42150</v>
      </c>
      <c r="S170">
        <f>_xlfn.XLOOKUP(B170,'[2]april-2026'!$A:$A,'[2]april-2026'!$C:$C,0,0)</f>
        <v>34500</v>
      </c>
      <c r="T170">
        <f t="shared" si="483"/>
        <v>6210</v>
      </c>
      <c r="U170">
        <f t="shared" si="484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85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86"/>
        <v>200</v>
      </c>
      <c r="AB170">
        <f t="shared" si="487"/>
        <v>42150</v>
      </c>
      <c r="AC170">
        <f>_xlfn.XLOOKUP(B170,'[3]may-2026'!$A:$A,'[3]may-2026'!$C:$C,0,0)</f>
        <v>34500</v>
      </c>
      <c r="AD170">
        <f t="shared" si="488"/>
        <v>6210</v>
      </c>
      <c r="AE170">
        <f t="shared" si="489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0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1"/>
        <v>200</v>
      </c>
      <c r="AL170">
        <f t="shared" si="492"/>
        <v>42150</v>
      </c>
      <c r="AM170">
        <f>_xlfn.XLOOKUP(B170,'[4]june-2026'!$A:$A,'[4]june-2026'!$C:$C,0,0)</f>
        <v>34500</v>
      </c>
      <c r="AN170">
        <f t="shared" si="493"/>
        <v>6210</v>
      </c>
      <c r="AO170">
        <f t="shared" si="494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495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496"/>
        <v>200</v>
      </c>
      <c r="AV170">
        <f t="shared" si="497"/>
        <v>42150</v>
      </c>
      <c r="AW170">
        <f>_xlfn.XLOOKUP(B170,'[5]july-2026'!$A:$A,'[5]july-2026'!$C:$C,0,0)</f>
        <v>35500</v>
      </c>
      <c r="AX170">
        <f t="shared" si="498"/>
        <v>6390</v>
      </c>
      <c r="AY170">
        <v>168</v>
      </c>
      <c r="AZ170">
        <f t="shared" si="499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0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1"/>
        <v>200</v>
      </c>
      <c r="BG170">
        <f t="shared" si="502"/>
        <v>43618</v>
      </c>
      <c r="BH170">
        <f>_xlfn.XLOOKUP(B170,'[6]august-2026'!$A:$A,'[6]august-2026'!$C:$C,0,0)</f>
        <v>35500</v>
      </c>
      <c r="BI170">
        <f t="shared" si="503"/>
        <v>6390</v>
      </c>
      <c r="BJ170">
        <f t="shared" si="504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05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06"/>
        <v>200</v>
      </c>
      <c r="BQ170">
        <f t="shared" si="507"/>
        <v>43450</v>
      </c>
      <c r="BR170">
        <f>_xlfn.XLOOKUP(B170,'[7]september-2026'!$A:$A,'[7]september-2026'!$C:$C,0,0)</f>
        <v>35500</v>
      </c>
      <c r="BS170">
        <f t="shared" si="508"/>
        <v>6390</v>
      </c>
      <c r="BT170">
        <f t="shared" si="509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0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1"/>
        <v>200</v>
      </c>
      <c r="CA170">
        <f t="shared" si="512"/>
        <v>43450</v>
      </c>
      <c r="CB170">
        <f>_xlfn.XLOOKUP(B170,'[8]october-2026'!$A:$A,'[8]october-2026'!$C:$C,0,0)</f>
        <v>35500</v>
      </c>
      <c r="CC170">
        <f t="shared" si="513"/>
        <v>6390</v>
      </c>
      <c r="CD170">
        <f t="shared" si="514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15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16"/>
        <v>200</v>
      </c>
      <c r="CK170">
        <f t="shared" si="517"/>
        <v>43450</v>
      </c>
      <c r="CL170">
        <f>_xlfn.XLOOKUP(B170,'[9]november-2026'!$A:$A,'[9]november-2026'!$C:$C,0,0)</f>
        <v>35500</v>
      </c>
      <c r="CM170">
        <f t="shared" si="518"/>
        <v>6390</v>
      </c>
      <c r="CN170">
        <f t="shared" si="519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0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1"/>
        <v>200</v>
      </c>
      <c r="CU170">
        <f t="shared" si="522"/>
        <v>43450</v>
      </c>
      <c r="CV170">
        <f>_xlfn.XLOOKUP(B170,'[10]december-2026'!$A:$A,'[10]december-2026'!$C:$C,0,0)</f>
        <v>35500</v>
      </c>
      <c r="CW170">
        <f t="shared" si="523"/>
        <v>6390</v>
      </c>
      <c r="CX170">
        <f t="shared" si="524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25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26"/>
        <v>200</v>
      </c>
      <c r="DE170">
        <f t="shared" si="527"/>
        <v>43450</v>
      </c>
      <c r="DF170">
        <f xml:space="preserve"> _xlfn.XLOOKUP(B170,
'[11]january-2027'!$A:$A,
'[11]january-2027'!$C:$C,
0,0)</f>
        <v>35500</v>
      </c>
      <c r="DG170">
        <f t="shared" si="528"/>
        <v>6390</v>
      </c>
      <c r="DH170">
        <f t="shared" si="529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0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1"/>
        <v>200</v>
      </c>
      <c r="DO170">
        <f t="shared" si="532"/>
        <v>43450</v>
      </c>
      <c r="DP170">
        <f xml:space="preserve"> _xlfn.XLOOKUP(B170,
'[12]february-2027'!$A:$A,
'[12]february-2027'!$C:$C,
0,0)</f>
        <v>35500</v>
      </c>
      <c r="DQ170">
        <f t="shared" si="533"/>
        <v>6390</v>
      </c>
      <c r="DR170">
        <f t="shared" si="534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35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36"/>
        <v>200</v>
      </c>
      <c r="DY170">
        <f t="shared" si="537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38"/>
        <v>0</v>
      </c>
      <c r="EM170">
        <f t="shared" si="539"/>
        <v>561568</v>
      </c>
      <c r="EN170">
        <f t="shared" si="540"/>
        <v>2400</v>
      </c>
      <c r="EO170">
        <f t="shared" si="541"/>
        <v>50000</v>
      </c>
      <c r="EP170">
        <v>0</v>
      </c>
      <c r="EQ170">
        <f t="shared" si="543"/>
        <v>509168</v>
      </c>
      <c r="ER170">
        <f t="shared" si="544"/>
        <v>36000</v>
      </c>
      <c r="ES170">
        <f t="shared" si="545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46"/>
        <v>36000</v>
      </c>
      <c r="FE170">
        <f t="shared" si="547"/>
        <v>36000</v>
      </c>
      <c r="FF170">
        <f t="shared" si="548"/>
        <v>473168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>SUM(FG170:FM170)+(IF(F170="YES",50000,0))</f>
        <v>0</v>
      </c>
      <c r="FO170">
        <f t="shared" si="549"/>
        <v>473168</v>
      </c>
      <c r="FP170">
        <f t="shared" si="550"/>
        <v>11158</v>
      </c>
      <c r="FQ170">
        <f t="shared" si="551"/>
        <v>0</v>
      </c>
      <c r="FR170">
        <f t="shared" si="552"/>
        <v>11158</v>
      </c>
      <c r="FS170">
        <f t="shared" si="553"/>
        <v>0</v>
      </c>
      <c r="FT170">
        <f t="shared" si="554"/>
        <v>0</v>
      </c>
      <c r="FU170">
        <f t="shared" si="555"/>
        <v>0</v>
      </c>
      <c r="FV170">
        <v>0</v>
      </c>
      <c r="FW170">
        <f t="shared" si="556"/>
        <v>0</v>
      </c>
      <c r="FX170" t="b">
        <f t="shared" si="557"/>
        <v>1</v>
      </c>
      <c r="FY170">
        <f t="shared" ca="1" si="558"/>
        <v>680</v>
      </c>
      <c r="FZ170">
        <f t="shared" ca="1" si="559"/>
        <v>562248</v>
      </c>
      <c r="GA170">
        <f t="shared" si="560"/>
        <v>75000</v>
      </c>
      <c r="GB170">
        <f t="shared" ca="1" si="561"/>
        <v>487248</v>
      </c>
      <c r="GC170">
        <f t="shared" ca="1" si="562"/>
        <v>0</v>
      </c>
      <c r="GD170">
        <f t="shared" ca="1" si="563"/>
        <v>0</v>
      </c>
      <c r="GE170">
        <f t="shared" ca="1" si="564"/>
        <v>0</v>
      </c>
      <c r="GF170">
        <f t="shared" ca="1" si="565"/>
        <v>0</v>
      </c>
      <c r="GG170">
        <f t="shared" ca="1" si="566"/>
        <v>0</v>
      </c>
      <c r="GH170">
        <f t="shared" ca="1" si="567"/>
        <v>0</v>
      </c>
      <c r="GI170">
        <f ca="1">IF(GB170&gt;1200000,GB170-1200000-IF(F170="YES",50000,0)-GG170,0)</f>
        <v>0</v>
      </c>
      <c r="GJ170">
        <f t="shared" ca="1" si="568"/>
        <v>0</v>
      </c>
      <c r="GK170">
        <f t="shared" ca="1" si="569"/>
        <v>0</v>
      </c>
      <c r="GL170">
        <f t="shared" ca="1" si="570"/>
        <v>0</v>
      </c>
      <c r="GM170">
        <f t="shared" ca="1" si="571"/>
        <v>87248</v>
      </c>
      <c r="GN170">
        <f t="shared" ca="1" si="572"/>
        <v>4362.4000000000005</v>
      </c>
      <c r="GO170">
        <f t="shared" ca="1" si="573"/>
        <v>4362</v>
      </c>
      <c r="GP170">
        <f t="shared" ca="1" si="574"/>
        <v>0</v>
      </c>
      <c r="GQ170">
        <f t="shared" ca="1" si="575"/>
        <v>0</v>
      </c>
      <c r="GR170">
        <f t="shared" ca="1" si="576"/>
        <v>4362</v>
      </c>
      <c r="GS170">
        <f t="shared" ca="1" si="577"/>
        <v>0</v>
      </c>
      <c r="GT170" t="b">
        <f t="shared" ca="1" si="578"/>
        <v>0</v>
      </c>
      <c r="GU170">
        <f t="shared" ca="1" si="579"/>
        <v>0</v>
      </c>
      <c r="GV170">
        <f t="shared" ca="1" si="580"/>
        <v>4362</v>
      </c>
      <c r="GW170">
        <f t="shared" ca="1" si="581"/>
        <v>0</v>
      </c>
      <c r="GX170">
        <f t="shared" ca="1" si="582"/>
        <v>0</v>
      </c>
      <c r="GY170">
        <f t="shared" ca="1" si="583"/>
        <v>0</v>
      </c>
    </row>
    <row r="171" spans="1:207" x14ac:dyDescent="0.25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78"/>
        <v>0</v>
      </c>
      <c r="I171">
        <f>_xlfn.XLOOKUP(B171,'[1]march-2026'!$A:$A,'[1]march-2026'!$C:$C,0,0)</f>
        <v>28900</v>
      </c>
      <c r="J171">
        <f t="shared" si="542"/>
        <v>5202</v>
      </c>
      <c r="K171">
        <f t="shared" si="479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0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1"/>
        <v>150</v>
      </c>
      <c r="R171">
        <f t="shared" si="482"/>
        <v>37920</v>
      </c>
      <c r="S171">
        <f>_xlfn.XLOOKUP(B171,'[2]april-2026'!$A:$A,'[2]april-2026'!$C:$C,0,0)</f>
        <v>28900</v>
      </c>
      <c r="T171">
        <f t="shared" si="483"/>
        <v>5202</v>
      </c>
      <c r="U171">
        <f t="shared" si="484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85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86"/>
        <v>150</v>
      </c>
      <c r="AB171">
        <f t="shared" si="487"/>
        <v>37920</v>
      </c>
      <c r="AC171">
        <f>_xlfn.XLOOKUP(B171,'[3]may-2026'!$A:$A,'[3]may-2026'!$C:$C,0,0)</f>
        <v>28900</v>
      </c>
      <c r="AD171">
        <f t="shared" si="488"/>
        <v>5202</v>
      </c>
      <c r="AE171">
        <f t="shared" si="489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0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1"/>
        <v>150</v>
      </c>
      <c r="AL171">
        <f t="shared" si="492"/>
        <v>37920</v>
      </c>
      <c r="AM171">
        <f>_xlfn.XLOOKUP(B171,'[4]june-2026'!$A:$A,'[4]june-2026'!$C:$C,0,0)</f>
        <v>28900</v>
      </c>
      <c r="AN171">
        <f t="shared" si="493"/>
        <v>5202</v>
      </c>
      <c r="AO171">
        <f t="shared" si="494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495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496"/>
        <v>150</v>
      </c>
      <c r="AV171">
        <f t="shared" si="497"/>
        <v>37920</v>
      </c>
      <c r="AW171">
        <f>_xlfn.XLOOKUP(B171,'[5]july-2026'!$A:$A,'[5]july-2026'!$C:$C,0,0)</f>
        <v>28900</v>
      </c>
      <c r="AX171">
        <f t="shared" si="498"/>
        <v>5202</v>
      </c>
      <c r="AY171">
        <v>169</v>
      </c>
      <c r="AZ171">
        <f t="shared" si="499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0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1"/>
        <v>150</v>
      </c>
      <c r="BG171">
        <f t="shared" si="502"/>
        <v>38089</v>
      </c>
      <c r="BH171">
        <f>_xlfn.XLOOKUP(B171,'[6]august-2026'!$A:$A,'[6]august-2026'!$C:$C,0,0)</f>
        <v>28900</v>
      </c>
      <c r="BI171">
        <f t="shared" si="503"/>
        <v>5202</v>
      </c>
      <c r="BJ171">
        <f t="shared" si="504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05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06"/>
        <v>150</v>
      </c>
      <c r="BQ171">
        <f t="shared" si="507"/>
        <v>37920</v>
      </c>
      <c r="BR171">
        <f>_xlfn.XLOOKUP(B171,'[7]september-2026'!$A:$A,'[7]september-2026'!$C:$C,0,0)</f>
        <v>28900</v>
      </c>
      <c r="BS171">
        <f t="shared" si="508"/>
        <v>5202</v>
      </c>
      <c r="BT171">
        <f t="shared" si="509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0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1"/>
        <v>150</v>
      </c>
      <c r="CA171">
        <f t="shared" si="512"/>
        <v>37920</v>
      </c>
      <c r="CB171">
        <f>_xlfn.XLOOKUP(B171,'[8]october-2026'!$A:$A,'[8]october-2026'!$C:$C,0,0)</f>
        <v>28900</v>
      </c>
      <c r="CC171">
        <f t="shared" si="513"/>
        <v>5202</v>
      </c>
      <c r="CD171">
        <f t="shared" si="514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15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16"/>
        <v>150</v>
      </c>
      <c r="CK171">
        <f t="shared" si="517"/>
        <v>37920</v>
      </c>
      <c r="CL171">
        <f>_xlfn.XLOOKUP(B171,'[9]november-2026'!$A:$A,'[9]november-2026'!$C:$C,0,0)</f>
        <v>28900</v>
      </c>
      <c r="CM171">
        <f t="shared" si="518"/>
        <v>5202</v>
      </c>
      <c r="CN171">
        <f t="shared" si="519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0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1"/>
        <v>150</v>
      </c>
      <c r="CU171">
        <f t="shared" si="522"/>
        <v>37920</v>
      </c>
      <c r="CV171">
        <f>_xlfn.XLOOKUP(B171,'[10]december-2026'!$A:$A,'[10]december-2026'!$C:$C,0,0)</f>
        <v>28900</v>
      </c>
      <c r="CW171">
        <f t="shared" si="523"/>
        <v>5202</v>
      </c>
      <c r="CX171">
        <f t="shared" si="524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25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26"/>
        <v>150</v>
      </c>
      <c r="DE171">
        <f t="shared" si="527"/>
        <v>37920</v>
      </c>
      <c r="DF171">
        <f xml:space="preserve"> _xlfn.XLOOKUP(B171,
'[11]january-2027'!$A:$A,
'[11]january-2027'!$C:$C,
0,0)</f>
        <v>28900</v>
      </c>
      <c r="DG171">
        <f t="shared" si="528"/>
        <v>5202</v>
      </c>
      <c r="DH171">
        <f t="shared" si="529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0"/>
        <v>38070</v>
      </c>
      <c r="DL171">
        <f xml:space="preserve"> _xlfn.XLOOKUP(B171,
'[11]january-2027'!$A:$A,
'[11]january-2027'!$H:$H,
0,0)</f>
        <v>2000</v>
      </c>
      <c r="DM171">
        <f xml:space="preserve"> _xlfn.XLOOKUP(B171,
'[11]january-2027'!$A:$A,
'[11]january-2027'!$I:$I,
0,0)</f>
        <v>0</v>
      </c>
      <c r="DN171">
        <f t="shared" si="531"/>
        <v>150</v>
      </c>
      <c r="DO171">
        <f t="shared" si="532"/>
        <v>35920</v>
      </c>
      <c r="DP171">
        <f xml:space="preserve"> _xlfn.XLOOKUP(B171,
'[12]february-2027'!$A:$A,
'[12]february-2027'!$C:$C,
0,0)</f>
        <v>28900</v>
      </c>
      <c r="DQ171">
        <f t="shared" si="533"/>
        <v>5202</v>
      </c>
      <c r="DR171">
        <f t="shared" si="534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35"/>
        <v>38070</v>
      </c>
      <c r="DV171">
        <f xml:space="preserve"> _xlfn.XLOOKUP(B171,
'[12]february-2027'!$A:$A,
'[12]february-2027'!$H:$H,
0,0)</f>
        <v>2000</v>
      </c>
      <c r="DW171">
        <f xml:space="preserve"> _xlfn.XLOOKUP(B171,
'[12]february-2027'!$A:$A,
'[12]february-2027'!$I:$I,
0,0)</f>
        <v>0</v>
      </c>
      <c r="DX171">
        <f t="shared" si="536"/>
        <v>150</v>
      </c>
      <c r="DY171">
        <f t="shared" si="537"/>
        <v>35920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38"/>
        <v>0</v>
      </c>
      <c r="EM171">
        <f t="shared" si="539"/>
        <v>457009</v>
      </c>
      <c r="EN171">
        <f t="shared" si="540"/>
        <v>1800</v>
      </c>
      <c r="EO171">
        <f t="shared" si="541"/>
        <v>50000</v>
      </c>
      <c r="EP171">
        <v>1</v>
      </c>
      <c r="EQ171">
        <f t="shared" ref="EQ171" si="584">EM171-EN171-EO171+EL171</f>
        <v>405209</v>
      </c>
      <c r="ER171">
        <f t="shared" ref="ER171" si="585">DV171+DL171+DB171+CR171+CH171+BX171+BN171+BD171+AS171+AI171+Y171+O171</f>
        <v>4000</v>
      </c>
      <c r="ES171">
        <f t="shared" ref="ES171" si="586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87">SUM(ER171:FC171)</f>
        <v>4000</v>
      </c>
      <c r="FE171">
        <f t="shared" ref="FE171" si="588">IF(FD171&gt;=150000,150000,FD171)</f>
        <v>4000</v>
      </c>
      <c r="FF171">
        <f t="shared" ref="FF171" si="589">EQ171-FE171</f>
        <v>401209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>SUM(FG171:FM171)+(IF(F171="YES",50000,0))</f>
        <v>0</v>
      </c>
      <c r="FO171">
        <f t="shared" ref="FO171" si="590">FF171-FN171</f>
        <v>401209</v>
      </c>
      <c r="FP171">
        <f t="shared" ref="FP171" si="591">ROUND(IF(FO171&gt;0,IF(FO171&gt;500000,12500,(FO171-250000)*0.05),0),0)</f>
        <v>7560</v>
      </c>
      <c r="FQ171">
        <f t="shared" ref="FQ171" si="592">IF(ROUND(IF(FO171&gt;0,IF(FO171&gt;1000000,25000,(FO171-500000)*0.2),0),0)&lt;0,0,ROUND(IF(FO171&gt;0,IF(FO171&gt;1000000,25000,(FO171-500000)*0.2),0),0))</f>
        <v>0</v>
      </c>
      <c r="FR171">
        <f t="shared" ref="FR171" si="593">FP171+FQ171</f>
        <v>7560</v>
      </c>
      <c r="FS171">
        <f t="shared" ref="FS171" si="594">IF(FR171&lt;12500,0,FR171)</f>
        <v>0</v>
      </c>
      <c r="FT171">
        <f t="shared" ref="FT171" si="595">FS171*0.04</f>
        <v>0</v>
      </c>
      <c r="FU171">
        <f t="shared" ref="FU171" si="596">ROUND(FT171+FS171,0)</f>
        <v>0</v>
      </c>
      <c r="FV171">
        <v>1</v>
      </c>
      <c r="FW171">
        <f t="shared" ref="FW171" si="597">FU171-FV171</f>
        <v>-1</v>
      </c>
      <c r="FX171" t="b">
        <f t="shared" ref="FX171" si="598">IF(EM171&gt;500000,TRUE,FALSE)</f>
        <v>0</v>
      </c>
      <c r="FY171">
        <f t="shared" ref="FY171" ca="1" si="599">IF(FX171,RANDBETWEEN(500,1000),RANDBETWEEN(1000,3000))</f>
        <v>1333</v>
      </c>
      <c r="FZ171">
        <f t="shared" ref="FZ171" ca="1" si="600">EM171+FY171</f>
        <v>458342</v>
      </c>
      <c r="GA171">
        <f t="shared" ref="GA171" si="601">IF(EM171&gt;0,75000,0)</f>
        <v>75000</v>
      </c>
      <c r="GB171">
        <f t="shared" ref="GB171" ca="1" si="602">FZ171-GA171</f>
        <v>383342</v>
      </c>
      <c r="GC171">
        <f t="shared" ref="GC171" ca="1" si="603">IF(GB171&gt;2400000,GB171-2400000,0)</f>
        <v>0</v>
      </c>
      <c r="GD171">
        <f t="shared" ref="GD171" ca="1" si="604">GC171*0.3</f>
        <v>0</v>
      </c>
      <c r="GE171">
        <f t="shared" ref="GE171" ca="1" si="605">IF(GB171&gt;2000000,GB171-2000000,0)</f>
        <v>0</v>
      </c>
      <c r="GF171">
        <f t="shared" ref="GF171" ca="1" si="606">GE171*0.25</f>
        <v>0</v>
      </c>
      <c r="GG171">
        <f t="shared" ref="GG171" ca="1" si="607">IF(GB171&gt;1600000,GB171-1600000-GC171,0)</f>
        <v>0</v>
      </c>
      <c r="GH171">
        <f t="shared" ref="GH171" ca="1" si="608">GG171*0.2</f>
        <v>0</v>
      </c>
      <c r="GI171">
        <f ca="1">IF(GB171&gt;1200000,GB171-1200000-IF(F171="YES",50000,0)-GG171,0)</f>
        <v>0</v>
      </c>
      <c r="GJ171">
        <f t="shared" ref="GJ171" ca="1" si="609">GI171*0.15</f>
        <v>0</v>
      </c>
      <c r="GK171">
        <f t="shared" ref="GK171" ca="1" si="610">IF(GB171&gt;800000,GB171-800000-GC171-GG171-GI171,0)</f>
        <v>0</v>
      </c>
      <c r="GL171">
        <f t="shared" ref="GL171" ca="1" si="611">GK171*0.1</f>
        <v>0</v>
      </c>
      <c r="GM171">
        <f t="shared" ref="GM171" ca="1" si="612">IF(GB171&gt;400000,GB171-400000-GC171-GG171-GI171-GK171,0)</f>
        <v>0</v>
      </c>
      <c r="GN171">
        <f t="shared" ref="GN171" ca="1" si="613">GM171*0.05</f>
        <v>0</v>
      </c>
      <c r="GO171">
        <f t="shared" ref="GO171" ca="1" si="614">ROUND(GD171+GF171+GH171+GJ171+GL171+GN171,0)</f>
        <v>0</v>
      </c>
      <c r="GP171">
        <f t="shared" ref="GP171" ca="1" si="615">IF(GB171&gt;1200000,GB171,0)</f>
        <v>0</v>
      </c>
      <c r="GQ171">
        <f t="shared" ref="GQ171" ca="1" si="616">IF(GB171&gt;1200000,GP171-1200000,0)</f>
        <v>0</v>
      </c>
      <c r="GR171">
        <f t="shared" ref="GR171" ca="1" si="617">IF(GB171&lt;1200001,MIN(GO171,60000),0)</f>
        <v>0</v>
      </c>
      <c r="GS171">
        <f t="shared" ref="GS171" ca="1" si="618">IF(GB171&gt;1200000,GO171-GQ171,0)</f>
        <v>0</v>
      </c>
      <c r="GT171" t="b">
        <f t="shared" ref="GT171" ca="1" si="619">IF(GS171&gt;0,TRUE,FALSE)</f>
        <v>0</v>
      </c>
      <c r="GU171">
        <f t="shared" ref="GU171" ca="1" si="620">IF(GT171,GS171,0)</f>
        <v>0</v>
      </c>
      <c r="GV171">
        <f t="shared" ref="GV171" ca="1" si="621">GR171+GU171</f>
        <v>0</v>
      </c>
      <c r="GW171">
        <f t="shared" ref="GW171" ca="1" si="622">ROUND(GO171-GV171,0)</f>
        <v>0</v>
      </c>
      <c r="GX171">
        <f t="shared" ref="GX171" ca="1" si="623">GW171*0.04</f>
        <v>0</v>
      </c>
      <c r="GY171">
        <f t="shared" ref="GY171" ca="1" si="624">ROUNDUP(GW171+GX171,0)</f>
        <v>0</v>
      </c>
    </row>
    <row r="172" spans="1:207" x14ac:dyDescent="0.25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78"/>
        <v>6800</v>
      </c>
      <c r="I172">
        <f>_xlfn.XLOOKUP(B172,'[1]march-2026'!$A:$A,'[1]march-2026'!$C:$C,0,0)</f>
        <v>48700</v>
      </c>
      <c r="J172">
        <f t="shared" si="542"/>
        <v>8766</v>
      </c>
      <c r="K172">
        <f t="shared" si="479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0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1"/>
        <v>200</v>
      </c>
      <c r="R172">
        <f t="shared" si="482"/>
        <v>60510</v>
      </c>
      <c r="S172">
        <f>_xlfn.XLOOKUP(B172,'[2]april-2026'!$A:$A,'[2]april-2026'!$C:$C,0,0)</f>
        <v>48700</v>
      </c>
      <c r="T172">
        <f t="shared" si="483"/>
        <v>8766</v>
      </c>
      <c r="U172">
        <f t="shared" si="484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85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86"/>
        <v>200</v>
      </c>
      <c r="AB172">
        <f t="shared" si="487"/>
        <v>60510</v>
      </c>
      <c r="AC172">
        <f>_xlfn.XLOOKUP(B172,'[3]may-2026'!$A:$A,'[3]may-2026'!$C:$C,0,0)</f>
        <v>48700</v>
      </c>
      <c r="AD172">
        <f t="shared" si="488"/>
        <v>8766</v>
      </c>
      <c r="AE172">
        <f t="shared" si="489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0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1"/>
        <v>200</v>
      </c>
      <c r="AL172">
        <f t="shared" si="492"/>
        <v>60510</v>
      </c>
      <c r="AM172">
        <f>_xlfn.XLOOKUP(B172,'[4]june-2026'!$A:$A,'[4]june-2026'!$C:$C,0,0)</f>
        <v>48700</v>
      </c>
      <c r="AN172">
        <f t="shared" si="493"/>
        <v>8766</v>
      </c>
      <c r="AO172">
        <f t="shared" si="494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495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496"/>
        <v>200</v>
      </c>
      <c r="AV172">
        <f t="shared" si="497"/>
        <v>60510</v>
      </c>
      <c r="AW172">
        <f>_xlfn.XLOOKUP(B172,'[5]july-2026'!$A:$A,'[5]july-2026'!$C:$C,0,0)</f>
        <v>50200</v>
      </c>
      <c r="AX172">
        <f t="shared" si="498"/>
        <v>9036</v>
      </c>
      <c r="AY172">
        <v>170</v>
      </c>
      <c r="AZ172">
        <f t="shared" si="499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0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1"/>
        <v>200</v>
      </c>
      <c r="BG172">
        <f t="shared" si="502"/>
        <v>62630</v>
      </c>
      <c r="BH172">
        <f>_xlfn.XLOOKUP(B172,'[6]august-2026'!$A:$A,'[6]august-2026'!$C:$C,0,0)</f>
        <v>50200</v>
      </c>
      <c r="BI172">
        <f t="shared" si="503"/>
        <v>9036</v>
      </c>
      <c r="BJ172">
        <f t="shared" si="504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05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06"/>
        <v>200</v>
      </c>
      <c r="BQ172">
        <f t="shared" si="507"/>
        <v>62460</v>
      </c>
      <c r="BR172">
        <f>_xlfn.XLOOKUP(B172,'[7]september-2026'!$A:$A,'[7]september-2026'!$C:$C,0,0)</f>
        <v>50200</v>
      </c>
      <c r="BS172">
        <f t="shared" si="508"/>
        <v>9036</v>
      </c>
      <c r="BT172">
        <f t="shared" si="509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0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1"/>
        <v>200</v>
      </c>
      <c r="CA172">
        <f t="shared" si="512"/>
        <v>62460</v>
      </c>
      <c r="CB172">
        <f>_xlfn.XLOOKUP(B172,'[8]october-2026'!$A:$A,'[8]october-2026'!$C:$C,0,0)</f>
        <v>50200</v>
      </c>
      <c r="CC172">
        <f t="shared" si="513"/>
        <v>9036</v>
      </c>
      <c r="CD172">
        <f t="shared" si="514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15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16"/>
        <v>200</v>
      </c>
      <c r="CK172">
        <f t="shared" si="517"/>
        <v>62460</v>
      </c>
      <c r="CL172">
        <f>_xlfn.XLOOKUP(B172,'[9]november-2026'!$A:$A,'[9]november-2026'!$C:$C,0,0)</f>
        <v>50200</v>
      </c>
      <c r="CM172">
        <f t="shared" si="518"/>
        <v>9036</v>
      </c>
      <c r="CN172">
        <f t="shared" si="519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0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1"/>
        <v>200</v>
      </c>
      <c r="CU172">
        <f t="shared" si="522"/>
        <v>62460</v>
      </c>
      <c r="CV172">
        <f>_xlfn.XLOOKUP(B172,'[10]december-2026'!$A:$A,'[10]december-2026'!$C:$C,0,0)</f>
        <v>50200</v>
      </c>
      <c r="CW172">
        <f t="shared" si="523"/>
        <v>9036</v>
      </c>
      <c r="CX172">
        <f t="shared" si="524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25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26"/>
        <v>200</v>
      </c>
      <c r="DE172">
        <f t="shared" si="527"/>
        <v>62460</v>
      </c>
      <c r="DF172">
        <f xml:space="preserve"> _xlfn.XLOOKUP(B172,
'[11]january-2027'!$A:$A,
'[11]january-2027'!$C:$C,
0,0)</f>
        <v>50200</v>
      </c>
      <c r="DG172">
        <f t="shared" si="528"/>
        <v>9036</v>
      </c>
      <c r="DH172">
        <f t="shared" si="529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0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1"/>
        <v>200</v>
      </c>
      <c r="DO172">
        <f t="shared" si="532"/>
        <v>62460</v>
      </c>
      <c r="DP172">
        <f xml:space="preserve"> _xlfn.XLOOKUP(B172,
'[12]february-2027'!$A:$A,
'[12]february-2027'!$C:$C,
0,0)</f>
        <v>50200</v>
      </c>
      <c r="DQ172">
        <f t="shared" si="533"/>
        <v>9036</v>
      </c>
      <c r="DR172">
        <f t="shared" si="534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35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36"/>
        <v>200</v>
      </c>
      <c r="DY172">
        <f t="shared" si="537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38"/>
        <v>0</v>
      </c>
      <c r="EM172">
        <f t="shared" si="539"/>
        <v>787090</v>
      </c>
      <c r="EN172">
        <f t="shared" si="540"/>
        <v>2400</v>
      </c>
      <c r="EO172">
        <f t="shared" si="541"/>
        <v>50000</v>
      </c>
      <c r="EP172">
        <v>0</v>
      </c>
      <c r="EQ172">
        <f t="shared" si="543"/>
        <v>734690</v>
      </c>
      <c r="ER172">
        <f t="shared" si="544"/>
        <v>36000</v>
      </c>
      <c r="ES172">
        <f t="shared" si="545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46"/>
        <v>36000</v>
      </c>
      <c r="FE172">
        <f t="shared" si="547"/>
        <v>36000</v>
      </c>
      <c r="FF172">
        <f t="shared" si="548"/>
        <v>698690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>SUM(FG172:FM172)+(IF(F172="YES",50000,0))</f>
        <v>0</v>
      </c>
      <c r="FO172">
        <f t="shared" si="549"/>
        <v>698690</v>
      </c>
      <c r="FP172">
        <f t="shared" si="550"/>
        <v>12500</v>
      </c>
      <c r="FQ172">
        <f t="shared" si="551"/>
        <v>39738</v>
      </c>
      <c r="FR172">
        <f t="shared" si="552"/>
        <v>52238</v>
      </c>
      <c r="FS172">
        <f t="shared" si="553"/>
        <v>52238</v>
      </c>
      <c r="FT172">
        <f t="shared" si="554"/>
        <v>2089.52</v>
      </c>
      <c r="FU172">
        <f t="shared" si="555"/>
        <v>54328</v>
      </c>
      <c r="FV172">
        <v>0</v>
      </c>
      <c r="FW172">
        <f t="shared" si="556"/>
        <v>54328</v>
      </c>
      <c r="FX172" t="b">
        <f t="shared" si="557"/>
        <v>1</v>
      </c>
      <c r="FY172">
        <f t="shared" ca="1" si="558"/>
        <v>727</v>
      </c>
      <c r="FZ172">
        <f t="shared" ca="1" si="559"/>
        <v>787817</v>
      </c>
      <c r="GA172">
        <f t="shared" si="560"/>
        <v>75000</v>
      </c>
      <c r="GB172">
        <f t="shared" ca="1" si="561"/>
        <v>712817</v>
      </c>
      <c r="GC172">
        <f t="shared" ca="1" si="562"/>
        <v>0</v>
      </c>
      <c r="GD172">
        <f t="shared" ca="1" si="563"/>
        <v>0</v>
      </c>
      <c r="GE172">
        <f t="shared" ca="1" si="564"/>
        <v>0</v>
      </c>
      <c r="GF172">
        <f t="shared" ca="1" si="565"/>
        <v>0</v>
      </c>
      <c r="GG172">
        <f t="shared" ca="1" si="566"/>
        <v>0</v>
      </c>
      <c r="GH172">
        <f t="shared" ca="1" si="567"/>
        <v>0</v>
      </c>
      <c r="GI172">
        <f ca="1">IF(GB172&gt;1200000,GB172-1200000-IF(F172="YES",50000,0)-GG172,0)</f>
        <v>0</v>
      </c>
      <c r="GJ172">
        <f t="shared" ca="1" si="568"/>
        <v>0</v>
      </c>
      <c r="GK172">
        <f t="shared" ca="1" si="569"/>
        <v>0</v>
      </c>
      <c r="GL172">
        <f t="shared" ca="1" si="570"/>
        <v>0</v>
      </c>
      <c r="GM172">
        <f t="shared" ca="1" si="571"/>
        <v>312817</v>
      </c>
      <c r="GN172">
        <f t="shared" ca="1" si="572"/>
        <v>15640.85</v>
      </c>
      <c r="GO172">
        <f t="shared" ca="1" si="573"/>
        <v>15641</v>
      </c>
      <c r="GP172">
        <f t="shared" ca="1" si="574"/>
        <v>0</v>
      </c>
      <c r="GQ172">
        <f t="shared" ca="1" si="575"/>
        <v>0</v>
      </c>
      <c r="GR172">
        <f t="shared" ca="1" si="576"/>
        <v>15641</v>
      </c>
      <c r="GS172">
        <f t="shared" ca="1" si="577"/>
        <v>0</v>
      </c>
      <c r="GT172" t="b">
        <f t="shared" ca="1" si="578"/>
        <v>0</v>
      </c>
      <c r="GU172">
        <f t="shared" ca="1" si="579"/>
        <v>0</v>
      </c>
      <c r="GV172">
        <f t="shared" ca="1" si="580"/>
        <v>15641</v>
      </c>
      <c r="GW172">
        <f t="shared" ca="1" si="581"/>
        <v>0</v>
      </c>
      <c r="GX172">
        <f t="shared" ca="1" si="582"/>
        <v>0</v>
      </c>
      <c r="GY172">
        <f t="shared" ca="1" si="583"/>
        <v>0</v>
      </c>
    </row>
    <row r="173" spans="1:207" x14ac:dyDescent="0.25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78"/>
        <v>6800</v>
      </c>
      <c r="I173">
        <f>_xlfn.XLOOKUP(B173,'[1]march-2026'!$A:$A,'[1]march-2026'!$C:$C,0,0)</f>
        <v>35500</v>
      </c>
      <c r="J173">
        <f t="shared" si="542"/>
        <v>6390</v>
      </c>
      <c r="K173">
        <f t="shared" si="479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0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1"/>
        <v>200</v>
      </c>
      <c r="R173">
        <f t="shared" si="482"/>
        <v>42950</v>
      </c>
      <c r="S173">
        <f>_xlfn.XLOOKUP(B173,'[2]april-2026'!$A:$A,'[2]april-2026'!$C:$C,0,0)</f>
        <v>35500</v>
      </c>
      <c r="T173">
        <f t="shared" si="483"/>
        <v>6390</v>
      </c>
      <c r="U173">
        <f t="shared" si="484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85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86"/>
        <v>200</v>
      </c>
      <c r="AB173">
        <f t="shared" si="487"/>
        <v>42950</v>
      </c>
      <c r="AC173">
        <f>_xlfn.XLOOKUP(B173,'[3]may-2026'!$A:$A,'[3]may-2026'!$C:$C,0,0)</f>
        <v>35500</v>
      </c>
      <c r="AD173">
        <f t="shared" si="488"/>
        <v>6390</v>
      </c>
      <c r="AE173">
        <f t="shared" si="489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0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1"/>
        <v>200</v>
      </c>
      <c r="AL173">
        <f t="shared" si="492"/>
        <v>42950</v>
      </c>
      <c r="AM173">
        <f>_xlfn.XLOOKUP(B173,'[4]june-2026'!$A:$A,'[4]june-2026'!$C:$C,0,0)</f>
        <v>35500</v>
      </c>
      <c r="AN173">
        <f t="shared" si="493"/>
        <v>6390</v>
      </c>
      <c r="AO173">
        <f t="shared" si="494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495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496"/>
        <v>200</v>
      </c>
      <c r="AV173">
        <f t="shared" si="497"/>
        <v>42950</v>
      </c>
      <c r="AW173">
        <f>_xlfn.XLOOKUP(B173,'[5]july-2026'!$A:$A,'[5]july-2026'!$C:$C,0,0)</f>
        <v>36600</v>
      </c>
      <c r="AX173">
        <f t="shared" si="498"/>
        <v>6588</v>
      </c>
      <c r="AY173">
        <v>171</v>
      </c>
      <c r="AZ173">
        <f t="shared" si="499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0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1"/>
        <v>200</v>
      </c>
      <c r="BG173">
        <f t="shared" si="502"/>
        <v>44551</v>
      </c>
      <c r="BH173">
        <f>_xlfn.XLOOKUP(B173,'[6]august-2026'!$A:$A,'[6]august-2026'!$C:$C,0,0)</f>
        <v>36600</v>
      </c>
      <c r="BI173">
        <f t="shared" si="503"/>
        <v>6588</v>
      </c>
      <c r="BJ173">
        <f t="shared" si="504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05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06"/>
        <v>200</v>
      </c>
      <c r="BQ173">
        <f t="shared" si="507"/>
        <v>44380</v>
      </c>
      <c r="BR173">
        <f>_xlfn.XLOOKUP(B173,'[7]september-2026'!$A:$A,'[7]september-2026'!$C:$C,0,0)</f>
        <v>36600</v>
      </c>
      <c r="BS173">
        <f t="shared" si="508"/>
        <v>6588</v>
      </c>
      <c r="BT173">
        <f t="shared" si="509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0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1"/>
        <v>200</v>
      </c>
      <c r="CA173">
        <f t="shared" si="512"/>
        <v>44380</v>
      </c>
      <c r="CB173">
        <f>_xlfn.XLOOKUP(B173,'[8]october-2026'!$A:$A,'[8]october-2026'!$C:$C,0,0)</f>
        <v>36600</v>
      </c>
      <c r="CC173">
        <f t="shared" si="513"/>
        <v>6588</v>
      </c>
      <c r="CD173">
        <f t="shared" si="514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15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16"/>
        <v>200</v>
      </c>
      <c r="CK173">
        <f t="shared" si="517"/>
        <v>44380</v>
      </c>
      <c r="CL173">
        <f>_xlfn.XLOOKUP(B173,'[9]november-2026'!$A:$A,'[9]november-2026'!$C:$C,0,0)</f>
        <v>36600</v>
      </c>
      <c r="CM173">
        <f t="shared" si="518"/>
        <v>6588</v>
      </c>
      <c r="CN173">
        <f t="shared" si="519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0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1"/>
        <v>200</v>
      </c>
      <c r="CU173">
        <f t="shared" si="522"/>
        <v>44380</v>
      </c>
      <c r="CV173">
        <f>_xlfn.XLOOKUP(B173,'[10]december-2026'!$A:$A,'[10]december-2026'!$C:$C,0,0)</f>
        <v>36600</v>
      </c>
      <c r="CW173">
        <f t="shared" si="523"/>
        <v>6588</v>
      </c>
      <c r="CX173">
        <f t="shared" si="524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25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26"/>
        <v>200</v>
      </c>
      <c r="DE173">
        <f t="shared" si="527"/>
        <v>44380</v>
      </c>
      <c r="DF173">
        <f xml:space="preserve"> _xlfn.XLOOKUP(B173,
'[11]january-2027'!$A:$A,
'[11]january-2027'!$C:$C,
0,0)</f>
        <v>36600</v>
      </c>
      <c r="DG173">
        <f t="shared" si="528"/>
        <v>6588</v>
      </c>
      <c r="DH173">
        <f t="shared" si="529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0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1"/>
        <v>200</v>
      </c>
      <c r="DO173">
        <f t="shared" si="532"/>
        <v>44380</v>
      </c>
      <c r="DP173">
        <f xml:space="preserve"> _xlfn.XLOOKUP(B173,
'[12]february-2027'!$A:$A,
'[12]february-2027'!$C:$C,
0,0)</f>
        <v>36600</v>
      </c>
      <c r="DQ173">
        <f t="shared" si="533"/>
        <v>6588</v>
      </c>
      <c r="DR173">
        <f t="shared" si="534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35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36"/>
        <v>200</v>
      </c>
      <c r="DY173">
        <f t="shared" si="537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38"/>
        <v>0</v>
      </c>
      <c r="EM173">
        <f t="shared" si="539"/>
        <v>572211</v>
      </c>
      <c r="EN173">
        <f t="shared" si="540"/>
        <v>2400</v>
      </c>
      <c r="EO173">
        <f t="shared" si="541"/>
        <v>50000</v>
      </c>
      <c r="EP173">
        <v>0</v>
      </c>
      <c r="EQ173">
        <f t="shared" si="543"/>
        <v>519811</v>
      </c>
      <c r="ER173">
        <f t="shared" si="544"/>
        <v>36000</v>
      </c>
      <c r="ES173">
        <f t="shared" si="545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46"/>
        <v>36000</v>
      </c>
      <c r="FE173">
        <f t="shared" si="547"/>
        <v>36000</v>
      </c>
      <c r="FF173">
        <f t="shared" si="548"/>
        <v>483811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>SUM(FG173:FM173)+(IF(F173="YES",50000,0))</f>
        <v>0</v>
      </c>
      <c r="FO173">
        <f t="shared" si="549"/>
        <v>483811</v>
      </c>
      <c r="FP173">
        <f t="shared" si="550"/>
        <v>11691</v>
      </c>
      <c r="FQ173">
        <f t="shared" si="551"/>
        <v>0</v>
      </c>
      <c r="FR173">
        <f t="shared" si="552"/>
        <v>11691</v>
      </c>
      <c r="FS173">
        <f t="shared" si="553"/>
        <v>0</v>
      </c>
      <c r="FT173">
        <f t="shared" si="554"/>
        <v>0</v>
      </c>
      <c r="FU173">
        <f t="shared" si="555"/>
        <v>0</v>
      </c>
      <c r="FV173">
        <v>0</v>
      </c>
      <c r="FW173">
        <f t="shared" si="556"/>
        <v>0</v>
      </c>
      <c r="FX173" t="b">
        <f t="shared" si="557"/>
        <v>1</v>
      </c>
      <c r="FY173">
        <f t="shared" ca="1" si="558"/>
        <v>727</v>
      </c>
      <c r="FZ173">
        <f t="shared" ca="1" si="559"/>
        <v>572938</v>
      </c>
      <c r="GA173">
        <f t="shared" si="560"/>
        <v>75000</v>
      </c>
      <c r="GB173">
        <f t="shared" ca="1" si="561"/>
        <v>497938</v>
      </c>
      <c r="GC173">
        <f t="shared" ca="1" si="562"/>
        <v>0</v>
      </c>
      <c r="GD173">
        <f t="shared" ca="1" si="563"/>
        <v>0</v>
      </c>
      <c r="GE173">
        <f t="shared" ca="1" si="564"/>
        <v>0</v>
      </c>
      <c r="GF173">
        <f t="shared" ca="1" si="565"/>
        <v>0</v>
      </c>
      <c r="GG173">
        <f t="shared" ca="1" si="566"/>
        <v>0</v>
      </c>
      <c r="GH173">
        <f t="shared" ca="1" si="567"/>
        <v>0</v>
      </c>
      <c r="GI173">
        <f ca="1">IF(GB173&gt;1200000,GB173-1200000-IF(F173="YES",50000,0)-GG173,0)</f>
        <v>0</v>
      </c>
      <c r="GJ173">
        <f t="shared" ca="1" si="568"/>
        <v>0</v>
      </c>
      <c r="GK173">
        <f t="shared" ca="1" si="569"/>
        <v>0</v>
      </c>
      <c r="GL173">
        <f t="shared" ca="1" si="570"/>
        <v>0</v>
      </c>
      <c r="GM173">
        <f t="shared" ca="1" si="571"/>
        <v>97938</v>
      </c>
      <c r="GN173">
        <f t="shared" ca="1" si="572"/>
        <v>4896.9000000000005</v>
      </c>
      <c r="GO173">
        <f t="shared" ca="1" si="573"/>
        <v>4897</v>
      </c>
      <c r="GP173">
        <f t="shared" ca="1" si="574"/>
        <v>0</v>
      </c>
      <c r="GQ173">
        <f t="shared" ca="1" si="575"/>
        <v>0</v>
      </c>
      <c r="GR173">
        <f t="shared" ca="1" si="576"/>
        <v>4897</v>
      </c>
      <c r="GS173">
        <f t="shared" ca="1" si="577"/>
        <v>0</v>
      </c>
      <c r="GT173" t="b">
        <f t="shared" ca="1" si="578"/>
        <v>0</v>
      </c>
      <c r="GU173">
        <f t="shared" ca="1" si="579"/>
        <v>0</v>
      </c>
      <c r="GV173">
        <f t="shared" ca="1" si="580"/>
        <v>4897</v>
      </c>
      <c r="GW173">
        <f t="shared" ca="1" si="581"/>
        <v>0</v>
      </c>
      <c r="GX173">
        <f t="shared" ca="1" si="582"/>
        <v>0</v>
      </c>
      <c r="GY173">
        <f t="shared" ca="1" si="583"/>
        <v>0</v>
      </c>
    </row>
    <row r="174" spans="1:207" x14ac:dyDescent="0.25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78"/>
        <v>6800</v>
      </c>
      <c r="I174">
        <f>_xlfn.XLOOKUP(B174,'[1]march-2026'!$A:$A,'[1]march-2026'!$C:$C,0,0)</f>
        <v>35500</v>
      </c>
      <c r="J174">
        <f t="shared" si="542"/>
        <v>6390</v>
      </c>
      <c r="K174">
        <f t="shared" si="479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0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1"/>
        <v>200</v>
      </c>
      <c r="R174">
        <f t="shared" si="482"/>
        <v>43450</v>
      </c>
      <c r="S174">
        <f>_xlfn.XLOOKUP(B174,'[2]april-2026'!$A:$A,'[2]april-2026'!$C:$C,0,0)</f>
        <v>35500</v>
      </c>
      <c r="T174">
        <f t="shared" si="483"/>
        <v>6390</v>
      </c>
      <c r="U174">
        <f t="shared" si="484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85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86"/>
        <v>200</v>
      </c>
      <c r="AB174">
        <f t="shared" si="487"/>
        <v>43450</v>
      </c>
      <c r="AC174">
        <f>_xlfn.XLOOKUP(B174,'[3]may-2026'!$A:$A,'[3]may-2026'!$C:$C,0,0)</f>
        <v>35500</v>
      </c>
      <c r="AD174">
        <f t="shared" si="488"/>
        <v>6390</v>
      </c>
      <c r="AE174">
        <f t="shared" si="489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0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1"/>
        <v>200</v>
      </c>
      <c r="AL174">
        <f t="shared" si="492"/>
        <v>43450</v>
      </c>
      <c r="AM174">
        <f>_xlfn.XLOOKUP(B174,'[4]june-2026'!$A:$A,'[4]june-2026'!$C:$C,0,0)</f>
        <v>35500</v>
      </c>
      <c r="AN174">
        <f t="shared" si="493"/>
        <v>6390</v>
      </c>
      <c r="AO174">
        <f t="shared" si="494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495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496"/>
        <v>200</v>
      </c>
      <c r="AV174">
        <f t="shared" si="497"/>
        <v>43450</v>
      </c>
      <c r="AW174">
        <f>_xlfn.XLOOKUP(B174,'[5]july-2026'!$A:$A,'[5]july-2026'!$C:$C,0,0)</f>
        <v>36600</v>
      </c>
      <c r="AX174">
        <f t="shared" si="498"/>
        <v>6588</v>
      </c>
      <c r="AY174">
        <v>172</v>
      </c>
      <c r="AZ174">
        <f t="shared" si="499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0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1"/>
        <v>200</v>
      </c>
      <c r="BG174">
        <f t="shared" si="502"/>
        <v>45052</v>
      </c>
      <c r="BH174">
        <f>_xlfn.XLOOKUP(B174,'[6]august-2026'!$A:$A,'[6]august-2026'!$C:$C,0,0)</f>
        <v>36600</v>
      </c>
      <c r="BI174">
        <f t="shared" si="503"/>
        <v>6588</v>
      </c>
      <c r="BJ174">
        <f t="shared" si="504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05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06"/>
        <v>200</v>
      </c>
      <c r="BQ174">
        <f t="shared" si="507"/>
        <v>44880</v>
      </c>
      <c r="BR174">
        <f>_xlfn.XLOOKUP(B174,'[7]september-2026'!$A:$A,'[7]september-2026'!$C:$C,0,0)</f>
        <v>36600</v>
      </c>
      <c r="BS174">
        <f t="shared" si="508"/>
        <v>6588</v>
      </c>
      <c r="BT174">
        <f t="shared" si="509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0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1"/>
        <v>200</v>
      </c>
      <c r="CA174">
        <f t="shared" si="512"/>
        <v>44880</v>
      </c>
      <c r="CB174">
        <f>_xlfn.XLOOKUP(B174,'[8]october-2026'!$A:$A,'[8]october-2026'!$C:$C,0,0)</f>
        <v>36600</v>
      </c>
      <c r="CC174">
        <f t="shared" si="513"/>
        <v>6588</v>
      </c>
      <c r="CD174">
        <f t="shared" si="514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15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16"/>
        <v>200</v>
      </c>
      <c r="CK174">
        <f t="shared" si="517"/>
        <v>44880</v>
      </c>
      <c r="CL174">
        <f>_xlfn.XLOOKUP(B174,'[9]november-2026'!$A:$A,'[9]november-2026'!$C:$C,0,0)</f>
        <v>36600</v>
      </c>
      <c r="CM174">
        <f t="shared" si="518"/>
        <v>6588</v>
      </c>
      <c r="CN174">
        <f t="shared" si="519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0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1"/>
        <v>200</v>
      </c>
      <c r="CU174">
        <f t="shared" si="522"/>
        <v>44880</v>
      </c>
      <c r="CV174">
        <f>_xlfn.XLOOKUP(B174,'[10]december-2026'!$A:$A,'[10]december-2026'!$C:$C,0,0)</f>
        <v>36600</v>
      </c>
      <c r="CW174">
        <f t="shared" si="523"/>
        <v>6588</v>
      </c>
      <c r="CX174">
        <f t="shared" si="524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25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26"/>
        <v>200</v>
      </c>
      <c r="DE174">
        <f t="shared" si="527"/>
        <v>44880</v>
      </c>
      <c r="DF174">
        <f xml:space="preserve"> _xlfn.XLOOKUP(B174,
'[11]january-2027'!$A:$A,
'[11]january-2027'!$C:$C,
0,0)</f>
        <v>36600</v>
      </c>
      <c r="DG174">
        <f t="shared" si="528"/>
        <v>6588</v>
      </c>
      <c r="DH174">
        <f t="shared" si="529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0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1"/>
        <v>200</v>
      </c>
      <c r="DO174">
        <f t="shared" si="532"/>
        <v>44880</v>
      </c>
      <c r="DP174">
        <f xml:space="preserve"> _xlfn.XLOOKUP(B174,
'[12]february-2027'!$A:$A,
'[12]february-2027'!$C:$C,
0,0)</f>
        <v>36600</v>
      </c>
      <c r="DQ174">
        <f t="shared" si="533"/>
        <v>6588</v>
      </c>
      <c r="DR174">
        <f t="shared" si="534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35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36"/>
        <v>200</v>
      </c>
      <c r="DY174">
        <f t="shared" si="537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38"/>
        <v>0</v>
      </c>
      <c r="EM174">
        <f t="shared" si="539"/>
        <v>578212</v>
      </c>
      <c r="EN174">
        <f t="shared" si="540"/>
        <v>2400</v>
      </c>
      <c r="EO174">
        <f t="shared" si="541"/>
        <v>50000</v>
      </c>
      <c r="EP174">
        <v>0</v>
      </c>
      <c r="EQ174">
        <f t="shared" si="543"/>
        <v>525812</v>
      </c>
      <c r="ER174">
        <f t="shared" si="544"/>
        <v>36000</v>
      </c>
      <c r="ES174">
        <f t="shared" si="545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46"/>
        <v>36000</v>
      </c>
      <c r="FE174">
        <f t="shared" si="547"/>
        <v>36000</v>
      </c>
      <c r="FF174">
        <f t="shared" si="548"/>
        <v>489812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>SUM(FG174:FM174)+(IF(F174="YES",50000,0))</f>
        <v>0</v>
      </c>
      <c r="FO174">
        <f t="shared" si="549"/>
        <v>489812</v>
      </c>
      <c r="FP174">
        <f t="shared" si="550"/>
        <v>11991</v>
      </c>
      <c r="FQ174">
        <f t="shared" si="551"/>
        <v>0</v>
      </c>
      <c r="FR174">
        <f t="shared" si="552"/>
        <v>11991</v>
      </c>
      <c r="FS174">
        <f t="shared" si="553"/>
        <v>0</v>
      </c>
      <c r="FT174">
        <f t="shared" si="554"/>
        <v>0</v>
      </c>
      <c r="FU174">
        <f t="shared" si="555"/>
        <v>0</v>
      </c>
      <c r="FV174">
        <v>0</v>
      </c>
      <c r="FW174">
        <f t="shared" si="556"/>
        <v>0</v>
      </c>
      <c r="FX174" t="b">
        <f t="shared" si="557"/>
        <v>1</v>
      </c>
      <c r="FY174">
        <f t="shared" ca="1" si="558"/>
        <v>754</v>
      </c>
      <c r="FZ174">
        <f t="shared" ca="1" si="559"/>
        <v>578966</v>
      </c>
      <c r="GA174">
        <f t="shared" si="560"/>
        <v>75000</v>
      </c>
      <c r="GB174">
        <f t="shared" ca="1" si="561"/>
        <v>503966</v>
      </c>
      <c r="GC174">
        <f t="shared" ca="1" si="562"/>
        <v>0</v>
      </c>
      <c r="GD174">
        <f t="shared" ca="1" si="563"/>
        <v>0</v>
      </c>
      <c r="GE174">
        <f t="shared" ca="1" si="564"/>
        <v>0</v>
      </c>
      <c r="GF174">
        <f t="shared" ca="1" si="565"/>
        <v>0</v>
      </c>
      <c r="GG174">
        <f t="shared" ca="1" si="566"/>
        <v>0</v>
      </c>
      <c r="GH174">
        <f t="shared" ca="1" si="567"/>
        <v>0</v>
      </c>
      <c r="GI174">
        <f ca="1">IF(GB174&gt;1200000,GB174-1200000-IF(F174="YES",50000,0)-GG174,0)</f>
        <v>0</v>
      </c>
      <c r="GJ174">
        <f t="shared" ca="1" si="568"/>
        <v>0</v>
      </c>
      <c r="GK174">
        <f t="shared" ca="1" si="569"/>
        <v>0</v>
      </c>
      <c r="GL174">
        <f t="shared" ca="1" si="570"/>
        <v>0</v>
      </c>
      <c r="GM174">
        <f t="shared" ca="1" si="571"/>
        <v>103966</v>
      </c>
      <c r="GN174">
        <f t="shared" ca="1" si="572"/>
        <v>5198.3</v>
      </c>
      <c r="GO174">
        <f t="shared" ca="1" si="573"/>
        <v>5198</v>
      </c>
      <c r="GP174">
        <f t="shared" ca="1" si="574"/>
        <v>0</v>
      </c>
      <c r="GQ174">
        <f t="shared" ca="1" si="575"/>
        <v>0</v>
      </c>
      <c r="GR174">
        <f t="shared" ca="1" si="576"/>
        <v>5198</v>
      </c>
      <c r="GS174">
        <f t="shared" ca="1" si="577"/>
        <v>0</v>
      </c>
      <c r="GT174" t="b">
        <f t="shared" ca="1" si="578"/>
        <v>0</v>
      </c>
      <c r="GU174">
        <f t="shared" ca="1" si="579"/>
        <v>0</v>
      </c>
      <c r="GV174">
        <f t="shared" ca="1" si="580"/>
        <v>5198</v>
      </c>
      <c r="GW174">
        <f t="shared" ca="1" si="581"/>
        <v>0</v>
      </c>
      <c r="GX174">
        <f t="shared" ca="1" si="582"/>
        <v>0</v>
      </c>
      <c r="GY174">
        <f t="shared" ca="1" si="583"/>
        <v>0</v>
      </c>
    </row>
    <row r="175" spans="1:207" x14ac:dyDescent="0.25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78"/>
        <v>6800</v>
      </c>
      <c r="I175">
        <f>_xlfn.XLOOKUP(B175,'[1]march-2026'!$A:$A,'[1]march-2026'!$C:$C,0,0)</f>
        <v>0</v>
      </c>
      <c r="J175">
        <f t="shared" si="542"/>
        <v>0</v>
      </c>
      <c r="K175">
        <f t="shared" si="479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0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1"/>
        <v>0</v>
      </c>
      <c r="R175">
        <f t="shared" si="482"/>
        <v>0</v>
      </c>
      <c r="S175">
        <f>_xlfn.XLOOKUP(B175,'[2]april-2026'!$A:$A,'[2]april-2026'!$C:$C,0,0)</f>
        <v>0</v>
      </c>
      <c r="T175">
        <f t="shared" si="483"/>
        <v>0</v>
      </c>
      <c r="U175">
        <f t="shared" si="484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85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86"/>
        <v>0</v>
      </c>
      <c r="AB175">
        <f t="shared" si="487"/>
        <v>0</v>
      </c>
      <c r="AC175">
        <f>_xlfn.XLOOKUP(B175,'[3]may-2026'!$A:$A,'[3]may-2026'!$C:$C,0,0)</f>
        <v>0</v>
      </c>
      <c r="AD175">
        <f t="shared" si="488"/>
        <v>0</v>
      </c>
      <c r="AE175">
        <f t="shared" si="489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0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1"/>
        <v>0</v>
      </c>
      <c r="AL175">
        <f t="shared" si="492"/>
        <v>0</v>
      </c>
      <c r="AM175">
        <f>_xlfn.XLOOKUP(B175,'[4]june-2026'!$A:$A,'[4]june-2026'!$C:$C,0,0)</f>
        <v>0</v>
      </c>
      <c r="AN175">
        <f t="shared" si="493"/>
        <v>0</v>
      </c>
      <c r="AO175">
        <f t="shared" si="494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495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496"/>
        <v>0</v>
      </c>
      <c r="AV175">
        <f t="shared" si="497"/>
        <v>0</v>
      </c>
      <c r="AW175">
        <f>_xlfn.XLOOKUP(B175,'[5]july-2026'!$A:$A,'[5]july-2026'!$C:$C,0,0)</f>
        <v>0</v>
      </c>
      <c r="AX175">
        <f t="shared" si="498"/>
        <v>0</v>
      </c>
      <c r="AY175">
        <v>173</v>
      </c>
      <c r="AZ175">
        <f t="shared" si="499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0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1"/>
        <v>0</v>
      </c>
      <c r="BG175">
        <f t="shared" si="502"/>
        <v>0</v>
      </c>
      <c r="BH175">
        <f>_xlfn.XLOOKUP(B175,'[6]august-2026'!$A:$A,'[6]august-2026'!$C:$C,0,0)</f>
        <v>0</v>
      </c>
      <c r="BI175">
        <f t="shared" si="503"/>
        <v>0</v>
      </c>
      <c r="BJ175">
        <f t="shared" si="504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05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06"/>
        <v>0</v>
      </c>
      <c r="BQ175">
        <f t="shared" si="507"/>
        <v>0</v>
      </c>
      <c r="BR175">
        <f>_xlfn.XLOOKUP(B175,'[7]september-2026'!$A:$A,'[7]september-2026'!$C:$C,0,0)</f>
        <v>0</v>
      </c>
      <c r="BS175">
        <f t="shared" si="508"/>
        <v>0</v>
      </c>
      <c r="BT175">
        <f t="shared" si="509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0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1"/>
        <v>0</v>
      </c>
      <c r="CA175">
        <f t="shared" si="512"/>
        <v>0</v>
      </c>
      <c r="CB175">
        <f>_xlfn.XLOOKUP(B175,'[8]october-2026'!$A:$A,'[8]october-2026'!$C:$C,0,0)</f>
        <v>0</v>
      </c>
      <c r="CC175">
        <f t="shared" si="513"/>
        <v>0</v>
      </c>
      <c r="CD175">
        <f t="shared" si="514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15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16"/>
        <v>0</v>
      </c>
      <c r="CK175">
        <f t="shared" si="517"/>
        <v>0</v>
      </c>
      <c r="CL175">
        <f>_xlfn.XLOOKUP(B175,'[9]november-2026'!$A:$A,'[9]november-2026'!$C:$C,0,0)</f>
        <v>0</v>
      </c>
      <c r="CM175">
        <f t="shared" si="518"/>
        <v>0</v>
      </c>
      <c r="CN175">
        <f t="shared" si="519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0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1"/>
        <v>0</v>
      </c>
      <c r="CU175">
        <f t="shared" si="522"/>
        <v>0</v>
      </c>
      <c r="CV175">
        <f>_xlfn.XLOOKUP(B175,'[10]december-2026'!$A:$A,'[10]december-2026'!$C:$C,0,0)</f>
        <v>0</v>
      </c>
      <c r="CW175">
        <f t="shared" si="523"/>
        <v>0</v>
      </c>
      <c r="CX175">
        <f t="shared" si="524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25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26"/>
        <v>0</v>
      </c>
      <c r="DE175">
        <f t="shared" si="527"/>
        <v>0</v>
      </c>
      <c r="DF175">
        <f xml:space="preserve"> _xlfn.XLOOKUP(B175,
'[11]january-2027'!$A:$A,
'[11]january-2027'!$C:$C,
0,0)</f>
        <v>0</v>
      </c>
      <c r="DG175">
        <f t="shared" si="528"/>
        <v>0</v>
      </c>
      <c r="DH175">
        <f t="shared" si="529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0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1"/>
        <v>0</v>
      </c>
      <c r="DO175">
        <f t="shared" si="532"/>
        <v>0</v>
      </c>
      <c r="DP175">
        <f xml:space="preserve"> _xlfn.XLOOKUP(B175,
'[12]february-2027'!$A:$A,
'[12]february-2027'!$C:$C,
0,0)</f>
        <v>0</v>
      </c>
      <c r="DQ175">
        <f t="shared" si="533"/>
        <v>0</v>
      </c>
      <c r="DR175">
        <f t="shared" si="534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35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36"/>
        <v>0</v>
      </c>
      <c r="DY175">
        <f t="shared" si="537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38"/>
        <v>0</v>
      </c>
      <c r="EM175">
        <f t="shared" si="539"/>
        <v>6800</v>
      </c>
      <c r="EN175">
        <f t="shared" si="540"/>
        <v>0</v>
      </c>
      <c r="EO175">
        <f t="shared" si="541"/>
        <v>50000</v>
      </c>
      <c r="EP175">
        <v>0</v>
      </c>
      <c r="EQ175">
        <f t="shared" si="543"/>
        <v>-43200</v>
      </c>
      <c r="ER175">
        <f t="shared" si="544"/>
        <v>0</v>
      </c>
      <c r="ES175">
        <f t="shared" si="545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46"/>
        <v>0</v>
      </c>
      <c r="FE175">
        <f t="shared" si="547"/>
        <v>0</v>
      </c>
      <c r="FF175">
        <f t="shared" si="548"/>
        <v>-43200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>SUM(FG175:FM175)+(IF(F175="YES",50000,0))</f>
        <v>0</v>
      </c>
      <c r="FO175">
        <f t="shared" si="549"/>
        <v>-43200</v>
      </c>
      <c r="FP175">
        <f t="shared" si="550"/>
        <v>0</v>
      </c>
      <c r="FQ175">
        <f t="shared" si="551"/>
        <v>0</v>
      </c>
      <c r="FR175">
        <f t="shared" si="552"/>
        <v>0</v>
      </c>
      <c r="FS175">
        <f t="shared" si="553"/>
        <v>0</v>
      </c>
      <c r="FT175">
        <f t="shared" si="554"/>
        <v>0</v>
      </c>
      <c r="FU175">
        <f t="shared" si="555"/>
        <v>0</v>
      </c>
      <c r="FV175">
        <v>0</v>
      </c>
      <c r="FW175">
        <f t="shared" si="556"/>
        <v>0</v>
      </c>
      <c r="FX175" t="b">
        <f t="shared" si="557"/>
        <v>0</v>
      </c>
      <c r="FY175">
        <f t="shared" ca="1" si="558"/>
        <v>2343</v>
      </c>
      <c r="FZ175">
        <f t="shared" ca="1" si="559"/>
        <v>9143</v>
      </c>
      <c r="GA175">
        <f t="shared" si="560"/>
        <v>75000</v>
      </c>
      <c r="GB175">
        <f t="shared" ca="1" si="561"/>
        <v>-65857</v>
      </c>
      <c r="GC175">
        <f t="shared" ca="1" si="562"/>
        <v>0</v>
      </c>
      <c r="GD175">
        <f t="shared" ca="1" si="563"/>
        <v>0</v>
      </c>
      <c r="GE175">
        <f t="shared" ca="1" si="564"/>
        <v>0</v>
      </c>
      <c r="GF175">
        <f t="shared" ca="1" si="565"/>
        <v>0</v>
      </c>
      <c r="GG175">
        <f t="shared" ca="1" si="566"/>
        <v>0</v>
      </c>
      <c r="GH175">
        <f t="shared" ca="1" si="567"/>
        <v>0</v>
      </c>
      <c r="GI175">
        <f ca="1">IF(GB175&gt;1200000,GB175-1200000-IF(F175="YES",50000,0)-GG175,0)</f>
        <v>0</v>
      </c>
      <c r="GJ175">
        <f t="shared" ca="1" si="568"/>
        <v>0</v>
      </c>
      <c r="GK175">
        <f t="shared" ca="1" si="569"/>
        <v>0</v>
      </c>
      <c r="GL175">
        <f t="shared" ca="1" si="570"/>
        <v>0</v>
      </c>
      <c r="GM175">
        <f t="shared" ca="1" si="571"/>
        <v>0</v>
      </c>
      <c r="GN175">
        <f t="shared" ca="1" si="572"/>
        <v>0</v>
      </c>
      <c r="GO175">
        <f t="shared" ca="1" si="573"/>
        <v>0</v>
      </c>
      <c r="GP175">
        <f t="shared" ca="1" si="574"/>
        <v>0</v>
      </c>
      <c r="GQ175">
        <f t="shared" ca="1" si="575"/>
        <v>0</v>
      </c>
      <c r="GR175">
        <f t="shared" ca="1" si="576"/>
        <v>0</v>
      </c>
      <c r="GS175">
        <f t="shared" ca="1" si="577"/>
        <v>0</v>
      </c>
      <c r="GT175" t="b">
        <f t="shared" ca="1" si="578"/>
        <v>0</v>
      </c>
      <c r="GU175">
        <f t="shared" ca="1" si="579"/>
        <v>0</v>
      </c>
      <c r="GV175">
        <f t="shared" ca="1" si="580"/>
        <v>0</v>
      </c>
      <c r="GW175">
        <f t="shared" ca="1" si="581"/>
        <v>0</v>
      </c>
      <c r="GX175">
        <f t="shared" ca="1" si="582"/>
        <v>0</v>
      </c>
      <c r="GY175">
        <f t="shared" ca="1" si="583"/>
        <v>0</v>
      </c>
    </row>
    <row r="176" spans="1:207" x14ac:dyDescent="0.25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78"/>
        <v>6800</v>
      </c>
      <c r="I176">
        <f>_xlfn.XLOOKUP(B176,'[1]march-2026'!$A:$A,'[1]march-2026'!$C:$C,0,0)</f>
        <v>32500</v>
      </c>
      <c r="J176">
        <f t="shared" si="542"/>
        <v>5850</v>
      </c>
      <c r="K176">
        <f t="shared" si="479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0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1"/>
        <v>200</v>
      </c>
      <c r="R176">
        <f t="shared" si="482"/>
        <v>40550</v>
      </c>
      <c r="S176">
        <f>_xlfn.XLOOKUP(B176,'[2]april-2026'!$A:$A,'[2]april-2026'!$C:$C,0,0)</f>
        <v>32500</v>
      </c>
      <c r="T176">
        <f t="shared" si="483"/>
        <v>5850</v>
      </c>
      <c r="U176">
        <f t="shared" si="484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85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86"/>
        <v>200</v>
      </c>
      <c r="AB176">
        <f t="shared" si="487"/>
        <v>40550</v>
      </c>
      <c r="AC176">
        <f>_xlfn.XLOOKUP(B176,'[3]may-2026'!$A:$A,'[3]may-2026'!$C:$C,0,0)</f>
        <v>32500</v>
      </c>
      <c r="AD176">
        <f t="shared" si="488"/>
        <v>5850</v>
      </c>
      <c r="AE176">
        <f t="shared" si="489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0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1"/>
        <v>200</v>
      </c>
      <c r="AL176">
        <f t="shared" si="492"/>
        <v>40550</v>
      </c>
      <c r="AM176">
        <f>_xlfn.XLOOKUP(B176,'[4]june-2026'!$A:$A,'[4]june-2026'!$C:$C,0,0)</f>
        <v>32500</v>
      </c>
      <c r="AN176">
        <f t="shared" si="493"/>
        <v>5850</v>
      </c>
      <c r="AO176">
        <f t="shared" si="494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495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496"/>
        <v>200</v>
      </c>
      <c r="AV176">
        <f t="shared" si="497"/>
        <v>40550</v>
      </c>
      <c r="AW176">
        <f>_xlfn.XLOOKUP(B176,'[5]july-2026'!$A:$A,'[5]july-2026'!$C:$C,0,0)</f>
        <v>33500</v>
      </c>
      <c r="AX176">
        <f t="shared" si="498"/>
        <v>6030</v>
      </c>
      <c r="AY176">
        <v>174</v>
      </c>
      <c r="AZ176">
        <f t="shared" si="499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0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1"/>
        <v>200</v>
      </c>
      <c r="BG176">
        <f t="shared" si="502"/>
        <v>42024</v>
      </c>
      <c r="BH176">
        <f>_xlfn.XLOOKUP(B176,'[6]august-2026'!$A:$A,'[6]august-2026'!$C:$C,0,0)</f>
        <v>33500</v>
      </c>
      <c r="BI176">
        <f t="shared" si="503"/>
        <v>6030</v>
      </c>
      <c r="BJ176">
        <f t="shared" si="504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05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06"/>
        <v>200</v>
      </c>
      <c r="BQ176">
        <f t="shared" si="507"/>
        <v>41850</v>
      </c>
      <c r="BR176">
        <f>_xlfn.XLOOKUP(B176,'[7]september-2026'!$A:$A,'[7]september-2026'!$C:$C,0,0)</f>
        <v>33500</v>
      </c>
      <c r="BS176">
        <f t="shared" si="508"/>
        <v>6030</v>
      </c>
      <c r="BT176">
        <f t="shared" si="509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0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1"/>
        <v>200</v>
      </c>
      <c r="CA176">
        <f t="shared" si="512"/>
        <v>41850</v>
      </c>
      <c r="CB176">
        <f>_xlfn.XLOOKUP(B176,'[8]october-2026'!$A:$A,'[8]october-2026'!$C:$C,0,0)</f>
        <v>33500</v>
      </c>
      <c r="CC176">
        <f t="shared" si="513"/>
        <v>6030</v>
      </c>
      <c r="CD176">
        <f t="shared" si="514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15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16"/>
        <v>200</v>
      </c>
      <c r="CK176">
        <f t="shared" si="517"/>
        <v>41850</v>
      </c>
      <c r="CL176">
        <f>_xlfn.XLOOKUP(B176,'[9]november-2026'!$A:$A,'[9]november-2026'!$C:$C,0,0)</f>
        <v>33500</v>
      </c>
      <c r="CM176">
        <f t="shared" si="518"/>
        <v>6030</v>
      </c>
      <c r="CN176">
        <f t="shared" si="519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0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1"/>
        <v>200</v>
      </c>
      <c r="CU176">
        <f t="shared" si="522"/>
        <v>41850</v>
      </c>
      <c r="CV176">
        <f>_xlfn.XLOOKUP(B176,'[10]december-2026'!$A:$A,'[10]december-2026'!$C:$C,0,0)</f>
        <v>33500</v>
      </c>
      <c r="CW176">
        <f t="shared" si="523"/>
        <v>6030</v>
      </c>
      <c r="CX176">
        <f t="shared" si="524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25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26"/>
        <v>200</v>
      </c>
      <c r="DE176">
        <f t="shared" si="527"/>
        <v>41850</v>
      </c>
      <c r="DF176">
        <f xml:space="preserve"> _xlfn.XLOOKUP(B176,
'[11]january-2027'!$A:$A,
'[11]january-2027'!$C:$C,
0,0)</f>
        <v>33500</v>
      </c>
      <c r="DG176">
        <f t="shared" si="528"/>
        <v>6030</v>
      </c>
      <c r="DH176">
        <f t="shared" si="529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0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1"/>
        <v>200</v>
      </c>
      <c r="DO176">
        <f t="shared" si="532"/>
        <v>41850</v>
      </c>
      <c r="DP176">
        <f xml:space="preserve"> _xlfn.XLOOKUP(B176,
'[12]february-2027'!$A:$A,
'[12]february-2027'!$C:$C,
0,0)</f>
        <v>33500</v>
      </c>
      <c r="DQ176">
        <f t="shared" si="533"/>
        <v>6030</v>
      </c>
      <c r="DR176">
        <f t="shared" si="534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35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36"/>
        <v>200</v>
      </c>
      <c r="DY176">
        <f t="shared" si="537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38"/>
        <v>0</v>
      </c>
      <c r="EM176">
        <f t="shared" si="539"/>
        <v>530374</v>
      </c>
      <c r="EN176">
        <f t="shared" si="540"/>
        <v>2400</v>
      </c>
      <c r="EO176">
        <f t="shared" si="541"/>
        <v>50000</v>
      </c>
      <c r="EP176">
        <v>0</v>
      </c>
      <c r="EQ176">
        <f t="shared" si="543"/>
        <v>477974</v>
      </c>
      <c r="ER176">
        <f t="shared" si="544"/>
        <v>24000</v>
      </c>
      <c r="ES176">
        <f t="shared" si="545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46"/>
        <v>24000</v>
      </c>
      <c r="FE176">
        <f t="shared" si="547"/>
        <v>24000</v>
      </c>
      <c r="FF176">
        <f t="shared" si="548"/>
        <v>453974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>SUM(FG176:FM176)+(IF(F176="YES",50000,0))</f>
        <v>0</v>
      </c>
      <c r="FO176">
        <f t="shared" si="549"/>
        <v>453974</v>
      </c>
      <c r="FP176">
        <f t="shared" si="550"/>
        <v>10199</v>
      </c>
      <c r="FQ176">
        <f t="shared" si="551"/>
        <v>0</v>
      </c>
      <c r="FR176">
        <f t="shared" si="552"/>
        <v>10199</v>
      </c>
      <c r="FS176">
        <f t="shared" si="553"/>
        <v>0</v>
      </c>
      <c r="FT176">
        <f t="shared" si="554"/>
        <v>0</v>
      </c>
      <c r="FU176">
        <f t="shared" si="555"/>
        <v>0</v>
      </c>
      <c r="FV176">
        <v>0</v>
      </c>
      <c r="FW176">
        <f t="shared" si="556"/>
        <v>0</v>
      </c>
      <c r="FX176" t="b">
        <f t="shared" si="557"/>
        <v>1</v>
      </c>
      <c r="FY176">
        <f t="shared" ca="1" si="558"/>
        <v>754</v>
      </c>
      <c r="FZ176">
        <f t="shared" ca="1" si="559"/>
        <v>531128</v>
      </c>
      <c r="GA176">
        <f t="shared" si="560"/>
        <v>75000</v>
      </c>
      <c r="GB176">
        <f t="shared" ca="1" si="561"/>
        <v>456128</v>
      </c>
      <c r="GC176">
        <f t="shared" ca="1" si="562"/>
        <v>0</v>
      </c>
      <c r="GD176">
        <f t="shared" ca="1" si="563"/>
        <v>0</v>
      </c>
      <c r="GE176">
        <f t="shared" ca="1" si="564"/>
        <v>0</v>
      </c>
      <c r="GF176">
        <f t="shared" ca="1" si="565"/>
        <v>0</v>
      </c>
      <c r="GG176">
        <f t="shared" ca="1" si="566"/>
        <v>0</v>
      </c>
      <c r="GH176">
        <f t="shared" ca="1" si="567"/>
        <v>0</v>
      </c>
      <c r="GI176">
        <f ca="1">IF(GB176&gt;1200000,GB176-1200000-IF(F176="YES",50000,0)-GG176,0)</f>
        <v>0</v>
      </c>
      <c r="GJ176">
        <f t="shared" ca="1" si="568"/>
        <v>0</v>
      </c>
      <c r="GK176">
        <f t="shared" ca="1" si="569"/>
        <v>0</v>
      </c>
      <c r="GL176">
        <f t="shared" ca="1" si="570"/>
        <v>0</v>
      </c>
      <c r="GM176">
        <f t="shared" ca="1" si="571"/>
        <v>56128</v>
      </c>
      <c r="GN176">
        <f t="shared" ca="1" si="572"/>
        <v>2806.4</v>
      </c>
      <c r="GO176">
        <f t="shared" ca="1" si="573"/>
        <v>2806</v>
      </c>
      <c r="GP176">
        <f t="shared" ca="1" si="574"/>
        <v>0</v>
      </c>
      <c r="GQ176">
        <f t="shared" ca="1" si="575"/>
        <v>0</v>
      </c>
      <c r="GR176">
        <f t="shared" ca="1" si="576"/>
        <v>2806</v>
      </c>
      <c r="GS176">
        <f t="shared" ca="1" si="577"/>
        <v>0</v>
      </c>
      <c r="GT176" t="b">
        <f t="shared" ca="1" si="578"/>
        <v>0</v>
      </c>
      <c r="GU176">
        <f t="shared" ca="1" si="579"/>
        <v>0</v>
      </c>
      <c r="GV176">
        <f t="shared" ca="1" si="580"/>
        <v>2806</v>
      </c>
      <c r="GW176">
        <f t="shared" ca="1" si="581"/>
        <v>0</v>
      </c>
      <c r="GX176">
        <f t="shared" ca="1" si="582"/>
        <v>0</v>
      </c>
      <c r="GY176">
        <f t="shared" ca="1" si="583"/>
        <v>0</v>
      </c>
    </row>
    <row r="177" spans="1:207" x14ac:dyDescent="0.25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78"/>
        <v>6800</v>
      </c>
      <c r="I177">
        <f>_xlfn.XLOOKUP(B177,'[1]march-2026'!$A:$A,'[1]march-2026'!$C:$C,0,0)</f>
        <v>35500</v>
      </c>
      <c r="J177">
        <f t="shared" si="542"/>
        <v>6390</v>
      </c>
      <c r="K177">
        <f t="shared" si="479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0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1"/>
        <v>200</v>
      </c>
      <c r="R177">
        <f t="shared" si="482"/>
        <v>42950</v>
      </c>
      <c r="S177">
        <f>_xlfn.XLOOKUP(B177,'[2]april-2026'!$A:$A,'[2]april-2026'!$C:$C,0,0)</f>
        <v>35500</v>
      </c>
      <c r="T177">
        <f t="shared" si="483"/>
        <v>6390</v>
      </c>
      <c r="U177">
        <f t="shared" si="484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85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86"/>
        <v>200</v>
      </c>
      <c r="AB177">
        <f t="shared" si="487"/>
        <v>42950</v>
      </c>
      <c r="AC177">
        <f>_xlfn.XLOOKUP(B177,'[3]may-2026'!$A:$A,'[3]may-2026'!$C:$C,0,0)</f>
        <v>35500</v>
      </c>
      <c r="AD177">
        <f t="shared" si="488"/>
        <v>6390</v>
      </c>
      <c r="AE177">
        <f t="shared" si="489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0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1"/>
        <v>200</v>
      </c>
      <c r="AL177">
        <f t="shared" si="492"/>
        <v>42950</v>
      </c>
      <c r="AM177">
        <f>_xlfn.XLOOKUP(B177,'[4]june-2026'!$A:$A,'[4]june-2026'!$C:$C,0,0)</f>
        <v>35500</v>
      </c>
      <c r="AN177">
        <f t="shared" si="493"/>
        <v>6390</v>
      </c>
      <c r="AO177">
        <f t="shared" si="494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495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496"/>
        <v>200</v>
      </c>
      <c r="AV177">
        <f t="shared" si="497"/>
        <v>42950</v>
      </c>
      <c r="AW177">
        <f>_xlfn.XLOOKUP(B177,'[5]july-2026'!$A:$A,'[5]july-2026'!$C:$C,0,0)</f>
        <v>36600</v>
      </c>
      <c r="AX177">
        <f t="shared" si="498"/>
        <v>6588</v>
      </c>
      <c r="AY177">
        <v>175</v>
      </c>
      <c r="AZ177">
        <f t="shared" si="499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0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1"/>
        <v>200</v>
      </c>
      <c r="BG177">
        <f t="shared" si="502"/>
        <v>44555</v>
      </c>
      <c r="BH177">
        <f>_xlfn.XLOOKUP(B177,'[6]august-2026'!$A:$A,'[6]august-2026'!$C:$C,0,0)</f>
        <v>36600</v>
      </c>
      <c r="BI177">
        <f t="shared" si="503"/>
        <v>6588</v>
      </c>
      <c r="BJ177">
        <f t="shared" si="504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05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06"/>
        <v>200</v>
      </c>
      <c r="BQ177">
        <f t="shared" si="507"/>
        <v>44380</v>
      </c>
      <c r="BR177">
        <f>_xlfn.XLOOKUP(B177,'[7]september-2026'!$A:$A,'[7]september-2026'!$C:$C,0,0)</f>
        <v>36600</v>
      </c>
      <c r="BS177">
        <f t="shared" si="508"/>
        <v>6588</v>
      </c>
      <c r="BT177">
        <f t="shared" si="509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0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1"/>
        <v>200</v>
      </c>
      <c r="CA177">
        <f t="shared" si="512"/>
        <v>44380</v>
      </c>
      <c r="CB177">
        <f>_xlfn.XLOOKUP(B177,'[8]october-2026'!$A:$A,'[8]october-2026'!$C:$C,0,0)</f>
        <v>36600</v>
      </c>
      <c r="CC177">
        <f t="shared" si="513"/>
        <v>6588</v>
      </c>
      <c r="CD177">
        <f t="shared" si="514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15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16"/>
        <v>200</v>
      </c>
      <c r="CK177">
        <f t="shared" si="517"/>
        <v>44380</v>
      </c>
      <c r="CL177">
        <f>_xlfn.XLOOKUP(B177,'[9]november-2026'!$A:$A,'[9]november-2026'!$C:$C,0,0)</f>
        <v>36600</v>
      </c>
      <c r="CM177">
        <f t="shared" si="518"/>
        <v>6588</v>
      </c>
      <c r="CN177">
        <f t="shared" si="519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0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1"/>
        <v>200</v>
      </c>
      <c r="CU177">
        <f t="shared" si="522"/>
        <v>44380</v>
      </c>
      <c r="CV177">
        <f>_xlfn.XLOOKUP(B177,'[10]december-2026'!$A:$A,'[10]december-2026'!$C:$C,0,0)</f>
        <v>36600</v>
      </c>
      <c r="CW177">
        <f t="shared" si="523"/>
        <v>6588</v>
      </c>
      <c r="CX177">
        <f t="shared" si="524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25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26"/>
        <v>200</v>
      </c>
      <c r="DE177">
        <f t="shared" si="527"/>
        <v>44380</v>
      </c>
      <c r="DF177">
        <f xml:space="preserve"> _xlfn.XLOOKUP(B177,
'[11]january-2027'!$A:$A,
'[11]january-2027'!$C:$C,
0,0)</f>
        <v>36600</v>
      </c>
      <c r="DG177">
        <f t="shared" si="528"/>
        <v>6588</v>
      </c>
      <c r="DH177">
        <f t="shared" si="529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0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1"/>
        <v>200</v>
      </c>
      <c r="DO177">
        <f t="shared" si="532"/>
        <v>44380</v>
      </c>
      <c r="DP177">
        <f xml:space="preserve"> _xlfn.XLOOKUP(B177,
'[12]february-2027'!$A:$A,
'[12]february-2027'!$C:$C,
0,0)</f>
        <v>36600</v>
      </c>
      <c r="DQ177">
        <f t="shared" si="533"/>
        <v>6588</v>
      </c>
      <c r="DR177">
        <f t="shared" si="534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35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36"/>
        <v>200</v>
      </c>
      <c r="DY177">
        <f t="shared" si="537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38"/>
        <v>0</v>
      </c>
      <c r="EM177">
        <f t="shared" si="539"/>
        <v>572215</v>
      </c>
      <c r="EN177">
        <f t="shared" si="540"/>
        <v>2400</v>
      </c>
      <c r="EO177">
        <f t="shared" si="541"/>
        <v>50000</v>
      </c>
      <c r="EP177">
        <v>0</v>
      </c>
      <c r="EQ177">
        <f t="shared" si="543"/>
        <v>519815</v>
      </c>
      <c r="ER177">
        <f t="shared" si="544"/>
        <v>36000</v>
      </c>
      <c r="ES177">
        <f t="shared" si="545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46"/>
        <v>36000</v>
      </c>
      <c r="FE177">
        <f t="shared" si="547"/>
        <v>36000</v>
      </c>
      <c r="FF177">
        <f t="shared" si="548"/>
        <v>483815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>SUM(FG177:FM177)+(IF(F177="YES",50000,0))</f>
        <v>0</v>
      </c>
      <c r="FO177">
        <f t="shared" si="549"/>
        <v>483815</v>
      </c>
      <c r="FP177">
        <f t="shared" si="550"/>
        <v>11691</v>
      </c>
      <c r="FQ177">
        <f t="shared" si="551"/>
        <v>0</v>
      </c>
      <c r="FR177">
        <f t="shared" si="552"/>
        <v>11691</v>
      </c>
      <c r="FS177">
        <f t="shared" si="553"/>
        <v>0</v>
      </c>
      <c r="FT177">
        <f t="shared" si="554"/>
        <v>0</v>
      </c>
      <c r="FU177">
        <f t="shared" si="555"/>
        <v>0</v>
      </c>
      <c r="FV177">
        <v>0</v>
      </c>
      <c r="FW177">
        <f t="shared" si="556"/>
        <v>0</v>
      </c>
      <c r="FX177" t="b">
        <f t="shared" si="557"/>
        <v>1</v>
      </c>
      <c r="FY177">
        <f t="shared" ca="1" si="558"/>
        <v>679</v>
      </c>
      <c r="FZ177">
        <f t="shared" ca="1" si="559"/>
        <v>572894</v>
      </c>
      <c r="GA177">
        <f t="shared" si="560"/>
        <v>75000</v>
      </c>
      <c r="GB177">
        <f t="shared" ca="1" si="561"/>
        <v>497894</v>
      </c>
      <c r="GC177">
        <f t="shared" ca="1" si="562"/>
        <v>0</v>
      </c>
      <c r="GD177">
        <f t="shared" ca="1" si="563"/>
        <v>0</v>
      </c>
      <c r="GE177">
        <f t="shared" ca="1" si="564"/>
        <v>0</v>
      </c>
      <c r="GF177">
        <f t="shared" ca="1" si="565"/>
        <v>0</v>
      </c>
      <c r="GG177">
        <f t="shared" ca="1" si="566"/>
        <v>0</v>
      </c>
      <c r="GH177">
        <f t="shared" ca="1" si="567"/>
        <v>0</v>
      </c>
      <c r="GI177">
        <f ca="1">IF(GB177&gt;1200000,GB177-1200000-IF(F177="YES",50000,0)-GG177,0)</f>
        <v>0</v>
      </c>
      <c r="GJ177">
        <f t="shared" ca="1" si="568"/>
        <v>0</v>
      </c>
      <c r="GK177">
        <f t="shared" ca="1" si="569"/>
        <v>0</v>
      </c>
      <c r="GL177">
        <f t="shared" ca="1" si="570"/>
        <v>0</v>
      </c>
      <c r="GM177">
        <f t="shared" ca="1" si="571"/>
        <v>97894</v>
      </c>
      <c r="GN177">
        <f t="shared" ca="1" si="572"/>
        <v>4894.7</v>
      </c>
      <c r="GO177">
        <f t="shared" ca="1" si="573"/>
        <v>4895</v>
      </c>
      <c r="GP177">
        <f t="shared" ca="1" si="574"/>
        <v>0</v>
      </c>
      <c r="GQ177">
        <f t="shared" ca="1" si="575"/>
        <v>0</v>
      </c>
      <c r="GR177">
        <f t="shared" ca="1" si="576"/>
        <v>4895</v>
      </c>
      <c r="GS177">
        <f t="shared" ca="1" si="577"/>
        <v>0</v>
      </c>
      <c r="GT177" t="b">
        <f t="shared" ca="1" si="578"/>
        <v>0</v>
      </c>
      <c r="GU177">
        <f t="shared" ca="1" si="579"/>
        <v>0</v>
      </c>
      <c r="GV177">
        <f t="shared" ca="1" si="580"/>
        <v>4895</v>
      </c>
      <c r="GW177">
        <f t="shared" ca="1" si="581"/>
        <v>0</v>
      </c>
      <c r="GX177">
        <f t="shared" ca="1" si="582"/>
        <v>0</v>
      </c>
      <c r="GY177">
        <f t="shared" ca="1" si="583"/>
        <v>0</v>
      </c>
    </row>
    <row r="178" spans="1:207" x14ac:dyDescent="0.25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78"/>
        <v>6800</v>
      </c>
      <c r="I178">
        <f>_xlfn.XLOOKUP(B178,'[1]march-2026'!$A:$A,'[1]march-2026'!$C:$C,0,0)</f>
        <v>34500</v>
      </c>
      <c r="J178">
        <f t="shared" si="542"/>
        <v>6210</v>
      </c>
      <c r="K178">
        <f t="shared" si="479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0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1"/>
        <v>200</v>
      </c>
      <c r="R178">
        <f t="shared" si="482"/>
        <v>43050</v>
      </c>
      <c r="S178">
        <f>_xlfn.XLOOKUP(B178,'[2]april-2026'!$A:$A,'[2]april-2026'!$C:$C,0,0)</f>
        <v>34500</v>
      </c>
      <c r="T178">
        <f t="shared" si="483"/>
        <v>6210</v>
      </c>
      <c r="U178">
        <f t="shared" si="484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85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86"/>
        <v>200</v>
      </c>
      <c r="AB178">
        <f t="shared" si="487"/>
        <v>43050</v>
      </c>
      <c r="AC178">
        <f>_xlfn.XLOOKUP(B178,'[3]may-2026'!$A:$A,'[3]may-2026'!$C:$C,0,0)</f>
        <v>34500</v>
      </c>
      <c r="AD178">
        <f t="shared" si="488"/>
        <v>6210</v>
      </c>
      <c r="AE178">
        <f t="shared" si="489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0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1"/>
        <v>200</v>
      </c>
      <c r="AL178">
        <f t="shared" si="492"/>
        <v>43050</v>
      </c>
      <c r="AM178">
        <f>_xlfn.XLOOKUP(B178,'[4]june-2026'!$A:$A,'[4]june-2026'!$C:$C,0,0)</f>
        <v>34500</v>
      </c>
      <c r="AN178">
        <f t="shared" si="493"/>
        <v>6210</v>
      </c>
      <c r="AO178">
        <f t="shared" si="494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495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496"/>
        <v>200</v>
      </c>
      <c r="AV178">
        <f t="shared" si="497"/>
        <v>43050</v>
      </c>
      <c r="AW178">
        <f>_xlfn.XLOOKUP(B178,'[5]july-2026'!$A:$A,'[5]july-2026'!$C:$C,0,0)</f>
        <v>35500</v>
      </c>
      <c r="AX178">
        <f t="shared" si="498"/>
        <v>6390</v>
      </c>
      <c r="AY178">
        <v>176</v>
      </c>
      <c r="AZ178">
        <f t="shared" si="499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0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1"/>
        <v>200</v>
      </c>
      <c r="BG178">
        <f t="shared" si="502"/>
        <v>44526</v>
      </c>
      <c r="BH178">
        <f>_xlfn.XLOOKUP(B178,'[6]august-2026'!$A:$A,'[6]august-2026'!$C:$C,0,0)</f>
        <v>35500</v>
      </c>
      <c r="BI178">
        <f t="shared" si="503"/>
        <v>6390</v>
      </c>
      <c r="BJ178">
        <f t="shared" si="504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05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06"/>
        <v>200</v>
      </c>
      <c r="BQ178">
        <f t="shared" si="507"/>
        <v>44350</v>
      </c>
      <c r="BR178">
        <f>_xlfn.XLOOKUP(B178,'[7]september-2026'!$A:$A,'[7]september-2026'!$C:$C,0,0)</f>
        <v>35500</v>
      </c>
      <c r="BS178">
        <f t="shared" si="508"/>
        <v>6390</v>
      </c>
      <c r="BT178">
        <f t="shared" si="509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0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1"/>
        <v>200</v>
      </c>
      <c r="CA178">
        <f t="shared" si="512"/>
        <v>44350</v>
      </c>
      <c r="CB178">
        <f>_xlfn.XLOOKUP(B178,'[8]october-2026'!$A:$A,'[8]october-2026'!$C:$C,0,0)</f>
        <v>35500</v>
      </c>
      <c r="CC178">
        <f t="shared" si="513"/>
        <v>6390</v>
      </c>
      <c r="CD178">
        <f t="shared" si="514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15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16"/>
        <v>200</v>
      </c>
      <c r="CK178">
        <f t="shared" si="517"/>
        <v>44350</v>
      </c>
      <c r="CL178">
        <f>_xlfn.XLOOKUP(B178,'[9]november-2026'!$A:$A,'[9]november-2026'!$C:$C,0,0)</f>
        <v>35500</v>
      </c>
      <c r="CM178">
        <f t="shared" si="518"/>
        <v>6390</v>
      </c>
      <c r="CN178">
        <f t="shared" si="519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0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1"/>
        <v>200</v>
      </c>
      <c r="CU178">
        <f t="shared" si="522"/>
        <v>44350</v>
      </c>
      <c r="CV178">
        <f>_xlfn.XLOOKUP(B178,'[10]december-2026'!$A:$A,'[10]december-2026'!$C:$C,0,0)</f>
        <v>35500</v>
      </c>
      <c r="CW178">
        <f t="shared" si="523"/>
        <v>6390</v>
      </c>
      <c r="CX178">
        <f t="shared" si="524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25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26"/>
        <v>200</v>
      </c>
      <c r="DE178">
        <f t="shared" si="527"/>
        <v>44350</v>
      </c>
      <c r="DF178">
        <f xml:space="preserve"> _xlfn.XLOOKUP(B178,
'[11]january-2027'!$A:$A,
'[11]january-2027'!$C:$C,
0,0)</f>
        <v>35500</v>
      </c>
      <c r="DG178">
        <f t="shared" si="528"/>
        <v>6390</v>
      </c>
      <c r="DH178">
        <f t="shared" si="529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0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1"/>
        <v>200</v>
      </c>
      <c r="DO178">
        <f t="shared" si="532"/>
        <v>44350</v>
      </c>
      <c r="DP178">
        <f xml:space="preserve"> _xlfn.XLOOKUP(B178,
'[12]february-2027'!$A:$A,
'[12]february-2027'!$C:$C,
0,0)</f>
        <v>35500</v>
      </c>
      <c r="DQ178">
        <f t="shared" si="533"/>
        <v>6390</v>
      </c>
      <c r="DR178">
        <f t="shared" si="534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35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36"/>
        <v>200</v>
      </c>
      <c r="DY178">
        <f t="shared" si="537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38"/>
        <v>0</v>
      </c>
      <c r="EM178">
        <f t="shared" si="539"/>
        <v>566376</v>
      </c>
      <c r="EN178">
        <f t="shared" si="540"/>
        <v>2400</v>
      </c>
      <c r="EO178">
        <f t="shared" si="541"/>
        <v>50000</v>
      </c>
      <c r="EP178">
        <v>0</v>
      </c>
      <c r="EQ178">
        <f t="shared" si="543"/>
        <v>513976</v>
      </c>
      <c r="ER178">
        <f t="shared" si="544"/>
        <v>30000</v>
      </c>
      <c r="ES178">
        <f t="shared" si="545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46"/>
        <v>30000</v>
      </c>
      <c r="FE178">
        <f t="shared" si="547"/>
        <v>30000</v>
      </c>
      <c r="FF178">
        <f t="shared" si="548"/>
        <v>483976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>SUM(FG178:FM178)+(IF(F178="YES",50000,0))</f>
        <v>0</v>
      </c>
      <c r="FO178">
        <f t="shared" si="549"/>
        <v>483976</v>
      </c>
      <c r="FP178">
        <f t="shared" si="550"/>
        <v>11699</v>
      </c>
      <c r="FQ178">
        <f t="shared" si="551"/>
        <v>0</v>
      </c>
      <c r="FR178">
        <f t="shared" si="552"/>
        <v>11699</v>
      </c>
      <c r="FS178">
        <f t="shared" si="553"/>
        <v>0</v>
      </c>
      <c r="FT178">
        <f t="shared" si="554"/>
        <v>0</v>
      </c>
      <c r="FU178">
        <f t="shared" si="555"/>
        <v>0</v>
      </c>
      <c r="FV178">
        <v>0</v>
      </c>
      <c r="FW178">
        <f t="shared" si="556"/>
        <v>0</v>
      </c>
      <c r="FX178" t="b">
        <f t="shared" si="557"/>
        <v>1</v>
      </c>
      <c r="FY178">
        <f t="shared" ca="1" si="558"/>
        <v>973</v>
      </c>
      <c r="FZ178">
        <f t="shared" ca="1" si="559"/>
        <v>567349</v>
      </c>
      <c r="GA178">
        <f t="shared" si="560"/>
        <v>75000</v>
      </c>
      <c r="GB178">
        <f t="shared" ca="1" si="561"/>
        <v>492349</v>
      </c>
      <c r="GC178">
        <f t="shared" ca="1" si="562"/>
        <v>0</v>
      </c>
      <c r="GD178">
        <f t="shared" ca="1" si="563"/>
        <v>0</v>
      </c>
      <c r="GE178">
        <f t="shared" ca="1" si="564"/>
        <v>0</v>
      </c>
      <c r="GF178">
        <f t="shared" ca="1" si="565"/>
        <v>0</v>
      </c>
      <c r="GG178">
        <f t="shared" ca="1" si="566"/>
        <v>0</v>
      </c>
      <c r="GH178">
        <f t="shared" ca="1" si="567"/>
        <v>0</v>
      </c>
      <c r="GI178">
        <f ca="1">IF(GB178&gt;1200000,GB178-1200000-IF(F178="YES",50000,0)-GG178,0)</f>
        <v>0</v>
      </c>
      <c r="GJ178">
        <f t="shared" ca="1" si="568"/>
        <v>0</v>
      </c>
      <c r="GK178">
        <f t="shared" ca="1" si="569"/>
        <v>0</v>
      </c>
      <c r="GL178">
        <f t="shared" ca="1" si="570"/>
        <v>0</v>
      </c>
      <c r="GM178">
        <f t="shared" ca="1" si="571"/>
        <v>92349</v>
      </c>
      <c r="GN178">
        <f t="shared" ca="1" si="572"/>
        <v>4617.45</v>
      </c>
      <c r="GO178">
        <f t="shared" ca="1" si="573"/>
        <v>4617</v>
      </c>
      <c r="GP178">
        <f t="shared" ca="1" si="574"/>
        <v>0</v>
      </c>
      <c r="GQ178">
        <f t="shared" ca="1" si="575"/>
        <v>0</v>
      </c>
      <c r="GR178">
        <f t="shared" ca="1" si="576"/>
        <v>4617</v>
      </c>
      <c r="GS178">
        <f t="shared" ca="1" si="577"/>
        <v>0</v>
      </c>
      <c r="GT178" t="b">
        <f t="shared" ca="1" si="578"/>
        <v>0</v>
      </c>
      <c r="GU178">
        <f t="shared" ca="1" si="579"/>
        <v>0</v>
      </c>
      <c r="GV178">
        <f t="shared" ca="1" si="580"/>
        <v>4617</v>
      </c>
      <c r="GW178">
        <f t="shared" ca="1" si="581"/>
        <v>0</v>
      </c>
      <c r="GX178">
        <f t="shared" ca="1" si="582"/>
        <v>0</v>
      </c>
      <c r="GY178">
        <f t="shared" ca="1" si="583"/>
        <v>0</v>
      </c>
    </row>
    <row r="179" spans="1:207" x14ac:dyDescent="0.25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78"/>
        <v>6800</v>
      </c>
      <c r="I179">
        <f>_xlfn.XLOOKUP(B179,'[1]march-2026'!$A:$A,'[1]march-2026'!$C:$C,0,0)</f>
        <v>51700</v>
      </c>
      <c r="J179">
        <f t="shared" si="542"/>
        <v>9306</v>
      </c>
      <c r="K179">
        <f t="shared" si="479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0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1"/>
        <v>200</v>
      </c>
      <c r="R179">
        <f t="shared" si="482"/>
        <v>52510</v>
      </c>
      <c r="S179">
        <f>_xlfn.XLOOKUP(B179,'[2]april-2026'!$A:$A,'[2]april-2026'!$C:$C,0,0)</f>
        <v>51700</v>
      </c>
      <c r="T179">
        <f t="shared" si="483"/>
        <v>9306</v>
      </c>
      <c r="U179">
        <f t="shared" si="484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85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86"/>
        <v>200</v>
      </c>
      <c r="AB179">
        <f t="shared" si="487"/>
        <v>52510</v>
      </c>
      <c r="AC179">
        <f>_xlfn.XLOOKUP(B179,'[3]may-2026'!$A:$A,'[3]may-2026'!$C:$C,0,0)</f>
        <v>51700</v>
      </c>
      <c r="AD179">
        <f t="shared" si="488"/>
        <v>9306</v>
      </c>
      <c r="AE179">
        <f t="shared" si="489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0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1"/>
        <v>200</v>
      </c>
      <c r="AL179">
        <f t="shared" si="492"/>
        <v>52510</v>
      </c>
      <c r="AM179">
        <f>_xlfn.XLOOKUP(B179,'[4]june-2026'!$A:$A,'[4]june-2026'!$C:$C,0,0)</f>
        <v>51700</v>
      </c>
      <c r="AN179">
        <f t="shared" si="493"/>
        <v>9306</v>
      </c>
      <c r="AO179">
        <f t="shared" si="494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495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496"/>
        <v>200</v>
      </c>
      <c r="AV179">
        <f t="shared" si="497"/>
        <v>52510</v>
      </c>
      <c r="AW179">
        <f>_xlfn.XLOOKUP(B179,'[5]july-2026'!$A:$A,'[5]july-2026'!$C:$C,0,0)</f>
        <v>53300</v>
      </c>
      <c r="AX179">
        <f t="shared" si="498"/>
        <v>9594</v>
      </c>
      <c r="AY179">
        <v>177</v>
      </c>
      <c r="AZ179">
        <f t="shared" si="499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0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1"/>
        <v>200</v>
      </c>
      <c r="BG179">
        <f t="shared" si="502"/>
        <v>54767</v>
      </c>
      <c r="BH179">
        <f>_xlfn.XLOOKUP(B179,'[6]august-2026'!$A:$A,'[6]august-2026'!$C:$C,0,0)</f>
        <v>53300</v>
      </c>
      <c r="BI179">
        <f t="shared" si="503"/>
        <v>9594</v>
      </c>
      <c r="BJ179">
        <f t="shared" si="504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05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06"/>
        <v>200</v>
      </c>
      <c r="BQ179">
        <f t="shared" si="507"/>
        <v>54590</v>
      </c>
      <c r="BR179">
        <f>_xlfn.XLOOKUP(B179,'[7]september-2026'!$A:$A,'[7]september-2026'!$C:$C,0,0)</f>
        <v>53300</v>
      </c>
      <c r="BS179">
        <f t="shared" si="508"/>
        <v>9594</v>
      </c>
      <c r="BT179">
        <f t="shared" si="509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0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1"/>
        <v>200</v>
      </c>
      <c r="CA179">
        <f t="shared" si="512"/>
        <v>54590</v>
      </c>
      <c r="CB179">
        <f>_xlfn.XLOOKUP(B179,'[8]october-2026'!$A:$A,'[8]october-2026'!$C:$C,0,0)</f>
        <v>53300</v>
      </c>
      <c r="CC179">
        <f t="shared" si="513"/>
        <v>9594</v>
      </c>
      <c r="CD179">
        <f t="shared" si="514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15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16"/>
        <v>200</v>
      </c>
      <c r="CK179">
        <f t="shared" si="517"/>
        <v>54590</v>
      </c>
      <c r="CL179">
        <f>_xlfn.XLOOKUP(B179,'[9]november-2026'!$A:$A,'[9]november-2026'!$C:$C,0,0)</f>
        <v>53300</v>
      </c>
      <c r="CM179">
        <f t="shared" si="518"/>
        <v>9594</v>
      </c>
      <c r="CN179">
        <f t="shared" si="519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0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1"/>
        <v>200</v>
      </c>
      <c r="CU179">
        <f t="shared" si="522"/>
        <v>54590</v>
      </c>
      <c r="CV179">
        <f>_xlfn.XLOOKUP(B179,'[10]december-2026'!$A:$A,'[10]december-2026'!$C:$C,0,0)</f>
        <v>53300</v>
      </c>
      <c r="CW179">
        <f t="shared" si="523"/>
        <v>9594</v>
      </c>
      <c r="CX179">
        <f t="shared" si="524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25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26"/>
        <v>200</v>
      </c>
      <c r="DE179">
        <f t="shared" si="527"/>
        <v>54590</v>
      </c>
      <c r="DF179">
        <f xml:space="preserve"> _xlfn.XLOOKUP(B179,
'[11]january-2027'!$A:$A,
'[11]january-2027'!$C:$C,
0,0)</f>
        <v>53300</v>
      </c>
      <c r="DG179">
        <f t="shared" si="528"/>
        <v>9594</v>
      </c>
      <c r="DH179">
        <f t="shared" si="529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0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1"/>
        <v>200</v>
      </c>
      <c r="DO179">
        <f t="shared" si="532"/>
        <v>54590</v>
      </c>
      <c r="DP179">
        <f xml:space="preserve"> _xlfn.XLOOKUP(B179,
'[12]february-2027'!$A:$A,
'[12]february-2027'!$C:$C,
0,0)</f>
        <v>53300</v>
      </c>
      <c r="DQ179">
        <f t="shared" si="533"/>
        <v>9594</v>
      </c>
      <c r="DR179">
        <f t="shared" si="534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35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36"/>
        <v>200</v>
      </c>
      <c r="DY179">
        <f t="shared" si="537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38"/>
        <v>0</v>
      </c>
      <c r="EM179">
        <f t="shared" si="539"/>
        <v>836137</v>
      </c>
      <c r="EN179">
        <f t="shared" si="540"/>
        <v>2400</v>
      </c>
      <c r="EO179">
        <f t="shared" si="541"/>
        <v>50000</v>
      </c>
      <c r="EP179">
        <v>0</v>
      </c>
      <c r="EQ179">
        <f t="shared" si="543"/>
        <v>783737</v>
      </c>
      <c r="ER179">
        <f t="shared" si="544"/>
        <v>180000</v>
      </c>
      <c r="ES179">
        <f t="shared" si="545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46"/>
        <v>180000</v>
      </c>
      <c r="FE179">
        <f t="shared" si="547"/>
        <v>150000</v>
      </c>
      <c r="FF179">
        <f t="shared" si="548"/>
        <v>633737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>SUM(FG179:FM179)+(IF(F179="YES",50000,0))</f>
        <v>0</v>
      </c>
      <c r="FO179">
        <f t="shared" si="549"/>
        <v>633737</v>
      </c>
      <c r="FP179">
        <f t="shared" si="550"/>
        <v>12500</v>
      </c>
      <c r="FQ179">
        <f t="shared" si="551"/>
        <v>26747</v>
      </c>
      <c r="FR179">
        <f t="shared" si="552"/>
        <v>39247</v>
      </c>
      <c r="FS179">
        <f t="shared" si="553"/>
        <v>39247</v>
      </c>
      <c r="FT179">
        <f t="shared" si="554"/>
        <v>1569.88</v>
      </c>
      <c r="FU179">
        <f t="shared" si="555"/>
        <v>40817</v>
      </c>
      <c r="FV179">
        <v>0</v>
      </c>
      <c r="FW179">
        <f t="shared" si="556"/>
        <v>40817</v>
      </c>
      <c r="FX179" t="b">
        <f t="shared" si="557"/>
        <v>1</v>
      </c>
      <c r="FY179">
        <f t="shared" ca="1" si="558"/>
        <v>983</v>
      </c>
      <c r="FZ179">
        <f t="shared" ca="1" si="559"/>
        <v>837120</v>
      </c>
      <c r="GA179">
        <f t="shared" si="560"/>
        <v>75000</v>
      </c>
      <c r="GB179">
        <f t="shared" ca="1" si="561"/>
        <v>762120</v>
      </c>
      <c r="GC179">
        <f t="shared" ca="1" si="562"/>
        <v>0</v>
      </c>
      <c r="GD179">
        <f t="shared" ca="1" si="563"/>
        <v>0</v>
      </c>
      <c r="GE179">
        <f t="shared" ca="1" si="564"/>
        <v>0</v>
      </c>
      <c r="GF179">
        <f t="shared" ca="1" si="565"/>
        <v>0</v>
      </c>
      <c r="GG179">
        <f t="shared" ca="1" si="566"/>
        <v>0</v>
      </c>
      <c r="GH179">
        <f t="shared" ca="1" si="567"/>
        <v>0</v>
      </c>
      <c r="GI179">
        <f ca="1">IF(GB179&gt;1200000,GB179-1200000-IF(F179="YES",50000,0)-GG179,0)</f>
        <v>0</v>
      </c>
      <c r="GJ179">
        <f t="shared" ca="1" si="568"/>
        <v>0</v>
      </c>
      <c r="GK179">
        <f t="shared" ca="1" si="569"/>
        <v>0</v>
      </c>
      <c r="GL179">
        <f t="shared" ca="1" si="570"/>
        <v>0</v>
      </c>
      <c r="GM179">
        <f t="shared" ca="1" si="571"/>
        <v>362120</v>
      </c>
      <c r="GN179">
        <f t="shared" ca="1" si="572"/>
        <v>18106</v>
      </c>
      <c r="GO179">
        <f t="shared" ca="1" si="573"/>
        <v>18106</v>
      </c>
      <c r="GP179">
        <f t="shared" ca="1" si="574"/>
        <v>0</v>
      </c>
      <c r="GQ179">
        <f t="shared" ca="1" si="575"/>
        <v>0</v>
      </c>
      <c r="GR179">
        <f t="shared" ca="1" si="576"/>
        <v>18106</v>
      </c>
      <c r="GS179">
        <f t="shared" ca="1" si="577"/>
        <v>0</v>
      </c>
      <c r="GT179" t="b">
        <f t="shared" ca="1" si="578"/>
        <v>0</v>
      </c>
      <c r="GU179">
        <f t="shared" ca="1" si="579"/>
        <v>0</v>
      </c>
      <c r="GV179">
        <f t="shared" ca="1" si="580"/>
        <v>18106</v>
      </c>
      <c r="GW179">
        <f t="shared" ca="1" si="581"/>
        <v>0</v>
      </c>
      <c r="GX179">
        <f t="shared" ca="1" si="582"/>
        <v>0</v>
      </c>
      <c r="GY179">
        <f t="shared" ca="1" si="583"/>
        <v>0</v>
      </c>
    </row>
    <row r="180" spans="1:207" x14ac:dyDescent="0.25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78"/>
        <v>6800</v>
      </c>
      <c r="I180">
        <f>_xlfn.XLOOKUP(B180,'[1]march-2026'!$A:$A,'[1]march-2026'!$C:$C,0,0)</f>
        <v>34500</v>
      </c>
      <c r="J180">
        <f t="shared" si="542"/>
        <v>6210</v>
      </c>
      <c r="K180">
        <f t="shared" si="479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0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1"/>
        <v>200</v>
      </c>
      <c r="R180">
        <f t="shared" si="482"/>
        <v>42650</v>
      </c>
      <c r="S180">
        <f>_xlfn.XLOOKUP(B180,'[2]april-2026'!$A:$A,'[2]april-2026'!$C:$C,0,0)</f>
        <v>34500</v>
      </c>
      <c r="T180">
        <f t="shared" si="483"/>
        <v>6210</v>
      </c>
      <c r="U180">
        <f t="shared" si="484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85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86"/>
        <v>200</v>
      </c>
      <c r="AB180">
        <f t="shared" si="487"/>
        <v>42650</v>
      </c>
      <c r="AC180">
        <f>_xlfn.XLOOKUP(B180,'[3]may-2026'!$A:$A,'[3]may-2026'!$C:$C,0,0)</f>
        <v>34500</v>
      </c>
      <c r="AD180">
        <f t="shared" si="488"/>
        <v>6210</v>
      </c>
      <c r="AE180">
        <f t="shared" si="489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0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1"/>
        <v>200</v>
      </c>
      <c r="AL180">
        <f t="shared" si="492"/>
        <v>42650</v>
      </c>
      <c r="AM180">
        <f>_xlfn.XLOOKUP(B180,'[4]june-2026'!$A:$A,'[4]june-2026'!$C:$C,0,0)</f>
        <v>34500</v>
      </c>
      <c r="AN180">
        <f t="shared" si="493"/>
        <v>6210</v>
      </c>
      <c r="AO180">
        <f t="shared" si="494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495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496"/>
        <v>200</v>
      </c>
      <c r="AV180">
        <f t="shared" si="497"/>
        <v>42650</v>
      </c>
      <c r="AW180">
        <f>_xlfn.XLOOKUP(B180,'[5]july-2026'!$A:$A,'[5]july-2026'!$C:$C,0,0)</f>
        <v>35500</v>
      </c>
      <c r="AX180">
        <f t="shared" si="498"/>
        <v>6390</v>
      </c>
      <c r="AY180">
        <v>178</v>
      </c>
      <c r="AZ180">
        <f t="shared" si="499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0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1"/>
        <v>200</v>
      </c>
      <c r="BG180">
        <f t="shared" si="502"/>
        <v>44128</v>
      </c>
      <c r="BH180">
        <f>_xlfn.XLOOKUP(B180,'[6]august-2026'!$A:$A,'[6]august-2026'!$C:$C,0,0)</f>
        <v>35500</v>
      </c>
      <c r="BI180">
        <f t="shared" si="503"/>
        <v>6390</v>
      </c>
      <c r="BJ180">
        <f t="shared" si="504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05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06"/>
        <v>200</v>
      </c>
      <c r="BQ180">
        <f t="shared" si="507"/>
        <v>43950</v>
      </c>
      <c r="BR180">
        <f>_xlfn.XLOOKUP(B180,'[7]september-2026'!$A:$A,'[7]september-2026'!$C:$C,0,0)</f>
        <v>35500</v>
      </c>
      <c r="BS180">
        <f t="shared" si="508"/>
        <v>6390</v>
      </c>
      <c r="BT180">
        <f t="shared" si="509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0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1"/>
        <v>200</v>
      </c>
      <c r="CA180">
        <f t="shared" si="512"/>
        <v>43950</v>
      </c>
      <c r="CB180">
        <f>_xlfn.XLOOKUP(B180,'[8]october-2026'!$A:$A,'[8]october-2026'!$C:$C,0,0)</f>
        <v>35500</v>
      </c>
      <c r="CC180">
        <f t="shared" si="513"/>
        <v>6390</v>
      </c>
      <c r="CD180">
        <f t="shared" si="514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15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16"/>
        <v>200</v>
      </c>
      <c r="CK180">
        <f t="shared" si="517"/>
        <v>43950</v>
      </c>
      <c r="CL180">
        <f>_xlfn.XLOOKUP(B180,'[9]november-2026'!$A:$A,'[9]november-2026'!$C:$C,0,0)</f>
        <v>35500</v>
      </c>
      <c r="CM180">
        <f t="shared" si="518"/>
        <v>6390</v>
      </c>
      <c r="CN180">
        <f t="shared" si="519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0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1"/>
        <v>200</v>
      </c>
      <c r="CU180">
        <f t="shared" si="522"/>
        <v>43950</v>
      </c>
      <c r="CV180">
        <f>_xlfn.XLOOKUP(B180,'[10]december-2026'!$A:$A,'[10]december-2026'!$C:$C,0,0)</f>
        <v>35500</v>
      </c>
      <c r="CW180">
        <f t="shared" si="523"/>
        <v>6390</v>
      </c>
      <c r="CX180">
        <f t="shared" si="524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25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26"/>
        <v>200</v>
      </c>
      <c r="DE180">
        <f t="shared" si="527"/>
        <v>43950</v>
      </c>
      <c r="DF180">
        <f xml:space="preserve"> _xlfn.XLOOKUP(B180,
'[11]january-2027'!$A:$A,
'[11]january-2027'!$C:$C,
0,0)</f>
        <v>35500</v>
      </c>
      <c r="DG180">
        <f t="shared" si="528"/>
        <v>6390</v>
      </c>
      <c r="DH180">
        <f t="shared" si="529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0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1"/>
        <v>200</v>
      </c>
      <c r="DO180">
        <f t="shared" si="532"/>
        <v>43950</v>
      </c>
      <c r="DP180">
        <f xml:space="preserve"> _xlfn.XLOOKUP(B180,
'[12]february-2027'!$A:$A,
'[12]february-2027'!$C:$C,
0,0)</f>
        <v>35500</v>
      </c>
      <c r="DQ180">
        <f t="shared" si="533"/>
        <v>6390</v>
      </c>
      <c r="DR180">
        <f t="shared" si="534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35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36"/>
        <v>200</v>
      </c>
      <c r="DY180">
        <f t="shared" si="537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38"/>
        <v>0</v>
      </c>
      <c r="EM180">
        <f t="shared" si="539"/>
        <v>561578</v>
      </c>
      <c r="EN180">
        <f t="shared" si="540"/>
        <v>2400</v>
      </c>
      <c r="EO180">
        <f t="shared" si="541"/>
        <v>50000</v>
      </c>
      <c r="EP180">
        <v>0</v>
      </c>
      <c r="EQ180">
        <f t="shared" si="543"/>
        <v>509178</v>
      </c>
      <c r="ER180">
        <f t="shared" si="544"/>
        <v>30000</v>
      </c>
      <c r="ES180">
        <f t="shared" si="545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46"/>
        <v>30000</v>
      </c>
      <c r="FE180">
        <f t="shared" si="547"/>
        <v>30000</v>
      </c>
      <c r="FF180">
        <f t="shared" si="548"/>
        <v>479178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>SUM(FG180:FM180)+(IF(F180="YES",50000,0))</f>
        <v>0</v>
      </c>
      <c r="FO180">
        <f t="shared" si="549"/>
        <v>479178</v>
      </c>
      <c r="FP180">
        <f t="shared" si="550"/>
        <v>11459</v>
      </c>
      <c r="FQ180">
        <f t="shared" si="551"/>
        <v>0</v>
      </c>
      <c r="FR180">
        <f t="shared" si="552"/>
        <v>11459</v>
      </c>
      <c r="FS180">
        <f t="shared" si="553"/>
        <v>0</v>
      </c>
      <c r="FT180">
        <f t="shared" si="554"/>
        <v>0</v>
      </c>
      <c r="FU180">
        <f t="shared" si="555"/>
        <v>0</v>
      </c>
      <c r="FV180">
        <v>0</v>
      </c>
      <c r="FW180">
        <f t="shared" si="556"/>
        <v>0</v>
      </c>
      <c r="FX180" t="b">
        <f t="shared" si="557"/>
        <v>1</v>
      </c>
      <c r="FY180">
        <f t="shared" ca="1" si="558"/>
        <v>960</v>
      </c>
      <c r="FZ180">
        <f t="shared" ca="1" si="559"/>
        <v>562538</v>
      </c>
      <c r="GA180">
        <f t="shared" si="560"/>
        <v>75000</v>
      </c>
      <c r="GB180">
        <f t="shared" ca="1" si="561"/>
        <v>487538</v>
      </c>
      <c r="GC180">
        <f t="shared" ca="1" si="562"/>
        <v>0</v>
      </c>
      <c r="GD180">
        <f t="shared" ca="1" si="563"/>
        <v>0</v>
      </c>
      <c r="GE180">
        <f t="shared" ca="1" si="564"/>
        <v>0</v>
      </c>
      <c r="GF180">
        <f t="shared" ca="1" si="565"/>
        <v>0</v>
      </c>
      <c r="GG180">
        <f t="shared" ca="1" si="566"/>
        <v>0</v>
      </c>
      <c r="GH180">
        <f t="shared" ca="1" si="567"/>
        <v>0</v>
      </c>
      <c r="GI180">
        <f ca="1">IF(GB180&gt;1200000,GB180-1200000-IF(F180="YES",50000,0)-GG180,0)</f>
        <v>0</v>
      </c>
      <c r="GJ180">
        <f t="shared" ca="1" si="568"/>
        <v>0</v>
      </c>
      <c r="GK180">
        <f t="shared" ca="1" si="569"/>
        <v>0</v>
      </c>
      <c r="GL180">
        <f t="shared" ca="1" si="570"/>
        <v>0</v>
      </c>
      <c r="GM180">
        <f t="shared" ca="1" si="571"/>
        <v>87538</v>
      </c>
      <c r="GN180">
        <f t="shared" ca="1" si="572"/>
        <v>4376.9000000000005</v>
      </c>
      <c r="GO180">
        <f t="shared" ca="1" si="573"/>
        <v>4377</v>
      </c>
      <c r="GP180">
        <f t="shared" ca="1" si="574"/>
        <v>0</v>
      </c>
      <c r="GQ180">
        <f t="shared" ca="1" si="575"/>
        <v>0</v>
      </c>
      <c r="GR180">
        <f t="shared" ca="1" si="576"/>
        <v>4377</v>
      </c>
      <c r="GS180">
        <f t="shared" ca="1" si="577"/>
        <v>0</v>
      </c>
      <c r="GT180" t="b">
        <f t="shared" ca="1" si="578"/>
        <v>0</v>
      </c>
      <c r="GU180">
        <f t="shared" ca="1" si="579"/>
        <v>0</v>
      </c>
      <c r="GV180">
        <f t="shared" ca="1" si="580"/>
        <v>4377</v>
      </c>
      <c r="GW180">
        <f t="shared" ca="1" si="581"/>
        <v>0</v>
      </c>
      <c r="GX180">
        <f t="shared" ca="1" si="582"/>
        <v>0</v>
      </c>
      <c r="GY180">
        <f t="shared" ca="1" si="583"/>
        <v>0</v>
      </c>
    </row>
    <row r="181" spans="1:207" x14ac:dyDescent="0.25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78"/>
        <v>6800</v>
      </c>
      <c r="I181">
        <f>_xlfn.XLOOKUP(B181,'[1]march-2026'!$A:$A,'[1]march-2026'!$C:$C,0,0)</f>
        <v>34500</v>
      </c>
      <c r="J181">
        <f t="shared" si="542"/>
        <v>6210</v>
      </c>
      <c r="K181">
        <f t="shared" si="479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0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1"/>
        <v>200</v>
      </c>
      <c r="R181">
        <f t="shared" si="482"/>
        <v>42650</v>
      </c>
      <c r="S181">
        <f>_xlfn.XLOOKUP(B181,'[2]april-2026'!$A:$A,'[2]april-2026'!$C:$C,0,0)</f>
        <v>34500</v>
      </c>
      <c r="T181">
        <f t="shared" si="483"/>
        <v>6210</v>
      </c>
      <c r="U181">
        <f t="shared" si="484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85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86"/>
        <v>200</v>
      </c>
      <c r="AB181">
        <f t="shared" si="487"/>
        <v>42650</v>
      </c>
      <c r="AC181">
        <f>_xlfn.XLOOKUP(B181,'[3]may-2026'!$A:$A,'[3]may-2026'!$C:$C,0,0)</f>
        <v>34500</v>
      </c>
      <c r="AD181">
        <f t="shared" si="488"/>
        <v>6210</v>
      </c>
      <c r="AE181">
        <f t="shared" si="489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0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1"/>
        <v>200</v>
      </c>
      <c r="AL181">
        <f t="shared" si="492"/>
        <v>42650</v>
      </c>
      <c r="AM181">
        <f>_xlfn.XLOOKUP(B181,'[4]june-2026'!$A:$A,'[4]june-2026'!$C:$C,0,0)</f>
        <v>34500</v>
      </c>
      <c r="AN181">
        <f t="shared" si="493"/>
        <v>6210</v>
      </c>
      <c r="AO181">
        <f t="shared" si="494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495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496"/>
        <v>200</v>
      </c>
      <c r="AV181">
        <f t="shared" si="497"/>
        <v>42650</v>
      </c>
      <c r="AW181">
        <f>_xlfn.XLOOKUP(B181,'[5]july-2026'!$A:$A,'[5]july-2026'!$C:$C,0,0)</f>
        <v>35500</v>
      </c>
      <c r="AX181">
        <f t="shared" si="498"/>
        <v>6390</v>
      </c>
      <c r="AY181">
        <v>179</v>
      </c>
      <c r="AZ181">
        <f t="shared" si="499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0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1"/>
        <v>200</v>
      </c>
      <c r="BG181">
        <f t="shared" si="502"/>
        <v>44129</v>
      </c>
      <c r="BH181">
        <f>_xlfn.XLOOKUP(B181,'[6]august-2026'!$A:$A,'[6]august-2026'!$C:$C,0,0)</f>
        <v>35500</v>
      </c>
      <c r="BI181">
        <f t="shared" si="503"/>
        <v>6390</v>
      </c>
      <c r="BJ181">
        <f t="shared" si="504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05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06"/>
        <v>200</v>
      </c>
      <c r="BQ181">
        <f t="shared" si="507"/>
        <v>43950</v>
      </c>
      <c r="BR181">
        <f>_xlfn.XLOOKUP(B181,'[7]september-2026'!$A:$A,'[7]september-2026'!$C:$C,0,0)</f>
        <v>35500</v>
      </c>
      <c r="BS181">
        <f t="shared" si="508"/>
        <v>6390</v>
      </c>
      <c r="BT181">
        <f t="shared" si="509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0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1"/>
        <v>200</v>
      </c>
      <c r="CA181">
        <f t="shared" si="512"/>
        <v>43950</v>
      </c>
      <c r="CB181">
        <f>_xlfn.XLOOKUP(B181,'[8]october-2026'!$A:$A,'[8]october-2026'!$C:$C,0,0)</f>
        <v>35500</v>
      </c>
      <c r="CC181">
        <f t="shared" si="513"/>
        <v>6390</v>
      </c>
      <c r="CD181">
        <f t="shared" si="514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15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16"/>
        <v>200</v>
      </c>
      <c r="CK181">
        <f t="shared" si="517"/>
        <v>43950</v>
      </c>
      <c r="CL181">
        <f>_xlfn.XLOOKUP(B181,'[9]november-2026'!$A:$A,'[9]november-2026'!$C:$C,0,0)</f>
        <v>35500</v>
      </c>
      <c r="CM181">
        <f t="shared" si="518"/>
        <v>6390</v>
      </c>
      <c r="CN181">
        <f t="shared" si="519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0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1"/>
        <v>200</v>
      </c>
      <c r="CU181">
        <f t="shared" si="522"/>
        <v>43950</v>
      </c>
      <c r="CV181">
        <f>_xlfn.XLOOKUP(B181,'[10]december-2026'!$A:$A,'[10]december-2026'!$C:$C,0,0)</f>
        <v>35500</v>
      </c>
      <c r="CW181">
        <f t="shared" si="523"/>
        <v>6390</v>
      </c>
      <c r="CX181">
        <f t="shared" si="524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25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26"/>
        <v>200</v>
      </c>
      <c r="DE181">
        <f t="shared" si="527"/>
        <v>43950</v>
      </c>
      <c r="DF181">
        <f xml:space="preserve"> _xlfn.XLOOKUP(B181,
'[11]january-2027'!$A:$A,
'[11]january-2027'!$C:$C,
0,0)</f>
        <v>35500</v>
      </c>
      <c r="DG181">
        <f t="shared" si="528"/>
        <v>6390</v>
      </c>
      <c r="DH181">
        <f t="shared" si="529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0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1"/>
        <v>200</v>
      </c>
      <c r="DO181">
        <f t="shared" si="532"/>
        <v>43950</v>
      </c>
      <c r="DP181">
        <f xml:space="preserve"> _xlfn.XLOOKUP(B181,
'[12]february-2027'!$A:$A,
'[12]february-2027'!$C:$C,
0,0)</f>
        <v>35500</v>
      </c>
      <c r="DQ181">
        <f t="shared" si="533"/>
        <v>6390</v>
      </c>
      <c r="DR181">
        <f t="shared" si="534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35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36"/>
        <v>200</v>
      </c>
      <c r="DY181">
        <f t="shared" si="537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38"/>
        <v>0</v>
      </c>
      <c r="EM181">
        <f t="shared" si="539"/>
        <v>561579</v>
      </c>
      <c r="EN181">
        <f t="shared" si="540"/>
        <v>2400</v>
      </c>
      <c r="EO181">
        <f t="shared" si="541"/>
        <v>50000</v>
      </c>
      <c r="EP181">
        <v>0</v>
      </c>
      <c r="EQ181">
        <f t="shared" si="543"/>
        <v>509179</v>
      </c>
      <c r="ER181">
        <f t="shared" si="544"/>
        <v>30000</v>
      </c>
      <c r="ES181">
        <f t="shared" si="545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46"/>
        <v>30000</v>
      </c>
      <c r="FE181">
        <f t="shared" si="547"/>
        <v>30000</v>
      </c>
      <c r="FF181">
        <f t="shared" si="548"/>
        <v>479179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>SUM(FG181:FM181)+(IF(F181="YES",50000,0))</f>
        <v>0</v>
      </c>
      <c r="FO181">
        <f t="shared" si="549"/>
        <v>479179</v>
      </c>
      <c r="FP181">
        <f t="shared" si="550"/>
        <v>11459</v>
      </c>
      <c r="FQ181">
        <f t="shared" si="551"/>
        <v>0</v>
      </c>
      <c r="FR181">
        <f t="shared" si="552"/>
        <v>11459</v>
      </c>
      <c r="FS181">
        <f t="shared" si="553"/>
        <v>0</v>
      </c>
      <c r="FT181">
        <f t="shared" si="554"/>
        <v>0</v>
      </c>
      <c r="FU181">
        <f t="shared" si="555"/>
        <v>0</v>
      </c>
      <c r="FV181">
        <v>0</v>
      </c>
      <c r="FW181">
        <f t="shared" si="556"/>
        <v>0</v>
      </c>
      <c r="FX181" t="b">
        <f t="shared" si="557"/>
        <v>1</v>
      </c>
      <c r="FY181">
        <f t="shared" ca="1" si="558"/>
        <v>826</v>
      </c>
      <c r="FZ181">
        <f t="shared" ca="1" si="559"/>
        <v>562405</v>
      </c>
      <c r="GA181">
        <f t="shared" si="560"/>
        <v>75000</v>
      </c>
      <c r="GB181">
        <f t="shared" ca="1" si="561"/>
        <v>487405</v>
      </c>
      <c r="GC181">
        <f t="shared" ca="1" si="562"/>
        <v>0</v>
      </c>
      <c r="GD181">
        <f t="shared" ca="1" si="563"/>
        <v>0</v>
      </c>
      <c r="GE181">
        <f t="shared" ca="1" si="564"/>
        <v>0</v>
      </c>
      <c r="GF181">
        <f t="shared" ca="1" si="565"/>
        <v>0</v>
      </c>
      <c r="GG181">
        <f t="shared" ca="1" si="566"/>
        <v>0</v>
      </c>
      <c r="GH181">
        <f t="shared" ca="1" si="567"/>
        <v>0</v>
      </c>
      <c r="GI181">
        <f ca="1">IF(GB181&gt;1200000,GB181-1200000-IF(F181="YES",50000,0)-GG181,0)</f>
        <v>0</v>
      </c>
      <c r="GJ181">
        <f t="shared" ca="1" si="568"/>
        <v>0</v>
      </c>
      <c r="GK181">
        <f t="shared" ca="1" si="569"/>
        <v>0</v>
      </c>
      <c r="GL181">
        <f t="shared" ca="1" si="570"/>
        <v>0</v>
      </c>
      <c r="GM181">
        <f t="shared" ca="1" si="571"/>
        <v>87405</v>
      </c>
      <c r="GN181">
        <f t="shared" ca="1" si="572"/>
        <v>4370.25</v>
      </c>
      <c r="GO181">
        <f t="shared" ca="1" si="573"/>
        <v>4370</v>
      </c>
      <c r="GP181">
        <f t="shared" ca="1" si="574"/>
        <v>0</v>
      </c>
      <c r="GQ181">
        <f t="shared" ca="1" si="575"/>
        <v>0</v>
      </c>
      <c r="GR181">
        <f t="shared" ca="1" si="576"/>
        <v>4370</v>
      </c>
      <c r="GS181">
        <f t="shared" ca="1" si="577"/>
        <v>0</v>
      </c>
      <c r="GT181" t="b">
        <f t="shared" ca="1" si="578"/>
        <v>0</v>
      </c>
      <c r="GU181">
        <f t="shared" ca="1" si="579"/>
        <v>0</v>
      </c>
      <c r="GV181">
        <f t="shared" ca="1" si="580"/>
        <v>4370</v>
      </c>
      <c r="GW181">
        <f t="shared" ca="1" si="581"/>
        <v>0</v>
      </c>
      <c r="GX181">
        <f t="shared" ca="1" si="582"/>
        <v>0</v>
      </c>
      <c r="GY181">
        <f t="shared" ca="1" si="583"/>
        <v>0</v>
      </c>
    </row>
    <row r="182" spans="1:207" x14ac:dyDescent="0.25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78"/>
        <v>6800</v>
      </c>
      <c r="I182">
        <f>_xlfn.XLOOKUP(B182,'[1]march-2026'!$A:$A,'[1]march-2026'!$C:$C,0,0)</f>
        <v>34500</v>
      </c>
      <c r="J182">
        <f t="shared" si="542"/>
        <v>6210</v>
      </c>
      <c r="K182">
        <f t="shared" si="479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0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1"/>
        <v>200</v>
      </c>
      <c r="R182">
        <f t="shared" si="482"/>
        <v>42550</v>
      </c>
      <c r="S182">
        <f>_xlfn.XLOOKUP(B182,'[2]april-2026'!$A:$A,'[2]april-2026'!$C:$C,0,0)</f>
        <v>34500</v>
      </c>
      <c r="T182">
        <f t="shared" si="483"/>
        <v>6210</v>
      </c>
      <c r="U182">
        <f t="shared" si="484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85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86"/>
        <v>200</v>
      </c>
      <c r="AB182">
        <f t="shared" si="487"/>
        <v>42550</v>
      </c>
      <c r="AC182">
        <f>_xlfn.XLOOKUP(B182,'[3]may-2026'!$A:$A,'[3]may-2026'!$C:$C,0,0)</f>
        <v>34500</v>
      </c>
      <c r="AD182">
        <f t="shared" si="488"/>
        <v>6210</v>
      </c>
      <c r="AE182">
        <f t="shared" si="489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0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1"/>
        <v>200</v>
      </c>
      <c r="AL182">
        <f t="shared" si="492"/>
        <v>42550</v>
      </c>
      <c r="AM182">
        <f>_xlfn.XLOOKUP(B182,'[4]june-2026'!$A:$A,'[4]june-2026'!$C:$C,0,0)</f>
        <v>34500</v>
      </c>
      <c r="AN182">
        <f t="shared" si="493"/>
        <v>6210</v>
      </c>
      <c r="AO182">
        <f t="shared" si="494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495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496"/>
        <v>200</v>
      </c>
      <c r="AV182">
        <f t="shared" si="497"/>
        <v>42550</v>
      </c>
      <c r="AW182">
        <f>_xlfn.XLOOKUP(B182,'[5]july-2026'!$A:$A,'[5]july-2026'!$C:$C,0,0)</f>
        <v>35500</v>
      </c>
      <c r="AX182">
        <f t="shared" si="498"/>
        <v>6390</v>
      </c>
      <c r="AY182">
        <v>180</v>
      </c>
      <c r="AZ182">
        <f t="shared" si="499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0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1"/>
        <v>200</v>
      </c>
      <c r="BG182">
        <f t="shared" si="502"/>
        <v>44030</v>
      </c>
      <c r="BH182">
        <f>_xlfn.XLOOKUP(B182,'[6]august-2026'!$A:$A,'[6]august-2026'!$C:$C,0,0)</f>
        <v>35500</v>
      </c>
      <c r="BI182">
        <f t="shared" si="503"/>
        <v>6390</v>
      </c>
      <c r="BJ182">
        <f t="shared" si="504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05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06"/>
        <v>200</v>
      </c>
      <c r="BQ182">
        <f t="shared" si="507"/>
        <v>43850</v>
      </c>
      <c r="BR182">
        <f>_xlfn.XLOOKUP(B182,'[7]september-2026'!$A:$A,'[7]september-2026'!$C:$C,0,0)</f>
        <v>35500</v>
      </c>
      <c r="BS182">
        <f t="shared" si="508"/>
        <v>6390</v>
      </c>
      <c r="BT182">
        <f t="shared" si="509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0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1"/>
        <v>200</v>
      </c>
      <c r="CA182">
        <f t="shared" si="512"/>
        <v>43850</v>
      </c>
      <c r="CB182">
        <f>_xlfn.XLOOKUP(B182,'[8]october-2026'!$A:$A,'[8]october-2026'!$C:$C,0,0)</f>
        <v>35500</v>
      </c>
      <c r="CC182">
        <f t="shared" si="513"/>
        <v>6390</v>
      </c>
      <c r="CD182">
        <f t="shared" si="514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15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16"/>
        <v>200</v>
      </c>
      <c r="CK182">
        <f t="shared" si="517"/>
        <v>43850</v>
      </c>
      <c r="CL182">
        <f>_xlfn.XLOOKUP(B182,'[9]november-2026'!$A:$A,'[9]november-2026'!$C:$C,0,0)</f>
        <v>35500</v>
      </c>
      <c r="CM182">
        <f t="shared" si="518"/>
        <v>6390</v>
      </c>
      <c r="CN182">
        <f t="shared" si="519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0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1"/>
        <v>200</v>
      </c>
      <c r="CU182">
        <f t="shared" si="522"/>
        <v>43850</v>
      </c>
      <c r="CV182">
        <f>_xlfn.XLOOKUP(B182,'[10]december-2026'!$A:$A,'[10]december-2026'!$C:$C,0,0)</f>
        <v>35500</v>
      </c>
      <c r="CW182">
        <f t="shared" si="523"/>
        <v>6390</v>
      </c>
      <c r="CX182">
        <f t="shared" si="524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25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26"/>
        <v>200</v>
      </c>
      <c r="DE182">
        <f t="shared" si="527"/>
        <v>43850</v>
      </c>
      <c r="DF182">
        <f xml:space="preserve"> _xlfn.XLOOKUP(B182,
'[11]january-2027'!$A:$A,
'[11]january-2027'!$C:$C,
0,0)</f>
        <v>35500</v>
      </c>
      <c r="DG182">
        <f t="shared" si="528"/>
        <v>6390</v>
      </c>
      <c r="DH182">
        <f t="shared" si="529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0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1"/>
        <v>200</v>
      </c>
      <c r="DO182">
        <f t="shared" si="532"/>
        <v>43850</v>
      </c>
      <c r="DP182">
        <f xml:space="preserve"> _xlfn.XLOOKUP(B182,
'[12]february-2027'!$A:$A,
'[12]february-2027'!$C:$C,
0,0)</f>
        <v>35500</v>
      </c>
      <c r="DQ182">
        <f t="shared" si="533"/>
        <v>6390</v>
      </c>
      <c r="DR182">
        <f t="shared" si="534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35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36"/>
        <v>200</v>
      </c>
      <c r="DY182">
        <f t="shared" si="537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38"/>
        <v>0</v>
      </c>
      <c r="EM182">
        <f t="shared" si="539"/>
        <v>566380</v>
      </c>
      <c r="EN182">
        <f t="shared" si="540"/>
        <v>2400</v>
      </c>
      <c r="EO182">
        <f t="shared" si="541"/>
        <v>50000</v>
      </c>
      <c r="EP182">
        <v>0</v>
      </c>
      <c r="EQ182">
        <f t="shared" si="543"/>
        <v>513980</v>
      </c>
      <c r="ER182">
        <f t="shared" si="544"/>
        <v>36000</v>
      </c>
      <c r="ES182">
        <f t="shared" si="545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46"/>
        <v>36000</v>
      </c>
      <c r="FE182">
        <f t="shared" si="547"/>
        <v>36000</v>
      </c>
      <c r="FF182">
        <f t="shared" si="548"/>
        <v>477980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>SUM(FG182:FM182)+(IF(F182="YES",50000,0))</f>
        <v>0</v>
      </c>
      <c r="FO182">
        <f t="shared" si="549"/>
        <v>477980</v>
      </c>
      <c r="FP182">
        <f t="shared" si="550"/>
        <v>11399</v>
      </c>
      <c r="FQ182">
        <f t="shared" si="551"/>
        <v>0</v>
      </c>
      <c r="FR182">
        <f t="shared" si="552"/>
        <v>11399</v>
      </c>
      <c r="FS182">
        <f t="shared" si="553"/>
        <v>0</v>
      </c>
      <c r="FT182">
        <f t="shared" si="554"/>
        <v>0</v>
      </c>
      <c r="FU182">
        <f t="shared" si="555"/>
        <v>0</v>
      </c>
      <c r="FV182">
        <v>0</v>
      </c>
      <c r="FW182">
        <f t="shared" si="556"/>
        <v>0</v>
      </c>
      <c r="FX182" t="b">
        <f t="shared" si="557"/>
        <v>1</v>
      </c>
      <c r="FY182">
        <f t="shared" ca="1" si="558"/>
        <v>955</v>
      </c>
      <c r="FZ182">
        <f t="shared" ca="1" si="559"/>
        <v>567335</v>
      </c>
      <c r="GA182">
        <f t="shared" si="560"/>
        <v>75000</v>
      </c>
      <c r="GB182">
        <f t="shared" ca="1" si="561"/>
        <v>492335</v>
      </c>
      <c r="GC182">
        <f t="shared" ca="1" si="562"/>
        <v>0</v>
      </c>
      <c r="GD182">
        <f t="shared" ca="1" si="563"/>
        <v>0</v>
      </c>
      <c r="GE182">
        <f t="shared" ca="1" si="564"/>
        <v>0</v>
      </c>
      <c r="GF182">
        <f t="shared" ca="1" si="565"/>
        <v>0</v>
      </c>
      <c r="GG182">
        <f t="shared" ca="1" si="566"/>
        <v>0</v>
      </c>
      <c r="GH182">
        <f t="shared" ca="1" si="567"/>
        <v>0</v>
      </c>
      <c r="GI182">
        <f ca="1">IF(GB182&gt;1200000,GB182-1200000-IF(F182="YES",50000,0)-GG182,0)</f>
        <v>0</v>
      </c>
      <c r="GJ182">
        <f t="shared" ca="1" si="568"/>
        <v>0</v>
      </c>
      <c r="GK182">
        <f t="shared" ca="1" si="569"/>
        <v>0</v>
      </c>
      <c r="GL182">
        <f t="shared" ca="1" si="570"/>
        <v>0</v>
      </c>
      <c r="GM182">
        <f t="shared" ca="1" si="571"/>
        <v>92335</v>
      </c>
      <c r="GN182">
        <f t="shared" ca="1" si="572"/>
        <v>4616.75</v>
      </c>
      <c r="GO182">
        <f t="shared" ca="1" si="573"/>
        <v>4617</v>
      </c>
      <c r="GP182">
        <f t="shared" ca="1" si="574"/>
        <v>0</v>
      </c>
      <c r="GQ182">
        <f t="shared" ca="1" si="575"/>
        <v>0</v>
      </c>
      <c r="GR182">
        <f t="shared" ca="1" si="576"/>
        <v>4617</v>
      </c>
      <c r="GS182">
        <f t="shared" ca="1" si="577"/>
        <v>0</v>
      </c>
      <c r="GT182" t="b">
        <f t="shared" ca="1" si="578"/>
        <v>0</v>
      </c>
      <c r="GU182">
        <f t="shared" ca="1" si="579"/>
        <v>0</v>
      </c>
      <c r="GV182">
        <f t="shared" ca="1" si="580"/>
        <v>4617</v>
      </c>
      <c r="GW182">
        <f t="shared" ca="1" si="581"/>
        <v>0</v>
      </c>
      <c r="GX182">
        <f t="shared" ca="1" si="582"/>
        <v>0</v>
      </c>
      <c r="GY182">
        <f t="shared" ca="1" si="583"/>
        <v>0</v>
      </c>
    </row>
    <row r="183" spans="1:207" x14ac:dyDescent="0.25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78"/>
        <v>6800</v>
      </c>
      <c r="I183">
        <f>_xlfn.XLOOKUP(B183,'[1]march-2026'!$A:$A,'[1]march-2026'!$C:$C,0,0)</f>
        <v>35500</v>
      </c>
      <c r="J183">
        <f t="shared" si="542"/>
        <v>6390</v>
      </c>
      <c r="K183">
        <f t="shared" si="479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0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1"/>
        <v>200</v>
      </c>
      <c r="R183">
        <f t="shared" si="482"/>
        <v>43450</v>
      </c>
      <c r="S183">
        <f>_xlfn.XLOOKUP(B183,'[2]april-2026'!$A:$A,'[2]april-2026'!$C:$C,0,0)</f>
        <v>35500</v>
      </c>
      <c r="T183">
        <f t="shared" si="483"/>
        <v>6390</v>
      </c>
      <c r="U183">
        <f t="shared" si="484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85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86"/>
        <v>200</v>
      </c>
      <c r="AB183">
        <f t="shared" si="487"/>
        <v>43450</v>
      </c>
      <c r="AC183">
        <f>_xlfn.XLOOKUP(B183,'[3]may-2026'!$A:$A,'[3]may-2026'!$C:$C,0,0)</f>
        <v>35500</v>
      </c>
      <c r="AD183">
        <f t="shared" si="488"/>
        <v>6390</v>
      </c>
      <c r="AE183">
        <f t="shared" si="489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0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1"/>
        <v>200</v>
      </c>
      <c r="AL183">
        <f t="shared" si="492"/>
        <v>43450</v>
      </c>
      <c r="AM183">
        <f>_xlfn.XLOOKUP(B183,'[4]june-2026'!$A:$A,'[4]june-2026'!$C:$C,0,0)</f>
        <v>35500</v>
      </c>
      <c r="AN183">
        <f t="shared" si="493"/>
        <v>6390</v>
      </c>
      <c r="AO183">
        <f t="shared" si="494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495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496"/>
        <v>200</v>
      </c>
      <c r="AV183">
        <f t="shared" si="497"/>
        <v>43450</v>
      </c>
      <c r="AW183">
        <f>_xlfn.XLOOKUP(B183,'[5]july-2026'!$A:$A,'[5]july-2026'!$C:$C,0,0)</f>
        <v>36600</v>
      </c>
      <c r="AX183">
        <f t="shared" si="498"/>
        <v>6588</v>
      </c>
      <c r="AY183">
        <v>181</v>
      </c>
      <c r="AZ183">
        <f t="shared" si="499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0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1"/>
        <v>200</v>
      </c>
      <c r="BG183">
        <f t="shared" si="502"/>
        <v>45061</v>
      </c>
      <c r="BH183">
        <f>_xlfn.XLOOKUP(B183,'[6]august-2026'!$A:$A,'[6]august-2026'!$C:$C,0,0)</f>
        <v>36600</v>
      </c>
      <c r="BI183">
        <f t="shared" si="503"/>
        <v>6588</v>
      </c>
      <c r="BJ183">
        <f t="shared" si="504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05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06"/>
        <v>200</v>
      </c>
      <c r="BQ183">
        <f t="shared" si="507"/>
        <v>44880</v>
      </c>
      <c r="BR183">
        <f>_xlfn.XLOOKUP(B183,'[7]september-2026'!$A:$A,'[7]september-2026'!$C:$C,0,0)</f>
        <v>36600</v>
      </c>
      <c r="BS183">
        <f t="shared" si="508"/>
        <v>6588</v>
      </c>
      <c r="BT183">
        <f t="shared" si="509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0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1"/>
        <v>200</v>
      </c>
      <c r="CA183">
        <f t="shared" si="512"/>
        <v>44880</v>
      </c>
      <c r="CB183">
        <f>_xlfn.XLOOKUP(B183,'[8]october-2026'!$A:$A,'[8]october-2026'!$C:$C,0,0)</f>
        <v>36600</v>
      </c>
      <c r="CC183">
        <f t="shared" si="513"/>
        <v>6588</v>
      </c>
      <c r="CD183">
        <f t="shared" si="514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15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16"/>
        <v>200</v>
      </c>
      <c r="CK183">
        <f t="shared" si="517"/>
        <v>44880</v>
      </c>
      <c r="CL183">
        <f>_xlfn.XLOOKUP(B183,'[9]november-2026'!$A:$A,'[9]november-2026'!$C:$C,0,0)</f>
        <v>36600</v>
      </c>
      <c r="CM183">
        <f t="shared" si="518"/>
        <v>6588</v>
      </c>
      <c r="CN183">
        <f t="shared" si="519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0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1"/>
        <v>200</v>
      </c>
      <c r="CU183">
        <f t="shared" si="522"/>
        <v>44880</v>
      </c>
      <c r="CV183">
        <f>_xlfn.XLOOKUP(B183,'[10]december-2026'!$A:$A,'[10]december-2026'!$C:$C,0,0)</f>
        <v>36600</v>
      </c>
      <c r="CW183">
        <f t="shared" si="523"/>
        <v>6588</v>
      </c>
      <c r="CX183">
        <f t="shared" si="524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25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26"/>
        <v>200</v>
      </c>
      <c r="DE183">
        <f t="shared" si="527"/>
        <v>44880</v>
      </c>
      <c r="DF183">
        <f xml:space="preserve"> _xlfn.XLOOKUP(B183,
'[11]january-2027'!$A:$A,
'[11]january-2027'!$C:$C,
0,0)</f>
        <v>36600</v>
      </c>
      <c r="DG183">
        <f t="shared" si="528"/>
        <v>6588</v>
      </c>
      <c r="DH183">
        <f t="shared" si="529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0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1"/>
        <v>200</v>
      </c>
      <c r="DO183">
        <f t="shared" si="532"/>
        <v>44880</v>
      </c>
      <c r="DP183">
        <f xml:space="preserve"> _xlfn.XLOOKUP(B183,
'[12]february-2027'!$A:$A,
'[12]february-2027'!$C:$C,
0,0)</f>
        <v>36600</v>
      </c>
      <c r="DQ183">
        <f t="shared" si="533"/>
        <v>6588</v>
      </c>
      <c r="DR183">
        <f t="shared" si="534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35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36"/>
        <v>200</v>
      </c>
      <c r="DY183">
        <f t="shared" si="537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38"/>
        <v>0</v>
      </c>
      <c r="EM183">
        <f t="shared" si="539"/>
        <v>578221</v>
      </c>
      <c r="EN183">
        <f t="shared" si="540"/>
        <v>2400</v>
      </c>
      <c r="EO183">
        <f t="shared" si="541"/>
        <v>50000</v>
      </c>
      <c r="EP183">
        <v>0</v>
      </c>
      <c r="EQ183">
        <f t="shared" si="543"/>
        <v>525821</v>
      </c>
      <c r="ER183">
        <f t="shared" si="544"/>
        <v>36000</v>
      </c>
      <c r="ES183">
        <f t="shared" si="545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46"/>
        <v>36000</v>
      </c>
      <c r="FE183">
        <f t="shared" si="547"/>
        <v>36000</v>
      </c>
      <c r="FF183">
        <f t="shared" si="548"/>
        <v>489821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>SUM(FG183:FM183)+(IF(F183="YES",50000,0))</f>
        <v>0</v>
      </c>
      <c r="FO183">
        <f t="shared" si="549"/>
        <v>489821</v>
      </c>
      <c r="FP183">
        <f t="shared" si="550"/>
        <v>11991</v>
      </c>
      <c r="FQ183">
        <f t="shared" si="551"/>
        <v>0</v>
      </c>
      <c r="FR183">
        <f t="shared" si="552"/>
        <v>11991</v>
      </c>
      <c r="FS183">
        <f t="shared" si="553"/>
        <v>0</v>
      </c>
      <c r="FT183">
        <f t="shared" si="554"/>
        <v>0</v>
      </c>
      <c r="FU183">
        <f t="shared" si="555"/>
        <v>0</v>
      </c>
      <c r="FV183">
        <v>0</v>
      </c>
      <c r="FW183">
        <f t="shared" si="556"/>
        <v>0</v>
      </c>
      <c r="FX183" t="b">
        <f t="shared" si="557"/>
        <v>1</v>
      </c>
      <c r="FY183">
        <f t="shared" ca="1" si="558"/>
        <v>953</v>
      </c>
      <c r="FZ183">
        <f t="shared" ca="1" si="559"/>
        <v>579174</v>
      </c>
      <c r="GA183">
        <f t="shared" si="560"/>
        <v>75000</v>
      </c>
      <c r="GB183">
        <f t="shared" ca="1" si="561"/>
        <v>504174</v>
      </c>
      <c r="GC183">
        <f t="shared" ca="1" si="562"/>
        <v>0</v>
      </c>
      <c r="GD183">
        <f t="shared" ca="1" si="563"/>
        <v>0</v>
      </c>
      <c r="GE183">
        <f t="shared" ca="1" si="564"/>
        <v>0</v>
      </c>
      <c r="GF183">
        <f t="shared" ca="1" si="565"/>
        <v>0</v>
      </c>
      <c r="GG183">
        <f t="shared" ca="1" si="566"/>
        <v>0</v>
      </c>
      <c r="GH183">
        <f t="shared" ca="1" si="567"/>
        <v>0</v>
      </c>
      <c r="GI183">
        <f ca="1">IF(GB183&gt;1200000,GB183-1200000-IF(F183="YES",50000,0)-GG183,0)</f>
        <v>0</v>
      </c>
      <c r="GJ183">
        <f t="shared" ca="1" si="568"/>
        <v>0</v>
      </c>
      <c r="GK183">
        <f t="shared" ca="1" si="569"/>
        <v>0</v>
      </c>
      <c r="GL183">
        <f t="shared" ca="1" si="570"/>
        <v>0</v>
      </c>
      <c r="GM183">
        <f t="shared" ca="1" si="571"/>
        <v>104174</v>
      </c>
      <c r="GN183">
        <f t="shared" ca="1" si="572"/>
        <v>5208.7000000000007</v>
      </c>
      <c r="GO183">
        <f t="shared" ca="1" si="573"/>
        <v>5209</v>
      </c>
      <c r="GP183">
        <f t="shared" ca="1" si="574"/>
        <v>0</v>
      </c>
      <c r="GQ183">
        <f t="shared" ca="1" si="575"/>
        <v>0</v>
      </c>
      <c r="GR183">
        <f t="shared" ca="1" si="576"/>
        <v>5209</v>
      </c>
      <c r="GS183">
        <f t="shared" ca="1" si="577"/>
        <v>0</v>
      </c>
      <c r="GT183" t="b">
        <f t="shared" ca="1" si="578"/>
        <v>0</v>
      </c>
      <c r="GU183">
        <f t="shared" ca="1" si="579"/>
        <v>0</v>
      </c>
      <c r="GV183">
        <f t="shared" ca="1" si="580"/>
        <v>5209</v>
      </c>
      <c r="GW183">
        <f t="shared" ca="1" si="581"/>
        <v>0</v>
      </c>
      <c r="GX183">
        <f t="shared" ca="1" si="582"/>
        <v>0</v>
      </c>
      <c r="GY183">
        <f t="shared" ca="1" si="583"/>
        <v>0</v>
      </c>
    </row>
    <row r="184" spans="1:207" x14ac:dyDescent="0.25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78"/>
        <v>6800</v>
      </c>
      <c r="I184">
        <f>_xlfn.XLOOKUP(B184,'[1]march-2026'!$A:$A,'[1]march-2026'!$C:$C,0,0)</f>
        <v>34500</v>
      </c>
      <c r="J184">
        <f t="shared" si="542"/>
        <v>6210</v>
      </c>
      <c r="K184">
        <f t="shared" si="479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0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1"/>
        <v>200</v>
      </c>
      <c r="R184">
        <f t="shared" si="482"/>
        <v>42150</v>
      </c>
      <c r="S184">
        <f>_xlfn.XLOOKUP(B184,'[2]april-2026'!$A:$A,'[2]april-2026'!$C:$C,0,0)</f>
        <v>34500</v>
      </c>
      <c r="T184">
        <f t="shared" si="483"/>
        <v>6210</v>
      </c>
      <c r="U184">
        <f t="shared" si="484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85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86"/>
        <v>200</v>
      </c>
      <c r="AB184">
        <f t="shared" si="487"/>
        <v>42150</v>
      </c>
      <c r="AC184">
        <f>_xlfn.XLOOKUP(B184,'[3]may-2026'!$A:$A,'[3]may-2026'!$C:$C,0,0)</f>
        <v>34500</v>
      </c>
      <c r="AD184">
        <f t="shared" si="488"/>
        <v>6210</v>
      </c>
      <c r="AE184">
        <f t="shared" si="489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0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1"/>
        <v>200</v>
      </c>
      <c r="AL184">
        <f t="shared" si="492"/>
        <v>42150</v>
      </c>
      <c r="AM184">
        <f>_xlfn.XLOOKUP(B184,'[4]june-2026'!$A:$A,'[4]june-2026'!$C:$C,0,0)</f>
        <v>34500</v>
      </c>
      <c r="AN184">
        <f t="shared" si="493"/>
        <v>6210</v>
      </c>
      <c r="AO184">
        <f t="shared" si="494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495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496"/>
        <v>200</v>
      </c>
      <c r="AV184">
        <f t="shared" si="497"/>
        <v>42150</v>
      </c>
      <c r="AW184">
        <f>_xlfn.XLOOKUP(B184,'[5]july-2026'!$A:$A,'[5]july-2026'!$C:$C,0,0)</f>
        <v>35500</v>
      </c>
      <c r="AX184">
        <f t="shared" si="498"/>
        <v>6390</v>
      </c>
      <c r="AY184">
        <v>182</v>
      </c>
      <c r="AZ184">
        <f t="shared" si="499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0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1"/>
        <v>200</v>
      </c>
      <c r="BG184">
        <f t="shared" si="502"/>
        <v>43632</v>
      </c>
      <c r="BH184">
        <f>_xlfn.XLOOKUP(B184,'[6]august-2026'!$A:$A,'[6]august-2026'!$C:$C,0,0)</f>
        <v>35500</v>
      </c>
      <c r="BI184">
        <f t="shared" si="503"/>
        <v>6390</v>
      </c>
      <c r="BJ184">
        <f t="shared" si="504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05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06"/>
        <v>200</v>
      </c>
      <c r="BQ184">
        <f t="shared" si="507"/>
        <v>43450</v>
      </c>
      <c r="BR184">
        <f>_xlfn.XLOOKUP(B184,'[7]september-2026'!$A:$A,'[7]september-2026'!$C:$C,0,0)</f>
        <v>35500</v>
      </c>
      <c r="BS184">
        <f t="shared" si="508"/>
        <v>6390</v>
      </c>
      <c r="BT184">
        <f t="shared" si="509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0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1"/>
        <v>200</v>
      </c>
      <c r="CA184">
        <f t="shared" si="512"/>
        <v>43450</v>
      </c>
      <c r="CB184">
        <f>_xlfn.XLOOKUP(B184,'[8]october-2026'!$A:$A,'[8]october-2026'!$C:$C,0,0)</f>
        <v>35500</v>
      </c>
      <c r="CC184">
        <f t="shared" si="513"/>
        <v>6390</v>
      </c>
      <c r="CD184">
        <f t="shared" si="514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15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16"/>
        <v>200</v>
      </c>
      <c r="CK184">
        <f t="shared" si="517"/>
        <v>43450</v>
      </c>
      <c r="CL184">
        <f>_xlfn.XLOOKUP(B184,'[9]november-2026'!$A:$A,'[9]november-2026'!$C:$C,0,0)</f>
        <v>35500</v>
      </c>
      <c r="CM184">
        <f t="shared" si="518"/>
        <v>6390</v>
      </c>
      <c r="CN184">
        <f t="shared" si="519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0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1"/>
        <v>200</v>
      </c>
      <c r="CU184">
        <f t="shared" si="522"/>
        <v>43450</v>
      </c>
      <c r="CV184">
        <f>_xlfn.XLOOKUP(B184,'[10]december-2026'!$A:$A,'[10]december-2026'!$C:$C,0,0)</f>
        <v>35500</v>
      </c>
      <c r="CW184">
        <f t="shared" si="523"/>
        <v>6390</v>
      </c>
      <c r="CX184">
        <f t="shared" si="524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25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26"/>
        <v>200</v>
      </c>
      <c r="DE184">
        <f t="shared" si="527"/>
        <v>43450</v>
      </c>
      <c r="DF184">
        <f xml:space="preserve"> _xlfn.XLOOKUP(B184,
'[11]january-2027'!$A:$A,
'[11]january-2027'!$C:$C,
0,0)</f>
        <v>35500</v>
      </c>
      <c r="DG184">
        <f t="shared" si="528"/>
        <v>6390</v>
      </c>
      <c r="DH184">
        <f t="shared" si="529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0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1"/>
        <v>200</v>
      </c>
      <c r="DO184">
        <f t="shared" si="532"/>
        <v>43450</v>
      </c>
      <c r="DP184">
        <f xml:space="preserve"> _xlfn.XLOOKUP(B184,
'[12]february-2027'!$A:$A,
'[12]february-2027'!$C:$C,
0,0)</f>
        <v>35500</v>
      </c>
      <c r="DQ184">
        <f t="shared" si="533"/>
        <v>6390</v>
      </c>
      <c r="DR184">
        <f t="shared" si="534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35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36"/>
        <v>200</v>
      </c>
      <c r="DY184">
        <f t="shared" si="537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38"/>
        <v>0</v>
      </c>
      <c r="EM184">
        <f t="shared" si="539"/>
        <v>561582</v>
      </c>
      <c r="EN184">
        <f t="shared" si="540"/>
        <v>2400</v>
      </c>
      <c r="EO184">
        <f t="shared" si="541"/>
        <v>50000</v>
      </c>
      <c r="EP184">
        <v>0</v>
      </c>
      <c r="EQ184">
        <f t="shared" si="543"/>
        <v>509182</v>
      </c>
      <c r="ER184">
        <f t="shared" si="544"/>
        <v>36000</v>
      </c>
      <c r="ES184">
        <f t="shared" si="545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46"/>
        <v>36000</v>
      </c>
      <c r="FE184">
        <f t="shared" si="547"/>
        <v>36000</v>
      </c>
      <c r="FF184">
        <f t="shared" si="548"/>
        <v>473182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>SUM(FG184:FM184)+(IF(F184="YES",50000,0))</f>
        <v>0</v>
      </c>
      <c r="FO184">
        <f t="shared" si="549"/>
        <v>473182</v>
      </c>
      <c r="FP184">
        <f t="shared" si="550"/>
        <v>11159</v>
      </c>
      <c r="FQ184">
        <f t="shared" si="551"/>
        <v>0</v>
      </c>
      <c r="FR184">
        <f t="shared" si="552"/>
        <v>11159</v>
      </c>
      <c r="FS184">
        <f t="shared" si="553"/>
        <v>0</v>
      </c>
      <c r="FT184">
        <f t="shared" si="554"/>
        <v>0</v>
      </c>
      <c r="FU184">
        <f t="shared" si="555"/>
        <v>0</v>
      </c>
      <c r="FV184">
        <v>0</v>
      </c>
      <c r="FW184">
        <f t="shared" si="556"/>
        <v>0</v>
      </c>
      <c r="FX184" t="b">
        <f t="shared" si="557"/>
        <v>1</v>
      </c>
      <c r="FY184">
        <f t="shared" ca="1" si="558"/>
        <v>620</v>
      </c>
      <c r="FZ184">
        <f t="shared" ca="1" si="559"/>
        <v>562202</v>
      </c>
      <c r="GA184">
        <f t="shared" si="560"/>
        <v>75000</v>
      </c>
      <c r="GB184">
        <f t="shared" ca="1" si="561"/>
        <v>487202</v>
      </c>
      <c r="GC184">
        <f t="shared" ca="1" si="562"/>
        <v>0</v>
      </c>
      <c r="GD184">
        <f t="shared" ca="1" si="563"/>
        <v>0</v>
      </c>
      <c r="GE184">
        <f t="shared" ca="1" si="564"/>
        <v>0</v>
      </c>
      <c r="GF184">
        <f t="shared" ca="1" si="565"/>
        <v>0</v>
      </c>
      <c r="GG184">
        <f t="shared" ca="1" si="566"/>
        <v>0</v>
      </c>
      <c r="GH184">
        <f t="shared" ca="1" si="567"/>
        <v>0</v>
      </c>
      <c r="GI184">
        <f ca="1">IF(GB184&gt;1200000,GB184-1200000-IF(F184="YES",50000,0)-GG184,0)</f>
        <v>0</v>
      </c>
      <c r="GJ184">
        <f t="shared" ca="1" si="568"/>
        <v>0</v>
      </c>
      <c r="GK184">
        <f t="shared" ca="1" si="569"/>
        <v>0</v>
      </c>
      <c r="GL184">
        <f t="shared" ca="1" si="570"/>
        <v>0</v>
      </c>
      <c r="GM184">
        <f t="shared" ca="1" si="571"/>
        <v>87202</v>
      </c>
      <c r="GN184">
        <f t="shared" ca="1" si="572"/>
        <v>4360.1000000000004</v>
      </c>
      <c r="GO184">
        <f t="shared" ca="1" si="573"/>
        <v>4360</v>
      </c>
      <c r="GP184">
        <f t="shared" ca="1" si="574"/>
        <v>0</v>
      </c>
      <c r="GQ184">
        <f t="shared" ca="1" si="575"/>
        <v>0</v>
      </c>
      <c r="GR184">
        <f t="shared" ca="1" si="576"/>
        <v>4360</v>
      </c>
      <c r="GS184">
        <f t="shared" ca="1" si="577"/>
        <v>0</v>
      </c>
      <c r="GT184" t="b">
        <f t="shared" ca="1" si="578"/>
        <v>0</v>
      </c>
      <c r="GU184">
        <f t="shared" ca="1" si="579"/>
        <v>0</v>
      </c>
      <c r="GV184">
        <f t="shared" ca="1" si="580"/>
        <v>4360</v>
      </c>
      <c r="GW184">
        <f t="shared" ca="1" si="581"/>
        <v>0</v>
      </c>
      <c r="GX184">
        <f t="shared" ca="1" si="582"/>
        <v>0</v>
      </c>
      <c r="GY184">
        <f t="shared" ca="1" si="583"/>
        <v>0</v>
      </c>
    </row>
    <row r="185" spans="1:207" x14ac:dyDescent="0.25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78"/>
        <v>6800</v>
      </c>
      <c r="I185">
        <f>_xlfn.XLOOKUP(B185,'[1]march-2026'!$A:$A,'[1]march-2026'!$C:$C,0,0)</f>
        <v>38800</v>
      </c>
      <c r="J185">
        <f t="shared" si="542"/>
        <v>6984</v>
      </c>
      <c r="K185">
        <f t="shared" si="479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0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1"/>
        <v>200</v>
      </c>
      <c r="R185">
        <f t="shared" si="482"/>
        <v>43740</v>
      </c>
      <c r="S185">
        <f>_xlfn.XLOOKUP(B185,'[2]april-2026'!$A:$A,'[2]april-2026'!$C:$C,0,0)</f>
        <v>38800</v>
      </c>
      <c r="T185">
        <f t="shared" si="483"/>
        <v>6984</v>
      </c>
      <c r="U185">
        <f t="shared" si="484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85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86"/>
        <v>200</v>
      </c>
      <c r="AB185">
        <f t="shared" si="487"/>
        <v>43740</v>
      </c>
      <c r="AC185">
        <f>_xlfn.XLOOKUP(B185,'[3]may-2026'!$A:$A,'[3]may-2026'!$C:$C,0,0)</f>
        <v>38800</v>
      </c>
      <c r="AD185">
        <f t="shared" si="488"/>
        <v>6984</v>
      </c>
      <c r="AE185">
        <f t="shared" si="489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0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1"/>
        <v>200</v>
      </c>
      <c r="AL185">
        <f t="shared" si="492"/>
        <v>43740</v>
      </c>
      <c r="AM185">
        <f>_xlfn.XLOOKUP(B185,'[4]june-2026'!$A:$A,'[4]june-2026'!$C:$C,0,0)</f>
        <v>38800</v>
      </c>
      <c r="AN185">
        <f t="shared" si="493"/>
        <v>6984</v>
      </c>
      <c r="AO185">
        <f t="shared" si="494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495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496"/>
        <v>200</v>
      </c>
      <c r="AV185">
        <f t="shared" si="497"/>
        <v>43740</v>
      </c>
      <c r="AW185">
        <f>_xlfn.XLOOKUP(B185,'[5]july-2026'!$A:$A,'[5]july-2026'!$C:$C,0,0)</f>
        <v>40000</v>
      </c>
      <c r="AX185">
        <f t="shared" si="498"/>
        <v>7200</v>
      </c>
      <c r="AY185">
        <v>183</v>
      </c>
      <c r="AZ185">
        <f t="shared" si="499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0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1"/>
        <v>200</v>
      </c>
      <c r="BG185">
        <f t="shared" si="502"/>
        <v>45483</v>
      </c>
      <c r="BH185">
        <f>_xlfn.XLOOKUP(B185,'[6]august-2026'!$A:$A,'[6]august-2026'!$C:$C,0,0)</f>
        <v>40000</v>
      </c>
      <c r="BI185">
        <f t="shared" si="503"/>
        <v>7200</v>
      </c>
      <c r="BJ185">
        <f t="shared" si="504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05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06"/>
        <v>200</v>
      </c>
      <c r="BQ185">
        <f t="shared" si="507"/>
        <v>45300</v>
      </c>
      <c r="BR185">
        <f>_xlfn.XLOOKUP(B185,'[7]september-2026'!$A:$A,'[7]september-2026'!$C:$C,0,0)</f>
        <v>40000</v>
      </c>
      <c r="BS185">
        <f t="shared" si="508"/>
        <v>7200</v>
      </c>
      <c r="BT185">
        <f t="shared" si="509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0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1"/>
        <v>200</v>
      </c>
      <c r="CA185">
        <f t="shared" si="512"/>
        <v>45300</v>
      </c>
      <c r="CB185">
        <f>_xlfn.XLOOKUP(B185,'[8]october-2026'!$A:$A,'[8]october-2026'!$C:$C,0,0)</f>
        <v>40000</v>
      </c>
      <c r="CC185">
        <f t="shared" si="513"/>
        <v>7200</v>
      </c>
      <c r="CD185">
        <f t="shared" si="514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15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16"/>
        <v>200</v>
      </c>
      <c r="CK185">
        <f t="shared" si="517"/>
        <v>45300</v>
      </c>
      <c r="CL185">
        <f>_xlfn.XLOOKUP(B185,'[9]november-2026'!$A:$A,'[9]november-2026'!$C:$C,0,0)</f>
        <v>40000</v>
      </c>
      <c r="CM185">
        <f t="shared" si="518"/>
        <v>7200</v>
      </c>
      <c r="CN185">
        <f t="shared" si="519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0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1"/>
        <v>200</v>
      </c>
      <c r="CU185">
        <f t="shared" si="522"/>
        <v>45300</v>
      </c>
      <c r="CV185">
        <f>_xlfn.XLOOKUP(B185,'[10]december-2026'!$A:$A,'[10]december-2026'!$C:$C,0,0)</f>
        <v>40000</v>
      </c>
      <c r="CW185">
        <f t="shared" si="523"/>
        <v>7200</v>
      </c>
      <c r="CX185">
        <f t="shared" si="524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25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26"/>
        <v>200</v>
      </c>
      <c r="DE185">
        <f t="shared" si="527"/>
        <v>45300</v>
      </c>
      <c r="DF185">
        <f xml:space="preserve"> _xlfn.XLOOKUP(B185,
'[11]january-2027'!$A:$A,
'[11]january-2027'!$C:$C,
0,0)</f>
        <v>40000</v>
      </c>
      <c r="DG185">
        <f t="shared" si="528"/>
        <v>7200</v>
      </c>
      <c r="DH185">
        <f t="shared" si="529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0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1"/>
        <v>200</v>
      </c>
      <c r="DO185">
        <f t="shared" si="532"/>
        <v>45300</v>
      </c>
      <c r="DP185">
        <f xml:space="preserve"> _xlfn.XLOOKUP(B185,
'[12]february-2027'!$A:$A,
'[12]february-2027'!$C:$C,
0,0)</f>
        <v>40000</v>
      </c>
      <c r="DQ185">
        <f t="shared" si="533"/>
        <v>7200</v>
      </c>
      <c r="DR185">
        <f t="shared" si="534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35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36"/>
        <v>200</v>
      </c>
      <c r="DY185">
        <f t="shared" si="537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38"/>
        <v>0</v>
      </c>
      <c r="EM185">
        <f t="shared" si="539"/>
        <v>630743</v>
      </c>
      <c r="EN185">
        <f t="shared" si="540"/>
        <v>2400</v>
      </c>
      <c r="EO185">
        <f t="shared" si="541"/>
        <v>50000</v>
      </c>
      <c r="EP185">
        <v>0</v>
      </c>
      <c r="EQ185">
        <f t="shared" si="543"/>
        <v>578343</v>
      </c>
      <c r="ER185">
        <f t="shared" si="544"/>
        <v>84000</v>
      </c>
      <c r="ES185">
        <f t="shared" si="545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46"/>
        <v>84000</v>
      </c>
      <c r="FE185">
        <f t="shared" si="547"/>
        <v>84000</v>
      </c>
      <c r="FF185">
        <f t="shared" si="548"/>
        <v>494343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>SUM(FG185:FM185)+(IF(F185="YES",50000,0))</f>
        <v>0</v>
      </c>
      <c r="FO185">
        <f t="shared" si="549"/>
        <v>494343</v>
      </c>
      <c r="FP185">
        <f t="shared" si="550"/>
        <v>12217</v>
      </c>
      <c r="FQ185">
        <f t="shared" si="551"/>
        <v>0</v>
      </c>
      <c r="FR185">
        <f t="shared" si="552"/>
        <v>12217</v>
      </c>
      <c r="FS185">
        <f t="shared" si="553"/>
        <v>0</v>
      </c>
      <c r="FT185">
        <f t="shared" si="554"/>
        <v>0</v>
      </c>
      <c r="FU185">
        <f t="shared" si="555"/>
        <v>0</v>
      </c>
      <c r="FV185">
        <v>0</v>
      </c>
      <c r="FW185">
        <f t="shared" si="556"/>
        <v>0</v>
      </c>
      <c r="FX185" t="b">
        <f t="shared" si="557"/>
        <v>1</v>
      </c>
      <c r="FY185">
        <f t="shared" ca="1" si="558"/>
        <v>632</v>
      </c>
      <c r="FZ185">
        <f t="shared" ca="1" si="559"/>
        <v>631375</v>
      </c>
      <c r="GA185">
        <f t="shared" si="560"/>
        <v>75000</v>
      </c>
      <c r="GB185">
        <f t="shared" ca="1" si="561"/>
        <v>556375</v>
      </c>
      <c r="GC185">
        <f t="shared" ca="1" si="562"/>
        <v>0</v>
      </c>
      <c r="GD185">
        <f t="shared" ca="1" si="563"/>
        <v>0</v>
      </c>
      <c r="GE185">
        <f t="shared" ca="1" si="564"/>
        <v>0</v>
      </c>
      <c r="GF185">
        <f t="shared" ca="1" si="565"/>
        <v>0</v>
      </c>
      <c r="GG185">
        <f t="shared" ca="1" si="566"/>
        <v>0</v>
      </c>
      <c r="GH185">
        <f t="shared" ca="1" si="567"/>
        <v>0</v>
      </c>
      <c r="GI185">
        <f ca="1">IF(GB185&gt;1200000,GB185-1200000-IF(F185="YES",50000,0)-GG185,0)</f>
        <v>0</v>
      </c>
      <c r="GJ185">
        <f t="shared" ca="1" si="568"/>
        <v>0</v>
      </c>
      <c r="GK185">
        <f t="shared" ca="1" si="569"/>
        <v>0</v>
      </c>
      <c r="GL185">
        <f t="shared" ca="1" si="570"/>
        <v>0</v>
      </c>
      <c r="GM185">
        <f t="shared" ca="1" si="571"/>
        <v>156375</v>
      </c>
      <c r="GN185">
        <f t="shared" ca="1" si="572"/>
        <v>7818.75</v>
      </c>
      <c r="GO185">
        <f t="shared" ca="1" si="573"/>
        <v>7819</v>
      </c>
      <c r="GP185">
        <f t="shared" ca="1" si="574"/>
        <v>0</v>
      </c>
      <c r="GQ185">
        <f t="shared" ca="1" si="575"/>
        <v>0</v>
      </c>
      <c r="GR185">
        <f t="shared" ca="1" si="576"/>
        <v>7819</v>
      </c>
      <c r="GS185">
        <f t="shared" ca="1" si="577"/>
        <v>0</v>
      </c>
      <c r="GT185" t="b">
        <f t="shared" ca="1" si="578"/>
        <v>0</v>
      </c>
      <c r="GU185">
        <f t="shared" ca="1" si="579"/>
        <v>0</v>
      </c>
      <c r="GV185">
        <f t="shared" ca="1" si="580"/>
        <v>7819</v>
      </c>
      <c r="GW185">
        <f t="shared" ca="1" si="581"/>
        <v>0</v>
      </c>
      <c r="GX185">
        <f t="shared" ca="1" si="582"/>
        <v>0</v>
      </c>
      <c r="GY185">
        <f t="shared" ca="1" si="583"/>
        <v>0</v>
      </c>
    </row>
    <row r="186" spans="1:207" x14ac:dyDescent="0.25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78"/>
        <v>6800</v>
      </c>
      <c r="I186">
        <f>_xlfn.XLOOKUP(B186,'[1]march-2026'!$A:$A,'[1]march-2026'!$C:$C,0,0)</f>
        <v>26200</v>
      </c>
      <c r="J186">
        <f t="shared" si="542"/>
        <v>4716</v>
      </c>
      <c r="K186">
        <f t="shared" si="479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0"/>
        <v>34560</v>
      </c>
      <c r="O186">
        <f>_xlfn.XLOOKUP(B186,'[1]march-2026'!$A:$A,'[1]march-2026'!$H:$H,0,0)</f>
        <v>2000</v>
      </c>
      <c r="P186">
        <f>_xlfn.XLOOKUP(B186,'[1]march-2026'!$A:$A,'[1]march-2026'!$I:$I,0,0)</f>
        <v>0</v>
      </c>
      <c r="Q186">
        <f t="shared" si="481"/>
        <v>150</v>
      </c>
      <c r="R186">
        <f t="shared" si="482"/>
        <v>32410</v>
      </c>
      <c r="S186">
        <f>_xlfn.XLOOKUP(B186,'[2]april-2026'!$A:$A,'[2]april-2026'!$C:$C,0,0)</f>
        <v>26200</v>
      </c>
      <c r="T186">
        <f t="shared" si="483"/>
        <v>4716</v>
      </c>
      <c r="U186">
        <f t="shared" si="484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85"/>
        <v>34560</v>
      </c>
      <c r="Y186">
        <f>_xlfn.XLOOKUP(B186,'[2]april-2026'!$A:$A,'[2]april-2026'!$H:$H,0,0)</f>
        <v>2000</v>
      </c>
      <c r="Z186">
        <f>_xlfn.XLOOKUP(B186,'[2]april-2026'!$A:$A,'[2]april-2026'!$I:$I,0,0)</f>
        <v>0</v>
      </c>
      <c r="AA186">
        <f t="shared" si="486"/>
        <v>150</v>
      </c>
      <c r="AB186">
        <f t="shared" si="487"/>
        <v>32410</v>
      </c>
      <c r="AC186">
        <f>_xlfn.XLOOKUP(B186,'[3]may-2026'!$A:$A,'[3]may-2026'!$C:$C,0,0)</f>
        <v>26200</v>
      </c>
      <c r="AD186">
        <f t="shared" si="488"/>
        <v>4716</v>
      </c>
      <c r="AE186">
        <f t="shared" si="489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0"/>
        <v>34560</v>
      </c>
      <c r="AI186">
        <f>_xlfn.XLOOKUP(B186,'[3]may-2026'!$A:$A,'[3]may-2026'!$H:$H,0,0)</f>
        <v>2000</v>
      </c>
      <c r="AJ186">
        <f>_xlfn.XLOOKUP(B186,'[3]may-2026'!$A:$A,'[3]may-2026'!$I:$I,0,0)</f>
        <v>0</v>
      </c>
      <c r="AK186">
        <f t="shared" si="491"/>
        <v>150</v>
      </c>
      <c r="AL186">
        <f t="shared" si="492"/>
        <v>32410</v>
      </c>
      <c r="AM186">
        <f>_xlfn.XLOOKUP(B186,'[4]june-2026'!$A:$A,'[4]june-2026'!$C:$C,0,0)</f>
        <v>26200</v>
      </c>
      <c r="AN186">
        <f t="shared" si="493"/>
        <v>4716</v>
      </c>
      <c r="AO186">
        <f t="shared" si="494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495"/>
        <v>34560</v>
      </c>
      <c r="AS186">
        <f>_xlfn.XLOOKUP(B186,'[4]june-2026'!$A:$A,'[4]june-2026'!$H:$H,0,0)</f>
        <v>2000</v>
      </c>
      <c r="AT186">
        <f>_xlfn.XLOOKUP(B186,'[4]june-2026'!$A:$A,'[4]june-2026'!$I:$I,0,0)</f>
        <v>0</v>
      </c>
      <c r="AU186">
        <f t="shared" si="496"/>
        <v>150</v>
      </c>
      <c r="AV186">
        <f t="shared" si="497"/>
        <v>32410</v>
      </c>
      <c r="AW186">
        <f>_xlfn.XLOOKUP(B186,'[5]july-2026'!$A:$A,'[5]july-2026'!$C:$C,0,0)</f>
        <v>27000</v>
      </c>
      <c r="AX186">
        <f t="shared" si="498"/>
        <v>4860</v>
      </c>
      <c r="AY186">
        <v>184</v>
      </c>
      <c r="AZ186">
        <f t="shared" si="499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0"/>
        <v>35784</v>
      </c>
      <c r="BD186">
        <f>_xlfn.XLOOKUP(B186,'[5]july-2026'!$A:$A,'[5]july-2026'!$H:$H,0,0)</f>
        <v>2000</v>
      </c>
      <c r="BE186">
        <f>_xlfn.XLOOKUP(B186,'[5]july-2026'!$A:$A,'[5]july-2026'!$I:$I,0,0)</f>
        <v>0</v>
      </c>
      <c r="BF186">
        <f t="shared" si="501"/>
        <v>150</v>
      </c>
      <c r="BG186">
        <f t="shared" si="502"/>
        <v>33634</v>
      </c>
      <c r="BH186">
        <f>_xlfn.XLOOKUP(B186,'[6]august-2026'!$A:$A,'[6]august-2026'!$C:$C,0,0)</f>
        <v>27000</v>
      </c>
      <c r="BI186">
        <f t="shared" si="503"/>
        <v>4860</v>
      </c>
      <c r="BJ186">
        <f t="shared" si="504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05"/>
        <v>35600</v>
      </c>
      <c r="BN186">
        <f>_xlfn.XLOOKUP(B186,'[6]august-2026'!$A:$A,'[6]august-2026'!$H:$H,0,0)</f>
        <v>2000</v>
      </c>
      <c r="BO186">
        <f>_xlfn.XLOOKUP(B186,'[6]august-2026'!$A:$A,'[6]august-2026'!$I:$I,0,0)</f>
        <v>0</v>
      </c>
      <c r="BP186">
        <f t="shared" si="506"/>
        <v>150</v>
      </c>
      <c r="BQ186">
        <f t="shared" si="507"/>
        <v>33450</v>
      </c>
      <c r="BR186">
        <f>_xlfn.XLOOKUP(B186,'[7]september-2026'!$A:$A,'[7]september-2026'!$C:$C,0,0)</f>
        <v>27000</v>
      </c>
      <c r="BS186">
        <f t="shared" si="508"/>
        <v>4860</v>
      </c>
      <c r="BT186">
        <f t="shared" si="509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0"/>
        <v>35600</v>
      </c>
      <c r="BX186">
        <f>_xlfn.XLOOKUP(B186,'[7]september-2026'!$A:$A,'[7]september-2026'!$H:$H,0,0)</f>
        <v>2000</v>
      </c>
      <c r="BY186">
        <f>_xlfn.XLOOKUP(B186,'[7]september-2026'!$A:$A,'[7]september-2026'!$I:$I,0,0)</f>
        <v>0</v>
      </c>
      <c r="BZ186">
        <f t="shared" si="511"/>
        <v>150</v>
      </c>
      <c r="CA186">
        <f t="shared" si="512"/>
        <v>33450</v>
      </c>
      <c r="CB186">
        <f>_xlfn.XLOOKUP(B186,'[8]october-2026'!$A:$A,'[8]october-2026'!$C:$C,0,0)</f>
        <v>27000</v>
      </c>
      <c r="CC186">
        <f t="shared" si="513"/>
        <v>4860</v>
      </c>
      <c r="CD186">
        <f t="shared" si="514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15"/>
        <v>35600</v>
      </c>
      <c r="CH186">
        <f>_xlfn.XLOOKUP(B186,'[8]october-2026'!$A:$A,'[8]october-2026'!$H:$H,0,0)</f>
        <v>2000</v>
      </c>
      <c r="CI186">
        <f>_xlfn.XLOOKUP(B186,'[8]october-2026'!$A:$A,'[8]october-2026'!$I:$I,0,0)</f>
        <v>0</v>
      </c>
      <c r="CJ186">
        <f t="shared" si="516"/>
        <v>150</v>
      </c>
      <c r="CK186">
        <f t="shared" si="517"/>
        <v>33450</v>
      </c>
      <c r="CL186">
        <f>_xlfn.XLOOKUP(B186,'[9]november-2026'!$A:$A,'[9]november-2026'!$C:$C,0,0)</f>
        <v>27000</v>
      </c>
      <c r="CM186">
        <f t="shared" si="518"/>
        <v>4860</v>
      </c>
      <c r="CN186">
        <f t="shared" si="519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0"/>
        <v>35600</v>
      </c>
      <c r="CR186">
        <f>_xlfn.XLOOKUP(B186,'[9]november-2026'!$A:$A,'[9]november-2026'!$H:$H,0,0)</f>
        <v>2000</v>
      </c>
      <c r="CS186">
        <f>_xlfn.XLOOKUP(B186,'[9]november-2026'!$A:$A,'[9]november-2026'!$I:$I,0,0)</f>
        <v>0</v>
      </c>
      <c r="CT186">
        <f t="shared" si="521"/>
        <v>150</v>
      </c>
      <c r="CU186">
        <f t="shared" si="522"/>
        <v>33450</v>
      </c>
      <c r="CV186">
        <f>_xlfn.XLOOKUP(B186,'[10]december-2026'!$A:$A,'[10]december-2026'!$C:$C,0,0)</f>
        <v>27000</v>
      </c>
      <c r="CW186">
        <f t="shared" si="523"/>
        <v>4860</v>
      </c>
      <c r="CX186">
        <f t="shared" si="524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25"/>
        <v>35600</v>
      </c>
      <c r="DB186">
        <f>_xlfn.XLOOKUP(B186,'[10]december-2026'!$A:$A,'[10]december-2026'!$H:$H,0,0)</f>
        <v>2000</v>
      </c>
      <c r="DC186">
        <f>_xlfn.XLOOKUP(B186,'[10]december-2026'!$A:$A,'[10]december-2026'!$I:$I,0,0)</f>
        <v>0</v>
      </c>
      <c r="DD186">
        <f t="shared" si="526"/>
        <v>150</v>
      </c>
      <c r="DE186">
        <f t="shared" si="527"/>
        <v>33450</v>
      </c>
      <c r="DF186">
        <f xml:space="preserve"> _xlfn.XLOOKUP(B186,
'[11]january-2027'!$A:$A,
'[11]january-2027'!$C:$C,
0,0)</f>
        <v>27000</v>
      </c>
      <c r="DG186">
        <f t="shared" si="528"/>
        <v>4860</v>
      </c>
      <c r="DH186">
        <f t="shared" si="529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0"/>
        <v>35600</v>
      </c>
      <c r="DL186">
        <f xml:space="preserve"> _xlfn.XLOOKUP(B186,
'[11]january-2027'!$A:$A,
'[11]january-2027'!$H:$H,
0,0)</f>
        <v>2000</v>
      </c>
      <c r="DM186">
        <f xml:space="preserve"> _xlfn.XLOOKUP(B186,
'[11]january-2027'!$A:$A,
'[11]january-2027'!$I:$I,
0,0)</f>
        <v>0</v>
      </c>
      <c r="DN186">
        <f t="shared" si="531"/>
        <v>150</v>
      </c>
      <c r="DO186">
        <f t="shared" si="532"/>
        <v>33450</v>
      </c>
      <c r="DP186">
        <f xml:space="preserve"> _xlfn.XLOOKUP(B186,
'[12]february-2027'!$A:$A,
'[12]february-2027'!$C:$C,
0,0)</f>
        <v>27000</v>
      </c>
      <c r="DQ186">
        <f t="shared" si="533"/>
        <v>4860</v>
      </c>
      <c r="DR186">
        <f t="shared" si="534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35"/>
        <v>35600</v>
      </c>
      <c r="DV186">
        <f xml:space="preserve"> _xlfn.XLOOKUP(B186,
'[12]february-2027'!$A:$A,
'[12]february-2027'!$H:$H,
0,0)</f>
        <v>2000</v>
      </c>
      <c r="DW186">
        <f xml:space="preserve"> _xlfn.XLOOKUP(B186,
'[12]february-2027'!$A:$A,
'[12]february-2027'!$I:$I,
0,0)</f>
        <v>0</v>
      </c>
      <c r="DX186">
        <f t="shared" si="536"/>
        <v>150</v>
      </c>
      <c r="DY186">
        <f t="shared" si="537"/>
        <v>33450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38"/>
        <v>0</v>
      </c>
      <c r="EM186">
        <f t="shared" si="539"/>
        <v>430024</v>
      </c>
      <c r="EN186">
        <f t="shared" si="540"/>
        <v>1800</v>
      </c>
      <c r="EO186">
        <f t="shared" si="541"/>
        <v>50000</v>
      </c>
      <c r="EP186">
        <v>0</v>
      </c>
      <c r="EQ186">
        <f t="shared" si="543"/>
        <v>378224</v>
      </c>
      <c r="ER186">
        <f t="shared" si="544"/>
        <v>24000</v>
      </c>
      <c r="ES186">
        <f t="shared" si="545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46"/>
        <v>24000</v>
      </c>
      <c r="FE186">
        <f t="shared" si="547"/>
        <v>24000</v>
      </c>
      <c r="FF186">
        <f t="shared" si="548"/>
        <v>354224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>SUM(FG186:FM186)+(IF(F186="YES",50000,0))</f>
        <v>0</v>
      </c>
      <c r="FO186">
        <f t="shared" si="549"/>
        <v>354224</v>
      </c>
      <c r="FP186">
        <f t="shared" si="550"/>
        <v>5211</v>
      </c>
      <c r="FQ186">
        <f t="shared" si="551"/>
        <v>0</v>
      </c>
      <c r="FR186">
        <f t="shared" si="552"/>
        <v>5211</v>
      </c>
      <c r="FS186">
        <f t="shared" si="553"/>
        <v>0</v>
      </c>
      <c r="FT186">
        <f t="shared" si="554"/>
        <v>0</v>
      </c>
      <c r="FU186">
        <f t="shared" si="555"/>
        <v>0</v>
      </c>
      <c r="FV186">
        <v>0</v>
      </c>
      <c r="FW186">
        <f t="shared" si="556"/>
        <v>0</v>
      </c>
      <c r="FX186" t="b">
        <f t="shared" si="557"/>
        <v>0</v>
      </c>
      <c r="FY186">
        <f t="shared" ca="1" si="558"/>
        <v>1949</v>
      </c>
      <c r="FZ186">
        <f t="shared" ca="1" si="559"/>
        <v>431973</v>
      </c>
      <c r="GA186">
        <f t="shared" si="560"/>
        <v>75000</v>
      </c>
      <c r="GB186">
        <f t="shared" ca="1" si="561"/>
        <v>356973</v>
      </c>
      <c r="GC186">
        <f t="shared" ca="1" si="562"/>
        <v>0</v>
      </c>
      <c r="GD186">
        <f t="shared" ca="1" si="563"/>
        <v>0</v>
      </c>
      <c r="GE186">
        <f t="shared" ca="1" si="564"/>
        <v>0</v>
      </c>
      <c r="GF186">
        <f t="shared" ca="1" si="565"/>
        <v>0</v>
      </c>
      <c r="GG186">
        <f t="shared" ca="1" si="566"/>
        <v>0</v>
      </c>
      <c r="GH186">
        <f t="shared" ca="1" si="567"/>
        <v>0</v>
      </c>
      <c r="GI186">
        <f ca="1">IF(GB186&gt;1200000,GB186-1200000-IF(F186="YES",50000,0)-GG186,0)</f>
        <v>0</v>
      </c>
      <c r="GJ186">
        <f t="shared" ca="1" si="568"/>
        <v>0</v>
      </c>
      <c r="GK186">
        <f t="shared" ca="1" si="569"/>
        <v>0</v>
      </c>
      <c r="GL186">
        <f t="shared" ca="1" si="570"/>
        <v>0</v>
      </c>
      <c r="GM186">
        <f t="shared" ca="1" si="571"/>
        <v>0</v>
      </c>
      <c r="GN186">
        <f t="shared" ca="1" si="572"/>
        <v>0</v>
      </c>
      <c r="GO186">
        <f t="shared" ca="1" si="573"/>
        <v>0</v>
      </c>
      <c r="GP186">
        <f t="shared" ca="1" si="574"/>
        <v>0</v>
      </c>
      <c r="GQ186">
        <f t="shared" ca="1" si="575"/>
        <v>0</v>
      </c>
      <c r="GR186">
        <f t="shared" ca="1" si="576"/>
        <v>0</v>
      </c>
      <c r="GS186">
        <f t="shared" ca="1" si="577"/>
        <v>0</v>
      </c>
      <c r="GT186" t="b">
        <f t="shared" ca="1" si="578"/>
        <v>0</v>
      </c>
      <c r="GU186">
        <f t="shared" ca="1" si="579"/>
        <v>0</v>
      </c>
      <c r="GV186">
        <f t="shared" ca="1" si="580"/>
        <v>0</v>
      </c>
      <c r="GW186">
        <f t="shared" ca="1" si="581"/>
        <v>0</v>
      </c>
      <c r="GX186">
        <f t="shared" ca="1" si="582"/>
        <v>0</v>
      </c>
      <c r="GY186">
        <f t="shared" ca="1" si="583"/>
        <v>0</v>
      </c>
    </row>
    <row r="187" spans="1:207" x14ac:dyDescent="0.25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78"/>
        <v>6800</v>
      </c>
      <c r="I187">
        <f>_xlfn.XLOOKUP(B187,'[1]march-2026'!$A:$A,'[1]march-2026'!$C:$C,0,0)</f>
        <v>29800</v>
      </c>
      <c r="J187">
        <f t="shared" si="542"/>
        <v>5364</v>
      </c>
      <c r="K187">
        <f t="shared" si="479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0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1"/>
        <v>150</v>
      </c>
      <c r="R187">
        <f t="shared" si="482"/>
        <v>37090</v>
      </c>
      <c r="S187">
        <f>_xlfn.XLOOKUP(B187,'[2]april-2026'!$A:$A,'[2]april-2026'!$C:$C,0,0)</f>
        <v>29800</v>
      </c>
      <c r="T187">
        <f t="shared" si="483"/>
        <v>5364</v>
      </c>
      <c r="U187">
        <f t="shared" si="484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85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86"/>
        <v>150</v>
      </c>
      <c r="AB187">
        <f t="shared" si="487"/>
        <v>37090</v>
      </c>
      <c r="AC187">
        <f>_xlfn.XLOOKUP(B187,'[3]may-2026'!$A:$A,'[3]may-2026'!$C:$C,0,0)</f>
        <v>29800</v>
      </c>
      <c r="AD187">
        <f t="shared" si="488"/>
        <v>5364</v>
      </c>
      <c r="AE187">
        <f t="shared" si="489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0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1"/>
        <v>150</v>
      </c>
      <c r="AL187">
        <f t="shared" si="492"/>
        <v>37090</v>
      </c>
      <c r="AM187">
        <f>_xlfn.XLOOKUP(B187,'[4]june-2026'!$A:$A,'[4]june-2026'!$C:$C,0,0)</f>
        <v>29800</v>
      </c>
      <c r="AN187">
        <f t="shared" si="493"/>
        <v>5364</v>
      </c>
      <c r="AO187">
        <f t="shared" si="494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495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496"/>
        <v>150</v>
      </c>
      <c r="AV187">
        <f t="shared" si="497"/>
        <v>37090</v>
      </c>
      <c r="AW187">
        <f>_xlfn.XLOOKUP(B187,'[5]july-2026'!$A:$A,'[5]july-2026'!$C:$C,0,0)</f>
        <v>30700</v>
      </c>
      <c r="AX187">
        <f t="shared" si="498"/>
        <v>5526</v>
      </c>
      <c r="AY187">
        <v>185</v>
      </c>
      <c r="AZ187">
        <f t="shared" si="499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0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1"/>
        <v>200</v>
      </c>
      <c r="BG187">
        <f t="shared" si="502"/>
        <v>38395</v>
      </c>
      <c r="BH187">
        <f>_xlfn.XLOOKUP(B187,'[6]august-2026'!$A:$A,'[6]august-2026'!$C:$C,0,0)</f>
        <v>30700</v>
      </c>
      <c r="BI187">
        <f t="shared" si="503"/>
        <v>5526</v>
      </c>
      <c r="BJ187">
        <f t="shared" si="504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05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06"/>
        <v>200</v>
      </c>
      <c r="BQ187">
        <f t="shared" si="507"/>
        <v>38210</v>
      </c>
      <c r="BR187">
        <f>_xlfn.XLOOKUP(B187,'[7]september-2026'!$A:$A,'[7]september-2026'!$C:$C,0,0)</f>
        <v>30700</v>
      </c>
      <c r="BS187">
        <f t="shared" si="508"/>
        <v>5526</v>
      </c>
      <c r="BT187">
        <f t="shared" si="509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0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1"/>
        <v>200</v>
      </c>
      <c r="CA187">
        <f t="shared" si="512"/>
        <v>38210</v>
      </c>
      <c r="CB187">
        <f>_xlfn.XLOOKUP(B187,'[8]october-2026'!$A:$A,'[8]october-2026'!$C:$C,0,0)</f>
        <v>30700</v>
      </c>
      <c r="CC187">
        <f t="shared" si="513"/>
        <v>5526</v>
      </c>
      <c r="CD187">
        <f t="shared" si="514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15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16"/>
        <v>200</v>
      </c>
      <c r="CK187">
        <f t="shared" si="517"/>
        <v>38210</v>
      </c>
      <c r="CL187">
        <f>_xlfn.XLOOKUP(B187,'[9]november-2026'!$A:$A,'[9]november-2026'!$C:$C,0,0)</f>
        <v>30700</v>
      </c>
      <c r="CM187">
        <f t="shared" si="518"/>
        <v>5526</v>
      </c>
      <c r="CN187">
        <f t="shared" si="519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0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1"/>
        <v>200</v>
      </c>
      <c r="CU187">
        <f t="shared" si="522"/>
        <v>38210</v>
      </c>
      <c r="CV187">
        <f>_xlfn.XLOOKUP(B187,'[10]december-2026'!$A:$A,'[10]december-2026'!$C:$C,0,0)</f>
        <v>30700</v>
      </c>
      <c r="CW187">
        <f t="shared" si="523"/>
        <v>5526</v>
      </c>
      <c r="CX187">
        <f t="shared" si="524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25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26"/>
        <v>200</v>
      </c>
      <c r="DE187">
        <f t="shared" si="527"/>
        <v>38210</v>
      </c>
      <c r="DF187">
        <f xml:space="preserve"> _xlfn.XLOOKUP(B187,
'[11]january-2027'!$A:$A,
'[11]january-2027'!$C:$C,
0,0)</f>
        <v>30700</v>
      </c>
      <c r="DG187">
        <f t="shared" si="528"/>
        <v>5526</v>
      </c>
      <c r="DH187">
        <f t="shared" si="529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0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1"/>
        <v>200</v>
      </c>
      <c r="DO187">
        <f t="shared" si="532"/>
        <v>38210</v>
      </c>
      <c r="DP187">
        <f xml:space="preserve"> _xlfn.XLOOKUP(B187,
'[12]february-2027'!$A:$A,
'[12]february-2027'!$C:$C,
0,0)</f>
        <v>30700</v>
      </c>
      <c r="DQ187">
        <f t="shared" si="533"/>
        <v>5526</v>
      </c>
      <c r="DR187">
        <f t="shared" si="534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35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36"/>
        <v>200</v>
      </c>
      <c r="DY187">
        <f t="shared" si="537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38"/>
        <v>0</v>
      </c>
      <c r="EM187">
        <f t="shared" si="539"/>
        <v>487225</v>
      </c>
      <c r="EN187">
        <f t="shared" si="540"/>
        <v>2200</v>
      </c>
      <c r="EO187">
        <f t="shared" si="541"/>
        <v>50000</v>
      </c>
      <c r="EP187">
        <v>0</v>
      </c>
      <c r="EQ187">
        <f t="shared" si="543"/>
        <v>435025</v>
      </c>
      <c r="ER187">
        <f t="shared" si="544"/>
        <v>24000</v>
      </c>
      <c r="ES187">
        <f t="shared" si="545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46"/>
        <v>24000</v>
      </c>
      <c r="FE187">
        <f t="shared" si="547"/>
        <v>24000</v>
      </c>
      <c r="FF187">
        <f t="shared" si="548"/>
        <v>411025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>SUM(FG187:FM187)+(IF(F187="YES",50000,0))</f>
        <v>0</v>
      </c>
      <c r="FO187">
        <f t="shared" si="549"/>
        <v>411025</v>
      </c>
      <c r="FP187">
        <f t="shared" si="550"/>
        <v>8051</v>
      </c>
      <c r="FQ187">
        <f t="shared" si="551"/>
        <v>0</v>
      </c>
      <c r="FR187">
        <f t="shared" si="552"/>
        <v>8051</v>
      </c>
      <c r="FS187">
        <f t="shared" si="553"/>
        <v>0</v>
      </c>
      <c r="FT187">
        <f t="shared" si="554"/>
        <v>0</v>
      </c>
      <c r="FU187">
        <f t="shared" si="555"/>
        <v>0</v>
      </c>
      <c r="FV187">
        <v>0</v>
      </c>
      <c r="FW187">
        <f t="shared" si="556"/>
        <v>0</v>
      </c>
      <c r="FX187" t="b">
        <f t="shared" si="557"/>
        <v>0</v>
      </c>
      <c r="FY187">
        <f t="shared" ca="1" si="558"/>
        <v>1642</v>
      </c>
      <c r="FZ187">
        <f t="shared" ca="1" si="559"/>
        <v>488867</v>
      </c>
      <c r="GA187">
        <f t="shared" si="560"/>
        <v>75000</v>
      </c>
      <c r="GB187">
        <f t="shared" ca="1" si="561"/>
        <v>413867</v>
      </c>
      <c r="GC187">
        <f t="shared" ca="1" si="562"/>
        <v>0</v>
      </c>
      <c r="GD187">
        <f t="shared" ca="1" si="563"/>
        <v>0</v>
      </c>
      <c r="GE187">
        <f t="shared" ca="1" si="564"/>
        <v>0</v>
      </c>
      <c r="GF187">
        <f t="shared" ca="1" si="565"/>
        <v>0</v>
      </c>
      <c r="GG187">
        <f t="shared" ca="1" si="566"/>
        <v>0</v>
      </c>
      <c r="GH187">
        <f t="shared" ca="1" si="567"/>
        <v>0</v>
      </c>
      <c r="GI187">
        <f ca="1">IF(GB187&gt;1200000,GB187-1200000-IF(F187="YES",50000,0)-GG187,0)</f>
        <v>0</v>
      </c>
      <c r="GJ187">
        <f t="shared" ca="1" si="568"/>
        <v>0</v>
      </c>
      <c r="GK187">
        <f t="shared" ca="1" si="569"/>
        <v>0</v>
      </c>
      <c r="GL187">
        <f t="shared" ca="1" si="570"/>
        <v>0</v>
      </c>
      <c r="GM187">
        <f t="shared" ca="1" si="571"/>
        <v>13867</v>
      </c>
      <c r="GN187">
        <f t="shared" ca="1" si="572"/>
        <v>693.35</v>
      </c>
      <c r="GO187">
        <f t="shared" ca="1" si="573"/>
        <v>693</v>
      </c>
      <c r="GP187">
        <f t="shared" ca="1" si="574"/>
        <v>0</v>
      </c>
      <c r="GQ187">
        <f t="shared" ca="1" si="575"/>
        <v>0</v>
      </c>
      <c r="GR187">
        <f t="shared" ca="1" si="576"/>
        <v>693</v>
      </c>
      <c r="GS187">
        <f t="shared" ca="1" si="577"/>
        <v>0</v>
      </c>
      <c r="GT187" t="b">
        <f t="shared" ca="1" si="578"/>
        <v>0</v>
      </c>
      <c r="GU187">
        <f t="shared" ca="1" si="579"/>
        <v>0</v>
      </c>
      <c r="GV187">
        <f t="shared" ca="1" si="580"/>
        <v>693</v>
      </c>
      <c r="GW187">
        <f t="shared" ca="1" si="581"/>
        <v>0</v>
      </c>
      <c r="GX187">
        <f t="shared" ca="1" si="582"/>
        <v>0</v>
      </c>
      <c r="GY187">
        <f t="shared" ca="1" si="583"/>
        <v>0</v>
      </c>
    </row>
    <row r="188" spans="1:207" x14ac:dyDescent="0.25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78"/>
        <v>6800</v>
      </c>
      <c r="I188">
        <f>_xlfn.XLOOKUP(B188,'[1]march-2026'!$A:$A,'[1]march-2026'!$C:$C,0,0)</f>
        <v>53300</v>
      </c>
      <c r="J188">
        <f t="shared" si="542"/>
        <v>9594</v>
      </c>
      <c r="K188">
        <f t="shared" si="479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0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1"/>
        <v>200</v>
      </c>
      <c r="R188">
        <f t="shared" si="482"/>
        <v>66490</v>
      </c>
      <c r="S188">
        <f>_xlfn.XLOOKUP(B188,'[2]april-2026'!$A:$A,'[2]april-2026'!$C:$C,0,0)</f>
        <v>53300</v>
      </c>
      <c r="T188">
        <f t="shared" si="483"/>
        <v>9594</v>
      </c>
      <c r="U188">
        <f t="shared" si="484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85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86"/>
        <v>200</v>
      </c>
      <c r="AB188">
        <f t="shared" si="487"/>
        <v>66490</v>
      </c>
      <c r="AC188">
        <f>_xlfn.XLOOKUP(B188,'[3]may-2026'!$A:$A,'[3]may-2026'!$C:$C,0,0)</f>
        <v>53300</v>
      </c>
      <c r="AD188">
        <f t="shared" si="488"/>
        <v>9594</v>
      </c>
      <c r="AE188">
        <f t="shared" si="489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0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1"/>
        <v>200</v>
      </c>
      <c r="AL188">
        <f t="shared" si="492"/>
        <v>66490</v>
      </c>
      <c r="AM188">
        <f>_xlfn.XLOOKUP(B188,'[4]june-2026'!$A:$A,'[4]june-2026'!$C:$C,0,0)</f>
        <v>53300</v>
      </c>
      <c r="AN188">
        <f t="shared" si="493"/>
        <v>9594</v>
      </c>
      <c r="AO188">
        <f t="shared" si="494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495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496"/>
        <v>200</v>
      </c>
      <c r="AV188">
        <f t="shared" si="497"/>
        <v>66490</v>
      </c>
      <c r="AW188">
        <f>_xlfn.XLOOKUP(B188,'[5]july-2026'!$A:$A,'[5]july-2026'!$C:$C,0,0)</f>
        <v>54900</v>
      </c>
      <c r="AX188">
        <f t="shared" si="498"/>
        <v>9882</v>
      </c>
      <c r="AY188">
        <v>186</v>
      </c>
      <c r="AZ188">
        <f t="shared" si="499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0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1"/>
        <v>200</v>
      </c>
      <c r="BG188">
        <f t="shared" si="502"/>
        <v>68756</v>
      </c>
      <c r="BH188">
        <f>_xlfn.XLOOKUP(B188,'[6]august-2026'!$A:$A,'[6]august-2026'!$C:$C,0,0)</f>
        <v>54900</v>
      </c>
      <c r="BI188">
        <f t="shared" si="503"/>
        <v>9882</v>
      </c>
      <c r="BJ188">
        <f t="shared" si="504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05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06"/>
        <v>200</v>
      </c>
      <c r="BQ188">
        <f t="shared" si="507"/>
        <v>68570</v>
      </c>
      <c r="BR188">
        <f>_xlfn.XLOOKUP(B188,'[7]september-2026'!$A:$A,'[7]september-2026'!$C:$C,0,0)</f>
        <v>54900</v>
      </c>
      <c r="BS188">
        <f t="shared" si="508"/>
        <v>9882</v>
      </c>
      <c r="BT188">
        <f t="shared" si="509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0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1"/>
        <v>200</v>
      </c>
      <c r="CA188">
        <f t="shared" si="512"/>
        <v>68570</v>
      </c>
      <c r="CB188">
        <f>_xlfn.XLOOKUP(B188,'[8]october-2026'!$A:$A,'[8]october-2026'!$C:$C,0,0)</f>
        <v>54900</v>
      </c>
      <c r="CC188">
        <f t="shared" si="513"/>
        <v>9882</v>
      </c>
      <c r="CD188">
        <f t="shared" si="514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15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16"/>
        <v>200</v>
      </c>
      <c r="CK188">
        <f t="shared" si="517"/>
        <v>68570</v>
      </c>
      <c r="CL188">
        <f>_xlfn.XLOOKUP(B188,'[9]november-2026'!$A:$A,'[9]november-2026'!$C:$C,0,0)</f>
        <v>54900</v>
      </c>
      <c r="CM188">
        <f t="shared" si="518"/>
        <v>9882</v>
      </c>
      <c r="CN188">
        <f t="shared" si="519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0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1"/>
        <v>200</v>
      </c>
      <c r="CU188">
        <f t="shared" si="522"/>
        <v>68570</v>
      </c>
      <c r="CV188">
        <f>_xlfn.XLOOKUP(B188,'[10]december-2026'!$A:$A,'[10]december-2026'!$C:$C,0,0)</f>
        <v>54900</v>
      </c>
      <c r="CW188">
        <f t="shared" si="523"/>
        <v>9882</v>
      </c>
      <c r="CX188">
        <f t="shared" si="524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25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26"/>
        <v>200</v>
      </c>
      <c r="DE188">
        <f t="shared" si="527"/>
        <v>68570</v>
      </c>
      <c r="DF188">
        <f xml:space="preserve"> _xlfn.XLOOKUP(B188,
'[11]january-2027'!$A:$A,
'[11]january-2027'!$C:$C,
0,0)</f>
        <v>54900</v>
      </c>
      <c r="DG188">
        <f t="shared" si="528"/>
        <v>9882</v>
      </c>
      <c r="DH188">
        <f t="shared" si="529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0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1"/>
        <v>200</v>
      </c>
      <c r="DO188">
        <f t="shared" si="532"/>
        <v>68570</v>
      </c>
      <c r="DP188">
        <f xml:space="preserve"> _xlfn.XLOOKUP(B188,
'[12]february-2027'!$A:$A,
'[12]february-2027'!$C:$C,
0,0)</f>
        <v>54900</v>
      </c>
      <c r="DQ188">
        <f t="shared" si="533"/>
        <v>9882</v>
      </c>
      <c r="DR188">
        <f t="shared" si="534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35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36"/>
        <v>200</v>
      </c>
      <c r="DY188">
        <f t="shared" si="537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38"/>
        <v>0</v>
      </c>
      <c r="EM188">
        <f t="shared" si="539"/>
        <v>865906</v>
      </c>
      <c r="EN188">
        <f t="shared" si="540"/>
        <v>2400</v>
      </c>
      <c r="EO188">
        <f t="shared" si="541"/>
        <v>50000</v>
      </c>
      <c r="EP188">
        <v>0</v>
      </c>
      <c r="EQ188">
        <f t="shared" si="543"/>
        <v>813506</v>
      </c>
      <c r="ER188">
        <f t="shared" si="544"/>
        <v>42000</v>
      </c>
      <c r="ES188">
        <f t="shared" si="545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46"/>
        <v>42000</v>
      </c>
      <c r="FE188">
        <f t="shared" si="547"/>
        <v>42000</v>
      </c>
      <c r="FF188">
        <f t="shared" si="548"/>
        <v>771506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>SUM(FG188:FM188)+(IF(F188="YES",50000,0))</f>
        <v>0</v>
      </c>
      <c r="FO188">
        <f t="shared" si="549"/>
        <v>771506</v>
      </c>
      <c r="FP188">
        <f t="shared" si="550"/>
        <v>12500</v>
      </c>
      <c r="FQ188">
        <f t="shared" si="551"/>
        <v>54301</v>
      </c>
      <c r="FR188">
        <f t="shared" si="552"/>
        <v>66801</v>
      </c>
      <c r="FS188">
        <f t="shared" si="553"/>
        <v>66801</v>
      </c>
      <c r="FT188">
        <f t="shared" si="554"/>
        <v>2672.04</v>
      </c>
      <c r="FU188">
        <f t="shared" si="555"/>
        <v>69473</v>
      </c>
      <c r="FV188">
        <v>0</v>
      </c>
      <c r="FW188">
        <f t="shared" si="556"/>
        <v>69473</v>
      </c>
      <c r="FX188" t="b">
        <f t="shared" si="557"/>
        <v>1</v>
      </c>
      <c r="FY188">
        <f t="shared" ca="1" si="558"/>
        <v>944</v>
      </c>
      <c r="FZ188">
        <f t="shared" ca="1" si="559"/>
        <v>866850</v>
      </c>
      <c r="GA188">
        <f t="shared" si="560"/>
        <v>75000</v>
      </c>
      <c r="GB188">
        <f t="shared" ca="1" si="561"/>
        <v>791850</v>
      </c>
      <c r="GC188">
        <f t="shared" ca="1" si="562"/>
        <v>0</v>
      </c>
      <c r="GD188">
        <f t="shared" ca="1" si="563"/>
        <v>0</v>
      </c>
      <c r="GE188">
        <f t="shared" ca="1" si="564"/>
        <v>0</v>
      </c>
      <c r="GF188">
        <f t="shared" ca="1" si="565"/>
        <v>0</v>
      </c>
      <c r="GG188">
        <f t="shared" ca="1" si="566"/>
        <v>0</v>
      </c>
      <c r="GH188">
        <f t="shared" ca="1" si="567"/>
        <v>0</v>
      </c>
      <c r="GI188">
        <f ca="1">IF(GB188&gt;1200000,GB188-1200000-IF(F188="YES",50000,0)-GG188,0)</f>
        <v>0</v>
      </c>
      <c r="GJ188">
        <f t="shared" ca="1" si="568"/>
        <v>0</v>
      </c>
      <c r="GK188">
        <f t="shared" ca="1" si="569"/>
        <v>0</v>
      </c>
      <c r="GL188">
        <f t="shared" ca="1" si="570"/>
        <v>0</v>
      </c>
      <c r="GM188">
        <f t="shared" ca="1" si="571"/>
        <v>391850</v>
      </c>
      <c r="GN188">
        <f t="shared" ca="1" si="572"/>
        <v>19592.5</v>
      </c>
      <c r="GO188">
        <f t="shared" ca="1" si="573"/>
        <v>19593</v>
      </c>
      <c r="GP188">
        <f t="shared" ca="1" si="574"/>
        <v>0</v>
      </c>
      <c r="GQ188">
        <f t="shared" ca="1" si="575"/>
        <v>0</v>
      </c>
      <c r="GR188">
        <f t="shared" ca="1" si="576"/>
        <v>19593</v>
      </c>
      <c r="GS188">
        <f t="shared" ca="1" si="577"/>
        <v>0</v>
      </c>
      <c r="GT188" t="b">
        <f t="shared" ca="1" si="578"/>
        <v>0</v>
      </c>
      <c r="GU188">
        <f t="shared" ca="1" si="579"/>
        <v>0</v>
      </c>
      <c r="GV188">
        <f t="shared" ca="1" si="580"/>
        <v>19593</v>
      </c>
      <c r="GW188">
        <f t="shared" ca="1" si="581"/>
        <v>0</v>
      </c>
      <c r="GX188">
        <f t="shared" ca="1" si="582"/>
        <v>0</v>
      </c>
      <c r="GY188">
        <f t="shared" ca="1" si="583"/>
        <v>0</v>
      </c>
    </row>
    <row r="189" spans="1:207" x14ac:dyDescent="0.25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78"/>
        <v>6800</v>
      </c>
      <c r="I189">
        <f>_xlfn.XLOOKUP(B189,'[1]march-2026'!$A:$A,'[1]march-2026'!$C:$C,0,0)</f>
        <v>48700</v>
      </c>
      <c r="J189">
        <f t="shared" si="542"/>
        <v>8766</v>
      </c>
      <c r="K189">
        <f t="shared" si="479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0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1"/>
        <v>200</v>
      </c>
      <c r="R189">
        <f t="shared" si="482"/>
        <v>60110</v>
      </c>
      <c r="S189">
        <f>_xlfn.XLOOKUP(B189,'[2]april-2026'!$A:$A,'[2]april-2026'!$C:$C,0,0)</f>
        <v>48700</v>
      </c>
      <c r="T189">
        <f t="shared" si="483"/>
        <v>8766</v>
      </c>
      <c r="U189">
        <f t="shared" si="484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85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86"/>
        <v>200</v>
      </c>
      <c r="AB189">
        <f t="shared" si="487"/>
        <v>60110</v>
      </c>
      <c r="AC189">
        <f>_xlfn.XLOOKUP(B189,'[3]may-2026'!$A:$A,'[3]may-2026'!$C:$C,0,0)</f>
        <v>48700</v>
      </c>
      <c r="AD189">
        <f t="shared" si="488"/>
        <v>8766</v>
      </c>
      <c r="AE189">
        <f t="shared" si="489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0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1"/>
        <v>200</v>
      </c>
      <c r="AL189">
        <f t="shared" si="492"/>
        <v>60110</v>
      </c>
      <c r="AM189">
        <f>_xlfn.XLOOKUP(B189,'[4]june-2026'!$A:$A,'[4]june-2026'!$C:$C,0,0)</f>
        <v>48700</v>
      </c>
      <c r="AN189">
        <f t="shared" si="493"/>
        <v>8766</v>
      </c>
      <c r="AO189">
        <f t="shared" si="494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495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496"/>
        <v>200</v>
      </c>
      <c r="AV189">
        <f t="shared" si="497"/>
        <v>60110</v>
      </c>
      <c r="AW189">
        <f>_xlfn.XLOOKUP(B189,'[5]july-2026'!$A:$A,'[5]july-2026'!$C:$C,0,0)</f>
        <v>50200</v>
      </c>
      <c r="AX189">
        <f t="shared" si="498"/>
        <v>9036</v>
      </c>
      <c r="AY189">
        <v>187</v>
      </c>
      <c r="AZ189">
        <f t="shared" si="499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0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1"/>
        <v>200</v>
      </c>
      <c r="BG189">
        <f t="shared" si="502"/>
        <v>62247</v>
      </c>
      <c r="BH189">
        <f>_xlfn.XLOOKUP(B189,'[6]august-2026'!$A:$A,'[6]august-2026'!$C:$C,0,0)</f>
        <v>50200</v>
      </c>
      <c r="BI189">
        <f t="shared" si="503"/>
        <v>9036</v>
      </c>
      <c r="BJ189">
        <f t="shared" si="504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05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06"/>
        <v>200</v>
      </c>
      <c r="BQ189">
        <f t="shared" si="507"/>
        <v>62060</v>
      </c>
      <c r="BR189">
        <f>_xlfn.XLOOKUP(B189,'[7]september-2026'!$A:$A,'[7]september-2026'!$C:$C,0,0)</f>
        <v>50200</v>
      </c>
      <c r="BS189">
        <f t="shared" si="508"/>
        <v>9036</v>
      </c>
      <c r="BT189">
        <f t="shared" si="509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0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1"/>
        <v>200</v>
      </c>
      <c r="CA189">
        <f t="shared" si="512"/>
        <v>62060</v>
      </c>
      <c r="CB189">
        <f>_xlfn.XLOOKUP(B189,'[8]october-2026'!$A:$A,'[8]october-2026'!$C:$C,0,0)</f>
        <v>50200</v>
      </c>
      <c r="CC189">
        <f t="shared" si="513"/>
        <v>9036</v>
      </c>
      <c r="CD189">
        <f t="shared" si="514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15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16"/>
        <v>200</v>
      </c>
      <c r="CK189">
        <f t="shared" si="517"/>
        <v>62060</v>
      </c>
      <c r="CL189">
        <f>_xlfn.XLOOKUP(B189,'[9]november-2026'!$A:$A,'[9]november-2026'!$C:$C,0,0)</f>
        <v>50200</v>
      </c>
      <c r="CM189">
        <f t="shared" si="518"/>
        <v>9036</v>
      </c>
      <c r="CN189">
        <f t="shared" si="519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0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1"/>
        <v>200</v>
      </c>
      <c r="CU189">
        <f t="shared" si="522"/>
        <v>62060</v>
      </c>
      <c r="CV189">
        <f>_xlfn.XLOOKUP(B189,'[10]december-2026'!$A:$A,'[10]december-2026'!$C:$C,0,0)</f>
        <v>50200</v>
      </c>
      <c r="CW189">
        <f t="shared" si="523"/>
        <v>9036</v>
      </c>
      <c r="CX189">
        <f t="shared" si="524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25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26"/>
        <v>200</v>
      </c>
      <c r="DE189">
        <f t="shared" si="527"/>
        <v>62060</v>
      </c>
      <c r="DF189">
        <f xml:space="preserve"> _xlfn.XLOOKUP(B189,
'[11]january-2027'!$A:$A,
'[11]january-2027'!$C:$C,
0,0)</f>
        <v>50200</v>
      </c>
      <c r="DG189">
        <f t="shared" si="528"/>
        <v>9036</v>
      </c>
      <c r="DH189">
        <f t="shared" si="529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0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1"/>
        <v>200</v>
      </c>
      <c r="DO189">
        <f t="shared" si="532"/>
        <v>62060</v>
      </c>
      <c r="DP189">
        <f xml:space="preserve"> _xlfn.XLOOKUP(B189,
'[12]february-2027'!$A:$A,
'[12]february-2027'!$C:$C,
0,0)</f>
        <v>50200</v>
      </c>
      <c r="DQ189">
        <f t="shared" si="533"/>
        <v>9036</v>
      </c>
      <c r="DR189">
        <f t="shared" si="534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35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36"/>
        <v>200</v>
      </c>
      <c r="DY189">
        <f t="shared" si="537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38"/>
        <v>0</v>
      </c>
      <c r="EM189">
        <f t="shared" si="539"/>
        <v>782307</v>
      </c>
      <c r="EN189">
        <f t="shared" si="540"/>
        <v>2400</v>
      </c>
      <c r="EO189">
        <f t="shared" si="541"/>
        <v>50000</v>
      </c>
      <c r="EP189">
        <v>0</v>
      </c>
      <c r="EQ189">
        <f t="shared" si="543"/>
        <v>729907</v>
      </c>
      <c r="ER189">
        <f t="shared" si="544"/>
        <v>36000</v>
      </c>
      <c r="ES189">
        <f t="shared" si="545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46"/>
        <v>36000</v>
      </c>
      <c r="FE189">
        <f t="shared" si="547"/>
        <v>36000</v>
      </c>
      <c r="FF189">
        <f t="shared" si="548"/>
        <v>693907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>SUM(FG189:FM189)+(IF(F189="YES",50000,0))</f>
        <v>0</v>
      </c>
      <c r="FO189">
        <f t="shared" si="549"/>
        <v>693907</v>
      </c>
      <c r="FP189">
        <f t="shared" si="550"/>
        <v>12500</v>
      </c>
      <c r="FQ189">
        <f t="shared" si="551"/>
        <v>38781</v>
      </c>
      <c r="FR189">
        <f t="shared" si="552"/>
        <v>51281</v>
      </c>
      <c r="FS189">
        <f t="shared" si="553"/>
        <v>51281</v>
      </c>
      <c r="FT189">
        <f t="shared" si="554"/>
        <v>2051.2400000000002</v>
      </c>
      <c r="FU189">
        <f t="shared" si="555"/>
        <v>53332</v>
      </c>
      <c r="FV189">
        <v>0</v>
      </c>
      <c r="FW189">
        <f t="shared" si="556"/>
        <v>53332</v>
      </c>
      <c r="FX189" t="b">
        <f t="shared" si="557"/>
        <v>1</v>
      </c>
      <c r="FY189">
        <f t="shared" ca="1" si="558"/>
        <v>906</v>
      </c>
      <c r="FZ189">
        <f t="shared" ca="1" si="559"/>
        <v>783213</v>
      </c>
      <c r="GA189">
        <f t="shared" si="560"/>
        <v>75000</v>
      </c>
      <c r="GB189">
        <f t="shared" ca="1" si="561"/>
        <v>708213</v>
      </c>
      <c r="GC189">
        <f t="shared" ca="1" si="562"/>
        <v>0</v>
      </c>
      <c r="GD189">
        <f t="shared" ca="1" si="563"/>
        <v>0</v>
      </c>
      <c r="GE189">
        <f t="shared" ca="1" si="564"/>
        <v>0</v>
      </c>
      <c r="GF189">
        <f t="shared" ca="1" si="565"/>
        <v>0</v>
      </c>
      <c r="GG189">
        <f t="shared" ca="1" si="566"/>
        <v>0</v>
      </c>
      <c r="GH189">
        <f t="shared" ca="1" si="567"/>
        <v>0</v>
      </c>
      <c r="GI189">
        <f ca="1">IF(GB189&gt;1200000,GB189-1200000-IF(F189="YES",50000,0)-GG189,0)</f>
        <v>0</v>
      </c>
      <c r="GJ189">
        <f t="shared" ca="1" si="568"/>
        <v>0</v>
      </c>
      <c r="GK189">
        <f t="shared" ca="1" si="569"/>
        <v>0</v>
      </c>
      <c r="GL189">
        <f t="shared" ca="1" si="570"/>
        <v>0</v>
      </c>
      <c r="GM189">
        <f t="shared" ca="1" si="571"/>
        <v>308213</v>
      </c>
      <c r="GN189">
        <f t="shared" ca="1" si="572"/>
        <v>15410.650000000001</v>
      </c>
      <c r="GO189">
        <f t="shared" ca="1" si="573"/>
        <v>15411</v>
      </c>
      <c r="GP189">
        <f t="shared" ca="1" si="574"/>
        <v>0</v>
      </c>
      <c r="GQ189">
        <f t="shared" ca="1" si="575"/>
        <v>0</v>
      </c>
      <c r="GR189">
        <f t="shared" ca="1" si="576"/>
        <v>15411</v>
      </c>
      <c r="GS189">
        <f t="shared" ca="1" si="577"/>
        <v>0</v>
      </c>
      <c r="GT189" t="b">
        <f t="shared" ca="1" si="578"/>
        <v>0</v>
      </c>
      <c r="GU189">
        <f t="shared" ca="1" si="579"/>
        <v>0</v>
      </c>
      <c r="GV189">
        <f t="shared" ca="1" si="580"/>
        <v>15411</v>
      </c>
      <c r="GW189">
        <f t="shared" ca="1" si="581"/>
        <v>0</v>
      </c>
      <c r="GX189">
        <f t="shared" ca="1" si="582"/>
        <v>0</v>
      </c>
      <c r="GY189">
        <f t="shared" ca="1" si="583"/>
        <v>0</v>
      </c>
    </row>
    <row r="190" spans="1:207" x14ac:dyDescent="0.25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78"/>
        <v>6800</v>
      </c>
      <c r="I190">
        <f>_xlfn.XLOOKUP(B190,'[1]march-2026'!$A:$A,'[1]march-2026'!$C:$C,0,0)</f>
        <v>48700</v>
      </c>
      <c r="J190">
        <f t="shared" si="542"/>
        <v>8766</v>
      </c>
      <c r="K190">
        <f t="shared" si="479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0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1"/>
        <v>200</v>
      </c>
      <c r="R190">
        <f t="shared" si="482"/>
        <v>60610</v>
      </c>
      <c r="S190">
        <f>_xlfn.XLOOKUP(B190,'[2]april-2026'!$A:$A,'[2]april-2026'!$C:$C,0,0)</f>
        <v>48700</v>
      </c>
      <c r="T190">
        <f t="shared" si="483"/>
        <v>8766</v>
      </c>
      <c r="U190">
        <f t="shared" si="484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85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86"/>
        <v>200</v>
      </c>
      <c r="AB190">
        <f t="shared" si="487"/>
        <v>60610</v>
      </c>
      <c r="AC190">
        <f>_xlfn.XLOOKUP(B190,'[3]may-2026'!$A:$A,'[3]may-2026'!$C:$C,0,0)</f>
        <v>48700</v>
      </c>
      <c r="AD190">
        <f t="shared" si="488"/>
        <v>8766</v>
      </c>
      <c r="AE190">
        <f t="shared" si="489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0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1"/>
        <v>200</v>
      </c>
      <c r="AL190">
        <f t="shared" si="492"/>
        <v>60610</v>
      </c>
      <c r="AM190">
        <f>_xlfn.XLOOKUP(B190,'[4]june-2026'!$A:$A,'[4]june-2026'!$C:$C,0,0)</f>
        <v>48700</v>
      </c>
      <c r="AN190">
        <f t="shared" si="493"/>
        <v>8766</v>
      </c>
      <c r="AO190">
        <f t="shared" si="494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495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496"/>
        <v>200</v>
      </c>
      <c r="AV190">
        <f t="shared" si="497"/>
        <v>60610</v>
      </c>
      <c r="AW190">
        <f>_xlfn.XLOOKUP(B190,'[5]july-2026'!$A:$A,'[5]july-2026'!$C:$C,0,0)</f>
        <v>50200</v>
      </c>
      <c r="AX190">
        <f t="shared" si="498"/>
        <v>9036</v>
      </c>
      <c r="AY190">
        <v>188</v>
      </c>
      <c r="AZ190">
        <f t="shared" si="499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0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1"/>
        <v>200</v>
      </c>
      <c r="BG190">
        <f t="shared" si="502"/>
        <v>62748</v>
      </c>
      <c r="BH190">
        <f>_xlfn.XLOOKUP(B190,'[6]august-2026'!$A:$A,'[6]august-2026'!$C:$C,0,0)</f>
        <v>50200</v>
      </c>
      <c r="BI190">
        <f t="shared" si="503"/>
        <v>9036</v>
      </c>
      <c r="BJ190">
        <f t="shared" si="504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05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06"/>
        <v>200</v>
      </c>
      <c r="BQ190">
        <f t="shared" si="507"/>
        <v>62560</v>
      </c>
      <c r="BR190">
        <f>_xlfn.XLOOKUP(B190,'[7]september-2026'!$A:$A,'[7]september-2026'!$C:$C,0,0)</f>
        <v>50200</v>
      </c>
      <c r="BS190">
        <f t="shared" si="508"/>
        <v>9036</v>
      </c>
      <c r="BT190">
        <f t="shared" si="509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0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1"/>
        <v>200</v>
      </c>
      <c r="CA190">
        <f t="shared" si="512"/>
        <v>62560</v>
      </c>
      <c r="CB190">
        <f>_xlfn.XLOOKUP(B190,'[8]october-2026'!$A:$A,'[8]october-2026'!$C:$C,0,0)</f>
        <v>50200</v>
      </c>
      <c r="CC190">
        <f t="shared" si="513"/>
        <v>9036</v>
      </c>
      <c r="CD190">
        <f t="shared" si="514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15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16"/>
        <v>200</v>
      </c>
      <c r="CK190">
        <f t="shared" si="517"/>
        <v>62560</v>
      </c>
      <c r="CL190">
        <f>_xlfn.XLOOKUP(B190,'[9]november-2026'!$A:$A,'[9]november-2026'!$C:$C,0,0)</f>
        <v>50200</v>
      </c>
      <c r="CM190">
        <f t="shared" si="518"/>
        <v>9036</v>
      </c>
      <c r="CN190">
        <f t="shared" si="519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0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1"/>
        <v>200</v>
      </c>
      <c r="CU190">
        <f t="shared" si="522"/>
        <v>62560</v>
      </c>
      <c r="CV190">
        <f>_xlfn.XLOOKUP(B190,'[10]december-2026'!$A:$A,'[10]december-2026'!$C:$C,0,0)</f>
        <v>50200</v>
      </c>
      <c r="CW190">
        <f t="shared" si="523"/>
        <v>9036</v>
      </c>
      <c r="CX190">
        <f t="shared" si="524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25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26"/>
        <v>200</v>
      </c>
      <c r="DE190">
        <f t="shared" si="527"/>
        <v>62560</v>
      </c>
      <c r="DF190">
        <f xml:space="preserve"> _xlfn.XLOOKUP(B190,
'[11]january-2027'!$A:$A,
'[11]january-2027'!$C:$C,
0,0)</f>
        <v>50200</v>
      </c>
      <c r="DG190">
        <f t="shared" si="528"/>
        <v>9036</v>
      </c>
      <c r="DH190">
        <f t="shared" si="529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0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1"/>
        <v>200</v>
      </c>
      <c r="DO190">
        <f t="shared" si="532"/>
        <v>62560</v>
      </c>
      <c r="DP190">
        <f xml:space="preserve"> _xlfn.XLOOKUP(B190,
'[12]february-2027'!$A:$A,
'[12]february-2027'!$C:$C,
0,0)</f>
        <v>50200</v>
      </c>
      <c r="DQ190">
        <f t="shared" si="533"/>
        <v>9036</v>
      </c>
      <c r="DR190">
        <f t="shared" si="534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35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36"/>
        <v>200</v>
      </c>
      <c r="DY190">
        <f t="shared" si="537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38"/>
        <v>0</v>
      </c>
      <c r="EM190">
        <f t="shared" si="539"/>
        <v>788308</v>
      </c>
      <c r="EN190">
        <f t="shared" si="540"/>
        <v>2400</v>
      </c>
      <c r="EO190">
        <f t="shared" si="541"/>
        <v>50000</v>
      </c>
      <c r="EP190">
        <v>0</v>
      </c>
      <c r="EQ190">
        <f t="shared" si="543"/>
        <v>735908</v>
      </c>
      <c r="ER190">
        <f t="shared" si="544"/>
        <v>36000</v>
      </c>
      <c r="ES190">
        <f t="shared" si="545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46"/>
        <v>36000</v>
      </c>
      <c r="FE190">
        <f t="shared" si="547"/>
        <v>36000</v>
      </c>
      <c r="FF190">
        <f t="shared" si="548"/>
        <v>699908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>SUM(FG190:FM190)+(IF(F190="YES",50000,0))</f>
        <v>0</v>
      </c>
      <c r="FO190">
        <f t="shared" si="549"/>
        <v>699908</v>
      </c>
      <c r="FP190">
        <f t="shared" si="550"/>
        <v>12500</v>
      </c>
      <c r="FQ190">
        <f t="shared" si="551"/>
        <v>39982</v>
      </c>
      <c r="FR190">
        <f t="shared" si="552"/>
        <v>52482</v>
      </c>
      <c r="FS190">
        <f t="shared" si="553"/>
        <v>52482</v>
      </c>
      <c r="FT190">
        <f t="shared" si="554"/>
        <v>2099.2800000000002</v>
      </c>
      <c r="FU190">
        <f t="shared" si="555"/>
        <v>54581</v>
      </c>
      <c r="FV190">
        <v>0</v>
      </c>
      <c r="FW190">
        <f t="shared" si="556"/>
        <v>54581</v>
      </c>
      <c r="FX190" t="b">
        <f t="shared" si="557"/>
        <v>1</v>
      </c>
      <c r="FY190">
        <f t="shared" ca="1" si="558"/>
        <v>506</v>
      </c>
      <c r="FZ190">
        <f t="shared" ca="1" si="559"/>
        <v>788814</v>
      </c>
      <c r="GA190">
        <f t="shared" si="560"/>
        <v>75000</v>
      </c>
      <c r="GB190">
        <f t="shared" ca="1" si="561"/>
        <v>713814</v>
      </c>
      <c r="GC190">
        <f t="shared" ca="1" si="562"/>
        <v>0</v>
      </c>
      <c r="GD190">
        <f t="shared" ca="1" si="563"/>
        <v>0</v>
      </c>
      <c r="GE190">
        <f t="shared" ca="1" si="564"/>
        <v>0</v>
      </c>
      <c r="GF190">
        <f t="shared" ca="1" si="565"/>
        <v>0</v>
      </c>
      <c r="GG190">
        <f t="shared" ca="1" si="566"/>
        <v>0</v>
      </c>
      <c r="GH190">
        <f t="shared" ca="1" si="567"/>
        <v>0</v>
      </c>
      <c r="GI190">
        <f ca="1">IF(GB190&gt;1200000,GB190-1200000-IF(F190="YES",50000,0)-GG190,0)</f>
        <v>0</v>
      </c>
      <c r="GJ190">
        <f t="shared" ca="1" si="568"/>
        <v>0</v>
      </c>
      <c r="GK190">
        <f t="shared" ca="1" si="569"/>
        <v>0</v>
      </c>
      <c r="GL190">
        <f t="shared" ca="1" si="570"/>
        <v>0</v>
      </c>
      <c r="GM190">
        <f t="shared" ca="1" si="571"/>
        <v>313814</v>
      </c>
      <c r="GN190">
        <f t="shared" ca="1" si="572"/>
        <v>15690.7</v>
      </c>
      <c r="GO190">
        <f t="shared" ca="1" si="573"/>
        <v>15691</v>
      </c>
      <c r="GP190">
        <f t="shared" ca="1" si="574"/>
        <v>0</v>
      </c>
      <c r="GQ190">
        <f t="shared" ca="1" si="575"/>
        <v>0</v>
      </c>
      <c r="GR190">
        <f t="shared" ca="1" si="576"/>
        <v>15691</v>
      </c>
      <c r="GS190">
        <f t="shared" ca="1" si="577"/>
        <v>0</v>
      </c>
      <c r="GT190" t="b">
        <f t="shared" ca="1" si="578"/>
        <v>0</v>
      </c>
      <c r="GU190">
        <f t="shared" ca="1" si="579"/>
        <v>0</v>
      </c>
      <c r="GV190">
        <f t="shared" ca="1" si="580"/>
        <v>15691</v>
      </c>
      <c r="GW190">
        <f t="shared" ca="1" si="581"/>
        <v>0</v>
      </c>
      <c r="GX190">
        <f t="shared" ca="1" si="582"/>
        <v>0</v>
      </c>
      <c r="GY190">
        <f t="shared" ca="1" si="583"/>
        <v>0</v>
      </c>
    </row>
    <row r="191" spans="1:207" x14ac:dyDescent="0.25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78"/>
        <v>6800</v>
      </c>
      <c r="I191">
        <f>_xlfn.XLOOKUP(B191,'[1]march-2026'!$A:$A,'[1]march-2026'!$C:$C,0,0)</f>
        <v>35500</v>
      </c>
      <c r="J191">
        <f t="shared" si="542"/>
        <v>6390</v>
      </c>
      <c r="K191">
        <f t="shared" si="479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0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1"/>
        <v>200</v>
      </c>
      <c r="R191">
        <f t="shared" si="482"/>
        <v>43950</v>
      </c>
      <c r="S191">
        <f>_xlfn.XLOOKUP(B191,'[2]april-2026'!$A:$A,'[2]april-2026'!$C:$C,0,0)</f>
        <v>35500</v>
      </c>
      <c r="T191">
        <f t="shared" si="483"/>
        <v>6390</v>
      </c>
      <c r="U191">
        <f t="shared" si="484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85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86"/>
        <v>200</v>
      </c>
      <c r="AB191">
        <f t="shared" si="487"/>
        <v>43950</v>
      </c>
      <c r="AC191">
        <f>_xlfn.XLOOKUP(B191,'[3]may-2026'!$A:$A,'[3]may-2026'!$C:$C,0,0)</f>
        <v>35500</v>
      </c>
      <c r="AD191">
        <f t="shared" si="488"/>
        <v>6390</v>
      </c>
      <c r="AE191">
        <f t="shared" si="489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0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1"/>
        <v>200</v>
      </c>
      <c r="AL191">
        <f t="shared" si="492"/>
        <v>43950</v>
      </c>
      <c r="AM191">
        <f>_xlfn.XLOOKUP(B191,'[4]june-2026'!$A:$A,'[4]june-2026'!$C:$C,0,0)</f>
        <v>35500</v>
      </c>
      <c r="AN191">
        <f t="shared" si="493"/>
        <v>6390</v>
      </c>
      <c r="AO191">
        <f t="shared" si="494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495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496"/>
        <v>200</v>
      </c>
      <c r="AV191">
        <f t="shared" si="497"/>
        <v>43950</v>
      </c>
      <c r="AW191">
        <f>_xlfn.XLOOKUP(B191,'[5]july-2026'!$A:$A,'[5]july-2026'!$C:$C,0,0)</f>
        <v>36600</v>
      </c>
      <c r="AX191">
        <f t="shared" si="498"/>
        <v>6588</v>
      </c>
      <c r="AY191">
        <v>189</v>
      </c>
      <c r="AZ191">
        <f t="shared" si="499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0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1"/>
        <v>200</v>
      </c>
      <c r="BG191">
        <f t="shared" si="502"/>
        <v>45569</v>
      </c>
      <c r="BH191">
        <f>_xlfn.XLOOKUP(B191,'[6]august-2026'!$A:$A,'[6]august-2026'!$C:$C,0,0)</f>
        <v>36600</v>
      </c>
      <c r="BI191">
        <f t="shared" si="503"/>
        <v>6588</v>
      </c>
      <c r="BJ191">
        <f t="shared" si="504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05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06"/>
        <v>200</v>
      </c>
      <c r="BQ191">
        <f t="shared" si="507"/>
        <v>45380</v>
      </c>
      <c r="BR191">
        <f>_xlfn.XLOOKUP(B191,'[7]september-2026'!$A:$A,'[7]september-2026'!$C:$C,0,0)</f>
        <v>36600</v>
      </c>
      <c r="BS191">
        <f t="shared" si="508"/>
        <v>6588</v>
      </c>
      <c r="BT191">
        <f t="shared" si="509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0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1"/>
        <v>200</v>
      </c>
      <c r="CA191">
        <f t="shared" si="512"/>
        <v>45380</v>
      </c>
      <c r="CB191">
        <f>_xlfn.XLOOKUP(B191,'[8]october-2026'!$A:$A,'[8]october-2026'!$C:$C,0,0)</f>
        <v>36600</v>
      </c>
      <c r="CC191">
        <f t="shared" si="513"/>
        <v>6588</v>
      </c>
      <c r="CD191">
        <f t="shared" si="514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15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16"/>
        <v>200</v>
      </c>
      <c r="CK191">
        <f t="shared" si="517"/>
        <v>45380</v>
      </c>
      <c r="CL191">
        <f>_xlfn.XLOOKUP(B191,'[9]november-2026'!$A:$A,'[9]november-2026'!$C:$C,0,0)</f>
        <v>36600</v>
      </c>
      <c r="CM191">
        <f t="shared" si="518"/>
        <v>6588</v>
      </c>
      <c r="CN191">
        <f t="shared" si="519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0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1"/>
        <v>200</v>
      </c>
      <c r="CU191">
        <f t="shared" si="522"/>
        <v>45380</v>
      </c>
      <c r="CV191">
        <f>_xlfn.XLOOKUP(B191,'[10]december-2026'!$A:$A,'[10]december-2026'!$C:$C,0,0)</f>
        <v>36600</v>
      </c>
      <c r="CW191">
        <f t="shared" si="523"/>
        <v>6588</v>
      </c>
      <c r="CX191">
        <f t="shared" si="524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25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26"/>
        <v>200</v>
      </c>
      <c r="DE191">
        <f t="shared" si="527"/>
        <v>45380</v>
      </c>
      <c r="DF191">
        <f xml:space="preserve"> _xlfn.XLOOKUP(B191,
'[11]january-2027'!$A:$A,
'[11]january-2027'!$C:$C,
0,0)</f>
        <v>36600</v>
      </c>
      <c r="DG191">
        <f t="shared" si="528"/>
        <v>6588</v>
      </c>
      <c r="DH191">
        <f t="shared" si="529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0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1"/>
        <v>200</v>
      </c>
      <c r="DO191">
        <f t="shared" si="532"/>
        <v>45380</v>
      </c>
      <c r="DP191">
        <f xml:space="preserve"> _xlfn.XLOOKUP(B191,
'[12]february-2027'!$A:$A,
'[12]february-2027'!$C:$C,
0,0)</f>
        <v>36600</v>
      </c>
      <c r="DQ191">
        <f t="shared" si="533"/>
        <v>6588</v>
      </c>
      <c r="DR191">
        <f t="shared" si="534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35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36"/>
        <v>200</v>
      </c>
      <c r="DY191">
        <f t="shared" si="537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38"/>
        <v>0</v>
      </c>
      <c r="EM191">
        <f t="shared" si="539"/>
        <v>578229</v>
      </c>
      <c r="EN191">
        <f t="shared" si="540"/>
        <v>2400</v>
      </c>
      <c r="EO191">
        <f t="shared" si="541"/>
        <v>50000</v>
      </c>
      <c r="EP191">
        <v>0</v>
      </c>
      <c r="EQ191">
        <f t="shared" si="543"/>
        <v>525829</v>
      </c>
      <c r="ER191">
        <f t="shared" si="544"/>
        <v>30000</v>
      </c>
      <c r="ES191">
        <f t="shared" si="545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46"/>
        <v>30000</v>
      </c>
      <c r="FE191">
        <f t="shared" si="547"/>
        <v>30000</v>
      </c>
      <c r="FF191">
        <f t="shared" si="548"/>
        <v>495829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>SUM(FG191:FM191)+(IF(F191="YES",50000,0))</f>
        <v>0</v>
      </c>
      <c r="FO191">
        <f t="shared" si="549"/>
        <v>495829</v>
      </c>
      <c r="FP191">
        <f t="shared" si="550"/>
        <v>12291</v>
      </c>
      <c r="FQ191">
        <f t="shared" si="551"/>
        <v>0</v>
      </c>
      <c r="FR191">
        <f t="shared" si="552"/>
        <v>12291</v>
      </c>
      <c r="FS191">
        <f t="shared" si="553"/>
        <v>0</v>
      </c>
      <c r="FT191">
        <f t="shared" si="554"/>
        <v>0</v>
      </c>
      <c r="FU191">
        <f t="shared" si="555"/>
        <v>0</v>
      </c>
      <c r="FV191">
        <v>0</v>
      </c>
      <c r="FW191">
        <f t="shared" si="556"/>
        <v>0</v>
      </c>
      <c r="FX191" t="b">
        <f t="shared" si="557"/>
        <v>1</v>
      </c>
      <c r="FY191">
        <f t="shared" ca="1" si="558"/>
        <v>925</v>
      </c>
      <c r="FZ191">
        <f t="shared" ca="1" si="559"/>
        <v>579154</v>
      </c>
      <c r="GA191">
        <f t="shared" si="560"/>
        <v>75000</v>
      </c>
      <c r="GB191">
        <f t="shared" ca="1" si="561"/>
        <v>504154</v>
      </c>
      <c r="GC191">
        <f t="shared" ca="1" si="562"/>
        <v>0</v>
      </c>
      <c r="GD191">
        <f t="shared" ca="1" si="563"/>
        <v>0</v>
      </c>
      <c r="GE191">
        <f t="shared" ca="1" si="564"/>
        <v>0</v>
      </c>
      <c r="GF191">
        <f t="shared" ca="1" si="565"/>
        <v>0</v>
      </c>
      <c r="GG191">
        <f t="shared" ca="1" si="566"/>
        <v>0</v>
      </c>
      <c r="GH191">
        <f t="shared" ca="1" si="567"/>
        <v>0</v>
      </c>
      <c r="GI191">
        <f ca="1">IF(GB191&gt;1200000,GB191-1200000-IF(F191="YES",50000,0)-GG191,0)</f>
        <v>0</v>
      </c>
      <c r="GJ191">
        <f t="shared" ca="1" si="568"/>
        <v>0</v>
      </c>
      <c r="GK191">
        <f t="shared" ca="1" si="569"/>
        <v>0</v>
      </c>
      <c r="GL191">
        <f t="shared" ca="1" si="570"/>
        <v>0</v>
      </c>
      <c r="GM191">
        <f t="shared" ca="1" si="571"/>
        <v>104154</v>
      </c>
      <c r="GN191">
        <f t="shared" ca="1" si="572"/>
        <v>5207.7000000000007</v>
      </c>
      <c r="GO191">
        <f t="shared" ca="1" si="573"/>
        <v>5208</v>
      </c>
      <c r="GP191">
        <f t="shared" ca="1" si="574"/>
        <v>0</v>
      </c>
      <c r="GQ191">
        <f t="shared" ca="1" si="575"/>
        <v>0</v>
      </c>
      <c r="GR191">
        <f t="shared" ca="1" si="576"/>
        <v>5208</v>
      </c>
      <c r="GS191">
        <f t="shared" ca="1" si="577"/>
        <v>0</v>
      </c>
      <c r="GT191" t="b">
        <f t="shared" ca="1" si="578"/>
        <v>0</v>
      </c>
      <c r="GU191">
        <f t="shared" ca="1" si="579"/>
        <v>0</v>
      </c>
      <c r="GV191">
        <f t="shared" ca="1" si="580"/>
        <v>5208</v>
      </c>
      <c r="GW191">
        <f t="shared" ca="1" si="581"/>
        <v>0</v>
      </c>
      <c r="GX191">
        <f t="shared" ca="1" si="582"/>
        <v>0</v>
      </c>
      <c r="GY191">
        <f t="shared" ca="1" si="583"/>
        <v>0</v>
      </c>
    </row>
    <row r="192" spans="1:207" x14ac:dyDescent="0.25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78"/>
        <v>6800</v>
      </c>
      <c r="I192">
        <f>_xlfn.XLOOKUP(B192,'[1]march-2026'!$A:$A,'[1]march-2026'!$C:$C,0,0)</f>
        <v>34500</v>
      </c>
      <c r="J192">
        <f t="shared" si="542"/>
        <v>6210</v>
      </c>
      <c r="K192">
        <f t="shared" si="479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0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1"/>
        <v>200</v>
      </c>
      <c r="R192">
        <f t="shared" si="482"/>
        <v>42150</v>
      </c>
      <c r="S192">
        <f>_xlfn.XLOOKUP(B192,'[2]april-2026'!$A:$A,'[2]april-2026'!$C:$C,0,0)</f>
        <v>34500</v>
      </c>
      <c r="T192">
        <f t="shared" si="483"/>
        <v>6210</v>
      </c>
      <c r="U192">
        <f t="shared" si="484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85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86"/>
        <v>200</v>
      </c>
      <c r="AB192">
        <f t="shared" si="487"/>
        <v>42150</v>
      </c>
      <c r="AC192">
        <f>_xlfn.XLOOKUP(B192,'[3]may-2026'!$A:$A,'[3]may-2026'!$C:$C,0,0)</f>
        <v>34500</v>
      </c>
      <c r="AD192">
        <f t="shared" si="488"/>
        <v>6210</v>
      </c>
      <c r="AE192">
        <f t="shared" si="489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0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1"/>
        <v>200</v>
      </c>
      <c r="AL192">
        <f t="shared" si="492"/>
        <v>42150</v>
      </c>
      <c r="AM192">
        <f>_xlfn.XLOOKUP(B192,'[4]june-2026'!$A:$A,'[4]june-2026'!$C:$C,0,0)</f>
        <v>34500</v>
      </c>
      <c r="AN192">
        <f t="shared" si="493"/>
        <v>6210</v>
      </c>
      <c r="AO192">
        <f t="shared" si="494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495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496"/>
        <v>200</v>
      </c>
      <c r="AV192">
        <f t="shared" si="497"/>
        <v>42150</v>
      </c>
      <c r="AW192">
        <f>_xlfn.XLOOKUP(B192,'[5]july-2026'!$A:$A,'[5]july-2026'!$C:$C,0,0)</f>
        <v>35500</v>
      </c>
      <c r="AX192">
        <f t="shared" si="498"/>
        <v>6390</v>
      </c>
      <c r="AY192">
        <v>190</v>
      </c>
      <c r="AZ192">
        <f t="shared" si="499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0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1"/>
        <v>200</v>
      </c>
      <c r="BG192">
        <f t="shared" si="502"/>
        <v>43640</v>
      </c>
      <c r="BH192">
        <f>_xlfn.XLOOKUP(B192,'[6]august-2026'!$A:$A,'[6]august-2026'!$C:$C,0,0)</f>
        <v>35500</v>
      </c>
      <c r="BI192">
        <f t="shared" si="503"/>
        <v>6390</v>
      </c>
      <c r="BJ192">
        <f t="shared" si="504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05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06"/>
        <v>200</v>
      </c>
      <c r="BQ192">
        <f t="shared" si="507"/>
        <v>43450</v>
      </c>
      <c r="BR192">
        <f>_xlfn.XLOOKUP(B192,'[7]september-2026'!$A:$A,'[7]september-2026'!$C:$C,0,0)</f>
        <v>35500</v>
      </c>
      <c r="BS192">
        <f t="shared" si="508"/>
        <v>6390</v>
      </c>
      <c r="BT192">
        <f t="shared" si="509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0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1"/>
        <v>200</v>
      </c>
      <c r="CA192">
        <f t="shared" si="512"/>
        <v>43450</v>
      </c>
      <c r="CB192">
        <f>_xlfn.XLOOKUP(B192,'[8]october-2026'!$A:$A,'[8]october-2026'!$C:$C,0,0)</f>
        <v>35500</v>
      </c>
      <c r="CC192">
        <f t="shared" si="513"/>
        <v>6390</v>
      </c>
      <c r="CD192">
        <f t="shared" si="514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15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16"/>
        <v>200</v>
      </c>
      <c r="CK192">
        <f t="shared" si="517"/>
        <v>43450</v>
      </c>
      <c r="CL192">
        <f>_xlfn.XLOOKUP(B192,'[9]november-2026'!$A:$A,'[9]november-2026'!$C:$C,0,0)</f>
        <v>35500</v>
      </c>
      <c r="CM192">
        <f t="shared" si="518"/>
        <v>6390</v>
      </c>
      <c r="CN192">
        <f t="shared" si="519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0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1"/>
        <v>200</v>
      </c>
      <c r="CU192">
        <f t="shared" si="522"/>
        <v>43450</v>
      </c>
      <c r="CV192">
        <f>_xlfn.XLOOKUP(B192,'[10]december-2026'!$A:$A,'[10]december-2026'!$C:$C,0,0)</f>
        <v>35500</v>
      </c>
      <c r="CW192">
        <f t="shared" si="523"/>
        <v>6390</v>
      </c>
      <c r="CX192">
        <f t="shared" si="524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25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26"/>
        <v>200</v>
      </c>
      <c r="DE192">
        <f t="shared" si="527"/>
        <v>43450</v>
      </c>
      <c r="DF192">
        <f xml:space="preserve"> _xlfn.XLOOKUP(B192,
'[11]january-2027'!$A:$A,
'[11]january-2027'!$C:$C,
0,0)</f>
        <v>35500</v>
      </c>
      <c r="DG192">
        <f t="shared" si="528"/>
        <v>6390</v>
      </c>
      <c r="DH192">
        <f t="shared" si="529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0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1"/>
        <v>200</v>
      </c>
      <c r="DO192">
        <f t="shared" si="532"/>
        <v>43450</v>
      </c>
      <c r="DP192">
        <f xml:space="preserve"> _xlfn.XLOOKUP(B192,
'[12]february-2027'!$A:$A,
'[12]february-2027'!$C:$C,
0,0)</f>
        <v>35500</v>
      </c>
      <c r="DQ192">
        <f t="shared" si="533"/>
        <v>6390</v>
      </c>
      <c r="DR192">
        <f t="shared" si="534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35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36"/>
        <v>200</v>
      </c>
      <c r="DY192">
        <f t="shared" si="537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38"/>
        <v>0</v>
      </c>
      <c r="EM192">
        <f t="shared" si="539"/>
        <v>555590</v>
      </c>
      <c r="EN192">
        <f t="shared" si="540"/>
        <v>2400</v>
      </c>
      <c r="EO192">
        <f t="shared" si="541"/>
        <v>50000</v>
      </c>
      <c r="EP192">
        <v>0</v>
      </c>
      <c r="EQ192">
        <f t="shared" si="543"/>
        <v>503190</v>
      </c>
      <c r="ER192">
        <f t="shared" si="544"/>
        <v>30000</v>
      </c>
      <c r="ES192">
        <f t="shared" si="545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46"/>
        <v>30000</v>
      </c>
      <c r="FE192">
        <f t="shared" si="547"/>
        <v>30000</v>
      </c>
      <c r="FF192">
        <f t="shared" si="548"/>
        <v>473190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>SUM(FG192:FM192)+(IF(F192="YES",50000,0))</f>
        <v>0</v>
      </c>
      <c r="FO192">
        <f t="shared" si="549"/>
        <v>473190</v>
      </c>
      <c r="FP192">
        <f t="shared" si="550"/>
        <v>11160</v>
      </c>
      <c r="FQ192">
        <f t="shared" si="551"/>
        <v>0</v>
      </c>
      <c r="FR192">
        <f t="shared" si="552"/>
        <v>11160</v>
      </c>
      <c r="FS192">
        <f t="shared" si="553"/>
        <v>0</v>
      </c>
      <c r="FT192">
        <f t="shared" si="554"/>
        <v>0</v>
      </c>
      <c r="FU192">
        <f t="shared" si="555"/>
        <v>0</v>
      </c>
      <c r="FV192">
        <v>0</v>
      </c>
      <c r="FW192">
        <f t="shared" si="556"/>
        <v>0</v>
      </c>
      <c r="FX192" t="b">
        <f t="shared" si="557"/>
        <v>1</v>
      </c>
      <c r="FY192">
        <f t="shared" ca="1" si="558"/>
        <v>628</v>
      </c>
      <c r="FZ192">
        <f t="shared" ca="1" si="559"/>
        <v>556218</v>
      </c>
      <c r="GA192">
        <f t="shared" si="560"/>
        <v>75000</v>
      </c>
      <c r="GB192">
        <f t="shared" ca="1" si="561"/>
        <v>481218</v>
      </c>
      <c r="GC192">
        <f t="shared" ca="1" si="562"/>
        <v>0</v>
      </c>
      <c r="GD192">
        <f t="shared" ca="1" si="563"/>
        <v>0</v>
      </c>
      <c r="GE192">
        <f t="shared" ca="1" si="564"/>
        <v>0</v>
      </c>
      <c r="GF192">
        <f t="shared" ca="1" si="565"/>
        <v>0</v>
      </c>
      <c r="GG192">
        <f t="shared" ca="1" si="566"/>
        <v>0</v>
      </c>
      <c r="GH192">
        <f t="shared" ca="1" si="567"/>
        <v>0</v>
      </c>
      <c r="GI192">
        <f ca="1">IF(GB192&gt;1200000,GB192-1200000-IF(F192="YES",50000,0)-GG192,0)</f>
        <v>0</v>
      </c>
      <c r="GJ192">
        <f t="shared" ca="1" si="568"/>
        <v>0</v>
      </c>
      <c r="GK192">
        <f t="shared" ca="1" si="569"/>
        <v>0</v>
      </c>
      <c r="GL192">
        <f t="shared" ca="1" si="570"/>
        <v>0</v>
      </c>
      <c r="GM192">
        <f t="shared" ca="1" si="571"/>
        <v>81218</v>
      </c>
      <c r="GN192">
        <f t="shared" ca="1" si="572"/>
        <v>4060.9</v>
      </c>
      <c r="GO192">
        <f t="shared" ca="1" si="573"/>
        <v>4061</v>
      </c>
      <c r="GP192">
        <f t="shared" ca="1" si="574"/>
        <v>0</v>
      </c>
      <c r="GQ192">
        <f t="shared" ca="1" si="575"/>
        <v>0</v>
      </c>
      <c r="GR192">
        <f t="shared" ca="1" si="576"/>
        <v>4061</v>
      </c>
      <c r="GS192">
        <f t="shared" ca="1" si="577"/>
        <v>0</v>
      </c>
      <c r="GT192" t="b">
        <f t="shared" ca="1" si="578"/>
        <v>0</v>
      </c>
      <c r="GU192">
        <f t="shared" ca="1" si="579"/>
        <v>0</v>
      </c>
      <c r="GV192">
        <f t="shared" ca="1" si="580"/>
        <v>4061</v>
      </c>
      <c r="GW192">
        <f t="shared" ca="1" si="581"/>
        <v>0</v>
      </c>
      <c r="GX192">
        <f t="shared" ca="1" si="582"/>
        <v>0</v>
      </c>
      <c r="GY192">
        <f t="shared" ca="1" si="583"/>
        <v>0</v>
      </c>
    </row>
    <row r="193" spans="1:207" x14ac:dyDescent="0.25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78"/>
        <v>6800</v>
      </c>
      <c r="I193">
        <f>_xlfn.XLOOKUP(B193,'[1]march-2026'!$A:$A,'[1]march-2026'!$C:$C,0,0)</f>
        <v>29800</v>
      </c>
      <c r="J193">
        <f t="shared" si="542"/>
        <v>5364</v>
      </c>
      <c r="K193">
        <f t="shared" si="479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0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1"/>
        <v>150</v>
      </c>
      <c r="R193">
        <f t="shared" si="482"/>
        <v>37090</v>
      </c>
      <c r="S193">
        <f>_xlfn.XLOOKUP(B193,'[2]april-2026'!$A:$A,'[2]april-2026'!$C:$C,0,0)</f>
        <v>29800</v>
      </c>
      <c r="T193">
        <f t="shared" si="483"/>
        <v>5364</v>
      </c>
      <c r="U193">
        <f t="shared" si="484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85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86"/>
        <v>150</v>
      </c>
      <c r="AB193">
        <f t="shared" si="487"/>
        <v>37090</v>
      </c>
      <c r="AC193">
        <f>_xlfn.XLOOKUP(B193,'[3]may-2026'!$A:$A,'[3]may-2026'!$C:$C,0,0)</f>
        <v>29800</v>
      </c>
      <c r="AD193">
        <f t="shared" si="488"/>
        <v>5364</v>
      </c>
      <c r="AE193">
        <f t="shared" si="489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0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1"/>
        <v>150</v>
      </c>
      <c r="AL193">
        <f t="shared" si="492"/>
        <v>37090</v>
      </c>
      <c r="AM193">
        <f>_xlfn.XLOOKUP(B193,'[4]june-2026'!$A:$A,'[4]june-2026'!$C:$C,0,0)</f>
        <v>29800</v>
      </c>
      <c r="AN193">
        <f t="shared" si="493"/>
        <v>5364</v>
      </c>
      <c r="AO193">
        <f t="shared" si="494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495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496"/>
        <v>150</v>
      </c>
      <c r="AV193">
        <f t="shared" si="497"/>
        <v>37090</v>
      </c>
      <c r="AW193">
        <f>_xlfn.XLOOKUP(B193,'[5]july-2026'!$A:$A,'[5]july-2026'!$C:$C,0,0)</f>
        <v>30700</v>
      </c>
      <c r="AX193">
        <f t="shared" si="498"/>
        <v>5526</v>
      </c>
      <c r="AY193">
        <v>191</v>
      </c>
      <c r="AZ193">
        <f t="shared" si="499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0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1"/>
        <v>200</v>
      </c>
      <c r="BG193">
        <f t="shared" si="502"/>
        <v>38401</v>
      </c>
      <c r="BH193">
        <f>_xlfn.XLOOKUP(B193,'[6]august-2026'!$A:$A,'[6]august-2026'!$C:$C,0,0)</f>
        <v>30700</v>
      </c>
      <c r="BI193">
        <f t="shared" si="503"/>
        <v>5526</v>
      </c>
      <c r="BJ193">
        <f t="shared" si="504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05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06"/>
        <v>200</v>
      </c>
      <c r="BQ193">
        <f t="shared" si="507"/>
        <v>38210</v>
      </c>
      <c r="BR193">
        <f>_xlfn.XLOOKUP(B193,'[7]september-2026'!$A:$A,'[7]september-2026'!$C:$C,0,0)</f>
        <v>30700</v>
      </c>
      <c r="BS193">
        <f t="shared" si="508"/>
        <v>5526</v>
      </c>
      <c r="BT193">
        <f t="shared" si="509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0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1"/>
        <v>200</v>
      </c>
      <c r="CA193">
        <f t="shared" si="512"/>
        <v>38210</v>
      </c>
      <c r="CB193">
        <f>_xlfn.XLOOKUP(B193,'[8]october-2026'!$A:$A,'[8]october-2026'!$C:$C,0,0)</f>
        <v>30700</v>
      </c>
      <c r="CC193">
        <f t="shared" si="513"/>
        <v>5526</v>
      </c>
      <c r="CD193">
        <f t="shared" si="514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15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16"/>
        <v>200</v>
      </c>
      <c r="CK193">
        <f t="shared" si="517"/>
        <v>38210</v>
      </c>
      <c r="CL193">
        <f>_xlfn.XLOOKUP(B193,'[9]november-2026'!$A:$A,'[9]november-2026'!$C:$C,0,0)</f>
        <v>30700</v>
      </c>
      <c r="CM193">
        <f t="shared" si="518"/>
        <v>5526</v>
      </c>
      <c r="CN193">
        <f t="shared" si="519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0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1"/>
        <v>200</v>
      </c>
      <c r="CU193">
        <f t="shared" si="522"/>
        <v>38210</v>
      </c>
      <c r="CV193">
        <f>_xlfn.XLOOKUP(B193,'[10]december-2026'!$A:$A,'[10]december-2026'!$C:$C,0,0)</f>
        <v>30700</v>
      </c>
      <c r="CW193">
        <f t="shared" si="523"/>
        <v>5526</v>
      </c>
      <c r="CX193">
        <f t="shared" si="524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25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26"/>
        <v>200</v>
      </c>
      <c r="DE193">
        <f t="shared" si="527"/>
        <v>38210</v>
      </c>
      <c r="DF193">
        <f xml:space="preserve"> _xlfn.XLOOKUP(B193,
'[11]january-2027'!$A:$A,
'[11]january-2027'!$C:$C,
0,0)</f>
        <v>30700</v>
      </c>
      <c r="DG193">
        <f t="shared" si="528"/>
        <v>5526</v>
      </c>
      <c r="DH193">
        <f t="shared" si="529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0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1"/>
        <v>200</v>
      </c>
      <c r="DO193">
        <f t="shared" si="532"/>
        <v>38210</v>
      </c>
      <c r="DP193">
        <f xml:space="preserve"> _xlfn.XLOOKUP(B193,
'[12]february-2027'!$A:$A,
'[12]february-2027'!$C:$C,
0,0)</f>
        <v>30700</v>
      </c>
      <c r="DQ193">
        <f t="shared" si="533"/>
        <v>5526</v>
      </c>
      <c r="DR193">
        <f t="shared" si="534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35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36"/>
        <v>200</v>
      </c>
      <c r="DY193">
        <f t="shared" si="537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38"/>
        <v>0</v>
      </c>
      <c r="EM193">
        <f t="shared" si="539"/>
        <v>487231</v>
      </c>
      <c r="EN193">
        <f t="shared" si="540"/>
        <v>2200</v>
      </c>
      <c r="EO193">
        <f t="shared" si="541"/>
        <v>50000</v>
      </c>
      <c r="EP193">
        <v>0</v>
      </c>
      <c r="EQ193">
        <f t="shared" si="543"/>
        <v>435031</v>
      </c>
      <c r="ER193">
        <f t="shared" si="544"/>
        <v>24000</v>
      </c>
      <c r="ES193">
        <f t="shared" si="545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46"/>
        <v>24000</v>
      </c>
      <c r="FE193">
        <f t="shared" si="547"/>
        <v>24000</v>
      </c>
      <c r="FF193">
        <f t="shared" si="548"/>
        <v>411031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>SUM(FG193:FM193)+(IF(F193="YES",50000,0))</f>
        <v>0</v>
      </c>
      <c r="FO193">
        <f t="shared" si="549"/>
        <v>411031</v>
      </c>
      <c r="FP193">
        <f t="shared" si="550"/>
        <v>8052</v>
      </c>
      <c r="FQ193">
        <f t="shared" si="551"/>
        <v>0</v>
      </c>
      <c r="FR193">
        <f t="shared" si="552"/>
        <v>8052</v>
      </c>
      <c r="FS193">
        <f t="shared" si="553"/>
        <v>0</v>
      </c>
      <c r="FT193">
        <f t="shared" si="554"/>
        <v>0</v>
      </c>
      <c r="FU193">
        <f t="shared" si="555"/>
        <v>0</v>
      </c>
      <c r="FV193">
        <v>0</v>
      </c>
      <c r="FW193">
        <f t="shared" si="556"/>
        <v>0</v>
      </c>
      <c r="FX193" t="b">
        <f t="shared" si="557"/>
        <v>0</v>
      </c>
      <c r="FY193">
        <f t="shared" ca="1" si="558"/>
        <v>2587</v>
      </c>
      <c r="FZ193">
        <f t="shared" ca="1" si="559"/>
        <v>489818</v>
      </c>
      <c r="GA193">
        <f t="shared" si="560"/>
        <v>75000</v>
      </c>
      <c r="GB193">
        <f t="shared" ca="1" si="561"/>
        <v>414818</v>
      </c>
      <c r="GC193">
        <f t="shared" ca="1" si="562"/>
        <v>0</v>
      </c>
      <c r="GD193">
        <f t="shared" ca="1" si="563"/>
        <v>0</v>
      </c>
      <c r="GE193">
        <f t="shared" ca="1" si="564"/>
        <v>0</v>
      </c>
      <c r="GF193">
        <f t="shared" ca="1" si="565"/>
        <v>0</v>
      </c>
      <c r="GG193">
        <f t="shared" ca="1" si="566"/>
        <v>0</v>
      </c>
      <c r="GH193">
        <f t="shared" ca="1" si="567"/>
        <v>0</v>
      </c>
      <c r="GI193">
        <f ca="1">IF(GB193&gt;1200000,GB193-1200000-IF(F193="YES",50000,0)-GG193,0)</f>
        <v>0</v>
      </c>
      <c r="GJ193">
        <f t="shared" ca="1" si="568"/>
        <v>0</v>
      </c>
      <c r="GK193">
        <f t="shared" ca="1" si="569"/>
        <v>0</v>
      </c>
      <c r="GL193">
        <f t="shared" ca="1" si="570"/>
        <v>0</v>
      </c>
      <c r="GM193">
        <f t="shared" ca="1" si="571"/>
        <v>14818</v>
      </c>
      <c r="GN193">
        <f t="shared" ca="1" si="572"/>
        <v>740.90000000000009</v>
      </c>
      <c r="GO193">
        <f t="shared" ca="1" si="573"/>
        <v>741</v>
      </c>
      <c r="GP193">
        <f t="shared" ca="1" si="574"/>
        <v>0</v>
      </c>
      <c r="GQ193">
        <f t="shared" ca="1" si="575"/>
        <v>0</v>
      </c>
      <c r="GR193">
        <f t="shared" ca="1" si="576"/>
        <v>741</v>
      </c>
      <c r="GS193">
        <f t="shared" ca="1" si="577"/>
        <v>0</v>
      </c>
      <c r="GT193" t="b">
        <f t="shared" ca="1" si="578"/>
        <v>0</v>
      </c>
      <c r="GU193">
        <f t="shared" ca="1" si="579"/>
        <v>0</v>
      </c>
      <c r="GV193">
        <f t="shared" ca="1" si="580"/>
        <v>741</v>
      </c>
      <c r="GW193">
        <f t="shared" ca="1" si="581"/>
        <v>0</v>
      </c>
      <c r="GX193">
        <f t="shared" ca="1" si="582"/>
        <v>0</v>
      </c>
      <c r="GY193">
        <f t="shared" ca="1" si="583"/>
        <v>0</v>
      </c>
    </row>
    <row r="194" spans="1:207" x14ac:dyDescent="0.25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78"/>
        <v>6800</v>
      </c>
      <c r="I194">
        <f>_xlfn.XLOOKUP(B194,'[1]march-2026'!$A:$A,'[1]march-2026'!$C:$C,0,0)</f>
        <v>29800</v>
      </c>
      <c r="J194">
        <f t="shared" si="542"/>
        <v>5364</v>
      </c>
      <c r="K194">
        <f t="shared" si="479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0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1"/>
        <v>150</v>
      </c>
      <c r="R194">
        <f t="shared" si="482"/>
        <v>39090</v>
      </c>
      <c r="S194">
        <f>_xlfn.XLOOKUP(B194,'[2]april-2026'!$A:$A,'[2]april-2026'!$C:$C,0,0)</f>
        <v>29800</v>
      </c>
      <c r="T194">
        <f t="shared" si="483"/>
        <v>5364</v>
      </c>
      <c r="U194">
        <f t="shared" si="484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85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86"/>
        <v>150</v>
      </c>
      <c r="AB194">
        <f t="shared" si="487"/>
        <v>39090</v>
      </c>
      <c r="AC194">
        <f>_xlfn.XLOOKUP(B194,'[3]may-2026'!$A:$A,'[3]may-2026'!$C:$C,0,0)</f>
        <v>29800</v>
      </c>
      <c r="AD194">
        <f t="shared" si="488"/>
        <v>5364</v>
      </c>
      <c r="AE194">
        <f t="shared" si="489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0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1"/>
        <v>150</v>
      </c>
      <c r="AL194">
        <f t="shared" si="492"/>
        <v>39090</v>
      </c>
      <c r="AM194">
        <f>_xlfn.XLOOKUP(B194,'[4]june-2026'!$A:$A,'[4]june-2026'!$C:$C,0,0)</f>
        <v>29800</v>
      </c>
      <c r="AN194">
        <f t="shared" si="493"/>
        <v>5364</v>
      </c>
      <c r="AO194">
        <f t="shared" si="494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495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496"/>
        <v>150</v>
      </c>
      <c r="AV194">
        <f t="shared" si="497"/>
        <v>39090</v>
      </c>
      <c r="AW194">
        <f>_xlfn.XLOOKUP(B194,'[5]july-2026'!$A:$A,'[5]july-2026'!$C:$C,0,0)</f>
        <v>30700</v>
      </c>
      <c r="AX194">
        <f t="shared" si="498"/>
        <v>5526</v>
      </c>
      <c r="AY194">
        <v>192</v>
      </c>
      <c r="AZ194">
        <f t="shared" si="499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0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1"/>
        <v>200</v>
      </c>
      <c r="BG194">
        <f t="shared" si="502"/>
        <v>40402</v>
      </c>
      <c r="BH194">
        <f>_xlfn.XLOOKUP(B194,'[6]august-2026'!$A:$A,'[6]august-2026'!$C:$C,0,0)</f>
        <v>30700</v>
      </c>
      <c r="BI194">
        <f t="shared" si="503"/>
        <v>5526</v>
      </c>
      <c r="BJ194">
        <f t="shared" si="504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05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06"/>
        <v>200</v>
      </c>
      <c r="BQ194">
        <f t="shared" si="507"/>
        <v>40210</v>
      </c>
      <c r="BR194">
        <f>_xlfn.XLOOKUP(B194,'[7]september-2026'!$A:$A,'[7]september-2026'!$C:$C,0,0)</f>
        <v>30700</v>
      </c>
      <c r="BS194">
        <f t="shared" si="508"/>
        <v>5526</v>
      </c>
      <c r="BT194">
        <f t="shared" si="509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0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1"/>
        <v>200</v>
      </c>
      <c r="CA194">
        <f t="shared" si="512"/>
        <v>40210</v>
      </c>
      <c r="CB194">
        <f>_xlfn.XLOOKUP(B194,'[8]october-2026'!$A:$A,'[8]october-2026'!$C:$C,0,0)</f>
        <v>30700</v>
      </c>
      <c r="CC194">
        <f t="shared" si="513"/>
        <v>5526</v>
      </c>
      <c r="CD194">
        <f t="shared" si="514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15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16"/>
        <v>200</v>
      </c>
      <c r="CK194">
        <f t="shared" si="517"/>
        <v>40210</v>
      </c>
      <c r="CL194">
        <f>_xlfn.XLOOKUP(B194,'[9]november-2026'!$A:$A,'[9]november-2026'!$C:$C,0,0)</f>
        <v>30700</v>
      </c>
      <c r="CM194">
        <f t="shared" si="518"/>
        <v>5526</v>
      </c>
      <c r="CN194">
        <f t="shared" si="519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0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1"/>
        <v>200</v>
      </c>
      <c r="CU194">
        <f t="shared" si="522"/>
        <v>40210</v>
      </c>
      <c r="CV194">
        <f>_xlfn.XLOOKUP(B194,'[10]december-2026'!$A:$A,'[10]december-2026'!$C:$C,0,0)</f>
        <v>30700</v>
      </c>
      <c r="CW194">
        <f t="shared" si="523"/>
        <v>5526</v>
      </c>
      <c r="CX194">
        <f t="shared" si="524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25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26"/>
        <v>200</v>
      </c>
      <c r="DE194">
        <f t="shared" si="527"/>
        <v>40210</v>
      </c>
      <c r="DF194">
        <f xml:space="preserve"> _xlfn.XLOOKUP(B194,
'[11]january-2027'!$A:$A,
'[11]january-2027'!$C:$C,
0,0)</f>
        <v>30700</v>
      </c>
      <c r="DG194">
        <f t="shared" si="528"/>
        <v>5526</v>
      </c>
      <c r="DH194">
        <f t="shared" si="529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0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1"/>
        <v>200</v>
      </c>
      <c r="DO194">
        <f t="shared" si="532"/>
        <v>40210</v>
      </c>
      <c r="DP194">
        <f xml:space="preserve"> _xlfn.XLOOKUP(B194,
'[12]february-2027'!$A:$A,
'[12]february-2027'!$C:$C,
0,0)</f>
        <v>30700</v>
      </c>
      <c r="DQ194">
        <f t="shared" si="533"/>
        <v>5526</v>
      </c>
      <c r="DR194">
        <f t="shared" si="534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35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36"/>
        <v>200</v>
      </c>
      <c r="DY194">
        <f t="shared" si="537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38"/>
        <v>0</v>
      </c>
      <c r="EM194">
        <f t="shared" si="539"/>
        <v>487232</v>
      </c>
      <c r="EN194">
        <f t="shared" si="540"/>
        <v>2200</v>
      </c>
      <c r="EO194">
        <f t="shared" si="541"/>
        <v>50000</v>
      </c>
      <c r="EP194">
        <v>0</v>
      </c>
      <c r="EQ194">
        <f t="shared" si="543"/>
        <v>435032</v>
      </c>
      <c r="ER194">
        <f t="shared" si="544"/>
        <v>0</v>
      </c>
      <c r="ES194">
        <f t="shared" si="545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46"/>
        <v>0</v>
      </c>
      <c r="FE194">
        <f t="shared" si="547"/>
        <v>0</v>
      </c>
      <c r="FF194">
        <f t="shared" si="548"/>
        <v>435032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>SUM(FG194:FM194)+(IF(F194="YES",50000,0))</f>
        <v>0</v>
      </c>
      <c r="FO194">
        <f t="shared" si="549"/>
        <v>435032</v>
      </c>
      <c r="FP194">
        <f t="shared" si="550"/>
        <v>9252</v>
      </c>
      <c r="FQ194">
        <f t="shared" si="551"/>
        <v>0</v>
      </c>
      <c r="FR194">
        <f t="shared" si="552"/>
        <v>9252</v>
      </c>
      <c r="FS194">
        <f t="shared" si="553"/>
        <v>0</v>
      </c>
      <c r="FT194">
        <f t="shared" si="554"/>
        <v>0</v>
      </c>
      <c r="FU194">
        <f t="shared" si="555"/>
        <v>0</v>
      </c>
      <c r="FV194">
        <v>0</v>
      </c>
      <c r="FW194">
        <f t="shared" si="556"/>
        <v>0</v>
      </c>
      <c r="FX194" t="b">
        <f t="shared" si="557"/>
        <v>0</v>
      </c>
      <c r="FY194">
        <f t="shared" ca="1" si="558"/>
        <v>1410</v>
      </c>
      <c r="FZ194">
        <f t="shared" ca="1" si="559"/>
        <v>488642</v>
      </c>
      <c r="GA194">
        <f t="shared" si="560"/>
        <v>75000</v>
      </c>
      <c r="GB194">
        <f t="shared" ca="1" si="561"/>
        <v>413642</v>
      </c>
      <c r="GC194">
        <f t="shared" ca="1" si="562"/>
        <v>0</v>
      </c>
      <c r="GD194">
        <f t="shared" ca="1" si="563"/>
        <v>0</v>
      </c>
      <c r="GE194">
        <f t="shared" ca="1" si="564"/>
        <v>0</v>
      </c>
      <c r="GF194">
        <f t="shared" ca="1" si="565"/>
        <v>0</v>
      </c>
      <c r="GG194">
        <f t="shared" ca="1" si="566"/>
        <v>0</v>
      </c>
      <c r="GH194">
        <f t="shared" ca="1" si="567"/>
        <v>0</v>
      </c>
      <c r="GI194">
        <f ca="1">IF(GB194&gt;1200000,GB194-1200000-IF(F194="YES",50000,0)-GG194,0)</f>
        <v>0</v>
      </c>
      <c r="GJ194">
        <f t="shared" ca="1" si="568"/>
        <v>0</v>
      </c>
      <c r="GK194">
        <f t="shared" ca="1" si="569"/>
        <v>0</v>
      </c>
      <c r="GL194">
        <f t="shared" ca="1" si="570"/>
        <v>0</v>
      </c>
      <c r="GM194">
        <f t="shared" ca="1" si="571"/>
        <v>13642</v>
      </c>
      <c r="GN194">
        <f t="shared" ca="1" si="572"/>
        <v>682.1</v>
      </c>
      <c r="GO194">
        <f t="shared" ca="1" si="573"/>
        <v>682</v>
      </c>
      <c r="GP194">
        <f t="shared" ca="1" si="574"/>
        <v>0</v>
      </c>
      <c r="GQ194">
        <f t="shared" ca="1" si="575"/>
        <v>0</v>
      </c>
      <c r="GR194">
        <f t="shared" ca="1" si="576"/>
        <v>682</v>
      </c>
      <c r="GS194">
        <f t="shared" ca="1" si="577"/>
        <v>0</v>
      </c>
      <c r="GT194" t="b">
        <f t="shared" ca="1" si="578"/>
        <v>0</v>
      </c>
      <c r="GU194">
        <f t="shared" ca="1" si="579"/>
        <v>0</v>
      </c>
      <c r="GV194">
        <f t="shared" ca="1" si="580"/>
        <v>682</v>
      </c>
      <c r="GW194">
        <f t="shared" ca="1" si="581"/>
        <v>0</v>
      </c>
      <c r="GX194">
        <f t="shared" ca="1" si="582"/>
        <v>0</v>
      </c>
      <c r="GY194">
        <f t="shared" ca="1" si="583"/>
        <v>0</v>
      </c>
    </row>
    <row r="195" spans="1:207" x14ac:dyDescent="0.25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25">IF(_xlfn.DAYS("31-03-2026",G195)&gt;=180,6800,0)</f>
        <v>6800</v>
      </c>
      <c r="I195">
        <f>_xlfn.XLOOKUP(B195,'[1]march-2026'!$A:$A,'[1]march-2026'!$C:$C,0,0)</f>
        <v>48700</v>
      </c>
      <c r="J195">
        <f t="shared" si="542"/>
        <v>8766</v>
      </c>
      <c r="K195">
        <f t="shared" ref="K195:K258" si="626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8" si="627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8" si="628">IF($F$2="YES",0,IF(N195&gt;40000,200,IF(N195&gt;25000,150,IF(N195&gt;15000,130,IF(N195&gt;10000,110,0)))))</f>
        <v>200</v>
      </c>
      <c r="R195">
        <f t="shared" ref="R195:R258" si="629">N195-O195-P195-Q195</f>
        <v>59510</v>
      </c>
      <c r="S195">
        <f>_xlfn.XLOOKUP(B195,'[2]april-2026'!$A:$A,'[2]april-2026'!$C:$C,0,0)</f>
        <v>48700</v>
      </c>
      <c r="T195">
        <f t="shared" ref="T195:T258" si="630">S195*0.18</f>
        <v>8766</v>
      </c>
      <c r="U195">
        <f t="shared" ref="U195:U258" si="631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8" si="632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8" si="633">IF($F195="YES",0,IF(X195&gt;40000,200,IF(X195&gt;25000,150,IF(X195&gt;15000,130,IF(X195&gt;10000,110,0)))))</f>
        <v>200</v>
      </c>
      <c r="AB195">
        <f t="shared" ref="AB195:AB258" si="634">X195-Y195-Z195-AA195</f>
        <v>59510</v>
      </c>
      <c r="AC195">
        <f>_xlfn.XLOOKUP(B195,'[3]may-2026'!$A:$A,'[3]may-2026'!$C:$C,0,0)</f>
        <v>48700</v>
      </c>
      <c r="AD195">
        <f t="shared" ref="AD195:AD258" si="635">AC195*0.18</f>
        <v>8766</v>
      </c>
      <c r="AE195">
        <f t="shared" ref="AE195:AE258" si="636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8" si="637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8" si="638">IF($F195="YES",0,IF(AH195&gt;40000,200,IF(AH195&gt;25000,150,IF(AH195&gt;15000,130,IF(AH195&gt;10000,110,0)))))</f>
        <v>200</v>
      </c>
      <c r="AL195">
        <f t="shared" ref="AL195:AL258" si="639">AH195-AI195-AJ195-AK195</f>
        <v>59510</v>
      </c>
      <c r="AM195">
        <f>_xlfn.XLOOKUP(B195,'[4]june-2026'!$A:$A,'[4]june-2026'!$C:$C,0,0)</f>
        <v>48700</v>
      </c>
      <c r="AN195">
        <f t="shared" ref="AN195:AN258" si="640">AM195*0.18</f>
        <v>8766</v>
      </c>
      <c r="AO195">
        <f t="shared" ref="AO195:AO258" si="641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8" si="642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8" si="643">IF($F195="YES",0,IF(AR195&gt;40000,200,IF(AR195&gt;25000,150,IF(AR195&gt;15000,130,IF(AR195&gt;10000,110,0)))))</f>
        <v>200</v>
      </c>
      <c r="AV195">
        <f t="shared" ref="AV195:AV258" si="644">AR195-AS195-AT195-AU195</f>
        <v>59510</v>
      </c>
      <c r="AW195">
        <f>_xlfn.XLOOKUP(B195,'[5]july-2026'!$A:$A,'[5]july-2026'!$C:$C,0,0)</f>
        <v>50200</v>
      </c>
      <c r="AX195">
        <f t="shared" ref="AX195:AX258" si="645">AW195*0.18</f>
        <v>9036</v>
      </c>
      <c r="AY195">
        <v>193</v>
      </c>
      <c r="AZ195">
        <f t="shared" ref="AZ195:AZ258" si="646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8" si="647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8" si="648">IF($F195="YES",0,IF(BC195&gt;40000,200,IF(BC195&gt;25000,150,IF(BC195&gt;15000,130,IF(BC195&gt;10000,110,0)))))</f>
        <v>200</v>
      </c>
      <c r="BG195">
        <f t="shared" ref="BG195:BG258" si="649">BC195-BD195-BE195-BF195</f>
        <v>61653</v>
      </c>
      <c r="BH195">
        <f>_xlfn.XLOOKUP(B195,'[6]august-2026'!$A:$A,'[6]august-2026'!$C:$C,0,0)</f>
        <v>50200</v>
      </c>
      <c r="BI195">
        <f t="shared" ref="BI195:BI258" si="650">BH195*0.18</f>
        <v>9036</v>
      </c>
      <c r="BJ195">
        <f t="shared" ref="BJ195:BJ258" si="651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8" si="652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8" si="653">IF($F195="YES",0,IF(BM195&gt;40000,200,IF(BM195&gt;25000,150,IF(BM195&gt;15000,130,IF(BM195&gt;10000,110,0)))))</f>
        <v>200</v>
      </c>
      <c r="BQ195">
        <f t="shared" ref="BQ195:BQ258" si="654">BM195-BN195-BO195-BP195</f>
        <v>61460</v>
      </c>
      <c r="BR195">
        <f>_xlfn.XLOOKUP(B195,'[7]september-2026'!$A:$A,'[7]september-2026'!$C:$C,0,0)</f>
        <v>50200</v>
      </c>
      <c r="BS195">
        <f t="shared" ref="BS195:BS258" si="655">BR195*0.18</f>
        <v>9036</v>
      </c>
      <c r="BT195">
        <f t="shared" ref="BT195:BT258" si="656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8" si="657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8" si="658">IF($F195="YES",0,IF(BW195&gt;40000,200,IF(BW195&gt;25000,150,IF(BW195&gt;15000,130,IF(BW195&gt;10000,110,0)))))</f>
        <v>200</v>
      </c>
      <c r="CA195">
        <f t="shared" ref="CA195:CA258" si="659">BW195-BX195-BY195-BZ195</f>
        <v>61460</v>
      </c>
      <c r="CB195">
        <f>_xlfn.XLOOKUP(B195,'[8]october-2026'!$A:$A,'[8]october-2026'!$C:$C,0,0)</f>
        <v>50200</v>
      </c>
      <c r="CC195">
        <f t="shared" ref="CC195:CC258" si="660">CB195*0.18</f>
        <v>9036</v>
      </c>
      <c r="CD195">
        <f t="shared" ref="CD195:CD258" si="661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8" si="662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8" si="663">IF($F195="YES",0,IF(CG195&gt;40000,200,IF(CG195&gt;25000,150,IF(CG195&gt;15000,130,IF(CG195&gt;10000,110,0)))))</f>
        <v>200</v>
      </c>
      <c r="CK195">
        <f t="shared" ref="CK195:CK258" si="664">CG195-CH195-CI195-CJ195</f>
        <v>61460</v>
      </c>
      <c r="CL195">
        <f>_xlfn.XLOOKUP(B195,'[9]november-2026'!$A:$A,'[9]november-2026'!$C:$C,0,0)</f>
        <v>50200</v>
      </c>
      <c r="CM195">
        <f t="shared" ref="CM195:CM258" si="665">CL195*0.18</f>
        <v>9036</v>
      </c>
      <c r="CN195">
        <f t="shared" ref="CN195:CN258" si="666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8" si="667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8" si="668">IF($F195="YES",0,IF(CQ195&gt;40000,200,IF(CQ195&gt;25000,150,IF(CQ195&gt;15000,130,IF(CQ195&gt;10000,110,0)))))</f>
        <v>200</v>
      </c>
      <c r="CU195">
        <f t="shared" ref="CU195:CU258" si="669">CQ195-CR195-CS195-CT195</f>
        <v>61460</v>
      </c>
      <c r="CV195">
        <f>_xlfn.XLOOKUP(B195,'[10]december-2026'!$A:$A,'[10]december-2026'!$C:$C,0,0)</f>
        <v>50200</v>
      </c>
      <c r="CW195">
        <f t="shared" ref="CW195:CW258" si="670">ROUND(CV195*0.18,0)</f>
        <v>9036</v>
      </c>
      <c r="CX195">
        <f t="shared" ref="CX195:CX258" si="671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8" si="672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8" si="673">IF($F195="YES",0,IF(DA195&gt;40000,200,IF(DA195&gt;25000,150,IF(DA195&gt;15000,130,IF(DA195&gt;10000,110,0)))))</f>
        <v>200</v>
      </c>
      <c r="DE195">
        <f t="shared" ref="DE195:DE258" si="674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8" si="675">DF195*0.18</f>
        <v>9036</v>
      </c>
      <c r="DH195">
        <f t="shared" ref="DH195:DH258" si="676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8" si="677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8" si="678">IF($F195="YES",0,IF(DK195&gt;40000,200,IF(DK195&gt;25000,150,IF(DK195&gt;15000,130,IF(DK195&gt;10000,110,0)))))</f>
        <v>200</v>
      </c>
      <c r="DO195">
        <f t="shared" ref="DO195:DO258" si="679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8" si="680">DP195*0.18</f>
        <v>9036</v>
      </c>
      <c r="DR195">
        <f t="shared" ref="DR195:DR258" si="681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8" si="682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8" si="683">IF($F195="YES",0,IF(DU195&gt;40000,200,IF(DU195&gt;25000,150,IF(DU195&gt;15000,130,IF(DU195&gt;10000,110,0)))))</f>
        <v>200</v>
      </c>
      <c r="DY195">
        <f t="shared" ref="DY195:DY258" si="684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8" si="685">SUM(DZ195:EK195)</f>
        <v>0</v>
      </c>
      <c r="EM195">
        <f t="shared" ref="EM195:EM258" si="686">DU195+DK195+DA195+CQ195+CG195+BW195+BM195+BC195+AR195+AH195+X195+N195+H195</f>
        <v>787113</v>
      </c>
      <c r="EN195">
        <f t="shared" ref="EN195:EN258" si="687">DX195+DN195+DD195+CT195+CJ195+BZ195+BP195+BF195+AU195+AK195+AA195+Q195</f>
        <v>2400</v>
      </c>
      <c r="EO195">
        <f t="shared" ref="EO195:EO258" si="688">IF(EM195&gt;0,50000,0)</f>
        <v>50000</v>
      </c>
      <c r="EP195">
        <v>0</v>
      </c>
      <c r="EQ195">
        <f t="shared" si="543"/>
        <v>734713</v>
      </c>
      <c r="ER195">
        <f t="shared" si="544"/>
        <v>48000</v>
      </c>
      <c r="ES195">
        <f t="shared" si="545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46"/>
        <v>48000</v>
      </c>
      <c r="FE195">
        <f t="shared" si="547"/>
        <v>48000</v>
      </c>
      <c r="FF195">
        <f t="shared" si="548"/>
        <v>686713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>SUM(FG195:FM195)+(IF(F195="YES",50000,0))</f>
        <v>0</v>
      </c>
      <c r="FO195">
        <f t="shared" si="549"/>
        <v>686713</v>
      </c>
      <c r="FP195">
        <f t="shared" si="550"/>
        <v>12500</v>
      </c>
      <c r="FQ195">
        <f t="shared" si="551"/>
        <v>37343</v>
      </c>
      <c r="FR195">
        <f t="shared" si="552"/>
        <v>49843</v>
      </c>
      <c r="FS195">
        <f t="shared" si="553"/>
        <v>49843</v>
      </c>
      <c r="FT195">
        <f t="shared" si="554"/>
        <v>1993.72</v>
      </c>
      <c r="FU195">
        <f t="shared" si="555"/>
        <v>51837</v>
      </c>
      <c r="FV195">
        <v>0</v>
      </c>
      <c r="FW195">
        <f t="shared" si="556"/>
        <v>51837</v>
      </c>
      <c r="FX195" t="b">
        <f t="shared" si="557"/>
        <v>1</v>
      </c>
      <c r="FY195">
        <f t="shared" ca="1" si="558"/>
        <v>917</v>
      </c>
      <c r="FZ195">
        <f t="shared" ca="1" si="559"/>
        <v>788030</v>
      </c>
      <c r="GA195">
        <f t="shared" si="560"/>
        <v>75000</v>
      </c>
      <c r="GB195">
        <f t="shared" ca="1" si="561"/>
        <v>713030</v>
      </c>
      <c r="GC195">
        <f t="shared" ca="1" si="562"/>
        <v>0</v>
      </c>
      <c r="GD195">
        <f t="shared" ca="1" si="563"/>
        <v>0</v>
      </c>
      <c r="GE195">
        <f t="shared" ca="1" si="564"/>
        <v>0</v>
      </c>
      <c r="GF195">
        <f t="shared" ca="1" si="565"/>
        <v>0</v>
      </c>
      <c r="GG195">
        <f t="shared" ca="1" si="566"/>
        <v>0</v>
      </c>
      <c r="GH195">
        <f t="shared" ca="1" si="567"/>
        <v>0</v>
      </c>
      <c r="GI195">
        <f ca="1">IF(GB195&gt;1200000,GB195-1200000-IF(F195="YES",50000,0)-GG195,0)</f>
        <v>0</v>
      </c>
      <c r="GJ195">
        <f t="shared" ca="1" si="568"/>
        <v>0</v>
      </c>
      <c r="GK195">
        <f t="shared" ca="1" si="569"/>
        <v>0</v>
      </c>
      <c r="GL195">
        <f t="shared" ca="1" si="570"/>
        <v>0</v>
      </c>
      <c r="GM195">
        <f t="shared" ca="1" si="571"/>
        <v>313030</v>
      </c>
      <c r="GN195">
        <f t="shared" ca="1" si="572"/>
        <v>15651.5</v>
      </c>
      <c r="GO195">
        <f t="shared" ca="1" si="573"/>
        <v>15652</v>
      </c>
      <c r="GP195">
        <f t="shared" ca="1" si="574"/>
        <v>0</v>
      </c>
      <c r="GQ195">
        <f t="shared" ca="1" si="575"/>
        <v>0</v>
      </c>
      <c r="GR195">
        <f t="shared" ca="1" si="576"/>
        <v>15652</v>
      </c>
      <c r="GS195">
        <f t="shared" ca="1" si="577"/>
        <v>0</v>
      </c>
      <c r="GT195" t="b">
        <f t="shared" ca="1" si="578"/>
        <v>0</v>
      </c>
      <c r="GU195">
        <f t="shared" ca="1" si="579"/>
        <v>0</v>
      </c>
      <c r="GV195">
        <f t="shared" ca="1" si="580"/>
        <v>15652</v>
      </c>
      <c r="GW195">
        <f t="shared" ca="1" si="581"/>
        <v>0</v>
      </c>
      <c r="GX195">
        <f t="shared" ca="1" si="582"/>
        <v>0</v>
      </c>
      <c r="GY195">
        <f t="shared" ca="1" si="583"/>
        <v>0</v>
      </c>
    </row>
    <row r="196" spans="1:207" x14ac:dyDescent="0.25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25"/>
        <v>6800</v>
      </c>
      <c r="I196">
        <f>_xlfn.XLOOKUP(B196,'[1]march-2026'!$A:$A,'[1]march-2026'!$C:$C,0,0)</f>
        <v>34500</v>
      </c>
      <c r="J196">
        <f t="shared" si="542"/>
        <v>6210</v>
      </c>
      <c r="K196">
        <f t="shared" si="626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27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28"/>
        <v>200</v>
      </c>
      <c r="R196">
        <f t="shared" si="629"/>
        <v>42150</v>
      </c>
      <c r="S196">
        <f>_xlfn.XLOOKUP(B196,'[2]april-2026'!$A:$A,'[2]april-2026'!$C:$C,0,0)</f>
        <v>34500</v>
      </c>
      <c r="T196">
        <f t="shared" si="630"/>
        <v>6210</v>
      </c>
      <c r="U196">
        <f t="shared" si="631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32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33"/>
        <v>200</v>
      </c>
      <c r="AB196">
        <f t="shared" si="634"/>
        <v>42150</v>
      </c>
      <c r="AC196">
        <f>_xlfn.XLOOKUP(B196,'[3]may-2026'!$A:$A,'[3]may-2026'!$C:$C,0,0)</f>
        <v>34500</v>
      </c>
      <c r="AD196">
        <f t="shared" si="635"/>
        <v>6210</v>
      </c>
      <c r="AE196">
        <f t="shared" si="636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37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38"/>
        <v>200</v>
      </c>
      <c r="AL196">
        <f t="shared" si="639"/>
        <v>42150</v>
      </c>
      <c r="AM196">
        <f>_xlfn.XLOOKUP(B196,'[4]june-2026'!$A:$A,'[4]june-2026'!$C:$C,0,0)</f>
        <v>34500</v>
      </c>
      <c r="AN196">
        <f t="shared" si="640"/>
        <v>6210</v>
      </c>
      <c r="AO196">
        <f t="shared" si="641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42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43"/>
        <v>200</v>
      </c>
      <c r="AV196">
        <f t="shared" si="644"/>
        <v>42150</v>
      </c>
      <c r="AW196">
        <f>_xlfn.XLOOKUP(B196,'[5]july-2026'!$A:$A,'[5]july-2026'!$C:$C,0,0)</f>
        <v>35500</v>
      </c>
      <c r="AX196">
        <f t="shared" si="645"/>
        <v>6390</v>
      </c>
      <c r="AY196">
        <v>194</v>
      </c>
      <c r="AZ196">
        <f t="shared" si="646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47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48"/>
        <v>200</v>
      </c>
      <c r="BG196">
        <f t="shared" si="649"/>
        <v>43644</v>
      </c>
      <c r="BH196">
        <f>_xlfn.XLOOKUP(B196,'[6]august-2026'!$A:$A,'[6]august-2026'!$C:$C,0,0)</f>
        <v>35500</v>
      </c>
      <c r="BI196">
        <f t="shared" si="650"/>
        <v>6390</v>
      </c>
      <c r="BJ196">
        <f t="shared" si="651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52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53"/>
        <v>200</v>
      </c>
      <c r="BQ196">
        <f t="shared" si="654"/>
        <v>43450</v>
      </c>
      <c r="BR196">
        <f>_xlfn.XLOOKUP(B196,'[7]september-2026'!$A:$A,'[7]september-2026'!$C:$C,0,0)</f>
        <v>35500</v>
      </c>
      <c r="BS196">
        <f t="shared" si="655"/>
        <v>6390</v>
      </c>
      <c r="BT196">
        <f t="shared" si="656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57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58"/>
        <v>200</v>
      </c>
      <c r="CA196">
        <f t="shared" si="659"/>
        <v>43450</v>
      </c>
      <c r="CB196">
        <f>_xlfn.XLOOKUP(B196,'[8]october-2026'!$A:$A,'[8]october-2026'!$C:$C,0,0)</f>
        <v>35500</v>
      </c>
      <c r="CC196">
        <f t="shared" si="660"/>
        <v>6390</v>
      </c>
      <c r="CD196">
        <f t="shared" si="661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62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63"/>
        <v>200</v>
      </c>
      <c r="CK196">
        <f t="shared" si="664"/>
        <v>43450</v>
      </c>
      <c r="CL196">
        <f>_xlfn.XLOOKUP(B196,'[9]november-2026'!$A:$A,'[9]november-2026'!$C:$C,0,0)</f>
        <v>35500</v>
      </c>
      <c r="CM196">
        <f t="shared" si="665"/>
        <v>6390</v>
      </c>
      <c r="CN196">
        <f t="shared" si="666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67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68"/>
        <v>200</v>
      </c>
      <c r="CU196">
        <f t="shared" si="669"/>
        <v>43450</v>
      </c>
      <c r="CV196">
        <f>_xlfn.XLOOKUP(B196,'[10]december-2026'!$A:$A,'[10]december-2026'!$C:$C,0,0)</f>
        <v>35500</v>
      </c>
      <c r="CW196">
        <f t="shared" si="670"/>
        <v>6390</v>
      </c>
      <c r="CX196">
        <f t="shared" si="671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72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73"/>
        <v>200</v>
      </c>
      <c r="DE196">
        <f t="shared" si="674"/>
        <v>43450</v>
      </c>
      <c r="DF196">
        <f xml:space="preserve"> _xlfn.XLOOKUP(B196,
'[11]january-2027'!$A:$A,
'[11]january-2027'!$C:$C,
0,0)</f>
        <v>35500</v>
      </c>
      <c r="DG196">
        <f t="shared" si="675"/>
        <v>6390</v>
      </c>
      <c r="DH196">
        <f t="shared" si="676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77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78"/>
        <v>200</v>
      </c>
      <c r="DO196">
        <f t="shared" si="679"/>
        <v>43450</v>
      </c>
      <c r="DP196">
        <f xml:space="preserve"> _xlfn.XLOOKUP(B196,
'[12]february-2027'!$A:$A,
'[12]february-2027'!$C:$C,
0,0)</f>
        <v>35500</v>
      </c>
      <c r="DQ196">
        <f t="shared" si="680"/>
        <v>6390</v>
      </c>
      <c r="DR196">
        <f t="shared" si="681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82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83"/>
        <v>200</v>
      </c>
      <c r="DY196">
        <f t="shared" si="684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85"/>
        <v>0</v>
      </c>
      <c r="EM196">
        <f t="shared" si="686"/>
        <v>561594</v>
      </c>
      <c r="EN196">
        <f t="shared" si="687"/>
        <v>2400</v>
      </c>
      <c r="EO196">
        <f t="shared" si="688"/>
        <v>50000</v>
      </c>
      <c r="EP196">
        <v>0</v>
      </c>
      <c r="EQ196">
        <f t="shared" si="543"/>
        <v>509194</v>
      </c>
      <c r="ER196">
        <f t="shared" si="544"/>
        <v>36000</v>
      </c>
      <c r="ES196">
        <f t="shared" si="545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46"/>
        <v>36000</v>
      </c>
      <c r="FE196">
        <f t="shared" si="547"/>
        <v>36000</v>
      </c>
      <c r="FF196">
        <f t="shared" si="548"/>
        <v>473194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>SUM(FG196:FM196)+(IF(F196="YES",50000,0))</f>
        <v>0</v>
      </c>
      <c r="FO196">
        <f t="shared" si="549"/>
        <v>473194</v>
      </c>
      <c r="FP196">
        <f t="shared" si="550"/>
        <v>11160</v>
      </c>
      <c r="FQ196">
        <f t="shared" si="551"/>
        <v>0</v>
      </c>
      <c r="FR196">
        <f t="shared" si="552"/>
        <v>11160</v>
      </c>
      <c r="FS196">
        <f t="shared" si="553"/>
        <v>0</v>
      </c>
      <c r="FT196">
        <f t="shared" si="554"/>
        <v>0</v>
      </c>
      <c r="FU196">
        <f t="shared" si="555"/>
        <v>0</v>
      </c>
      <c r="FV196">
        <v>0</v>
      </c>
      <c r="FW196">
        <f t="shared" si="556"/>
        <v>0</v>
      </c>
      <c r="FX196" t="b">
        <f t="shared" si="557"/>
        <v>1</v>
      </c>
      <c r="FY196">
        <f t="shared" ca="1" si="558"/>
        <v>747</v>
      </c>
      <c r="FZ196">
        <f t="shared" ca="1" si="559"/>
        <v>562341</v>
      </c>
      <c r="GA196">
        <f t="shared" si="560"/>
        <v>75000</v>
      </c>
      <c r="GB196">
        <f t="shared" ca="1" si="561"/>
        <v>487341</v>
      </c>
      <c r="GC196">
        <f t="shared" ca="1" si="562"/>
        <v>0</v>
      </c>
      <c r="GD196">
        <f t="shared" ca="1" si="563"/>
        <v>0</v>
      </c>
      <c r="GE196">
        <f t="shared" ca="1" si="564"/>
        <v>0</v>
      </c>
      <c r="GF196">
        <f t="shared" ca="1" si="565"/>
        <v>0</v>
      </c>
      <c r="GG196">
        <f t="shared" ca="1" si="566"/>
        <v>0</v>
      </c>
      <c r="GH196">
        <f t="shared" ca="1" si="567"/>
        <v>0</v>
      </c>
      <c r="GI196">
        <f ca="1">IF(GB196&gt;1200000,GB196-1200000-IF(F196="YES",50000,0)-GG196,0)</f>
        <v>0</v>
      </c>
      <c r="GJ196">
        <f t="shared" ca="1" si="568"/>
        <v>0</v>
      </c>
      <c r="GK196">
        <f t="shared" ca="1" si="569"/>
        <v>0</v>
      </c>
      <c r="GL196">
        <f t="shared" ca="1" si="570"/>
        <v>0</v>
      </c>
      <c r="GM196">
        <f t="shared" ca="1" si="571"/>
        <v>87341</v>
      </c>
      <c r="GN196">
        <f t="shared" ca="1" si="572"/>
        <v>4367.05</v>
      </c>
      <c r="GO196">
        <f t="shared" ca="1" si="573"/>
        <v>4367</v>
      </c>
      <c r="GP196">
        <f t="shared" ca="1" si="574"/>
        <v>0</v>
      </c>
      <c r="GQ196">
        <f t="shared" ca="1" si="575"/>
        <v>0</v>
      </c>
      <c r="GR196">
        <f t="shared" ca="1" si="576"/>
        <v>4367</v>
      </c>
      <c r="GS196">
        <f t="shared" ca="1" si="577"/>
        <v>0</v>
      </c>
      <c r="GT196" t="b">
        <f t="shared" ca="1" si="578"/>
        <v>0</v>
      </c>
      <c r="GU196">
        <f t="shared" ca="1" si="579"/>
        <v>0</v>
      </c>
      <c r="GV196">
        <f t="shared" ca="1" si="580"/>
        <v>4367</v>
      </c>
      <c r="GW196">
        <f t="shared" ca="1" si="581"/>
        <v>0</v>
      </c>
      <c r="GX196">
        <f t="shared" ca="1" si="582"/>
        <v>0</v>
      </c>
      <c r="GY196">
        <f t="shared" ca="1" si="583"/>
        <v>0</v>
      </c>
    </row>
    <row r="197" spans="1:207" x14ac:dyDescent="0.25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25"/>
        <v>6800</v>
      </c>
      <c r="I197">
        <f>_xlfn.XLOOKUP(B197,'[1]march-2026'!$A:$A,'[1]march-2026'!$C:$C,0,0)</f>
        <v>29500</v>
      </c>
      <c r="J197">
        <f t="shared" si="542"/>
        <v>5310</v>
      </c>
      <c r="K197">
        <f t="shared" si="626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27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28"/>
        <v>150</v>
      </c>
      <c r="R197">
        <f t="shared" si="629"/>
        <v>33200</v>
      </c>
      <c r="S197">
        <f>_xlfn.XLOOKUP(B197,'[2]april-2026'!$A:$A,'[2]april-2026'!$C:$C,0,0)</f>
        <v>29500</v>
      </c>
      <c r="T197">
        <f t="shared" si="630"/>
        <v>5310</v>
      </c>
      <c r="U197">
        <f t="shared" si="631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32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33"/>
        <v>150</v>
      </c>
      <c r="AB197">
        <f t="shared" si="634"/>
        <v>33200</v>
      </c>
      <c r="AC197">
        <f>_xlfn.XLOOKUP(B197,'[3]may-2026'!$A:$A,'[3]may-2026'!$C:$C,0,0)</f>
        <v>29500</v>
      </c>
      <c r="AD197">
        <f t="shared" si="635"/>
        <v>5310</v>
      </c>
      <c r="AE197">
        <f t="shared" si="636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37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38"/>
        <v>150</v>
      </c>
      <c r="AL197">
        <f t="shared" si="639"/>
        <v>33200</v>
      </c>
      <c r="AM197">
        <f>_xlfn.XLOOKUP(B197,'[4]june-2026'!$A:$A,'[4]june-2026'!$C:$C,0,0)</f>
        <v>29500</v>
      </c>
      <c r="AN197">
        <f t="shared" si="640"/>
        <v>5310</v>
      </c>
      <c r="AO197">
        <f t="shared" si="641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42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43"/>
        <v>150</v>
      </c>
      <c r="AV197">
        <f t="shared" si="644"/>
        <v>33200</v>
      </c>
      <c r="AW197">
        <f>_xlfn.XLOOKUP(B197,'[5]july-2026'!$A:$A,'[5]july-2026'!$C:$C,0,0)</f>
        <v>30400</v>
      </c>
      <c r="AX197">
        <f t="shared" si="645"/>
        <v>5472</v>
      </c>
      <c r="AY197">
        <v>195</v>
      </c>
      <c r="AZ197">
        <f t="shared" si="646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47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48"/>
        <v>150</v>
      </c>
      <c r="BG197">
        <f t="shared" si="649"/>
        <v>34565</v>
      </c>
      <c r="BH197">
        <f>_xlfn.XLOOKUP(B197,'[6]august-2026'!$A:$A,'[6]august-2026'!$C:$C,0,0)</f>
        <v>30400</v>
      </c>
      <c r="BI197">
        <f t="shared" si="650"/>
        <v>5472</v>
      </c>
      <c r="BJ197">
        <f t="shared" si="651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52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53"/>
        <v>150</v>
      </c>
      <c r="BQ197">
        <f t="shared" si="654"/>
        <v>34370</v>
      </c>
      <c r="BR197">
        <f>_xlfn.XLOOKUP(B197,'[7]september-2026'!$A:$A,'[7]september-2026'!$C:$C,0,0)</f>
        <v>30400</v>
      </c>
      <c r="BS197">
        <f t="shared" si="655"/>
        <v>5472</v>
      </c>
      <c r="BT197">
        <f t="shared" si="656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57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58"/>
        <v>150</v>
      </c>
      <c r="CA197">
        <f t="shared" si="659"/>
        <v>34370</v>
      </c>
      <c r="CB197">
        <f>_xlfn.XLOOKUP(B197,'[8]october-2026'!$A:$A,'[8]october-2026'!$C:$C,0,0)</f>
        <v>30400</v>
      </c>
      <c r="CC197">
        <f t="shared" si="660"/>
        <v>5472</v>
      </c>
      <c r="CD197">
        <f t="shared" si="661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62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63"/>
        <v>150</v>
      </c>
      <c r="CK197">
        <f t="shared" si="664"/>
        <v>34370</v>
      </c>
      <c r="CL197">
        <f>_xlfn.XLOOKUP(B197,'[9]november-2026'!$A:$A,'[9]november-2026'!$C:$C,0,0)</f>
        <v>30400</v>
      </c>
      <c r="CM197">
        <f t="shared" si="665"/>
        <v>5472</v>
      </c>
      <c r="CN197">
        <f t="shared" si="666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67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68"/>
        <v>150</v>
      </c>
      <c r="CU197">
        <f t="shared" si="669"/>
        <v>34370</v>
      </c>
      <c r="CV197">
        <f>_xlfn.XLOOKUP(B197,'[10]december-2026'!$A:$A,'[10]december-2026'!$C:$C,0,0)</f>
        <v>30400</v>
      </c>
      <c r="CW197">
        <f t="shared" si="670"/>
        <v>5472</v>
      </c>
      <c r="CX197">
        <f t="shared" si="671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72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73"/>
        <v>150</v>
      </c>
      <c r="DE197">
        <f t="shared" si="674"/>
        <v>34370</v>
      </c>
      <c r="DF197">
        <f xml:space="preserve"> _xlfn.XLOOKUP(B197,
'[11]january-2027'!$A:$A,
'[11]january-2027'!$C:$C,
0,0)</f>
        <v>30400</v>
      </c>
      <c r="DG197">
        <f t="shared" si="675"/>
        <v>5472</v>
      </c>
      <c r="DH197">
        <f t="shared" si="676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77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78"/>
        <v>150</v>
      </c>
      <c r="DO197">
        <f t="shared" si="679"/>
        <v>34370</v>
      </c>
      <c r="DP197">
        <f xml:space="preserve"> _xlfn.XLOOKUP(B197,
'[12]february-2027'!$A:$A,
'[12]february-2027'!$C:$C,
0,0)</f>
        <v>30400</v>
      </c>
      <c r="DQ197">
        <f t="shared" si="680"/>
        <v>5472</v>
      </c>
      <c r="DR197">
        <f t="shared" si="681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82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83"/>
        <v>150</v>
      </c>
      <c r="DY197">
        <f t="shared" si="684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85"/>
        <v>0</v>
      </c>
      <c r="EM197">
        <f t="shared" si="686"/>
        <v>476555</v>
      </c>
      <c r="EN197">
        <f t="shared" si="687"/>
        <v>1800</v>
      </c>
      <c r="EO197">
        <f t="shared" si="688"/>
        <v>50000</v>
      </c>
      <c r="EP197">
        <v>0</v>
      </c>
      <c r="EQ197">
        <f t="shared" si="543"/>
        <v>424755</v>
      </c>
      <c r="ER197">
        <f t="shared" si="544"/>
        <v>60000</v>
      </c>
      <c r="ES197">
        <f t="shared" si="545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46"/>
        <v>60000</v>
      </c>
      <c r="FE197">
        <f t="shared" si="547"/>
        <v>60000</v>
      </c>
      <c r="FF197">
        <f t="shared" si="548"/>
        <v>364755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>SUM(FG197:FM197)+(IF(F197="YES",50000,0))</f>
        <v>0</v>
      </c>
      <c r="FO197">
        <f t="shared" si="549"/>
        <v>364755</v>
      </c>
      <c r="FP197">
        <f t="shared" si="550"/>
        <v>5738</v>
      </c>
      <c r="FQ197">
        <f t="shared" si="551"/>
        <v>0</v>
      </c>
      <c r="FR197">
        <f t="shared" si="552"/>
        <v>5738</v>
      </c>
      <c r="FS197">
        <f t="shared" si="553"/>
        <v>0</v>
      </c>
      <c r="FT197">
        <f t="shared" si="554"/>
        <v>0</v>
      </c>
      <c r="FU197">
        <f t="shared" si="555"/>
        <v>0</v>
      </c>
      <c r="FV197">
        <v>0</v>
      </c>
      <c r="FW197">
        <f t="shared" si="556"/>
        <v>0</v>
      </c>
      <c r="FX197" t="b">
        <f t="shared" si="557"/>
        <v>0</v>
      </c>
      <c r="FY197">
        <f t="shared" ca="1" si="558"/>
        <v>2728</v>
      </c>
      <c r="FZ197">
        <f t="shared" ca="1" si="559"/>
        <v>479283</v>
      </c>
      <c r="GA197">
        <f t="shared" si="560"/>
        <v>75000</v>
      </c>
      <c r="GB197">
        <f t="shared" ca="1" si="561"/>
        <v>404283</v>
      </c>
      <c r="GC197">
        <f t="shared" ca="1" si="562"/>
        <v>0</v>
      </c>
      <c r="GD197">
        <f t="shared" ca="1" si="563"/>
        <v>0</v>
      </c>
      <c r="GE197">
        <f t="shared" ca="1" si="564"/>
        <v>0</v>
      </c>
      <c r="GF197">
        <f t="shared" ca="1" si="565"/>
        <v>0</v>
      </c>
      <c r="GG197">
        <f t="shared" ca="1" si="566"/>
        <v>0</v>
      </c>
      <c r="GH197">
        <f t="shared" ca="1" si="567"/>
        <v>0</v>
      </c>
      <c r="GI197">
        <f ca="1">IF(GB197&gt;1200000,GB197-1200000-IF(F197="YES",50000,0)-GG197,0)</f>
        <v>0</v>
      </c>
      <c r="GJ197">
        <f t="shared" ca="1" si="568"/>
        <v>0</v>
      </c>
      <c r="GK197">
        <f t="shared" ca="1" si="569"/>
        <v>0</v>
      </c>
      <c r="GL197">
        <f t="shared" ca="1" si="570"/>
        <v>0</v>
      </c>
      <c r="GM197">
        <f t="shared" ca="1" si="571"/>
        <v>4283</v>
      </c>
      <c r="GN197">
        <f t="shared" ca="1" si="572"/>
        <v>214.15</v>
      </c>
      <c r="GO197">
        <f t="shared" ca="1" si="573"/>
        <v>214</v>
      </c>
      <c r="GP197">
        <f t="shared" ca="1" si="574"/>
        <v>0</v>
      </c>
      <c r="GQ197">
        <f t="shared" ca="1" si="575"/>
        <v>0</v>
      </c>
      <c r="GR197">
        <f t="shared" ca="1" si="576"/>
        <v>214</v>
      </c>
      <c r="GS197">
        <f t="shared" ca="1" si="577"/>
        <v>0</v>
      </c>
      <c r="GT197" t="b">
        <f t="shared" ca="1" si="578"/>
        <v>0</v>
      </c>
      <c r="GU197">
        <f t="shared" ca="1" si="579"/>
        <v>0</v>
      </c>
      <c r="GV197">
        <f t="shared" ca="1" si="580"/>
        <v>214</v>
      </c>
      <c r="GW197">
        <f t="shared" ca="1" si="581"/>
        <v>0</v>
      </c>
      <c r="GX197">
        <f t="shared" ca="1" si="582"/>
        <v>0</v>
      </c>
      <c r="GY197">
        <f t="shared" ca="1" si="583"/>
        <v>0</v>
      </c>
    </row>
    <row r="198" spans="1:207" x14ac:dyDescent="0.25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25"/>
        <v>6800</v>
      </c>
      <c r="I198">
        <f>_xlfn.XLOOKUP(B198,'[1]march-2026'!$A:$A,'[1]march-2026'!$C:$C,0,0)</f>
        <v>60600</v>
      </c>
      <c r="J198">
        <f t="shared" ref="J198:J261" si="689">I198*0.18</f>
        <v>10908</v>
      </c>
      <c r="K198">
        <f t="shared" si="626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27"/>
        <v>79680</v>
      </c>
      <c r="O198">
        <f>_xlfn.XLOOKUP(B198,'[1]march-2026'!$A:$A,'[1]march-2026'!$H:$H,0,0)</f>
        <v>13000</v>
      </c>
      <c r="P198">
        <f>_xlfn.XLOOKUP(B198,'[1]march-2026'!$A:$A,'[1]march-2026'!$I:$I,0,0)</f>
        <v>0</v>
      </c>
      <c r="Q198">
        <f t="shared" si="628"/>
        <v>200</v>
      </c>
      <c r="R198">
        <f t="shared" si="629"/>
        <v>66480</v>
      </c>
      <c r="S198">
        <f>_xlfn.XLOOKUP(B198,'[2]april-2026'!$A:$A,'[2]april-2026'!$C:$C,0,0)</f>
        <v>60600</v>
      </c>
      <c r="T198">
        <f t="shared" si="630"/>
        <v>10908</v>
      </c>
      <c r="U198">
        <f t="shared" si="631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32"/>
        <v>79680</v>
      </c>
      <c r="Y198">
        <f>_xlfn.XLOOKUP(B198,'[2]april-2026'!$A:$A,'[2]april-2026'!$H:$H,0,0)</f>
        <v>13000</v>
      </c>
      <c r="Z198">
        <f>_xlfn.XLOOKUP(B198,'[2]april-2026'!$A:$A,'[2]april-2026'!$I:$I,0,0)</f>
        <v>0</v>
      </c>
      <c r="AA198">
        <f t="shared" si="633"/>
        <v>0</v>
      </c>
      <c r="AB198">
        <f t="shared" si="634"/>
        <v>66680</v>
      </c>
      <c r="AC198">
        <f>_xlfn.XLOOKUP(B198,'[3]may-2026'!$A:$A,'[3]may-2026'!$C:$C,0,0)</f>
        <v>60600</v>
      </c>
      <c r="AD198">
        <f t="shared" si="635"/>
        <v>10908</v>
      </c>
      <c r="AE198">
        <f t="shared" si="636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37"/>
        <v>79680</v>
      </c>
      <c r="AI198">
        <f>_xlfn.XLOOKUP(B198,'[3]may-2026'!$A:$A,'[3]may-2026'!$H:$H,0,0)</f>
        <v>13000</v>
      </c>
      <c r="AJ198">
        <f>_xlfn.XLOOKUP(B198,'[3]may-2026'!$A:$A,'[3]may-2026'!$I:$I,0,0)</f>
        <v>0</v>
      </c>
      <c r="AK198">
        <f t="shared" si="638"/>
        <v>0</v>
      </c>
      <c r="AL198">
        <f t="shared" si="639"/>
        <v>66680</v>
      </c>
      <c r="AM198">
        <f>_xlfn.XLOOKUP(B198,'[4]june-2026'!$A:$A,'[4]june-2026'!$C:$C,0,0)</f>
        <v>60600</v>
      </c>
      <c r="AN198">
        <f t="shared" si="640"/>
        <v>10908</v>
      </c>
      <c r="AO198">
        <f t="shared" si="641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42"/>
        <v>79680</v>
      </c>
      <c r="AS198">
        <f>_xlfn.XLOOKUP(B198,'[4]june-2026'!$A:$A,'[4]june-2026'!$H:$H,0,0)</f>
        <v>13000</v>
      </c>
      <c r="AT198">
        <f>_xlfn.XLOOKUP(B198,'[4]june-2026'!$A:$A,'[4]june-2026'!$I:$I,0,0)</f>
        <v>0</v>
      </c>
      <c r="AU198">
        <f t="shared" si="643"/>
        <v>0</v>
      </c>
      <c r="AV198">
        <f t="shared" si="644"/>
        <v>66680</v>
      </c>
      <c r="AW198">
        <f>_xlfn.XLOOKUP(B198,'[5]july-2026'!$A:$A,'[5]july-2026'!$C:$C,0,0)</f>
        <v>62400</v>
      </c>
      <c r="AX198">
        <f t="shared" si="645"/>
        <v>11232</v>
      </c>
      <c r="AY198">
        <v>196</v>
      </c>
      <c r="AZ198">
        <f t="shared" si="646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47"/>
        <v>82216</v>
      </c>
      <c r="BD198">
        <f>_xlfn.XLOOKUP(B198,'[5]july-2026'!$A:$A,'[5]july-2026'!$H:$H,0,0)</f>
        <v>13000</v>
      </c>
      <c r="BE198">
        <f>_xlfn.XLOOKUP(B198,'[5]july-2026'!$A:$A,'[5]july-2026'!$I:$I,0,0)</f>
        <v>0</v>
      </c>
      <c r="BF198">
        <f t="shared" si="648"/>
        <v>0</v>
      </c>
      <c r="BG198">
        <f t="shared" si="649"/>
        <v>69216</v>
      </c>
      <c r="BH198">
        <f>_xlfn.XLOOKUP(B198,'[6]august-2026'!$A:$A,'[6]august-2026'!$C:$C,0,0)</f>
        <v>62400</v>
      </c>
      <c r="BI198">
        <f t="shared" si="650"/>
        <v>11232</v>
      </c>
      <c r="BJ198">
        <f t="shared" si="651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52"/>
        <v>82020</v>
      </c>
      <c r="BN198">
        <f>_xlfn.XLOOKUP(B198,'[6]august-2026'!$A:$A,'[6]august-2026'!$H:$H,0,0)</f>
        <v>13000</v>
      </c>
      <c r="BO198">
        <f>_xlfn.XLOOKUP(B198,'[6]august-2026'!$A:$A,'[6]august-2026'!$I:$I,0,0)</f>
        <v>0</v>
      </c>
      <c r="BP198">
        <f t="shared" si="653"/>
        <v>0</v>
      </c>
      <c r="BQ198">
        <f t="shared" si="654"/>
        <v>69020</v>
      </c>
      <c r="BR198">
        <f>_xlfn.XLOOKUP(B198,'[7]september-2026'!$A:$A,'[7]september-2026'!$C:$C,0,0)</f>
        <v>62400</v>
      </c>
      <c r="BS198">
        <f t="shared" si="655"/>
        <v>11232</v>
      </c>
      <c r="BT198">
        <f t="shared" si="656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57"/>
        <v>82020</v>
      </c>
      <c r="BX198">
        <f>_xlfn.XLOOKUP(B198,'[7]september-2026'!$A:$A,'[7]september-2026'!$H:$H,0,0)</f>
        <v>13000</v>
      </c>
      <c r="BY198">
        <f>_xlfn.XLOOKUP(B198,'[7]september-2026'!$A:$A,'[7]september-2026'!$I:$I,0,0)</f>
        <v>0</v>
      </c>
      <c r="BZ198">
        <f t="shared" si="658"/>
        <v>0</v>
      </c>
      <c r="CA198">
        <f t="shared" si="659"/>
        <v>69020</v>
      </c>
      <c r="CB198">
        <f>_xlfn.XLOOKUP(B198,'[8]october-2026'!$A:$A,'[8]october-2026'!$C:$C,0,0)</f>
        <v>62400</v>
      </c>
      <c r="CC198">
        <f t="shared" si="660"/>
        <v>11232</v>
      </c>
      <c r="CD198">
        <f t="shared" si="661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62"/>
        <v>82020</v>
      </c>
      <c r="CH198">
        <f>_xlfn.XLOOKUP(B198,'[8]october-2026'!$A:$A,'[8]october-2026'!$H:$H,0,0)</f>
        <v>13000</v>
      </c>
      <c r="CI198">
        <f>_xlfn.XLOOKUP(B198,'[8]october-2026'!$A:$A,'[8]october-2026'!$I:$I,0,0)</f>
        <v>0</v>
      </c>
      <c r="CJ198">
        <f t="shared" si="663"/>
        <v>0</v>
      </c>
      <c r="CK198">
        <f t="shared" si="664"/>
        <v>69020</v>
      </c>
      <c r="CL198">
        <f>_xlfn.XLOOKUP(B198,'[9]november-2026'!$A:$A,'[9]november-2026'!$C:$C,0,0)</f>
        <v>62400</v>
      </c>
      <c r="CM198">
        <f t="shared" si="665"/>
        <v>11232</v>
      </c>
      <c r="CN198">
        <f t="shared" si="666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67"/>
        <v>82020</v>
      </c>
      <c r="CR198">
        <f>_xlfn.XLOOKUP(B198,'[9]november-2026'!$A:$A,'[9]november-2026'!$H:$H,0,0)</f>
        <v>13000</v>
      </c>
      <c r="CS198">
        <f>_xlfn.XLOOKUP(B198,'[9]november-2026'!$A:$A,'[9]november-2026'!$I:$I,0,0)</f>
        <v>0</v>
      </c>
      <c r="CT198">
        <f t="shared" si="668"/>
        <v>0</v>
      </c>
      <c r="CU198">
        <f t="shared" si="669"/>
        <v>69020</v>
      </c>
      <c r="CV198">
        <f>_xlfn.XLOOKUP(B198,'[10]december-2026'!$A:$A,'[10]december-2026'!$C:$C,0,0)</f>
        <v>62400</v>
      </c>
      <c r="CW198">
        <f t="shared" si="670"/>
        <v>11232</v>
      </c>
      <c r="CX198">
        <f t="shared" si="671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72"/>
        <v>82020</v>
      </c>
      <c r="DB198">
        <f>_xlfn.XLOOKUP(B198,'[10]december-2026'!$A:$A,'[10]december-2026'!$H:$H,0,0)</f>
        <v>13000</v>
      </c>
      <c r="DC198">
        <f>_xlfn.XLOOKUP(B198,'[10]december-2026'!$A:$A,'[10]december-2026'!$I:$I,0,0)</f>
        <v>0</v>
      </c>
      <c r="DD198">
        <f t="shared" si="673"/>
        <v>0</v>
      </c>
      <c r="DE198">
        <f t="shared" si="674"/>
        <v>69020</v>
      </c>
      <c r="DF198">
        <f xml:space="preserve"> _xlfn.XLOOKUP(B198,
'[11]january-2027'!$A:$A,
'[11]january-2027'!$C:$C,
0,0)</f>
        <v>62400</v>
      </c>
      <c r="DG198">
        <f t="shared" si="675"/>
        <v>11232</v>
      </c>
      <c r="DH198">
        <f t="shared" si="676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77"/>
        <v>82020</v>
      </c>
      <c r="DL198">
        <f xml:space="preserve"> _xlfn.XLOOKUP(B198,
'[11]january-2027'!$A:$A,
'[11]january-2027'!$H:$H,
0,0)</f>
        <v>13000</v>
      </c>
      <c r="DM198">
        <f xml:space="preserve"> _xlfn.XLOOKUP(B198,
'[11]january-2027'!$A:$A,
'[11]january-2027'!$I:$I,
0,0)</f>
        <v>0</v>
      </c>
      <c r="DN198">
        <f t="shared" si="678"/>
        <v>0</v>
      </c>
      <c r="DO198">
        <f t="shared" si="679"/>
        <v>69020</v>
      </c>
      <c r="DP198">
        <f xml:space="preserve"> _xlfn.XLOOKUP(B198,
'[12]february-2027'!$A:$A,
'[12]february-2027'!$C:$C,
0,0)</f>
        <v>62400</v>
      </c>
      <c r="DQ198">
        <f t="shared" si="680"/>
        <v>11232</v>
      </c>
      <c r="DR198">
        <f t="shared" si="681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82"/>
        <v>82020</v>
      </c>
      <c r="DV198">
        <f xml:space="preserve"> _xlfn.XLOOKUP(B198,
'[12]february-2027'!$A:$A,
'[12]february-2027'!$H:$H,
0,0)</f>
        <v>13000</v>
      </c>
      <c r="DW198">
        <f xml:space="preserve"> _xlfn.XLOOKUP(B198,
'[12]february-2027'!$A:$A,
'[12]february-2027'!$I:$I,
0,0)</f>
        <v>0</v>
      </c>
      <c r="DX198">
        <f t="shared" si="683"/>
        <v>0</v>
      </c>
      <c r="DY198">
        <f t="shared" si="684"/>
        <v>69020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85"/>
        <v>0</v>
      </c>
      <c r="EM198">
        <f t="shared" si="686"/>
        <v>981876</v>
      </c>
      <c r="EN198">
        <f t="shared" si="687"/>
        <v>200</v>
      </c>
      <c r="EO198">
        <f t="shared" si="688"/>
        <v>50000</v>
      </c>
      <c r="EP198">
        <v>0</v>
      </c>
      <c r="EQ198">
        <f t="shared" si="543"/>
        <v>931676</v>
      </c>
      <c r="ER198">
        <f t="shared" si="544"/>
        <v>156000</v>
      </c>
      <c r="ES198">
        <f t="shared" si="545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46"/>
        <v>156000</v>
      </c>
      <c r="FE198">
        <f t="shared" si="547"/>
        <v>150000</v>
      </c>
      <c r="FF198">
        <f t="shared" si="548"/>
        <v>781676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>SUM(FG198:FM198)+(IF(F198="YES",50000,0))</f>
        <v>50000</v>
      </c>
      <c r="FO198">
        <f t="shared" si="549"/>
        <v>731676</v>
      </c>
      <c r="FP198">
        <f t="shared" si="550"/>
        <v>12500</v>
      </c>
      <c r="FQ198">
        <f t="shared" si="551"/>
        <v>46335</v>
      </c>
      <c r="FR198">
        <f t="shared" si="552"/>
        <v>58835</v>
      </c>
      <c r="FS198">
        <f t="shared" si="553"/>
        <v>58835</v>
      </c>
      <c r="FT198">
        <f t="shared" si="554"/>
        <v>2353.4</v>
      </c>
      <c r="FU198">
        <f t="shared" si="555"/>
        <v>61188</v>
      </c>
      <c r="FV198">
        <v>0</v>
      </c>
      <c r="FW198">
        <f t="shared" si="556"/>
        <v>61188</v>
      </c>
      <c r="FX198" t="b">
        <f t="shared" si="557"/>
        <v>1</v>
      </c>
      <c r="FY198">
        <f t="shared" ca="1" si="558"/>
        <v>744</v>
      </c>
      <c r="FZ198">
        <f t="shared" ca="1" si="559"/>
        <v>982620</v>
      </c>
      <c r="GA198">
        <f t="shared" si="560"/>
        <v>75000</v>
      </c>
      <c r="GB198">
        <f t="shared" ca="1" si="561"/>
        <v>907620</v>
      </c>
      <c r="GC198">
        <f t="shared" ca="1" si="562"/>
        <v>0</v>
      </c>
      <c r="GD198">
        <f t="shared" ca="1" si="563"/>
        <v>0</v>
      </c>
      <c r="GE198">
        <f t="shared" ca="1" si="564"/>
        <v>0</v>
      </c>
      <c r="GF198">
        <f t="shared" ca="1" si="565"/>
        <v>0</v>
      </c>
      <c r="GG198">
        <f t="shared" ca="1" si="566"/>
        <v>0</v>
      </c>
      <c r="GH198">
        <f t="shared" ca="1" si="567"/>
        <v>0</v>
      </c>
      <c r="GI198">
        <f ca="1">IF(GB198&gt;1200000,GB198-1200000-IF(F198="YES",50000,0)-GG198,0)</f>
        <v>0</v>
      </c>
      <c r="GJ198">
        <f t="shared" ca="1" si="568"/>
        <v>0</v>
      </c>
      <c r="GK198">
        <f t="shared" ca="1" si="569"/>
        <v>107620</v>
      </c>
      <c r="GL198">
        <f t="shared" ca="1" si="570"/>
        <v>10762</v>
      </c>
      <c r="GM198">
        <f t="shared" ca="1" si="571"/>
        <v>400000</v>
      </c>
      <c r="GN198">
        <f t="shared" ca="1" si="572"/>
        <v>20000</v>
      </c>
      <c r="GO198">
        <f t="shared" ca="1" si="573"/>
        <v>30762</v>
      </c>
      <c r="GP198">
        <f t="shared" ca="1" si="574"/>
        <v>0</v>
      </c>
      <c r="GQ198">
        <f t="shared" ca="1" si="575"/>
        <v>0</v>
      </c>
      <c r="GR198">
        <f t="shared" ca="1" si="576"/>
        <v>30762</v>
      </c>
      <c r="GS198">
        <f t="shared" ca="1" si="577"/>
        <v>0</v>
      </c>
      <c r="GT198" t="b">
        <f t="shared" ca="1" si="578"/>
        <v>0</v>
      </c>
      <c r="GU198">
        <f t="shared" ca="1" si="579"/>
        <v>0</v>
      </c>
      <c r="GV198">
        <f t="shared" ca="1" si="580"/>
        <v>30762</v>
      </c>
      <c r="GW198">
        <f t="shared" ca="1" si="581"/>
        <v>0</v>
      </c>
      <c r="GX198">
        <f t="shared" ca="1" si="582"/>
        <v>0</v>
      </c>
      <c r="GY198">
        <f t="shared" ca="1" si="583"/>
        <v>0</v>
      </c>
    </row>
    <row r="199" spans="1:207" x14ac:dyDescent="0.25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25"/>
        <v>6800</v>
      </c>
      <c r="I199">
        <f>_xlfn.XLOOKUP(B199,'[1]march-2026'!$A:$A,'[1]march-2026'!$C:$C,0,0)</f>
        <v>35500</v>
      </c>
      <c r="J199">
        <f t="shared" si="689"/>
        <v>6390</v>
      </c>
      <c r="K199">
        <f t="shared" si="626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27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28"/>
        <v>200</v>
      </c>
      <c r="R199">
        <f t="shared" si="629"/>
        <v>40950</v>
      </c>
      <c r="S199">
        <f>_xlfn.XLOOKUP(B199,'[2]april-2026'!$A:$A,'[2]april-2026'!$C:$C,0,0)</f>
        <v>35500</v>
      </c>
      <c r="T199">
        <f t="shared" si="630"/>
        <v>6390</v>
      </c>
      <c r="U199">
        <f t="shared" si="631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32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33"/>
        <v>200</v>
      </c>
      <c r="AB199">
        <f t="shared" si="634"/>
        <v>40950</v>
      </c>
      <c r="AC199">
        <f>_xlfn.XLOOKUP(B199,'[3]may-2026'!$A:$A,'[3]may-2026'!$C:$C,0,0)</f>
        <v>35500</v>
      </c>
      <c r="AD199">
        <f t="shared" si="635"/>
        <v>6390</v>
      </c>
      <c r="AE199">
        <f t="shared" si="636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37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38"/>
        <v>200</v>
      </c>
      <c r="AL199">
        <f t="shared" si="639"/>
        <v>40950</v>
      </c>
      <c r="AM199">
        <f>_xlfn.XLOOKUP(B199,'[4]june-2026'!$A:$A,'[4]june-2026'!$C:$C,0,0)</f>
        <v>35500</v>
      </c>
      <c r="AN199">
        <f t="shared" si="640"/>
        <v>6390</v>
      </c>
      <c r="AO199">
        <f t="shared" si="641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42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43"/>
        <v>200</v>
      </c>
      <c r="AV199">
        <f t="shared" si="644"/>
        <v>40950</v>
      </c>
      <c r="AW199">
        <f>_xlfn.XLOOKUP(B199,'[5]july-2026'!$A:$A,'[5]july-2026'!$C:$C,0,0)</f>
        <v>36600</v>
      </c>
      <c r="AX199">
        <f t="shared" si="645"/>
        <v>6588</v>
      </c>
      <c r="AY199">
        <v>197</v>
      </c>
      <c r="AZ199">
        <f t="shared" si="646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47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48"/>
        <v>200</v>
      </c>
      <c r="BG199">
        <f t="shared" si="649"/>
        <v>42577</v>
      </c>
      <c r="BH199">
        <f>_xlfn.XLOOKUP(B199,'[6]august-2026'!$A:$A,'[6]august-2026'!$C:$C,0,0)</f>
        <v>36600</v>
      </c>
      <c r="BI199">
        <f t="shared" si="650"/>
        <v>6588</v>
      </c>
      <c r="BJ199">
        <f t="shared" si="651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52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53"/>
        <v>200</v>
      </c>
      <c r="BQ199">
        <f t="shared" si="654"/>
        <v>42380</v>
      </c>
      <c r="BR199">
        <f>_xlfn.XLOOKUP(B199,'[7]september-2026'!$A:$A,'[7]september-2026'!$C:$C,0,0)</f>
        <v>36600</v>
      </c>
      <c r="BS199">
        <f t="shared" si="655"/>
        <v>6588</v>
      </c>
      <c r="BT199">
        <f t="shared" si="656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57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58"/>
        <v>200</v>
      </c>
      <c r="CA199">
        <f t="shared" si="659"/>
        <v>42380</v>
      </c>
      <c r="CB199">
        <f>_xlfn.XLOOKUP(B199,'[8]october-2026'!$A:$A,'[8]october-2026'!$C:$C,0,0)</f>
        <v>36600</v>
      </c>
      <c r="CC199">
        <f t="shared" si="660"/>
        <v>6588</v>
      </c>
      <c r="CD199">
        <f t="shared" si="661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62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63"/>
        <v>200</v>
      </c>
      <c r="CK199">
        <f t="shared" si="664"/>
        <v>42380</v>
      </c>
      <c r="CL199">
        <f>_xlfn.XLOOKUP(B199,'[9]november-2026'!$A:$A,'[9]november-2026'!$C:$C,0,0)</f>
        <v>36600</v>
      </c>
      <c r="CM199">
        <f t="shared" si="665"/>
        <v>6588</v>
      </c>
      <c r="CN199">
        <f t="shared" si="666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67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68"/>
        <v>200</v>
      </c>
      <c r="CU199">
        <f t="shared" si="669"/>
        <v>42380</v>
      </c>
      <c r="CV199">
        <f>_xlfn.XLOOKUP(B199,'[10]december-2026'!$A:$A,'[10]december-2026'!$C:$C,0,0)</f>
        <v>36600</v>
      </c>
      <c r="CW199">
        <f t="shared" si="670"/>
        <v>6588</v>
      </c>
      <c r="CX199">
        <f t="shared" si="671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72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73"/>
        <v>200</v>
      </c>
      <c r="DE199">
        <f t="shared" si="674"/>
        <v>42380</v>
      </c>
      <c r="DF199">
        <f xml:space="preserve"> _xlfn.XLOOKUP(B199,
'[11]january-2027'!$A:$A,
'[11]january-2027'!$C:$C,
0,0)</f>
        <v>36600</v>
      </c>
      <c r="DG199">
        <f t="shared" si="675"/>
        <v>6588</v>
      </c>
      <c r="DH199">
        <f t="shared" si="676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77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78"/>
        <v>200</v>
      </c>
      <c r="DO199">
        <f t="shared" si="679"/>
        <v>42380</v>
      </c>
      <c r="DP199">
        <f xml:space="preserve"> _xlfn.XLOOKUP(B199,
'[12]february-2027'!$A:$A,
'[12]february-2027'!$C:$C,
0,0)</f>
        <v>36600</v>
      </c>
      <c r="DQ199">
        <f t="shared" si="680"/>
        <v>6588</v>
      </c>
      <c r="DR199">
        <f t="shared" si="681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82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83"/>
        <v>200</v>
      </c>
      <c r="DY199">
        <f t="shared" si="684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85"/>
        <v>0</v>
      </c>
      <c r="EM199">
        <f t="shared" si="686"/>
        <v>578237</v>
      </c>
      <c r="EN199">
        <f t="shared" si="687"/>
        <v>2400</v>
      </c>
      <c r="EO199">
        <f t="shared" si="688"/>
        <v>50000</v>
      </c>
      <c r="EP199">
        <v>0</v>
      </c>
      <c r="EQ199">
        <f t="shared" ref="EQ199:EQ264" si="690">EM199-EN199-EO199+EL199</f>
        <v>525837</v>
      </c>
      <c r="ER199">
        <f t="shared" si="544"/>
        <v>66000</v>
      </c>
      <c r="ES199">
        <f t="shared" si="545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46"/>
        <v>66000</v>
      </c>
      <c r="FE199">
        <f t="shared" si="547"/>
        <v>66000</v>
      </c>
      <c r="FF199">
        <f t="shared" si="548"/>
        <v>459837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>SUM(FG199:FM199)+(IF(F199="YES",50000,0))</f>
        <v>0</v>
      </c>
      <c r="FO199">
        <f t="shared" si="549"/>
        <v>459837</v>
      </c>
      <c r="FP199">
        <f t="shared" si="550"/>
        <v>10492</v>
      </c>
      <c r="FQ199">
        <f t="shared" si="551"/>
        <v>0</v>
      </c>
      <c r="FR199">
        <f t="shared" si="552"/>
        <v>10492</v>
      </c>
      <c r="FS199">
        <f t="shared" si="553"/>
        <v>0</v>
      </c>
      <c r="FT199">
        <f t="shared" si="554"/>
        <v>0</v>
      </c>
      <c r="FU199">
        <f t="shared" si="555"/>
        <v>0</v>
      </c>
      <c r="FV199">
        <v>0</v>
      </c>
      <c r="FW199">
        <f t="shared" si="556"/>
        <v>0</v>
      </c>
      <c r="FX199" t="b">
        <f t="shared" si="557"/>
        <v>1</v>
      </c>
      <c r="FY199">
        <f t="shared" ca="1" si="558"/>
        <v>864</v>
      </c>
      <c r="FZ199">
        <f t="shared" ca="1" si="559"/>
        <v>579101</v>
      </c>
      <c r="GA199">
        <f t="shared" si="560"/>
        <v>75000</v>
      </c>
      <c r="GB199">
        <f t="shared" ca="1" si="561"/>
        <v>504101</v>
      </c>
      <c r="GC199">
        <f t="shared" ca="1" si="562"/>
        <v>0</v>
      </c>
      <c r="GD199">
        <f t="shared" ca="1" si="563"/>
        <v>0</v>
      </c>
      <c r="GE199">
        <f t="shared" ca="1" si="564"/>
        <v>0</v>
      </c>
      <c r="GF199">
        <f t="shared" ca="1" si="565"/>
        <v>0</v>
      </c>
      <c r="GG199">
        <f t="shared" ca="1" si="566"/>
        <v>0</v>
      </c>
      <c r="GH199">
        <f t="shared" ca="1" si="567"/>
        <v>0</v>
      </c>
      <c r="GI199">
        <f ca="1">IF(GB199&gt;1200000,GB199-1200000-IF(F199="YES",50000,0)-GG199,0)</f>
        <v>0</v>
      </c>
      <c r="GJ199">
        <f t="shared" ca="1" si="568"/>
        <v>0</v>
      </c>
      <c r="GK199">
        <f t="shared" ca="1" si="569"/>
        <v>0</v>
      </c>
      <c r="GL199">
        <f t="shared" ca="1" si="570"/>
        <v>0</v>
      </c>
      <c r="GM199">
        <f t="shared" ca="1" si="571"/>
        <v>104101</v>
      </c>
      <c r="GN199">
        <f t="shared" ca="1" si="572"/>
        <v>5205.05</v>
      </c>
      <c r="GO199">
        <f t="shared" ca="1" si="573"/>
        <v>5205</v>
      </c>
      <c r="GP199">
        <f t="shared" ca="1" si="574"/>
        <v>0</v>
      </c>
      <c r="GQ199">
        <f t="shared" ca="1" si="575"/>
        <v>0</v>
      </c>
      <c r="GR199">
        <f t="shared" ca="1" si="576"/>
        <v>5205</v>
      </c>
      <c r="GS199">
        <f t="shared" ca="1" si="577"/>
        <v>0</v>
      </c>
      <c r="GT199" t="b">
        <f t="shared" ca="1" si="578"/>
        <v>0</v>
      </c>
      <c r="GU199">
        <f t="shared" ca="1" si="579"/>
        <v>0</v>
      </c>
      <c r="GV199">
        <f t="shared" ca="1" si="580"/>
        <v>5205</v>
      </c>
      <c r="GW199">
        <f t="shared" ca="1" si="581"/>
        <v>0</v>
      </c>
      <c r="GX199">
        <f t="shared" ca="1" si="582"/>
        <v>0</v>
      </c>
      <c r="GY199">
        <f t="shared" ca="1" si="583"/>
        <v>0</v>
      </c>
    </row>
    <row r="200" spans="1:207" x14ac:dyDescent="0.25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25"/>
        <v>6800</v>
      </c>
      <c r="I200">
        <f>_xlfn.XLOOKUP(B200,'[1]march-2026'!$A:$A,'[1]march-2026'!$C:$C,0,0)</f>
        <v>51700</v>
      </c>
      <c r="J200">
        <f t="shared" si="689"/>
        <v>9306</v>
      </c>
      <c r="K200">
        <f t="shared" si="626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27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28"/>
        <v>200</v>
      </c>
      <c r="R200">
        <f t="shared" si="629"/>
        <v>62510</v>
      </c>
      <c r="S200">
        <f>_xlfn.XLOOKUP(B200,'[2]april-2026'!$A:$A,'[2]april-2026'!$C:$C,0,0)</f>
        <v>51700</v>
      </c>
      <c r="T200">
        <f t="shared" si="630"/>
        <v>9306</v>
      </c>
      <c r="U200">
        <f t="shared" si="631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32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33"/>
        <v>200</v>
      </c>
      <c r="AB200">
        <f t="shared" si="634"/>
        <v>62510</v>
      </c>
      <c r="AC200">
        <f>_xlfn.XLOOKUP(B200,'[3]may-2026'!$A:$A,'[3]may-2026'!$C:$C,0,0)</f>
        <v>51700</v>
      </c>
      <c r="AD200">
        <f t="shared" si="635"/>
        <v>9306</v>
      </c>
      <c r="AE200">
        <f t="shared" si="636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37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38"/>
        <v>200</v>
      </c>
      <c r="AL200">
        <f t="shared" si="639"/>
        <v>62510</v>
      </c>
      <c r="AM200">
        <f>_xlfn.XLOOKUP(B200,'[4]june-2026'!$A:$A,'[4]june-2026'!$C:$C,0,0)</f>
        <v>51700</v>
      </c>
      <c r="AN200">
        <f t="shared" si="640"/>
        <v>9306</v>
      </c>
      <c r="AO200">
        <f t="shared" si="641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42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43"/>
        <v>200</v>
      </c>
      <c r="AV200">
        <f t="shared" si="644"/>
        <v>62510</v>
      </c>
      <c r="AW200">
        <f>_xlfn.XLOOKUP(B200,'[5]july-2026'!$A:$A,'[5]july-2026'!$C:$C,0,0)</f>
        <v>53300</v>
      </c>
      <c r="AX200">
        <f t="shared" si="645"/>
        <v>9594</v>
      </c>
      <c r="AY200">
        <v>198</v>
      </c>
      <c r="AZ200">
        <f t="shared" si="646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47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48"/>
        <v>200</v>
      </c>
      <c r="BG200">
        <f t="shared" si="649"/>
        <v>64788</v>
      </c>
      <c r="BH200">
        <f>_xlfn.XLOOKUP(B200,'[6]august-2026'!$A:$A,'[6]august-2026'!$C:$C,0,0)</f>
        <v>53300</v>
      </c>
      <c r="BI200">
        <f t="shared" si="650"/>
        <v>9594</v>
      </c>
      <c r="BJ200">
        <f t="shared" si="651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52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53"/>
        <v>200</v>
      </c>
      <c r="BQ200">
        <f t="shared" si="654"/>
        <v>64590</v>
      </c>
      <c r="BR200">
        <f>_xlfn.XLOOKUP(B200,'[7]september-2026'!$A:$A,'[7]september-2026'!$C:$C,0,0)</f>
        <v>53300</v>
      </c>
      <c r="BS200">
        <f t="shared" si="655"/>
        <v>9594</v>
      </c>
      <c r="BT200">
        <f t="shared" si="656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57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58"/>
        <v>200</v>
      </c>
      <c r="CA200">
        <f t="shared" si="659"/>
        <v>64590</v>
      </c>
      <c r="CB200">
        <f>_xlfn.XLOOKUP(B200,'[8]october-2026'!$A:$A,'[8]october-2026'!$C:$C,0,0)</f>
        <v>53300</v>
      </c>
      <c r="CC200">
        <f t="shared" si="660"/>
        <v>9594</v>
      </c>
      <c r="CD200">
        <f t="shared" si="661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62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63"/>
        <v>200</v>
      </c>
      <c r="CK200">
        <f t="shared" si="664"/>
        <v>64590</v>
      </c>
      <c r="CL200">
        <f>_xlfn.XLOOKUP(B200,'[9]november-2026'!$A:$A,'[9]november-2026'!$C:$C,0,0)</f>
        <v>53300</v>
      </c>
      <c r="CM200">
        <f t="shared" si="665"/>
        <v>9594</v>
      </c>
      <c r="CN200">
        <f t="shared" si="666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67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68"/>
        <v>200</v>
      </c>
      <c r="CU200">
        <f t="shared" si="669"/>
        <v>64590</v>
      </c>
      <c r="CV200">
        <f>_xlfn.XLOOKUP(B200,'[10]december-2026'!$A:$A,'[10]december-2026'!$C:$C,0,0)</f>
        <v>53300</v>
      </c>
      <c r="CW200">
        <f t="shared" si="670"/>
        <v>9594</v>
      </c>
      <c r="CX200">
        <f t="shared" si="671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72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73"/>
        <v>200</v>
      </c>
      <c r="DE200">
        <f t="shared" si="674"/>
        <v>64590</v>
      </c>
      <c r="DF200">
        <f xml:space="preserve"> _xlfn.XLOOKUP(B200,
'[11]january-2027'!$A:$A,
'[11]january-2027'!$C:$C,
0,0)</f>
        <v>53300</v>
      </c>
      <c r="DG200">
        <f t="shared" si="675"/>
        <v>9594</v>
      </c>
      <c r="DH200">
        <f t="shared" si="676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77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78"/>
        <v>200</v>
      </c>
      <c r="DO200">
        <f t="shared" si="679"/>
        <v>64590</v>
      </c>
      <c r="DP200">
        <f xml:space="preserve"> _xlfn.XLOOKUP(B200,
'[12]february-2027'!$A:$A,
'[12]february-2027'!$C:$C,
0,0)</f>
        <v>53300</v>
      </c>
      <c r="DQ200">
        <f t="shared" si="680"/>
        <v>9594</v>
      </c>
      <c r="DR200">
        <f t="shared" si="681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82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83"/>
        <v>200</v>
      </c>
      <c r="DY200">
        <f t="shared" si="684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85"/>
        <v>0</v>
      </c>
      <c r="EM200">
        <f t="shared" si="686"/>
        <v>836158</v>
      </c>
      <c r="EN200">
        <f t="shared" si="687"/>
        <v>2400</v>
      </c>
      <c r="EO200">
        <f t="shared" si="688"/>
        <v>50000</v>
      </c>
      <c r="EP200">
        <v>0</v>
      </c>
      <c r="EQ200">
        <f t="shared" si="690"/>
        <v>783758</v>
      </c>
      <c r="ER200">
        <f t="shared" ref="ER200:ER265" si="691">DV200+DL200+DB200+CR200+CH200+BX200+BN200+BD200+AS200+AI200+Y200+O200</f>
        <v>60000</v>
      </c>
      <c r="ES200">
        <f t="shared" ref="ES200:ES265" si="692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5" si="693">SUM(ER200:FC200)</f>
        <v>60000</v>
      </c>
      <c r="FE200">
        <f t="shared" ref="FE200:FE265" si="694">IF(FD200&gt;=150000,150000,FD200)</f>
        <v>60000</v>
      </c>
      <c r="FF200">
        <f t="shared" ref="FF200:FF265" si="695">EQ200-FE200</f>
        <v>723758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>SUM(FG200:FM200)+(IF(F200="YES",50000,0))</f>
        <v>0</v>
      </c>
      <c r="FO200">
        <f t="shared" ref="FO200:FO265" si="696">FF200-FN200</f>
        <v>723758</v>
      </c>
      <c r="FP200">
        <f t="shared" ref="FP200:FP265" si="697">ROUND(IF(FO200&gt;0,IF(FO200&gt;500000,12500,(FO200-250000)*0.05),0),0)</f>
        <v>12500</v>
      </c>
      <c r="FQ200">
        <f t="shared" ref="FQ200:FQ265" si="698">IF(ROUND(IF(FO200&gt;0,IF(FO200&gt;1000000,25000,(FO200-500000)*0.2),0),0)&lt;0,0,ROUND(IF(FO200&gt;0,IF(FO200&gt;1000000,25000,(FO200-500000)*0.2),0),0))</f>
        <v>44752</v>
      </c>
      <c r="FR200">
        <f t="shared" ref="FR200:FR265" si="699">FP200+FQ200</f>
        <v>57252</v>
      </c>
      <c r="FS200">
        <f t="shared" ref="FS200:FS265" si="700">IF(FR200&lt;12500,0,FR200)</f>
        <v>57252</v>
      </c>
      <c r="FT200">
        <f t="shared" ref="FT200:FT265" si="701">FS200*0.04</f>
        <v>2290.08</v>
      </c>
      <c r="FU200">
        <f t="shared" ref="FU200:FU265" si="702">ROUND(FT200+FS200,0)</f>
        <v>59542</v>
      </c>
      <c r="FV200">
        <v>0</v>
      </c>
      <c r="FW200">
        <f t="shared" ref="FW200:FW265" si="703">FU200-FV200</f>
        <v>59542</v>
      </c>
      <c r="FX200" t="b">
        <f t="shared" ref="FX200:FX265" si="704">IF(EM200&gt;500000,TRUE,FALSE)</f>
        <v>1</v>
      </c>
      <c r="FY200">
        <f t="shared" ref="FY200:FY265" ca="1" si="705">IF(FX200,RANDBETWEEN(500,1000),RANDBETWEEN(1000,3000))</f>
        <v>705</v>
      </c>
      <c r="FZ200">
        <f t="shared" ref="FZ200:FZ265" ca="1" si="706">EM200+FY200</f>
        <v>836863</v>
      </c>
      <c r="GA200">
        <f t="shared" ref="GA200:GA265" si="707">IF(EM200&gt;0,75000,0)</f>
        <v>75000</v>
      </c>
      <c r="GB200">
        <f t="shared" ref="GB200:GB265" ca="1" si="708">FZ200-GA200</f>
        <v>761863</v>
      </c>
      <c r="GC200">
        <f t="shared" ref="GC200:GC265" ca="1" si="709">IF(GB200&gt;2400000,GB200-2400000,0)</f>
        <v>0</v>
      </c>
      <c r="GD200">
        <f t="shared" ref="GD200:GD265" ca="1" si="710">GC200*0.3</f>
        <v>0</v>
      </c>
      <c r="GE200">
        <f t="shared" ref="GE200:GE265" ca="1" si="711">IF(GB200&gt;2000000,GB200-2000000,0)</f>
        <v>0</v>
      </c>
      <c r="GF200">
        <f t="shared" ref="GF200:GF265" ca="1" si="712">GE200*0.25</f>
        <v>0</v>
      </c>
      <c r="GG200">
        <f t="shared" ref="GG200:GG265" ca="1" si="713">IF(GB200&gt;1600000,GB200-1600000-GC200,0)</f>
        <v>0</v>
      </c>
      <c r="GH200">
        <f t="shared" ref="GH200:GH265" ca="1" si="714">GG200*0.2</f>
        <v>0</v>
      </c>
      <c r="GI200">
        <f ca="1">IF(GB200&gt;1200000,GB200-1200000-IF(F200="YES",50000,0)-GG200,0)</f>
        <v>0</v>
      </c>
      <c r="GJ200">
        <f t="shared" ref="GJ200:GJ265" ca="1" si="715">GI200*0.15</f>
        <v>0</v>
      </c>
      <c r="GK200">
        <f t="shared" ref="GK200:GK265" ca="1" si="716">IF(GB200&gt;800000,GB200-800000-GC200-GG200-GI200,0)</f>
        <v>0</v>
      </c>
      <c r="GL200">
        <f t="shared" ref="GL200:GL265" ca="1" si="717">GK200*0.1</f>
        <v>0</v>
      </c>
      <c r="GM200">
        <f t="shared" ref="GM200:GM265" ca="1" si="718">IF(GB200&gt;400000,GB200-400000-GC200-GG200-GI200-GK200,0)</f>
        <v>361863</v>
      </c>
      <c r="GN200">
        <f t="shared" ref="GN200:GN265" ca="1" si="719">GM200*0.05</f>
        <v>18093.150000000001</v>
      </c>
      <c r="GO200">
        <f t="shared" ref="GO200:GO265" ca="1" si="720">ROUND(GD200+GF200+GH200+GJ200+GL200+GN200,0)</f>
        <v>18093</v>
      </c>
      <c r="GP200">
        <f t="shared" ref="GP200:GP265" ca="1" si="721">IF(GB200&gt;1200000,GB200,0)</f>
        <v>0</v>
      </c>
      <c r="GQ200">
        <f t="shared" ref="GQ200:GQ265" ca="1" si="722">IF(GB200&gt;1200000,GP200-1200000,0)</f>
        <v>0</v>
      </c>
      <c r="GR200">
        <f t="shared" ref="GR200:GR265" ca="1" si="723">IF(GB200&lt;1200001,MIN(GO200,60000),0)</f>
        <v>18093</v>
      </c>
      <c r="GS200">
        <f t="shared" ref="GS200:GS265" ca="1" si="724">IF(GB200&gt;1200000,GO200-GQ200,0)</f>
        <v>0</v>
      </c>
      <c r="GT200" t="b">
        <f t="shared" ref="GT200:GT265" ca="1" si="725">IF(GS200&gt;0,TRUE,FALSE)</f>
        <v>0</v>
      </c>
      <c r="GU200">
        <f t="shared" ref="GU200:GU265" ca="1" si="726">IF(GT200,GS200,0)</f>
        <v>0</v>
      </c>
      <c r="GV200">
        <f t="shared" ref="GV200:GV265" ca="1" si="727">GR200+GU200</f>
        <v>18093</v>
      </c>
      <c r="GW200">
        <f t="shared" ref="GW200:GW265" ca="1" si="728">ROUND(GO200-GV200,0)</f>
        <v>0</v>
      </c>
      <c r="GX200">
        <f t="shared" ref="GX200:GX265" ca="1" si="729">GW200*0.04</f>
        <v>0</v>
      </c>
      <c r="GY200">
        <f t="shared" ref="GY200:GY265" ca="1" si="730">ROUNDUP(GW200+GX200,0)</f>
        <v>0</v>
      </c>
    </row>
    <row r="201" spans="1:207" x14ac:dyDescent="0.25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25"/>
        <v>6800</v>
      </c>
      <c r="I201">
        <f>_xlfn.XLOOKUP(B201,'[1]march-2026'!$A:$A,'[1]march-2026'!$C:$C,0,0)</f>
        <v>34500</v>
      </c>
      <c r="J201">
        <f t="shared" si="689"/>
        <v>6210</v>
      </c>
      <c r="K201">
        <f t="shared" si="626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27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28"/>
        <v>200</v>
      </c>
      <c r="R201">
        <f t="shared" si="629"/>
        <v>40150</v>
      </c>
      <c r="S201">
        <f>_xlfn.XLOOKUP(B201,'[2]april-2026'!$A:$A,'[2]april-2026'!$C:$C,0,0)</f>
        <v>34500</v>
      </c>
      <c r="T201">
        <f t="shared" si="630"/>
        <v>6210</v>
      </c>
      <c r="U201">
        <f t="shared" si="631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32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33"/>
        <v>200</v>
      </c>
      <c r="AB201">
        <f t="shared" si="634"/>
        <v>40150</v>
      </c>
      <c r="AC201">
        <f>_xlfn.XLOOKUP(B201,'[3]may-2026'!$A:$A,'[3]may-2026'!$C:$C,0,0)</f>
        <v>34500</v>
      </c>
      <c r="AD201">
        <f t="shared" si="635"/>
        <v>6210</v>
      </c>
      <c r="AE201">
        <f t="shared" si="636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37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38"/>
        <v>200</v>
      </c>
      <c r="AL201">
        <f t="shared" si="639"/>
        <v>40150</v>
      </c>
      <c r="AM201">
        <f>_xlfn.XLOOKUP(B201,'[4]june-2026'!$A:$A,'[4]june-2026'!$C:$C,0,0)</f>
        <v>34500</v>
      </c>
      <c r="AN201">
        <f t="shared" si="640"/>
        <v>6210</v>
      </c>
      <c r="AO201">
        <f t="shared" si="641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42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43"/>
        <v>200</v>
      </c>
      <c r="AV201">
        <f t="shared" si="644"/>
        <v>40150</v>
      </c>
      <c r="AW201">
        <f>_xlfn.XLOOKUP(B201,'[5]july-2026'!$A:$A,'[5]july-2026'!$C:$C,0,0)</f>
        <v>35500</v>
      </c>
      <c r="AX201">
        <f t="shared" si="645"/>
        <v>6390</v>
      </c>
      <c r="AY201">
        <v>199</v>
      </c>
      <c r="AZ201">
        <f t="shared" si="646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47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48"/>
        <v>200</v>
      </c>
      <c r="BG201">
        <f t="shared" si="649"/>
        <v>41649</v>
      </c>
      <c r="BH201">
        <f>_xlfn.XLOOKUP(B201,'[6]august-2026'!$A:$A,'[6]august-2026'!$C:$C,0,0)</f>
        <v>35500</v>
      </c>
      <c r="BI201">
        <f t="shared" si="650"/>
        <v>6390</v>
      </c>
      <c r="BJ201">
        <f t="shared" si="651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52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53"/>
        <v>200</v>
      </c>
      <c r="BQ201">
        <f t="shared" si="654"/>
        <v>41450</v>
      </c>
      <c r="BR201">
        <f>_xlfn.XLOOKUP(B201,'[7]september-2026'!$A:$A,'[7]september-2026'!$C:$C,0,0)</f>
        <v>35500</v>
      </c>
      <c r="BS201">
        <f t="shared" si="655"/>
        <v>6390</v>
      </c>
      <c r="BT201">
        <f t="shared" si="656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57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58"/>
        <v>200</v>
      </c>
      <c r="CA201">
        <f t="shared" si="659"/>
        <v>41450</v>
      </c>
      <c r="CB201">
        <f>_xlfn.XLOOKUP(B201,'[8]october-2026'!$A:$A,'[8]october-2026'!$C:$C,0,0)</f>
        <v>35500</v>
      </c>
      <c r="CC201">
        <f t="shared" si="660"/>
        <v>6390</v>
      </c>
      <c r="CD201">
        <f t="shared" si="661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62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63"/>
        <v>200</v>
      </c>
      <c r="CK201">
        <f t="shared" si="664"/>
        <v>41450</v>
      </c>
      <c r="CL201">
        <f>_xlfn.XLOOKUP(B201,'[9]november-2026'!$A:$A,'[9]november-2026'!$C:$C,0,0)</f>
        <v>35500</v>
      </c>
      <c r="CM201">
        <f t="shared" si="665"/>
        <v>6390</v>
      </c>
      <c r="CN201">
        <f t="shared" si="666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67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68"/>
        <v>200</v>
      </c>
      <c r="CU201">
        <f t="shared" si="669"/>
        <v>41450</v>
      </c>
      <c r="CV201">
        <f>_xlfn.XLOOKUP(B201,'[10]december-2026'!$A:$A,'[10]december-2026'!$C:$C,0,0)</f>
        <v>35500</v>
      </c>
      <c r="CW201">
        <f t="shared" si="670"/>
        <v>6390</v>
      </c>
      <c r="CX201">
        <f t="shared" si="671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72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73"/>
        <v>200</v>
      </c>
      <c r="DE201">
        <f t="shared" si="674"/>
        <v>41450</v>
      </c>
      <c r="DF201">
        <f xml:space="preserve"> _xlfn.XLOOKUP(B201,
'[11]january-2027'!$A:$A,
'[11]january-2027'!$C:$C,
0,0)</f>
        <v>35500</v>
      </c>
      <c r="DG201">
        <f t="shared" si="675"/>
        <v>6390</v>
      </c>
      <c r="DH201">
        <f t="shared" si="676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77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78"/>
        <v>200</v>
      </c>
      <c r="DO201">
        <f t="shared" si="679"/>
        <v>41450</v>
      </c>
      <c r="DP201">
        <f xml:space="preserve"> _xlfn.XLOOKUP(B201,
'[12]february-2027'!$A:$A,
'[12]february-2027'!$C:$C,
0,0)</f>
        <v>35500</v>
      </c>
      <c r="DQ201">
        <f t="shared" si="680"/>
        <v>6390</v>
      </c>
      <c r="DR201">
        <f t="shared" si="681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82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83"/>
        <v>200</v>
      </c>
      <c r="DY201">
        <f t="shared" si="684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85"/>
        <v>0</v>
      </c>
      <c r="EM201">
        <f t="shared" si="686"/>
        <v>561599</v>
      </c>
      <c r="EN201">
        <f t="shared" si="687"/>
        <v>2400</v>
      </c>
      <c r="EO201">
        <f t="shared" si="688"/>
        <v>50000</v>
      </c>
      <c r="EP201">
        <v>0</v>
      </c>
      <c r="EQ201">
        <f t="shared" si="690"/>
        <v>509199</v>
      </c>
      <c r="ER201">
        <f t="shared" si="691"/>
        <v>60000</v>
      </c>
      <c r="ES201">
        <f t="shared" si="692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693"/>
        <v>60000</v>
      </c>
      <c r="FE201">
        <f t="shared" si="694"/>
        <v>60000</v>
      </c>
      <c r="FF201">
        <f t="shared" si="695"/>
        <v>449199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>SUM(FG201:FM201)+(IF(F201="YES",50000,0))</f>
        <v>0</v>
      </c>
      <c r="FO201">
        <f t="shared" si="696"/>
        <v>449199</v>
      </c>
      <c r="FP201">
        <f t="shared" si="697"/>
        <v>9960</v>
      </c>
      <c r="FQ201">
        <f t="shared" si="698"/>
        <v>0</v>
      </c>
      <c r="FR201">
        <f t="shared" si="699"/>
        <v>9960</v>
      </c>
      <c r="FS201">
        <f t="shared" si="700"/>
        <v>0</v>
      </c>
      <c r="FT201">
        <f t="shared" si="701"/>
        <v>0</v>
      </c>
      <c r="FU201">
        <f t="shared" si="702"/>
        <v>0</v>
      </c>
      <c r="FV201">
        <v>0</v>
      </c>
      <c r="FW201">
        <f t="shared" si="703"/>
        <v>0</v>
      </c>
      <c r="FX201" t="b">
        <f t="shared" si="704"/>
        <v>1</v>
      </c>
      <c r="FY201">
        <f t="shared" ca="1" si="705"/>
        <v>884</v>
      </c>
      <c r="FZ201">
        <f t="shared" ca="1" si="706"/>
        <v>562483</v>
      </c>
      <c r="GA201">
        <f t="shared" si="707"/>
        <v>75000</v>
      </c>
      <c r="GB201">
        <f t="shared" ca="1" si="708"/>
        <v>487483</v>
      </c>
      <c r="GC201">
        <f t="shared" ca="1" si="709"/>
        <v>0</v>
      </c>
      <c r="GD201">
        <f t="shared" ca="1" si="710"/>
        <v>0</v>
      </c>
      <c r="GE201">
        <f t="shared" ca="1" si="711"/>
        <v>0</v>
      </c>
      <c r="GF201">
        <f t="shared" ca="1" si="712"/>
        <v>0</v>
      </c>
      <c r="GG201">
        <f t="shared" ca="1" si="713"/>
        <v>0</v>
      </c>
      <c r="GH201">
        <f t="shared" ca="1" si="714"/>
        <v>0</v>
      </c>
      <c r="GI201">
        <f ca="1">IF(GB201&gt;1200000,GB201-1200000-IF(F201="YES",50000,0)-GG201,0)</f>
        <v>0</v>
      </c>
      <c r="GJ201">
        <f t="shared" ca="1" si="715"/>
        <v>0</v>
      </c>
      <c r="GK201">
        <f t="shared" ca="1" si="716"/>
        <v>0</v>
      </c>
      <c r="GL201">
        <f t="shared" ca="1" si="717"/>
        <v>0</v>
      </c>
      <c r="GM201">
        <f t="shared" ca="1" si="718"/>
        <v>87483</v>
      </c>
      <c r="GN201">
        <f t="shared" ca="1" si="719"/>
        <v>4374.1500000000005</v>
      </c>
      <c r="GO201">
        <f t="shared" ca="1" si="720"/>
        <v>4374</v>
      </c>
      <c r="GP201">
        <f t="shared" ca="1" si="721"/>
        <v>0</v>
      </c>
      <c r="GQ201">
        <f t="shared" ca="1" si="722"/>
        <v>0</v>
      </c>
      <c r="GR201">
        <f t="shared" ca="1" si="723"/>
        <v>4374</v>
      </c>
      <c r="GS201">
        <f t="shared" ca="1" si="724"/>
        <v>0</v>
      </c>
      <c r="GT201" t="b">
        <f t="shared" ca="1" si="725"/>
        <v>0</v>
      </c>
      <c r="GU201">
        <f t="shared" ca="1" si="726"/>
        <v>0</v>
      </c>
      <c r="GV201">
        <f t="shared" ca="1" si="727"/>
        <v>4374</v>
      </c>
      <c r="GW201">
        <f t="shared" ca="1" si="728"/>
        <v>0</v>
      </c>
      <c r="GX201">
        <f t="shared" ca="1" si="729"/>
        <v>0</v>
      </c>
      <c r="GY201">
        <f t="shared" ca="1" si="730"/>
        <v>0</v>
      </c>
    </row>
    <row r="202" spans="1:207" x14ac:dyDescent="0.25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25"/>
        <v>6800</v>
      </c>
      <c r="I202">
        <f>_xlfn.XLOOKUP(B202,'[1]march-2026'!$A:$A,'[1]march-2026'!$C:$C,0,0)</f>
        <v>34500</v>
      </c>
      <c r="J202">
        <f t="shared" si="689"/>
        <v>6210</v>
      </c>
      <c r="K202">
        <f t="shared" si="626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27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28"/>
        <v>200</v>
      </c>
      <c r="R202">
        <f t="shared" si="629"/>
        <v>42650</v>
      </c>
      <c r="S202">
        <f>_xlfn.XLOOKUP(B202,'[2]april-2026'!$A:$A,'[2]april-2026'!$C:$C,0,0)</f>
        <v>34500</v>
      </c>
      <c r="T202">
        <f t="shared" si="630"/>
        <v>6210</v>
      </c>
      <c r="U202">
        <f t="shared" si="631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32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33"/>
        <v>200</v>
      </c>
      <c r="AB202">
        <f t="shared" si="634"/>
        <v>42650</v>
      </c>
      <c r="AC202">
        <f>_xlfn.XLOOKUP(B202,'[3]may-2026'!$A:$A,'[3]may-2026'!$C:$C,0,0)</f>
        <v>34500</v>
      </c>
      <c r="AD202">
        <f t="shared" si="635"/>
        <v>6210</v>
      </c>
      <c r="AE202">
        <f t="shared" si="636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37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38"/>
        <v>200</v>
      </c>
      <c r="AL202">
        <f t="shared" si="639"/>
        <v>42650</v>
      </c>
      <c r="AM202">
        <f>_xlfn.XLOOKUP(B202,'[4]june-2026'!$A:$A,'[4]june-2026'!$C:$C,0,0)</f>
        <v>34500</v>
      </c>
      <c r="AN202">
        <f t="shared" si="640"/>
        <v>6210</v>
      </c>
      <c r="AO202">
        <f t="shared" si="641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42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43"/>
        <v>200</v>
      </c>
      <c r="AV202">
        <f t="shared" si="644"/>
        <v>42650</v>
      </c>
      <c r="AW202">
        <f>_xlfn.XLOOKUP(B202,'[5]july-2026'!$A:$A,'[5]july-2026'!$C:$C,0,0)</f>
        <v>35500</v>
      </c>
      <c r="AX202">
        <f t="shared" si="645"/>
        <v>6390</v>
      </c>
      <c r="AY202">
        <v>200</v>
      </c>
      <c r="AZ202">
        <f t="shared" si="646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47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48"/>
        <v>200</v>
      </c>
      <c r="BG202">
        <f t="shared" si="649"/>
        <v>44150</v>
      </c>
      <c r="BH202">
        <f>_xlfn.XLOOKUP(B202,'[6]august-2026'!$A:$A,'[6]august-2026'!$C:$C,0,0)</f>
        <v>35500</v>
      </c>
      <c r="BI202">
        <f t="shared" si="650"/>
        <v>6390</v>
      </c>
      <c r="BJ202">
        <f t="shared" si="651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52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53"/>
        <v>200</v>
      </c>
      <c r="BQ202">
        <f t="shared" si="654"/>
        <v>43950</v>
      </c>
      <c r="BR202">
        <f>_xlfn.XLOOKUP(B202,'[7]september-2026'!$A:$A,'[7]september-2026'!$C:$C,0,0)</f>
        <v>35500</v>
      </c>
      <c r="BS202">
        <f t="shared" si="655"/>
        <v>6390</v>
      </c>
      <c r="BT202">
        <f t="shared" si="656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57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58"/>
        <v>200</v>
      </c>
      <c r="CA202">
        <f t="shared" si="659"/>
        <v>43950</v>
      </c>
      <c r="CB202">
        <f>_xlfn.XLOOKUP(B202,'[8]october-2026'!$A:$A,'[8]october-2026'!$C:$C,0,0)</f>
        <v>35500</v>
      </c>
      <c r="CC202">
        <f t="shared" si="660"/>
        <v>6390</v>
      </c>
      <c r="CD202">
        <f t="shared" si="661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62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63"/>
        <v>200</v>
      </c>
      <c r="CK202">
        <f t="shared" si="664"/>
        <v>43950</v>
      </c>
      <c r="CL202">
        <f>_xlfn.XLOOKUP(B202,'[9]november-2026'!$A:$A,'[9]november-2026'!$C:$C,0,0)</f>
        <v>35500</v>
      </c>
      <c r="CM202">
        <f t="shared" si="665"/>
        <v>6390</v>
      </c>
      <c r="CN202">
        <f t="shared" si="666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67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68"/>
        <v>200</v>
      </c>
      <c r="CU202">
        <f t="shared" si="669"/>
        <v>43950</v>
      </c>
      <c r="CV202">
        <f>_xlfn.XLOOKUP(B202,'[10]december-2026'!$A:$A,'[10]december-2026'!$C:$C,0,0)</f>
        <v>35500</v>
      </c>
      <c r="CW202">
        <f t="shared" si="670"/>
        <v>6390</v>
      </c>
      <c r="CX202">
        <f t="shared" si="671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72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73"/>
        <v>200</v>
      </c>
      <c r="DE202">
        <f t="shared" si="674"/>
        <v>43950</v>
      </c>
      <c r="DF202">
        <f xml:space="preserve"> _xlfn.XLOOKUP(B202,
'[11]january-2027'!$A:$A,
'[11]january-2027'!$C:$C,
0,0)</f>
        <v>35500</v>
      </c>
      <c r="DG202">
        <f t="shared" si="675"/>
        <v>6390</v>
      </c>
      <c r="DH202">
        <f t="shared" si="676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77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78"/>
        <v>200</v>
      </c>
      <c r="DO202">
        <f t="shared" si="679"/>
        <v>43950</v>
      </c>
      <c r="DP202">
        <f xml:space="preserve"> _xlfn.XLOOKUP(B202,
'[12]february-2027'!$A:$A,
'[12]february-2027'!$C:$C,
0,0)</f>
        <v>35500</v>
      </c>
      <c r="DQ202">
        <f t="shared" si="680"/>
        <v>6390</v>
      </c>
      <c r="DR202">
        <f t="shared" si="681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82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83"/>
        <v>200</v>
      </c>
      <c r="DY202">
        <f t="shared" si="684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85"/>
        <v>0</v>
      </c>
      <c r="EM202">
        <f t="shared" si="686"/>
        <v>561600</v>
      </c>
      <c r="EN202">
        <f t="shared" si="687"/>
        <v>2400</v>
      </c>
      <c r="EO202">
        <f t="shared" si="688"/>
        <v>50000</v>
      </c>
      <c r="EP202">
        <v>0</v>
      </c>
      <c r="EQ202">
        <f t="shared" si="690"/>
        <v>509200</v>
      </c>
      <c r="ER202">
        <f t="shared" si="691"/>
        <v>30000</v>
      </c>
      <c r="ES202">
        <f t="shared" si="692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693"/>
        <v>30000</v>
      </c>
      <c r="FE202">
        <f t="shared" si="694"/>
        <v>30000</v>
      </c>
      <c r="FF202">
        <f t="shared" si="695"/>
        <v>479200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>SUM(FG202:FM202)+(IF(F202="YES",50000,0))</f>
        <v>0</v>
      </c>
      <c r="FO202">
        <f t="shared" si="696"/>
        <v>479200</v>
      </c>
      <c r="FP202">
        <f t="shared" si="697"/>
        <v>11460</v>
      </c>
      <c r="FQ202">
        <f t="shared" si="698"/>
        <v>0</v>
      </c>
      <c r="FR202">
        <f t="shared" si="699"/>
        <v>11460</v>
      </c>
      <c r="FS202">
        <f t="shared" si="700"/>
        <v>0</v>
      </c>
      <c r="FT202">
        <f t="shared" si="701"/>
        <v>0</v>
      </c>
      <c r="FU202">
        <f t="shared" si="702"/>
        <v>0</v>
      </c>
      <c r="FV202">
        <v>0</v>
      </c>
      <c r="FW202">
        <f t="shared" si="703"/>
        <v>0</v>
      </c>
      <c r="FX202" t="b">
        <f t="shared" si="704"/>
        <v>1</v>
      </c>
      <c r="FY202">
        <f t="shared" ca="1" si="705"/>
        <v>522</v>
      </c>
      <c r="FZ202">
        <f t="shared" ca="1" si="706"/>
        <v>562122</v>
      </c>
      <c r="GA202">
        <f t="shared" si="707"/>
        <v>75000</v>
      </c>
      <c r="GB202">
        <f t="shared" ca="1" si="708"/>
        <v>487122</v>
      </c>
      <c r="GC202">
        <f t="shared" ca="1" si="709"/>
        <v>0</v>
      </c>
      <c r="GD202">
        <f t="shared" ca="1" si="710"/>
        <v>0</v>
      </c>
      <c r="GE202">
        <f t="shared" ca="1" si="711"/>
        <v>0</v>
      </c>
      <c r="GF202">
        <f t="shared" ca="1" si="712"/>
        <v>0</v>
      </c>
      <c r="GG202">
        <f t="shared" ca="1" si="713"/>
        <v>0</v>
      </c>
      <c r="GH202">
        <f t="shared" ca="1" si="714"/>
        <v>0</v>
      </c>
      <c r="GI202">
        <f ca="1">IF(GB202&gt;1200000,GB202-1200000-IF(F202="YES",50000,0)-GG202,0)</f>
        <v>0</v>
      </c>
      <c r="GJ202">
        <f t="shared" ca="1" si="715"/>
        <v>0</v>
      </c>
      <c r="GK202">
        <f t="shared" ca="1" si="716"/>
        <v>0</v>
      </c>
      <c r="GL202">
        <f t="shared" ca="1" si="717"/>
        <v>0</v>
      </c>
      <c r="GM202">
        <f t="shared" ca="1" si="718"/>
        <v>87122</v>
      </c>
      <c r="GN202">
        <f t="shared" ca="1" si="719"/>
        <v>4356.1000000000004</v>
      </c>
      <c r="GO202">
        <f t="shared" ca="1" si="720"/>
        <v>4356</v>
      </c>
      <c r="GP202">
        <f t="shared" ca="1" si="721"/>
        <v>0</v>
      </c>
      <c r="GQ202">
        <f t="shared" ca="1" si="722"/>
        <v>0</v>
      </c>
      <c r="GR202">
        <f t="shared" ca="1" si="723"/>
        <v>4356</v>
      </c>
      <c r="GS202">
        <f t="shared" ca="1" si="724"/>
        <v>0</v>
      </c>
      <c r="GT202" t="b">
        <f t="shared" ca="1" si="725"/>
        <v>0</v>
      </c>
      <c r="GU202">
        <f t="shared" ca="1" si="726"/>
        <v>0</v>
      </c>
      <c r="GV202">
        <f t="shared" ca="1" si="727"/>
        <v>4356</v>
      </c>
      <c r="GW202">
        <f t="shared" ca="1" si="728"/>
        <v>0</v>
      </c>
      <c r="GX202">
        <f t="shared" ca="1" si="729"/>
        <v>0</v>
      </c>
      <c r="GY202">
        <f t="shared" ca="1" si="730"/>
        <v>0</v>
      </c>
    </row>
    <row r="203" spans="1:207" x14ac:dyDescent="0.25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25"/>
        <v>6800</v>
      </c>
      <c r="I203">
        <f>_xlfn.XLOOKUP(B203,'[1]march-2026'!$A:$A,'[1]march-2026'!$C:$C,0,0)</f>
        <v>34500</v>
      </c>
      <c r="J203">
        <f t="shared" si="689"/>
        <v>6210</v>
      </c>
      <c r="K203">
        <f t="shared" si="626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27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28"/>
        <v>200</v>
      </c>
      <c r="R203">
        <f t="shared" si="629"/>
        <v>42150</v>
      </c>
      <c r="S203">
        <f>_xlfn.XLOOKUP(B203,'[2]april-2026'!$A:$A,'[2]april-2026'!$C:$C,0,0)</f>
        <v>34500</v>
      </c>
      <c r="T203">
        <f t="shared" si="630"/>
        <v>6210</v>
      </c>
      <c r="U203">
        <f t="shared" si="631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32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33"/>
        <v>200</v>
      </c>
      <c r="AB203">
        <f t="shared" si="634"/>
        <v>42150</v>
      </c>
      <c r="AC203">
        <f>_xlfn.XLOOKUP(B203,'[3]may-2026'!$A:$A,'[3]may-2026'!$C:$C,0,0)</f>
        <v>34500</v>
      </c>
      <c r="AD203">
        <f t="shared" si="635"/>
        <v>6210</v>
      </c>
      <c r="AE203">
        <f t="shared" si="636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37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38"/>
        <v>200</v>
      </c>
      <c r="AL203">
        <f t="shared" si="639"/>
        <v>42150</v>
      </c>
      <c r="AM203">
        <f>_xlfn.XLOOKUP(B203,'[4]june-2026'!$A:$A,'[4]june-2026'!$C:$C,0,0)</f>
        <v>34500</v>
      </c>
      <c r="AN203">
        <f t="shared" si="640"/>
        <v>6210</v>
      </c>
      <c r="AO203">
        <f t="shared" si="641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42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43"/>
        <v>200</v>
      </c>
      <c r="AV203">
        <f t="shared" si="644"/>
        <v>42150</v>
      </c>
      <c r="AW203">
        <f>_xlfn.XLOOKUP(B203,'[5]july-2026'!$A:$A,'[5]july-2026'!$C:$C,0,0)</f>
        <v>35500</v>
      </c>
      <c r="AX203">
        <f t="shared" si="645"/>
        <v>6390</v>
      </c>
      <c r="AY203">
        <v>201</v>
      </c>
      <c r="AZ203">
        <f t="shared" si="646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47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48"/>
        <v>200</v>
      </c>
      <c r="BG203">
        <f t="shared" si="649"/>
        <v>43651</v>
      </c>
      <c r="BH203">
        <f>_xlfn.XLOOKUP(B203,'[6]august-2026'!$A:$A,'[6]august-2026'!$C:$C,0,0)</f>
        <v>35500</v>
      </c>
      <c r="BI203">
        <f t="shared" si="650"/>
        <v>6390</v>
      </c>
      <c r="BJ203">
        <f t="shared" si="651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52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53"/>
        <v>200</v>
      </c>
      <c r="BQ203">
        <f t="shared" si="654"/>
        <v>43450</v>
      </c>
      <c r="BR203">
        <f>_xlfn.XLOOKUP(B203,'[7]september-2026'!$A:$A,'[7]september-2026'!$C:$C,0,0)</f>
        <v>35500</v>
      </c>
      <c r="BS203">
        <f t="shared" si="655"/>
        <v>6390</v>
      </c>
      <c r="BT203">
        <f t="shared" si="656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57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58"/>
        <v>200</v>
      </c>
      <c r="CA203">
        <f t="shared" si="659"/>
        <v>43450</v>
      </c>
      <c r="CB203">
        <f>_xlfn.XLOOKUP(B203,'[8]october-2026'!$A:$A,'[8]october-2026'!$C:$C,0,0)</f>
        <v>35500</v>
      </c>
      <c r="CC203">
        <f t="shared" si="660"/>
        <v>6390</v>
      </c>
      <c r="CD203">
        <f t="shared" si="661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62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63"/>
        <v>200</v>
      </c>
      <c r="CK203">
        <f t="shared" si="664"/>
        <v>43450</v>
      </c>
      <c r="CL203">
        <f>_xlfn.XLOOKUP(B203,'[9]november-2026'!$A:$A,'[9]november-2026'!$C:$C,0,0)</f>
        <v>35500</v>
      </c>
      <c r="CM203">
        <f t="shared" si="665"/>
        <v>6390</v>
      </c>
      <c r="CN203">
        <f t="shared" si="666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67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68"/>
        <v>200</v>
      </c>
      <c r="CU203">
        <f t="shared" si="669"/>
        <v>43450</v>
      </c>
      <c r="CV203">
        <f>_xlfn.XLOOKUP(B203,'[10]december-2026'!$A:$A,'[10]december-2026'!$C:$C,0,0)</f>
        <v>35500</v>
      </c>
      <c r="CW203">
        <f t="shared" si="670"/>
        <v>6390</v>
      </c>
      <c r="CX203">
        <f t="shared" si="671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72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73"/>
        <v>200</v>
      </c>
      <c r="DE203">
        <f t="shared" si="674"/>
        <v>43450</v>
      </c>
      <c r="DF203">
        <f xml:space="preserve"> _xlfn.XLOOKUP(B203,
'[11]january-2027'!$A:$A,
'[11]january-2027'!$C:$C,
0,0)</f>
        <v>35500</v>
      </c>
      <c r="DG203">
        <f t="shared" si="675"/>
        <v>6390</v>
      </c>
      <c r="DH203">
        <f t="shared" si="676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77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78"/>
        <v>200</v>
      </c>
      <c r="DO203">
        <f t="shared" si="679"/>
        <v>43450</v>
      </c>
      <c r="DP203">
        <f xml:space="preserve"> _xlfn.XLOOKUP(B203,
'[12]february-2027'!$A:$A,
'[12]february-2027'!$C:$C,
0,0)</f>
        <v>35500</v>
      </c>
      <c r="DQ203">
        <f t="shared" si="680"/>
        <v>6390</v>
      </c>
      <c r="DR203">
        <f t="shared" si="681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82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83"/>
        <v>200</v>
      </c>
      <c r="DY203">
        <f t="shared" si="684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85"/>
        <v>0</v>
      </c>
      <c r="EM203">
        <f t="shared" si="686"/>
        <v>561601</v>
      </c>
      <c r="EN203">
        <f t="shared" si="687"/>
        <v>2400</v>
      </c>
      <c r="EO203">
        <f t="shared" si="688"/>
        <v>50000</v>
      </c>
      <c r="EP203">
        <v>0</v>
      </c>
      <c r="EQ203">
        <f t="shared" si="690"/>
        <v>509201</v>
      </c>
      <c r="ER203">
        <f t="shared" si="691"/>
        <v>36000</v>
      </c>
      <c r="ES203">
        <f t="shared" si="692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693"/>
        <v>36000</v>
      </c>
      <c r="FE203">
        <f t="shared" si="694"/>
        <v>36000</v>
      </c>
      <c r="FF203">
        <f t="shared" si="695"/>
        <v>473201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>SUM(FG203:FM203)+(IF(F203="YES",50000,0))</f>
        <v>0</v>
      </c>
      <c r="FO203">
        <f t="shared" si="696"/>
        <v>473201</v>
      </c>
      <c r="FP203">
        <f t="shared" si="697"/>
        <v>11160</v>
      </c>
      <c r="FQ203">
        <f t="shared" si="698"/>
        <v>0</v>
      </c>
      <c r="FR203">
        <f t="shared" si="699"/>
        <v>11160</v>
      </c>
      <c r="FS203">
        <f t="shared" si="700"/>
        <v>0</v>
      </c>
      <c r="FT203">
        <f t="shared" si="701"/>
        <v>0</v>
      </c>
      <c r="FU203">
        <f t="shared" si="702"/>
        <v>0</v>
      </c>
      <c r="FV203">
        <v>0</v>
      </c>
      <c r="FW203">
        <f t="shared" si="703"/>
        <v>0</v>
      </c>
      <c r="FX203" t="b">
        <f t="shared" si="704"/>
        <v>1</v>
      </c>
      <c r="FY203">
        <f t="shared" ca="1" si="705"/>
        <v>818</v>
      </c>
      <c r="FZ203">
        <f t="shared" ca="1" si="706"/>
        <v>562419</v>
      </c>
      <c r="GA203">
        <f t="shared" si="707"/>
        <v>75000</v>
      </c>
      <c r="GB203">
        <f t="shared" ca="1" si="708"/>
        <v>487419</v>
      </c>
      <c r="GC203">
        <f t="shared" ca="1" si="709"/>
        <v>0</v>
      </c>
      <c r="GD203">
        <f t="shared" ca="1" si="710"/>
        <v>0</v>
      </c>
      <c r="GE203">
        <f t="shared" ca="1" si="711"/>
        <v>0</v>
      </c>
      <c r="GF203">
        <f t="shared" ca="1" si="712"/>
        <v>0</v>
      </c>
      <c r="GG203">
        <f t="shared" ca="1" si="713"/>
        <v>0</v>
      </c>
      <c r="GH203">
        <f t="shared" ca="1" si="714"/>
        <v>0</v>
      </c>
      <c r="GI203">
        <f ca="1">IF(GB203&gt;1200000,GB203-1200000-IF(F203="YES",50000,0)-GG203,0)</f>
        <v>0</v>
      </c>
      <c r="GJ203">
        <f t="shared" ca="1" si="715"/>
        <v>0</v>
      </c>
      <c r="GK203">
        <f t="shared" ca="1" si="716"/>
        <v>0</v>
      </c>
      <c r="GL203">
        <f t="shared" ca="1" si="717"/>
        <v>0</v>
      </c>
      <c r="GM203">
        <f t="shared" ca="1" si="718"/>
        <v>87419</v>
      </c>
      <c r="GN203">
        <f t="shared" ca="1" si="719"/>
        <v>4370.95</v>
      </c>
      <c r="GO203">
        <f t="shared" ca="1" si="720"/>
        <v>4371</v>
      </c>
      <c r="GP203">
        <f t="shared" ca="1" si="721"/>
        <v>0</v>
      </c>
      <c r="GQ203">
        <f t="shared" ca="1" si="722"/>
        <v>0</v>
      </c>
      <c r="GR203">
        <f t="shared" ca="1" si="723"/>
        <v>4371</v>
      </c>
      <c r="GS203">
        <f t="shared" ca="1" si="724"/>
        <v>0</v>
      </c>
      <c r="GT203" t="b">
        <f t="shared" ca="1" si="725"/>
        <v>0</v>
      </c>
      <c r="GU203">
        <f t="shared" ca="1" si="726"/>
        <v>0</v>
      </c>
      <c r="GV203">
        <f t="shared" ca="1" si="727"/>
        <v>4371</v>
      </c>
      <c r="GW203">
        <f t="shared" ca="1" si="728"/>
        <v>0</v>
      </c>
      <c r="GX203">
        <f t="shared" ca="1" si="729"/>
        <v>0</v>
      </c>
      <c r="GY203">
        <f t="shared" ca="1" si="730"/>
        <v>0</v>
      </c>
    </row>
    <row r="204" spans="1:207" x14ac:dyDescent="0.25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25"/>
        <v>6800</v>
      </c>
      <c r="I204">
        <f>_xlfn.XLOOKUP(B204,'[1]march-2026'!$A:$A,'[1]march-2026'!$C:$C,0,0)</f>
        <v>38800</v>
      </c>
      <c r="J204">
        <f t="shared" si="689"/>
        <v>6984</v>
      </c>
      <c r="K204">
        <f t="shared" si="626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27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28"/>
        <v>200</v>
      </c>
      <c r="R204">
        <f t="shared" si="629"/>
        <v>45740</v>
      </c>
      <c r="S204">
        <f>_xlfn.XLOOKUP(B204,'[2]april-2026'!$A:$A,'[2]april-2026'!$C:$C,0,0)</f>
        <v>38800</v>
      </c>
      <c r="T204">
        <f t="shared" si="630"/>
        <v>6984</v>
      </c>
      <c r="U204">
        <f t="shared" si="631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32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33"/>
        <v>0</v>
      </c>
      <c r="AB204">
        <f t="shared" si="634"/>
        <v>45940</v>
      </c>
      <c r="AC204">
        <f>_xlfn.XLOOKUP(B204,'[3]may-2026'!$A:$A,'[3]may-2026'!$C:$C,0,0)</f>
        <v>38800</v>
      </c>
      <c r="AD204">
        <f t="shared" si="635"/>
        <v>6984</v>
      </c>
      <c r="AE204">
        <f t="shared" si="636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37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38"/>
        <v>0</v>
      </c>
      <c r="AL204">
        <f t="shared" si="639"/>
        <v>45940</v>
      </c>
      <c r="AM204">
        <f>_xlfn.XLOOKUP(B204,'[4]june-2026'!$A:$A,'[4]june-2026'!$C:$C,0,0)</f>
        <v>38800</v>
      </c>
      <c r="AN204">
        <f t="shared" si="640"/>
        <v>6984</v>
      </c>
      <c r="AO204">
        <f t="shared" si="641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42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43"/>
        <v>0</v>
      </c>
      <c r="AV204">
        <f t="shared" si="644"/>
        <v>45940</v>
      </c>
      <c r="AW204">
        <f>_xlfn.XLOOKUP(B204,'[5]july-2026'!$A:$A,'[5]july-2026'!$C:$C,0,0)</f>
        <v>40000</v>
      </c>
      <c r="AX204">
        <f t="shared" si="645"/>
        <v>7200</v>
      </c>
      <c r="AY204">
        <v>202</v>
      </c>
      <c r="AZ204">
        <f t="shared" si="646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47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48"/>
        <v>0</v>
      </c>
      <c r="BG204">
        <f t="shared" si="649"/>
        <v>47702</v>
      </c>
      <c r="BH204">
        <f>_xlfn.XLOOKUP(B204,'[6]august-2026'!$A:$A,'[6]august-2026'!$C:$C,0,0)</f>
        <v>40000</v>
      </c>
      <c r="BI204">
        <f t="shared" si="650"/>
        <v>7200</v>
      </c>
      <c r="BJ204">
        <f t="shared" si="651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52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53"/>
        <v>0</v>
      </c>
      <c r="BQ204">
        <f t="shared" si="654"/>
        <v>47500</v>
      </c>
      <c r="BR204">
        <f>_xlfn.XLOOKUP(B204,'[7]september-2026'!$A:$A,'[7]september-2026'!$C:$C,0,0)</f>
        <v>40000</v>
      </c>
      <c r="BS204">
        <f t="shared" si="655"/>
        <v>7200</v>
      </c>
      <c r="BT204">
        <f t="shared" si="656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57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58"/>
        <v>0</v>
      </c>
      <c r="CA204">
        <f t="shared" si="659"/>
        <v>47500</v>
      </c>
      <c r="CB204">
        <f>_xlfn.XLOOKUP(B204,'[8]october-2026'!$A:$A,'[8]october-2026'!$C:$C,0,0)</f>
        <v>40000</v>
      </c>
      <c r="CC204">
        <f t="shared" si="660"/>
        <v>7200</v>
      </c>
      <c r="CD204">
        <f t="shared" si="661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62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63"/>
        <v>0</v>
      </c>
      <c r="CK204">
        <f t="shared" si="664"/>
        <v>47500</v>
      </c>
      <c r="CL204">
        <f>_xlfn.XLOOKUP(B204,'[9]november-2026'!$A:$A,'[9]november-2026'!$C:$C,0,0)</f>
        <v>40000</v>
      </c>
      <c r="CM204">
        <f t="shared" si="665"/>
        <v>7200</v>
      </c>
      <c r="CN204">
        <f t="shared" si="666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67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68"/>
        <v>0</v>
      </c>
      <c r="CU204">
        <f t="shared" si="669"/>
        <v>47500</v>
      </c>
      <c r="CV204">
        <f>_xlfn.XLOOKUP(B204,'[10]december-2026'!$A:$A,'[10]december-2026'!$C:$C,0,0)</f>
        <v>40000</v>
      </c>
      <c r="CW204">
        <f t="shared" si="670"/>
        <v>7200</v>
      </c>
      <c r="CX204">
        <f t="shared" si="671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72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73"/>
        <v>0</v>
      </c>
      <c r="DE204">
        <f t="shared" si="674"/>
        <v>47500</v>
      </c>
      <c r="DF204">
        <f xml:space="preserve"> _xlfn.XLOOKUP(B204,
'[11]january-2027'!$A:$A,
'[11]january-2027'!$C:$C,
0,0)</f>
        <v>40000</v>
      </c>
      <c r="DG204">
        <f t="shared" si="675"/>
        <v>7200</v>
      </c>
      <c r="DH204">
        <f t="shared" si="676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77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78"/>
        <v>0</v>
      </c>
      <c r="DO204">
        <f t="shared" si="679"/>
        <v>47500</v>
      </c>
      <c r="DP204">
        <f xml:space="preserve"> _xlfn.XLOOKUP(B204,
'[12]february-2027'!$A:$A,
'[12]february-2027'!$C:$C,
0,0)</f>
        <v>40000</v>
      </c>
      <c r="DQ204">
        <f t="shared" si="680"/>
        <v>7200</v>
      </c>
      <c r="DR204">
        <f t="shared" si="681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82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83"/>
        <v>0</v>
      </c>
      <c r="DY204">
        <f t="shared" si="684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85"/>
        <v>0</v>
      </c>
      <c r="EM204">
        <f t="shared" si="686"/>
        <v>630762</v>
      </c>
      <c r="EN204">
        <f t="shared" si="687"/>
        <v>200</v>
      </c>
      <c r="EO204">
        <f t="shared" si="688"/>
        <v>50000</v>
      </c>
      <c r="EP204">
        <v>0</v>
      </c>
      <c r="EQ204">
        <f t="shared" si="690"/>
        <v>580562</v>
      </c>
      <c r="ER204">
        <f t="shared" si="691"/>
        <v>60000</v>
      </c>
      <c r="ES204">
        <f t="shared" si="692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693"/>
        <v>60000</v>
      </c>
      <c r="FE204">
        <f t="shared" si="694"/>
        <v>60000</v>
      </c>
      <c r="FF204">
        <f t="shared" si="695"/>
        <v>520562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>SUM(FG204:FM204)+(IF(F204="YES",50000,0))</f>
        <v>50000</v>
      </c>
      <c r="FO204">
        <f t="shared" si="696"/>
        <v>470562</v>
      </c>
      <c r="FP204">
        <f t="shared" si="697"/>
        <v>11028</v>
      </c>
      <c r="FQ204">
        <f t="shared" si="698"/>
        <v>0</v>
      </c>
      <c r="FR204">
        <f t="shared" si="699"/>
        <v>11028</v>
      </c>
      <c r="FS204">
        <f t="shared" si="700"/>
        <v>0</v>
      </c>
      <c r="FT204">
        <f t="shared" si="701"/>
        <v>0</v>
      </c>
      <c r="FU204">
        <f t="shared" si="702"/>
        <v>0</v>
      </c>
      <c r="FV204">
        <v>0</v>
      </c>
      <c r="FW204">
        <f t="shared" si="703"/>
        <v>0</v>
      </c>
      <c r="FX204" t="b">
        <f t="shared" si="704"/>
        <v>1</v>
      </c>
      <c r="FY204">
        <f t="shared" ca="1" si="705"/>
        <v>778</v>
      </c>
      <c r="FZ204">
        <f t="shared" ca="1" si="706"/>
        <v>631540</v>
      </c>
      <c r="GA204">
        <f t="shared" si="707"/>
        <v>75000</v>
      </c>
      <c r="GB204">
        <f t="shared" ca="1" si="708"/>
        <v>556540</v>
      </c>
      <c r="GC204">
        <f t="shared" ca="1" si="709"/>
        <v>0</v>
      </c>
      <c r="GD204">
        <f t="shared" ca="1" si="710"/>
        <v>0</v>
      </c>
      <c r="GE204">
        <f t="shared" ca="1" si="711"/>
        <v>0</v>
      </c>
      <c r="GF204">
        <f t="shared" ca="1" si="712"/>
        <v>0</v>
      </c>
      <c r="GG204">
        <f t="shared" ca="1" si="713"/>
        <v>0</v>
      </c>
      <c r="GH204">
        <f t="shared" ca="1" si="714"/>
        <v>0</v>
      </c>
      <c r="GI204">
        <f ca="1">IF(GB204&gt;1200000,GB204-1200000-IF(F204="YES",50000,0)-GG204,0)</f>
        <v>0</v>
      </c>
      <c r="GJ204">
        <f t="shared" ca="1" si="715"/>
        <v>0</v>
      </c>
      <c r="GK204">
        <f t="shared" ca="1" si="716"/>
        <v>0</v>
      </c>
      <c r="GL204">
        <f t="shared" ca="1" si="717"/>
        <v>0</v>
      </c>
      <c r="GM204">
        <f t="shared" ca="1" si="718"/>
        <v>156540</v>
      </c>
      <c r="GN204">
        <f t="shared" ca="1" si="719"/>
        <v>7827</v>
      </c>
      <c r="GO204">
        <f t="shared" ca="1" si="720"/>
        <v>7827</v>
      </c>
      <c r="GP204">
        <f t="shared" ca="1" si="721"/>
        <v>0</v>
      </c>
      <c r="GQ204">
        <f t="shared" ca="1" si="722"/>
        <v>0</v>
      </c>
      <c r="GR204">
        <f t="shared" ca="1" si="723"/>
        <v>7827</v>
      </c>
      <c r="GS204">
        <f t="shared" ca="1" si="724"/>
        <v>0</v>
      </c>
      <c r="GT204" t="b">
        <f t="shared" ca="1" si="725"/>
        <v>0</v>
      </c>
      <c r="GU204">
        <f t="shared" ca="1" si="726"/>
        <v>0</v>
      </c>
      <c r="GV204">
        <f t="shared" ca="1" si="727"/>
        <v>7827</v>
      </c>
      <c r="GW204">
        <f t="shared" ca="1" si="728"/>
        <v>0</v>
      </c>
      <c r="GX204">
        <f t="shared" ca="1" si="729"/>
        <v>0</v>
      </c>
      <c r="GY204">
        <f t="shared" ca="1" si="730"/>
        <v>0</v>
      </c>
    </row>
    <row r="205" spans="1:207" x14ac:dyDescent="0.25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25"/>
        <v>6800</v>
      </c>
      <c r="I205">
        <f>_xlfn.XLOOKUP(B205,'[1]march-2026'!$A:$A,'[1]march-2026'!$C:$C,0,0)</f>
        <v>29800</v>
      </c>
      <c r="J205">
        <f t="shared" si="689"/>
        <v>5364</v>
      </c>
      <c r="K205">
        <f t="shared" si="626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27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28"/>
        <v>150</v>
      </c>
      <c r="R205">
        <f t="shared" si="629"/>
        <v>37090</v>
      </c>
      <c r="S205">
        <f>_xlfn.XLOOKUP(B205,'[2]april-2026'!$A:$A,'[2]april-2026'!$C:$C,0,0)</f>
        <v>29800</v>
      </c>
      <c r="T205">
        <f t="shared" si="630"/>
        <v>5364</v>
      </c>
      <c r="U205">
        <f t="shared" si="631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32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33"/>
        <v>150</v>
      </c>
      <c r="AB205">
        <f t="shared" si="634"/>
        <v>37090</v>
      </c>
      <c r="AC205">
        <f>_xlfn.XLOOKUP(B205,'[3]may-2026'!$A:$A,'[3]may-2026'!$C:$C,0,0)</f>
        <v>29800</v>
      </c>
      <c r="AD205">
        <f t="shared" si="635"/>
        <v>5364</v>
      </c>
      <c r="AE205">
        <f t="shared" si="636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37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38"/>
        <v>150</v>
      </c>
      <c r="AL205">
        <f t="shared" si="639"/>
        <v>37090</v>
      </c>
      <c r="AM205">
        <f>_xlfn.XLOOKUP(B205,'[4]june-2026'!$A:$A,'[4]june-2026'!$C:$C,0,0)</f>
        <v>29800</v>
      </c>
      <c r="AN205">
        <f t="shared" si="640"/>
        <v>5364</v>
      </c>
      <c r="AO205">
        <f t="shared" si="641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42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43"/>
        <v>150</v>
      </c>
      <c r="AV205">
        <f t="shared" si="644"/>
        <v>37090</v>
      </c>
      <c r="AW205">
        <f>_xlfn.XLOOKUP(B205,'[5]july-2026'!$A:$A,'[5]july-2026'!$C:$C,0,0)</f>
        <v>30700</v>
      </c>
      <c r="AX205">
        <f t="shared" si="645"/>
        <v>5526</v>
      </c>
      <c r="AY205">
        <v>203</v>
      </c>
      <c r="AZ205">
        <f t="shared" si="646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47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48"/>
        <v>200</v>
      </c>
      <c r="BG205">
        <f t="shared" si="649"/>
        <v>38413</v>
      </c>
      <c r="BH205">
        <f>_xlfn.XLOOKUP(B205,'[6]august-2026'!$A:$A,'[6]august-2026'!$C:$C,0,0)</f>
        <v>30700</v>
      </c>
      <c r="BI205">
        <f t="shared" si="650"/>
        <v>5526</v>
      </c>
      <c r="BJ205">
        <f t="shared" si="651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52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53"/>
        <v>200</v>
      </c>
      <c r="BQ205">
        <f t="shared" si="654"/>
        <v>38210</v>
      </c>
      <c r="BR205">
        <f>_xlfn.XLOOKUP(B205,'[7]september-2026'!$A:$A,'[7]september-2026'!$C:$C,0,0)</f>
        <v>30700</v>
      </c>
      <c r="BS205">
        <f t="shared" si="655"/>
        <v>5526</v>
      </c>
      <c r="BT205">
        <f t="shared" si="656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57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58"/>
        <v>200</v>
      </c>
      <c r="CA205">
        <f t="shared" si="659"/>
        <v>38210</v>
      </c>
      <c r="CB205">
        <f>_xlfn.XLOOKUP(B205,'[8]october-2026'!$A:$A,'[8]october-2026'!$C:$C,0,0)</f>
        <v>30700</v>
      </c>
      <c r="CC205">
        <f t="shared" si="660"/>
        <v>5526</v>
      </c>
      <c r="CD205">
        <f t="shared" si="661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62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63"/>
        <v>200</v>
      </c>
      <c r="CK205">
        <f t="shared" si="664"/>
        <v>38210</v>
      </c>
      <c r="CL205">
        <f>_xlfn.XLOOKUP(B205,'[9]november-2026'!$A:$A,'[9]november-2026'!$C:$C,0,0)</f>
        <v>30700</v>
      </c>
      <c r="CM205">
        <f t="shared" si="665"/>
        <v>5526</v>
      </c>
      <c r="CN205">
        <f t="shared" si="666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67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68"/>
        <v>200</v>
      </c>
      <c r="CU205">
        <f t="shared" si="669"/>
        <v>38210</v>
      </c>
      <c r="CV205">
        <f>_xlfn.XLOOKUP(B205,'[10]december-2026'!$A:$A,'[10]december-2026'!$C:$C,0,0)</f>
        <v>30700</v>
      </c>
      <c r="CW205">
        <f t="shared" si="670"/>
        <v>5526</v>
      </c>
      <c r="CX205">
        <f t="shared" si="671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72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73"/>
        <v>200</v>
      </c>
      <c r="DE205">
        <f t="shared" si="674"/>
        <v>38210</v>
      </c>
      <c r="DF205">
        <f xml:space="preserve"> _xlfn.XLOOKUP(B205,
'[11]january-2027'!$A:$A,
'[11]january-2027'!$C:$C,
0,0)</f>
        <v>30700</v>
      </c>
      <c r="DG205">
        <f t="shared" si="675"/>
        <v>5526</v>
      </c>
      <c r="DH205">
        <f t="shared" si="676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77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78"/>
        <v>200</v>
      </c>
      <c r="DO205">
        <f t="shared" si="679"/>
        <v>38210</v>
      </c>
      <c r="DP205">
        <f xml:space="preserve"> _xlfn.XLOOKUP(B205,
'[12]february-2027'!$A:$A,
'[12]february-2027'!$C:$C,
0,0)</f>
        <v>30700</v>
      </c>
      <c r="DQ205">
        <f t="shared" si="680"/>
        <v>5526</v>
      </c>
      <c r="DR205">
        <f t="shared" si="681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82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83"/>
        <v>200</v>
      </c>
      <c r="DY205">
        <f t="shared" si="684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85"/>
        <v>0</v>
      </c>
      <c r="EM205">
        <f t="shared" si="686"/>
        <v>487243</v>
      </c>
      <c r="EN205">
        <f t="shared" si="687"/>
        <v>2200</v>
      </c>
      <c r="EO205">
        <f t="shared" si="688"/>
        <v>50000</v>
      </c>
      <c r="EP205">
        <v>1</v>
      </c>
      <c r="EQ205">
        <f t="shared" ref="EQ205:EQ206" si="731">EM205-EN205-EO205+EL205</f>
        <v>435043</v>
      </c>
      <c r="ER205">
        <f t="shared" ref="ER205:ER206" si="732">DV205+DL205+DB205+CR205+CH205+BX205+BN205+BD205+AS205+AI205+Y205+O205</f>
        <v>24000</v>
      </c>
      <c r="ES205">
        <f t="shared" ref="ES205:ES206" si="733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34">SUM(ER205:FC205)</f>
        <v>24000</v>
      </c>
      <c r="FE205">
        <f t="shared" ref="FE205:FE206" si="735">IF(FD205&gt;=150000,150000,FD205)</f>
        <v>24000</v>
      </c>
      <c r="FF205">
        <f t="shared" ref="FF205:FF206" si="736">EQ205-FE205</f>
        <v>411043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>SUM(FG205:FM205)+(IF(F205="YES",50000,0))</f>
        <v>0</v>
      </c>
      <c r="FO205">
        <f t="shared" ref="FO205:FO206" si="737">FF205-FN205</f>
        <v>411043</v>
      </c>
      <c r="FP205">
        <f t="shared" ref="FP205:FP206" si="738">ROUND(IF(FO205&gt;0,IF(FO205&gt;500000,12500,(FO205-250000)*0.05),0),0)</f>
        <v>8052</v>
      </c>
      <c r="FQ205">
        <f t="shared" ref="FQ205:FQ206" si="739">IF(ROUND(IF(FO205&gt;0,IF(FO205&gt;1000000,25000,(FO205-500000)*0.2),0),0)&lt;0,0,ROUND(IF(FO205&gt;0,IF(FO205&gt;1000000,25000,(FO205-500000)*0.2),0),0))</f>
        <v>0</v>
      </c>
      <c r="FR205">
        <f t="shared" ref="FR205:FR206" si="740">FP205+FQ205</f>
        <v>8052</v>
      </c>
      <c r="FS205">
        <f t="shared" ref="FS205:FS206" si="741">IF(FR205&lt;12500,0,FR205)</f>
        <v>0</v>
      </c>
      <c r="FT205">
        <f t="shared" ref="FT205:FT206" si="742">FS205*0.04</f>
        <v>0</v>
      </c>
      <c r="FU205">
        <f t="shared" ref="FU205:FU206" si="743">ROUND(FT205+FS205,0)</f>
        <v>0</v>
      </c>
      <c r="FV205">
        <v>1</v>
      </c>
      <c r="FW205">
        <f t="shared" ref="FW205:FW206" si="744">FU205-FV205</f>
        <v>-1</v>
      </c>
      <c r="FX205" t="b">
        <f t="shared" ref="FX205:FX206" si="745">IF(EM205&gt;500000,TRUE,FALSE)</f>
        <v>0</v>
      </c>
      <c r="FY205">
        <f t="shared" ref="FY205:FY206" ca="1" si="746">IF(FX205,RANDBETWEEN(500,1000),RANDBETWEEN(1000,3000))</f>
        <v>2801</v>
      </c>
      <c r="FZ205">
        <f t="shared" ref="FZ205:FZ206" ca="1" si="747">EM205+FY205</f>
        <v>490044</v>
      </c>
      <c r="GA205">
        <f t="shared" ref="GA205:GA206" si="748">IF(EM205&gt;0,75000,0)</f>
        <v>75000</v>
      </c>
      <c r="GB205">
        <f t="shared" ref="GB205:GB206" ca="1" si="749">FZ205-GA205</f>
        <v>415044</v>
      </c>
      <c r="GC205">
        <f t="shared" ref="GC205:GC206" ca="1" si="750">IF(GB205&gt;2400000,GB205-2400000,0)</f>
        <v>0</v>
      </c>
      <c r="GD205">
        <f t="shared" ref="GD205:GD206" ca="1" si="751">GC205*0.3</f>
        <v>0</v>
      </c>
      <c r="GE205">
        <f t="shared" ref="GE205:GE206" ca="1" si="752">IF(GB205&gt;2000000,GB205-2000000,0)</f>
        <v>0</v>
      </c>
      <c r="GF205">
        <f t="shared" ref="GF205:GF206" ca="1" si="753">GE205*0.25</f>
        <v>0</v>
      </c>
      <c r="GG205">
        <f t="shared" ref="GG205:GG206" ca="1" si="754">IF(GB205&gt;1600000,GB205-1600000-GC205,0)</f>
        <v>0</v>
      </c>
      <c r="GH205">
        <f t="shared" ref="GH205:GH206" ca="1" si="755">GG205*0.2</f>
        <v>0</v>
      </c>
      <c r="GI205">
        <f ca="1">IF(GB205&gt;1200000,GB205-1200000-IF(F205="YES",50000,0)-GG205,0)</f>
        <v>0</v>
      </c>
      <c r="GJ205">
        <f t="shared" ref="GJ205:GJ206" ca="1" si="756">GI205*0.15</f>
        <v>0</v>
      </c>
      <c r="GK205">
        <f t="shared" ref="GK205:GK206" ca="1" si="757">IF(GB205&gt;800000,GB205-800000-GC205-GG205-GI205,0)</f>
        <v>0</v>
      </c>
      <c r="GL205">
        <f t="shared" ref="GL205:GL206" ca="1" si="758">GK205*0.1</f>
        <v>0</v>
      </c>
      <c r="GM205">
        <f t="shared" ref="GM205:GM206" ca="1" si="759">IF(GB205&gt;400000,GB205-400000-GC205-GG205-GI205-GK205,0)</f>
        <v>15044</v>
      </c>
      <c r="GN205">
        <f t="shared" ref="GN205:GN206" ca="1" si="760">GM205*0.05</f>
        <v>752.2</v>
      </c>
      <c r="GO205">
        <f t="shared" ref="GO205:GO206" ca="1" si="761">ROUND(GD205+GF205+GH205+GJ205+GL205+GN205,0)</f>
        <v>752</v>
      </c>
      <c r="GP205">
        <f t="shared" ref="GP205:GP206" ca="1" si="762">IF(GB205&gt;1200000,GB205,0)</f>
        <v>0</v>
      </c>
      <c r="GQ205">
        <f t="shared" ref="GQ205:GQ206" ca="1" si="763">IF(GB205&gt;1200000,GP205-1200000,0)</f>
        <v>0</v>
      </c>
      <c r="GR205">
        <f t="shared" ref="GR205:GR206" ca="1" si="764">IF(GB205&lt;1200001,MIN(GO205,60000),0)</f>
        <v>752</v>
      </c>
      <c r="GS205">
        <f t="shared" ref="GS205:GS206" ca="1" si="765">IF(GB205&gt;1200000,GO205-GQ205,0)</f>
        <v>0</v>
      </c>
      <c r="GT205" t="b">
        <f t="shared" ref="GT205:GT206" ca="1" si="766">IF(GS205&gt;0,TRUE,FALSE)</f>
        <v>0</v>
      </c>
      <c r="GU205">
        <f t="shared" ref="GU205:GU206" ca="1" si="767">IF(GT205,GS205,0)</f>
        <v>0</v>
      </c>
      <c r="GV205">
        <f t="shared" ref="GV205:GV206" ca="1" si="768">GR205+GU205</f>
        <v>752</v>
      </c>
      <c r="GW205">
        <f t="shared" ref="GW205:GW206" ca="1" si="769">ROUND(GO205-GV205,0)</f>
        <v>0</v>
      </c>
      <c r="GX205">
        <f t="shared" ref="GX205:GX206" ca="1" si="770">GW205*0.04</f>
        <v>0</v>
      </c>
      <c r="GY205">
        <f t="shared" ref="GY205:GY206" ca="1" si="771">ROUNDUP(GW205+GX205,0)</f>
        <v>0</v>
      </c>
    </row>
    <row r="206" spans="1:207" x14ac:dyDescent="0.25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25"/>
        <v>0</v>
      </c>
      <c r="I206">
        <f>_xlfn.XLOOKUP(B206,'[1]march-2026'!$A:$A,'[1]march-2026'!$C:$C,0,0)</f>
        <v>28900</v>
      </c>
      <c r="J206">
        <f t="shared" si="689"/>
        <v>5202</v>
      </c>
      <c r="K206">
        <f t="shared" si="626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27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28"/>
        <v>150</v>
      </c>
      <c r="R206">
        <f t="shared" si="629"/>
        <v>37420</v>
      </c>
      <c r="S206">
        <f>_xlfn.XLOOKUP(B206,'[2]april-2026'!$A:$A,'[2]april-2026'!$C:$C,0,0)</f>
        <v>28900</v>
      </c>
      <c r="T206">
        <f t="shared" si="630"/>
        <v>5202</v>
      </c>
      <c r="U206">
        <f t="shared" si="631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32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33"/>
        <v>150</v>
      </c>
      <c r="AB206">
        <f t="shared" si="634"/>
        <v>37420</v>
      </c>
      <c r="AC206">
        <f>_xlfn.XLOOKUP(B206,'[3]may-2026'!$A:$A,'[3]may-2026'!$C:$C,0,0)</f>
        <v>28900</v>
      </c>
      <c r="AD206">
        <f t="shared" si="635"/>
        <v>5202</v>
      </c>
      <c r="AE206">
        <f t="shared" si="636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37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38"/>
        <v>150</v>
      </c>
      <c r="AL206">
        <f t="shared" si="639"/>
        <v>37420</v>
      </c>
      <c r="AM206">
        <f>_xlfn.XLOOKUP(B206,'[4]june-2026'!$A:$A,'[4]june-2026'!$C:$C,0,0)</f>
        <v>28900</v>
      </c>
      <c r="AN206">
        <f t="shared" si="640"/>
        <v>5202</v>
      </c>
      <c r="AO206">
        <f t="shared" si="641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42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43"/>
        <v>150</v>
      </c>
      <c r="AV206">
        <f t="shared" si="644"/>
        <v>37420</v>
      </c>
      <c r="AW206">
        <f>_xlfn.XLOOKUP(B206,'[5]july-2026'!$A:$A,'[5]july-2026'!$C:$C,0,0)</f>
        <v>28900</v>
      </c>
      <c r="AX206">
        <f t="shared" si="645"/>
        <v>5202</v>
      </c>
      <c r="AY206">
        <v>204</v>
      </c>
      <c r="AZ206">
        <f t="shared" si="646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47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48"/>
        <v>150</v>
      </c>
      <c r="BG206">
        <f t="shared" si="649"/>
        <v>37624</v>
      </c>
      <c r="BH206">
        <f>_xlfn.XLOOKUP(B206,'[6]august-2026'!$A:$A,'[6]august-2026'!$C:$C,0,0)</f>
        <v>28900</v>
      </c>
      <c r="BI206">
        <f t="shared" si="650"/>
        <v>5202</v>
      </c>
      <c r="BJ206">
        <f t="shared" si="651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52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53"/>
        <v>150</v>
      </c>
      <c r="BQ206">
        <f t="shared" si="654"/>
        <v>37420</v>
      </c>
      <c r="BR206">
        <f>_xlfn.XLOOKUP(B206,'[7]september-2026'!$A:$A,'[7]september-2026'!$C:$C,0,0)</f>
        <v>28900</v>
      </c>
      <c r="BS206">
        <f t="shared" si="655"/>
        <v>5202</v>
      </c>
      <c r="BT206">
        <f t="shared" si="656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57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58"/>
        <v>150</v>
      </c>
      <c r="CA206">
        <f t="shared" si="659"/>
        <v>37420</v>
      </c>
      <c r="CB206">
        <f>_xlfn.XLOOKUP(B206,'[8]october-2026'!$A:$A,'[8]october-2026'!$C:$C,0,0)</f>
        <v>28900</v>
      </c>
      <c r="CC206">
        <f t="shared" si="660"/>
        <v>5202</v>
      </c>
      <c r="CD206">
        <f t="shared" si="661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62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63"/>
        <v>150</v>
      </c>
      <c r="CK206">
        <f t="shared" si="664"/>
        <v>37420</v>
      </c>
      <c r="CL206">
        <f>_xlfn.XLOOKUP(B206,'[9]november-2026'!$A:$A,'[9]november-2026'!$C:$C,0,0)</f>
        <v>28900</v>
      </c>
      <c r="CM206">
        <f t="shared" si="665"/>
        <v>5202</v>
      </c>
      <c r="CN206">
        <f t="shared" si="666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67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68"/>
        <v>150</v>
      </c>
      <c r="CU206">
        <f t="shared" si="669"/>
        <v>37420</v>
      </c>
      <c r="CV206">
        <f>_xlfn.XLOOKUP(B206,'[10]december-2026'!$A:$A,'[10]december-2026'!$C:$C,0,0)</f>
        <v>28900</v>
      </c>
      <c r="CW206">
        <f t="shared" si="670"/>
        <v>5202</v>
      </c>
      <c r="CX206">
        <f t="shared" si="671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72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73"/>
        <v>150</v>
      </c>
      <c r="DE206">
        <f t="shared" si="674"/>
        <v>37420</v>
      </c>
      <c r="DF206">
        <f xml:space="preserve"> _xlfn.XLOOKUP(B206,
'[11]january-2027'!$A:$A,
'[11]january-2027'!$C:$C,
0,0)</f>
        <v>28900</v>
      </c>
      <c r="DG206">
        <f t="shared" si="675"/>
        <v>5202</v>
      </c>
      <c r="DH206">
        <f t="shared" si="676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77"/>
        <v>37570</v>
      </c>
      <c r="DL206">
        <f xml:space="preserve"> _xlfn.XLOOKUP(B206,
'[11]january-2027'!$A:$A,
'[11]january-2027'!$H:$H,
0,0)</f>
        <v>2000</v>
      </c>
      <c r="DM206">
        <f xml:space="preserve"> _xlfn.XLOOKUP(B206,
'[11]january-2027'!$A:$A,
'[11]january-2027'!$I:$I,
0,0)</f>
        <v>0</v>
      </c>
      <c r="DN206">
        <f t="shared" si="678"/>
        <v>150</v>
      </c>
      <c r="DO206">
        <f t="shared" si="679"/>
        <v>35420</v>
      </c>
      <c r="DP206">
        <f xml:space="preserve"> _xlfn.XLOOKUP(B206,
'[12]february-2027'!$A:$A,
'[12]february-2027'!$C:$C,
0,0)</f>
        <v>28900</v>
      </c>
      <c r="DQ206">
        <f t="shared" si="680"/>
        <v>5202</v>
      </c>
      <c r="DR206">
        <f t="shared" si="681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82"/>
        <v>37570</v>
      </c>
      <c r="DV206">
        <f xml:space="preserve"> _xlfn.XLOOKUP(B206,
'[12]february-2027'!$A:$A,
'[12]february-2027'!$H:$H,
0,0)</f>
        <v>2000</v>
      </c>
      <c r="DW206">
        <f xml:space="preserve"> _xlfn.XLOOKUP(B206,
'[12]february-2027'!$A:$A,
'[12]february-2027'!$I:$I,
0,0)</f>
        <v>0</v>
      </c>
      <c r="DX206">
        <f t="shared" si="683"/>
        <v>150</v>
      </c>
      <c r="DY206">
        <f t="shared" si="684"/>
        <v>35420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85"/>
        <v>0</v>
      </c>
      <c r="EM206">
        <f t="shared" si="686"/>
        <v>451044</v>
      </c>
      <c r="EN206">
        <f t="shared" si="687"/>
        <v>1800</v>
      </c>
      <c r="EO206">
        <f t="shared" si="688"/>
        <v>50000</v>
      </c>
      <c r="EP206">
        <v>2</v>
      </c>
      <c r="EQ206">
        <f t="shared" si="731"/>
        <v>399244</v>
      </c>
      <c r="ER206">
        <f t="shared" si="732"/>
        <v>4000</v>
      </c>
      <c r="ES206">
        <f t="shared" si="733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34"/>
        <v>4000</v>
      </c>
      <c r="FE206">
        <f t="shared" si="735"/>
        <v>4000</v>
      </c>
      <c r="FF206">
        <f t="shared" si="736"/>
        <v>395244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>SUM(FG206:FM206)+(IF(F206="YES",50000,0))</f>
        <v>0</v>
      </c>
      <c r="FO206">
        <f t="shared" si="737"/>
        <v>395244</v>
      </c>
      <c r="FP206">
        <f t="shared" si="738"/>
        <v>7262</v>
      </c>
      <c r="FQ206">
        <f t="shared" si="739"/>
        <v>0</v>
      </c>
      <c r="FR206">
        <f t="shared" si="740"/>
        <v>7262</v>
      </c>
      <c r="FS206">
        <f t="shared" si="741"/>
        <v>0</v>
      </c>
      <c r="FT206">
        <f t="shared" si="742"/>
        <v>0</v>
      </c>
      <c r="FU206">
        <f t="shared" si="743"/>
        <v>0</v>
      </c>
      <c r="FV206">
        <v>2</v>
      </c>
      <c r="FW206">
        <f t="shared" si="744"/>
        <v>-2</v>
      </c>
      <c r="FX206" t="b">
        <f t="shared" si="745"/>
        <v>0</v>
      </c>
      <c r="FY206">
        <f t="shared" ca="1" si="746"/>
        <v>1990</v>
      </c>
      <c r="FZ206">
        <f t="shared" ca="1" si="747"/>
        <v>453034</v>
      </c>
      <c r="GA206">
        <f t="shared" si="748"/>
        <v>75000</v>
      </c>
      <c r="GB206">
        <f t="shared" ca="1" si="749"/>
        <v>378034</v>
      </c>
      <c r="GC206">
        <f t="shared" ca="1" si="750"/>
        <v>0</v>
      </c>
      <c r="GD206">
        <f t="shared" ca="1" si="751"/>
        <v>0</v>
      </c>
      <c r="GE206">
        <f t="shared" ca="1" si="752"/>
        <v>0</v>
      </c>
      <c r="GF206">
        <f t="shared" ca="1" si="753"/>
        <v>0</v>
      </c>
      <c r="GG206">
        <f t="shared" ca="1" si="754"/>
        <v>0</v>
      </c>
      <c r="GH206">
        <f t="shared" ca="1" si="755"/>
        <v>0</v>
      </c>
      <c r="GI206">
        <f ca="1">IF(GB206&gt;1200000,GB206-1200000-IF(F206="YES",50000,0)-GG206,0)</f>
        <v>0</v>
      </c>
      <c r="GJ206">
        <f t="shared" ca="1" si="756"/>
        <v>0</v>
      </c>
      <c r="GK206">
        <f t="shared" ca="1" si="757"/>
        <v>0</v>
      </c>
      <c r="GL206">
        <f t="shared" ca="1" si="758"/>
        <v>0</v>
      </c>
      <c r="GM206">
        <f t="shared" ca="1" si="759"/>
        <v>0</v>
      </c>
      <c r="GN206">
        <f t="shared" ca="1" si="760"/>
        <v>0</v>
      </c>
      <c r="GO206">
        <f t="shared" ca="1" si="761"/>
        <v>0</v>
      </c>
      <c r="GP206">
        <f t="shared" ca="1" si="762"/>
        <v>0</v>
      </c>
      <c r="GQ206">
        <f t="shared" ca="1" si="763"/>
        <v>0</v>
      </c>
      <c r="GR206">
        <f t="shared" ca="1" si="764"/>
        <v>0</v>
      </c>
      <c r="GS206">
        <f t="shared" ca="1" si="765"/>
        <v>0</v>
      </c>
      <c r="GT206" t="b">
        <f t="shared" ca="1" si="766"/>
        <v>0</v>
      </c>
      <c r="GU206">
        <f t="shared" ca="1" si="767"/>
        <v>0</v>
      </c>
      <c r="GV206">
        <f t="shared" ca="1" si="768"/>
        <v>0</v>
      </c>
      <c r="GW206">
        <f t="shared" ca="1" si="769"/>
        <v>0</v>
      </c>
      <c r="GX206">
        <f t="shared" ca="1" si="770"/>
        <v>0</v>
      </c>
      <c r="GY206">
        <f t="shared" ca="1" si="771"/>
        <v>0</v>
      </c>
    </row>
    <row r="207" spans="1:207" x14ac:dyDescent="0.25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25"/>
        <v>6800</v>
      </c>
      <c r="I207">
        <f>_xlfn.XLOOKUP(B207,'[1]march-2026'!$A:$A,'[1]march-2026'!$C:$C,0,0)</f>
        <v>34500</v>
      </c>
      <c r="J207">
        <f t="shared" si="689"/>
        <v>6210</v>
      </c>
      <c r="K207">
        <f t="shared" si="626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27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28"/>
        <v>200</v>
      </c>
      <c r="R207">
        <f t="shared" si="629"/>
        <v>42550</v>
      </c>
      <c r="S207">
        <f>_xlfn.XLOOKUP(B207,'[2]april-2026'!$A:$A,'[2]april-2026'!$C:$C,0,0)</f>
        <v>34500</v>
      </c>
      <c r="T207">
        <f t="shared" si="630"/>
        <v>6210</v>
      </c>
      <c r="U207">
        <f t="shared" si="631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32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33"/>
        <v>200</v>
      </c>
      <c r="AB207">
        <f t="shared" si="634"/>
        <v>42550</v>
      </c>
      <c r="AC207">
        <f>_xlfn.XLOOKUP(B207,'[3]may-2026'!$A:$A,'[3]may-2026'!$C:$C,0,0)</f>
        <v>34500</v>
      </c>
      <c r="AD207">
        <f t="shared" si="635"/>
        <v>6210</v>
      </c>
      <c r="AE207">
        <f t="shared" si="636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37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38"/>
        <v>200</v>
      </c>
      <c r="AL207">
        <f t="shared" si="639"/>
        <v>42550</v>
      </c>
      <c r="AM207">
        <f>_xlfn.XLOOKUP(B207,'[4]june-2026'!$A:$A,'[4]june-2026'!$C:$C,0,0)</f>
        <v>34500</v>
      </c>
      <c r="AN207">
        <f t="shared" si="640"/>
        <v>6210</v>
      </c>
      <c r="AO207">
        <f t="shared" si="641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42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43"/>
        <v>200</v>
      </c>
      <c r="AV207">
        <f t="shared" si="644"/>
        <v>42550</v>
      </c>
      <c r="AW207">
        <f>_xlfn.XLOOKUP(B207,'[5]july-2026'!$A:$A,'[5]july-2026'!$C:$C,0,0)</f>
        <v>35500</v>
      </c>
      <c r="AX207">
        <f t="shared" si="645"/>
        <v>6390</v>
      </c>
      <c r="AY207">
        <v>205</v>
      </c>
      <c r="AZ207">
        <f t="shared" si="646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47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48"/>
        <v>200</v>
      </c>
      <c r="BG207">
        <f t="shared" si="649"/>
        <v>44055</v>
      </c>
      <c r="BH207">
        <f>_xlfn.XLOOKUP(B207,'[6]august-2026'!$A:$A,'[6]august-2026'!$C:$C,0,0)</f>
        <v>35500</v>
      </c>
      <c r="BI207">
        <f t="shared" si="650"/>
        <v>6390</v>
      </c>
      <c r="BJ207">
        <f t="shared" si="651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52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53"/>
        <v>200</v>
      </c>
      <c r="BQ207">
        <f t="shared" si="654"/>
        <v>43850</v>
      </c>
      <c r="BR207">
        <f>_xlfn.XLOOKUP(B207,'[7]september-2026'!$A:$A,'[7]september-2026'!$C:$C,0,0)</f>
        <v>35500</v>
      </c>
      <c r="BS207">
        <f t="shared" si="655"/>
        <v>6390</v>
      </c>
      <c r="BT207">
        <f t="shared" si="656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57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58"/>
        <v>200</v>
      </c>
      <c r="CA207">
        <f t="shared" si="659"/>
        <v>43850</v>
      </c>
      <c r="CB207">
        <f>_xlfn.XLOOKUP(B207,'[8]october-2026'!$A:$A,'[8]october-2026'!$C:$C,0,0)</f>
        <v>35500</v>
      </c>
      <c r="CC207">
        <f t="shared" si="660"/>
        <v>6390</v>
      </c>
      <c r="CD207">
        <f t="shared" si="661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62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63"/>
        <v>200</v>
      </c>
      <c r="CK207">
        <f t="shared" si="664"/>
        <v>43850</v>
      </c>
      <c r="CL207">
        <f>_xlfn.XLOOKUP(B207,'[9]november-2026'!$A:$A,'[9]november-2026'!$C:$C,0,0)</f>
        <v>35500</v>
      </c>
      <c r="CM207">
        <f t="shared" si="665"/>
        <v>6390</v>
      </c>
      <c r="CN207">
        <f t="shared" si="666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67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68"/>
        <v>200</v>
      </c>
      <c r="CU207">
        <f t="shared" si="669"/>
        <v>43850</v>
      </c>
      <c r="CV207">
        <f>_xlfn.XLOOKUP(B207,'[10]december-2026'!$A:$A,'[10]december-2026'!$C:$C,0,0)</f>
        <v>35500</v>
      </c>
      <c r="CW207">
        <f t="shared" si="670"/>
        <v>6390</v>
      </c>
      <c r="CX207">
        <f t="shared" si="671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72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73"/>
        <v>200</v>
      </c>
      <c r="DE207">
        <f t="shared" si="674"/>
        <v>43850</v>
      </c>
      <c r="DF207">
        <f xml:space="preserve"> _xlfn.XLOOKUP(B207,
'[11]january-2027'!$A:$A,
'[11]january-2027'!$C:$C,
0,0)</f>
        <v>35500</v>
      </c>
      <c r="DG207">
        <f t="shared" si="675"/>
        <v>6390</v>
      </c>
      <c r="DH207">
        <f t="shared" si="676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77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78"/>
        <v>200</v>
      </c>
      <c r="DO207">
        <f t="shared" si="679"/>
        <v>43850</v>
      </c>
      <c r="DP207">
        <f xml:space="preserve"> _xlfn.XLOOKUP(B207,
'[12]february-2027'!$A:$A,
'[12]february-2027'!$C:$C,
0,0)</f>
        <v>35500</v>
      </c>
      <c r="DQ207">
        <f t="shared" si="680"/>
        <v>6390</v>
      </c>
      <c r="DR207">
        <f t="shared" si="681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82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83"/>
        <v>200</v>
      </c>
      <c r="DY207">
        <f t="shared" si="684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85"/>
        <v>0</v>
      </c>
      <c r="EM207">
        <f t="shared" si="686"/>
        <v>566405</v>
      </c>
      <c r="EN207">
        <f t="shared" si="687"/>
        <v>2400</v>
      </c>
      <c r="EO207">
        <f t="shared" si="688"/>
        <v>50000</v>
      </c>
      <c r="EP207">
        <v>0</v>
      </c>
      <c r="EQ207">
        <f t="shared" si="690"/>
        <v>514005</v>
      </c>
      <c r="ER207">
        <f t="shared" si="691"/>
        <v>36000</v>
      </c>
      <c r="ES207">
        <f t="shared" si="692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693"/>
        <v>36000</v>
      </c>
      <c r="FE207">
        <f t="shared" si="694"/>
        <v>36000</v>
      </c>
      <c r="FF207">
        <f t="shared" si="695"/>
        <v>478005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>SUM(FG207:FM207)+(IF(F207="YES",50000,0))</f>
        <v>0</v>
      </c>
      <c r="FO207">
        <f t="shared" si="696"/>
        <v>478005</v>
      </c>
      <c r="FP207">
        <f t="shared" si="697"/>
        <v>11400</v>
      </c>
      <c r="FQ207">
        <f t="shared" si="698"/>
        <v>0</v>
      </c>
      <c r="FR207">
        <f t="shared" si="699"/>
        <v>11400</v>
      </c>
      <c r="FS207">
        <f t="shared" si="700"/>
        <v>0</v>
      </c>
      <c r="FT207">
        <f t="shared" si="701"/>
        <v>0</v>
      </c>
      <c r="FU207">
        <f t="shared" si="702"/>
        <v>0</v>
      </c>
      <c r="FV207">
        <v>0</v>
      </c>
      <c r="FW207">
        <f t="shared" si="703"/>
        <v>0</v>
      </c>
      <c r="FX207" t="b">
        <f t="shared" si="704"/>
        <v>1</v>
      </c>
      <c r="FY207">
        <f t="shared" ca="1" si="705"/>
        <v>875</v>
      </c>
      <c r="FZ207">
        <f t="shared" ca="1" si="706"/>
        <v>567280</v>
      </c>
      <c r="GA207">
        <f t="shared" si="707"/>
        <v>75000</v>
      </c>
      <c r="GB207">
        <f t="shared" ca="1" si="708"/>
        <v>492280</v>
      </c>
      <c r="GC207">
        <f t="shared" ca="1" si="709"/>
        <v>0</v>
      </c>
      <c r="GD207">
        <f t="shared" ca="1" si="710"/>
        <v>0</v>
      </c>
      <c r="GE207">
        <f t="shared" ca="1" si="711"/>
        <v>0</v>
      </c>
      <c r="GF207">
        <f t="shared" ca="1" si="712"/>
        <v>0</v>
      </c>
      <c r="GG207">
        <f t="shared" ca="1" si="713"/>
        <v>0</v>
      </c>
      <c r="GH207">
        <f t="shared" ca="1" si="714"/>
        <v>0</v>
      </c>
      <c r="GI207">
        <f ca="1">IF(GB207&gt;1200000,GB207-1200000-IF(F207="YES",50000,0)-GG207,0)</f>
        <v>0</v>
      </c>
      <c r="GJ207">
        <f t="shared" ca="1" si="715"/>
        <v>0</v>
      </c>
      <c r="GK207">
        <f t="shared" ca="1" si="716"/>
        <v>0</v>
      </c>
      <c r="GL207">
        <f t="shared" ca="1" si="717"/>
        <v>0</v>
      </c>
      <c r="GM207">
        <f t="shared" ca="1" si="718"/>
        <v>92280</v>
      </c>
      <c r="GN207">
        <f t="shared" ca="1" si="719"/>
        <v>4614</v>
      </c>
      <c r="GO207">
        <f t="shared" ca="1" si="720"/>
        <v>4614</v>
      </c>
      <c r="GP207">
        <f t="shared" ca="1" si="721"/>
        <v>0</v>
      </c>
      <c r="GQ207">
        <f t="shared" ca="1" si="722"/>
        <v>0</v>
      </c>
      <c r="GR207">
        <f t="shared" ca="1" si="723"/>
        <v>4614</v>
      </c>
      <c r="GS207">
        <f t="shared" ca="1" si="724"/>
        <v>0</v>
      </c>
      <c r="GT207" t="b">
        <f t="shared" ca="1" si="725"/>
        <v>0</v>
      </c>
      <c r="GU207">
        <f t="shared" ca="1" si="726"/>
        <v>0</v>
      </c>
      <c r="GV207">
        <f t="shared" ca="1" si="727"/>
        <v>4614</v>
      </c>
      <c r="GW207">
        <f t="shared" ca="1" si="728"/>
        <v>0</v>
      </c>
      <c r="GX207">
        <f t="shared" ca="1" si="729"/>
        <v>0</v>
      </c>
      <c r="GY207">
        <f t="shared" ca="1" si="730"/>
        <v>0</v>
      </c>
    </row>
    <row r="208" spans="1:207" x14ac:dyDescent="0.25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25"/>
        <v>6800</v>
      </c>
      <c r="I208">
        <f>_xlfn.XLOOKUP(B208,'[1]march-2026'!$A:$A,'[1]march-2026'!$C:$C,0,0)</f>
        <v>32500</v>
      </c>
      <c r="J208">
        <f t="shared" si="689"/>
        <v>5850</v>
      </c>
      <c r="K208">
        <f t="shared" si="626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27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28"/>
        <v>200</v>
      </c>
      <c r="R208">
        <f t="shared" si="629"/>
        <v>40550</v>
      </c>
      <c r="S208">
        <f>_xlfn.XLOOKUP(B208,'[2]april-2026'!$A:$A,'[2]april-2026'!$C:$C,0,0)</f>
        <v>32500</v>
      </c>
      <c r="T208">
        <f t="shared" si="630"/>
        <v>5850</v>
      </c>
      <c r="U208">
        <f t="shared" si="631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32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33"/>
        <v>200</v>
      </c>
      <c r="AB208">
        <f t="shared" si="634"/>
        <v>40550</v>
      </c>
      <c r="AC208">
        <f>_xlfn.XLOOKUP(B208,'[3]may-2026'!$A:$A,'[3]may-2026'!$C:$C,0,0)</f>
        <v>32500</v>
      </c>
      <c r="AD208">
        <f t="shared" si="635"/>
        <v>5850</v>
      </c>
      <c r="AE208">
        <f t="shared" si="636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37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38"/>
        <v>200</v>
      </c>
      <c r="AL208">
        <f t="shared" si="639"/>
        <v>40550</v>
      </c>
      <c r="AM208">
        <f>_xlfn.XLOOKUP(B208,'[4]june-2026'!$A:$A,'[4]june-2026'!$C:$C,0,0)</f>
        <v>32500</v>
      </c>
      <c r="AN208">
        <f t="shared" si="640"/>
        <v>5850</v>
      </c>
      <c r="AO208">
        <f t="shared" si="641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42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43"/>
        <v>200</v>
      </c>
      <c r="AV208">
        <f t="shared" si="644"/>
        <v>40550</v>
      </c>
      <c r="AW208">
        <f>_xlfn.XLOOKUP(B208,'[5]july-2026'!$A:$A,'[5]july-2026'!$C:$C,0,0)</f>
        <v>33500</v>
      </c>
      <c r="AX208">
        <f t="shared" si="645"/>
        <v>6030</v>
      </c>
      <c r="AY208">
        <v>206</v>
      </c>
      <c r="AZ208">
        <f t="shared" si="646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47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48"/>
        <v>200</v>
      </c>
      <c r="BG208">
        <f t="shared" si="649"/>
        <v>42056</v>
      </c>
      <c r="BH208">
        <f>_xlfn.XLOOKUP(B208,'[6]august-2026'!$A:$A,'[6]august-2026'!$C:$C,0,0)</f>
        <v>33500</v>
      </c>
      <c r="BI208">
        <f t="shared" si="650"/>
        <v>6030</v>
      </c>
      <c r="BJ208">
        <f t="shared" si="651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52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53"/>
        <v>200</v>
      </c>
      <c r="BQ208">
        <f t="shared" si="654"/>
        <v>41850</v>
      </c>
      <c r="BR208">
        <f>_xlfn.XLOOKUP(B208,'[7]september-2026'!$A:$A,'[7]september-2026'!$C:$C,0,0)</f>
        <v>33500</v>
      </c>
      <c r="BS208">
        <f t="shared" si="655"/>
        <v>6030</v>
      </c>
      <c r="BT208">
        <f t="shared" si="656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57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58"/>
        <v>200</v>
      </c>
      <c r="CA208">
        <f t="shared" si="659"/>
        <v>41850</v>
      </c>
      <c r="CB208">
        <f>_xlfn.XLOOKUP(B208,'[8]october-2026'!$A:$A,'[8]october-2026'!$C:$C,0,0)</f>
        <v>33500</v>
      </c>
      <c r="CC208">
        <f t="shared" si="660"/>
        <v>6030</v>
      </c>
      <c r="CD208">
        <f t="shared" si="661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62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63"/>
        <v>200</v>
      </c>
      <c r="CK208">
        <f t="shared" si="664"/>
        <v>41850</v>
      </c>
      <c r="CL208">
        <f>_xlfn.XLOOKUP(B208,'[9]november-2026'!$A:$A,'[9]november-2026'!$C:$C,0,0)</f>
        <v>33500</v>
      </c>
      <c r="CM208">
        <f t="shared" si="665"/>
        <v>6030</v>
      </c>
      <c r="CN208">
        <f t="shared" si="666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67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68"/>
        <v>200</v>
      </c>
      <c r="CU208">
        <f t="shared" si="669"/>
        <v>41850</v>
      </c>
      <c r="CV208">
        <f>_xlfn.XLOOKUP(B208,'[10]december-2026'!$A:$A,'[10]december-2026'!$C:$C,0,0)</f>
        <v>33500</v>
      </c>
      <c r="CW208">
        <f t="shared" si="670"/>
        <v>6030</v>
      </c>
      <c r="CX208">
        <f t="shared" si="671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72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73"/>
        <v>200</v>
      </c>
      <c r="DE208">
        <f t="shared" si="674"/>
        <v>41850</v>
      </c>
      <c r="DF208">
        <f xml:space="preserve"> _xlfn.XLOOKUP(B208,
'[11]january-2027'!$A:$A,
'[11]january-2027'!$C:$C,
0,0)</f>
        <v>33500</v>
      </c>
      <c r="DG208">
        <f t="shared" si="675"/>
        <v>6030</v>
      </c>
      <c r="DH208">
        <f t="shared" si="676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77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78"/>
        <v>200</v>
      </c>
      <c r="DO208">
        <f t="shared" si="679"/>
        <v>41850</v>
      </c>
      <c r="DP208">
        <f xml:space="preserve"> _xlfn.XLOOKUP(B208,
'[12]february-2027'!$A:$A,
'[12]february-2027'!$C:$C,
0,0)</f>
        <v>33500</v>
      </c>
      <c r="DQ208">
        <f t="shared" si="680"/>
        <v>6030</v>
      </c>
      <c r="DR208">
        <f t="shared" si="681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82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83"/>
        <v>200</v>
      </c>
      <c r="DY208">
        <f t="shared" si="684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85"/>
        <v>0</v>
      </c>
      <c r="EM208">
        <f t="shared" si="686"/>
        <v>530406</v>
      </c>
      <c r="EN208">
        <f t="shared" si="687"/>
        <v>2400</v>
      </c>
      <c r="EO208">
        <f t="shared" si="688"/>
        <v>50000</v>
      </c>
      <c r="EP208">
        <v>0</v>
      </c>
      <c r="EQ208">
        <f t="shared" si="690"/>
        <v>478006</v>
      </c>
      <c r="ER208">
        <f t="shared" si="691"/>
        <v>24000</v>
      </c>
      <c r="ES208">
        <f t="shared" si="692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693"/>
        <v>24000</v>
      </c>
      <c r="FE208">
        <f t="shared" si="694"/>
        <v>24000</v>
      </c>
      <c r="FF208">
        <f t="shared" si="695"/>
        <v>454006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>SUM(FG208:FM208)+(IF(F208="YES",50000,0))</f>
        <v>0</v>
      </c>
      <c r="FO208">
        <f t="shared" si="696"/>
        <v>454006</v>
      </c>
      <c r="FP208">
        <f t="shared" si="697"/>
        <v>10200</v>
      </c>
      <c r="FQ208">
        <f t="shared" si="698"/>
        <v>0</v>
      </c>
      <c r="FR208">
        <f t="shared" si="699"/>
        <v>10200</v>
      </c>
      <c r="FS208">
        <f t="shared" si="700"/>
        <v>0</v>
      </c>
      <c r="FT208">
        <f t="shared" si="701"/>
        <v>0</v>
      </c>
      <c r="FU208">
        <f t="shared" si="702"/>
        <v>0</v>
      </c>
      <c r="FV208">
        <v>0</v>
      </c>
      <c r="FW208">
        <f t="shared" si="703"/>
        <v>0</v>
      </c>
      <c r="FX208" t="b">
        <f t="shared" si="704"/>
        <v>1</v>
      </c>
      <c r="FY208">
        <f t="shared" ca="1" si="705"/>
        <v>955</v>
      </c>
      <c r="FZ208">
        <f t="shared" ca="1" si="706"/>
        <v>531361</v>
      </c>
      <c r="GA208">
        <f t="shared" si="707"/>
        <v>75000</v>
      </c>
      <c r="GB208">
        <f t="shared" ca="1" si="708"/>
        <v>456361</v>
      </c>
      <c r="GC208">
        <f t="shared" ca="1" si="709"/>
        <v>0</v>
      </c>
      <c r="GD208">
        <f t="shared" ca="1" si="710"/>
        <v>0</v>
      </c>
      <c r="GE208">
        <f t="shared" ca="1" si="711"/>
        <v>0</v>
      </c>
      <c r="GF208">
        <f t="shared" ca="1" si="712"/>
        <v>0</v>
      </c>
      <c r="GG208">
        <f t="shared" ca="1" si="713"/>
        <v>0</v>
      </c>
      <c r="GH208">
        <f t="shared" ca="1" si="714"/>
        <v>0</v>
      </c>
      <c r="GI208">
        <f ca="1">IF(GB208&gt;1200000,GB208-1200000-IF(F208="YES",50000,0)-GG208,0)</f>
        <v>0</v>
      </c>
      <c r="GJ208">
        <f t="shared" ca="1" si="715"/>
        <v>0</v>
      </c>
      <c r="GK208">
        <f t="shared" ca="1" si="716"/>
        <v>0</v>
      </c>
      <c r="GL208">
        <f t="shared" ca="1" si="717"/>
        <v>0</v>
      </c>
      <c r="GM208">
        <f t="shared" ca="1" si="718"/>
        <v>56361</v>
      </c>
      <c r="GN208">
        <f t="shared" ca="1" si="719"/>
        <v>2818.05</v>
      </c>
      <c r="GO208">
        <f t="shared" ca="1" si="720"/>
        <v>2818</v>
      </c>
      <c r="GP208">
        <f t="shared" ca="1" si="721"/>
        <v>0</v>
      </c>
      <c r="GQ208">
        <f t="shared" ca="1" si="722"/>
        <v>0</v>
      </c>
      <c r="GR208">
        <f t="shared" ca="1" si="723"/>
        <v>2818</v>
      </c>
      <c r="GS208">
        <f t="shared" ca="1" si="724"/>
        <v>0</v>
      </c>
      <c r="GT208" t="b">
        <f t="shared" ca="1" si="725"/>
        <v>0</v>
      </c>
      <c r="GU208">
        <f t="shared" ca="1" si="726"/>
        <v>0</v>
      </c>
      <c r="GV208">
        <f t="shared" ca="1" si="727"/>
        <v>2818</v>
      </c>
      <c r="GW208">
        <f t="shared" ca="1" si="728"/>
        <v>0</v>
      </c>
      <c r="GX208">
        <f t="shared" ca="1" si="729"/>
        <v>0</v>
      </c>
      <c r="GY208">
        <f t="shared" ca="1" si="730"/>
        <v>0</v>
      </c>
    </row>
    <row r="209" spans="1:207" x14ac:dyDescent="0.25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25"/>
        <v>0</v>
      </c>
      <c r="I209">
        <f>_xlfn.XLOOKUP(B209,'[1]march-2026'!$A:$A,'[1]march-2026'!$C:$C,0,0)</f>
        <v>24700</v>
      </c>
      <c r="J209">
        <f t="shared" si="689"/>
        <v>4446</v>
      </c>
      <c r="K209">
        <f t="shared" si="626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27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28"/>
        <v>150</v>
      </c>
      <c r="R209">
        <f t="shared" si="629"/>
        <v>29960</v>
      </c>
      <c r="S209">
        <f>_xlfn.XLOOKUP(B209,'[2]april-2026'!$A:$A,'[2]april-2026'!$C:$C,0,0)</f>
        <v>24700</v>
      </c>
      <c r="T209">
        <f t="shared" si="630"/>
        <v>4446</v>
      </c>
      <c r="U209">
        <f t="shared" si="631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32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33"/>
        <v>0</v>
      </c>
      <c r="AB209">
        <f t="shared" si="634"/>
        <v>30110</v>
      </c>
      <c r="AC209">
        <f>_xlfn.XLOOKUP(B209,'[3]may-2026'!$A:$A,'[3]may-2026'!$C:$C,0,0)</f>
        <v>24700</v>
      </c>
      <c r="AD209">
        <f t="shared" si="635"/>
        <v>4446</v>
      </c>
      <c r="AE209">
        <f t="shared" si="636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37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38"/>
        <v>0</v>
      </c>
      <c r="AL209">
        <f t="shared" si="639"/>
        <v>30110</v>
      </c>
      <c r="AM209">
        <f>_xlfn.XLOOKUP(B209,'[4]june-2026'!$A:$A,'[4]june-2026'!$C:$C,0,0)</f>
        <v>24700</v>
      </c>
      <c r="AN209">
        <f t="shared" si="640"/>
        <v>4446</v>
      </c>
      <c r="AO209">
        <f t="shared" si="641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42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43"/>
        <v>0</v>
      </c>
      <c r="AV209">
        <f t="shared" si="644"/>
        <v>30110</v>
      </c>
      <c r="AW209">
        <f>_xlfn.XLOOKUP(B209,'[5]july-2026'!$A:$A,'[5]july-2026'!$C:$C,0,0)</f>
        <v>25400</v>
      </c>
      <c r="AX209">
        <f t="shared" si="645"/>
        <v>4572</v>
      </c>
      <c r="AY209">
        <v>207</v>
      </c>
      <c r="AZ209">
        <f t="shared" si="646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47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48"/>
        <v>0</v>
      </c>
      <c r="BG209">
        <f t="shared" si="649"/>
        <v>31227</v>
      </c>
      <c r="BH209">
        <f>_xlfn.XLOOKUP(B209,'[6]august-2026'!$A:$A,'[6]august-2026'!$C:$C,0,0)</f>
        <v>25400</v>
      </c>
      <c r="BI209">
        <f t="shared" si="650"/>
        <v>4572</v>
      </c>
      <c r="BJ209">
        <f t="shared" si="651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52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53"/>
        <v>0</v>
      </c>
      <c r="BQ209">
        <f t="shared" si="654"/>
        <v>31020</v>
      </c>
      <c r="BR209">
        <f>_xlfn.XLOOKUP(B209,'[7]september-2026'!$A:$A,'[7]september-2026'!$C:$C,0,0)</f>
        <v>25400</v>
      </c>
      <c r="BS209">
        <f t="shared" si="655"/>
        <v>4572</v>
      </c>
      <c r="BT209">
        <f t="shared" si="656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57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58"/>
        <v>0</v>
      </c>
      <c r="CA209">
        <f t="shared" si="659"/>
        <v>31020</v>
      </c>
      <c r="CB209">
        <f>_xlfn.XLOOKUP(B209,'[8]october-2026'!$A:$A,'[8]october-2026'!$C:$C,0,0)</f>
        <v>25400</v>
      </c>
      <c r="CC209">
        <f t="shared" si="660"/>
        <v>4572</v>
      </c>
      <c r="CD209">
        <f t="shared" si="661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62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63"/>
        <v>0</v>
      </c>
      <c r="CK209">
        <f t="shared" si="664"/>
        <v>31020</v>
      </c>
      <c r="CL209">
        <f>_xlfn.XLOOKUP(B209,'[9]november-2026'!$A:$A,'[9]november-2026'!$C:$C,0,0)</f>
        <v>25400</v>
      </c>
      <c r="CM209">
        <f t="shared" si="665"/>
        <v>4572</v>
      </c>
      <c r="CN209">
        <f t="shared" si="666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67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68"/>
        <v>0</v>
      </c>
      <c r="CU209">
        <f t="shared" si="669"/>
        <v>31020</v>
      </c>
      <c r="CV209">
        <f>_xlfn.XLOOKUP(B209,'[10]december-2026'!$A:$A,'[10]december-2026'!$C:$C,0,0)</f>
        <v>25400</v>
      </c>
      <c r="CW209">
        <f t="shared" si="670"/>
        <v>4572</v>
      </c>
      <c r="CX209">
        <f t="shared" si="671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72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73"/>
        <v>0</v>
      </c>
      <c r="DE209">
        <f t="shared" si="674"/>
        <v>31020</v>
      </c>
      <c r="DF209">
        <f xml:space="preserve"> _xlfn.XLOOKUP(B209,
'[11]january-2027'!$A:$A,
'[11]january-2027'!$C:$C,
0,0)</f>
        <v>25400</v>
      </c>
      <c r="DG209">
        <f t="shared" si="675"/>
        <v>4572</v>
      </c>
      <c r="DH209">
        <f t="shared" si="676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77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78"/>
        <v>0</v>
      </c>
      <c r="DO209">
        <f t="shared" si="679"/>
        <v>31020</v>
      </c>
      <c r="DP209">
        <f xml:space="preserve"> _xlfn.XLOOKUP(B209,
'[12]february-2027'!$A:$A,
'[12]february-2027'!$C:$C,
0,0)</f>
        <v>25400</v>
      </c>
      <c r="DQ209">
        <f t="shared" si="680"/>
        <v>4572</v>
      </c>
      <c r="DR209">
        <f t="shared" si="681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82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83"/>
        <v>0</v>
      </c>
      <c r="DY209">
        <f t="shared" si="684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85"/>
        <v>0</v>
      </c>
      <c r="EM209">
        <f t="shared" si="686"/>
        <v>392807</v>
      </c>
      <c r="EN209">
        <f t="shared" si="687"/>
        <v>150</v>
      </c>
      <c r="EO209">
        <f t="shared" si="688"/>
        <v>50000</v>
      </c>
      <c r="EP209">
        <v>0</v>
      </c>
      <c r="EQ209">
        <f t="shared" si="690"/>
        <v>342657</v>
      </c>
      <c r="ER209">
        <f t="shared" si="691"/>
        <v>24000</v>
      </c>
      <c r="ES209">
        <f t="shared" si="692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693"/>
        <v>24000</v>
      </c>
      <c r="FE209">
        <f t="shared" si="694"/>
        <v>24000</v>
      </c>
      <c r="FF209">
        <f t="shared" si="695"/>
        <v>318657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>SUM(FG209:FM209)+(IF(F209="YES",50000,0))</f>
        <v>50000</v>
      </c>
      <c r="FO209">
        <f t="shared" si="696"/>
        <v>268657</v>
      </c>
      <c r="FP209">
        <f t="shared" si="697"/>
        <v>933</v>
      </c>
      <c r="FQ209">
        <f t="shared" si="698"/>
        <v>0</v>
      </c>
      <c r="FR209">
        <f t="shared" si="699"/>
        <v>933</v>
      </c>
      <c r="FS209">
        <f t="shared" si="700"/>
        <v>0</v>
      </c>
      <c r="FT209">
        <f t="shared" si="701"/>
        <v>0</v>
      </c>
      <c r="FU209">
        <f t="shared" si="702"/>
        <v>0</v>
      </c>
      <c r="FV209">
        <v>0</v>
      </c>
      <c r="FW209">
        <f t="shared" si="703"/>
        <v>0</v>
      </c>
      <c r="FX209" t="b">
        <f t="shared" si="704"/>
        <v>0</v>
      </c>
      <c r="FY209">
        <f t="shared" ca="1" si="705"/>
        <v>2577</v>
      </c>
      <c r="FZ209">
        <f t="shared" ca="1" si="706"/>
        <v>395384</v>
      </c>
      <c r="GA209">
        <f t="shared" si="707"/>
        <v>75000</v>
      </c>
      <c r="GB209">
        <f t="shared" ca="1" si="708"/>
        <v>320384</v>
      </c>
      <c r="GC209">
        <f t="shared" ca="1" si="709"/>
        <v>0</v>
      </c>
      <c r="GD209">
        <f t="shared" ca="1" si="710"/>
        <v>0</v>
      </c>
      <c r="GE209">
        <f t="shared" ca="1" si="711"/>
        <v>0</v>
      </c>
      <c r="GF209">
        <f t="shared" ca="1" si="712"/>
        <v>0</v>
      </c>
      <c r="GG209">
        <f t="shared" ca="1" si="713"/>
        <v>0</v>
      </c>
      <c r="GH209">
        <f t="shared" ca="1" si="714"/>
        <v>0</v>
      </c>
      <c r="GI209">
        <f ca="1">IF(GB209&gt;1200000,GB209-1200000-IF(F209="YES",50000,0)-GG209,0)</f>
        <v>0</v>
      </c>
      <c r="GJ209">
        <f t="shared" ca="1" si="715"/>
        <v>0</v>
      </c>
      <c r="GK209">
        <f t="shared" ca="1" si="716"/>
        <v>0</v>
      </c>
      <c r="GL209">
        <f t="shared" ca="1" si="717"/>
        <v>0</v>
      </c>
      <c r="GM209">
        <f t="shared" ca="1" si="718"/>
        <v>0</v>
      </c>
      <c r="GN209">
        <f t="shared" ca="1" si="719"/>
        <v>0</v>
      </c>
      <c r="GO209">
        <f t="shared" ca="1" si="720"/>
        <v>0</v>
      </c>
      <c r="GP209">
        <f t="shared" ca="1" si="721"/>
        <v>0</v>
      </c>
      <c r="GQ209">
        <f t="shared" ca="1" si="722"/>
        <v>0</v>
      </c>
      <c r="GR209">
        <f t="shared" ca="1" si="723"/>
        <v>0</v>
      </c>
      <c r="GS209">
        <f t="shared" ca="1" si="724"/>
        <v>0</v>
      </c>
      <c r="GT209" t="b">
        <f t="shared" ca="1" si="725"/>
        <v>0</v>
      </c>
      <c r="GU209">
        <f t="shared" ca="1" si="726"/>
        <v>0</v>
      </c>
      <c r="GV209">
        <f t="shared" ca="1" si="727"/>
        <v>0</v>
      </c>
      <c r="GW209">
        <f t="shared" ca="1" si="728"/>
        <v>0</v>
      </c>
      <c r="GX209">
        <f t="shared" ca="1" si="729"/>
        <v>0</v>
      </c>
      <c r="GY209">
        <f t="shared" ca="1" si="730"/>
        <v>0</v>
      </c>
    </row>
    <row r="210" spans="1:207" x14ac:dyDescent="0.25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25"/>
        <v>6800</v>
      </c>
      <c r="I210">
        <f>_xlfn.XLOOKUP(B210,'[1]march-2026'!$A:$A,'[1]march-2026'!$C:$C,0,0)</f>
        <v>53300</v>
      </c>
      <c r="J210">
        <f t="shared" si="689"/>
        <v>9594</v>
      </c>
      <c r="K210">
        <f t="shared" si="626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27"/>
        <v>70190</v>
      </c>
      <c r="O210">
        <f>_xlfn.XLOOKUP(B210,'[1]march-2026'!$A:$A,'[1]march-2026'!$H:$H,0,0)</f>
        <v>10000</v>
      </c>
      <c r="P210">
        <f>_xlfn.XLOOKUP(B210,'[1]march-2026'!$A:$A,'[1]march-2026'!$I:$I,0,0)</f>
        <v>0</v>
      </c>
      <c r="Q210">
        <f t="shared" si="628"/>
        <v>200</v>
      </c>
      <c r="R210">
        <f t="shared" si="629"/>
        <v>59990</v>
      </c>
      <c r="S210">
        <f>_xlfn.XLOOKUP(B210,'[2]april-2026'!$A:$A,'[2]april-2026'!$C:$C,0,0)</f>
        <v>53300</v>
      </c>
      <c r="T210">
        <f t="shared" si="630"/>
        <v>9594</v>
      </c>
      <c r="U210">
        <f t="shared" si="631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32"/>
        <v>70190</v>
      </c>
      <c r="Y210">
        <f>_xlfn.XLOOKUP(B210,'[2]april-2026'!$A:$A,'[2]april-2026'!$H:$H,0,0)</f>
        <v>10000</v>
      </c>
      <c r="Z210">
        <f>_xlfn.XLOOKUP(B210,'[2]april-2026'!$A:$A,'[2]april-2026'!$I:$I,0,0)</f>
        <v>0</v>
      </c>
      <c r="AA210">
        <f t="shared" si="633"/>
        <v>200</v>
      </c>
      <c r="AB210">
        <f t="shared" si="634"/>
        <v>59990</v>
      </c>
      <c r="AC210">
        <f>_xlfn.XLOOKUP(B210,'[3]may-2026'!$A:$A,'[3]may-2026'!$C:$C,0,0)</f>
        <v>53300</v>
      </c>
      <c r="AD210">
        <f t="shared" si="635"/>
        <v>9594</v>
      </c>
      <c r="AE210">
        <f t="shared" si="636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37"/>
        <v>70190</v>
      </c>
      <c r="AI210">
        <f>_xlfn.XLOOKUP(B210,'[3]may-2026'!$A:$A,'[3]may-2026'!$H:$H,0,0)</f>
        <v>10000</v>
      </c>
      <c r="AJ210">
        <f>_xlfn.XLOOKUP(B210,'[3]may-2026'!$A:$A,'[3]may-2026'!$I:$I,0,0)</f>
        <v>0</v>
      </c>
      <c r="AK210">
        <f t="shared" si="638"/>
        <v>200</v>
      </c>
      <c r="AL210">
        <f t="shared" si="639"/>
        <v>59990</v>
      </c>
      <c r="AM210">
        <f>_xlfn.XLOOKUP(B210,'[4]june-2026'!$A:$A,'[4]june-2026'!$C:$C,0,0)</f>
        <v>53300</v>
      </c>
      <c r="AN210">
        <f t="shared" si="640"/>
        <v>9594</v>
      </c>
      <c r="AO210">
        <f t="shared" si="641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42"/>
        <v>70190</v>
      </c>
      <c r="AS210">
        <f>_xlfn.XLOOKUP(B210,'[4]june-2026'!$A:$A,'[4]june-2026'!$H:$H,0,0)</f>
        <v>10000</v>
      </c>
      <c r="AT210">
        <f>_xlfn.XLOOKUP(B210,'[4]june-2026'!$A:$A,'[4]june-2026'!$I:$I,0,0)</f>
        <v>0</v>
      </c>
      <c r="AU210">
        <f t="shared" si="643"/>
        <v>200</v>
      </c>
      <c r="AV210">
        <f t="shared" si="644"/>
        <v>59990</v>
      </c>
      <c r="AW210">
        <f>_xlfn.XLOOKUP(B210,'[5]july-2026'!$A:$A,'[5]july-2026'!$C:$C,0,0)</f>
        <v>54900</v>
      </c>
      <c r="AX210">
        <f t="shared" si="645"/>
        <v>9882</v>
      </c>
      <c r="AY210">
        <v>208</v>
      </c>
      <c r="AZ210">
        <f t="shared" si="646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47"/>
        <v>72478</v>
      </c>
      <c r="BD210">
        <f>_xlfn.XLOOKUP(B210,'[5]july-2026'!$A:$A,'[5]july-2026'!$H:$H,0,0)</f>
        <v>10000</v>
      </c>
      <c r="BE210">
        <f>_xlfn.XLOOKUP(B210,'[5]july-2026'!$A:$A,'[5]july-2026'!$I:$I,0,0)</f>
        <v>0</v>
      </c>
      <c r="BF210">
        <f t="shared" si="648"/>
        <v>200</v>
      </c>
      <c r="BG210">
        <f t="shared" si="649"/>
        <v>62278</v>
      </c>
      <c r="BH210">
        <f>_xlfn.XLOOKUP(B210,'[6]august-2026'!$A:$A,'[6]august-2026'!$C:$C,0,0)</f>
        <v>54900</v>
      </c>
      <c r="BI210">
        <f t="shared" si="650"/>
        <v>9882</v>
      </c>
      <c r="BJ210">
        <f t="shared" si="651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52"/>
        <v>72270</v>
      </c>
      <c r="BN210">
        <f>_xlfn.XLOOKUP(B210,'[6]august-2026'!$A:$A,'[6]august-2026'!$H:$H,0,0)</f>
        <v>10000</v>
      </c>
      <c r="BO210">
        <f>_xlfn.XLOOKUP(B210,'[6]august-2026'!$A:$A,'[6]august-2026'!$I:$I,0,0)</f>
        <v>0</v>
      </c>
      <c r="BP210">
        <f t="shared" si="653"/>
        <v>200</v>
      </c>
      <c r="BQ210">
        <f t="shared" si="654"/>
        <v>62070</v>
      </c>
      <c r="BR210">
        <f>_xlfn.XLOOKUP(B210,'[7]september-2026'!$A:$A,'[7]september-2026'!$C:$C,0,0)</f>
        <v>54900</v>
      </c>
      <c r="BS210">
        <f t="shared" si="655"/>
        <v>9882</v>
      </c>
      <c r="BT210">
        <f t="shared" si="656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57"/>
        <v>72270</v>
      </c>
      <c r="BX210">
        <f>_xlfn.XLOOKUP(B210,'[7]september-2026'!$A:$A,'[7]september-2026'!$H:$H,0,0)</f>
        <v>10000</v>
      </c>
      <c r="BY210">
        <f>_xlfn.XLOOKUP(B210,'[7]september-2026'!$A:$A,'[7]september-2026'!$I:$I,0,0)</f>
        <v>0</v>
      </c>
      <c r="BZ210">
        <f t="shared" si="658"/>
        <v>200</v>
      </c>
      <c r="CA210">
        <f t="shared" si="659"/>
        <v>62070</v>
      </c>
      <c r="CB210">
        <f>_xlfn.XLOOKUP(B210,'[8]october-2026'!$A:$A,'[8]october-2026'!$C:$C,0,0)</f>
        <v>54900</v>
      </c>
      <c r="CC210">
        <f t="shared" si="660"/>
        <v>9882</v>
      </c>
      <c r="CD210">
        <f t="shared" si="661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62"/>
        <v>72270</v>
      </c>
      <c r="CH210">
        <f>_xlfn.XLOOKUP(B210,'[8]october-2026'!$A:$A,'[8]october-2026'!$H:$H,0,0)</f>
        <v>10000</v>
      </c>
      <c r="CI210">
        <f>_xlfn.XLOOKUP(B210,'[8]october-2026'!$A:$A,'[8]october-2026'!$I:$I,0,0)</f>
        <v>0</v>
      </c>
      <c r="CJ210">
        <f t="shared" si="663"/>
        <v>200</v>
      </c>
      <c r="CK210">
        <f t="shared" si="664"/>
        <v>62070</v>
      </c>
      <c r="CL210">
        <f>_xlfn.XLOOKUP(B210,'[9]november-2026'!$A:$A,'[9]november-2026'!$C:$C,0,0)</f>
        <v>54900</v>
      </c>
      <c r="CM210">
        <f t="shared" si="665"/>
        <v>9882</v>
      </c>
      <c r="CN210">
        <f t="shared" si="666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67"/>
        <v>72270</v>
      </c>
      <c r="CR210">
        <f>_xlfn.XLOOKUP(B210,'[9]november-2026'!$A:$A,'[9]november-2026'!$H:$H,0,0)</f>
        <v>10000</v>
      </c>
      <c r="CS210">
        <f>_xlfn.XLOOKUP(B210,'[9]november-2026'!$A:$A,'[9]november-2026'!$I:$I,0,0)</f>
        <v>0</v>
      </c>
      <c r="CT210">
        <f t="shared" si="668"/>
        <v>200</v>
      </c>
      <c r="CU210">
        <f t="shared" si="669"/>
        <v>62070</v>
      </c>
      <c r="CV210">
        <f>_xlfn.XLOOKUP(B210,'[10]december-2026'!$A:$A,'[10]december-2026'!$C:$C,0,0)</f>
        <v>54900</v>
      </c>
      <c r="CW210">
        <f t="shared" si="670"/>
        <v>9882</v>
      </c>
      <c r="CX210">
        <f t="shared" si="671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72"/>
        <v>72270</v>
      </c>
      <c r="DB210">
        <f>_xlfn.XLOOKUP(B210,'[10]december-2026'!$A:$A,'[10]december-2026'!$H:$H,0,0)</f>
        <v>10000</v>
      </c>
      <c r="DC210">
        <f>_xlfn.XLOOKUP(B210,'[10]december-2026'!$A:$A,'[10]december-2026'!$I:$I,0,0)</f>
        <v>0</v>
      </c>
      <c r="DD210">
        <f t="shared" si="673"/>
        <v>200</v>
      </c>
      <c r="DE210">
        <f t="shared" si="674"/>
        <v>62070</v>
      </c>
      <c r="DF210">
        <f xml:space="preserve"> _xlfn.XLOOKUP(B210,
'[11]january-2027'!$A:$A,
'[11]january-2027'!$C:$C,
0,0)</f>
        <v>54900</v>
      </c>
      <c r="DG210">
        <f t="shared" si="675"/>
        <v>9882</v>
      </c>
      <c r="DH210">
        <f t="shared" si="676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77"/>
        <v>72270</v>
      </c>
      <c r="DL210">
        <f xml:space="preserve"> _xlfn.XLOOKUP(B210,
'[11]january-2027'!$A:$A,
'[11]january-2027'!$H:$H,
0,0)</f>
        <v>10000</v>
      </c>
      <c r="DM210">
        <f xml:space="preserve"> _xlfn.XLOOKUP(B210,
'[11]january-2027'!$A:$A,
'[11]january-2027'!$I:$I,
0,0)</f>
        <v>0</v>
      </c>
      <c r="DN210">
        <f t="shared" si="678"/>
        <v>200</v>
      </c>
      <c r="DO210">
        <f t="shared" si="679"/>
        <v>62070</v>
      </c>
      <c r="DP210">
        <f xml:space="preserve"> _xlfn.XLOOKUP(B210,
'[12]february-2027'!$A:$A,
'[12]february-2027'!$C:$C,
0,0)</f>
        <v>54900</v>
      </c>
      <c r="DQ210">
        <f t="shared" si="680"/>
        <v>9882</v>
      </c>
      <c r="DR210">
        <f t="shared" si="681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82"/>
        <v>72270</v>
      </c>
      <c r="DV210">
        <f xml:space="preserve"> _xlfn.XLOOKUP(B210,
'[12]february-2027'!$A:$A,
'[12]february-2027'!$H:$H,
0,0)</f>
        <v>10000</v>
      </c>
      <c r="DW210">
        <f xml:space="preserve"> _xlfn.XLOOKUP(B210,
'[12]february-2027'!$A:$A,
'[12]february-2027'!$I:$I,
0,0)</f>
        <v>0</v>
      </c>
      <c r="DX210">
        <f t="shared" si="683"/>
        <v>200</v>
      </c>
      <c r="DY210">
        <f t="shared" si="684"/>
        <v>62070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85"/>
        <v>0</v>
      </c>
      <c r="EM210">
        <f t="shared" si="686"/>
        <v>865928</v>
      </c>
      <c r="EN210">
        <f t="shared" si="687"/>
        <v>2400</v>
      </c>
      <c r="EO210">
        <f t="shared" si="688"/>
        <v>50000</v>
      </c>
      <c r="EP210">
        <v>0</v>
      </c>
      <c r="EQ210">
        <f t="shared" si="690"/>
        <v>813528</v>
      </c>
      <c r="ER210">
        <f t="shared" si="691"/>
        <v>120000</v>
      </c>
      <c r="ES210">
        <f t="shared" si="692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693"/>
        <v>120000</v>
      </c>
      <c r="FE210">
        <f t="shared" si="694"/>
        <v>120000</v>
      </c>
      <c r="FF210">
        <f t="shared" si="695"/>
        <v>693528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>SUM(FG210:FM210)+(IF(F210="YES",50000,0))</f>
        <v>0</v>
      </c>
      <c r="FO210">
        <f t="shared" si="696"/>
        <v>693528</v>
      </c>
      <c r="FP210">
        <f t="shared" si="697"/>
        <v>12500</v>
      </c>
      <c r="FQ210">
        <f t="shared" si="698"/>
        <v>38706</v>
      </c>
      <c r="FR210">
        <f t="shared" si="699"/>
        <v>51206</v>
      </c>
      <c r="FS210">
        <f t="shared" si="700"/>
        <v>51206</v>
      </c>
      <c r="FT210">
        <f t="shared" si="701"/>
        <v>2048.2400000000002</v>
      </c>
      <c r="FU210">
        <f t="shared" si="702"/>
        <v>53254</v>
      </c>
      <c r="FV210">
        <v>0</v>
      </c>
      <c r="FW210">
        <f t="shared" si="703"/>
        <v>53254</v>
      </c>
      <c r="FX210" t="b">
        <f t="shared" si="704"/>
        <v>1</v>
      </c>
      <c r="FY210">
        <f t="shared" ca="1" si="705"/>
        <v>814</v>
      </c>
      <c r="FZ210">
        <f t="shared" ca="1" si="706"/>
        <v>866742</v>
      </c>
      <c r="GA210">
        <f t="shared" si="707"/>
        <v>75000</v>
      </c>
      <c r="GB210">
        <f t="shared" ca="1" si="708"/>
        <v>791742</v>
      </c>
      <c r="GC210">
        <f t="shared" ca="1" si="709"/>
        <v>0</v>
      </c>
      <c r="GD210">
        <f t="shared" ca="1" si="710"/>
        <v>0</v>
      </c>
      <c r="GE210">
        <f t="shared" ca="1" si="711"/>
        <v>0</v>
      </c>
      <c r="GF210">
        <f t="shared" ca="1" si="712"/>
        <v>0</v>
      </c>
      <c r="GG210">
        <f t="shared" ca="1" si="713"/>
        <v>0</v>
      </c>
      <c r="GH210">
        <f t="shared" ca="1" si="714"/>
        <v>0</v>
      </c>
      <c r="GI210">
        <f ca="1">IF(GB210&gt;1200000,GB210-1200000-IF(F210="YES",50000,0)-GG210,0)</f>
        <v>0</v>
      </c>
      <c r="GJ210">
        <f t="shared" ca="1" si="715"/>
        <v>0</v>
      </c>
      <c r="GK210">
        <f t="shared" ca="1" si="716"/>
        <v>0</v>
      </c>
      <c r="GL210">
        <f t="shared" ca="1" si="717"/>
        <v>0</v>
      </c>
      <c r="GM210">
        <f t="shared" ca="1" si="718"/>
        <v>391742</v>
      </c>
      <c r="GN210">
        <f t="shared" ca="1" si="719"/>
        <v>19587.100000000002</v>
      </c>
      <c r="GO210">
        <f t="shared" ca="1" si="720"/>
        <v>19587</v>
      </c>
      <c r="GP210">
        <f t="shared" ca="1" si="721"/>
        <v>0</v>
      </c>
      <c r="GQ210">
        <f t="shared" ca="1" si="722"/>
        <v>0</v>
      </c>
      <c r="GR210">
        <f t="shared" ca="1" si="723"/>
        <v>19587</v>
      </c>
      <c r="GS210">
        <f t="shared" ca="1" si="724"/>
        <v>0</v>
      </c>
      <c r="GT210" t="b">
        <f t="shared" ca="1" si="725"/>
        <v>0</v>
      </c>
      <c r="GU210">
        <f t="shared" ca="1" si="726"/>
        <v>0</v>
      </c>
      <c r="GV210">
        <f t="shared" ca="1" si="727"/>
        <v>19587</v>
      </c>
      <c r="GW210">
        <f t="shared" ca="1" si="728"/>
        <v>0</v>
      </c>
      <c r="GX210">
        <f t="shared" ca="1" si="729"/>
        <v>0</v>
      </c>
      <c r="GY210">
        <f t="shared" ca="1" si="730"/>
        <v>0</v>
      </c>
    </row>
    <row r="211" spans="1:207" x14ac:dyDescent="0.25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25"/>
        <v>6800</v>
      </c>
      <c r="I211">
        <f>_xlfn.XLOOKUP(B211,'[1]march-2026'!$A:$A,'[1]march-2026'!$C:$C,0,0)</f>
        <v>48700</v>
      </c>
      <c r="J211">
        <f t="shared" si="689"/>
        <v>8766</v>
      </c>
      <c r="K211">
        <f t="shared" si="626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27"/>
        <v>63810</v>
      </c>
      <c r="O211">
        <f>_xlfn.XLOOKUP(B211,'[1]march-2026'!$A:$A,'[1]march-2026'!$H:$H,0,0)</f>
        <v>5000</v>
      </c>
      <c r="P211">
        <f>_xlfn.XLOOKUP(B211,'[1]march-2026'!$A:$A,'[1]march-2026'!$I:$I,0,0)</f>
        <v>0</v>
      </c>
      <c r="Q211">
        <f t="shared" si="628"/>
        <v>200</v>
      </c>
      <c r="R211">
        <f t="shared" si="629"/>
        <v>58610</v>
      </c>
      <c r="S211">
        <f>_xlfn.XLOOKUP(B211,'[2]april-2026'!$A:$A,'[2]april-2026'!$C:$C,0,0)</f>
        <v>48700</v>
      </c>
      <c r="T211">
        <f t="shared" si="630"/>
        <v>8766</v>
      </c>
      <c r="U211">
        <f t="shared" si="631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32"/>
        <v>63810</v>
      </c>
      <c r="Y211">
        <f>_xlfn.XLOOKUP(B211,'[2]april-2026'!$A:$A,'[2]april-2026'!$H:$H,0,0)</f>
        <v>5000</v>
      </c>
      <c r="Z211">
        <f>_xlfn.XLOOKUP(B211,'[2]april-2026'!$A:$A,'[2]april-2026'!$I:$I,0,0)</f>
        <v>0</v>
      </c>
      <c r="AA211">
        <f t="shared" si="633"/>
        <v>200</v>
      </c>
      <c r="AB211">
        <f t="shared" si="634"/>
        <v>58610</v>
      </c>
      <c r="AC211">
        <f>_xlfn.XLOOKUP(B211,'[3]may-2026'!$A:$A,'[3]may-2026'!$C:$C,0,0)</f>
        <v>48700</v>
      </c>
      <c r="AD211">
        <f t="shared" si="635"/>
        <v>8766</v>
      </c>
      <c r="AE211">
        <f t="shared" si="636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37"/>
        <v>63810</v>
      </c>
      <c r="AI211">
        <f>_xlfn.XLOOKUP(B211,'[3]may-2026'!$A:$A,'[3]may-2026'!$H:$H,0,0)</f>
        <v>5000</v>
      </c>
      <c r="AJ211">
        <f>_xlfn.XLOOKUP(B211,'[3]may-2026'!$A:$A,'[3]may-2026'!$I:$I,0,0)</f>
        <v>0</v>
      </c>
      <c r="AK211">
        <f t="shared" si="638"/>
        <v>200</v>
      </c>
      <c r="AL211">
        <f t="shared" si="639"/>
        <v>58610</v>
      </c>
      <c r="AM211">
        <f>_xlfn.XLOOKUP(B211,'[4]june-2026'!$A:$A,'[4]june-2026'!$C:$C,0,0)</f>
        <v>48700</v>
      </c>
      <c r="AN211">
        <f t="shared" si="640"/>
        <v>8766</v>
      </c>
      <c r="AO211">
        <f t="shared" si="641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42"/>
        <v>63810</v>
      </c>
      <c r="AS211">
        <f>_xlfn.XLOOKUP(B211,'[4]june-2026'!$A:$A,'[4]june-2026'!$H:$H,0,0)</f>
        <v>5000</v>
      </c>
      <c r="AT211">
        <f>_xlfn.XLOOKUP(B211,'[4]june-2026'!$A:$A,'[4]june-2026'!$I:$I,0,0)</f>
        <v>0</v>
      </c>
      <c r="AU211">
        <f t="shared" si="643"/>
        <v>200</v>
      </c>
      <c r="AV211">
        <f t="shared" si="644"/>
        <v>58610</v>
      </c>
      <c r="AW211">
        <f>_xlfn.XLOOKUP(B211,'[5]july-2026'!$A:$A,'[5]july-2026'!$C:$C,0,0)</f>
        <v>50200</v>
      </c>
      <c r="AX211">
        <f t="shared" si="645"/>
        <v>9036</v>
      </c>
      <c r="AY211">
        <v>209</v>
      </c>
      <c r="AZ211">
        <f t="shared" si="646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47"/>
        <v>65969</v>
      </c>
      <c r="BD211">
        <f>_xlfn.XLOOKUP(B211,'[5]july-2026'!$A:$A,'[5]july-2026'!$H:$H,0,0)</f>
        <v>5000</v>
      </c>
      <c r="BE211">
        <f>_xlfn.XLOOKUP(B211,'[5]july-2026'!$A:$A,'[5]july-2026'!$I:$I,0,0)</f>
        <v>0</v>
      </c>
      <c r="BF211">
        <f t="shared" si="648"/>
        <v>200</v>
      </c>
      <c r="BG211">
        <f t="shared" si="649"/>
        <v>60769</v>
      </c>
      <c r="BH211">
        <f>_xlfn.XLOOKUP(B211,'[6]august-2026'!$A:$A,'[6]august-2026'!$C:$C,0,0)</f>
        <v>50200</v>
      </c>
      <c r="BI211">
        <f t="shared" si="650"/>
        <v>9036</v>
      </c>
      <c r="BJ211">
        <f t="shared" si="651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52"/>
        <v>65760</v>
      </c>
      <c r="BN211">
        <f>_xlfn.XLOOKUP(B211,'[6]august-2026'!$A:$A,'[6]august-2026'!$H:$H,0,0)</f>
        <v>5000</v>
      </c>
      <c r="BO211">
        <f>_xlfn.XLOOKUP(B211,'[6]august-2026'!$A:$A,'[6]august-2026'!$I:$I,0,0)</f>
        <v>0</v>
      </c>
      <c r="BP211">
        <f t="shared" si="653"/>
        <v>200</v>
      </c>
      <c r="BQ211">
        <f t="shared" si="654"/>
        <v>60560</v>
      </c>
      <c r="BR211">
        <f>_xlfn.XLOOKUP(B211,'[7]september-2026'!$A:$A,'[7]september-2026'!$C:$C,0,0)</f>
        <v>50200</v>
      </c>
      <c r="BS211">
        <f t="shared" si="655"/>
        <v>9036</v>
      </c>
      <c r="BT211">
        <f t="shared" si="656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57"/>
        <v>65760</v>
      </c>
      <c r="BX211">
        <f>_xlfn.XLOOKUP(B211,'[7]september-2026'!$A:$A,'[7]september-2026'!$H:$H,0,0)</f>
        <v>5000</v>
      </c>
      <c r="BY211">
        <f>_xlfn.XLOOKUP(B211,'[7]september-2026'!$A:$A,'[7]september-2026'!$I:$I,0,0)</f>
        <v>0</v>
      </c>
      <c r="BZ211">
        <f t="shared" si="658"/>
        <v>200</v>
      </c>
      <c r="CA211">
        <f t="shared" si="659"/>
        <v>60560</v>
      </c>
      <c r="CB211">
        <f>_xlfn.XLOOKUP(B211,'[8]october-2026'!$A:$A,'[8]october-2026'!$C:$C,0,0)</f>
        <v>50200</v>
      </c>
      <c r="CC211">
        <f t="shared" si="660"/>
        <v>9036</v>
      </c>
      <c r="CD211">
        <f t="shared" si="661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62"/>
        <v>65760</v>
      </c>
      <c r="CH211">
        <f>_xlfn.XLOOKUP(B211,'[8]october-2026'!$A:$A,'[8]october-2026'!$H:$H,0,0)</f>
        <v>5000</v>
      </c>
      <c r="CI211">
        <f>_xlfn.XLOOKUP(B211,'[8]october-2026'!$A:$A,'[8]october-2026'!$I:$I,0,0)</f>
        <v>0</v>
      </c>
      <c r="CJ211">
        <f t="shared" si="663"/>
        <v>200</v>
      </c>
      <c r="CK211">
        <f t="shared" si="664"/>
        <v>60560</v>
      </c>
      <c r="CL211">
        <f>_xlfn.XLOOKUP(B211,'[9]november-2026'!$A:$A,'[9]november-2026'!$C:$C,0,0)</f>
        <v>50200</v>
      </c>
      <c r="CM211">
        <f t="shared" si="665"/>
        <v>9036</v>
      </c>
      <c r="CN211">
        <f t="shared" si="666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67"/>
        <v>65760</v>
      </c>
      <c r="CR211">
        <f>_xlfn.XLOOKUP(B211,'[9]november-2026'!$A:$A,'[9]november-2026'!$H:$H,0,0)</f>
        <v>5000</v>
      </c>
      <c r="CS211">
        <f>_xlfn.XLOOKUP(B211,'[9]november-2026'!$A:$A,'[9]november-2026'!$I:$I,0,0)</f>
        <v>0</v>
      </c>
      <c r="CT211">
        <f t="shared" si="668"/>
        <v>200</v>
      </c>
      <c r="CU211">
        <f t="shared" si="669"/>
        <v>60560</v>
      </c>
      <c r="CV211">
        <f>_xlfn.XLOOKUP(B211,'[10]december-2026'!$A:$A,'[10]december-2026'!$C:$C,0,0)</f>
        <v>50200</v>
      </c>
      <c r="CW211">
        <f t="shared" si="670"/>
        <v>9036</v>
      </c>
      <c r="CX211">
        <f t="shared" si="671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72"/>
        <v>65760</v>
      </c>
      <c r="DB211">
        <f>_xlfn.XLOOKUP(B211,'[10]december-2026'!$A:$A,'[10]december-2026'!$H:$H,0,0)</f>
        <v>5000</v>
      </c>
      <c r="DC211">
        <f>_xlfn.XLOOKUP(B211,'[10]december-2026'!$A:$A,'[10]december-2026'!$I:$I,0,0)</f>
        <v>0</v>
      </c>
      <c r="DD211">
        <f t="shared" si="673"/>
        <v>200</v>
      </c>
      <c r="DE211">
        <f t="shared" si="674"/>
        <v>60560</v>
      </c>
      <c r="DF211">
        <f xml:space="preserve"> _xlfn.XLOOKUP(B211,
'[11]january-2027'!$A:$A,
'[11]january-2027'!$C:$C,
0,0)</f>
        <v>50200</v>
      </c>
      <c r="DG211">
        <f t="shared" si="675"/>
        <v>9036</v>
      </c>
      <c r="DH211">
        <f t="shared" si="676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77"/>
        <v>65760</v>
      </c>
      <c r="DL211">
        <f xml:space="preserve"> _xlfn.XLOOKUP(B211,
'[11]january-2027'!$A:$A,
'[11]january-2027'!$H:$H,
0,0)</f>
        <v>5000</v>
      </c>
      <c r="DM211">
        <f xml:space="preserve"> _xlfn.XLOOKUP(B211,
'[11]january-2027'!$A:$A,
'[11]january-2027'!$I:$I,
0,0)</f>
        <v>0</v>
      </c>
      <c r="DN211">
        <f t="shared" si="678"/>
        <v>200</v>
      </c>
      <c r="DO211">
        <f t="shared" si="679"/>
        <v>60560</v>
      </c>
      <c r="DP211">
        <f xml:space="preserve"> _xlfn.XLOOKUP(B211,
'[12]february-2027'!$A:$A,
'[12]february-2027'!$C:$C,
0,0)</f>
        <v>50200</v>
      </c>
      <c r="DQ211">
        <f t="shared" si="680"/>
        <v>9036</v>
      </c>
      <c r="DR211">
        <f t="shared" si="681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82"/>
        <v>65760</v>
      </c>
      <c r="DV211">
        <f xml:space="preserve"> _xlfn.XLOOKUP(B211,
'[12]february-2027'!$A:$A,
'[12]february-2027'!$H:$H,
0,0)</f>
        <v>5000</v>
      </c>
      <c r="DW211">
        <f xml:space="preserve"> _xlfn.XLOOKUP(B211,
'[12]february-2027'!$A:$A,
'[12]february-2027'!$I:$I,
0,0)</f>
        <v>0</v>
      </c>
      <c r="DX211">
        <f t="shared" si="683"/>
        <v>200</v>
      </c>
      <c r="DY211">
        <f t="shared" si="684"/>
        <v>60560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85"/>
        <v>0</v>
      </c>
      <c r="EM211">
        <f t="shared" si="686"/>
        <v>788329</v>
      </c>
      <c r="EN211">
        <f t="shared" si="687"/>
        <v>2400</v>
      </c>
      <c r="EO211">
        <f t="shared" si="688"/>
        <v>50000</v>
      </c>
      <c r="EP211">
        <v>0</v>
      </c>
      <c r="EQ211">
        <f t="shared" si="690"/>
        <v>735929</v>
      </c>
      <c r="ER211">
        <f t="shared" si="691"/>
        <v>60000</v>
      </c>
      <c r="ES211">
        <f t="shared" si="692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693"/>
        <v>60000</v>
      </c>
      <c r="FE211">
        <f t="shared" si="694"/>
        <v>60000</v>
      </c>
      <c r="FF211">
        <f t="shared" si="695"/>
        <v>675929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>SUM(FG211:FM211)+(IF(F211="YES",50000,0))</f>
        <v>0</v>
      </c>
      <c r="FO211">
        <f t="shared" si="696"/>
        <v>675929</v>
      </c>
      <c r="FP211">
        <f t="shared" si="697"/>
        <v>12500</v>
      </c>
      <c r="FQ211">
        <f t="shared" si="698"/>
        <v>35186</v>
      </c>
      <c r="FR211">
        <f t="shared" si="699"/>
        <v>47686</v>
      </c>
      <c r="FS211">
        <f t="shared" si="700"/>
        <v>47686</v>
      </c>
      <c r="FT211">
        <f t="shared" si="701"/>
        <v>1907.44</v>
      </c>
      <c r="FU211">
        <f t="shared" si="702"/>
        <v>49593</v>
      </c>
      <c r="FV211">
        <v>0</v>
      </c>
      <c r="FW211">
        <f t="shared" si="703"/>
        <v>49593</v>
      </c>
      <c r="FX211" t="b">
        <f t="shared" si="704"/>
        <v>1</v>
      </c>
      <c r="FY211">
        <f t="shared" ca="1" si="705"/>
        <v>598</v>
      </c>
      <c r="FZ211">
        <f t="shared" ca="1" si="706"/>
        <v>788927</v>
      </c>
      <c r="GA211">
        <f t="shared" si="707"/>
        <v>75000</v>
      </c>
      <c r="GB211">
        <f t="shared" ca="1" si="708"/>
        <v>713927</v>
      </c>
      <c r="GC211">
        <f t="shared" ca="1" si="709"/>
        <v>0</v>
      </c>
      <c r="GD211">
        <f t="shared" ca="1" si="710"/>
        <v>0</v>
      </c>
      <c r="GE211">
        <f t="shared" ca="1" si="711"/>
        <v>0</v>
      </c>
      <c r="GF211">
        <f t="shared" ca="1" si="712"/>
        <v>0</v>
      </c>
      <c r="GG211">
        <f t="shared" ca="1" si="713"/>
        <v>0</v>
      </c>
      <c r="GH211">
        <f t="shared" ca="1" si="714"/>
        <v>0</v>
      </c>
      <c r="GI211">
        <f ca="1">IF(GB211&gt;1200000,GB211-1200000-IF(F211="YES",50000,0)-GG211,0)</f>
        <v>0</v>
      </c>
      <c r="GJ211">
        <f t="shared" ca="1" si="715"/>
        <v>0</v>
      </c>
      <c r="GK211">
        <f t="shared" ca="1" si="716"/>
        <v>0</v>
      </c>
      <c r="GL211">
        <f t="shared" ca="1" si="717"/>
        <v>0</v>
      </c>
      <c r="GM211">
        <f t="shared" ca="1" si="718"/>
        <v>313927</v>
      </c>
      <c r="GN211">
        <f t="shared" ca="1" si="719"/>
        <v>15696.35</v>
      </c>
      <c r="GO211">
        <f t="shared" ca="1" si="720"/>
        <v>15696</v>
      </c>
      <c r="GP211">
        <f t="shared" ca="1" si="721"/>
        <v>0</v>
      </c>
      <c r="GQ211">
        <f t="shared" ca="1" si="722"/>
        <v>0</v>
      </c>
      <c r="GR211">
        <f t="shared" ca="1" si="723"/>
        <v>15696</v>
      </c>
      <c r="GS211">
        <f t="shared" ca="1" si="724"/>
        <v>0</v>
      </c>
      <c r="GT211" t="b">
        <f t="shared" ca="1" si="725"/>
        <v>0</v>
      </c>
      <c r="GU211">
        <f t="shared" ca="1" si="726"/>
        <v>0</v>
      </c>
      <c r="GV211">
        <f t="shared" ca="1" si="727"/>
        <v>15696</v>
      </c>
      <c r="GW211">
        <f t="shared" ca="1" si="728"/>
        <v>0</v>
      </c>
      <c r="GX211">
        <f t="shared" ca="1" si="729"/>
        <v>0</v>
      </c>
      <c r="GY211">
        <f t="shared" ca="1" si="730"/>
        <v>0</v>
      </c>
    </row>
    <row r="212" spans="1:207" x14ac:dyDescent="0.25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25"/>
        <v>6800</v>
      </c>
      <c r="I212">
        <f>_xlfn.XLOOKUP(B212,'[1]march-2026'!$A:$A,'[1]march-2026'!$C:$C,0,0)</f>
        <v>34500</v>
      </c>
      <c r="J212">
        <f t="shared" si="689"/>
        <v>6210</v>
      </c>
      <c r="K212">
        <f t="shared" si="626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27"/>
        <v>45350</v>
      </c>
      <c r="O212">
        <f>_xlfn.XLOOKUP(B212,'[1]march-2026'!$A:$A,'[1]march-2026'!$H:$H,0,0)</f>
        <v>3000</v>
      </c>
      <c r="P212">
        <f>_xlfn.XLOOKUP(B212,'[1]march-2026'!$A:$A,'[1]march-2026'!$I:$I,0,0)</f>
        <v>0</v>
      </c>
      <c r="Q212">
        <f t="shared" si="628"/>
        <v>200</v>
      </c>
      <c r="R212">
        <f t="shared" si="629"/>
        <v>42150</v>
      </c>
      <c r="S212">
        <f>_xlfn.XLOOKUP(B212,'[2]april-2026'!$A:$A,'[2]april-2026'!$C:$C,0,0)</f>
        <v>34500</v>
      </c>
      <c r="T212">
        <f t="shared" si="630"/>
        <v>6210</v>
      </c>
      <c r="U212">
        <f t="shared" si="631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32"/>
        <v>45350</v>
      </c>
      <c r="Y212">
        <f>_xlfn.XLOOKUP(B212,'[2]april-2026'!$A:$A,'[2]april-2026'!$H:$H,0,0)</f>
        <v>3000</v>
      </c>
      <c r="Z212">
        <f>_xlfn.XLOOKUP(B212,'[2]april-2026'!$A:$A,'[2]april-2026'!$I:$I,0,0)</f>
        <v>0</v>
      </c>
      <c r="AA212">
        <f t="shared" si="633"/>
        <v>200</v>
      </c>
      <c r="AB212">
        <f t="shared" si="634"/>
        <v>42150</v>
      </c>
      <c r="AC212">
        <f>_xlfn.XLOOKUP(B212,'[3]may-2026'!$A:$A,'[3]may-2026'!$C:$C,0,0)</f>
        <v>34500</v>
      </c>
      <c r="AD212">
        <f t="shared" si="635"/>
        <v>6210</v>
      </c>
      <c r="AE212">
        <f t="shared" si="636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37"/>
        <v>45350</v>
      </c>
      <c r="AI212">
        <f>_xlfn.XLOOKUP(B212,'[3]may-2026'!$A:$A,'[3]may-2026'!$H:$H,0,0)</f>
        <v>3000</v>
      </c>
      <c r="AJ212">
        <f>_xlfn.XLOOKUP(B212,'[3]may-2026'!$A:$A,'[3]may-2026'!$I:$I,0,0)</f>
        <v>0</v>
      </c>
      <c r="AK212">
        <f t="shared" si="638"/>
        <v>200</v>
      </c>
      <c r="AL212">
        <f t="shared" si="639"/>
        <v>42150</v>
      </c>
      <c r="AM212">
        <f>_xlfn.XLOOKUP(B212,'[4]june-2026'!$A:$A,'[4]june-2026'!$C:$C,0,0)</f>
        <v>34500</v>
      </c>
      <c r="AN212">
        <f t="shared" si="640"/>
        <v>6210</v>
      </c>
      <c r="AO212">
        <f t="shared" si="641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42"/>
        <v>45350</v>
      </c>
      <c r="AS212">
        <f>_xlfn.XLOOKUP(B212,'[4]june-2026'!$A:$A,'[4]june-2026'!$H:$H,0,0)</f>
        <v>3000</v>
      </c>
      <c r="AT212">
        <f>_xlfn.XLOOKUP(B212,'[4]june-2026'!$A:$A,'[4]june-2026'!$I:$I,0,0)</f>
        <v>0</v>
      </c>
      <c r="AU212">
        <f t="shared" si="643"/>
        <v>200</v>
      </c>
      <c r="AV212">
        <f t="shared" si="644"/>
        <v>42150</v>
      </c>
      <c r="AW212">
        <f>_xlfn.XLOOKUP(B212,'[5]july-2026'!$A:$A,'[5]july-2026'!$C:$C,0,0)</f>
        <v>35500</v>
      </c>
      <c r="AX212">
        <f t="shared" si="645"/>
        <v>6390</v>
      </c>
      <c r="AY212">
        <v>210</v>
      </c>
      <c r="AZ212">
        <f t="shared" si="646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47"/>
        <v>46860</v>
      </c>
      <c r="BD212">
        <f>_xlfn.XLOOKUP(B212,'[5]july-2026'!$A:$A,'[5]july-2026'!$H:$H,0,0)</f>
        <v>3000</v>
      </c>
      <c r="BE212">
        <f>_xlfn.XLOOKUP(B212,'[5]july-2026'!$A:$A,'[5]july-2026'!$I:$I,0,0)</f>
        <v>0</v>
      </c>
      <c r="BF212">
        <f t="shared" si="648"/>
        <v>200</v>
      </c>
      <c r="BG212">
        <f t="shared" si="649"/>
        <v>43660</v>
      </c>
      <c r="BH212">
        <f>_xlfn.XLOOKUP(B212,'[6]august-2026'!$A:$A,'[6]august-2026'!$C:$C,0,0)</f>
        <v>35500</v>
      </c>
      <c r="BI212">
        <f t="shared" si="650"/>
        <v>6390</v>
      </c>
      <c r="BJ212">
        <f t="shared" si="651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52"/>
        <v>46650</v>
      </c>
      <c r="BN212">
        <f>_xlfn.XLOOKUP(B212,'[6]august-2026'!$A:$A,'[6]august-2026'!$H:$H,0,0)</f>
        <v>3000</v>
      </c>
      <c r="BO212">
        <f>_xlfn.XLOOKUP(B212,'[6]august-2026'!$A:$A,'[6]august-2026'!$I:$I,0,0)</f>
        <v>0</v>
      </c>
      <c r="BP212">
        <f t="shared" si="653"/>
        <v>200</v>
      </c>
      <c r="BQ212">
        <f t="shared" si="654"/>
        <v>43450</v>
      </c>
      <c r="BR212">
        <f>_xlfn.XLOOKUP(B212,'[7]september-2026'!$A:$A,'[7]september-2026'!$C:$C,0,0)</f>
        <v>35500</v>
      </c>
      <c r="BS212">
        <f t="shared" si="655"/>
        <v>6390</v>
      </c>
      <c r="BT212">
        <f t="shared" si="656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57"/>
        <v>46650</v>
      </c>
      <c r="BX212">
        <f>_xlfn.XLOOKUP(B212,'[7]september-2026'!$A:$A,'[7]september-2026'!$H:$H,0,0)</f>
        <v>3000</v>
      </c>
      <c r="BY212">
        <f>_xlfn.XLOOKUP(B212,'[7]september-2026'!$A:$A,'[7]september-2026'!$I:$I,0,0)</f>
        <v>0</v>
      </c>
      <c r="BZ212">
        <f t="shared" si="658"/>
        <v>200</v>
      </c>
      <c r="CA212">
        <f t="shared" si="659"/>
        <v>43450</v>
      </c>
      <c r="CB212">
        <f>_xlfn.XLOOKUP(B212,'[8]october-2026'!$A:$A,'[8]october-2026'!$C:$C,0,0)</f>
        <v>35500</v>
      </c>
      <c r="CC212">
        <f t="shared" si="660"/>
        <v>6390</v>
      </c>
      <c r="CD212">
        <f t="shared" si="661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62"/>
        <v>46650</v>
      </c>
      <c r="CH212">
        <f>_xlfn.XLOOKUP(B212,'[8]october-2026'!$A:$A,'[8]october-2026'!$H:$H,0,0)</f>
        <v>3000</v>
      </c>
      <c r="CI212">
        <f>_xlfn.XLOOKUP(B212,'[8]october-2026'!$A:$A,'[8]october-2026'!$I:$I,0,0)</f>
        <v>0</v>
      </c>
      <c r="CJ212">
        <f t="shared" si="663"/>
        <v>200</v>
      </c>
      <c r="CK212">
        <f t="shared" si="664"/>
        <v>43450</v>
      </c>
      <c r="CL212">
        <f>_xlfn.XLOOKUP(B212,'[9]november-2026'!$A:$A,'[9]november-2026'!$C:$C,0,0)</f>
        <v>35500</v>
      </c>
      <c r="CM212">
        <f t="shared" si="665"/>
        <v>6390</v>
      </c>
      <c r="CN212">
        <f t="shared" si="666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67"/>
        <v>46650</v>
      </c>
      <c r="CR212">
        <f>_xlfn.XLOOKUP(B212,'[9]november-2026'!$A:$A,'[9]november-2026'!$H:$H,0,0)</f>
        <v>3000</v>
      </c>
      <c r="CS212">
        <f>_xlfn.XLOOKUP(B212,'[9]november-2026'!$A:$A,'[9]november-2026'!$I:$I,0,0)</f>
        <v>0</v>
      </c>
      <c r="CT212">
        <f t="shared" si="668"/>
        <v>200</v>
      </c>
      <c r="CU212">
        <f t="shared" si="669"/>
        <v>43450</v>
      </c>
      <c r="CV212">
        <f>_xlfn.XLOOKUP(B212,'[10]december-2026'!$A:$A,'[10]december-2026'!$C:$C,0,0)</f>
        <v>35500</v>
      </c>
      <c r="CW212">
        <f t="shared" si="670"/>
        <v>6390</v>
      </c>
      <c r="CX212">
        <f t="shared" si="671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72"/>
        <v>46650</v>
      </c>
      <c r="DB212">
        <f>_xlfn.XLOOKUP(B212,'[10]december-2026'!$A:$A,'[10]december-2026'!$H:$H,0,0)</f>
        <v>3000</v>
      </c>
      <c r="DC212">
        <f>_xlfn.XLOOKUP(B212,'[10]december-2026'!$A:$A,'[10]december-2026'!$I:$I,0,0)</f>
        <v>0</v>
      </c>
      <c r="DD212">
        <f t="shared" si="673"/>
        <v>200</v>
      </c>
      <c r="DE212">
        <f t="shared" si="674"/>
        <v>43450</v>
      </c>
      <c r="DF212">
        <f xml:space="preserve"> _xlfn.XLOOKUP(B212,
'[11]january-2027'!$A:$A,
'[11]january-2027'!$C:$C,
0,0)</f>
        <v>35500</v>
      </c>
      <c r="DG212">
        <f t="shared" si="675"/>
        <v>6390</v>
      </c>
      <c r="DH212">
        <f t="shared" si="676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77"/>
        <v>46650</v>
      </c>
      <c r="DL212">
        <f xml:space="preserve"> _xlfn.XLOOKUP(B212,
'[11]january-2027'!$A:$A,
'[11]january-2027'!$H:$H,
0,0)</f>
        <v>3000</v>
      </c>
      <c r="DM212">
        <f xml:space="preserve"> _xlfn.XLOOKUP(B212,
'[11]january-2027'!$A:$A,
'[11]january-2027'!$I:$I,
0,0)</f>
        <v>0</v>
      </c>
      <c r="DN212">
        <f t="shared" si="678"/>
        <v>200</v>
      </c>
      <c r="DO212">
        <f t="shared" si="679"/>
        <v>43450</v>
      </c>
      <c r="DP212">
        <f xml:space="preserve"> _xlfn.XLOOKUP(B212,
'[12]february-2027'!$A:$A,
'[12]february-2027'!$C:$C,
0,0)</f>
        <v>35500</v>
      </c>
      <c r="DQ212">
        <f t="shared" si="680"/>
        <v>6390</v>
      </c>
      <c r="DR212">
        <f t="shared" si="681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82"/>
        <v>46650</v>
      </c>
      <c r="DV212">
        <f xml:space="preserve"> _xlfn.XLOOKUP(B212,
'[12]february-2027'!$A:$A,
'[12]february-2027'!$H:$H,
0,0)</f>
        <v>3000</v>
      </c>
      <c r="DW212">
        <f xml:space="preserve"> _xlfn.XLOOKUP(B212,
'[12]february-2027'!$A:$A,
'[12]february-2027'!$I:$I,
0,0)</f>
        <v>0</v>
      </c>
      <c r="DX212">
        <f t="shared" si="683"/>
        <v>200</v>
      </c>
      <c r="DY212">
        <f t="shared" si="684"/>
        <v>43450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85"/>
        <v>0</v>
      </c>
      <c r="EM212">
        <f t="shared" si="686"/>
        <v>561610</v>
      </c>
      <c r="EN212">
        <f t="shared" si="687"/>
        <v>2400</v>
      </c>
      <c r="EO212">
        <f t="shared" si="688"/>
        <v>50000</v>
      </c>
      <c r="EP212">
        <v>0</v>
      </c>
      <c r="EQ212">
        <f t="shared" si="690"/>
        <v>509210</v>
      </c>
      <c r="ER212">
        <f t="shared" si="691"/>
        <v>36000</v>
      </c>
      <c r="ES212">
        <f t="shared" si="692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693"/>
        <v>36000</v>
      </c>
      <c r="FE212">
        <f t="shared" si="694"/>
        <v>36000</v>
      </c>
      <c r="FF212">
        <f t="shared" si="695"/>
        <v>473210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>SUM(FG212:FM212)+(IF(F212="YES",50000,0))</f>
        <v>0</v>
      </c>
      <c r="FO212">
        <f t="shared" si="696"/>
        <v>473210</v>
      </c>
      <c r="FP212">
        <f t="shared" si="697"/>
        <v>11161</v>
      </c>
      <c r="FQ212">
        <f t="shared" si="698"/>
        <v>0</v>
      </c>
      <c r="FR212">
        <f t="shared" si="699"/>
        <v>11161</v>
      </c>
      <c r="FS212">
        <f t="shared" si="700"/>
        <v>0</v>
      </c>
      <c r="FT212">
        <f t="shared" si="701"/>
        <v>0</v>
      </c>
      <c r="FU212">
        <f t="shared" si="702"/>
        <v>0</v>
      </c>
      <c r="FV212">
        <v>0</v>
      </c>
      <c r="FW212">
        <f t="shared" si="703"/>
        <v>0</v>
      </c>
      <c r="FX212" t="b">
        <f t="shared" si="704"/>
        <v>1</v>
      </c>
      <c r="FY212">
        <f t="shared" ca="1" si="705"/>
        <v>898</v>
      </c>
      <c r="FZ212">
        <f t="shared" ca="1" si="706"/>
        <v>562508</v>
      </c>
      <c r="GA212">
        <f t="shared" si="707"/>
        <v>75000</v>
      </c>
      <c r="GB212">
        <f t="shared" ca="1" si="708"/>
        <v>487508</v>
      </c>
      <c r="GC212">
        <f t="shared" ca="1" si="709"/>
        <v>0</v>
      </c>
      <c r="GD212">
        <f t="shared" ca="1" si="710"/>
        <v>0</v>
      </c>
      <c r="GE212">
        <f t="shared" ca="1" si="711"/>
        <v>0</v>
      </c>
      <c r="GF212">
        <f t="shared" ca="1" si="712"/>
        <v>0</v>
      </c>
      <c r="GG212">
        <f t="shared" ca="1" si="713"/>
        <v>0</v>
      </c>
      <c r="GH212">
        <f t="shared" ca="1" si="714"/>
        <v>0</v>
      </c>
      <c r="GI212">
        <f ca="1">IF(GB212&gt;1200000,GB212-1200000-IF(F212="YES",50000,0)-GG212,0)</f>
        <v>0</v>
      </c>
      <c r="GJ212">
        <f t="shared" ca="1" si="715"/>
        <v>0</v>
      </c>
      <c r="GK212">
        <f t="shared" ca="1" si="716"/>
        <v>0</v>
      </c>
      <c r="GL212">
        <f t="shared" ca="1" si="717"/>
        <v>0</v>
      </c>
      <c r="GM212">
        <f t="shared" ca="1" si="718"/>
        <v>87508</v>
      </c>
      <c r="GN212">
        <f t="shared" ca="1" si="719"/>
        <v>4375.4000000000005</v>
      </c>
      <c r="GO212">
        <f t="shared" ca="1" si="720"/>
        <v>4375</v>
      </c>
      <c r="GP212">
        <f t="shared" ca="1" si="721"/>
        <v>0</v>
      </c>
      <c r="GQ212">
        <f t="shared" ca="1" si="722"/>
        <v>0</v>
      </c>
      <c r="GR212">
        <f t="shared" ca="1" si="723"/>
        <v>4375</v>
      </c>
      <c r="GS212">
        <f t="shared" ca="1" si="724"/>
        <v>0</v>
      </c>
      <c r="GT212" t="b">
        <f t="shared" ca="1" si="725"/>
        <v>0</v>
      </c>
      <c r="GU212">
        <f t="shared" ca="1" si="726"/>
        <v>0</v>
      </c>
      <c r="GV212">
        <f t="shared" ca="1" si="727"/>
        <v>4375</v>
      </c>
      <c r="GW212">
        <f t="shared" ca="1" si="728"/>
        <v>0</v>
      </c>
      <c r="GX212">
        <f t="shared" ca="1" si="729"/>
        <v>0</v>
      </c>
      <c r="GY212">
        <f t="shared" ca="1" si="730"/>
        <v>0</v>
      </c>
    </row>
    <row r="213" spans="1:207" x14ac:dyDescent="0.25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25"/>
        <v>6800</v>
      </c>
      <c r="I213">
        <f>_xlfn.XLOOKUP(B213,'[1]march-2026'!$A:$A,'[1]march-2026'!$C:$C,0,0)</f>
        <v>32500</v>
      </c>
      <c r="J213">
        <f t="shared" si="689"/>
        <v>5850</v>
      </c>
      <c r="K213">
        <f t="shared" si="626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27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28"/>
        <v>200</v>
      </c>
      <c r="R213">
        <f t="shared" si="629"/>
        <v>40550</v>
      </c>
      <c r="S213">
        <f>_xlfn.XLOOKUP(B213,'[2]april-2026'!$A:$A,'[2]april-2026'!$C:$C,0,0)</f>
        <v>32500</v>
      </c>
      <c r="T213">
        <f t="shared" si="630"/>
        <v>5850</v>
      </c>
      <c r="U213">
        <f t="shared" si="631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32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33"/>
        <v>200</v>
      </c>
      <c r="AB213">
        <f t="shared" si="634"/>
        <v>40550</v>
      </c>
      <c r="AC213">
        <f>_xlfn.XLOOKUP(B213,'[3]may-2026'!$A:$A,'[3]may-2026'!$C:$C,0,0)</f>
        <v>32500</v>
      </c>
      <c r="AD213">
        <f t="shared" si="635"/>
        <v>5850</v>
      </c>
      <c r="AE213">
        <f t="shared" si="636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37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38"/>
        <v>200</v>
      </c>
      <c r="AL213">
        <f t="shared" si="639"/>
        <v>40550</v>
      </c>
      <c r="AM213">
        <f>_xlfn.XLOOKUP(B213,'[4]june-2026'!$A:$A,'[4]june-2026'!$C:$C,0,0)</f>
        <v>32500</v>
      </c>
      <c r="AN213">
        <f t="shared" si="640"/>
        <v>5850</v>
      </c>
      <c r="AO213">
        <f t="shared" si="641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42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43"/>
        <v>200</v>
      </c>
      <c r="AV213">
        <f t="shared" si="644"/>
        <v>40550</v>
      </c>
      <c r="AW213">
        <f>_xlfn.XLOOKUP(B213,'[5]july-2026'!$A:$A,'[5]july-2026'!$C:$C,0,0)</f>
        <v>33500</v>
      </c>
      <c r="AX213">
        <f t="shared" si="645"/>
        <v>6030</v>
      </c>
      <c r="AY213">
        <v>211</v>
      </c>
      <c r="AZ213">
        <f t="shared" si="646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47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48"/>
        <v>200</v>
      </c>
      <c r="BG213">
        <f t="shared" si="649"/>
        <v>42061</v>
      </c>
      <c r="BH213">
        <f>_xlfn.XLOOKUP(B213,'[6]august-2026'!$A:$A,'[6]august-2026'!$C:$C,0,0)</f>
        <v>33500</v>
      </c>
      <c r="BI213">
        <f t="shared" si="650"/>
        <v>6030</v>
      </c>
      <c r="BJ213">
        <f t="shared" si="651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52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53"/>
        <v>200</v>
      </c>
      <c r="BQ213">
        <f t="shared" si="654"/>
        <v>41850</v>
      </c>
      <c r="BR213">
        <f>_xlfn.XLOOKUP(B213,'[7]september-2026'!$A:$A,'[7]september-2026'!$C:$C,0,0)</f>
        <v>33500</v>
      </c>
      <c r="BS213">
        <f t="shared" si="655"/>
        <v>6030</v>
      </c>
      <c r="BT213">
        <f t="shared" si="656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57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58"/>
        <v>200</v>
      </c>
      <c r="CA213">
        <f t="shared" si="659"/>
        <v>41850</v>
      </c>
      <c r="CB213">
        <f>_xlfn.XLOOKUP(B213,'[8]october-2026'!$A:$A,'[8]october-2026'!$C:$C,0,0)</f>
        <v>33500</v>
      </c>
      <c r="CC213">
        <f t="shared" si="660"/>
        <v>6030</v>
      </c>
      <c r="CD213">
        <f t="shared" si="661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62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63"/>
        <v>200</v>
      </c>
      <c r="CK213">
        <f t="shared" si="664"/>
        <v>41850</v>
      </c>
      <c r="CL213">
        <f>_xlfn.XLOOKUP(B213,'[9]november-2026'!$A:$A,'[9]november-2026'!$C:$C,0,0)</f>
        <v>33500</v>
      </c>
      <c r="CM213">
        <f t="shared" si="665"/>
        <v>6030</v>
      </c>
      <c r="CN213">
        <f t="shared" si="666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67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68"/>
        <v>200</v>
      </c>
      <c r="CU213">
        <f t="shared" si="669"/>
        <v>41850</v>
      </c>
      <c r="CV213">
        <f>_xlfn.XLOOKUP(B213,'[10]december-2026'!$A:$A,'[10]december-2026'!$C:$C,0,0)</f>
        <v>33500</v>
      </c>
      <c r="CW213">
        <f t="shared" si="670"/>
        <v>6030</v>
      </c>
      <c r="CX213">
        <f t="shared" si="671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72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73"/>
        <v>200</v>
      </c>
      <c r="DE213">
        <f t="shared" si="674"/>
        <v>41850</v>
      </c>
      <c r="DF213">
        <f xml:space="preserve"> _xlfn.XLOOKUP(B213,
'[11]january-2027'!$A:$A,
'[11]january-2027'!$C:$C,
0,0)</f>
        <v>33500</v>
      </c>
      <c r="DG213">
        <f t="shared" si="675"/>
        <v>6030</v>
      </c>
      <c r="DH213">
        <f t="shared" si="676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77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78"/>
        <v>200</v>
      </c>
      <c r="DO213">
        <f t="shared" si="679"/>
        <v>41850</v>
      </c>
      <c r="DP213">
        <f xml:space="preserve"> _xlfn.XLOOKUP(B213,
'[12]february-2027'!$A:$A,
'[12]february-2027'!$C:$C,
0,0)</f>
        <v>33500</v>
      </c>
      <c r="DQ213">
        <f t="shared" si="680"/>
        <v>6030</v>
      </c>
      <c r="DR213">
        <f t="shared" si="681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82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83"/>
        <v>200</v>
      </c>
      <c r="DY213">
        <f t="shared" si="684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85"/>
        <v>0</v>
      </c>
      <c r="EM213">
        <f t="shared" si="686"/>
        <v>530411</v>
      </c>
      <c r="EN213">
        <f t="shared" si="687"/>
        <v>2400</v>
      </c>
      <c r="EO213">
        <f t="shared" si="688"/>
        <v>50000</v>
      </c>
      <c r="EP213">
        <v>0</v>
      </c>
      <c r="EQ213">
        <f t="shared" si="690"/>
        <v>478011</v>
      </c>
      <c r="ER213">
        <f t="shared" si="691"/>
        <v>24000</v>
      </c>
      <c r="ES213">
        <f t="shared" si="692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693"/>
        <v>24000</v>
      </c>
      <c r="FE213">
        <f t="shared" si="694"/>
        <v>24000</v>
      </c>
      <c r="FF213">
        <f t="shared" si="695"/>
        <v>454011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>SUM(FG213:FM213)+(IF(F213="YES",50000,0))</f>
        <v>0</v>
      </c>
      <c r="FO213">
        <f t="shared" si="696"/>
        <v>454011</v>
      </c>
      <c r="FP213">
        <f t="shared" si="697"/>
        <v>10201</v>
      </c>
      <c r="FQ213">
        <f t="shared" si="698"/>
        <v>0</v>
      </c>
      <c r="FR213">
        <f t="shared" si="699"/>
        <v>10201</v>
      </c>
      <c r="FS213">
        <f t="shared" si="700"/>
        <v>0</v>
      </c>
      <c r="FT213">
        <f t="shared" si="701"/>
        <v>0</v>
      </c>
      <c r="FU213">
        <f t="shared" si="702"/>
        <v>0</v>
      </c>
      <c r="FV213">
        <v>0</v>
      </c>
      <c r="FW213">
        <f t="shared" si="703"/>
        <v>0</v>
      </c>
      <c r="FX213" t="b">
        <f t="shared" si="704"/>
        <v>1</v>
      </c>
      <c r="FY213">
        <f t="shared" ca="1" si="705"/>
        <v>877</v>
      </c>
      <c r="FZ213">
        <f t="shared" ca="1" si="706"/>
        <v>531288</v>
      </c>
      <c r="GA213">
        <f t="shared" si="707"/>
        <v>75000</v>
      </c>
      <c r="GB213">
        <f t="shared" ca="1" si="708"/>
        <v>456288</v>
      </c>
      <c r="GC213">
        <f t="shared" ca="1" si="709"/>
        <v>0</v>
      </c>
      <c r="GD213">
        <f t="shared" ca="1" si="710"/>
        <v>0</v>
      </c>
      <c r="GE213">
        <f t="shared" ca="1" si="711"/>
        <v>0</v>
      </c>
      <c r="GF213">
        <f t="shared" ca="1" si="712"/>
        <v>0</v>
      </c>
      <c r="GG213">
        <f t="shared" ca="1" si="713"/>
        <v>0</v>
      </c>
      <c r="GH213">
        <f t="shared" ca="1" si="714"/>
        <v>0</v>
      </c>
      <c r="GI213">
        <f ca="1">IF(GB213&gt;1200000,GB213-1200000-IF(F213="YES",50000,0)-GG213,0)</f>
        <v>0</v>
      </c>
      <c r="GJ213">
        <f t="shared" ca="1" si="715"/>
        <v>0</v>
      </c>
      <c r="GK213">
        <f t="shared" ca="1" si="716"/>
        <v>0</v>
      </c>
      <c r="GL213">
        <f t="shared" ca="1" si="717"/>
        <v>0</v>
      </c>
      <c r="GM213">
        <f t="shared" ca="1" si="718"/>
        <v>56288</v>
      </c>
      <c r="GN213">
        <f t="shared" ca="1" si="719"/>
        <v>2814.4</v>
      </c>
      <c r="GO213">
        <f t="shared" ca="1" si="720"/>
        <v>2814</v>
      </c>
      <c r="GP213">
        <f t="shared" ca="1" si="721"/>
        <v>0</v>
      </c>
      <c r="GQ213">
        <f t="shared" ca="1" si="722"/>
        <v>0</v>
      </c>
      <c r="GR213">
        <f t="shared" ca="1" si="723"/>
        <v>2814</v>
      </c>
      <c r="GS213">
        <f t="shared" ca="1" si="724"/>
        <v>0</v>
      </c>
      <c r="GT213" t="b">
        <f t="shared" ca="1" si="725"/>
        <v>0</v>
      </c>
      <c r="GU213">
        <f t="shared" ca="1" si="726"/>
        <v>0</v>
      </c>
      <c r="GV213">
        <f t="shared" ca="1" si="727"/>
        <v>2814</v>
      </c>
      <c r="GW213">
        <f t="shared" ca="1" si="728"/>
        <v>0</v>
      </c>
      <c r="GX213">
        <f t="shared" ca="1" si="729"/>
        <v>0</v>
      </c>
      <c r="GY213">
        <f t="shared" ca="1" si="730"/>
        <v>0</v>
      </c>
    </row>
    <row r="214" spans="1:207" x14ac:dyDescent="0.25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25"/>
        <v>6800</v>
      </c>
      <c r="I214">
        <f>_xlfn.XLOOKUP(B214,'[1]march-2026'!$A:$A,'[1]march-2026'!$C:$C,0,0)</f>
        <v>48700</v>
      </c>
      <c r="J214">
        <f t="shared" si="689"/>
        <v>8766</v>
      </c>
      <c r="K214">
        <f t="shared" si="626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27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28"/>
        <v>200</v>
      </c>
      <c r="R214">
        <f t="shared" si="629"/>
        <v>59010</v>
      </c>
      <c r="S214">
        <f>_xlfn.XLOOKUP(B214,'[2]april-2026'!$A:$A,'[2]april-2026'!$C:$C,0,0)</f>
        <v>48700</v>
      </c>
      <c r="T214">
        <f t="shared" si="630"/>
        <v>8766</v>
      </c>
      <c r="U214">
        <f t="shared" si="631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32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33"/>
        <v>200</v>
      </c>
      <c r="AB214">
        <f t="shared" si="634"/>
        <v>59010</v>
      </c>
      <c r="AC214">
        <f>_xlfn.XLOOKUP(B214,'[3]may-2026'!$A:$A,'[3]may-2026'!$C:$C,0,0)</f>
        <v>48700</v>
      </c>
      <c r="AD214">
        <f t="shared" si="635"/>
        <v>8766</v>
      </c>
      <c r="AE214">
        <f t="shared" si="636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37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38"/>
        <v>200</v>
      </c>
      <c r="AL214">
        <f t="shared" si="639"/>
        <v>59010</v>
      </c>
      <c r="AM214">
        <f>_xlfn.XLOOKUP(B214,'[4]june-2026'!$A:$A,'[4]june-2026'!$C:$C,0,0)</f>
        <v>48700</v>
      </c>
      <c r="AN214">
        <f t="shared" si="640"/>
        <v>8766</v>
      </c>
      <c r="AO214">
        <f t="shared" si="641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42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43"/>
        <v>200</v>
      </c>
      <c r="AV214">
        <f t="shared" si="644"/>
        <v>59010</v>
      </c>
      <c r="AW214">
        <f>_xlfn.XLOOKUP(B214,'[5]july-2026'!$A:$A,'[5]july-2026'!$C:$C,0,0)</f>
        <v>50200</v>
      </c>
      <c r="AX214">
        <f t="shared" si="645"/>
        <v>9036</v>
      </c>
      <c r="AY214">
        <v>212</v>
      </c>
      <c r="AZ214">
        <f t="shared" si="646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47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48"/>
        <v>200</v>
      </c>
      <c r="BG214">
        <f t="shared" si="649"/>
        <v>61172</v>
      </c>
      <c r="BH214">
        <f>_xlfn.XLOOKUP(B214,'[6]august-2026'!$A:$A,'[6]august-2026'!$C:$C,0,0)</f>
        <v>50200</v>
      </c>
      <c r="BI214">
        <f t="shared" si="650"/>
        <v>9036</v>
      </c>
      <c r="BJ214">
        <f t="shared" si="651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52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53"/>
        <v>200</v>
      </c>
      <c r="BQ214">
        <f t="shared" si="654"/>
        <v>60960</v>
      </c>
      <c r="BR214">
        <f>_xlfn.XLOOKUP(B214,'[7]september-2026'!$A:$A,'[7]september-2026'!$C:$C,0,0)</f>
        <v>50200</v>
      </c>
      <c r="BS214">
        <f t="shared" si="655"/>
        <v>9036</v>
      </c>
      <c r="BT214">
        <f t="shared" si="656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57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58"/>
        <v>200</v>
      </c>
      <c r="CA214">
        <f t="shared" si="659"/>
        <v>60960</v>
      </c>
      <c r="CB214">
        <f>_xlfn.XLOOKUP(B214,'[8]october-2026'!$A:$A,'[8]october-2026'!$C:$C,0,0)</f>
        <v>50200</v>
      </c>
      <c r="CC214">
        <f t="shared" si="660"/>
        <v>9036</v>
      </c>
      <c r="CD214">
        <f t="shared" si="661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62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63"/>
        <v>200</v>
      </c>
      <c r="CK214">
        <f t="shared" si="664"/>
        <v>60960</v>
      </c>
      <c r="CL214">
        <f>_xlfn.XLOOKUP(B214,'[9]november-2026'!$A:$A,'[9]november-2026'!$C:$C,0,0)</f>
        <v>50200</v>
      </c>
      <c r="CM214">
        <f t="shared" si="665"/>
        <v>9036</v>
      </c>
      <c r="CN214">
        <f t="shared" si="666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67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68"/>
        <v>200</v>
      </c>
      <c r="CU214">
        <f t="shared" si="669"/>
        <v>60960</v>
      </c>
      <c r="CV214">
        <f>_xlfn.XLOOKUP(B214,'[10]december-2026'!$A:$A,'[10]december-2026'!$C:$C,0,0)</f>
        <v>50200</v>
      </c>
      <c r="CW214">
        <f t="shared" si="670"/>
        <v>9036</v>
      </c>
      <c r="CX214">
        <f t="shared" si="671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72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73"/>
        <v>200</v>
      </c>
      <c r="DE214">
        <f t="shared" si="674"/>
        <v>60960</v>
      </c>
      <c r="DF214">
        <f xml:space="preserve"> _xlfn.XLOOKUP(B214,
'[11]january-2027'!$A:$A,
'[11]january-2027'!$C:$C,
0,0)</f>
        <v>50200</v>
      </c>
      <c r="DG214">
        <f t="shared" si="675"/>
        <v>9036</v>
      </c>
      <c r="DH214">
        <f t="shared" si="676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77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78"/>
        <v>200</v>
      </c>
      <c r="DO214">
        <f t="shared" si="679"/>
        <v>60960</v>
      </c>
      <c r="DP214">
        <f xml:space="preserve"> _xlfn.XLOOKUP(B214,
'[12]february-2027'!$A:$A,
'[12]february-2027'!$C:$C,
0,0)</f>
        <v>50200</v>
      </c>
      <c r="DQ214">
        <f t="shared" si="680"/>
        <v>9036</v>
      </c>
      <c r="DR214">
        <f t="shared" si="681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82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83"/>
        <v>200</v>
      </c>
      <c r="DY214">
        <f t="shared" si="684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85"/>
        <v>0</v>
      </c>
      <c r="EM214">
        <f t="shared" si="686"/>
        <v>793132</v>
      </c>
      <c r="EN214">
        <f t="shared" si="687"/>
        <v>2400</v>
      </c>
      <c r="EO214">
        <f t="shared" si="688"/>
        <v>50000</v>
      </c>
      <c r="EP214">
        <v>0</v>
      </c>
      <c r="EQ214">
        <f t="shared" si="690"/>
        <v>740732</v>
      </c>
      <c r="ER214">
        <f t="shared" si="691"/>
        <v>60000</v>
      </c>
      <c r="ES214">
        <f t="shared" si="692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693"/>
        <v>60000</v>
      </c>
      <c r="FE214">
        <f t="shared" si="694"/>
        <v>60000</v>
      </c>
      <c r="FF214">
        <f t="shared" si="695"/>
        <v>680732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>SUM(FG214:FM214)+(IF(F214="YES",50000,0))</f>
        <v>0</v>
      </c>
      <c r="FO214">
        <f t="shared" si="696"/>
        <v>680732</v>
      </c>
      <c r="FP214">
        <f t="shared" si="697"/>
        <v>12500</v>
      </c>
      <c r="FQ214">
        <f t="shared" si="698"/>
        <v>36146</v>
      </c>
      <c r="FR214">
        <f t="shared" si="699"/>
        <v>48646</v>
      </c>
      <c r="FS214">
        <f t="shared" si="700"/>
        <v>48646</v>
      </c>
      <c r="FT214">
        <f t="shared" si="701"/>
        <v>1945.8400000000001</v>
      </c>
      <c r="FU214">
        <f t="shared" si="702"/>
        <v>50592</v>
      </c>
      <c r="FV214">
        <v>0</v>
      </c>
      <c r="FW214">
        <f t="shared" si="703"/>
        <v>50592</v>
      </c>
      <c r="FX214" t="b">
        <f t="shared" si="704"/>
        <v>1</v>
      </c>
      <c r="FY214">
        <f t="shared" ca="1" si="705"/>
        <v>750</v>
      </c>
      <c r="FZ214">
        <f t="shared" ca="1" si="706"/>
        <v>793882</v>
      </c>
      <c r="GA214">
        <f t="shared" si="707"/>
        <v>75000</v>
      </c>
      <c r="GB214">
        <f t="shared" ca="1" si="708"/>
        <v>718882</v>
      </c>
      <c r="GC214">
        <f t="shared" ca="1" si="709"/>
        <v>0</v>
      </c>
      <c r="GD214">
        <f t="shared" ca="1" si="710"/>
        <v>0</v>
      </c>
      <c r="GE214">
        <f t="shared" ca="1" si="711"/>
        <v>0</v>
      </c>
      <c r="GF214">
        <f t="shared" ca="1" si="712"/>
        <v>0</v>
      </c>
      <c r="GG214">
        <f t="shared" ca="1" si="713"/>
        <v>0</v>
      </c>
      <c r="GH214">
        <f t="shared" ca="1" si="714"/>
        <v>0</v>
      </c>
      <c r="GI214">
        <f ca="1">IF(GB214&gt;1200000,GB214-1200000-IF(F214="YES",50000,0)-GG214,0)</f>
        <v>0</v>
      </c>
      <c r="GJ214">
        <f t="shared" ca="1" si="715"/>
        <v>0</v>
      </c>
      <c r="GK214">
        <f t="shared" ca="1" si="716"/>
        <v>0</v>
      </c>
      <c r="GL214">
        <f t="shared" ca="1" si="717"/>
        <v>0</v>
      </c>
      <c r="GM214">
        <f t="shared" ca="1" si="718"/>
        <v>318882</v>
      </c>
      <c r="GN214">
        <f t="shared" ca="1" si="719"/>
        <v>15944.1</v>
      </c>
      <c r="GO214">
        <f t="shared" ca="1" si="720"/>
        <v>15944</v>
      </c>
      <c r="GP214">
        <f t="shared" ca="1" si="721"/>
        <v>0</v>
      </c>
      <c r="GQ214">
        <f t="shared" ca="1" si="722"/>
        <v>0</v>
      </c>
      <c r="GR214">
        <f t="shared" ca="1" si="723"/>
        <v>15944</v>
      </c>
      <c r="GS214">
        <f t="shared" ca="1" si="724"/>
        <v>0</v>
      </c>
      <c r="GT214" t="b">
        <f t="shared" ca="1" si="725"/>
        <v>0</v>
      </c>
      <c r="GU214">
        <f t="shared" ca="1" si="726"/>
        <v>0</v>
      </c>
      <c r="GV214">
        <f t="shared" ca="1" si="727"/>
        <v>15944</v>
      </c>
      <c r="GW214">
        <f t="shared" ca="1" si="728"/>
        <v>0</v>
      </c>
      <c r="GX214">
        <f t="shared" ca="1" si="729"/>
        <v>0</v>
      </c>
      <c r="GY214">
        <f t="shared" ca="1" si="730"/>
        <v>0</v>
      </c>
    </row>
    <row r="215" spans="1:207" x14ac:dyDescent="0.25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25"/>
        <v>6800</v>
      </c>
      <c r="I215">
        <f>_xlfn.XLOOKUP(B215,'[1]march-2026'!$A:$A,'[1]march-2026'!$C:$C,0,0)</f>
        <v>48700</v>
      </c>
      <c r="J215">
        <f t="shared" si="689"/>
        <v>8766</v>
      </c>
      <c r="K215">
        <f t="shared" si="626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27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28"/>
        <v>200</v>
      </c>
      <c r="R215">
        <f t="shared" si="629"/>
        <v>57610</v>
      </c>
      <c r="S215">
        <f>_xlfn.XLOOKUP(B215,'[2]april-2026'!$A:$A,'[2]april-2026'!$C:$C,0,0)</f>
        <v>48700</v>
      </c>
      <c r="T215">
        <f t="shared" si="630"/>
        <v>8766</v>
      </c>
      <c r="U215">
        <f t="shared" si="631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32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33"/>
        <v>200</v>
      </c>
      <c r="AB215">
        <f t="shared" si="634"/>
        <v>57610</v>
      </c>
      <c r="AC215">
        <f>_xlfn.XLOOKUP(B215,'[3]may-2026'!$A:$A,'[3]may-2026'!$C:$C,0,0)</f>
        <v>48700</v>
      </c>
      <c r="AD215">
        <f t="shared" si="635"/>
        <v>8766</v>
      </c>
      <c r="AE215">
        <f t="shared" si="636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37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38"/>
        <v>200</v>
      </c>
      <c r="AL215">
        <f t="shared" si="639"/>
        <v>57610</v>
      </c>
      <c r="AM215">
        <f>_xlfn.XLOOKUP(B215,'[4]june-2026'!$A:$A,'[4]june-2026'!$C:$C,0,0)</f>
        <v>48700</v>
      </c>
      <c r="AN215">
        <f t="shared" si="640"/>
        <v>8766</v>
      </c>
      <c r="AO215">
        <f t="shared" si="641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42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43"/>
        <v>200</v>
      </c>
      <c r="AV215">
        <f t="shared" si="644"/>
        <v>57610</v>
      </c>
      <c r="AW215">
        <f>_xlfn.XLOOKUP(B215,'[5]july-2026'!$A:$A,'[5]july-2026'!$C:$C,0,0)</f>
        <v>50200</v>
      </c>
      <c r="AX215">
        <f t="shared" si="645"/>
        <v>9036</v>
      </c>
      <c r="AY215">
        <v>213</v>
      </c>
      <c r="AZ215">
        <f t="shared" si="646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47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48"/>
        <v>200</v>
      </c>
      <c r="BG215">
        <f t="shared" si="649"/>
        <v>59773</v>
      </c>
      <c r="BH215">
        <f>_xlfn.XLOOKUP(B215,'[6]august-2026'!$A:$A,'[6]august-2026'!$C:$C,0,0)</f>
        <v>50200</v>
      </c>
      <c r="BI215">
        <f t="shared" si="650"/>
        <v>9036</v>
      </c>
      <c r="BJ215">
        <f t="shared" si="651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52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53"/>
        <v>200</v>
      </c>
      <c r="BQ215">
        <f t="shared" si="654"/>
        <v>59560</v>
      </c>
      <c r="BR215">
        <f>_xlfn.XLOOKUP(B215,'[7]september-2026'!$A:$A,'[7]september-2026'!$C:$C,0,0)</f>
        <v>50200</v>
      </c>
      <c r="BS215">
        <f t="shared" si="655"/>
        <v>9036</v>
      </c>
      <c r="BT215">
        <f t="shared" si="656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57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58"/>
        <v>200</v>
      </c>
      <c r="CA215">
        <f t="shared" si="659"/>
        <v>59560</v>
      </c>
      <c r="CB215">
        <f>_xlfn.XLOOKUP(B215,'[8]october-2026'!$A:$A,'[8]october-2026'!$C:$C,0,0)</f>
        <v>50200</v>
      </c>
      <c r="CC215">
        <f t="shared" si="660"/>
        <v>9036</v>
      </c>
      <c r="CD215">
        <f t="shared" si="661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62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63"/>
        <v>200</v>
      </c>
      <c r="CK215">
        <f t="shared" si="664"/>
        <v>59560</v>
      </c>
      <c r="CL215">
        <f>_xlfn.XLOOKUP(B215,'[9]november-2026'!$A:$A,'[9]november-2026'!$C:$C,0,0)</f>
        <v>50200</v>
      </c>
      <c r="CM215">
        <f t="shared" si="665"/>
        <v>9036</v>
      </c>
      <c r="CN215">
        <f t="shared" si="666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67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68"/>
        <v>200</v>
      </c>
      <c r="CU215">
        <f t="shared" si="669"/>
        <v>59560</v>
      </c>
      <c r="CV215">
        <f>_xlfn.XLOOKUP(B215,'[10]december-2026'!$A:$A,'[10]december-2026'!$C:$C,0,0)</f>
        <v>50200</v>
      </c>
      <c r="CW215">
        <f t="shared" si="670"/>
        <v>9036</v>
      </c>
      <c r="CX215">
        <f t="shared" si="671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72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73"/>
        <v>200</v>
      </c>
      <c r="DE215">
        <f t="shared" si="674"/>
        <v>59560</v>
      </c>
      <c r="DF215">
        <f xml:space="preserve"> _xlfn.XLOOKUP(B215,
'[11]january-2027'!$A:$A,
'[11]january-2027'!$C:$C,
0,0)</f>
        <v>50200</v>
      </c>
      <c r="DG215">
        <f t="shared" si="675"/>
        <v>9036</v>
      </c>
      <c r="DH215">
        <f t="shared" si="676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77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78"/>
        <v>200</v>
      </c>
      <c r="DO215">
        <f t="shared" si="679"/>
        <v>59560</v>
      </c>
      <c r="DP215">
        <f xml:space="preserve"> _xlfn.XLOOKUP(B215,
'[12]february-2027'!$A:$A,
'[12]february-2027'!$C:$C,
0,0)</f>
        <v>50200</v>
      </c>
      <c r="DQ215">
        <f t="shared" si="680"/>
        <v>9036</v>
      </c>
      <c r="DR215">
        <f t="shared" si="681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82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83"/>
        <v>200</v>
      </c>
      <c r="DY215">
        <f t="shared" si="684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85"/>
        <v>0</v>
      </c>
      <c r="EM215">
        <f t="shared" si="686"/>
        <v>788333</v>
      </c>
      <c r="EN215">
        <f t="shared" si="687"/>
        <v>2400</v>
      </c>
      <c r="EO215">
        <f t="shared" si="688"/>
        <v>50000</v>
      </c>
      <c r="EP215">
        <v>0</v>
      </c>
      <c r="EQ215">
        <f t="shared" si="690"/>
        <v>735933</v>
      </c>
      <c r="ER215">
        <f t="shared" si="691"/>
        <v>72000</v>
      </c>
      <c r="ES215">
        <f t="shared" si="692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693"/>
        <v>72000</v>
      </c>
      <c r="FE215">
        <f t="shared" si="694"/>
        <v>72000</v>
      </c>
      <c r="FF215">
        <f t="shared" si="695"/>
        <v>663933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>SUM(FG215:FM215)+(IF(F215="YES",50000,0))</f>
        <v>0</v>
      </c>
      <c r="FO215">
        <f t="shared" si="696"/>
        <v>663933</v>
      </c>
      <c r="FP215">
        <f t="shared" si="697"/>
        <v>12500</v>
      </c>
      <c r="FQ215">
        <f t="shared" si="698"/>
        <v>32787</v>
      </c>
      <c r="FR215">
        <f t="shared" si="699"/>
        <v>45287</v>
      </c>
      <c r="FS215">
        <f t="shared" si="700"/>
        <v>45287</v>
      </c>
      <c r="FT215">
        <f t="shared" si="701"/>
        <v>1811.48</v>
      </c>
      <c r="FU215">
        <f t="shared" si="702"/>
        <v>47098</v>
      </c>
      <c r="FV215">
        <v>0</v>
      </c>
      <c r="FW215">
        <f t="shared" si="703"/>
        <v>47098</v>
      </c>
      <c r="FX215" t="b">
        <f t="shared" si="704"/>
        <v>1</v>
      </c>
      <c r="FY215">
        <f t="shared" ca="1" si="705"/>
        <v>744</v>
      </c>
      <c r="FZ215">
        <f t="shared" ca="1" si="706"/>
        <v>789077</v>
      </c>
      <c r="GA215">
        <f t="shared" si="707"/>
        <v>75000</v>
      </c>
      <c r="GB215">
        <f t="shared" ca="1" si="708"/>
        <v>714077</v>
      </c>
      <c r="GC215">
        <f t="shared" ca="1" si="709"/>
        <v>0</v>
      </c>
      <c r="GD215">
        <f t="shared" ca="1" si="710"/>
        <v>0</v>
      </c>
      <c r="GE215">
        <f t="shared" ca="1" si="711"/>
        <v>0</v>
      </c>
      <c r="GF215">
        <f t="shared" ca="1" si="712"/>
        <v>0</v>
      </c>
      <c r="GG215">
        <f t="shared" ca="1" si="713"/>
        <v>0</v>
      </c>
      <c r="GH215">
        <f t="shared" ca="1" si="714"/>
        <v>0</v>
      </c>
      <c r="GI215">
        <f ca="1">IF(GB215&gt;1200000,GB215-1200000-IF(F215="YES",50000,0)-GG215,0)</f>
        <v>0</v>
      </c>
      <c r="GJ215">
        <f t="shared" ca="1" si="715"/>
        <v>0</v>
      </c>
      <c r="GK215">
        <f t="shared" ca="1" si="716"/>
        <v>0</v>
      </c>
      <c r="GL215">
        <f t="shared" ca="1" si="717"/>
        <v>0</v>
      </c>
      <c r="GM215">
        <f t="shared" ca="1" si="718"/>
        <v>314077</v>
      </c>
      <c r="GN215">
        <f t="shared" ca="1" si="719"/>
        <v>15703.85</v>
      </c>
      <c r="GO215">
        <f t="shared" ca="1" si="720"/>
        <v>15704</v>
      </c>
      <c r="GP215">
        <f t="shared" ca="1" si="721"/>
        <v>0</v>
      </c>
      <c r="GQ215">
        <f t="shared" ca="1" si="722"/>
        <v>0</v>
      </c>
      <c r="GR215">
        <f t="shared" ca="1" si="723"/>
        <v>15704</v>
      </c>
      <c r="GS215">
        <f t="shared" ca="1" si="724"/>
        <v>0</v>
      </c>
      <c r="GT215" t="b">
        <f t="shared" ca="1" si="725"/>
        <v>0</v>
      </c>
      <c r="GU215">
        <f t="shared" ca="1" si="726"/>
        <v>0</v>
      </c>
      <c r="GV215">
        <f t="shared" ca="1" si="727"/>
        <v>15704</v>
      </c>
      <c r="GW215">
        <f t="shared" ca="1" si="728"/>
        <v>0</v>
      </c>
      <c r="GX215">
        <f t="shared" ca="1" si="729"/>
        <v>0</v>
      </c>
      <c r="GY215">
        <f t="shared" ca="1" si="730"/>
        <v>0</v>
      </c>
    </row>
    <row r="216" spans="1:207" x14ac:dyDescent="0.25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25"/>
        <v>6800</v>
      </c>
      <c r="I216">
        <f>_xlfn.XLOOKUP(B216,'[1]march-2026'!$A:$A,'[1]march-2026'!$C:$C,0,0)</f>
        <v>32500</v>
      </c>
      <c r="J216">
        <f t="shared" si="689"/>
        <v>5850</v>
      </c>
      <c r="K216">
        <f t="shared" si="626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27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28"/>
        <v>200</v>
      </c>
      <c r="R216">
        <f t="shared" si="629"/>
        <v>40550</v>
      </c>
      <c r="S216">
        <f>_xlfn.XLOOKUP(B216,'[2]april-2026'!$A:$A,'[2]april-2026'!$C:$C,0,0)</f>
        <v>32500</v>
      </c>
      <c r="T216">
        <f t="shared" si="630"/>
        <v>5850</v>
      </c>
      <c r="U216">
        <f t="shared" si="631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32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33"/>
        <v>200</v>
      </c>
      <c r="AB216">
        <f t="shared" si="634"/>
        <v>40550</v>
      </c>
      <c r="AC216">
        <f>_xlfn.XLOOKUP(B216,'[3]may-2026'!$A:$A,'[3]may-2026'!$C:$C,0,0)</f>
        <v>32500</v>
      </c>
      <c r="AD216">
        <f t="shared" si="635"/>
        <v>5850</v>
      </c>
      <c r="AE216">
        <f t="shared" si="636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37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38"/>
        <v>200</v>
      </c>
      <c r="AL216">
        <f t="shared" si="639"/>
        <v>40550</v>
      </c>
      <c r="AM216">
        <f>_xlfn.XLOOKUP(B216,'[4]june-2026'!$A:$A,'[4]june-2026'!$C:$C,0,0)</f>
        <v>32500</v>
      </c>
      <c r="AN216">
        <f t="shared" si="640"/>
        <v>5850</v>
      </c>
      <c r="AO216">
        <f t="shared" si="641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42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43"/>
        <v>200</v>
      </c>
      <c r="AV216">
        <f t="shared" si="644"/>
        <v>40550</v>
      </c>
      <c r="AW216">
        <f>_xlfn.XLOOKUP(B216,'[5]july-2026'!$A:$A,'[5]july-2026'!$C:$C,0,0)</f>
        <v>33500</v>
      </c>
      <c r="AX216">
        <f t="shared" si="645"/>
        <v>6030</v>
      </c>
      <c r="AY216">
        <v>214</v>
      </c>
      <c r="AZ216">
        <f t="shared" si="646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47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48"/>
        <v>200</v>
      </c>
      <c r="BG216">
        <f t="shared" si="649"/>
        <v>42064</v>
      </c>
      <c r="BH216">
        <f>_xlfn.XLOOKUP(B216,'[6]august-2026'!$A:$A,'[6]august-2026'!$C:$C,0,0)</f>
        <v>33500</v>
      </c>
      <c r="BI216">
        <f t="shared" si="650"/>
        <v>6030</v>
      </c>
      <c r="BJ216">
        <f t="shared" si="651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52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53"/>
        <v>200</v>
      </c>
      <c r="BQ216">
        <f t="shared" si="654"/>
        <v>41850</v>
      </c>
      <c r="BR216">
        <f>_xlfn.XLOOKUP(B216,'[7]september-2026'!$A:$A,'[7]september-2026'!$C:$C,0,0)</f>
        <v>33500</v>
      </c>
      <c r="BS216">
        <f t="shared" si="655"/>
        <v>6030</v>
      </c>
      <c r="BT216">
        <f t="shared" si="656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57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58"/>
        <v>200</v>
      </c>
      <c r="CA216">
        <f t="shared" si="659"/>
        <v>41850</v>
      </c>
      <c r="CB216">
        <f>_xlfn.XLOOKUP(B216,'[8]october-2026'!$A:$A,'[8]october-2026'!$C:$C,0,0)</f>
        <v>33500</v>
      </c>
      <c r="CC216">
        <f t="shared" si="660"/>
        <v>6030</v>
      </c>
      <c r="CD216">
        <f t="shared" si="661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62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63"/>
        <v>200</v>
      </c>
      <c r="CK216">
        <f t="shared" si="664"/>
        <v>41850</v>
      </c>
      <c r="CL216">
        <f>_xlfn.XLOOKUP(B216,'[9]november-2026'!$A:$A,'[9]november-2026'!$C:$C,0,0)</f>
        <v>33500</v>
      </c>
      <c r="CM216">
        <f t="shared" si="665"/>
        <v>6030</v>
      </c>
      <c r="CN216">
        <f t="shared" si="666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67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68"/>
        <v>200</v>
      </c>
      <c r="CU216">
        <f t="shared" si="669"/>
        <v>41850</v>
      </c>
      <c r="CV216">
        <f>_xlfn.XLOOKUP(B216,'[10]december-2026'!$A:$A,'[10]december-2026'!$C:$C,0,0)</f>
        <v>33500</v>
      </c>
      <c r="CW216">
        <f t="shared" si="670"/>
        <v>6030</v>
      </c>
      <c r="CX216">
        <f t="shared" si="671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72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73"/>
        <v>200</v>
      </c>
      <c r="DE216">
        <f t="shared" si="674"/>
        <v>41850</v>
      </c>
      <c r="DF216">
        <f xml:space="preserve"> _xlfn.XLOOKUP(B216,
'[11]january-2027'!$A:$A,
'[11]january-2027'!$C:$C,
0,0)</f>
        <v>33500</v>
      </c>
      <c r="DG216">
        <f t="shared" si="675"/>
        <v>6030</v>
      </c>
      <c r="DH216">
        <f t="shared" si="676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77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78"/>
        <v>200</v>
      </c>
      <c r="DO216">
        <f t="shared" si="679"/>
        <v>41850</v>
      </c>
      <c r="DP216">
        <f xml:space="preserve"> _xlfn.XLOOKUP(B216,
'[12]february-2027'!$A:$A,
'[12]february-2027'!$C:$C,
0,0)</f>
        <v>33500</v>
      </c>
      <c r="DQ216">
        <f t="shared" si="680"/>
        <v>6030</v>
      </c>
      <c r="DR216">
        <f t="shared" si="681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82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83"/>
        <v>200</v>
      </c>
      <c r="DY216">
        <f t="shared" si="684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85"/>
        <v>0</v>
      </c>
      <c r="EM216">
        <f t="shared" si="686"/>
        <v>530414</v>
      </c>
      <c r="EN216">
        <f t="shared" si="687"/>
        <v>2400</v>
      </c>
      <c r="EO216">
        <f t="shared" si="688"/>
        <v>50000</v>
      </c>
      <c r="EP216">
        <v>0</v>
      </c>
      <c r="EQ216">
        <f t="shared" si="690"/>
        <v>478014</v>
      </c>
      <c r="ER216">
        <f t="shared" si="691"/>
        <v>24000</v>
      </c>
      <c r="ES216">
        <f t="shared" si="692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693"/>
        <v>24000</v>
      </c>
      <c r="FE216">
        <f t="shared" si="694"/>
        <v>24000</v>
      </c>
      <c r="FF216">
        <f t="shared" si="695"/>
        <v>454014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>SUM(FG216:FM216)+(IF(F216="YES",50000,0))</f>
        <v>0</v>
      </c>
      <c r="FO216">
        <f t="shared" si="696"/>
        <v>454014</v>
      </c>
      <c r="FP216">
        <f t="shared" si="697"/>
        <v>10201</v>
      </c>
      <c r="FQ216">
        <f t="shared" si="698"/>
        <v>0</v>
      </c>
      <c r="FR216">
        <f t="shared" si="699"/>
        <v>10201</v>
      </c>
      <c r="FS216">
        <f t="shared" si="700"/>
        <v>0</v>
      </c>
      <c r="FT216">
        <f t="shared" si="701"/>
        <v>0</v>
      </c>
      <c r="FU216">
        <f t="shared" si="702"/>
        <v>0</v>
      </c>
      <c r="FV216">
        <v>0</v>
      </c>
      <c r="FW216">
        <f t="shared" si="703"/>
        <v>0</v>
      </c>
      <c r="FX216" t="b">
        <f t="shared" si="704"/>
        <v>1</v>
      </c>
      <c r="FY216">
        <f t="shared" ca="1" si="705"/>
        <v>988</v>
      </c>
      <c r="FZ216">
        <f t="shared" ca="1" si="706"/>
        <v>531402</v>
      </c>
      <c r="GA216">
        <f t="shared" si="707"/>
        <v>75000</v>
      </c>
      <c r="GB216">
        <f t="shared" ca="1" si="708"/>
        <v>456402</v>
      </c>
      <c r="GC216">
        <f t="shared" ca="1" si="709"/>
        <v>0</v>
      </c>
      <c r="GD216">
        <f t="shared" ca="1" si="710"/>
        <v>0</v>
      </c>
      <c r="GE216">
        <f t="shared" ca="1" si="711"/>
        <v>0</v>
      </c>
      <c r="GF216">
        <f t="shared" ca="1" si="712"/>
        <v>0</v>
      </c>
      <c r="GG216">
        <f t="shared" ca="1" si="713"/>
        <v>0</v>
      </c>
      <c r="GH216">
        <f t="shared" ca="1" si="714"/>
        <v>0</v>
      </c>
      <c r="GI216">
        <f ca="1">IF(GB216&gt;1200000,GB216-1200000-IF(F216="YES",50000,0)-GG216,0)</f>
        <v>0</v>
      </c>
      <c r="GJ216">
        <f t="shared" ca="1" si="715"/>
        <v>0</v>
      </c>
      <c r="GK216">
        <f t="shared" ca="1" si="716"/>
        <v>0</v>
      </c>
      <c r="GL216">
        <f t="shared" ca="1" si="717"/>
        <v>0</v>
      </c>
      <c r="GM216">
        <f t="shared" ca="1" si="718"/>
        <v>56402</v>
      </c>
      <c r="GN216">
        <f t="shared" ca="1" si="719"/>
        <v>2820.1000000000004</v>
      </c>
      <c r="GO216">
        <f t="shared" ca="1" si="720"/>
        <v>2820</v>
      </c>
      <c r="GP216">
        <f t="shared" ca="1" si="721"/>
        <v>0</v>
      </c>
      <c r="GQ216">
        <f t="shared" ca="1" si="722"/>
        <v>0</v>
      </c>
      <c r="GR216">
        <f t="shared" ca="1" si="723"/>
        <v>2820</v>
      </c>
      <c r="GS216">
        <f t="shared" ca="1" si="724"/>
        <v>0</v>
      </c>
      <c r="GT216" t="b">
        <f t="shared" ca="1" si="725"/>
        <v>0</v>
      </c>
      <c r="GU216">
        <f t="shared" ca="1" si="726"/>
        <v>0</v>
      </c>
      <c r="GV216">
        <f t="shared" ca="1" si="727"/>
        <v>2820</v>
      </c>
      <c r="GW216">
        <f t="shared" ca="1" si="728"/>
        <v>0</v>
      </c>
      <c r="GX216">
        <f t="shared" ca="1" si="729"/>
        <v>0</v>
      </c>
      <c r="GY216">
        <f t="shared" ca="1" si="730"/>
        <v>0</v>
      </c>
    </row>
    <row r="217" spans="1:207" x14ac:dyDescent="0.25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25"/>
        <v>6800</v>
      </c>
      <c r="I217">
        <f>_xlfn.XLOOKUP(B217,'[1]march-2026'!$A:$A,'[1]march-2026'!$C:$C,0,0)</f>
        <v>50200</v>
      </c>
      <c r="J217">
        <f t="shared" si="689"/>
        <v>9036</v>
      </c>
      <c r="K217">
        <f t="shared" si="626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27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28"/>
        <v>200</v>
      </c>
      <c r="R217">
        <f t="shared" si="629"/>
        <v>61900</v>
      </c>
      <c r="S217">
        <f>_xlfn.XLOOKUP(B217,'[2]april-2026'!$A:$A,'[2]april-2026'!$C:$C,0,0)</f>
        <v>50200</v>
      </c>
      <c r="T217">
        <f t="shared" si="630"/>
        <v>9036</v>
      </c>
      <c r="U217">
        <f t="shared" si="631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32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33"/>
        <v>200</v>
      </c>
      <c r="AB217">
        <f t="shared" si="634"/>
        <v>61900</v>
      </c>
      <c r="AC217">
        <f>_xlfn.XLOOKUP(B217,'[3]may-2026'!$A:$A,'[3]may-2026'!$C:$C,0,0)</f>
        <v>50200</v>
      </c>
      <c r="AD217">
        <f t="shared" si="635"/>
        <v>9036</v>
      </c>
      <c r="AE217">
        <f t="shared" si="636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37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38"/>
        <v>200</v>
      </c>
      <c r="AL217">
        <f t="shared" si="639"/>
        <v>61900</v>
      </c>
      <c r="AM217">
        <f>_xlfn.XLOOKUP(B217,'[4]june-2026'!$A:$A,'[4]june-2026'!$C:$C,0,0)</f>
        <v>50200</v>
      </c>
      <c r="AN217">
        <f t="shared" si="640"/>
        <v>9036</v>
      </c>
      <c r="AO217">
        <f t="shared" si="641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42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43"/>
        <v>200</v>
      </c>
      <c r="AV217">
        <f t="shared" si="644"/>
        <v>61900</v>
      </c>
      <c r="AW217">
        <f>_xlfn.XLOOKUP(B217,'[5]july-2026'!$A:$A,'[5]july-2026'!$C:$C,0,0)</f>
        <v>51700</v>
      </c>
      <c r="AX217">
        <f t="shared" si="645"/>
        <v>9306</v>
      </c>
      <c r="AY217">
        <v>215</v>
      </c>
      <c r="AZ217">
        <f t="shared" si="646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47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48"/>
        <v>200</v>
      </c>
      <c r="BG217">
        <f t="shared" si="649"/>
        <v>64065</v>
      </c>
      <c r="BH217">
        <f>_xlfn.XLOOKUP(B217,'[6]august-2026'!$A:$A,'[6]august-2026'!$C:$C,0,0)</f>
        <v>51700</v>
      </c>
      <c r="BI217">
        <f t="shared" si="650"/>
        <v>9306</v>
      </c>
      <c r="BJ217">
        <f t="shared" si="651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52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53"/>
        <v>200</v>
      </c>
      <c r="BQ217">
        <f t="shared" si="654"/>
        <v>63850</v>
      </c>
      <c r="BR217">
        <f>_xlfn.XLOOKUP(B217,'[7]september-2026'!$A:$A,'[7]september-2026'!$C:$C,0,0)</f>
        <v>51700</v>
      </c>
      <c r="BS217">
        <f t="shared" si="655"/>
        <v>9306</v>
      </c>
      <c r="BT217">
        <f t="shared" si="656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57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58"/>
        <v>200</v>
      </c>
      <c r="CA217">
        <f t="shared" si="659"/>
        <v>63850</v>
      </c>
      <c r="CB217">
        <f>_xlfn.XLOOKUP(B217,'[8]october-2026'!$A:$A,'[8]october-2026'!$C:$C,0,0)</f>
        <v>51700</v>
      </c>
      <c r="CC217">
        <f t="shared" si="660"/>
        <v>9306</v>
      </c>
      <c r="CD217">
        <f t="shared" si="661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62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63"/>
        <v>200</v>
      </c>
      <c r="CK217">
        <f t="shared" si="664"/>
        <v>63850</v>
      </c>
      <c r="CL217">
        <f>_xlfn.XLOOKUP(B217,'[9]november-2026'!$A:$A,'[9]november-2026'!$C:$C,0,0)</f>
        <v>51700</v>
      </c>
      <c r="CM217">
        <f t="shared" si="665"/>
        <v>9306</v>
      </c>
      <c r="CN217">
        <f t="shared" si="666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67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68"/>
        <v>200</v>
      </c>
      <c r="CU217">
        <f t="shared" si="669"/>
        <v>63850</v>
      </c>
      <c r="CV217">
        <f>_xlfn.XLOOKUP(B217,'[10]december-2026'!$A:$A,'[10]december-2026'!$C:$C,0,0)</f>
        <v>51700</v>
      </c>
      <c r="CW217">
        <f t="shared" si="670"/>
        <v>9306</v>
      </c>
      <c r="CX217">
        <f t="shared" si="671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72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73"/>
        <v>200</v>
      </c>
      <c r="DE217">
        <f t="shared" si="674"/>
        <v>63850</v>
      </c>
      <c r="DF217">
        <f xml:space="preserve"> _xlfn.XLOOKUP(B217,
'[11]january-2027'!$A:$A,
'[11]january-2027'!$C:$C,
0,0)</f>
        <v>51700</v>
      </c>
      <c r="DG217">
        <f t="shared" si="675"/>
        <v>9306</v>
      </c>
      <c r="DH217">
        <f t="shared" si="676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77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78"/>
        <v>200</v>
      </c>
      <c r="DO217">
        <f t="shared" si="679"/>
        <v>63850</v>
      </c>
      <c r="DP217">
        <f xml:space="preserve"> _xlfn.XLOOKUP(B217,
'[12]february-2027'!$A:$A,
'[12]february-2027'!$C:$C,
0,0)</f>
        <v>51700</v>
      </c>
      <c r="DQ217">
        <f t="shared" si="680"/>
        <v>9306</v>
      </c>
      <c r="DR217">
        <f t="shared" si="681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82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83"/>
        <v>200</v>
      </c>
      <c r="DY217">
        <f t="shared" si="684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85"/>
        <v>0</v>
      </c>
      <c r="EM217">
        <f t="shared" si="686"/>
        <v>816535</v>
      </c>
      <c r="EN217">
        <f t="shared" si="687"/>
        <v>2400</v>
      </c>
      <c r="EO217">
        <f t="shared" si="688"/>
        <v>50000</v>
      </c>
      <c r="EP217">
        <v>0</v>
      </c>
      <c r="EQ217">
        <f t="shared" si="690"/>
        <v>764135</v>
      </c>
      <c r="ER217">
        <f t="shared" si="691"/>
        <v>48000</v>
      </c>
      <c r="ES217">
        <f t="shared" si="692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693"/>
        <v>48720</v>
      </c>
      <c r="FE217">
        <f t="shared" si="694"/>
        <v>48720</v>
      </c>
      <c r="FF217">
        <f t="shared" si="695"/>
        <v>715415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>SUM(FG217:FM217)+(IF(F217="YES",50000,0))</f>
        <v>0</v>
      </c>
      <c r="FO217">
        <f t="shared" si="696"/>
        <v>715415</v>
      </c>
      <c r="FP217">
        <f t="shared" si="697"/>
        <v>12500</v>
      </c>
      <c r="FQ217">
        <f t="shared" si="698"/>
        <v>43083</v>
      </c>
      <c r="FR217">
        <f t="shared" si="699"/>
        <v>55583</v>
      </c>
      <c r="FS217">
        <f t="shared" si="700"/>
        <v>55583</v>
      </c>
      <c r="FT217">
        <f t="shared" si="701"/>
        <v>2223.3200000000002</v>
      </c>
      <c r="FU217">
        <f t="shared" si="702"/>
        <v>57806</v>
      </c>
      <c r="FV217">
        <v>0</v>
      </c>
      <c r="FW217">
        <f t="shared" si="703"/>
        <v>57806</v>
      </c>
      <c r="FX217" t="b">
        <f t="shared" si="704"/>
        <v>1</v>
      </c>
      <c r="FY217">
        <f t="shared" ca="1" si="705"/>
        <v>875</v>
      </c>
      <c r="FZ217">
        <f t="shared" ca="1" si="706"/>
        <v>817410</v>
      </c>
      <c r="GA217">
        <f t="shared" si="707"/>
        <v>75000</v>
      </c>
      <c r="GB217">
        <f t="shared" ca="1" si="708"/>
        <v>742410</v>
      </c>
      <c r="GC217">
        <f t="shared" ca="1" si="709"/>
        <v>0</v>
      </c>
      <c r="GD217">
        <f t="shared" ca="1" si="710"/>
        <v>0</v>
      </c>
      <c r="GE217">
        <f t="shared" ca="1" si="711"/>
        <v>0</v>
      </c>
      <c r="GF217">
        <f t="shared" ca="1" si="712"/>
        <v>0</v>
      </c>
      <c r="GG217">
        <f t="shared" ca="1" si="713"/>
        <v>0</v>
      </c>
      <c r="GH217">
        <f t="shared" ca="1" si="714"/>
        <v>0</v>
      </c>
      <c r="GI217">
        <f ca="1">IF(GB217&gt;1200000,GB217-1200000-IF(F217="YES",50000,0)-GG217,0)</f>
        <v>0</v>
      </c>
      <c r="GJ217">
        <f t="shared" ca="1" si="715"/>
        <v>0</v>
      </c>
      <c r="GK217">
        <f t="shared" ca="1" si="716"/>
        <v>0</v>
      </c>
      <c r="GL217">
        <f t="shared" ca="1" si="717"/>
        <v>0</v>
      </c>
      <c r="GM217">
        <f t="shared" ca="1" si="718"/>
        <v>342410</v>
      </c>
      <c r="GN217">
        <f t="shared" ca="1" si="719"/>
        <v>17120.5</v>
      </c>
      <c r="GO217">
        <f t="shared" ca="1" si="720"/>
        <v>17121</v>
      </c>
      <c r="GP217">
        <f t="shared" ca="1" si="721"/>
        <v>0</v>
      </c>
      <c r="GQ217">
        <f t="shared" ca="1" si="722"/>
        <v>0</v>
      </c>
      <c r="GR217">
        <f t="shared" ca="1" si="723"/>
        <v>17121</v>
      </c>
      <c r="GS217">
        <f t="shared" ca="1" si="724"/>
        <v>0</v>
      </c>
      <c r="GT217" t="b">
        <f t="shared" ca="1" si="725"/>
        <v>0</v>
      </c>
      <c r="GU217">
        <f t="shared" ca="1" si="726"/>
        <v>0</v>
      </c>
      <c r="GV217">
        <f t="shared" ca="1" si="727"/>
        <v>17121</v>
      </c>
      <c r="GW217">
        <f t="shared" ca="1" si="728"/>
        <v>0</v>
      </c>
      <c r="GX217">
        <f t="shared" ca="1" si="729"/>
        <v>0</v>
      </c>
      <c r="GY217">
        <f t="shared" ca="1" si="730"/>
        <v>0</v>
      </c>
    </row>
    <row r="218" spans="1:207" x14ac:dyDescent="0.25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25"/>
        <v>6800</v>
      </c>
      <c r="I218">
        <f>_xlfn.XLOOKUP(B218,'[1]march-2026'!$A:$A,'[1]march-2026'!$C:$C,0,0)</f>
        <v>35500</v>
      </c>
      <c r="J218">
        <f t="shared" si="689"/>
        <v>6390</v>
      </c>
      <c r="K218">
        <f t="shared" si="626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27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28"/>
        <v>200</v>
      </c>
      <c r="R218">
        <f t="shared" si="629"/>
        <v>43950</v>
      </c>
      <c r="S218">
        <f>_xlfn.XLOOKUP(B218,'[2]april-2026'!$A:$A,'[2]april-2026'!$C:$C,0,0)</f>
        <v>35500</v>
      </c>
      <c r="T218">
        <f t="shared" si="630"/>
        <v>6390</v>
      </c>
      <c r="U218">
        <f t="shared" si="631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32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33"/>
        <v>200</v>
      </c>
      <c r="AB218">
        <f t="shared" si="634"/>
        <v>43950</v>
      </c>
      <c r="AC218">
        <f>_xlfn.XLOOKUP(B218,'[3]may-2026'!$A:$A,'[3]may-2026'!$C:$C,0,0)</f>
        <v>35500</v>
      </c>
      <c r="AD218">
        <f t="shared" si="635"/>
        <v>6390</v>
      </c>
      <c r="AE218">
        <f t="shared" si="636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37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38"/>
        <v>200</v>
      </c>
      <c r="AL218">
        <f t="shared" si="639"/>
        <v>43950</v>
      </c>
      <c r="AM218">
        <f>_xlfn.XLOOKUP(B218,'[4]june-2026'!$A:$A,'[4]june-2026'!$C:$C,0,0)</f>
        <v>35500</v>
      </c>
      <c r="AN218">
        <f t="shared" si="640"/>
        <v>6390</v>
      </c>
      <c r="AO218">
        <f t="shared" si="641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42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43"/>
        <v>200</v>
      </c>
      <c r="AV218">
        <f t="shared" si="644"/>
        <v>43950</v>
      </c>
      <c r="AW218">
        <f>_xlfn.XLOOKUP(B218,'[5]july-2026'!$A:$A,'[5]july-2026'!$C:$C,0,0)</f>
        <v>36600</v>
      </c>
      <c r="AX218">
        <f t="shared" si="645"/>
        <v>6588</v>
      </c>
      <c r="AY218">
        <v>216</v>
      </c>
      <c r="AZ218">
        <f t="shared" si="646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47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48"/>
        <v>200</v>
      </c>
      <c r="BG218">
        <f t="shared" si="649"/>
        <v>45596</v>
      </c>
      <c r="BH218">
        <f>_xlfn.XLOOKUP(B218,'[6]august-2026'!$A:$A,'[6]august-2026'!$C:$C,0,0)</f>
        <v>36600</v>
      </c>
      <c r="BI218">
        <f t="shared" si="650"/>
        <v>6588</v>
      </c>
      <c r="BJ218">
        <f t="shared" si="651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52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53"/>
        <v>200</v>
      </c>
      <c r="BQ218">
        <f t="shared" si="654"/>
        <v>45380</v>
      </c>
      <c r="BR218">
        <f>_xlfn.XLOOKUP(B218,'[7]september-2026'!$A:$A,'[7]september-2026'!$C:$C,0,0)</f>
        <v>36600</v>
      </c>
      <c r="BS218">
        <f t="shared" si="655"/>
        <v>6588</v>
      </c>
      <c r="BT218">
        <f t="shared" si="656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57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58"/>
        <v>200</v>
      </c>
      <c r="CA218">
        <f t="shared" si="659"/>
        <v>45380</v>
      </c>
      <c r="CB218">
        <f>_xlfn.XLOOKUP(B218,'[8]october-2026'!$A:$A,'[8]october-2026'!$C:$C,0,0)</f>
        <v>36600</v>
      </c>
      <c r="CC218">
        <f t="shared" si="660"/>
        <v>6588</v>
      </c>
      <c r="CD218">
        <f t="shared" si="661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62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63"/>
        <v>200</v>
      </c>
      <c r="CK218">
        <f t="shared" si="664"/>
        <v>45380</v>
      </c>
      <c r="CL218">
        <f>_xlfn.XLOOKUP(B218,'[9]november-2026'!$A:$A,'[9]november-2026'!$C:$C,0,0)</f>
        <v>36600</v>
      </c>
      <c r="CM218">
        <f t="shared" si="665"/>
        <v>6588</v>
      </c>
      <c r="CN218">
        <f t="shared" si="666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67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68"/>
        <v>200</v>
      </c>
      <c r="CU218">
        <f t="shared" si="669"/>
        <v>45380</v>
      </c>
      <c r="CV218">
        <f>_xlfn.XLOOKUP(B218,'[10]december-2026'!$A:$A,'[10]december-2026'!$C:$C,0,0)</f>
        <v>36600</v>
      </c>
      <c r="CW218">
        <f t="shared" si="670"/>
        <v>6588</v>
      </c>
      <c r="CX218">
        <f t="shared" si="671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72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73"/>
        <v>200</v>
      </c>
      <c r="DE218">
        <f t="shared" si="674"/>
        <v>45380</v>
      </c>
      <c r="DF218">
        <f xml:space="preserve"> _xlfn.XLOOKUP(B218,
'[11]january-2027'!$A:$A,
'[11]january-2027'!$C:$C,
0,0)</f>
        <v>36600</v>
      </c>
      <c r="DG218">
        <f t="shared" si="675"/>
        <v>6588</v>
      </c>
      <c r="DH218">
        <f t="shared" si="676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77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78"/>
        <v>200</v>
      </c>
      <c r="DO218">
        <f t="shared" si="679"/>
        <v>45380</v>
      </c>
      <c r="DP218">
        <f xml:space="preserve"> _xlfn.XLOOKUP(B218,
'[12]february-2027'!$A:$A,
'[12]february-2027'!$C:$C,
0,0)</f>
        <v>36600</v>
      </c>
      <c r="DQ218">
        <f t="shared" si="680"/>
        <v>6588</v>
      </c>
      <c r="DR218">
        <f t="shared" si="681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82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83"/>
        <v>200</v>
      </c>
      <c r="DY218">
        <f t="shared" si="684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85"/>
        <v>0</v>
      </c>
      <c r="EM218">
        <f t="shared" si="686"/>
        <v>578256</v>
      </c>
      <c r="EN218">
        <f t="shared" si="687"/>
        <v>2400</v>
      </c>
      <c r="EO218">
        <f t="shared" si="688"/>
        <v>50000</v>
      </c>
      <c r="EP218">
        <v>0</v>
      </c>
      <c r="EQ218">
        <f t="shared" si="690"/>
        <v>525856</v>
      </c>
      <c r="ER218">
        <f t="shared" si="691"/>
        <v>30000</v>
      </c>
      <c r="ES218">
        <f t="shared" si="692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693"/>
        <v>30000</v>
      </c>
      <c r="FE218">
        <f t="shared" si="694"/>
        <v>30000</v>
      </c>
      <c r="FF218">
        <f t="shared" si="695"/>
        <v>495856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>SUM(FG218:FM218)+(IF(F218="YES",50000,0))</f>
        <v>0</v>
      </c>
      <c r="FO218">
        <f t="shared" si="696"/>
        <v>495856</v>
      </c>
      <c r="FP218">
        <f t="shared" si="697"/>
        <v>12293</v>
      </c>
      <c r="FQ218">
        <f t="shared" si="698"/>
        <v>0</v>
      </c>
      <c r="FR218">
        <f t="shared" si="699"/>
        <v>12293</v>
      </c>
      <c r="FS218">
        <f t="shared" si="700"/>
        <v>0</v>
      </c>
      <c r="FT218">
        <f t="shared" si="701"/>
        <v>0</v>
      </c>
      <c r="FU218">
        <f t="shared" si="702"/>
        <v>0</v>
      </c>
      <c r="FV218">
        <v>0</v>
      </c>
      <c r="FW218">
        <f t="shared" si="703"/>
        <v>0</v>
      </c>
      <c r="FX218" t="b">
        <f t="shared" si="704"/>
        <v>1</v>
      </c>
      <c r="FY218">
        <f t="shared" ca="1" si="705"/>
        <v>709</v>
      </c>
      <c r="FZ218">
        <f t="shared" ca="1" si="706"/>
        <v>578965</v>
      </c>
      <c r="GA218">
        <f t="shared" si="707"/>
        <v>75000</v>
      </c>
      <c r="GB218">
        <f t="shared" ca="1" si="708"/>
        <v>503965</v>
      </c>
      <c r="GC218">
        <f t="shared" ca="1" si="709"/>
        <v>0</v>
      </c>
      <c r="GD218">
        <f t="shared" ca="1" si="710"/>
        <v>0</v>
      </c>
      <c r="GE218">
        <f t="shared" ca="1" si="711"/>
        <v>0</v>
      </c>
      <c r="GF218">
        <f t="shared" ca="1" si="712"/>
        <v>0</v>
      </c>
      <c r="GG218">
        <f t="shared" ca="1" si="713"/>
        <v>0</v>
      </c>
      <c r="GH218">
        <f t="shared" ca="1" si="714"/>
        <v>0</v>
      </c>
      <c r="GI218">
        <f ca="1">IF(GB218&gt;1200000,GB218-1200000-IF(F218="YES",50000,0)-GG218,0)</f>
        <v>0</v>
      </c>
      <c r="GJ218">
        <f t="shared" ca="1" si="715"/>
        <v>0</v>
      </c>
      <c r="GK218">
        <f t="shared" ca="1" si="716"/>
        <v>0</v>
      </c>
      <c r="GL218">
        <f t="shared" ca="1" si="717"/>
        <v>0</v>
      </c>
      <c r="GM218">
        <f t="shared" ca="1" si="718"/>
        <v>103965</v>
      </c>
      <c r="GN218">
        <f t="shared" ca="1" si="719"/>
        <v>5198.25</v>
      </c>
      <c r="GO218">
        <f t="shared" ca="1" si="720"/>
        <v>5198</v>
      </c>
      <c r="GP218">
        <f t="shared" ca="1" si="721"/>
        <v>0</v>
      </c>
      <c r="GQ218">
        <f t="shared" ca="1" si="722"/>
        <v>0</v>
      </c>
      <c r="GR218">
        <f t="shared" ca="1" si="723"/>
        <v>5198</v>
      </c>
      <c r="GS218">
        <f t="shared" ca="1" si="724"/>
        <v>0</v>
      </c>
      <c r="GT218" t="b">
        <f t="shared" ca="1" si="725"/>
        <v>0</v>
      </c>
      <c r="GU218">
        <f t="shared" ca="1" si="726"/>
        <v>0</v>
      </c>
      <c r="GV218">
        <f t="shared" ca="1" si="727"/>
        <v>5198</v>
      </c>
      <c r="GW218">
        <f t="shared" ca="1" si="728"/>
        <v>0</v>
      </c>
      <c r="GX218">
        <f t="shared" ca="1" si="729"/>
        <v>0</v>
      </c>
      <c r="GY218">
        <f t="shared" ca="1" si="730"/>
        <v>0</v>
      </c>
    </row>
    <row r="219" spans="1:207" x14ac:dyDescent="0.25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25"/>
        <v>6800</v>
      </c>
      <c r="I219">
        <f>_xlfn.XLOOKUP(B219,'[1]march-2026'!$A:$A,'[1]march-2026'!$C:$C,0,0)</f>
        <v>35500</v>
      </c>
      <c r="J219">
        <f t="shared" si="689"/>
        <v>6390</v>
      </c>
      <c r="K219">
        <f t="shared" si="626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27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28"/>
        <v>200</v>
      </c>
      <c r="R219">
        <f t="shared" si="629"/>
        <v>43950</v>
      </c>
      <c r="S219">
        <f>_xlfn.XLOOKUP(B219,'[2]april-2026'!$A:$A,'[2]april-2026'!$C:$C,0,0)</f>
        <v>35500</v>
      </c>
      <c r="T219">
        <f t="shared" si="630"/>
        <v>6390</v>
      </c>
      <c r="U219">
        <f t="shared" si="631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32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33"/>
        <v>200</v>
      </c>
      <c r="AB219">
        <f t="shared" si="634"/>
        <v>43950</v>
      </c>
      <c r="AC219">
        <f>_xlfn.XLOOKUP(B219,'[3]may-2026'!$A:$A,'[3]may-2026'!$C:$C,0,0)</f>
        <v>35500</v>
      </c>
      <c r="AD219">
        <f t="shared" si="635"/>
        <v>6390</v>
      </c>
      <c r="AE219">
        <f t="shared" si="636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37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38"/>
        <v>200</v>
      </c>
      <c r="AL219">
        <f t="shared" si="639"/>
        <v>43950</v>
      </c>
      <c r="AM219">
        <f>_xlfn.XLOOKUP(B219,'[4]june-2026'!$A:$A,'[4]june-2026'!$C:$C,0,0)</f>
        <v>35500</v>
      </c>
      <c r="AN219">
        <f t="shared" si="640"/>
        <v>6390</v>
      </c>
      <c r="AO219">
        <f t="shared" si="641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42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43"/>
        <v>200</v>
      </c>
      <c r="AV219">
        <f t="shared" si="644"/>
        <v>43950</v>
      </c>
      <c r="AW219">
        <f>_xlfn.XLOOKUP(B219,'[5]july-2026'!$A:$A,'[5]july-2026'!$C:$C,0,0)</f>
        <v>36600</v>
      </c>
      <c r="AX219">
        <f t="shared" si="645"/>
        <v>6588</v>
      </c>
      <c r="AY219">
        <v>217</v>
      </c>
      <c r="AZ219">
        <f t="shared" si="646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47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48"/>
        <v>200</v>
      </c>
      <c r="BG219">
        <f t="shared" si="649"/>
        <v>45597</v>
      </c>
      <c r="BH219">
        <f>_xlfn.XLOOKUP(B219,'[6]august-2026'!$A:$A,'[6]august-2026'!$C:$C,0,0)</f>
        <v>36600</v>
      </c>
      <c r="BI219">
        <f t="shared" si="650"/>
        <v>6588</v>
      </c>
      <c r="BJ219">
        <f t="shared" si="651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52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53"/>
        <v>200</v>
      </c>
      <c r="BQ219">
        <f t="shared" si="654"/>
        <v>45380</v>
      </c>
      <c r="BR219">
        <f>_xlfn.XLOOKUP(B219,'[7]september-2026'!$A:$A,'[7]september-2026'!$C:$C,0,0)</f>
        <v>36600</v>
      </c>
      <c r="BS219">
        <f t="shared" si="655"/>
        <v>6588</v>
      </c>
      <c r="BT219">
        <f t="shared" si="656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57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58"/>
        <v>200</v>
      </c>
      <c r="CA219">
        <f t="shared" si="659"/>
        <v>45380</v>
      </c>
      <c r="CB219">
        <f>_xlfn.XLOOKUP(B219,'[8]october-2026'!$A:$A,'[8]october-2026'!$C:$C,0,0)</f>
        <v>36600</v>
      </c>
      <c r="CC219">
        <f t="shared" si="660"/>
        <v>6588</v>
      </c>
      <c r="CD219">
        <f t="shared" si="661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62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63"/>
        <v>200</v>
      </c>
      <c r="CK219">
        <f t="shared" si="664"/>
        <v>45380</v>
      </c>
      <c r="CL219">
        <f>_xlfn.XLOOKUP(B219,'[9]november-2026'!$A:$A,'[9]november-2026'!$C:$C,0,0)</f>
        <v>36600</v>
      </c>
      <c r="CM219">
        <f t="shared" si="665"/>
        <v>6588</v>
      </c>
      <c r="CN219">
        <f t="shared" si="666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67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68"/>
        <v>200</v>
      </c>
      <c r="CU219">
        <f t="shared" si="669"/>
        <v>45380</v>
      </c>
      <c r="CV219">
        <f>_xlfn.XLOOKUP(B219,'[10]december-2026'!$A:$A,'[10]december-2026'!$C:$C,0,0)</f>
        <v>36600</v>
      </c>
      <c r="CW219">
        <f t="shared" si="670"/>
        <v>6588</v>
      </c>
      <c r="CX219">
        <f t="shared" si="671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72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73"/>
        <v>200</v>
      </c>
      <c r="DE219">
        <f t="shared" si="674"/>
        <v>45380</v>
      </c>
      <c r="DF219">
        <f xml:space="preserve"> _xlfn.XLOOKUP(B219,
'[11]january-2027'!$A:$A,
'[11]january-2027'!$C:$C,
0,0)</f>
        <v>36600</v>
      </c>
      <c r="DG219">
        <f t="shared" si="675"/>
        <v>6588</v>
      </c>
      <c r="DH219">
        <f t="shared" si="676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77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78"/>
        <v>200</v>
      </c>
      <c r="DO219">
        <f t="shared" si="679"/>
        <v>45380</v>
      </c>
      <c r="DP219">
        <f xml:space="preserve"> _xlfn.XLOOKUP(B219,
'[12]february-2027'!$A:$A,
'[12]february-2027'!$C:$C,
0,0)</f>
        <v>36600</v>
      </c>
      <c r="DQ219">
        <f t="shared" si="680"/>
        <v>6588</v>
      </c>
      <c r="DR219">
        <f t="shared" si="681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82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83"/>
        <v>200</v>
      </c>
      <c r="DY219">
        <f t="shared" si="684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85"/>
        <v>0</v>
      </c>
      <c r="EM219">
        <f t="shared" si="686"/>
        <v>578257</v>
      </c>
      <c r="EN219">
        <f t="shared" si="687"/>
        <v>2400</v>
      </c>
      <c r="EO219">
        <f t="shared" si="688"/>
        <v>50000</v>
      </c>
      <c r="EP219">
        <v>0</v>
      </c>
      <c r="EQ219">
        <f t="shared" si="690"/>
        <v>525857</v>
      </c>
      <c r="ER219">
        <f t="shared" si="691"/>
        <v>30000</v>
      </c>
      <c r="ES219">
        <f t="shared" si="692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693"/>
        <v>30000</v>
      </c>
      <c r="FE219">
        <f t="shared" si="694"/>
        <v>30000</v>
      </c>
      <c r="FF219">
        <f t="shared" si="695"/>
        <v>495857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>SUM(FG219:FM219)+(IF(F219="YES",50000,0))</f>
        <v>0</v>
      </c>
      <c r="FO219">
        <f t="shared" si="696"/>
        <v>495857</v>
      </c>
      <c r="FP219">
        <f t="shared" si="697"/>
        <v>12293</v>
      </c>
      <c r="FQ219">
        <f t="shared" si="698"/>
        <v>0</v>
      </c>
      <c r="FR219">
        <f t="shared" si="699"/>
        <v>12293</v>
      </c>
      <c r="FS219">
        <f t="shared" si="700"/>
        <v>0</v>
      </c>
      <c r="FT219">
        <f t="shared" si="701"/>
        <v>0</v>
      </c>
      <c r="FU219">
        <f t="shared" si="702"/>
        <v>0</v>
      </c>
      <c r="FV219">
        <v>0</v>
      </c>
      <c r="FW219">
        <f t="shared" si="703"/>
        <v>0</v>
      </c>
      <c r="FX219" t="b">
        <f t="shared" si="704"/>
        <v>1</v>
      </c>
      <c r="FY219">
        <f t="shared" ca="1" si="705"/>
        <v>797</v>
      </c>
      <c r="FZ219">
        <f t="shared" ca="1" si="706"/>
        <v>579054</v>
      </c>
      <c r="GA219">
        <f t="shared" si="707"/>
        <v>75000</v>
      </c>
      <c r="GB219">
        <f t="shared" ca="1" si="708"/>
        <v>504054</v>
      </c>
      <c r="GC219">
        <f t="shared" ca="1" si="709"/>
        <v>0</v>
      </c>
      <c r="GD219">
        <f t="shared" ca="1" si="710"/>
        <v>0</v>
      </c>
      <c r="GE219">
        <f t="shared" ca="1" si="711"/>
        <v>0</v>
      </c>
      <c r="GF219">
        <f t="shared" ca="1" si="712"/>
        <v>0</v>
      </c>
      <c r="GG219">
        <f t="shared" ca="1" si="713"/>
        <v>0</v>
      </c>
      <c r="GH219">
        <f t="shared" ca="1" si="714"/>
        <v>0</v>
      </c>
      <c r="GI219">
        <f ca="1">IF(GB219&gt;1200000,GB219-1200000-IF(F219="YES",50000,0)-GG219,0)</f>
        <v>0</v>
      </c>
      <c r="GJ219">
        <f t="shared" ca="1" si="715"/>
        <v>0</v>
      </c>
      <c r="GK219">
        <f t="shared" ca="1" si="716"/>
        <v>0</v>
      </c>
      <c r="GL219">
        <f t="shared" ca="1" si="717"/>
        <v>0</v>
      </c>
      <c r="GM219">
        <f t="shared" ca="1" si="718"/>
        <v>104054</v>
      </c>
      <c r="GN219">
        <f t="shared" ca="1" si="719"/>
        <v>5202.7000000000007</v>
      </c>
      <c r="GO219">
        <f t="shared" ca="1" si="720"/>
        <v>5203</v>
      </c>
      <c r="GP219">
        <f t="shared" ca="1" si="721"/>
        <v>0</v>
      </c>
      <c r="GQ219">
        <f t="shared" ca="1" si="722"/>
        <v>0</v>
      </c>
      <c r="GR219">
        <f t="shared" ca="1" si="723"/>
        <v>5203</v>
      </c>
      <c r="GS219">
        <f t="shared" ca="1" si="724"/>
        <v>0</v>
      </c>
      <c r="GT219" t="b">
        <f t="shared" ca="1" si="725"/>
        <v>0</v>
      </c>
      <c r="GU219">
        <f t="shared" ca="1" si="726"/>
        <v>0</v>
      </c>
      <c r="GV219">
        <f t="shared" ca="1" si="727"/>
        <v>5203</v>
      </c>
      <c r="GW219">
        <f t="shared" ca="1" si="728"/>
        <v>0</v>
      </c>
      <c r="GX219">
        <f t="shared" ca="1" si="729"/>
        <v>0</v>
      </c>
      <c r="GY219">
        <f t="shared" ca="1" si="730"/>
        <v>0</v>
      </c>
    </row>
    <row r="220" spans="1:207" x14ac:dyDescent="0.25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25"/>
        <v>6800</v>
      </c>
      <c r="I220">
        <f>_xlfn.XLOOKUP(B220,'[1]march-2026'!$A:$A,'[1]march-2026'!$C:$C,0,0)</f>
        <v>34500</v>
      </c>
      <c r="J220">
        <f t="shared" si="689"/>
        <v>6210</v>
      </c>
      <c r="K220">
        <f t="shared" si="626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27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28"/>
        <v>200</v>
      </c>
      <c r="R220">
        <f t="shared" si="629"/>
        <v>42150</v>
      </c>
      <c r="S220">
        <f>_xlfn.XLOOKUP(B220,'[2]april-2026'!$A:$A,'[2]april-2026'!$C:$C,0,0)</f>
        <v>34500</v>
      </c>
      <c r="T220">
        <f t="shared" si="630"/>
        <v>6210</v>
      </c>
      <c r="U220">
        <f t="shared" si="631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32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33"/>
        <v>200</v>
      </c>
      <c r="AB220">
        <f t="shared" si="634"/>
        <v>42150</v>
      </c>
      <c r="AC220">
        <f>_xlfn.XLOOKUP(B220,'[3]may-2026'!$A:$A,'[3]may-2026'!$C:$C,0,0)</f>
        <v>34500</v>
      </c>
      <c r="AD220">
        <f t="shared" si="635"/>
        <v>6210</v>
      </c>
      <c r="AE220">
        <f t="shared" si="636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37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38"/>
        <v>200</v>
      </c>
      <c r="AL220">
        <f t="shared" si="639"/>
        <v>42150</v>
      </c>
      <c r="AM220">
        <f>_xlfn.XLOOKUP(B220,'[4]june-2026'!$A:$A,'[4]june-2026'!$C:$C,0,0)</f>
        <v>34500</v>
      </c>
      <c r="AN220">
        <f t="shared" si="640"/>
        <v>6210</v>
      </c>
      <c r="AO220">
        <f t="shared" si="641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42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43"/>
        <v>200</v>
      </c>
      <c r="AV220">
        <f t="shared" si="644"/>
        <v>42150</v>
      </c>
      <c r="AW220">
        <f>_xlfn.XLOOKUP(B220,'[5]july-2026'!$A:$A,'[5]july-2026'!$C:$C,0,0)</f>
        <v>35500</v>
      </c>
      <c r="AX220">
        <f t="shared" si="645"/>
        <v>6390</v>
      </c>
      <c r="AY220">
        <v>218</v>
      </c>
      <c r="AZ220">
        <f t="shared" si="646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47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48"/>
        <v>200</v>
      </c>
      <c r="BG220">
        <f t="shared" si="649"/>
        <v>43668</v>
      </c>
      <c r="BH220">
        <f>_xlfn.XLOOKUP(B220,'[6]august-2026'!$A:$A,'[6]august-2026'!$C:$C,0,0)</f>
        <v>35500</v>
      </c>
      <c r="BI220">
        <f t="shared" si="650"/>
        <v>6390</v>
      </c>
      <c r="BJ220">
        <f t="shared" si="651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52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53"/>
        <v>200</v>
      </c>
      <c r="BQ220">
        <f t="shared" si="654"/>
        <v>43450</v>
      </c>
      <c r="BR220">
        <f>_xlfn.XLOOKUP(B220,'[7]september-2026'!$A:$A,'[7]september-2026'!$C:$C,0,0)</f>
        <v>35500</v>
      </c>
      <c r="BS220">
        <f t="shared" si="655"/>
        <v>6390</v>
      </c>
      <c r="BT220">
        <f t="shared" si="656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57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58"/>
        <v>200</v>
      </c>
      <c r="CA220">
        <f t="shared" si="659"/>
        <v>43450</v>
      </c>
      <c r="CB220">
        <f>_xlfn.XLOOKUP(B220,'[8]october-2026'!$A:$A,'[8]october-2026'!$C:$C,0,0)</f>
        <v>35500</v>
      </c>
      <c r="CC220">
        <f t="shared" si="660"/>
        <v>6390</v>
      </c>
      <c r="CD220">
        <f t="shared" si="661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62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63"/>
        <v>200</v>
      </c>
      <c r="CK220">
        <f t="shared" si="664"/>
        <v>43450</v>
      </c>
      <c r="CL220">
        <f>_xlfn.XLOOKUP(B220,'[9]november-2026'!$A:$A,'[9]november-2026'!$C:$C,0,0)</f>
        <v>35500</v>
      </c>
      <c r="CM220">
        <f t="shared" si="665"/>
        <v>6390</v>
      </c>
      <c r="CN220">
        <f t="shared" si="666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67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68"/>
        <v>200</v>
      </c>
      <c r="CU220">
        <f t="shared" si="669"/>
        <v>43450</v>
      </c>
      <c r="CV220">
        <f>_xlfn.XLOOKUP(B220,'[10]december-2026'!$A:$A,'[10]december-2026'!$C:$C,0,0)</f>
        <v>35500</v>
      </c>
      <c r="CW220">
        <f t="shared" si="670"/>
        <v>6390</v>
      </c>
      <c r="CX220">
        <f t="shared" si="671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72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73"/>
        <v>200</v>
      </c>
      <c r="DE220">
        <f t="shared" si="674"/>
        <v>43450</v>
      </c>
      <c r="DF220">
        <f xml:space="preserve"> _xlfn.XLOOKUP(B220,
'[11]january-2027'!$A:$A,
'[11]january-2027'!$C:$C,
0,0)</f>
        <v>35500</v>
      </c>
      <c r="DG220">
        <f t="shared" si="675"/>
        <v>6390</v>
      </c>
      <c r="DH220">
        <f t="shared" si="676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77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78"/>
        <v>200</v>
      </c>
      <c r="DO220">
        <f t="shared" si="679"/>
        <v>43450</v>
      </c>
      <c r="DP220">
        <f xml:space="preserve"> _xlfn.XLOOKUP(B220,
'[12]february-2027'!$A:$A,
'[12]february-2027'!$C:$C,
0,0)</f>
        <v>35500</v>
      </c>
      <c r="DQ220">
        <f t="shared" si="680"/>
        <v>6390</v>
      </c>
      <c r="DR220">
        <f t="shared" si="681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82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83"/>
        <v>200</v>
      </c>
      <c r="DY220">
        <f t="shared" si="684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_xlfn.XLOOKUP(B223,
'[11]january-2027'!$A:$A,
'[11]january-2027'!$J:$J,
0,0)</f>
        <v>0</v>
      </c>
      <c r="EK220">
        <f xml:space="preserve"> _xlfn.XLOOKUP(B223,
'[12]february-2027'!$A:$A,
'[12]february-2027'!$J:$J,
0,0)</f>
        <v>0</v>
      </c>
      <c r="EL220">
        <f t="shared" si="685"/>
        <v>0</v>
      </c>
      <c r="EM220">
        <f t="shared" si="686"/>
        <v>555618</v>
      </c>
      <c r="EN220">
        <f t="shared" si="687"/>
        <v>2400</v>
      </c>
      <c r="EO220">
        <f t="shared" si="688"/>
        <v>50000</v>
      </c>
      <c r="EP220">
        <v>0</v>
      </c>
      <c r="EQ220">
        <f t="shared" si="690"/>
        <v>503218</v>
      </c>
      <c r="ER220">
        <f t="shared" si="691"/>
        <v>30000</v>
      </c>
      <c r="ES220">
        <f t="shared" si="692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693"/>
        <v>30000</v>
      </c>
      <c r="FE220">
        <f t="shared" si="694"/>
        <v>30000</v>
      </c>
      <c r="FF220">
        <f t="shared" si="695"/>
        <v>473218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>SUM(FG220:FM220)+(IF(F220="YES",50000,0))</f>
        <v>0</v>
      </c>
      <c r="FO220">
        <f t="shared" si="696"/>
        <v>473218</v>
      </c>
      <c r="FP220">
        <f t="shared" si="697"/>
        <v>11161</v>
      </c>
      <c r="FQ220">
        <f t="shared" si="698"/>
        <v>0</v>
      </c>
      <c r="FR220">
        <f t="shared" si="699"/>
        <v>11161</v>
      </c>
      <c r="FS220">
        <f t="shared" si="700"/>
        <v>0</v>
      </c>
      <c r="FT220">
        <f t="shared" si="701"/>
        <v>0</v>
      </c>
      <c r="FU220">
        <f t="shared" si="702"/>
        <v>0</v>
      </c>
      <c r="FV220">
        <v>0</v>
      </c>
      <c r="FW220">
        <f t="shared" si="703"/>
        <v>0</v>
      </c>
      <c r="FX220" t="b">
        <f t="shared" si="704"/>
        <v>1</v>
      </c>
      <c r="FY220">
        <f t="shared" ca="1" si="705"/>
        <v>525</v>
      </c>
      <c r="FZ220">
        <f t="shared" ca="1" si="706"/>
        <v>556143</v>
      </c>
      <c r="GA220">
        <f t="shared" si="707"/>
        <v>75000</v>
      </c>
      <c r="GB220">
        <f t="shared" ca="1" si="708"/>
        <v>481143</v>
      </c>
      <c r="GC220">
        <f t="shared" ca="1" si="709"/>
        <v>0</v>
      </c>
      <c r="GD220">
        <f t="shared" ca="1" si="710"/>
        <v>0</v>
      </c>
      <c r="GE220">
        <f t="shared" ca="1" si="711"/>
        <v>0</v>
      </c>
      <c r="GF220">
        <f t="shared" ca="1" si="712"/>
        <v>0</v>
      </c>
      <c r="GG220">
        <f t="shared" ca="1" si="713"/>
        <v>0</v>
      </c>
      <c r="GH220">
        <f t="shared" ca="1" si="714"/>
        <v>0</v>
      </c>
      <c r="GI220">
        <f ca="1">IF(GB220&gt;1200000,GB220-1200000-IF(F220="YES",50000,0)-GG220,0)</f>
        <v>0</v>
      </c>
      <c r="GJ220">
        <f t="shared" ca="1" si="715"/>
        <v>0</v>
      </c>
      <c r="GK220">
        <f t="shared" ca="1" si="716"/>
        <v>0</v>
      </c>
      <c r="GL220">
        <f t="shared" ca="1" si="717"/>
        <v>0</v>
      </c>
      <c r="GM220">
        <f t="shared" ca="1" si="718"/>
        <v>81143</v>
      </c>
      <c r="GN220">
        <f t="shared" ca="1" si="719"/>
        <v>4057.15</v>
      </c>
      <c r="GO220">
        <f t="shared" ca="1" si="720"/>
        <v>4057</v>
      </c>
      <c r="GP220">
        <f t="shared" ca="1" si="721"/>
        <v>0</v>
      </c>
      <c r="GQ220">
        <f t="shared" ca="1" si="722"/>
        <v>0</v>
      </c>
      <c r="GR220">
        <f t="shared" ca="1" si="723"/>
        <v>4057</v>
      </c>
      <c r="GS220">
        <f t="shared" ca="1" si="724"/>
        <v>0</v>
      </c>
      <c r="GT220" t="b">
        <f t="shared" ca="1" si="725"/>
        <v>0</v>
      </c>
      <c r="GU220">
        <f t="shared" ca="1" si="726"/>
        <v>0</v>
      </c>
      <c r="GV220">
        <f t="shared" ca="1" si="727"/>
        <v>4057</v>
      </c>
      <c r="GW220">
        <f t="shared" ca="1" si="728"/>
        <v>0</v>
      </c>
      <c r="GX220">
        <f t="shared" ca="1" si="729"/>
        <v>0</v>
      </c>
      <c r="GY220">
        <f t="shared" ca="1" si="730"/>
        <v>0</v>
      </c>
    </row>
    <row r="221" spans="1:207" x14ac:dyDescent="0.25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25"/>
        <v>6800</v>
      </c>
      <c r="I221">
        <f>_xlfn.XLOOKUP(B221,'[1]march-2026'!$A:$A,'[1]march-2026'!$C:$C,0,0)</f>
        <v>34500</v>
      </c>
      <c r="J221">
        <f t="shared" si="689"/>
        <v>6210</v>
      </c>
      <c r="K221">
        <f t="shared" si="626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27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28"/>
        <v>200</v>
      </c>
      <c r="R221">
        <f t="shared" si="629"/>
        <v>41150</v>
      </c>
      <c r="S221">
        <f>_xlfn.XLOOKUP(B221,'[2]april-2026'!$A:$A,'[2]april-2026'!$C:$C,0,0)</f>
        <v>34500</v>
      </c>
      <c r="T221">
        <f t="shared" si="630"/>
        <v>6210</v>
      </c>
      <c r="U221">
        <f t="shared" si="631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32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33"/>
        <v>200</v>
      </c>
      <c r="AB221">
        <f t="shared" si="634"/>
        <v>41150</v>
      </c>
      <c r="AC221">
        <f>_xlfn.XLOOKUP(B221,'[3]may-2026'!$A:$A,'[3]may-2026'!$C:$C,0,0)</f>
        <v>34500</v>
      </c>
      <c r="AD221">
        <f t="shared" si="635"/>
        <v>6210</v>
      </c>
      <c r="AE221">
        <f t="shared" si="636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37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38"/>
        <v>200</v>
      </c>
      <c r="AL221">
        <f t="shared" si="639"/>
        <v>41150</v>
      </c>
      <c r="AM221">
        <f>_xlfn.XLOOKUP(B221,'[4]june-2026'!$A:$A,'[4]june-2026'!$C:$C,0,0)</f>
        <v>34500</v>
      </c>
      <c r="AN221">
        <f t="shared" si="640"/>
        <v>6210</v>
      </c>
      <c r="AO221">
        <f t="shared" si="641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42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43"/>
        <v>200</v>
      </c>
      <c r="AV221">
        <f t="shared" si="644"/>
        <v>41150</v>
      </c>
      <c r="AW221">
        <f>_xlfn.XLOOKUP(B221,'[5]july-2026'!$A:$A,'[5]july-2026'!$C:$C,0,0)</f>
        <v>35500</v>
      </c>
      <c r="AX221">
        <f t="shared" si="645"/>
        <v>6390</v>
      </c>
      <c r="AY221">
        <v>219</v>
      </c>
      <c r="AZ221">
        <f t="shared" si="646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47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48"/>
        <v>200</v>
      </c>
      <c r="BG221">
        <f t="shared" si="649"/>
        <v>42669</v>
      </c>
      <c r="BH221">
        <f>_xlfn.XLOOKUP(B221,'[6]august-2026'!$A:$A,'[6]august-2026'!$C:$C,0,0)</f>
        <v>35500</v>
      </c>
      <c r="BI221">
        <f t="shared" si="650"/>
        <v>6390</v>
      </c>
      <c r="BJ221">
        <f t="shared" si="651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52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53"/>
        <v>200</v>
      </c>
      <c r="BQ221">
        <f t="shared" si="654"/>
        <v>42450</v>
      </c>
      <c r="BR221">
        <f>_xlfn.XLOOKUP(B221,'[7]september-2026'!$A:$A,'[7]september-2026'!$C:$C,0,0)</f>
        <v>35500</v>
      </c>
      <c r="BS221">
        <f t="shared" si="655"/>
        <v>6390</v>
      </c>
      <c r="BT221">
        <f t="shared" si="656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57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58"/>
        <v>200</v>
      </c>
      <c r="CA221">
        <f t="shared" si="659"/>
        <v>42450</v>
      </c>
      <c r="CB221">
        <f>_xlfn.XLOOKUP(B221,'[8]october-2026'!$A:$A,'[8]october-2026'!$C:$C,0,0)</f>
        <v>35500</v>
      </c>
      <c r="CC221">
        <f t="shared" si="660"/>
        <v>6390</v>
      </c>
      <c r="CD221">
        <f t="shared" si="661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62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63"/>
        <v>200</v>
      </c>
      <c r="CK221">
        <f t="shared" si="664"/>
        <v>42450</v>
      </c>
      <c r="CL221">
        <f>_xlfn.XLOOKUP(B221,'[9]november-2026'!$A:$A,'[9]november-2026'!$C:$C,0,0)</f>
        <v>35500</v>
      </c>
      <c r="CM221">
        <f t="shared" si="665"/>
        <v>6390</v>
      </c>
      <c r="CN221">
        <f t="shared" si="666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67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68"/>
        <v>200</v>
      </c>
      <c r="CU221">
        <f t="shared" si="669"/>
        <v>42450</v>
      </c>
      <c r="CV221">
        <f>_xlfn.XLOOKUP(B221,'[10]december-2026'!$A:$A,'[10]december-2026'!$C:$C,0,0)</f>
        <v>35500</v>
      </c>
      <c r="CW221">
        <f t="shared" si="670"/>
        <v>6390</v>
      </c>
      <c r="CX221">
        <f t="shared" si="671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72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73"/>
        <v>200</v>
      </c>
      <c r="DE221">
        <f t="shared" si="674"/>
        <v>42450</v>
      </c>
      <c r="DF221">
        <f xml:space="preserve"> _xlfn.XLOOKUP(B221,
'[11]january-2027'!$A:$A,
'[11]january-2027'!$C:$C,
0,0)</f>
        <v>35500</v>
      </c>
      <c r="DG221">
        <f t="shared" si="675"/>
        <v>6390</v>
      </c>
      <c r="DH221">
        <f t="shared" si="676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77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78"/>
        <v>200</v>
      </c>
      <c r="DO221">
        <f t="shared" si="679"/>
        <v>42450</v>
      </c>
      <c r="DP221">
        <f xml:space="preserve"> _xlfn.XLOOKUP(B221,
'[12]february-2027'!$A:$A,
'[12]february-2027'!$C:$C,
0,0)</f>
        <v>35500</v>
      </c>
      <c r="DQ221">
        <f t="shared" si="680"/>
        <v>6390</v>
      </c>
      <c r="DR221">
        <f t="shared" si="681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82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83"/>
        <v>200</v>
      </c>
      <c r="DY221">
        <f t="shared" si="684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_xlfn.XLOOKUP(B224,
'[11]january-2027'!$A:$A,
'[11]january-2027'!$J:$J,
0,0)</f>
        <v>0</v>
      </c>
      <c r="EK221">
        <f xml:space="preserve"> _xlfn.XLOOKUP(B224,
'[12]february-2027'!$A:$A,
'[12]february-2027'!$J:$J,
0,0)</f>
        <v>0</v>
      </c>
      <c r="EL221">
        <f t="shared" si="685"/>
        <v>0</v>
      </c>
      <c r="EM221">
        <f t="shared" si="686"/>
        <v>561619</v>
      </c>
      <c r="EN221">
        <f t="shared" si="687"/>
        <v>2400</v>
      </c>
      <c r="EO221">
        <f t="shared" si="688"/>
        <v>50000</v>
      </c>
      <c r="EP221">
        <v>0</v>
      </c>
      <c r="EQ221">
        <f t="shared" si="690"/>
        <v>509219</v>
      </c>
      <c r="ER221">
        <f t="shared" si="691"/>
        <v>48000</v>
      </c>
      <c r="ES221">
        <f t="shared" si="692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693"/>
        <v>48000</v>
      </c>
      <c r="FE221">
        <f t="shared" si="694"/>
        <v>48000</v>
      </c>
      <c r="FF221">
        <f t="shared" si="695"/>
        <v>461219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>SUM(FG221:FM221)+(IF(F221="YES",50000,0))</f>
        <v>0</v>
      </c>
      <c r="FO221">
        <f t="shared" si="696"/>
        <v>461219</v>
      </c>
      <c r="FP221">
        <f t="shared" si="697"/>
        <v>10561</v>
      </c>
      <c r="FQ221">
        <f t="shared" si="698"/>
        <v>0</v>
      </c>
      <c r="FR221">
        <f t="shared" si="699"/>
        <v>10561</v>
      </c>
      <c r="FS221">
        <f t="shared" si="700"/>
        <v>0</v>
      </c>
      <c r="FT221">
        <f t="shared" si="701"/>
        <v>0</v>
      </c>
      <c r="FU221">
        <f t="shared" si="702"/>
        <v>0</v>
      </c>
      <c r="FV221">
        <v>0</v>
      </c>
      <c r="FW221">
        <f t="shared" si="703"/>
        <v>0</v>
      </c>
      <c r="FX221" t="b">
        <f t="shared" si="704"/>
        <v>1</v>
      </c>
      <c r="FY221">
        <f t="shared" ca="1" si="705"/>
        <v>754</v>
      </c>
      <c r="FZ221">
        <f t="shared" ca="1" si="706"/>
        <v>562373</v>
      </c>
      <c r="GA221">
        <f t="shared" si="707"/>
        <v>75000</v>
      </c>
      <c r="GB221">
        <f t="shared" ca="1" si="708"/>
        <v>487373</v>
      </c>
      <c r="GC221">
        <f t="shared" ca="1" si="709"/>
        <v>0</v>
      </c>
      <c r="GD221">
        <f t="shared" ca="1" si="710"/>
        <v>0</v>
      </c>
      <c r="GE221">
        <f t="shared" ca="1" si="711"/>
        <v>0</v>
      </c>
      <c r="GF221">
        <f t="shared" ca="1" si="712"/>
        <v>0</v>
      </c>
      <c r="GG221">
        <f t="shared" ca="1" si="713"/>
        <v>0</v>
      </c>
      <c r="GH221">
        <f t="shared" ca="1" si="714"/>
        <v>0</v>
      </c>
      <c r="GI221">
        <f ca="1">IF(GB221&gt;1200000,GB221-1200000-IF(F221="YES",50000,0)-GG221,0)</f>
        <v>0</v>
      </c>
      <c r="GJ221">
        <f t="shared" ca="1" si="715"/>
        <v>0</v>
      </c>
      <c r="GK221">
        <f t="shared" ca="1" si="716"/>
        <v>0</v>
      </c>
      <c r="GL221">
        <f t="shared" ca="1" si="717"/>
        <v>0</v>
      </c>
      <c r="GM221">
        <f t="shared" ca="1" si="718"/>
        <v>87373</v>
      </c>
      <c r="GN221">
        <f t="shared" ca="1" si="719"/>
        <v>4368.6500000000005</v>
      </c>
      <c r="GO221">
        <f t="shared" ca="1" si="720"/>
        <v>4369</v>
      </c>
      <c r="GP221">
        <f t="shared" ca="1" si="721"/>
        <v>0</v>
      </c>
      <c r="GQ221">
        <f t="shared" ca="1" si="722"/>
        <v>0</v>
      </c>
      <c r="GR221">
        <f t="shared" ca="1" si="723"/>
        <v>4369</v>
      </c>
      <c r="GS221">
        <f t="shared" ca="1" si="724"/>
        <v>0</v>
      </c>
      <c r="GT221" t="b">
        <f t="shared" ca="1" si="725"/>
        <v>0</v>
      </c>
      <c r="GU221">
        <f t="shared" ca="1" si="726"/>
        <v>0</v>
      </c>
      <c r="GV221">
        <f t="shared" ca="1" si="727"/>
        <v>4369</v>
      </c>
      <c r="GW221">
        <f t="shared" ca="1" si="728"/>
        <v>0</v>
      </c>
      <c r="GX221">
        <f t="shared" ca="1" si="729"/>
        <v>0</v>
      </c>
      <c r="GY221">
        <f t="shared" ca="1" si="730"/>
        <v>0</v>
      </c>
    </row>
    <row r="222" spans="1:207" x14ac:dyDescent="0.25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25"/>
        <v>6800</v>
      </c>
      <c r="I222">
        <f>_xlfn.XLOOKUP(B222,'[1]march-2026'!$A:$A,'[1]march-2026'!$C:$C,0,0)</f>
        <v>25400</v>
      </c>
      <c r="J222">
        <f t="shared" si="689"/>
        <v>4572</v>
      </c>
      <c r="K222">
        <f t="shared" si="626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27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28"/>
        <v>150</v>
      </c>
      <c r="R222">
        <f t="shared" si="629"/>
        <v>31370</v>
      </c>
      <c r="S222">
        <f>_xlfn.XLOOKUP(B222,'[2]april-2026'!$A:$A,'[2]april-2026'!$C:$C,0,0)</f>
        <v>25400</v>
      </c>
      <c r="T222">
        <f t="shared" si="630"/>
        <v>4572</v>
      </c>
      <c r="U222">
        <f t="shared" si="631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32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33"/>
        <v>150</v>
      </c>
      <c r="AB222">
        <f t="shared" si="634"/>
        <v>31370</v>
      </c>
      <c r="AC222">
        <f>_xlfn.XLOOKUP(B222,'[3]may-2026'!$A:$A,'[3]may-2026'!$C:$C,0,0)</f>
        <v>25400</v>
      </c>
      <c r="AD222">
        <f t="shared" si="635"/>
        <v>4572</v>
      </c>
      <c r="AE222">
        <f t="shared" si="636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37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38"/>
        <v>150</v>
      </c>
      <c r="AL222">
        <f t="shared" si="639"/>
        <v>31370</v>
      </c>
      <c r="AM222">
        <f>_xlfn.XLOOKUP(B222,'[4]june-2026'!$A:$A,'[4]june-2026'!$C:$C,0,0)</f>
        <v>25400</v>
      </c>
      <c r="AN222">
        <f t="shared" si="640"/>
        <v>4572</v>
      </c>
      <c r="AO222">
        <f t="shared" si="641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42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43"/>
        <v>150</v>
      </c>
      <c r="AV222">
        <f t="shared" si="644"/>
        <v>31370</v>
      </c>
      <c r="AW222">
        <f>_xlfn.XLOOKUP(B222,'[5]july-2026'!$A:$A,'[5]july-2026'!$C:$C,0,0)</f>
        <v>26200</v>
      </c>
      <c r="AX222">
        <f t="shared" si="645"/>
        <v>4716</v>
      </c>
      <c r="AY222">
        <v>220</v>
      </c>
      <c r="AZ222">
        <f t="shared" si="646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47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48"/>
        <v>150</v>
      </c>
      <c r="BG222">
        <f t="shared" si="649"/>
        <v>32630</v>
      </c>
      <c r="BH222">
        <f>_xlfn.XLOOKUP(B222,'[6]august-2026'!$A:$A,'[6]august-2026'!$C:$C,0,0)</f>
        <v>26200</v>
      </c>
      <c r="BI222">
        <f t="shared" si="650"/>
        <v>4716</v>
      </c>
      <c r="BJ222">
        <f t="shared" si="651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52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53"/>
        <v>150</v>
      </c>
      <c r="BQ222">
        <f t="shared" si="654"/>
        <v>32410</v>
      </c>
      <c r="BR222">
        <f>_xlfn.XLOOKUP(B222,'[7]september-2026'!$A:$A,'[7]september-2026'!$C:$C,0,0)</f>
        <v>26200</v>
      </c>
      <c r="BS222">
        <f t="shared" si="655"/>
        <v>4716</v>
      </c>
      <c r="BT222">
        <f t="shared" si="656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57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58"/>
        <v>150</v>
      </c>
      <c r="CA222">
        <f t="shared" si="659"/>
        <v>32410</v>
      </c>
      <c r="CB222">
        <f>_xlfn.XLOOKUP(B222,'[8]october-2026'!$A:$A,'[8]october-2026'!$C:$C,0,0)</f>
        <v>26200</v>
      </c>
      <c r="CC222">
        <f t="shared" si="660"/>
        <v>4716</v>
      </c>
      <c r="CD222">
        <f t="shared" si="661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62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63"/>
        <v>150</v>
      </c>
      <c r="CK222">
        <f t="shared" si="664"/>
        <v>32410</v>
      </c>
      <c r="CL222">
        <f>_xlfn.XLOOKUP(B222,'[9]november-2026'!$A:$A,'[9]november-2026'!$C:$C,0,0)</f>
        <v>26200</v>
      </c>
      <c r="CM222">
        <f t="shared" si="665"/>
        <v>4716</v>
      </c>
      <c r="CN222">
        <f t="shared" si="666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67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68"/>
        <v>150</v>
      </c>
      <c r="CU222">
        <f t="shared" si="669"/>
        <v>32410</v>
      </c>
      <c r="CV222">
        <f>_xlfn.XLOOKUP(B222,'[10]december-2026'!$A:$A,'[10]december-2026'!$C:$C,0,0)</f>
        <v>26200</v>
      </c>
      <c r="CW222">
        <f t="shared" si="670"/>
        <v>4716</v>
      </c>
      <c r="CX222">
        <f t="shared" si="671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72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73"/>
        <v>150</v>
      </c>
      <c r="DE222">
        <f t="shared" si="674"/>
        <v>32410</v>
      </c>
      <c r="DF222">
        <f xml:space="preserve"> _xlfn.XLOOKUP(B222,
'[11]january-2027'!$A:$A,
'[11]january-2027'!$C:$C,
0,0)</f>
        <v>26200</v>
      </c>
      <c r="DG222">
        <f t="shared" si="675"/>
        <v>4716</v>
      </c>
      <c r="DH222">
        <f t="shared" si="676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77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78"/>
        <v>150</v>
      </c>
      <c r="DO222">
        <f t="shared" si="679"/>
        <v>32410</v>
      </c>
      <c r="DP222">
        <f xml:space="preserve"> _xlfn.XLOOKUP(B222,
'[12]february-2027'!$A:$A,
'[12]february-2027'!$C:$C,
0,0)</f>
        <v>26200</v>
      </c>
      <c r="DQ222">
        <f t="shared" si="680"/>
        <v>4716</v>
      </c>
      <c r="DR222">
        <f t="shared" si="681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82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83"/>
        <v>150</v>
      </c>
      <c r="DY222">
        <f t="shared" si="684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_xlfn.XLOOKUP(B225,
'[11]january-2027'!$A:$A,
'[11]january-2027'!$J:$J,
0,0)</f>
        <v>0</v>
      </c>
      <c r="EK222">
        <f xml:space="preserve"> _xlfn.XLOOKUP(B225,
'[12]february-2027'!$A:$A,
'[12]february-2027'!$J:$J,
0,0)</f>
        <v>0</v>
      </c>
      <c r="EL222">
        <f t="shared" si="685"/>
        <v>0</v>
      </c>
      <c r="EM222">
        <f t="shared" si="686"/>
        <v>417580</v>
      </c>
      <c r="EN222">
        <f t="shared" si="687"/>
        <v>1800</v>
      </c>
      <c r="EO222">
        <f t="shared" si="688"/>
        <v>50000</v>
      </c>
      <c r="EP222">
        <v>0</v>
      </c>
      <c r="EQ222">
        <f t="shared" si="690"/>
        <v>365780</v>
      </c>
      <c r="ER222">
        <f t="shared" si="691"/>
        <v>24000</v>
      </c>
      <c r="ES222">
        <f t="shared" si="692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693"/>
        <v>24000</v>
      </c>
      <c r="FE222">
        <f t="shared" si="694"/>
        <v>24000</v>
      </c>
      <c r="FF222">
        <f t="shared" si="695"/>
        <v>341780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>SUM(FG222:FM222)+(IF(F222="YES",50000,0))</f>
        <v>0</v>
      </c>
      <c r="FO222">
        <f t="shared" si="696"/>
        <v>341780</v>
      </c>
      <c r="FP222">
        <f t="shared" si="697"/>
        <v>4589</v>
      </c>
      <c r="FQ222">
        <f t="shared" si="698"/>
        <v>0</v>
      </c>
      <c r="FR222">
        <f t="shared" si="699"/>
        <v>4589</v>
      </c>
      <c r="FS222">
        <f t="shared" si="700"/>
        <v>0</v>
      </c>
      <c r="FT222">
        <f t="shared" si="701"/>
        <v>0</v>
      </c>
      <c r="FU222">
        <f t="shared" si="702"/>
        <v>0</v>
      </c>
      <c r="FV222">
        <v>0</v>
      </c>
      <c r="FW222">
        <f t="shared" si="703"/>
        <v>0</v>
      </c>
      <c r="FX222" t="b">
        <f t="shared" si="704"/>
        <v>0</v>
      </c>
      <c r="FY222">
        <f t="shared" ca="1" si="705"/>
        <v>2530</v>
      </c>
      <c r="FZ222">
        <f t="shared" ca="1" si="706"/>
        <v>420110</v>
      </c>
      <c r="GA222">
        <f t="shared" si="707"/>
        <v>75000</v>
      </c>
      <c r="GB222">
        <f t="shared" ca="1" si="708"/>
        <v>345110</v>
      </c>
      <c r="GC222">
        <f t="shared" ca="1" si="709"/>
        <v>0</v>
      </c>
      <c r="GD222">
        <f t="shared" ca="1" si="710"/>
        <v>0</v>
      </c>
      <c r="GE222">
        <f t="shared" ca="1" si="711"/>
        <v>0</v>
      </c>
      <c r="GF222">
        <f t="shared" ca="1" si="712"/>
        <v>0</v>
      </c>
      <c r="GG222">
        <f t="shared" ca="1" si="713"/>
        <v>0</v>
      </c>
      <c r="GH222">
        <f t="shared" ca="1" si="714"/>
        <v>0</v>
      </c>
      <c r="GI222">
        <f ca="1">IF(GB222&gt;1200000,GB222-1200000-IF(F222="YES",50000,0)-GG222,0)</f>
        <v>0</v>
      </c>
      <c r="GJ222">
        <f t="shared" ca="1" si="715"/>
        <v>0</v>
      </c>
      <c r="GK222">
        <f t="shared" ca="1" si="716"/>
        <v>0</v>
      </c>
      <c r="GL222">
        <f t="shared" ca="1" si="717"/>
        <v>0</v>
      </c>
      <c r="GM222">
        <f t="shared" ca="1" si="718"/>
        <v>0</v>
      </c>
      <c r="GN222">
        <f t="shared" ca="1" si="719"/>
        <v>0</v>
      </c>
      <c r="GO222">
        <f t="shared" ca="1" si="720"/>
        <v>0</v>
      </c>
      <c r="GP222">
        <f t="shared" ca="1" si="721"/>
        <v>0</v>
      </c>
      <c r="GQ222">
        <f t="shared" ca="1" si="722"/>
        <v>0</v>
      </c>
      <c r="GR222">
        <f t="shared" ca="1" si="723"/>
        <v>0</v>
      </c>
      <c r="GS222">
        <f t="shared" ca="1" si="724"/>
        <v>0</v>
      </c>
      <c r="GT222" t="b">
        <f t="shared" ca="1" si="725"/>
        <v>0</v>
      </c>
      <c r="GU222">
        <f t="shared" ca="1" si="726"/>
        <v>0</v>
      </c>
      <c r="GV222">
        <f t="shared" ca="1" si="727"/>
        <v>0</v>
      </c>
      <c r="GW222">
        <f t="shared" ca="1" si="728"/>
        <v>0</v>
      </c>
      <c r="GX222">
        <f t="shared" ca="1" si="729"/>
        <v>0</v>
      </c>
      <c r="GY222">
        <f t="shared" ca="1" si="730"/>
        <v>0</v>
      </c>
    </row>
    <row r="223" spans="1:207" x14ac:dyDescent="0.25">
      <c r="A223">
        <f>_xlfn.AGGREGATE(3,5,$B$2:B223)</f>
        <v>222</v>
      </c>
      <c r="B223" t="s">
        <v>539</v>
      </c>
      <c r="C223" t="s">
        <v>540</v>
      </c>
      <c r="D223" t="s">
        <v>804</v>
      </c>
      <c r="E223" t="s">
        <v>831</v>
      </c>
      <c r="F223" t="s">
        <v>952</v>
      </c>
      <c r="G223" t="s">
        <v>884</v>
      </c>
      <c r="H223">
        <f t="shared" si="625"/>
        <v>6800</v>
      </c>
      <c r="I223">
        <f>_xlfn.XLOOKUP(B223,'[1]march-2026'!$A:$A,'[1]march-2026'!$C:$C,0,0)</f>
        <v>53300</v>
      </c>
      <c r="J223">
        <f t="shared" si="689"/>
        <v>9594</v>
      </c>
      <c r="K223">
        <f t="shared" si="626"/>
        <v>6396</v>
      </c>
      <c r="L223">
        <f>_xlfn.XLOOKUP(B223,'[1]march-2026'!$A:$A,'[1]march-2026'!$D:$D,0,0)</f>
        <v>400</v>
      </c>
      <c r="M223">
        <f>_xlfn.XLOOKUP(B223,'[1]march-2026'!$A:$A,'[1]march-2026'!$G:$G,0,0)</f>
        <v>500</v>
      </c>
      <c r="N223">
        <f t="shared" si="627"/>
        <v>70190</v>
      </c>
      <c r="O223">
        <f>_xlfn.XLOOKUP(B223,'[1]march-2026'!$A:$A,'[1]march-2026'!$H:$H,0,0)</f>
        <v>10000</v>
      </c>
      <c r="P223">
        <f>_xlfn.XLOOKUP(B223,'[1]march-2026'!$A:$A,'[1]march-2026'!$I:$I,0,0)</f>
        <v>0</v>
      </c>
      <c r="Q223">
        <f t="shared" si="628"/>
        <v>200</v>
      </c>
      <c r="R223">
        <f t="shared" si="629"/>
        <v>59990</v>
      </c>
      <c r="S223">
        <f>_xlfn.XLOOKUP(B223,'[2]april-2026'!$A:$A,'[2]april-2026'!$C:$C,0,0)</f>
        <v>53300</v>
      </c>
      <c r="T223">
        <f t="shared" si="630"/>
        <v>9594</v>
      </c>
      <c r="U223">
        <f t="shared" si="631"/>
        <v>6396</v>
      </c>
      <c r="V223">
        <f>_xlfn.XLOOKUP(B223,'[2]april-2026'!$A:$A,'[2]april-2026'!$D:$D,0,0)</f>
        <v>400</v>
      </c>
      <c r="W223">
        <f>_xlfn.XLOOKUP(B223,'[2]april-2026'!$A:$A,'[2]april-2026'!$G:$G,0,0)</f>
        <v>500</v>
      </c>
      <c r="X223">
        <f t="shared" si="632"/>
        <v>70190</v>
      </c>
      <c r="Y223">
        <f>_xlfn.XLOOKUP(B223,'[2]april-2026'!$A:$A,'[2]april-2026'!$H:$H,0,0)</f>
        <v>10000</v>
      </c>
      <c r="Z223">
        <f>_xlfn.XLOOKUP(B223,'[2]april-2026'!$A:$A,'[2]april-2026'!$I:$I,0,0)</f>
        <v>0</v>
      </c>
      <c r="AA223">
        <f t="shared" si="633"/>
        <v>200</v>
      </c>
      <c r="AB223">
        <f t="shared" si="634"/>
        <v>59990</v>
      </c>
      <c r="AC223">
        <f>_xlfn.XLOOKUP(B223,'[3]may-2026'!$A:$A,'[3]may-2026'!$C:$C,0,0)</f>
        <v>53300</v>
      </c>
      <c r="AD223">
        <f t="shared" si="635"/>
        <v>9594</v>
      </c>
      <c r="AE223">
        <f t="shared" si="636"/>
        <v>6396</v>
      </c>
      <c r="AF223">
        <f>_xlfn.XLOOKUP(B223,'[3]may-2026'!$A:$A,'[3]may-2026'!$D:$D,0,0)</f>
        <v>400</v>
      </c>
      <c r="AG223">
        <f>_xlfn.XLOOKUP(B223,'[3]may-2026'!$A:$A,'[3]may-2026'!$G:$G,0,0)</f>
        <v>500</v>
      </c>
      <c r="AH223">
        <f t="shared" si="637"/>
        <v>70190</v>
      </c>
      <c r="AI223">
        <f>_xlfn.XLOOKUP(B223,'[3]may-2026'!$A:$A,'[3]may-2026'!$H:$H,0,0)</f>
        <v>10000</v>
      </c>
      <c r="AJ223">
        <f>_xlfn.XLOOKUP(B223,'[3]may-2026'!$A:$A,'[3]may-2026'!$I:$I,0,0)</f>
        <v>0</v>
      </c>
      <c r="AK223">
        <f t="shared" si="638"/>
        <v>200</v>
      </c>
      <c r="AL223">
        <f t="shared" si="639"/>
        <v>59990</v>
      </c>
      <c r="AM223">
        <f>_xlfn.XLOOKUP(B223,'[4]june-2026'!$A:$A,'[4]june-2026'!$C:$C,0,0)</f>
        <v>53300</v>
      </c>
      <c r="AN223">
        <f t="shared" si="640"/>
        <v>9594</v>
      </c>
      <c r="AO223">
        <f t="shared" si="641"/>
        <v>6396</v>
      </c>
      <c r="AP223">
        <f>_xlfn.XLOOKUP(B223,'[4]june-2026'!$A:$A,'[4]june-2026'!$D:$D,0,0)</f>
        <v>400</v>
      </c>
      <c r="AQ223">
        <f>_xlfn.XLOOKUP(B223,'[4]june-2026'!$A:$A,'[4]june-2026'!$G:$G,0,0)</f>
        <v>500</v>
      </c>
      <c r="AR223">
        <f t="shared" si="642"/>
        <v>70190</v>
      </c>
      <c r="AS223">
        <f>_xlfn.XLOOKUP(B223,'[4]june-2026'!$A:$A,'[4]june-2026'!$H:$H,0,0)</f>
        <v>10000</v>
      </c>
      <c r="AT223">
        <f>_xlfn.XLOOKUP(B223,'[4]june-2026'!$A:$A,'[4]june-2026'!$I:$I,0,0)</f>
        <v>0</v>
      </c>
      <c r="AU223">
        <f t="shared" si="643"/>
        <v>200</v>
      </c>
      <c r="AV223">
        <f t="shared" si="644"/>
        <v>59990</v>
      </c>
      <c r="AW223">
        <f>_xlfn.XLOOKUP(B223,'[5]july-2026'!$A:$A,'[5]july-2026'!$C:$C,0,0)</f>
        <v>54900</v>
      </c>
      <c r="AX223">
        <f t="shared" si="645"/>
        <v>9882</v>
      </c>
      <c r="AY223">
        <v>221</v>
      </c>
      <c r="AZ223">
        <f t="shared" si="646"/>
        <v>6588</v>
      </c>
      <c r="BA223">
        <f>_xlfn.XLOOKUP(B223,'[5]july-2026'!$A:$A,'[5]july-2026'!$D:$D,0,0)</f>
        <v>400</v>
      </c>
      <c r="BB223">
        <f>_xlfn.XLOOKUP(B223,'[5]july-2026'!$A:$A,'[5]july-2026'!$G:$G,0,0)</f>
        <v>500</v>
      </c>
      <c r="BC223">
        <f t="shared" si="647"/>
        <v>72491</v>
      </c>
      <c r="BD223">
        <f>_xlfn.XLOOKUP(B223,'[5]july-2026'!$A:$A,'[5]july-2026'!$H:$H,0,0)</f>
        <v>10000</v>
      </c>
      <c r="BE223">
        <f>_xlfn.XLOOKUP(B223,'[5]july-2026'!$A:$A,'[5]july-2026'!$I:$I,0,0)</f>
        <v>0</v>
      </c>
      <c r="BF223">
        <f t="shared" si="648"/>
        <v>200</v>
      </c>
      <c r="BG223">
        <f t="shared" si="649"/>
        <v>62291</v>
      </c>
      <c r="BH223">
        <f>_xlfn.XLOOKUP(B223,'[6]august-2026'!$A:$A,'[6]august-2026'!$C:$C,0,0)</f>
        <v>54900</v>
      </c>
      <c r="BI223">
        <f t="shared" si="650"/>
        <v>9882</v>
      </c>
      <c r="BJ223">
        <f t="shared" si="651"/>
        <v>6588</v>
      </c>
      <c r="BK223">
        <f>_xlfn.XLOOKUP(B223,'[6]august-2026'!$A:$A,'[6]august-2026'!$D:$D,0,0)</f>
        <v>400</v>
      </c>
      <c r="BL223">
        <f>_xlfn.XLOOKUP(B223,'[6]august-2026'!$A:$A,'[6]august-2026'!$G:$G,0,0)</f>
        <v>500</v>
      </c>
      <c r="BM223">
        <f t="shared" si="652"/>
        <v>72270</v>
      </c>
      <c r="BN223">
        <f>_xlfn.XLOOKUP(B223,'[6]august-2026'!$A:$A,'[6]august-2026'!$H:$H,0,0)</f>
        <v>10000</v>
      </c>
      <c r="BO223">
        <f>_xlfn.XLOOKUP(B223,'[6]august-2026'!$A:$A,'[6]august-2026'!$I:$I,0,0)</f>
        <v>0</v>
      </c>
      <c r="BP223">
        <f t="shared" si="653"/>
        <v>200</v>
      </c>
      <c r="BQ223">
        <f t="shared" si="654"/>
        <v>62070</v>
      </c>
      <c r="BR223">
        <f>_xlfn.XLOOKUP(B223,'[7]september-2026'!$A:$A,'[7]september-2026'!$C:$C,0,0)</f>
        <v>54900</v>
      </c>
      <c r="BS223">
        <f t="shared" si="655"/>
        <v>9882</v>
      </c>
      <c r="BT223">
        <f t="shared" si="656"/>
        <v>6588</v>
      </c>
      <c r="BU223">
        <f>_xlfn.XLOOKUP(B223,'[7]september-2026'!$A:$A,'[7]september-2026'!$D:$D,0,0)</f>
        <v>400</v>
      </c>
      <c r="BV223">
        <f>_xlfn.XLOOKUP(B223,'[7]september-2026'!$A:$A,'[7]september-2026'!$G:$G,0,0)</f>
        <v>500</v>
      </c>
      <c r="BW223">
        <f t="shared" si="657"/>
        <v>72270</v>
      </c>
      <c r="BX223">
        <f>_xlfn.XLOOKUP(B223,'[7]september-2026'!$A:$A,'[7]september-2026'!$H:$H,0,0)</f>
        <v>10000</v>
      </c>
      <c r="BY223">
        <f>_xlfn.XLOOKUP(B223,'[7]september-2026'!$A:$A,'[7]september-2026'!$I:$I,0,0)</f>
        <v>0</v>
      </c>
      <c r="BZ223">
        <f t="shared" si="658"/>
        <v>200</v>
      </c>
      <c r="CA223">
        <f t="shared" si="659"/>
        <v>62070</v>
      </c>
      <c r="CB223">
        <f>_xlfn.XLOOKUP(B223,'[8]october-2026'!$A:$A,'[8]october-2026'!$C:$C,0,0)</f>
        <v>54900</v>
      </c>
      <c r="CC223">
        <f t="shared" si="660"/>
        <v>9882</v>
      </c>
      <c r="CD223">
        <f t="shared" si="661"/>
        <v>6588</v>
      </c>
      <c r="CE223">
        <f>_xlfn.XLOOKUP(B223,'[8]october-2026'!$A:$A,'[8]october-2026'!$D:$D,0,0)</f>
        <v>400</v>
      </c>
      <c r="CF223">
        <f>_xlfn.XLOOKUP(B223,'[8]october-2026'!$A:$A,'[8]october-2026'!$G:$G,0,0)</f>
        <v>500</v>
      </c>
      <c r="CG223">
        <f t="shared" si="662"/>
        <v>72270</v>
      </c>
      <c r="CH223">
        <f>_xlfn.XLOOKUP(B223,'[8]october-2026'!$A:$A,'[8]october-2026'!$H:$H,0,0)</f>
        <v>10000</v>
      </c>
      <c r="CI223">
        <f>_xlfn.XLOOKUP(B223,'[8]october-2026'!$A:$A,'[8]october-2026'!$I:$I,0,0)</f>
        <v>0</v>
      </c>
      <c r="CJ223">
        <f t="shared" si="663"/>
        <v>200</v>
      </c>
      <c r="CK223">
        <f t="shared" si="664"/>
        <v>62070</v>
      </c>
      <c r="CL223">
        <f>_xlfn.XLOOKUP(B223,'[9]november-2026'!$A:$A,'[9]november-2026'!$C:$C,0,0)</f>
        <v>54900</v>
      </c>
      <c r="CM223">
        <f t="shared" si="665"/>
        <v>9882</v>
      </c>
      <c r="CN223">
        <f t="shared" si="666"/>
        <v>6588</v>
      </c>
      <c r="CO223">
        <f>_xlfn.XLOOKUP(B223,'[9]november-2026'!$A:$A,'[9]november-2026'!$D:$D,0,0)</f>
        <v>400</v>
      </c>
      <c r="CP223">
        <f>_xlfn.XLOOKUP(B223,'[9]november-2026'!$A:$A,'[9]november-2026'!$G:$G,0,0)</f>
        <v>500</v>
      </c>
      <c r="CQ223">
        <f t="shared" si="667"/>
        <v>72270</v>
      </c>
      <c r="CR223">
        <f>_xlfn.XLOOKUP(B223,'[9]november-2026'!$A:$A,'[9]november-2026'!$H:$H,0,0)</f>
        <v>10000</v>
      </c>
      <c r="CS223">
        <f>_xlfn.XLOOKUP(B223,'[9]november-2026'!$A:$A,'[9]november-2026'!$I:$I,0,0)</f>
        <v>0</v>
      </c>
      <c r="CT223">
        <f t="shared" si="668"/>
        <v>200</v>
      </c>
      <c r="CU223">
        <f t="shared" si="669"/>
        <v>62070</v>
      </c>
      <c r="CV223">
        <f>_xlfn.XLOOKUP(B223,'[10]december-2026'!$A:$A,'[10]december-2026'!$C:$C,0,0)</f>
        <v>54900</v>
      </c>
      <c r="CW223">
        <f t="shared" si="670"/>
        <v>9882</v>
      </c>
      <c r="CX223">
        <f t="shared" si="671"/>
        <v>6588</v>
      </c>
      <c r="CY223">
        <f>_xlfn.XLOOKUP(B223,'[10]december-2026'!$A:$A,'[10]december-2026'!$D:$D,0,0)</f>
        <v>400</v>
      </c>
      <c r="CZ223">
        <f>_xlfn.XLOOKUP(B223,'[10]december-2026'!$A:$A,'[10]december-2026'!$G:$G,0,0)</f>
        <v>500</v>
      </c>
      <c r="DA223">
        <f t="shared" si="672"/>
        <v>72270</v>
      </c>
      <c r="DB223">
        <f>_xlfn.XLOOKUP(B223,'[10]december-2026'!$A:$A,'[10]december-2026'!$H:$H,0,0)</f>
        <v>10000</v>
      </c>
      <c r="DC223">
        <f>_xlfn.XLOOKUP(B223,'[10]december-2026'!$A:$A,'[10]december-2026'!$I:$I,0,0)</f>
        <v>0</v>
      </c>
      <c r="DD223">
        <f t="shared" si="673"/>
        <v>200</v>
      </c>
      <c r="DE223">
        <f t="shared" si="674"/>
        <v>62070</v>
      </c>
      <c r="DF223">
        <f xml:space="preserve"> _xlfn.XLOOKUP(B223,
'[11]january-2027'!$A:$A,
'[11]january-2027'!$C:$C,
0,0)</f>
        <v>54900</v>
      </c>
      <c r="DG223">
        <f t="shared" si="675"/>
        <v>9882</v>
      </c>
      <c r="DH223">
        <f t="shared" si="676"/>
        <v>6588</v>
      </c>
      <c r="DI223">
        <f xml:space="preserve"> _xlfn.XLOOKUP(B223,
'[11]january-2027'!$A:$A,
'[11]january-2027'!$D:$D,
0,0)</f>
        <v>400</v>
      </c>
      <c r="DJ223">
        <f xml:space="preserve"> _xlfn.XLOOKUP(B223,
'[11]january-2027'!$A:$A,
'[11]january-2027'!$G:$G,
0,0)</f>
        <v>500</v>
      </c>
      <c r="DK223">
        <f t="shared" si="677"/>
        <v>72270</v>
      </c>
      <c r="DL223">
        <f xml:space="preserve"> _xlfn.XLOOKUP(B223,
'[11]january-2027'!$A:$A,
'[11]january-2027'!$H:$H,
0,0)</f>
        <v>10000</v>
      </c>
      <c r="DM223">
        <f xml:space="preserve"> _xlfn.XLOOKUP(B223,
'[11]january-2027'!$A:$A,
'[11]january-2027'!$I:$I,
0,0)</f>
        <v>0</v>
      </c>
      <c r="DN223">
        <f t="shared" si="678"/>
        <v>200</v>
      </c>
      <c r="DO223">
        <f t="shared" si="679"/>
        <v>62070</v>
      </c>
      <c r="DP223">
        <f xml:space="preserve"> _xlfn.XLOOKUP(B223,
'[12]february-2027'!$A:$A,
'[12]february-2027'!$C:$C,
0,0)</f>
        <v>54900</v>
      </c>
      <c r="DQ223">
        <f t="shared" si="680"/>
        <v>9882</v>
      </c>
      <c r="DR223">
        <f t="shared" si="681"/>
        <v>6588</v>
      </c>
      <c r="DS223">
        <f xml:space="preserve"> _xlfn.XLOOKUP(B223,
'[12]february-2027'!$A:$A,
'[12]february-2027'!$D:$D,
0,0)</f>
        <v>400</v>
      </c>
      <c r="DT223">
        <f xml:space="preserve"> _xlfn.XLOOKUP(B223,
'[12]february-2027'!$A:$A,
'[12]february-2027'!$G:$G,
0,0)</f>
        <v>500</v>
      </c>
      <c r="DU223">
        <f t="shared" si="682"/>
        <v>72270</v>
      </c>
      <c r="DV223">
        <f xml:space="preserve"> _xlfn.XLOOKUP(B223,
'[12]february-2027'!$A:$A,
'[12]february-2027'!$H:$H,
0,0)</f>
        <v>10000</v>
      </c>
      <c r="DW223">
        <f xml:space="preserve"> _xlfn.XLOOKUP(B223,
'[12]february-2027'!$A:$A,
'[12]february-2027'!$I:$I,
0,0)</f>
        <v>0</v>
      </c>
      <c r="DX223">
        <f t="shared" si="683"/>
        <v>200</v>
      </c>
      <c r="DY223">
        <f t="shared" si="684"/>
        <v>62070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_xlfn.XLOOKUP(B226,
'[11]january-2027'!$A:$A,
'[11]january-2027'!$J:$J,
0,0)</f>
        <v>0</v>
      </c>
      <c r="EK223">
        <f xml:space="preserve"> _xlfn.XLOOKUP(B226,
'[12]february-2027'!$A:$A,
'[12]february-2027'!$J:$J,
0,0)</f>
        <v>0</v>
      </c>
      <c r="EL223">
        <f t="shared" si="685"/>
        <v>0</v>
      </c>
      <c r="EM223">
        <f t="shared" si="686"/>
        <v>865941</v>
      </c>
      <c r="EN223">
        <f t="shared" si="687"/>
        <v>2400</v>
      </c>
      <c r="EO223">
        <f t="shared" si="688"/>
        <v>50000</v>
      </c>
      <c r="EP223">
        <v>0</v>
      </c>
      <c r="EQ223">
        <f t="shared" si="690"/>
        <v>813541</v>
      </c>
      <c r="ER223">
        <f t="shared" si="691"/>
        <v>120000</v>
      </c>
      <c r="ES223">
        <f t="shared" si="692"/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si="693"/>
        <v>120000</v>
      </c>
      <c r="FE223">
        <f t="shared" si="694"/>
        <v>120000</v>
      </c>
      <c r="FF223">
        <f t="shared" si="695"/>
        <v>693541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>SUM(FG223:FM223)+(IF(F223="YES",50000,0))</f>
        <v>0</v>
      </c>
      <c r="FO223">
        <f t="shared" si="696"/>
        <v>693541</v>
      </c>
      <c r="FP223">
        <f t="shared" si="697"/>
        <v>12500</v>
      </c>
      <c r="FQ223">
        <f t="shared" si="698"/>
        <v>38708</v>
      </c>
      <c r="FR223">
        <f t="shared" si="699"/>
        <v>51208</v>
      </c>
      <c r="FS223">
        <f t="shared" si="700"/>
        <v>51208</v>
      </c>
      <c r="FT223">
        <f t="shared" si="701"/>
        <v>2048.3200000000002</v>
      </c>
      <c r="FU223">
        <f t="shared" si="702"/>
        <v>53256</v>
      </c>
      <c r="FV223">
        <v>0</v>
      </c>
      <c r="FW223">
        <f t="shared" si="703"/>
        <v>53256</v>
      </c>
      <c r="FX223" t="b">
        <f t="shared" si="704"/>
        <v>1</v>
      </c>
      <c r="FY223">
        <f t="shared" ca="1" si="705"/>
        <v>835</v>
      </c>
      <c r="FZ223">
        <f t="shared" ca="1" si="706"/>
        <v>866776</v>
      </c>
      <c r="GA223">
        <f t="shared" si="707"/>
        <v>75000</v>
      </c>
      <c r="GB223">
        <f t="shared" ca="1" si="708"/>
        <v>791776</v>
      </c>
      <c r="GC223">
        <f t="shared" ca="1" si="709"/>
        <v>0</v>
      </c>
      <c r="GD223">
        <f t="shared" ca="1" si="710"/>
        <v>0</v>
      </c>
      <c r="GE223">
        <f t="shared" ca="1" si="711"/>
        <v>0</v>
      </c>
      <c r="GF223">
        <f t="shared" ca="1" si="712"/>
        <v>0</v>
      </c>
      <c r="GG223">
        <f t="shared" ca="1" si="713"/>
        <v>0</v>
      </c>
      <c r="GH223">
        <f t="shared" ca="1" si="714"/>
        <v>0</v>
      </c>
      <c r="GI223">
        <f ca="1">IF(GB223&gt;1200000,GB223-1200000-IF(F223="YES",50000,0)-GG223,0)</f>
        <v>0</v>
      </c>
      <c r="GJ223">
        <f t="shared" ca="1" si="715"/>
        <v>0</v>
      </c>
      <c r="GK223">
        <f t="shared" ca="1" si="716"/>
        <v>0</v>
      </c>
      <c r="GL223">
        <f t="shared" ca="1" si="717"/>
        <v>0</v>
      </c>
      <c r="GM223">
        <f t="shared" ca="1" si="718"/>
        <v>391776</v>
      </c>
      <c r="GN223">
        <f t="shared" ca="1" si="719"/>
        <v>19588.8</v>
      </c>
      <c r="GO223">
        <f t="shared" ca="1" si="720"/>
        <v>19589</v>
      </c>
      <c r="GP223">
        <f t="shared" ca="1" si="721"/>
        <v>0</v>
      </c>
      <c r="GQ223">
        <f t="shared" ca="1" si="722"/>
        <v>0</v>
      </c>
      <c r="GR223">
        <f t="shared" ca="1" si="723"/>
        <v>19589</v>
      </c>
      <c r="GS223">
        <f t="shared" ca="1" si="724"/>
        <v>0</v>
      </c>
      <c r="GT223" t="b">
        <f t="shared" ca="1" si="725"/>
        <v>0</v>
      </c>
      <c r="GU223">
        <f t="shared" ca="1" si="726"/>
        <v>0</v>
      </c>
      <c r="GV223">
        <f t="shared" ca="1" si="727"/>
        <v>19589</v>
      </c>
      <c r="GW223">
        <f t="shared" ca="1" si="728"/>
        <v>0</v>
      </c>
      <c r="GX223">
        <f t="shared" ca="1" si="729"/>
        <v>0</v>
      </c>
      <c r="GY223">
        <f t="shared" ca="1" si="730"/>
        <v>0</v>
      </c>
    </row>
    <row r="224" spans="1:207" x14ac:dyDescent="0.25">
      <c r="A224">
        <f>_xlfn.AGGREGATE(3,5,$B$2:B224)</f>
        <v>223</v>
      </c>
      <c r="B224" t="s">
        <v>541</v>
      </c>
      <c r="C224" t="s">
        <v>542</v>
      </c>
      <c r="D224" t="s">
        <v>804</v>
      </c>
      <c r="E224" t="s">
        <v>831</v>
      </c>
      <c r="F224" t="s">
        <v>952</v>
      </c>
      <c r="G224" t="s">
        <v>906</v>
      </c>
      <c r="H224">
        <f t="shared" si="625"/>
        <v>6800</v>
      </c>
      <c r="I224">
        <f>_xlfn.XLOOKUP(B224,'[1]march-2026'!$A:$A,'[1]march-2026'!$C:$C,0,0)</f>
        <v>48700</v>
      </c>
      <c r="J224">
        <f t="shared" si="689"/>
        <v>8766</v>
      </c>
      <c r="K224">
        <f t="shared" si="626"/>
        <v>5844</v>
      </c>
      <c r="L224">
        <f>_xlfn.XLOOKUP(B224,'[1]march-2026'!$A:$A,'[1]march-2026'!$D:$D,0,0)</f>
        <v>0</v>
      </c>
      <c r="M224">
        <f>_xlfn.XLOOKUP(B224,'[1]march-2026'!$A:$A,'[1]march-2026'!$G:$G,0,0)</f>
        <v>0</v>
      </c>
      <c r="N224">
        <f t="shared" si="627"/>
        <v>63310</v>
      </c>
      <c r="O224">
        <f>_xlfn.XLOOKUP(B224,'[1]march-2026'!$A:$A,'[1]march-2026'!$H:$H,0,0)</f>
        <v>5000</v>
      </c>
      <c r="P224">
        <f>_xlfn.XLOOKUP(B224,'[1]march-2026'!$A:$A,'[1]march-2026'!$I:$I,0,0)</f>
        <v>0</v>
      </c>
      <c r="Q224">
        <f t="shared" si="628"/>
        <v>200</v>
      </c>
      <c r="R224">
        <f t="shared" si="629"/>
        <v>58110</v>
      </c>
      <c r="S224">
        <f>_xlfn.XLOOKUP(B224,'[2]april-2026'!$A:$A,'[2]april-2026'!$C:$C,0,0)</f>
        <v>48700</v>
      </c>
      <c r="T224">
        <f t="shared" si="630"/>
        <v>8766</v>
      </c>
      <c r="U224">
        <f t="shared" si="631"/>
        <v>5844</v>
      </c>
      <c r="V224">
        <f>_xlfn.XLOOKUP(B224,'[2]april-2026'!$A:$A,'[2]april-2026'!$D:$D,0,0)</f>
        <v>0</v>
      </c>
      <c r="W224">
        <f>_xlfn.XLOOKUP(B224,'[2]april-2026'!$A:$A,'[2]april-2026'!$G:$G,0,0)</f>
        <v>0</v>
      </c>
      <c r="X224">
        <f t="shared" si="632"/>
        <v>63310</v>
      </c>
      <c r="Y224">
        <f>_xlfn.XLOOKUP(B224,'[2]april-2026'!$A:$A,'[2]april-2026'!$H:$H,0,0)</f>
        <v>5000</v>
      </c>
      <c r="Z224">
        <f>_xlfn.XLOOKUP(B224,'[2]april-2026'!$A:$A,'[2]april-2026'!$I:$I,0,0)</f>
        <v>0</v>
      </c>
      <c r="AA224">
        <f t="shared" si="633"/>
        <v>200</v>
      </c>
      <c r="AB224">
        <f t="shared" si="634"/>
        <v>58110</v>
      </c>
      <c r="AC224">
        <f>_xlfn.XLOOKUP(B224,'[3]may-2026'!$A:$A,'[3]may-2026'!$C:$C,0,0)</f>
        <v>48700</v>
      </c>
      <c r="AD224">
        <f t="shared" si="635"/>
        <v>8766</v>
      </c>
      <c r="AE224">
        <f t="shared" si="636"/>
        <v>5844</v>
      </c>
      <c r="AF224">
        <f>_xlfn.XLOOKUP(B224,'[3]may-2026'!$A:$A,'[3]may-2026'!$D:$D,0,0)</f>
        <v>0</v>
      </c>
      <c r="AG224">
        <f>_xlfn.XLOOKUP(B224,'[3]may-2026'!$A:$A,'[3]may-2026'!$G:$G,0,0)</f>
        <v>0</v>
      </c>
      <c r="AH224">
        <f t="shared" si="637"/>
        <v>63310</v>
      </c>
      <c r="AI224">
        <f>_xlfn.XLOOKUP(B224,'[3]may-2026'!$A:$A,'[3]may-2026'!$H:$H,0,0)</f>
        <v>5000</v>
      </c>
      <c r="AJ224">
        <f>_xlfn.XLOOKUP(B224,'[3]may-2026'!$A:$A,'[3]may-2026'!$I:$I,0,0)</f>
        <v>0</v>
      </c>
      <c r="AK224">
        <f t="shared" si="638"/>
        <v>200</v>
      </c>
      <c r="AL224">
        <f t="shared" si="639"/>
        <v>58110</v>
      </c>
      <c r="AM224">
        <f>_xlfn.XLOOKUP(B224,'[4]june-2026'!$A:$A,'[4]june-2026'!$C:$C,0,0)</f>
        <v>48700</v>
      </c>
      <c r="AN224">
        <f t="shared" si="640"/>
        <v>8766</v>
      </c>
      <c r="AO224">
        <f t="shared" si="641"/>
        <v>5844</v>
      </c>
      <c r="AP224">
        <f>_xlfn.XLOOKUP(B224,'[4]june-2026'!$A:$A,'[4]june-2026'!$D:$D,0,0)</f>
        <v>0</v>
      </c>
      <c r="AQ224">
        <f>_xlfn.XLOOKUP(B224,'[4]june-2026'!$A:$A,'[4]june-2026'!$G:$G,0,0)</f>
        <v>0</v>
      </c>
      <c r="AR224">
        <f t="shared" si="642"/>
        <v>63310</v>
      </c>
      <c r="AS224">
        <f>_xlfn.XLOOKUP(B224,'[4]june-2026'!$A:$A,'[4]june-2026'!$H:$H,0,0)</f>
        <v>5000</v>
      </c>
      <c r="AT224">
        <f>_xlfn.XLOOKUP(B224,'[4]june-2026'!$A:$A,'[4]june-2026'!$I:$I,0,0)</f>
        <v>0</v>
      </c>
      <c r="AU224">
        <f t="shared" si="643"/>
        <v>200</v>
      </c>
      <c r="AV224">
        <f t="shared" si="644"/>
        <v>58110</v>
      </c>
      <c r="AW224">
        <f>_xlfn.XLOOKUP(B224,'[5]july-2026'!$A:$A,'[5]july-2026'!$C:$C,0,0)</f>
        <v>50200</v>
      </c>
      <c r="AX224">
        <f t="shared" si="645"/>
        <v>9036</v>
      </c>
      <c r="AY224">
        <v>222</v>
      </c>
      <c r="AZ224">
        <f t="shared" si="646"/>
        <v>6024</v>
      </c>
      <c r="BA224">
        <f>_xlfn.XLOOKUP(B224,'[5]july-2026'!$A:$A,'[5]july-2026'!$D:$D,0,0)</f>
        <v>0</v>
      </c>
      <c r="BB224">
        <f>_xlfn.XLOOKUP(B224,'[5]july-2026'!$A:$A,'[5]july-2026'!$G:$G,0,0)</f>
        <v>0</v>
      </c>
      <c r="BC224">
        <f t="shared" si="647"/>
        <v>65482</v>
      </c>
      <c r="BD224">
        <f>_xlfn.XLOOKUP(B224,'[5]july-2026'!$A:$A,'[5]july-2026'!$H:$H,0,0)</f>
        <v>5000</v>
      </c>
      <c r="BE224">
        <f>_xlfn.XLOOKUP(B224,'[5]july-2026'!$A:$A,'[5]july-2026'!$I:$I,0,0)</f>
        <v>0</v>
      </c>
      <c r="BF224">
        <f t="shared" si="648"/>
        <v>200</v>
      </c>
      <c r="BG224">
        <f t="shared" si="649"/>
        <v>60282</v>
      </c>
      <c r="BH224">
        <f>_xlfn.XLOOKUP(B224,'[6]august-2026'!$A:$A,'[6]august-2026'!$C:$C,0,0)</f>
        <v>50200</v>
      </c>
      <c r="BI224">
        <f t="shared" si="650"/>
        <v>9036</v>
      </c>
      <c r="BJ224">
        <f t="shared" si="651"/>
        <v>6024</v>
      </c>
      <c r="BK224">
        <f>_xlfn.XLOOKUP(B224,'[6]august-2026'!$A:$A,'[6]august-2026'!$D:$D,0,0)</f>
        <v>0</v>
      </c>
      <c r="BL224">
        <f>_xlfn.XLOOKUP(B224,'[6]august-2026'!$A:$A,'[6]august-2026'!$G:$G,0,0)</f>
        <v>0</v>
      </c>
      <c r="BM224">
        <f t="shared" si="652"/>
        <v>65260</v>
      </c>
      <c r="BN224">
        <f>_xlfn.XLOOKUP(B224,'[6]august-2026'!$A:$A,'[6]august-2026'!$H:$H,0,0)</f>
        <v>5000</v>
      </c>
      <c r="BO224">
        <f>_xlfn.XLOOKUP(B224,'[6]august-2026'!$A:$A,'[6]august-2026'!$I:$I,0,0)</f>
        <v>0</v>
      </c>
      <c r="BP224">
        <f t="shared" si="653"/>
        <v>200</v>
      </c>
      <c r="BQ224">
        <f t="shared" si="654"/>
        <v>60060</v>
      </c>
      <c r="BR224">
        <f>_xlfn.XLOOKUP(B224,'[7]september-2026'!$A:$A,'[7]september-2026'!$C:$C,0,0)</f>
        <v>50200</v>
      </c>
      <c r="BS224">
        <f t="shared" si="655"/>
        <v>9036</v>
      </c>
      <c r="BT224">
        <f t="shared" si="656"/>
        <v>6024</v>
      </c>
      <c r="BU224">
        <f>_xlfn.XLOOKUP(B224,'[7]september-2026'!$A:$A,'[7]september-2026'!$D:$D,0,0)</f>
        <v>0</v>
      </c>
      <c r="BV224">
        <f>_xlfn.XLOOKUP(B224,'[7]september-2026'!$A:$A,'[7]september-2026'!$G:$G,0,0)</f>
        <v>0</v>
      </c>
      <c r="BW224">
        <f t="shared" si="657"/>
        <v>65260</v>
      </c>
      <c r="BX224">
        <f>_xlfn.XLOOKUP(B224,'[7]september-2026'!$A:$A,'[7]september-2026'!$H:$H,0,0)</f>
        <v>5000</v>
      </c>
      <c r="BY224">
        <f>_xlfn.XLOOKUP(B224,'[7]september-2026'!$A:$A,'[7]september-2026'!$I:$I,0,0)</f>
        <v>0</v>
      </c>
      <c r="BZ224">
        <f t="shared" si="658"/>
        <v>200</v>
      </c>
      <c r="CA224">
        <f t="shared" si="659"/>
        <v>60060</v>
      </c>
      <c r="CB224">
        <f>_xlfn.XLOOKUP(B224,'[8]october-2026'!$A:$A,'[8]october-2026'!$C:$C,0,0)</f>
        <v>50200</v>
      </c>
      <c r="CC224">
        <f t="shared" si="660"/>
        <v>9036</v>
      </c>
      <c r="CD224">
        <f t="shared" si="661"/>
        <v>6024</v>
      </c>
      <c r="CE224">
        <f>_xlfn.XLOOKUP(B224,'[8]october-2026'!$A:$A,'[8]october-2026'!$D:$D,0,0)</f>
        <v>0</v>
      </c>
      <c r="CF224">
        <f>_xlfn.XLOOKUP(B224,'[8]october-2026'!$A:$A,'[8]october-2026'!$G:$G,0,0)</f>
        <v>0</v>
      </c>
      <c r="CG224">
        <f t="shared" si="662"/>
        <v>65260</v>
      </c>
      <c r="CH224">
        <f>_xlfn.XLOOKUP(B224,'[8]october-2026'!$A:$A,'[8]october-2026'!$H:$H,0,0)</f>
        <v>5000</v>
      </c>
      <c r="CI224">
        <f>_xlfn.XLOOKUP(B224,'[8]october-2026'!$A:$A,'[8]october-2026'!$I:$I,0,0)</f>
        <v>0</v>
      </c>
      <c r="CJ224">
        <f t="shared" si="663"/>
        <v>200</v>
      </c>
      <c r="CK224">
        <f t="shared" si="664"/>
        <v>60060</v>
      </c>
      <c r="CL224">
        <f>_xlfn.XLOOKUP(B224,'[9]november-2026'!$A:$A,'[9]november-2026'!$C:$C,0,0)</f>
        <v>50200</v>
      </c>
      <c r="CM224">
        <f t="shared" si="665"/>
        <v>9036</v>
      </c>
      <c r="CN224">
        <f t="shared" si="666"/>
        <v>6024</v>
      </c>
      <c r="CO224">
        <f>_xlfn.XLOOKUP(B224,'[9]november-2026'!$A:$A,'[9]november-2026'!$D:$D,0,0)</f>
        <v>0</v>
      </c>
      <c r="CP224">
        <f>_xlfn.XLOOKUP(B224,'[9]november-2026'!$A:$A,'[9]november-2026'!$G:$G,0,0)</f>
        <v>0</v>
      </c>
      <c r="CQ224">
        <f t="shared" si="667"/>
        <v>65260</v>
      </c>
      <c r="CR224">
        <f>_xlfn.XLOOKUP(B224,'[9]november-2026'!$A:$A,'[9]november-2026'!$H:$H,0,0)</f>
        <v>5000</v>
      </c>
      <c r="CS224">
        <f>_xlfn.XLOOKUP(B224,'[9]november-2026'!$A:$A,'[9]november-2026'!$I:$I,0,0)</f>
        <v>0</v>
      </c>
      <c r="CT224">
        <f t="shared" si="668"/>
        <v>200</v>
      </c>
      <c r="CU224">
        <f t="shared" si="669"/>
        <v>60060</v>
      </c>
      <c r="CV224">
        <f>_xlfn.XLOOKUP(B224,'[10]december-2026'!$A:$A,'[10]december-2026'!$C:$C,0,0)</f>
        <v>50200</v>
      </c>
      <c r="CW224">
        <f t="shared" si="670"/>
        <v>9036</v>
      </c>
      <c r="CX224">
        <f t="shared" si="671"/>
        <v>6024</v>
      </c>
      <c r="CY224">
        <f>_xlfn.XLOOKUP(B224,'[10]december-2026'!$A:$A,'[10]december-2026'!$D:$D,0,0)</f>
        <v>0</v>
      </c>
      <c r="CZ224">
        <f>_xlfn.XLOOKUP(B224,'[10]december-2026'!$A:$A,'[10]december-2026'!$G:$G,0,0)</f>
        <v>0</v>
      </c>
      <c r="DA224">
        <f t="shared" si="672"/>
        <v>65260</v>
      </c>
      <c r="DB224">
        <f>_xlfn.XLOOKUP(B224,'[10]december-2026'!$A:$A,'[10]december-2026'!$H:$H,0,0)</f>
        <v>5000</v>
      </c>
      <c r="DC224">
        <f>_xlfn.XLOOKUP(B224,'[10]december-2026'!$A:$A,'[10]december-2026'!$I:$I,0,0)</f>
        <v>0</v>
      </c>
      <c r="DD224">
        <f t="shared" si="673"/>
        <v>200</v>
      </c>
      <c r="DE224">
        <f t="shared" si="674"/>
        <v>60060</v>
      </c>
      <c r="DF224">
        <f xml:space="preserve"> _xlfn.XLOOKUP(B224,
'[11]january-2027'!$A:$A,
'[11]january-2027'!$C:$C,
0,0)</f>
        <v>50200</v>
      </c>
      <c r="DG224">
        <f t="shared" si="675"/>
        <v>9036</v>
      </c>
      <c r="DH224">
        <f t="shared" si="676"/>
        <v>6024</v>
      </c>
      <c r="DI224">
        <f xml:space="preserve"> _xlfn.XLOOKUP(B224,
'[11]january-2027'!$A:$A,
'[11]january-2027'!$D:$D,
0,0)</f>
        <v>0</v>
      </c>
      <c r="DJ224">
        <f xml:space="preserve"> _xlfn.XLOOKUP(B224,
'[11]january-2027'!$A:$A,
'[11]january-2027'!$G:$G,
0,0)</f>
        <v>0</v>
      </c>
      <c r="DK224">
        <f t="shared" si="677"/>
        <v>65260</v>
      </c>
      <c r="DL224">
        <f xml:space="preserve"> _xlfn.XLOOKUP(B224,
'[11]january-2027'!$A:$A,
'[11]january-2027'!$H:$H,
0,0)</f>
        <v>5000</v>
      </c>
      <c r="DM224">
        <f xml:space="preserve"> _xlfn.XLOOKUP(B224,
'[11]january-2027'!$A:$A,
'[11]january-2027'!$I:$I,
0,0)</f>
        <v>0</v>
      </c>
      <c r="DN224">
        <f t="shared" si="678"/>
        <v>200</v>
      </c>
      <c r="DO224">
        <f t="shared" si="679"/>
        <v>60060</v>
      </c>
      <c r="DP224">
        <f xml:space="preserve"> _xlfn.XLOOKUP(B224,
'[12]february-2027'!$A:$A,
'[12]february-2027'!$C:$C,
0,0)</f>
        <v>50200</v>
      </c>
      <c r="DQ224">
        <f t="shared" si="680"/>
        <v>9036</v>
      </c>
      <c r="DR224">
        <f t="shared" si="681"/>
        <v>6024</v>
      </c>
      <c r="DS224">
        <f xml:space="preserve"> _xlfn.XLOOKUP(B224,
'[12]february-2027'!$A:$A,
'[12]february-2027'!$D:$D,
0,0)</f>
        <v>0</v>
      </c>
      <c r="DT224">
        <f xml:space="preserve"> _xlfn.XLOOKUP(B224,
'[12]february-2027'!$A:$A,
'[12]february-2027'!$G:$G,
0,0)</f>
        <v>0</v>
      </c>
      <c r="DU224">
        <f t="shared" si="682"/>
        <v>65260</v>
      </c>
      <c r="DV224">
        <f xml:space="preserve"> _xlfn.XLOOKUP(B224,
'[12]february-2027'!$A:$A,
'[12]february-2027'!$H:$H,
0,0)</f>
        <v>5000</v>
      </c>
      <c r="DW224">
        <f xml:space="preserve"> _xlfn.XLOOKUP(B224,
'[12]february-2027'!$A:$A,
'[12]february-2027'!$I:$I,
0,0)</f>
        <v>0</v>
      </c>
      <c r="DX224">
        <f t="shared" si="683"/>
        <v>200</v>
      </c>
      <c r="DY224">
        <f t="shared" si="684"/>
        <v>60060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85"/>
        <v>0</v>
      </c>
      <c r="EM224">
        <f t="shared" si="686"/>
        <v>782342</v>
      </c>
      <c r="EN224">
        <f t="shared" si="687"/>
        <v>2400</v>
      </c>
      <c r="EO224">
        <f t="shared" si="688"/>
        <v>50000</v>
      </c>
      <c r="EP224">
        <v>0</v>
      </c>
      <c r="EQ224">
        <f t="shared" si="690"/>
        <v>729942</v>
      </c>
      <c r="ER224">
        <f t="shared" si="691"/>
        <v>60000</v>
      </c>
      <c r="ES224">
        <f t="shared" si="692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693"/>
        <v>60000</v>
      </c>
      <c r="FE224">
        <f t="shared" si="694"/>
        <v>60000</v>
      </c>
      <c r="FF224">
        <f t="shared" si="695"/>
        <v>669942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>SUM(FG224:FM224)+(IF(F224="YES",50000,0))</f>
        <v>0</v>
      </c>
      <c r="FO224">
        <f t="shared" si="696"/>
        <v>669942</v>
      </c>
      <c r="FP224">
        <f t="shared" si="697"/>
        <v>12500</v>
      </c>
      <c r="FQ224">
        <f t="shared" si="698"/>
        <v>33988</v>
      </c>
      <c r="FR224">
        <f t="shared" si="699"/>
        <v>46488</v>
      </c>
      <c r="FS224">
        <f t="shared" si="700"/>
        <v>46488</v>
      </c>
      <c r="FT224">
        <f t="shared" si="701"/>
        <v>1859.52</v>
      </c>
      <c r="FU224">
        <f t="shared" si="702"/>
        <v>48348</v>
      </c>
      <c r="FV224">
        <v>0</v>
      </c>
      <c r="FW224">
        <f t="shared" si="703"/>
        <v>48348</v>
      </c>
      <c r="FX224" t="b">
        <f t="shared" si="704"/>
        <v>1</v>
      </c>
      <c r="FY224">
        <f t="shared" ca="1" si="705"/>
        <v>850</v>
      </c>
      <c r="FZ224">
        <f t="shared" ca="1" si="706"/>
        <v>783192</v>
      </c>
      <c r="GA224">
        <f t="shared" si="707"/>
        <v>75000</v>
      </c>
      <c r="GB224">
        <f t="shared" ca="1" si="708"/>
        <v>708192</v>
      </c>
      <c r="GC224">
        <f t="shared" ca="1" si="709"/>
        <v>0</v>
      </c>
      <c r="GD224">
        <f t="shared" ca="1" si="710"/>
        <v>0</v>
      </c>
      <c r="GE224">
        <f t="shared" ca="1" si="711"/>
        <v>0</v>
      </c>
      <c r="GF224">
        <f t="shared" ca="1" si="712"/>
        <v>0</v>
      </c>
      <c r="GG224">
        <f t="shared" ca="1" si="713"/>
        <v>0</v>
      </c>
      <c r="GH224">
        <f t="shared" ca="1" si="714"/>
        <v>0</v>
      </c>
      <c r="GI224">
        <f ca="1">IF(GB224&gt;1200000,GB224-1200000-IF(F224="YES",50000,0)-GG224,0)</f>
        <v>0</v>
      </c>
      <c r="GJ224">
        <f t="shared" ca="1" si="715"/>
        <v>0</v>
      </c>
      <c r="GK224">
        <f t="shared" ca="1" si="716"/>
        <v>0</v>
      </c>
      <c r="GL224">
        <f t="shared" ca="1" si="717"/>
        <v>0</v>
      </c>
      <c r="GM224">
        <f t="shared" ca="1" si="718"/>
        <v>308192</v>
      </c>
      <c r="GN224">
        <f t="shared" ca="1" si="719"/>
        <v>15409.6</v>
      </c>
      <c r="GO224">
        <f t="shared" ca="1" si="720"/>
        <v>15410</v>
      </c>
      <c r="GP224">
        <f t="shared" ca="1" si="721"/>
        <v>0</v>
      </c>
      <c r="GQ224">
        <f t="shared" ca="1" si="722"/>
        <v>0</v>
      </c>
      <c r="GR224">
        <f t="shared" ca="1" si="723"/>
        <v>15410</v>
      </c>
      <c r="GS224">
        <f t="shared" ca="1" si="724"/>
        <v>0</v>
      </c>
      <c r="GT224" t="b">
        <f t="shared" ca="1" si="725"/>
        <v>0</v>
      </c>
      <c r="GU224">
        <f t="shared" ca="1" si="726"/>
        <v>0</v>
      </c>
      <c r="GV224">
        <f t="shared" ca="1" si="727"/>
        <v>15410</v>
      </c>
      <c r="GW224">
        <f t="shared" ca="1" si="728"/>
        <v>0</v>
      </c>
      <c r="GX224">
        <f t="shared" ca="1" si="729"/>
        <v>0</v>
      </c>
      <c r="GY224">
        <f t="shared" ca="1" si="730"/>
        <v>0</v>
      </c>
    </row>
    <row r="225" spans="1:207" x14ac:dyDescent="0.25">
      <c r="A225">
        <f>_xlfn.AGGREGATE(3,5,$B$2:B225)</f>
        <v>224</v>
      </c>
      <c r="B225" t="s">
        <v>543</v>
      </c>
      <c r="C225" t="s">
        <v>544</v>
      </c>
      <c r="D225" t="s">
        <v>804</v>
      </c>
      <c r="E225" t="s">
        <v>831</v>
      </c>
      <c r="F225" t="s">
        <v>952</v>
      </c>
      <c r="G225" t="s">
        <v>884</v>
      </c>
      <c r="H225">
        <f t="shared" si="625"/>
        <v>6800</v>
      </c>
      <c r="I225">
        <f>_xlfn.XLOOKUP(B225,'[1]march-2026'!$A:$A,'[1]march-2026'!$C:$C,0,0)</f>
        <v>51700</v>
      </c>
      <c r="J225">
        <f t="shared" si="689"/>
        <v>9306</v>
      </c>
      <c r="K225">
        <f t="shared" si="626"/>
        <v>6204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27"/>
        <v>67210</v>
      </c>
      <c r="O225">
        <f>_xlfn.XLOOKUP(B225,'[1]march-2026'!$A:$A,'[1]march-2026'!$H:$H,0,0)</f>
        <v>4000</v>
      </c>
      <c r="P225">
        <f>_xlfn.XLOOKUP(B225,'[1]march-2026'!$A:$A,'[1]march-2026'!$I:$I,0,0)</f>
        <v>60</v>
      </c>
      <c r="Q225">
        <f t="shared" si="628"/>
        <v>200</v>
      </c>
      <c r="R225">
        <f t="shared" si="629"/>
        <v>62950</v>
      </c>
      <c r="S225">
        <f>_xlfn.XLOOKUP(B225,'[2]april-2026'!$A:$A,'[2]april-2026'!$C:$C,0,0)</f>
        <v>51700</v>
      </c>
      <c r="T225">
        <f t="shared" si="630"/>
        <v>9306</v>
      </c>
      <c r="U225">
        <f t="shared" si="631"/>
        <v>6204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32"/>
        <v>67210</v>
      </c>
      <c r="Y225">
        <f>_xlfn.XLOOKUP(B225,'[2]april-2026'!$A:$A,'[2]april-2026'!$H:$H,0,0)</f>
        <v>4000</v>
      </c>
      <c r="Z225">
        <f>_xlfn.XLOOKUP(B225,'[2]april-2026'!$A:$A,'[2]april-2026'!$I:$I,0,0)</f>
        <v>60</v>
      </c>
      <c r="AA225">
        <f t="shared" si="633"/>
        <v>200</v>
      </c>
      <c r="AB225">
        <f t="shared" si="634"/>
        <v>62950</v>
      </c>
      <c r="AC225">
        <f>_xlfn.XLOOKUP(B225,'[3]may-2026'!$A:$A,'[3]may-2026'!$C:$C,0,0)</f>
        <v>51700</v>
      </c>
      <c r="AD225">
        <f t="shared" si="635"/>
        <v>9306</v>
      </c>
      <c r="AE225">
        <f t="shared" si="636"/>
        <v>6204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37"/>
        <v>67210</v>
      </c>
      <c r="AI225">
        <f>_xlfn.XLOOKUP(B225,'[3]may-2026'!$A:$A,'[3]may-2026'!$H:$H,0,0)</f>
        <v>4000</v>
      </c>
      <c r="AJ225">
        <f>_xlfn.XLOOKUP(B225,'[3]may-2026'!$A:$A,'[3]may-2026'!$I:$I,0,0)</f>
        <v>60</v>
      </c>
      <c r="AK225">
        <f t="shared" si="638"/>
        <v>200</v>
      </c>
      <c r="AL225">
        <f t="shared" si="639"/>
        <v>62950</v>
      </c>
      <c r="AM225">
        <f>_xlfn.XLOOKUP(B225,'[4]june-2026'!$A:$A,'[4]june-2026'!$C:$C,0,0)</f>
        <v>51700</v>
      </c>
      <c r="AN225">
        <f t="shared" si="640"/>
        <v>9306</v>
      </c>
      <c r="AO225">
        <f t="shared" si="641"/>
        <v>6204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42"/>
        <v>67210</v>
      </c>
      <c r="AS225">
        <f>_xlfn.XLOOKUP(B225,'[4]june-2026'!$A:$A,'[4]june-2026'!$H:$H,0,0)</f>
        <v>4000</v>
      </c>
      <c r="AT225">
        <f>_xlfn.XLOOKUP(B225,'[4]june-2026'!$A:$A,'[4]june-2026'!$I:$I,0,0)</f>
        <v>60</v>
      </c>
      <c r="AU225">
        <f t="shared" si="643"/>
        <v>200</v>
      </c>
      <c r="AV225">
        <f t="shared" si="644"/>
        <v>62950</v>
      </c>
      <c r="AW225">
        <f>_xlfn.XLOOKUP(B225,'[5]july-2026'!$A:$A,'[5]july-2026'!$C:$C,0,0)</f>
        <v>53300</v>
      </c>
      <c r="AX225">
        <f t="shared" si="645"/>
        <v>9594</v>
      </c>
      <c r="AY225">
        <v>223</v>
      </c>
      <c r="AZ225">
        <f t="shared" si="646"/>
        <v>6396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47"/>
        <v>69513</v>
      </c>
      <c r="BD225">
        <f>_xlfn.XLOOKUP(B225,'[5]july-2026'!$A:$A,'[5]july-2026'!$H:$H,0,0)</f>
        <v>4000</v>
      </c>
      <c r="BE225">
        <f>_xlfn.XLOOKUP(B225,'[5]july-2026'!$A:$A,'[5]july-2026'!$I:$I,0,0)</f>
        <v>60</v>
      </c>
      <c r="BF225">
        <f t="shared" si="648"/>
        <v>200</v>
      </c>
      <c r="BG225">
        <f t="shared" si="649"/>
        <v>65253</v>
      </c>
      <c r="BH225">
        <f>_xlfn.XLOOKUP(B225,'[6]august-2026'!$A:$A,'[6]august-2026'!$C:$C,0,0)</f>
        <v>53300</v>
      </c>
      <c r="BI225">
        <f t="shared" si="650"/>
        <v>9594</v>
      </c>
      <c r="BJ225">
        <f t="shared" si="651"/>
        <v>6396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52"/>
        <v>69290</v>
      </c>
      <c r="BN225">
        <f>_xlfn.XLOOKUP(B225,'[6]august-2026'!$A:$A,'[6]august-2026'!$H:$H,0,0)</f>
        <v>4000</v>
      </c>
      <c r="BO225">
        <f>_xlfn.XLOOKUP(B225,'[6]august-2026'!$A:$A,'[6]august-2026'!$I:$I,0,0)</f>
        <v>60</v>
      </c>
      <c r="BP225">
        <f t="shared" si="653"/>
        <v>200</v>
      </c>
      <c r="BQ225">
        <f t="shared" si="654"/>
        <v>65030</v>
      </c>
      <c r="BR225">
        <f>_xlfn.XLOOKUP(B225,'[7]september-2026'!$A:$A,'[7]september-2026'!$C:$C,0,0)</f>
        <v>53300</v>
      </c>
      <c r="BS225">
        <f t="shared" si="655"/>
        <v>9594</v>
      </c>
      <c r="BT225">
        <f t="shared" si="656"/>
        <v>6396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57"/>
        <v>69290</v>
      </c>
      <c r="BX225">
        <f>_xlfn.XLOOKUP(B225,'[7]september-2026'!$A:$A,'[7]september-2026'!$H:$H,0,0)</f>
        <v>4000</v>
      </c>
      <c r="BY225">
        <f>_xlfn.XLOOKUP(B225,'[7]september-2026'!$A:$A,'[7]september-2026'!$I:$I,0,0)</f>
        <v>60</v>
      </c>
      <c r="BZ225">
        <f t="shared" si="658"/>
        <v>200</v>
      </c>
      <c r="CA225">
        <f t="shared" si="659"/>
        <v>65030</v>
      </c>
      <c r="CB225">
        <f>_xlfn.XLOOKUP(B225,'[8]october-2026'!$A:$A,'[8]october-2026'!$C:$C,0,0)</f>
        <v>53300</v>
      </c>
      <c r="CC225">
        <f t="shared" si="660"/>
        <v>9594</v>
      </c>
      <c r="CD225">
        <f t="shared" si="661"/>
        <v>6396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62"/>
        <v>69290</v>
      </c>
      <c r="CH225">
        <f>_xlfn.XLOOKUP(B225,'[8]october-2026'!$A:$A,'[8]october-2026'!$H:$H,0,0)</f>
        <v>4000</v>
      </c>
      <c r="CI225">
        <f>_xlfn.XLOOKUP(B225,'[8]october-2026'!$A:$A,'[8]october-2026'!$I:$I,0,0)</f>
        <v>60</v>
      </c>
      <c r="CJ225">
        <f t="shared" si="663"/>
        <v>200</v>
      </c>
      <c r="CK225">
        <f t="shared" si="664"/>
        <v>65030</v>
      </c>
      <c r="CL225">
        <f>_xlfn.XLOOKUP(B225,'[9]november-2026'!$A:$A,'[9]november-2026'!$C:$C,0,0)</f>
        <v>53300</v>
      </c>
      <c r="CM225">
        <f t="shared" si="665"/>
        <v>9594</v>
      </c>
      <c r="CN225">
        <f t="shared" si="666"/>
        <v>6396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67"/>
        <v>69290</v>
      </c>
      <c r="CR225">
        <f>_xlfn.XLOOKUP(B225,'[9]november-2026'!$A:$A,'[9]november-2026'!$H:$H,0,0)</f>
        <v>4000</v>
      </c>
      <c r="CS225">
        <f>_xlfn.XLOOKUP(B225,'[9]november-2026'!$A:$A,'[9]november-2026'!$I:$I,0,0)</f>
        <v>60</v>
      </c>
      <c r="CT225">
        <f t="shared" si="668"/>
        <v>200</v>
      </c>
      <c r="CU225">
        <f t="shared" si="669"/>
        <v>65030</v>
      </c>
      <c r="CV225">
        <f>_xlfn.XLOOKUP(B225,'[10]december-2026'!$A:$A,'[10]december-2026'!$C:$C,0,0)</f>
        <v>53300</v>
      </c>
      <c r="CW225">
        <f t="shared" si="670"/>
        <v>9594</v>
      </c>
      <c r="CX225">
        <f t="shared" si="671"/>
        <v>6396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72"/>
        <v>69290</v>
      </c>
      <c r="DB225">
        <f>_xlfn.XLOOKUP(B225,'[10]december-2026'!$A:$A,'[10]december-2026'!$H:$H,0,0)</f>
        <v>4000</v>
      </c>
      <c r="DC225">
        <f>_xlfn.XLOOKUP(B225,'[10]december-2026'!$A:$A,'[10]december-2026'!$I:$I,0,0)</f>
        <v>60</v>
      </c>
      <c r="DD225">
        <f t="shared" si="673"/>
        <v>200</v>
      </c>
      <c r="DE225">
        <f t="shared" si="674"/>
        <v>65030</v>
      </c>
      <c r="DF225">
        <f xml:space="preserve"> _xlfn.XLOOKUP(B225,
'[11]january-2027'!$A:$A,
'[11]january-2027'!$C:$C,
0,0)</f>
        <v>53300</v>
      </c>
      <c r="DG225">
        <f t="shared" si="675"/>
        <v>9594</v>
      </c>
      <c r="DH225">
        <f t="shared" si="676"/>
        <v>6396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77"/>
        <v>69290</v>
      </c>
      <c r="DL225">
        <f xml:space="preserve"> _xlfn.XLOOKUP(B225,
'[11]january-2027'!$A:$A,
'[11]january-2027'!$H:$H,
0,0)</f>
        <v>4000</v>
      </c>
      <c r="DM225">
        <f xml:space="preserve"> _xlfn.XLOOKUP(B225,
'[11]january-2027'!$A:$A,
'[11]january-2027'!$I:$I,
0,0)</f>
        <v>60</v>
      </c>
      <c r="DN225">
        <f t="shared" si="678"/>
        <v>200</v>
      </c>
      <c r="DO225">
        <f t="shared" si="679"/>
        <v>65030</v>
      </c>
      <c r="DP225">
        <f xml:space="preserve"> _xlfn.XLOOKUP(B225,
'[12]february-2027'!$A:$A,
'[12]february-2027'!$C:$C,
0,0)</f>
        <v>53300</v>
      </c>
      <c r="DQ225">
        <f t="shared" si="680"/>
        <v>9594</v>
      </c>
      <c r="DR225">
        <f t="shared" si="681"/>
        <v>6396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82"/>
        <v>69290</v>
      </c>
      <c r="DV225">
        <f xml:space="preserve"> _xlfn.XLOOKUP(B225,
'[12]february-2027'!$A:$A,
'[12]february-2027'!$H:$H,
0,0)</f>
        <v>4000</v>
      </c>
      <c r="DW225">
        <f xml:space="preserve"> _xlfn.XLOOKUP(B225,
'[12]february-2027'!$A:$A,
'[12]february-2027'!$I:$I,
0,0)</f>
        <v>60</v>
      </c>
      <c r="DX225">
        <f t="shared" si="683"/>
        <v>200</v>
      </c>
      <c r="DY225">
        <f t="shared" si="684"/>
        <v>65030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85"/>
        <v>0</v>
      </c>
      <c r="EM225">
        <f t="shared" si="686"/>
        <v>830183</v>
      </c>
      <c r="EN225">
        <f t="shared" si="687"/>
        <v>2400</v>
      </c>
      <c r="EO225">
        <f t="shared" si="688"/>
        <v>50000</v>
      </c>
      <c r="EP225">
        <v>0</v>
      </c>
      <c r="EQ225">
        <f t="shared" si="690"/>
        <v>777783</v>
      </c>
      <c r="ER225">
        <f t="shared" si="691"/>
        <v>48000</v>
      </c>
      <c r="ES225">
        <f t="shared" si="692"/>
        <v>720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693"/>
        <v>48720</v>
      </c>
      <c r="FE225">
        <f t="shared" si="694"/>
        <v>48720</v>
      </c>
      <c r="FF225">
        <f t="shared" si="695"/>
        <v>729063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>SUM(FG225:FM225)+(IF(F225="YES",50000,0))</f>
        <v>0</v>
      </c>
      <c r="FO225">
        <f t="shared" si="696"/>
        <v>729063</v>
      </c>
      <c r="FP225">
        <f t="shared" si="697"/>
        <v>12500</v>
      </c>
      <c r="FQ225">
        <f t="shared" si="698"/>
        <v>45813</v>
      </c>
      <c r="FR225">
        <f t="shared" si="699"/>
        <v>58313</v>
      </c>
      <c r="FS225">
        <f t="shared" si="700"/>
        <v>58313</v>
      </c>
      <c r="FT225">
        <f t="shared" si="701"/>
        <v>2332.52</v>
      </c>
      <c r="FU225">
        <f t="shared" si="702"/>
        <v>60646</v>
      </c>
      <c r="FV225">
        <v>0</v>
      </c>
      <c r="FW225">
        <f t="shared" si="703"/>
        <v>60646</v>
      </c>
      <c r="FX225" t="b">
        <f t="shared" si="704"/>
        <v>1</v>
      </c>
      <c r="FY225">
        <f t="shared" ca="1" si="705"/>
        <v>928</v>
      </c>
      <c r="FZ225">
        <f t="shared" ca="1" si="706"/>
        <v>831111</v>
      </c>
      <c r="GA225">
        <f t="shared" si="707"/>
        <v>75000</v>
      </c>
      <c r="GB225">
        <f t="shared" ca="1" si="708"/>
        <v>756111</v>
      </c>
      <c r="GC225">
        <f t="shared" ca="1" si="709"/>
        <v>0</v>
      </c>
      <c r="GD225">
        <f t="shared" ca="1" si="710"/>
        <v>0</v>
      </c>
      <c r="GE225">
        <f t="shared" ca="1" si="711"/>
        <v>0</v>
      </c>
      <c r="GF225">
        <f t="shared" ca="1" si="712"/>
        <v>0</v>
      </c>
      <c r="GG225">
        <f t="shared" ca="1" si="713"/>
        <v>0</v>
      </c>
      <c r="GH225">
        <f t="shared" ca="1" si="714"/>
        <v>0</v>
      </c>
      <c r="GI225">
        <f ca="1">IF(GB225&gt;1200000,GB225-1200000-IF(F225="YES",50000,0)-GG225,0)</f>
        <v>0</v>
      </c>
      <c r="GJ225">
        <f t="shared" ca="1" si="715"/>
        <v>0</v>
      </c>
      <c r="GK225">
        <f t="shared" ca="1" si="716"/>
        <v>0</v>
      </c>
      <c r="GL225">
        <f t="shared" ca="1" si="717"/>
        <v>0</v>
      </c>
      <c r="GM225">
        <f t="shared" ca="1" si="718"/>
        <v>356111</v>
      </c>
      <c r="GN225">
        <f t="shared" ca="1" si="719"/>
        <v>17805.55</v>
      </c>
      <c r="GO225">
        <f t="shared" ca="1" si="720"/>
        <v>17806</v>
      </c>
      <c r="GP225">
        <f t="shared" ca="1" si="721"/>
        <v>0</v>
      </c>
      <c r="GQ225">
        <f t="shared" ca="1" si="722"/>
        <v>0</v>
      </c>
      <c r="GR225">
        <f t="shared" ca="1" si="723"/>
        <v>17806</v>
      </c>
      <c r="GS225">
        <f t="shared" ca="1" si="724"/>
        <v>0</v>
      </c>
      <c r="GT225" t="b">
        <f t="shared" ca="1" si="725"/>
        <v>0</v>
      </c>
      <c r="GU225">
        <f t="shared" ca="1" si="726"/>
        <v>0</v>
      </c>
      <c r="GV225">
        <f t="shared" ca="1" si="727"/>
        <v>17806</v>
      </c>
      <c r="GW225">
        <f t="shared" ca="1" si="728"/>
        <v>0</v>
      </c>
      <c r="GX225">
        <f t="shared" ca="1" si="729"/>
        <v>0</v>
      </c>
      <c r="GY225">
        <f t="shared" ca="1" si="730"/>
        <v>0</v>
      </c>
    </row>
    <row r="226" spans="1:207" x14ac:dyDescent="0.25">
      <c r="A226">
        <f>_xlfn.AGGREGATE(3,5,$B$2:B226)</f>
        <v>225</v>
      </c>
      <c r="B226" t="s">
        <v>545</v>
      </c>
      <c r="C226" t="s">
        <v>546</v>
      </c>
      <c r="D226" t="s">
        <v>804</v>
      </c>
      <c r="E226" t="s">
        <v>830</v>
      </c>
      <c r="F226" t="s">
        <v>952</v>
      </c>
      <c r="G226" t="s">
        <v>922</v>
      </c>
      <c r="H226">
        <f t="shared" si="625"/>
        <v>6800</v>
      </c>
      <c r="I226">
        <f>_xlfn.XLOOKUP(B226,'[1]march-2026'!$A:$A,'[1]march-2026'!$C:$C,0,0)</f>
        <v>34500</v>
      </c>
      <c r="J226">
        <f t="shared" si="689"/>
        <v>6210</v>
      </c>
      <c r="K226">
        <f t="shared" si="626"/>
        <v>4140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27"/>
        <v>44850</v>
      </c>
      <c r="O226">
        <f>_xlfn.XLOOKUP(B226,'[1]march-2026'!$A:$A,'[1]march-2026'!$H:$H,0,0)</f>
        <v>5000</v>
      </c>
      <c r="P226">
        <f>_xlfn.XLOOKUP(B226,'[1]march-2026'!$A:$A,'[1]march-2026'!$I:$I,0,0)</f>
        <v>0</v>
      </c>
      <c r="Q226">
        <f t="shared" si="628"/>
        <v>200</v>
      </c>
      <c r="R226">
        <f t="shared" si="629"/>
        <v>39650</v>
      </c>
      <c r="S226">
        <f>_xlfn.XLOOKUP(B226,'[2]april-2026'!$A:$A,'[2]april-2026'!$C:$C,0,0)</f>
        <v>34500</v>
      </c>
      <c r="T226">
        <f t="shared" si="630"/>
        <v>6210</v>
      </c>
      <c r="U226">
        <f t="shared" si="631"/>
        <v>4140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32"/>
        <v>44850</v>
      </c>
      <c r="Y226">
        <f>_xlfn.XLOOKUP(B226,'[2]april-2026'!$A:$A,'[2]april-2026'!$H:$H,0,0)</f>
        <v>5000</v>
      </c>
      <c r="Z226">
        <f>_xlfn.XLOOKUP(B226,'[2]april-2026'!$A:$A,'[2]april-2026'!$I:$I,0,0)</f>
        <v>0</v>
      </c>
      <c r="AA226">
        <f t="shared" si="633"/>
        <v>200</v>
      </c>
      <c r="AB226">
        <f t="shared" si="634"/>
        <v>39650</v>
      </c>
      <c r="AC226">
        <f>_xlfn.XLOOKUP(B226,'[3]may-2026'!$A:$A,'[3]may-2026'!$C:$C,0,0)</f>
        <v>34500</v>
      </c>
      <c r="AD226">
        <f t="shared" si="635"/>
        <v>6210</v>
      </c>
      <c r="AE226">
        <f t="shared" si="636"/>
        <v>4140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37"/>
        <v>44850</v>
      </c>
      <c r="AI226">
        <f>_xlfn.XLOOKUP(B226,'[3]may-2026'!$A:$A,'[3]may-2026'!$H:$H,0,0)</f>
        <v>5000</v>
      </c>
      <c r="AJ226">
        <f>_xlfn.XLOOKUP(B226,'[3]may-2026'!$A:$A,'[3]may-2026'!$I:$I,0,0)</f>
        <v>0</v>
      </c>
      <c r="AK226">
        <f t="shared" si="638"/>
        <v>200</v>
      </c>
      <c r="AL226">
        <f t="shared" si="639"/>
        <v>39650</v>
      </c>
      <c r="AM226">
        <f>_xlfn.XLOOKUP(B226,'[4]june-2026'!$A:$A,'[4]june-2026'!$C:$C,0,0)</f>
        <v>34500</v>
      </c>
      <c r="AN226">
        <f t="shared" si="640"/>
        <v>6210</v>
      </c>
      <c r="AO226">
        <f t="shared" si="641"/>
        <v>4140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42"/>
        <v>44850</v>
      </c>
      <c r="AS226">
        <f>_xlfn.XLOOKUP(B226,'[4]june-2026'!$A:$A,'[4]june-2026'!$H:$H,0,0)</f>
        <v>5000</v>
      </c>
      <c r="AT226">
        <f>_xlfn.XLOOKUP(B226,'[4]june-2026'!$A:$A,'[4]june-2026'!$I:$I,0,0)</f>
        <v>0</v>
      </c>
      <c r="AU226">
        <f t="shared" si="643"/>
        <v>200</v>
      </c>
      <c r="AV226">
        <f t="shared" si="644"/>
        <v>39650</v>
      </c>
      <c r="AW226">
        <f>_xlfn.XLOOKUP(B226,'[5]july-2026'!$A:$A,'[5]july-2026'!$C:$C,0,0)</f>
        <v>35500</v>
      </c>
      <c r="AX226">
        <f t="shared" si="645"/>
        <v>6390</v>
      </c>
      <c r="AY226">
        <v>224</v>
      </c>
      <c r="AZ226">
        <f t="shared" si="646"/>
        <v>4260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47"/>
        <v>46374</v>
      </c>
      <c r="BD226">
        <f>_xlfn.XLOOKUP(B226,'[5]july-2026'!$A:$A,'[5]july-2026'!$H:$H,0,0)</f>
        <v>5000</v>
      </c>
      <c r="BE226">
        <f>_xlfn.XLOOKUP(B226,'[5]july-2026'!$A:$A,'[5]july-2026'!$I:$I,0,0)</f>
        <v>0</v>
      </c>
      <c r="BF226">
        <f t="shared" si="648"/>
        <v>200</v>
      </c>
      <c r="BG226">
        <f t="shared" si="649"/>
        <v>41174</v>
      </c>
      <c r="BH226">
        <f>_xlfn.XLOOKUP(B226,'[6]august-2026'!$A:$A,'[6]august-2026'!$C:$C,0,0)</f>
        <v>35500</v>
      </c>
      <c r="BI226">
        <f t="shared" si="650"/>
        <v>6390</v>
      </c>
      <c r="BJ226">
        <f t="shared" si="651"/>
        <v>4260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52"/>
        <v>46150</v>
      </c>
      <c r="BN226">
        <f>_xlfn.XLOOKUP(B226,'[6]august-2026'!$A:$A,'[6]august-2026'!$H:$H,0,0)</f>
        <v>5000</v>
      </c>
      <c r="BO226">
        <f>_xlfn.XLOOKUP(B226,'[6]august-2026'!$A:$A,'[6]august-2026'!$I:$I,0,0)</f>
        <v>0</v>
      </c>
      <c r="BP226">
        <f t="shared" si="653"/>
        <v>200</v>
      </c>
      <c r="BQ226">
        <f t="shared" si="654"/>
        <v>40950</v>
      </c>
      <c r="BR226">
        <f>_xlfn.XLOOKUP(B226,'[7]september-2026'!$A:$A,'[7]september-2026'!$C:$C,0,0)</f>
        <v>35500</v>
      </c>
      <c r="BS226">
        <f t="shared" si="655"/>
        <v>6390</v>
      </c>
      <c r="BT226">
        <f t="shared" si="656"/>
        <v>4260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57"/>
        <v>46150</v>
      </c>
      <c r="BX226">
        <f>_xlfn.XLOOKUP(B226,'[7]september-2026'!$A:$A,'[7]september-2026'!$H:$H,0,0)</f>
        <v>5000</v>
      </c>
      <c r="BY226">
        <f>_xlfn.XLOOKUP(B226,'[7]september-2026'!$A:$A,'[7]september-2026'!$I:$I,0,0)</f>
        <v>0</v>
      </c>
      <c r="BZ226">
        <f t="shared" si="658"/>
        <v>200</v>
      </c>
      <c r="CA226">
        <f t="shared" si="659"/>
        <v>40950</v>
      </c>
      <c r="CB226">
        <f>_xlfn.XLOOKUP(B226,'[8]october-2026'!$A:$A,'[8]october-2026'!$C:$C,0,0)</f>
        <v>35500</v>
      </c>
      <c r="CC226">
        <f t="shared" si="660"/>
        <v>6390</v>
      </c>
      <c r="CD226">
        <f t="shared" si="661"/>
        <v>4260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62"/>
        <v>46150</v>
      </c>
      <c r="CH226">
        <f>_xlfn.XLOOKUP(B226,'[8]october-2026'!$A:$A,'[8]october-2026'!$H:$H,0,0)</f>
        <v>5000</v>
      </c>
      <c r="CI226">
        <f>_xlfn.XLOOKUP(B226,'[8]october-2026'!$A:$A,'[8]october-2026'!$I:$I,0,0)</f>
        <v>0</v>
      </c>
      <c r="CJ226">
        <f t="shared" si="663"/>
        <v>200</v>
      </c>
      <c r="CK226">
        <f t="shared" si="664"/>
        <v>40950</v>
      </c>
      <c r="CL226">
        <f>_xlfn.XLOOKUP(B226,'[9]november-2026'!$A:$A,'[9]november-2026'!$C:$C,0,0)</f>
        <v>35500</v>
      </c>
      <c r="CM226">
        <f t="shared" si="665"/>
        <v>6390</v>
      </c>
      <c r="CN226">
        <f t="shared" si="666"/>
        <v>4260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67"/>
        <v>46150</v>
      </c>
      <c r="CR226">
        <f>_xlfn.XLOOKUP(B226,'[9]november-2026'!$A:$A,'[9]november-2026'!$H:$H,0,0)</f>
        <v>5000</v>
      </c>
      <c r="CS226">
        <f>_xlfn.XLOOKUP(B226,'[9]november-2026'!$A:$A,'[9]november-2026'!$I:$I,0,0)</f>
        <v>0</v>
      </c>
      <c r="CT226">
        <f t="shared" si="668"/>
        <v>200</v>
      </c>
      <c r="CU226">
        <f t="shared" si="669"/>
        <v>40950</v>
      </c>
      <c r="CV226">
        <f>_xlfn.XLOOKUP(B226,'[10]december-2026'!$A:$A,'[10]december-2026'!$C:$C,0,0)</f>
        <v>35500</v>
      </c>
      <c r="CW226">
        <f t="shared" si="670"/>
        <v>6390</v>
      </c>
      <c r="CX226">
        <f t="shared" si="671"/>
        <v>4260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72"/>
        <v>46150</v>
      </c>
      <c r="DB226">
        <f>_xlfn.XLOOKUP(B226,'[10]december-2026'!$A:$A,'[10]december-2026'!$H:$H,0,0)</f>
        <v>5000</v>
      </c>
      <c r="DC226">
        <f>_xlfn.XLOOKUP(B226,'[10]december-2026'!$A:$A,'[10]december-2026'!$I:$I,0,0)</f>
        <v>0</v>
      </c>
      <c r="DD226">
        <f t="shared" si="673"/>
        <v>200</v>
      </c>
      <c r="DE226">
        <f t="shared" si="674"/>
        <v>40950</v>
      </c>
      <c r="DF226">
        <f xml:space="preserve"> _xlfn.XLOOKUP(B226,
'[11]january-2027'!$A:$A,
'[11]january-2027'!$C:$C,
0,0)</f>
        <v>35500</v>
      </c>
      <c r="DG226">
        <f t="shared" si="675"/>
        <v>6390</v>
      </c>
      <c r="DH226">
        <f t="shared" si="676"/>
        <v>4260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77"/>
        <v>46150</v>
      </c>
      <c r="DL226">
        <f xml:space="preserve"> _xlfn.XLOOKUP(B226,
'[11]january-2027'!$A:$A,
'[11]january-2027'!$H:$H,
0,0)</f>
        <v>5000</v>
      </c>
      <c r="DM226">
        <f xml:space="preserve"> _xlfn.XLOOKUP(B226,
'[11]january-2027'!$A:$A,
'[11]january-2027'!$I:$I,
0,0)</f>
        <v>0</v>
      </c>
      <c r="DN226">
        <f t="shared" si="678"/>
        <v>200</v>
      </c>
      <c r="DO226">
        <f t="shared" si="679"/>
        <v>40950</v>
      </c>
      <c r="DP226">
        <f xml:space="preserve"> _xlfn.XLOOKUP(B226,
'[12]february-2027'!$A:$A,
'[12]february-2027'!$C:$C,
0,0)</f>
        <v>35500</v>
      </c>
      <c r="DQ226">
        <f t="shared" si="680"/>
        <v>6390</v>
      </c>
      <c r="DR226">
        <f t="shared" si="681"/>
        <v>4260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82"/>
        <v>46150</v>
      </c>
      <c r="DV226">
        <f xml:space="preserve"> _xlfn.XLOOKUP(B226,
'[12]february-2027'!$A:$A,
'[12]february-2027'!$H:$H,
0,0)</f>
        <v>5000</v>
      </c>
      <c r="DW226">
        <f xml:space="preserve"> _xlfn.XLOOKUP(B226,
'[12]february-2027'!$A:$A,
'[12]february-2027'!$I:$I,
0,0)</f>
        <v>0</v>
      </c>
      <c r="DX226">
        <f t="shared" si="683"/>
        <v>200</v>
      </c>
      <c r="DY226">
        <f t="shared" si="684"/>
        <v>40950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85"/>
        <v>0</v>
      </c>
      <c r="EM226">
        <f t="shared" si="686"/>
        <v>555624</v>
      </c>
      <c r="EN226">
        <f t="shared" si="687"/>
        <v>2400</v>
      </c>
      <c r="EO226">
        <f t="shared" si="688"/>
        <v>50000</v>
      </c>
      <c r="EP226">
        <v>0</v>
      </c>
      <c r="EQ226">
        <f t="shared" si="690"/>
        <v>503224</v>
      </c>
      <c r="ER226">
        <f t="shared" si="691"/>
        <v>60000</v>
      </c>
      <c r="ES226">
        <f t="shared" si="692"/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693"/>
        <v>60000</v>
      </c>
      <c r="FE226">
        <f t="shared" si="694"/>
        <v>60000</v>
      </c>
      <c r="FF226">
        <f t="shared" si="695"/>
        <v>443224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>SUM(FG226:FM226)+(IF(F226="YES",50000,0))</f>
        <v>0</v>
      </c>
      <c r="FO226">
        <f t="shared" si="696"/>
        <v>443224</v>
      </c>
      <c r="FP226">
        <f t="shared" si="697"/>
        <v>9661</v>
      </c>
      <c r="FQ226">
        <f t="shared" si="698"/>
        <v>0</v>
      </c>
      <c r="FR226">
        <f t="shared" si="699"/>
        <v>9661</v>
      </c>
      <c r="FS226">
        <f t="shared" si="700"/>
        <v>0</v>
      </c>
      <c r="FT226">
        <f t="shared" si="701"/>
        <v>0</v>
      </c>
      <c r="FU226">
        <f t="shared" si="702"/>
        <v>0</v>
      </c>
      <c r="FV226">
        <v>0</v>
      </c>
      <c r="FW226">
        <f t="shared" si="703"/>
        <v>0</v>
      </c>
      <c r="FX226" t="b">
        <f t="shared" si="704"/>
        <v>1</v>
      </c>
      <c r="FY226">
        <f t="shared" ca="1" si="705"/>
        <v>624</v>
      </c>
      <c r="FZ226">
        <f t="shared" ca="1" si="706"/>
        <v>556248</v>
      </c>
      <c r="GA226">
        <f t="shared" si="707"/>
        <v>75000</v>
      </c>
      <c r="GB226">
        <f t="shared" ca="1" si="708"/>
        <v>481248</v>
      </c>
      <c r="GC226">
        <f t="shared" ca="1" si="709"/>
        <v>0</v>
      </c>
      <c r="GD226">
        <f t="shared" ca="1" si="710"/>
        <v>0</v>
      </c>
      <c r="GE226">
        <f t="shared" ca="1" si="711"/>
        <v>0</v>
      </c>
      <c r="GF226">
        <f t="shared" ca="1" si="712"/>
        <v>0</v>
      </c>
      <c r="GG226">
        <f t="shared" ca="1" si="713"/>
        <v>0</v>
      </c>
      <c r="GH226">
        <f t="shared" ca="1" si="714"/>
        <v>0</v>
      </c>
      <c r="GI226">
        <f ca="1">IF(GB226&gt;1200000,GB226-1200000-IF(F226="YES",50000,0)-GG226,0)</f>
        <v>0</v>
      </c>
      <c r="GJ226">
        <f t="shared" ca="1" si="715"/>
        <v>0</v>
      </c>
      <c r="GK226">
        <f t="shared" ca="1" si="716"/>
        <v>0</v>
      </c>
      <c r="GL226">
        <f t="shared" ca="1" si="717"/>
        <v>0</v>
      </c>
      <c r="GM226">
        <f t="shared" ca="1" si="718"/>
        <v>81248</v>
      </c>
      <c r="GN226">
        <f t="shared" ca="1" si="719"/>
        <v>4062.4</v>
      </c>
      <c r="GO226">
        <f t="shared" ca="1" si="720"/>
        <v>4062</v>
      </c>
      <c r="GP226">
        <f t="shared" ca="1" si="721"/>
        <v>0</v>
      </c>
      <c r="GQ226">
        <f t="shared" ca="1" si="722"/>
        <v>0</v>
      </c>
      <c r="GR226">
        <f t="shared" ca="1" si="723"/>
        <v>4062</v>
      </c>
      <c r="GS226">
        <f t="shared" ca="1" si="724"/>
        <v>0</v>
      </c>
      <c r="GT226" t="b">
        <f t="shared" ca="1" si="725"/>
        <v>0</v>
      </c>
      <c r="GU226">
        <f t="shared" ca="1" si="726"/>
        <v>0</v>
      </c>
      <c r="GV226">
        <f t="shared" ca="1" si="727"/>
        <v>4062</v>
      </c>
      <c r="GW226">
        <f t="shared" ca="1" si="728"/>
        <v>0</v>
      </c>
      <c r="GX226">
        <f t="shared" ca="1" si="729"/>
        <v>0</v>
      </c>
      <c r="GY226">
        <f t="shared" ca="1" si="730"/>
        <v>0</v>
      </c>
    </row>
    <row r="227" spans="1:207" x14ac:dyDescent="0.25">
      <c r="A227">
        <f>_xlfn.AGGREGATE(3,5,$B$2:B227)</f>
        <v>226</v>
      </c>
      <c r="B227" t="s">
        <v>547</v>
      </c>
      <c r="C227" t="s">
        <v>548</v>
      </c>
      <c r="D227" t="s">
        <v>804</v>
      </c>
      <c r="E227" t="s">
        <v>830</v>
      </c>
      <c r="F227" t="s">
        <v>952</v>
      </c>
      <c r="G227" t="s">
        <v>938</v>
      </c>
      <c r="H227">
        <f t="shared" si="625"/>
        <v>6800</v>
      </c>
      <c r="I227">
        <f>_xlfn.XLOOKUP(B227,'[1]march-2026'!$A:$A,'[1]march-2026'!$C:$C,0,0)</f>
        <v>50700</v>
      </c>
      <c r="J227">
        <f t="shared" si="689"/>
        <v>9126</v>
      </c>
      <c r="K227">
        <f t="shared" si="626"/>
        <v>6084</v>
      </c>
      <c r="L227">
        <f>_xlfn.XLOOKUP(B227,'[1]march-2026'!$A:$A,'[1]march-2026'!$D:$D,0,0)</f>
        <v>0</v>
      </c>
      <c r="M227">
        <f>_xlfn.XLOOKUP(B227,'[1]march-2026'!$A:$A,'[1]march-2026'!$G:$G,0,0)</f>
        <v>500</v>
      </c>
      <c r="N227">
        <f t="shared" si="627"/>
        <v>66410</v>
      </c>
      <c r="O227">
        <f>_xlfn.XLOOKUP(B227,'[1]march-2026'!$A:$A,'[1]march-2026'!$H:$H,0,0)</f>
        <v>10000</v>
      </c>
      <c r="P227">
        <f>_xlfn.XLOOKUP(B227,'[1]march-2026'!$A:$A,'[1]march-2026'!$I:$I,0,0)</f>
        <v>0</v>
      </c>
      <c r="Q227">
        <f t="shared" si="628"/>
        <v>200</v>
      </c>
      <c r="R227">
        <f t="shared" si="629"/>
        <v>56210</v>
      </c>
      <c r="S227">
        <f>_xlfn.XLOOKUP(B227,'[2]april-2026'!$A:$A,'[2]april-2026'!$C:$C,0,0)</f>
        <v>50700</v>
      </c>
      <c r="T227">
        <f t="shared" si="630"/>
        <v>9126</v>
      </c>
      <c r="U227">
        <f t="shared" si="631"/>
        <v>6084</v>
      </c>
      <c r="V227">
        <f>_xlfn.XLOOKUP(B227,'[2]april-2026'!$A:$A,'[2]april-2026'!$D:$D,0,0)</f>
        <v>0</v>
      </c>
      <c r="W227">
        <f>_xlfn.XLOOKUP(B227,'[2]april-2026'!$A:$A,'[2]april-2026'!$G:$G,0,0)</f>
        <v>500</v>
      </c>
      <c r="X227">
        <f t="shared" si="632"/>
        <v>66410</v>
      </c>
      <c r="Y227">
        <f>_xlfn.XLOOKUP(B227,'[2]april-2026'!$A:$A,'[2]april-2026'!$H:$H,0,0)</f>
        <v>10000</v>
      </c>
      <c r="Z227">
        <f>_xlfn.XLOOKUP(B227,'[2]april-2026'!$A:$A,'[2]april-2026'!$I:$I,0,0)</f>
        <v>0</v>
      </c>
      <c r="AA227">
        <f t="shared" si="633"/>
        <v>200</v>
      </c>
      <c r="AB227">
        <f t="shared" si="634"/>
        <v>56210</v>
      </c>
      <c r="AC227">
        <f>_xlfn.XLOOKUP(B227,'[3]may-2026'!$A:$A,'[3]may-2026'!$C:$C,0,0)</f>
        <v>50700</v>
      </c>
      <c r="AD227">
        <f t="shared" si="635"/>
        <v>9126</v>
      </c>
      <c r="AE227">
        <f t="shared" si="636"/>
        <v>6084</v>
      </c>
      <c r="AF227">
        <f>_xlfn.XLOOKUP(B227,'[3]may-2026'!$A:$A,'[3]may-2026'!$D:$D,0,0)</f>
        <v>0</v>
      </c>
      <c r="AG227">
        <f>_xlfn.XLOOKUP(B227,'[3]may-2026'!$A:$A,'[3]may-2026'!$G:$G,0,0)</f>
        <v>500</v>
      </c>
      <c r="AH227">
        <f t="shared" si="637"/>
        <v>66410</v>
      </c>
      <c r="AI227">
        <f>_xlfn.XLOOKUP(B227,'[3]may-2026'!$A:$A,'[3]may-2026'!$H:$H,0,0)</f>
        <v>10000</v>
      </c>
      <c r="AJ227">
        <f>_xlfn.XLOOKUP(B227,'[3]may-2026'!$A:$A,'[3]may-2026'!$I:$I,0,0)</f>
        <v>0</v>
      </c>
      <c r="AK227">
        <f t="shared" si="638"/>
        <v>200</v>
      </c>
      <c r="AL227">
        <f t="shared" si="639"/>
        <v>56210</v>
      </c>
      <c r="AM227">
        <f>_xlfn.XLOOKUP(B227,'[4]june-2026'!$A:$A,'[4]june-2026'!$C:$C,0,0)</f>
        <v>50700</v>
      </c>
      <c r="AN227">
        <f t="shared" si="640"/>
        <v>9126</v>
      </c>
      <c r="AO227">
        <f t="shared" si="641"/>
        <v>6084</v>
      </c>
      <c r="AP227">
        <f>_xlfn.XLOOKUP(B227,'[4]june-2026'!$A:$A,'[4]june-2026'!$D:$D,0,0)</f>
        <v>0</v>
      </c>
      <c r="AQ227">
        <f>_xlfn.XLOOKUP(B227,'[4]june-2026'!$A:$A,'[4]june-2026'!$G:$G,0,0)</f>
        <v>500</v>
      </c>
      <c r="AR227">
        <f t="shared" si="642"/>
        <v>66410</v>
      </c>
      <c r="AS227">
        <f>_xlfn.XLOOKUP(B227,'[4]june-2026'!$A:$A,'[4]june-2026'!$H:$H,0,0)</f>
        <v>10000</v>
      </c>
      <c r="AT227">
        <f>_xlfn.XLOOKUP(B227,'[4]june-2026'!$A:$A,'[4]june-2026'!$I:$I,0,0)</f>
        <v>0</v>
      </c>
      <c r="AU227">
        <f t="shared" si="643"/>
        <v>200</v>
      </c>
      <c r="AV227">
        <f t="shared" si="644"/>
        <v>56210</v>
      </c>
      <c r="AW227">
        <f>_xlfn.XLOOKUP(B227,'[5]july-2026'!$A:$A,'[5]july-2026'!$C:$C,0,0)</f>
        <v>52200</v>
      </c>
      <c r="AX227">
        <f t="shared" si="645"/>
        <v>9396</v>
      </c>
      <c r="AY227">
        <v>225</v>
      </c>
      <c r="AZ227">
        <f t="shared" si="646"/>
        <v>6264</v>
      </c>
      <c r="BA227">
        <f>_xlfn.XLOOKUP(B227,'[5]july-2026'!$A:$A,'[5]july-2026'!$D:$D,0,0)</f>
        <v>0</v>
      </c>
      <c r="BB227">
        <f>_xlfn.XLOOKUP(B227,'[5]july-2026'!$A:$A,'[5]july-2026'!$G:$G,0,0)</f>
        <v>500</v>
      </c>
      <c r="BC227">
        <f t="shared" si="647"/>
        <v>68585</v>
      </c>
      <c r="BD227">
        <f>_xlfn.XLOOKUP(B227,'[5]july-2026'!$A:$A,'[5]july-2026'!$H:$H,0,0)</f>
        <v>10000</v>
      </c>
      <c r="BE227">
        <f>_xlfn.XLOOKUP(B227,'[5]july-2026'!$A:$A,'[5]july-2026'!$I:$I,0,0)</f>
        <v>0</v>
      </c>
      <c r="BF227">
        <f t="shared" si="648"/>
        <v>200</v>
      </c>
      <c r="BG227">
        <f t="shared" si="649"/>
        <v>58385</v>
      </c>
      <c r="BH227">
        <f>_xlfn.XLOOKUP(B227,'[6]august-2026'!$A:$A,'[6]august-2026'!$C:$C,0,0)</f>
        <v>52200</v>
      </c>
      <c r="BI227">
        <f t="shared" si="650"/>
        <v>9396</v>
      </c>
      <c r="BJ227">
        <f t="shared" si="651"/>
        <v>6264</v>
      </c>
      <c r="BK227">
        <f>_xlfn.XLOOKUP(B227,'[6]august-2026'!$A:$A,'[6]august-2026'!$D:$D,0,0)</f>
        <v>0</v>
      </c>
      <c r="BL227">
        <f>_xlfn.XLOOKUP(B227,'[6]august-2026'!$A:$A,'[6]august-2026'!$G:$G,0,0)</f>
        <v>500</v>
      </c>
      <c r="BM227">
        <f t="shared" si="652"/>
        <v>68360</v>
      </c>
      <c r="BN227">
        <f>_xlfn.XLOOKUP(B227,'[6]august-2026'!$A:$A,'[6]august-2026'!$H:$H,0,0)</f>
        <v>10000</v>
      </c>
      <c r="BO227">
        <f>_xlfn.XLOOKUP(B227,'[6]august-2026'!$A:$A,'[6]august-2026'!$I:$I,0,0)</f>
        <v>0</v>
      </c>
      <c r="BP227">
        <f t="shared" si="653"/>
        <v>200</v>
      </c>
      <c r="BQ227">
        <f t="shared" si="654"/>
        <v>58160</v>
      </c>
      <c r="BR227">
        <f>_xlfn.XLOOKUP(B227,'[7]september-2026'!$A:$A,'[7]september-2026'!$C:$C,0,0)</f>
        <v>52200</v>
      </c>
      <c r="BS227">
        <f t="shared" si="655"/>
        <v>9396</v>
      </c>
      <c r="BT227">
        <f t="shared" si="656"/>
        <v>6264</v>
      </c>
      <c r="BU227">
        <f>_xlfn.XLOOKUP(B227,'[7]september-2026'!$A:$A,'[7]september-2026'!$D:$D,0,0)</f>
        <v>0</v>
      </c>
      <c r="BV227">
        <f>_xlfn.XLOOKUP(B227,'[7]september-2026'!$A:$A,'[7]september-2026'!$G:$G,0,0)</f>
        <v>500</v>
      </c>
      <c r="BW227">
        <f t="shared" si="657"/>
        <v>68360</v>
      </c>
      <c r="BX227">
        <f>_xlfn.XLOOKUP(B227,'[7]september-2026'!$A:$A,'[7]september-2026'!$H:$H,0,0)</f>
        <v>10000</v>
      </c>
      <c r="BY227">
        <f>_xlfn.XLOOKUP(B227,'[7]september-2026'!$A:$A,'[7]september-2026'!$I:$I,0,0)</f>
        <v>0</v>
      </c>
      <c r="BZ227">
        <f t="shared" si="658"/>
        <v>200</v>
      </c>
      <c r="CA227">
        <f t="shared" si="659"/>
        <v>58160</v>
      </c>
      <c r="CB227">
        <f>_xlfn.XLOOKUP(B227,'[8]october-2026'!$A:$A,'[8]october-2026'!$C:$C,0,0)</f>
        <v>52200</v>
      </c>
      <c r="CC227">
        <f t="shared" si="660"/>
        <v>9396</v>
      </c>
      <c r="CD227">
        <f t="shared" si="661"/>
        <v>6264</v>
      </c>
      <c r="CE227">
        <f>_xlfn.XLOOKUP(B227,'[8]october-2026'!$A:$A,'[8]october-2026'!$D:$D,0,0)</f>
        <v>0</v>
      </c>
      <c r="CF227">
        <f>_xlfn.XLOOKUP(B227,'[8]october-2026'!$A:$A,'[8]october-2026'!$G:$G,0,0)</f>
        <v>500</v>
      </c>
      <c r="CG227">
        <f t="shared" si="662"/>
        <v>68360</v>
      </c>
      <c r="CH227">
        <f>_xlfn.XLOOKUP(B227,'[8]october-2026'!$A:$A,'[8]october-2026'!$H:$H,0,0)</f>
        <v>10000</v>
      </c>
      <c r="CI227">
        <f>_xlfn.XLOOKUP(B227,'[8]october-2026'!$A:$A,'[8]october-2026'!$I:$I,0,0)</f>
        <v>0</v>
      </c>
      <c r="CJ227">
        <f t="shared" si="663"/>
        <v>200</v>
      </c>
      <c r="CK227">
        <f t="shared" si="664"/>
        <v>58160</v>
      </c>
      <c r="CL227">
        <f>_xlfn.XLOOKUP(B227,'[9]november-2026'!$A:$A,'[9]november-2026'!$C:$C,0,0)</f>
        <v>52200</v>
      </c>
      <c r="CM227">
        <f t="shared" si="665"/>
        <v>9396</v>
      </c>
      <c r="CN227">
        <f t="shared" si="666"/>
        <v>6264</v>
      </c>
      <c r="CO227">
        <f>_xlfn.XLOOKUP(B227,'[9]november-2026'!$A:$A,'[9]november-2026'!$D:$D,0,0)</f>
        <v>0</v>
      </c>
      <c r="CP227">
        <f>_xlfn.XLOOKUP(B227,'[9]november-2026'!$A:$A,'[9]november-2026'!$G:$G,0,0)</f>
        <v>500</v>
      </c>
      <c r="CQ227">
        <f t="shared" si="667"/>
        <v>68360</v>
      </c>
      <c r="CR227">
        <f>_xlfn.XLOOKUP(B227,'[9]november-2026'!$A:$A,'[9]november-2026'!$H:$H,0,0)</f>
        <v>10000</v>
      </c>
      <c r="CS227">
        <f>_xlfn.XLOOKUP(B227,'[9]november-2026'!$A:$A,'[9]november-2026'!$I:$I,0,0)</f>
        <v>0</v>
      </c>
      <c r="CT227">
        <f t="shared" si="668"/>
        <v>200</v>
      </c>
      <c r="CU227">
        <f t="shared" si="669"/>
        <v>58160</v>
      </c>
      <c r="CV227">
        <f>_xlfn.XLOOKUP(B227,'[10]december-2026'!$A:$A,'[10]december-2026'!$C:$C,0,0)</f>
        <v>52200</v>
      </c>
      <c r="CW227">
        <f t="shared" si="670"/>
        <v>9396</v>
      </c>
      <c r="CX227">
        <f t="shared" si="671"/>
        <v>6264</v>
      </c>
      <c r="CY227">
        <f>_xlfn.XLOOKUP(B227,'[10]december-2026'!$A:$A,'[10]december-2026'!$D:$D,0,0)</f>
        <v>0</v>
      </c>
      <c r="CZ227">
        <f>_xlfn.XLOOKUP(B227,'[10]december-2026'!$A:$A,'[10]december-2026'!$G:$G,0,0)</f>
        <v>500</v>
      </c>
      <c r="DA227">
        <f t="shared" si="672"/>
        <v>68360</v>
      </c>
      <c r="DB227">
        <f>_xlfn.XLOOKUP(B227,'[10]december-2026'!$A:$A,'[10]december-2026'!$H:$H,0,0)</f>
        <v>10000</v>
      </c>
      <c r="DC227">
        <f>_xlfn.XLOOKUP(B227,'[10]december-2026'!$A:$A,'[10]december-2026'!$I:$I,0,0)</f>
        <v>0</v>
      </c>
      <c r="DD227">
        <f t="shared" si="673"/>
        <v>200</v>
      </c>
      <c r="DE227">
        <f t="shared" si="674"/>
        <v>58160</v>
      </c>
      <c r="DF227">
        <f xml:space="preserve"> _xlfn.XLOOKUP(B227,
'[11]january-2027'!$A:$A,
'[11]january-2027'!$C:$C,
0,0)</f>
        <v>52200</v>
      </c>
      <c r="DG227">
        <f t="shared" si="675"/>
        <v>9396</v>
      </c>
      <c r="DH227">
        <f t="shared" si="676"/>
        <v>6264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500</v>
      </c>
      <c r="DK227">
        <f t="shared" si="677"/>
        <v>68360</v>
      </c>
      <c r="DL227">
        <f xml:space="preserve"> _xlfn.XLOOKUP(B227,
'[11]january-2027'!$A:$A,
'[11]january-2027'!$H:$H,
0,0)</f>
        <v>10000</v>
      </c>
      <c r="DM227">
        <f xml:space="preserve"> _xlfn.XLOOKUP(B227,
'[11]january-2027'!$A:$A,
'[11]january-2027'!$I:$I,
0,0)</f>
        <v>0</v>
      </c>
      <c r="DN227">
        <f t="shared" si="678"/>
        <v>200</v>
      </c>
      <c r="DO227">
        <f t="shared" si="679"/>
        <v>58160</v>
      </c>
      <c r="DP227">
        <f xml:space="preserve"> _xlfn.XLOOKUP(B227,
'[12]february-2027'!$A:$A,
'[12]february-2027'!$C:$C,
0,0)</f>
        <v>52200</v>
      </c>
      <c r="DQ227">
        <f t="shared" si="680"/>
        <v>9396</v>
      </c>
      <c r="DR227">
        <f t="shared" si="681"/>
        <v>6264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500</v>
      </c>
      <c r="DU227">
        <f t="shared" si="682"/>
        <v>68360</v>
      </c>
      <c r="DV227">
        <f xml:space="preserve"> _xlfn.XLOOKUP(B227,
'[12]february-2027'!$A:$A,
'[12]february-2027'!$H:$H,
0,0)</f>
        <v>10000</v>
      </c>
      <c r="DW227">
        <f xml:space="preserve"> _xlfn.XLOOKUP(B227,
'[12]february-2027'!$A:$A,
'[12]february-2027'!$I:$I,
0,0)</f>
        <v>0</v>
      </c>
      <c r="DX227">
        <f t="shared" si="683"/>
        <v>200</v>
      </c>
      <c r="DY227">
        <f t="shared" si="684"/>
        <v>58160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85"/>
        <v>0</v>
      </c>
      <c r="EM227">
        <f t="shared" si="686"/>
        <v>819545</v>
      </c>
      <c r="EN227">
        <f t="shared" si="687"/>
        <v>2400</v>
      </c>
      <c r="EO227">
        <f t="shared" si="688"/>
        <v>50000</v>
      </c>
      <c r="EP227">
        <v>0</v>
      </c>
      <c r="EQ227">
        <f t="shared" si="690"/>
        <v>767145</v>
      </c>
      <c r="ER227">
        <f t="shared" si="691"/>
        <v>120000</v>
      </c>
      <c r="ES227">
        <f t="shared" si="692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693"/>
        <v>120000</v>
      </c>
      <c r="FE227">
        <f t="shared" si="694"/>
        <v>120000</v>
      </c>
      <c r="FF227">
        <f t="shared" si="695"/>
        <v>647145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>SUM(FG227:FM227)+(IF(F227="YES",50000,0))</f>
        <v>0</v>
      </c>
      <c r="FO227">
        <f t="shared" si="696"/>
        <v>647145</v>
      </c>
      <c r="FP227">
        <f t="shared" si="697"/>
        <v>12500</v>
      </c>
      <c r="FQ227">
        <f t="shared" si="698"/>
        <v>29429</v>
      </c>
      <c r="FR227">
        <f t="shared" si="699"/>
        <v>41929</v>
      </c>
      <c r="FS227">
        <f t="shared" si="700"/>
        <v>41929</v>
      </c>
      <c r="FT227">
        <f t="shared" si="701"/>
        <v>1677.16</v>
      </c>
      <c r="FU227">
        <f t="shared" si="702"/>
        <v>43606</v>
      </c>
      <c r="FV227">
        <v>0</v>
      </c>
      <c r="FW227">
        <f t="shared" si="703"/>
        <v>43606</v>
      </c>
      <c r="FX227" t="b">
        <f t="shared" si="704"/>
        <v>1</v>
      </c>
      <c r="FY227">
        <f t="shared" ca="1" si="705"/>
        <v>654</v>
      </c>
      <c r="FZ227">
        <f t="shared" ca="1" si="706"/>
        <v>820199</v>
      </c>
      <c r="GA227">
        <f t="shared" si="707"/>
        <v>75000</v>
      </c>
      <c r="GB227">
        <f t="shared" ca="1" si="708"/>
        <v>745199</v>
      </c>
      <c r="GC227">
        <f t="shared" ca="1" si="709"/>
        <v>0</v>
      </c>
      <c r="GD227">
        <f t="shared" ca="1" si="710"/>
        <v>0</v>
      </c>
      <c r="GE227">
        <f t="shared" ca="1" si="711"/>
        <v>0</v>
      </c>
      <c r="GF227">
        <f t="shared" ca="1" si="712"/>
        <v>0</v>
      </c>
      <c r="GG227">
        <f t="shared" ca="1" si="713"/>
        <v>0</v>
      </c>
      <c r="GH227">
        <f t="shared" ca="1" si="714"/>
        <v>0</v>
      </c>
      <c r="GI227">
        <f ca="1">IF(GB227&gt;1200000,GB227-1200000-IF(F227="YES",50000,0)-GG227,0)</f>
        <v>0</v>
      </c>
      <c r="GJ227">
        <f t="shared" ca="1" si="715"/>
        <v>0</v>
      </c>
      <c r="GK227">
        <f t="shared" ca="1" si="716"/>
        <v>0</v>
      </c>
      <c r="GL227">
        <f t="shared" ca="1" si="717"/>
        <v>0</v>
      </c>
      <c r="GM227">
        <f t="shared" ca="1" si="718"/>
        <v>345199</v>
      </c>
      <c r="GN227">
        <f t="shared" ca="1" si="719"/>
        <v>17259.95</v>
      </c>
      <c r="GO227">
        <f t="shared" ca="1" si="720"/>
        <v>17260</v>
      </c>
      <c r="GP227">
        <f t="shared" ca="1" si="721"/>
        <v>0</v>
      </c>
      <c r="GQ227">
        <f t="shared" ca="1" si="722"/>
        <v>0</v>
      </c>
      <c r="GR227">
        <f t="shared" ca="1" si="723"/>
        <v>17260</v>
      </c>
      <c r="GS227">
        <f t="shared" ca="1" si="724"/>
        <v>0</v>
      </c>
      <c r="GT227" t="b">
        <f t="shared" ca="1" si="725"/>
        <v>0</v>
      </c>
      <c r="GU227">
        <f t="shared" ca="1" si="726"/>
        <v>0</v>
      </c>
      <c r="GV227">
        <f t="shared" ca="1" si="727"/>
        <v>17260</v>
      </c>
      <c r="GW227">
        <f t="shared" ca="1" si="728"/>
        <v>0</v>
      </c>
      <c r="GX227">
        <f t="shared" ca="1" si="729"/>
        <v>0</v>
      </c>
      <c r="GY227">
        <f t="shared" ca="1" si="730"/>
        <v>0</v>
      </c>
    </row>
    <row r="228" spans="1:207" x14ac:dyDescent="0.25">
      <c r="A228">
        <f>_xlfn.AGGREGATE(3,5,$B$2:B228)</f>
        <v>227</v>
      </c>
      <c r="B228" t="s">
        <v>549</v>
      </c>
      <c r="C228" t="s">
        <v>550</v>
      </c>
      <c r="D228" t="s">
        <v>805</v>
      </c>
      <c r="E228" t="s">
        <v>830</v>
      </c>
      <c r="F228" t="s">
        <v>952</v>
      </c>
      <c r="G228" t="s">
        <v>939</v>
      </c>
      <c r="H228">
        <f t="shared" si="625"/>
        <v>6800</v>
      </c>
      <c r="I228">
        <f>_xlfn.XLOOKUP(B228,'[1]march-2026'!$A:$A,'[1]march-2026'!$C:$C,0,0)</f>
        <v>51700</v>
      </c>
      <c r="J228">
        <f t="shared" si="689"/>
        <v>9306</v>
      </c>
      <c r="K228">
        <f t="shared" si="626"/>
        <v>6204</v>
      </c>
      <c r="L228">
        <f>_xlfn.XLOOKUP(B228,'[1]march-2026'!$A:$A,'[1]march-2026'!$D:$D,0,0)</f>
        <v>400</v>
      </c>
      <c r="M228">
        <f>_xlfn.XLOOKUP(B228,'[1]march-2026'!$A:$A,'[1]march-2026'!$G:$G,0,0)</f>
        <v>500</v>
      </c>
      <c r="N228">
        <f t="shared" si="627"/>
        <v>68110</v>
      </c>
      <c r="O228">
        <f>_xlfn.XLOOKUP(B228,'[1]march-2026'!$A:$A,'[1]march-2026'!$H:$H,0,0)</f>
        <v>5000</v>
      </c>
      <c r="P228">
        <f>_xlfn.XLOOKUP(B228,'[1]march-2026'!$A:$A,'[1]march-2026'!$I:$I,0,0)</f>
        <v>0</v>
      </c>
      <c r="Q228">
        <f t="shared" si="628"/>
        <v>200</v>
      </c>
      <c r="R228">
        <f t="shared" si="629"/>
        <v>62910</v>
      </c>
      <c r="S228">
        <f>_xlfn.XLOOKUP(B228,'[2]april-2026'!$A:$A,'[2]april-2026'!$C:$C,0,0)</f>
        <v>51700</v>
      </c>
      <c r="T228">
        <f t="shared" si="630"/>
        <v>9306</v>
      </c>
      <c r="U228">
        <f t="shared" si="631"/>
        <v>6204</v>
      </c>
      <c r="V228">
        <f>_xlfn.XLOOKUP(B228,'[2]april-2026'!$A:$A,'[2]april-2026'!$D:$D,0,0)</f>
        <v>400</v>
      </c>
      <c r="W228">
        <f>_xlfn.XLOOKUP(B228,'[2]april-2026'!$A:$A,'[2]april-2026'!$G:$G,0,0)</f>
        <v>500</v>
      </c>
      <c r="X228">
        <f t="shared" si="632"/>
        <v>68110</v>
      </c>
      <c r="Y228">
        <f>_xlfn.XLOOKUP(B228,'[2]april-2026'!$A:$A,'[2]april-2026'!$H:$H,0,0)</f>
        <v>5000</v>
      </c>
      <c r="Z228">
        <f>_xlfn.XLOOKUP(B228,'[2]april-2026'!$A:$A,'[2]april-2026'!$I:$I,0,0)</f>
        <v>0</v>
      </c>
      <c r="AA228">
        <f t="shared" si="633"/>
        <v>200</v>
      </c>
      <c r="AB228">
        <f t="shared" si="634"/>
        <v>62910</v>
      </c>
      <c r="AC228">
        <f>_xlfn.XLOOKUP(B228,'[3]may-2026'!$A:$A,'[3]may-2026'!$C:$C,0,0)</f>
        <v>51700</v>
      </c>
      <c r="AD228">
        <f t="shared" si="635"/>
        <v>9306</v>
      </c>
      <c r="AE228">
        <f t="shared" si="636"/>
        <v>6204</v>
      </c>
      <c r="AF228">
        <f>_xlfn.XLOOKUP(B228,'[3]may-2026'!$A:$A,'[3]may-2026'!$D:$D,0,0)</f>
        <v>400</v>
      </c>
      <c r="AG228">
        <f>_xlfn.XLOOKUP(B228,'[3]may-2026'!$A:$A,'[3]may-2026'!$G:$G,0,0)</f>
        <v>500</v>
      </c>
      <c r="AH228">
        <f t="shared" si="637"/>
        <v>68110</v>
      </c>
      <c r="AI228">
        <f>_xlfn.XLOOKUP(B228,'[3]may-2026'!$A:$A,'[3]may-2026'!$H:$H,0,0)</f>
        <v>5000</v>
      </c>
      <c r="AJ228">
        <f>_xlfn.XLOOKUP(B228,'[3]may-2026'!$A:$A,'[3]may-2026'!$I:$I,0,0)</f>
        <v>0</v>
      </c>
      <c r="AK228">
        <f t="shared" si="638"/>
        <v>200</v>
      </c>
      <c r="AL228">
        <f t="shared" si="639"/>
        <v>62910</v>
      </c>
      <c r="AM228">
        <f>_xlfn.XLOOKUP(B228,'[4]june-2026'!$A:$A,'[4]june-2026'!$C:$C,0,0)</f>
        <v>51700</v>
      </c>
      <c r="AN228">
        <f t="shared" si="640"/>
        <v>9306</v>
      </c>
      <c r="AO228">
        <f t="shared" si="641"/>
        <v>6204</v>
      </c>
      <c r="AP228">
        <f>_xlfn.XLOOKUP(B228,'[4]june-2026'!$A:$A,'[4]june-2026'!$D:$D,0,0)</f>
        <v>400</v>
      </c>
      <c r="AQ228">
        <f>_xlfn.XLOOKUP(B228,'[4]june-2026'!$A:$A,'[4]june-2026'!$G:$G,0,0)</f>
        <v>500</v>
      </c>
      <c r="AR228">
        <f t="shared" si="642"/>
        <v>68110</v>
      </c>
      <c r="AS228">
        <f>_xlfn.XLOOKUP(B228,'[4]june-2026'!$A:$A,'[4]june-2026'!$H:$H,0,0)</f>
        <v>5000</v>
      </c>
      <c r="AT228">
        <f>_xlfn.XLOOKUP(B228,'[4]june-2026'!$A:$A,'[4]june-2026'!$I:$I,0,0)</f>
        <v>0</v>
      </c>
      <c r="AU228">
        <f t="shared" si="643"/>
        <v>200</v>
      </c>
      <c r="AV228">
        <f t="shared" si="644"/>
        <v>62910</v>
      </c>
      <c r="AW228">
        <f>_xlfn.XLOOKUP(B228,'[5]july-2026'!$A:$A,'[5]july-2026'!$C:$C,0,0)</f>
        <v>53300</v>
      </c>
      <c r="AX228">
        <f t="shared" si="645"/>
        <v>9594</v>
      </c>
      <c r="AY228">
        <v>226</v>
      </c>
      <c r="AZ228">
        <f t="shared" si="646"/>
        <v>6396</v>
      </c>
      <c r="BA228">
        <f>_xlfn.XLOOKUP(B228,'[5]july-2026'!$A:$A,'[5]july-2026'!$D:$D,0,0)</f>
        <v>400</v>
      </c>
      <c r="BB228">
        <f>_xlfn.XLOOKUP(B228,'[5]july-2026'!$A:$A,'[5]july-2026'!$G:$G,0,0)</f>
        <v>500</v>
      </c>
      <c r="BC228">
        <f t="shared" si="647"/>
        <v>70416</v>
      </c>
      <c r="BD228">
        <f>_xlfn.XLOOKUP(B228,'[5]july-2026'!$A:$A,'[5]july-2026'!$H:$H,0,0)</f>
        <v>5000</v>
      </c>
      <c r="BE228">
        <f>_xlfn.XLOOKUP(B228,'[5]july-2026'!$A:$A,'[5]july-2026'!$I:$I,0,0)</f>
        <v>0</v>
      </c>
      <c r="BF228">
        <f t="shared" si="648"/>
        <v>200</v>
      </c>
      <c r="BG228">
        <f t="shared" si="649"/>
        <v>65216</v>
      </c>
      <c r="BH228">
        <f>_xlfn.XLOOKUP(B228,'[6]august-2026'!$A:$A,'[6]august-2026'!$C:$C,0,0)</f>
        <v>53300</v>
      </c>
      <c r="BI228">
        <f t="shared" si="650"/>
        <v>9594</v>
      </c>
      <c r="BJ228">
        <f t="shared" si="651"/>
        <v>6396</v>
      </c>
      <c r="BK228">
        <f>_xlfn.XLOOKUP(B228,'[6]august-2026'!$A:$A,'[6]august-2026'!$D:$D,0,0)</f>
        <v>400</v>
      </c>
      <c r="BL228">
        <f>_xlfn.XLOOKUP(B228,'[6]august-2026'!$A:$A,'[6]august-2026'!$G:$G,0,0)</f>
        <v>500</v>
      </c>
      <c r="BM228">
        <f t="shared" si="652"/>
        <v>70190</v>
      </c>
      <c r="BN228">
        <f>_xlfn.XLOOKUP(B228,'[6]august-2026'!$A:$A,'[6]august-2026'!$H:$H,0,0)</f>
        <v>5000</v>
      </c>
      <c r="BO228">
        <f>_xlfn.XLOOKUP(B228,'[6]august-2026'!$A:$A,'[6]august-2026'!$I:$I,0,0)</f>
        <v>0</v>
      </c>
      <c r="BP228">
        <f t="shared" si="653"/>
        <v>200</v>
      </c>
      <c r="BQ228">
        <f t="shared" si="654"/>
        <v>64990</v>
      </c>
      <c r="BR228">
        <f>_xlfn.XLOOKUP(B228,'[7]september-2026'!$A:$A,'[7]september-2026'!$C:$C,0,0)</f>
        <v>53300</v>
      </c>
      <c r="BS228">
        <f t="shared" si="655"/>
        <v>9594</v>
      </c>
      <c r="BT228">
        <f t="shared" si="656"/>
        <v>6396</v>
      </c>
      <c r="BU228">
        <f>_xlfn.XLOOKUP(B228,'[7]september-2026'!$A:$A,'[7]september-2026'!$D:$D,0,0)</f>
        <v>400</v>
      </c>
      <c r="BV228">
        <f>_xlfn.XLOOKUP(B228,'[7]september-2026'!$A:$A,'[7]september-2026'!$G:$G,0,0)</f>
        <v>500</v>
      </c>
      <c r="BW228">
        <f t="shared" si="657"/>
        <v>70190</v>
      </c>
      <c r="BX228">
        <f>_xlfn.XLOOKUP(B228,'[7]september-2026'!$A:$A,'[7]september-2026'!$H:$H,0,0)</f>
        <v>5000</v>
      </c>
      <c r="BY228">
        <f>_xlfn.XLOOKUP(B228,'[7]september-2026'!$A:$A,'[7]september-2026'!$I:$I,0,0)</f>
        <v>0</v>
      </c>
      <c r="BZ228">
        <f t="shared" si="658"/>
        <v>200</v>
      </c>
      <c r="CA228">
        <f t="shared" si="659"/>
        <v>64990</v>
      </c>
      <c r="CB228">
        <f>_xlfn.XLOOKUP(B228,'[8]october-2026'!$A:$A,'[8]october-2026'!$C:$C,0,0)</f>
        <v>53300</v>
      </c>
      <c r="CC228">
        <f t="shared" si="660"/>
        <v>9594</v>
      </c>
      <c r="CD228">
        <f t="shared" si="661"/>
        <v>6396</v>
      </c>
      <c r="CE228">
        <f>_xlfn.XLOOKUP(B228,'[8]october-2026'!$A:$A,'[8]october-2026'!$D:$D,0,0)</f>
        <v>400</v>
      </c>
      <c r="CF228">
        <f>_xlfn.XLOOKUP(B228,'[8]october-2026'!$A:$A,'[8]october-2026'!$G:$G,0,0)</f>
        <v>500</v>
      </c>
      <c r="CG228">
        <f t="shared" si="662"/>
        <v>70190</v>
      </c>
      <c r="CH228">
        <f>_xlfn.XLOOKUP(B228,'[8]october-2026'!$A:$A,'[8]october-2026'!$H:$H,0,0)</f>
        <v>5000</v>
      </c>
      <c r="CI228">
        <f>_xlfn.XLOOKUP(B228,'[8]october-2026'!$A:$A,'[8]october-2026'!$I:$I,0,0)</f>
        <v>0</v>
      </c>
      <c r="CJ228">
        <f t="shared" si="663"/>
        <v>200</v>
      </c>
      <c r="CK228">
        <f t="shared" si="664"/>
        <v>64990</v>
      </c>
      <c r="CL228">
        <f>_xlfn.XLOOKUP(B228,'[9]november-2026'!$A:$A,'[9]november-2026'!$C:$C,0,0)</f>
        <v>53300</v>
      </c>
      <c r="CM228">
        <f t="shared" si="665"/>
        <v>9594</v>
      </c>
      <c r="CN228">
        <f t="shared" si="666"/>
        <v>6396</v>
      </c>
      <c r="CO228">
        <f>_xlfn.XLOOKUP(B228,'[9]november-2026'!$A:$A,'[9]november-2026'!$D:$D,0,0)</f>
        <v>400</v>
      </c>
      <c r="CP228">
        <f>_xlfn.XLOOKUP(B228,'[9]november-2026'!$A:$A,'[9]november-2026'!$G:$G,0,0)</f>
        <v>500</v>
      </c>
      <c r="CQ228">
        <f t="shared" si="667"/>
        <v>70190</v>
      </c>
      <c r="CR228">
        <f>_xlfn.XLOOKUP(B228,'[9]november-2026'!$A:$A,'[9]november-2026'!$H:$H,0,0)</f>
        <v>5000</v>
      </c>
      <c r="CS228">
        <f>_xlfn.XLOOKUP(B228,'[9]november-2026'!$A:$A,'[9]november-2026'!$I:$I,0,0)</f>
        <v>0</v>
      </c>
      <c r="CT228">
        <f t="shared" si="668"/>
        <v>200</v>
      </c>
      <c r="CU228">
        <f t="shared" si="669"/>
        <v>64990</v>
      </c>
      <c r="CV228">
        <f>_xlfn.XLOOKUP(B228,'[10]december-2026'!$A:$A,'[10]december-2026'!$C:$C,0,0)</f>
        <v>53300</v>
      </c>
      <c r="CW228">
        <f t="shared" si="670"/>
        <v>9594</v>
      </c>
      <c r="CX228">
        <f t="shared" si="671"/>
        <v>6396</v>
      </c>
      <c r="CY228">
        <f>_xlfn.XLOOKUP(B228,'[10]december-2026'!$A:$A,'[10]december-2026'!$D:$D,0,0)</f>
        <v>400</v>
      </c>
      <c r="CZ228">
        <f>_xlfn.XLOOKUP(B228,'[10]december-2026'!$A:$A,'[10]december-2026'!$G:$G,0,0)</f>
        <v>500</v>
      </c>
      <c r="DA228">
        <f t="shared" si="672"/>
        <v>70190</v>
      </c>
      <c r="DB228">
        <f>_xlfn.XLOOKUP(B228,'[10]december-2026'!$A:$A,'[10]december-2026'!$H:$H,0,0)</f>
        <v>5000</v>
      </c>
      <c r="DC228">
        <f>_xlfn.XLOOKUP(B228,'[10]december-2026'!$A:$A,'[10]december-2026'!$I:$I,0,0)</f>
        <v>0</v>
      </c>
      <c r="DD228">
        <f t="shared" si="673"/>
        <v>200</v>
      </c>
      <c r="DE228">
        <f t="shared" si="674"/>
        <v>64990</v>
      </c>
      <c r="DF228">
        <f xml:space="preserve"> _xlfn.XLOOKUP(B228,
'[11]january-2027'!$A:$A,
'[11]january-2027'!$C:$C,
0,0)</f>
        <v>53300</v>
      </c>
      <c r="DG228">
        <f t="shared" si="675"/>
        <v>9594</v>
      </c>
      <c r="DH228">
        <f t="shared" si="676"/>
        <v>6396</v>
      </c>
      <c r="DI228">
        <f xml:space="preserve"> _xlfn.XLOOKUP(B228,
'[11]january-2027'!$A:$A,
'[11]january-2027'!$D:$D,
0,0)</f>
        <v>400</v>
      </c>
      <c r="DJ228">
        <f xml:space="preserve"> _xlfn.XLOOKUP(B228,
'[11]january-2027'!$A:$A,
'[11]january-2027'!$G:$G,
0,0)</f>
        <v>500</v>
      </c>
      <c r="DK228">
        <f t="shared" si="677"/>
        <v>70190</v>
      </c>
      <c r="DL228">
        <f xml:space="preserve"> _xlfn.XLOOKUP(B228,
'[11]january-2027'!$A:$A,
'[11]january-2027'!$H:$H,
0,0)</f>
        <v>5000</v>
      </c>
      <c r="DM228">
        <f xml:space="preserve"> _xlfn.XLOOKUP(B228,
'[11]january-2027'!$A:$A,
'[11]january-2027'!$I:$I,
0,0)</f>
        <v>0</v>
      </c>
      <c r="DN228">
        <f t="shared" si="678"/>
        <v>200</v>
      </c>
      <c r="DO228">
        <f t="shared" si="679"/>
        <v>64990</v>
      </c>
      <c r="DP228">
        <f xml:space="preserve"> _xlfn.XLOOKUP(B228,
'[12]february-2027'!$A:$A,
'[12]february-2027'!$C:$C,
0,0)</f>
        <v>53300</v>
      </c>
      <c r="DQ228">
        <f t="shared" si="680"/>
        <v>9594</v>
      </c>
      <c r="DR228">
        <f t="shared" si="681"/>
        <v>6396</v>
      </c>
      <c r="DS228">
        <f xml:space="preserve"> _xlfn.XLOOKUP(B228,
'[12]february-2027'!$A:$A,
'[12]february-2027'!$D:$D,
0,0)</f>
        <v>400</v>
      </c>
      <c r="DT228">
        <f xml:space="preserve"> _xlfn.XLOOKUP(B228,
'[12]february-2027'!$A:$A,
'[12]february-2027'!$G:$G,
0,0)</f>
        <v>500</v>
      </c>
      <c r="DU228">
        <f t="shared" si="682"/>
        <v>70190</v>
      </c>
      <c r="DV228">
        <f xml:space="preserve"> _xlfn.XLOOKUP(B228,
'[12]february-2027'!$A:$A,
'[12]february-2027'!$H:$H,
0,0)</f>
        <v>5000</v>
      </c>
      <c r="DW228">
        <f xml:space="preserve"> _xlfn.XLOOKUP(B228,
'[12]february-2027'!$A:$A,
'[12]february-2027'!$I:$I,
0,0)</f>
        <v>0</v>
      </c>
      <c r="DX228">
        <f t="shared" si="683"/>
        <v>200</v>
      </c>
      <c r="DY228">
        <f t="shared" si="684"/>
        <v>64990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85"/>
        <v>0</v>
      </c>
      <c r="EM228">
        <f t="shared" si="686"/>
        <v>840986</v>
      </c>
      <c r="EN228">
        <f t="shared" si="687"/>
        <v>2400</v>
      </c>
      <c r="EO228">
        <f t="shared" si="688"/>
        <v>50000</v>
      </c>
      <c r="EP228">
        <v>0</v>
      </c>
      <c r="EQ228">
        <f t="shared" si="690"/>
        <v>788586</v>
      </c>
      <c r="ER228">
        <f t="shared" si="691"/>
        <v>60000</v>
      </c>
      <c r="ES228">
        <f t="shared" si="692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693"/>
        <v>60000</v>
      </c>
      <c r="FE228">
        <f t="shared" si="694"/>
        <v>60000</v>
      </c>
      <c r="FF228">
        <f t="shared" si="695"/>
        <v>728586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>SUM(FG228:FM228)+(IF(F228="YES",50000,0))</f>
        <v>0</v>
      </c>
      <c r="FO228">
        <f t="shared" si="696"/>
        <v>728586</v>
      </c>
      <c r="FP228">
        <f t="shared" si="697"/>
        <v>12500</v>
      </c>
      <c r="FQ228">
        <f t="shared" si="698"/>
        <v>45717</v>
      </c>
      <c r="FR228">
        <f t="shared" si="699"/>
        <v>58217</v>
      </c>
      <c r="FS228">
        <f t="shared" si="700"/>
        <v>58217</v>
      </c>
      <c r="FT228">
        <f t="shared" si="701"/>
        <v>2328.6799999999998</v>
      </c>
      <c r="FU228">
        <f t="shared" si="702"/>
        <v>60546</v>
      </c>
      <c r="FV228">
        <v>0</v>
      </c>
      <c r="FW228">
        <f t="shared" si="703"/>
        <v>60546</v>
      </c>
      <c r="FX228" t="b">
        <f t="shared" si="704"/>
        <v>1</v>
      </c>
      <c r="FY228">
        <f t="shared" ca="1" si="705"/>
        <v>966</v>
      </c>
      <c r="FZ228">
        <f t="shared" ca="1" si="706"/>
        <v>841952</v>
      </c>
      <c r="GA228">
        <f t="shared" si="707"/>
        <v>75000</v>
      </c>
      <c r="GB228">
        <f t="shared" ca="1" si="708"/>
        <v>766952</v>
      </c>
      <c r="GC228">
        <f t="shared" ca="1" si="709"/>
        <v>0</v>
      </c>
      <c r="GD228">
        <f t="shared" ca="1" si="710"/>
        <v>0</v>
      </c>
      <c r="GE228">
        <f t="shared" ca="1" si="711"/>
        <v>0</v>
      </c>
      <c r="GF228">
        <f t="shared" ca="1" si="712"/>
        <v>0</v>
      </c>
      <c r="GG228">
        <f t="shared" ca="1" si="713"/>
        <v>0</v>
      </c>
      <c r="GH228">
        <f t="shared" ca="1" si="714"/>
        <v>0</v>
      </c>
      <c r="GI228">
        <f ca="1">IF(GB228&gt;1200000,GB228-1200000-IF(F228="YES",50000,0)-GG228,0)</f>
        <v>0</v>
      </c>
      <c r="GJ228">
        <f t="shared" ca="1" si="715"/>
        <v>0</v>
      </c>
      <c r="GK228">
        <f t="shared" ca="1" si="716"/>
        <v>0</v>
      </c>
      <c r="GL228">
        <f t="shared" ca="1" si="717"/>
        <v>0</v>
      </c>
      <c r="GM228">
        <f t="shared" ca="1" si="718"/>
        <v>366952</v>
      </c>
      <c r="GN228">
        <f t="shared" ca="1" si="719"/>
        <v>18347.600000000002</v>
      </c>
      <c r="GO228">
        <f t="shared" ca="1" si="720"/>
        <v>18348</v>
      </c>
      <c r="GP228">
        <f t="shared" ca="1" si="721"/>
        <v>0</v>
      </c>
      <c r="GQ228">
        <f t="shared" ca="1" si="722"/>
        <v>0</v>
      </c>
      <c r="GR228">
        <f t="shared" ca="1" si="723"/>
        <v>18348</v>
      </c>
      <c r="GS228">
        <f t="shared" ca="1" si="724"/>
        <v>0</v>
      </c>
      <c r="GT228" t="b">
        <f t="shared" ca="1" si="725"/>
        <v>0</v>
      </c>
      <c r="GU228">
        <f t="shared" ca="1" si="726"/>
        <v>0</v>
      </c>
      <c r="GV228">
        <f t="shared" ca="1" si="727"/>
        <v>18348</v>
      </c>
      <c r="GW228">
        <f t="shared" ca="1" si="728"/>
        <v>0</v>
      </c>
      <c r="GX228">
        <f t="shared" ca="1" si="729"/>
        <v>0</v>
      </c>
      <c r="GY228">
        <f t="shared" ca="1" si="730"/>
        <v>0</v>
      </c>
    </row>
    <row r="229" spans="1:207" x14ac:dyDescent="0.25">
      <c r="A229">
        <f>_xlfn.AGGREGATE(3,5,$B$2:B229)</f>
        <v>228</v>
      </c>
      <c r="B229" t="s">
        <v>551</v>
      </c>
      <c r="C229" t="s">
        <v>552</v>
      </c>
      <c r="D229" t="s">
        <v>805</v>
      </c>
      <c r="E229" t="s">
        <v>830</v>
      </c>
      <c r="F229" t="s">
        <v>952</v>
      </c>
      <c r="G229" t="s">
        <v>940</v>
      </c>
      <c r="H229">
        <f t="shared" si="625"/>
        <v>6800</v>
      </c>
      <c r="I229">
        <f>_xlfn.XLOOKUP(B229,'[1]march-2026'!$A:$A,'[1]march-2026'!$C:$C,0,0)</f>
        <v>35500</v>
      </c>
      <c r="J229">
        <f t="shared" si="689"/>
        <v>6390</v>
      </c>
      <c r="K229">
        <f t="shared" si="626"/>
        <v>4260</v>
      </c>
      <c r="L229">
        <f>_xlfn.XLOOKUP(B229,'[1]march-2026'!$A:$A,'[1]march-2026'!$D:$D,0,0)</f>
        <v>0</v>
      </c>
      <c r="M229">
        <f>_xlfn.XLOOKUP(B229,'[1]march-2026'!$A:$A,'[1]march-2026'!$G:$G,0,0)</f>
        <v>500</v>
      </c>
      <c r="N229">
        <f t="shared" si="627"/>
        <v>46650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28"/>
        <v>200</v>
      </c>
      <c r="R229">
        <f t="shared" si="629"/>
        <v>41450</v>
      </c>
      <c r="S229">
        <f>_xlfn.XLOOKUP(B229,'[2]april-2026'!$A:$A,'[2]april-2026'!$C:$C,0,0)</f>
        <v>35500</v>
      </c>
      <c r="T229">
        <f t="shared" si="630"/>
        <v>6390</v>
      </c>
      <c r="U229">
        <f t="shared" si="631"/>
        <v>4260</v>
      </c>
      <c r="V229">
        <f>_xlfn.XLOOKUP(B229,'[2]april-2026'!$A:$A,'[2]april-2026'!$D:$D,0,0)</f>
        <v>0</v>
      </c>
      <c r="W229">
        <f>_xlfn.XLOOKUP(B229,'[2]april-2026'!$A:$A,'[2]april-2026'!$G:$G,0,0)</f>
        <v>500</v>
      </c>
      <c r="X229">
        <f t="shared" si="632"/>
        <v>46650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33"/>
        <v>200</v>
      </c>
      <c r="AB229">
        <f t="shared" si="634"/>
        <v>41450</v>
      </c>
      <c r="AC229">
        <f>_xlfn.XLOOKUP(B229,'[3]may-2026'!$A:$A,'[3]may-2026'!$C:$C,0,0)</f>
        <v>35500</v>
      </c>
      <c r="AD229">
        <f t="shared" si="635"/>
        <v>6390</v>
      </c>
      <c r="AE229">
        <f t="shared" si="636"/>
        <v>4260</v>
      </c>
      <c r="AF229">
        <f>_xlfn.XLOOKUP(B229,'[3]may-2026'!$A:$A,'[3]may-2026'!$D:$D,0,0)</f>
        <v>0</v>
      </c>
      <c r="AG229">
        <f>_xlfn.XLOOKUP(B229,'[3]may-2026'!$A:$A,'[3]may-2026'!$G:$G,0,0)</f>
        <v>500</v>
      </c>
      <c r="AH229">
        <f t="shared" si="637"/>
        <v>46650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38"/>
        <v>200</v>
      </c>
      <c r="AL229">
        <f t="shared" si="639"/>
        <v>41450</v>
      </c>
      <c r="AM229">
        <f>_xlfn.XLOOKUP(B229,'[4]june-2026'!$A:$A,'[4]june-2026'!$C:$C,0,0)</f>
        <v>35500</v>
      </c>
      <c r="AN229">
        <f t="shared" si="640"/>
        <v>6390</v>
      </c>
      <c r="AO229">
        <f t="shared" si="641"/>
        <v>4260</v>
      </c>
      <c r="AP229">
        <f>_xlfn.XLOOKUP(B229,'[4]june-2026'!$A:$A,'[4]june-2026'!$D:$D,0,0)</f>
        <v>0</v>
      </c>
      <c r="AQ229">
        <f>_xlfn.XLOOKUP(B229,'[4]june-2026'!$A:$A,'[4]june-2026'!$G:$G,0,0)</f>
        <v>500</v>
      </c>
      <c r="AR229">
        <f t="shared" si="642"/>
        <v>46650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43"/>
        <v>200</v>
      </c>
      <c r="AV229">
        <f t="shared" si="644"/>
        <v>41450</v>
      </c>
      <c r="AW229">
        <f>_xlfn.XLOOKUP(B229,'[5]july-2026'!$A:$A,'[5]july-2026'!$C:$C,0,0)</f>
        <v>36600</v>
      </c>
      <c r="AX229">
        <f t="shared" si="645"/>
        <v>6588</v>
      </c>
      <c r="AY229">
        <v>227</v>
      </c>
      <c r="AZ229">
        <f t="shared" si="646"/>
        <v>4392</v>
      </c>
      <c r="BA229">
        <f>_xlfn.XLOOKUP(B229,'[5]july-2026'!$A:$A,'[5]july-2026'!$D:$D,0,0)</f>
        <v>0</v>
      </c>
      <c r="BB229">
        <f>_xlfn.XLOOKUP(B229,'[5]july-2026'!$A:$A,'[5]july-2026'!$G:$G,0,0)</f>
        <v>500</v>
      </c>
      <c r="BC229">
        <f t="shared" si="647"/>
        <v>48307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48"/>
        <v>200</v>
      </c>
      <c r="BG229">
        <f t="shared" si="649"/>
        <v>43107</v>
      </c>
      <c r="BH229">
        <f>_xlfn.XLOOKUP(B229,'[6]august-2026'!$A:$A,'[6]august-2026'!$C:$C,0,0)</f>
        <v>36600</v>
      </c>
      <c r="BI229">
        <f t="shared" si="650"/>
        <v>6588</v>
      </c>
      <c r="BJ229">
        <f t="shared" si="651"/>
        <v>4392</v>
      </c>
      <c r="BK229">
        <f>_xlfn.XLOOKUP(B229,'[6]august-2026'!$A:$A,'[6]august-2026'!$D:$D,0,0)</f>
        <v>0</v>
      </c>
      <c r="BL229">
        <f>_xlfn.XLOOKUP(B229,'[6]august-2026'!$A:$A,'[6]august-2026'!$G:$G,0,0)</f>
        <v>500</v>
      </c>
      <c r="BM229">
        <f t="shared" si="652"/>
        <v>48080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53"/>
        <v>200</v>
      </c>
      <c r="BQ229">
        <f t="shared" si="654"/>
        <v>42880</v>
      </c>
      <c r="BR229">
        <f>_xlfn.XLOOKUP(B229,'[7]september-2026'!$A:$A,'[7]september-2026'!$C:$C,0,0)</f>
        <v>36600</v>
      </c>
      <c r="BS229">
        <f t="shared" si="655"/>
        <v>6588</v>
      </c>
      <c r="BT229">
        <f t="shared" si="656"/>
        <v>4392</v>
      </c>
      <c r="BU229">
        <f>_xlfn.XLOOKUP(B229,'[7]september-2026'!$A:$A,'[7]september-2026'!$D:$D,0,0)</f>
        <v>0</v>
      </c>
      <c r="BV229">
        <f>_xlfn.XLOOKUP(B229,'[7]september-2026'!$A:$A,'[7]september-2026'!$G:$G,0,0)</f>
        <v>500</v>
      </c>
      <c r="BW229">
        <f t="shared" si="657"/>
        <v>48080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58"/>
        <v>200</v>
      </c>
      <c r="CA229">
        <f t="shared" si="659"/>
        <v>42880</v>
      </c>
      <c r="CB229">
        <f>_xlfn.XLOOKUP(B229,'[8]october-2026'!$A:$A,'[8]october-2026'!$C:$C,0,0)</f>
        <v>36600</v>
      </c>
      <c r="CC229">
        <f t="shared" si="660"/>
        <v>6588</v>
      </c>
      <c r="CD229">
        <f t="shared" si="661"/>
        <v>4392</v>
      </c>
      <c r="CE229">
        <f>_xlfn.XLOOKUP(B229,'[8]october-2026'!$A:$A,'[8]october-2026'!$D:$D,0,0)</f>
        <v>0</v>
      </c>
      <c r="CF229">
        <f>_xlfn.XLOOKUP(B229,'[8]october-2026'!$A:$A,'[8]october-2026'!$G:$G,0,0)</f>
        <v>500</v>
      </c>
      <c r="CG229">
        <f t="shared" si="662"/>
        <v>48080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63"/>
        <v>200</v>
      </c>
      <c r="CK229">
        <f t="shared" si="664"/>
        <v>42880</v>
      </c>
      <c r="CL229">
        <f>_xlfn.XLOOKUP(B229,'[9]november-2026'!$A:$A,'[9]november-2026'!$C:$C,0,0)</f>
        <v>36600</v>
      </c>
      <c r="CM229">
        <f t="shared" si="665"/>
        <v>6588</v>
      </c>
      <c r="CN229">
        <f t="shared" si="666"/>
        <v>4392</v>
      </c>
      <c r="CO229">
        <f>_xlfn.XLOOKUP(B229,'[9]november-2026'!$A:$A,'[9]november-2026'!$D:$D,0,0)</f>
        <v>0</v>
      </c>
      <c r="CP229">
        <f>_xlfn.XLOOKUP(B229,'[9]november-2026'!$A:$A,'[9]november-2026'!$G:$G,0,0)</f>
        <v>500</v>
      </c>
      <c r="CQ229">
        <f t="shared" si="667"/>
        <v>48080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68"/>
        <v>200</v>
      </c>
      <c r="CU229">
        <f t="shared" si="669"/>
        <v>42880</v>
      </c>
      <c r="CV229">
        <f>_xlfn.XLOOKUP(B229,'[10]december-2026'!$A:$A,'[10]december-2026'!$C:$C,0,0)</f>
        <v>36600</v>
      </c>
      <c r="CW229">
        <f t="shared" si="670"/>
        <v>6588</v>
      </c>
      <c r="CX229">
        <f t="shared" si="671"/>
        <v>4392</v>
      </c>
      <c r="CY229">
        <f>_xlfn.XLOOKUP(B229,'[10]december-2026'!$A:$A,'[10]december-2026'!$D:$D,0,0)</f>
        <v>0</v>
      </c>
      <c r="CZ229">
        <f>_xlfn.XLOOKUP(B229,'[10]december-2026'!$A:$A,'[10]december-2026'!$G:$G,0,0)</f>
        <v>500</v>
      </c>
      <c r="DA229">
        <f t="shared" si="672"/>
        <v>48080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73"/>
        <v>200</v>
      </c>
      <c r="DE229">
        <f t="shared" si="674"/>
        <v>42880</v>
      </c>
      <c r="DF229">
        <f xml:space="preserve"> _xlfn.XLOOKUP(B229,
'[11]january-2027'!$A:$A,
'[11]january-2027'!$C:$C,
0,0)</f>
        <v>36600</v>
      </c>
      <c r="DG229">
        <f t="shared" si="675"/>
        <v>6588</v>
      </c>
      <c r="DH229">
        <f t="shared" si="676"/>
        <v>4392</v>
      </c>
      <c r="DI229">
        <f xml:space="preserve"> _xlfn.XLOOKUP(B229,
'[11]january-2027'!$A:$A,
'[11]january-2027'!$D:$D,
0,0)</f>
        <v>0</v>
      </c>
      <c r="DJ229">
        <f xml:space="preserve"> _xlfn.XLOOKUP(B229,
'[11]january-2027'!$A:$A,
'[11]january-2027'!$G:$G,
0,0)</f>
        <v>500</v>
      </c>
      <c r="DK229">
        <f t="shared" si="677"/>
        <v>48080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78"/>
        <v>200</v>
      </c>
      <c r="DO229">
        <f t="shared" si="679"/>
        <v>42880</v>
      </c>
      <c r="DP229">
        <f xml:space="preserve"> _xlfn.XLOOKUP(B229,
'[12]february-2027'!$A:$A,
'[12]february-2027'!$C:$C,
0,0)</f>
        <v>36600</v>
      </c>
      <c r="DQ229">
        <f t="shared" si="680"/>
        <v>6588</v>
      </c>
      <c r="DR229">
        <f t="shared" si="681"/>
        <v>4392</v>
      </c>
      <c r="DS229">
        <f xml:space="preserve"> _xlfn.XLOOKUP(B229,
'[12]february-2027'!$A:$A,
'[12]february-2027'!$D:$D,
0,0)</f>
        <v>0</v>
      </c>
      <c r="DT229">
        <f xml:space="preserve"> _xlfn.XLOOKUP(B229,
'[12]february-2027'!$A:$A,
'[12]february-2027'!$G:$G,
0,0)</f>
        <v>500</v>
      </c>
      <c r="DU229">
        <f t="shared" si="682"/>
        <v>48080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83"/>
        <v>200</v>
      </c>
      <c r="DY229">
        <f t="shared" si="684"/>
        <v>42880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85"/>
        <v>0</v>
      </c>
      <c r="EM229">
        <f t="shared" si="686"/>
        <v>578267</v>
      </c>
      <c r="EN229">
        <f t="shared" si="687"/>
        <v>2400</v>
      </c>
      <c r="EO229">
        <f t="shared" si="688"/>
        <v>50000</v>
      </c>
      <c r="EP229">
        <v>0</v>
      </c>
      <c r="EQ229">
        <f t="shared" si="690"/>
        <v>525867</v>
      </c>
      <c r="ER229">
        <f t="shared" si="691"/>
        <v>60000</v>
      </c>
      <c r="ES229">
        <f t="shared" si="692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693"/>
        <v>60000</v>
      </c>
      <c r="FE229">
        <f t="shared" si="694"/>
        <v>60000</v>
      </c>
      <c r="FF229">
        <f t="shared" si="695"/>
        <v>465867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>SUM(FG229:FM229)+(IF(F229="YES",50000,0))</f>
        <v>0</v>
      </c>
      <c r="FO229">
        <f t="shared" si="696"/>
        <v>465867</v>
      </c>
      <c r="FP229">
        <f t="shared" si="697"/>
        <v>10793</v>
      </c>
      <c r="FQ229">
        <f t="shared" si="698"/>
        <v>0</v>
      </c>
      <c r="FR229">
        <f t="shared" si="699"/>
        <v>10793</v>
      </c>
      <c r="FS229">
        <f t="shared" si="700"/>
        <v>0</v>
      </c>
      <c r="FT229">
        <f t="shared" si="701"/>
        <v>0</v>
      </c>
      <c r="FU229">
        <f t="shared" si="702"/>
        <v>0</v>
      </c>
      <c r="FV229">
        <v>0</v>
      </c>
      <c r="FW229">
        <f t="shared" si="703"/>
        <v>0</v>
      </c>
      <c r="FX229" t="b">
        <f t="shared" si="704"/>
        <v>1</v>
      </c>
      <c r="FY229">
        <f t="shared" ca="1" si="705"/>
        <v>738</v>
      </c>
      <c r="FZ229">
        <f t="shared" ca="1" si="706"/>
        <v>579005</v>
      </c>
      <c r="GA229">
        <f t="shared" si="707"/>
        <v>75000</v>
      </c>
      <c r="GB229">
        <f t="shared" ca="1" si="708"/>
        <v>504005</v>
      </c>
      <c r="GC229">
        <f t="shared" ca="1" si="709"/>
        <v>0</v>
      </c>
      <c r="GD229">
        <f t="shared" ca="1" si="710"/>
        <v>0</v>
      </c>
      <c r="GE229">
        <f t="shared" ca="1" si="711"/>
        <v>0</v>
      </c>
      <c r="GF229">
        <f t="shared" ca="1" si="712"/>
        <v>0</v>
      </c>
      <c r="GG229">
        <f t="shared" ca="1" si="713"/>
        <v>0</v>
      </c>
      <c r="GH229">
        <f t="shared" ca="1" si="714"/>
        <v>0</v>
      </c>
      <c r="GI229">
        <f ca="1">IF(GB229&gt;1200000,GB229-1200000-IF(F229="YES",50000,0)-GG229,0)</f>
        <v>0</v>
      </c>
      <c r="GJ229">
        <f t="shared" ca="1" si="715"/>
        <v>0</v>
      </c>
      <c r="GK229">
        <f t="shared" ca="1" si="716"/>
        <v>0</v>
      </c>
      <c r="GL229">
        <f t="shared" ca="1" si="717"/>
        <v>0</v>
      </c>
      <c r="GM229">
        <f t="shared" ca="1" si="718"/>
        <v>104005</v>
      </c>
      <c r="GN229">
        <f t="shared" ca="1" si="719"/>
        <v>5200.25</v>
      </c>
      <c r="GO229">
        <f t="shared" ca="1" si="720"/>
        <v>5200</v>
      </c>
      <c r="GP229">
        <f t="shared" ca="1" si="721"/>
        <v>0</v>
      </c>
      <c r="GQ229">
        <f t="shared" ca="1" si="722"/>
        <v>0</v>
      </c>
      <c r="GR229">
        <f t="shared" ca="1" si="723"/>
        <v>5200</v>
      </c>
      <c r="GS229">
        <f t="shared" ca="1" si="724"/>
        <v>0</v>
      </c>
      <c r="GT229" t="b">
        <f t="shared" ca="1" si="725"/>
        <v>0</v>
      </c>
      <c r="GU229">
        <f t="shared" ca="1" si="726"/>
        <v>0</v>
      </c>
      <c r="GV229">
        <f t="shared" ca="1" si="727"/>
        <v>5200</v>
      </c>
      <c r="GW229">
        <f t="shared" ca="1" si="728"/>
        <v>0</v>
      </c>
      <c r="GX229">
        <f t="shared" ca="1" si="729"/>
        <v>0</v>
      </c>
      <c r="GY229">
        <f t="shared" ca="1" si="730"/>
        <v>0</v>
      </c>
    </row>
    <row r="230" spans="1:207" x14ac:dyDescent="0.25">
      <c r="A230">
        <f>_xlfn.AGGREGATE(3,5,$B$2:B230)</f>
        <v>229</v>
      </c>
      <c r="B230" t="s">
        <v>553</v>
      </c>
      <c r="C230" t="s">
        <v>554</v>
      </c>
      <c r="D230" t="s">
        <v>805</v>
      </c>
      <c r="E230" t="s">
        <v>830</v>
      </c>
      <c r="F230" t="s">
        <v>952</v>
      </c>
      <c r="G230" t="s">
        <v>880</v>
      </c>
      <c r="H230">
        <f t="shared" si="625"/>
        <v>6800</v>
      </c>
      <c r="I230">
        <f>_xlfn.XLOOKUP(B230,'[1]march-2026'!$A:$A,'[1]march-2026'!$C:$C,0,0)</f>
        <v>29800</v>
      </c>
      <c r="J230">
        <f t="shared" si="689"/>
        <v>5364</v>
      </c>
      <c r="K230">
        <f t="shared" si="626"/>
        <v>3576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27"/>
        <v>39240</v>
      </c>
      <c r="O230">
        <f>_xlfn.XLOOKUP(B230,'[1]march-2026'!$A:$A,'[1]march-2026'!$H:$H,0,0)</f>
        <v>2000</v>
      </c>
      <c r="P230">
        <f>_xlfn.XLOOKUP(B230,'[1]march-2026'!$A:$A,'[1]march-2026'!$I:$I,0,0)</f>
        <v>0</v>
      </c>
      <c r="Q230">
        <f t="shared" si="628"/>
        <v>150</v>
      </c>
      <c r="R230">
        <f t="shared" si="629"/>
        <v>37090</v>
      </c>
      <c r="S230">
        <f>_xlfn.XLOOKUP(B230,'[2]april-2026'!$A:$A,'[2]april-2026'!$C:$C,0,0)</f>
        <v>29800</v>
      </c>
      <c r="T230">
        <f t="shared" si="630"/>
        <v>5364</v>
      </c>
      <c r="U230">
        <f t="shared" si="631"/>
        <v>3576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32"/>
        <v>39240</v>
      </c>
      <c r="Y230">
        <f>_xlfn.XLOOKUP(B230,'[2]april-2026'!$A:$A,'[2]april-2026'!$H:$H,0,0)</f>
        <v>2000</v>
      </c>
      <c r="Z230">
        <f>_xlfn.XLOOKUP(B230,'[2]april-2026'!$A:$A,'[2]april-2026'!$I:$I,0,0)</f>
        <v>0</v>
      </c>
      <c r="AA230">
        <f t="shared" si="633"/>
        <v>150</v>
      </c>
      <c r="AB230">
        <f t="shared" si="634"/>
        <v>37090</v>
      </c>
      <c r="AC230">
        <f>_xlfn.XLOOKUP(B230,'[3]may-2026'!$A:$A,'[3]may-2026'!$C:$C,0,0)</f>
        <v>29800</v>
      </c>
      <c r="AD230">
        <f t="shared" si="635"/>
        <v>5364</v>
      </c>
      <c r="AE230">
        <f t="shared" si="636"/>
        <v>3576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37"/>
        <v>39240</v>
      </c>
      <c r="AI230">
        <f>_xlfn.XLOOKUP(B230,'[3]may-2026'!$A:$A,'[3]may-2026'!$H:$H,0,0)</f>
        <v>2000</v>
      </c>
      <c r="AJ230">
        <f>_xlfn.XLOOKUP(B230,'[3]may-2026'!$A:$A,'[3]may-2026'!$I:$I,0,0)</f>
        <v>0</v>
      </c>
      <c r="AK230">
        <f t="shared" si="638"/>
        <v>150</v>
      </c>
      <c r="AL230">
        <f t="shared" si="639"/>
        <v>37090</v>
      </c>
      <c r="AM230">
        <f>_xlfn.XLOOKUP(B230,'[4]june-2026'!$A:$A,'[4]june-2026'!$C:$C,0,0)</f>
        <v>29800</v>
      </c>
      <c r="AN230">
        <f t="shared" si="640"/>
        <v>5364</v>
      </c>
      <c r="AO230">
        <f t="shared" si="641"/>
        <v>3576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42"/>
        <v>39240</v>
      </c>
      <c r="AS230">
        <f>_xlfn.XLOOKUP(B230,'[4]june-2026'!$A:$A,'[4]june-2026'!$H:$H,0,0)</f>
        <v>2000</v>
      </c>
      <c r="AT230">
        <f>_xlfn.XLOOKUP(B230,'[4]june-2026'!$A:$A,'[4]june-2026'!$I:$I,0,0)</f>
        <v>0</v>
      </c>
      <c r="AU230">
        <f t="shared" si="643"/>
        <v>150</v>
      </c>
      <c r="AV230">
        <f t="shared" si="644"/>
        <v>37090</v>
      </c>
      <c r="AW230">
        <f>_xlfn.XLOOKUP(B230,'[5]july-2026'!$A:$A,'[5]july-2026'!$C:$C,0,0)</f>
        <v>30700</v>
      </c>
      <c r="AX230">
        <f t="shared" si="645"/>
        <v>5526</v>
      </c>
      <c r="AY230">
        <v>228</v>
      </c>
      <c r="AZ230">
        <f t="shared" si="646"/>
        <v>3684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47"/>
        <v>40638</v>
      </c>
      <c r="BD230">
        <f>_xlfn.XLOOKUP(B230,'[5]july-2026'!$A:$A,'[5]july-2026'!$H:$H,0,0)</f>
        <v>2000</v>
      </c>
      <c r="BE230">
        <f>_xlfn.XLOOKUP(B230,'[5]july-2026'!$A:$A,'[5]july-2026'!$I:$I,0,0)</f>
        <v>0</v>
      </c>
      <c r="BF230">
        <f t="shared" si="648"/>
        <v>200</v>
      </c>
      <c r="BG230">
        <f t="shared" si="649"/>
        <v>38438</v>
      </c>
      <c r="BH230">
        <f>_xlfn.XLOOKUP(B230,'[6]august-2026'!$A:$A,'[6]august-2026'!$C:$C,0,0)</f>
        <v>30700</v>
      </c>
      <c r="BI230">
        <f t="shared" si="650"/>
        <v>5526</v>
      </c>
      <c r="BJ230">
        <f t="shared" si="651"/>
        <v>3684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52"/>
        <v>40410</v>
      </c>
      <c r="BN230">
        <f>_xlfn.XLOOKUP(B230,'[6]august-2026'!$A:$A,'[6]august-2026'!$H:$H,0,0)</f>
        <v>2000</v>
      </c>
      <c r="BO230">
        <f>_xlfn.XLOOKUP(B230,'[6]august-2026'!$A:$A,'[6]august-2026'!$I:$I,0,0)</f>
        <v>0</v>
      </c>
      <c r="BP230">
        <f t="shared" si="653"/>
        <v>200</v>
      </c>
      <c r="BQ230">
        <f t="shared" si="654"/>
        <v>38210</v>
      </c>
      <c r="BR230">
        <f>_xlfn.XLOOKUP(B230,'[7]september-2026'!$A:$A,'[7]september-2026'!$C:$C,0,0)</f>
        <v>30700</v>
      </c>
      <c r="BS230">
        <f t="shared" si="655"/>
        <v>5526</v>
      </c>
      <c r="BT230">
        <f t="shared" si="656"/>
        <v>3684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57"/>
        <v>40410</v>
      </c>
      <c r="BX230">
        <f>_xlfn.XLOOKUP(B230,'[7]september-2026'!$A:$A,'[7]september-2026'!$H:$H,0,0)</f>
        <v>2000</v>
      </c>
      <c r="BY230">
        <f>_xlfn.XLOOKUP(B230,'[7]september-2026'!$A:$A,'[7]september-2026'!$I:$I,0,0)</f>
        <v>0</v>
      </c>
      <c r="BZ230">
        <f t="shared" si="658"/>
        <v>200</v>
      </c>
      <c r="CA230">
        <f t="shared" si="659"/>
        <v>38210</v>
      </c>
      <c r="CB230">
        <f>_xlfn.XLOOKUP(B230,'[8]october-2026'!$A:$A,'[8]october-2026'!$C:$C,0,0)</f>
        <v>30700</v>
      </c>
      <c r="CC230">
        <f t="shared" si="660"/>
        <v>5526</v>
      </c>
      <c r="CD230">
        <f t="shared" si="661"/>
        <v>3684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62"/>
        <v>40410</v>
      </c>
      <c r="CH230">
        <f>_xlfn.XLOOKUP(B230,'[8]october-2026'!$A:$A,'[8]october-2026'!$H:$H,0,0)</f>
        <v>2000</v>
      </c>
      <c r="CI230">
        <f>_xlfn.XLOOKUP(B230,'[8]october-2026'!$A:$A,'[8]october-2026'!$I:$I,0,0)</f>
        <v>0</v>
      </c>
      <c r="CJ230">
        <f t="shared" si="663"/>
        <v>200</v>
      </c>
      <c r="CK230">
        <f t="shared" si="664"/>
        <v>38210</v>
      </c>
      <c r="CL230">
        <f>_xlfn.XLOOKUP(B230,'[9]november-2026'!$A:$A,'[9]november-2026'!$C:$C,0,0)</f>
        <v>30700</v>
      </c>
      <c r="CM230">
        <f t="shared" si="665"/>
        <v>5526</v>
      </c>
      <c r="CN230">
        <f t="shared" si="666"/>
        <v>3684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67"/>
        <v>40410</v>
      </c>
      <c r="CR230">
        <f>_xlfn.XLOOKUP(B230,'[9]november-2026'!$A:$A,'[9]november-2026'!$H:$H,0,0)</f>
        <v>2000</v>
      </c>
      <c r="CS230">
        <f>_xlfn.XLOOKUP(B230,'[9]november-2026'!$A:$A,'[9]november-2026'!$I:$I,0,0)</f>
        <v>0</v>
      </c>
      <c r="CT230">
        <f t="shared" si="668"/>
        <v>200</v>
      </c>
      <c r="CU230">
        <f t="shared" si="669"/>
        <v>38210</v>
      </c>
      <c r="CV230">
        <f>_xlfn.XLOOKUP(B230,'[10]december-2026'!$A:$A,'[10]december-2026'!$C:$C,0,0)</f>
        <v>30700</v>
      </c>
      <c r="CW230">
        <f t="shared" si="670"/>
        <v>5526</v>
      </c>
      <c r="CX230">
        <f t="shared" si="671"/>
        <v>3684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72"/>
        <v>40410</v>
      </c>
      <c r="DB230">
        <f>_xlfn.XLOOKUP(B230,'[10]december-2026'!$A:$A,'[10]december-2026'!$H:$H,0,0)</f>
        <v>2000</v>
      </c>
      <c r="DC230">
        <f>_xlfn.XLOOKUP(B230,'[10]december-2026'!$A:$A,'[10]december-2026'!$I:$I,0,0)</f>
        <v>0</v>
      </c>
      <c r="DD230">
        <f t="shared" si="673"/>
        <v>200</v>
      </c>
      <c r="DE230">
        <f t="shared" si="674"/>
        <v>38210</v>
      </c>
      <c r="DF230">
        <f xml:space="preserve"> _xlfn.XLOOKUP(B230,
'[11]january-2027'!$A:$A,
'[11]january-2027'!$C:$C,
0,0)</f>
        <v>30700</v>
      </c>
      <c r="DG230">
        <f t="shared" si="675"/>
        <v>5526</v>
      </c>
      <c r="DH230">
        <f t="shared" si="676"/>
        <v>3684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77"/>
        <v>40410</v>
      </c>
      <c r="DL230">
        <f xml:space="preserve"> _xlfn.XLOOKUP(B230,
'[11]january-2027'!$A:$A,
'[11]january-2027'!$H:$H,
0,0)</f>
        <v>2000</v>
      </c>
      <c r="DM230">
        <f xml:space="preserve"> _xlfn.XLOOKUP(B230,
'[11]january-2027'!$A:$A,
'[11]january-2027'!$I:$I,
0,0)</f>
        <v>0</v>
      </c>
      <c r="DN230">
        <f t="shared" si="678"/>
        <v>200</v>
      </c>
      <c r="DO230">
        <f t="shared" si="679"/>
        <v>38210</v>
      </c>
      <c r="DP230">
        <f xml:space="preserve"> _xlfn.XLOOKUP(B230,
'[12]february-2027'!$A:$A,
'[12]february-2027'!$C:$C,
0,0)</f>
        <v>30700</v>
      </c>
      <c r="DQ230">
        <f t="shared" si="680"/>
        <v>5526</v>
      </c>
      <c r="DR230">
        <f t="shared" si="681"/>
        <v>3684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82"/>
        <v>40410</v>
      </c>
      <c r="DV230">
        <f xml:space="preserve"> _xlfn.XLOOKUP(B230,
'[12]february-2027'!$A:$A,
'[12]february-2027'!$H:$H,
0,0)</f>
        <v>2000</v>
      </c>
      <c r="DW230">
        <f xml:space="preserve"> _xlfn.XLOOKUP(B230,
'[12]february-2027'!$A:$A,
'[12]february-2027'!$I:$I,
0,0)</f>
        <v>0</v>
      </c>
      <c r="DX230">
        <f t="shared" si="683"/>
        <v>200</v>
      </c>
      <c r="DY230">
        <f t="shared" si="684"/>
        <v>38210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85"/>
        <v>0</v>
      </c>
      <c r="EM230">
        <f t="shared" si="686"/>
        <v>487268</v>
      </c>
      <c r="EN230">
        <f t="shared" si="687"/>
        <v>2200</v>
      </c>
      <c r="EO230">
        <f t="shared" si="688"/>
        <v>50000</v>
      </c>
      <c r="EP230">
        <v>0</v>
      </c>
      <c r="EQ230">
        <f t="shared" si="690"/>
        <v>435068</v>
      </c>
      <c r="ER230">
        <f t="shared" si="691"/>
        <v>24000</v>
      </c>
      <c r="ES230">
        <f t="shared" si="692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693"/>
        <v>24000</v>
      </c>
      <c r="FE230">
        <f t="shared" si="694"/>
        <v>24000</v>
      </c>
      <c r="FF230">
        <f t="shared" si="695"/>
        <v>411068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>SUM(FG230:FM230)+(IF(F230="YES",50000,0))</f>
        <v>0</v>
      </c>
      <c r="FO230">
        <f t="shared" si="696"/>
        <v>411068</v>
      </c>
      <c r="FP230">
        <f t="shared" si="697"/>
        <v>8053</v>
      </c>
      <c r="FQ230">
        <f t="shared" si="698"/>
        <v>0</v>
      </c>
      <c r="FR230">
        <f t="shared" si="699"/>
        <v>8053</v>
      </c>
      <c r="FS230">
        <f t="shared" si="700"/>
        <v>0</v>
      </c>
      <c r="FT230">
        <f t="shared" si="701"/>
        <v>0</v>
      </c>
      <c r="FU230">
        <f t="shared" si="702"/>
        <v>0</v>
      </c>
      <c r="FV230">
        <v>0</v>
      </c>
      <c r="FW230">
        <f t="shared" si="703"/>
        <v>0</v>
      </c>
      <c r="FX230" t="b">
        <f t="shared" si="704"/>
        <v>0</v>
      </c>
      <c r="FY230">
        <f t="shared" ca="1" si="705"/>
        <v>2434</v>
      </c>
      <c r="FZ230">
        <f t="shared" ca="1" si="706"/>
        <v>489702</v>
      </c>
      <c r="GA230">
        <f t="shared" si="707"/>
        <v>75000</v>
      </c>
      <c r="GB230">
        <f t="shared" ca="1" si="708"/>
        <v>414702</v>
      </c>
      <c r="GC230">
        <f t="shared" ca="1" si="709"/>
        <v>0</v>
      </c>
      <c r="GD230">
        <f t="shared" ca="1" si="710"/>
        <v>0</v>
      </c>
      <c r="GE230">
        <f t="shared" ca="1" si="711"/>
        <v>0</v>
      </c>
      <c r="GF230">
        <f t="shared" ca="1" si="712"/>
        <v>0</v>
      </c>
      <c r="GG230">
        <f t="shared" ca="1" si="713"/>
        <v>0</v>
      </c>
      <c r="GH230">
        <f t="shared" ca="1" si="714"/>
        <v>0</v>
      </c>
      <c r="GI230">
        <f ca="1">IF(GB230&gt;1200000,GB230-1200000-IF(F230="YES",50000,0)-GG230,0)</f>
        <v>0</v>
      </c>
      <c r="GJ230">
        <f t="shared" ca="1" si="715"/>
        <v>0</v>
      </c>
      <c r="GK230">
        <f t="shared" ca="1" si="716"/>
        <v>0</v>
      </c>
      <c r="GL230">
        <f t="shared" ca="1" si="717"/>
        <v>0</v>
      </c>
      <c r="GM230">
        <f t="shared" ca="1" si="718"/>
        <v>14702</v>
      </c>
      <c r="GN230">
        <f t="shared" ca="1" si="719"/>
        <v>735.1</v>
      </c>
      <c r="GO230">
        <f t="shared" ca="1" si="720"/>
        <v>735</v>
      </c>
      <c r="GP230">
        <f t="shared" ca="1" si="721"/>
        <v>0</v>
      </c>
      <c r="GQ230">
        <f t="shared" ca="1" si="722"/>
        <v>0</v>
      </c>
      <c r="GR230">
        <f t="shared" ca="1" si="723"/>
        <v>735</v>
      </c>
      <c r="GS230">
        <f t="shared" ca="1" si="724"/>
        <v>0</v>
      </c>
      <c r="GT230" t="b">
        <f t="shared" ca="1" si="725"/>
        <v>0</v>
      </c>
      <c r="GU230">
        <f t="shared" ca="1" si="726"/>
        <v>0</v>
      </c>
      <c r="GV230">
        <f t="shared" ca="1" si="727"/>
        <v>735</v>
      </c>
      <c r="GW230">
        <f t="shared" ca="1" si="728"/>
        <v>0</v>
      </c>
      <c r="GX230">
        <f t="shared" ca="1" si="729"/>
        <v>0</v>
      </c>
      <c r="GY230">
        <f t="shared" ca="1" si="730"/>
        <v>0</v>
      </c>
    </row>
    <row r="231" spans="1:207" x14ac:dyDescent="0.25">
      <c r="A231">
        <f>_xlfn.AGGREGATE(3,5,$B$2:B231)</f>
        <v>230</v>
      </c>
      <c r="B231" t="s">
        <v>555</v>
      </c>
      <c r="C231" t="s">
        <v>556</v>
      </c>
      <c r="D231" t="s">
        <v>806</v>
      </c>
      <c r="E231" t="s">
        <v>830</v>
      </c>
      <c r="F231" t="s">
        <v>952</v>
      </c>
      <c r="G231" t="s">
        <v>941</v>
      </c>
      <c r="H231">
        <f t="shared" si="625"/>
        <v>6800</v>
      </c>
      <c r="I231">
        <f>_xlfn.XLOOKUP(B231,'[1]march-2026'!$A:$A,'[1]march-2026'!$C:$C,0,0)</f>
        <v>36600</v>
      </c>
      <c r="J231">
        <f t="shared" si="689"/>
        <v>6588</v>
      </c>
      <c r="K231">
        <f t="shared" si="626"/>
        <v>4392</v>
      </c>
      <c r="L231">
        <f>_xlfn.XLOOKUP(B231,'[1]march-2026'!$A:$A,'[1]march-2026'!$D:$D,0,0)</f>
        <v>400</v>
      </c>
      <c r="M231">
        <f>_xlfn.XLOOKUP(B231,'[1]march-2026'!$A:$A,'[1]march-2026'!$G:$G,0,0)</f>
        <v>0</v>
      </c>
      <c r="N231">
        <f t="shared" si="627"/>
        <v>47980</v>
      </c>
      <c r="O231">
        <f>_xlfn.XLOOKUP(B231,'[1]march-2026'!$A:$A,'[1]march-2026'!$H:$H,0,0)</f>
        <v>5000</v>
      </c>
      <c r="P231">
        <f>_xlfn.XLOOKUP(B231,'[1]march-2026'!$A:$A,'[1]march-2026'!$I:$I,0,0)</f>
        <v>0</v>
      </c>
      <c r="Q231">
        <f t="shared" si="628"/>
        <v>200</v>
      </c>
      <c r="R231">
        <f t="shared" si="629"/>
        <v>42780</v>
      </c>
      <c r="S231">
        <f>_xlfn.XLOOKUP(B231,'[2]april-2026'!$A:$A,'[2]april-2026'!$C:$C,0,0)</f>
        <v>36600</v>
      </c>
      <c r="T231">
        <f t="shared" si="630"/>
        <v>6588</v>
      </c>
      <c r="U231">
        <f t="shared" si="631"/>
        <v>4392</v>
      </c>
      <c r="V231">
        <f>_xlfn.XLOOKUP(B231,'[2]april-2026'!$A:$A,'[2]april-2026'!$D:$D,0,0)</f>
        <v>400</v>
      </c>
      <c r="W231">
        <f>_xlfn.XLOOKUP(B231,'[2]april-2026'!$A:$A,'[2]april-2026'!$G:$G,0,0)</f>
        <v>0</v>
      </c>
      <c r="X231">
        <f t="shared" si="632"/>
        <v>47980</v>
      </c>
      <c r="Y231">
        <f>_xlfn.XLOOKUP(B231,'[2]april-2026'!$A:$A,'[2]april-2026'!$H:$H,0,0)</f>
        <v>5000</v>
      </c>
      <c r="Z231">
        <f>_xlfn.XLOOKUP(B231,'[2]april-2026'!$A:$A,'[2]april-2026'!$I:$I,0,0)</f>
        <v>0</v>
      </c>
      <c r="AA231">
        <f t="shared" si="633"/>
        <v>200</v>
      </c>
      <c r="AB231">
        <f t="shared" si="634"/>
        <v>42780</v>
      </c>
      <c r="AC231">
        <f>_xlfn.XLOOKUP(B231,'[3]may-2026'!$A:$A,'[3]may-2026'!$C:$C,0,0)</f>
        <v>36600</v>
      </c>
      <c r="AD231">
        <f t="shared" si="635"/>
        <v>6588</v>
      </c>
      <c r="AE231">
        <f t="shared" si="636"/>
        <v>4392</v>
      </c>
      <c r="AF231">
        <f>_xlfn.XLOOKUP(B231,'[3]may-2026'!$A:$A,'[3]may-2026'!$D:$D,0,0)</f>
        <v>400</v>
      </c>
      <c r="AG231">
        <f>_xlfn.XLOOKUP(B231,'[3]may-2026'!$A:$A,'[3]may-2026'!$G:$G,0,0)</f>
        <v>0</v>
      </c>
      <c r="AH231">
        <f t="shared" si="637"/>
        <v>47980</v>
      </c>
      <c r="AI231">
        <f>_xlfn.XLOOKUP(B231,'[3]may-2026'!$A:$A,'[3]may-2026'!$H:$H,0,0)</f>
        <v>5000</v>
      </c>
      <c r="AJ231">
        <f>_xlfn.XLOOKUP(B231,'[3]may-2026'!$A:$A,'[3]may-2026'!$I:$I,0,0)</f>
        <v>0</v>
      </c>
      <c r="AK231">
        <f t="shared" si="638"/>
        <v>200</v>
      </c>
      <c r="AL231">
        <f t="shared" si="639"/>
        <v>42780</v>
      </c>
      <c r="AM231">
        <f>_xlfn.XLOOKUP(B231,'[4]june-2026'!$A:$A,'[4]june-2026'!$C:$C,0,0)</f>
        <v>36600</v>
      </c>
      <c r="AN231">
        <f t="shared" si="640"/>
        <v>6588</v>
      </c>
      <c r="AO231">
        <f t="shared" si="641"/>
        <v>4392</v>
      </c>
      <c r="AP231">
        <f>_xlfn.XLOOKUP(B231,'[4]june-2026'!$A:$A,'[4]june-2026'!$D:$D,0,0)</f>
        <v>400</v>
      </c>
      <c r="AQ231">
        <f>_xlfn.XLOOKUP(B231,'[4]june-2026'!$A:$A,'[4]june-2026'!$G:$G,0,0)</f>
        <v>0</v>
      </c>
      <c r="AR231">
        <f t="shared" si="642"/>
        <v>47980</v>
      </c>
      <c r="AS231">
        <f>_xlfn.XLOOKUP(B231,'[4]june-2026'!$A:$A,'[4]june-2026'!$H:$H,0,0)</f>
        <v>5000</v>
      </c>
      <c r="AT231">
        <f>_xlfn.XLOOKUP(B231,'[4]june-2026'!$A:$A,'[4]june-2026'!$I:$I,0,0)</f>
        <v>0</v>
      </c>
      <c r="AU231">
        <f t="shared" si="643"/>
        <v>200</v>
      </c>
      <c r="AV231">
        <f t="shared" si="644"/>
        <v>42780</v>
      </c>
      <c r="AW231">
        <f>_xlfn.XLOOKUP(B231,'[5]july-2026'!$A:$A,'[5]july-2026'!$C:$C,0,0)</f>
        <v>37700</v>
      </c>
      <c r="AX231">
        <f t="shared" si="645"/>
        <v>6786</v>
      </c>
      <c r="AY231">
        <v>229</v>
      </c>
      <c r="AZ231">
        <f t="shared" si="646"/>
        <v>4524</v>
      </c>
      <c r="BA231">
        <f>_xlfn.XLOOKUP(B231,'[5]july-2026'!$A:$A,'[5]july-2026'!$D:$D,0,0)</f>
        <v>400</v>
      </c>
      <c r="BB231">
        <f>_xlfn.XLOOKUP(B231,'[5]july-2026'!$A:$A,'[5]july-2026'!$G:$G,0,0)</f>
        <v>0</v>
      </c>
      <c r="BC231">
        <f t="shared" si="647"/>
        <v>49639</v>
      </c>
      <c r="BD231">
        <f>_xlfn.XLOOKUP(B231,'[5]july-2026'!$A:$A,'[5]july-2026'!$H:$H,0,0)</f>
        <v>5000</v>
      </c>
      <c r="BE231">
        <f>_xlfn.XLOOKUP(B231,'[5]july-2026'!$A:$A,'[5]july-2026'!$I:$I,0,0)</f>
        <v>0</v>
      </c>
      <c r="BF231">
        <f t="shared" si="648"/>
        <v>200</v>
      </c>
      <c r="BG231">
        <f t="shared" si="649"/>
        <v>44439</v>
      </c>
      <c r="BH231">
        <f>_xlfn.XLOOKUP(B231,'[6]august-2026'!$A:$A,'[6]august-2026'!$C:$C,0,0)</f>
        <v>37700</v>
      </c>
      <c r="BI231">
        <f t="shared" si="650"/>
        <v>6786</v>
      </c>
      <c r="BJ231">
        <f t="shared" si="651"/>
        <v>4524</v>
      </c>
      <c r="BK231">
        <f>_xlfn.XLOOKUP(B231,'[6]august-2026'!$A:$A,'[6]august-2026'!$D:$D,0,0)</f>
        <v>400</v>
      </c>
      <c r="BL231">
        <f>_xlfn.XLOOKUP(B231,'[6]august-2026'!$A:$A,'[6]august-2026'!$G:$G,0,0)</f>
        <v>0</v>
      </c>
      <c r="BM231">
        <f t="shared" si="652"/>
        <v>49410</v>
      </c>
      <c r="BN231">
        <f>_xlfn.XLOOKUP(B231,'[6]august-2026'!$A:$A,'[6]august-2026'!$H:$H,0,0)</f>
        <v>5000</v>
      </c>
      <c r="BO231">
        <f>_xlfn.XLOOKUP(B231,'[6]august-2026'!$A:$A,'[6]august-2026'!$I:$I,0,0)</f>
        <v>0</v>
      </c>
      <c r="BP231">
        <f t="shared" si="653"/>
        <v>200</v>
      </c>
      <c r="BQ231">
        <f t="shared" si="654"/>
        <v>44210</v>
      </c>
      <c r="BR231">
        <f>_xlfn.XLOOKUP(B231,'[7]september-2026'!$A:$A,'[7]september-2026'!$C:$C,0,0)</f>
        <v>37700</v>
      </c>
      <c r="BS231">
        <f t="shared" si="655"/>
        <v>6786</v>
      </c>
      <c r="BT231">
        <f t="shared" si="656"/>
        <v>4524</v>
      </c>
      <c r="BU231">
        <f>_xlfn.XLOOKUP(B231,'[7]september-2026'!$A:$A,'[7]september-2026'!$D:$D,0,0)</f>
        <v>400</v>
      </c>
      <c r="BV231">
        <f>_xlfn.XLOOKUP(B231,'[7]september-2026'!$A:$A,'[7]september-2026'!$G:$G,0,0)</f>
        <v>0</v>
      </c>
      <c r="BW231">
        <f t="shared" si="657"/>
        <v>49410</v>
      </c>
      <c r="BX231">
        <f>_xlfn.XLOOKUP(B231,'[7]september-2026'!$A:$A,'[7]september-2026'!$H:$H,0,0)</f>
        <v>5000</v>
      </c>
      <c r="BY231">
        <f>_xlfn.XLOOKUP(B231,'[7]september-2026'!$A:$A,'[7]september-2026'!$I:$I,0,0)</f>
        <v>0</v>
      </c>
      <c r="BZ231">
        <f t="shared" si="658"/>
        <v>200</v>
      </c>
      <c r="CA231">
        <f t="shared" si="659"/>
        <v>44210</v>
      </c>
      <c r="CB231">
        <f>_xlfn.XLOOKUP(B231,'[8]october-2026'!$A:$A,'[8]october-2026'!$C:$C,0,0)</f>
        <v>37700</v>
      </c>
      <c r="CC231">
        <f t="shared" si="660"/>
        <v>6786</v>
      </c>
      <c r="CD231">
        <f t="shared" si="661"/>
        <v>4524</v>
      </c>
      <c r="CE231">
        <f>_xlfn.XLOOKUP(B231,'[8]october-2026'!$A:$A,'[8]october-2026'!$D:$D,0,0)</f>
        <v>400</v>
      </c>
      <c r="CF231">
        <f>_xlfn.XLOOKUP(B231,'[8]october-2026'!$A:$A,'[8]october-2026'!$G:$G,0,0)</f>
        <v>0</v>
      </c>
      <c r="CG231">
        <f t="shared" si="662"/>
        <v>49410</v>
      </c>
      <c r="CH231">
        <f>_xlfn.XLOOKUP(B231,'[8]october-2026'!$A:$A,'[8]october-2026'!$H:$H,0,0)</f>
        <v>5000</v>
      </c>
      <c r="CI231">
        <f>_xlfn.XLOOKUP(B231,'[8]october-2026'!$A:$A,'[8]october-2026'!$I:$I,0,0)</f>
        <v>0</v>
      </c>
      <c r="CJ231">
        <f t="shared" si="663"/>
        <v>200</v>
      </c>
      <c r="CK231">
        <f t="shared" si="664"/>
        <v>44210</v>
      </c>
      <c r="CL231">
        <f>_xlfn.XLOOKUP(B231,'[9]november-2026'!$A:$A,'[9]november-2026'!$C:$C,0,0)</f>
        <v>37700</v>
      </c>
      <c r="CM231">
        <f t="shared" si="665"/>
        <v>6786</v>
      </c>
      <c r="CN231">
        <f t="shared" si="666"/>
        <v>4524</v>
      </c>
      <c r="CO231">
        <f>_xlfn.XLOOKUP(B231,'[9]november-2026'!$A:$A,'[9]november-2026'!$D:$D,0,0)</f>
        <v>400</v>
      </c>
      <c r="CP231">
        <f>_xlfn.XLOOKUP(B231,'[9]november-2026'!$A:$A,'[9]november-2026'!$G:$G,0,0)</f>
        <v>0</v>
      </c>
      <c r="CQ231">
        <f t="shared" si="667"/>
        <v>49410</v>
      </c>
      <c r="CR231">
        <f>_xlfn.XLOOKUP(B231,'[9]november-2026'!$A:$A,'[9]november-2026'!$H:$H,0,0)</f>
        <v>5000</v>
      </c>
      <c r="CS231">
        <f>_xlfn.XLOOKUP(B231,'[9]november-2026'!$A:$A,'[9]november-2026'!$I:$I,0,0)</f>
        <v>0</v>
      </c>
      <c r="CT231">
        <f t="shared" si="668"/>
        <v>200</v>
      </c>
      <c r="CU231">
        <f t="shared" si="669"/>
        <v>44210</v>
      </c>
      <c r="CV231">
        <f>_xlfn.XLOOKUP(B231,'[10]december-2026'!$A:$A,'[10]december-2026'!$C:$C,0,0)</f>
        <v>37700</v>
      </c>
      <c r="CW231">
        <f t="shared" si="670"/>
        <v>6786</v>
      </c>
      <c r="CX231">
        <f t="shared" si="671"/>
        <v>4524</v>
      </c>
      <c r="CY231">
        <f>_xlfn.XLOOKUP(B231,'[10]december-2026'!$A:$A,'[10]december-2026'!$D:$D,0,0)</f>
        <v>400</v>
      </c>
      <c r="CZ231">
        <f>_xlfn.XLOOKUP(B231,'[10]december-2026'!$A:$A,'[10]december-2026'!$G:$G,0,0)</f>
        <v>0</v>
      </c>
      <c r="DA231">
        <f t="shared" si="672"/>
        <v>49410</v>
      </c>
      <c r="DB231">
        <f>_xlfn.XLOOKUP(B231,'[10]december-2026'!$A:$A,'[10]december-2026'!$H:$H,0,0)</f>
        <v>5000</v>
      </c>
      <c r="DC231">
        <f>_xlfn.XLOOKUP(B231,'[10]december-2026'!$A:$A,'[10]december-2026'!$I:$I,0,0)</f>
        <v>0</v>
      </c>
      <c r="DD231">
        <f t="shared" si="673"/>
        <v>200</v>
      </c>
      <c r="DE231">
        <f t="shared" si="674"/>
        <v>44210</v>
      </c>
      <c r="DF231">
        <f xml:space="preserve"> _xlfn.XLOOKUP(B231,
'[11]january-2027'!$A:$A,
'[11]january-2027'!$C:$C,
0,0)</f>
        <v>37700</v>
      </c>
      <c r="DG231">
        <f t="shared" si="675"/>
        <v>6786</v>
      </c>
      <c r="DH231">
        <f t="shared" si="676"/>
        <v>4524</v>
      </c>
      <c r="DI231">
        <f xml:space="preserve"> _xlfn.XLOOKUP(B231,
'[11]january-2027'!$A:$A,
'[11]january-2027'!$D:$D,
0,0)</f>
        <v>400</v>
      </c>
      <c r="DJ231">
        <f xml:space="preserve"> _xlfn.XLOOKUP(B231,
'[11]january-2027'!$A:$A,
'[11]january-2027'!$G:$G,
0,0)</f>
        <v>0</v>
      </c>
      <c r="DK231">
        <f t="shared" si="677"/>
        <v>49410</v>
      </c>
      <c r="DL231">
        <f xml:space="preserve"> _xlfn.XLOOKUP(B231,
'[11]january-2027'!$A:$A,
'[11]january-2027'!$H:$H,
0,0)</f>
        <v>5000</v>
      </c>
      <c r="DM231">
        <f xml:space="preserve"> _xlfn.XLOOKUP(B231,
'[11]january-2027'!$A:$A,
'[11]january-2027'!$I:$I,
0,0)</f>
        <v>0</v>
      </c>
      <c r="DN231">
        <f t="shared" si="678"/>
        <v>200</v>
      </c>
      <c r="DO231">
        <f t="shared" si="679"/>
        <v>44210</v>
      </c>
      <c r="DP231">
        <f xml:space="preserve"> _xlfn.XLOOKUP(B231,
'[12]february-2027'!$A:$A,
'[12]february-2027'!$C:$C,
0,0)</f>
        <v>37700</v>
      </c>
      <c r="DQ231">
        <f t="shared" si="680"/>
        <v>6786</v>
      </c>
      <c r="DR231">
        <f t="shared" si="681"/>
        <v>4524</v>
      </c>
      <c r="DS231">
        <f xml:space="preserve"> _xlfn.XLOOKUP(B231,
'[12]february-2027'!$A:$A,
'[12]february-2027'!$D:$D,
0,0)</f>
        <v>400</v>
      </c>
      <c r="DT231">
        <f xml:space="preserve"> _xlfn.XLOOKUP(B231,
'[12]february-2027'!$A:$A,
'[12]february-2027'!$G:$G,
0,0)</f>
        <v>0</v>
      </c>
      <c r="DU231">
        <f t="shared" si="682"/>
        <v>49410</v>
      </c>
      <c r="DV231">
        <f xml:space="preserve"> _xlfn.XLOOKUP(B231,
'[12]february-2027'!$A:$A,
'[12]february-2027'!$H:$H,
0,0)</f>
        <v>5000</v>
      </c>
      <c r="DW231">
        <f xml:space="preserve"> _xlfn.XLOOKUP(B231,
'[12]february-2027'!$A:$A,
'[12]february-2027'!$I:$I,
0,0)</f>
        <v>0</v>
      </c>
      <c r="DX231">
        <f t="shared" si="683"/>
        <v>200</v>
      </c>
      <c r="DY231">
        <f t="shared" si="684"/>
        <v>44210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85"/>
        <v>0</v>
      </c>
      <c r="EM231">
        <f t="shared" si="686"/>
        <v>594229</v>
      </c>
      <c r="EN231">
        <f t="shared" si="687"/>
        <v>2400</v>
      </c>
      <c r="EO231">
        <f t="shared" si="688"/>
        <v>50000</v>
      </c>
      <c r="EP231">
        <v>0</v>
      </c>
      <c r="EQ231">
        <f t="shared" si="690"/>
        <v>541829</v>
      </c>
      <c r="ER231">
        <f t="shared" si="691"/>
        <v>60000</v>
      </c>
      <c r="ES231">
        <f t="shared" si="692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693"/>
        <v>60000</v>
      </c>
      <c r="FE231">
        <f t="shared" si="694"/>
        <v>60000</v>
      </c>
      <c r="FF231">
        <f t="shared" si="695"/>
        <v>481829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>SUM(FG231:FM231)+(IF(F231="YES",50000,0))</f>
        <v>0</v>
      </c>
      <c r="FO231">
        <f t="shared" si="696"/>
        <v>481829</v>
      </c>
      <c r="FP231">
        <f t="shared" si="697"/>
        <v>11591</v>
      </c>
      <c r="FQ231">
        <f t="shared" si="698"/>
        <v>0</v>
      </c>
      <c r="FR231">
        <f t="shared" si="699"/>
        <v>11591</v>
      </c>
      <c r="FS231">
        <f t="shared" si="700"/>
        <v>0</v>
      </c>
      <c r="FT231">
        <f t="shared" si="701"/>
        <v>0</v>
      </c>
      <c r="FU231">
        <f t="shared" si="702"/>
        <v>0</v>
      </c>
      <c r="FV231">
        <v>0</v>
      </c>
      <c r="FW231">
        <f t="shared" si="703"/>
        <v>0</v>
      </c>
      <c r="FX231" t="b">
        <f t="shared" si="704"/>
        <v>1</v>
      </c>
      <c r="FY231">
        <f t="shared" ca="1" si="705"/>
        <v>760</v>
      </c>
      <c r="FZ231">
        <f t="shared" ca="1" si="706"/>
        <v>594989</v>
      </c>
      <c r="GA231">
        <f t="shared" si="707"/>
        <v>75000</v>
      </c>
      <c r="GB231">
        <f t="shared" ca="1" si="708"/>
        <v>519989</v>
      </c>
      <c r="GC231">
        <f t="shared" ca="1" si="709"/>
        <v>0</v>
      </c>
      <c r="GD231">
        <f t="shared" ca="1" si="710"/>
        <v>0</v>
      </c>
      <c r="GE231">
        <f t="shared" ca="1" si="711"/>
        <v>0</v>
      </c>
      <c r="GF231">
        <f t="shared" ca="1" si="712"/>
        <v>0</v>
      </c>
      <c r="GG231">
        <f t="shared" ca="1" si="713"/>
        <v>0</v>
      </c>
      <c r="GH231">
        <f t="shared" ca="1" si="714"/>
        <v>0</v>
      </c>
      <c r="GI231">
        <f ca="1">IF(GB231&gt;1200000,GB231-1200000-IF(F231="YES",50000,0)-GG231,0)</f>
        <v>0</v>
      </c>
      <c r="GJ231">
        <f t="shared" ca="1" si="715"/>
        <v>0</v>
      </c>
      <c r="GK231">
        <f t="shared" ca="1" si="716"/>
        <v>0</v>
      </c>
      <c r="GL231">
        <f t="shared" ca="1" si="717"/>
        <v>0</v>
      </c>
      <c r="GM231">
        <f t="shared" ca="1" si="718"/>
        <v>119989</v>
      </c>
      <c r="GN231">
        <f t="shared" ca="1" si="719"/>
        <v>5999.4500000000007</v>
      </c>
      <c r="GO231">
        <f t="shared" ca="1" si="720"/>
        <v>5999</v>
      </c>
      <c r="GP231">
        <f t="shared" ca="1" si="721"/>
        <v>0</v>
      </c>
      <c r="GQ231">
        <f t="shared" ca="1" si="722"/>
        <v>0</v>
      </c>
      <c r="GR231">
        <f t="shared" ca="1" si="723"/>
        <v>5999</v>
      </c>
      <c r="GS231">
        <f t="shared" ca="1" si="724"/>
        <v>0</v>
      </c>
      <c r="GT231" t="b">
        <f t="shared" ca="1" si="725"/>
        <v>0</v>
      </c>
      <c r="GU231">
        <f t="shared" ca="1" si="726"/>
        <v>0</v>
      </c>
      <c r="GV231">
        <f t="shared" ca="1" si="727"/>
        <v>5999</v>
      </c>
      <c r="GW231">
        <f t="shared" ca="1" si="728"/>
        <v>0</v>
      </c>
      <c r="GX231">
        <f t="shared" ca="1" si="729"/>
        <v>0</v>
      </c>
      <c r="GY231">
        <f t="shared" ca="1" si="730"/>
        <v>0</v>
      </c>
    </row>
    <row r="232" spans="1:207" x14ac:dyDescent="0.25">
      <c r="A232">
        <f>_xlfn.AGGREGATE(3,5,$B$2:B232)</f>
        <v>231</v>
      </c>
      <c r="B232" t="s">
        <v>557</v>
      </c>
      <c r="C232" t="s">
        <v>558</v>
      </c>
      <c r="D232" t="s">
        <v>806</v>
      </c>
      <c r="E232" t="s">
        <v>830</v>
      </c>
      <c r="F232" t="s">
        <v>952</v>
      </c>
      <c r="G232" t="s">
        <v>900</v>
      </c>
      <c r="H232">
        <f t="shared" si="625"/>
        <v>6800</v>
      </c>
      <c r="I232">
        <f>_xlfn.XLOOKUP(B232,'[1]march-2026'!$A:$A,'[1]march-2026'!$C:$C,0,0)</f>
        <v>35500</v>
      </c>
      <c r="J232">
        <f t="shared" si="689"/>
        <v>6390</v>
      </c>
      <c r="K232">
        <f t="shared" si="626"/>
        <v>4260</v>
      </c>
      <c r="L232">
        <f>_xlfn.XLOOKUP(B232,'[1]march-2026'!$A:$A,'[1]march-2026'!$D:$D,0,0)</f>
        <v>0</v>
      </c>
      <c r="M232">
        <f>_xlfn.XLOOKUP(B232,'[1]march-2026'!$A:$A,'[1]march-2026'!$G:$G,0,0)</f>
        <v>500</v>
      </c>
      <c r="N232">
        <f t="shared" si="627"/>
        <v>46650</v>
      </c>
      <c r="O232">
        <f>_xlfn.XLOOKUP(B232,'[1]march-2026'!$A:$A,'[1]march-2026'!$H:$H,0,0)</f>
        <v>3000</v>
      </c>
      <c r="P232">
        <f>_xlfn.XLOOKUP(B232,'[1]march-2026'!$A:$A,'[1]march-2026'!$I:$I,0,0)</f>
        <v>0</v>
      </c>
      <c r="Q232">
        <f t="shared" si="628"/>
        <v>200</v>
      </c>
      <c r="R232">
        <f t="shared" si="629"/>
        <v>43450</v>
      </c>
      <c r="S232">
        <f>_xlfn.XLOOKUP(B232,'[2]april-2026'!$A:$A,'[2]april-2026'!$C:$C,0,0)</f>
        <v>35500</v>
      </c>
      <c r="T232">
        <f t="shared" si="630"/>
        <v>6390</v>
      </c>
      <c r="U232">
        <f t="shared" si="631"/>
        <v>4260</v>
      </c>
      <c r="V232">
        <f>_xlfn.XLOOKUP(B232,'[2]april-2026'!$A:$A,'[2]april-2026'!$D:$D,0,0)</f>
        <v>0</v>
      </c>
      <c r="W232">
        <f>_xlfn.XLOOKUP(B232,'[2]april-2026'!$A:$A,'[2]april-2026'!$G:$G,0,0)</f>
        <v>500</v>
      </c>
      <c r="X232">
        <f t="shared" si="632"/>
        <v>46650</v>
      </c>
      <c r="Y232">
        <f>_xlfn.XLOOKUP(B232,'[2]april-2026'!$A:$A,'[2]april-2026'!$H:$H,0,0)</f>
        <v>3000</v>
      </c>
      <c r="Z232">
        <f>_xlfn.XLOOKUP(B232,'[2]april-2026'!$A:$A,'[2]april-2026'!$I:$I,0,0)</f>
        <v>0</v>
      </c>
      <c r="AA232">
        <f t="shared" si="633"/>
        <v>200</v>
      </c>
      <c r="AB232">
        <f t="shared" si="634"/>
        <v>43450</v>
      </c>
      <c r="AC232">
        <f>_xlfn.XLOOKUP(B232,'[3]may-2026'!$A:$A,'[3]may-2026'!$C:$C,0,0)</f>
        <v>35500</v>
      </c>
      <c r="AD232">
        <f t="shared" si="635"/>
        <v>6390</v>
      </c>
      <c r="AE232">
        <f t="shared" si="636"/>
        <v>4260</v>
      </c>
      <c r="AF232">
        <f>_xlfn.XLOOKUP(B232,'[3]may-2026'!$A:$A,'[3]may-2026'!$D:$D,0,0)</f>
        <v>0</v>
      </c>
      <c r="AG232">
        <f>_xlfn.XLOOKUP(B232,'[3]may-2026'!$A:$A,'[3]may-2026'!$G:$G,0,0)</f>
        <v>500</v>
      </c>
      <c r="AH232">
        <f t="shared" si="637"/>
        <v>46650</v>
      </c>
      <c r="AI232">
        <f>_xlfn.XLOOKUP(B232,'[3]may-2026'!$A:$A,'[3]may-2026'!$H:$H,0,0)</f>
        <v>3000</v>
      </c>
      <c r="AJ232">
        <f>_xlfn.XLOOKUP(B232,'[3]may-2026'!$A:$A,'[3]may-2026'!$I:$I,0,0)</f>
        <v>0</v>
      </c>
      <c r="AK232">
        <f t="shared" si="638"/>
        <v>200</v>
      </c>
      <c r="AL232">
        <f t="shared" si="639"/>
        <v>43450</v>
      </c>
      <c r="AM232">
        <f>_xlfn.XLOOKUP(B232,'[4]june-2026'!$A:$A,'[4]june-2026'!$C:$C,0,0)</f>
        <v>35500</v>
      </c>
      <c r="AN232">
        <f t="shared" si="640"/>
        <v>6390</v>
      </c>
      <c r="AO232">
        <f t="shared" si="641"/>
        <v>4260</v>
      </c>
      <c r="AP232">
        <f>_xlfn.XLOOKUP(B232,'[4]june-2026'!$A:$A,'[4]june-2026'!$D:$D,0,0)</f>
        <v>0</v>
      </c>
      <c r="AQ232">
        <f>_xlfn.XLOOKUP(B232,'[4]june-2026'!$A:$A,'[4]june-2026'!$G:$G,0,0)</f>
        <v>500</v>
      </c>
      <c r="AR232">
        <f t="shared" si="642"/>
        <v>46650</v>
      </c>
      <c r="AS232">
        <f>_xlfn.XLOOKUP(B232,'[4]june-2026'!$A:$A,'[4]june-2026'!$H:$H,0,0)</f>
        <v>3000</v>
      </c>
      <c r="AT232">
        <f>_xlfn.XLOOKUP(B232,'[4]june-2026'!$A:$A,'[4]june-2026'!$I:$I,0,0)</f>
        <v>0</v>
      </c>
      <c r="AU232">
        <f t="shared" si="643"/>
        <v>200</v>
      </c>
      <c r="AV232">
        <f t="shared" si="644"/>
        <v>43450</v>
      </c>
      <c r="AW232">
        <f>_xlfn.XLOOKUP(B232,'[5]july-2026'!$A:$A,'[5]july-2026'!$C:$C,0,0)</f>
        <v>36600</v>
      </c>
      <c r="AX232">
        <f t="shared" si="645"/>
        <v>6588</v>
      </c>
      <c r="AY232">
        <v>230</v>
      </c>
      <c r="AZ232">
        <f t="shared" si="646"/>
        <v>4392</v>
      </c>
      <c r="BA232">
        <f>_xlfn.XLOOKUP(B232,'[5]july-2026'!$A:$A,'[5]july-2026'!$D:$D,0,0)</f>
        <v>0</v>
      </c>
      <c r="BB232">
        <f>_xlfn.XLOOKUP(B232,'[5]july-2026'!$A:$A,'[5]july-2026'!$G:$G,0,0)</f>
        <v>500</v>
      </c>
      <c r="BC232">
        <f t="shared" si="647"/>
        <v>48310</v>
      </c>
      <c r="BD232">
        <f>_xlfn.XLOOKUP(B232,'[5]july-2026'!$A:$A,'[5]july-2026'!$H:$H,0,0)</f>
        <v>3000</v>
      </c>
      <c r="BE232">
        <f>_xlfn.XLOOKUP(B232,'[5]july-2026'!$A:$A,'[5]july-2026'!$I:$I,0,0)</f>
        <v>0</v>
      </c>
      <c r="BF232">
        <f t="shared" si="648"/>
        <v>200</v>
      </c>
      <c r="BG232">
        <f t="shared" si="649"/>
        <v>45110</v>
      </c>
      <c r="BH232">
        <f>_xlfn.XLOOKUP(B232,'[6]august-2026'!$A:$A,'[6]august-2026'!$C:$C,0,0)</f>
        <v>36600</v>
      </c>
      <c r="BI232">
        <f t="shared" si="650"/>
        <v>6588</v>
      </c>
      <c r="BJ232">
        <f t="shared" si="651"/>
        <v>4392</v>
      </c>
      <c r="BK232">
        <f>_xlfn.XLOOKUP(B232,'[6]august-2026'!$A:$A,'[6]august-2026'!$D:$D,0,0)</f>
        <v>0</v>
      </c>
      <c r="BL232">
        <f>_xlfn.XLOOKUP(B232,'[6]august-2026'!$A:$A,'[6]august-2026'!$G:$G,0,0)</f>
        <v>500</v>
      </c>
      <c r="BM232">
        <f t="shared" si="652"/>
        <v>48080</v>
      </c>
      <c r="BN232">
        <f>_xlfn.XLOOKUP(B232,'[6]august-2026'!$A:$A,'[6]august-2026'!$H:$H,0,0)</f>
        <v>3000</v>
      </c>
      <c r="BO232">
        <f>_xlfn.XLOOKUP(B232,'[6]august-2026'!$A:$A,'[6]august-2026'!$I:$I,0,0)</f>
        <v>0</v>
      </c>
      <c r="BP232">
        <f t="shared" si="653"/>
        <v>200</v>
      </c>
      <c r="BQ232">
        <f t="shared" si="654"/>
        <v>44880</v>
      </c>
      <c r="BR232">
        <f>_xlfn.XLOOKUP(B232,'[7]september-2026'!$A:$A,'[7]september-2026'!$C:$C,0,0)</f>
        <v>36600</v>
      </c>
      <c r="BS232">
        <f t="shared" si="655"/>
        <v>6588</v>
      </c>
      <c r="BT232">
        <f t="shared" si="656"/>
        <v>4392</v>
      </c>
      <c r="BU232">
        <f>_xlfn.XLOOKUP(B232,'[7]september-2026'!$A:$A,'[7]september-2026'!$D:$D,0,0)</f>
        <v>0</v>
      </c>
      <c r="BV232">
        <f>_xlfn.XLOOKUP(B232,'[7]september-2026'!$A:$A,'[7]september-2026'!$G:$G,0,0)</f>
        <v>500</v>
      </c>
      <c r="BW232">
        <f t="shared" si="657"/>
        <v>48080</v>
      </c>
      <c r="BX232">
        <f>_xlfn.XLOOKUP(B232,'[7]september-2026'!$A:$A,'[7]september-2026'!$H:$H,0,0)</f>
        <v>3000</v>
      </c>
      <c r="BY232">
        <f>_xlfn.XLOOKUP(B232,'[7]september-2026'!$A:$A,'[7]september-2026'!$I:$I,0,0)</f>
        <v>0</v>
      </c>
      <c r="BZ232">
        <f t="shared" si="658"/>
        <v>200</v>
      </c>
      <c r="CA232">
        <f t="shared" si="659"/>
        <v>44880</v>
      </c>
      <c r="CB232">
        <f>_xlfn.XLOOKUP(B232,'[8]october-2026'!$A:$A,'[8]october-2026'!$C:$C,0,0)</f>
        <v>36600</v>
      </c>
      <c r="CC232">
        <f t="shared" si="660"/>
        <v>6588</v>
      </c>
      <c r="CD232">
        <f t="shared" si="661"/>
        <v>4392</v>
      </c>
      <c r="CE232">
        <f>_xlfn.XLOOKUP(B232,'[8]october-2026'!$A:$A,'[8]october-2026'!$D:$D,0,0)</f>
        <v>0</v>
      </c>
      <c r="CF232">
        <f>_xlfn.XLOOKUP(B232,'[8]october-2026'!$A:$A,'[8]october-2026'!$G:$G,0,0)</f>
        <v>500</v>
      </c>
      <c r="CG232">
        <f t="shared" si="662"/>
        <v>48080</v>
      </c>
      <c r="CH232">
        <f>_xlfn.XLOOKUP(B232,'[8]october-2026'!$A:$A,'[8]october-2026'!$H:$H,0,0)</f>
        <v>3000</v>
      </c>
      <c r="CI232">
        <f>_xlfn.XLOOKUP(B232,'[8]october-2026'!$A:$A,'[8]october-2026'!$I:$I,0,0)</f>
        <v>0</v>
      </c>
      <c r="CJ232">
        <f t="shared" si="663"/>
        <v>200</v>
      </c>
      <c r="CK232">
        <f t="shared" si="664"/>
        <v>44880</v>
      </c>
      <c r="CL232">
        <f>_xlfn.XLOOKUP(B232,'[9]november-2026'!$A:$A,'[9]november-2026'!$C:$C,0,0)</f>
        <v>36600</v>
      </c>
      <c r="CM232">
        <f t="shared" si="665"/>
        <v>6588</v>
      </c>
      <c r="CN232">
        <f t="shared" si="666"/>
        <v>4392</v>
      </c>
      <c r="CO232">
        <f>_xlfn.XLOOKUP(B232,'[9]november-2026'!$A:$A,'[9]november-2026'!$D:$D,0,0)</f>
        <v>0</v>
      </c>
      <c r="CP232">
        <f>_xlfn.XLOOKUP(B232,'[9]november-2026'!$A:$A,'[9]november-2026'!$G:$G,0,0)</f>
        <v>500</v>
      </c>
      <c r="CQ232">
        <f t="shared" si="667"/>
        <v>48080</v>
      </c>
      <c r="CR232">
        <f>_xlfn.XLOOKUP(B232,'[9]november-2026'!$A:$A,'[9]november-2026'!$H:$H,0,0)</f>
        <v>3000</v>
      </c>
      <c r="CS232">
        <f>_xlfn.XLOOKUP(B232,'[9]november-2026'!$A:$A,'[9]november-2026'!$I:$I,0,0)</f>
        <v>0</v>
      </c>
      <c r="CT232">
        <f t="shared" si="668"/>
        <v>200</v>
      </c>
      <c r="CU232">
        <f t="shared" si="669"/>
        <v>44880</v>
      </c>
      <c r="CV232">
        <f>_xlfn.XLOOKUP(B232,'[10]december-2026'!$A:$A,'[10]december-2026'!$C:$C,0,0)</f>
        <v>36600</v>
      </c>
      <c r="CW232">
        <f t="shared" si="670"/>
        <v>6588</v>
      </c>
      <c r="CX232">
        <f t="shared" si="671"/>
        <v>4392</v>
      </c>
      <c r="CY232">
        <f>_xlfn.XLOOKUP(B232,'[10]december-2026'!$A:$A,'[10]december-2026'!$D:$D,0,0)</f>
        <v>0</v>
      </c>
      <c r="CZ232">
        <f>_xlfn.XLOOKUP(B232,'[10]december-2026'!$A:$A,'[10]december-2026'!$G:$G,0,0)</f>
        <v>500</v>
      </c>
      <c r="DA232">
        <f t="shared" si="672"/>
        <v>48080</v>
      </c>
      <c r="DB232">
        <f>_xlfn.XLOOKUP(B232,'[10]december-2026'!$A:$A,'[10]december-2026'!$H:$H,0,0)</f>
        <v>3000</v>
      </c>
      <c r="DC232">
        <f>_xlfn.XLOOKUP(B232,'[10]december-2026'!$A:$A,'[10]december-2026'!$I:$I,0,0)</f>
        <v>0</v>
      </c>
      <c r="DD232">
        <f t="shared" si="673"/>
        <v>200</v>
      </c>
      <c r="DE232">
        <f t="shared" si="674"/>
        <v>44880</v>
      </c>
      <c r="DF232">
        <f xml:space="preserve"> _xlfn.XLOOKUP(B232,
'[11]january-2027'!$A:$A,
'[11]january-2027'!$C:$C,
0,0)</f>
        <v>36600</v>
      </c>
      <c r="DG232">
        <f t="shared" si="675"/>
        <v>6588</v>
      </c>
      <c r="DH232">
        <f t="shared" si="676"/>
        <v>4392</v>
      </c>
      <c r="DI232">
        <f xml:space="preserve"> _xlfn.XLOOKUP(B232,
'[11]january-2027'!$A:$A,
'[11]january-2027'!$D:$D,
0,0)</f>
        <v>0</v>
      </c>
      <c r="DJ232">
        <f xml:space="preserve"> _xlfn.XLOOKUP(B232,
'[11]january-2027'!$A:$A,
'[11]january-2027'!$G:$G,
0,0)</f>
        <v>500</v>
      </c>
      <c r="DK232">
        <f t="shared" si="677"/>
        <v>48080</v>
      </c>
      <c r="DL232">
        <f xml:space="preserve"> _xlfn.XLOOKUP(B232,
'[11]january-2027'!$A:$A,
'[11]january-2027'!$H:$H,
0,0)</f>
        <v>3000</v>
      </c>
      <c r="DM232">
        <f xml:space="preserve"> _xlfn.XLOOKUP(B232,
'[11]january-2027'!$A:$A,
'[11]january-2027'!$I:$I,
0,0)</f>
        <v>0</v>
      </c>
      <c r="DN232">
        <f t="shared" si="678"/>
        <v>200</v>
      </c>
      <c r="DO232">
        <f t="shared" si="679"/>
        <v>44880</v>
      </c>
      <c r="DP232">
        <f xml:space="preserve"> _xlfn.XLOOKUP(B232,
'[12]february-2027'!$A:$A,
'[12]february-2027'!$C:$C,
0,0)</f>
        <v>36600</v>
      </c>
      <c r="DQ232">
        <f t="shared" si="680"/>
        <v>6588</v>
      </c>
      <c r="DR232">
        <f t="shared" si="681"/>
        <v>4392</v>
      </c>
      <c r="DS232">
        <f xml:space="preserve"> _xlfn.XLOOKUP(B232,
'[12]february-2027'!$A:$A,
'[12]february-2027'!$D:$D,
0,0)</f>
        <v>0</v>
      </c>
      <c r="DT232">
        <f xml:space="preserve"> _xlfn.XLOOKUP(B232,
'[12]february-2027'!$A:$A,
'[12]february-2027'!$G:$G,
0,0)</f>
        <v>500</v>
      </c>
      <c r="DU232">
        <f t="shared" si="682"/>
        <v>48080</v>
      </c>
      <c r="DV232">
        <f xml:space="preserve"> _xlfn.XLOOKUP(B232,
'[12]february-2027'!$A:$A,
'[12]february-2027'!$H:$H,
0,0)</f>
        <v>3000</v>
      </c>
      <c r="DW232">
        <f xml:space="preserve"> _xlfn.XLOOKUP(B232,
'[12]february-2027'!$A:$A,
'[12]february-2027'!$I:$I,
0,0)</f>
        <v>0</v>
      </c>
      <c r="DX232">
        <f t="shared" si="683"/>
        <v>200</v>
      </c>
      <c r="DY232">
        <f t="shared" si="684"/>
        <v>44880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85"/>
        <v>0</v>
      </c>
      <c r="EM232">
        <f t="shared" si="686"/>
        <v>578270</v>
      </c>
      <c r="EN232">
        <f t="shared" si="687"/>
        <v>2400</v>
      </c>
      <c r="EO232">
        <f t="shared" si="688"/>
        <v>50000</v>
      </c>
      <c r="EP232">
        <v>0</v>
      </c>
      <c r="EQ232">
        <f t="shared" si="690"/>
        <v>525870</v>
      </c>
      <c r="ER232">
        <f t="shared" si="691"/>
        <v>36000</v>
      </c>
      <c r="ES232">
        <f t="shared" si="692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693"/>
        <v>36000</v>
      </c>
      <c r="FE232">
        <f t="shared" si="694"/>
        <v>36000</v>
      </c>
      <c r="FF232">
        <f t="shared" si="695"/>
        <v>489870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>SUM(FG232:FM232)+(IF(F232="YES",50000,0))</f>
        <v>0</v>
      </c>
      <c r="FO232">
        <f t="shared" si="696"/>
        <v>489870</v>
      </c>
      <c r="FP232">
        <f t="shared" si="697"/>
        <v>11994</v>
      </c>
      <c r="FQ232">
        <f t="shared" si="698"/>
        <v>0</v>
      </c>
      <c r="FR232">
        <f t="shared" si="699"/>
        <v>11994</v>
      </c>
      <c r="FS232">
        <f t="shared" si="700"/>
        <v>0</v>
      </c>
      <c r="FT232">
        <f t="shared" si="701"/>
        <v>0</v>
      </c>
      <c r="FU232">
        <f t="shared" si="702"/>
        <v>0</v>
      </c>
      <c r="FV232">
        <v>0</v>
      </c>
      <c r="FW232">
        <f t="shared" si="703"/>
        <v>0</v>
      </c>
      <c r="FX232" t="b">
        <f t="shared" si="704"/>
        <v>1</v>
      </c>
      <c r="FY232">
        <f t="shared" ca="1" si="705"/>
        <v>750</v>
      </c>
      <c r="FZ232">
        <f t="shared" ca="1" si="706"/>
        <v>579020</v>
      </c>
      <c r="GA232">
        <f t="shared" si="707"/>
        <v>75000</v>
      </c>
      <c r="GB232">
        <f t="shared" ca="1" si="708"/>
        <v>504020</v>
      </c>
      <c r="GC232">
        <f t="shared" ca="1" si="709"/>
        <v>0</v>
      </c>
      <c r="GD232">
        <f t="shared" ca="1" si="710"/>
        <v>0</v>
      </c>
      <c r="GE232">
        <f t="shared" ca="1" si="711"/>
        <v>0</v>
      </c>
      <c r="GF232">
        <f t="shared" ca="1" si="712"/>
        <v>0</v>
      </c>
      <c r="GG232">
        <f t="shared" ca="1" si="713"/>
        <v>0</v>
      </c>
      <c r="GH232">
        <f t="shared" ca="1" si="714"/>
        <v>0</v>
      </c>
      <c r="GI232">
        <f ca="1">IF(GB232&gt;1200000,GB232-1200000-IF(F232="YES",50000,0)-GG232,0)</f>
        <v>0</v>
      </c>
      <c r="GJ232">
        <f t="shared" ca="1" si="715"/>
        <v>0</v>
      </c>
      <c r="GK232">
        <f t="shared" ca="1" si="716"/>
        <v>0</v>
      </c>
      <c r="GL232">
        <f t="shared" ca="1" si="717"/>
        <v>0</v>
      </c>
      <c r="GM232">
        <f t="shared" ca="1" si="718"/>
        <v>104020</v>
      </c>
      <c r="GN232">
        <f t="shared" ca="1" si="719"/>
        <v>5201</v>
      </c>
      <c r="GO232">
        <f t="shared" ca="1" si="720"/>
        <v>5201</v>
      </c>
      <c r="GP232">
        <f t="shared" ca="1" si="721"/>
        <v>0</v>
      </c>
      <c r="GQ232">
        <f t="shared" ca="1" si="722"/>
        <v>0</v>
      </c>
      <c r="GR232">
        <f t="shared" ca="1" si="723"/>
        <v>5201</v>
      </c>
      <c r="GS232">
        <f t="shared" ca="1" si="724"/>
        <v>0</v>
      </c>
      <c r="GT232" t="b">
        <f t="shared" ca="1" si="725"/>
        <v>0</v>
      </c>
      <c r="GU232">
        <f t="shared" ca="1" si="726"/>
        <v>0</v>
      </c>
      <c r="GV232">
        <f t="shared" ca="1" si="727"/>
        <v>5201</v>
      </c>
      <c r="GW232">
        <f t="shared" ca="1" si="728"/>
        <v>0</v>
      </c>
      <c r="GX232">
        <f t="shared" ca="1" si="729"/>
        <v>0</v>
      </c>
      <c r="GY232">
        <f t="shared" ca="1" si="730"/>
        <v>0</v>
      </c>
    </row>
    <row r="233" spans="1:207" x14ac:dyDescent="0.25">
      <c r="A233">
        <f>_xlfn.AGGREGATE(3,5,$B$2:B233)</f>
        <v>232</v>
      </c>
      <c r="B233" t="s">
        <v>559</v>
      </c>
      <c r="C233" t="s">
        <v>560</v>
      </c>
      <c r="D233" t="s">
        <v>806</v>
      </c>
      <c r="E233" t="s">
        <v>830</v>
      </c>
      <c r="F233" t="s">
        <v>952</v>
      </c>
      <c r="G233" t="s">
        <v>942</v>
      </c>
      <c r="H233">
        <f t="shared" si="625"/>
        <v>6800</v>
      </c>
      <c r="I233">
        <f>_xlfn.XLOOKUP(B233,'[1]march-2026'!$A:$A,'[1]march-2026'!$C:$C,0,0)</f>
        <v>32500</v>
      </c>
      <c r="J233">
        <f t="shared" si="689"/>
        <v>5850</v>
      </c>
      <c r="K233">
        <f t="shared" si="626"/>
        <v>3900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27"/>
        <v>42750</v>
      </c>
      <c r="O233">
        <f>_xlfn.XLOOKUP(B233,'[1]march-2026'!$A:$A,'[1]march-2026'!$H:$H,0,0)</f>
        <v>2000</v>
      </c>
      <c r="P233">
        <f>_xlfn.XLOOKUP(B233,'[1]march-2026'!$A:$A,'[1]march-2026'!$I:$I,0,0)</f>
        <v>0</v>
      </c>
      <c r="Q233">
        <f t="shared" si="628"/>
        <v>200</v>
      </c>
      <c r="R233">
        <f t="shared" si="629"/>
        <v>40550</v>
      </c>
      <c r="S233">
        <f>_xlfn.XLOOKUP(B233,'[2]april-2026'!$A:$A,'[2]april-2026'!$C:$C,0,0)</f>
        <v>32500</v>
      </c>
      <c r="T233">
        <f t="shared" si="630"/>
        <v>5850</v>
      </c>
      <c r="U233">
        <f t="shared" si="631"/>
        <v>3900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32"/>
        <v>42750</v>
      </c>
      <c r="Y233">
        <f>_xlfn.XLOOKUP(B233,'[2]april-2026'!$A:$A,'[2]april-2026'!$H:$H,0,0)</f>
        <v>2000</v>
      </c>
      <c r="Z233">
        <f>_xlfn.XLOOKUP(B233,'[2]april-2026'!$A:$A,'[2]april-2026'!$I:$I,0,0)</f>
        <v>0</v>
      </c>
      <c r="AA233">
        <f t="shared" si="633"/>
        <v>200</v>
      </c>
      <c r="AB233">
        <f t="shared" si="634"/>
        <v>40550</v>
      </c>
      <c r="AC233">
        <f>_xlfn.XLOOKUP(B233,'[3]may-2026'!$A:$A,'[3]may-2026'!$C:$C,0,0)</f>
        <v>32500</v>
      </c>
      <c r="AD233">
        <f t="shared" si="635"/>
        <v>5850</v>
      </c>
      <c r="AE233">
        <f t="shared" si="636"/>
        <v>3900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37"/>
        <v>42750</v>
      </c>
      <c r="AI233">
        <f>_xlfn.XLOOKUP(B233,'[3]may-2026'!$A:$A,'[3]may-2026'!$H:$H,0,0)</f>
        <v>2000</v>
      </c>
      <c r="AJ233">
        <f>_xlfn.XLOOKUP(B233,'[3]may-2026'!$A:$A,'[3]may-2026'!$I:$I,0,0)</f>
        <v>0</v>
      </c>
      <c r="AK233">
        <f t="shared" si="638"/>
        <v>200</v>
      </c>
      <c r="AL233">
        <f t="shared" si="639"/>
        <v>40550</v>
      </c>
      <c r="AM233">
        <f>_xlfn.XLOOKUP(B233,'[4]june-2026'!$A:$A,'[4]june-2026'!$C:$C,0,0)</f>
        <v>32500</v>
      </c>
      <c r="AN233">
        <f t="shared" si="640"/>
        <v>5850</v>
      </c>
      <c r="AO233">
        <f t="shared" si="641"/>
        <v>3900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42"/>
        <v>42750</v>
      </c>
      <c r="AS233">
        <f>_xlfn.XLOOKUP(B233,'[4]june-2026'!$A:$A,'[4]june-2026'!$H:$H,0,0)</f>
        <v>2000</v>
      </c>
      <c r="AT233">
        <f>_xlfn.XLOOKUP(B233,'[4]june-2026'!$A:$A,'[4]june-2026'!$I:$I,0,0)</f>
        <v>0</v>
      </c>
      <c r="AU233">
        <f t="shared" si="643"/>
        <v>200</v>
      </c>
      <c r="AV233">
        <f t="shared" si="644"/>
        <v>40550</v>
      </c>
      <c r="AW233">
        <f>_xlfn.XLOOKUP(B233,'[5]july-2026'!$A:$A,'[5]july-2026'!$C:$C,0,0)</f>
        <v>33500</v>
      </c>
      <c r="AX233">
        <f t="shared" si="645"/>
        <v>6030</v>
      </c>
      <c r="AY233">
        <v>231</v>
      </c>
      <c r="AZ233">
        <f t="shared" si="646"/>
        <v>4020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47"/>
        <v>44281</v>
      </c>
      <c r="BD233">
        <f>_xlfn.XLOOKUP(B233,'[5]july-2026'!$A:$A,'[5]july-2026'!$H:$H,0,0)</f>
        <v>2000</v>
      </c>
      <c r="BE233">
        <f>_xlfn.XLOOKUP(B233,'[5]july-2026'!$A:$A,'[5]july-2026'!$I:$I,0,0)</f>
        <v>0</v>
      </c>
      <c r="BF233">
        <f t="shared" si="648"/>
        <v>200</v>
      </c>
      <c r="BG233">
        <f t="shared" si="649"/>
        <v>42081</v>
      </c>
      <c r="BH233">
        <f>_xlfn.XLOOKUP(B233,'[6]august-2026'!$A:$A,'[6]august-2026'!$C:$C,0,0)</f>
        <v>33500</v>
      </c>
      <c r="BI233">
        <f t="shared" si="650"/>
        <v>6030</v>
      </c>
      <c r="BJ233">
        <f t="shared" si="651"/>
        <v>4020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52"/>
        <v>44050</v>
      </c>
      <c r="BN233">
        <f>_xlfn.XLOOKUP(B233,'[6]august-2026'!$A:$A,'[6]august-2026'!$H:$H,0,0)</f>
        <v>2000</v>
      </c>
      <c r="BO233">
        <f>_xlfn.XLOOKUP(B233,'[6]august-2026'!$A:$A,'[6]august-2026'!$I:$I,0,0)</f>
        <v>0</v>
      </c>
      <c r="BP233">
        <f t="shared" si="653"/>
        <v>200</v>
      </c>
      <c r="BQ233">
        <f t="shared" si="654"/>
        <v>41850</v>
      </c>
      <c r="BR233">
        <f>_xlfn.XLOOKUP(B233,'[7]september-2026'!$A:$A,'[7]september-2026'!$C:$C,0,0)</f>
        <v>33500</v>
      </c>
      <c r="BS233">
        <f t="shared" si="655"/>
        <v>6030</v>
      </c>
      <c r="BT233">
        <f t="shared" si="656"/>
        <v>4020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57"/>
        <v>44050</v>
      </c>
      <c r="BX233">
        <f>_xlfn.XLOOKUP(B233,'[7]september-2026'!$A:$A,'[7]september-2026'!$H:$H,0,0)</f>
        <v>2000</v>
      </c>
      <c r="BY233">
        <f>_xlfn.XLOOKUP(B233,'[7]september-2026'!$A:$A,'[7]september-2026'!$I:$I,0,0)</f>
        <v>0</v>
      </c>
      <c r="BZ233">
        <f t="shared" si="658"/>
        <v>200</v>
      </c>
      <c r="CA233">
        <f t="shared" si="659"/>
        <v>41850</v>
      </c>
      <c r="CB233">
        <f>_xlfn.XLOOKUP(B233,'[8]october-2026'!$A:$A,'[8]october-2026'!$C:$C,0,0)</f>
        <v>33500</v>
      </c>
      <c r="CC233">
        <f t="shared" si="660"/>
        <v>6030</v>
      </c>
      <c r="CD233">
        <f t="shared" si="661"/>
        <v>4020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62"/>
        <v>44050</v>
      </c>
      <c r="CH233">
        <f>_xlfn.XLOOKUP(B233,'[8]october-2026'!$A:$A,'[8]october-2026'!$H:$H,0,0)</f>
        <v>2000</v>
      </c>
      <c r="CI233">
        <f>_xlfn.XLOOKUP(B233,'[8]october-2026'!$A:$A,'[8]october-2026'!$I:$I,0,0)</f>
        <v>0</v>
      </c>
      <c r="CJ233">
        <f t="shared" si="663"/>
        <v>200</v>
      </c>
      <c r="CK233">
        <f t="shared" si="664"/>
        <v>41850</v>
      </c>
      <c r="CL233">
        <f>_xlfn.XLOOKUP(B233,'[9]november-2026'!$A:$A,'[9]november-2026'!$C:$C,0,0)</f>
        <v>33500</v>
      </c>
      <c r="CM233">
        <f t="shared" si="665"/>
        <v>6030</v>
      </c>
      <c r="CN233">
        <f t="shared" si="666"/>
        <v>4020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67"/>
        <v>44050</v>
      </c>
      <c r="CR233">
        <f>_xlfn.XLOOKUP(B233,'[9]november-2026'!$A:$A,'[9]november-2026'!$H:$H,0,0)</f>
        <v>2000</v>
      </c>
      <c r="CS233">
        <f>_xlfn.XLOOKUP(B233,'[9]november-2026'!$A:$A,'[9]november-2026'!$I:$I,0,0)</f>
        <v>0</v>
      </c>
      <c r="CT233">
        <f t="shared" si="668"/>
        <v>200</v>
      </c>
      <c r="CU233">
        <f t="shared" si="669"/>
        <v>41850</v>
      </c>
      <c r="CV233">
        <f>_xlfn.XLOOKUP(B233,'[10]december-2026'!$A:$A,'[10]december-2026'!$C:$C,0,0)</f>
        <v>33500</v>
      </c>
      <c r="CW233">
        <f t="shared" si="670"/>
        <v>6030</v>
      </c>
      <c r="CX233">
        <f t="shared" si="671"/>
        <v>4020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72"/>
        <v>44050</v>
      </c>
      <c r="DB233">
        <f>_xlfn.XLOOKUP(B233,'[10]december-2026'!$A:$A,'[10]december-2026'!$H:$H,0,0)</f>
        <v>2000</v>
      </c>
      <c r="DC233">
        <f>_xlfn.XLOOKUP(B233,'[10]december-2026'!$A:$A,'[10]december-2026'!$I:$I,0,0)</f>
        <v>0</v>
      </c>
      <c r="DD233">
        <f t="shared" si="673"/>
        <v>200</v>
      </c>
      <c r="DE233">
        <f t="shared" si="674"/>
        <v>41850</v>
      </c>
      <c r="DF233">
        <f xml:space="preserve"> _xlfn.XLOOKUP(B233,
'[11]january-2027'!$A:$A,
'[11]january-2027'!$C:$C,
0,0)</f>
        <v>33500</v>
      </c>
      <c r="DG233">
        <f t="shared" si="675"/>
        <v>6030</v>
      </c>
      <c r="DH233">
        <f t="shared" si="676"/>
        <v>4020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77"/>
        <v>44050</v>
      </c>
      <c r="DL233">
        <f xml:space="preserve"> _xlfn.XLOOKUP(B233,
'[11]january-2027'!$A:$A,
'[11]january-2027'!$H:$H,
0,0)</f>
        <v>2000</v>
      </c>
      <c r="DM233">
        <f xml:space="preserve"> _xlfn.XLOOKUP(B233,
'[11]january-2027'!$A:$A,
'[11]january-2027'!$I:$I,
0,0)</f>
        <v>0</v>
      </c>
      <c r="DN233">
        <f t="shared" si="678"/>
        <v>200</v>
      </c>
      <c r="DO233">
        <f t="shared" si="679"/>
        <v>41850</v>
      </c>
      <c r="DP233">
        <f xml:space="preserve"> _xlfn.XLOOKUP(B233,
'[12]february-2027'!$A:$A,
'[12]february-2027'!$C:$C,
0,0)</f>
        <v>33500</v>
      </c>
      <c r="DQ233">
        <f t="shared" si="680"/>
        <v>6030</v>
      </c>
      <c r="DR233">
        <f t="shared" si="681"/>
        <v>4020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82"/>
        <v>44050</v>
      </c>
      <c r="DV233">
        <f xml:space="preserve"> _xlfn.XLOOKUP(B233,
'[12]february-2027'!$A:$A,
'[12]february-2027'!$H:$H,
0,0)</f>
        <v>2000</v>
      </c>
      <c r="DW233">
        <f xml:space="preserve"> _xlfn.XLOOKUP(B233,
'[12]february-2027'!$A:$A,
'[12]february-2027'!$I:$I,
0,0)</f>
        <v>0</v>
      </c>
      <c r="DX233">
        <f t="shared" si="683"/>
        <v>200</v>
      </c>
      <c r="DY233">
        <f t="shared" si="684"/>
        <v>41850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85"/>
        <v>0</v>
      </c>
      <c r="EM233">
        <f t="shared" si="686"/>
        <v>530431</v>
      </c>
      <c r="EN233">
        <f t="shared" si="687"/>
        <v>2400</v>
      </c>
      <c r="EO233">
        <f t="shared" si="688"/>
        <v>50000</v>
      </c>
      <c r="EP233">
        <v>0</v>
      </c>
      <c r="EQ233">
        <f t="shared" si="690"/>
        <v>478031</v>
      </c>
      <c r="ER233">
        <f t="shared" si="691"/>
        <v>24000</v>
      </c>
      <c r="ES233">
        <f t="shared" si="692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693"/>
        <v>24000</v>
      </c>
      <c r="FE233">
        <f t="shared" si="694"/>
        <v>24000</v>
      </c>
      <c r="FF233">
        <f t="shared" si="695"/>
        <v>454031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>SUM(FG233:FM233)+(IF(F233="YES",50000,0))</f>
        <v>0</v>
      </c>
      <c r="FO233">
        <f t="shared" si="696"/>
        <v>454031</v>
      </c>
      <c r="FP233">
        <f t="shared" si="697"/>
        <v>10202</v>
      </c>
      <c r="FQ233">
        <f t="shared" si="698"/>
        <v>0</v>
      </c>
      <c r="FR233">
        <f t="shared" si="699"/>
        <v>10202</v>
      </c>
      <c r="FS233">
        <f t="shared" si="700"/>
        <v>0</v>
      </c>
      <c r="FT233">
        <f t="shared" si="701"/>
        <v>0</v>
      </c>
      <c r="FU233">
        <f t="shared" si="702"/>
        <v>0</v>
      </c>
      <c r="FV233">
        <v>0</v>
      </c>
      <c r="FW233">
        <f t="shared" si="703"/>
        <v>0</v>
      </c>
      <c r="FX233" t="b">
        <f t="shared" si="704"/>
        <v>1</v>
      </c>
      <c r="FY233">
        <f t="shared" ca="1" si="705"/>
        <v>939</v>
      </c>
      <c r="FZ233">
        <f t="shared" ca="1" si="706"/>
        <v>531370</v>
      </c>
      <c r="GA233">
        <f t="shared" si="707"/>
        <v>75000</v>
      </c>
      <c r="GB233">
        <f t="shared" ca="1" si="708"/>
        <v>456370</v>
      </c>
      <c r="GC233">
        <f t="shared" ca="1" si="709"/>
        <v>0</v>
      </c>
      <c r="GD233">
        <f t="shared" ca="1" si="710"/>
        <v>0</v>
      </c>
      <c r="GE233">
        <f t="shared" ca="1" si="711"/>
        <v>0</v>
      </c>
      <c r="GF233">
        <f t="shared" ca="1" si="712"/>
        <v>0</v>
      </c>
      <c r="GG233">
        <f t="shared" ca="1" si="713"/>
        <v>0</v>
      </c>
      <c r="GH233">
        <f t="shared" ca="1" si="714"/>
        <v>0</v>
      </c>
      <c r="GI233">
        <f ca="1">IF(GB233&gt;1200000,GB233-1200000-IF(F233="YES",50000,0)-GG233,0)</f>
        <v>0</v>
      </c>
      <c r="GJ233">
        <f t="shared" ca="1" si="715"/>
        <v>0</v>
      </c>
      <c r="GK233">
        <f t="shared" ca="1" si="716"/>
        <v>0</v>
      </c>
      <c r="GL233">
        <f t="shared" ca="1" si="717"/>
        <v>0</v>
      </c>
      <c r="GM233">
        <f t="shared" ca="1" si="718"/>
        <v>56370</v>
      </c>
      <c r="GN233">
        <f t="shared" ca="1" si="719"/>
        <v>2818.5</v>
      </c>
      <c r="GO233">
        <f t="shared" ca="1" si="720"/>
        <v>2819</v>
      </c>
      <c r="GP233">
        <f t="shared" ca="1" si="721"/>
        <v>0</v>
      </c>
      <c r="GQ233">
        <f t="shared" ca="1" si="722"/>
        <v>0</v>
      </c>
      <c r="GR233">
        <f t="shared" ca="1" si="723"/>
        <v>2819</v>
      </c>
      <c r="GS233">
        <f t="shared" ca="1" si="724"/>
        <v>0</v>
      </c>
      <c r="GT233" t="b">
        <f t="shared" ca="1" si="725"/>
        <v>0</v>
      </c>
      <c r="GU233">
        <f t="shared" ca="1" si="726"/>
        <v>0</v>
      </c>
      <c r="GV233">
        <f t="shared" ca="1" si="727"/>
        <v>2819</v>
      </c>
      <c r="GW233">
        <f t="shared" ca="1" si="728"/>
        <v>0</v>
      </c>
      <c r="GX233">
        <f t="shared" ca="1" si="729"/>
        <v>0</v>
      </c>
      <c r="GY233">
        <f t="shared" ca="1" si="730"/>
        <v>0</v>
      </c>
    </row>
    <row r="234" spans="1:207" x14ac:dyDescent="0.25">
      <c r="A234">
        <f>_xlfn.AGGREGATE(3,5,$B$2:B234)</f>
        <v>233</v>
      </c>
      <c r="B234" t="s">
        <v>561</v>
      </c>
      <c r="C234" t="s">
        <v>562</v>
      </c>
      <c r="D234" t="s">
        <v>807</v>
      </c>
      <c r="E234" t="s">
        <v>830</v>
      </c>
      <c r="F234" t="s">
        <v>952</v>
      </c>
      <c r="G234" t="s">
        <v>891</v>
      </c>
      <c r="H234">
        <f t="shared" si="625"/>
        <v>6800</v>
      </c>
      <c r="I234">
        <f>_xlfn.XLOOKUP(B234,'[1]march-2026'!$A:$A,'[1]march-2026'!$C:$C,0,0)</f>
        <v>35500</v>
      </c>
      <c r="J234">
        <f t="shared" si="689"/>
        <v>6390</v>
      </c>
      <c r="K234">
        <f t="shared" si="626"/>
        <v>4260</v>
      </c>
      <c r="L234">
        <f>_xlfn.XLOOKUP(B234,'[1]march-2026'!$A:$A,'[1]march-2026'!$D:$D,0,0)</f>
        <v>400</v>
      </c>
      <c r="M234">
        <f>_xlfn.XLOOKUP(B234,'[1]march-2026'!$A:$A,'[1]march-2026'!$G:$G,0,0)</f>
        <v>500</v>
      </c>
      <c r="N234">
        <f t="shared" si="627"/>
        <v>47050</v>
      </c>
      <c r="O234">
        <f>_xlfn.XLOOKUP(B234,'[1]march-2026'!$A:$A,'[1]march-2026'!$H:$H,0,0)</f>
        <v>3000</v>
      </c>
      <c r="P234">
        <f>_xlfn.XLOOKUP(B234,'[1]march-2026'!$A:$A,'[1]march-2026'!$I:$I,0,0)</f>
        <v>0</v>
      </c>
      <c r="Q234">
        <f t="shared" si="628"/>
        <v>200</v>
      </c>
      <c r="R234">
        <f t="shared" si="629"/>
        <v>43850</v>
      </c>
      <c r="S234">
        <f>_xlfn.XLOOKUP(B234,'[2]april-2026'!$A:$A,'[2]april-2026'!$C:$C,0,0)</f>
        <v>35500</v>
      </c>
      <c r="T234">
        <f t="shared" si="630"/>
        <v>6390</v>
      </c>
      <c r="U234">
        <f t="shared" si="631"/>
        <v>4260</v>
      </c>
      <c r="V234">
        <f>_xlfn.XLOOKUP(B234,'[2]april-2026'!$A:$A,'[2]april-2026'!$D:$D,0,0)</f>
        <v>400</v>
      </c>
      <c r="W234">
        <f>_xlfn.XLOOKUP(B234,'[2]april-2026'!$A:$A,'[2]april-2026'!$G:$G,0,0)</f>
        <v>500</v>
      </c>
      <c r="X234">
        <f t="shared" si="632"/>
        <v>47050</v>
      </c>
      <c r="Y234">
        <f>_xlfn.XLOOKUP(B234,'[2]april-2026'!$A:$A,'[2]april-2026'!$H:$H,0,0)</f>
        <v>3000</v>
      </c>
      <c r="Z234">
        <f>_xlfn.XLOOKUP(B234,'[2]april-2026'!$A:$A,'[2]april-2026'!$I:$I,0,0)</f>
        <v>0</v>
      </c>
      <c r="AA234">
        <f t="shared" si="633"/>
        <v>200</v>
      </c>
      <c r="AB234">
        <f t="shared" si="634"/>
        <v>43850</v>
      </c>
      <c r="AC234">
        <f>_xlfn.XLOOKUP(B234,'[3]may-2026'!$A:$A,'[3]may-2026'!$C:$C,0,0)</f>
        <v>35500</v>
      </c>
      <c r="AD234">
        <f t="shared" si="635"/>
        <v>6390</v>
      </c>
      <c r="AE234">
        <f t="shared" si="636"/>
        <v>4260</v>
      </c>
      <c r="AF234">
        <f>_xlfn.XLOOKUP(B234,'[3]may-2026'!$A:$A,'[3]may-2026'!$D:$D,0,0)</f>
        <v>400</v>
      </c>
      <c r="AG234">
        <f>_xlfn.XLOOKUP(B234,'[3]may-2026'!$A:$A,'[3]may-2026'!$G:$G,0,0)</f>
        <v>500</v>
      </c>
      <c r="AH234">
        <f t="shared" si="637"/>
        <v>47050</v>
      </c>
      <c r="AI234">
        <f>_xlfn.XLOOKUP(B234,'[3]may-2026'!$A:$A,'[3]may-2026'!$H:$H,0,0)</f>
        <v>3000</v>
      </c>
      <c r="AJ234">
        <f>_xlfn.XLOOKUP(B234,'[3]may-2026'!$A:$A,'[3]may-2026'!$I:$I,0,0)</f>
        <v>0</v>
      </c>
      <c r="AK234">
        <f t="shared" si="638"/>
        <v>200</v>
      </c>
      <c r="AL234">
        <f t="shared" si="639"/>
        <v>43850</v>
      </c>
      <c r="AM234">
        <f>_xlfn.XLOOKUP(B234,'[4]june-2026'!$A:$A,'[4]june-2026'!$C:$C,0,0)</f>
        <v>35500</v>
      </c>
      <c r="AN234">
        <f t="shared" si="640"/>
        <v>6390</v>
      </c>
      <c r="AO234">
        <f t="shared" si="641"/>
        <v>4260</v>
      </c>
      <c r="AP234">
        <f>_xlfn.XLOOKUP(B234,'[4]june-2026'!$A:$A,'[4]june-2026'!$D:$D,0,0)</f>
        <v>400</v>
      </c>
      <c r="AQ234">
        <f>_xlfn.XLOOKUP(B234,'[4]june-2026'!$A:$A,'[4]june-2026'!$G:$G,0,0)</f>
        <v>500</v>
      </c>
      <c r="AR234">
        <f t="shared" si="642"/>
        <v>47050</v>
      </c>
      <c r="AS234">
        <f>_xlfn.XLOOKUP(B234,'[4]june-2026'!$A:$A,'[4]june-2026'!$H:$H,0,0)</f>
        <v>3000</v>
      </c>
      <c r="AT234">
        <f>_xlfn.XLOOKUP(B234,'[4]june-2026'!$A:$A,'[4]june-2026'!$I:$I,0,0)</f>
        <v>0</v>
      </c>
      <c r="AU234">
        <f t="shared" si="643"/>
        <v>200</v>
      </c>
      <c r="AV234">
        <f t="shared" si="644"/>
        <v>43850</v>
      </c>
      <c r="AW234">
        <f>_xlfn.XLOOKUP(B234,'[5]july-2026'!$A:$A,'[5]july-2026'!$C:$C,0,0)</f>
        <v>36600</v>
      </c>
      <c r="AX234">
        <f t="shared" si="645"/>
        <v>6588</v>
      </c>
      <c r="AY234">
        <v>232</v>
      </c>
      <c r="AZ234">
        <f t="shared" si="646"/>
        <v>4392</v>
      </c>
      <c r="BA234">
        <f>_xlfn.XLOOKUP(B234,'[5]july-2026'!$A:$A,'[5]july-2026'!$D:$D,0,0)</f>
        <v>400</v>
      </c>
      <c r="BB234">
        <f>_xlfn.XLOOKUP(B234,'[5]july-2026'!$A:$A,'[5]july-2026'!$G:$G,0,0)</f>
        <v>500</v>
      </c>
      <c r="BC234">
        <f t="shared" si="647"/>
        <v>48712</v>
      </c>
      <c r="BD234">
        <f>_xlfn.XLOOKUP(B234,'[5]july-2026'!$A:$A,'[5]july-2026'!$H:$H,0,0)</f>
        <v>3000</v>
      </c>
      <c r="BE234">
        <f>_xlfn.XLOOKUP(B234,'[5]july-2026'!$A:$A,'[5]july-2026'!$I:$I,0,0)</f>
        <v>0</v>
      </c>
      <c r="BF234">
        <f t="shared" si="648"/>
        <v>200</v>
      </c>
      <c r="BG234">
        <f t="shared" si="649"/>
        <v>45512</v>
      </c>
      <c r="BH234">
        <f>_xlfn.XLOOKUP(B234,'[6]august-2026'!$A:$A,'[6]august-2026'!$C:$C,0,0)</f>
        <v>36600</v>
      </c>
      <c r="BI234">
        <f t="shared" si="650"/>
        <v>6588</v>
      </c>
      <c r="BJ234">
        <f t="shared" si="651"/>
        <v>4392</v>
      </c>
      <c r="BK234">
        <f>_xlfn.XLOOKUP(B234,'[6]august-2026'!$A:$A,'[6]august-2026'!$D:$D,0,0)</f>
        <v>400</v>
      </c>
      <c r="BL234">
        <f>_xlfn.XLOOKUP(B234,'[6]august-2026'!$A:$A,'[6]august-2026'!$G:$G,0,0)</f>
        <v>500</v>
      </c>
      <c r="BM234">
        <f t="shared" si="652"/>
        <v>48480</v>
      </c>
      <c r="BN234">
        <f>_xlfn.XLOOKUP(B234,'[6]august-2026'!$A:$A,'[6]august-2026'!$H:$H,0,0)</f>
        <v>3000</v>
      </c>
      <c r="BO234">
        <f>_xlfn.XLOOKUP(B234,'[6]august-2026'!$A:$A,'[6]august-2026'!$I:$I,0,0)</f>
        <v>0</v>
      </c>
      <c r="BP234">
        <f t="shared" si="653"/>
        <v>200</v>
      </c>
      <c r="BQ234">
        <f t="shared" si="654"/>
        <v>45280</v>
      </c>
      <c r="BR234">
        <f>_xlfn.XLOOKUP(B234,'[7]september-2026'!$A:$A,'[7]september-2026'!$C:$C,0,0)</f>
        <v>36600</v>
      </c>
      <c r="BS234">
        <f t="shared" si="655"/>
        <v>6588</v>
      </c>
      <c r="BT234">
        <f t="shared" si="656"/>
        <v>4392</v>
      </c>
      <c r="BU234">
        <f>_xlfn.XLOOKUP(B234,'[7]september-2026'!$A:$A,'[7]september-2026'!$D:$D,0,0)</f>
        <v>400</v>
      </c>
      <c r="BV234">
        <f>_xlfn.XLOOKUP(B234,'[7]september-2026'!$A:$A,'[7]september-2026'!$G:$G,0,0)</f>
        <v>500</v>
      </c>
      <c r="BW234">
        <f t="shared" si="657"/>
        <v>48480</v>
      </c>
      <c r="BX234">
        <f>_xlfn.XLOOKUP(B234,'[7]september-2026'!$A:$A,'[7]september-2026'!$H:$H,0,0)</f>
        <v>3000</v>
      </c>
      <c r="BY234">
        <f>_xlfn.XLOOKUP(B234,'[7]september-2026'!$A:$A,'[7]september-2026'!$I:$I,0,0)</f>
        <v>0</v>
      </c>
      <c r="BZ234">
        <f t="shared" si="658"/>
        <v>200</v>
      </c>
      <c r="CA234">
        <f t="shared" si="659"/>
        <v>45280</v>
      </c>
      <c r="CB234">
        <f>_xlfn.XLOOKUP(B234,'[8]october-2026'!$A:$A,'[8]october-2026'!$C:$C,0,0)</f>
        <v>36600</v>
      </c>
      <c r="CC234">
        <f t="shared" si="660"/>
        <v>6588</v>
      </c>
      <c r="CD234">
        <f t="shared" si="661"/>
        <v>4392</v>
      </c>
      <c r="CE234">
        <f>_xlfn.XLOOKUP(B234,'[8]october-2026'!$A:$A,'[8]october-2026'!$D:$D,0,0)</f>
        <v>400</v>
      </c>
      <c r="CF234">
        <f>_xlfn.XLOOKUP(B234,'[8]october-2026'!$A:$A,'[8]october-2026'!$G:$G,0,0)</f>
        <v>500</v>
      </c>
      <c r="CG234">
        <f t="shared" si="662"/>
        <v>48480</v>
      </c>
      <c r="CH234">
        <f>_xlfn.XLOOKUP(B234,'[8]october-2026'!$A:$A,'[8]october-2026'!$H:$H,0,0)</f>
        <v>3000</v>
      </c>
      <c r="CI234">
        <f>_xlfn.XLOOKUP(B234,'[8]october-2026'!$A:$A,'[8]october-2026'!$I:$I,0,0)</f>
        <v>0</v>
      </c>
      <c r="CJ234">
        <f t="shared" si="663"/>
        <v>200</v>
      </c>
      <c r="CK234">
        <f t="shared" si="664"/>
        <v>45280</v>
      </c>
      <c r="CL234">
        <f>_xlfn.XLOOKUP(B234,'[9]november-2026'!$A:$A,'[9]november-2026'!$C:$C,0,0)</f>
        <v>36600</v>
      </c>
      <c r="CM234">
        <f t="shared" si="665"/>
        <v>6588</v>
      </c>
      <c r="CN234">
        <f t="shared" si="666"/>
        <v>4392</v>
      </c>
      <c r="CO234">
        <f>_xlfn.XLOOKUP(B234,'[9]november-2026'!$A:$A,'[9]november-2026'!$D:$D,0,0)</f>
        <v>400</v>
      </c>
      <c r="CP234">
        <f>_xlfn.XLOOKUP(B234,'[9]november-2026'!$A:$A,'[9]november-2026'!$G:$G,0,0)</f>
        <v>500</v>
      </c>
      <c r="CQ234">
        <f t="shared" si="667"/>
        <v>48480</v>
      </c>
      <c r="CR234">
        <f>_xlfn.XLOOKUP(B234,'[9]november-2026'!$A:$A,'[9]november-2026'!$H:$H,0,0)</f>
        <v>3000</v>
      </c>
      <c r="CS234">
        <f>_xlfn.XLOOKUP(B234,'[9]november-2026'!$A:$A,'[9]november-2026'!$I:$I,0,0)</f>
        <v>0</v>
      </c>
      <c r="CT234">
        <f t="shared" si="668"/>
        <v>200</v>
      </c>
      <c r="CU234">
        <f t="shared" si="669"/>
        <v>45280</v>
      </c>
      <c r="CV234">
        <f>_xlfn.XLOOKUP(B234,'[10]december-2026'!$A:$A,'[10]december-2026'!$C:$C,0,0)</f>
        <v>36600</v>
      </c>
      <c r="CW234">
        <f t="shared" si="670"/>
        <v>6588</v>
      </c>
      <c r="CX234">
        <f t="shared" si="671"/>
        <v>4392</v>
      </c>
      <c r="CY234">
        <f>_xlfn.XLOOKUP(B234,'[10]december-2026'!$A:$A,'[10]december-2026'!$D:$D,0,0)</f>
        <v>400</v>
      </c>
      <c r="CZ234">
        <f>_xlfn.XLOOKUP(B234,'[10]december-2026'!$A:$A,'[10]december-2026'!$G:$G,0,0)</f>
        <v>500</v>
      </c>
      <c r="DA234">
        <f t="shared" si="672"/>
        <v>48480</v>
      </c>
      <c r="DB234">
        <f>_xlfn.XLOOKUP(B234,'[10]december-2026'!$A:$A,'[10]december-2026'!$H:$H,0,0)</f>
        <v>3000</v>
      </c>
      <c r="DC234">
        <f>_xlfn.XLOOKUP(B234,'[10]december-2026'!$A:$A,'[10]december-2026'!$I:$I,0,0)</f>
        <v>0</v>
      </c>
      <c r="DD234">
        <f t="shared" si="673"/>
        <v>200</v>
      </c>
      <c r="DE234">
        <f t="shared" si="674"/>
        <v>45280</v>
      </c>
      <c r="DF234">
        <f xml:space="preserve"> _xlfn.XLOOKUP(B234,
'[11]january-2027'!$A:$A,
'[11]january-2027'!$C:$C,
0,0)</f>
        <v>36600</v>
      </c>
      <c r="DG234">
        <f t="shared" si="675"/>
        <v>6588</v>
      </c>
      <c r="DH234">
        <f t="shared" si="676"/>
        <v>4392</v>
      </c>
      <c r="DI234">
        <f xml:space="preserve"> _xlfn.XLOOKUP(B234,
'[11]january-2027'!$A:$A,
'[11]january-2027'!$D:$D,
0,0)</f>
        <v>400</v>
      </c>
      <c r="DJ234">
        <f xml:space="preserve"> _xlfn.XLOOKUP(B234,
'[11]january-2027'!$A:$A,
'[11]january-2027'!$G:$G,
0,0)</f>
        <v>500</v>
      </c>
      <c r="DK234">
        <f t="shared" si="677"/>
        <v>48480</v>
      </c>
      <c r="DL234">
        <f xml:space="preserve"> _xlfn.XLOOKUP(B234,
'[11]january-2027'!$A:$A,
'[11]january-2027'!$H:$H,
0,0)</f>
        <v>3000</v>
      </c>
      <c r="DM234">
        <f xml:space="preserve"> _xlfn.XLOOKUP(B234,
'[11]january-2027'!$A:$A,
'[11]january-2027'!$I:$I,
0,0)</f>
        <v>0</v>
      </c>
      <c r="DN234">
        <f t="shared" si="678"/>
        <v>200</v>
      </c>
      <c r="DO234">
        <f t="shared" si="679"/>
        <v>45280</v>
      </c>
      <c r="DP234">
        <f xml:space="preserve"> _xlfn.XLOOKUP(B234,
'[12]february-2027'!$A:$A,
'[12]february-2027'!$C:$C,
0,0)</f>
        <v>36600</v>
      </c>
      <c r="DQ234">
        <f t="shared" si="680"/>
        <v>6588</v>
      </c>
      <c r="DR234">
        <f t="shared" si="681"/>
        <v>4392</v>
      </c>
      <c r="DS234">
        <f xml:space="preserve"> _xlfn.XLOOKUP(B234,
'[12]february-2027'!$A:$A,
'[12]february-2027'!$D:$D,
0,0)</f>
        <v>400</v>
      </c>
      <c r="DT234">
        <f xml:space="preserve"> _xlfn.XLOOKUP(B234,
'[12]february-2027'!$A:$A,
'[12]february-2027'!$G:$G,
0,0)</f>
        <v>500</v>
      </c>
      <c r="DU234">
        <f t="shared" si="682"/>
        <v>48480</v>
      </c>
      <c r="DV234">
        <f xml:space="preserve"> _xlfn.XLOOKUP(B234,
'[12]february-2027'!$A:$A,
'[12]february-2027'!$H:$H,
0,0)</f>
        <v>3000</v>
      </c>
      <c r="DW234">
        <f xml:space="preserve"> _xlfn.XLOOKUP(B234,
'[12]february-2027'!$A:$A,
'[12]february-2027'!$I:$I,
0,0)</f>
        <v>0</v>
      </c>
      <c r="DX234">
        <f t="shared" si="683"/>
        <v>200</v>
      </c>
      <c r="DY234">
        <f t="shared" si="684"/>
        <v>45280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85"/>
        <v>0</v>
      </c>
      <c r="EM234">
        <f t="shared" si="686"/>
        <v>583072</v>
      </c>
      <c r="EN234">
        <f t="shared" si="687"/>
        <v>2400</v>
      </c>
      <c r="EO234">
        <f t="shared" si="688"/>
        <v>50000</v>
      </c>
      <c r="EP234">
        <v>0</v>
      </c>
      <c r="EQ234">
        <f t="shared" si="690"/>
        <v>530672</v>
      </c>
      <c r="ER234">
        <f t="shared" si="691"/>
        <v>36000</v>
      </c>
      <c r="ES234">
        <f t="shared" si="692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693"/>
        <v>36000</v>
      </c>
      <c r="FE234">
        <f t="shared" si="694"/>
        <v>36000</v>
      </c>
      <c r="FF234">
        <f t="shared" si="695"/>
        <v>494672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>SUM(FG234:FM234)+(IF(F234="YES",50000,0))</f>
        <v>0</v>
      </c>
      <c r="FO234">
        <f t="shared" si="696"/>
        <v>494672</v>
      </c>
      <c r="FP234">
        <f t="shared" si="697"/>
        <v>12234</v>
      </c>
      <c r="FQ234">
        <f t="shared" si="698"/>
        <v>0</v>
      </c>
      <c r="FR234">
        <f t="shared" si="699"/>
        <v>12234</v>
      </c>
      <c r="FS234">
        <f t="shared" si="700"/>
        <v>0</v>
      </c>
      <c r="FT234">
        <f t="shared" si="701"/>
        <v>0</v>
      </c>
      <c r="FU234">
        <f t="shared" si="702"/>
        <v>0</v>
      </c>
      <c r="FV234">
        <v>0</v>
      </c>
      <c r="FW234">
        <f t="shared" si="703"/>
        <v>0</v>
      </c>
      <c r="FX234" t="b">
        <f t="shared" si="704"/>
        <v>1</v>
      </c>
      <c r="FY234">
        <f t="shared" ca="1" si="705"/>
        <v>623</v>
      </c>
      <c r="FZ234">
        <f t="shared" ca="1" si="706"/>
        <v>583695</v>
      </c>
      <c r="GA234">
        <f t="shared" si="707"/>
        <v>75000</v>
      </c>
      <c r="GB234">
        <f t="shared" ca="1" si="708"/>
        <v>508695</v>
      </c>
      <c r="GC234">
        <f t="shared" ca="1" si="709"/>
        <v>0</v>
      </c>
      <c r="GD234">
        <f t="shared" ca="1" si="710"/>
        <v>0</v>
      </c>
      <c r="GE234">
        <f t="shared" ca="1" si="711"/>
        <v>0</v>
      </c>
      <c r="GF234">
        <f t="shared" ca="1" si="712"/>
        <v>0</v>
      </c>
      <c r="GG234">
        <f t="shared" ca="1" si="713"/>
        <v>0</v>
      </c>
      <c r="GH234">
        <f t="shared" ca="1" si="714"/>
        <v>0</v>
      </c>
      <c r="GI234">
        <f ca="1">IF(GB234&gt;1200000,GB234-1200000-IF(F234="YES",50000,0)-GG234,0)</f>
        <v>0</v>
      </c>
      <c r="GJ234">
        <f t="shared" ca="1" si="715"/>
        <v>0</v>
      </c>
      <c r="GK234">
        <f t="shared" ca="1" si="716"/>
        <v>0</v>
      </c>
      <c r="GL234">
        <f t="shared" ca="1" si="717"/>
        <v>0</v>
      </c>
      <c r="GM234">
        <f t="shared" ca="1" si="718"/>
        <v>108695</v>
      </c>
      <c r="GN234">
        <f t="shared" ca="1" si="719"/>
        <v>5434.75</v>
      </c>
      <c r="GO234">
        <f t="shared" ca="1" si="720"/>
        <v>5435</v>
      </c>
      <c r="GP234">
        <f t="shared" ca="1" si="721"/>
        <v>0</v>
      </c>
      <c r="GQ234">
        <f t="shared" ca="1" si="722"/>
        <v>0</v>
      </c>
      <c r="GR234">
        <f t="shared" ca="1" si="723"/>
        <v>5435</v>
      </c>
      <c r="GS234">
        <f t="shared" ca="1" si="724"/>
        <v>0</v>
      </c>
      <c r="GT234" t="b">
        <f t="shared" ca="1" si="725"/>
        <v>0</v>
      </c>
      <c r="GU234">
        <f t="shared" ca="1" si="726"/>
        <v>0</v>
      </c>
      <c r="GV234">
        <f t="shared" ca="1" si="727"/>
        <v>5435</v>
      </c>
      <c r="GW234">
        <f t="shared" ca="1" si="728"/>
        <v>0</v>
      </c>
      <c r="GX234">
        <f t="shared" ca="1" si="729"/>
        <v>0</v>
      </c>
      <c r="GY234">
        <f t="shared" ca="1" si="730"/>
        <v>0</v>
      </c>
    </row>
    <row r="235" spans="1:207" x14ac:dyDescent="0.25">
      <c r="A235">
        <f>_xlfn.AGGREGATE(3,5,$B$2:B235)</f>
        <v>234</v>
      </c>
      <c r="B235" t="s">
        <v>563</v>
      </c>
      <c r="C235" t="s">
        <v>564</v>
      </c>
      <c r="D235" t="s">
        <v>807</v>
      </c>
      <c r="E235" t="s">
        <v>830</v>
      </c>
      <c r="F235" t="s">
        <v>952</v>
      </c>
      <c r="G235" t="s">
        <v>943</v>
      </c>
      <c r="H235">
        <f t="shared" si="625"/>
        <v>6800</v>
      </c>
      <c r="I235">
        <f>_xlfn.XLOOKUP(B235,'[1]march-2026'!$A:$A,'[1]march-2026'!$C:$C,0,0)</f>
        <v>35500</v>
      </c>
      <c r="J235">
        <f t="shared" si="689"/>
        <v>6390</v>
      </c>
      <c r="K235">
        <f t="shared" si="626"/>
        <v>4260</v>
      </c>
      <c r="L235">
        <f>_xlfn.XLOOKUP(B235,'[1]march-2026'!$A:$A,'[1]march-2026'!$D:$D,0,0)</f>
        <v>0</v>
      </c>
      <c r="M235">
        <f>_xlfn.XLOOKUP(B235,'[1]march-2026'!$A:$A,'[1]march-2026'!$G:$G,0,0)</f>
        <v>500</v>
      </c>
      <c r="N235">
        <f t="shared" si="627"/>
        <v>46650</v>
      </c>
      <c r="O235">
        <f>_xlfn.XLOOKUP(B235,'[1]march-2026'!$A:$A,'[1]march-2026'!$H:$H,0,0)</f>
        <v>3000</v>
      </c>
      <c r="P235">
        <f>_xlfn.XLOOKUP(B235,'[1]march-2026'!$A:$A,'[1]march-2026'!$I:$I,0,0)</f>
        <v>0</v>
      </c>
      <c r="Q235">
        <f t="shared" si="628"/>
        <v>200</v>
      </c>
      <c r="R235">
        <f t="shared" si="629"/>
        <v>43450</v>
      </c>
      <c r="S235">
        <f>_xlfn.XLOOKUP(B235,'[2]april-2026'!$A:$A,'[2]april-2026'!$C:$C,0,0)</f>
        <v>35500</v>
      </c>
      <c r="T235">
        <f t="shared" si="630"/>
        <v>6390</v>
      </c>
      <c r="U235">
        <f t="shared" si="631"/>
        <v>4260</v>
      </c>
      <c r="V235">
        <f>_xlfn.XLOOKUP(B235,'[2]april-2026'!$A:$A,'[2]april-2026'!$D:$D,0,0)</f>
        <v>0</v>
      </c>
      <c r="W235">
        <f>_xlfn.XLOOKUP(B235,'[2]april-2026'!$A:$A,'[2]april-2026'!$G:$G,0,0)</f>
        <v>500</v>
      </c>
      <c r="X235">
        <f t="shared" si="632"/>
        <v>46650</v>
      </c>
      <c r="Y235">
        <f>_xlfn.XLOOKUP(B235,'[2]april-2026'!$A:$A,'[2]april-2026'!$H:$H,0,0)</f>
        <v>3000</v>
      </c>
      <c r="Z235">
        <f>_xlfn.XLOOKUP(B235,'[2]april-2026'!$A:$A,'[2]april-2026'!$I:$I,0,0)</f>
        <v>0</v>
      </c>
      <c r="AA235">
        <f t="shared" si="633"/>
        <v>200</v>
      </c>
      <c r="AB235">
        <f t="shared" si="634"/>
        <v>43450</v>
      </c>
      <c r="AC235">
        <f>_xlfn.XLOOKUP(B235,'[3]may-2026'!$A:$A,'[3]may-2026'!$C:$C,0,0)</f>
        <v>35500</v>
      </c>
      <c r="AD235">
        <f t="shared" si="635"/>
        <v>6390</v>
      </c>
      <c r="AE235">
        <f t="shared" si="636"/>
        <v>4260</v>
      </c>
      <c r="AF235">
        <f>_xlfn.XLOOKUP(B235,'[3]may-2026'!$A:$A,'[3]may-2026'!$D:$D,0,0)</f>
        <v>0</v>
      </c>
      <c r="AG235">
        <f>_xlfn.XLOOKUP(B235,'[3]may-2026'!$A:$A,'[3]may-2026'!$G:$G,0,0)</f>
        <v>500</v>
      </c>
      <c r="AH235">
        <f t="shared" si="637"/>
        <v>46650</v>
      </c>
      <c r="AI235">
        <f>_xlfn.XLOOKUP(B235,'[3]may-2026'!$A:$A,'[3]may-2026'!$H:$H,0,0)</f>
        <v>3000</v>
      </c>
      <c r="AJ235">
        <f>_xlfn.XLOOKUP(B235,'[3]may-2026'!$A:$A,'[3]may-2026'!$I:$I,0,0)</f>
        <v>0</v>
      </c>
      <c r="AK235">
        <f t="shared" si="638"/>
        <v>200</v>
      </c>
      <c r="AL235">
        <f t="shared" si="639"/>
        <v>43450</v>
      </c>
      <c r="AM235">
        <f>_xlfn.XLOOKUP(B235,'[4]june-2026'!$A:$A,'[4]june-2026'!$C:$C,0,0)</f>
        <v>35500</v>
      </c>
      <c r="AN235">
        <f t="shared" si="640"/>
        <v>6390</v>
      </c>
      <c r="AO235">
        <f t="shared" si="641"/>
        <v>4260</v>
      </c>
      <c r="AP235">
        <f>_xlfn.XLOOKUP(B235,'[4]june-2026'!$A:$A,'[4]june-2026'!$D:$D,0,0)</f>
        <v>0</v>
      </c>
      <c r="AQ235">
        <f>_xlfn.XLOOKUP(B235,'[4]june-2026'!$A:$A,'[4]june-2026'!$G:$G,0,0)</f>
        <v>500</v>
      </c>
      <c r="AR235">
        <f t="shared" si="642"/>
        <v>46650</v>
      </c>
      <c r="AS235">
        <f>_xlfn.XLOOKUP(B235,'[4]june-2026'!$A:$A,'[4]june-2026'!$H:$H,0,0)</f>
        <v>3000</v>
      </c>
      <c r="AT235">
        <f>_xlfn.XLOOKUP(B235,'[4]june-2026'!$A:$A,'[4]june-2026'!$I:$I,0,0)</f>
        <v>0</v>
      </c>
      <c r="AU235">
        <f t="shared" si="643"/>
        <v>200</v>
      </c>
      <c r="AV235">
        <f t="shared" si="644"/>
        <v>43450</v>
      </c>
      <c r="AW235">
        <f>_xlfn.XLOOKUP(B235,'[5]july-2026'!$A:$A,'[5]july-2026'!$C:$C,0,0)</f>
        <v>36600</v>
      </c>
      <c r="AX235">
        <f t="shared" si="645"/>
        <v>6588</v>
      </c>
      <c r="AY235">
        <v>233</v>
      </c>
      <c r="AZ235">
        <f t="shared" si="646"/>
        <v>4392</v>
      </c>
      <c r="BA235">
        <f>_xlfn.XLOOKUP(B235,'[5]july-2026'!$A:$A,'[5]july-2026'!$D:$D,0,0)</f>
        <v>0</v>
      </c>
      <c r="BB235">
        <f>_xlfn.XLOOKUP(B235,'[5]july-2026'!$A:$A,'[5]july-2026'!$G:$G,0,0)</f>
        <v>500</v>
      </c>
      <c r="BC235">
        <f t="shared" si="647"/>
        <v>48313</v>
      </c>
      <c r="BD235">
        <f>_xlfn.XLOOKUP(B235,'[5]july-2026'!$A:$A,'[5]july-2026'!$H:$H,0,0)</f>
        <v>3000</v>
      </c>
      <c r="BE235">
        <f>_xlfn.XLOOKUP(B235,'[5]july-2026'!$A:$A,'[5]july-2026'!$I:$I,0,0)</f>
        <v>0</v>
      </c>
      <c r="BF235">
        <f t="shared" si="648"/>
        <v>200</v>
      </c>
      <c r="BG235">
        <f t="shared" si="649"/>
        <v>45113</v>
      </c>
      <c r="BH235">
        <f>_xlfn.XLOOKUP(B235,'[6]august-2026'!$A:$A,'[6]august-2026'!$C:$C,0,0)</f>
        <v>36600</v>
      </c>
      <c r="BI235">
        <f t="shared" si="650"/>
        <v>6588</v>
      </c>
      <c r="BJ235">
        <f t="shared" si="651"/>
        <v>4392</v>
      </c>
      <c r="BK235">
        <f>_xlfn.XLOOKUP(B235,'[6]august-2026'!$A:$A,'[6]august-2026'!$D:$D,0,0)</f>
        <v>0</v>
      </c>
      <c r="BL235">
        <f>_xlfn.XLOOKUP(B235,'[6]august-2026'!$A:$A,'[6]august-2026'!$G:$G,0,0)</f>
        <v>500</v>
      </c>
      <c r="BM235">
        <f t="shared" si="652"/>
        <v>48080</v>
      </c>
      <c r="BN235">
        <f>_xlfn.XLOOKUP(B235,'[6]august-2026'!$A:$A,'[6]august-2026'!$H:$H,0,0)</f>
        <v>3000</v>
      </c>
      <c r="BO235">
        <f>_xlfn.XLOOKUP(B235,'[6]august-2026'!$A:$A,'[6]august-2026'!$I:$I,0,0)</f>
        <v>0</v>
      </c>
      <c r="BP235">
        <f t="shared" si="653"/>
        <v>200</v>
      </c>
      <c r="BQ235">
        <f t="shared" si="654"/>
        <v>44880</v>
      </c>
      <c r="BR235">
        <f>_xlfn.XLOOKUP(B235,'[7]september-2026'!$A:$A,'[7]september-2026'!$C:$C,0,0)</f>
        <v>36600</v>
      </c>
      <c r="BS235">
        <f t="shared" si="655"/>
        <v>6588</v>
      </c>
      <c r="BT235">
        <f t="shared" si="656"/>
        <v>4392</v>
      </c>
      <c r="BU235">
        <f>_xlfn.XLOOKUP(B235,'[7]september-2026'!$A:$A,'[7]september-2026'!$D:$D,0,0)</f>
        <v>0</v>
      </c>
      <c r="BV235">
        <f>_xlfn.XLOOKUP(B235,'[7]september-2026'!$A:$A,'[7]september-2026'!$G:$G,0,0)</f>
        <v>500</v>
      </c>
      <c r="BW235">
        <f t="shared" si="657"/>
        <v>48080</v>
      </c>
      <c r="BX235">
        <f>_xlfn.XLOOKUP(B235,'[7]september-2026'!$A:$A,'[7]september-2026'!$H:$H,0,0)</f>
        <v>3000</v>
      </c>
      <c r="BY235">
        <f>_xlfn.XLOOKUP(B235,'[7]september-2026'!$A:$A,'[7]september-2026'!$I:$I,0,0)</f>
        <v>0</v>
      </c>
      <c r="BZ235">
        <f t="shared" si="658"/>
        <v>200</v>
      </c>
      <c r="CA235">
        <f t="shared" si="659"/>
        <v>44880</v>
      </c>
      <c r="CB235">
        <f>_xlfn.XLOOKUP(B235,'[8]october-2026'!$A:$A,'[8]october-2026'!$C:$C,0,0)</f>
        <v>36600</v>
      </c>
      <c r="CC235">
        <f t="shared" si="660"/>
        <v>6588</v>
      </c>
      <c r="CD235">
        <f t="shared" si="661"/>
        <v>4392</v>
      </c>
      <c r="CE235">
        <f>_xlfn.XLOOKUP(B235,'[8]october-2026'!$A:$A,'[8]october-2026'!$D:$D,0,0)</f>
        <v>0</v>
      </c>
      <c r="CF235">
        <f>_xlfn.XLOOKUP(B235,'[8]october-2026'!$A:$A,'[8]october-2026'!$G:$G,0,0)</f>
        <v>500</v>
      </c>
      <c r="CG235">
        <f t="shared" si="662"/>
        <v>48080</v>
      </c>
      <c r="CH235">
        <f>_xlfn.XLOOKUP(B235,'[8]october-2026'!$A:$A,'[8]october-2026'!$H:$H,0,0)</f>
        <v>3000</v>
      </c>
      <c r="CI235">
        <f>_xlfn.XLOOKUP(B235,'[8]october-2026'!$A:$A,'[8]october-2026'!$I:$I,0,0)</f>
        <v>0</v>
      </c>
      <c r="CJ235">
        <f t="shared" si="663"/>
        <v>200</v>
      </c>
      <c r="CK235">
        <f t="shared" si="664"/>
        <v>44880</v>
      </c>
      <c r="CL235">
        <f>_xlfn.XLOOKUP(B235,'[9]november-2026'!$A:$A,'[9]november-2026'!$C:$C,0,0)</f>
        <v>36600</v>
      </c>
      <c r="CM235">
        <f t="shared" si="665"/>
        <v>6588</v>
      </c>
      <c r="CN235">
        <f t="shared" si="666"/>
        <v>4392</v>
      </c>
      <c r="CO235">
        <f>_xlfn.XLOOKUP(B235,'[9]november-2026'!$A:$A,'[9]november-2026'!$D:$D,0,0)</f>
        <v>0</v>
      </c>
      <c r="CP235">
        <f>_xlfn.XLOOKUP(B235,'[9]november-2026'!$A:$A,'[9]november-2026'!$G:$G,0,0)</f>
        <v>500</v>
      </c>
      <c r="CQ235">
        <f t="shared" si="667"/>
        <v>48080</v>
      </c>
      <c r="CR235">
        <f>_xlfn.XLOOKUP(B235,'[9]november-2026'!$A:$A,'[9]november-2026'!$H:$H,0,0)</f>
        <v>3000</v>
      </c>
      <c r="CS235">
        <f>_xlfn.XLOOKUP(B235,'[9]november-2026'!$A:$A,'[9]november-2026'!$I:$I,0,0)</f>
        <v>0</v>
      </c>
      <c r="CT235">
        <f t="shared" si="668"/>
        <v>200</v>
      </c>
      <c r="CU235">
        <f t="shared" si="669"/>
        <v>44880</v>
      </c>
      <c r="CV235">
        <f>_xlfn.XLOOKUP(B235,'[10]december-2026'!$A:$A,'[10]december-2026'!$C:$C,0,0)</f>
        <v>36600</v>
      </c>
      <c r="CW235">
        <f t="shared" si="670"/>
        <v>6588</v>
      </c>
      <c r="CX235">
        <f t="shared" si="671"/>
        <v>4392</v>
      </c>
      <c r="CY235">
        <f>_xlfn.XLOOKUP(B235,'[10]december-2026'!$A:$A,'[10]december-2026'!$D:$D,0,0)</f>
        <v>0</v>
      </c>
      <c r="CZ235">
        <f>_xlfn.XLOOKUP(B235,'[10]december-2026'!$A:$A,'[10]december-2026'!$G:$G,0,0)</f>
        <v>500</v>
      </c>
      <c r="DA235">
        <f t="shared" si="672"/>
        <v>48080</v>
      </c>
      <c r="DB235">
        <f>_xlfn.XLOOKUP(B235,'[10]december-2026'!$A:$A,'[10]december-2026'!$H:$H,0,0)</f>
        <v>3000</v>
      </c>
      <c r="DC235">
        <f>_xlfn.XLOOKUP(B235,'[10]december-2026'!$A:$A,'[10]december-2026'!$I:$I,0,0)</f>
        <v>0</v>
      </c>
      <c r="DD235">
        <f t="shared" si="673"/>
        <v>200</v>
      </c>
      <c r="DE235">
        <f t="shared" si="674"/>
        <v>44880</v>
      </c>
      <c r="DF235">
        <f xml:space="preserve"> _xlfn.XLOOKUP(B235,
'[11]january-2027'!$A:$A,
'[11]january-2027'!$C:$C,
0,0)</f>
        <v>36600</v>
      </c>
      <c r="DG235">
        <f t="shared" si="675"/>
        <v>6588</v>
      </c>
      <c r="DH235">
        <f t="shared" si="676"/>
        <v>4392</v>
      </c>
      <c r="DI235">
        <f xml:space="preserve"> _xlfn.XLOOKUP(B235,
'[11]january-2027'!$A:$A,
'[11]january-2027'!$D:$D,
0,0)</f>
        <v>0</v>
      </c>
      <c r="DJ235">
        <f xml:space="preserve"> _xlfn.XLOOKUP(B235,
'[11]january-2027'!$A:$A,
'[11]january-2027'!$G:$G,
0,0)</f>
        <v>500</v>
      </c>
      <c r="DK235">
        <f t="shared" si="677"/>
        <v>48080</v>
      </c>
      <c r="DL235">
        <f xml:space="preserve"> _xlfn.XLOOKUP(B235,
'[11]january-2027'!$A:$A,
'[11]january-2027'!$H:$H,
0,0)</f>
        <v>3000</v>
      </c>
      <c r="DM235">
        <f xml:space="preserve"> _xlfn.XLOOKUP(B235,
'[11]january-2027'!$A:$A,
'[11]january-2027'!$I:$I,
0,0)</f>
        <v>0</v>
      </c>
      <c r="DN235">
        <f t="shared" si="678"/>
        <v>200</v>
      </c>
      <c r="DO235">
        <f t="shared" si="679"/>
        <v>44880</v>
      </c>
      <c r="DP235">
        <f xml:space="preserve"> _xlfn.XLOOKUP(B235,
'[12]february-2027'!$A:$A,
'[12]february-2027'!$C:$C,
0,0)</f>
        <v>36600</v>
      </c>
      <c r="DQ235">
        <f t="shared" si="680"/>
        <v>6588</v>
      </c>
      <c r="DR235">
        <f t="shared" si="681"/>
        <v>4392</v>
      </c>
      <c r="DS235">
        <f xml:space="preserve"> _xlfn.XLOOKUP(B235,
'[12]february-2027'!$A:$A,
'[12]february-2027'!$D:$D,
0,0)</f>
        <v>0</v>
      </c>
      <c r="DT235">
        <f xml:space="preserve"> _xlfn.XLOOKUP(B235,
'[12]february-2027'!$A:$A,
'[12]february-2027'!$G:$G,
0,0)</f>
        <v>500</v>
      </c>
      <c r="DU235">
        <f t="shared" si="682"/>
        <v>48080</v>
      </c>
      <c r="DV235">
        <f xml:space="preserve"> _xlfn.XLOOKUP(B235,
'[12]february-2027'!$A:$A,
'[12]february-2027'!$H:$H,
0,0)</f>
        <v>3000</v>
      </c>
      <c r="DW235">
        <f xml:space="preserve"> _xlfn.XLOOKUP(B235,
'[12]february-2027'!$A:$A,
'[12]february-2027'!$I:$I,
0,0)</f>
        <v>0</v>
      </c>
      <c r="DX235">
        <f t="shared" si="683"/>
        <v>200</v>
      </c>
      <c r="DY235">
        <f t="shared" si="684"/>
        <v>44880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85"/>
        <v>0</v>
      </c>
      <c r="EM235">
        <f t="shared" si="686"/>
        <v>578273</v>
      </c>
      <c r="EN235">
        <f t="shared" si="687"/>
        <v>2400</v>
      </c>
      <c r="EO235">
        <f t="shared" si="688"/>
        <v>50000</v>
      </c>
      <c r="EP235">
        <v>0</v>
      </c>
      <c r="EQ235">
        <f t="shared" si="690"/>
        <v>525873</v>
      </c>
      <c r="ER235">
        <f t="shared" si="691"/>
        <v>36000</v>
      </c>
      <c r="ES235">
        <f t="shared" si="692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693"/>
        <v>36000</v>
      </c>
      <c r="FE235">
        <f t="shared" si="694"/>
        <v>36000</v>
      </c>
      <c r="FF235">
        <f t="shared" si="695"/>
        <v>489873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>SUM(FG235:FM235)+(IF(F235="YES",50000,0))</f>
        <v>0</v>
      </c>
      <c r="FO235">
        <f t="shared" si="696"/>
        <v>489873</v>
      </c>
      <c r="FP235">
        <f t="shared" si="697"/>
        <v>11994</v>
      </c>
      <c r="FQ235">
        <f t="shared" si="698"/>
        <v>0</v>
      </c>
      <c r="FR235">
        <f t="shared" si="699"/>
        <v>11994</v>
      </c>
      <c r="FS235">
        <f t="shared" si="700"/>
        <v>0</v>
      </c>
      <c r="FT235">
        <f t="shared" si="701"/>
        <v>0</v>
      </c>
      <c r="FU235">
        <f t="shared" si="702"/>
        <v>0</v>
      </c>
      <c r="FV235">
        <v>0</v>
      </c>
      <c r="FW235">
        <f t="shared" si="703"/>
        <v>0</v>
      </c>
      <c r="FX235" t="b">
        <f t="shared" si="704"/>
        <v>1</v>
      </c>
      <c r="FY235">
        <f t="shared" ca="1" si="705"/>
        <v>721</v>
      </c>
      <c r="FZ235">
        <f t="shared" ca="1" si="706"/>
        <v>578994</v>
      </c>
      <c r="GA235">
        <f t="shared" si="707"/>
        <v>75000</v>
      </c>
      <c r="GB235">
        <f t="shared" ca="1" si="708"/>
        <v>503994</v>
      </c>
      <c r="GC235">
        <f t="shared" ca="1" si="709"/>
        <v>0</v>
      </c>
      <c r="GD235">
        <f t="shared" ca="1" si="710"/>
        <v>0</v>
      </c>
      <c r="GE235">
        <f t="shared" ca="1" si="711"/>
        <v>0</v>
      </c>
      <c r="GF235">
        <f t="shared" ca="1" si="712"/>
        <v>0</v>
      </c>
      <c r="GG235">
        <f t="shared" ca="1" si="713"/>
        <v>0</v>
      </c>
      <c r="GH235">
        <f t="shared" ca="1" si="714"/>
        <v>0</v>
      </c>
      <c r="GI235">
        <f ca="1">IF(GB235&gt;1200000,GB235-1200000-IF(F235="YES",50000,0)-GG235,0)</f>
        <v>0</v>
      </c>
      <c r="GJ235">
        <f t="shared" ca="1" si="715"/>
        <v>0</v>
      </c>
      <c r="GK235">
        <f t="shared" ca="1" si="716"/>
        <v>0</v>
      </c>
      <c r="GL235">
        <f t="shared" ca="1" si="717"/>
        <v>0</v>
      </c>
      <c r="GM235">
        <f t="shared" ca="1" si="718"/>
        <v>103994</v>
      </c>
      <c r="GN235">
        <f t="shared" ca="1" si="719"/>
        <v>5199.7000000000007</v>
      </c>
      <c r="GO235">
        <f t="shared" ca="1" si="720"/>
        <v>5200</v>
      </c>
      <c r="GP235">
        <f t="shared" ca="1" si="721"/>
        <v>0</v>
      </c>
      <c r="GQ235">
        <f t="shared" ca="1" si="722"/>
        <v>0</v>
      </c>
      <c r="GR235">
        <f t="shared" ca="1" si="723"/>
        <v>5200</v>
      </c>
      <c r="GS235">
        <f t="shared" ca="1" si="724"/>
        <v>0</v>
      </c>
      <c r="GT235" t="b">
        <f t="shared" ca="1" si="725"/>
        <v>0</v>
      </c>
      <c r="GU235">
        <f t="shared" ca="1" si="726"/>
        <v>0</v>
      </c>
      <c r="GV235">
        <f t="shared" ca="1" si="727"/>
        <v>5200</v>
      </c>
      <c r="GW235">
        <f t="shared" ca="1" si="728"/>
        <v>0</v>
      </c>
      <c r="GX235">
        <f t="shared" ca="1" si="729"/>
        <v>0</v>
      </c>
      <c r="GY235">
        <f t="shared" ca="1" si="730"/>
        <v>0</v>
      </c>
    </row>
    <row r="236" spans="1:207" x14ac:dyDescent="0.25">
      <c r="A236">
        <f>_xlfn.AGGREGATE(3,5,$B$2:B236)</f>
        <v>235</v>
      </c>
      <c r="B236" t="s">
        <v>565</v>
      </c>
      <c r="C236" t="s">
        <v>566</v>
      </c>
      <c r="D236" t="s">
        <v>808</v>
      </c>
      <c r="E236" t="s">
        <v>832</v>
      </c>
      <c r="F236" t="s">
        <v>952</v>
      </c>
      <c r="G236" t="s">
        <v>891</v>
      </c>
      <c r="H236">
        <f t="shared" si="625"/>
        <v>6800</v>
      </c>
      <c r="I236">
        <f>_xlfn.XLOOKUP(B236,'[1]march-2026'!$A:$A,'[1]march-2026'!$C:$C,0,0)</f>
        <v>35500</v>
      </c>
      <c r="J236">
        <f t="shared" si="689"/>
        <v>6390</v>
      </c>
      <c r="K236">
        <f t="shared" si="626"/>
        <v>4260</v>
      </c>
      <c r="L236">
        <f>_xlfn.XLOOKUP(B236,'[1]march-2026'!$A:$A,'[1]march-2026'!$D:$D,0,0)</f>
        <v>400</v>
      </c>
      <c r="M236">
        <f>_xlfn.XLOOKUP(B236,'[1]march-2026'!$A:$A,'[1]march-2026'!$G:$G,0,0)</f>
        <v>500</v>
      </c>
      <c r="N236">
        <f t="shared" si="627"/>
        <v>47050</v>
      </c>
      <c r="O236">
        <f>_xlfn.XLOOKUP(B236,'[1]march-2026'!$A:$A,'[1]march-2026'!$H:$H,0,0)</f>
        <v>2500</v>
      </c>
      <c r="P236">
        <f>_xlfn.XLOOKUP(B236,'[1]march-2026'!$A:$A,'[1]march-2026'!$I:$I,0,0)</f>
        <v>0</v>
      </c>
      <c r="Q236">
        <f t="shared" si="628"/>
        <v>200</v>
      </c>
      <c r="R236">
        <f t="shared" si="629"/>
        <v>44350</v>
      </c>
      <c r="S236">
        <f>_xlfn.XLOOKUP(B236,'[2]april-2026'!$A:$A,'[2]april-2026'!$C:$C,0,0)</f>
        <v>35500</v>
      </c>
      <c r="T236">
        <f t="shared" si="630"/>
        <v>6390</v>
      </c>
      <c r="U236">
        <f t="shared" si="631"/>
        <v>4260</v>
      </c>
      <c r="V236">
        <f>_xlfn.XLOOKUP(B236,'[2]april-2026'!$A:$A,'[2]april-2026'!$D:$D,0,0)</f>
        <v>400</v>
      </c>
      <c r="W236">
        <f>_xlfn.XLOOKUP(B236,'[2]april-2026'!$A:$A,'[2]april-2026'!$G:$G,0,0)</f>
        <v>500</v>
      </c>
      <c r="X236">
        <f t="shared" si="632"/>
        <v>47050</v>
      </c>
      <c r="Y236">
        <f>_xlfn.XLOOKUP(B236,'[2]april-2026'!$A:$A,'[2]april-2026'!$H:$H,0,0)</f>
        <v>2500</v>
      </c>
      <c r="Z236">
        <f>_xlfn.XLOOKUP(B236,'[2]april-2026'!$A:$A,'[2]april-2026'!$I:$I,0,0)</f>
        <v>0</v>
      </c>
      <c r="AA236">
        <f t="shared" si="633"/>
        <v>200</v>
      </c>
      <c r="AB236">
        <f t="shared" si="634"/>
        <v>44350</v>
      </c>
      <c r="AC236">
        <f>_xlfn.XLOOKUP(B236,'[3]may-2026'!$A:$A,'[3]may-2026'!$C:$C,0,0)</f>
        <v>35500</v>
      </c>
      <c r="AD236">
        <f t="shared" si="635"/>
        <v>6390</v>
      </c>
      <c r="AE236">
        <f t="shared" si="636"/>
        <v>4260</v>
      </c>
      <c r="AF236">
        <f>_xlfn.XLOOKUP(B236,'[3]may-2026'!$A:$A,'[3]may-2026'!$D:$D,0,0)</f>
        <v>400</v>
      </c>
      <c r="AG236">
        <f>_xlfn.XLOOKUP(B236,'[3]may-2026'!$A:$A,'[3]may-2026'!$G:$G,0,0)</f>
        <v>500</v>
      </c>
      <c r="AH236">
        <f t="shared" si="637"/>
        <v>47050</v>
      </c>
      <c r="AI236">
        <f>_xlfn.XLOOKUP(B236,'[3]may-2026'!$A:$A,'[3]may-2026'!$H:$H,0,0)</f>
        <v>2500</v>
      </c>
      <c r="AJ236">
        <f>_xlfn.XLOOKUP(B236,'[3]may-2026'!$A:$A,'[3]may-2026'!$I:$I,0,0)</f>
        <v>0</v>
      </c>
      <c r="AK236">
        <f t="shared" si="638"/>
        <v>200</v>
      </c>
      <c r="AL236">
        <f t="shared" si="639"/>
        <v>44350</v>
      </c>
      <c r="AM236">
        <f>_xlfn.XLOOKUP(B236,'[4]june-2026'!$A:$A,'[4]june-2026'!$C:$C,0,0)</f>
        <v>35500</v>
      </c>
      <c r="AN236">
        <f t="shared" si="640"/>
        <v>6390</v>
      </c>
      <c r="AO236">
        <f t="shared" si="641"/>
        <v>4260</v>
      </c>
      <c r="AP236">
        <f>_xlfn.XLOOKUP(B236,'[4]june-2026'!$A:$A,'[4]june-2026'!$D:$D,0,0)</f>
        <v>400</v>
      </c>
      <c r="AQ236">
        <f>_xlfn.XLOOKUP(B236,'[4]june-2026'!$A:$A,'[4]june-2026'!$G:$G,0,0)</f>
        <v>500</v>
      </c>
      <c r="AR236">
        <f t="shared" si="642"/>
        <v>47050</v>
      </c>
      <c r="AS236">
        <f>_xlfn.XLOOKUP(B236,'[4]june-2026'!$A:$A,'[4]june-2026'!$H:$H,0,0)</f>
        <v>2500</v>
      </c>
      <c r="AT236">
        <f>_xlfn.XLOOKUP(B236,'[4]june-2026'!$A:$A,'[4]june-2026'!$I:$I,0,0)</f>
        <v>0</v>
      </c>
      <c r="AU236">
        <f t="shared" si="643"/>
        <v>200</v>
      </c>
      <c r="AV236">
        <f t="shared" si="644"/>
        <v>44350</v>
      </c>
      <c r="AW236">
        <f>_xlfn.XLOOKUP(B236,'[5]july-2026'!$A:$A,'[5]july-2026'!$C:$C,0,0)</f>
        <v>36600</v>
      </c>
      <c r="AX236">
        <f t="shared" si="645"/>
        <v>6588</v>
      </c>
      <c r="AY236">
        <v>234</v>
      </c>
      <c r="AZ236">
        <f t="shared" si="646"/>
        <v>4392</v>
      </c>
      <c r="BA236">
        <f>_xlfn.XLOOKUP(B236,'[5]july-2026'!$A:$A,'[5]july-2026'!$D:$D,0,0)</f>
        <v>400</v>
      </c>
      <c r="BB236">
        <f>_xlfn.XLOOKUP(B236,'[5]july-2026'!$A:$A,'[5]july-2026'!$G:$G,0,0)</f>
        <v>500</v>
      </c>
      <c r="BC236">
        <f t="shared" si="647"/>
        <v>48714</v>
      </c>
      <c r="BD236">
        <f>_xlfn.XLOOKUP(B236,'[5]july-2026'!$A:$A,'[5]july-2026'!$H:$H,0,0)</f>
        <v>2500</v>
      </c>
      <c r="BE236">
        <f>_xlfn.XLOOKUP(B236,'[5]july-2026'!$A:$A,'[5]july-2026'!$I:$I,0,0)</f>
        <v>0</v>
      </c>
      <c r="BF236">
        <f t="shared" si="648"/>
        <v>200</v>
      </c>
      <c r="BG236">
        <f t="shared" si="649"/>
        <v>46014</v>
      </c>
      <c r="BH236">
        <f>_xlfn.XLOOKUP(B236,'[6]august-2026'!$A:$A,'[6]august-2026'!$C:$C,0,0)</f>
        <v>36600</v>
      </c>
      <c r="BI236">
        <f t="shared" si="650"/>
        <v>6588</v>
      </c>
      <c r="BJ236">
        <f t="shared" si="651"/>
        <v>4392</v>
      </c>
      <c r="BK236">
        <f>_xlfn.XLOOKUP(B236,'[6]august-2026'!$A:$A,'[6]august-2026'!$D:$D,0,0)</f>
        <v>400</v>
      </c>
      <c r="BL236">
        <f>_xlfn.XLOOKUP(B236,'[6]august-2026'!$A:$A,'[6]august-2026'!$G:$G,0,0)</f>
        <v>500</v>
      </c>
      <c r="BM236">
        <f t="shared" si="652"/>
        <v>48480</v>
      </c>
      <c r="BN236">
        <f>_xlfn.XLOOKUP(B236,'[6]august-2026'!$A:$A,'[6]august-2026'!$H:$H,0,0)</f>
        <v>2500</v>
      </c>
      <c r="BO236">
        <f>_xlfn.XLOOKUP(B236,'[6]august-2026'!$A:$A,'[6]august-2026'!$I:$I,0,0)</f>
        <v>0</v>
      </c>
      <c r="BP236">
        <f t="shared" si="653"/>
        <v>200</v>
      </c>
      <c r="BQ236">
        <f t="shared" si="654"/>
        <v>45780</v>
      </c>
      <c r="BR236">
        <f>_xlfn.XLOOKUP(B236,'[7]september-2026'!$A:$A,'[7]september-2026'!$C:$C,0,0)</f>
        <v>36600</v>
      </c>
      <c r="BS236">
        <f t="shared" si="655"/>
        <v>6588</v>
      </c>
      <c r="BT236">
        <f t="shared" si="656"/>
        <v>4392</v>
      </c>
      <c r="BU236">
        <f>_xlfn.XLOOKUP(B236,'[7]september-2026'!$A:$A,'[7]september-2026'!$D:$D,0,0)</f>
        <v>400</v>
      </c>
      <c r="BV236">
        <f>_xlfn.XLOOKUP(B236,'[7]september-2026'!$A:$A,'[7]september-2026'!$G:$G,0,0)</f>
        <v>500</v>
      </c>
      <c r="BW236">
        <f t="shared" si="657"/>
        <v>48480</v>
      </c>
      <c r="BX236">
        <f>_xlfn.XLOOKUP(B236,'[7]september-2026'!$A:$A,'[7]september-2026'!$H:$H,0,0)</f>
        <v>2500</v>
      </c>
      <c r="BY236">
        <f>_xlfn.XLOOKUP(B236,'[7]september-2026'!$A:$A,'[7]september-2026'!$I:$I,0,0)</f>
        <v>0</v>
      </c>
      <c r="BZ236">
        <f t="shared" si="658"/>
        <v>200</v>
      </c>
      <c r="CA236">
        <f t="shared" si="659"/>
        <v>45780</v>
      </c>
      <c r="CB236">
        <f>_xlfn.XLOOKUP(B236,'[8]october-2026'!$A:$A,'[8]october-2026'!$C:$C,0,0)</f>
        <v>36600</v>
      </c>
      <c r="CC236">
        <f t="shared" si="660"/>
        <v>6588</v>
      </c>
      <c r="CD236">
        <f t="shared" si="661"/>
        <v>4392</v>
      </c>
      <c r="CE236">
        <f>_xlfn.XLOOKUP(B236,'[8]october-2026'!$A:$A,'[8]october-2026'!$D:$D,0,0)</f>
        <v>400</v>
      </c>
      <c r="CF236">
        <f>_xlfn.XLOOKUP(B236,'[8]october-2026'!$A:$A,'[8]october-2026'!$G:$G,0,0)</f>
        <v>500</v>
      </c>
      <c r="CG236">
        <f t="shared" si="662"/>
        <v>48480</v>
      </c>
      <c r="CH236">
        <f>_xlfn.XLOOKUP(B236,'[8]october-2026'!$A:$A,'[8]october-2026'!$H:$H,0,0)</f>
        <v>2500</v>
      </c>
      <c r="CI236">
        <f>_xlfn.XLOOKUP(B236,'[8]october-2026'!$A:$A,'[8]october-2026'!$I:$I,0,0)</f>
        <v>0</v>
      </c>
      <c r="CJ236">
        <f t="shared" si="663"/>
        <v>200</v>
      </c>
      <c r="CK236">
        <f t="shared" si="664"/>
        <v>45780</v>
      </c>
      <c r="CL236">
        <f>_xlfn.XLOOKUP(B236,'[9]november-2026'!$A:$A,'[9]november-2026'!$C:$C,0,0)</f>
        <v>36600</v>
      </c>
      <c r="CM236">
        <f t="shared" si="665"/>
        <v>6588</v>
      </c>
      <c r="CN236">
        <f t="shared" si="666"/>
        <v>4392</v>
      </c>
      <c r="CO236">
        <f>_xlfn.XLOOKUP(B236,'[9]november-2026'!$A:$A,'[9]november-2026'!$D:$D,0,0)</f>
        <v>400</v>
      </c>
      <c r="CP236">
        <f>_xlfn.XLOOKUP(B236,'[9]november-2026'!$A:$A,'[9]november-2026'!$G:$G,0,0)</f>
        <v>500</v>
      </c>
      <c r="CQ236">
        <f t="shared" si="667"/>
        <v>48480</v>
      </c>
      <c r="CR236">
        <f>_xlfn.XLOOKUP(B236,'[9]november-2026'!$A:$A,'[9]november-2026'!$H:$H,0,0)</f>
        <v>2500</v>
      </c>
      <c r="CS236">
        <f>_xlfn.XLOOKUP(B236,'[9]november-2026'!$A:$A,'[9]november-2026'!$I:$I,0,0)</f>
        <v>0</v>
      </c>
      <c r="CT236">
        <f t="shared" si="668"/>
        <v>200</v>
      </c>
      <c r="CU236">
        <f t="shared" si="669"/>
        <v>45780</v>
      </c>
      <c r="CV236">
        <f>_xlfn.XLOOKUP(B236,'[10]december-2026'!$A:$A,'[10]december-2026'!$C:$C,0,0)</f>
        <v>36600</v>
      </c>
      <c r="CW236">
        <f t="shared" si="670"/>
        <v>6588</v>
      </c>
      <c r="CX236">
        <f t="shared" si="671"/>
        <v>4392</v>
      </c>
      <c r="CY236">
        <f>_xlfn.XLOOKUP(B236,'[10]december-2026'!$A:$A,'[10]december-2026'!$D:$D,0,0)</f>
        <v>400</v>
      </c>
      <c r="CZ236">
        <f>_xlfn.XLOOKUP(B236,'[10]december-2026'!$A:$A,'[10]december-2026'!$G:$G,0,0)</f>
        <v>500</v>
      </c>
      <c r="DA236">
        <f t="shared" si="672"/>
        <v>48480</v>
      </c>
      <c r="DB236">
        <f>_xlfn.XLOOKUP(B236,'[10]december-2026'!$A:$A,'[10]december-2026'!$H:$H,0,0)</f>
        <v>2500</v>
      </c>
      <c r="DC236">
        <f>_xlfn.XLOOKUP(B236,'[10]december-2026'!$A:$A,'[10]december-2026'!$I:$I,0,0)</f>
        <v>0</v>
      </c>
      <c r="DD236">
        <f t="shared" si="673"/>
        <v>200</v>
      </c>
      <c r="DE236">
        <f t="shared" si="674"/>
        <v>45780</v>
      </c>
      <c r="DF236">
        <f xml:space="preserve"> _xlfn.XLOOKUP(B236,
'[11]january-2027'!$A:$A,
'[11]january-2027'!$C:$C,
0,0)</f>
        <v>36600</v>
      </c>
      <c r="DG236">
        <f t="shared" si="675"/>
        <v>6588</v>
      </c>
      <c r="DH236">
        <f t="shared" si="676"/>
        <v>4392</v>
      </c>
      <c r="DI236">
        <f xml:space="preserve"> _xlfn.XLOOKUP(B236,
'[11]january-2027'!$A:$A,
'[11]january-2027'!$D:$D,
0,0)</f>
        <v>400</v>
      </c>
      <c r="DJ236">
        <f xml:space="preserve"> _xlfn.XLOOKUP(B236,
'[11]january-2027'!$A:$A,
'[11]january-2027'!$G:$G,
0,0)</f>
        <v>500</v>
      </c>
      <c r="DK236">
        <f t="shared" si="677"/>
        <v>48480</v>
      </c>
      <c r="DL236">
        <f xml:space="preserve"> _xlfn.XLOOKUP(B236,
'[11]january-2027'!$A:$A,
'[11]january-2027'!$H:$H,
0,0)</f>
        <v>2500</v>
      </c>
      <c r="DM236">
        <f xml:space="preserve"> _xlfn.XLOOKUP(B236,
'[11]january-2027'!$A:$A,
'[11]january-2027'!$I:$I,
0,0)</f>
        <v>0</v>
      </c>
      <c r="DN236">
        <f t="shared" si="678"/>
        <v>200</v>
      </c>
      <c r="DO236">
        <f t="shared" si="679"/>
        <v>45780</v>
      </c>
      <c r="DP236">
        <f xml:space="preserve"> _xlfn.XLOOKUP(B236,
'[12]february-2027'!$A:$A,
'[12]february-2027'!$C:$C,
0,0)</f>
        <v>36600</v>
      </c>
      <c r="DQ236">
        <f t="shared" si="680"/>
        <v>6588</v>
      </c>
      <c r="DR236">
        <f t="shared" si="681"/>
        <v>4392</v>
      </c>
      <c r="DS236">
        <f xml:space="preserve"> _xlfn.XLOOKUP(B236,
'[12]february-2027'!$A:$A,
'[12]february-2027'!$D:$D,
0,0)</f>
        <v>400</v>
      </c>
      <c r="DT236">
        <f xml:space="preserve"> _xlfn.XLOOKUP(B236,
'[12]february-2027'!$A:$A,
'[12]february-2027'!$G:$G,
0,0)</f>
        <v>500</v>
      </c>
      <c r="DU236">
        <f t="shared" si="682"/>
        <v>48480</v>
      </c>
      <c r="DV236">
        <f xml:space="preserve"> _xlfn.XLOOKUP(B236,
'[12]february-2027'!$A:$A,
'[12]february-2027'!$H:$H,
0,0)</f>
        <v>2500</v>
      </c>
      <c r="DW236">
        <f xml:space="preserve"> _xlfn.XLOOKUP(B236,
'[12]february-2027'!$A:$A,
'[12]february-2027'!$I:$I,
0,0)</f>
        <v>0</v>
      </c>
      <c r="DX236">
        <f t="shared" si="683"/>
        <v>200</v>
      </c>
      <c r="DY236">
        <f t="shared" si="684"/>
        <v>45780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85"/>
        <v>0</v>
      </c>
      <c r="EM236">
        <f t="shared" si="686"/>
        <v>583074</v>
      </c>
      <c r="EN236">
        <f t="shared" si="687"/>
        <v>2400</v>
      </c>
      <c r="EO236">
        <f t="shared" si="688"/>
        <v>50000</v>
      </c>
      <c r="EP236">
        <v>0</v>
      </c>
      <c r="EQ236">
        <f t="shared" si="690"/>
        <v>530674</v>
      </c>
      <c r="ER236">
        <f t="shared" si="691"/>
        <v>30000</v>
      </c>
      <c r="ES236">
        <f t="shared" si="692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693"/>
        <v>30000</v>
      </c>
      <c r="FE236">
        <f t="shared" si="694"/>
        <v>30000</v>
      </c>
      <c r="FF236">
        <f t="shared" si="695"/>
        <v>500674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>SUM(FG236:FM236)+(IF(F236="YES",50000,0))</f>
        <v>0</v>
      </c>
      <c r="FO236">
        <f t="shared" si="696"/>
        <v>500674</v>
      </c>
      <c r="FP236">
        <f t="shared" si="697"/>
        <v>12500</v>
      </c>
      <c r="FQ236">
        <f t="shared" si="698"/>
        <v>135</v>
      </c>
      <c r="FR236">
        <f t="shared" si="699"/>
        <v>12635</v>
      </c>
      <c r="FS236">
        <f t="shared" si="700"/>
        <v>12635</v>
      </c>
      <c r="FT236">
        <f t="shared" si="701"/>
        <v>505.40000000000003</v>
      </c>
      <c r="FU236">
        <f t="shared" si="702"/>
        <v>13140</v>
      </c>
      <c r="FV236">
        <v>0</v>
      </c>
      <c r="FW236">
        <f t="shared" si="703"/>
        <v>13140</v>
      </c>
      <c r="FX236" t="b">
        <f t="shared" si="704"/>
        <v>1</v>
      </c>
      <c r="FY236">
        <f t="shared" ca="1" si="705"/>
        <v>918</v>
      </c>
      <c r="FZ236">
        <f t="shared" ca="1" si="706"/>
        <v>583992</v>
      </c>
      <c r="GA236">
        <f t="shared" si="707"/>
        <v>75000</v>
      </c>
      <c r="GB236">
        <f t="shared" ca="1" si="708"/>
        <v>508992</v>
      </c>
      <c r="GC236">
        <f t="shared" ca="1" si="709"/>
        <v>0</v>
      </c>
      <c r="GD236">
        <f t="shared" ca="1" si="710"/>
        <v>0</v>
      </c>
      <c r="GE236">
        <f t="shared" ca="1" si="711"/>
        <v>0</v>
      </c>
      <c r="GF236">
        <f t="shared" ca="1" si="712"/>
        <v>0</v>
      </c>
      <c r="GG236">
        <f t="shared" ca="1" si="713"/>
        <v>0</v>
      </c>
      <c r="GH236">
        <f t="shared" ca="1" si="714"/>
        <v>0</v>
      </c>
      <c r="GI236">
        <f ca="1">IF(GB236&gt;1200000,GB236-1200000-IF(F236="YES",50000,0)-GG236,0)</f>
        <v>0</v>
      </c>
      <c r="GJ236">
        <f t="shared" ca="1" si="715"/>
        <v>0</v>
      </c>
      <c r="GK236">
        <f t="shared" ca="1" si="716"/>
        <v>0</v>
      </c>
      <c r="GL236">
        <f t="shared" ca="1" si="717"/>
        <v>0</v>
      </c>
      <c r="GM236">
        <f t="shared" ca="1" si="718"/>
        <v>108992</v>
      </c>
      <c r="GN236">
        <f t="shared" ca="1" si="719"/>
        <v>5449.6</v>
      </c>
      <c r="GO236">
        <f t="shared" ca="1" si="720"/>
        <v>5450</v>
      </c>
      <c r="GP236">
        <f t="shared" ca="1" si="721"/>
        <v>0</v>
      </c>
      <c r="GQ236">
        <f t="shared" ca="1" si="722"/>
        <v>0</v>
      </c>
      <c r="GR236">
        <f t="shared" ca="1" si="723"/>
        <v>5450</v>
      </c>
      <c r="GS236">
        <f t="shared" ca="1" si="724"/>
        <v>0</v>
      </c>
      <c r="GT236" t="b">
        <f t="shared" ca="1" si="725"/>
        <v>0</v>
      </c>
      <c r="GU236">
        <f t="shared" ca="1" si="726"/>
        <v>0</v>
      </c>
      <c r="GV236">
        <f t="shared" ca="1" si="727"/>
        <v>5450</v>
      </c>
      <c r="GW236">
        <f t="shared" ca="1" si="728"/>
        <v>0</v>
      </c>
      <c r="GX236">
        <f t="shared" ca="1" si="729"/>
        <v>0</v>
      </c>
      <c r="GY236">
        <f t="shared" ca="1" si="730"/>
        <v>0</v>
      </c>
    </row>
    <row r="237" spans="1:207" x14ac:dyDescent="0.25">
      <c r="A237">
        <f>_xlfn.AGGREGATE(3,5,$B$2:B237)</f>
        <v>236</v>
      </c>
      <c r="B237" t="s">
        <v>567</v>
      </c>
      <c r="C237" t="s">
        <v>568</v>
      </c>
      <c r="D237" t="s">
        <v>808</v>
      </c>
      <c r="E237" t="s">
        <v>830</v>
      </c>
      <c r="F237" t="s">
        <v>952</v>
      </c>
      <c r="G237" t="s">
        <v>922</v>
      </c>
      <c r="H237">
        <f t="shared" si="625"/>
        <v>6800</v>
      </c>
      <c r="I237">
        <f>_xlfn.XLOOKUP(B237,'[1]march-2026'!$A:$A,'[1]march-2026'!$C:$C,0,0)</f>
        <v>34500</v>
      </c>
      <c r="J237">
        <f t="shared" si="689"/>
        <v>6210</v>
      </c>
      <c r="K237">
        <f t="shared" si="626"/>
        <v>4140</v>
      </c>
      <c r="L237">
        <f>_xlfn.XLOOKUP(B237,'[1]march-2026'!$A:$A,'[1]march-2026'!$D:$D,0,0)</f>
        <v>0</v>
      </c>
      <c r="M237">
        <f>_xlfn.XLOOKUP(B237,'[1]march-2026'!$A:$A,'[1]march-2026'!$G:$G,0,0)</f>
        <v>500</v>
      </c>
      <c r="N237">
        <f t="shared" si="627"/>
        <v>45350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28"/>
        <v>200</v>
      </c>
      <c r="R237">
        <f t="shared" si="629"/>
        <v>42650</v>
      </c>
      <c r="S237">
        <f>_xlfn.XLOOKUP(B237,'[2]april-2026'!$A:$A,'[2]april-2026'!$C:$C,0,0)</f>
        <v>34500</v>
      </c>
      <c r="T237">
        <f t="shared" si="630"/>
        <v>6210</v>
      </c>
      <c r="U237">
        <f t="shared" si="631"/>
        <v>4140</v>
      </c>
      <c r="V237">
        <f>_xlfn.XLOOKUP(B237,'[2]april-2026'!$A:$A,'[2]april-2026'!$D:$D,0,0)</f>
        <v>0</v>
      </c>
      <c r="W237">
        <f>_xlfn.XLOOKUP(B237,'[2]april-2026'!$A:$A,'[2]april-2026'!$G:$G,0,0)</f>
        <v>500</v>
      </c>
      <c r="X237">
        <f t="shared" si="632"/>
        <v>45350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33"/>
        <v>200</v>
      </c>
      <c r="AB237">
        <f t="shared" si="634"/>
        <v>42650</v>
      </c>
      <c r="AC237">
        <f>_xlfn.XLOOKUP(B237,'[3]may-2026'!$A:$A,'[3]may-2026'!$C:$C,0,0)</f>
        <v>34500</v>
      </c>
      <c r="AD237">
        <f t="shared" si="635"/>
        <v>6210</v>
      </c>
      <c r="AE237">
        <f t="shared" si="636"/>
        <v>4140</v>
      </c>
      <c r="AF237">
        <f>_xlfn.XLOOKUP(B237,'[3]may-2026'!$A:$A,'[3]may-2026'!$D:$D,0,0)</f>
        <v>0</v>
      </c>
      <c r="AG237">
        <f>_xlfn.XLOOKUP(B237,'[3]may-2026'!$A:$A,'[3]may-2026'!$G:$G,0,0)</f>
        <v>500</v>
      </c>
      <c r="AH237">
        <f t="shared" si="637"/>
        <v>45350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38"/>
        <v>200</v>
      </c>
      <c r="AL237">
        <f t="shared" si="639"/>
        <v>42650</v>
      </c>
      <c r="AM237">
        <f>_xlfn.XLOOKUP(B237,'[4]june-2026'!$A:$A,'[4]june-2026'!$C:$C,0,0)</f>
        <v>34500</v>
      </c>
      <c r="AN237">
        <f t="shared" si="640"/>
        <v>6210</v>
      </c>
      <c r="AO237">
        <f t="shared" si="641"/>
        <v>4140</v>
      </c>
      <c r="AP237">
        <f>_xlfn.XLOOKUP(B237,'[4]june-2026'!$A:$A,'[4]june-2026'!$D:$D,0,0)</f>
        <v>0</v>
      </c>
      <c r="AQ237">
        <f>_xlfn.XLOOKUP(B237,'[4]june-2026'!$A:$A,'[4]june-2026'!$G:$G,0,0)</f>
        <v>500</v>
      </c>
      <c r="AR237">
        <f t="shared" si="642"/>
        <v>45350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43"/>
        <v>200</v>
      </c>
      <c r="AV237">
        <f t="shared" si="644"/>
        <v>42650</v>
      </c>
      <c r="AW237">
        <f>_xlfn.XLOOKUP(B237,'[5]july-2026'!$A:$A,'[5]july-2026'!$C:$C,0,0)</f>
        <v>35500</v>
      </c>
      <c r="AX237">
        <f t="shared" si="645"/>
        <v>6390</v>
      </c>
      <c r="AY237">
        <v>235</v>
      </c>
      <c r="AZ237">
        <f t="shared" si="646"/>
        <v>4260</v>
      </c>
      <c r="BA237">
        <f>_xlfn.XLOOKUP(B237,'[5]july-2026'!$A:$A,'[5]july-2026'!$D:$D,0,0)</f>
        <v>0</v>
      </c>
      <c r="BB237">
        <f>_xlfn.XLOOKUP(B237,'[5]july-2026'!$A:$A,'[5]july-2026'!$G:$G,0,0)</f>
        <v>500</v>
      </c>
      <c r="BC237">
        <f t="shared" si="647"/>
        <v>46885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48"/>
        <v>200</v>
      </c>
      <c r="BG237">
        <f t="shared" si="649"/>
        <v>44185</v>
      </c>
      <c r="BH237">
        <f>_xlfn.XLOOKUP(B237,'[6]august-2026'!$A:$A,'[6]august-2026'!$C:$C,0,0)</f>
        <v>35500</v>
      </c>
      <c r="BI237">
        <f t="shared" si="650"/>
        <v>6390</v>
      </c>
      <c r="BJ237">
        <f t="shared" si="651"/>
        <v>4260</v>
      </c>
      <c r="BK237">
        <f>_xlfn.XLOOKUP(B237,'[6]august-2026'!$A:$A,'[6]august-2026'!$D:$D,0,0)</f>
        <v>0</v>
      </c>
      <c r="BL237">
        <f>_xlfn.XLOOKUP(B237,'[6]august-2026'!$A:$A,'[6]august-2026'!$G:$G,0,0)</f>
        <v>500</v>
      </c>
      <c r="BM237">
        <f t="shared" si="652"/>
        <v>46650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53"/>
        <v>200</v>
      </c>
      <c r="BQ237">
        <f t="shared" si="654"/>
        <v>43950</v>
      </c>
      <c r="BR237">
        <f>_xlfn.XLOOKUP(B237,'[7]september-2026'!$A:$A,'[7]september-2026'!$C:$C,0,0)</f>
        <v>35500</v>
      </c>
      <c r="BS237">
        <f t="shared" si="655"/>
        <v>6390</v>
      </c>
      <c r="BT237">
        <f t="shared" si="656"/>
        <v>4260</v>
      </c>
      <c r="BU237">
        <f>_xlfn.XLOOKUP(B237,'[7]september-2026'!$A:$A,'[7]september-2026'!$D:$D,0,0)</f>
        <v>0</v>
      </c>
      <c r="BV237">
        <f>_xlfn.XLOOKUP(B237,'[7]september-2026'!$A:$A,'[7]september-2026'!$G:$G,0,0)</f>
        <v>500</v>
      </c>
      <c r="BW237">
        <f t="shared" si="657"/>
        <v>46650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58"/>
        <v>200</v>
      </c>
      <c r="CA237">
        <f t="shared" si="659"/>
        <v>43950</v>
      </c>
      <c r="CB237">
        <f>_xlfn.XLOOKUP(B237,'[8]october-2026'!$A:$A,'[8]october-2026'!$C:$C,0,0)</f>
        <v>35500</v>
      </c>
      <c r="CC237">
        <f t="shared" si="660"/>
        <v>6390</v>
      </c>
      <c r="CD237">
        <f t="shared" si="661"/>
        <v>4260</v>
      </c>
      <c r="CE237">
        <f>_xlfn.XLOOKUP(B237,'[8]october-2026'!$A:$A,'[8]october-2026'!$D:$D,0,0)</f>
        <v>0</v>
      </c>
      <c r="CF237">
        <f>_xlfn.XLOOKUP(B237,'[8]october-2026'!$A:$A,'[8]october-2026'!$G:$G,0,0)</f>
        <v>500</v>
      </c>
      <c r="CG237">
        <f t="shared" si="662"/>
        <v>46650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63"/>
        <v>200</v>
      </c>
      <c r="CK237">
        <f t="shared" si="664"/>
        <v>43950</v>
      </c>
      <c r="CL237">
        <f>_xlfn.XLOOKUP(B237,'[9]november-2026'!$A:$A,'[9]november-2026'!$C:$C,0,0)</f>
        <v>35500</v>
      </c>
      <c r="CM237">
        <f t="shared" si="665"/>
        <v>6390</v>
      </c>
      <c r="CN237">
        <f t="shared" si="666"/>
        <v>4260</v>
      </c>
      <c r="CO237">
        <f>_xlfn.XLOOKUP(B237,'[9]november-2026'!$A:$A,'[9]november-2026'!$D:$D,0,0)</f>
        <v>0</v>
      </c>
      <c r="CP237">
        <f>_xlfn.XLOOKUP(B237,'[9]november-2026'!$A:$A,'[9]november-2026'!$G:$G,0,0)</f>
        <v>500</v>
      </c>
      <c r="CQ237">
        <f t="shared" si="667"/>
        <v>46650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68"/>
        <v>200</v>
      </c>
      <c r="CU237">
        <f t="shared" si="669"/>
        <v>43950</v>
      </c>
      <c r="CV237">
        <f>_xlfn.XLOOKUP(B237,'[10]december-2026'!$A:$A,'[10]december-2026'!$C:$C,0,0)</f>
        <v>35500</v>
      </c>
      <c r="CW237">
        <f t="shared" si="670"/>
        <v>6390</v>
      </c>
      <c r="CX237">
        <f t="shared" si="671"/>
        <v>4260</v>
      </c>
      <c r="CY237">
        <f>_xlfn.XLOOKUP(B237,'[10]december-2026'!$A:$A,'[10]december-2026'!$D:$D,0,0)</f>
        <v>0</v>
      </c>
      <c r="CZ237">
        <f>_xlfn.XLOOKUP(B237,'[10]december-2026'!$A:$A,'[10]december-2026'!$G:$G,0,0)</f>
        <v>500</v>
      </c>
      <c r="DA237">
        <f t="shared" si="672"/>
        <v>46650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73"/>
        <v>200</v>
      </c>
      <c r="DE237">
        <f t="shared" si="674"/>
        <v>43950</v>
      </c>
      <c r="DF237">
        <f xml:space="preserve"> _xlfn.XLOOKUP(B237,
'[11]january-2027'!$A:$A,
'[11]january-2027'!$C:$C,
0,0)</f>
        <v>35500</v>
      </c>
      <c r="DG237">
        <f t="shared" si="675"/>
        <v>6390</v>
      </c>
      <c r="DH237">
        <f t="shared" si="676"/>
        <v>4260</v>
      </c>
      <c r="DI237">
        <f xml:space="preserve"> _xlfn.XLOOKUP(B237,
'[11]january-2027'!$A:$A,
'[11]january-2027'!$D:$D,
0,0)</f>
        <v>0</v>
      </c>
      <c r="DJ237">
        <f xml:space="preserve"> _xlfn.XLOOKUP(B237,
'[11]january-2027'!$A:$A,
'[11]january-2027'!$G:$G,
0,0)</f>
        <v>500</v>
      </c>
      <c r="DK237">
        <f t="shared" si="677"/>
        <v>46650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78"/>
        <v>200</v>
      </c>
      <c r="DO237">
        <f t="shared" si="679"/>
        <v>43950</v>
      </c>
      <c r="DP237">
        <f xml:space="preserve"> _xlfn.XLOOKUP(B237,
'[12]february-2027'!$A:$A,
'[12]february-2027'!$C:$C,
0,0)</f>
        <v>35500</v>
      </c>
      <c r="DQ237">
        <f t="shared" si="680"/>
        <v>6390</v>
      </c>
      <c r="DR237">
        <f t="shared" si="681"/>
        <v>4260</v>
      </c>
      <c r="DS237">
        <f xml:space="preserve"> _xlfn.XLOOKUP(B237,
'[12]february-2027'!$A:$A,
'[12]february-2027'!$D:$D,
0,0)</f>
        <v>0</v>
      </c>
      <c r="DT237">
        <f xml:space="preserve"> _xlfn.XLOOKUP(B237,
'[12]february-2027'!$A:$A,
'[12]february-2027'!$G:$G,
0,0)</f>
        <v>500</v>
      </c>
      <c r="DU237">
        <f t="shared" si="682"/>
        <v>46650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83"/>
        <v>200</v>
      </c>
      <c r="DY237">
        <f t="shared" si="684"/>
        <v>43950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85"/>
        <v>0</v>
      </c>
      <c r="EM237">
        <f t="shared" si="686"/>
        <v>561635</v>
      </c>
      <c r="EN237">
        <f t="shared" si="687"/>
        <v>2400</v>
      </c>
      <c r="EO237">
        <f t="shared" si="688"/>
        <v>50000</v>
      </c>
      <c r="EP237">
        <v>0</v>
      </c>
      <c r="EQ237">
        <f t="shared" si="690"/>
        <v>509235</v>
      </c>
      <c r="ER237">
        <f t="shared" si="691"/>
        <v>30000</v>
      </c>
      <c r="ES237">
        <f t="shared" si="692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693"/>
        <v>30000</v>
      </c>
      <c r="FE237">
        <f t="shared" si="694"/>
        <v>30000</v>
      </c>
      <c r="FF237">
        <f t="shared" si="695"/>
        <v>479235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>SUM(FG237:FM237)+(IF(F237="YES",50000,0))</f>
        <v>0</v>
      </c>
      <c r="FO237">
        <f t="shared" si="696"/>
        <v>479235</v>
      </c>
      <c r="FP237">
        <f t="shared" si="697"/>
        <v>11462</v>
      </c>
      <c r="FQ237">
        <f t="shared" si="698"/>
        <v>0</v>
      </c>
      <c r="FR237">
        <f t="shared" si="699"/>
        <v>11462</v>
      </c>
      <c r="FS237">
        <f t="shared" si="700"/>
        <v>0</v>
      </c>
      <c r="FT237">
        <f t="shared" si="701"/>
        <v>0</v>
      </c>
      <c r="FU237">
        <f t="shared" si="702"/>
        <v>0</v>
      </c>
      <c r="FV237">
        <v>0</v>
      </c>
      <c r="FW237">
        <f t="shared" si="703"/>
        <v>0</v>
      </c>
      <c r="FX237" t="b">
        <f t="shared" si="704"/>
        <v>1</v>
      </c>
      <c r="FY237">
        <f t="shared" ca="1" si="705"/>
        <v>559</v>
      </c>
      <c r="FZ237">
        <f t="shared" ca="1" si="706"/>
        <v>562194</v>
      </c>
      <c r="GA237">
        <f t="shared" si="707"/>
        <v>75000</v>
      </c>
      <c r="GB237">
        <f t="shared" ca="1" si="708"/>
        <v>487194</v>
      </c>
      <c r="GC237">
        <f t="shared" ca="1" si="709"/>
        <v>0</v>
      </c>
      <c r="GD237">
        <f t="shared" ca="1" si="710"/>
        <v>0</v>
      </c>
      <c r="GE237">
        <f t="shared" ca="1" si="711"/>
        <v>0</v>
      </c>
      <c r="GF237">
        <f t="shared" ca="1" si="712"/>
        <v>0</v>
      </c>
      <c r="GG237">
        <f t="shared" ca="1" si="713"/>
        <v>0</v>
      </c>
      <c r="GH237">
        <f t="shared" ca="1" si="714"/>
        <v>0</v>
      </c>
      <c r="GI237">
        <f ca="1">IF(GB237&gt;1200000,GB237-1200000-IF(F237="YES",50000,0)-GG237,0)</f>
        <v>0</v>
      </c>
      <c r="GJ237">
        <f t="shared" ca="1" si="715"/>
        <v>0</v>
      </c>
      <c r="GK237">
        <f t="shared" ca="1" si="716"/>
        <v>0</v>
      </c>
      <c r="GL237">
        <f t="shared" ca="1" si="717"/>
        <v>0</v>
      </c>
      <c r="GM237">
        <f t="shared" ca="1" si="718"/>
        <v>87194</v>
      </c>
      <c r="GN237">
        <f t="shared" ca="1" si="719"/>
        <v>4359.7</v>
      </c>
      <c r="GO237">
        <f t="shared" ca="1" si="720"/>
        <v>4360</v>
      </c>
      <c r="GP237">
        <f t="shared" ca="1" si="721"/>
        <v>0</v>
      </c>
      <c r="GQ237">
        <f t="shared" ca="1" si="722"/>
        <v>0</v>
      </c>
      <c r="GR237">
        <f t="shared" ca="1" si="723"/>
        <v>4360</v>
      </c>
      <c r="GS237">
        <f t="shared" ca="1" si="724"/>
        <v>0</v>
      </c>
      <c r="GT237" t="b">
        <f t="shared" ca="1" si="725"/>
        <v>0</v>
      </c>
      <c r="GU237">
        <f t="shared" ca="1" si="726"/>
        <v>0</v>
      </c>
      <c r="GV237">
        <f t="shared" ca="1" si="727"/>
        <v>4360</v>
      </c>
      <c r="GW237">
        <f t="shared" ca="1" si="728"/>
        <v>0</v>
      </c>
      <c r="GX237">
        <f t="shared" ca="1" si="729"/>
        <v>0</v>
      </c>
      <c r="GY237">
        <f t="shared" ca="1" si="730"/>
        <v>0</v>
      </c>
    </row>
    <row r="238" spans="1:207" x14ac:dyDescent="0.25">
      <c r="A238">
        <f>_xlfn.AGGREGATE(3,5,$B$2:B238)</f>
        <v>237</v>
      </c>
      <c r="B238" t="s">
        <v>569</v>
      </c>
      <c r="C238" t="s">
        <v>570</v>
      </c>
      <c r="D238" t="s">
        <v>808</v>
      </c>
      <c r="E238" t="s">
        <v>830</v>
      </c>
      <c r="F238" t="s">
        <v>952</v>
      </c>
      <c r="G238" t="s">
        <v>880</v>
      </c>
      <c r="H238">
        <f t="shared" si="625"/>
        <v>6800</v>
      </c>
      <c r="I238">
        <f>_xlfn.XLOOKUP(B238,'[1]march-2026'!$A:$A,'[1]march-2026'!$C:$C,0,0)</f>
        <v>29800</v>
      </c>
      <c r="J238">
        <f t="shared" si="689"/>
        <v>5364</v>
      </c>
      <c r="K238">
        <f t="shared" si="626"/>
        <v>3576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27"/>
        <v>39240</v>
      </c>
      <c r="O238">
        <f>_xlfn.XLOOKUP(B238,'[1]march-2026'!$A:$A,'[1]march-2026'!$H:$H,0,0)</f>
        <v>2000</v>
      </c>
      <c r="P238">
        <f>_xlfn.XLOOKUP(B238,'[1]march-2026'!$A:$A,'[1]march-2026'!$I:$I,0,0)</f>
        <v>0</v>
      </c>
      <c r="Q238">
        <f t="shared" si="628"/>
        <v>150</v>
      </c>
      <c r="R238">
        <f t="shared" si="629"/>
        <v>37090</v>
      </c>
      <c r="S238">
        <f>_xlfn.XLOOKUP(B238,'[2]april-2026'!$A:$A,'[2]april-2026'!$C:$C,0,0)</f>
        <v>29800</v>
      </c>
      <c r="T238">
        <f t="shared" si="630"/>
        <v>5364</v>
      </c>
      <c r="U238">
        <f t="shared" si="631"/>
        <v>3576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32"/>
        <v>39240</v>
      </c>
      <c r="Y238">
        <f>_xlfn.XLOOKUP(B238,'[2]april-2026'!$A:$A,'[2]april-2026'!$H:$H,0,0)</f>
        <v>2000</v>
      </c>
      <c r="Z238">
        <f>_xlfn.XLOOKUP(B238,'[2]april-2026'!$A:$A,'[2]april-2026'!$I:$I,0,0)</f>
        <v>0</v>
      </c>
      <c r="AA238">
        <f t="shared" si="633"/>
        <v>150</v>
      </c>
      <c r="AB238">
        <f t="shared" si="634"/>
        <v>37090</v>
      </c>
      <c r="AC238">
        <f>_xlfn.XLOOKUP(B238,'[3]may-2026'!$A:$A,'[3]may-2026'!$C:$C,0,0)</f>
        <v>29800</v>
      </c>
      <c r="AD238">
        <f t="shared" si="635"/>
        <v>5364</v>
      </c>
      <c r="AE238">
        <f t="shared" si="636"/>
        <v>3576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37"/>
        <v>39240</v>
      </c>
      <c r="AI238">
        <f>_xlfn.XLOOKUP(B238,'[3]may-2026'!$A:$A,'[3]may-2026'!$H:$H,0,0)</f>
        <v>2000</v>
      </c>
      <c r="AJ238">
        <f>_xlfn.XLOOKUP(B238,'[3]may-2026'!$A:$A,'[3]may-2026'!$I:$I,0,0)</f>
        <v>0</v>
      </c>
      <c r="AK238">
        <f t="shared" si="638"/>
        <v>150</v>
      </c>
      <c r="AL238">
        <f t="shared" si="639"/>
        <v>37090</v>
      </c>
      <c r="AM238">
        <f>_xlfn.XLOOKUP(B238,'[4]june-2026'!$A:$A,'[4]june-2026'!$C:$C,0,0)</f>
        <v>29800</v>
      </c>
      <c r="AN238">
        <f t="shared" si="640"/>
        <v>5364</v>
      </c>
      <c r="AO238">
        <f t="shared" si="641"/>
        <v>3576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42"/>
        <v>39240</v>
      </c>
      <c r="AS238">
        <f>_xlfn.XLOOKUP(B238,'[4]june-2026'!$A:$A,'[4]june-2026'!$H:$H,0,0)</f>
        <v>2000</v>
      </c>
      <c r="AT238">
        <f>_xlfn.XLOOKUP(B238,'[4]june-2026'!$A:$A,'[4]june-2026'!$I:$I,0,0)</f>
        <v>0</v>
      </c>
      <c r="AU238">
        <f t="shared" si="643"/>
        <v>150</v>
      </c>
      <c r="AV238">
        <f t="shared" si="644"/>
        <v>37090</v>
      </c>
      <c r="AW238">
        <f>_xlfn.XLOOKUP(B238,'[5]july-2026'!$A:$A,'[5]july-2026'!$C:$C,0,0)</f>
        <v>30700</v>
      </c>
      <c r="AX238">
        <f t="shared" si="645"/>
        <v>5526</v>
      </c>
      <c r="AY238">
        <v>236</v>
      </c>
      <c r="AZ238">
        <f t="shared" si="646"/>
        <v>3684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47"/>
        <v>40646</v>
      </c>
      <c r="BD238">
        <f>_xlfn.XLOOKUP(B238,'[5]july-2026'!$A:$A,'[5]july-2026'!$H:$H,0,0)</f>
        <v>2000</v>
      </c>
      <c r="BE238">
        <f>_xlfn.XLOOKUP(B238,'[5]july-2026'!$A:$A,'[5]july-2026'!$I:$I,0,0)</f>
        <v>0</v>
      </c>
      <c r="BF238">
        <f t="shared" si="648"/>
        <v>200</v>
      </c>
      <c r="BG238">
        <f t="shared" si="649"/>
        <v>38446</v>
      </c>
      <c r="BH238">
        <f>_xlfn.XLOOKUP(B238,'[6]august-2026'!$A:$A,'[6]august-2026'!$C:$C,0,0)</f>
        <v>30700</v>
      </c>
      <c r="BI238">
        <f t="shared" si="650"/>
        <v>5526</v>
      </c>
      <c r="BJ238">
        <f t="shared" si="651"/>
        <v>3684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52"/>
        <v>40410</v>
      </c>
      <c r="BN238">
        <f>_xlfn.XLOOKUP(B238,'[6]august-2026'!$A:$A,'[6]august-2026'!$H:$H,0,0)</f>
        <v>2000</v>
      </c>
      <c r="BO238">
        <f>_xlfn.XLOOKUP(B238,'[6]august-2026'!$A:$A,'[6]august-2026'!$I:$I,0,0)</f>
        <v>0</v>
      </c>
      <c r="BP238">
        <f t="shared" si="653"/>
        <v>200</v>
      </c>
      <c r="BQ238">
        <f t="shared" si="654"/>
        <v>38210</v>
      </c>
      <c r="BR238">
        <f>_xlfn.XLOOKUP(B238,'[7]september-2026'!$A:$A,'[7]september-2026'!$C:$C,0,0)</f>
        <v>30700</v>
      </c>
      <c r="BS238">
        <f t="shared" si="655"/>
        <v>5526</v>
      </c>
      <c r="BT238">
        <f t="shared" si="656"/>
        <v>3684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57"/>
        <v>40410</v>
      </c>
      <c r="BX238">
        <f>_xlfn.XLOOKUP(B238,'[7]september-2026'!$A:$A,'[7]september-2026'!$H:$H,0,0)</f>
        <v>2000</v>
      </c>
      <c r="BY238">
        <f>_xlfn.XLOOKUP(B238,'[7]september-2026'!$A:$A,'[7]september-2026'!$I:$I,0,0)</f>
        <v>0</v>
      </c>
      <c r="BZ238">
        <f t="shared" si="658"/>
        <v>200</v>
      </c>
      <c r="CA238">
        <f t="shared" si="659"/>
        <v>38210</v>
      </c>
      <c r="CB238">
        <f>_xlfn.XLOOKUP(B238,'[8]october-2026'!$A:$A,'[8]october-2026'!$C:$C,0,0)</f>
        <v>30700</v>
      </c>
      <c r="CC238">
        <f t="shared" si="660"/>
        <v>5526</v>
      </c>
      <c r="CD238">
        <f t="shared" si="661"/>
        <v>3684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62"/>
        <v>40410</v>
      </c>
      <c r="CH238">
        <f>_xlfn.XLOOKUP(B238,'[8]october-2026'!$A:$A,'[8]october-2026'!$H:$H,0,0)</f>
        <v>2000</v>
      </c>
      <c r="CI238">
        <f>_xlfn.XLOOKUP(B238,'[8]october-2026'!$A:$A,'[8]october-2026'!$I:$I,0,0)</f>
        <v>0</v>
      </c>
      <c r="CJ238">
        <f t="shared" si="663"/>
        <v>200</v>
      </c>
      <c r="CK238">
        <f t="shared" si="664"/>
        <v>38210</v>
      </c>
      <c r="CL238">
        <f>_xlfn.XLOOKUP(B238,'[9]november-2026'!$A:$A,'[9]november-2026'!$C:$C,0,0)</f>
        <v>30700</v>
      </c>
      <c r="CM238">
        <f t="shared" si="665"/>
        <v>5526</v>
      </c>
      <c r="CN238">
        <f t="shared" si="666"/>
        <v>3684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67"/>
        <v>40410</v>
      </c>
      <c r="CR238">
        <f>_xlfn.XLOOKUP(B238,'[9]november-2026'!$A:$A,'[9]november-2026'!$H:$H,0,0)</f>
        <v>2000</v>
      </c>
      <c r="CS238">
        <f>_xlfn.XLOOKUP(B238,'[9]november-2026'!$A:$A,'[9]november-2026'!$I:$I,0,0)</f>
        <v>0</v>
      </c>
      <c r="CT238">
        <f t="shared" si="668"/>
        <v>200</v>
      </c>
      <c r="CU238">
        <f t="shared" si="669"/>
        <v>38210</v>
      </c>
      <c r="CV238">
        <f>_xlfn.XLOOKUP(B238,'[10]december-2026'!$A:$A,'[10]december-2026'!$C:$C,0,0)</f>
        <v>30700</v>
      </c>
      <c r="CW238">
        <f t="shared" si="670"/>
        <v>5526</v>
      </c>
      <c r="CX238">
        <f t="shared" si="671"/>
        <v>3684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72"/>
        <v>40410</v>
      </c>
      <c r="DB238">
        <f>_xlfn.XLOOKUP(B238,'[10]december-2026'!$A:$A,'[10]december-2026'!$H:$H,0,0)</f>
        <v>2000</v>
      </c>
      <c r="DC238">
        <f>_xlfn.XLOOKUP(B238,'[10]december-2026'!$A:$A,'[10]december-2026'!$I:$I,0,0)</f>
        <v>0</v>
      </c>
      <c r="DD238">
        <f t="shared" si="673"/>
        <v>200</v>
      </c>
      <c r="DE238">
        <f t="shared" si="674"/>
        <v>38210</v>
      </c>
      <c r="DF238">
        <f xml:space="preserve"> _xlfn.XLOOKUP(B238,
'[11]january-2027'!$A:$A,
'[11]january-2027'!$C:$C,
0,0)</f>
        <v>30700</v>
      </c>
      <c r="DG238">
        <f t="shared" si="675"/>
        <v>5526</v>
      </c>
      <c r="DH238">
        <f t="shared" si="676"/>
        <v>3684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77"/>
        <v>40410</v>
      </c>
      <c r="DL238">
        <f xml:space="preserve"> _xlfn.XLOOKUP(B238,
'[11]january-2027'!$A:$A,
'[11]january-2027'!$H:$H,
0,0)</f>
        <v>2000</v>
      </c>
      <c r="DM238">
        <f xml:space="preserve"> _xlfn.XLOOKUP(B238,
'[11]january-2027'!$A:$A,
'[11]january-2027'!$I:$I,
0,0)</f>
        <v>0</v>
      </c>
      <c r="DN238">
        <f t="shared" si="678"/>
        <v>200</v>
      </c>
      <c r="DO238">
        <f t="shared" si="679"/>
        <v>38210</v>
      </c>
      <c r="DP238">
        <f xml:space="preserve"> _xlfn.XLOOKUP(B238,
'[12]february-2027'!$A:$A,
'[12]february-2027'!$C:$C,
0,0)</f>
        <v>30700</v>
      </c>
      <c r="DQ238">
        <f t="shared" si="680"/>
        <v>5526</v>
      </c>
      <c r="DR238">
        <f t="shared" si="681"/>
        <v>3684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82"/>
        <v>40410</v>
      </c>
      <c r="DV238">
        <f xml:space="preserve"> _xlfn.XLOOKUP(B238,
'[12]february-2027'!$A:$A,
'[12]february-2027'!$H:$H,
0,0)</f>
        <v>2000</v>
      </c>
      <c r="DW238">
        <f xml:space="preserve"> _xlfn.XLOOKUP(B238,
'[12]february-2027'!$A:$A,
'[12]february-2027'!$I:$I,
0,0)</f>
        <v>0</v>
      </c>
      <c r="DX238">
        <f t="shared" si="683"/>
        <v>200</v>
      </c>
      <c r="DY238">
        <f t="shared" si="684"/>
        <v>38210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85"/>
        <v>0</v>
      </c>
      <c r="EM238">
        <f t="shared" si="686"/>
        <v>487276</v>
      </c>
      <c r="EN238">
        <f t="shared" si="687"/>
        <v>2200</v>
      </c>
      <c r="EO238">
        <f t="shared" si="688"/>
        <v>50000</v>
      </c>
      <c r="EP238">
        <v>0</v>
      </c>
      <c r="EQ238">
        <f t="shared" si="690"/>
        <v>435076</v>
      </c>
      <c r="ER238">
        <f t="shared" si="691"/>
        <v>24000</v>
      </c>
      <c r="ES238">
        <f t="shared" si="692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693"/>
        <v>24000</v>
      </c>
      <c r="FE238">
        <f t="shared" si="694"/>
        <v>24000</v>
      </c>
      <c r="FF238">
        <f t="shared" si="695"/>
        <v>411076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>SUM(FG238:FM238)+(IF(F238="YES",50000,0))</f>
        <v>0</v>
      </c>
      <c r="FO238">
        <f t="shared" si="696"/>
        <v>411076</v>
      </c>
      <c r="FP238">
        <f t="shared" si="697"/>
        <v>8054</v>
      </c>
      <c r="FQ238">
        <f t="shared" si="698"/>
        <v>0</v>
      </c>
      <c r="FR238">
        <f t="shared" si="699"/>
        <v>8054</v>
      </c>
      <c r="FS238">
        <f t="shared" si="700"/>
        <v>0</v>
      </c>
      <c r="FT238">
        <f t="shared" si="701"/>
        <v>0</v>
      </c>
      <c r="FU238">
        <f t="shared" si="702"/>
        <v>0</v>
      </c>
      <c r="FV238">
        <v>0</v>
      </c>
      <c r="FW238">
        <f t="shared" si="703"/>
        <v>0</v>
      </c>
      <c r="FX238" t="b">
        <f t="shared" si="704"/>
        <v>0</v>
      </c>
      <c r="FY238">
        <f t="shared" ca="1" si="705"/>
        <v>2657</v>
      </c>
      <c r="FZ238">
        <f t="shared" ca="1" si="706"/>
        <v>489933</v>
      </c>
      <c r="GA238">
        <f t="shared" si="707"/>
        <v>75000</v>
      </c>
      <c r="GB238">
        <f t="shared" ca="1" si="708"/>
        <v>414933</v>
      </c>
      <c r="GC238">
        <f t="shared" ca="1" si="709"/>
        <v>0</v>
      </c>
      <c r="GD238">
        <f t="shared" ca="1" si="710"/>
        <v>0</v>
      </c>
      <c r="GE238">
        <f t="shared" ca="1" si="711"/>
        <v>0</v>
      </c>
      <c r="GF238">
        <f t="shared" ca="1" si="712"/>
        <v>0</v>
      </c>
      <c r="GG238">
        <f t="shared" ca="1" si="713"/>
        <v>0</v>
      </c>
      <c r="GH238">
        <f t="shared" ca="1" si="714"/>
        <v>0</v>
      </c>
      <c r="GI238">
        <f ca="1">IF(GB238&gt;1200000,GB238-1200000-IF(F238="YES",50000,0)-GG238,0)</f>
        <v>0</v>
      </c>
      <c r="GJ238">
        <f t="shared" ca="1" si="715"/>
        <v>0</v>
      </c>
      <c r="GK238">
        <f t="shared" ca="1" si="716"/>
        <v>0</v>
      </c>
      <c r="GL238">
        <f t="shared" ca="1" si="717"/>
        <v>0</v>
      </c>
      <c r="GM238">
        <f t="shared" ca="1" si="718"/>
        <v>14933</v>
      </c>
      <c r="GN238">
        <f t="shared" ca="1" si="719"/>
        <v>746.65000000000009</v>
      </c>
      <c r="GO238">
        <f t="shared" ca="1" si="720"/>
        <v>747</v>
      </c>
      <c r="GP238">
        <f t="shared" ca="1" si="721"/>
        <v>0</v>
      </c>
      <c r="GQ238">
        <f t="shared" ca="1" si="722"/>
        <v>0</v>
      </c>
      <c r="GR238">
        <f t="shared" ca="1" si="723"/>
        <v>747</v>
      </c>
      <c r="GS238">
        <f t="shared" ca="1" si="724"/>
        <v>0</v>
      </c>
      <c r="GT238" t="b">
        <f t="shared" ca="1" si="725"/>
        <v>0</v>
      </c>
      <c r="GU238">
        <f t="shared" ca="1" si="726"/>
        <v>0</v>
      </c>
      <c r="GV238">
        <f t="shared" ca="1" si="727"/>
        <v>747</v>
      </c>
      <c r="GW238">
        <f t="shared" ca="1" si="728"/>
        <v>0</v>
      </c>
      <c r="GX238">
        <f t="shared" ca="1" si="729"/>
        <v>0</v>
      </c>
      <c r="GY238">
        <f t="shared" ca="1" si="730"/>
        <v>0</v>
      </c>
    </row>
    <row r="239" spans="1:207" x14ac:dyDescent="0.25">
      <c r="A239">
        <f>_xlfn.AGGREGATE(3,5,$B$2:B239)</f>
        <v>238</v>
      </c>
      <c r="B239" t="s">
        <v>571</v>
      </c>
      <c r="C239" t="s">
        <v>572</v>
      </c>
      <c r="D239" t="s">
        <v>809</v>
      </c>
      <c r="E239" t="s">
        <v>830</v>
      </c>
      <c r="F239" t="s">
        <v>952</v>
      </c>
      <c r="G239" t="s">
        <v>875</v>
      </c>
      <c r="H239">
        <f t="shared" si="625"/>
        <v>6800</v>
      </c>
      <c r="I239">
        <f>_xlfn.XLOOKUP(B239,'[1]march-2026'!$A:$A,'[1]march-2026'!$C:$C,0,0)</f>
        <v>48700</v>
      </c>
      <c r="J239">
        <f t="shared" si="689"/>
        <v>8766</v>
      </c>
      <c r="K239">
        <f t="shared" si="626"/>
        <v>5844</v>
      </c>
      <c r="L239">
        <f>_xlfn.XLOOKUP(B239,'[1]march-2026'!$A:$A,'[1]march-2026'!$D:$D,0,0)</f>
        <v>0</v>
      </c>
      <c r="M239">
        <f>_xlfn.XLOOKUP(B239,'[1]march-2026'!$A:$A,'[1]march-2026'!$G:$G,0,0)</f>
        <v>0</v>
      </c>
      <c r="N239">
        <f t="shared" si="627"/>
        <v>63310</v>
      </c>
      <c r="O239">
        <f>_xlfn.XLOOKUP(B239,'[1]march-2026'!$A:$A,'[1]march-2026'!$H:$H,0,0)</f>
        <v>10000</v>
      </c>
      <c r="P239">
        <f>_xlfn.XLOOKUP(B239,'[1]march-2026'!$A:$A,'[1]march-2026'!$I:$I,0,0)</f>
        <v>60</v>
      </c>
      <c r="Q239">
        <f t="shared" si="628"/>
        <v>200</v>
      </c>
      <c r="R239">
        <f t="shared" si="629"/>
        <v>53050</v>
      </c>
      <c r="S239">
        <f>_xlfn.XLOOKUP(B239,'[2]april-2026'!$A:$A,'[2]april-2026'!$C:$C,0,0)</f>
        <v>48700</v>
      </c>
      <c r="T239">
        <f t="shared" si="630"/>
        <v>8766</v>
      </c>
      <c r="U239">
        <f t="shared" si="631"/>
        <v>5844</v>
      </c>
      <c r="V239">
        <f>_xlfn.XLOOKUP(B239,'[2]april-2026'!$A:$A,'[2]april-2026'!$D:$D,0,0)</f>
        <v>0</v>
      </c>
      <c r="W239">
        <f>_xlfn.XLOOKUP(B239,'[2]april-2026'!$A:$A,'[2]april-2026'!$G:$G,0,0)</f>
        <v>0</v>
      </c>
      <c r="X239">
        <f t="shared" si="632"/>
        <v>63310</v>
      </c>
      <c r="Y239">
        <f>_xlfn.XLOOKUP(B239,'[2]april-2026'!$A:$A,'[2]april-2026'!$H:$H,0,0)</f>
        <v>10000</v>
      </c>
      <c r="Z239">
        <f>_xlfn.XLOOKUP(B239,'[2]april-2026'!$A:$A,'[2]april-2026'!$I:$I,0,0)</f>
        <v>60</v>
      </c>
      <c r="AA239">
        <f t="shared" si="633"/>
        <v>200</v>
      </c>
      <c r="AB239">
        <f t="shared" si="634"/>
        <v>53050</v>
      </c>
      <c r="AC239">
        <f>_xlfn.XLOOKUP(B239,'[3]may-2026'!$A:$A,'[3]may-2026'!$C:$C,0,0)</f>
        <v>48700</v>
      </c>
      <c r="AD239">
        <f t="shared" si="635"/>
        <v>8766</v>
      </c>
      <c r="AE239">
        <f t="shared" si="636"/>
        <v>5844</v>
      </c>
      <c r="AF239">
        <f>_xlfn.XLOOKUP(B239,'[3]may-2026'!$A:$A,'[3]may-2026'!$D:$D,0,0)</f>
        <v>0</v>
      </c>
      <c r="AG239">
        <f>_xlfn.XLOOKUP(B239,'[3]may-2026'!$A:$A,'[3]may-2026'!$G:$G,0,0)</f>
        <v>0</v>
      </c>
      <c r="AH239">
        <f t="shared" si="637"/>
        <v>63310</v>
      </c>
      <c r="AI239">
        <f>_xlfn.XLOOKUP(B239,'[3]may-2026'!$A:$A,'[3]may-2026'!$H:$H,0,0)</f>
        <v>10000</v>
      </c>
      <c r="AJ239">
        <f>_xlfn.XLOOKUP(B239,'[3]may-2026'!$A:$A,'[3]may-2026'!$I:$I,0,0)</f>
        <v>60</v>
      </c>
      <c r="AK239">
        <f t="shared" si="638"/>
        <v>200</v>
      </c>
      <c r="AL239">
        <f t="shared" si="639"/>
        <v>53050</v>
      </c>
      <c r="AM239">
        <f>_xlfn.XLOOKUP(B239,'[4]june-2026'!$A:$A,'[4]june-2026'!$C:$C,0,0)</f>
        <v>48700</v>
      </c>
      <c r="AN239">
        <f t="shared" si="640"/>
        <v>8766</v>
      </c>
      <c r="AO239">
        <f t="shared" si="641"/>
        <v>5844</v>
      </c>
      <c r="AP239">
        <f>_xlfn.XLOOKUP(B239,'[4]june-2026'!$A:$A,'[4]june-2026'!$D:$D,0,0)</f>
        <v>0</v>
      </c>
      <c r="AQ239">
        <f>_xlfn.XLOOKUP(B239,'[4]june-2026'!$A:$A,'[4]june-2026'!$G:$G,0,0)</f>
        <v>0</v>
      </c>
      <c r="AR239">
        <f t="shared" si="642"/>
        <v>63310</v>
      </c>
      <c r="AS239">
        <f>_xlfn.XLOOKUP(B239,'[4]june-2026'!$A:$A,'[4]june-2026'!$H:$H,0,0)</f>
        <v>10000</v>
      </c>
      <c r="AT239">
        <f>_xlfn.XLOOKUP(B239,'[4]june-2026'!$A:$A,'[4]june-2026'!$I:$I,0,0)</f>
        <v>60</v>
      </c>
      <c r="AU239">
        <f t="shared" si="643"/>
        <v>200</v>
      </c>
      <c r="AV239">
        <f t="shared" si="644"/>
        <v>53050</v>
      </c>
      <c r="AW239">
        <f>_xlfn.XLOOKUP(B239,'[5]july-2026'!$A:$A,'[5]july-2026'!$C:$C,0,0)</f>
        <v>50200</v>
      </c>
      <c r="AX239">
        <f t="shared" si="645"/>
        <v>9036</v>
      </c>
      <c r="AY239">
        <v>237</v>
      </c>
      <c r="AZ239">
        <f t="shared" si="646"/>
        <v>6024</v>
      </c>
      <c r="BA239">
        <f>_xlfn.XLOOKUP(B239,'[5]july-2026'!$A:$A,'[5]july-2026'!$D:$D,0,0)</f>
        <v>0</v>
      </c>
      <c r="BB239">
        <f>_xlfn.XLOOKUP(B239,'[5]july-2026'!$A:$A,'[5]july-2026'!$G:$G,0,0)</f>
        <v>0</v>
      </c>
      <c r="BC239">
        <f t="shared" si="647"/>
        <v>65497</v>
      </c>
      <c r="BD239">
        <f>_xlfn.XLOOKUP(B239,'[5]july-2026'!$A:$A,'[5]july-2026'!$H:$H,0,0)</f>
        <v>10000</v>
      </c>
      <c r="BE239">
        <f>_xlfn.XLOOKUP(B239,'[5]july-2026'!$A:$A,'[5]july-2026'!$I:$I,0,0)</f>
        <v>60</v>
      </c>
      <c r="BF239">
        <f t="shared" si="648"/>
        <v>200</v>
      </c>
      <c r="BG239">
        <f t="shared" si="649"/>
        <v>55237</v>
      </c>
      <c r="BH239">
        <f>_xlfn.XLOOKUP(B239,'[6]august-2026'!$A:$A,'[6]august-2026'!$C:$C,0,0)</f>
        <v>50200</v>
      </c>
      <c r="BI239">
        <f t="shared" si="650"/>
        <v>9036</v>
      </c>
      <c r="BJ239">
        <f t="shared" si="651"/>
        <v>6024</v>
      </c>
      <c r="BK239">
        <f>_xlfn.XLOOKUP(B239,'[6]august-2026'!$A:$A,'[6]august-2026'!$D:$D,0,0)</f>
        <v>0</v>
      </c>
      <c r="BL239">
        <f>_xlfn.XLOOKUP(B239,'[6]august-2026'!$A:$A,'[6]august-2026'!$G:$G,0,0)</f>
        <v>0</v>
      </c>
      <c r="BM239">
        <f t="shared" si="652"/>
        <v>65260</v>
      </c>
      <c r="BN239">
        <f>_xlfn.XLOOKUP(B239,'[6]august-2026'!$A:$A,'[6]august-2026'!$H:$H,0,0)</f>
        <v>10000</v>
      </c>
      <c r="BO239">
        <f>_xlfn.XLOOKUP(B239,'[6]august-2026'!$A:$A,'[6]august-2026'!$I:$I,0,0)</f>
        <v>60</v>
      </c>
      <c r="BP239">
        <f t="shared" si="653"/>
        <v>200</v>
      </c>
      <c r="BQ239">
        <f t="shared" si="654"/>
        <v>55000</v>
      </c>
      <c r="BR239">
        <f>_xlfn.XLOOKUP(B239,'[7]september-2026'!$A:$A,'[7]september-2026'!$C:$C,0,0)</f>
        <v>50200</v>
      </c>
      <c r="BS239">
        <f t="shared" si="655"/>
        <v>9036</v>
      </c>
      <c r="BT239">
        <f t="shared" si="656"/>
        <v>6024</v>
      </c>
      <c r="BU239">
        <f>_xlfn.XLOOKUP(B239,'[7]september-2026'!$A:$A,'[7]september-2026'!$D:$D,0,0)</f>
        <v>0</v>
      </c>
      <c r="BV239">
        <f>_xlfn.XLOOKUP(B239,'[7]september-2026'!$A:$A,'[7]september-2026'!$G:$G,0,0)</f>
        <v>0</v>
      </c>
      <c r="BW239">
        <f t="shared" si="657"/>
        <v>65260</v>
      </c>
      <c r="BX239">
        <f>_xlfn.XLOOKUP(B239,'[7]september-2026'!$A:$A,'[7]september-2026'!$H:$H,0,0)</f>
        <v>10000</v>
      </c>
      <c r="BY239">
        <f>_xlfn.XLOOKUP(B239,'[7]september-2026'!$A:$A,'[7]september-2026'!$I:$I,0,0)</f>
        <v>60</v>
      </c>
      <c r="BZ239">
        <f t="shared" si="658"/>
        <v>200</v>
      </c>
      <c r="CA239">
        <f t="shared" si="659"/>
        <v>55000</v>
      </c>
      <c r="CB239">
        <f>_xlfn.XLOOKUP(B239,'[8]october-2026'!$A:$A,'[8]october-2026'!$C:$C,0,0)</f>
        <v>50200</v>
      </c>
      <c r="CC239">
        <f t="shared" si="660"/>
        <v>9036</v>
      </c>
      <c r="CD239">
        <f t="shared" si="661"/>
        <v>6024</v>
      </c>
      <c r="CE239">
        <f>_xlfn.XLOOKUP(B239,'[8]october-2026'!$A:$A,'[8]october-2026'!$D:$D,0,0)</f>
        <v>0</v>
      </c>
      <c r="CF239">
        <f>_xlfn.XLOOKUP(B239,'[8]october-2026'!$A:$A,'[8]october-2026'!$G:$G,0,0)</f>
        <v>0</v>
      </c>
      <c r="CG239">
        <f t="shared" si="662"/>
        <v>65260</v>
      </c>
      <c r="CH239">
        <f>_xlfn.XLOOKUP(B239,'[8]october-2026'!$A:$A,'[8]october-2026'!$H:$H,0,0)</f>
        <v>10000</v>
      </c>
      <c r="CI239">
        <f>_xlfn.XLOOKUP(B239,'[8]october-2026'!$A:$A,'[8]october-2026'!$I:$I,0,0)</f>
        <v>60</v>
      </c>
      <c r="CJ239">
        <f t="shared" si="663"/>
        <v>200</v>
      </c>
      <c r="CK239">
        <f t="shared" si="664"/>
        <v>55000</v>
      </c>
      <c r="CL239">
        <f>_xlfn.XLOOKUP(B239,'[9]november-2026'!$A:$A,'[9]november-2026'!$C:$C,0,0)</f>
        <v>50200</v>
      </c>
      <c r="CM239">
        <f t="shared" si="665"/>
        <v>9036</v>
      </c>
      <c r="CN239">
        <f t="shared" si="666"/>
        <v>6024</v>
      </c>
      <c r="CO239">
        <f>_xlfn.XLOOKUP(B239,'[9]november-2026'!$A:$A,'[9]november-2026'!$D:$D,0,0)</f>
        <v>0</v>
      </c>
      <c r="CP239">
        <f>_xlfn.XLOOKUP(B239,'[9]november-2026'!$A:$A,'[9]november-2026'!$G:$G,0,0)</f>
        <v>0</v>
      </c>
      <c r="CQ239">
        <f t="shared" si="667"/>
        <v>65260</v>
      </c>
      <c r="CR239">
        <f>_xlfn.XLOOKUP(B239,'[9]november-2026'!$A:$A,'[9]november-2026'!$H:$H,0,0)</f>
        <v>10000</v>
      </c>
      <c r="CS239">
        <f>_xlfn.XLOOKUP(B239,'[9]november-2026'!$A:$A,'[9]november-2026'!$I:$I,0,0)</f>
        <v>60</v>
      </c>
      <c r="CT239">
        <f t="shared" si="668"/>
        <v>200</v>
      </c>
      <c r="CU239">
        <f t="shared" si="669"/>
        <v>55000</v>
      </c>
      <c r="CV239">
        <f>_xlfn.XLOOKUP(B239,'[10]december-2026'!$A:$A,'[10]december-2026'!$C:$C,0,0)</f>
        <v>50200</v>
      </c>
      <c r="CW239">
        <f t="shared" si="670"/>
        <v>9036</v>
      </c>
      <c r="CX239">
        <f t="shared" si="671"/>
        <v>6024</v>
      </c>
      <c r="CY239">
        <f>_xlfn.XLOOKUP(B239,'[10]december-2026'!$A:$A,'[10]december-2026'!$D:$D,0,0)</f>
        <v>0</v>
      </c>
      <c r="CZ239">
        <f>_xlfn.XLOOKUP(B239,'[10]december-2026'!$A:$A,'[10]december-2026'!$G:$G,0,0)</f>
        <v>0</v>
      </c>
      <c r="DA239">
        <f t="shared" si="672"/>
        <v>65260</v>
      </c>
      <c r="DB239">
        <f>_xlfn.XLOOKUP(B239,'[10]december-2026'!$A:$A,'[10]december-2026'!$H:$H,0,0)</f>
        <v>10000</v>
      </c>
      <c r="DC239">
        <f>_xlfn.XLOOKUP(B239,'[10]december-2026'!$A:$A,'[10]december-2026'!$I:$I,0,0)</f>
        <v>60</v>
      </c>
      <c r="DD239">
        <f t="shared" si="673"/>
        <v>200</v>
      </c>
      <c r="DE239">
        <f t="shared" si="674"/>
        <v>55000</v>
      </c>
      <c r="DF239">
        <f xml:space="preserve"> _xlfn.XLOOKUP(B239,
'[11]january-2027'!$A:$A,
'[11]january-2027'!$C:$C,
0,0)</f>
        <v>50200</v>
      </c>
      <c r="DG239">
        <f t="shared" si="675"/>
        <v>9036</v>
      </c>
      <c r="DH239">
        <f t="shared" si="676"/>
        <v>6024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0</v>
      </c>
      <c r="DK239">
        <f t="shared" si="677"/>
        <v>65260</v>
      </c>
      <c r="DL239">
        <f xml:space="preserve"> _xlfn.XLOOKUP(B239,
'[11]january-2027'!$A:$A,
'[11]january-2027'!$H:$H,
0,0)</f>
        <v>10000</v>
      </c>
      <c r="DM239">
        <f xml:space="preserve"> _xlfn.XLOOKUP(B239,
'[11]january-2027'!$A:$A,
'[11]january-2027'!$I:$I,
0,0)</f>
        <v>60</v>
      </c>
      <c r="DN239">
        <f t="shared" si="678"/>
        <v>200</v>
      </c>
      <c r="DO239">
        <f t="shared" si="679"/>
        <v>55000</v>
      </c>
      <c r="DP239">
        <f xml:space="preserve"> _xlfn.XLOOKUP(B239,
'[12]february-2027'!$A:$A,
'[12]february-2027'!$C:$C,
0,0)</f>
        <v>50200</v>
      </c>
      <c r="DQ239">
        <f t="shared" si="680"/>
        <v>9036</v>
      </c>
      <c r="DR239">
        <f t="shared" si="681"/>
        <v>6024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0</v>
      </c>
      <c r="DU239">
        <f t="shared" si="682"/>
        <v>65260</v>
      </c>
      <c r="DV239">
        <f xml:space="preserve"> _xlfn.XLOOKUP(B239,
'[12]february-2027'!$A:$A,
'[12]february-2027'!$H:$H,
0,0)</f>
        <v>10000</v>
      </c>
      <c r="DW239">
        <f xml:space="preserve"> _xlfn.XLOOKUP(B239,
'[12]february-2027'!$A:$A,
'[12]february-2027'!$I:$I,
0,0)</f>
        <v>60</v>
      </c>
      <c r="DX239">
        <f t="shared" si="683"/>
        <v>200</v>
      </c>
      <c r="DY239">
        <f t="shared" si="684"/>
        <v>55000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85"/>
        <v>0</v>
      </c>
      <c r="EM239">
        <f t="shared" si="686"/>
        <v>782357</v>
      </c>
      <c r="EN239">
        <f t="shared" si="687"/>
        <v>2400</v>
      </c>
      <c r="EO239">
        <f t="shared" si="688"/>
        <v>50000</v>
      </c>
      <c r="EP239">
        <v>0</v>
      </c>
      <c r="EQ239">
        <f t="shared" si="690"/>
        <v>729957</v>
      </c>
      <c r="ER239">
        <f t="shared" si="691"/>
        <v>120000</v>
      </c>
      <c r="ES239">
        <f t="shared" si="692"/>
        <v>720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693"/>
        <v>120720</v>
      </c>
      <c r="FE239">
        <f t="shared" si="694"/>
        <v>120720</v>
      </c>
      <c r="FF239">
        <f t="shared" si="695"/>
        <v>609237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>SUM(FG239:FM239)+(IF(F239="YES",50000,0))</f>
        <v>0</v>
      </c>
      <c r="FO239">
        <f t="shared" si="696"/>
        <v>609237</v>
      </c>
      <c r="FP239">
        <f t="shared" si="697"/>
        <v>12500</v>
      </c>
      <c r="FQ239">
        <f t="shared" si="698"/>
        <v>21847</v>
      </c>
      <c r="FR239">
        <f t="shared" si="699"/>
        <v>34347</v>
      </c>
      <c r="FS239">
        <f t="shared" si="700"/>
        <v>34347</v>
      </c>
      <c r="FT239">
        <f t="shared" si="701"/>
        <v>1373.88</v>
      </c>
      <c r="FU239">
        <f t="shared" si="702"/>
        <v>35721</v>
      </c>
      <c r="FV239">
        <v>0</v>
      </c>
      <c r="FW239">
        <f t="shared" si="703"/>
        <v>35721</v>
      </c>
      <c r="FX239" t="b">
        <f t="shared" si="704"/>
        <v>1</v>
      </c>
      <c r="FY239">
        <f t="shared" ca="1" si="705"/>
        <v>877</v>
      </c>
      <c r="FZ239">
        <f t="shared" ca="1" si="706"/>
        <v>783234</v>
      </c>
      <c r="GA239">
        <f t="shared" si="707"/>
        <v>75000</v>
      </c>
      <c r="GB239">
        <f t="shared" ca="1" si="708"/>
        <v>708234</v>
      </c>
      <c r="GC239">
        <f t="shared" ca="1" si="709"/>
        <v>0</v>
      </c>
      <c r="GD239">
        <f t="shared" ca="1" si="710"/>
        <v>0</v>
      </c>
      <c r="GE239">
        <f t="shared" ca="1" si="711"/>
        <v>0</v>
      </c>
      <c r="GF239">
        <f t="shared" ca="1" si="712"/>
        <v>0</v>
      </c>
      <c r="GG239">
        <f t="shared" ca="1" si="713"/>
        <v>0</v>
      </c>
      <c r="GH239">
        <f t="shared" ca="1" si="714"/>
        <v>0</v>
      </c>
      <c r="GI239">
        <f ca="1">IF(GB239&gt;1200000,GB239-1200000-IF(F239="YES",50000,0)-GG239,0)</f>
        <v>0</v>
      </c>
      <c r="GJ239">
        <f t="shared" ca="1" si="715"/>
        <v>0</v>
      </c>
      <c r="GK239">
        <f t="shared" ca="1" si="716"/>
        <v>0</v>
      </c>
      <c r="GL239">
        <f t="shared" ca="1" si="717"/>
        <v>0</v>
      </c>
      <c r="GM239">
        <f t="shared" ca="1" si="718"/>
        <v>308234</v>
      </c>
      <c r="GN239">
        <f t="shared" ca="1" si="719"/>
        <v>15411.7</v>
      </c>
      <c r="GO239">
        <f t="shared" ca="1" si="720"/>
        <v>15412</v>
      </c>
      <c r="GP239">
        <f t="shared" ca="1" si="721"/>
        <v>0</v>
      </c>
      <c r="GQ239">
        <f t="shared" ca="1" si="722"/>
        <v>0</v>
      </c>
      <c r="GR239">
        <f t="shared" ca="1" si="723"/>
        <v>15412</v>
      </c>
      <c r="GS239">
        <f t="shared" ca="1" si="724"/>
        <v>0</v>
      </c>
      <c r="GT239" t="b">
        <f t="shared" ca="1" si="725"/>
        <v>0</v>
      </c>
      <c r="GU239">
        <f t="shared" ca="1" si="726"/>
        <v>0</v>
      </c>
      <c r="GV239">
        <f t="shared" ca="1" si="727"/>
        <v>15412</v>
      </c>
      <c r="GW239">
        <f t="shared" ca="1" si="728"/>
        <v>0</v>
      </c>
      <c r="GX239">
        <f t="shared" ca="1" si="729"/>
        <v>0</v>
      </c>
      <c r="GY239">
        <f t="shared" ca="1" si="730"/>
        <v>0</v>
      </c>
    </row>
    <row r="240" spans="1:207" x14ac:dyDescent="0.25">
      <c r="A240">
        <f>_xlfn.AGGREGATE(3,5,$B$2:B240)</f>
        <v>239</v>
      </c>
      <c r="B240" t="s">
        <v>573</v>
      </c>
      <c r="C240" t="s">
        <v>574</v>
      </c>
      <c r="D240" t="s">
        <v>809</v>
      </c>
      <c r="E240" t="s">
        <v>830</v>
      </c>
      <c r="F240" t="s">
        <v>952</v>
      </c>
      <c r="G240" t="s">
        <v>877</v>
      </c>
      <c r="H240">
        <f t="shared" si="625"/>
        <v>6800</v>
      </c>
      <c r="I240">
        <f>_xlfn.XLOOKUP(B240,'[1]march-2026'!$A:$A,'[1]march-2026'!$C:$C,0,0)</f>
        <v>35500</v>
      </c>
      <c r="J240">
        <f t="shared" si="689"/>
        <v>6390</v>
      </c>
      <c r="K240">
        <f t="shared" si="626"/>
        <v>4260</v>
      </c>
      <c r="L240">
        <f>_xlfn.XLOOKUP(B240,'[1]march-2026'!$A:$A,'[1]march-2026'!$D:$D,0,0)</f>
        <v>0</v>
      </c>
      <c r="M240">
        <f>_xlfn.XLOOKUP(B240,'[1]march-2026'!$A:$A,'[1]march-2026'!$G:$G,0,0)</f>
        <v>500</v>
      </c>
      <c r="N240">
        <f t="shared" si="627"/>
        <v>46650</v>
      </c>
      <c r="O240">
        <f>_xlfn.XLOOKUP(B240,'[1]march-2026'!$A:$A,'[1]march-2026'!$H:$H,0,0)</f>
        <v>2500</v>
      </c>
      <c r="P240">
        <f>_xlfn.XLOOKUP(B240,'[1]march-2026'!$A:$A,'[1]march-2026'!$I:$I,0,0)</f>
        <v>0</v>
      </c>
      <c r="Q240">
        <f t="shared" si="628"/>
        <v>200</v>
      </c>
      <c r="R240">
        <f t="shared" si="629"/>
        <v>43950</v>
      </c>
      <c r="S240">
        <f>_xlfn.XLOOKUP(B240,'[2]april-2026'!$A:$A,'[2]april-2026'!$C:$C,0,0)</f>
        <v>35500</v>
      </c>
      <c r="T240">
        <f t="shared" si="630"/>
        <v>6390</v>
      </c>
      <c r="U240">
        <f t="shared" si="631"/>
        <v>4260</v>
      </c>
      <c r="V240">
        <f>_xlfn.XLOOKUP(B240,'[2]april-2026'!$A:$A,'[2]april-2026'!$D:$D,0,0)</f>
        <v>0</v>
      </c>
      <c r="W240">
        <f>_xlfn.XLOOKUP(B240,'[2]april-2026'!$A:$A,'[2]april-2026'!$G:$G,0,0)</f>
        <v>500</v>
      </c>
      <c r="X240">
        <f t="shared" si="632"/>
        <v>46650</v>
      </c>
      <c r="Y240">
        <f>_xlfn.XLOOKUP(B240,'[2]april-2026'!$A:$A,'[2]april-2026'!$H:$H,0,0)</f>
        <v>2500</v>
      </c>
      <c r="Z240">
        <f>_xlfn.XLOOKUP(B240,'[2]april-2026'!$A:$A,'[2]april-2026'!$I:$I,0,0)</f>
        <v>0</v>
      </c>
      <c r="AA240">
        <f t="shared" si="633"/>
        <v>200</v>
      </c>
      <c r="AB240">
        <f t="shared" si="634"/>
        <v>43950</v>
      </c>
      <c r="AC240">
        <f>_xlfn.XLOOKUP(B240,'[3]may-2026'!$A:$A,'[3]may-2026'!$C:$C,0,0)</f>
        <v>35500</v>
      </c>
      <c r="AD240">
        <f t="shared" si="635"/>
        <v>6390</v>
      </c>
      <c r="AE240">
        <f t="shared" si="636"/>
        <v>4260</v>
      </c>
      <c r="AF240">
        <f>_xlfn.XLOOKUP(B240,'[3]may-2026'!$A:$A,'[3]may-2026'!$D:$D,0,0)</f>
        <v>0</v>
      </c>
      <c r="AG240">
        <f>_xlfn.XLOOKUP(B240,'[3]may-2026'!$A:$A,'[3]may-2026'!$G:$G,0,0)</f>
        <v>500</v>
      </c>
      <c r="AH240">
        <f t="shared" si="637"/>
        <v>46650</v>
      </c>
      <c r="AI240">
        <f>_xlfn.XLOOKUP(B240,'[3]may-2026'!$A:$A,'[3]may-2026'!$H:$H,0,0)</f>
        <v>2500</v>
      </c>
      <c r="AJ240">
        <f>_xlfn.XLOOKUP(B240,'[3]may-2026'!$A:$A,'[3]may-2026'!$I:$I,0,0)</f>
        <v>0</v>
      </c>
      <c r="AK240">
        <f t="shared" si="638"/>
        <v>200</v>
      </c>
      <c r="AL240">
        <f t="shared" si="639"/>
        <v>43950</v>
      </c>
      <c r="AM240">
        <f>_xlfn.XLOOKUP(B240,'[4]june-2026'!$A:$A,'[4]june-2026'!$C:$C,0,0)</f>
        <v>35500</v>
      </c>
      <c r="AN240">
        <f t="shared" si="640"/>
        <v>6390</v>
      </c>
      <c r="AO240">
        <f t="shared" si="641"/>
        <v>4260</v>
      </c>
      <c r="AP240">
        <f>_xlfn.XLOOKUP(B240,'[4]june-2026'!$A:$A,'[4]june-2026'!$D:$D,0,0)</f>
        <v>0</v>
      </c>
      <c r="AQ240">
        <f>_xlfn.XLOOKUP(B240,'[4]june-2026'!$A:$A,'[4]june-2026'!$G:$G,0,0)</f>
        <v>500</v>
      </c>
      <c r="AR240">
        <f t="shared" si="642"/>
        <v>46650</v>
      </c>
      <c r="AS240">
        <f>_xlfn.XLOOKUP(B240,'[4]june-2026'!$A:$A,'[4]june-2026'!$H:$H,0,0)</f>
        <v>2500</v>
      </c>
      <c r="AT240">
        <f>_xlfn.XLOOKUP(B240,'[4]june-2026'!$A:$A,'[4]june-2026'!$I:$I,0,0)</f>
        <v>0</v>
      </c>
      <c r="AU240">
        <f t="shared" si="643"/>
        <v>200</v>
      </c>
      <c r="AV240">
        <f t="shared" si="644"/>
        <v>43950</v>
      </c>
      <c r="AW240">
        <f>_xlfn.XLOOKUP(B240,'[5]july-2026'!$A:$A,'[5]july-2026'!$C:$C,0,0)</f>
        <v>36600</v>
      </c>
      <c r="AX240">
        <f t="shared" si="645"/>
        <v>6588</v>
      </c>
      <c r="AY240">
        <v>238</v>
      </c>
      <c r="AZ240">
        <f t="shared" si="646"/>
        <v>4392</v>
      </c>
      <c r="BA240">
        <f>_xlfn.XLOOKUP(B240,'[5]july-2026'!$A:$A,'[5]july-2026'!$D:$D,0,0)</f>
        <v>0</v>
      </c>
      <c r="BB240">
        <f>_xlfn.XLOOKUP(B240,'[5]july-2026'!$A:$A,'[5]july-2026'!$G:$G,0,0)</f>
        <v>500</v>
      </c>
      <c r="BC240">
        <f t="shared" si="647"/>
        <v>48318</v>
      </c>
      <c r="BD240">
        <f>_xlfn.XLOOKUP(B240,'[5]july-2026'!$A:$A,'[5]july-2026'!$H:$H,0,0)</f>
        <v>2500</v>
      </c>
      <c r="BE240">
        <f>_xlfn.XLOOKUP(B240,'[5]july-2026'!$A:$A,'[5]july-2026'!$I:$I,0,0)</f>
        <v>0</v>
      </c>
      <c r="BF240">
        <f t="shared" si="648"/>
        <v>200</v>
      </c>
      <c r="BG240">
        <f t="shared" si="649"/>
        <v>45618</v>
      </c>
      <c r="BH240">
        <f>_xlfn.XLOOKUP(B240,'[6]august-2026'!$A:$A,'[6]august-2026'!$C:$C,0,0)</f>
        <v>36600</v>
      </c>
      <c r="BI240">
        <f t="shared" si="650"/>
        <v>6588</v>
      </c>
      <c r="BJ240">
        <f t="shared" si="651"/>
        <v>4392</v>
      </c>
      <c r="BK240">
        <f>_xlfn.XLOOKUP(B240,'[6]august-2026'!$A:$A,'[6]august-2026'!$D:$D,0,0)</f>
        <v>0</v>
      </c>
      <c r="BL240">
        <f>_xlfn.XLOOKUP(B240,'[6]august-2026'!$A:$A,'[6]august-2026'!$G:$G,0,0)</f>
        <v>500</v>
      </c>
      <c r="BM240">
        <f t="shared" si="652"/>
        <v>48080</v>
      </c>
      <c r="BN240">
        <f>_xlfn.XLOOKUP(B240,'[6]august-2026'!$A:$A,'[6]august-2026'!$H:$H,0,0)</f>
        <v>2500</v>
      </c>
      <c r="BO240">
        <f>_xlfn.XLOOKUP(B240,'[6]august-2026'!$A:$A,'[6]august-2026'!$I:$I,0,0)</f>
        <v>0</v>
      </c>
      <c r="BP240">
        <f t="shared" si="653"/>
        <v>200</v>
      </c>
      <c r="BQ240">
        <f t="shared" si="654"/>
        <v>45380</v>
      </c>
      <c r="BR240">
        <f>_xlfn.XLOOKUP(B240,'[7]september-2026'!$A:$A,'[7]september-2026'!$C:$C,0,0)</f>
        <v>36600</v>
      </c>
      <c r="BS240">
        <f t="shared" si="655"/>
        <v>6588</v>
      </c>
      <c r="BT240">
        <f t="shared" si="656"/>
        <v>4392</v>
      </c>
      <c r="BU240">
        <f>_xlfn.XLOOKUP(B240,'[7]september-2026'!$A:$A,'[7]september-2026'!$D:$D,0,0)</f>
        <v>0</v>
      </c>
      <c r="BV240">
        <f>_xlfn.XLOOKUP(B240,'[7]september-2026'!$A:$A,'[7]september-2026'!$G:$G,0,0)</f>
        <v>500</v>
      </c>
      <c r="BW240">
        <f t="shared" si="657"/>
        <v>48080</v>
      </c>
      <c r="BX240">
        <f>_xlfn.XLOOKUP(B240,'[7]september-2026'!$A:$A,'[7]september-2026'!$H:$H,0,0)</f>
        <v>2500</v>
      </c>
      <c r="BY240">
        <f>_xlfn.XLOOKUP(B240,'[7]september-2026'!$A:$A,'[7]september-2026'!$I:$I,0,0)</f>
        <v>0</v>
      </c>
      <c r="BZ240">
        <f t="shared" si="658"/>
        <v>200</v>
      </c>
      <c r="CA240">
        <f t="shared" si="659"/>
        <v>45380</v>
      </c>
      <c r="CB240">
        <f>_xlfn.XLOOKUP(B240,'[8]october-2026'!$A:$A,'[8]october-2026'!$C:$C,0,0)</f>
        <v>36600</v>
      </c>
      <c r="CC240">
        <f t="shared" si="660"/>
        <v>6588</v>
      </c>
      <c r="CD240">
        <f t="shared" si="661"/>
        <v>4392</v>
      </c>
      <c r="CE240">
        <f>_xlfn.XLOOKUP(B240,'[8]october-2026'!$A:$A,'[8]october-2026'!$D:$D,0,0)</f>
        <v>0</v>
      </c>
      <c r="CF240">
        <f>_xlfn.XLOOKUP(B240,'[8]october-2026'!$A:$A,'[8]october-2026'!$G:$G,0,0)</f>
        <v>500</v>
      </c>
      <c r="CG240">
        <f t="shared" si="662"/>
        <v>48080</v>
      </c>
      <c r="CH240">
        <f>_xlfn.XLOOKUP(B240,'[8]october-2026'!$A:$A,'[8]october-2026'!$H:$H,0,0)</f>
        <v>2500</v>
      </c>
      <c r="CI240">
        <f>_xlfn.XLOOKUP(B240,'[8]october-2026'!$A:$A,'[8]october-2026'!$I:$I,0,0)</f>
        <v>0</v>
      </c>
      <c r="CJ240">
        <f t="shared" si="663"/>
        <v>200</v>
      </c>
      <c r="CK240">
        <f t="shared" si="664"/>
        <v>45380</v>
      </c>
      <c r="CL240">
        <f>_xlfn.XLOOKUP(B240,'[9]november-2026'!$A:$A,'[9]november-2026'!$C:$C,0,0)</f>
        <v>36600</v>
      </c>
      <c r="CM240">
        <f t="shared" si="665"/>
        <v>6588</v>
      </c>
      <c r="CN240">
        <f t="shared" si="666"/>
        <v>4392</v>
      </c>
      <c r="CO240">
        <f>_xlfn.XLOOKUP(B240,'[9]november-2026'!$A:$A,'[9]november-2026'!$D:$D,0,0)</f>
        <v>0</v>
      </c>
      <c r="CP240">
        <f>_xlfn.XLOOKUP(B240,'[9]november-2026'!$A:$A,'[9]november-2026'!$G:$G,0,0)</f>
        <v>500</v>
      </c>
      <c r="CQ240">
        <f t="shared" si="667"/>
        <v>48080</v>
      </c>
      <c r="CR240">
        <f>_xlfn.XLOOKUP(B240,'[9]november-2026'!$A:$A,'[9]november-2026'!$H:$H,0,0)</f>
        <v>2500</v>
      </c>
      <c r="CS240">
        <f>_xlfn.XLOOKUP(B240,'[9]november-2026'!$A:$A,'[9]november-2026'!$I:$I,0,0)</f>
        <v>0</v>
      </c>
      <c r="CT240">
        <f t="shared" si="668"/>
        <v>200</v>
      </c>
      <c r="CU240">
        <f t="shared" si="669"/>
        <v>45380</v>
      </c>
      <c r="CV240">
        <f>_xlfn.XLOOKUP(B240,'[10]december-2026'!$A:$A,'[10]december-2026'!$C:$C,0,0)</f>
        <v>36600</v>
      </c>
      <c r="CW240">
        <f t="shared" si="670"/>
        <v>6588</v>
      </c>
      <c r="CX240">
        <f t="shared" si="671"/>
        <v>4392</v>
      </c>
      <c r="CY240">
        <f>_xlfn.XLOOKUP(B240,'[10]december-2026'!$A:$A,'[10]december-2026'!$D:$D,0,0)</f>
        <v>0</v>
      </c>
      <c r="CZ240">
        <f>_xlfn.XLOOKUP(B240,'[10]december-2026'!$A:$A,'[10]december-2026'!$G:$G,0,0)</f>
        <v>500</v>
      </c>
      <c r="DA240">
        <f t="shared" si="672"/>
        <v>48080</v>
      </c>
      <c r="DB240">
        <f>_xlfn.XLOOKUP(B240,'[10]december-2026'!$A:$A,'[10]december-2026'!$H:$H,0,0)</f>
        <v>2500</v>
      </c>
      <c r="DC240">
        <f>_xlfn.XLOOKUP(B240,'[10]december-2026'!$A:$A,'[10]december-2026'!$I:$I,0,0)</f>
        <v>0</v>
      </c>
      <c r="DD240">
        <f t="shared" si="673"/>
        <v>200</v>
      </c>
      <c r="DE240">
        <f t="shared" si="674"/>
        <v>45380</v>
      </c>
      <c r="DF240">
        <f xml:space="preserve"> _xlfn.XLOOKUP(B240,
'[11]january-2027'!$A:$A,
'[11]january-2027'!$C:$C,
0,0)</f>
        <v>36600</v>
      </c>
      <c r="DG240">
        <f t="shared" si="675"/>
        <v>6588</v>
      </c>
      <c r="DH240">
        <f t="shared" si="676"/>
        <v>4392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500</v>
      </c>
      <c r="DK240">
        <f t="shared" si="677"/>
        <v>48080</v>
      </c>
      <c r="DL240">
        <f xml:space="preserve"> _xlfn.XLOOKUP(B240,
'[11]january-2027'!$A:$A,
'[11]january-2027'!$H:$H,
0,0)</f>
        <v>2500</v>
      </c>
      <c r="DM240">
        <f xml:space="preserve"> _xlfn.XLOOKUP(B240,
'[11]january-2027'!$A:$A,
'[11]january-2027'!$I:$I,
0,0)</f>
        <v>0</v>
      </c>
      <c r="DN240">
        <f t="shared" si="678"/>
        <v>200</v>
      </c>
      <c r="DO240">
        <f t="shared" si="679"/>
        <v>45380</v>
      </c>
      <c r="DP240">
        <f xml:space="preserve"> _xlfn.XLOOKUP(B240,
'[12]february-2027'!$A:$A,
'[12]february-2027'!$C:$C,
0,0)</f>
        <v>36600</v>
      </c>
      <c r="DQ240">
        <f t="shared" si="680"/>
        <v>6588</v>
      </c>
      <c r="DR240">
        <f t="shared" si="681"/>
        <v>4392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500</v>
      </c>
      <c r="DU240">
        <f t="shared" si="682"/>
        <v>48080</v>
      </c>
      <c r="DV240">
        <f xml:space="preserve"> _xlfn.XLOOKUP(B240,
'[12]february-2027'!$A:$A,
'[12]february-2027'!$H:$H,
0,0)</f>
        <v>2500</v>
      </c>
      <c r="DW240">
        <f xml:space="preserve"> _xlfn.XLOOKUP(B240,
'[12]february-2027'!$A:$A,
'[12]february-2027'!$I:$I,
0,0)</f>
        <v>0</v>
      </c>
      <c r="DX240">
        <f t="shared" si="683"/>
        <v>200</v>
      </c>
      <c r="DY240">
        <f t="shared" si="684"/>
        <v>45380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85"/>
        <v>0</v>
      </c>
      <c r="EM240">
        <f t="shared" si="686"/>
        <v>578278</v>
      </c>
      <c r="EN240">
        <f t="shared" si="687"/>
        <v>2400</v>
      </c>
      <c r="EO240">
        <f t="shared" si="688"/>
        <v>50000</v>
      </c>
      <c r="EP240">
        <v>0</v>
      </c>
      <c r="EQ240">
        <f t="shared" si="690"/>
        <v>525878</v>
      </c>
      <c r="ER240">
        <f t="shared" si="691"/>
        <v>30000</v>
      </c>
      <c r="ES240">
        <f t="shared" si="692"/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693"/>
        <v>30000</v>
      </c>
      <c r="FE240">
        <f t="shared" si="694"/>
        <v>30000</v>
      </c>
      <c r="FF240">
        <f t="shared" si="695"/>
        <v>495878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>SUM(FG240:FM240)+(IF(F240="YES",50000,0))</f>
        <v>0</v>
      </c>
      <c r="FO240">
        <f t="shared" si="696"/>
        <v>495878</v>
      </c>
      <c r="FP240">
        <f t="shared" si="697"/>
        <v>12294</v>
      </c>
      <c r="FQ240">
        <f t="shared" si="698"/>
        <v>0</v>
      </c>
      <c r="FR240">
        <f t="shared" si="699"/>
        <v>12294</v>
      </c>
      <c r="FS240">
        <f t="shared" si="700"/>
        <v>0</v>
      </c>
      <c r="FT240">
        <f t="shared" si="701"/>
        <v>0</v>
      </c>
      <c r="FU240">
        <f t="shared" si="702"/>
        <v>0</v>
      </c>
      <c r="FV240">
        <v>0</v>
      </c>
      <c r="FW240">
        <f t="shared" si="703"/>
        <v>0</v>
      </c>
      <c r="FX240" t="b">
        <f t="shared" si="704"/>
        <v>1</v>
      </c>
      <c r="FY240">
        <f t="shared" ca="1" si="705"/>
        <v>566</v>
      </c>
      <c r="FZ240">
        <f t="shared" ca="1" si="706"/>
        <v>578844</v>
      </c>
      <c r="GA240">
        <f t="shared" si="707"/>
        <v>75000</v>
      </c>
      <c r="GB240">
        <f t="shared" ca="1" si="708"/>
        <v>503844</v>
      </c>
      <c r="GC240">
        <f t="shared" ca="1" si="709"/>
        <v>0</v>
      </c>
      <c r="GD240">
        <f t="shared" ca="1" si="710"/>
        <v>0</v>
      </c>
      <c r="GE240">
        <f t="shared" ca="1" si="711"/>
        <v>0</v>
      </c>
      <c r="GF240">
        <f t="shared" ca="1" si="712"/>
        <v>0</v>
      </c>
      <c r="GG240">
        <f t="shared" ca="1" si="713"/>
        <v>0</v>
      </c>
      <c r="GH240">
        <f t="shared" ca="1" si="714"/>
        <v>0</v>
      </c>
      <c r="GI240">
        <f ca="1">IF(GB240&gt;1200000,GB240-1200000-IF(F240="YES",50000,0)-GG240,0)</f>
        <v>0</v>
      </c>
      <c r="GJ240">
        <f t="shared" ca="1" si="715"/>
        <v>0</v>
      </c>
      <c r="GK240">
        <f t="shared" ca="1" si="716"/>
        <v>0</v>
      </c>
      <c r="GL240">
        <f t="shared" ca="1" si="717"/>
        <v>0</v>
      </c>
      <c r="GM240">
        <f t="shared" ca="1" si="718"/>
        <v>103844</v>
      </c>
      <c r="GN240">
        <f t="shared" ca="1" si="719"/>
        <v>5192.2000000000007</v>
      </c>
      <c r="GO240">
        <f t="shared" ca="1" si="720"/>
        <v>5192</v>
      </c>
      <c r="GP240">
        <f t="shared" ca="1" si="721"/>
        <v>0</v>
      </c>
      <c r="GQ240">
        <f t="shared" ca="1" si="722"/>
        <v>0</v>
      </c>
      <c r="GR240">
        <f t="shared" ca="1" si="723"/>
        <v>5192</v>
      </c>
      <c r="GS240">
        <f t="shared" ca="1" si="724"/>
        <v>0</v>
      </c>
      <c r="GT240" t="b">
        <f t="shared" ca="1" si="725"/>
        <v>0</v>
      </c>
      <c r="GU240">
        <f t="shared" ca="1" si="726"/>
        <v>0</v>
      </c>
      <c r="GV240">
        <f t="shared" ca="1" si="727"/>
        <v>5192</v>
      </c>
      <c r="GW240">
        <f t="shared" ca="1" si="728"/>
        <v>0</v>
      </c>
      <c r="GX240">
        <f t="shared" ca="1" si="729"/>
        <v>0</v>
      </c>
      <c r="GY240">
        <f t="shared" ca="1" si="730"/>
        <v>0</v>
      </c>
    </row>
    <row r="241" spans="1:207" x14ac:dyDescent="0.25">
      <c r="A241">
        <f>_xlfn.AGGREGATE(3,5,$B$2:B241)</f>
        <v>240</v>
      </c>
      <c r="B241" t="s">
        <v>575</v>
      </c>
      <c r="C241" t="s">
        <v>576</v>
      </c>
      <c r="D241" t="s">
        <v>809</v>
      </c>
      <c r="E241" t="s">
        <v>830</v>
      </c>
      <c r="F241" t="s">
        <v>952</v>
      </c>
      <c r="G241" t="s">
        <v>902</v>
      </c>
      <c r="H241">
        <f t="shared" si="625"/>
        <v>6800</v>
      </c>
      <c r="I241">
        <f>_xlfn.XLOOKUP(B241,'[1]march-2026'!$A:$A,'[1]march-2026'!$C:$C,0,0)</f>
        <v>29800</v>
      </c>
      <c r="J241">
        <f t="shared" si="689"/>
        <v>5364</v>
      </c>
      <c r="K241">
        <f t="shared" si="626"/>
        <v>3576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27"/>
        <v>39240</v>
      </c>
      <c r="O241">
        <f>_xlfn.XLOOKUP(B241,'[1]march-2026'!$A:$A,'[1]march-2026'!$H:$H,0,0)</f>
        <v>2000</v>
      </c>
      <c r="P241">
        <f>_xlfn.XLOOKUP(B241,'[1]march-2026'!$A:$A,'[1]march-2026'!$I:$I,0,0)</f>
        <v>0</v>
      </c>
      <c r="Q241">
        <f t="shared" si="628"/>
        <v>150</v>
      </c>
      <c r="R241">
        <f t="shared" si="629"/>
        <v>37090</v>
      </c>
      <c r="S241">
        <f>_xlfn.XLOOKUP(B241,'[2]april-2026'!$A:$A,'[2]april-2026'!$C:$C,0,0)</f>
        <v>29800</v>
      </c>
      <c r="T241">
        <f t="shared" si="630"/>
        <v>5364</v>
      </c>
      <c r="U241">
        <f t="shared" si="631"/>
        <v>3576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32"/>
        <v>39240</v>
      </c>
      <c r="Y241">
        <f>_xlfn.XLOOKUP(B241,'[2]april-2026'!$A:$A,'[2]april-2026'!$H:$H,0,0)</f>
        <v>2000</v>
      </c>
      <c r="Z241">
        <f>_xlfn.XLOOKUP(B241,'[2]april-2026'!$A:$A,'[2]april-2026'!$I:$I,0,0)</f>
        <v>0</v>
      </c>
      <c r="AA241">
        <f t="shared" si="633"/>
        <v>150</v>
      </c>
      <c r="AB241">
        <f t="shared" si="634"/>
        <v>37090</v>
      </c>
      <c r="AC241">
        <f>_xlfn.XLOOKUP(B241,'[3]may-2026'!$A:$A,'[3]may-2026'!$C:$C,0,0)</f>
        <v>29800</v>
      </c>
      <c r="AD241">
        <f t="shared" si="635"/>
        <v>5364</v>
      </c>
      <c r="AE241">
        <f t="shared" si="636"/>
        <v>3576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37"/>
        <v>39240</v>
      </c>
      <c r="AI241">
        <f>_xlfn.XLOOKUP(B241,'[3]may-2026'!$A:$A,'[3]may-2026'!$H:$H,0,0)</f>
        <v>2000</v>
      </c>
      <c r="AJ241">
        <f>_xlfn.XLOOKUP(B241,'[3]may-2026'!$A:$A,'[3]may-2026'!$I:$I,0,0)</f>
        <v>0</v>
      </c>
      <c r="AK241">
        <f t="shared" si="638"/>
        <v>150</v>
      </c>
      <c r="AL241">
        <f t="shared" si="639"/>
        <v>37090</v>
      </c>
      <c r="AM241">
        <f>_xlfn.XLOOKUP(B241,'[4]june-2026'!$A:$A,'[4]june-2026'!$C:$C,0,0)</f>
        <v>29800</v>
      </c>
      <c r="AN241">
        <f t="shared" si="640"/>
        <v>5364</v>
      </c>
      <c r="AO241">
        <f t="shared" si="641"/>
        <v>3576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42"/>
        <v>39240</v>
      </c>
      <c r="AS241">
        <f>_xlfn.XLOOKUP(B241,'[4]june-2026'!$A:$A,'[4]june-2026'!$H:$H,0,0)</f>
        <v>2000</v>
      </c>
      <c r="AT241">
        <f>_xlfn.XLOOKUP(B241,'[4]june-2026'!$A:$A,'[4]june-2026'!$I:$I,0,0)</f>
        <v>0</v>
      </c>
      <c r="AU241">
        <f t="shared" si="643"/>
        <v>150</v>
      </c>
      <c r="AV241">
        <f t="shared" si="644"/>
        <v>37090</v>
      </c>
      <c r="AW241">
        <f>_xlfn.XLOOKUP(B241,'[5]july-2026'!$A:$A,'[5]july-2026'!$C:$C,0,0)</f>
        <v>30700</v>
      </c>
      <c r="AX241">
        <f t="shared" si="645"/>
        <v>5526</v>
      </c>
      <c r="AY241">
        <v>239</v>
      </c>
      <c r="AZ241">
        <f t="shared" si="646"/>
        <v>3684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47"/>
        <v>40649</v>
      </c>
      <c r="BD241">
        <f>_xlfn.XLOOKUP(B241,'[5]july-2026'!$A:$A,'[5]july-2026'!$H:$H,0,0)</f>
        <v>2000</v>
      </c>
      <c r="BE241">
        <f>_xlfn.XLOOKUP(B241,'[5]july-2026'!$A:$A,'[5]july-2026'!$I:$I,0,0)</f>
        <v>0</v>
      </c>
      <c r="BF241">
        <f t="shared" si="648"/>
        <v>200</v>
      </c>
      <c r="BG241">
        <f t="shared" si="649"/>
        <v>38449</v>
      </c>
      <c r="BH241">
        <f>_xlfn.XLOOKUP(B241,'[6]august-2026'!$A:$A,'[6]august-2026'!$C:$C,0,0)</f>
        <v>30700</v>
      </c>
      <c r="BI241">
        <f t="shared" si="650"/>
        <v>5526</v>
      </c>
      <c r="BJ241">
        <f t="shared" si="651"/>
        <v>3684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52"/>
        <v>40410</v>
      </c>
      <c r="BN241">
        <f>_xlfn.XLOOKUP(B241,'[6]august-2026'!$A:$A,'[6]august-2026'!$H:$H,0,0)</f>
        <v>2000</v>
      </c>
      <c r="BO241">
        <f>_xlfn.XLOOKUP(B241,'[6]august-2026'!$A:$A,'[6]august-2026'!$I:$I,0,0)</f>
        <v>0</v>
      </c>
      <c r="BP241">
        <f t="shared" si="653"/>
        <v>200</v>
      </c>
      <c r="BQ241">
        <f t="shared" si="654"/>
        <v>38210</v>
      </c>
      <c r="BR241">
        <f>_xlfn.XLOOKUP(B241,'[7]september-2026'!$A:$A,'[7]september-2026'!$C:$C,0,0)</f>
        <v>30700</v>
      </c>
      <c r="BS241">
        <f t="shared" si="655"/>
        <v>5526</v>
      </c>
      <c r="BT241">
        <f t="shared" si="656"/>
        <v>3684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57"/>
        <v>40410</v>
      </c>
      <c r="BX241">
        <f>_xlfn.XLOOKUP(B241,'[7]september-2026'!$A:$A,'[7]september-2026'!$H:$H,0,0)</f>
        <v>2000</v>
      </c>
      <c r="BY241">
        <f>_xlfn.XLOOKUP(B241,'[7]september-2026'!$A:$A,'[7]september-2026'!$I:$I,0,0)</f>
        <v>0</v>
      </c>
      <c r="BZ241">
        <f t="shared" si="658"/>
        <v>200</v>
      </c>
      <c r="CA241">
        <f t="shared" si="659"/>
        <v>38210</v>
      </c>
      <c r="CB241">
        <f>_xlfn.XLOOKUP(B241,'[8]october-2026'!$A:$A,'[8]october-2026'!$C:$C,0,0)</f>
        <v>30700</v>
      </c>
      <c r="CC241">
        <f t="shared" si="660"/>
        <v>5526</v>
      </c>
      <c r="CD241">
        <f t="shared" si="661"/>
        <v>3684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62"/>
        <v>40410</v>
      </c>
      <c r="CH241">
        <f>_xlfn.XLOOKUP(B241,'[8]october-2026'!$A:$A,'[8]october-2026'!$H:$H,0,0)</f>
        <v>2000</v>
      </c>
      <c r="CI241">
        <f>_xlfn.XLOOKUP(B241,'[8]october-2026'!$A:$A,'[8]october-2026'!$I:$I,0,0)</f>
        <v>0</v>
      </c>
      <c r="CJ241">
        <f t="shared" si="663"/>
        <v>200</v>
      </c>
      <c r="CK241">
        <f t="shared" si="664"/>
        <v>38210</v>
      </c>
      <c r="CL241">
        <f>_xlfn.XLOOKUP(B241,'[9]november-2026'!$A:$A,'[9]november-2026'!$C:$C,0,0)</f>
        <v>30700</v>
      </c>
      <c r="CM241">
        <f t="shared" si="665"/>
        <v>5526</v>
      </c>
      <c r="CN241">
        <f t="shared" si="666"/>
        <v>3684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67"/>
        <v>40410</v>
      </c>
      <c r="CR241">
        <f>_xlfn.XLOOKUP(B241,'[9]november-2026'!$A:$A,'[9]november-2026'!$H:$H,0,0)</f>
        <v>2000</v>
      </c>
      <c r="CS241">
        <f>_xlfn.XLOOKUP(B241,'[9]november-2026'!$A:$A,'[9]november-2026'!$I:$I,0,0)</f>
        <v>0</v>
      </c>
      <c r="CT241">
        <f t="shared" si="668"/>
        <v>200</v>
      </c>
      <c r="CU241">
        <f t="shared" si="669"/>
        <v>38210</v>
      </c>
      <c r="CV241">
        <f>_xlfn.XLOOKUP(B241,'[10]december-2026'!$A:$A,'[10]december-2026'!$C:$C,0,0)</f>
        <v>30700</v>
      </c>
      <c r="CW241">
        <f t="shared" si="670"/>
        <v>5526</v>
      </c>
      <c r="CX241">
        <f t="shared" si="671"/>
        <v>3684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72"/>
        <v>40410</v>
      </c>
      <c r="DB241">
        <f>_xlfn.XLOOKUP(B241,'[10]december-2026'!$A:$A,'[10]december-2026'!$H:$H,0,0)</f>
        <v>2000</v>
      </c>
      <c r="DC241">
        <f>_xlfn.XLOOKUP(B241,'[10]december-2026'!$A:$A,'[10]december-2026'!$I:$I,0,0)</f>
        <v>0</v>
      </c>
      <c r="DD241">
        <f t="shared" si="673"/>
        <v>200</v>
      </c>
      <c r="DE241">
        <f t="shared" si="674"/>
        <v>38210</v>
      </c>
      <c r="DF241">
        <f xml:space="preserve"> _xlfn.XLOOKUP(B241,
'[11]january-2027'!$A:$A,
'[11]january-2027'!$C:$C,
0,0)</f>
        <v>30700</v>
      </c>
      <c r="DG241">
        <f t="shared" si="675"/>
        <v>5526</v>
      </c>
      <c r="DH241">
        <f t="shared" si="676"/>
        <v>3684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77"/>
        <v>40410</v>
      </c>
      <c r="DL241">
        <f xml:space="preserve"> _xlfn.XLOOKUP(B241,
'[11]january-2027'!$A:$A,
'[11]january-2027'!$H:$H,
0,0)</f>
        <v>2000</v>
      </c>
      <c r="DM241">
        <f xml:space="preserve"> _xlfn.XLOOKUP(B241,
'[11]january-2027'!$A:$A,
'[11]january-2027'!$I:$I,
0,0)</f>
        <v>0</v>
      </c>
      <c r="DN241">
        <f t="shared" si="678"/>
        <v>200</v>
      </c>
      <c r="DO241">
        <f t="shared" si="679"/>
        <v>38210</v>
      </c>
      <c r="DP241">
        <f xml:space="preserve"> _xlfn.XLOOKUP(B241,
'[12]february-2027'!$A:$A,
'[12]february-2027'!$C:$C,
0,0)</f>
        <v>30700</v>
      </c>
      <c r="DQ241">
        <f t="shared" si="680"/>
        <v>5526</v>
      </c>
      <c r="DR241">
        <f t="shared" si="681"/>
        <v>3684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82"/>
        <v>40410</v>
      </c>
      <c r="DV241">
        <f xml:space="preserve"> _xlfn.XLOOKUP(B241,
'[12]february-2027'!$A:$A,
'[12]february-2027'!$H:$H,
0,0)</f>
        <v>2000</v>
      </c>
      <c r="DW241">
        <f xml:space="preserve"> _xlfn.XLOOKUP(B241,
'[12]february-2027'!$A:$A,
'[12]february-2027'!$I:$I,
0,0)</f>
        <v>0</v>
      </c>
      <c r="DX241">
        <f t="shared" si="683"/>
        <v>200</v>
      </c>
      <c r="DY241">
        <f t="shared" si="684"/>
        <v>38210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85"/>
        <v>0</v>
      </c>
      <c r="EM241">
        <f t="shared" si="686"/>
        <v>487279</v>
      </c>
      <c r="EN241">
        <f t="shared" si="687"/>
        <v>2200</v>
      </c>
      <c r="EO241">
        <f t="shared" si="688"/>
        <v>50000</v>
      </c>
      <c r="EP241">
        <v>0</v>
      </c>
      <c r="EQ241">
        <f t="shared" si="690"/>
        <v>435079</v>
      </c>
      <c r="ER241">
        <f t="shared" si="691"/>
        <v>24000</v>
      </c>
      <c r="ES241">
        <f t="shared" si="692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693"/>
        <v>24000</v>
      </c>
      <c r="FE241">
        <f t="shared" si="694"/>
        <v>24000</v>
      </c>
      <c r="FF241">
        <f t="shared" si="695"/>
        <v>411079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>SUM(FG241:FM241)+(IF(F241="YES",50000,0))</f>
        <v>0</v>
      </c>
      <c r="FO241">
        <f t="shared" si="696"/>
        <v>411079</v>
      </c>
      <c r="FP241">
        <f t="shared" si="697"/>
        <v>8054</v>
      </c>
      <c r="FQ241">
        <f t="shared" si="698"/>
        <v>0</v>
      </c>
      <c r="FR241">
        <f t="shared" si="699"/>
        <v>8054</v>
      </c>
      <c r="FS241">
        <f t="shared" si="700"/>
        <v>0</v>
      </c>
      <c r="FT241">
        <f t="shared" si="701"/>
        <v>0</v>
      </c>
      <c r="FU241">
        <f t="shared" si="702"/>
        <v>0</v>
      </c>
      <c r="FV241">
        <v>0</v>
      </c>
      <c r="FW241">
        <f t="shared" si="703"/>
        <v>0</v>
      </c>
      <c r="FX241" t="b">
        <f t="shared" si="704"/>
        <v>0</v>
      </c>
      <c r="FY241">
        <f t="shared" ca="1" si="705"/>
        <v>2424</v>
      </c>
      <c r="FZ241">
        <f t="shared" ca="1" si="706"/>
        <v>489703</v>
      </c>
      <c r="GA241">
        <f t="shared" si="707"/>
        <v>75000</v>
      </c>
      <c r="GB241">
        <f t="shared" ca="1" si="708"/>
        <v>414703</v>
      </c>
      <c r="GC241">
        <f t="shared" ca="1" si="709"/>
        <v>0</v>
      </c>
      <c r="GD241">
        <f t="shared" ca="1" si="710"/>
        <v>0</v>
      </c>
      <c r="GE241">
        <f t="shared" ca="1" si="711"/>
        <v>0</v>
      </c>
      <c r="GF241">
        <f t="shared" ca="1" si="712"/>
        <v>0</v>
      </c>
      <c r="GG241">
        <f t="shared" ca="1" si="713"/>
        <v>0</v>
      </c>
      <c r="GH241">
        <f t="shared" ca="1" si="714"/>
        <v>0</v>
      </c>
      <c r="GI241">
        <f ca="1">IF(GB241&gt;1200000,GB241-1200000-IF(F241="YES",50000,0)-GG241,0)</f>
        <v>0</v>
      </c>
      <c r="GJ241">
        <f t="shared" ca="1" si="715"/>
        <v>0</v>
      </c>
      <c r="GK241">
        <f t="shared" ca="1" si="716"/>
        <v>0</v>
      </c>
      <c r="GL241">
        <f t="shared" ca="1" si="717"/>
        <v>0</v>
      </c>
      <c r="GM241">
        <f t="shared" ca="1" si="718"/>
        <v>14703</v>
      </c>
      <c r="GN241">
        <f t="shared" ca="1" si="719"/>
        <v>735.15000000000009</v>
      </c>
      <c r="GO241">
        <f t="shared" ca="1" si="720"/>
        <v>735</v>
      </c>
      <c r="GP241">
        <f t="shared" ca="1" si="721"/>
        <v>0</v>
      </c>
      <c r="GQ241">
        <f t="shared" ca="1" si="722"/>
        <v>0</v>
      </c>
      <c r="GR241">
        <f t="shared" ca="1" si="723"/>
        <v>735</v>
      </c>
      <c r="GS241">
        <f t="shared" ca="1" si="724"/>
        <v>0</v>
      </c>
      <c r="GT241" t="b">
        <f t="shared" ca="1" si="725"/>
        <v>0</v>
      </c>
      <c r="GU241">
        <f t="shared" ca="1" si="726"/>
        <v>0</v>
      </c>
      <c r="GV241">
        <f t="shared" ca="1" si="727"/>
        <v>735</v>
      </c>
      <c r="GW241">
        <f t="shared" ca="1" si="728"/>
        <v>0</v>
      </c>
      <c r="GX241">
        <f t="shared" ca="1" si="729"/>
        <v>0</v>
      </c>
      <c r="GY241">
        <f t="shared" ca="1" si="730"/>
        <v>0</v>
      </c>
    </row>
    <row r="242" spans="1:207" x14ac:dyDescent="0.25">
      <c r="A242">
        <f>_xlfn.AGGREGATE(3,5,$B$2:B242)</f>
        <v>241</v>
      </c>
      <c r="B242" t="s">
        <v>577</v>
      </c>
      <c r="C242" t="s">
        <v>578</v>
      </c>
      <c r="D242" t="s">
        <v>810</v>
      </c>
      <c r="E242" t="s">
        <v>830</v>
      </c>
      <c r="F242" t="s">
        <v>952</v>
      </c>
      <c r="G242" t="s">
        <v>944</v>
      </c>
      <c r="H242">
        <f t="shared" si="625"/>
        <v>6800</v>
      </c>
      <c r="I242">
        <f>_xlfn.XLOOKUP(B242,'[1]march-2026'!$A:$A,'[1]march-2026'!$C:$C,0,0)</f>
        <v>51700</v>
      </c>
      <c r="J242">
        <f t="shared" si="689"/>
        <v>9306</v>
      </c>
      <c r="K242">
        <f t="shared" si="626"/>
        <v>6204</v>
      </c>
      <c r="L242">
        <f>_xlfn.XLOOKUP(B242,'[1]march-2026'!$A:$A,'[1]march-2026'!$D:$D,0,0)</f>
        <v>400</v>
      </c>
      <c r="M242">
        <f>_xlfn.XLOOKUP(B242,'[1]march-2026'!$A:$A,'[1]march-2026'!$G:$G,0,0)</f>
        <v>500</v>
      </c>
      <c r="N242">
        <f t="shared" si="627"/>
        <v>68110</v>
      </c>
      <c r="O242">
        <f>_xlfn.XLOOKUP(B242,'[1]march-2026'!$A:$A,'[1]march-2026'!$H:$H,0,0)</f>
        <v>6000</v>
      </c>
      <c r="P242">
        <f>_xlfn.XLOOKUP(B242,'[1]march-2026'!$A:$A,'[1]march-2026'!$I:$I,0,0)</f>
        <v>0</v>
      </c>
      <c r="Q242">
        <f t="shared" si="628"/>
        <v>200</v>
      </c>
      <c r="R242">
        <f t="shared" si="629"/>
        <v>61910</v>
      </c>
      <c r="S242">
        <f>_xlfn.XLOOKUP(B242,'[2]april-2026'!$A:$A,'[2]april-2026'!$C:$C,0,0)</f>
        <v>51700</v>
      </c>
      <c r="T242">
        <f t="shared" si="630"/>
        <v>9306</v>
      </c>
      <c r="U242">
        <f t="shared" si="631"/>
        <v>6204</v>
      </c>
      <c r="V242">
        <f>_xlfn.XLOOKUP(B242,'[2]april-2026'!$A:$A,'[2]april-2026'!$D:$D,0,0)</f>
        <v>400</v>
      </c>
      <c r="W242">
        <f>_xlfn.XLOOKUP(B242,'[2]april-2026'!$A:$A,'[2]april-2026'!$G:$G,0,0)</f>
        <v>500</v>
      </c>
      <c r="X242">
        <f t="shared" si="632"/>
        <v>68110</v>
      </c>
      <c r="Y242">
        <f>_xlfn.XLOOKUP(B242,'[2]april-2026'!$A:$A,'[2]april-2026'!$H:$H,0,0)</f>
        <v>6000</v>
      </c>
      <c r="Z242">
        <f>_xlfn.XLOOKUP(B242,'[2]april-2026'!$A:$A,'[2]april-2026'!$I:$I,0,0)</f>
        <v>0</v>
      </c>
      <c r="AA242">
        <f t="shared" si="633"/>
        <v>200</v>
      </c>
      <c r="AB242">
        <f t="shared" si="634"/>
        <v>61910</v>
      </c>
      <c r="AC242">
        <f>_xlfn.XLOOKUP(B242,'[3]may-2026'!$A:$A,'[3]may-2026'!$C:$C,0,0)</f>
        <v>51700</v>
      </c>
      <c r="AD242">
        <f t="shared" si="635"/>
        <v>9306</v>
      </c>
      <c r="AE242">
        <f t="shared" si="636"/>
        <v>6204</v>
      </c>
      <c r="AF242">
        <f>_xlfn.XLOOKUP(B242,'[3]may-2026'!$A:$A,'[3]may-2026'!$D:$D,0,0)</f>
        <v>400</v>
      </c>
      <c r="AG242">
        <f>_xlfn.XLOOKUP(B242,'[3]may-2026'!$A:$A,'[3]may-2026'!$G:$G,0,0)</f>
        <v>500</v>
      </c>
      <c r="AH242">
        <f t="shared" si="637"/>
        <v>68110</v>
      </c>
      <c r="AI242">
        <f>_xlfn.XLOOKUP(B242,'[3]may-2026'!$A:$A,'[3]may-2026'!$H:$H,0,0)</f>
        <v>6000</v>
      </c>
      <c r="AJ242">
        <f>_xlfn.XLOOKUP(B242,'[3]may-2026'!$A:$A,'[3]may-2026'!$I:$I,0,0)</f>
        <v>0</v>
      </c>
      <c r="AK242">
        <f t="shared" si="638"/>
        <v>200</v>
      </c>
      <c r="AL242">
        <f t="shared" si="639"/>
        <v>61910</v>
      </c>
      <c r="AM242">
        <f>_xlfn.XLOOKUP(B242,'[4]june-2026'!$A:$A,'[4]june-2026'!$C:$C,0,0)</f>
        <v>51700</v>
      </c>
      <c r="AN242">
        <f t="shared" si="640"/>
        <v>9306</v>
      </c>
      <c r="AO242">
        <f t="shared" si="641"/>
        <v>6204</v>
      </c>
      <c r="AP242">
        <f>_xlfn.XLOOKUP(B242,'[4]june-2026'!$A:$A,'[4]june-2026'!$D:$D,0,0)</f>
        <v>400</v>
      </c>
      <c r="AQ242">
        <f>_xlfn.XLOOKUP(B242,'[4]june-2026'!$A:$A,'[4]june-2026'!$G:$G,0,0)</f>
        <v>500</v>
      </c>
      <c r="AR242">
        <f t="shared" si="642"/>
        <v>68110</v>
      </c>
      <c r="AS242">
        <f>_xlfn.XLOOKUP(B242,'[4]june-2026'!$A:$A,'[4]june-2026'!$H:$H,0,0)</f>
        <v>6000</v>
      </c>
      <c r="AT242">
        <f>_xlfn.XLOOKUP(B242,'[4]june-2026'!$A:$A,'[4]june-2026'!$I:$I,0,0)</f>
        <v>0</v>
      </c>
      <c r="AU242">
        <f t="shared" si="643"/>
        <v>200</v>
      </c>
      <c r="AV242">
        <f t="shared" si="644"/>
        <v>61910</v>
      </c>
      <c r="AW242">
        <f>_xlfn.XLOOKUP(B242,'[5]july-2026'!$A:$A,'[5]july-2026'!$C:$C,0,0)</f>
        <v>53300</v>
      </c>
      <c r="AX242">
        <f t="shared" si="645"/>
        <v>9594</v>
      </c>
      <c r="AY242">
        <v>240</v>
      </c>
      <c r="AZ242">
        <f t="shared" si="646"/>
        <v>6396</v>
      </c>
      <c r="BA242">
        <f>_xlfn.XLOOKUP(B242,'[5]july-2026'!$A:$A,'[5]july-2026'!$D:$D,0,0)</f>
        <v>400</v>
      </c>
      <c r="BB242">
        <f>_xlfn.XLOOKUP(B242,'[5]july-2026'!$A:$A,'[5]july-2026'!$G:$G,0,0)</f>
        <v>500</v>
      </c>
      <c r="BC242">
        <f t="shared" si="647"/>
        <v>70430</v>
      </c>
      <c r="BD242">
        <f>_xlfn.XLOOKUP(B242,'[5]july-2026'!$A:$A,'[5]july-2026'!$H:$H,0,0)</f>
        <v>6000</v>
      </c>
      <c r="BE242">
        <f>_xlfn.XLOOKUP(B242,'[5]july-2026'!$A:$A,'[5]july-2026'!$I:$I,0,0)</f>
        <v>0</v>
      </c>
      <c r="BF242">
        <f t="shared" si="648"/>
        <v>200</v>
      </c>
      <c r="BG242">
        <f t="shared" si="649"/>
        <v>64230</v>
      </c>
      <c r="BH242">
        <f>_xlfn.XLOOKUP(B242,'[6]august-2026'!$A:$A,'[6]august-2026'!$C:$C,0,0)</f>
        <v>53300</v>
      </c>
      <c r="BI242">
        <f t="shared" si="650"/>
        <v>9594</v>
      </c>
      <c r="BJ242">
        <f t="shared" si="651"/>
        <v>6396</v>
      </c>
      <c r="BK242">
        <f>_xlfn.XLOOKUP(B242,'[6]august-2026'!$A:$A,'[6]august-2026'!$D:$D,0,0)</f>
        <v>400</v>
      </c>
      <c r="BL242">
        <f>_xlfn.XLOOKUP(B242,'[6]august-2026'!$A:$A,'[6]august-2026'!$G:$G,0,0)</f>
        <v>500</v>
      </c>
      <c r="BM242">
        <f t="shared" si="652"/>
        <v>70190</v>
      </c>
      <c r="BN242">
        <f>_xlfn.XLOOKUP(B242,'[6]august-2026'!$A:$A,'[6]august-2026'!$H:$H,0,0)</f>
        <v>6000</v>
      </c>
      <c r="BO242">
        <f>_xlfn.XLOOKUP(B242,'[6]august-2026'!$A:$A,'[6]august-2026'!$I:$I,0,0)</f>
        <v>0</v>
      </c>
      <c r="BP242">
        <f t="shared" si="653"/>
        <v>200</v>
      </c>
      <c r="BQ242">
        <f t="shared" si="654"/>
        <v>63990</v>
      </c>
      <c r="BR242">
        <f>_xlfn.XLOOKUP(B242,'[7]september-2026'!$A:$A,'[7]september-2026'!$C:$C,0,0)</f>
        <v>53300</v>
      </c>
      <c r="BS242">
        <f t="shared" si="655"/>
        <v>9594</v>
      </c>
      <c r="BT242">
        <f t="shared" si="656"/>
        <v>6396</v>
      </c>
      <c r="BU242">
        <f>_xlfn.XLOOKUP(B242,'[7]september-2026'!$A:$A,'[7]september-2026'!$D:$D,0,0)</f>
        <v>400</v>
      </c>
      <c r="BV242">
        <f>_xlfn.XLOOKUP(B242,'[7]september-2026'!$A:$A,'[7]september-2026'!$G:$G,0,0)</f>
        <v>500</v>
      </c>
      <c r="BW242">
        <f t="shared" si="657"/>
        <v>70190</v>
      </c>
      <c r="BX242">
        <f>_xlfn.XLOOKUP(B242,'[7]september-2026'!$A:$A,'[7]september-2026'!$H:$H,0,0)</f>
        <v>6000</v>
      </c>
      <c r="BY242">
        <f>_xlfn.XLOOKUP(B242,'[7]september-2026'!$A:$A,'[7]september-2026'!$I:$I,0,0)</f>
        <v>0</v>
      </c>
      <c r="BZ242">
        <f t="shared" si="658"/>
        <v>200</v>
      </c>
      <c r="CA242">
        <f t="shared" si="659"/>
        <v>63990</v>
      </c>
      <c r="CB242">
        <f>_xlfn.XLOOKUP(B242,'[8]october-2026'!$A:$A,'[8]october-2026'!$C:$C,0,0)</f>
        <v>53300</v>
      </c>
      <c r="CC242">
        <f t="shared" si="660"/>
        <v>9594</v>
      </c>
      <c r="CD242">
        <f t="shared" si="661"/>
        <v>6396</v>
      </c>
      <c r="CE242">
        <f>_xlfn.XLOOKUP(B242,'[8]october-2026'!$A:$A,'[8]october-2026'!$D:$D,0,0)</f>
        <v>400</v>
      </c>
      <c r="CF242">
        <f>_xlfn.XLOOKUP(B242,'[8]october-2026'!$A:$A,'[8]october-2026'!$G:$G,0,0)</f>
        <v>500</v>
      </c>
      <c r="CG242">
        <f t="shared" si="662"/>
        <v>70190</v>
      </c>
      <c r="CH242">
        <f>_xlfn.XLOOKUP(B242,'[8]october-2026'!$A:$A,'[8]october-2026'!$H:$H,0,0)</f>
        <v>6000</v>
      </c>
      <c r="CI242">
        <f>_xlfn.XLOOKUP(B242,'[8]october-2026'!$A:$A,'[8]october-2026'!$I:$I,0,0)</f>
        <v>0</v>
      </c>
      <c r="CJ242">
        <f t="shared" si="663"/>
        <v>200</v>
      </c>
      <c r="CK242">
        <f t="shared" si="664"/>
        <v>63990</v>
      </c>
      <c r="CL242">
        <f>_xlfn.XLOOKUP(B242,'[9]november-2026'!$A:$A,'[9]november-2026'!$C:$C,0,0)</f>
        <v>53300</v>
      </c>
      <c r="CM242">
        <f t="shared" si="665"/>
        <v>9594</v>
      </c>
      <c r="CN242">
        <f t="shared" si="666"/>
        <v>6396</v>
      </c>
      <c r="CO242">
        <f>_xlfn.XLOOKUP(B242,'[9]november-2026'!$A:$A,'[9]november-2026'!$D:$D,0,0)</f>
        <v>400</v>
      </c>
      <c r="CP242">
        <f>_xlfn.XLOOKUP(B242,'[9]november-2026'!$A:$A,'[9]november-2026'!$G:$G,0,0)</f>
        <v>500</v>
      </c>
      <c r="CQ242">
        <f t="shared" si="667"/>
        <v>70190</v>
      </c>
      <c r="CR242">
        <f>_xlfn.XLOOKUP(B242,'[9]november-2026'!$A:$A,'[9]november-2026'!$H:$H,0,0)</f>
        <v>6000</v>
      </c>
      <c r="CS242">
        <f>_xlfn.XLOOKUP(B242,'[9]november-2026'!$A:$A,'[9]november-2026'!$I:$I,0,0)</f>
        <v>0</v>
      </c>
      <c r="CT242">
        <f t="shared" si="668"/>
        <v>200</v>
      </c>
      <c r="CU242">
        <f t="shared" si="669"/>
        <v>63990</v>
      </c>
      <c r="CV242">
        <f>_xlfn.XLOOKUP(B242,'[10]december-2026'!$A:$A,'[10]december-2026'!$C:$C,0,0)</f>
        <v>53300</v>
      </c>
      <c r="CW242">
        <f t="shared" si="670"/>
        <v>9594</v>
      </c>
      <c r="CX242">
        <f t="shared" si="671"/>
        <v>6396</v>
      </c>
      <c r="CY242">
        <f>_xlfn.XLOOKUP(B242,'[10]december-2026'!$A:$A,'[10]december-2026'!$D:$D,0,0)</f>
        <v>400</v>
      </c>
      <c r="CZ242">
        <f>_xlfn.XLOOKUP(B242,'[10]december-2026'!$A:$A,'[10]december-2026'!$G:$G,0,0)</f>
        <v>500</v>
      </c>
      <c r="DA242">
        <f t="shared" si="672"/>
        <v>70190</v>
      </c>
      <c r="DB242">
        <f>_xlfn.XLOOKUP(B242,'[10]december-2026'!$A:$A,'[10]december-2026'!$H:$H,0,0)</f>
        <v>6000</v>
      </c>
      <c r="DC242">
        <f>_xlfn.XLOOKUP(B242,'[10]december-2026'!$A:$A,'[10]december-2026'!$I:$I,0,0)</f>
        <v>0</v>
      </c>
      <c r="DD242">
        <f t="shared" si="673"/>
        <v>200</v>
      </c>
      <c r="DE242">
        <f t="shared" si="674"/>
        <v>63990</v>
      </c>
      <c r="DF242">
        <f xml:space="preserve"> _xlfn.XLOOKUP(B242,
'[11]january-2027'!$A:$A,
'[11]january-2027'!$C:$C,
0,0)</f>
        <v>53300</v>
      </c>
      <c r="DG242">
        <f t="shared" si="675"/>
        <v>9594</v>
      </c>
      <c r="DH242">
        <f t="shared" si="676"/>
        <v>6396</v>
      </c>
      <c r="DI242">
        <f xml:space="preserve"> _xlfn.XLOOKUP(B242,
'[11]january-2027'!$A:$A,
'[11]january-2027'!$D:$D,
0,0)</f>
        <v>400</v>
      </c>
      <c r="DJ242">
        <f xml:space="preserve"> _xlfn.XLOOKUP(B242,
'[11]january-2027'!$A:$A,
'[11]january-2027'!$G:$G,
0,0)</f>
        <v>500</v>
      </c>
      <c r="DK242">
        <f t="shared" si="677"/>
        <v>70190</v>
      </c>
      <c r="DL242">
        <f xml:space="preserve"> _xlfn.XLOOKUP(B242,
'[11]january-2027'!$A:$A,
'[11]january-2027'!$H:$H,
0,0)</f>
        <v>6000</v>
      </c>
      <c r="DM242">
        <f xml:space="preserve"> _xlfn.XLOOKUP(B242,
'[11]january-2027'!$A:$A,
'[11]january-2027'!$I:$I,
0,0)</f>
        <v>0</v>
      </c>
      <c r="DN242">
        <f t="shared" si="678"/>
        <v>200</v>
      </c>
      <c r="DO242">
        <f t="shared" si="679"/>
        <v>63990</v>
      </c>
      <c r="DP242">
        <f xml:space="preserve"> _xlfn.XLOOKUP(B242,
'[12]february-2027'!$A:$A,
'[12]february-2027'!$C:$C,
0,0)</f>
        <v>53300</v>
      </c>
      <c r="DQ242">
        <f t="shared" si="680"/>
        <v>9594</v>
      </c>
      <c r="DR242">
        <f t="shared" si="681"/>
        <v>6396</v>
      </c>
      <c r="DS242">
        <f xml:space="preserve"> _xlfn.XLOOKUP(B242,
'[12]february-2027'!$A:$A,
'[12]february-2027'!$D:$D,
0,0)</f>
        <v>400</v>
      </c>
      <c r="DT242">
        <f xml:space="preserve"> _xlfn.XLOOKUP(B242,
'[12]february-2027'!$A:$A,
'[12]february-2027'!$G:$G,
0,0)</f>
        <v>500</v>
      </c>
      <c r="DU242">
        <f t="shared" si="682"/>
        <v>70190</v>
      </c>
      <c r="DV242">
        <f xml:space="preserve"> _xlfn.XLOOKUP(B242,
'[12]february-2027'!$A:$A,
'[12]february-2027'!$H:$H,
0,0)</f>
        <v>6000</v>
      </c>
      <c r="DW242">
        <f xml:space="preserve"> _xlfn.XLOOKUP(B242,
'[12]february-2027'!$A:$A,
'[12]february-2027'!$I:$I,
0,0)</f>
        <v>0</v>
      </c>
      <c r="DX242">
        <f t="shared" si="683"/>
        <v>200</v>
      </c>
      <c r="DY242">
        <f t="shared" si="684"/>
        <v>63990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85"/>
        <v>0</v>
      </c>
      <c r="EM242">
        <f t="shared" si="686"/>
        <v>841000</v>
      </c>
      <c r="EN242">
        <f t="shared" si="687"/>
        <v>2400</v>
      </c>
      <c r="EO242">
        <f t="shared" si="688"/>
        <v>50000</v>
      </c>
      <c r="EP242">
        <v>0</v>
      </c>
      <c r="EQ242">
        <f t="shared" si="690"/>
        <v>788600</v>
      </c>
      <c r="ER242">
        <f t="shared" si="691"/>
        <v>72000</v>
      </c>
      <c r="ES242">
        <f t="shared" si="692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693"/>
        <v>72000</v>
      </c>
      <c r="FE242">
        <f t="shared" si="694"/>
        <v>72000</v>
      </c>
      <c r="FF242">
        <f t="shared" si="695"/>
        <v>716600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>SUM(FG242:FM242)+(IF(F242="YES",50000,0))</f>
        <v>0</v>
      </c>
      <c r="FO242">
        <f t="shared" si="696"/>
        <v>716600</v>
      </c>
      <c r="FP242">
        <f t="shared" si="697"/>
        <v>12500</v>
      </c>
      <c r="FQ242">
        <f t="shared" si="698"/>
        <v>43320</v>
      </c>
      <c r="FR242">
        <f t="shared" si="699"/>
        <v>55820</v>
      </c>
      <c r="FS242">
        <f t="shared" si="700"/>
        <v>55820</v>
      </c>
      <c r="FT242">
        <f t="shared" si="701"/>
        <v>2232.8000000000002</v>
      </c>
      <c r="FU242">
        <f t="shared" si="702"/>
        <v>58053</v>
      </c>
      <c r="FV242">
        <v>0</v>
      </c>
      <c r="FW242">
        <f t="shared" si="703"/>
        <v>58053</v>
      </c>
      <c r="FX242" t="b">
        <f t="shared" si="704"/>
        <v>1</v>
      </c>
      <c r="FY242">
        <f t="shared" ca="1" si="705"/>
        <v>761</v>
      </c>
      <c r="FZ242">
        <f t="shared" ca="1" si="706"/>
        <v>841761</v>
      </c>
      <c r="GA242">
        <f t="shared" si="707"/>
        <v>75000</v>
      </c>
      <c r="GB242">
        <f t="shared" ca="1" si="708"/>
        <v>766761</v>
      </c>
      <c r="GC242">
        <f t="shared" ca="1" si="709"/>
        <v>0</v>
      </c>
      <c r="GD242">
        <f t="shared" ca="1" si="710"/>
        <v>0</v>
      </c>
      <c r="GE242">
        <f t="shared" ca="1" si="711"/>
        <v>0</v>
      </c>
      <c r="GF242">
        <f t="shared" ca="1" si="712"/>
        <v>0</v>
      </c>
      <c r="GG242">
        <f t="shared" ca="1" si="713"/>
        <v>0</v>
      </c>
      <c r="GH242">
        <f t="shared" ca="1" si="714"/>
        <v>0</v>
      </c>
      <c r="GI242">
        <f ca="1">IF(GB242&gt;1200000,GB242-1200000-IF(F242="YES",50000,0)-GG242,0)</f>
        <v>0</v>
      </c>
      <c r="GJ242">
        <f t="shared" ca="1" si="715"/>
        <v>0</v>
      </c>
      <c r="GK242">
        <f t="shared" ca="1" si="716"/>
        <v>0</v>
      </c>
      <c r="GL242">
        <f t="shared" ca="1" si="717"/>
        <v>0</v>
      </c>
      <c r="GM242">
        <f t="shared" ca="1" si="718"/>
        <v>366761</v>
      </c>
      <c r="GN242">
        <f t="shared" ca="1" si="719"/>
        <v>18338.05</v>
      </c>
      <c r="GO242">
        <f t="shared" ca="1" si="720"/>
        <v>18338</v>
      </c>
      <c r="GP242">
        <f t="shared" ca="1" si="721"/>
        <v>0</v>
      </c>
      <c r="GQ242">
        <f t="shared" ca="1" si="722"/>
        <v>0</v>
      </c>
      <c r="GR242">
        <f t="shared" ca="1" si="723"/>
        <v>18338</v>
      </c>
      <c r="GS242">
        <f t="shared" ca="1" si="724"/>
        <v>0</v>
      </c>
      <c r="GT242" t="b">
        <f t="shared" ca="1" si="725"/>
        <v>0</v>
      </c>
      <c r="GU242">
        <f t="shared" ca="1" si="726"/>
        <v>0</v>
      </c>
      <c r="GV242">
        <f t="shared" ca="1" si="727"/>
        <v>18338</v>
      </c>
      <c r="GW242">
        <f t="shared" ca="1" si="728"/>
        <v>0</v>
      </c>
      <c r="GX242">
        <f t="shared" ca="1" si="729"/>
        <v>0</v>
      </c>
      <c r="GY242">
        <f t="shared" ca="1" si="730"/>
        <v>0</v>
      </c>
    </row>
    <row r="243" spans="1:207" x14ac:dyDescent="0.25">
      <c r="A243">
        <f>_xlfn.AGGREGATE(3,5,$B$2:B243)</f>
        <v>242</v>
      </c>
      <c r="B243" t="s">
        <v>579</v>
      </c>
      <c r="C243" t="s">
        <v>580</v>
      </c>
      <c r="D243" t="s">
        <v>810</v>
      </c>
      <c r="E243" t="s">
        <v>830</v>
      </c>
      <c r="F243" t="s">
        <v>952</v>
      </c>
      <c r="G243" t="s">
        <v>945</v>
      </c>
      <c r="H243">
        <f t="shared" si="625"/>
        <v>6800</v>
      </c>
      <c r="I243">
        <f>_xlfn.XLOOKUP(B243,'[1]march-2026'!$A:$A,'[1]march-2026'!$C:$C,0,0)</f>
        <v>48700</v>
      </c>
      <c r="J243">
        <f t="shared" si="689"/>
        <v>8766</v>
      </c>
      <c r="K243">
        <f t="shared" si="626"/>
        <v>5844</v>
      </c>
      <c r="L243">
        <f>_xlfn.XLOOKUP(B243,'[1]march-2026'!$A:$A,'[1]march-2026'!$D:$D,0,0)</f>
        <v>0</v>
      </c>
      <c r="M243">
        <f>_xlfn.XLOOKUP(B243,'[1]march-2026'!$A:$A,'[1]march-2026'!$G:$G,0,0)</f>
        <v>0</v>
      </c>
      <c r="N243">
        <f t="shared" si="627"/>
        <v>63310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28"/>
        <v>200</v>
      </c>
      <c r="R243">
        <f t="shared" si="629"/>
        <v>57110</v>
      </c>
      <c r="S243">
        <f>_xlfn.XLOOKUP(B243,'[2]april-2026'!$A:$A,'[2]april-2026'!$C:$C,0,0)</f>
        <v>48700</v>
      </c>
      <c r="T243">
        <f t="shared" si="630"/>
        <v>8766</v>
      </c>
      <c r="U243">
        <f t="shared" si="631"/>
        <v>5844</v>
      </c>
      <c r="V243">
        <f>_xlfn.XLOOKUP(B243,'[2]april-2026'!$A:$A,'[2]april-2026'!$D:$D,0,0)</f>
        <v>0</v>
      </c>
      <c r="W243">
        <f>_xlfn.XLOOKUP(B243,'[2]april-2026'!$A:$A,'[2]april-2026'!$G:$G,0,0)</f>
        <v>0</v>
      </c>
      <c r="X243">
        <f t="shared" si="632"/>
        <v>63310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33"/>
        <v>200</v>
      </c>
      <c r="AB243">
        <f t="shared" si="634"/>
        <v>57110</v>
      </c>
      <c r="AC243">
        <f>_xlfn.XLOOKUP(B243,'[3]may-2026'!$A:$A,'[3]may-2026'!$C:$C,0,0)</f>
        <v>48700</v>
      </c>
      <c r="AD243">
        <f t="shared" si="635"/>
        <v>8766</v>
      </c>
      <c r="AE243">
        <f t="shared" si="636"/>
        <v>5844</v>
      </c>
      <c r="AF243">
        <f>_xlfn.XLOOKUP(B243,'[3]may-2026'!$A:$A,'[3]may-2026'!$D:$D,0,0)</f>
        <v>0</v>
      </c>
      <c r="AG243">
        <f>_xlfn.XLOOKUP(B243,'[3]may-2026'!$A:$A,'[3]may-2026'!$G:$G,0,0)</f>
        <v>0</v>
      </c>
      <c r="AH243">
        <f t="shared" si="637"/>
        <v>63310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38"/>
        <v>200</v>
      </c>
      <c r="AL243">
        <f t="shared" si="639"/>
        <v>57110</v>
      </c>
      <c r="AM243">
        <f>_xlfn.XLOOKUP(B243,'[4]june-2026'!$A:$A,'[4]june-2026'!$C:$C,0,0)</f>
        <v>48700</v>
      </c>
      <c r="AN243">
        <f t="shared" si="640"/>
        <v>8766</v>
      </c>
      <c r="AO243">
        <f t="shared" si="641"/>
        <v>5844</v>
      </c>
      <c r="AP243">
        <f>_xlfn.XLOOKUP(B243,'[4]june-2026'!$A:$A,'[4]june-2026'!$D:$D,0,0)</f>
        <v>0</v>
      </c>
      <c r="AQ243">
        <f>_xlfn.XLOOKUP(B243,'[4]june-2026'!$A:$A,'[4]june-2026'!$G:$G,0,0)</f>
        <v>0</v>
      </c>
      <c r="AR243">
        <f t="shared" si="642"/>
        <v>63310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43"/>
        <v>200</v>
      </c>
      <c r="AV243">
        <f t="shared" si="644"/>
        <v>57110</v>
      </c>
      <c r="AW243">
        <f>_xlfn.XLOOKUP(B243,'[5]july-2026'!$A:$A,'[5]july-2026'!$C:$C,0,0)</f>
        <v>50200</v>
      </c>
      <c r="AX243">
        <f t="shared" si="645"/>
        <v>9036</v>
      </c>
      <c r="AY243">
        <v>241</v>
      </c>
      <c r="AZ243">
        <f t="shared" si="646"/>
        <v>6024</v>
      </c>
      <c r="BA243">
        <f>_xlfn.XLOOKUP(B243,'[5]july-2026'!$A:$A,'[5]july-2026'!$D:$D,0,0)</f>
        <v>0</v>
      </c>
      <c r="BB243">
        <f>_xlfn.XLOOKUP(B243,'[5]july-2026'!$A:$A,'[5]july-2026'!$G:$G,0,0)</f>
        <v>0</v>
      </c>
      <c r="BC243">
        <f t="shared" si="647"/>
        <v>65501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48"/>
        <v>200</v>
      </c>
      <c r="BG243">
        <f t="shared" si="649"/>
        <v>59301</v>
      </c>
      <c r="BH243">
        <f>_xlfn.XLOOKUP(B243,'[6]august-2026'!$A:$A,'[6]august-2026'!$C:$C,0,0)</f>
        <v>50200</v>
      </c>
      <c r="BI243">
        <f t="shared" si="650"/>
        <v>9036</v>
      </c>
      <c r="BJ243">
        <f t="shared" si="651"/>
        <v>6024</v>
      </c>
      <c r="BK243">
        <f>_xlfn.XLOOKUP(B243,'[6]august-2026'!$A:$A,'[6]august-2026'!$D:$D,0,0)</f>
        <v>0</v>
      </c>
      <c r="BL243">
        <f>_xlfn.XLOOKUP(B243,'[6]august-2026'!$A:$A,'[6]august-2026'!$G:$G,0,0)</f>
        <v>0</v>
      </c>
      <c r="BM243">
        <f t="shared" si="652"/>
        <v>65260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53"/>
        <v>200</v>
      </c>
      <c r="BQ243">
        <f t="shared" si="654"/>
        <v>59060</v>
      </c>
      <c r="BR243">
        <f>_xlfn.XLOOKUP(B243,'[7]september-2026'!$A:$A,'[7]september-2026'!$C:$C,0,0)</f>
        <v>50200</v>
      </c>
      <c r="BS243">
        <f t="shared" si="655"/>
        <v>9036</v>
      </c>
      <c r="BT243">
        <f t="shared" si="656"/>
        <v>6024</v>
      </c>
      <c r="BU243">
        <f>_xlfn.XLOOKUP(B243,'[7]september-2026'!$A:$A,'[7]september-2026'!$D:$D,0,0)</f>
        <v>0</v>
      </c>
      <c r="BV243">
        <f>_xlfn.XLOOKUP(B243,'[7]september-2026'!$A:$A,'[7]september-2026'!$G:$G,0,0)</f>
        <v>0</v>
      </c>
      <c r="BW243">
        <f t="shared" si="657"/>
        <v>65260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58"/>
        <v>200</v>
      </c>
      <c r="CA243">
        <f t="shared" si="659"/>
        <v>59060</v>
      </c>
      <c r="CB243">
        <f>_xlfn.XLOOKUP(B243,'[8]october-2026'!$A:$A,'[8]october-2026'!$C:$C,0,0)</f>
        <v>50200</v>
      </c>
      <c r="CC243">
        <f t="shared" si="660"/>
        <v>9036</v>
      </c>
      <c r="CD243">
        <f t="shared" si="661"/>
        <v>6024</v>
      </c>
      <c r="CE243">
        <f>_xlfn.XLOOKUP(B243,'[8]october-2026'!$A:$A,'[8]october-2026'!$D:$D,0,0)</f>
        <v>0</v>
      </c>
      <c r="CF243">
        <f>_xlfn.XLOOKUP(B243,'[8]october-2026'!$A:$A,'[8]october-2026'!$G:$G,0,0)</f>
        <v>0</v>
      </c>
      <c r="CG243">
        <f t="shared" si="662"/>
        <v>65260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63"/>
        <v>200</v>
      </c>
      <c r="CK243">
        <f t="shared" si="664"/>
        <v>59060</v>
      </c>
      <c r="CL243">
        <f>_xlfn.XLOOKUP(B243,'[9]november-2026'!$A:$A,'[9]november-2026'!$C:$C,0,0)</f>
        <v>50200</v>
      </c>
      <c r="CM243">
        <f t="shared" si="665"/>
        <v>9036</v>
      </c>
      <c r="CN243">
        <f t="shared" si="666"/>
        <v>6024</v>
      </c>
      <c r="CO243">
        <f>_xlfn.XLOOKUP(B243,'[9]november-2026'!$A:$A,'[9]november-2026'!$D:$D,0,0)</f>
        <v>0</v>
      </c>
      <c r="CP243">
        <f>_xlfn.XLOOKUP(B243,'[9]november-2026'!$A:$A,'[9]november-2026'!$G:$G,0,0)</f>
        <v>0</v>
      </c>
      <c r="CQ243">
        <f t="shared" si="667"/>
        <v>65260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68"/>
        <v>200</v>
      </c>
      <c r="CU243">
        <f t="shared" si="669"/>
        <v>59060</v>
      </c>
      <c r="CV243">
        <f>_xlfn.XLOOKUP(B243,'[10]december-2026'!$A:$A,'[10]december-2026'!$C:$C,0,0)</f>
        <v>50200</v>
      </c>
      <c r="CW243">
        <f t="shared" si="670"/>
        <v>9036</v>
      </c>
      <c r="CX243">
        <f t="shared" si="671"/>
        <v>6024</v>
      </c>
      <c r="CY243">
        <f>_xlfn.XLOOKUP(B243,'[10]december-2026'!$A:$A,'[10]december-2026'!$D:$D,0,0)</f>
        <v>0</v>
      </c>
      <c r="CZ243">
        <f>_xlfn.XLOOKUP(B243,'[10]december-2026'!$A:$A,'[10]december-2026'!$G:$G,0,0)</f>
        <v>0</v>
      </c>
      <c r="DA243">
        <f t="shared" si="672"/>
        <v>65260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73"/>
        <v>200</v>
      </c>
      <c r="DE243">
        <f t="shared" si="674"/>
        <v>59060</v>
      </c>
      <c r="DF243">
        <f xml:space="preserve"> _xlfn.XLOOKUP(B243,
'[11]january-2027'!$A:$A,
'[11]january-2027'!$C:$C,
0,0)</f>
        <v>50200</v>
      </c>
      <c r="DG243">
        <f t="shared" si="675"/>
        <v>9036</v>
      </c>
      <c r="DH243">
        <f t="shared" si="676"/>
        <v>6024</v>
      </c>
      <c r="DI243">
        <f xml:space="preserve"> _xlfn.XLOOKUP(B243,
'[11]january-2027'!$A:$A,
'[11]january-2027'!$D:$D,
0,0)</f>
        <v>0</v>
      </c>
      <c r="DJ243">
        <f xml:space="preserve"> _xlfn.XLOOKUP(B243,
'[11]january-2027'!$A:$A,
'[11]january-2027'!$G:$G,
0,0)</f>
        <v>0</v>
      </c>
      <c r="DK243">
        <f t="shared" si="677"/>
        <v>65260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78"/>
        <v>200</v>
      </c>
      <c r="DO243">
        <f t="shared" si="679"/>
        <v>59060</v>
      </c>
      <c r="DP243">
        <f xml:space="preserve"> _xlfn.XLOOKUP(B243,
'[12]february-2027'!$A:$A,
'[12]february-2027'!$C:$C,
0,0)</f>
        <v>50200</v>
      </c>
      <c r="DQ243">
        <f t="shared" si="680"/>
        <v>9036</v>
      </c>
      <c r="DR243">
        <f t="shared" si="681"/>
        <v>6024</v>
      </c>
      <c r="DS243">
        <f xml:space="preserve"> _xlfn.XLOOKUP(B243,
'[12]february-2027'!$A:$A,
'[12]february-2027'!$D:$D,
0,0)</f>
        <v>0</v>
      </c>
      <c r="DT243">
        <f xml:space="preserve"> _xlfn.XLOOKUP(B243,
'[12]february-2027'!$A:$A,
'[12]february-2027'!$G:$G,
0,0)</f>
        <v>0</v>
      </c>
      <c r="DU243">
        <f t="shared" si="682"/>
        <v>65260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83"/>
        <v>200</v>
      </c>
      <c r="DY243">
        <f t="shared" si="684"/>
        <v>59060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85"/>
        <v>0</v>
      </c>
      <c r="EM243">
        <f t="shared" si="686"/>
        <v>782361</v>
      </c>
      <c r="EN243">
        <f t="shared" si="687"/>
        <v>2400</v>
      </c>
      <c r="EO243">
        <f t="shared" si="688"/>
        <v>50000</v>
      </c>
      <c r="EP243">
        <v>0</v>
      </c>
      <c r="EQ243">
        <f t="shared" si="690"/>
        <v>729961</v>
      </c>
      <c r="ER243">
        <f t="shared" si="691"/>
        <v>72000</v>
      </c>
      <c r="ES243">
        <f t="shared" si="692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693"/>
        <v>72000</v>
      </c>
      <c r="FE243">
        <f t="shared" si="694"/>
        <v>72000</v>
      </c>
      <c r="FF243">
        <f t="shared" si="695"/>
        <v>657961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>SUM(FG243:FM243)+(IF(F243="YES",50000,0))</f>
        <v>0</v>
      </c>
      <c r="FO243">
        <f t="shared" si="696"/>
        <v>657961</v>
      </c>
      <c r="FP243">
        <f t="shared" si="697"/>
        <v>12500</v>
      </c>
      <c r="FQ243">
        <f t="shared" si="698"/>
        <v>31592</v>
      </c>
      <c r="FR243">
        <f t="shared" si="699"/>
        <v>44092</v>
      </c>
      <c r="FS243">
        <f t="shared" si="700"/>
        <v>44092</v>
      </c>
      <c r="FT243">
        <f t="shared" si="701"/>
        <v>1763.68</v>
      </c>
      <c r="FU243">
        <f t="shared" si="702"/>
        <v>45856</v>
      </c>
      <c r="FV243">
        <v>0</v>
      </c>
      <c r="FW243">
        <f t="shared" si="703"/>
        <v>45856</v>
      </c>
      <c r="FX243" t="b">
        <f t="shared" si="704"/>
        <v>1</v>
      </c>
      <c r="FY243">
        <f t="shared" ca="1" si="705"/>
        <v>996</v>
      </c>
      <c r="FZ243">
        <f t="shared" ca="1" si="706"/>
        <v>783357</v>
      </c>
      <c r="GA243">
        <f t="shared" si="707"/>
        <v>75000</v>
      </c>
      <c r="GB243">
        <f t="shared" ca="1" si="708"/>
        <v>708357</v>
      </c>
      <c r="GC243">
        <f t="shared" ca="1" si="709"/>
        <v>0</v>
      </c>
      <c r="GD243">
        <f t="shared" ca="1" si="710"/>
        <v>0</v>
      </c>
      <c r="GE243">
        <f t="shared" ca="1" si="711"/>
        <v>0</v>
      </c>
      <c r="GF243">
        <f t="shared" ca="1" si="712"/>
        <v>0</v>
      </c>
      <c r="GG243">
        <f t="shared" ca="1" si="713"/>
        <v>0</v>
      </c>
      <c r="GH243">
        <f t="shared" ca="1" si="714"/>
        <v>0</v>
      </c>
      <c r="GI243">
        <f ca="1">IF(GB243&gt;1200000,GB243-1200000-IF(F243="YES",50000,0)-GG243,0)</f>
        <v>0</v>
      </c>
      <c r="GJ243">
        <f t="shared" ca="1" si="715"/>
        <v>0</v>
      </c>
      <c r="GK243">
        <f t="shared" ca="1" si="716"/>
        <v>0</v>
      </c>
      <c r="GL243">
        <f t="shared" ca="1" si="717"/>
        <v>0</v>
      </c>
      <c r="GM243">
        <f t="shared" ca="1" si="718"/>
        <v>308357</v>
      </c>
      <c r="GN243">
        <f t="shared" ca="1" si="719"/>
        <v>15417.85</v>
      </c>
      <c r="GO243">
        <f t="shared" ca="1" si="720"/>
        <v>15418</v>
      </c>
      <c r="GP243">
        <f t="shared" ca="1" si="721"/>
        <v>0</v>
      </c>
      <c r="GQ243">
        <f t="shared" ca="1" si="722"/>
        <v>0</v>
      </c>
      <c r="GR243">
        <f t="shared" ca="1" si="723"/>
        <v>15418</v>
      </c>
      <c r="GS243">
        <f t="shared" ca="1" si="724"/>
        <v>0</v>
      </c>
      <c r="GT243" t="b">
        <f t="shared" ca="1" si="725"/>
        <v>0</v>
      </c>
      <c r="GU243">
        <f t="shared" ca="1" si="726"/>
        <v>0</v>
      </c>
      <c r="GV243">
        <f t="shared" ca="1" si="727"/>
        <v>15418</v>
      </c>
      <c r="GW243">
        <f t="shared" ca="1" si="728"/>
        <v>0</v>
      </c>
      <c r="GX243">
        <f t="shared" ca="1" si="729"/>
        <v>0</v>
      </c>
      <c r="GY243">
        <f t="shared" ca="1" si="730"/>
        <v>0</v>
      </c>
    </row>
    <row r="244" spans="1:207" x14ac:dyDescent="0.25">
      <c r="A244">
        <f>_xlfn.AGGREGATE(3,5,$B$2:B244)</f>
        <v>243</v>
      </c>
      <c r="B244" t="s">
        <v>581</v>
      </c>
      <c r="C244" t="s">
        <v>582</v>
      </c>
      <c r="D244" t="s">
        <v>810</v>
      </c>
      <c r="E244" t="s">
        <v>830</v>
      </c>
      <c r="F244" t="s">
        <v>952</v>
      </c>
      <c r="G244" t="s">
        <v>922</v>
      </c>
      <c r="H244">
        <f t="shared" si="625"/>
        <v>6800</v>
      </c>
      <c r="I244">
        <f>_xlfn.XLOOKUP(B244,'[1]march-2026'!$A:$A,'[1]march-2026'!$C:$C,0,0)</f>
        <v>34500</v>
      </c>
      <c r="J244">
        <f t="shared" si="689"/>
        <v>6210</v>
      </c>
      <c r="K244">
        <f t="shared" si="626"/>
        <v>4140</v>
      </c>
      <c r="L244">
        <f>_xlfn.XLOOKUP(B244,'[1]march-2026'!$A:$A,'[1]march-2026'!$D:$D,0,0)</f>
        <v>0</v>
      </c>
      <c r="M244">
        <f>_xlfn.XLOOKUP(B244,'[1]march-2026'!$A:$A,'[1]march-2026'!$G:$G,0,0)</f>
        <v>500</v>
      </c>
      <c r="N244">
        <f t="shared" si="627"/>
        <v>45350</v>
      </c>
      <c r="O244">
        <f>_xlfn.XLOOKUP(B244,'[1]march-2026'!$A:$A,'[1]march-2026'!$H:$H,0,0)</f>
        <v>2500</v>
      </c>
      <c r="P244">
        <f>_xlfn.XLOOKUP(B244,'[1]march-2026'!$A:$A,'[1]march-2026'!$I:$I,0,0)</f>
        <v>0</v>
      </c>
      <c r="Q244">
        <f t="shared" si="628"/>
        <v>200</v>
      </c>
      <c r="R244">
        <f t="shared" si="629"/>
        <v>42650</v>
      </c>
      <c r="S244">
        <f>_xlfn.XLOOKUP(B244,'[2]april-2026'!$A:$A,'[2]april-2026'!$C:$C,0,0)</f>
        <v>34500</v>
      </c>
      <c r="T244">
        <f t="shared" si="630"/>
        <v>6210</v>
      </c>
      <c r="U244">
        <f t="shared" si="631"/>
        <v>4140</v>
      </c>
      <c r="V244">
        <f>_xlfn.XLOOKUP(B244,'[2]april-2026'!$A:$A,'[2]april-2026'!$D:$D,0,0)</f>
        <v>0</v>
      </c>
      <c r="W244">
        <f>_xlfn.XLOOKUP(B244,'[2]april-2026'!$A:$A,'[2]april-2026'!$G:$G,0,0)</f>
        <v>500</v>
      </c>
      <c r="X244">
        <f t="shared" si="632"/>
        <v>45350</v>
      </c>
      <c r="Y244">
        <f>_xlfn.XLOOKUP(B244,'[2]april-2026'!$A:$A,'[2]april-2026'!$H:$H,0,0)</f>
        <v>2500</v>
      </c>
      <c r="Z244">
        <f>_xlfn.XLOOKUP(B244,'[2]april-2026'!$A:$A,'[2]april-2026'!$I:$I,0,0)</f>
        <v>0</v>
      </c>
      <c r="AA244">
        <f t="shared" si="633"/>
        <v>200</v>
      </c>
      <c r="AB244">
        <f t="shared" si="634"/>
        <v>42650</v>
      </c>
      <c r="AC244">
        <f>_xlfn.XLOOKUP(B244,'[3]may-2026'!$A:$A,'[3]may-2026'!$C:$C,0,0)</f>
        <v>34500</v>
      </c>
      <c r="AD244">
        <f t="shared" si="635"/>
        <v>6210</v>
      </c>
      <c r="AE244">
        <f t="shared" si="636"/>
        <v>4140</v>
      </c>
      <c r="AF244">
        <f>_xlfn.XLOOKUP(B244,'[3]may-2026'!$A:$A,'[3]may-2026'!$D:$D,0,0)</f>
        <v>0</v>
      </c>
      <c r="AG244">
        <f>_xlfn.XLOOKUP(B244,'[3]may-2026'!$A:$A,'[3]may-2026'!$G:$G,0,0)</f>
        <v>500</v>
      </c>
      <c r="AH244">
        <f t="shared" si="637"/>
        <v>45350</v>
      </c>
      <c r="AI244">
        <f>_xlfn.XLOOKUP(B244,'[3]may-2026'!$A:$A,'[3]may-2026'!$H:$H,0,0)</f>
        <v>2500</v>
      </c>
      <c r="AJ244">
        <f>_xlfn.XLOOKUP(B244,'[3]may-2026'!$A:$A,'[3]may-2026'!$I:$I,0,0)</f>
        <v>0</v>
      </c>
      <c r="AK244">
        <f t="shared" si="638"/>
        <v>200</v>
      </c>
      <c r="AL244">
        <f t="shared" si="639"/>
        <v>42650</v>
      </c>
      <c r="AM244">
        <f>_xlfn.XLOOKUP(B244,'[4]june-2026'!$A:$A,'[4]june-2026'!$C:$C,0,0)</f>
        <v>34500</v>
      </c>
      <c r="AN244">
        <f t="shared" si="640"/>
        <v>6210</v>
      </c>
      <c r="AO244">
        <f t="shared" si="641"/>
        <v>4140</v>
      </c>
      <c r="AP244">
        <f>_xlfn.XLOOKUP(B244,'[4]june-2026'!$A:$A,'[4]june-2026'!$D:$D,0,0)</f>
        <v>0</v>
      </c>
      <c r="AQ244">
        <f>_xlfn.XLOOKUP(B244,'[4]june-2026'!$A:$A,'[4]june-2026'!$G:$G,0,0)</f>
        <v>500</v>
      </c>
      <c r="AR244">
        <f t="shared" si="642"/>
        <v>45350</v>
      </c>
      <c r="AS244">
        <f>_xlfn.XLOOKUP(B244,'[4]june-2026'!$A:$A,'[4]june-2026'!$H:$H,0,0)</f>
        <v>2500</v>
      </c>
      <c r="AT244">
        <f>_xlfn.XLOOKUP(B244,'[4]june-2026'!$A:$A,'[4]june-2026'!$I:$I,0,0)</f>
        <v>0</v>
      </c>
      <c r="AU244">
        <f t="shared" si="643"/>
        <v>200</v>
      </c>
      <c r="AV244">
        <f t="shared" si="644"/>
        <v>42650</v>
      </c>
      <c r="AW244">
        <f>_xlfn.XLOOKUP(B244,'[5]july-2026'!$A:$A,'[5]july-2026'!$C:$C,0,0)</f>
        <v>35500</v>
      </c>
      <c r="AX244">
        <f t="shared" si="645"/>
        <v>6390</v>
      </c>
      <c r="AY244">
        <v>242</v>
      </c>
      <c r="AZ244">
        <f t="shared" si="646"/>
        <v>4260</v>
      </c>
      <c r="BA244">
        <f>_xlfn.XLOOKUP(B244,'[5]july-2026'!$A:$A,'[5]july-2026'!$D:$D,0,0)</f>
        <v>0</v>
      </c>
      <c r="BB244">
        <f>_xlfn.XLOOKUP(B244,'[5]july-2026'!$A:$A,'[5]july-2026'!$G:$G,0,0)</f>
        <v>500</v>
      </c>
      <c r="BC244">
        <f t="shared" si="647"/>
        <v>46892</v>
      </c>
      <c r="BD244">
        <f>_xlfn.XLOOKUP(B244,'[5]july-2026'!$A:$A,'[5]july-2026'!$H:$H,0,0)</f>
        <v>2500</v>
      </c>
      <c r="BE244">
        <f>_xlfn.XLOOKUP(B244,'[5]july-2026'!$A:$A,'[5]july-2026'!$I:$I,0,0)</f>
        <v>0</v>
      </c>
      <c r="BF244">
        <f t="shared" si="648"/>
        <v>200</v>
      </c>
      <c r="BG244">
        <f t="shared" si="649"/>
        <v>44192</v>
      </c>
      <c r="BH244">
        <f>_xlfn.XLOOKUP(B244,'[6]august-2026'!$A:$A,'[6]august-2026'!$C:$C,0,0)</f>
        <v>35500</v>
      </c>
      <c r="BI244">
        <f t="shared" si="650"/>
        <v>6390</v>
      </c>
      <c r="BJ244">
        <f t="shared" si="651"/>
        <v>4260</v>
      </c>
      <c r="BK244">
        <f>_xlfn.XLOOKUP(B244,'[6]august-2026'!$A:$A,'[6]august-2026'!$D:$D,0,0)</f>
        <v>0</v>
      </c>
      <c r="BL244">
        <f>_xlfn.XLOOKUP(B244,'[6]august-2026'!$A:$A,'[6]august-2026'!$G:$G,0,0)</f>
        <v>500</v>
      </c>
      <c r="BM244">
        <f t="shared" si="652"/>
        <v>46650</v>
      </c>
      <c r="BN244">
        <f>_xlfn.XLOOKUP(B244,'[6]august-2026'!$A:$A,'[6]august-2026'!$H:$H,0,0)</f>
        <v>2500</v>
      </c>
      <c r="BO244">
        <f>_xlfn.XLOOKUP(B244,'[6]august-2026'!$A:$A,'[6]august-2026'!$I:$I,0,0)</f>
        <v>0</v>
      </c>
      <c r="BP244">
        <f t="shared" si="653"/>
        <v>200</v>
      </c>
      <c r="BQ244">
        <f t="shared" si="654"/>
        <v>43950</v>
      </c>
      <c r="BR244">
        <f>_xlfn.XLOOKUP(B244,'[7]september-2026'!$A:$A,'[7]september-2026'!$C:$C,0,0)</f>
        <v>35500</v>
      </c>
      <c r="BS244">
        <f t="shared" si="655"/>
        <v>6390</v>
      </c>
      <c r="BT244">
        <f t="shared" si="656"/>
        <v>4260</v>
      </c>
      <c r="BU244">
        <f>_xlfn.XLOOKUP(B244,'[7]september-2026'!$A:$A,'[7]september-2026'!$D:$D,0,0)</f>
        <v>0</v>
      </c>
      <c r="BV244">
        <f>_xlfn.XLOOKUP(B244,'[7]september-2026'!$A:$A,'[7]september-2026'!$G:$G,0,0)</f>
        <v>500</v>
      </c>
      <c r="BW244">
        <f t="shared" si="657"/>
        <v>46650</v>
      </c>
      <c r="BX244">
        <f>_xlfn.XLOOKUP(B244,'[7]september-2026'!$A:$A,'[7]september-2026'!$H:$H,0,0)</f>
        <v>2500</v>
      </c>
      <c r="BY244">
        <f>_xlfn.XLOOKUP(B244,'[7]september-2026'!$A:$A,'[7]september-2026'!$I:$I,0,0)</f>
        <v>0</v>
      </c>
      <c r="BZ244">
        <f t="shared" si="658"/>
        <v>200</v>
      </c>
      <c r="CA244">
        <f t="shared" si="659"/>
        <v>43950</v>
      </c>
      <c r="CB244">
        <f>_xlfn.XLOOKUP(B244,'[8]october-2026'!$A:$A,'[8]october-2026'!$C:$C,0,0)</f>
        <v>35500</v>
      </c>
      <c r="CC244">
        <f t="shared" si="660"/>
        <v>6390</v>
      </c>
      <c r="CD244">
        <f t="shared" si="661"/>
        <v>4260</v>
      </c>
      <c r="CE244">
        <f>_xlfn.XLOOKUP(B244,'[8]october-2026'!$A:$A,'[8]october-2026'!$D:$D,0,0)</f>
        <v>0</v>
      </c>
      <c r="CF244">
        <f>_xlfn.XLOOKUP(B244,'[8]october-2026'!$A:$A,'[8]october-2026'!$G:$G,0,0)</f>
        <v>500</v>
      </c>
      <c r="CG244">
        <f t="shared" si="662"/>
        <v>46650</v>
      </c>
      <c r="CH244">
        <f>_xlfn.XLOOKUP(B244,'[8]october-2026'!$A:$A,'[8]october-2026'!$H:$H,0,0)</f>
        <v>2500</v>
      </c>
      <c r="CI244">
        <f>_xlfn.XLOOKUP(B244,'[8]october-2026'!$A:$A,'[8]october-2026'!$I:$I,0,0)</f>
        <v>0</v>
      </c>
      <c r="CJ244">
        <f t="shared" si="663"/>
        <v>200</v>
      </c>
      <c r="CK244">
        <f t="shared" si="664"/>
        <v>43950</v>
      </c>
      <c r="CL244">
        <f>_xlfn.XLOOKUP(B244,'[9]november-2026'!$A:$A,'[9]november-2026'!$C:$C,0,0)</f>
        <v>35500</v>
      </c>
      <c r="CM244">
        <f t="shared" si="665"/>
        <v>6390</v>
      </c>
      <c r="CN244">
        <f t="shared" si="666"/>
        <v>4260</v>
      </c>
      <c r="CO244">
        <f>_xlfn.XLOOKUP(B244,'[9]november-2026'!$A:$A,'[9]november-2026'!$D:$D,0,0)</f>
        <v>0</v>
      </c>
      <c r="CP244">
        <f>_xlfn.XLOOKUP(B244,'[9]november-2026'!$A:$A,'[9]november-2026'!$G:$G,0,0)</f>
        <v>500</v>
      </c>
      <c r="CQ244">
        <f t="shared" si="667"/>
        <v>46650</v>
      </c>
      <c r="CR244">
        <f>_xlfn.XLOOKUP(B244,'[9]november-2026'!$A:$A,'[9]november-2026'!$H:$H,0,0)</f>
        <v>2500</v>
      </c>
      <c r="CS244">
        <f>_xlfn.XLOOKUP(B244,'[9]november-2026'!$A:$A,'[9]november-2026'!$I:$I,0,0)</f>
        <v>0</v>
      </c>
      <c r="CT244">
        <f t="shared" si="668"/>
        <v>200</v>
      </c>
      <c r="CU244">
        <f t="shared" si="669"/>
        <v>43950</v>
      </c>
      <c r="CV244">
        <f>_xlfn.XLOOKUP(B244,'[10]december-2026'!$A:$A,'[10]december-2026'!$C:$C,0,0)</f>
        <v>35500</v>
      </c>
      <c r="CW244">
        <f t="shared" si="670"/>
        <v>6390</v>
      </c>
      <c r="CX244">
        <f t="shared" si="671"/>
        <v>4260</v>
      </c>
      <c r="CY244">
        <f>_xlfn.XLOOKUP(B244,'[10]december-2026'!$A:$A,'[10]december-2026'!$D:$D,0,0)</f>
        <v>0</v>
      </c>
      <c r="CZ244">
        <f>_xlfn.XLOOKUP(B244,'[10]december-2026'!$A:$A,'[10]december-2026'!$G:$G,0,0)</f>
        <v>500</v>
      </c>
      <c r="DA244">
        <f t="shared" si="672"/>
        <v>46650</v>
      </c>
      <c r="DB244">
        <f>_xlfn.XLOOKUP(B244,'[10]december-2026'!$A:$A,'[10]december-2026'!$H:$H,0,0)</f>
        <v>2500</v>
      </c>
      <c r="DC244">
        <f>_xlfn.XLOOKUP(B244,'[10]december-2026'!$A:$A,'[10]december-2026'!$I:$I,0,0)</f>
        <v>0</v>
      </c>
      <c r="DD244">
        <f t="shared" si="673"/>
        <v>200</v>
      </c>
      <c r="DE244">
        <f t="shared" si="674"/>
        <v>43950</v>
      </c>
      <c r="DF244">
        <f xml:space="preserve"> _xlfn.XLOOKUP(B244,
'[11]january-2027'!$A:$A,
'[11]january-2027'!$C:$C,
0,0)</f>
        <v>35500</v>
      </c>
      <c r="DG244">
        <f t="shared" si="675"/>
        <v>6390</v>
      </c>
      <c r="DH244">
        <f t="shared" si="676"/>
        <v>4260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500</v>
      </c>
      <c r="DK244">
        <f t="shared" si="677"/>
        <v>46650</v>
      </c>
      <c r="DL244">
        <f xml:space="preserve"> _xlfn.XLOOKUP(B244,
'[11]january-2027'!$A:$A,
'[11]january-2027'!$H:$H,
0,0)</f>
        <v>2500</v>
      </c>
      <c r="DM244">
        <f xml:space="preserve"> _xlfn.XLOOKUP(B244,
'[11]january-2027'!$A:$A,
'[11]january-2027'!$I:$I,
0,0)</f>
        <v>0</v>
      </c>
      <c r="DN244">
        <f t="shared" si="678"/>
        <v>200</v>
      </c>
      <c r="DO244">
        <f t="shared" si="679"/>
        <v>43950</v>
      </c>
      <c r="DP244">
        <f xml:space="preserve"> _xlfn.XLOOKUP(B244,
'[12]february-2027'!$A:$A,
'[12]february-2027'!$C:$C,
0,0)</f>
        <v>35500</v>
      </c>
      <c r="DQ244">
        <f t="shared" si="680"/>
        <v>6390</v>
      </c>
      <c r="DR244">
        <f t="shared" si="681"/>
        <v>4260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500</v>
      </c>
      <c r="DU244">
        <f t="shared" si="682"/>
        <v>46650</v>
      </c>
      <c r="DV244">
        <f xml:space="preserve"> _xlfn.XLOOKUP(B244,
'[12]february-2027'!$A:$A,
'[12]february-2027'!$H:$H,
0,0)</f>
        <v>2500</v>
      </c>
      <c r="DW244">
        <f xml:space="preserve"> _xlfn.XLOOKUP(B244,
'[12]february-2027'!$A:$A,
'[12]february-2027'!$I:$I,
0,0)</f>
        <v>0</v>
      </c>
      <c r="DX244">
        <f t="shared" si="683"/>
        <v>200</v>
      </c>
      <c r="DY244">
        <f t="shared" si="684"/>
        <v>43950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85"/>
        <v>0</v>
      </c>
      <c r="EM244">
        <f t="shared" si="686"/>
        <v>561642</v>
      </c>
      <c r="EN244">
        <f t="shared" si="687"/>
        <v>2400</v>
      </c>
      <c r="EO244">
        <f t="shared" si="688"/>
        <v>50000</v>
      </c>
      <c r="EP244">
        <v>0</v>
      </c>
      <c r="EQ244">
        <f t="shared" si="690"/>
        <v>509242</v>
      </c>
      <c r="ER244">
        <f t="shared" si="691"/>
        <v>30000</v>
      </c>
      <c r="ES244">
        <f t="shared" si="692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693"/>
        <v>30000</v>
      </c>
      <c r="FE244">
        <f t="shared" si="694"/>
        <v>30000</v>
      </c>
      <c r="FF244">
        <f t="shared" si="695"/>
        <v>479242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>SUM(FG244:FM244)+(IF(F244="YES",50000,0))</f>
        <v>0</v>
      </c>
      <c r="FO244">
        <f t="shared" si="696"/>
        <v>479242</v>
      </c>
      <c r="FP244">
        <f t="shared" si="697"/>
        <v>11462</v>
      </c>
      <c r="FQ244">
        <f t="shared" si="698"/>
        <v>0</v>
      </c>
      <c r="FR244">
        <f t="shared" si="699"/>
        <v>11462</v>
      </c>
      <c r="FS244">
        <f t="shared" si="700"/>
        <v>0</v>
      </c>
      <c r="FT244">
        <f t="shared" si="701"/>
        <v>0</v>
      </c>
      <c r="FU244">
        <f t="shared" si="702"/>
        <v>0</v>
      </c>
      <c r="FV244">
        <v>0</v>
      </c>
      <c r="FW244">
        <f t="shared" si="703"/>
        <v>0</v>
      </c>
      <c r="FX244" t="b">
        <f t="shared" si="704"/>
        <v>1</v>
      </c>
      <c r="FY244">
        <f t="shared" ca="1" si="705"/>
        <v>705</v>
      </c>
      <c r="FZ244">
        <f t="shared" ca="1" si="706"/>
        <v>562347</v>
      </c>
      <c r="GA244">
        <f t="shared" si="707"/>
        <v>75000</v>
      </c>
      <c r="GB244">
        <f t="shared" ca="1" si="708"/>
        <v>487347</v>
      </c>
      <c r="GC244">
        <f t="shared" ca="1" si="709"/>
        <v>0</v>
      </c>
      <c r="GD244">
        <f t="shared" ca="1" si="710"/>
        <v>0</v>
      </c>
      <c r="GE244">
        <f t="shared" ca="1" si="711"/>
        <v>0</v>
      </c>
      <c r="GF244">
        <f t="shared" ca="1" si="712"/>
        <v>0</v>
      </c>
      <c r="GG244">
        <f t="shared" ca="1" si="713"/>
        <v>0</v>
      </c>
      <c r="GH244">
        <f t="shared" ca="1" si="714"/>
        <v>0</v>
      </c>
      <c r="GI244">
        <f ca="1">IF(GB244&gt;1200000,GB244-1200000-IF(F244="YES",50000,0)-GG244,0)</f>
        <v>0</v>
      </c>
      <c r="GJ244">
        <f t="shared" ca="1" si="715"/>
        <v>0</v>
      </c>
      <c r="GK244">
        <f t="shared" ca="1" si="716"/>
        <v>0</v>
      </c>
      <c r="GL244">
        <f t="shared" ca="1" si="717"/>
        <v>0</v>
      </c>
      <c r="GM244">
        <f t="shared" ca="1" si="718"/>
        <v>87347</v>
      </c>
      <c r="GN244">
        <f t="shared" ca="1" si="719"/>
        <v>4367.3500000000004</v>
      </c>
      <c r="GO244">
        <f t="shared" ca="1" si="720"/>
        <v>4367</v>
      </c>
      <c r="GP244">
        <f t="shared" ca="1" si="721"/>
        <v>0</v>
      </c>
      <c r="GQ244">
        <f t="shared" ca="1" si="722"/>
        <v>0</v>
      </c>
      <c r="GR244">
        <f t="shared" ca="1" si="723"/>
        <v>4367</v>
      </c>
      <c r="GS244">
        <f t="shared" ca="1" si="724"/>
        <v>0</v>
      </c>
      <c r="GT244" t="b">
        <f t="shared" ca="1" si="725"/>
        <v>0</v>
      </c>
      <c r="GU244">
        <f t="shared" ca="1" si="726"/>
        <v>0</v>
      </c>
      <c r="GV244">
        <f t="shared" ca="1" si="727"/>
        <v>4367</v>
      </c>
      <c r="GW244">
        <f t="shared" ca="1" si="728"/>
        <v>0</v>
      </c>
      <c r="GX244">
        <f t="shared" ca="1" si="729"/>
        <v>0</v>
      </c>
      <c r="GY244">
        <f t="shared" ca="1" si="730"/>
        <v>0</v>
      </c>
    </row>
    <row r="245" spans="1:207" x14ac:dyDescent="0.25">
      <c r="A245">
        <f>_xlfn.AGGREGATE(3,5,$B$2:B245)</f>
        <v>244</v>
      </c>
      <c r="B245" t="s">
        <v>583</v>
      </c>
      <c r="C245" t="s">
        <v>584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25"/>
        <v>6800</v>
      </c>
      <c r="I245">
        <f>_xlfn.XLOOKUP(B245,'[1]march-2026'!$A:$A,'[1]march-2026'!$C:$C,0,0)</f>
        <v>34500</v>
      </c>
      <c r="J245">
        <f t="shared" si="689"/>
        <v>6210</v>
      </c>
      <c r="K245">
        <f t="shared" si="626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27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28"/>
        <v>200</v>
      </c>
      <c r="R245">
        <f t="shared" si="629"/>
        <v>42650</v>
      </c>
      <c r="S245">
        <f>_xlfn.XLOOKUP(B245,'[2]april-2026'!$A:$A,'[2]april-2026'!$C:$C,0,0)</f>
        <v>34500</v>
      </c>
      <c r="T245">
        <f t="shared" si="630"/>
        <v>6210</v>
      </c>
      <c r="U245">
        <f t="shared" si="631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32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33"/>
        <v>200</v>
      </c>
      <c r="AB245">
        <f t="shared" si="634"/>
        <v>42650</v>
      </c>
      <c r="AC245">
        <f>_xlfn.XLOOKUP(B245,'[3]may-2026'!$A:$A,'[3]may-2026'!$C:$C,0,0)</f>
        <v>34500</v>
      </c>
      <c r="AD245">
        <f t="shared" si="635"/>
        <v>6210</v>
      </c>
      <c r="AE245">
        <f t="shared" si="636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37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38"/>
        <v>200</v>
      </c>
      <c r="AL245">
        <f t="shared" si="639"/>
        <v>42650</v>
      </c>
      <c r="AM245">
        <f>_xlfn.XLOOKUP(B245,'[4]june-2026'!$A:$A,'[4]june-2026'!$C:$C,0,0)</f>
        <v>34500</v>
      </c>
      <c r="AN245">
        <f t="shared" si="640"/>
        <v>6210</v>
      </c>
      <c r="AO245">
        <f t="shared" si="641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42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43"/>
        <v>200</v>
      </c>
      <c r="AV245">
        <f t="shared" si="644"/>
        <v>42650</v>
      </c>
      <c r="AW245">
        <f>_xlfn.XLOOKUP(B245,'[5]july-2026'!$A:$A,'[5]july-2026'!$C:$C,0,0)</f>
        <v>35500</v>
      </c>
      <c r="AX245">
        <f t="shared" si="645"/>
        <v>6390</v>
      </c>
      <c r="AY245">
        <v>243</v>
      </c>
      <c r="AZ245">
        <f t="shared" si="646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47"/>
        <v>46893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48"/>
        <v>200</v>
      </c>
      <c r="BG245">
        <f t="shared" si="649"/>
        <v>44193</v>
      </c>
      <c r="BH245">
        <f>_xlfn.XLOOKUP(B245,'[6]august-2026'!$A:$A,'[6]august-2026'!$C:$C,0,0)</f>
        <v>35500</v>
      </c>
      <c r="BI245">
        <f t="shared" si="650"/>
        <v>6390</v>
      </c>
      <c r="BJ245">
        <f t="shared" si="651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52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53"/>
        <v>200</v>
      </c>
      <c r="BQ245">
        <f t="shared" si="654"/>
        <v>43950</v>
      </c>
      <c r="BR245">
        <f>_xlfn.XLOOKUP(B245,'[7]september-2026'!$A:$A,'[7]september-2026'!$C:$C,0,0)</f>
        <v>35500</v>
      </c>
      <c r="BS245">
        <f t="shared" si="655"/>
        <v>6390</v>
      </c>
      <c r="BT245">
        <f t="shared" si="656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57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58"/>
        <v>200</v>
      </c>
      <c r="CA245">
        <f t="shared" si="659"/>
        <v>43950</v>
      </c>
      <c r="CB245">
        <f>_xlfn.XLOOKUP(B245,'[8]october-2026'!$A:$A,'[8]october-2026'!$C:$C,0,0)</f>
        <v>35500</v>
      </c>
      <c r="CC245">
        <f t="shared" si="660"/>
        <v>6390</v>
      </c>
      <c r="CD245">
        <f t="shared" si="661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62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63"/>
        <v>200</v>
      </c>
      <c r="CK245">
        <f t="shared" si="664"/>
        <v>43950</v>
      </c>
      <c r="CL245">
        <f>_xlfn.XLOOKUP(B245,'[9]november-2026'!$A:$A,'[9]november-2026'!$C:$C,0,0)</f>
        <v>35500</v>
      </c>
      <c r="CM245">
        <f t="shared" si="665"/>
        <v>6390</v>
      </c>
      <c r="CN245">
        <f t="shared" si="666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67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68"/>
        <v>200</v>
      </c>
      <c r="CU245">
        <f t="shared" si="669"/>
        <v>43950</v>
      </c>
      <c r="CV245">
        <f>_xlfn.XLOOKUP(B245,'[10]december-2026'!$A:$A,'[10]december-2026'!$C:$C,0,0)</f>
        <v>35500</v>
      </c>
      <c r="CW245">
        <f t="shared" si="670"/>
        <v>6390</v>
      </c>
      <c r="CX245">
        <f t="shared" si="671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72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73"/>
        <v>200</v>
      </c>
      <c r="DE245">
        <f t="shared" si="674"/>
        <v>43950</v>
      </c>
      <c r="DF245">
        <f xml:space="preserve"> _xlfn.XLOOKUP(B245,
'[11]january-2027'!$A:$A,
'[11]january-2027'!$C:$C,
0,0)</f>
        <v>35500</v>
      </c>
      <c r="DG245">
        <f t="shared" si="675"/>
        <v>6390</v>
      </c>
      <c r="DH245">
        <f t="shared" si="676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77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78"/>
        <v>200</v>
      </c>
      <c r="DO245">
        <f t="shared" si="679"/>
        <v>43950</v>
      </c>
      <c r="DP245">
        <f xml:space="preserve"> _xlfn.XLOOKUP(B245,
'[12]february-2027'!$A:$A,
'[12]february-2027'!$C:$C,
0,0)</f>
        <v>35500</v>
      </c>
      <c r="DQ245">
        <f t="shared" si="680"/>
        <v>6390</v>
      </c>
      <c r="DR245">
        <f t="shared" si="681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82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83"/>
        <v>200</v>
      </c>
      <c r="DY245">
        <f t="shared" si="684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85"/>
        <v>0</v>
      </c>
      <c r="EM245">
        <f t="shared" si="686"/>
        <v>561643</v>
      </c>
      <c r="EN245">
        <f t="shared" si="687"/>
        <v>2400</v>
      </c>
      <c r="EO245">
        <f t="shared" si="688"/>
        <v>50000</v>
      </c>
      <c r="EP245">
        <v>0</v>
      </c>
      <c r="EQ245">
        <f t="shared" si="690"/>
        <v>509243</v>
      </c>
      <c r="ER245">
        <f t="shared" si="691"/>
        <v>30000</v>
      </c>
      <c r="ES245">
        <f t="shared" si="692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693"/>
        <v>30000</v>
      </c>
      <c r="FE245">
        <f t="shared" si="694"/>
        <v>30000</v>
      </c>
      <c r="FF245">
        <f t="shared" si="695"/>
        <v>479243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>SUM(FG245:FM245)+(IF(F245="YES",50000,0))</f>
        <v>0</v>
      </c>
      <c r="FO245">
        <f t="shared" si="696"/>
        <v>479243</v>
      </c>
      <c r="FP245">
        <f t="shared" si="697"/>
        <v>11462</v>
      </c>
      <c r="FQ245">
        <f t="shared" si="698"/>
        <v>0</v>
      </c>
      <c r="FR245">
        <f t="shared" si="699"/>
        <v>11462</v>
      </c>
      <c r="FS245">
        <f t="shared" si="700"/>
        <v>0</v>
      </c>
      <c r="FT245">
        <f t="shared" si="701"/>
        <v>0</v>
      </c>
      <c r="FU245">
        <f t="shared" si="702"/>
        <v>0</v>
      </c>
      <c r="FV245">
        <v>0</v>
      </c>
      <c r="FW245">
        <f t="shared" si="703"/>
        <v>0</v>
      </c>
      <c r="FX245" t="b">
        <f t="shared" si="704"/>
        <v>1</v>
      </c>
      <c r="FY245">
        <f t="shared" ca="1" si="705"/>
        <v>866</v>
      </c>
      <c r="FZ245">
        <f t="shared" ca="1" si="706"/>
        <v>562509</v>
      </c>
      <c r="GA245">
        <f t="shared" si="707"/>
        <v>75000</v>
      </c>
      <c r="GB245">
        <f t="shared" ca="1" si="708"/>
        <v>487509</v>
      </c>
      <c r="GC245">
        <f t="shared" ca="1" si="709"/>
        <v>0</v>
      </c>
      <c r="GD245">
        <f t="shared" ca="1" si="710"/>
        <v>0</v>
      </c>
      <c r="GE245">
        <f t="shared" ca="1" si="711"/>
        <v>0</v>
      </c>
      <c r="GF245">
        <f t="shared" ca="1" si="712"/>
        <v>0</v>
      </c>
      <c r="GG245">
        <f t="shared" ca="1" si="713"/>
        <v>0</v>
      </c>
      <c r="GH245">
        <f t="shared" ca="1" si="714"/>
        <v>0</v>
      </c>
      <c r="GI245">
        <f ca="1">IF(GB245&gt;1200000,GB245-1200000-IF(F245="YES",50000,0)-GG245,0)</f>
        <v>0</v>
      </c>
      <c r="GJ245">
        <f t="shared" ca="1" si="715"/>
        <v>0</v>
      </c>
      <c r="GK245">
        <f t="shared" ca="1" si="716"/>
        <v>0</v>
      </c>
      <c r="GL245">
        <f t="shared" ca="1" si="717"/>
        <v>0</v>
      </c>
      <c r="GM245">
        <f t="shared" ca="1" si="718"/>
        <v>87509</v>
      </c>
      <c r="GN245">
        <f t="shared" ca="1" si="719"/>
        <v>4375.45</v>
      </c>
      <c r="GO245">
        <f t="shared" ca="1" si="720"/>
        <v>4375</v>
      </c>
      <c r="GP245">
        <f t="shared" ca="1" si="721"/>
        <v>0</v>
      </c>
      <c r="GQ245">
        <f t="shared" ca="1" si="722"/>
        <v>0</v>
      </c>
      <c r="GR245">
        <f t="shared" ca="1" si="723"/>
        <v>4375</v>
      </c>
      <c r="GS245">
        <f t="shared" ca="1" si="724"/>
        <v>0</v>
      </c>
      <c r="GT245" t="b">
        <f t="shared" ca="1" si="725"/>
        <v>0</v>
      </c>
      <c r="GU245">
        <f t="shared" ca="1" si="726"/>
        <v>0</v>
      </c>
      <c r="GV245">
        <f t="shared" ca="1" si="727"/>
        <v>4375</v>
      </c>
      <c r="GW245">
        <f t="shared" ca="1" si="728"/>
        <v>0</v>
      </c>
      <c r="GX245">
        <f t="shared" ca="1" si="729"/>
        <v>0</v>
      </c>
      <c r="GY245">
        <f t="shared" ca="1" si="730"/>
        <v>0</v>
      </c>
    </row>
    <row r="246" spans="1:207" x14ac:dyDescent="0.25">
      <c r="A246">
        <f>_xlfn.AGGREGATE(3,5,$B$2:B246)</f>
        <v>245</v>
      </c>
      <c r="B246" t="s">
        <v>585</v>
      </c>
      <c r="C246" t="s">
        <v>586</v>
      </c>
      <c r="D246" t="s">
        <v>810</v>
      </c>
      <c r="E246" t="s">
        <v>830</v>
      </c>
      <c r="F246" t="s">
        <v>952</v>
      </c>
      <c r="G246" t="s">
        <v>887</v>
      </c>
      <c r="H246">
        <f t="shared" si="625"/>
        <v>6800</v>
      </c>
      <c r="I246">
        <f>_xlfn.XLOOKUP(B246,'[1]march-2026'!$A:$A,'[1]march-2026'!$C:$C,0,0)</f>
        <v>38800</v>
      </c>
      <c r="J246">
        <f t="shared" si="689"/>
        <v>6984</v>
      </c>
      <c r="K246">
        <f t="shared" si="626"/>
        <v>4656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27"/>
        <v>50940</v>
      </c>
      <c r="O246">
        <f>_xlfn.XLOOKUP(B246,'[1]march-2026'!$A:$A,'[1]march-2026'!$H:$H,0,0)</f>
        <v>3000</v>
      </c>
      <c r="P246">
        <f>_xlfn.XLOOKUP(B246,'[1]march-2026'!$A:$A,'[1]march-2026'!$I:$I,0,0)</f>
        <v>0</v>
      </c>
      <c r="Q246">
        <f t="shared" si="628"/>
        <v>200</v>
      </c>
      <c r="R246">
        <f t="shared" si="629"/>
        <v>47740</v>
      </c>
      <c r="S246">
        <f>_xlfn.XLOOKUP(B246,'[2]april-2026'!$A:$A,'[2]april-2026'!$C:$C,0,0)</f>
        <v>38800</v>
      </c>
      <c r="T246">
        <f t="shared" si="630"/>
        <v>6984</v>
      </c>
      <c r="U246">
        <f t="shared" si="631"/>
        <v>4656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32"/>
        <v>50940</v>
      </c>
      <c r="Y246">
        <f>_xlfn.XLOOKUP(B246,'[2]april-2026'!$A:$A,'[2]april-2026'!$H:$H,0,0)</f>
        <v>3000</v>
      </c>
      <c r="Z246">
        <f>_xlfn.XLOOKUP(B246,'[2]april-2026'!$A:$A,'[2]april-2026'!$I:$I,0,0)</f>
        <v>0</v>
      </c>
      <c r="AA246">
        <f t="shared" si="633"/>
        <v>200</v>
      </c>
      <c r="AB246">
        <f t="shared" si="634"/>
        <v>47740</v>
      </c>
      <c r="AC246">
        <f>_xlfn.XLOOKUP(B246,'[3]may-2026'!$A:$A,'[3]may-2026'!$C:$C,0,0)</f>
        <v>38800</v>
      </c>
      <c r="AD246">
        <f t="shared" si="635"/>
        <v>6984</v>
      </c>
      <c r="AE246">
        <f t="shared" si="636"/>
        <v>4656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37"/>
        <v>50940</v>
      </c>
      <c r="AI246">
        <f>_xlfn.XLOOKUP(B246,'[3]may-2026'!$A:$A,'[3]may-2026'!$H:$H,0,0)</f>
        <v>3000</v>
      </c>
      <c r="AJ246">
        <f>_xlfn.XLOOKUP(B246,'[3]may-2026'!$A:$A,'[3]may-2026'!$I:$I,0,0)</f>
        <v>0</v>
      </c>
      <c r="AK246">
        <f t="shared" si="638"/>
        <v>200</v>
      </c>
      <c r="AL246">
        <f t="shared" si="639"/>
        <v>47740</v>
      </c>
      <c r="AM246">
        <f>_xlfn.XLOOKUP(B246,'[4]june-2026'!$A:$A,'[4]june-2026'!$C:$C,0,0)</f>
        <v>38800</v>
      </c>
      <c r="AN246">
        <f t="shared" si="640"/>
        <v>6984</v>
      </c>
      <c r="AO246">
        <f t="shared" si="641"/>
        <v>4656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42"/>
        <v>50940</v>
      </c>
      <c r="AS246">
        <f>_xlfn.XLOOKUP(B246,'[4]june-2026'!$A:$A,'[4]june-2026'!$H:$H,0,0)</f>
        <v>3000</v>
      </c>
      <c r="AT246">
        <f>_xlfn.XLOOKUP(B246,'[4]june-2026'!$A:$A,'[4]june-2026'!$I:$I,0,0)</f>
        <v>0</v>
      </c>
      <c r="AU246">
        <f t="shared" si="643"/>
        <v>200</v>
      </c>
      <c r="AV246">
        <f t="shared" si="644"/>
        <v>47740</v>
      </c>
      <c r="AW246">
        <f>_xlfn.XLOOKUP(B246,'[5]july-2026'!$A:$A,'[5]july-2026'!$C:$C,0,0)</f>
        <v>40000</v>
      </c>
      <c r="AX246">
        <f t="shared" si="645"/>
        <v>7200</v>
      </c>
      <c r="AY246">
        <v>244</v>
      </c>
      <c r="AZ246">
        <f t="shared" si="646"/>
        <v>4800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47"/>
        <v>52744</v>
      </c>
      <c r="BD246">
        <f>_xlfn.XLOOKUP(B246,'[5]july-2026'!$A:$A,'[5]july-2026'!$H:$H,0,0)</f>
        <v>3000</v>
      </c>
      <c r="BE246">
        <f>_xlfn.XLOOKUP(B246,'[5]july-2026'!$A:$A,'[5]july-2026'!$I:$I,0,0)</f>
        <v>0</v>
      </c>
      <c r="BF246">
        <f t="shared" si="648"/>
        <v>200</v>
      </c>
      <c r="BG246">
        <f t="shared" si="649"/>
        <v>49544</v>
      </c>
      <c r="BH246">
        <f>_xlfn.XLOOKUP(B246,'[6]august-2026'!$A:$A,'[6]august-2026'!$C:$C,0,0)</f>
        <v>40000</v>
      </c>
      <c r="BI246">
        <f t="shared" si="650"/>
        <v>7200</v>
      </c>
      <c r="BJ246">
        <f t="shared" si="651"/>
        <v>4800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52"/>
        <v>52500</v>
      </c>
      <c r="BN246">
        <f>_xlfn.XLOOKUP(B246,'[6]august-2026'!$A:$A,'[6]august-2026'!$H:$H,0,0)</f>
        <v>3000</v>
      </c>
      <c r="BO246">
        <f>_xlfn.XLOOKUP(B246,'[6]august-2026'!$A:$A,'[6]august-2026'!$I:$I,0,0)</f>
        <v>0</v>
      </c>
      <c r="BP246">
        <f t="shared" si="653"/>
        <v>200</v>
      </c>
      <c r="BQ246">
        <f t="shared" si="654"/>
        <v>49300</v>
      </c>
      <c r="BR246">
        <f>_xlfn.XLOOKUP(B246,'[7]september-2026'!$A:$A,'[7]september-2026'!$C:$C,0,0)</f>
        <v>40000</v>
      </c>
      <c r="BS246">
        <f t="shared" si="655"/>
        <v>7200</v>
      </c>
      <c r="BT246">
        <f t="shared" si="656"/>
        <v>4800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57"/>
        <v>52500</v>
      </c>
      <c r="BX246">
        <f>_xlfn.XLOOKUP(B246,'[7]september-2026'!$A:$A,'[7]september-2026'!$H:$H,0,0)</f>
        <v>3000</v>
      </c>
      <c r="BY246">
        <f>_xlfn.XLOOKUP(B246,'[7]september-2026'!$A:$A,'[7]september-2026'!$I:$I,0,0)</f>
        <v>0</v>
      </c>
      <c r="BZ246">
        <f t="shared" si="658"/>
        <v>200</v>
      </c>
      <c r="CA246">
        <f t="shared" si="659"/>
        <v>49300</v>
      </c>
      <c r="CB246">
        <f>_xlfn.XLOOKUP(B246,'[8]october-2026'!$A:$A,'[8]october-2026'!$C:$C,0,0)</f>
        <v>40000</v>
      </c>
      <c r="CC246">
        <f t="shared" si="660"/>
        <v>7200</v>
      </c>
      <c r="CD246">
        <f t="shared" si="661"/>
        <v>4800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62"/>
        <v>52500</v>
      </c>
      <c r="CH246">
        <f>_xlfn.XLOOKUP(B246,'[8]october-2026'!$A:$A,'[8]october-2026'!$H:$H,0,0)</f>
        <v>3000</v>
      </c>
      <c r="CI246">
        <f>_xlfn.XLOOKUP(B246,'[8]october-2026'!$A:$A,'[8]october-2026'!$I:$I,0,0)</f>
        <v>0</v>
      </c>
      <c r="CJ246">
        <f t="shared" si="663"/>
        <v>200</v>
      </c>
      <c r="CK246">
        <f t="shared" si="664"/>
        <v>49300</v>
      </c>
      <c r="CL246">
        <f>_xlfn.XLOOKUP(B246,'[9]november-2026'!$A:$A,'[9]november-2026'!$C:$C,0,0)</f>
        <v>40000</v>
      </c>
      <c r="CM246">
        <f t="shared" si="665"/>
        <v>7200</v>
      </c>
      <c r="CN246">
        <f t="shared" si="666"/>
        <v>4800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67"/>
        <v>52500</v>
      </c>
      <c r="CR246">
        <f>_xlfn.XLOOKUP(B246,'[9]november-2026'!$A:$A,'[9]november-2026'!$H:$H,0,0)</f>
        <v>3000</v>
      </c>
      <c r="CS246">
        <f>_xlfn.XLOOKUP(B246,'[9]november-2026'!$A:$A,'[9]november-2026'!$I:$I,0,0)</f>
        <v>0</v>
      </c>
      <c r="CT246">
        <f t="shared" si="668"/>
        <v>200</v>
      </c>
      <c r="CU246">
        <f t="shared" si="669"/>
        <v>49300</v>
      </c>
      <c r="CV246">
        <f>_xlfn.XLOOKUP(B246,'[10]december-2026'!$A:$A,'[10]december-2026'!$C:$C,0,0)</f>
        <v>40000</v>
      </c>
      <c r="CW246">
        <f t="shared" si="670"/>
        <v>7200</v>
      </c>
      <c r="CX246">
        <f t="shared" si="671"/>
        <v>4800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72"/>
        <v>52500</v>
      </c>
      <c r="DB246">
        <f>_xlfn.XLOOKUP(B246,'[10]december-2026'!$A:$A,'[10]december-2026'!$H:$H,0,0)</f>
        <v>3000</v>
      </c>
      <c r="DC246">
        <f>_xlfn.XLOOKUP(B246,'[10]december-2026'!$A:$A,'[10]december-2026'!$I:$I,0,0)</f>
        <v>0</v>
      </c>
      <c r="DD246">
        <f t="shared" si="673"/>
        <v>200</v>
      </c>
      <c r="DE246">
        <f t="shared" si="674"/>
        <v>49300</v>
      </c>
      <c r="DF246">
        <f xml:space="preserve"> _xlfn.XLOOKUP(B246,
'[11]january-2027'!$A:$A,
'[11]january-2027'!$C:$C,
0,0)</f>
        <v>40000</v>
      </c>
      <c r="DG246">
        <f t="shared" si="675"/>
        <v>7200</v>
      </c>
      <c r="DH246">
        <f t="shared" si="676"/>
        <v>4800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77"/>
        <v>52500</v>
      </c>
      <c r="DL246">
        <f xml:space="preserve"> _xlfn.XLOOKUP(B246,
'[11]january-2027'!$A:$A,
'[11]january-2027'!$H:$H,
0,0)</f>
        <v>3000</v>
      </c>
      <c r="DM246">
        <f xml:space="preserve"> _xlfn.XLOOKUP(B246,
'[11]january-2027'!$A:$A,
'[11]january-2027'!$I:$I,
0,0)</f>
        <v>0</v>
      </c>
      <c r="DN246">
        <f t="shared" si="678"/>
        <v>200</v>
      </c>
      <c r="DO246">
        <f t="shared" si="679"/>
        <v>49300</v>
      </c>
      <c r="DP246">
        <f xml:space="preserve"> _xlfn.XLOOKUP(B246,
'[12]february-2027'!$A:$A,
'[12]february-2027'!$C:$C,
0,0)</f>
        <v>40000</v>
      </c>
      <c r="DQ246">
        <f t="shared" si="680"/>
        <v>7200</v>
      </c>
      <c r="DR246">
        <f t="shared" si="681"/>
        <v>4800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82"/>
        <v>52500</v>
      </c>
      <c r="DV246">
        <f xml:space="preserve"> _xlfn.XLOOKUP(B246,
'[12]february-2027'!$A:$A,
'[12]february-2027'!$H:$H,
0,0)</f>
        <v>3000</v>
      </c>
      <c r="DW246">
        <f xml:space="preserve"> _xlfn.XLOOKUP(B246,
'[12]february-2027'!$A:$A,
'[12]february-2027'!$I:$I,
0,0)</f>
        <v>0</v>
      </c>
      <c r="DX246">
        <f t="shared" si="683"/>
        <v>200</v>
      </c>
      <c r="DY246">
        <f t="shared" si="684"/>
        <v>49300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85"/>
        <v>0</v>
      </c>
      <c r="EM246">
        <f t="shared" si="686"/>
        <v>630804</v>
      </c>
      <c r="EN246">
        <f t="shared" si="687"/>
        <v>2400</v>
      </c>
      <c r="EO246">
        <f t="shared" si="688"/>
        <v>50000</v>
      </c>
      <c r="EP246">
        <v>0</v>
      </c>
      <c r="EQ246">
        <f t="shared" si="690"/>
        <v>578404</v>
      </c>
      <c r="ER246">
        <f t="shared" si="691"/>
        <v>36000</v>
      </c>
      <c r="ES246">
        <f t="shared" si="692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693"/>
        <v>36000</v>
      </c>
      <c r="FE246">
        <f t="shared" si="694"/>
        <v>36000</v>
      </c>
      <c r="FF246">
        <f t="shared" si="695"/>
        <v>542404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>SUM(FG246:FM246)+(IF(F246="YES",50000,0))</f>
        <v>0</v>
      </c>
      <c r="FO246">
        <f t="shared" si="696"/>
        <v>542404</v>
      </c>
      <c r="FP246">
        <f t="shared" si="697"/>
        <v>12500</v>
      </c>
      <c r="FQ246">
        <f t="shared" si="698"/>
        <v>8481</v>
      </c>
      <c r="FR246">
        <f t="shared" si="699"/>
        <v>20981</v>
      </c>
      <c r="FS246">
        <f t="shared" si="700"/>
        <v>20981</v>
      </c>
      <c r="FT246">
        <f t="shared" si="701"/>
        <v>839.24</v>
      </c>
      <c r="FU246">
        <f t="shared" si="702"/>
        <v>21820</v>
      </c>
      <c r="FV246">
        <v>0</v>
      </c>
      <c r="FW246">
        <f t="shared" si="703"/>
        <v>21820</v>
      </c>
      <c r="FX246" t="b">
        <f t="shared" si="704"/>
        <v>1</v>
      </c>
      <c r="FY246">
        <f t="shared" ca="1" si="705"/>
        <v>860</v>
      </c>
      <c r="FZ246">
        <f t="shared" ca="1" si="706"/>
        <v>631664</v>
      </c>
      <c r="GA246">
        <f t="shared" si="707"/>
        <v>75000</v>
      </c>
      <c r="GB246">
        <f t="shared" ca="1" si="708"/>
        <v>556664</v>
      </c>
      <c r="GC246">
        <f t="shared" ca="1" si="709"/>
        <v>0</v>
      </c>
      <c r="GD246">
        <f t="shared" ca="1" si="710"/>
        <v>0</v>
      </c>
      <c r="GE246">
        <f t="shared" ca="1" si="711"/>
        <v>0</v>
      </c>
      <c r="GF246">
        <f t="shared" ca="1" si="712"/>
        <v>0</v>
      </c>
      <c r="GG246">
        <f t="shared" ca="1" si="713"/>
        <v>0</v>
      </c>
      <c r="GH246">
        <f t="shared" ca="1" si="714"/>
        <v>0</v>
      </c>
      <c r="GI246">
        <f ca="1">IF(GB246&gt;1200000,GB246-1200000-IF(F246="YES",50000,0)-GG246,0)</f>
        <v>0</v>
      </c>
      <c r="GJ246">
        <f t="shared" ca="1" si="715"/>
        <v>0</v>
      </c>
      <c r="GK246">
        <f t="shared" ca="1" si="716"/>
        <v>0</v>
      </c>
      <c r="GL246">
        <f t="shared" ca="1" si="717"/>
        <v>0</v>
      </c>
      <c r="GM246">
        <f t="shared" ca="1" si="718"/>
        <v>156664</v>
      </c>
      <c r="GN246">
        <f t="shared" ca="1" si="719"/>
        <v>7833.2000000000007</v>
      </c>
      <c r="GO246">
        <f t="shared" ca="1" si="720"/>
        <v>7833</v>
      </c>
      <c r="GP246">
        <f t="shared" ca="1" si="721"/>
        <v>0</v>
      </c>
      <c r="GQ246">
        <f t="shared" ca="1" si="722"/>
        <v>0</v>
      </c>
      <c r="GR246">
        <f t="shared" ca="1" si="723"/>
        <v>7833</v>
      </c>
      <c r="GS246">
        <f t="shared" ca="1" si="724"/>
        <v>0</v>
      </c>
      <c r="GT246" t="b">
        <f t="shared" ca="1" si="725"/>
        <v>0</v>
      </c>
      <c r="GU246">
        <f t="shared" ca="1" si="726"/>
        <v>0</v>
      </c>
      <c r="GV246">
        <f t="shared" ca="1" si="727"/>
        <v>7833</v>
      </c>
      <c r="GW246">
        <f t="shared" ca="1" si="728"/>
        <v>0</v>
      </c>
      <c r="GX246">
        <f t="shared" ca="1" si="729"/>
        <v>0</v>
      </c>
      <c r="GY246">
        <f t="shared" ca="1" si="730"/>
        <v>0</v>
      </c>
    </row>
    <row r="247" spans="1:207" x14ac:dyDescent="0.25">
      <c r="A247">
        <f>_xlfn.AGGREGATE(3,5,$B$2:B247)</f>
        <v>246</v>
      </c>
      <c r="B247" t="s">
        <v>587</v>
      </c>
      <c r="C247" t="s">
        <v>588</v>
      </c>
      <c r="D247" t="s">
        <v>811</v>
      </c>
      <c r="E247" t="s">
        <v>830</v>
      </c>
      <c r="F247" t="s">
        <v>952</v>
      </c>
      <c r="G247" t="s">
        <v>946</v>
      </c>
      <c r="H247">
        <f t="shared" si="625"/>
        <v>6800</v>
      </c>
      <c r="I247">
        <f>_xlfn.XLOOKUP(B247,'[1]march-2026'!$A:$A,'[1]march-2026'!$C:$C,0,0)</f>
        <v>57100</v>
      </c>
      <c r="J247">
        <f t="shared" si="689"/>
        <v>10278</v>
      </c>
      <c r="K247">
        <f t="shared" si="626"/>
        <v>6852</v>
      </c>
      <c r="L247">
        <f>_xlfn.XLOOKUP(B247,'[1]march-2026'!$A:$A,'[1]march-2026'!$D:$D,0,0)</f>
        <v>400</v>
      </c>
      <c r="M247">
        <f>_xlfn.XLOOKUP(B247,'[1]march-2026'!$A:$A,'[1]march-2026'!$G:$G,0,0)</f>
        <v>0</v>
      </c>
      <c r="N247">
        <f t="shared" si="627"/>
        <v>74630</v>
      </c>
      <c r="O247">
        <f>_xlfn.XLOOKUP(B247,'[1]march-2026'!$A:$A,'[1]march-2026'!$H:$H,0,0)</f>
        <v>0</v>
      </c>
      <c r="P247">
        <f>_xlfn.XLOOKUP(B247,'[1]march-2026'!$A:$A,'[1]march-2026'!$I:$I,0,0)</f>
        <v>0</v>
      </c>
      <c r="Q247">
        <f t="shared" si="628"/>
        <v>200</v>
      </c>
      <c r="R247">
        <f t="shared" si="629"/>
        <v>74430</v>
      </c>
      <c r="S247">
        <f>_xlfn.XLOOKUP(B247,'[2]april-2026'!$A:$A,'[2]april-2026'!$C:$C,0,0)</f>
        <v>57100</v>
      </c>
      <c r="T247">
        <f t="shared" si="630"/>
        <v>10278</v>
      </c>
      <c r="U247">
        <f t="shared" si="631"/>
        <v>6852</v>
      </c>
      <c r="V247">
        <f>_xlfn.XLOOKUP(B247,'[2]april-2026'!$A:$A,'[2]april-2026'!$D:$D,0,0)</f>
        <v>400</v>
      </c>
      <c r="W247">
        <f>_xlfn.XLOOKUP(B247,'[2]april-2026'!$A:$A,'[2]april-2026'!$G:$G,0,0)</f>
        <v>0</v>
      </c>
      <c r="X247">
        <f t="shared" si="632"/>
        <v>74630</v>
      </c>
      <c r="Y247">
        <f>_xlfn.XLOOKUP(B247,'[2]april-2026'!$A:$A,'[2]april-2026'!$H:$H,0,0)</f>
        <v>0</v>
      </c>
      <c r="Z247">
        <f>_xlfn.XLOOKUP(B247,'[2]april-2026'!$A:$A,'[2]april-2026'!$I:$I,0,0)</f>
        <v>0</v>
      </c>
      <c r="AA247">
        <f t="shared" si="633"/>
        <v>200</v>
      </c>
      <c r="AB247">
        <f t="shared" si="634"/>
        <v>74430</v>
      </c>
      <c r="AC247">
        <f>_xlfn.XLOOKUP(B247,'[3]may-2026'!$A:$A,'[3]may-2026'!$C:$C,0,0)</f>
        <v>57100</v>
      </c>
      <c r="AD247">
        <f t="shared" si="635"/>
        <v>10278</v>
      </c>
      <c r="AE247">
        <f t="shared" si="636"/>
        <v>6852</v>
      </c>
      <c r="AF247">
        <f>_xlfn.XLOOKUP(B247,'[3]may-2026'!$A:$A,'[3]may-2026'!$D:$D,0,0)</f>
        <v>400</v>
      </c>
      <c r="AG247">
        <f>_xlfn.XLOOKUP(B247,'[3]may-2026'!$A:$A,'[3]may-2026'!$G:$G,0,0)</f>
        <v>0</v>
      </c>
      <c r="AH247">
        <f t="shared" si="637"/>
        <v>74630</v>
      </c>
      <c r="AI247">
        <f>_xlfn.XLOOKUP(B247,'[3]may-2026'!$A:$A,'[3]may-2026'!$H:$H,0,0)</f>
        <v>0</v>
      </c>
      <c r="AJ247">
        <f>_xlfn.XLOOKUP(B247,'[3]may-2026'!$A:$A,'[3]may-2026'!$I:$I,0,0)</f>
        <v>0</v>
      </c>
      <c r="AK247">
        <f t="shared" si="638"/>
        <v>200</v>
      </c>
      <c r="AL247">
        <f t="shared" si="639"/>
        <v>74430</v>
      </c>
      <c r="AM247">
        <f>_xlfn.XLOOKUP(B247,'[4]june-2026'!$A:$A,'[4]june-2026'!$C:$C,0,0)</f>
        <v>57100</v>
      </c>
      <c r="AN247">
        <f t="shared" si="640"/>
        <v>10278</v>
      </c>
      <c r="AO247">
        <f t="shared" si="641"/>
        <v>6852</v>
      </c>
      <c r="AP247">
        <f>_xlfn.XLOOKUP(B247,'[4]june-2026'!$A:$A,'[4]june-2026'!$D:$D,0,0)</f>
        <v>400</v>
      </c>
      <c r="AQ247">
        <f>_xlfn.XLOOKUP(B247,'[4]june-2026'!$A:$A,'[4]june-2026'!$G:$G,0,0)</f>
        <v>0</v>
      </c>
      <c r="AR247">
        <f t="shared" si="642"/>
        <v>74630</v>
      </c>
      <c r="AS247">
        <f>_xlfn.XLOOKUP(B247,'[4]june-2026'!$A:$A,'[4]june-2026'!$H:$H,0,0)</f>
        <v>0</v>
      </c>
      <c r="AT247">
        <f>_xlfn.XLOOKUP(B247,'[4]june-2026'!$A:$A,'[4]june-2026'!$I:$I,0,0)</f>
        <v>0</v>
      </c>
      <c r="AU247">
        <f t="shared" si="643"/>
        <v>200</v>
      </c>
      <c r="AV247">
        <f t="shared" si="644"/>
        <v>74430</v>
      </c>
      <c r="AW247">
        <f>_xlfn.XLOOKUP(B247,'[5]july-2026'!$A:$A,'[5]july-2026'!$C:$C,0,0)</f>
        <v>58800</v>
      </c>
      <c r="AX247">
        <f t="shared" si="645"/>
        <v>10584</v>
      </c>
      <c r="AY247">
        <v>245</v>
      </c>
      <c r="AZ247">
        <f t="shared" si="646"/>
        <v>7056</v>
      </c>
      <c r="BA247">
        <f>_xlfn.XLOOKUP(B247,'[5]july-2026'!$A:$A,'[5]july-2026'!$D:$D,0,0)</f>
        <v>400</v>
      </c>
      <c r="BB247">
        <f>_xlfn.XLOOKUP(B247,'[5]july-2026'!$A:$A,'[5]july-2026'!$G:$G,0,0)</f>
        <v>0</v>
      </c>
      <c r="BC247">
        <f t="shared" si="647"/>
        <v>77085</v>
      </c>
      <c r="BD247">
        <f>_xlfn.XLOOKUP(B247,'[5]july-2026'!$A:$A,'[5]july-2026'!$H:$H,0,0)</f>
        <v>0</v>
      </c>
      <c r="BE247">
        <f>_xlfn.XLOOKUP(B247,'[5]july-2026'!$A:$A,'[5]july-2026'!$I:$I,0,0)</f>
        <v>0</v>
      </c>
      <c r="BF247">
        <f t="shared" si="648"/>
        <v>200</v>
      </c>
      <c r="BG247">
        <f t="shared" si="649"/>
        <v>76885</v>
      </c>
      <c r="BH247">
        <f>_xlfn.XLOOKUP(B247,'[6]august-2026'!$A:$A,'[6]august-2026'!$C:$C,0,0)</f>
        <v>58800</v>
      </c>
      <c r="BI247">
        <f t="shared" si="650"/>
        <v>10584</v>
      </c>
      <c r="BJ247">
        <f t="shared" si="651"/>
        <v>7056</v>
      </c>
      <c r="BK247">
        <f>_xlfn.XLOOKUP(B247,'[6]august-2026'!$A:$A,'[6]august-2026'!$D:$D,0,0)</f>
        <v>400</v>
      </c>
      <c r="BL247">
        <f>_xlfn.XLOOKUP(B247,'[6]august-2026'!$A:$A,'[6]august-2026'!$G:$G,0,0)</f>
        <v>0</v>
      </c>
      <c r="BM247">
        <f t="shared" si="652"/>
        <v>76840</v>
      </c>
      <c r="BN247">
        <f>_xlfn.XLOOKUP(B247,'[6]august-2026'!$A:$A,'[6]august-2026'!$H:$H,0,0)</f>
        <v>0</v>
      </c>
      <c r="BO247">
        <f>_xlfn.XLOOKUP(B247,'[6]august-2026'!$A:$A,'[6]august-2026'!$I:$I,0,0)</f>
        <v>0</v>
      </c>
      <c r="BP247">
        <f t="shared" si="653"/>
        <v>200</v>
      </c>
      <c r="BQ247">
        <f t="shared" si="654"/>
        <v>76640</v>
      </c>
      <c r="BR247">
        <f>_xlfn.XLOOKUP(B247,'[7]september-2026'!$A:$A,'[7]september-2026'!$C:$C,0,0)</f>
        <v>58800</v>
      </c>
      <c r="BS247">
        <f t="shared" si="655"/>
        <v>10584</v>
      </c>
      <c r="BT247">
        <f t="shared" si="656"/>
        <v>7056</v>
      </c>
      <c r="BU247">
        <f>_xlfn.XLOOKUP(B247,'[7]september-2026'!$A:$A,'[7]september-2026'!$D:$D,0,0)</f>
        <v>400</v>
      </c>
      <c r="BV247">
        <f>_xlfn.XLOOKUP(B247,'[7]september-2026'!$A:$A,'[7]september-2026'!$G:$G,0,0)</f>
        <v>0</v>
      </c>
      <c r="BW247">
        <f t="shared" si="657"/>
        <v>76840</v>
      </c>
      <c r="BX247">
        <f>_xlfn.XLOOKUP(B247,'[7]september-2026'!$A:$A,'[7]september-2026'!$H:$H,0,0)</f>
        <v>0</v>
      </c>
      <c r="BY247">
        <f>_xlfn.XLOOKUP(B247,'[7]september-2026'!$A:$A,'[7]september-2026'!$I:$I,0,0)</f>
        <v>0</v>
      </c>
      <c r="BZ247">
        <f t="shared" si="658"/>
        <v>200</v>
      </c>
      <c r="CA247">
        <f t="shared" si="659"/>
        <v>76640</v>
      </c>
      <c r="CB247">
        <f>_xlfn.XLOOKUP(B247,'[8]october-2026'!$A:$A,'[8]october-2026'!$C:$C,0,0)</f>
        <v>58800</v>
      </c>
      <c r="CC247">
        <f t="shared" si="660"/>
        <v>10584</v>
      </c>
      <c r="CD247">
        <f t="shared" si="661"/>
        <v>7056</v>
      </c>
      <c r="CE247">
        <f>_xlfn.XLOOKUP(B247,'[8]october-2026'!$A:$A,'[8]october-2026'!$D:$D,0,0)</f>
        <v>400</v>
      </c>
      <c r="CF247">
        <f>_xlfn.XLOOKUP(B247,'[8]october-2026'!$A:$A,'[8]october-2026'!$G:$G,0,0)</f>
        <v>0</v>
      </c>
      <c r="CG247">
        <f t="shared" si="662"/>
        <v>76840</v>
      </c>
      <c r="CH247">
        <f>_xlfn.XLOOKUP(B247,'[8]october-2026'!$A:$A,'[8]october-2026'!$H:$H,0,0)</f>
        <v>0</v>
      </c>
      <c r="CI247">
        <f>_xlfn.XLOOKUP(B247,'[8]october-2026'!$A:$A,'[8]october-2026'!$I:$I,0,0)</f>
        <v>0</v>
      </c>
      <c r="CJ247">
        <f t="shared" si="663"/>
        <v>200</v>
      </c>
      <c r="CK247">
        <f t="shared" si="664"/>
        <v>76640</v>
      </c>
      <c r="CL247">
        <f>_xlfn.XLOOKUP(B247,'[9]november-2026'!$A:$A,'[9]november-2026'!$C:$C,0,0)</f>
        <v>58800</v>
      </c>
      <c r="CM247">
        <f t="shared" si="665"/>
        <v>10584</v>
      </c>
      <c r="CN247">
        <f t="shared" si="666"/>
        <v>7056</v>
      </c>
      <c r="CO247">
        <f>_xlfn.XLOOKUP(B247,'[9]november-2026'!$A:$A,'[9]november-2026'!$D:$D,0,0)</f>
        <v>400</v>
      </c>
      <c r="CP247">
        <f>_xlfn.XLOOKUP(B247,'[9]november-2026'!$A:$A,'[9]november-2026'!$G:$G,0,0)</f>
        <v>0</v>
      </c>
      <c r="CQ247">
        <f t="shared" si="667"/>
        <v>76840</v>
      </c>
      <c r="CR247">
        <f>_xlfn.XLOOKUP(B247,'[9]november-2026'!$A:$A,'[9]november-2026'!$H:$H,0,0)</f>
        <v>0</v>
      </c>
      <c r="CS247">
        <f>_xlfn.XLOOKUP(B247,'[9]november-2026'!$A:$A,'[9]november-2026'!$I:$I,0,0)</f>
        <v>0</v>
      </c>
      <c r="CT247">
        <f t="shared" si="668"/>
        <v>200</v>
      </c>
      <c r="CU247">
        <f t="shared" si="669"/>
        <v>76640</v>
      </c>
      <c r="CV247">
        <f>_xlfn.XLOOKUP(B247,'[10]december-2026'!$A:$A,'[10]december-2026'!$C:$C,0,0)</f>
        <v>58800</v>
      </c>
      <c r="CW247">
        <f t="shared" si="670"/>
        <v>10584</v>
      </c>
      <c r="CX247">
        <f t="shared" si="671"/>
        <v>7056</v>
      </c>
      <c r="CY247">
        <f>_xlfn.XLOOKUP(B247,'[10]december-2026'!$A:$A,'[10]december-2026'!$D:$D,0,0)</f>
        <v>400</v>
      </c>
      <c r="CZ247">
        <f>_xlfn.XLOOKUP(B247,'[10]december-2026'!$A:$A,'[10]december-2026'!$G:$G,0,0)</f>
        <v>0</v>
      </c>
      <c r="DA247">
        <f t="shared" si="672"/>
        <v>76840</v>
      </c>
      <c r="DB247">
        <f>_xlfn.XLOOKUP(B247,'[10]december-2026'!$A:$A,'[10]december-2026'!$H:$H,0,0)</f>
        <v>0</v>
      </c>
      <c r="DC247">
        <f>_xlfn.XLOOKUP(B247,'[10]december-2026'!$A:$A,'[10]december-2026'!$I:$I,0,0)</f>
        <v>0</v>
      </c>
      <c r="DD247">
        <f t="shared" si="673"/>
        <v>200</v>
      </c>
      <c r="DE247">
        <f t="shared" si="674"/>
        <v>76640</v>
      </c>
      <c r="DF247">
        <f xml:space="preserve"> _xlfn.XLOOKUP(B247,
'[11]january-2027'!$A:$A,
'[11]january-2027'!$C:$C,
0,0)</f>
        <v>58800</v>
      </c>
      <c r="DG247">
        <f t="shared" si="675"/>
        <v>10584</v>
      </c>
      <c r="DH247">
        <f t="shared" si="676"/>
        <v>7056</v>
      </c>
      <c r="DI247">
        <f xml:space="preserve"> _xlfn.XLOOKUP(B247,
'[11]january-2027'!$A:$A,
'[11]january-2027'!$D:$D,
0,0)</f>
        <v>400</v>
      </c>
      <c r="DJ247">
        <f xml:space="preserve"> _xlfn.XLOOKUP(B247,
'[11]january-2027'!$A:$A,
'[11]january-2027'!$G:$G,
0,0)</f>
        <v>0</v>
      </c>
      <c r="DK247">
        <f t="shared" si="677"/>
        <v>76840</v>
      </c>
      <c r="DL247">
        <f xml:space="preserve"> _xlfn.XLOOKUP(B247,
'[11]january-2027'!$A:$A,
'[11]january-2027'!$H:$H,
0,0)</f>
        <v>0</v>
      </c>
      <c r="DM247">
        <f xml:space="preserve"> _xlfn.XLOOKUP(B247,
'[11]january-2027'!$A:$A,
'[11]january-2027'!$I:$I,
0,0)</f>
        <v>0</v>
      </c>
      <c r="DN247">
        <f t="shared" si="678"/>
        <v>200</v>
      </c>
      <c r="DO247">
        <f t="shared" si="679"/>
        <v>76640</v>
      </c>
      <c r="DP247">
        <f xml:space="preserve"> _xlfn.XLOOKUP(B247,
'[12]february-2027'!$A:$A,
'[12]february-2027'!$C:$C,
0,0)</f>
        <v>58800</v>
      </c>
      <c r="DQ247">
        <f t="shared" si="680"/>
        <v>10584</v>
      </c>
      <c r="DR247">
        <f t="shared" si="681"/>
        <v>7056</v>
      </c>
      <c r="DS247">
        <f xml:space="preserve"> _xlfn.XLOOKUP(B247,
'[12]february-2027'!$A:$A,
'[12]february-2027'!$D:$D,
0,0)</f>
        <v>400</v>
      </c>
      <c r="DT247">
        <f xml:space="preserve"> _xlfn.XLOOKUP(B247,
'[12]february-2027'!$A:$A,
'[12]february-2027'!$G:$G,
0,0)</f>
        <v>0</v>
      </c>
      <c r="DU247">
        <f t="shared" si="682"/>
        <v>76840</v>
      </c>
      <c r="DV247">
        <f xml:space="preserve"> _xlfn.XLOOKUP(B247,
'[12]february-2027'!$A:$A,
'[12]february-2027'!$H:$H,
0,0)</f>
        <v>0</v>
      </c>
      <c r="DW247">
        <f xml:space="preserve"> _xlfn.XLOOKUP(B247,
'[12]february-2027'!$A:$A,
'[12]february-2027'!$I:$I,
0,0)</f>
        <v>0</v>
      </c>
      <c r="DX247">
        <f t="shared" si="683"/>
        <v>200</v>
      </c>
      <c r="DY247">
        <f t="shared" si="684"/>
        <v>76640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85"/>
        <v>0</v>
      </c>
      <c r="EM247">
        <f t="shared" si="686"/>
        <v>920285</v>
      </c>
      <c r="EN247">
        <f t="shared" si="687"/>
        <v>2400</v>
      </c>
      <c r="EO247">
        <f t="shared" si="688"/>
        <v>50000</v>
      </c>
      <c r="EP247">
        <v>0</v>
      </c>
      <c r="EQ247">
        <f t="shared" si="690"/>
        <v>867885</v>
      </c>
      <c r="ER247">
        <f t="shared" si="691"/>
        <v>0</v>
      </c>
      <c r="ES247">
        <f t="shared" si="692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693"/>
        <v>0</v>
      </c>
      <c r="FE247">
        <f t="shared" si="694"/>
        <v>0</v>
      </c>
      <c r="FF247">
        <f t="shared" si="695"/>
        <v>867885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>SUM(FG247:FM247)+(IF(F247="YES",50000,0))</f>
        <v>0</v>
      </c>
      <c r="FO247">
        <f t="shared" si="696"/>
        <v>867885</v>
      </c>
      <c r="FP247">
        <f t="shared" si="697"/>
        <v>12500</v>
      </c>
      <c r="FQ247">
        <f t="shared" si="698"/>
        <v>73577</v>
      </c>
      <c r="FR247">
        <f t="shared" si="699"/>
        <v>86077</v>
      </c>
      <c r="FS247">
        <f t="shared" si="700"/>
        <v>86077</v>
      </c>
      <c r="FT247">
        <f t="shared" si="701"/>
        <v>3443.08</v>
      </c>
      <c r="FU247">
        <f t="shared" si="702"/>
        <v>89520</v>
      </c>
      <c r="FV247">
        <v>0</v>
      </c>
      <c r="FW247">
        <f t="shared" si="703"/>
        <v>89520</v>
      </c>
      <c r="FX247" t="b">
        <f t="shared" si="704"/>
        <v>1</v>
      </c>
      <c r="FY247">
        <f t="shared" ca="1" si="705"/>
        <v>804</v>
      </c>
      <c r="FZ247">
        <f t="shared" ca="1" si="706"/>
        <v>921089</v>
      </c>
      <c r="GA247">
        <f t="shared" si="707"/>
        <v>75000</v>
      </c>
      <c r="GB247">
        <f t="shared" ca="1" si="708"/>
        <v>846089</v>
      </c>
      <c r="GC247">
        <f t="shared" ca="1" si="709"/>
        <v>0</v>
      </c>
      <c r="GD247">
        <f t="shared" ca="1" si="710"/>
        <v>0</v>
      </c>
      <c r="GE247">
        <f t="shared" ca="1" si="711"/>
        <v>0</v>
      </c>
      <c r="GF247">
        <f t="shared" ca="1" si="712"/>
        <v>0</v>
      </c>
      <c r="GG247">
        <f t="shared" ca="1" si="713"/>
        <v>0</v>
      </c>
      <c r="GH247">
        <f t="shared" ca="1" si="714"/>
        <v>0</v>
      </c>
      <c r="GI247">
        <f ca="1">IF(GB247&gt;1200000,GB247-1200000-IF(F247="YES",50000,0)-GG247,0)</f>
        <v>0</v>
      </c>
      <c r="GJ247">
        <f t="shared" ca="1" si="715"/>
        <v>0</v>
      </c>
      <c r="GK247">
        <f t="shared" ca="1" si="716"/>
        <v>46089</v>
      </c>
      <c r="GL247">
        <f t="shared" ca="1" si="717"/>
        <v>4608.9000000000005</v>
      </c>
      <c r="GM247">
        <f t="shared" ca="1" si="718"/>
        <v>400000</v>
      </c>
      <c r="GN247">
        <f t="shared" ca="1" si="719"/>
        <v>20000</v>
      </c>
      <c r="GO247">
        <f t="shared" ca="1" si="720"/>
        <v>24609</v>
      </c>
      <c r="GP247">
        <f t="shared" ca="1" si="721"/>
        <v>0</v>
      </c>
      <c r="GQ247">
        <f t="shared" ca="1" si="722"/>
        <v>0</v>
      </c>
      <c r="GR247">
        <f t="shared" ca="1" si="723"/>
        <v>24609</v>
      </c>
      <c r="GS247">
        <f t="shared" ca="1" si="724"/>
        <v>0</v>
      </c>
      <c r="GT247" t="b">
        <f t="shared" ca="1" si="725"/>
        <v>0</v>
      </c>
      <c r="GU247">
        <f t="shared" ca="1" si="726"/>
        <v>0</v>
      </c>
      <c r="GV247">
        <f t="shared" ca="1" si="727"/>
        <v>24609</v>
      </c>
      <c r="GW247">
        <f t="shared" ca="1" si="728"/>
        <v>0</v>
      </c>
      <c r="GX247">
        <f t="shared" ca="1" si="729"/>
        <v>0</v>
      </c>
      <c r="GY247">
        <f t="shared" ca="1" si="730"/>
        <v>0</v>
      </c>
    </row>
    <row r="248" spans="1:207" x14ac:dyDescent="0.25">
      <c r="A248">
        <f>_xlfn.AGGREGATE(3,5,$B$2:B248)</f>
        <v>247</v>
      </c>
      <c r="B248" t="s">
        <v>589</v>
      </c>
      <c r="C248" t="s">
        <v>590</v>
      </c>
      <c r="D248" t="s">
        <v>811</v>
      </c>
      <c r="E248" t="s">
        <v>830</v>
      </c>
      <c r="F248" t="s">
        <v>952</v>
      </c>
      <c r="G248" t="s">
        <v>930</v>
      </c>
      <c r="H248">
        <f t="shared" si="625"/>
        <v>6800</v>
      </c>
      <c r="I248">
        <f>_xlfn.XLOOKUP(B248,'[1]march-2026'!$A:$A,'[1]march-2026'!$C:$C,0,0)</f>
        <v>30700</v>
      </c>
      <c r="J248">
        <f t="shared" si="689"/>
        <v>5526</v>
      </c>
      <c r="K248">
        <f t="shared" si="626"/>
        <v>3684</v>
      </c>
      <c r="L248">
        <f>_xlfn.XLOOKUP(B248,'[1]march-2026'!$A:$A,'[1]march-2026'!$D:$D,0,0)</f>
        <v>0</v>
      </c>
      <c r="M248">
        <f>_xlfn.XLOOKUP(B248,'[1]march-2026'!$A:$A,'[1]march-2026'!$G:$G,0,0)</f>
        <v>500</v>
      </c>
      <c r="N248">
        <f t="shared" si="627"/>
        <v>40410</v>
      </c>
      <c r="O248">
        <f>_xlfn.XLOOKUP(B248,'[1]march-2026'!$A:$A,'[1]march-2026'!$H:$H,0,0)</f>
        <v>2000</v>
      </c>
      <c r="P248">
        <f>_xlfn.XLOOKUP(B248,'[1]march-2026'!$A:$A,'[1]march-2026'!$I:$I,0,0)</f>
        <v>0</v>
      </c>
      <c r="Q248">
        <f t="shared" si="628"/>
        <v>200</v>
      </c>
      <c r="R248">
        <f t="shared" si="629"/>
        <v>38210</v>
      </c>
      <c r="S248">
        <f>_xlfn.XLOOKUP(B248,'[2]april-2026'!$A:$A,'[2]april-2026'!$C:$C,0,0)</f>
        <v>30700</v>
      </c>
      <c r="T248">
        <f t="shared" si="630"/>
        <v>5526</v>
      </c>
      <c r="U248">
        <f t="shared" si="631"/>
        <v>3684</v>
      </c>
      <c r="V248">
        <f>_xlfn.XLOOKUP(B248,'[2]april-2026'!$A:$A,'[2]april-2026'!$D:$D,0,0)</f>
        <v>0</v>
      </c>
      <c r="W248">
        <f>_xlfn.XLOOKUP(B248,'[2]april-2026'!$A:$A,'[2]april-2026'!$G:$G,0,0)</f>
        <v>500</v>
      </c>
      <c r="X248">
        <f t="shared" si="632"/>
        <v>40410</v>
      </c>
      <c r="Y248">
        <f>_xlfn.XLOOKUP(B248,'[2]april-2026'!$A:$A,'[2]april-2026'!$H:$H,0,0)</f>
        <v>2000</v>
      </c>
      <c r="Z248">
        <f>_xlfn.XLOOKUP(B248,'[2]april-2026'!$A:$A,'[2]april-2026'!$I:$I,0,0)</f>
        <v>0</v>
      </c>
      <c r="AA248">
        <f t="shared" si="633"/>
        <v>200</v>
      </c>
      <c r="AB248">
        <f t="shared" si="634"/>
        <v>38210</v>
      </c>
      <c r="AC248">
        <f>_xlfn.XLOOKUP(B248,'[3]may-2026'!$A:$A,'[3]may-2026'!$C:$C,0,0)</f>
        <v>30700</v>
      </c>
      <c r="AD248">
        <f t="shared" si="635"/>
        <v>5526</v>
      </c>
      <c r="AE248">
        <f t="shared" si="636"/>
        <v>3684</v>
      </c>
      <c r="AF248">
        <f>_xlfn.XLOOKUP(B248,'[3]may-2026'!$A:$A,'[3]may-2026'!$D:$D,0,0)</f>
        <v>0</v>
      </c>
      <c r="AG248">
        <f>_xlfn.XLOOKUP(B248,'[3]may-2026'!$A:$A,'[3]may-2026'!$G:$G,0,0)</f>
        <v>500</v>
      </c>
      <c r="AH248">
        <f t="shared" si="637"/>
        <v>40410</v>
      </c>
      <c r="AI248">
        <f>_xlfn.XLOOKUP(B248,'[3]may-2026'!$A:$A,'[3]may-2026'!$H:$H,0,0)</f>
        <v>2000</v>
      </c>
      <c r="AJ248">
        <f>_xlfn.XLOOKUP(B248,'[3]may-2026'!$A:$A,'[3]may-2026'!$I:$I,0,0)</f>
        <v>0</v>
      </c>
      <c r="AK248">
        <f t="shared" si="638"/>
        <v>200</v>
      </c>
      <c r="AL248">
        <f t="shared" si="639"/>
        <v>38210</v>
      </c>
      <c r="AM248">
        <f>_xlfn.XLOOKUP(B248,'[4]june-2026'!$A:$A,'[4]june-2026'!$C:$C,0,0)</f>
        <v>30700</v>
      </c>
      <c r="AN248">
        <f t="shared" si="640"/>
        <v>5526</v>
      </c>
      <c r="AO248">
        <f t="shared" si="641"/>
        <v>3684</v>
      </c>
      <c r="AP248">
        <f>_xlfn.XLOOKUP(B248,'[4]june-2026'!$A:$A,'[4]june-2026'!$D:$D,0,0)</f>
        <v>0</v>
      </c>
      <c r="AQ248">
        <f>_xlfn.XLOOKUP(B248,'[4]june-2026'!$A:$A,'[4]june-2026'!$G:$G,0,0)</f>
        <v>500</v>
      </c>
      <c r="AR248">
        <f t="shared" si="642"/>
        <v>40410</v>
      </c>
      <c r="AS248">
        <f>_xlfn.XLOOKUP(B248,'[4]june-2026'!$A:$A,'[4]june-2026'!$H:$H,0,0)</f>
        <v>2000</v>
      </c>
      <c r="AT248">
        <f>_xlfn.XLOOKUP(B248,'[4]june-2026'!$A:$A,'[4]june-2026'!$I:$I,0,0)</f>
        <v>0</v>
      </c>
      <c r="AU248">
        <f t="shared" si="643"/>
        <v>200</v>
      </c>
      <c r="AV248">
        <f t="shared" si="644"/>
        <v>38210</v>
      </c>
      <c r="AW248">
        <f>_xlfn.XLOOKUP(B248,'[5]july-2026'!$A:$A,'[5]july-2026'!$C:$C,0,0)</f>
        <v>31600</v>
      </c>
      <c r="AX248">
        <f t="shared" si="645"/>
        <v>5688</v>
      </c>
      <c r="AY248">
        <v>246</v>
      </c>
      <c r="AZ248">
        <f t="shared" si="646"/>
        <v>3792</v>
      </c>
      <c r="BA248">
        <f>_xlfn.XLOOKUP(B248,'[5]july-2026'!$A:$A,'[5]july-2026'!$D:$D,0,0)</f>
        <v>0</v>
      </c>
      <c r="BB248">
        <f>_xlfn.XLOOKUP(B248,'[5]july-2026'!$A:$A,'[5]july-2026'!$G:$G,0,0)</f>
        <v>500</v>
      </c>
      <c r="BC248">
        <f t="shared" si="647"/>
        <v>41826</v>
      </c>
      <c r="BD248">
        <f>_xlfn.XLOOKUP(B248,'[5]july-2026'!$A:$A,'[5]july-2026'!$H:$H,0,0)</f>
        <v>2000</v>
      </c>
      <c r="BE248">
        <f>_xlfn.XLOOKUP(B248,'[5]july-2026'!$A:$A,'[5]july-2026'!$I:$I,0,0)</f>
        <v>0</v>
      </c>
      <c r="BF248">
        <f t="shared" si="648"/>
        <v>200</v>
      </c>
      <c r="BG248">
        <f t="shared" si="649"/>
        <v>39626</v>
      </c>
      <c r="BH248">
        <f>_xlfn.XLOOKUP(B248,'[6]august-2026'!$A:$A,'[6]august-2026'!$C:$C,0,0)</f>
        <v>31600</v>
      </c>
      <c r="BI248">
        <f t="shared" si="650"/>
        <v>5688</v>
      </c>
      <c r="BJ248">
        <f t="shared" si="651"/>
        <v>3792</v>
      </c>
      <c r="BK248">
        <f>_xlfn.XLOOKUP(B248,'[6]august-2026'!$A:$A,'[6]august-2026'!$D:$D,0,0)</f>
        <v>0</v>
      </c>
      <c r="BL248">
        <f>_xlfn.XLOOKUP(B248,'[6]august-2026'!$A:$A,'[6]august-2026'!$G:$G,0,0)</f>
        <v>500</v>
      </c>
      <c r="BM248">
        <f t="shared" si="652"/>
        <v>41580</v>
      </c>
      <c r="BN248">
        <f>_xlfn.XLOOKUP(B248,'[6]august-2026'!$A:$A,'[6]august-2026'!$H:$H,0,0)</f>
        <v>2000</v>
      </c>
      <c r="BO248">
        <f>_xlfn.XLOOKUP(B248,'[6]august-2026'!$A:$A,'[6]august-2026'!$I:$I,0,0)</f>
        <v>0</v>
      </c>
      <c r="BP248">
        <f t="shared" si="653"/>
        <v>200</v>
      </c>
      <c r="BQ248">
        <f t="shared" si="654"/>
        <v>39380</v>
      </c>
      <c r="BR248">
        <f>_xlfn.XLOOKUP(B248,'[7]september-2026'!$A:$A,'[7]september-2026'!$C:$C,0,0)</f>
        <v>31600</v>
      </c>
      <c r="BS248">
        <f t="shared" si="655"/>
        <v>5688</v>
      </c>
      <c r="BT248">
        <f t="shared" si="656"/>
        <v>3792</v>
      </c>
      <c r="BU248">
        <f>_xlfn.XLOOKUP(B248,'[7]september-2026'!$A:$A,'[7]september-2026'!$D:$D,0,0)</f>
        <v>0</v>
      </c>
      <c r="BV248">
        <f>_xlfn.XLOOKUP(B248,'[7]september-2026'!$A:$A,'[7]september-2026'!$G:$G,0,0)</f>
        <v>500</v>
      </c>
      <c r="BW248">
        <f t="shared" si="657"/>
        <v>41580</v>
      </c>
      <c r="BX248">
        <f>_xlfn.XLOOKUP(B248,'[7]september-2026'!$A:$A,'[7]september-2026'!$H:$H,0,0)</f>
        <v>2000</v>
      </c>
      <c r="BY248">
        <f>_xlfn.XLOOKUP(B248,'[7]september-2026'!$A:$A,'[7]september-2026'!$I:$I,0,0)</f>
        <v>0</v>
      </c>
      <c r="BZ248">
        <f t="shared" si="658"/>
        <v>200</v>
      </c>
      <c r="CA248">
        <f t="shared" si="659"/>
        <v>39380</v>
      </c>
      <c r="CB248">
        <f>_xlfn.XLOOKUP(B248,'[8]october-2026'!$A:$A,'[8]october-2026'!$C:$C,0,0)</f>
        <v>31600</v>
      </c>
      <c r="CC248">
        <f t="shared" si="660"/>
        <v>5688</v>
      </c>
      <c r="CD248">
        <f t="shared" si="661"/>
        <v>3792</v>
      </c>
      <c r="CE248">
        <f>_xlfn.XLOOKUP(B248,'[8]october-2026'!$A:$A,'[8]october-2026'!$D:$D,0,0)</f>
        <v>0</v>
      </c>
      <c r="CF248">
        <f>_xlfn.XLOOKUP(B248,'[8]october-2026'!$A:$A,'[8]october-2026'!$G:$G,0,0)</f>
        <v>500</v>
      </c>
      <c r="CG248">
        <f t="shared" si="662"/>
        <v>41580</v>
      </c>
      <c r="CH248">
        <f>_xlfn.XLOOKUP(B248,'[8]october-2026'!$A:$A,'[8]october-2026'!$H:$H,0,0)</f>
        <v>2000</v>
      </c>
      <c r="CI248">
        <f>_xlfn.XLOOKUP(B248,'[8]october-2026'!$A:$A,'[8]october-2026'!$I:$I,0,0)</f>
        <v>0</v>
      </c>
      <c r="CJ248">
        <f t="shared" si="663"/>
        <v>200</v>
      </c>
      <c r="CK248">
        <f t="shared" si="664"/>
        <v>39380</v>
      </c>
      <c r="CL248">
        <f>_xlfn.XLOOKUP(B248,'[9]november-2026'!$A:$A,'[9]november-2026'!$C:$C,0,0)</f>
        <v>31600</v>
      </c>
      <c r="CM248">
        <f t="shared" si="665"/>
        <v>5688</v>
      </c>
      <c r="CN248">
        <f t="shared" si="666"/>
        <v>3792</v>
      </c>
      <c r="CO248">
        <f>_xlfn.XLOOKUP(B248,'[9]november-2026'!$A:$A,'[9]november-2026'!$D:$D,0,0)</f>
        <v>0</v>
      </c>
      <c r="CP248">
        <f>_xlfn.XLOOKUP(B248,'[9]november-2026'!$A:$A,'[9]november-2026'!$G:$G,0,0)</f>
        <v>500</v>
      </c>
      <c r="CQ248">
        <f t="shared" si="667"/>
        <v>41580</v>
      </c>
      <c r="CR248">
        <f>_xlfn.XLOOKUP(B248,'[9]november-2026'!$A:$A,'[9]november-2026'!$H:$H,0,0)</f>
        <v>2000</v>
      </c>
      <c r="CS248">
        <f>_xlfn.XLOOKUP(B248,'[9]november-2026'!$A:$A,'[9]november-2026'!$I:$I,0,0)</f>
        <v>0</v>
      </c>
      <c r="CT248">
        <f t="shared" si="668"/>
        <v>200</v>
      </c>
      <c r="CU248">
        <f t="shared" si="669"/>
        <v>39380</v>
      </c>
      <c r="CV248">
        <f>_xlfn.XLOOKUP(B248,'[10]december-2026'!$A:$A,'[10]december-2026'!$C:$C,0,0)</f>
        <v>31600</v>
      </c>
      <c r="CW248">
        <f t="shared" si="670"/>
        <v>5688</v>
      </c>
      <c r="CX248">
        <f t="shared" si="671"/>
        <v>3792</v>
      </c>
      <c r="CY248">
        <f>_xlfn.XLOOKUP(B248,'[10]december-2026'!$A:$A,'[10]december-2026'!$D:$D,0,0)</f>
        <v>0</v>
      </c>
      <c r="CZ248">
        <f>_xlfn.XLOOKUP(B248,'[10]december-2026'!$A:$A,'[10]december-2026'!$G:$G,0,0)</f>
        <v>500</v>
      </c>
      <c r="DA248">
        <f t="shared" si="672"/>
        <v>41580</v>
      </c>
      <c r="DB248">
        <f>_xlfn.XLOOKUP(B248,'[10]december-2026'!$A:$A,'[10]december-2026'!$H:$H,0,0)</f>
        <v>2000</v>
      </c>
      <c r="DC248">
        <f>_xlfn.XLOOKUP(B248,'[10]december-2026'!$A:$A,'[10]december-2026'!$I:$I,0,0)</f>
        <v>0</v>
      </c>
      <c r="DD248">
        <f t="shared" si="673"/>
        <v>200</v>
      </c>
      <c r="DE248">
        <f t="shared" si="674"/>
        <v>39380</v>
      </c>
      <c r="DF248">
        <f xml:space="preserve"> _xlfn.XLOOKUP(B248,
'[11]january-2027'!$A:$A,
'[11]january-2027'!$C:$C,
0,0)</f>
        <v>31600</v>
      </c>
      <c r="DG248">
        <f t="shared" si="675"/>
        <v>5688</v>
      </c>
      <c r="DH248">
        <f t="shared" si="676"/>
        <v>3792</v>
      </c>
      <c r="DI248">
        <f xml:space="preserve"> _xlfn.XLOOKUP(B248,
'[11]january-2027'!$A:$A,
'[11]january-2027'!$D:$D,
0,0)</f>
        <v>0</v>
      </c>
      <c r="DJ248">
        <f xml:space="preserve"> _xlfn.XLOOKUP(B248,
'[11]january-2027'!$A:$A,
'[11]january-2027'!$G:$G,
0,0)</f>
        <v>500</v>
      </c>
      <c r="DK248">
        <f t="shared" si="677"/>
        <v>41580</v>
      </c>
      <c r="DL248">
        <f xml:space="preserve"> _xlfn.XLOOKUP(B248,
'[11]january-2027'!$A:$A,
'[11]january-2027'!$H:$H,
0,0)</f>
        <v>2000</v>
      </c>
      <c r="DM248">
        <f xml:space="preserve"> _xlfn.XLOOKUP(B248,
'[11]january-2027'!$A:$A,
'[11]january-2027'!$I:$I,
0,0)</f>
        <v>0</v>
      </c>
      <c r="DN248">
        <f t="shared" si="678"/>
        <v>200</v>
      </c>
      <c r="DO248">
        <f t="shared" si="679"/>
        <v>39380</v>
      </c>
      <c r="DP248">
        <f xml:space="preserve"> _xlfn.XLOOKUP(B248,
'[12]february-2027'!$A:$A,
'[12]february-2027'!$C:$C,
0,0)</f>
        <v>31600</v>
      </c>
      <c r="DQ248">
        <f t="shared" si="680"/>
        <v>5688</v>
      </c>
      <c r="DR248">
        <f t="shared" si="681"/>
        <v>3792</v>
      </c>
      <c r="DS248">
        <f xml:space="preserve"> _xlfn.XLOOKUP(B248,
'[12]february-2027'!$A:$A,
'[12]february-2027'!$D:$D,
0,0)</f>
        <v>0</v>
      </c>
      <c r="DT248">
        <f xml:space="preserve"> _xlfn.XLOOKUP(B248,
'[12]february-2027'!$A:$A,
'[12]february-2027'!$G:$G,
0,0)</f>
        <v>500</v>
      </c>
      <c r="DU248">
        <f t="shared" si="682"/>
        <v>41580</v>
      </c>
      <c r="DV248">
        <f xml:space="preserve"> _xlfn.XLOOKUP(B248,
'[12]february-2027'!$A:$A,
'[12]february-2027'!$H:$H,
0,0)</f>
        <v>2000</v>
      </c>
      <c r="DW248">
        <f xml:space="preserve"> _xlfn.XLOOKUP(B248,
'[12]february-2027'!$A:$A,
'[12]february-2027'!$I:$I,
0,0)</f>
        <v>0</v>
      </c>
      <c r="DX248">
        <f t="shared" si="683"/>
        <v>200</v>
      </c>
      <c r="DY248">
        <f t="shared" si="684"/>
        <v>39380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85"/>
        <v>0</v>
      </c>
      <c r="EM248">
        <f t="shared" si="686"/>
        <v>501326</v>
      </c>
      <c r="EN248">
        <f t="shared" si="687"/>
        <v>2400</v>
      </c>
      <c r="EO248">
        <f t="shared" si="688"/>
        <v>50000</v>
      </c>
      <c r="EP248">
        <v>0</v>
      </c>
      <c r="EQ248">
        <f t="shared" si="690"/>
        <v>448926</v>
      </c>
      <c r="ER248">
        <f t="shared" si="691"/>
        <v>24000</v>
      </c>
      <c r="ES248">
        <f t="shared" si="692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693"/>
        <v>24000</v>
      </c>
      <c r="FE248">
        <f t="shared" si="694"/>
        <v>24000</v>
      </c>
      <c r="FF248">
        <f t="shared" si="695"/>
        <v>424926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>SUM(FG248:FM248)+(IF(F248="YES",50000,0))</f>
        <v>0</v>
      </c>
      <c r="FO248">
        <f t="shared" si="696"/>
        <v>424926</v>
      </c>
      <c r="FP248">
        <f t="shared" si="697"/>
        <v>8746</v>
      </c>
      <c r="FQ248">
        <f t="shared" si="698"/>
        <v>0</v>
      </c>
      <c r="FR248">
        <f t="shared" si="699"/>
        <v>8746</v>
      </c>
      <c r="FS248">
        <f t="shared" si="700"/>
        <v>0</v>
      </c>
      <c r="FT248">
        <f t="shared" si="701"/>
        <v>0</v>
      </c>
      <c r="FU248">
        <f t="shared" si="702"/>
        <v>0</v>
      </c>
      <c r="FV248">
        <v>0</v>
      </c>
      <c r="FW248">
        <f t="shared" si="703"/>
        <v>0</v>
      </c>
      <c r="FX248" t="b">
        <f t="shared" si="704"/>
        <v>1</v>
      </c>
      <c r="FY248">
        <f t="shared" ca="1" si="705"/>
        <v>782</v>
      </c>
      <c r="FZ248">
        <f t="shared" ca="1" si="706"/>
        <v>502108</v>
      </c>
      <c r="GA248">
        <f t="shared" si="707"/>
        <v>75000</v>
      </c>
      <c r="GB248">
        <f t="shared" ca="1" si="708"/>
        <v>427108</v>
      </c>
      <c r="GC248">
        <f t="shared" ca="1" si="709"/>
        <v>0</v>
      </c>
      <c r="GD248">
        <f t="shared" ca="1" si="710"/>
        <v>0</v>
      </c>
      <c r="GE248">
        <f t="shared" ca="1" si="711"/>
        <v>0</v>
      </c>
      <c r="GF248">
        <f t="shared" ca="1" si="712"/>
        <v>0</v>
      </c>
      <c r="GG248">
        <f t="shared" ca="1" si="713"/>
        <v>0</v>
      </c>
      <c r="GH248">
        <f t="shared" ca="1" si="714"/>
        <v>0</v>
      </c>
      <c r="GI248">
        <f ca="1">IF(GB248&gt;1200000,GB248-1200000-IF(F248="YES",50000,0)-GG248,0)</f>
        <v>0</v>
      </c>
      <c r="GJ248">
        <f t="shared" ca="1" si="715"/>
        <v>0</v>
      </c>
      <c r="GK248">
        <f t="shared" ca="1" si="716"/>
        <v>0</v>
      </c>
      <c r="GL248">
        <f t="shared" ca="1" si="717"/>
        <v>0</v>
      </c>
      <c r="GM248">
        <f t="shared" ca="1" si="718"/>
        <v>27108</v>
      </c>
      <c r="GN248">
        <f t="shared" ca="1" si="719"/>
        <v>1355.4</v>
      </c>
      <c r="GO248">
        <f t="shared" ca="1" si="720"/>
        <v>1355</v>
      </c>
      <c r="GP248">
        <f t="shared" ca="1" si="721"/>
        <v>0</v>
      </c>
      <c r="GQ248">
        <f t="shared" ca="1" si="722"/>
        <v>0</v>
      </c>
      <c r="GR248">
        <f t="shared" ca="1" si="723"/>
        <v>1355</v>
      </c>
      <c r="GS248">
        <f t="shared" ca="1" si="724"/>
        <v>0</v>
      </c>
      <c r="GT248" t="b">
        <f t="shared" ca="1" si="725"/>
        <v>0</v>
      </c>
      <c r="GU248">
        <f t="shared" ca="1" si="726"/>
        <v>0</v>
      </c>
      <c r="GV248">
        <f t="shared" ca="1" si="727"/>
        <v>1355</v>
      </c>
      <c r="GW248">
        <f t="shared" ca="1" si="728"/>
        <v>0</v>
      </c>
      <c r="GX248">
        <f t="shared" ca="1" si="729"/>
        <v>0</v>
      </c>
      <c r="GY248">
        <f t="shared" ca="1" si="730"/>
        <v>0</v>
      </c>
    </row>
    <row r="249" spans="1:207" x14ac:dyDescent="0.25">
      <c r="A249">
        <f>_xlfn.AGGREGATE(3,5,$B$2:B249)</f>
        <v>248</v>
      </c>
      <c r="B249" t="s">
        <v>591</v>
      </c>
      <c r="C249" t="s">
        <v>592</v>
      </c>
      <c r="D249" t="s">
        <v>811</v>
      </c>
      <c r="E249" t="s">
        <v>830</v>
      </c>
      <c r="F249" t="s">
        <v>952</v>
      </c>
      <c r="G249" t="s">
        <v>880</v>
      </c>
      <c r="H249">
        <f t="shared" si="625"/>
        <v>6800</v>
      </c>
      <c r="I249">
        <f>_xlfn.XLOOKUP(B249,'[1]march-2026'!$A:$A,'[1]march-2026'!$C:$C,0,0)</f>
        <v>29800</v>
      </c>
      <c r="J249">
        <f t="shared" si="689"/>
        <v>5364</v>
      </c>
      <c r="K249">
        <f t="shared" si="626"/>
        <v>3576</v>
      </c>
      <c r="L249">
        <f>_xlfn.XLOOKUP(B249,'[1]march-2026'!$A:$A,'[1]march-2026'!$D:$D,0,0)</f>
        <v>0</v>
      </c>
      <c r="M249">
        <f>_xlfn.XLOOKUP(B249,'[1]march-2026'!$A:$A,'[1]march-2026'!$G:$G,0,0)</f>
        <v>0</v>
      </c>
      <c r="N249">
        <f t="shared" si="627"/>
        <v>38740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28"/>
        <v>150</v>
      </c>
      <c r="R249">
        <f t="shared" si="629"/>
        <v>36590</v>
      </c>
      <c r="S249">
        <f>_xlfn.XLOOKUP(B249,'[2]april-2026'!$A:$A,'[2]april-2026'!$C:$C,0,0)</f>
        <v>29800</v>
      </c>
      <c r="T249">
        <f t="shared" si="630"/>
        <v>5364</v>
      </c>
      <c r="U249">
        <f t="shared" si="631"/>
        <v>3576</v>
      </c>
      <c r="V249">
        <f>_xlfn.XLOOKUP(B249,'[2]april-2026'!$A:$A,'[2]april-2026'!$D:$D,0,0)</f>
        <v>0</v>
      </c>
      <c r="W249">
        <f>_xlfn.XLOOKUP(B249,'[2]april-2026'!$A:$A,'[2]april-2026'!$G:$G,0,0)</f>
        <v>0</v>
      </c>
      <c r="X249">
        <f t="shared" si="632"/>
        <v>38740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33"/>
        <v>150</v>
      </c>
      <c r="AB249">
        <f t="shared" si="634"/>
        <v>36590</v>
      </c>
      <c r="AC249">
        <f>_xlfn.XLOOKUP(B249,'[3]may-2026'!$A:$A,'[3]may-2026'!$C:$C,0,0)</f>
        <v>29800</v>
      </c>
      <c r="AD249">
        <f t="shared" si="635"/>
        <v>5364</v>
      </c>
      <c r="AE249">
        <f t="shared" si="636"/>
        <v>3576</v>
      </c>
      <c r="AF249">
        <f>_xlfn.XLOOKUP(B249,'[3]may-2026'!$A:$A,'[3]may-2026'!$D:$D,0,0)</f>
        <v>0</v>
      </c>
      <c r="AG249">
        <f>_xlfn.XLOOKUP(B249,'[3]may-2026'!$A:$A,'[3]may-2026'!$G:$G,0,0)</f>
        <v>0</v>
      </c>
      <c r="AH249">
        <f t="shared" si="637"/>
        <v>38740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38"/>
        <v>150</v>
      </c>
      <c r="AL249">
        <f t="shared" si="639"/>
        <v>36590</v>
      </c>
      <c r="AM249">
        <f>_xlfn.XLOOKUP(B249,'[4]june-2026'!$A:$A,'[4]june-2026'!$C:$C,0,0)</f>
        <v>29800</v>
      </c>
      <c r="AN249">
        <f t="shared" si="640"/>
        <v>5364</v>
      </c>
      <c r="AO249">
        <f t="shared" si="641"/>
        <v>3576</v>
      </c>
      <c r="AP249">
        <f>_xlfn.XLOOKUP(B249,'[4]june-2026'!$A:$A,'[4]june-2026'!$D:$D,0,0)</f>
        <v>0</v>
      </c>
      <c r="AQ249">
        <f>_xlfn.XLOOKUP(B249,'[4]june-2026'!$A:$A,'[4]june-2026'!$G:$G,0,0)</f>
        <v>0</v>
      </c>
      <c r="AR249">
        <f t="shared" si="642"/>
        <v>38740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43"/>
        <v>150</v>
      </c>
      <c r="AV249">
        <f t="shared" si="644"/>
        <v>36590</v>
      </c>
      <c r="AW249">
        <f>_xlfn.XLOOKUP(B249,'[5]july-2026'!$A:$A,'[5]july-2026'!$C:$C,0,0)</f>
        <v>30700</v>
      </c>
      <c r="AX249">
        <f t="shared" si="645"/>
        <v>5526</v>
      </c>
      <c r="AY249">
        <v>247</v>
      </c>
      <c r="AZ249">
        <f t="shared" si="646"/>
        <v>3684</v>
      </c>
      <c r="BA249">
        <f>_xlfn.XLOOKUP(B249,'[5]july-2026'!$A:$A,'[5]july-2026'!$D:$D,0,0)</f>
        <v>0</v>
      </c>
      <c r="BB249">
        <f>_xlfn.XLOOKUP(B249,'[5]july-2026'!$A:$A,'[5]july-2026'!$G:$G,0,0)</f>
        <v>0</v>
      </c>
      <c r="BC249">
        <f t="shared" si="647"/>
        <v>40157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48"/>
        <v>200</v>
      </c>
      <c r="BG249">
        <f t="shared" si="649"/>
        <v>37957</v>
      </c>
      <c r="BH249">
        <f>_xlfn.XLOOKUP(B249,'[6]august-2026'!$A:$A,'[6]august-2026'!$C:$C,0,0)</f>
        <v>30700</v>
      </c>
      <c r="BI249">
        <f t="shared" si="650"/>
        <v>5526</v>
      </c>
      <c r="BJ249">
        <f t="shared" si="651"/>
        <v>3684</v>
      </c>
      <c r="BK249">
        <f>_xlfn.XLOOKUP(B249,'[6]august-2026'!$A:$A,'[6]august-2026'!$D:$D,0,0)</f>
        <v>0</v>
      </c>
      <c r="BL249">
        <f>_xlfn.XLOOKUP(B249,'[6]august-2026'!$A:$A,'[6]august-2026'!$G:$G,0,0)</f>
        <v>0</v>
      </c>
      <c r="BM249">
        <f t="shared" si="652"/>
        <v>39910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53"/>
        <v>150</v>
      </c>
      <c r="BQ249">
        <f t="shared" si="654"/>
        <v>37760</v>
      </c>
      <c r="BR249">
        <f>_xlfn.XLOOKUP(B249,'[7]september-2026'!$A:$A,'[7]september-2026'!$C:$C,0,0)</f>
        <v>30700</v>
      </c>
      <c r="BS249">
        <f t="shared" si="655"/>
        <v>5526</v>
      </c>
      <c r="BT249">
        <f t="shared" si="656"/>
        <v>3684</v>
      </c>
      <c r="BU249">
        <f>_xlfn.XLOOKUP(B249,'[7]september-2026'!$A:$A,'[7]september-2026'!$D:$D,0,0)</f>
        <v>0</v>
      </c>
      <c r="BV249">
        <f>_xlfn.XLOOKUP(B249,'[7]september-2026'!$A:$A,'[7]september-2026'!$G:$G,0,0)</f>
        <v>0</v>
      </c>
      <c r="BW249">
        <f t="shared" si="657"/>
        <v>39910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58"/>
        <v>150</v>
      </c>
      <c r="CA249">
        <f t="shared" si="659"/>
        <v>37760</v>
      </c>
      <c r="CB249">
        <f>_xlfn.XLOOKUP(B249,'[8]october-2026'!$A:$A,'[8]october-2026'!$C:$C,0,0)</f>
        <v>30700</v>
      </c>
      <c r="CC249">
        <f t="shared" si="660"/>
        <v>5526</v>
      </c>
      <c r="CD249">
        <f t="shared" si="661"/>
        <v>3684</v>
      </c>
      <c r="CE249">
        <f>_xlfn.XLOOKUP(B249,'[8]october-2026'!$A:$A,'[8]october-2026'!$D:$D,0,0)</f>
        <v>0</v>
      </c>
      <c r="CF249">
        <f>_xlfn.XLOOKUP(B249,'[8]october-2026'!$A:$A,'[8]october-2026'!$G:$G,0,0)</f>
        <v>0</v>
      </c>
      <c r="CG249">
        <f t="shared" si="662"/>
        <v>39910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63"/>
        <v>150</v>
      </c>
      <c r="CK249">
        <f t="shared" si="664"/>
        <v>37760</v>
      </c>
      <c r="CL249">
        <f>_xlfn.XLOOKUP(B249,'[9]november-2026'!$A:$A,'[9]november-2026'!$C:$C,0,0)</f>
        <v>30700</v>
      </c>
      <c r="CM249">
        <f t="shared" si="665"/>
        <v>5526</v>
      </c>
      <c r="CN249">
        <f t="shared" si="666"/>
        <v>3684</v>
      </c>
      <c r="CO249">
        <f>_xlfn.XLOOKUP(B249,'[9]november-2026'!$A:$A,'[9]november-2026'!$D:$D,0,0)</f>
        <v>0</v>
      </c>
      <c r="CP249">
        <f>_xlfn.XLOOKUP(B249,'[9]november-2026'!$A:$A,'[9]november-2026'!$G:$G,0,0)</f>
        <v>0</v>
      </c>
      <c r="CQ249">
        <f t="shared" si="667"/>
        <v>39910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68"/>
        <v>150</v>
      </c>
      <c r="CU249">
        <f t="shared" si="669"/>
        <v>37760</v>
      </c>
      <c r="CV249">
        <f>_xlfn.XLOOKUP(B249,'[10]december-2026'!$A:$A,'[10]december-2026'!$C:$C,0,0)</f>
        <v>30700</v>
      </c>
      <c r="CW249">
        <f t="shared" si="670"/>
        <v>5526</v>
      </c>
      <c r="CX249">
        <f t="shared" si="671"/>
        <v>3684</v>
      </c>
      <c r="CY249">
        <f>_xlfn.XLOOKUP(B249,'[10]december-2026'!$A:$A,'[10]december-2026'!$D:$D,0,0)</f>
        <v>0</v>
      </c>
      <c r="CZ249">
        <f>_xlfn.XLOOKUP(B249,'[10]december-2026'!$A:$A,'[10]december-2026'!$G:$G,0,0)</f>
        <v>0</v>
      </c>
      <c r="DA249">
        <f t="shared" si="672"/>
        <v>39910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73"/>
        <v>150</v>
      </c>
      <c r="DE249">
        <f t="shared" si="674"/>
        <v>37760</v>
      </c>
      <c r="DF249">
        <f xml:space="preserve"> _xlfn.XLOOKUP(B249,
'[11]january-2027'!$A:$A,
'[11]january-2027'!$C:$C,
0,0)</f>
        <v>30700</v>
      </c>
      <c r="DG249">
        <f t="shared" si="675"/>
        <v>5526</v>
      </c>
      <c r="DH249">
        <f t="shared" si="676"/>
        <v>3684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0</v>
      </c>
      <c r="DK249">
        <f t="shared" si="677"/>
        <v>39910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78"/>
        <v>150</v>
      </c>
      <c r="DO249">
        <f t="shared" si="679"/>
        <v>37760</v>
      </c>
      <c r="DP249">
        <f xml:space="preserve"> _xlfn.XLOOKUP(B249,
'[12]february-2027'!$A:$A,
'[12]february-2027'!$C:$C,
0,0)</f>
        <v>30700</v>
      </c>
      <c r="DQ249">
        <f t="shared" si="680"/>
        <v>5526</v>
      </c>
      <c r="DR249">
        <f t="shared" si="681"/>
        <v>3684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0</v>
      </c>
      <c r="DU249">
        <f t="shared" si="682"/>
        <v>39910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83"/>
        <v>150</v>
      </c>
      <c r="DY249">
        <f t="shared" si="684"/>
        <v>37760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85"/>
        <v>0</v>
      </c>
      <c r="EM249">
        <f t="shared" si="686"/>
        <v>481287</v>
      </c>
      <c r="EN249">
        <f t="shared" si="687"/>
        <v>1850</v>
      </c>
      <c r="EO249">
        <f t="shared" si="688"/>
        <v>50000</v>
      </c>
      <c r="EP249">
        <v>0</v>
      </c>
      <c r="EQ249">
        <f t="shared" si="690"/>
        <v>429437</v>
      </c>
      <c r="ER249">
        <f t="shared" si="691"/>
        <v>24000</v>
      </c>
      <c r="ES249">
        <f t="shared" si="692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693"/>
        <v>24000</v>
      </c>
      <c r="FE249">
        <f t="shared" si="694"/>
        <v>24000</v>
      </c>
      <c r="FF249">
        <f t="shared" si="695"/>
        <v>405437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>SUM(FG249:FM249)+(IF(F249="YES",50000,0))</f>
        <v>0</v>
      </c>
      <c r="FO249">
        <f t="shared" si="696"/>
        <v>405437</v>
      </c>
      <c r="FP249">
        <f t="shared" si="697"/>
        <v>7772</v>
      </c>
      <c r="FQ249">
        <f t="shared" si="698"/>
        <v>0</v>
      </c>
      <c r="FR249">
        <f t="shared" si="699"/>
        <v>7772</v>
      </c>
      <c r="FS249">
        <f t="shared" si="700"/>
        <v>0</v>
      </c>
      <c r="FT249">
        <f t="shared" si="701"/>
        <v>0</v>
      </c>
      <c r="FU249">
        <f t="shared" si="702"/>
        <v>0</v>
      </c>
      <c r="FV249">
        <v>0</v>
      </c>
      <c r="FW249">
        <f t="shared" si="703"/>
        <v>0</v>
      </c>
      <c r="FX249" t="b">
        <f t="shared" si="704"/>
        <v>0</v>
      </c>
      <c r="FY249">
        <f t="shared" ca="1" si="705"/>
        <v>2403</v>
      </c>
      <c r="FZ249">
        <f t="shared" ca="1" si="706"/>
        <v>483690</v>
      </c>
      <c r="GA249">
        <f t="shared" si="707"/>
        <v>75000</v>
      </c>
      <c r="GB249">
        <f t="shared" ca="1" si="708"/>
        <v>408690</v>
      </c>
      <c r="GC249">
        <f t="shared" ca="1" si="709"/>
        <v>0</v>
      </c>
      <c r="GD249">
        <f t="shared" ca="1" si="710"/>
        <v>0</v>
      </c>
      <c r="GE249">
        <f t="shared" ca="1" si="711"/>
        <v>0</v>
      </c>
      <c r="GF249">
        <f t="shared" ca="1" si="712"/>
        <v>0</v>
      </c>
      <c r="GG249">
        <f t="shared" ca="1" si="713"/>
        <v>0</v>
      </c>
      <c r="GH249">
        <f t="shared" ca="1" si="714"/>
        <v>0</v>
      </c>
      <c r="GI249">
        <f ca="1">IF(GB249&gt;1200000,GB249-1200000-IF(F249="YES",50000,0)-GG249,0)</f>
        <v>0</v>
      </c>
      <c r="GJ249">
        <f t="shared" ca="1" si="715"/>
        <v>0</v>
      </c>
      <c r="GK249">
        <f t="shared" ca="1" si="716"/>
        <v>0</v>
      </c>
      <c r="GL249">
        <f t="shared" ca="1" si="717"/>
        <v>0</v>
      </c>
      <c r="GM249">
        <f t="shared" ca="1" si="718"/>
        <v>8690</v>
      </c>
      <c r="GN249">
        <f t="shared" ca="1" si="719"/>
        <v>434.5</v>
      </c>
      <c r="GO249">
        <f t="shared" ca="1" si="720"/>
        <v>435</v>
      </c>
      <c r="GP249">
        <f t="shared" ca="1" si="721"/>
        <v>0</v>
      </c>
      <c r="GQ249">
        <f t="shared" ca="1" si="722"/>
        <v>0</v>
      </c>
      <c r="GR249">
        <f t="shared" ca="1" si="723"/>
        <v>435</v>
      </c>
      <c r="GS249">
        <f t="shared" ca="1" si="724"/>
        <v>0</v>
      </c>
      <c r="GT249" t="b">
        <f t="shared" ca="1" si="725"/>
        <v>0</v>
      </c>
      <c r="GU249">
        <f t="shared" ca="1" si="726"/>
        <v>0</v>
      </c>
      <c r="GV249">
        <f t="shared" ca="1" si="727"/>
        <v>435</v>
      </c>
      <c r="GW249">
        <f t="shared" ca="1" si="728"/>
        <v>0</v>
      </c>
      <c r="GX249">
        <f t="shared" ca="1" si="729"/>
        <v>0</v>
      </c>
      <c r="GY249">
        <f t="shared" ca="1" si="730"/>
        <v>0</v>
      </c>
    </row>
    <row r="250" spans="1:207" x14ac:dyDescent="0.25">
      <c r="A250">
        <f>_xlfn.AGGREGATE(3,5,$B$2:B250)</f>
        <v>249</v>
      </c>
      <c r="B250" t="s">
        <v>593</v>
      </c>
      <c r="C250" t="s">
        <v>594</v>
      </c>
      <c r="D250" t="s">
        <v>811</v>
      </c>
      <c r="E250" t="s">
        <v>830</v>
      </c>
      <c r="F250" t="s">
        <v>952</v>
      </c>
      <c r="G250" t="s">
        <v>888</v>
      </c>
      <c r="H250">
        <f t="shared" si="625"/>
        <v>6800</v>
      </c>
      <c r="I250">
        <f>_xlfn.XLOOKUP(B250,'[1]march-2026'!$A:$A,'[1]march-2026'!$C:$C,0,0)</f>
        <v>29800</v>
      </c>
      <c r="J250">
        <f t="shared" si="689"/>
        <v>5364</v>
      </c>
      <c r="K250">
        <f t="shared" si="626"/>
        <v>3576</v>
      </c>
      <c r="L250">
        <f>_xlfn.XLOOKUP(B250,'[1]march-2026'!$A:$A,'[1]march-2026'!$D:$D,0,0)</f>
        <v>0</v>
      </c>
      <c r="M250">
        <f>_xlfn.XLOOKUP(B250,'[1]march-2026'!$A:$A,'[1]march-2026'!$G:$G,0,0)</f>
        <v>500</v>
      </c>
      <c r="N250">
        <f t="shared" si="627"/>
        <v>39240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28"/>
        <v>150</v>
      </c>
      <c r="R250">
        <f t="shared" si="629"/>
        <v>37090</v>
      </c>
      <c r="S250">
        <f>_xlfn.XLOOKUP(B250,'[2]april-2026'!$A:$A,'[2]april-2026'!$C:$C,0,0)</f>
        <v>29800</v>
      </c>
      <c r="T250">
        <f t="shared" si="630"/>
        <v>5364</v>
      </c>
      <c r="U250">
        <f t="shared" si="631"/>
        <v>3576</v>
      </c>
      <c r="V250">
        <f>_xlfn.XLOOKUP(B250,'[2]april-2026'!$A:$A,'[2]april-2026'!$D:$D,0,0)</f>
        <v>0</v>
      </c>
      <c r="W250">
        <f>_xlfn.XLOOKUP(B250,'[2]april-2026'!$A:$A,'[2]april-2026'!$G:$G,0,0)</f>
        <v>500</v>
      </c>
      <c r="X250">
        <f t="shared" si="632"/>
        <v>39240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33"/>
        <v>150</v>
      </c>
      <c r="AB250">
        <f t="shared" si="634"/>
        <v>37090</v>
      </c>
      <c r="AC250">
        <f>_xlfn.XLOOKUP(B250,'[3]may-2026'!$A:$A,'[3]may-2026'!$C:$C,0,0)</f>
        <v>29800</v>
      </c>
      <c r="AD250">
        <f t="shared" si="635"/>
        <v>5364</v>
      </c>
      <c r="AE250">
        <f t="shared" si="636"/>
        <v>3576</v>
      </c>
      <c r="AF250">
        <f>_xlfn.XLOOKUP(B250,'[3]may-2026'!$A:$A,'[3]may-2026'!$D:$D,0,0)</f>
        <v>0</v>
      </c>
      <c r="AG250">
        <f>_xlfn.XLOOKUP(B250,'[3]may-2026'!$A:$A,'[3]may-2026'!$G:$G,0,0)</f>
        <v>500</v>
      </c>
      <c r="AH250">
        <f t="shared" si="637"/>
        <v>39240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38"/>
        <v>150</v>
      </c>
      <c r="AL250">
        <f t="shared" si="639"/>
        <v>37090</v>
      </c>
      <c r="AM250">
        <f>_xlfn.XLOOKUP(B250,'[4]june-2026'!$A:$A,'[4]june-2026'!$C:$C,0,0)</f>
        <v>29800</v>
      </c>
      <c r="AN250">
        <f t="shared" si="640"/>
        <v>5364</v>
      </c>
      <c r="AO250">
        <f t="shared" si="641"/>
        <v>3576</v>
      </c>
      <c r="AP250">
        <f>_xlfn.XLOOKUP(B250,'[4]june-2026'!$A:$A,'[4]june-2026'!$D:$D,0,0)</f>
        <v>0</v>
      </c>
      <c r="AQ250">
        <f>_xlfn.XLOOKUP(B250,'[4]june-2026'!$A:$A,'[4]june-2026'!$G:$G,0,0)</f>
        <v>500</v>
      </c>
      <c r="AR250">
        <f t="shared" si="642"/>
        <v>39240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43"/>
        <v>150</v>
      </c>
      <c r="AV250">
        <f t="shared" si="644"/>
        <v>37090</v>
      </c>
      <c r="AW250">
        <f>_xlfn.XLOOKUP(B250,'[5]july-2026'!$A:$A,'[5]july-2026'!$C:$C,0,0)</f>
        <v>30700</v>
      </c>
      <c r="AX250">
        <f t="shared" si="645"/>
        <v>5526</v>
      </c>
      <c r="AY250">
        <v>248</v>
      </c>
      <c r="AZ250">
        <f t="shared" si="646"/>
        <v>3684</v>
      </c>
      <c r="BA250">
        <f>_xlfn.XLOOKUP(B250,'[5]july-2026'!$A:$A,'[5]july-2026'!$D:$D,0,0)</f>
        <v>0</v>
      </c>
      <c r="BB250">
        <f>_xlfn.XLOOKUP(B250,'[5]july-2026'!$A:$A,'[5]july-2026'!$G:$G,0,0)</f>
        <v>500</v>
      </c>
      <c r="BC250">
        <f t="shared" si="647"/>
        <v>40658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48"/>
        <v>200</v>
      </c>
      <c r="BG250">
        <f t="shared" si="649"/>
        <v>38458</v>
      </c>
      <c r="BH250">
        <f>_xlfn.XLOOKUP(B250,'[6]august-2026'!$A:$A,'[6]august-2026'!$C:$C,0,0)</f>
        <v>30700</v>
      </c>
      <c r="BI250">
        <f t="shared" si="650"/>
        <v>5526</v>
      </c>
      <c r="BJ250">
        <f t="shared" si="651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500</v>
      </c>
      <c r="BM250">
        <f t="shared" si="652"/>
        <v>40410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53"/>
        <v>200</v>
      </c>
      <c r="BQ250">
        <f t="shared" si="654"/>
        <v>38210</v>
      </c>
      <c r="BR250">
        <f>_xlfn.XLOOKUP(B250,'[7]september-2026'!$A:$A,'[7]september-2026'!$C:$C,0,0)</f>
        <v>30700</v>
      </c>
      <c r="BS250">
        <f t="shared" si="655"/>
        <v>5526</v>
      </c>
      <c r="BT250">
        <f t="shared" si="656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500</v>
      </c>
      <c r="BW250">
        <f t="shared" si="657"/>
        <v>40410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58"/>
        <v>200</v>
      </c>
      <c r="CA250">
        <f t="shared" si="659"/>
        <v>38210</v>
      </c>
      <c r="CB250">
        <f>_xlfn.XLOOKUP(B250,'[8]october-2026'!$A:$A,'[8]october-2026'!$C:$C,0,0)</f>
        <v>30700</v>
      </c>
      <c r="CC250">
        <f t="shared" si="660"/>
        <v>5526</v>
      </c>
      <c r="CD250">
        <f t="shared" si="661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500</v>
      </c>
      <c r="CG250">
        <f t="shared" si="662"/>
        <v>40410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63"/>
        <v>200</v>
      </c>
      <c r="CK250">
        <f t="shared" si="664"/>
        <v>38210</v>
      </c>
      <c r="CL250">
        <f>_xlfn.XLOOKUP(B250,'[9]november-2026'!$A:$A,'[9]november-2026'!$C:$C,0,0)</f>
        <v>30700</v>
      </c>
      <c r="CM250">
        <f t="shared" si="665"/>
        <v>5526</v>
      </c>
      <c r="CN250">
        <f t="shared" si="666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500</v>
      </c>
      <c r="CQ250">
        <f t="shared" si="667"/>
        <v>40410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68"/>
        <v>200</v>
      </c>
      <c r="CU250">
        <f t="shared" si="669"/>
        <v>38210</v>
      </c>
      <c r="CV250">
        <f>_xlfn.XLOOKUP(B250,'[10]december-2026'!$A:$A,'[10]december-2026'!$C:$C,0,0)</f>
        <v>30700</v>
      </c>
      <c r="CW250">
        <f t="shared" si="670"/>
        <v>5526</v>
      </c>
      <c r="CX250">
        <f t="shared" si="671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500</v>
      </c>
      <c r="DA250">
        <f t="shared" si="672"/>
        <v>40410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73"/>
        <v>200</v>
      </c>
      <c r="DE250">
        <f t="shared" si="674"/>
        <v>38210</v>
      </c>
      <c r="DF250">
        <f xml:space="preserve"> _xlfn.XLOOKUP(B250,
'[11]january-2027'!$A:$A,
'[11]january-2027'!$C:$C,
0,0)</f>
        <v>30700</v>
      </c>
      <c r="DG250">
        <f t="shared" si="675"/>
        <v>5526</v>
      </c>
      <c r="DH250">
        <f t="shared" si="676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500</v>
      </c>
      <c r="DK250">
        <f t="shared" si="677"/>
        <v>40410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78"/>
        <v>200</v>
      </c>
      <c r="DO250">
        <f t="shared" si="679"/>
        <v>38210</v>
      </c>
      <c r="DP250">
        <f xml:space="preserve"> _xlfn.XLOOKUP(B250,
'[12]february-2027'!$A:$A,
'[12]february-2027'!$C:$C,
0,0)</f>
        <v>30700</v>
      </c>
      <c r="DQ250">
        <f t="shared" si="680"/>
        <v>5526</v>
      </c>
      <c r="DR250">
        <f t="shared" si="681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500</v>
      </c>
      <c r="DU250">
        <f t="shared" si="682"/>
        <v>40410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83"/>
        <v>200</v>
      </c>
      <c r="DY250">
        <f t="shared" si="684"/>
        <v>38210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85"/>
        <v>0</v>
      </c>
      <c r="EM250">
        <f t="shared" si="686"/>
        <v>487288</v>
      </c>
      <c r="EN250">
        <f t="shared" si="687"/>
        <v>2200</v>
      </c>
      <c r="EO250">
        <f t="shared" si="688"/>
        <v>50000</v>
      </c>
      <c r="EP250">
        <v>0</v>
      </c>
      <c r="EQ250">
        <f t="shared" si="690"/>
        <v>435088</v>
      </c>
      <c r="ER250">
        <f t="shared" si="691"/>
        <v>24000</v>
      </c>
      <c r="ES250">
        <f t="shared" si="692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693"/>
        <v>24000</v>
      </c>
      <c r="FE250">
        <f t="shared" si="694"/>
        <v>24000</v>
      </c>
      <c r="FF250">
        <f t="shared" si="695"/>
        <v>411088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>SUM(FG250:FM250)+(IF(F250="YES",50000,0))</f>
        <v>0</v>
      </c>
      <c r="FO250">
        <f t="shared" si="696"/>
        <v>411088</v>
      </c>
      <c r="FP250">
        <f t="shared" si="697"/>
        <v>8054</v>
      </c>
      <c r="FQ250">
        <f t="shared" si="698"/>
        <v>0</v>
      </c>
      <c r="FR250">
        <f t="shared" si="699"/>
        <v>8054</v>
      </c>
      <c r="FS250">
        <f t="shared" si="700"/>
        <v>0</v>
      </c>
      <c r="FT250">
        <f t="shared" si="701"/>
        <v>0</v>
      </c>
      <c r="FU250">
        <f t="shared" si="702"/>
        <v>0</v>
      </c>
      <c r="FV250">
        <v>0</v>
      </c>
      <c r="FW250">
        <f t="shared" si="703"/>
        <v>0</v>
      </c>
      <c r="FX250" t="b">
        <f t="shared" si="704"/>
        <v>0</v>
      </c>
      <c r="FY250">
        <f t="shared" ca="1" si="705"/>
        <v>2304</v>
      </c>
      <c r="FZ250">
        <f t="shared" ca="1" si="706"/>
        <v>489592</v>
      </c>
      <c r="GA250">
        <f t="shared" si="707"/>
        <v>75000</v>
      </c>
      <c r="GB250">
        <f t="shared" ca="1" si="708"/>
        <v>414592</v>
      </c>
      <c r="GC250">
        <f t="shared" ca="1" si="709"/>
        <v>0</v>
      </c>
      <c r="GD250">
        <f t="shared" ca="1" si="710"/>
        <v>0</v>
      </c>
      <c r="GE250">
        <f t="shared" ca="1" si="711"/>
        <v>0</v>
      </c>
      <c r="GF250">
        <f t="shared" ca="1" si="712"/>
        <v>0</v>
      </c>
      <c r="GG250">
        <f t="shared" ca="1" si="713"/>
        <v>0</v>
      </c>
      <c r="GH250">
        <f t="shared" ca="1" si="714"/>
        <v>0</v>
      </c>
      <c r="GI250">
        <f ca="1">IF(GB250&gt;1200000,GB250-1200000-IF(F250="YES",50000,0)-GG250,0)</f>
        <v>0</v>
      </c>
      <c r="GJ250">
        <f t="shared" ca="1" si="715"/>
        <v>0</v>
      </c>
      <c r="GK250">
        <f t="shared" ca="1" si="716"/>
        <v>0</v>
      </c>
      <c r="GL250">
        <f t="shared" ca="1" si="717"/>
        <v>0</v>
      </c>
      <c r="GM250">
        <f t="shared" ca="1" si="718"/>
        <v>14592</v>
      </c>
      <c r="GN250">
        <f t="shared" ca="1" si="719"/>
        <v>729.6</v>
      </c>
      <c r="GO250">
        <f t="shared" ca="1" si="720"/>
        <v>730</v>
      </c>
      <c r="GP250">
        <f t="shared" ca="1" si="721"/>
        <v>0</v>
      </c>
      <c r="GQ250">
        <f t="shared" ca="1" si="722"/>
        <v>0</v>
      </c>
      <c r="GR250">
        <f t="shared" ca="1" si="723"/>
        <v>730</v>
      </c>
      <c r="GS250">
        <f t="shared" ca="1" si="724"/>
        <v>0</v>
      </c>
      <c r="GT250" t="b">
        <f t="shared" ca="1" si="725"/>
        <v>0</v>
      </c>
      <c r="GU250">
        <f t="shared" ca="1" si="726"/>
        <v>0</v>
      </c>
      <c r="GV250">
        <f t="shared" ca="1" si="727"/>
        <v>730</v>
      </c>
      <c r="GW250">
        <f t="shared" ca="1" si="728"/>
        <v>0</v>
      </c>
      <c r="GX250">
        <f t="shared" ca="1" si="729"/>
        <v>0</v>
      </c>
      <c r="GY250">
        <f t="shared" ca="1" si="730"/>
        <v>0</v>
      </c>
    </row>
    <row r="251" spans="1:207" x14ac:dyDescent="0.25">
      <c r="A251">
        <f>_xlfn.AGGREGATE(3,5,$B$2:B251)</f>
        <v>250</v>
      </c>
      <c r="B251" t="s">
        <v>994</v>
      </c>
      <c r="C251" t="s">
        <v>995</v>
      </c>
      <c r="D251" t="s">
        <v>811</v>
      </c>
      <c r="E251" t="s">
        <v>830</v>
      </c>
      <c r="F251" t="s">
        <v>952</v>
      </c>
      <c r="G251" s="1">
        <v>46053</v>
      </c>
      <c r="H251">
        <f t="shared" si="625"/>
        <v>0</v>
      </c>
      <c r="I251">
        <f>_xlfn.XLOOKUP(B251,'[1]march-2026'!$A:$A,'[1]march-2026'!$C:$C,0,0)</f>
        <v>28900</v>
      </c>
      <c r="J251">
        <f t="shared" si="689"/>
        <v>5202</v>
      </c>
      <c r="K251">
        <f t="shared" si="626"/>
        <v>3468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27"/>
        <v>38070</v>
      </c>
      <c r="O251">
        <f>_xlfn.XLOOKUP(B251,'[1]march-2026'!$A:$A,'[1]march-2026'!$H:$H,0,0)</f>
        <v>0</v>
      </c>
      <c r="P251">
        <f>_xlfn.XLOOKUP(B251,'[1]march-2026'!$A:$A,'[1]march-2026'!$I:$I,0,0)</f>
        <v>0</v>
      </c>
      <c r="Q251">
        <f t="shared" si="628"/>
        <v>150</v>
      </c>
      <c r="R251">
        <f t="shared" si="629"/>
        <v>37920</v>
      </c>
      <c r="S251">
        <f>_xlfn.XLOOKUP(B251,'[2]april-2026'!$A:$A,'[2]april-2026'!$C:$C,0,0)</f>
        <v>28900</v>
      </c>
      <c r="T251">
        <f t="shared" si="630"/>
        <v>5202</v>
      </c>
      <c r="U251">
        <f t="shared" si="631"/>
        <v>3468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32"/>
        <v>38070</v>
      </c>
      <c r="Y251">
        <f>_xlfn.XLOOKUP(B251,'[2]april-2026'!$A:$A,'[2]april-2026'!$H:$H,0,0)</f>
        <v>0</v>
      </c>
      <c r="Z251">
        <f>_xlfn.XLOOKUP(B251,'[2]april-2026'!$A:$A,'[2]april-2026'!$I:$I,0,0)</f>
        <v>0</v>
      </c>
      <c r="AA251">
        <f t="shared" si="633"/>
        <v>150</v>
      </c>
      <c r="AB251">
        <f t="shared" si="634"/>
        <v>37920</v>
      </c>
      <c r="AC251">
        <f>_xlfn.XLOOKUP(B251,'[3]may-2026'!$A:$A,'[3]may-2026'!$C:$C,0,0)</f>
        <v>28900</v>
      </c>
      <c r="AD251">
        <f t="shared" si="635"/>
        <v>5202</v>
      </c>
      <c r="AE251">
        <f t="shared" si="636"/>
        <v>3468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37"/>
        <v>38070</v>
      </c>
      <c r="AI251">
        <f>_xlfn.XLOOKUP(B251,'[3]may-2026'!$A:$A,'[3]may-2026'!$H:$H,0,0)</f>
        <v>0</v>
      </c>
      <c r="AJ251">
        <f>_xlfn.XLOOKUP(B251,'[3]may-2026'!$A:$A,'[3]may-2026'!$I:$I,0,0)</f>
        <v>0</v>
      </c>
      <c r="AK251">
        <f t="shared" si="638"/>
        <v>150</v>
      </c>
      <c r="AL251">
        <f t="shared" si="639"/>
        <v>37920</v>
      </c>
      <c r="AM251">
        <f>_xlfn.XLOOKUP(B251,'[4]june-2026'!$A:$A,'[4]june-2026'!$C:$C,0,0)</f>
        <v>28900</v>
      </c>
      <c r="AN251">
        <f t="shared" si="640"/>
        <v>5202</v>
      </c>
      <c r="AO251">
        <f t="shared" si="641"/>
        <v>3468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42"/>
        <v>38070</v>
      </c>
      <c r="AS251">
        <f>_xlfn.XLOOKUP(B251,'[4]june-2026'!$A:$A,'[4]june-2026'!$H:$H,0,0)</f>
        <v>0</v>
      </c>
      <c r="AT251">
        <f>_xlfn.XLOOKUP(B251,'[4]june-2026'!$A:$A,'[4]june-2026'!$I:$I,0,0)</f>
        <v>0</v>
      </c>
      <c r="AU251">
        <f t="shared" si="643"/>
        <v>150</v>
      </c>
      <c r="AV251">
        <f t="shared" si="644"/>
        <v>37920</v>
      </c>
      <c r="AW251">
        <f>_xlfn.XLOOKUP(B251,'[5]july-2026'!$A:$A,'[5]july-2026'!$C:$C,0,0)</f>
        <v>28900</v>
      </c>
      <c r="AX251">
        <f t="shared" si="645"/>
        <v>5202</v>
      </c>
      <c r="AY251">
        <v>249</v>
      </c>
      <c r="AZ251">
        <f t="shared" si="646"/>
        <v>3468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47"/>
        <v>38319</v>
      </c>
      <c r="BD251">
        <f>_xlfn.XLOOKUP(B251,'[5]july-2026'!$A:$A,'[5]july-2026'!$H:$H,0,0)</f>
        <v>0</v>
      </c>
      <c r="BE251">
        <f>_xlfn.XLOOKUP(B251,'[5]july-2026'!$A:$A,'[5]july-2026'!$I:$I,0,0)</f>
        <v>0</v>
      </c>
      <c r="BF251">
        <f t="shared" si="648"/>
        <v>150</v>
      </c>
      <c r="BG251">
        <f t="shared" si="649"/>
        <v>38169</v>
      </c>
      <c r="BH251">
        <f>_xlfn.XLOOKUP(B251,'[6]august-2026'!$A:$A,'[6]august-2026'!$C:$C,0,0)</f>
        <v>28900</v>
      </c>
      <c r="BI251">
        <f t="shared" si="650"/>
        <v>5202</v>
      </c>
      <c r="BJ251">
        <f t="shared" si="651"/>
        <v>3468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52"/>
        <v>38070</v>
      </c>
      <c r="BN251">
        <f>_xlfn.XLOOKUP(B251,'[6]august-2026'!$A:$A,'[6]august-2026'!$H:$H,0,0)</f>
        <v>0</v>
      </c>
      <c r="BO251">
        <f>_xlfn.XLOOKUP(B251,'[6]august-2026'!$A:$A,'[6]august-2026'!$I:$I,0,0)</f>
        <v>0</v>
      </c>
      <c r="BP251">
        <f t="shared" si="653"/>
        <v>150</v>
      </c>
      <c r="BQ251">
        <f t="shared" si="654"/>
        <v>37920</v>
      </c>
      <c r="BR251">
        <f>_xlfn.XLOOKUP(B251,'[7]september-2026'!$A:$A,'[7]september-2026'!$C:$C,0,0)</f>
        <v>28900</v>
      </c>
      <c r="BS251">
        <f t="shared" si="655"/>
        <v>5202</v>
      </c>
      <c r="BT251">
        <f t="shared" si="656"/>
        <v>3468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57"/>
        <v>38070</v>
      </c>
      <c r="BX251">
        <f>_xlfn.XLOOKUP(B251,'[7]september-2026'!$A:$A,'[7]september-2026'!$H:$H,0,0)</f>
        <v>0</v>
      </c>
      <c r="BY251">
        <f>_xlfn.XLOOKUP(B251,'[7]september-2026'!$A:$A,'[7]september-2026'!$I:$I,0,0)</f>
        <v>0</v>
      </c>
      <c r="BZ251">
        <f t="shared" si="658"/>
        <v>150</v>
      </c>
      <c r="CA251">
        <f t="shared" si="659"/>
        <v>37920</v>
      </c>
      <c r="CB251">
        <f>_xlfn.XLOOKUP(B251,'[8]october-2026'!$A:$A,'[8]october-2026'!$C:$C,0,0)</f>
        <v>28900</v>
      </c>
      <c r="CC251">
        <f t="shared" si="660"/>
        <v>5202</v>
      </c>
      <c r="CD251">
        <f t="shared" si="661"/>
        <v>3468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62"/>
        <v>38070</v>
      </c>
      <c r="CH251">
        <f>_xlfn.XLOOKUP(B251,'[8]october-2026'!$A:$A,'[8]october-2026'!$H:$H,0,0)</f>
        <v>0</v>
      </c>
      <c r="CI251">
        <f>_xlfn.XLOOKUP(B251,'[8]october-2026'!$A:$A,'[8]october-2026'!$I:$I,0,0)</f>
        <v>0</v>
      </c>
      <c r="CJ251">
        <f t="shared" si="663"/>
        <v>150</v>
      </c>
      <c r="CK251">
        <f t="shared" si="664"/>
        <v>37920</v>
      </c>
      <c r="CL251">
        <f>_xlfn.XLOOKUP(B251,'[9]november-2026'!$A:$A,'[9]november-2026'!$C:$C,0,0)</f>
        <v>28900</v>
      </c>
      <c r="CM251">
        <f t="shared" si="665"/>
        <v>5202</v>
      </c>
      <c r="CN251">
        <f t="shared" si="666"/>
        <v>3468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67"/>
        <v>38070</v>
      </c>
      <c r="CR251">
        <f>_xlfn.XLOOKUP(B251,'[9]november-2026'!$A:$A,'[9]november-2026'!$H:$H,0,0)</f>
        <v>0</v>
      </c>
      <c r="CS251">
        <f>_xlfn.XLOOKUP(B251,'[9]november-2026'!$A:$A,'[9]november-2026'!$I:$I,0,0)</f>
        <v>0</v>
      </c>
      <c r="CT251">
        <f t="shared" si="668"/>
        <v>150</v>
      </c>
      <c r="CU251">
        <f t="shared" si="669"/>
        <v>37920</v>
      </c>
      <c r="CV251">
        <f>_xlfn.XLOOKUP(B251,'[10]december-2026'!$A:$A,'[10]december-2026'!$C:$C,0,0)</f>
        <v>28900</v>
      </c>
      <c r="CW251">
        <f t="shared" si="670"/>
        <v>5202</v>
      </c>
      <c r="CX251">
        <f t="shared" si="671"/>
        <v>3468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72"/>
        <v>38070</v>
      </c>
      <c r="DB251">
        <f>_xlfn.XLOOKUP(B251,'[10]december-2026'!$A:$A,'[10]december-2026'!$H:$H,0,0)</f>
        <v>0</v>
      </c>
      <c r="DC251">
        <f>_xlfn.XLOOKUP(B251,'[10]december-2026'!$A:$A,'[10]december-2026'!$I:$I,0,0)</f>
        <v>0</v>
      </c>
      <c r="DD251">
        <f t="shared" si="673"/>
        <v>150</v>
      </c>
      <c r="DE251">
        <f t="shared" si="674"/>
        <v>37920</v>
      </c>
      <c r="DF251">
        <f xml:space="preserve"> _xlfn.XLOOKUP(B251,
'[11]january-2027'!$A:$A,
'[11]january-2027'!$C:$C,
0,0)</f>
        <v>28900</v>
      </c>
      <c r="DG251">
        <f t="shared" si="675"/>
        <v>5202</v>
      </c>
      <c r="DH251">
        <f t="shared" si="676"/>
        <v>3468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77"/>
        <v>38070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78"/>
        <v>150</v>
      </c>
      <c r="DO251">
        <f t="shared" si="679"/>
        <v>35920</v>
      </c>
      <c r="DP251">
        <f xml:space="preserve"> _xlfn.XLOOKUP(B251,
'[12]february-2027'!$A:$A,
'[12]february-2027'!$C:$C,
0,0)</f>
        <v>28900</v>
      </c>
      <c r="DQ251">
        <f t="shared" si="680"/>
        <v>5202</v>
      </c>
      <c r="DR251">
        <f t="shared" si="681"/>
        <v>3468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82"/>
        <v>38070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83"/>
        <v>150</v>
      </c>
      <c r="DY251">
        <f t="shared" si="684"/>
        <v>35920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85"/>
        <v>0</v>
      </c>
      <c r="EM251">
        <f t="shared" si="686"/>
        <v>457089</v>
      </c>
      <c r="EN251">
        <f t="shared" si="687"/>
        <v>1800</v>
      </c>
      <c r="EO251">
        <f t="shared" si="688"/>
        <v>50000</v>
      </c>
      <c r="EP251">
        <v>1</v>
      </c>
      <c r="EQ251">
        <f t="shared" ref="EQ251" si="772">EM251-EN251-EO251+EL251</f>
        <v>405289</v>
      </c>
      <c r="ER251">
        <f t="shared" ref="ER251" si="773">DV251+DL251+DB251+CR251+CH251+BX251+BN251+BD251+AS251+AI251+Y251+O251</f>
        <v>4000</v>
      </c>
      <c r="ES251">
        <f t="shared" ref="ES251" si="774">DW251+DM251+DC251+CS251+CI251+BY251+BO251+BE251+AT251+AJ251+Z251+P251</f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ref="FD251" si="775">SUM(ER251:FC251)</f>
        <v>4000</v>
      </c>
      <c r="FE251">
        <f t="shared" ref="FE251" si="776">IF(FD251&gt;=150000,150000,FD251)</f>
        <v>4000</v>
      </c>
      <c r="FF251">
        <f t="shared" ref="FF251" si="777">EQ251-FE251</f>
        <v>401289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>SUM(FG251:FM251)+(IF(F251="YES",50000,0))</f>
        <v>0</v>
      </c>
      <c r="FO251">
        <f t="shared" ref="FO251" si="778">FF251-FN251</f>
        <v>401289</v>
      </c>
      <c r="FP251">
        <f t="shared" ref="FP251" si="779">ROUND(IF(FO251&gt;0,IF(FO251&gt;500000,12500,(FO251-250000)*0.05),0),0)</f>
        <v>7564</v>
      </c>
      <c r="FQ251">
        <f t="shared" ref="FQ251" si="780">IF(ROUND(IF(FO251&gt;0,IF(FO251&gt;1000000,25000,(FO251-500000)*0.2),0),0)&lt;0,0,ROUND(IF(FO251&gt;0,IF(FO251&gt;1000000,25000,(FO251-500000)*0.2),0),0))</f>
        <v>0</v>
      </c>
      <c r="FR251">
        <f t="shared" ref="FR251" si="781">FP251+FQ251</f>
        <v>7564</v>
      </c>
      <c r="FS251">
        <f t="shared" ref="FS251" si="782">IF(FR251&lt;12500,0,FR251)</f>
        <v>0</v>
      </c>
      <c r="FT251">
        <f t="shared" ref="FT251" si="783">FS251*0.04</f>
        <v>0</v>
      </c>
      <c r="FU251">
        <f t="shared" ref="FU251" si="784">ROUND(FT251+FS251,0)</f>
        <v>0</v>
      </c>
      <c r="FV251">
        <v>1</v>
      </c>
      <c r="FW251">
        <f t="shared" ref="FW251" si="785">FU251-FV251</f>
        <v>-1</v>
      </c>
      <c r="FX251" t="b">
        <f t="shared" ref="FX251" si="786">IF(EM251&gt;500000,TRUE,FALSE)</f>
        <v>0</v>
      </c>
      <c r="FY251">
        <f t="shared" ref="FY251" ca="1" si="787">IF(FX251,RANDBETWEEN(500,1000),RANDBETWEEN(1000,3000))</f>
        <v>2615</v>
      </c>
      <c r="FZ251">
        <f t="shared" ref="FZ251" ca="1" si="788">EM251+FY251</f>
        <v>459704</v>
      </c>
      <c r="GA251">
        <f t="shared" ref="GA251" si="789">IF(EM251&gt;0,75000,0)</f>
        <v>75000</v>
      </c>
      <c r="GB251">
        <f t="shared" ref="GB251" ca="1" si="790">FZ251-GA251</f>
        <v>384704</v>
      </c>
      <c r="GC251">
        <f t="shared" ref="GC251" ca="1" si="791">IF(GB251&gt;2400000,GB251-2400000,0)</f>
        <v>0</v>
      </c>
      <c r="GD251">
        <f t="shared" ref="GD251" ca="1" si="792">GC251*0.3</f>
        <v>0</v>
      </c>
      <c r="GE251">
        <f t="shared" ref="GE251" ca="1" si="793">IF(GB251&gt;2000000,GB251-2000000,0)</f>
        <v>0</v>
      </c>
      <c r="GF251">
        <f t="shared" ref="GF251" ca="1" si="794">GE251*0.25</f>
        <v>0</v>
      </c>
      <c r="GG251">
        <f t="shared" ref="GG251" ca="1" si="795">IF(GB251&gt;1600000,GB251-1600000-GC251,0)</f>
        <v>0</v>
      </c>
      <c r="GH251">
        <f t="shared" ref="GH251" ca="1" si="796">GG251*0.2</f>
        <v>0</v>
      </c>
      <c r="GI251">
        <f ca="1">IF(GB251&gt;1200000,GB251-1200000-IF(F251="YES",50000,0)-GG251,0)</f>
        <v>0</v>
      </c>
      <c r="GJ251">
        <f t="shared" ref="GJ251" ca="1" si="797">GI251*0.15</f>
        <v>0</v>
      </c>
      <c r="GK251">
        <f t="shared" ref="GK251" ca="1" si="798">IF(GB251&gt;800000,GB251-800000-GC251-GG251-GI251,0)</f>
        <v>0</v>
      </c>
      <c r="GL251">
        <f t="shared" ref="GL251" ca="1" si="799">GK251*0.1</f>
        <v>0</v>
      </c>
      <c r="GM251">
        <f t="shared" ref="GM251" ca="1" si="800">IF(GB251&gt;400000,GB251-400000-GC251-GG251-GI251-GK251,0)</f>
        <v>0</v>
      </c>
      <c r="GN251">
        <f t="shared" ref="GN251" ca="1" si="801">GM251*0.05</f>
        <v>0</v>
      </c>
      <c r="GO251">
        <f t="shared" ref="GO251" ca="1" si="802">ROUND(GD251+GF251+GH251+GJ251+GL251+GN251,0)</f>
        <v>0</v>
      </c>
      <c r="GP251">
        <f t="shared" ref="GP251" ca="1" si="803">IF(GB251&gt;1200000,GB251,0)</f>
        <v>0</v>
      </c>
      <c r="GQ251">
        <f t="shared" ref="GQ251" ca="1" si="804">IF(GB251&gt;1200000,GP251-1200000,0)</f>
        <v>0</v>
      </c>
      <c r="GR251">
        <f t="shared" ref="GR251" ca="1" si="805">IF(GB251&lt;1200001,MIN(GO251,60000),0)</f>
        <v>0</v>
      </c>
      <c r="GS251">
        <f t="shared" ref="GS251" ca="1" si="806">IF(GB251&gt;1200000,GO251-GQ251,0)</f>
        <v>0</v>
      </c>
      <c r="GT251" t="b">
        <f t="shared" ref="GT251" ca="1" si="807">IF(GS251&gt;0,TRUE,FALSE)</f>
        <v>0</v>
      </c>
      <c r="GU251">
        <f t="shared" ref="GU251" ca="1" si="808">IF(GT251,GS251,0)</f>
        <v>0</v>
      </c>
      <c r="GV251">
        <f t="shared" ref="GV251" ca="1" si="809">GR251+GU251</f>
        <v>0</v>
      </c>
      <c r="GW251">
        <f t="shared" ref="GW251" ca="1" si="810">ROUND(GO251-GV251,0)</f>
        <v>0</v>
      </c>
      <c r="GX251">
        <f t="shared" ref="GX251" ca="1" si="811">GW251*0.04</f>
        <v>0</v>
      </c>
      <c r="GY251">
        <f t="shared" ref="GY251" ca="1" si="812">ROUNDUP(GW251+GX251,0)</f>
        <v>0</v>
      </c>
    </row>
    <row r="252" spans="1:207" x14ac:dyDescent="0.25">
      <c r="A252">
        <f>_xlfn.AGGREGATE(3,5,$B$2:B252)</f>
        <v>251</v>
      </c>
      <c r="B252" t="s">
        <v>595</v>
      </c>
      <c r="C252" t="s">
        <v>596</v>
      </c>
      <c r="D252" t="s">
        <v>812</v>
      </c>
      <c r="E252" t="s">
        <v>830</v>
      </c>
      <c r="F252" t="s">
        <v>952</v>
      </c>
      <c r="G252" t="s">
        <v>887</v>
      </c>
      <c r="H252">
        <f t="shared" si="625"/>
        <v>6800</v>
      </c>
      <c r="I252">
        <f>_xlfn.XLOOKUP(B252,'[1]march-2026'!$A:$A,'[1]march-2026'!$C:$C,0,0)</f>
        <v>38800</v>
      </c>
      <c r="J252">
        <f t="shared" si="689"/>
        <v>6984</v>
      </c>
      <c r="K252">
        <f t="shared" si="626"/>
        <v>4656</v>
      </c>
      <c r="L252">
        <f>_xlfn.XLOOKUP(B252,'[1]march-2026'!$A:$A,'[1]march-2026'!$D:$D,0,0)</f>
        <v>400</v>
      </c>
      <c r="M252">
        <f>_xlfn.XLOOKUP(B252,'[1]march-2026'!$A:$A,'[1]march-2026'!$G:$G,0,0)</f>
        <v>500</v>
      </c>
      <c r="N252">
        <f t="shared" si="627"/>
        <v>51340</v>
      </c>
      <c r="O252">
        <f>_xlfn.XLOOKUP(B252,'[1]march-2026'!$A:$A,'[1]march-2026'!$H:$H,0,0)</f>
        <v>3000</v>
      </c>
      <c r="P252">
        <f>_xlfn.XLOOKUP(B252,'[1]march-2026'!$A:$A,'[1]march-2026'!$I:$I,0,0)</f>
        <v>0</v>
      </c>
      <c r="Q252">
        <f t="shared" si="628"/>
        <v>200</v>
      </c>
      <c r="R252">
        <f t="shared" si="629"/>
        <v>48140</v>
      </c>
      <c r="S252">
        <f>_xlfn.XLOOKUP(B252,'[2]april-2026'!$A:$A,'[2]april-2026'!$C:$C,0,0)</f>
        <v>38800</v>
      </c>
      <c r="T252">
        <f t="shared" si="630"/>
        <v>6984</v>
      </c>
      <c r="U252">
        <f t="shared" si="631"/>
        <v>4656</v>
      </c>
      <c r="V252">
        <f>_xlfn.XLOOKUP(B252,'[2]april-2026'!$A:$A,'[2]april-2026'!$D:$D,0,0)</f>
        <v>400</v>
      </c>
      <c r="W252">
        <f>_xlfn.XLOOKUP(B252,'[2]april-2026'!$A:$A,'[2]april-2026'!$G:$G,0,0)</f>
        <v>500</v>
      </c>
      <c r="X252">
        <f t="shared" si="632"/>
        <v>51340</v>
      </c>
      <c r="Y252">
        <f>_xlfn.XLOOKUP(B252,'[2]april-2026'!$A:$A,'[2]april-2026'!$H:$H,0,0)</f>
        <v>3000</v>
      </c>
      <c r="Z252">
        <f>_xlfn.XLOOKUP(B252,'[2]april-2026'!$A:$A,'[2]april-2026'!$I:$I,0,0)</f>
        <v>0</v>
      </c>
      <c r="AA252">
        <f t="shared" si="633"/>
        <v>200</v>
      </c>
      <c r="AB252">
        <f t="shared" si="634"/>
        <v>48140</v>
      </c>
      <c r="AC252">
        <f>_xlfn.XLOOKUP(B252,'[3]may-2026'!$A:$A,'[3]may-2026'!$C:$C,0,0)</f>
        <v>38800</v>
      </c>
      <c r="AD252">
        <f t="shared" si="635"/>
        <v>6984</v>
      </c>
      <c r="AE252">
        <f t="shared" si="636"/>
        <v>4656</v>
      </c>
      <c r="AF252">
        <f>_xlfn.XLOOKUP(B252,'[3]may-2026'!$A:$A,'[3]may-2026'!$D:$D,0,0)</f>
        <v>400</v>
      </c>
      <c r="AG252">
        <f>_xlfn.XLOOKUP(B252,'[3]may-2026'!$A:$A,'[3]may-2026'!$G:$G,0,0)</f>
        <v>500</v>
      </c>
      <c r="AH252">
        <f t="shared" si="637"/>
        <v>51340</v>
      </c>
      <c r="AI252">
        <f>_xlfn.XLOOKUP(B252,'[3]may-2026'!$A:$A,'[3]may-2026'!$H:$H,0,0)</f>
        <v>3000</v>
      </c>
      <c r="AJ252">
        <f>_xlfn.XLOOKUP(B252,'[3]may-2026'!$A:$A,'[3]may-2026'!$I:$I,0,0)</f>
        <v>0</v>
      </c>
      <c r="AK252">
        <f t="shared" si="638"/>
        <v>200</v>
      </c>
      <c r="AL252">
        <f t="shared" si="639"/>
        <v>48140</v>
      </c>
      <c r="AM252">
        <f>_xlfn.XLOOKUP(B252,'[4]june-2026'!$A:$A,'[4]june-2026'!$C:$C,0,0)</f>
        <v>38800</v>
      </c>
      <c r="AN252">
        <f t="shared" si="640"/>
        <v>6984</v>
      </c>
      <c r="AO252">
        <f t="shared" si="641"/>
        <v>4656</v>
      </c>
      <c r="AP252">
        <f>_xlfn.XLOOKUP(B252,'[4]june-2026'!$A:$A,'[4]june-2026'!$D:$D,0,0)</f>
        <v>400</v>
      </c>
      <c r="AQ252">
        <f>_xlfn.XLOOKUP(B252,'[4]june-2026'!$A:$A,'[4]june-2026'!$G:$G,0,0)</f>
        <v>500</v>
      </c>
      <c r="AR252">
        <f t="shared" si="642"/>
        <v>51340</v>
      </c>
      <c r="AS252">
        <f>_xlfn.XLOOKUP(B252,'[4]june-2026'!$A:$A,'[4]june-2026'!$H:$H,0,0)</f>
        <v>3000</v>
      </c>
      <c r="AT252">
        <f>_xlfn.XLOOKUP(B252,'[4]june-2026'!$A:$A,'[4]june-2026'!$I:$I,0,0)</f>
        <v>0</v>
      </c>
      <c r="AU252">
        <f t="shared" si="643"/>
        <v>200</v>
      </c>
      <c r="AV252">
        <f t="shared" si="644"/>
        <v>48140</v>
      </c>
      <c r="AW252">
        <f>_xlfn.XLOOKUP(B252,'[5]july-2026'!$A:$A,'[5]july-2026'!$C:$C,0,0)</f>
        <v>40000</v>
      </c>
      <c r="AX252">
        <f t="shared" si="645"/>
        <v>7200</v>
      </c>
      <c r="AY252">
        <v>250</v>
      </c>
      <c r="AZ252">
        <f t="shared" si="646"/>
        <v>4800</v>
      </c>
      <c r="BA252">
        <f>_xlfn.XLOOKUP(B252,'[5]july-2026'!$A:$A,'[5]july-2026'!$D:$D,0,0)</f>
        <v>400</v>
      </c>
      <c r="BB252">
        <f>_xlfn.XLOOKUP(B252,'[5]july-2026'!$A:$A,'[5]july-2026'!$G:$G,0,0)</f>
        <v>500</v>
      </c>
      <c r="BC252">
        <f t="shared" si="647"/>
        <v>53150</v>
      </c>
      <c r="BD252">
        <f>_xlfn.XLOOKUP(B252,'[5]july-2026'!$A:$A,'[5]july-2026'!$H:$H,0,0)</f>
        <v>3000</v>
      </c>
      <c r="BE252">
        <f>_xlfn.XLOOKUP(B252,'[5]july-2026'!$A:$A,'[5]july-2026'!$I:$I,0,0)</f>
        <v>0</v>
      </c>
      <c r="BF252">
        <f t="shared" si="648"/>
        <v>200</v>
      </c>
      <c r="BG252">
        <f t="shared" si="649"/>
        <v>49950</v>
      </c>
      <c r="BH252">
        <f>_xlfn.XLOOKUP(B252,'[6]august-2026'!$A:$A,'[6]august-2026'!$C:$C,0,0)</f>
        <v>40000</v>
      </c>
      <c r="BI252">
        <f t="shared" si="650"/>
        <v>7200</v>
      </c>
      <c r="BJ252">
        <f t="shared" si="651"/>
        <v>4800</v>
      </c>
      <c r="BK252">
        <f>_xlfn.XLOOKUP(B252,'[6]august-2026'!$A:$A,'[6]august-2026'!$D:$D,0,0)</f>
        <v>400</v>
      </c>
      <c r="BL252">
        <f>_xlfn.XLOOKUP(B252,'[6]august-2026'!$A:$A,'[6]august-2026'!$G:$G,0,0)</f>
        <v>500</v>
      </c>
      <c r="BM252">
        <f t="shared" si="652"/>
        <v>52900</v>
      </c>
      <c r="BN252">
        <f>_xlfn.XLOOKUP(B252,'[6]august-2026'!$A:$A,'[6]august-2026'!$H:$H,0,0)</f>
        <v>3000</v>
      </c>
      <c r="BO252">
        <f>_xlfn.XLOOKUP(B252,'[6]august-2026'!$A:$A,'[6]august-2026'!$I:$I,0,0)</f>
        <v>0</v>
      </c>
      <c r="BP252">
        <f t="shared" si="653"/>
        <v>200</v>
      </c>
      <c r="BQ252">
        <f t="shared" si="654"/>
        <v>49700</v>
      </c>
      <c r="BR252">
        <f>_xlfn.XLOOKUP(B252,'[7]september-2026'!$A:$A,'[7]september-2026'!$C:$C,0,0)</f>
        <v>40000</v>
      </c>
      <c r="BS252">
        <f t="shared" si="655"/>
        <v>7200</v>
      </c>
      <c r="BT252">
        <f t="shared" si="656"/>
        <v>4800</v>
      </c>
      <c r="BU252">
        <f>_xlfn.XLOOKUP(B252,'[7]september-2026'!$A:$A,'[7]september-2026'!$D:$D,0,0)</f>
        <v>400</v>
      </c>
      <c r="BV252">
        <f>_xlfn.XLOOKUP(B252,'[7]september-2026'!$A:$A,'[7]september-2026'!$G:$G,0,0)</f>
        <v>500</v>
      </c>
      <c r="BW252">
        <f t="shared" si="657"/>
        <v>52900</v>
      </c>
      <c r="BX252">
        <f>_xlfn.XLOOKUP(B252,'[7]september-2026'!$A:$A,'[7]september-2026'!$H:$H,0,0)</f>
        <v>3000</v>
      </c>
      <c r="BY252">
        <f>_xlfn.XLOOKUP(B252,'[7]september-2026'!$A:$A,'[7]september-2026'!$I:$I,0,0)</f>
        <v>0</v>
      </c>
      <c r="BZ252">
        <f t="shared" si="658"/>
        <v>200</v>
      </c>
      <c r="CA252">
        <f t="shared" si="659"/>
        <v>49700</v>
      </c>
      <c r="CB252">
        <f>_xlfn.XLOOKUP(B252,'[8]october-2026'!$A:$A,'[8]october-2026'!$C:$C,0,0)</f>
        <v>40000</v>
      </c>
      <c r="CC252">
        <f t="shared" si="660"/>
        <v>7200</v>
      </c>
      <c r="CD252">
        <f t="shared" si="661"/>
        <v>4800</v>
      </c>
      <c r="CE252">
        <f>_xlfn.XLOOKUP(B252,'[8]october-2026'!$A:$A,'[8]october-2026'!$D:$D,0,0)</f>
        <v>400</v>
      </c>
      <c r="CF252">
        <f>_xlfn.XLOOKUP(B252,'[8]october-2026'!$A:$A,'[8]october-2026'!$G:$G,0,0)</f>
        <v>500</v>
      </c>
      <c r="CG252">
        <f t="shared" si="662"/>
        <v>52900</v>
      </c>
      <c r="CH252">
        <f>_xlfn.XLOOKUP(B252,'[8]october-2026'!$A:$A,'[8]october-2026'!$H:$H,0,0)</f>
        <v>3000</v>
      </c>
      <c r="CI252">
        <f>_xlfn.XLOOKUP(B252,'[8]october-2026'!$A:$A,'[8]october-2026'!$I:$I,0,0)</f>
        <v>0</v>
      </c>
      <c r="CJ252">
        <f t="shared" si="663"/>
        <v>200</v>
      </c>
      <c r="CK252">
        <f t="shared" si="664"/>
        <v>49700</v>
      </c>
      <c r="CL252">
        <f>_xlfn.XLOOKUP(B252,'[9]november-2026'!$A:$A,'[9]november-2026'!$C:$C,0,0)</f>
        <v>40000</v>
      </c>
      <c r="CM252">
        <f t="shared" si="665"/>
        <v>7200</v>
      </c>
      <c r="CN252">
        <f t="shared" si="666"/>
        <v>4800</v>
      </c>
      <c r="CO252">
        <f>_xlfn.XLOOKUP(B252,'[9]november-2026'!$A:$A,'[9]november-2026'!$D:$D,0,0)</f>
        <v>400</v>
      </c>
      <c r="CP252">
        <f>_xlfn.XLOOKUP(B252,'[9]november-2026'!$A:$A,'[9]november-2026'!$G:$G,0,0)</f>
        <v>500</v>
      </c>
      <c r="CQ252">
        <f t="shared" si="667"/>
        <v>52900</v>
      </c>
      <c r="CR252">
        <f>_xlfn.XLOOKUP(B252,'[9]november-2026'!$A:$A,'[9]november-2026'!$H:$H,0,0)</f>
        <v>3000</v>
      </c>
      <c r="CS252">
        <f>_xlfn.XLOOKUP(B252,'[9]november-2026'!$A:$A,'[9]november-2026'!$I:$I,0,0)</f>
        <v>0</v>
      </c>
      <c r="CT252">
        <f t="shared" si="668"/>
        <v>200</v>
      </c>
      <c r="CU252">
        <f t="shared" si="669"/>
        <v>49700</v>
      </c>
      <c r="CV252">
        <f>_xlfn.XLOOKUP(B252,'[10]december-2026'!$A:$A,'[10]december-2026'!$C:$C,0,0)</f>
        <v>40000</v>
      </c>
      <c r="CW252">
        <f t="shared" si="670"/>
        <v>7200</v>
      </c>
      <c r="CX252">
        <f t="shared" si="671"/>
        <v>4800</v>
      </c>
      <c r="CY252">
        <f>_xlfn.XLOOKUP(B252,'[10]december-2026'!$A:$A,'[10]december-2026'!$D:$D,0,0)</f>
        <v>400</v>
      </c>
      <c r="CZ252">
        <f>_xlfn.XLOOKUP(B252,'[10]december-2026'!$A:$A,'[10]december-2026'!$G:$G,0,0)</f>
        <v>500</v>
      </c>
      <c r="DA252">
        <f t="shared" si="672"/>
        <v>52900</v>
      </c>
      <c r="DB252">
        <f>_xlfn.XLOOKUP(B252,'[10]december-2026'!$A:$A,'[10]december-2026'!$H:$H,0,0)</f>
        <v>3000</v>
      </c>
      <c r="DC252">
        <f>_xlfn.XLOOKUP(B252,'[10]december-2026'!$A:$A,'[10]december-2026'!$I:$I,0,0)</f>
        <v>0</v>
      </c>
      <c r="DD252">
        <f t="shared" si="673"/>
        <v>200</v>
      </c>
      <c r="DE252">
        <f t="shared" si="674"/>
        <v>49700</v>
      </c>
      <c r="DF252">
        <f xml:space="preserve"> _xlfn.XLOOKUP(B252,
'[11]january-2027'!$A:$A,
'[11]january-2027'!$C:$C,
0,0)</f>
        <v>40000</v>
      </c>
      <c r="DG252">
        <f t="shared" si="675"/>
        <v>7200</v>
      </c>
      <c r="DH252">
        <f t="shared" si="676"/>
        <v>4800</v>
      </c>
      <c r="DI252">
        <f xml:space="preserve"> _xlfn.XLOOKUP(B252,
'[11]january-2027'!$A:$A,
'[11]january-2027'!$D:$D,
0,0)</f>
        <v>400</v>
      </c>
      <c r="DJ252">
        <f xml:space="preserve"> _xlfn.XLOOKUP(B252,
'[11]january-2027'!$A:$A,
'[11]january-2027'!$G:$G,
0,0)</f>
        <v>500</v>
      </c>
      <c r="DK252">
        <f t="shared" si="677"/>
        <v>52900</v>
      </c>
      <c r="DL252">
        <f xml:space="preserve"> _xlfn.XLOOKUP(B252,
'[11]january-2027'!$A:$A,
'[11]january-2027'!$H:$H,
0,0)</f>
        <v>3000</v>
      </c>
      <c r="DM252">
        <f xml:space="preserve"> _xlfn.XLOOKUP(B252,
'[11]january-2027'!$A:$A,
'[11]january-2027'!$I:$I,
0,0)</f>
        <v>0</v>
      </c>
      <c r="DN252">
        <f t="shared" si="678"/>
        <v>200</v>
      </c>
      <c r="DO252">
        <f t="shared" si="679"/>
        <v>49700</v>
      </c>
      <c r="DP252">
        <f xml:space="preserve"> _xlfn.XLOOKUP(B252,
'[12]february-2027'!$A:$A,
'[12]february-2027'!$C:$C,
0,0)</f>
        <v>40000</v>
      </c>
      <c r="DQ252">
        <f t="shared" si="680"/>
        <v>7200</v>
      </c>
      <c r="DR252">
        <f t="shared" si="681"/>
        <v>4800</v>
      </c>
      <c r="DS252">
        <f xml:space="preserve"> _xlfn.XLOOKUP(B252,
'[12]february-2027'!$A:$A,
'[12]february-2027'!$D:$D,
0,0)</f>
        <v>400</v>
      </c>
      <c r="DT252">
        <f xml:space="preserve"> _xlfn.XLOOKUP(B252,
'[12]february-2027'!$A:$A,
'[12]february-2027'!$G:$G,
0,0)</f>
        <v>500</v>
      </c>
      <c r="DU252">
        <f t="shared" si="682"/>
        <v>52900</v>
      </c>
      <c r="DV252">
        <f xml:space="preserve"> _xlfn.XLOOKUP(B252,
'[12]february-2027'!$A:$A,
'[12]february-2027'!$H:$H,
0,0)</f>
        <v>3000</v>
      </c>
      <c r="DW252">
        <f xml:space="preserve"> _xlfn.XLOOKUP(B252,
'[12]february-2027'!$A:$A,
'[12]february-2027'!$I:$I,
0,0)</f>
        <v>0</v>
      </c>
      <c r="DX252">
        <f t="shared" si="683"/>
        <v>200</v>
      </c>
      <c r="DY252">
        <f t="shared" si="684"/>
        <v>49700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85"/>
        <v>0</v>
      </c>
      <c r="EM252">
        <f t="shared" si="686"/>
        <v>635610</v>
      </c>
      <c r="EN252">
        <f t="shared" si="687"/>
        <v>2400</v>
      </c>
      <c r="EO252">
        <f t="shared" si="688"/>
        <v>50000</v>
      </c>
      <c r="EP252">
        <v>0</v>
      </c>
      <c r="EQ252">
        <f t="shared" si="690"/>
        <v>583210</v>
      </c>
      <c r="ER252">
        <f t="shared" si="691"/>
        <v>36000</v>
      </c>
      <c r="ES252">
        <f t="shared" si="692"/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si="693"/>
        <v>36000</v>
      </c>
      <c r="FE252">
        <f t="shared" si="694"/>
        <v>36000</v>
      </c>
      <c r="FF252">
        <f t="shared" si="695"/>
        <v>547210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>SUM(FG252:FM252)+(IF(F252="YES",50000,0))</f>
        <v>0</v>
      </c>
      <c r="FO252">
        <f t="shared" si="696"/>
        <v>547210</v>
      </c>
      <c r="FP252">
        <f t="shared" si="697"/>
        <v>12500</v>
      </c>
      <c r="FQ252">
        <f t="shared" si="698"/>
        <v>9442</v>
      </c>
      <c r="FR252">
        <f t="shared" si="699"/>
        <v>21942</v>
      </c>
      <c r="FS252">
        <f t="shared" si="700"/>
        <v>21942</v>
      </c>
      <c r="FT252">
        <f t="shared" si="701"/>
        <v>877.68000000000006</v>
      </c>
      <c r="FU252">
        <f t="shared" si="702"/>
        <v>22820</v>
      </c>
      <c r="FV252">
        <v>0</v>
      </c>
      <c r="FW252">
        <f t="shared" si="703"/>
        <v>22820</v>
      </c>
      <c r="FX252" t="b">
        <f t="shared" si="704"/>
        <v>1</v>
      </c>
      <c r="FY252">
        <f t="shared" ca="1" si="705"/>
        <v>654</v>
      </c>
      <c r="FZ252">
        <f t="shared" ca="1" si="706"/>
        <v>636264</v>
      </c>
      <c r="GA252">
        <f t="shared" si="707"/>
        <v>75000</v>
      </c>
      <c r="GB252">
        <f t="shared" ca="1" si="708"/>
        <v>561264</v>
      </c>
      <c r="GC252">
        <f t="shared" ca="1" si="709"/>
        <v>0</v>
      </c>
      <c r="GD252">
        <f t="shared" ca="1" si="710"/>
        <v>0</v>
      </c>
      <c r="GE252">
        <f t="shared" ca="1" si="711"/>
        <v>0</v>
      </c>
      <c r="GF252">
        <f t="shared" ca="1" si="712"/>
        <v>0</v>
      </c>
      <c r="GG252">
        <f t="shared" ca="1" si="713"/>
        <v>0</v>
      </c>
      <c r="GH252">
        <f t="shared" ca="1" si="714"/>
        <v>0</v>
      </c>
      <c r="GI252">
        <f ca="1">IF(GB252&gt;1200000,GB252-1200000-IF(F252="YES",50000,0)-GG252,0)</f>
        <v>0</v>
      </c>
      <c r="GJ252">
        <f t="shared" ca="1" si="715"/>
        <v>0</v>
      </c>
      <c r="GK252">
        <f t="shared" ca="1" si="716"/>
        <v>0</v>
      </c>
      <c r="GL252">
        <f t="shared" ca="1" si="717"/>
        <v>0</v>
      </c>
      <c r="GM252">
        <f t="shared" ca="1" si="718"/>
        <v>161264</v>
      </c>
      <c r="GN252">
        <f t="shared" ca="1" si="719"/>
        <v>8063.2000000000007</v>
      </c>
      <c r="GO252">
        <f t="shared" ca="1" si="720"/>
        <v>8063</v>
      </c>
      <c r="GP252">
        <f t="shared" ca="1" si="721"/>
        <v>0</v>
      </c>
      <c r="GQ252">
        <f t="shared" ca="1" si="722"/>
        <v>0</v>
      </c>
      <c r="GR252">
        <f t="shared" ca="1" si="723"/>
        <v>8063</v>
      </c>
      <c r="GS252">
        <f t="shared" ca="1" si="724"/>
        <v>0</v>
      </c>
      <c r="GT252" t="b">
        <f t="shared" ca="1" si="725"/>
        <v>0</v>
      </c>
      <c r="GU252">
        <f t="shared" ca="1" si="726"/>
        <v>0</v>
      </c>
      <c r="GV252">
        <f t="shared" ca="1" si="727"/>
        <v>8063</v>
      </c>
      <c r="GW252">
        <f t="shared" ca="1" si="728"/>
        <v>0</v>
      </c>
      <c r="GX252">
        <f t="shared" ca="1" si="729"/>
        <v>0</v>
      </c>
      <c r="GY252">
        <f t="shared" ca="1" si="730"/>
        <v>0</v>
      </c>
    </row>
    <row r="253" spans="1:207" x14ac:dyDescent="0.25">
      <c r="A253">
        <f>_xlfn.AGGREGATE(3,5,$B$2:B253)</f>
        <v>252</v>
      </c>
      <c r="B253" t="s">
        <v>597</v>
      </c>
      <c r="C253" t="s">
        <v>598</v>
      </c>
      <c r="D253" t="s">
        <v>812</v>
      </c>
      <c r="E253" t="s">
        <v>830</v>
      </c>
      <c r="F253" t="s">
        <v>952</v>
      </c>
      <c r="G253" t="s">
        <v>884</v>
      </c>
      <c r="H253">
        <f t="shared" si="625"/>
        <v>6800</v>
      </c>
      <c r="I253">
        <f>_xlfn.XLOOKUP(B253,'[1]march-2026'!$A:$A,'[1]march-2026'!$C:$C,0,0)</f>
        <v>48700</v>
      </c>
      <c r="J253">
        <f t="shared" si="689"/>
        <v>8766</v>
      </c>
      <c r="K253">
        <f t="shared" si="626"/>
        <v>5844</v>
      </c>
      <c r="L253">
        <f>_xlfn.XLOOKUP(B253,'[1]march-2026'!$A:$A,'[1]march-2026'!$D:$D,0,0)</f>
        <v>0</v>
      </c>
      <c r="M253">
        <f>_xlfn.XLOOKUP(B253,'[1]march-2026'!$A:$A,'[1]march-2026'!$G:$G,0,0)</f>
        <v>500</v>
      </c>
      <c r="N253">
        <f t="shared" si="627"/>
        <v>63810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28"/>
        <v>200</v>
      </c>
      <c r="R253">
        <f t="shared" si="629"/>
        <v>60610</v>
      </c>
      <c r="S253">
        <f>_xlfn.XLOOKUP(B253,'[2]april-2026'!$A:$A,'[2]april-2026'!$C:$C,0,0)</f>
        <v>48700</v>
      </c>
      <c r="T253">
        <f t="shared" si="630"/>
        <v>8766</v>
      </c>
      <c r="U253">
        <f t="shared" si="631"/>
        <v>5844</v>
      </c>
      <c r="V253">
        <f>_xlfn.XLOOKUP(B253,'[2]april-2026'!$A:$A,'[2]april-2026'!$D:$D,0,0)</f>
        <v>0</v>
      </c>
      <c r="W253">
        <f>_xlfn.XLOOKUP(B253,'[2]april-2026'!$A:$A,'[2]april-2026'!$G:$G,0,0)</f>
        <v>500</v>
      </c>
      <c r="X253">
        <f t="shared" si="632"/>
        <v>63810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33"/>
        <v>200</v>
      </c>
      <c r="AB253">
        <f t="shared" si="634"/>
        <v>60610</v>
      </c>
      <c r="AC253">
        <f>_xlfn.XLOOKUP(B253,'[3]may-2026'!$A:$A,'[3]may-2026'!$C:$C,0,0)</f>
        <v>48700</v>
      </c>
      <c r="AD253">
        <f t="shared" si="635"/>
        <v>8766</v>
      </c>
      <c r="AE253">
        <f t="shared" si="636"/>
        <v>5844</v>
      </c>
      <c r="AF253">
        <f>_xlfn.XLOOKUP(B253,'[3]may-2026'!$A:$A,'[3]may-2026'!$D:$D,0,0)</f>
        <v>0</v>
      </c>
      <c r="AG253">
        <f>_xlfn.XLOOKUP(B253,'[3]may-2026'!$A:$A,'[3]may-2026'!$G:$G,0,0)</f>
        <v>500</v>
      </c>
      <c r="AH253">
        <f t="shared" si="637"/>
        <v>63810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38"/>
        <v>200</v>
      </c>
      <c r="AL253">
        <f t="shared" si="639"/>
        <v>60610</v>
      </c>
      <c r="AM253">
        <f>_xlfn.XLOOKUP(B253,'[4]june-2026'!$A:$A,'[4]june-2026'!$C:$C,0,0)</f>
        <v>48700</v>
      </c>
      <c r="AN253">
        <f t="shared" si="640"/>
        <v>8766</v>
      </c>
      <c r="AO253">
        <f t="shared" si="641"/>
        <v>5844</v>
      </c>
      <c r="AP253">
        <f>_xlfn.XLOOKUP(B253,'[4]june-2026'!$A:$A,'[4]june-2026'!$D:$D,0,0)</f>
        <v>0</v>
      </c>
      <c r="AQ253">
        <f>_xlfn.XLOOKUP(B253,'[4]june-2026'!$A:$A,'[4]june-2026'!$G:$G,0,0)</f>
        <v>500</v>
      </c>
      <c r="AR253">
        <f t="shared" si="642"/>
        <v>63810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43"/>
        <v>200</v>
      </c>
      <c r="AV253">
        <f t="shared" si="644"/>
        <v>60610</v>
      </c>
      <c r="AW253">
        <f>_xlfn.XLOOKUP(B253,'[5]july-2026'!$A:$A,'[5]july-2026'!$C:$C,0,0)</f>
        <v>50200</v>
      </c>
      <c r="AX253">
        <f t="shared" si="645"/>
        <v>9036</v>
      </c>
      <c r="AY253">
        <v>251</v>
      </c>
      <c r="AZ253">
        <f t="shared" si="646"/>
        <v>6024</v>
      </c>
      <c r="BA253">
        <f>_xlfn.XLOOKUP(B253,'[5]july-2026'!$A:$A,'[5]july-2026'!$D:$D,0,0)</f>
        <v>0</v>
      </c>
      <c r="BB253">
        <f>_xlfn.XLOOKUP(B253,'[5]july-2026'!$A:$A,'[5]july-2026'!$G:$G,0,0)</f>
        <v>500</v>
      </c>
      <c r="BC253">
        <f t="shared" si="647"/>
        <v>66011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48"/>
        <v>200</v>
      </c>
      <c r="BG253">
        <f t="shared" si="649"/>
        <v>62811</v>
      </c>
      <c r="BH253">
        <f>_xlfn.XLOOKUP(B253,'[6]august-2026'!$A:$A,'[6]august-2026'!$C:$C,0,0)</f>
        <v>50200</v>
      </c>
      <c r="BI253">
        <f t="shared" si="650"/>
        <v>9036</v>
      </c>
      <c r="BJ253">
        <f t="shared" si="651"/>
        <v>6024</v>
      </c>
      <c r="BK253">
        <f>_xlfn.XLOOKUP(B253,'[6]august-2026'!$A:$A,'[6]august-2026'!$D:$D,0,0)</f>
        <v>0</v>
      </c>
      <c r="BL253">
        <f>_xlfn.XLOOKUP(B253,'[6]august-2026'!$A:$A,'[6]august-2026'!$G:$G,0,0)</f>
        <v>500</v>
      </c>
      <c r="BM253">
        <f t="shared" si="652"/>
        <v>65760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53"/>
        <v>200</v>
      </c>
      <c r="BQ253">
        <f t="shared" si="654"/>
        <v>62560</v>
      </c>
      <c r="BR253">
        <f>_xlfn.XLOOKUP(B253,'[7]september-2026'!$A:$A,'[7]september-2026'!$C:$C,0,0)</f>
        <v>50200</v>
      </c>
      <c r="BS253">
        <f t="shared" si="655"/>
        <v>9036</v>
      </c>
      <c r="BT253">
        <f t="shared" si="656"/>
        <v>6024</v>
      </c>
      <c r="BU253">
        <f>_xlfn.XLOOKUP(B253,'[7]september-2026'!$A:$A,'[7]september-2026'!$D:$D,0,0)</f>
        <v>0</v>
      </c>
      <c r="BV253">
        <f>_xlfn.XLOOKUP(B253,'[7]september-2026'!$A:$A,'[7]september-2026'!$G:$G,0,0)</f>
        <v>500</v>
      </c>
      <c r="BW253">
        <f t="shared" si="657"/>
        <v>65760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58"/>
        <v>200</v>
      </c>
      <c r="CA253">
        <f t="shared" si="659"/>
        <v>62560</v>
      </c>
      <c r="CB253">
        <f>_xlfn.XLOOKUP(B253,'[8]october-2026'!$A:$A,'[8]october-2026'!$C:$C,0,0)</f>
        <v>50200</v>
      </c>
      <c r="CC253">
        <f t="shared" si="660"/>
        <v>9036</v>
      </c>
      <c r="CD253">
        <f t="shared" si="661"/>
        <v>6024</v>
      </c>
      <c r="CE253">
        <f>_xlfn.XLOOKUP(B253,'[8]october-2026'!$A:$A,'[8]october-2026'!$D:$D,0,0)</f>
        <v>0</v>
      </c>
      <c r="CF253">
        <f>_xlfn.XLOOKUP(B253,'[8]october-2026'!$A:$A,'[8]october-2026'!$G:$G,0,0)</f>
        <v>500</v>
      </c>
      <c r="CG253">
        <f t="shared" si="662"/>
        <v>65760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63"/>
        <v>200</v>
      </c>
      <c r="CK253">
        <f t="shared" si="664"/>
        <v>62560</v>
      </c>
      <c r="CL253">
        <f>_xlfn.XLOOKUP(B253,'[9]november-2026'!$A:$A,'[9]november-2026'!$C:$C,0,0)</f>
        <v>50200</v>
      </c>
      <c r="CM253">
        <f t="shared" si="665"/>
        <v>9036</v>
      </c>
      <c r="CN253">
        <f t="shared" si="666"/>
        <v>6024</v>
      </c>
      <c r="CO253">
        <f>_xlfn.XLOOKUP(B253,'[9]november-2026'!$A:$A,'[9]november-2026'!$D:$D,0,0)</f>
        <v>0</v>
      </c>
      <c r="CP253">
        <f>_xlfn.XLOOKUP(B253,'[9]november-2026'!$A:$A,'[9]november-2026'!$G:$G,0,0)</f>
        <v>500</v>
      </c>
      <c r="CQ253">
        <f t="shared" si="667"/>
        <v>65760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68"/>
        <v>200</v>
      </c>
      <c r="CU253">
        <f t="shared" si="669"/>
        <v>62560</v>
      </c>
      <c r="CV253">
        <f>_xlfn.XLOOKUP(B253,'[10]december-2026'!$A:$A,'[10]december-2026'!$C:$C,0,0)</f>
        <v>50200</v>
      </c>
      <c r="CW253">
        <f t="shared" si="670"/>
        <v>9036</v>
      </c>
      <c r="CX253">
        <f t="shared" si="671"/>
        <v>6024</v>
      </c>
      <c r="CY253">
        <f>_xlfn.XLOOKUP(B253,'[10]december-2026'!$A:$A,'[10]december-2026'!$D:$D,0,0)</f>
        <v>0</v>
      </c>
      <c r="CZ253">
        <f>_xlfn.XLOOKUP(B253,'[10]december-2026'!$A:$A,'[10]december-2026'!$G:$G,0,0)</f>
        <v>500</v>
      </c>
      <c r="DA253">
        <f t="shared" si="672"/>
        <v>65760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73"/>
        <v>200</v>
      </c>
      <c r="DE253">
        <f t="shared" si="674"/>
        <v>62560</v>
      </c>
      <c r="DF253">
        <f xml:space="preserve"> _xlfn.XLOOKUP(B253,
'[11]january-2027'!$A:$A,
'[11]january-2027'!$C:$C,
0,0)</f>
        <v>50200</v>
      </c>
      <c r="DG253">
        <f t="shared" si="675"/>
        <v>9036</v>
      </c>
      <c r="DH253">
        <f t="shared" si="676"/>
        <v>6024</v>
      </c>
      <c r="DI253">
        <f xml:space="preserve"> _xlfn.XLOOKUP(B253,
'[11]january-2027'!$A:$A,
'[11]january-2027'!$D:$D,
0,0)</f>
        <v>0</v>
      </c>
      <c r="DJ253">
        <f xml:space="preserve"> _xlfn.XLOOKUP(B253,
'[11]january-2027'!$A:$A,
'[11]january-2027'!$G:$G,
0,0)</f>
        <v>500</v>
      </c>
      <c r="DK253">
        <f t="shared" si="677"/>
        <v>65760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78"/>
        <v>200</v>
      </c>
      <c r="DO253">
        <f t="shared" si="679"/>
        <v>62560</v>
      </c>
      <c r="DP253">
        <f xml:space="preserve"> _xlfn.XLOOKUP(B253,
'[12]february-2027'!$A:$A,
'[12]february-2027'!$C:$C,
0,0)</f>
        <v>50200</v>
      </c>
      <c r="DQ253">
        <f t="shared" si="680"/>
        <v>9036</v>
      </c>
      <c r="DR253">
        <f t="shared" si="681"/>
        <v>6024</v>
      </c>
      <c r="DS253">
        <f xml:space="preserve"> _xlfn.XLOOKUP(B253,
'[12]february-2027'!$A:$A,
'[12]february-2027'!$D:$D,
0,0)</f>
        <v>0</v>
      </c>
      <c r="DT253">
        <f xml:space="preserve"> _xlfn.XLOOKUP(B253,
'[12]february-2027'!$A:$A,
'[12]february-2027'!$G:$G,
0,0)</f>
        <v>500</v>
      </c>
      <c r="DU253">
        <f t="shared" si="682"/>
        <v>65760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83"/>
        <v>200</v>
      </c>
      <c r="DY253">
        <f t="shared" si="684"/>
        <v>62560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85"/>
        <v>0</v>
      </c>
      <c r="EM253">
        <f t="shared" si="686"/>
        <v>788371</v>
      </c>
      <c r="EN253">
        <f t="shared" si="687"/>
        <v>2400</v>
      </c>
      <c r="EO253">
        <f t="shared" si="688"/>
        <v>50000</v>
      </c>
      <c r="EP253">
        <v>0</v>
      </c>
      <c r="EQ253">
        <f t="shared" si="690"/>
        <v>735971</v>
      </c>
      <c r="ER253">
        <f t="shared" si="691"/>
        <v>36000</v>
      </c>
      <c r="ES253">
        <f t="shared" si="692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693"/>
        <v>36000</v>
      </c>
      <c r="FE253">
        <f t="shared" si="694"/>
        <v>36000</v>
      </c>
      <c r="FF253">
        <f t="shared" si="695"/>
        <v>699971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>SUM(FG253:FM253)+(IF(F253="YES",50000,0))</f>
        <v>0</v>
      </c>
      <c r="FO253">
        <f t="shared" si="696"/>
        <v>699971</v>
      </c>
      <c r="FP253">
        <f t="shared" si="697"/>
        <v>12500</v>
      </c>
      <c r="FQ253">
        <f t="shared" si="698"/>
        <v>39994</v>
      </c>
      <c r="FR253">
        <f t="shared" si="699"/>
        <v>52494</v>
      </c>
      <c r="FS253">
        <f t="shared" si="700"/>
        <v>52494</v>
      </c>
      <c r="FT253">
        <f t="shared" si="701"/>
        <v>2099.7600000000002</v>
      </c>
      <c r="FU253">
        <f t="shared" si="702"/>
        <v>54594</v>
      </c>
      <c r="FV253">
        <v>0</v>
      </c>
      <c r="FW253">
        <f t="shared" si="703"/>
        <v>54594</v>
      </c>
      <c r="FX253" t="b">
        <f t="shared" si="704"/>
        <v>1</v>
      </c>
      <c r="FY253">
        <f t="shared" ca="1" si="705"/>
        <v>608</v>
      </c>
      <c r="FZ253">
        <f t="shared" ca="1" si="706"/>
        <v>788979</v>
      </c>
      <c r="GA253">
        <f t="shared" si="707"/>
        <v>75000</v>
      </c>
      <c r="GB253">
        <f t="shared" ca="1" si="708"/>
        <v>713979</v>
      </c>
      <c r="GC253">
        <f t="shared" ca="1" si="709"/>
        <v>0</v>
      </c>
      <c r="GD253">
        <f t="shared" ca="1" si="710"/>
        <v>0</v>
      </c>
      <c r="GE253">
        <f t="shared" ca="1" si="711"/>
        <v>0</v>
      </c>
      <c r="GF253">
        <f t="shared" ca="1" si="712"/>
        <v>0</v>
      </c>
      <c r="GG253">
        <f t="shared" ca="1" si="713"/>
        <v>0</v>
      </c>
      <c r="GH253">
        <f t="shared" ca="1" si="714"/>
        <v>0</v>
      </c>
      <c r="GI253">
        <f ca="1">IF(GB253&gt;1200000,GB253-1200000-IF(F253="YES",50000,0)-GG253,0)</f>
        <v>0</v>
      </c>
      <c r="GJ253">
        <f t="shared" ca="1" si="715"/>
        <v>0</v>
      </c>
      <c r="GK253">
        <f t="shared" ca="1" si="716"/>
        <v>0</v>
      </c>
      <c r="GL253">
        <f t="shared" ca="1" si="717"/>
        <v>0</v>
      </c>
      <c r="GM253">
        <f t="shared" ca="1" si="718"/>
        <v>313979</v>
      </c>
      <c r="GN253">
        <f t="shared" ca="1" si="719"/>
        <v>15698.95</v>
      </c>
      <c r="GO253">
        <f t="shared" ca="1" si="720"/>
        <v>15699</v>
      </c>
      <c r="GP253">
        <f t="shared" ca="1" si="721"/>
        <v>0</v>
      </c>
      <c r="GQ253">
        <f t="shared" ca="1" si="722"/>
        <v>0</v>
      </c>
      <c r="GR253">
        <f t="shared" ca="1" si="723"/>
        <v>15699</v>
      </c>
      <c r="GS253">
        <f t="shared" ca="1" si="724"/>
        <v>0</v>
      </c>
      <c r="GT253" t="b">
        <f t="shared" ca="1" si="725"/>
        <v>0</v>
      </c>
      <c r="GU253">
        <f t="shared" ca="1" si="726"/>
        <v>0</v>
      </c>
      <c r="GV253">
        <f t="shared" ca="1" si="727"/>
        <v>15699</v>
      </c>
      <c r="GW253">
        <f t="shared" ca="1" si="728"/>
        <v>0</v>
      </c>
      <c r="GX253">
        <f t="shared" ca="1" si="729"/>
        <v>0</v>
      </c>
      <c r="GY253">
        <f t="shared" ca="1" si="730"/>
        <v>0</v>
      </c>
    </row>
    <row r="254" spans="1:207" x14ac:dyDescent="0.25">
      <c r="A254">
        <f>_xlfn.AGGREGATE(3,5,$B$2:B254)</f>
        <v>253</v>
      </c>
      <c r="B254" t="s">
        <v>599</v>
      </c>
      <c r="C254" t="s">
        <v>600</v>
      </c>
      <c r="D254" t="s">
        <v>812</v>
      </c>
      <c r="E254" t="s">
        <v>830</v>
      </c>
      <c r="F254" t="s">
        <v>952</v>
      </c>
      <c r="G254" t="s">
        <v>895</v>
      </c>
      <c r="H254">
        <f t="shared" si="625"/>
        <v>6800</v>
      </c>
      <c r="I254">
        <f>_xlfn.XLOOKUP(B254,'[1]march-2026'!$A:$A,'[1]march-2026'!$C:$C,0,0)</f>
        <v>34500</v>
      </c>
      <c r="J254">
        <f t="shared" si="689"/>
        <v>6210</v>
      </c>
      <c r="K254">
        <f t="shared" si="626"/>
        <v>4140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27"/>
        <v>45350</v>
      </c>
      <c r="O254">
        <f>_xlfn.XLOOKUP(B254,'[1]march-2026'!$A:$A,'[1]march-2026'!$H:$H,0,0)</f>
        <v>2500</v>
      </c>
      <c r="P254">
        <f>_xlfn.XLOOKUP(B254,'[1]march-2026'!$A:$A,'[1]march-2026'!$I:$I,0,0)</f>
        <v>0</v>
      </c>
      <c r="Q254">
        <f t="shared" si="628"/>
        <v>200</v>
      </c>
      <c r="R254">
        <f t="shared" si="629"/>
        <v>42650</v>
      </c>
      <c r="S254">
        <f>_xlfn.XLOOKUP(B254,'[2]april-2026'!$A:$A,'[2]april-2026'!$C:$C,0,0)</f>
        <v>34500</v>
      </c>
      <c r="T254">
        <f t="shared" si="630"/>
        <v>6210</v>
      </c>
      <c r="U254">
        <f t="shared" si="631"/>
        <v>4140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32"/>
        <v>45350</v>
      </c>
      <c r="Y254">
        <f>_xlfn.XLOOKUP(B254,'[2]april-2026'!$A:$A,'[2]april-2026'!$H:$H,0,0)</f>
        <v>2500</v>
      </c>
      <c r="Z254">
        <f>_xlfn.XLOOKUP(B254,'[2]april-2026'!$A:$A,'[2]april-2026'!$I:$I,0,0)</f>
        <v>0</v>
      </c>
      <c r="AA254">
        <f t="shared" si="633"/>
        <v>200</v>
      </c>
      <c r="AB254">
        <f t="shared" si="634"/>
        <v>42650</v>
      </c>
      <c r="AC254">
        <f>_xlfn.XLOOKUP(B254,'[3]may-2026'!$A:$A,'[3]may-2026'!$C:$C,0,0)</f>
        <v>34500</v>
      </c>
      <c r="AD254">
        <f t="shared" si="635"/>
        <v>6210</v>
      </c>
      <c r="AE254">
        <f t="shared" si="636"/>
        <v>4140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37"/>
        <v>45350</v>
      </c>
      <c r="AI254">
        <f>_xlfn.XLOOKUP(B254,'[3]may-2026'!$A:$A,'[3]may-2026'!$H:$H,0,0)</f>
        <v>2500</v>
      </c>
      <c r="AJ254">
        <f>_xlfn.XLOOKUP(B254,'[3]may-2026'!$A:$A,'[3]may-2026'!$I:$I,0,0)</f>
        <v>0</v>
      </c>
      <c r="AK254">
        <f t="shared" si="638"/>
        <v>200</v>
      </c>
      <c r="AL254">
        <f t="shared" si="639"/>
        <v>42650</v>
      </c>
      <c r="AM254">
        <f>_xlfn.XLOOKUP(B254,'[4]june-2026'!$A:$A,'[4]june-2026'!$C:$C,0,0)</f>
        <v>34500</v>
      </c>
      <c r="AN254">
        <f t="shared" si="640"/>
        <v>6210</v>
      </c>
      <c r="AO254">
        <f t="shared" si="641"/>
        <v>4140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42"/>
        <v>45350</v>
      </c>
      <c r="AS254">
        <f>_xlfn.XLOOKUP(B254,'[4]june-2026'!$A:$A,'[4]june-2026'!$H:$H,0,0)</f>
        <v>2500</v>
      </c>
      <c r="AT254">
        <f>_xlfn.XLOOKUP(B254,'[4]june-2026'!$A:$A,'[4]june-2026'!$I:$I,0,0)</f>
        <v>0</v>
      </c>
      <c r="AU254">
        <f t="shared" si="643"/>
        <v>200</v>
      </c>
      <c r="AV254">
        <f t="shared" si="644"/>
        <v>42650</v>
      </c>
      <c r="AW254">
        <f>_xlfn.XLOOKUP(B254,'[5]july-2026'!$A:$A,'[5]july-2026'!$C:$C,0,0)</f>
        <v>35500</v>
      </c>
      <c r="AX254">
        <f t="shared" si="645"/>
        <v>6390</v>
      </c>
      <c r="AY254">
        <v>252</v>
      </c>
      <c r="AZ254">
        <f t="shared" si="646"/>
        <v>4260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47"/>
        <v>46902</v>
      </c>
      <c r="BD254">
        <f>_xlfn.XLOOKUP(B254,'[5]july-2026'!$A:$A,'[5]july-2026'!$H:$H,0,0)</f>
        <v>2500</v>
      </c>
      <c r="BE254">
        <f>_xlfn.XLOOKUP(B254,'[5]july-2026'!$A:$A,'[5]july-2026'!$I:$I,0,0)</f>
        <v>0</v>
      </c>
      <c r="BF254">
        <f t="shared" si="648"/>
        <v>200</v>
      </c>
      <c r="BG254">
        <f t="shared" si="649"/>
        <v>44202</v>
      </c>
      <c r="BH254">
        <f>_xlfn.XLOOKUP(B254,'[6]august-2026'!$A:$A,'[6]august-2026'!$C:$C,0,0)</f>
        <v>35500</v>
      </c>
      <c r="BI254">
        <f t="shared" si="650"/>
        <v>6390</v>
      </c>
      <c r="BJ254">
        <f t="shared" si="651"/>
        <v>4260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52"/>
        <v>46650</v>
      </c>
      <c r="BN254">
        <f>_xlfn.XLOOKUP(B254,'[6]august-2026'!$A:$A,'[6]august-2026'!$H:$H,0,0)</f>
        <v>2500</v>
      </c>
      <c r="BO254">
        <f>_xlfn.XLOOKUP(B254,'[6]august-2026'!$A:$A,'[6]august-2026'!$I:$I,0,0)</f>
        <v>0</v>
      </c>
      <c r="BP254">
        <f t="shared" si="653"/>
        <v>200</v>
      </c>
      <c r="BQ254">
        <f t="shared" si="654"/>
        <v>43950</v>
      </c>
      <c r="BR254">
        <f>_xlfn.XLOOKUP(B254,'[7]september-2026'!$A:$A,'[7]september-2026'!$C:$C,0,0)</f>
        <v>35500</v>
      </c>
      <c r="BS254">
        <f t="shared" si="655"/>
        <v>6390</v>
      </c>
      <c r="BT254">
        <f t="shared" si="656"/>
        <v>4260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57"/>
        <v>46650</v>
      </c>
      <c r="BX254">
        <f>_xlfn.XLOOKUP(B254,'[7]september-2026'!$A:$A,'[7]september-2026'!$H:$H,0,0)</f>
        <v>2500</v>
      </c>
      <c r="BY254">
        <f>_xlfn.XLOOKUP(B254,'[7]september-2026'!$A:$A,'[7]september-2026'!$I:$I,0,0)</f>
        <v>0</v>
      </c>
      <c r="BZ254">
        <f t="shared" si="658"/>
        <v>200</v>
      </c>
      <c r="CA254">
        <f t="shared" si="659"/>
        <v>43950</v>
      </c>
      <c r="CB254">
        <f>_xlfn.XLOOKUP(B254,'[8]october-2026'!$A:$A,'[8]october-2026'!$C:$C,0,0)</f>
        <v>35500</v>
      </c>
      <c r="CC254">
        <f t="shared" si="660"/>
        <v>6390</v>
      </c>
      <c r="CD254">
        <f t="shared" si="661"/>
        <v>4260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62"/>
        <v>46650</v>
      </c>
      <c r="CH254">
        <f>_xlfn.XLOOKUP(B254,'[8]october-2026'!$A:$A,'[8]october-2026'!$H:$H,0,0)</f>
        <v>2500</v>
      </c>
      <c r="CI254">
        <f>_xlfn.XLOOKUP(B254,'[8]october-2026'!$A:$A,'[8]october-2026'!$I:$I,0,0)</f>
        <v>0</v>
      </c>
      <c r="CJ254">
        <f t="shared" si="663"/>
        <v>200</v>
      </c>
      <c r="CK254">
        <f t="shared" si="664"/>
        <v>43950</v>
      </c>
      <c r="CL254">
        <f>_xlfn.XLOOKUP(B254,'[9]november-2026'!$A:$A,'[9]november-2026'!$C:$C,0,0)</f>
        <v>35500</v>
      </c>
      <c r="CM254">
        <f t="shared" si="665"/>
        <v>6390</v>
      </c>
      <c r="CN254">
        <f t="shared" si="666"/>
        <v>4260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67"/>
        <v>46650</v>
      </c>
      <c r="CR254">
        <f>_xlfn.XLOOKUP(B254,'[9]november-2026'!$A:$A,'[9]november-2026'!$H:$H,0,0)</f>
        <v>2500</v>
      </c>
      <c r="CS254">
        <f>_xlfn.XLOOKUP(B254,'[9]november-2026'!$A:$A,'[9]november-2026'!$I:$I,0,0)</f>
        <v>0</v>
      </c>
      <c r="CT254">
        <f t="shared" si="668"/>
        <v>200</v>
      </c>
      <c r="CU254">
        <f t="shared" si="669"/>
        <v>43950</v>
      </c>
      <c r="CV254">
        <f>_xlfn.XLOOKUP(B254,'[10]december-2026'!$A:$A,'[10]december-2026'!$C:$C,0,0)</f>
        <v>35500</v>
      </c>
      <c r="CW254">
        <f t="shared" si="670"/>
        <v>6390</v>
      </c>
      <c r="CX254">
        <f t="shared" si="671"/>
        <v>4260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72"/>
        <v>46650</v>
      </c>
      <c r="DB254">
        <f>_xlfn.XLOOKUP(B254,'[10]december-2026'!$A:$A,'[10]december-2026'!$H:$H,0,0)</f>
        <v>2500</v>
      </c>
      <c r="DC254">
        <f>_xlfn.XLOOKUP(B254,'[10]december-2026'!$A:$A,'[10]december-2026'!$I:$I,0,0)</f>
        <v>0</v>
      </c>
      <c r="DD254">
        <f t="shared" si="673"/>
        <v>200</v>
      </c>
      <c r="DE254">
        <f t="shared" si="674"/>
        <v>43950</v>
      </c>
      <c r="DF254">
        <f xml:space="preserve"> _xlfn.XLOOKUP(B254,
'[11]january-2027'!$A:$A,
'[11]january-2027'!$C:$C,
0,0)</f>
        <v>35500</v>
      </c>
      <c r="DG254">
        <f t="shared" si="675"/>
        <v>6390</v>
      </c>
      <c r="DH254">
        <f t="shared" si="676"/>
        <v>4260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77"/>
        <v>46650</v>
      </c>
      <c r="DL254">
        <f xml:space="preserve"> _xlfn.XLOOKUP(B254,
'[11]january-2027'!$A:$A,
'[11]january-2027'!$H:$H,
0,0)</f>
        <v>2500</v>
      </c>
      <c r="DM254">
        <f xml:space="preserve"> _xlfn.XLOOKUP(B254,
'[11]january-2027'!$A:$A,
'[11]january-2027'!$I:$I,
0,0)</f>
        <v>0</v>
      </c>
      <c r="DN254">
        <f t="shared" si="678"/>
        <v>200</v>
      </c>
      <c r="DO254">
        <f t="shared" si="679"/>
        <v>43950</v>
      </c>
      <c r="DP254">
        <f xml:space="preserve"> _xlfn.XLOOKUP(B254,
'[12]february-2027'!$A:$A,
'[12]february-2027'!$C:$C,
0,0)</f>
        <v>35500</v>
      </c>
      <c r="DQ254">
        <f t="shared" si="680"/>
        <v>6390</v>
      </c>
      <c r="DR254">
        <f t="shared" si="681"/>
        <v>4260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82"/>
        <v>46650</v>
      </c>
      <c r="DV254">
        <f xml:space="preserve"> _xlfn.XLOOKUP(B254,
'[12]february-2027'!$A:$A,
'[12]february-2027'!$H:$H,
0,0)</f>
        <v>2500</v>
      </c>
      <c r="DW254">
        <f xml:space="preserve"> _xlfn.XLOOKUP(B254,
'[12]february-2027'!$A:$A,
'[12]february-2027'!$I:$I,
0,0)</f>
        <v>0</v>
      </c>
      <c r="DX254">
        <f t="shared" si="683"/>
        <v>200</v>
      </c>
      <c r="DY254">
        <f t="shared" si="684"/>
        <v>43950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85"/>
        <v>0</v>
      </c>
      <c r="EM254">
        <f t="shared" si="686"/>
        <v>561652</v>
      </c>
      <c r="EN254">
        <f t="shared" si="687"/>
        <v>2400</v>
      </c>
      <c r="EO254">
        <f t="shared" si="688"/>
        <v>50000</v>
      </c>
      <c r="EP254">
        <v>0</v>
      </c>
      <c r="EQ254">
        <f t="shared" si="690"/>
        <v>509252</v>
      </c>
      <c r="ER254">
        <f t="shared" si="691"/>
        <v>30000</v>
      </c>
      <c r="ES254">
        <f t="shared" si="692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693"/>
        <v>30000</v>
      </c>
      <c r="FE254">
        <f t="shared" si="694"/>
        <v>30000</v>
      </c>
      <c r="FF254">
        <f t="shared" si="695"/>
        <v>479252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>SUM(FG254:FM254)+(IF(F254="YES",50000,0))</f>
        <v>0</v>
      </c>
      <c r="FO254">
        <f t="shared" si="696"/>
        <v>479252</v>
      </c>
      <c r="FP254">
        <f t="shared" si="697"/>
        <v>11463</v>
      </c>
      <c r="FQ254">
        <f t="shared" si="698"/>
        <v>0</v>
      </c>
      <c r="FR254">
        <f t="shared" si="699"/>
        <v>11463</v>
      </c>
      <c r="FS254">
        <f t="shared" si="700"/>
        <v>0</v>
      </c>
      <c r="FT254">
        <f t="shared" si="701"/>
        <v>0</v>
      </c>
      <c r="FU254">
        <f t="shared" si="702"/>
        <v>0</v>
      </c>
      <c r="FV254">
        <v>0</v>
      </c>
      <c r="FW254">
        <f t="shared" si="703"/>
        <v>0</v>
      </c>
      <c r="FX254" t="b">
        <f t="shared" si="704"/>
        <v>1</v>
      </c>
      <c r="FY254">
        <f t="shared" ca="1" si="705"/>
        <v>919</v>
      </c>
      <c r="FZ254">
        <f t="shared" ca="1" si="706"/>
        <v>562571</v>
      </c>
      <c r="GA254">
        <f t="shared" si="707"/>
        <v>75000</v>
      </c>
      <c r="GB254">
        <f t="shared" ca="1" si="708"/>
        <v>487571</v>
      </c>
      <c r="GC254">
        <f t="shared" ca="1" si="709"/>
        <v>0</v>
      </c>
      <c r="GD254">
        <f t="shared" ca="1" si="710"/>
        <v>0</v>
      </c>
      <c r="GE254">
        <f t="shared" ca="1" si="711"/>
        <v>0</v>
      </c>
      <c r="GF254">
        <f t="shared" ca="1" si="712"/>
        <v>0</v>
      </c>
      <c r="GG254">
        <f t="shared" ca="1" si="713"/>
        <v>0</v>
      </c>
      <c r="GH254">
        <f t="shared" ca="1" si="714"/>
        <v>0</v>
      </c>
      <c r="GI254">
        <f ca="1">IF(GB254&gt;1200000,GB254-1200000-IF(F254="YES",50000,0)-GG254,0)</f>
        <v>0</v>
      </c>
      <c r="GJ254">
        <f t="shared" ca="1" si="715"/>
        <v>0</v>
      </c>
      <c r="GK254">
        <f t="shared" ca="1" si="716"/>
        <v>0</v>
      </c>
      <c r="GL254">
        <f t="shared" ca="1" si="717"/>
        <v>0</v>
      </c>
      <c r="GM254">
        <f t="shared" ca="1" si="718"/>
        <v>87571</v>
      </c>
      <c r="GN254">
        <f t="shared" ca="1" si="719"/>
        <v>4378.55</v>
      </c>
      <c r="GO254">
        <f t="shared" ca="1" si="720"/>
        <v>4379</v>
      </c>
      <c r="GP254">
        <f t="shared" ca="1" si="721"/>
        <v>0</v>
      </c>
      <c r="GQ254">
        <f t="shared" ca="1" si="722"/>
        <v>0</v>
      </c>
      <c r="GR254">
        <f t="shared" ca="1" si="723"/>
        <v>4379</v>
      </c>
      <c r="GS254">
        <f t="shared" ca="1" si="724"/>
        <v>0</v>
      </c>
      <c r="GT254" t="b">
        <f t="shared" ca="1" si="725"/>
        <v>0</v>
      </c>
      <c r="GU254">
        <f t="shared" ca="1" si="726"/>
        <v>0</v>
      </c>
      <c r="GV254">
        <f t="shared" ca="1" si="727"/>
        <v>4379</v>
      </c>
      <c r="GW254">
        <f t="shared" ca="1" si="728"/>
        <v>0</v>
      </c>
      <c r="GX254">
        <f t="shared" ca="1" si="729"/>
        <v>0</v>
      </c>
      <c r="GY254">
        <f t="shared" ca="1" si="730"/>
        <v>0</v>
      </c>
    </row>
    <row r="255" spans="1:207" x14ac:dyDescent="0.25">
      <c r="A255">
        <f>_xlfn.AGGREGATE(3,5,$B$2:B255)</f>
        <v>254</v>
      </c>
      <c r="B255" t="s">
        <v>601</v>
      </c>
      <c r="C255" t="s">
        <v>602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25"/>
        <v>6800</v>
      </c>
      <c r="I255">
        <f>_xlfn.XLOOKUP(B255,'[1]march-2026'!$A:$A,'[1]march-2026'!$C:$C,0,0)</f>
        <v>34500</v>
      </c>
      <c r="J255">
        <f t="shared" si="689"/>
        <v>6210</v>
      </c>
      <c r="K255">
        <f t="shared" si="626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27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28"/>
        <v>200</v>
      </c>
      <c r="R255">
        <f t="shared" si="629"/>
        <v>42650</v>
      </c>
      <c r="S255">
        <f>_xlfn.XLOOKUP(B255,'[2]april-2026'!$A:$A,'[2]april-2026'!$C:$C,0,0)</f>
        <v>34500</v>
      </c>
      <c r="T255">
        <f t="shared" si="630"/>
        <v>6210</v>
      </c>
      <c r="U255">
        <f t="shared" si="631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32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33"/>
        <v>200</v>
      </c>
      <c r="AB255">
        <f t="shared" si="634"/>
        <v>42650</v>
      </c>
      <c r="AC255">
        <f>_xlfn.XLOOKUP(B255,'[3]may-2026'!$A:$A,'[3]may-2026'!$C:$C,0,0)</f>
        <v>34500</v>
      </c>
      <c r="AD255">
        <f t="shared" si="635"/>
        <v>6210</v>
      </c>
      <c r="AE255">
        <f t="shared" si="636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37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38"/>
        <v>200</v>
      </c>
      <c r="AL255">
        <f t="shared" si="639"/>
        <v>42650</v>
      </c>
      <c r="AM255">
        <f>_xlfn.XLOOKUP(B255,'[4]june-2026'!$A:$A,'[4]june-2026'!$C:$C,0,0)</f>
        <v>34500</v>
      </c>
      <c r="AN255">
        <f t="shared" si="640"/>
        <v>6210</v>
      </c>
      <c r="AO255">
        <f t="shared" si="641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42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43"/>
        <v>200</v>
      </c>
      <c r="AV255">
        <f t="shared" si="644"/>
        <v>42650</v>
      </c>
      <c r="AW255">
        <f>_xlfn.XLOOKUP(B255,'[5]july-2026'!$A:$A,'[5]july-2026'!$C:$C,0,0)</f>
        <v>35500</v>
      </c>
      <c r="AX255">
        <f t="shared" si="645"/>
        <v>6390</v>
      </c>
      <c r="AY255">
        <v>253</v>
      </c>
      <c r="AZ255">
        <f t="shared" si="646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47"/>
        <v>46903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48"/>
        <v>200</v>
      </c>
      <c r="BG255">
        <f t="shared" si="649"/>
        <v>44203</v>
      </c>
      <c r="BH255">
        <f>_xlfn.XLOOKUP(B255,'[6]august-2026'!$A:$A,'[6]august-2026'!$C:$C,0,0)</f>
        <v>35500</v>
      </c>
      <c r="BI255">
        <f t="shared" si="650"/>
        <v>6390</v>
      </c>
      <c r="BJ255">
        <f t="shared" si="651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52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53"/>
        <v>200</v>
      </c>
      <c r="BQ255">
        <f t="shared" si="654"/>
        <v>43950</v>
      </c>
      <c r="BR255">
        <f>_xlfn.XLOOKUP(B255,'[7]september-2026'!$A:$A,'[7]september-2026'!$C:$C,0,0)</f>
        <v>35500</v>
      </c>
      <c r="BS255">
        <f t="shared" si="655"/>
        <v>6390</v>
      </c>
      <c r="BT255">
        <f t="shared" si="656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57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58"/>
        <v>200</v>
      </c>
      <c r="CA255">
        <f t="shared" si="659"/>
        <v>43950</v>
      </c>
      <c r="CB255">
        <f>_xlfn.XLOOKUP(B255,'[8]october-2026'!$A:$A,'[8]october-2026'!$C:$C,0,0)</f>
        <v>35500</v>
      </c>
      <c r="CC255">
        <f t="shared" si="660"/>
        <v>6390</v>
      </c>
      <c r="CD255">
        <f t="shared" si="661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62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63"/>
        <v>200</v>
      </c>
      <c r="CK255">
        <f t="shared" si="664"/>
        <v>43950</v>
      </c>
      <c r="CL255">
        <f>_xlfn.XLOOKUP(B255,'[9]november-2026'!$A:$A,'[9]november-2026'!$C:$C,0,0)</f>
        <v>35500</v>
      </c>
      <c r="CM255">
        <f t="shared" si="665"/>
        <v>6390</v>
      </c>
      <c r="CN255">
        <f t="shared" si="666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67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68"/>
        <v>200</v>
      </c>
      <c r="CU255">
        <f t="shared" si="669"/>
        <v>43950</v>
      </c>
      <c r="CV255">
        <f>_xlfn.XLOOKUP(B255,'[10]december-2026'!$A:$A,'[10]december-2026'!$C:$C,0,0)</f>
        <v>35500</v>
      </c>
      <c r="CW255">
        <f t="shared" si="670"/>
        <v>6390</v>
      </c>
      <c r="CX255">
        <f t="shared" si="671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72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73"/>
        <v>200</v>
      </c>
      <c r="DE255">
        <f t="shared" si="674"/>
        <v>43950</v>
      </c>
      <c r="DF255">
        <f xml:space="preserve"> _xlfn.XLOOKUP(B255,
'[11]january-2027'!$A:$A,
'[11]january-2027'!$C:$C,
0,0)</f>
        <v>35500</v>
      </c>
      <c r="DG255">
        <f t="shared" si="675"/>
        <v>6390</v>
      </c>
      <c r="DH255">
        <f t="shared" si="676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77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78"/>
        <v>200</v>
      </c>
      <c r="DO255">
        <f t="shared" si="679"/>
        <v>43950</v>
      </c>
      <c r="DP255">
        <f xml:space="preserve"> _xlfn.XLOOKUP(B255,
'[12]february-2027'!$A:$A,
'[12]february-2027'!$C:$C,
0,0)</f>
        <v>35500</v>
      </c>
      <c r="DQ255">
        <f t="shared" si="680"/>
        <v>6390</v>
      </c>
      <c r="DR255">
        <f t="shared" si="681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82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83"/>
        <v>200</v>
      </c>
      <c r="DY255">
        <f t="shared" si="684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85"/>
        <v>0</v>
      </c>
      <c r="EM255">
        <f t="shared" si="686"/>
        <v>561653</v>
      </c>
      <c r="EN255">
        <f t="shared" si="687"/>
        <v>2400</v>
      </c>
      <c r="EO255">
        <f t="shared" si="688"/>
        <v>50000</v>
      </c>
      <c r="EP255">
        <v>0</v>
      </c>
      <c r="EQ255">
        <f t="shared" si="690"/>
        <v>509253</v>
      </c>
      <c r="ER255">
        <f t="shared" si="691"/>
        <v>30000</v>
      </c>
      <c r="ES255">
        <f t="shared" si="692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693"/>
        <v>30000</v>
      </c>
      <c r="FE255">
        <f t="shared" si="694"/>
        <v>30000</v>
      </c>
      <c r="FF255">
        <f t="shared" si="695"/>
        <v>479253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>SUM(FG255:FM255)+(IF(F255="YES",50000,0))</f>
        <v>0</v>
      </c>
      <c r="FO255">
        <f t="shared" si="696"/>
        <v>479253</v>
      </c>
      <c r="FP255">
        <f t="shared" si="697"/>
        <v>11463</v>
      </c>
      <c r="FQ255">
        <f t="shared" si="698"/>
        <v>0</v>
      </c>
      <c r="FR255">
        <f t="shared" si="699"/>
        <v>11463</v>
      </c>
      <c r="FS255">
        <f t="shared" si="700"/>
        <v>0</v>
      </c>
      <c r="FT255">
        <f t="shared" si="701"/>
        <v>0</v>
      </c>
      <c r="FU255">
        <f t="shared" si="702"/>
        <v>0</v>
      </c>
      <c r="FV255">
        <v>0</v>
      </c>
      <c r="FW255">
        <f t="shared" si="703"/>
        <v>0</v>
      </c>
      <c r="FX255" t="b">
        <f t="shared" si="704"/>
        <v>1</v>
      </c>
      <c r="FY255">
        <f t="shared" ca="1" si="705"/>
        <v>927</v>
      </c>
      <c r="FZ255">
        <f t="shared" ca="1" si="706"/>
        <v>562580</v>
      </c>
      <c r="GA255">
        <f t="shared" si="707"/>
        <v>75000</v>
      </c>
      <c r="GB255">
        <f t="shared" ca="1" si="708"/>
        <v>487580</v>
      </c>
      <c r="GC255">
        <f t="shared" ca="1" si="709"/>
        <v>0</v>
      </c>
      <c r="GD255">
        <f t="shared" ca="1" si="710"/>
        <v>0</v>
      </c>
      <c r="GE255">
        <f t="shared" ca="1" si="711"/>
        <v>0</v>
      </c>
      <c r="GF255">
        <f t="shared" ca="1" si="712"/>
        <v>0</v>
      </c>
      <c r="GG255">
        <f t="shared" ca="1" si="713"/>
        <v>0</v>
      </c>
      <c r="GH255">
        <f t="shared" ca="1" si="714"/>
        <v>0</v>
      </c>
      <c r="GI255">
        <f ca="1">IF(GB255&gt;1200000,GB255-1200000-IF(F255="YES",50000,0)-GG255,0)</f>
        <v>0</v>
      </c>
      <c r="GJ255">
        <f t="shared" ca="1" si="715"/>
        <v>0</v>
      </c>
      <c r="GK255">
        <f t="shared" ca="1" si="716"/>
        <v>0</v>
      </c>
      <c r="GL255">
        <f t="shared" ca="1" si="717"/>
        <v>0</v>
      </c>
      <c r="GM255">
        <f t="shared" ca="1" si="718"/>
        <v>87580</v>
      </c>
      <c r="GN255">
        <f t="shared" ca="1" si="719"/>
        <v>4379</v>
      </c>
      <c r="GO255">
        <f t="shared" ca="1" si="720"/>
        <v>4379</v>
      </c>
      <c r="GP255">
        <f t="shared" ca="1" si="721"/>
        <v>0</v>
      </c>
      <c r="GQ255">
        <f t="shared" ca="1" si="722"/>
        <v>0</v>
      </c>
      <c r="GR255">
        <f t="shared" ca="1" si="723"/>
        <v>4379</v>
      </c>
      <c r="GS255">
        <f t="shared" ca="1" si="724"/>
        <v>0</v>
      </c>
      <c r="GT255" t="b">
        <f t="shared" ca="1" si="725"/>
        <v>0</v>
      </c>
      <c r="GU255">
        <f t="shared" ca="1" si="726"/>
        <v>0</v>
      </c>
      <c r="GV255">
        <f t="shared" ca="1" si="727"/>
        <v>4379</v>
      </c>
      <c r="GW255">
        <f t="shared" ca="1" si="728"/>
        <v>0</v>
      </c>
      <c r="GX255">
        <f t="shared" ca="1" si="729"/>
        <v>0</v>
      </c>
      <c r="GY255">
        <f t="shared" ca="1" si="730"/>
        <v>0</v>
      </c>
    </row>
    <row r="256" spans="1:207" x14ac:dyDescent="0.25">
      <c r="A256">
        <f>_xlfn.AGGREGATE(3,5,$B$2:B256)</f>
        <v>255</v>
      </c>
      <c r="B256" t="s">
        <v>603</v>
      </c>
      <c r="C256" t="s">
        <v>604</v>
      </c>
      <c r="D256" t="s">
        <v>812</v>
      </c>
      <c r="E256" t="s">
        <v>830</v>
      </c>
      <c r="F256" t="s">
        <v>952</v>
      </c>
      <c r="G256" t="s">
        <v>947</v>
      </c>
      <c r="H256">
        <f t="shared" si="625"/>
        <v>6800</v>
      </c>
      <c r="I256">
        <f>_xlfn.XLOOKUP(B256,'[1]march-2026'!$A:$A,'[1]march-2026'!$C:$C,0,0)</f>
        <v>29800</v>
      </c>
      <c r="J256">
        <f t="shared" si="689"/>
        <v>5364</v>
      </c>
      <c r="K256">
        <f t="shared" si="626"/>
        <v>3576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27"/>
        <v>39240</v>
      </c>
      <c r="O256">
        <f>_xlfn.XLOOKUP(B256,'[1]march-2026'!$A:$A,'[1]march-2026'!$H:$H,0,0)</f>
        <v>2000</v>
      </c>
      <c r="P256">
        <f>_xlfn.XLOOKUP(B256,'[1]march-2026'!$A:$A,'[1]march-2026'!$I:$I,0,0)</f>
        <v>0</v>
      </c>
      <c r="Q256">
        <f t="shared" si="628"/>
        <v>150</v>
      </c>
      <c r="R256">
        <f t="shared" si="629"/>
        <v>37090</v>
      </c>
      <c r="S256">
        <f>_xlfn.XLOOKUP(B256,'[2]april-2026'!$A:$A,'[2]april-2026'!$C:$C,0,0)</f>
        <v>29800</v>
      </c>
      <c r="T256">
        <f t="shared" si="630"/>
        <v>5364</v>
      </c>
      <c r="U256">
        <f t="shared" si="631"/>
        <v>3576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32"/>
        <v>39240</v>
      </c>
      <c r="Y256">
        <f>_xlfn.XLOOKUP(B256,'[2]april-2026'!$A:$A,'[2]april-2026'!$H:$H,0,0)</f>
        <v>2000</v>
      </c>
      <c r="Z256">
        <f>_xlfn.XLOOKUP(B256,'[2]april-2026'!$A:$A,'[2]april-2026'!$I:$I,0,0)</f>
        <v>0</v>
      </c>
      <c r="AA256">
        <f t="shared" si="633"/>
        <v>150</v>
      </c>
      <c r="AB256">
        <f t="shared" si="634"/>
        <v>37090</v>
      </c>
      <c r="AC256">
        <f>_xlfn.XLOOKUP(B256,'[3]may-2026'!$A:$A,'[3]may-2026'!$C:$C,0,0)</f>
        <v>29800</v>
      </c>
      <c r="AD256">
        <f t="shared" si="635"/>
        <v>5364</v>
      </c>
      <c r="AE256">
        <f t="shared" si="636"/>
        <v>3576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37"/>
        <v>39240</v>
      </c>
      <c r="AI256">
        <f>_xlfn.XLOOKUP(B256,'[3]may-2026'!$A:$A,'[3]may-2026'!$H:$H,0,0)</f>
        <v>2000</v>
      </c>
      <c r="AJ256">
        <f>_xlfn.XLOOKUP(B256,'[3]may-2026'!$A:$A,'[3]may-2026'!$I:$I,0,0)</f>
        <v>0</v>
      </c>
      <c r="AK256">
        <f t="shared" si="638"/>
        <v>150</v>
      </c>
      <c r="AL256">
        <f t="shared" si="639"/>
        <v>37090</v>
      </c>
      <c r="AM256">
        <f>_xlfn.XLOOKUP(B256,'[4]june-2026'!$A:$A,'[4]june-2026'!$C:$C,0,0)</f>
        <v>29800</v>
      </c>
      <c r="AN256">
        <f t="shared" si="640"/>
        <v>5364</v>
      </c>
      <c r="AO256">
        <f t="shared" si="641"/>
        <v>3576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42"/>
        <v>39240</v>
      </c>
      <c r="AS256">
        <f>_xlfn.XLOOKUP(B256,'[4]june-2026'!$A:$A,'[4]june-2026'!$H:$H,0,0)</f>
        <v>2000</v>
      </c>
      <c r="AT256">
        <f>_xlfn.XLOOKUP(B256,'[4]june-2026'!$A:$A,'[4]june-2026'!$I:$I,0,0)</f>
        <v>0</v>
      </c>
      <c r="AU256">
        <f t="shared" si="643"/>
        <v>150</v>
      </c>
      <c r="AV256">
        <f t="shared" si="644"/>
        <v>37090</v>
      </c>
      <c r="AW256">
        <f>_xlfn.XLOOKUP(B256,'[5]july-2026'!$A:$A,'[5]july-2026'!$C:$C,0,0)</f>
        <v>30700</v>
      </c>
      <c r="AX256">
        <f t="shared" si="645"/>
        <v>5526</v>
      </c>
      <c r="AY256">
        <v>254</v>
      </c>
      <c r="AZ256">
        <f t="shared" si="646"/>
        <v>3684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47"/>
        <v>40664</v>
      </c>
      <c r="BD256">
        <f>_xlfn.XLOOKUP(B256,'[5]july-2026'!$A:$A,'[5]july-2026'!$H:$H,0,0)</f>
        <v>2000</v>
      </c>
      <c r="BE256">
        <f>_xlfn.XLOOKUP(B256,'[5]july-2026'!$A:$A,'[5]july-2026'!$I:$I,0,0)</f>
        <v>0</v>
      </c>
      <c r="BF256">
        <f t="shared" si="648"/>
        <v>200</v>
      </c>
      <c r="BG256">
        <f t="shared" si="649"/>
        <v>38464</v>
      </c>
      <c r="BH256">
        <f>_xlfn.XLOOKUP(B256,'[6]august-2026'!$A:$A,'[6]august-2026'!$C:$C,0,0)</f>
        <v>30700</v>
      </c>
      <c r="BI256">
        <f t="shared" si="650"/>
        <v>5526</v>
      </c>
      <c r="BJ256">
        <f t="shared" si="651"/>
        <v>3684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52"/>
        <v>40410</v>
      </c>
      <c r="BN256">
        <f>_xlfn.XLOOKUP(B256,'[6]august-2026'!$A:$A,'[6]august-2026'!$H:$H,0,0)</f>
        <v>2000</v>
      </c>
      <c r="BO256">
        <f>_xlfn.XLOOKUP(B256,'[6]august-2026'!$A:$A,'[6]august-2026'!$I:$I,0,0)</f>
        <v>0</v>
      </c>
      <c r="BP256">
        <f t="shared" si="653"/>
        <v>200</v>
      </c>
      <c r="BQ256">
        <f t="shared" si="654"/>
        <v>38210</v>
      </c>
      <c r="BR256">
        <f>_xlfn.XLOOKUP(B256,'[7]september-2026'!$A:$A,'[7]september-2026'!$C:$C,0,0)</f>
        <v>30700</v>
      </c>
      <c r="BS256">
        <f t="shared" si="655"/>
        <v>5526</v>
      </c>
      <c r="BT256">
        <f t="shared" si="656"/>
        <v>3684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57"/>
        <v>40410</v>
      </c>
      <c r="BX256">
        <f>_xlfn.XLOOKUP(B256,'[7]september-2026'!$A:$A,'[7]september-2026'!$H:$H,0,0)</f>
        <v>2000</v>
      </c>
      <c r="BY256">
        <f>_xlfn.XLOOKUP(B256,'[7]september-2026'!$A:$A,'[7]september-2026'!$I:$I,0,0)</f>
        <v>0</v>
      </c>
      <c r="BZ256">
        <f t="shared" si="658"/>
        <v>200</v>
      </c>
      <c r="CA256">
        <f t="shared" si="659"/>
        <v>38210</v>
      </c>
      <c r="CB256">
        <f>_xlfn.XLOOKUP(B256,'[8]october-2026'!$A:$A,'[8]october-2026'!$C:$C,0,0)</f>
        <v>30700</v>
      </c>
      <c r="CC256">
        <f t="shared" si="660"/>
        <v>5526</v>
      </c>
      <c r="CD256">
        <f t="shared" si="661"/>
        <v>3684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62"/>
        <v>40410</v>
      </c>
      <c r="CH256">
        <f>_xlfn.XLOOKUP(B256,'[8]october-2026'!$A:$A,'[8]october-2026'!$H:$H,0,0)</f>
        <v>2000</v>
      </c>
      <c r="CI256">
        <f>_xlfn.XLOOKUP(B256,'[8]october-2026'!$A:$A,'[8]october-2026'!$I:$I,0,0)</f>
        <v>0</v>
      </c>
      <c r="CJ256">
        <f t="shared" si="663"/>
        <v>200</v>
      </c>
      <c r="CK256">
        <f t="shared" si="664"/>
        <v>38210</v>
      </c>
      <c r="CL256">
        <f>_xlfn.XLOOKUP(B256,'[9]november-2026'!$A:$A,'[9]november-2026'!$C:$C,0,0)</f>
        <v>30700</v>
      </c>
      <c r="CM256">
        <f t="shared" si="665"/>
        <v>5526</v>
      </c>
      <c r="CN256">
        <f t="shared" si="666"/>
        <v>3684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67"/>
        <v>40410</v>
      </c>
      <c r="CR256">
        <f>_xlfn.XLOOKUP(B256,'[9]november-2026'!$A:$A,'[9]november-2026'!$H:$H,0,0)</f>
        <v>2000</v>
      </c>
      <c r="CS256">
        <f>_xlfn.XLOOKUP(B256,'[9]november-2026'!$A:$A,'[9]november-2026'!$I:$I,0,0)</f>
        <v>0</v>
      </c>
      <c r="CT256">
        <f t="shared" si="668"/>
        <v>200</v>
      </c>
      <c r="CU256">
        <f t="shared" si="669"/>
        <v>38210</v>
      </c>
      <c r="CV256">
        <f>_xlfn.XLOOKUP(B256,'[10]december-2026'!$A:$A,'[10]december-2026'!$C:$C,0,0)</f>
        <v>30700</v>
      </c>
      <c r="CW256">
        <f t="shared" si="670"/>
        <v>5526</v>
      </c>
      <c r="CX256">
        <f t="shared" si="671"/>
        <v>3684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72"/>
        <v>40410</v>
      </c>
      <c r="DB256">
        <f>_xlfn.XLOOKUP(B256,'[10]december-2026'!$A:$A,'[10]december-2026'!$H:$H,0,0)</f>
        <v>2000</v>
      </c>
      <c r="DC256">
        <f>_xlfn.XLOOKUP(B256,'[10]december-2026'!$A:$A,'[10]december-2026'!$I:$I,0,0)</f>
        <v>0</v>
      </c>
      <c r="DD256">
        <f t="shared" si="673"/>
        <v>200</v>
      </c>
      <c r="DE256">
        <f t="shared" si="674"/>
        <v>38210</v>
      </c>
      <c r="DF256">
        <f xml:space="preserve"> _xlfn.XLOOKUP(B256,
'[11]january-2027'!$A:$A,
'[11]january-2027'!$C:$C,
0,0)</f>
        <v>30700</v>
      </c>
      <c r="DG256">
        <f t="shared" si="675"/>
        <v>5526</v>
      </c>
      <c r="DH256">
        <f t="shared" si="676"/>
        <v>3684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77"/>
        <v>40410</v>
      </c>
      <c r="DL256">
        <f xml:space="preserve"> _xlfn.XLOOKUP(B256,
'[11]january-2027'!$A:$A,
'[11]january-2027'!$H:$H,
0,0)</f>
        <v>2000</v>
      </c>
      <c r="DM256">
        <f xml:space="preserve"> _xlfn.XLOOKUP(B256,
'[11]january-2027'!$A:$A,
'[11]january-2027'!$I:$I,
0,0)</f>
        <v>0</v>
      </c>
      <c r="DN256">
        <f t="shared" si="678"/>
        <v>200</v>
      </c>
      <c r="DO256">
        <f t="shared" si="679"/>
        <v>38210</v>
      </c>
      <c r="DP256">
        <f xml:space="preserve"> _xlfn.XLOOKUP(B256,
'[12]february-2027'!$A:$A,
'[12]february-2027'!$C:$C,
0,0)</f>
        <v>30700</v>
      </c>
      <c r="DQ256">
        <f t="shared" si="680"/>
        <v>5526</v>
      </c>
      <c r="DR256">
        <f t="shared" si="681"/>
        <v>3684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82"/>
        <v>40410</v>
      </c>
      <c r="DV256">
        <f xml:space="preserve"> _xlfn.XLOOKUP(B256,
'[12]february-2027'!$A:$A,
'[12]february-2027'!$H:$H,
0,0)</f>
        <v>2000</v>
      </c>
      <c r="DW256">
        <f xml:space="preserve"> _xlfn.XLOOKUP(B256,
'[12]february-2027'!$A:$A,
'[12]february-2027'!$I:$I,
0,0)</f>
        <v>0</v>
      </c>
      <c r="DX256">
        <f t="shared" si="683"/>
        <v>200</v>
      </c>
      <c r="DY256">
        <f t="shared" si="684"/>
        <v>38210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85"/>
        <v>0</v>
      </c>
      <c r="EM256">
        <f t="shared" si="686"/>
        <v>487294</v>
      </c>
      <c r="EN256">
        <f t="shared" si="687"/>
        <v>2200</v>
      </c>
      <c r="EO256">
        <f t="shared" si="688"/>
        <v>50000</v>
      </c>
      <c r="EP256">
        <v>0</v>
      </c>
      <c r="EQ256">
        <f t="shared" si="690"/>
        <v>435094</v>
      </c>
      <c r="ER256">
        <f t="shared" si="691"/>
        <v>24000</v>
      </c>
      <c r="ES256">
        <f t="shared" si="692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693"/>
        <v>24000</v>
      </c>
      <c r="FE256">
        <f t="shared" si="694"/>
        <v>24000</v>
      </c>
      <c r="FF256">
        <f t="shared" si="695"/>
        <v>411094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>SUM(FG256:FM256)+(IF(F256="YES",50000,0))</f>
        <v>0</v>
      </c>
      <c r="FO256">
        <f t="shared" si="696"/>
        <v>411094</v>
      </c>
      <c r="FP256">
        <f t="shared" si="697"/>
        <v>8055</v>
      </c>
      <c r="FQ256">
        <f t="shared" si="698"/>
        <v>0</v>
      </c>
      <c r="FR256">
        <f t="shared" si="699"/>
        <v>8055</v>
      </c>
      <c r="FS256">
        <f t="shared" si="700"/>
        <v>0</v>
      </c>
      <c r="FT256">
        <f t="shared" si="701"/>
        <v>0</v>
      </c>
      <c r="FU256">
        <f t="shared" si="702"/>
        <v>0</v>
      </c>
      <c r="FV256">
        <v>0</v>
      </c>
      <c r="FW256">
        <f t="shared" si="703"/>
        <v>0</v>
      </c>
      <c r="FX256" t="b">
        <f t="shared" si="704"/>
        <v>0</v>
      </c>
      <c r="FY256">
        <f t="shared" ca="1" si="705"/>
        <v>1702</v>
      </c>
      <c r="FZ256">
        <f t="shared" ca="1" si="706"/>
        <v>488996</v>
      </c>
      <c r="GA256">
        <f t="shared" si="707"/>
        <v>75000</v>
      </c>
      <c r="GB256">
        <f t="shared" ca="1" si="708"/>
        <v>413996</v>
      </c>
      <c r="GC256">
        <f t="shared" ca="1" si="709"/>
        <v>0</v>
      </c>
      <c r="GD256">
        <f t="shared" ca="1" si="710"/>
        <v>0</v>
      </c>
      <c r="GE256">
        <f t="shared" ca="1" si="711"/>
        <v>0</v>
      </c>
      <c r="GF256">
        <f t="shared" ca="1" si="712"/>
        <v>0</v>
      </c>
      <c r="GG256">
        <f t="shared" ca="1" si="713"/>
        <v>0</v>
      </c>
      <c r="GH256">
        <f t="shared" ca="1" si="714"/>
        <v>0</v>
      </c>
      <c r="GI256">
        <f ca="1">IF(GB256&gt;1200000,GB256-1200000-IF(F256="YES",50000,0)-GG256,0)</f>
        <v>0</v>
      </c>
      <c r="GJ256">
        <f t="shared" ca="1" si="715"/>
        <v>0</v>
      </c>
      <c r="GK256">
        <f t="shared" ca="1" si="716"/>
        <v>0</v>
      </c>
      <c r="GL256">
        <f t="shared" ca="1" si="717"/>
        <v>0</v>
      </c>
      <c r="GM256">
        <f t="shared" ca="1" si="718"/>
        <v>13996</v>
      </c>
      <c r="GN256">
        <f t="shared" ca="1" si="719"/>
        <v>699.80000000000007</v>
      </c>
      <c r="GO256">
        <f t="shared" ca="1" si="720"/>
        <v>700</v>
      </c>
      <c r="GP256">
        <f t="shared" ca="1" si="721"/>
        <v>0</v>
      </c>
      <c r="GQ256">
        <f t="shared" ca="1" si="722"/>
        <v>0</v>
      </c>
      <c r="GR256">
        <f t="shared" ca="1" si="723"/>
        <v>700</v>
      </c>
      <c r="GS256">
        <f t="shared" ca="1" si="724"/>
        <v>0</v>
      </c>
      <c r="GT256" t="b">
        <f t="shared" ca="1" si="725"/>
        <v>0</v>
      </c>
      <c r="GU256">
        <f t="shared" ca="1" si="726"/>
        <v>0</v>
      </c>
      <c r="GV256">
        <f t="shared" ca="1" si="727"/>
        <v>700</v>
      </c>
      <c r="GW256">
        <f t="shared" ca="1" si="728"/>
        <v>0</v>
      </c>
      <c r="GX256">
        <f t="shared" ca="1" si="729"/>
        <v>0</v>
      </c>
      <c r="GY256">
        <f t="shared" ca="1" si="730"/>
        <v>0</v>
      </c>
    </row>
    <row r="257" spans="1:207" x14ac:dyDescent="0.25">
      <c r="A257">
        <f>_xlfn.AGGREGATE(3,5,$B$2:B257)</f>
        <v>256</v>
      </c>
      <c r="B257" t="s">
        <v>605</v>
      </c>
      <c r="C257" t="s">
        <v>970</v>
      </c>
      <c r="D257" t="s">
        <v>813</v>
      </c>
      <c r="E257" t="s">
        <v>830</v>
      </c>
      <c r="F257" t="s">
        <v>952</v>
      </c>
      <c r="G257" t="s">
        <v>884</v>
      </c>
      <c r="H257">
        <f t="shared" si="625"/>
        <v>6800</v>
      </c>
      <c r="I257">
        <f>_xlfn.XLOOKUP(B257,'[1]march-2026'!$A:$A,'[1]march-2026'!$C:$C,0,0)</f>
        <v>50200</v>
      </c>
      <c r="J257">
        <f t="shared" si="689"/>
        <v>9036</v>
      </c>
      <c r="K257">
        <f t="shared" si="626"/>
        <v>6024</v>
      </c>
      <c r="L257">
        <f>_xlfn.XLOOKUP(B257,'[1]march-2026'!$A:$A,'[1]march-2026'!$D:$D,0,0)</f>
        <v>400</v>
      </c>
      <c r="M257">
        <f>_xlfn.XLOOKUP(B257,'[1]march-2026'!$A:$A,'[1]march-2026'!$G:$G,0,0)</f>
        <v>500</v>
      </c>
      <c r="N257">
        <f t="shared" si="627"/>
        <v>66160</v>
      </c>
      <c r="O257">
        <f>_xlfn.XLOOKUP(B257,'[1]march-2026'!$A:$A,'[1]march-2026'!$H:$H,0,0)</f>
        <v>5000</v>
      </c>
      <c r="P257">
        <f>_xlfn.XLOOKUP(B257,'[1]march-2026'!$A:$A,'[1]march-2026'!$I:$I,0,0)</f>
        <v>0</v>
      </c>
      <c r="Q257">
        <f t="shared" si="628"/>
        <v>200</v>
      </c>
      <c r="R257">
        <f t="shared" si="629"/>
        <v>60960</v>
      </c>
      <c r="S257">
        <f>_xlfn.XLOOKUP(B257,'[2]april-2026'!$A:$A,'[2]april-2026'!$C:$C,0,0)</f>
        <v>50200</v>
      </c>
      <c r="T257">
        <f t="shared" si="630"/>
        <v>9036</v>
      </c>
      <c r="U257">
        <f t="shared" si="631"/>
        <v>6024</v>
      </c>
      <c r="V257">
        <f>_xlfn.XLOOKUP(B257,'[2]april-2026'!$A:$A,'[2]april-2026'!$D:$D,0,0)</f>
        <v>400</v>
      </c>
      <c r="W257">
        <f>_xlfn.XLOOKUP(B257,'[2]april-2026'!$A:$A,'[2]april-2026'!$G:$G,0,0)</f>
        <v>500</v>
      </c>
      <c r="X257">
        <f t="shared" si="632"/>
        <v>66160</v>
      </c>
      <c r="Y257">
        <f>_xlfn.XLOOKUP(B257,'[2]april-2026'!$A:$A,'[2]april-2026'!$H:$H,0,0)</f>
        <v>5000</v>
      </c>
      <c r="Z257">
        <f>_xlfn.XLOOKUP(B257,'[2]april-2026'!$A:$A,'[2]april-2026'!$I:$I,0,0)</f>
        <v>0</v>
      </c>
      <c r="AA257">
        <f t="shared" si="633"/>
        <v>200</v>
      </c>
      <c r="AB257">
        <f t="shared" si="634"/>
        <v>60960</v>
      </c>
      <c r="AC257">
        <f>_xlfn.XLOOKUP(B257,'[3]may-2026'!$A:$A,'[3]may-2026'!$C:$C,0,0)</f>
        <v>50200</v>
      </c>
      <c r="AD257">
        <f t="shared" si="635"/>
        <v>9036</v>
      </c>
      <c r="AE257">
        <f t="shared" si="636"/>
        <v>6024</v>
      </c>
      <c r="AF257">
        <f>_xlfn.XLOOKUP(B257,'[3]may-2026'!$A:$A,'[3]may-2026'!$D:$D,0,0)</f>
        <v>400</v>
      </c>
      <c r="AG257">
        <f>_xlfn.XLOOKUP(B257,'[3]may-2026'!$A:$A,'[3]may-2026'!$G:$G,0,0)</f>
        <v>500</v>
      </c>
      <c r="AH257">
        <f t="shared" si="637"/>
        <v>66160</v>
      </c>
      <c r="AI257">
        <f>_xlfn.XLOOKUP(B257,'[3]may-2026'!$A:$A,'[3]may-2026'!$H:$H,0,0)</f>
        <v>5000</v>
      </c>
      <c r="AJ257">
        <f>_xlfn.XLOOKUP(B257,'[3]may-2026'!$A:$A,'[3]may-2026'!$I:$I,0,0)</f>
        <v>0</v>
      </c>
      <c r="AK257">
        <f t="shared" si="638"/>
        <v>200</v>
      </c>
      <c r="AL257">
        <f t="shared" si="639"/>
        <v>60960</v>
      </c>
      <c r="AM257">
        <f>_xlfn.XLOOKUP(B257,'[4]june-2026'!$A:$A,'[4]june-2026'!$C:$C,0,0)</f>
        <v>50200</v>
      </c>
      <c r="AN257">
        <f t="shared" si="640"/>
        <v>9036</v>
      </c>
      <c r="AO257">
        <f t="shared" si="641"/>
        <v>6024</v>
      </c>
      <c r="AP257">
        <f>_xlfn.XLOOKUP(B257,'[4]june-2026'!$A:$A,'[4]june-2026'!$D:$D,0,0)</f>
        <v>400</v>
      </c>
      <c r="AQ257">
        <f>_xlfn.XLOOKUP(B257,'[4]june-2026'!$A:$A,'[4]june-2026'!$G:$G,0,0)</f>
        <v>500</v>
      </c>
      <c r="AR257">
        <f t="shared" si="642"/>
        <v>66160</v>
      </c>
      <c r="AS257">
        <f>_xlfn.XLOOKUP(B257,'[4]june-2026'!$A:$A,'[4]june-2026'!$H:$H,0,0)</f>
        <v>5000</v>
      </c>
      <c r="AT257">
        <f>_xlfn.XLOOKUP(B257,'[4]june-2026'!$A:$A,'[4]june-2026'!$I:$I,0,0)</f>
        <v>0</v>
      </c>
      <c r="AU257">
        <f t="shared" si="643"/>
        <v>200</v>
      </c>
      <c r="AV257">
        <f t="shared" si="644"/>
        <v>60960</v>
      </c>
      <c r="AW257">
        <f>_xlfn.XLOOKUP(B257,'[5]july-2026'!$A:$A,'[5]july-2026'!$C:$C,0,0)</f>
        <v>51700</v>
      </c>
      <c r="AX257">
        <f t="shared" si="645"/>
        <v>9306</v>
      </c>
      <c r="AY257">
        <v>255</v>
      </c>
      <c r="AZ257">
        <f t="shared" si="646"/>
        <v>6204</v>
      </c>
      <c r="BA257">
        <f>_xlfn.XLOOKUP(B257,'[5]july-2026'!$A:$A,'[5]july-2026'!$D:$D,0,0)</f>
        <v>400</v>
      </c>
      <c r="BB257">
        <f>_xlfn.XLOOKUP(B257,'[5]july-2026'!$A:$A,'[5]july-2026'!$G:$G,0,0)</f>
        <v>500</v>
      </c>
      <c r="BC257">
        <f t="shared" si="647"/>
        <v>68365</v>
      </c>
      <c r="BD257">
        <f>_xlfn.XLOOKUP(B257,'[5]july-2026'!$A:$A,'[5]july-2026'!$H:$H,0,0)</f>
        <v>5000</v>
      </c>
      <c r="BE257">
        <f>_xlfn.XLOOKUP(B257,'[5]july-2026'!$A:$A,'[5]july-2026'!$I:$I,0,0)</f>
        <v>0</v>
      </c>
      <c r="BF257">
        <f t="shared" si="648"/>
        <v>200</v>
      </c>
      <c r="BG257">
        <f t="shared" si="649"/>
        <v>63165</v>
      </c>
      <c r="BH257">
        <f>_xlfn.XLOOKUP(B257,'[6]august-2026'!$A:$A,'[6]august-2026'!$C:$C,0,0)</f>
        <v>51700</v>
      </c>
      <c r="BI257">
        <f t="shared" si="650"/>
        <v>9306</v>
      </c>
      <c r="BJ257">
        <f t="shared" si="651"/>
        <v>6204</v>
      </c>
      <c r="BK257">
        <f>_xlfn.XLOOKUP(B257,'[6]august-2026'!$A:$A,'[6]august-2026'!$D:$D,0,0)</f>
        <v>400</v>
      </c>
      <c r="BL257">
        <f>_xlfn.XLOOKUP(B257,'[6]august-2026'!$A:$A,'[6]august-2026'!$G:$G,0,0)</f>
        <v>500</v>
      </c>
      <c r="BM257">
        <f t="shared" si="652"/>
        <v>68110</v>
      </c>
      <c r="BN257">
        <f>_xlfn.XLOOKUP(B257,'[6]august-2026'!$A:$A,'[6]august-2026'!$H:$H,0,0)</f>
        <v>5000</v>
      </c>
      <c r="BO257">
        <f>_xlfn.XLOOKUP(B257,'[6]august-2026'!$A:$A,'[6]august-2026'!$I:$I,0,0)</f>
        <v>0</v>
      </c>
      <c r="BP257">
        <f t="shared" si="653"/>
        <v>200</v>
      </c>
      <c r="BQ257">
        <f t="shared" si="654"/>
        <v>62910</v>
      </c>
      <c r="BR257">
        <f>_xlfn.XLOOKUP(B257,'[7]september-2026'!$A:$A,'[7]september-2026'!$C:$C,0,0)</f>
        <v>51700</v>
      </c>
      <c r="BS257">
        <f t="shared" si="655"/>
        <v>9306</v>
      </c>
      <c r="BT257">
        <f t="shared" si="656"/>
        <v>6204</v>
      </c>
      <c r="BU257">
        <f>_xlfn.XLOOKUP(B257,'[7]september-2026'!$A:$A,'[7]september-2026'!$D:$D,0,0)</f>
        <v>400</v>
      </c>
      <c r="BV257">
        <f>_xlfn.XLOOKUP(B257,'[7]september-2026'!$A:$A,'[7]september-2026'!$G:$G,0,0)</f>
        <v>500</v>
      </c>
      <c r="BW257">
        <f t="shared" si="657"/>
        <v>68110</v>
      </c>
      <c r="BX257">
        <f>_xlfn.XLOOKUP(B257,'[7]september-2026'!$A:$A,'[7]september-2026'!$H:$H,0,0)</f>
        <v>5000</v>
      </c>
      <c r="BY257">
        <f>_xlfn.XLOOKUP(B257,'[7]september-2026'!$A:$A,'[7]september-2026'!$I:$I,0,0)</f>
        <v>0</v>
      </c>
      <c r="BZ257">
        <f t="shared" si="658"/>
        <v>200</v>
      </c>
      <c r="CA257">
        <f t="shared" si="659"/>
        <v>62910</v>
      </c>
      <c r="CB257">
        <f>_xlfn.XLOOKUP(B257,'[8]october-2026'!$A:$A,'[8]october-2026'!$C:$C,0,0)</f>
        <v>51700</v>
      </c>
      <c r="CC257">
        <f t="shared" si="660"/>
        <v>9306</v>
      </c>
      <c r="CD257">
        <f t="shared" si="661"/>
        <v>6204</v>
      </c>
      <c r="CE257">
        <f>_xlfn.XLOOKUP(B257,'[8]october-2026'!$A:$A,'[8]october-2026'!$D:$D,0,0)</f>
        <v>400</v>
      </c>
      <c r="CF257">
        <f>_xlfn.XLOOKUP(B257,'[8]october-2026'!$A:$A,'[8]october-2026'!$G:$G,0,0)</f>
        <v>500</v>
      </c>
      <c r="CG257">
        <f t="shared" si="662"/>
        <v>68110</v>
      </c>
      <c r="CH257">
        <f>_xlfn.XLOOKUP(B257,'[8]october-2026'!$A:$A,'[8]october-2026'!$H:$H,0,0)</f>
        <v>5000</v>
      </c>
      <c r="CI257">
        <f>_xlfn.XLOOKUP(B257,'[8]october-2026'!$A:$A,'[8]october-2026'!$I:$I,0,0)</f>
        <v>0</v>
      </c>
      <c r="CJ257">
        <f t="shared" si="663"/>
        <v>200</v>
      </c>
      <c r="CK257">
        <f t="shared" si="664"/>
        <v>62910</v>
      </c>
      <c r="CL257">
        <f>_xlfn.XLOOKUP(B257,'[9]november-2026'!$A:$A,'[9]november-2026'!$C:$C,0,0)</f>
        <v>51700</v>
      </c>
      <c r="CM257">
        <f t="shared" si="665"/>
        <v>9306</v>
      </c>
      <c r="CN257">
        <f t="shared" si="666"/>
        <v>6204</v>
      </c>
      <c r="CO257">
        <f>_xlfn.XLOOKUP(B257,'[9]november-2026'!$A:$A,'[9]november-2026'!$D:$D,0,0)</f>
        <v>400</v>
      </c>
      <c r="CP257">
        <f>_xlfn.XLOOKUP(B257,'[9]november-2026'!$A:$A,'[9]november-2026'!$G:$G,0,0)</f>
        <v>500</v>
      </c>
      <c r="CQ257">
        <f t="shared" si="667"/>
        <v>68110</v>
      </c>
      <c r="CR257">
        <f>_xlfn.XLOOKUP(B257,'[9]november-2026'!$A:$A,'[9]november-2026'!$H:$H,0,0)</f>
        <v>5000</v>
      </c>
      <c r="CS257">
        <f>_xlfn.XLOOKUP(B257,'[9]november-2026'!$A:$A,'[9]november-2026'!$I:$I,0,0)</f>
        <v>0</v>
      </c>
      <c r="CT257">
        <f t="shared" si="668"/>
        <v>200</v>
      </c>
      <c r="CU257">
        <f t="shared" si="669"/>
        <v>62910</v>
      </c>
      <c r="CV257">
        <f>_xlfn.XLOOKUP(B257,'[10]december-2026'!$A:$A,'[10]december-2026'!$C:$C,0,0)</f>
        <v>51700</v>
      </c>
      <c r="CW257">
        <f t="shared" si="670"/>
        <v>9306</v>
      </c>
      <c r="CX257">
        <f t="shared" si="671"/>
        <v>6204</v>
      </c>
      <c r="CY257">
        <f>_xlfn.XLOOKUP(B257,'[10]december-2026'!$A:$A,'[10]december-2026'!$D:$D,0,0)</f>
        <v>400</v>
      </c>
      <c r="CZ257">
        <f>_xlfn.XLOOKUP(B257,'[10]december-2026'!$A:$A,'[10]december-2026'!$G:$G,0,0)</f>
        <v>500</v>
      </c>
      <c r="DA257">
        <f t="shared" si="672"/>
        <v>68110</v>
      </c>
      <c r="DB257">
        <f>_xlfn.XLOOKUP(B257,'[10]december-2026'!$A:$A,'[10]december-2026'!$H:$H,0,0)</f>
        <v>5000</v>
      </c>
      <c r="DC257">
        <f>_xlfn.XLOOKUP(B257,'[10]december-2026'!$A:$A,'[10]december-2026'!$I:$I,0,0)</f>
        <v>0</v>
      </c>
      <c r="DD257">
        <f t="shared" si="673"/>
        <v>200</v>
      </c>
      <c r="DE257">
        <f t="shared" si="674"/>
        <v>62910</v>
      </c>
      <c r="DF257">
        <f xml:space="preserve"> _xlfn.XLOOKUP(B257,
'[11]january-2027'!$A:$A,
'[11]january-2027'!$C:$C,
0,0)</f>
        <v>51700</v>
      </c>
      <c r="DG257">
        <f t="shared" si="675"/>
        <v>9306</v>
      </c>
      <c r="DH257">
        <f t="shared" si="676"/>
        <v>6204</v>
      </c>
      <c r="DI257">
        <f xml:space="preserve"> _xlfn.XLOOKUP(B257,
'[11]january-2027'!$A:$A,
'[11]january-2027'!$D:$D,
0,0)</f>
        <v>400</v>
      </c>
      <c r="DJ257">
        <f xml:space="preserve"> _xlfn.XLOOKUP(B257,
'[11]january-2027'!$A:$A,
'[11]january-2027'!$G:$G,
0,0)</f>
        <v>500</v>
      </c>
      <c r="DK257">
        <f t="shared" si="677"/>
        <v>68110</v>
      </c>
      <c r="DL257">
        <f xml:space="preserve"> _xlfn.XLOOKUP(B257,
'[11]january-2027'!$A:$A,
'[11]january-2027'!$H:$H,
0,0)</f>
        <v>5000</v>
      </c>
      <c r="DM257">
        <f xml:space="preserve"> _xlfn.XLOOKUP(B257,
'[11]january-2027'!$A:$A,
'[11]january-2027'!$I:$I,
0,0)</f>
        <v>0</v>
      </c>
      <c r="DN257">
        <f t="shared" si="678"/>
        <v>200</v>
      </c>
      <c r="DO257">
        <f t="shared" si="679"/>
        <v>62910</v>
      </c>
      <c r="DP257">
        <f xml:space="preserve"> _xlfn.XLOOKUP(B257,
'[12]february-2027'!$A:$A,
'[12]february-2027'!$C:$C,
0,0)</f>
        <v>51700</v>
      </c>
      <c r="DQ257">
        <f t="shared" si="680"/>
        <v>9306</v>
      </c>
      <c r="DR257">
        <f t="shared" si="681"/>
        <v>6204</v>
      </c>
      <c r="DS257">
        <f xml:space="preserve"> _xlfn.XLOOKUP(B257,
'[12]february-2027'!$A:$A,
'[12]february-2027'!$D:$D,
0,0)</f>
        <v>400</v>
      </c>
      <c r="DT257">
        <f xml:space="preserve"> _xlfn.XLOOKUP(B257,
'[12]february-2027'!$A:$A,
'[12]february-2027'!$G:$G,
0,0)</f>
        <v>500</v>
      </c>
      <c r="DU257">
        <f t="shared" si="682"/>
        <v>68110</v>
      </c>
      <c r="DV257">
        <f xml:space="preserve"> _xlfn.XLOOKUP(B257,
'[12]february-2027'!$A:$A,
'[12]february-2027'!$H:$H,
0,0)</f>
        <v>5000</v>
      </c>
      <c r="DW257">
        <f xml:space="preserve"> _xlfn.XLOOKUP(B257,
'[12]february-2027'!$A:$A,
'[12]february-2027'!$I:$I,
0,0)</f>
        <v>0</v>
      </c>
      <c r="DX257">
        <f t="shared" si="683"/>
        <v>200</v>
      </c>
      <c r="DY257">
        <f t="shared" si="684"/>
        <v>62910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85"/>
        <v>0</v>
      </c>
      <c r="EM257">
        <f t="shared" si="686"/>
        <v>816575</v>
      </c>
      <c r="EN257">
        <f t="shared" si="687"/>
        <v>2400</v>
      </c>
      <c r="EO257">
        <f t="shared" si="688"/>
        <v>50000</v>
      </c>
      <c r="EP257">
        <v>0</v>
      </c>
      <c r="EQ257">
        <f t="shared" si="690"/>
        <v>764175</v>
      </c>
      <c r="ER257">
        <f t="shared" si="691"/>
        <v>60000</v>
      </c>
      <c r="ES257">
        <f t="shared" si="692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693"/>
        <v>60000</v>
      </c>
      <c r="FE257">
        <f t="shared" si="694"/>
        <v>60000</v>
      </c>
      <c r="FF257">
        <f t="shared" si="695"/>
        <v>704175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>SUM(FG257:FM257)+(IF(F257="YES",50000,0))</f>
        <v>0</v>
      </c>
      <c r="FO257">
        <f t="shared" si="696"/>
        <v>704175</v>
      </c>
      <c r="FP257">
        <f t="shared" si="697"/>
        <v>12500</v>
      </c>
      <c r="FQ257">
        <f t="shared" si="698"/>
        <v>40835</v>
      </c>
      <c r="FR257">
        <f t="shared" si="699"/>
        <v>53335</v>
      </c>
      <c r="FS257">
        <f t="shared" si="700"/>
        <v>53335</v>
      </c>
      <c r="FT257">
        <f t="shared" si="701"/>
        <v>2133.4</v>
      </c>
      <c r="FU257">
        <f t="shared" si="702"/>
        <v>55468</v>
      </c>
      <c r="FV257">
        <v>0</v>
      </c>
      <c r="FW257">
        <f t="shared" si="703"/>
        <v>55468</v>
      </c>
      <c r="FX257" t="b">
        <f t="shared" si="704"/>
        <v>1</v>
      </c>
      <c r="FY257">
        <f t="shared" ca="1" si="705"/>
        <v>585</v>
      </c>
      <c r="FZ257">
        <f t="shared" ca="1" si="706"/>
        <v>817160</v>
      </c>
      <c r="GA257">
        <f t="shared" si="707"/>
        <v>75000</v>
      </c>
      <c r="GB257">
        <f t="shared" ca="1" si="708"/>
        <v>742160</v>
      </c>
      <c r="GC257">
        <f t="shared" ca="1" si="709"/>
        <v>0</v>
      </c>
      <c r="GD257">
        <f t="shared" ca="1" si="710"/>
        <v>0</v>
      </c>
      <c r="GE257">
        <f t="shared" ca="1" si="711"/>
        <v>0</v>
      </c>
      <c r="GF257">
        <f t="shared" ca="1" si="712"/>
        <v>0</v>
      </c>
      <c r="GG257">
        <f t="shared" ca="1" si="713"/>
        <v>0</v>
      </c>
      <c r="GH257">
        <f t="shared" ca="1" si="714"/>
        <v>0</v>
      </c>
      <c r="GI257">
        <f ca="1">IF(GB257&gt;1200000,GB257-1200000-IF(F257="YES",50000,0)-GG257,0)</f>
        <v>0</v>
      </c>
      <c r="GJ257">
        <f t="shared" ca="1" si="715"/>
        <v>0</v>
      </c>
      <c r="GK257">
        <f t="shared" ca="1" si="716"/>
        <v>0</v>
      </c>
      <c r="GL257">
        <f t="shared" ca="1" si="717"/>
        <v>0</v>
      </c>
      <c r="GM257">
        <f t="shared" ca="1" si="718"/>
        <v>342160</v>
      </c>
      <c r="GN257">
        <f t="shared" ca="1" si="719"/>
        <v>17108</v>
      </c>
      <c r="GO257">
        <f t="shared" ca="1" si="720"/>
        <v>17108</v>
      </c>
      <c r="GP257">
        <f t="shared" ca="1" si="721"/>
        <v>0</v>
      </c>
      <c r="GQ257">
        <f t="shared" ca="1" si="722"/>
        <v>0</v>
      </c>
      <c r="GR257">
        <f t="shared" ca="1" si="723"/>
        <v>17108</v>
      </c>
      <c r="GS257">
        <f t="shared" ca="1" si="724"/>
        <v>0</v>
      </c>
      <c r="GT257" t="b">
        <f t="shared" ca="1" si="725"/>
        <v>0</v>
      </c>
      <c r="GU257">
        <f t="shared" ca="1" si="726"/>
        <v>0</v>
      </c>
      <c r="GV257">
        <f t="shared" ca="1" si="727"/>
        <v>17108</v>
      </c>
      <c r="GW257">
        <f t="shared" ca="1" si="728"/>
        <v>0</v>
      </c>
      <c r="GX257">
        <f t="shared" ca="1" si="729"/>
        <v>0</v>
      </c>
      <c r="GY257">
        <f t="shared" ca="1" si="730"/>
        <v>0</v>
      </c>
    </row>
    <row r="258" spans="1:207" x14ac:dyDescent="0.25">
      <c r="A258">
        <f>_xlfn.AGGREGATE(3,5,$B$2:B258)</f>
        <v>257</v>
      </c>
      <c r="B258" t="s">
        <v>606</v>
      </c>
      <c r="C258" t="s">
        <v>607</v>
      </c>
      <c r="D258" t="s">
        <v>813</v>
      </c>
      <c r="E258" t="s">
        <v>830</v>
      </c>
      <c r="F258" t="s">
        <v>952</v>
      </c>
      <c r="G258" t="s">
        <v>877</v>
      </c>
      <c r="H258">
        <f t="shared" si="625"/>
        <v>6800</v>
      </c>
      <c r="I258">
        <f>_xlfn.XLOOKUP(B258,'[1]march-2026'!$A:$A,'[1]march-2026'!$C:$C,0,0)</f>
        <v>35500</v>
      </c>
      <c r="J258">
        <f t="shared" si="689"/>
        <v>6390</v>
      </c>
      <c r="K258">
        <f t="shared" si="626"/>
        <v>4260</v>
      </c>
      <c r="L258">
        <f>_xlfn.XLOOKUP(B258,'[1]march-2026'!$A:$A,'[1]march-2026'!$D:$D,0,0)</f>
        <v>0</v>
      </c>
      <c r="M258">
        <f>_xlfn.XLOOKUP(B258,'[1]march-2026'!$A:$A,'[1]march-2026'!$G:$G,0,0)</f>
        <v>500</v>
      </c>
      <c r="N258">
        <f t="shared" si="627"/>
        <v>46650</v>
      </c>
      <c r="O258">
        <f>_xlfn.XLOOKUP(B258,'[1]march-2026'!$A:$A,'[1]march-2026'!$H:$H,0,0)</f>
        <v>6000</v>
      </c>
      <c r="P258">
        <f>_xlfn.XLOOKUP(B258,'[1]march-2026'!$A:$A,'[1]march-2026'!$I:$I,0,0)</f>
        <v>0</v>
      </c>
      <c r="Q258">
        <f t="shared" si="628"/>
        <v>200</v>
      </c>
      <c r="R258">
        <f t="shared" si="629"/>
        <v>40450</v>
      </c>
      <c r="S258">
        <f>_xlfn.XLOOKUP(B258,'[2]april-2026'!$A:$A,'[2]april-2026'!$C:$C,0,0)</f>
        <v>35500</v>
      </c>
      <c r="T258">
        <f t="shared" si="630"/>
        <v>6390</v>
      </c>
      <c r="U258">
        <f t="shared" si="631"/>
        <v>4260</v>
      </c>
      <c r="V258">
        <f>_xlfn.XLOOKUP(B258,'[2]april-2026'!$A:$A,'[2]april-2026'!$D:$D,0,0)</f>
        <v>0</v>
      </c>
      <c r="W258">
        <f>_xlfn.XLOOKUP(B258,'[2]april-2026'!$A:$A,'[2]april-2026'!$G:$G,0,0)</f>
        <v>500</v>
      </c>
      <c r="X258">
        <f t="shared" si="632"/>
        <v>46650</v>
      </c>
      <c r="Y258">
        <f>_xlfn.XLOOKUP(B258,'[2]april-2026'!$A:$A,'[2]april-2026'!$H:$H,0,0)</f>
        <v>6000</v>
      </c>
      <c r="Z258">
        <f>_xlfn.XLOOKUP(B258,'[2]april-2026'!$A:$A,'[2]april-2026'!$I:$I,0,0)</f>
        <v>0</v>
      </c>
      <c r="AA258">
        <f t="shared" si="633"/>
        <v>200</v>
      </c>
      <c r="AB258">
        <f t="shared" si="634"/>
        <v>40450</v>
      </c>
      <c r="AC258">
        <f>_xlfn.XLOOKUP(B258,'[3]may-2026'!$A:$A,'[3]may-2026'!$C:$C,0,0)</f>
        <v>35500</v>
      </c>
      <c r="AD258">
        <f t="shared" si="635"/>
        <v>6390</v>
      </c>
      <c r="AE258">
        <f t="shared" si="636"/>
        <v>4260</v>
      </c>
      <c r="AF258">
        <f>_xlfn.XLOOKUP(B258,'[3]may-2026'!$A:$A,'[3]may-2026'!$D:$D,0,0)</f>
        <v>0</v>
      </c>
      <c r="AG258">
        <f>_xlfn.XLOOKUP(B258,'[3]may-2026'!$A:$A,'[3]may-2026'!$G:$G,0,0)</f>
        <v>500</v>
      </c>
      <c r="AH258">
        <f t="shared" si="637"/>
        <v>46650</v>
      </c>
      <c r="AI258">
        <f>_xlfn.XLOOKUP(B258,'[3]may-2026'!$A:$A,'[3]may-2026'!$H:$H,0,0)</f>
        <v>6000</v>
      </c>
      <c r="AJ258">
        <f>_xlfn.XLOOKUP(B258,'[3]may-2026'!$A:$A,'[3]may-2026'!$I:$I,0,0)</f>
        <v>0</v>
      </c>
      <c r="AK258">
        <f t="shared" si="638"/>
        <v>200</v>
      </c>
      <c r="AL258">
        <f t="shared" si="639"/>
        <v>40450</v>
      </c>
      <c r="AM258">
        <f>_xlfn.XLOOKUP(B258,'[4]june-2026'!$A:$A,'[4]june-2026'!$C:$C,0,0)</f>
        <v>35500</v>
      </c>
      <c r="AN258">
        <f t="shared" si="640"/>
        <v>6390</v>
      </c>
      <c r="AO258">
        <f t="shared" si="641"/>
        <v>4260</v>
      </c>
      <c r="AP258">
        <f>_xlfn.XLOOKUP(B258,'[4]june-2026'!$A:$A,'[4]june-2026'!$D:$D,0,0)</f>
        <v>0</v>
      </c>
      <c r="AQ258">
        <f>_xlfn.XLOOKUP(B258,'[4]june-2026'!$A:$A,'[4]june-2026'!$G:$G,0,0)</f>
        <v>500</v>
      </c>
      <c r="AR258">
        <f t="shared" si="642"/>
        <v>46650</v>
      </c>
      <c r="AS258">
        <f>_xlfn.XLOOKUP(B258,'[4]june-2026'!$A:$A,'[4]june-2026'!$H:$H,0,0)</f>
        <v>6000</v>
      </c>
      <c r="AT258">
        <f>_xlfn.XLOOKUP(B258,'[4]june-2026'!$A:$A,'[4]june-2026'!$I:$I,0,0)</f>
        <v>0</v>
      </c>
      <c r="AU258">
        <f t="shared" si="643"/>
        <v>200</v>
      </c>
      <c r="AV258">
        <f t="shared" si="644"/>
        <v>40450</v>
      </c>
      <c r="AW258">
        <f>_xlfn.XLOOKUP(B258,'[5]july-2026'!$A:$A,'[5]july-2026'!$C:$C,0,0)</f>
        <v>36600</v>
      </c>
      <c r="AX258">
        <f t="shared" si="645"/>
        <v>6588</v>
      </c>
      <c r="AY258">
        <v>256</v>
      </c>
      <c r="AZ258">
        <f t="shared" si="646"/>
        <v>4392</v>
      </c>
      <c r="BA258">
        <f>_xlfn.XLOOKUP(B258,'[5]july-2026'!$A:$A,'[5]july-2026'!$D:$D,0,0)</f>
        <v>0</v>
      </c>
      <c r="BB258">
        <f>_xlfn.XLOOKUP(B258,'[5]july-2026'!$A:$A,'[5]july-2026'!$G:$G,0,0)</f>
        <v>500</v>
      </c>
      <c r="BC258">
        <f t="shared" si="647"/>
        <v>48336</v>
      </c>
      <c r="BD258">
        <f>_xlfn.XLOOKUP(B258,'[5]july-2026'!$A:$A,'[5]july-2026'!$H:$H,0,0)</f>
        <v>6000</v>
      </c>
      <c r="BE258">
        <f>_xlfn.XLOOKUP(B258,'[5]july-2026'!$A:$A,'[5]july-2026'!$I:$I,0,0)</f>
        <v>0</v>
      </c>
      <c r="BF258">
        <f t="shared" si="648"/>
        <v>200</v>
      </c>
      <c r="BG258">
        <f t="shared" si="649"/>
        <v>42136</v>
      </c>
      <c r="BH258">
        <f>_xlfn.XLOOKUP(B258,'[6]august-2026'!$A:$A,'[6]august-2026'!$C:$C,0,0)</f>
        <v>36600</v>
      </c>
      <c r="BI258">
        <f t="shared" si="650"/>
        <v>6588</v>
      </c>
      <c r="BJ258">
        <f t="shared" si="651"/>
        <v>4392</v>
      </c>
      <c r="BK258">
        <f>_xlfn.XLOOKUP(B258,'[6]august-2026'!$A:$A,'[6]august-2026'!$D:$D,0,0)</f>
        <v>0</v>
      </c>
      <c r="BL258">
        <f>_xlfn.XLOOKUP(B258,'[6]august-2026'!$A:$A,'[6]august-2026'!$G:$G,0,0)</f>
        <v>500</v>
      </c>
      <c r="BM258">
        <f t="shared" si="652"/>
        <v>48080</v>
      </c>
      <c r="BN258">
        <f>_xlfn.XLOOKUP(B258,'[6]august-2026'!$A:$A,'[6]august-2026'!$H:$H,0,0)</f>
        <v>6000</v>
      </c>
      <c r="BO258">
        <f>_xlfn.XLOOKUP(B258,'[6]august-2026'!$A:$A,'[6]august-2026'!$I:$I,0,0)</f>
        <v>0</v>
      </c>
      <c r="BP258">
        <f t="shared" si="653"/>
        <v>200</v>
      </c>
      <c r="BQ258">
        <f t="shared" si="654"/>
        <v>41880</v>
      </c>
      <c r="BR258">
        <f>_xlfn.XLOOKUP(B258,'[7]september-2026'!$A:$A,'[7]september-2026'!$C:$C,0,0)</f>
        <v>36600</v>
      </c>
      <c r="BS258">
        <f t="shared" si="655"/>
        <v>6588</v>
      </c>
      <c r="BT258">
        <f t="shared" si="656"/>
        <v>4392</v>
      </c>
      <c r="BU258">
        <f>_xlfn.XLOOKUP(B258,'[7]september-2026'!$A:$A,'[7]september-2026'!$D:$D,0,0)</f>
        <v>0</v>
      </c>
      <c r="BV258">
        <f>_xlfn.XLOOKUP(B258,'[7]september-2026'!$A:$A,'[7]september-2026'!$G:$G,0,0)</f>
        <v>500</v>
      </c>
      <c r="BW258">
        <f t="shared" si="657"/>
        <v>48080</v>
      </c>
      <c r="BX258">
        <f>_xlfn.XLOOKUP(B258,'[7]september-2026'!$A:$A,'[7]september-2026'!$H:$H,0,0)</f>
        <v>6000</v>
      </c>
      <c r="BY258">
        <f>_xlfn.XLOOKUP(B258,'[7]september-2026'!$A:$A,'[7]september-2026'!$I:$I,0,0)</f>
        <v>0</v>
      </c>
      <c r="BZ258">
        <f t="shared" si="658"/>
        <v>200</v>
      </c>
      <c r="CA258">
        <f t="shared" si="659"/>
        <v>41880</v>
      </c>
      <c r="CB258">
        <f>_xlfn.XLOOKUP(B258,'[8]october-2026'!$A:$A,'[8]october-2026'!$C:$C,0,0)</f>
        <v>36600</v>
      </c>
      <c r="CC258">
        <f t="shared" si="660"/>
        <v>6588</v>
      </c>
      <c r="CD258">
        <f t="shared" si="661"/>
        <v>4392</v>
      </c>
      <c r="CE258">
        <f>_xlfn.XLOOKUP(B258,'[8]october-2026'!$A:$A,'[8]october-2026'!$D:$D,0,0)</f>
        <v>0</v>
      </c>
      <c r="CF258">
        <f>_xlfn.XLOOKUP(B258,'[8]october-2026'!$A:$A,'[8]october-2026'!$G:$G,0,0)</f>
        <v>500</v>
      </c>
      <c r="CG258">
        <f t="shared" si="662"/>
        <v>48080</v>
      </c>
      <c r="CH258">
        <f>_xlfn.XLOOKUP(B258,'[8]october-2026'!$A:$A,'[8]october-2026'!$H:$H,0,0)</f>
        <v>6000</v>
      </c>
      <c r="CI258">
        <f>_xlfn.XLOOKUP(B258,'[8]october-2026'!$A:$A,'[8]october-2026'!$I:$I,0,0)</f>
        <v>0</v>
      </c>
      <c r="CJ258">
        <f t="shared" si="663"/>
        <v>200</v>
      </c>
      <c r="CK258">
        <f t="shared" si="664"/>
        <v>41880</v>
      </c>
      <c r="CL258">
        <f>_xlfn.XLOOKUP(B258,'[9]november-2026'!$A:$A,'[9]november-2026'!$C:$C,0,0)</f>
        <v>36600</v>
      </c>
      <c r="CM258">
        <f t="shared" si="665"/>
        <v>6588</v>
      </c>
      <c r="CN258">
        <f t="shared" si="666"/>
        <v>4392</v>
      </c>
      <c r="CO258">
        <f>_xlfn.XLOOKUP(B258,'[9]november-2026'!$A:$A,'[9]november-2026'!$D:$D,0,0)</f>
        <v>0</v>
      </c>
      <c r="CP258">
        <f>_xlfn.XLOOKUP(B258,'[9]november-2026'!$A:$A,'[9]november-2026'!$G:$G,0,0)</f>
        <v>500</v>
      </c>
      <c r="CQ258">
        <f t="shared" si="667"/>
        <v>48080</v>
      </c>
      <c r="CR258">
        <f>_xlfn.XLOOKUP(B258,'[9]november-2026'!$A:$A,'[9]november-2026'!$H:$H,0,0)</f>
        <v>6000</v>
      </c>
      <c r="CS258">
        <f>_xlfn.XLOOKUP(B258,'[9]november-2026'!$A:$A,'[9]november-2026'!$I:$I,0,0)</f>
        <v>0</v>
      </c>
      <c r="CT258">
        <f t="shared" si="668"/>
        <v>200</v>
      </c>
      <c r="CU258">
        <f t="shared" si="669"/>
        <v>41880</v>
      </c>
      <c r="CV258">
        <f>_xlfn.XLOOKUP(B258,'[10]december-2026'!$A:$A,'[10]december-2026'!$C:$C,0,0)</f>
        <v>36600</v>
      </c>
      <c r="CW258">
        <f t="shared" si="670"/>
        <v>6588</v>
      </c>
      <c r="CX258">
        <f t="shared" si="671"/>
        <v>4392</v>
      </c>
      <c r="CY258">
        <f>_xlfn.XLOOKUP(B258,'[10]december-2026'!$A:$A,'[10]december-2026'!$D:$D,0,0)</f>
        <v>0</v>
      </c>
      <c r="CZ258">
        <f>_xlfn.XLOOKUP(B258,'[10]december-2026'!$A:$A,'[10]december-2026'!$G:$G,0,0)</f>
        <v>500</v>
      </c>
      <c r="DA258">
        <f t="shared" si="672"/>
        <v>48080</v>
      </c>
      <c r="DB258">
        <f>_xlfn.XLOOKUP(B258,'[10]december-2026'!$A:$A,'[10]december-2026'!$H:$H,0,0)</f>
        <v>6000</v>
      </c>
      <c r="DC258">
        <f>_xlfn.XLOOKUP(B258,'[10]december-2026'!$A:$A,'[10]december-2026'!$I:$I,0,0)</f>
        <v>0</v>
      </c>
      <c r="DD258">
        <f t="shared" si="673"/>
        <v>200</v>
      </c>
      <c r="DE258">
        <f t="shared" si="674"/>
        <v>41880</v>
      </c>
      <c r="DF258">
        <f xml:space="preserve"> _xlfn.XLOOKUP(B258,
'[11]january-2027'!$A:$A,
'[11]january-2027'!$C:$C,
0,0)</f>
        <v>36600</v>
      </c>
      <c r="DG258">
        <f t="shared" si="675"/>
        <v>6588</v>
      </c>
      <c r="DH258">
        <f t="shared" si="676"/>
        <v>4392</v>
      </c>
      <c r="DI258">
        <f xml:space="preserve"> _xlfn.XLOOKUP(B258,
'[11]january-2027'!$A:$A,
'[11]january-2027'!$D:$D,
0,0)</f>
        <v>0</v>
      </c>
      <c r="DJ258">
        <f xml:space="preserve"> _xlfn.XLOOKUP(B258,
'[11]january-2027'!$A:$A,
'[11]january-2027'!$G:$G,
0,0)</f>
        <v>500</v>
      </c>
      <c r="DK258">
        <f t="shared" si="677"/>
        <v>48080</v>
      </c>
      <c r="DL258">
        <f xml:space="preserve"> _xlfn.XLOOKUP(B258,
'[11]january-2027'!$A:$A,
'[11]january-2027'!$H:$H,
0,0)</f>
        <v>6000</v>
      </c>
      <c r="DM258">
        <f xml:space="preserve"> _xlfn.XLOOKUP(B258,
'[11]january-2027'!$A:$A,
'[11]january-2027'!$I:$I,
0,0)</f>
        <v>0</v>
      </c>
      <c r="DN258">
        <f t="shared" si="678"/>
        <v>200</v>
      </c>
      <c r="DO258">
        <f t="shared" si="679"/>
        <v>41880</v>
      </c>
      <c r="DP258">
        <f xml:space="preserve"> _xlfn.XLOOKUP(B258,
'[12]february-2027'!$A:$A,
'[12]february-2027'!$C:$C,
0,0)</f>
        <v>36600</v>
      </c>
      <c r="DQ258">
        <f t="shared" si="680"/>
        <v>6588</v>
      </c>
      <c r="DR258">
        <f t="shared" si="681"/>
        <v>4392</v>
      </c>
      <c r="DS258">
        <f xml:space="preserve"> _xlfn.XLOOKUP(B258,
'[12]february-2027'!$A:$A,
'[12]february-2027'!$D:$D,
0,0)</f>
        <v>0</v>
      </c>
      <c r="DT258">
        <f xml:space="preserve"> _xlfn.XLOOKUP(B258,
'[12]february-2027'!$A:$A,
'[12]february-2027'!$G:$G,
0,0)</f>
        <v>500</v>
      </c>
      <c r="DU258">
        <f t="shared" si="682"/>
        <v>48080</v>
      </c>
      <c r="DV258">
        <f xml:space="preserve"> _xlfn.XLOOKUP(B258,
'[12]february-2027'!$A:$A,
'[12]february-2027'!$H:$H,
0,0)</f>
        <v>6000</v>
      </c>
      <c r="DW258">
        <f xml:space="preserve"> _xlfn.XLOOKUP(B258,
'[12]february-2027'!$A:$A,
'[12]february-2027'!$I:$I,
0,0)</f>
        <v>0</v>
      </c>
      <c r="DX258">
        <f t="shared" si="683"/>
        <v>200</v>
      </c>
      <c r="DY258">
        <f t="shared" si="684"/>
        <v>41880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85"/>
        <v>0</v>
      </c>
      <c r="EM258">
        <f t="shared" si="686"/>
        <v>578296</v>
      </c>
      <c r="EN258">
        <f t="shared" si="687"/>
        <v>2400</v>
      </c>
      <c r="EO258">
        <f t="shared" si="688"/>
        <v>50000</v>
      </c>
      <c r="EP258">
        <v>0</v>
      </c>
      <c r="EQ258">
        <f t="shared" si="690"/>
        <v>525896</v>
      </c>
      <c r="ER258">
        <f t="shared" si="691"/>
        <v>72000</v>
      </c>
      <c r="ES258">
        <f t="shared" si="692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693"/>
        <v>72000</v>
      </c>
      <c r="FE258">
        <f t="shared" si="694"/>
        <v>72000</v>
      </c>
      <c r="FF258">
        <f t="shared" si="695"/>
        <v>453896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>SUM(FG258:FM258)+(IF(F258="YES",50000,0))</f>
        <v>0</v>
      </c>
      <c r="FO258">
        <f t="shared" si="696"/>
        <v>453896</v>
      </c>
      <c r="FP258">
        <f t="shared" si="697"/>
        <v>10195</v>
      </c>
      <c r="FQ258">
        <f t="shared" si="698"/>
        <v>0</v>
      </c>
      <c r="FR258">
        <f t="shared" si="699"/>
        <v>10195</v>
      </c>
      <c r="FS258">
        <f t="shared" si="700"/>
        <v>0</v>
      </c>
      <c r="FT258">
        <f t="shared" si="701"/>
        <v>0</v>
      </c>
      <c r="FU258">
        <f t="shared" si="702"/>
        <v>0</v>
      </c>
      <c r="FV258">
        <v>0</v>
      </c>
      <c r="FW258">
        <f t="shared" si="703"/>
        <v>0</v>
      </c>
      <c r="FX258" t="b">
        <f t="shared" si="704"/>
        <v>1</v>
      </c>
      <c r="FY258">
        <f t="shared" ca="1" si="705"/>
        <v>550</v>
      </c>
      <c r="FZ258">
        <f t="shared" ca="1" si="706"/>
        <v>578846</v>
      </c>
      <c r="GA258">
        <f t="shared" si="707"/>
        <v>75000</v>
      </c>
      <c r="GB258">
        <f t="shared" ca="1" si="708"/>
        <v>503846</v>
      </c>
      <c r="GC258">
        <f t="shared" ca="1" si="709"/>
        <v>0</v>
      </c>
      <c r="GD258">
        <f t="shared" ca="1" si="710"/>
        <v>0</v>
      </c>
      <c r="GE258">
        <f t="shared" ca="1" si="711"/>
        <v>0</v>
      </c>
      <c r="GF258">
        <f t="shared" ca="1" si="712"/>
        <v>0</v>
      </c>
      <c r="GG258">
        <f t="shared" ca="1" si="713"/>
        <v>0</v>
      </c>
      <c r="GH258">
        <f t="shared" ca="1" si="714"/>
        <v>0</v>
      </c>
      <c r="GI258">
        <f ca="1">IF(GB258&gt;1200000,GB258-1200000-IF(F258="YES",50000,0)-GG258,0)</f>
        <v>0</v>
      </c>
      <c r="GJ258">
        <f t="shared" ca="1" si="715"/>
        <v>0</v>
      </c>
      <c r="GK258">
        <f t="shared" ca="1" si="716"/>
        <v>0</v>
      </c>
      <c r="GL258">
        <f t="shared" ca="1" si="717"/>
        <v>0</v>
      </c>
      <c r="GM258">
        <f t="shared" ca="1" si="718"/>
        <v>103846</v>
      </c>
      <c r="GN258">
        <f t="shared" ca="1" si="719"/>
        <v>5192.3</v>
      </c>
      <c r="GO258">
        <f t="shared" ca="1" si="720"/>
        <v>5192</v>
      </c>
      <c r="GP258">
        <f t="shared" ca="1" si="721"/>
        <v>0</v>
      </c>
      <c r="GQ258">
        <f t="shared" ca="1" si="722"/>
        <v>0</v>
      </c>
      <c r="GR258">
        <f t="shared" ca="1" si="723"/>
        <v>5192</v>
      </c>
      <c r="GS258">
        <f t="shared" ca="1" si="724"/>
        <v>0</v>
      </c>
      <c r="GT258" t="b">
        <f t="shared" ca="1" si="725"/>
        <v>0</v>
      </c>
      <c r="GU258">
        <f t="shared" ca="1" si="726"/>
        <v>0</v>
      </c>
      <c r="GV258">
        <f t="shared" ca="1" si="727"/>
        <v>5192</v>
      </c>
      <c r="GW258">
        <f t="shared" ca="1" si="728"/>
        <v>0</v>
      </c>
      <c r="GX258">
        <f t="shared" ca="1" si="729"/>
        <v>0</v>
      </c>
      <c r="GY258">
        <f t="shared" ca="1" si="730"/>
        <v>0</v>
      </c>
    </row>
    <row r="259" spans="1:207" x14ac:dyDescent="0.25">
      <c r="A259">
        <f>_xlfn.AGGREGATE(3,5,$B$2:B259)</f>
        <v>258</v>
      </c>
      <c r="B259" t="s">
        <v>608</v>
      </c>
      <c r="C259" t="s">
        <v>609</v>
      </c>
      <c r="D259" t="s">
        <v>813</v>
      </c>
      <c r="E259" t="s">
        <v>830</v>
      </c>
      <c r="F259" t="s">
        <v>952</v>
      </c>
      <c r="G259" t="s">
        <v>925</v>
      </c>
      <c r="H259">
        <f t="shared" ref="H259:H311" si="813">IF(_xlfn.DAYS("31-03-2026",G259)&gt;=180,6800,0)</f>
        <v>6800</v>
      </c>
      <c r="I259">
        <f>_xlfn.XLOOKUP(B259,'[1]march-2026'!$A:$A,'[1]march-2026'!$C:$C,0,0)</f>
        <v>35500</v>
      </c>
      <c r="J259">
        <f t="shared" si="689"/>
        <v>6390</v>
      </c>
      <c r="K259">
        <f t="shared" ref="K259:K311" si="814">I259*0.12</f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ref="N259:N311" si="815">IF(I259&gt;0,SUM(I259:M259),0)</f>
        <v>46650</v>
      </c>
      <c r="O259">
        <f>_xlfn.XLOOKUP(B259,'[1]march-2026'!$A:$A,'[1]march-2026'!$H:$H,0,0)</f>
        <v>3000</v>
      </c>
      <c r="P259">
        <f>_xlfn.XLOOKUP(B259,'[1]march-2026'!$A:$A,'[1]march-2026'!$I:$I,0,0)</f>
        <v>0</v>
      </c>
      <c r="Q259">
        <f t="shared" ref="Q259:Q311" si="816">IF($F$2="YES",0,IF(N259&gt;40000,200,IF(N259&gt;25000,150,IF(N259&gt;15000,130,IF(N259&gt;10000,110,0)))))</f>
        <v>200</v>
      </c>
      <c r="R259">
        <f t="shared" ref="R259:R311" si="817">N259-O259-P259-Q259</f>
        <v>43450</v>
      </c>
      <c r="S259">
        <f>_xlfn.XLOOKUP(B259,'[2]april-2026'!$A:$A,'[2]april-2026'!$C:$C,0,0)</f>
        <v>35500</v>
      </c>
      <c r="T259">
        <f t="shared" ref="T259:T311" si="818">S259*0.18</f>
        <v>6390</v>
      </c>
      <c r="U259">
        <f t="shared" ref="U259:U311" si="819">S259*0.12</f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ref="X259:X311" si="820">IF(S259&gt;0,SUM(S259:W259),0)</f>
        <v>46650</v>
      </c>
      <c r="Y259">
        <f>_xlfn.XLOOKUP(B259,'[2]april-2026'!$A:$A,'[2]april-2026'!$H:$H,0,0)</f>
        <v>3000</v>
      </c>
      <c r="Z259">
        <f>_xlfn.XLOOKUP(B259,'[2]april-2026'!$A:$A,'[2]april-2026'!$I:$I,0,0)</f>
        <v>0</v>
      </c>
      <c r="AA259">
        <f t="shared" ref="AA259:AA311" si="821">IF($F259="YES",0,IF(X259&gt;40000,200,IF(X259&gt;25000,150,IF(X259&gt;15000,130,IF(X259&gt;10000,110,0)))))</f>
        <v>200</v>
      </c>
      <c r="AB259">
        <f t="shared" ref="AB259:AB311" si="822">X259-Y259-Z259-AA259</f>
        <v>43450</v>
      </c>
      <c r="AC259">
        <f>_xlfn.XLOOKUP(B259,'[3]may-2026'!$A:$A,'[3]may-2026'!$C:$C,0,0)</f>
        <v>35500</v>
      </c>
      <c r="AD259">
        <f t="shared" ref="AD259:AD311" si="823">AC259*0.18</f>
        <v>6390</v>
      </c>
      <c r="AE259">
        <f t="shared" ref="AE259:AE311" si="824">AC259*0.12</f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ref="AH259:AH311" si="825">IF(AC259&gt;0,SUM(AC259:AG259),0)</f>
        <v>46650</v>
      </c>
      <c r="AI259">
        <f>_xlfn.XLOOKUP(B259,'[3]may-2026'!$A:$A,'[3]may-2026'!$H:$H,0,0)</f>
        <v>3000</v>
      </c>
      <c r="AJ259">
        <f>_xlfn.XLOOKUP(B259,'[3]may-2026'!$A:$A,'[3]may-2026'!$I:$I,0,0)</f>
        <v>0</v>
      </c>
      <c r="AK259">
        <f t="shared" ref="AK259:AK311" si="826">IF($F259="YES",0,IF(AH259&gt;40000,200,IF(AH259&gt;25000,150,IF(AH259&gt;15000,130,IF(AH259&gt;10000,110,0)))))</f>
        <v>200</v>
      </c>
      <c r="AL259">
        <f t="shared" ref="AL259:AL311" si="827">AH259-AI259-AJ259-AK259</f>
        <v>43450</v>
      </c>
      <c r="AM259">
        <f>_xlfn.XLOOKUP(B259,'[4]june-2026'!$A:$A,'[4]june-2026'!$C:$C,0,0)</f>
        <v>35500</v>
      </c>
      <c r="AN259">
        <f t="shared" ref="AN259:AN311" si="828">AM259*0.18</f>
        <v>6390</v>
      </c>
      <c r="AO259">
        <f t="shared" ref="AO259:AO311" si="829">AM259*0.12</f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ref="AR259:AR311" si="830">IF(AM259&gt;0,SUM(AM259:AQ259),0)</f>
        <v>46650</v>
      </c>
      <c r="AS259">
        <f>_xlfn.XLOOKUP(B259,'[4]june-2026'!$A:$A,'[4]june-2026'!$H:$H,0,0)</f>
        <v>3000</v>
      </c>
      <c r="AT259">
        <f>_xlfn.XLOOKUP(B259,'[4]june-2026'!$A:$A,'[4]june-2026'!$I:$I,0,0)</f>
        <v>0</v>
      </c>
      <c r="AU259">
        <f t="shared" ref="AU259:AU311" si="831">IF($F259="YES",0,IF(AR259&gt;40000,200,IF(AR259&gt;25000,150,IF(AR259&gt;15000,130,IF(AR259&gt;10000,110,0)))))</f>
        <v>200</v>
      </c>
      <c r="AV259">
        <f t="shared" ref="AV259:AV311" si="832">AR259-AS259-AT259-AU259</f>
        <v>43450</v>
      </c>
      <c r="AW259">
        <f>_xlfn.XLOOKUP(B259,'[5]july-2026'!$A:$A,'[5]july-2026'!$C:$C,0,0)</f>
        <v>36600</v>
      </c>
      <c r="AX259">
        <f t="shared" ref="AX259:AX311" si="833">AW259*0.18</f>
        <v>6588</v>
      </c>
      <c r="AY259">
        <v>257</v>
      </c>
      <c r="AZ259">
        <f t="shared" ref="AZ259:AZ311" si="834">AW259*0.12</f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ref="BC259:BC311" si="835">IF(AW259&gt;0,SUM(AW259:BB259),0)</f>
        <v>48337</v>
      </c>
      <c r="BD259">
        <f>_xlfn.XLOOKUP(B259,'[5]july-2026'!$A:$A,'[5]july-2026'!$H:$H,0,0)</f>
        <v>3000</v>
      </c>
      <c r="BE259">
        <f>_xlfn.XLOOKUP(B259,'[5]july-2026'!$A:$A,'[5]july-2026'!$I:$I,0,0)</f>
        <v>0</v>
      </c>
      <c r="BF259">
        <f t="shared" ref="BF259:BF311" si="836">IF($F259="YES",0,IF(BC259&gt;40000,200,IF(BC259&gt;25000,150,IF(BC259&gt;15000,130,IF(BC259&gt;10000,110,0)))))</f>
        <v>200</v>
      </c>
      <c r="BG259">
        <f t="shared" ref="BG259:BG311" si="837">BC259-BD259-BE259-BF259</f>
        <v>45137</v>
      </c>
      <c r="BH259">
        <f>_xlfn.XLOOKUP(B259,'[6]august-2026'!$A:$A,'[6]august-2026'!$C:$C,0,0)</f>
        <v>36600</v>
      </c>
      <c r="BI259">
        <f t="shared" ref="BI259:BI311" si="838">BH259*0.18</f>
        <v>6588</v>
      </c>
      <c r="BJ259">
        <f t="shared" ref="BJ259:BJ311" si="839">BH259*0.12</f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ref="BM259:BM311" si="840">IF(BH259&gt;0,SUM(BH259:BL259),0)</f>
        <v>48080</v>
      </c>
      <c r="BN259">
        <f>_xlfn.XLOOKUP(B259,'[6]august-2026'!$A:$A,'[6]august-2026'!$H:$H,0,0)</f>
        <v>3000</v>
      </c>
      <c r="BO259">
        <f>_xlfn.XLOOKUP(B259,'[6]august-2026'!$A:$A,'[6]august-2026'!$I:$I,0,0)</f>
        <v>0</v>
      </c>
      <c r="BP259">
        <f t="shared" ref="BP259:BP311" si="841">IF($F259="YES",0,IF(BM259&gt;40000,200,IF(BM259&gt;25000,150,IF(BM259&gt;15000,130,IF(BM259&gt;10000,110,0)))))</f>
        <v>200</v>
      </c>
      <c r="BQ259">
        <f t="shared" ref="BQ259:BQ311" si="842">BM259-BN259-BO259-BP259</f>
        <v>44880</v>
      </c>
      <c r="BR259">
        <f>_xlfn.XLOOKUP(B259,'[7]september-2026'!$A:$A,'[7]september-2026'!$C:$C,0,0)</f>
        <v>36600</v>
      </c>
      <c r="BS259">
        <f t="shared" ref="BS259:BS311" si="843">BR259*0.18</f>
        <v>6588</v>
      </c>
      <c r="BT259">
        <f t="shared" ref="BT259:BT311" si="844">BR259*0.12</f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ref="BW259:BW311" si="845">IF(BR259&gt;0,SUM(BR259:BV259),0)</f>
        <v>48080</v>
      </c>
      <c r="BX259">
        <f>_xlfn.XLOOKUP(B259,'[7]september-2026'!$A:$A,'[7]september-2026'!$H:$H,0,0)</f>
        <v>3000</v>
      </c>
      <c r="BY259">
        <f>_xlfn.XLOOKUP(B259,'[7]september-2026'!$A:$A,'[7]september-2026'!$I:$I,0,0)</f>
        <v>0</v>
      </c>
      <c r="BZ259">
        <f t="shared" ref="BZ259:BZ311" si="846">IF($F259="YES",0,IF(BW259&gt;40000,200,IF(BW259&gt;25000,150,IF(BW259&gt;15000,130,IF(BW259&gt;10000,110,0)))))</f>
        <v>200</v>
      </c>
      <c r="CA259">
        <f t="shared" ref="CA259:CA311" si="847">BW259-BX259-BY259-BZ259</f>
        <v>44880</v>
      </c>
      <c r="CB259">
        <f>_xlfn.XLOOKUP(B259,'[8]october-2026'!$A:$A,'[8]october-2026'!$C:$C,0,0)</f>
        <v>36600</v>
      </c>
      <c r="CC259">
        <f t="shared" ref="CC259:CC311" si="848">CB259*0.18</f>
        <v>6588</v>
      </c>
      <c r="CD259">
        <f t="shared" ref="CD259:CD311" si="849">CB259*0.12</f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ref="CG259:CG311" si="850">IF(CB259&gt;0,SUM(CB259:CF259),0)</f>
        <v>48080</v>
      </c>
      <c r="CH259">
        <f>_xlfn.XLOOKUP(B259,'[8]october-2026'!$A:$A,'[8]october-2026'!$H:$H,0,0)</f>
        <v>3000</v>
      </c>
      <c r="CI259">
        <f>_xlfn.XLOOKUP(B259,'[8]october-2026'!$A:$A,'[8]october-2026'!$I:$I,0,0)</f>
        <v>0</v>
      </c>
      <c r="CJ259">
        <f t="shared" ref="CJ259:CJ311" si="851">IF($F259="YES",0,IF(CG259&gt;40000,200,IF(CG259&gt;25000,150,IF(CG259&gt;15000,130,IF(CG259&gt;10000,110,0)))))</f>
        <v>200</v>
      </c>
      <c r="CK259">
        <f t="shared" ref="CK259:CK311" si="852">CG259-CH259-CI259-CJ259</f>
        <v>44880</v>
      </c>
      <c r="CL259">
        <f>_xlfn.XLOOKUP(B259,'[9]november-2026'!$A:$A,'[9]november-2026'!$C:$C,0,0)</f>
        <v>36600</v>
      </c>
      <c r="CM259">
        <f t="shared" ref="CM259:CM311" si="853">CL259*0.18</f>
        <v>6588</v>
      </c>
      <c r="CN259">
        <f t="shared" ref="CN259:CN311" si="854">CL259*0.12</f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ref="CQ259:CQ311" si="855">IF(CL259&gt;0,SUM(CL259:CP259),0)</f>
        <v>48080</v>
      </c>
      <c r="CR259">
        <f>_xlfn.XLOOKUP(B259,'[9]november-2026'!$A:$A,'[9]november-2026'!$H:$H,0,0)</f>
        <v>3000</v>
      </c>
      <c r="CS259">
        <f>_xlfn.XLOOKUP(B259,'[9]november-2026'!$A:$A,'[9]november-2026'!$I:$I,0,0)</f>
        <v>0</v>
      </c>
      <c r="CT259">
        <f t="shared" ref="CT259:CT311" si="856">IF($F259="YES",0,IF(CQ259&gt;40000,200,IF(CQ259&gt;25000,150,IF(CQ259&gt;15000,130,IF(CQ259&gt;10000,110,0)))))</f>
        <v>200</v>
      </c>
      <c r="CU259">
        <f t="shared" ref="CU259:CU311" si="857">CQ259-CR259-CS259-CT259</f>
        <v>44880</v>
      </c>
      <c r="CV259">
        <f>_xlfn.XLOOKUP(B259,'[10]december-2026'!$A:$A,'[10]december-2026'!$C:$C,0,0)</f>
        <v>36600</v>
      </c>
      <c r="CW259">
        <f t="shared" ref="CW259:CW311" si="858">ROUND(CV259*0.18,0)</f>
        <v>6588</v>
      </c>
      <c r="CX259">
        <f t="shared" ref="CX259:CX311" si="859">ROUND(CV259*0.12,0)</f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ref="DA259:DA311" si="860">IF(CV259&gt;0,SUM(CV259:CZ259),0)</f>
        <v>48080</v>
      </c>
      <c r="DB259">
        <f>_xlfn.XLOOKUP(B259,'[10]december-2026'!$A:$A,'[10]december-2026'!$H:$H,0,0)</f>
        <v>3000</v>
      </c>
      <c r="DC259">
        <f>_xlfn.XLOOKUP(B259,'[10]december-2026'!$A:$A,'[10]december-2026'!$I:$I,0,0)</f>
        <v>0</v>
      </c>
      <c r="DD259">
        <f t="shared" ref="DD259:DD311" si="861">IF($F259="YES",0,IF(DA259&gt;40000,200,IF(DA259&gt;25000,150,IF(DA259&gt;15000,130,IF(DA259&gt;10000,110,0)))))</f>
        <v>200</v>
      </c>
      <c r="DE259">
        <f t="shared" ref="DE259:DE311" si="862">DA259-DB259-DC259-DD259</f>
        <v>44880</v>
      </c>
      <c r="DF259">
        <f xml:space="preserve"> _xlfn.XLOOKUP(B259,
'[11]january-2027'!$A:$A,
'[11]january-2027'!$C:$C,
0,0)</f>
        <v>36600</v>
      </c>
      <c r="DG259">
        <f t="shared" ref="DG259:DG311" si="863">DF259*0.18</f>
        <v>6588</v>
      </c>
      <c r="DH259">
        <f t="shared" ref="DH259:DH311" si="864">DF259*0.12</f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ref="DK259:DK311" si="865">IF(DF259&gt;0,SUM(DF259:DJ259),0)</f>
        <v>48080</v>
      </c>
      <c r="DL259">
        <f xml:space="preserve"> _xlfn.XLOOKUP(B259,
'[11]january-2027'!$A:$A,
'[11]january-2027'!$H:$H,
0,0)</f>
        <v>3000</v>
      </c>
      <c r="DM259">
        <f xml:space="preserve"> _xlfn.XLOOKUP(B259,
'[11]january-2027'!$A:$A,
'[11]january-2027'!$I:$I,
0,0)</f>
        <v>0</v>
      </c>
      <c r="DN259">
        <f t="shared" ref="DN259:DN311" si="866">IF($F259="YES",0,IF(DK259&gt;40000,200,IF(DK259&gt;25000,150,IF(DK259&gt;15000,130,IF(DK259&gt;10000,110,0)))))</f>
        <v>200</v>
      </c>
      <c r="DO259">
        <f t="shared" ref="DO259:DO311" si="867">DK259-DL259-DM259-DN259</f>
        <v>44880</v>
      </c>
      <c r="DP259">
        <f xml:space="preserve"> _xlfn.XLOOKUP(B259,
'[12]february-2027'!$A:$A,
'[12]february-2027'!$C:$C,
0,0)</f>
        <v>36600</v>
      </c>
      <c r="DQ259">
        <f t="shared" ref="DQ259:DQ311" si="868">DP259*0.18</f>
        <v>6588</v>
      </c>
      <c r="DR259">
        <f t="shared" ref="DR259:DR311" si="869">DP259*0.12</f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ref="DU259:DU311" si="870">IF(DP259&gt;0,SUM(DP259:DT259),0)</f>
        <v>48080</v>
      </c>
      <c r="DV259">
        <f xml:space="preserve"> _xlfn.XLOOKUP(B259,
'[12]february-2027'!$A:$A,
'[12]february-2027'!$H:$H,
0,0)</f>
        <v>3000</v>
      </c>
      <c r="DW259">
        <f xml:space="preserve"> _xlfn.XLOOKUP(B259,
'[12]february-2027'!$A:$A,
'[12]february-2027'!$I:$I,
0,0)</f>
        <v>0</v>
      </c>
      <c r="DX259">
        <f t="shared" ref="DX259:DX311" si="871">IF($F259="YES",0,IF(DU259&gt;40000,200,IF(DU259&gt;25000,150,IF(DU259&gt;15000,130,IF(DU259&gt;10000,110,0)))))</f>
        <v>200</v>
      </c>
      <c r="DY259">
        <f t="shared" ref="DY259:DY311" si="872">DU259-DV259-DW259-DX259</f>
        <v>44880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ref="EL259:EL311" si="873">SUM(DZ259:EK259)</f>
        <v>0</v>
      </c>
      <c r="EM259">
        <f t="shared" ref="EM259:EM311" si="874">DU259+DK259+DA259+CQ259+CG259+BW259+BM259+BC259+AR259+AH259+X259+N259+H259</f>
        <v>578297</v>
      </c>
      <c r="EN259">
        <f t="shared" ref="EN259:EN311" si="875">DX259+DN259+DD259+CT259+CJ259+BZ259+BP259+BF259+AU259+AK259+AA259+Q259</f>
        <v>2400</v>
      </c>
      <c r="EO259">
        <f t="shared" ref="EO259:EO311" si="876">IF(EM259&gt;0,50000,0)</f>
        <v>50000</v>
      </c>
      <c r="EP259">
        <v>0</v>
      </c>
      <c r="EQ259">
        <f t="shared" si="690"/>
        <v>525897</v>
      </c>
      <c r="ER259">
        <f t="shared" si="691"/>
        <v>36000</v>
      </c>
      <c r="ES259">
        <f t="shared" si="692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693"/>
        <v>36000</v>
      </c>
      <c r="FE259">
        <f t="shared" si="694"/>
        <v>36000</v>
      </c>
      <c r="FF259">
        <f t="shared" si="695"/>
        <v>489897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>SUM(FG259:FM259)+(IF(F259="YES",50000,0))</f>
        <v>0</v>
      </c>
      <c r="FO259">
        <f t="shared" si="696"/>
        <v>489897</v>
      </c>
      <c r="FP259">
        <f t="shared" si="697"/>
        <v>11995</v>
      </c>
      <c r="FQ259">
        <f t="shared" si="698"/>
        <v>0</v>
      </c>
      <c r="FR259">
        <f t="shared" si="699"/>
        <v>11995</v>
      </c>
      <c r="FS259">
        <f t="shared" si="700"/>
        <v>0</v>
      </c>
      <c r="FT259">
        <f t="shared" si="701"/>
        <v>0</v>
      </c>
      <c r="FU259">
        <f t="shared" si="702"/>
        <v>0</v>
      </c>
      <c r="FV259">
        <v>0</v>
      </c>
      <c r="FW259">
        <f t="shared" si="703"/>
        <v>0</v>
      </c>
      <c r="FX259" t="b">
        <f t="shared" si="704"/>
        <v>1</v>
      </c>
      <c r="FY259">
        <f t="shared" ca="1" si="705"/>
        <v>558</v>
      </c>
      <c r="FZ259">
        <f t="shared" ca="1" si="706"/>
        <v>578855</v>
      </c>
      <c r="GA259">
        <f t="shared" si="707"/>
        <v>75000</v>
      </c>
      <c r="GB259">
        <f t="shared" ca="1" si="708"/>
        <v>503855</v>
      </c>
      <c r="GC259">
        <f t="shared" ca="1" si="709"/>
        <v>0</v>
      </c>
      <c r="GD259">
        <f t="shared" ca="1" si="710"/>
        <v>0</v>
      </c>
      <c r="GE259">
        <f t="shared" ca="1" si="711"/>
        <v>0</v>
      </c>
      <c r="GF259">
        <f t="shared" ca="1" si="712"/>
        <v>0</v>
      </c>
      <c r="GG259">
        <f t="shared" ca="1" si="713"/>
        <v>0</v>
      </c>
      <c r="GH259">
        <f t="shared" ca="1" si="714"/>
        <v>0</v>
      </c>
      <c r="GI259">
        <f ca="1">IF(GB259&gt;1200000,GB259-1200000-IF(F259="YES",50000,0)-GG259,0)</f>
        <v>0</v>
      </c>
      <c r="GJ259">
        <f t="shared" ca="1" si="715"/>
        <v>0</v>
      </c>
      <c r="GK259">
        <f t="shared" ca="1" si="716"/>
        <v>0</v>
      </c>
      <c r="GL259">
        <f t="shared" ca="1" si="717"/>
        <v>0</v>
      </c>
      <c r="GM259">
        <f t="shared" ca="1" si="718"/>
        <v>103855</v>
      </c>
      <c r="GN259">
        <f t="shared" ca="1" si="719"/>
        <v>5192.75</v>
      </c>
      <c r="GO259">
        <f t="shared" ca="1" si="720"/>
        <v>5193</v>
      </c>
      <c r="GP259">
        <f t="shared" ca="1" si="721"/>
        <v>0</v>
      </c>
      <c r="GQ259">
        <f t="shared" ca="1" si="722"/>
        <v>0</v>
      </c>
      <c r="GR259">
        <f t="shared" ca="1" si="723"/>
        <v>5193</v>
      </c>
      <c r="GS259">
        <f t="shared" ca="1" si="724"/>
        <v>0</v>
      </c>
      <c r="GT259" t="b">
        <f t="shared" ca="1" si="725"/>
        <v>0</v>
      </c>
      <c r="GU259">
        <f t="shared" ca="1" si="726"/>
        <v>0</v>
      </c>
      <c r="GV259">
        <f t="shared" ca="1" si="727"/>
        <v>5193</v>
      </c>
      <c r="GW259">
        <f t="shared" ca="1" si="728"/>
        <v>0</v>
      </c>
      <c r="GX259">
        <f t="shared" ca="1" si="729"/>
        <v>0</v>
      </c>
      <c r="GY259">
        <f t="shared" ca="1" si="730"/>
        <v>0</v>
      </c>
    </row>
    <row r="260" spans="1:207" x14ac:dyDescent="0.25">
      <c r="A260">
        <f>_xlfn.AGGREGATE(3,5,$B$2:B260)</f>
        <v>259</v>
      </c>
      <c r="B260" t="s">
        <v>610</v>
      </c>
      <c r="C260" t="s">
        <v>611</v>
      </c>
      <c r="D260" t="s">
        <v>813</v>
      </c>
      <c r="E260" t="s">
        <v>830</v>
      </c>
      <c r="F260" t="s">
        <v>952</v>
      </c>
      <c r="G260" t="s">
        <v>902</v>
      </c>
      <c r="H260">
        <f t="shared" si="813"/>
        <v>6800</v>
      </c>
      <c r="I260">
        <f>_xlfn.XLOOKUP(B260,'[1]march-2026'!$A:$A,'[1]march-2026'!$C:$C,0,0)</f>
        <v>29800</v>
      </c>
      <c r="J260">
        <f t="shared" si="689"/>
        <v>5364</v>
      </c>
      <c r="K260">
        <f t="shared" si="814"/>
        <v>3576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si="815"/>
        <v>39240</v>
      </c>
      <c r="O260">
        <f>_xlfn.XLOOKUP(B260,'[1]march-2026'!$A:$A,'[1]march-2026'!$H:$H,0,0)</f>
        <v>2000</v>
      </c>
      <c r="P260">
        <f>_xlfn.XLOOKUP(B260,'[1]march-2026'!$A:$A,'[1]march-2026'!$I:$I,0,0)</f>
        <v>0</v>
      </c>
      <c r="Q260">
        <f t="shared" si="816"/>
        <v>150</v>
      </c>
      <c r="R260">
        <f t="shared" si="817"/>
        <v>37090</v>
      </c>
      <c r="S260">
        <f>_xlfn.XLOOKUP(B260,'[2]april-2026'!$A:$A,'[2]april-2026'!$C:$C,0,0)</f>
        <v>29800</v>
      </c>
      <c r="T260">
        <f t="shared" si="818"/>
        <v>5364</v>
      </c>
      <c r="U260">
        <f t="shared" si="819"/>
        <v>3576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si="820"/>
        <v>39240</v>
      </c>
      <c r="Y260">
        <f>_xlfn.XLOOKUP(B260,'[2]april-2026'!$A:$A,'[2]april-2026'!$H:$H,0,0)</f>
        <v>2000</v>
      </c>
      <c r="Z260">
        <f>_xlfn.XLOOKUP(B260,'[2]april-2026'!$A:$A,'[2]april-2026'!$I:$I,0,0)</f>
        <v>0</v>
      </c>
      <c r="AA260">
        <f t="shared" si="821"/>
        <v>150</v>
      </c>
      <c r="AB260">
        <f t="shared" si="822"/>
        <v>37090</v>
      </c>
      <c r="AC260">
        <f>_xlfn.XLOOKUP(B260,'[3]may-2026'!$A:$A,'[3]may-2026'!$C:$C,0,0)</f>
        <v>29800</v>
      </c>
      <c r="AD260">
        <f t="shared" si="823"/>
        <v>5364</v>
      </c>
      <c r="AE260">
        <f t="shared" si="824"/>
        <v>3576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si="825"/>
        <v>39240</v>
      </c>
      <c r="AI260">
        <f>_xlfn.XLOOKUP(B260,'[3]may-2026'!$A:$A,'[3]may-2026'!$H:$H,0,0)</f>
        <v>2000</v>
      </c>
      <c r="AJ260">
        <f>_xlfn.XLOOKUP(B260,'[3]may-2026'!$A:$A,'[3]may-2026'!$I:$I,0,0)</f>
        <v>0</v>
      </c>
      <c r="AK260">
        <f t="shared" si="826"/>
        <v>150</v>
      </c>
      <c r="AL260">
        <f t="shared" si="827"/>
        <v>37090</v>
      </c>
      <c r="AM260">
        <f>_xlfn.XLOOKUP(B260,'[4]june-2026'!$A:$A,'[4]june-2026'!$C:$C,0,0)</f>
        <v>29800</v>
      </c>
      <c r="AN260">
        <f t="shared" si="828"/>
        <v>5364</v>
      </c>
      <c r="AO260">
        <f t="shared" si="829"/>
        <v>3576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si="830"/>
        <v>39240</v>
      </c>
      <c r="AS260">
        <f>_xlfn.XLOOKUP(B260,'[4]june-2026'!$A:$A,'[4]june-2026'!$H:$H,0,0)</f>
        <v>2000</v>
      </c>
      <c r="AT260">
        <f>_xlfn.XLOOKUP(B260,'[4]june-2026'!$A:$A,'[4]june-2026'!$I:$I,0,0)</f>
        <v>0</v>
      </c>
      <c r="AU260">
        <f t="shared" si="831"/>
        <v>150</v>
      </c>
      <c r="AV260">
        <f t="shared" si="832"/>
        <v>37090</v>
      </c>
      <c r="AW260">
        <f>_xlfn.XLOOKUP(B260,'[5]july-2026'!$A:$A,'[5]july-2026'!$C:$C,0,0)</f>
        <v>30700</v>
      </c>
      <c r="AX260">
        <f t="shared" si="833"/>
        <v>5526</v>
      </c>
      <c r="AY260">
        <v>258</v>
      </c>
      <c r="AZ260">
        <f t="shared" si="834"/>
        <v>3684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si="835"/>
        <v>40668</v>
      </c>
      <c r="BD260">
        <f>_xlfn.XLOOKUP(B260,'[5]july-2026'!$A:$A,'[5]july-2026'!$H:$H,0,0)</f>
        <v>2000</v>
      </c>
      <c r="BE260">
        <f>_xlfn.XLOOKUP(B260,'[5]july-2026'!$A:$A,'[5]july-2026'!$I:$I,0,0)</f>
        <v>0</v>
      </c>
      <c r="BF260">
        <f t="shared" si="836"/>
        <v>200</v>
      </c>
      <c r="BG260">
        <f t="shared" si="837"/>
        <v>38468</v>
      </c>
      <c r="BH260">
        <f>_xlfn.XLOOKUP(B260,'[6]august-2026'!$A:$A,'[6]august-2026'!$C:$C,0,0)</f>
        <v>30700</v>
      </c>
      <c r="BI260">
        <f t="shared" si="838"/>
        <v>5526</v>
      </c>
      <c r="BJ260">
        <f t="shared" si="839"/>
        <v>3684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si="840"/>
        <v>40410</v>
      </c>
      <c r="BN260">
        <f>_xlfn.XLOOKUP(B260,'[6]august-2026'!$A:$A,'[6]august-2026'!$H:$H,0,0)</f>
        <v>2000</v>
      </c>
      <c r="BO260">
        <f>_xlfn.XLOOKUP(B260,'[6]august-2026'!$A:$A,'[6]august-2026'!$I:$I,0,0)</f>
        <v>0</v>
      </c>
      <c r="BP260">
        <f t="shared" si="841"/>
        <v>200</v>
      </c>
      <c r="BQ260">
        <f t="shared" si="842"/>
        <v>38210</v>
      </c>
      <c r="BR260">
        <f>_xlfn.XLOOKUP(B260,'[7]september-2026'!$A:$A,'[7]september-2026'!$C:$C,0,0)</f>
        <v>30700</v>
      </c>
      <c r="BS260">
        <f t="shared" si="843"/>
        <v>5526</v>
      </c>
      <c r="BT260">
        <f t="shared" si="844"/>
        <v>3684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si="845"/>
        <v>40410</v>
      </c>
      <c r="BX260">
        <f>_xlfn.XLOOKUP(B260,'[7]september-2026'!$A:$A,'[7]september-2026'!$H:$H,0,0)</f>
        <v>2000</v>
      </c>
      <c r="BY260">
        <f>_xlfn.XLOOKUP(B260,'[7]september-2026'!$A:$A,'[7]september-2026'!$I:$I,0,0)</f>
        <v>0</v>
      </c>
      <c r="BZ260">
        <f t="shared" si="846"/>
        <v>200</v>
      </c>
      <c r="CA260">
        <f t="shared" si="847"/>
        <v>38210</v>
      </c>
      <c r="CB260">
        <f>_xlfn.XLOOKUP(B260,'[8]october-2026'!$A:$A,'[8]october-2026'!$C:$C,0,0)</f>
        <v>30700</v>
      </c>
      <c r="CC260">
        <f t="shared" si="848"/>
        <v>5526</v>
      </c>
      <c r="CD260">
        <f t="shared" si="849"/>
        <v>3684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si="850"/>
        <v>40410</v>
      </c>
      <c r="CH260">
        <f>_xlfn.XLOOKUP(B260,'[8]october-2026'!$A:$A,'[8]october-2026'!$H:$H,0,0)</f>
        <v>2000</v>
      </c>
      <c r="CI260">
        <f>_xlfn.XLOOKUP(B260,'[8]october-2026'!$A:$A,'[8]october-2026'!$I:$I,0,0)</f>
        <v>0</v>
      </c>
      <c r="CJ260">
        <f t="shared" si="851"/>
        <v>200</v>
      </c>
      <c r="CK260">
        <f t="shared" si="852"/>
        <v>38210</v>
      </c>
      <c r="CL260">
        <f>_xlfn.XLOOKUP(B260,'[9]november-2026'!$A:$A,'[9]november-2026'!$C:$C,0,0)</f>
        <v>30700</v>
      </c>
      <c r="CM260">
        <f t="shared" si="853"/>
        <v>5526</v>
      </c>
      <c r="CN260">
        <f t="shared" si="854"/>
        <v>3684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si="855"/>
        <v>40410</v>
      </c>
      <c r="CR260">
        <f>_xlfn.XLOOKUP(B260,'[9]november-2026'!$A:$A,'[9]november-2026'!$H:$H,0,0)</f>
        <v>2000</v>
      </c>
      <c r="CS260">
        <f>_xlfn.XLOOKUP(B260,'[9]november-2026'!$A:$A,'[9]november-2026'!$I:$I,0,0)</f>
        <v>0</v>
      </c>
      <c r="CT260">
        <f t="shared" si="856"/>
        <v>200</v>
      </c>
      <c r="CU260">
        <f t="shared" si="857"/>
        <v>38210</v>
      </c>
      <c r="CV260">
        <f>_xlfn.XLOOKUP(B260,'[10]december-2026'!$A:$A,'[10]december-2026'!$C:$C,0,0)</f>
        <v>30700</v>
      </c>
      <c r="CW260">
        <f t="shared" si="858"/>
        <v>5526</v>
      </c>
      <c r="CX260">
        <f t="shared" si="859"/>
        <v>3684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si="860"/>
        <v>40410</v>
      </c>
      <c r="DB260">
        <f>_xlfn.XLOOKUP(B260,'[10]december-2026'!$A:$A,'[10]december-2026'!$H:$H,0,0)</f>
        <v>2000</v>
      </c>
      <c r="DC260">
        <f>_xlfn.XLOOKUP(B260,'[10]december-2026'!$A:$A,'[10]december-2026'!$I:$I,0,0)</f>
        <v>0</v>
      </c>
      <c r="DD260">
        <f t="shared" si="861"/>
        <v>200</v>
      </c>
      <c r="DE260">
        <f t="shared" si="862"/>
        <v>38210</v>
      </c>
      <c r="DF260">
        <f xml:space="preserve"> _xlfn.XLOOKUP(B260,
'[11]january-2027'!$A:$A,
'[11]january-2027'!$C:$C,
0,0)</f>
        <v>30700</v>
      </c>
      <c r="DG260">
        <f t="shared" si="863"/>
        <v>5526</v>
      </c>
      <c r="DH260">
        <f t="shared" si="864"/>
        <v>3684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si="865"/>
        <v>40410</v>
      </c>
      <c r="DL260">
        <f xml:space="preserve"> _xlfn.XLOOKUP(B260,
'[11]january-2027'!$A:$A,
'[11]january-2027'!$H:$H,
0,0)</f>
        <v>2000</v>
      </c>
      <c r="DM260">
        <f xml:space="preserve"> _xlfn.XLOOKUP(B260,
'[11]january-2027'!$A:$A,
'[11]january-2027'!$I:$I,
0,0)</f>
        <v>0</v>
      </c>
      <c r="DN260">
        <f t="shared" si="866"/>
        <v>200</v>
      </c>
      <c r="DO260">
        <f t="shared" si="867"/>
        <v>38210</v>
      </c>
      <c r="DP260">
        <f xml:space="preserve"> _xlfn.XLOOKUP(B260,
'[12]february-2027'!$A:$A,
'[12]february-2027'!$C:$C,
0,0)</f>
        <v>30700</v>
      </c>
      <c r="DQ260">
        <f t="shared" si="868"/>
        <v>5526</v>
      </c>
      <c r="DR260">
        <f t="shared" si="869"/>
        <v>3684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si="870"/>
        <v>40410</v>
      </c>
      <c r="DV260">
        <f xml:space="preserve"> _xlfn.XLOOKUP(B260,
'[12]february-2027'!$A:$A,
'[12]february-2027'!$H:$H,
0,0)</f>
        <v>2000</v>
      </c>
      <c r="DW260">
        <f xml:space="preserve"> _xlfn.XLOOKUP(B260,
'[12]february-2027'!$A:$A,
'[12]february-2027'!$I:$I,
0,0)</f>
        <v>0</v>
      </c>
      <c r="DX260">
        <f t="shared" si="871"/>
        <v>200</v>
      </c>
      <c r="DY260">
        <f t="shared" si="872"/>
        <v>38210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si="873"/>
        <v>0</v>
      </c>
      <c r="EM260">
        <f t="shared" si="874"/>
        <v>487298</v>
      </c>
      <c r="EN260">
        <f t="shared" si="875"/>
        <v>2200</v>
      </c>
      <c r="EO260">
        <f t="shared" si="876"/>
        <v>50000</v>
      </c>
      <c r="EP260">
        <v>0</v>
      </c>
      <c r="EQ260">
        <f t="shared" si="690"/>
        <v>435098</v>
      </c>
      <c r="ER260">
        <f t="shared" si="691"/>
        <v>24000</v>
      </c>
      <c r="ES260">
        <f t="shared" si="692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693"/>
        <v>24000</v>
      </c>
      <c r="FE260">
        <f t="shared" si="694"/>
        <v>24000</v>
      </c>
      <c r="FF260">
        <f t="shared" si="695"/>
        <v>411098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>SUM(FG260:FM260)+(IF(F260="YES",50000,0))</f>
        <v>0</v>
      </c>
      <c r="FO260">
        <f t="shared" si="696"/>
        <v>411098</v>
      </c>
      <c r="FP260">
        <f t="shared" si="697"/>
        <v>8055</v>
      </c>
      <c r="FQ260">
        <f t="shared" si="698"/>
        <v>0</v>
      </c>
      <c r="FR260">
        <f t="shared" si="699"/>
        <v>8055</v>
      </c>
      <c r="FS260">
        <f t="shared" si="700"/>
        <v>0</v>
      </c>
      <c r="FT260">
        <f t="shared" si="701"/>
        <v>0</v>
      </c>
      <c r="FU260">
        <f t="shared" si="702"/>
        <v>0</v>
      </c>
      <c r="FV260">
        <v>0</v>
      </c>
      <c r="FW260">
        <f t="shared" si="703"/>
        <v>0</v>
      </c>
      <c r="FX260" t="b">
        <f t="shared" si="704"/>
        <v>0</v>
      </c>
      <c r="FY260">
        <f t="shared" ca="1" si="705"/>
        <v>2137</v>
      </c>
      <c r="FZ260">
        <f t="shared" ca="1" si="706"/>
        <v>489435</v>
      </c>
      <c r="GA260">
        <f t="shared" si="707"/>
        <v>75000</v>
      </c>
      <c r="GB260">
        <f t="shared" ca="1" si="708"/>
        <v>414435</v>
      </c>
      <c r="GC260">
        <f t="shared" ca="1" si="709"/>
        <v>0</v>
      </c>
      <c r="GD260">
        <f t="shared" ca="1" si="710"/>
        <v>0</v>
      </c>
      <c r="GE260">
        <f t="shared" ca="1" si="711"/>
        <v>0</v>
      </c>
      <c r="GF260">
        <f t="shared" ca="1" si="712"/>
        <v>0</v>
      </c>
      <c r="GG260">
        <f t="shared" ca="1" si="713"/>
        <v>0</v>
      </c>
      <c r="GH260">
        <f t="shared" ca="1" si="714"/>
        <v>0</v>
      </c>
      <c r="GI260">
        <f ca="1">IF(GB260&gt;1200000,GB260-1200000-IF(F260="YES",50000,0)-GG260,0)</f>
        <v>0</v>
      </c>
      <c r="GJ260">
        <f t="shared" ca="1" si="715"/>
        <v>0</v>
      </c>
      <c r="GK260">
        <f t="shared" ca="1" si="716"/>
        <v>0</v>
      </c>
      <c r="GL260">
        <f t="shared" ca="1" si="717"/>
        <v>0</v>
      </c>
      <c r="GM260">
        <f t="shared" ca="1" si="718"/>
        <v>14435</v>
      </c>
      <c r="GN260">
        <f t="shared" ca="1" si="719"/>
        <v>721.75</v>
      </c>
      <c r="GO260">
        <f t="shared" ca="1" si="720"/>
        <v>722</v>
      </c>
      <c r="GP260">
        <f t="shared" ca="1" si="721"/>
        <v>0</v>
      </c>
      <c r="GQ260">
        <f t="shared" ca="1" si="722"/>
        <v>0</v>
      </c>
      <c r="GR260">
        <f t="shared" ca="1" si="723"/>
        <v>722</v>
      </c>
      <c r="GS260">
        <f t="shared" ca="1" si="724"/>
        <v>0</v>
      </c>
      <c r="GT260" t="b">
        <f t="shared" ca="1" si="725"/>
        <v>0</v>
      </c>
      <c r="GU260">
        <f t="shared" ca="1" si="726"/>
        <v>0</v>
      </c>
      <c r="GV260">
        <f t="shared" ca="1" si="727"/>
        <v>722</v>
      </c>
      <c r="GW260">
        <f t="shared" ca="1" si="728"/>
        <v>0</v>
      </c>
      <c r="GX260">
        <f t="shared" ca="1" si="729"/>
        <v>0</v>
      </c>
      <c r="GY260">
        <f t="shared" ca="1" si="730"/>
        <v>0</v>
      </c>
    </row>
    <row r="261" spans="1:207" x14ac:dyDescent="0.25">
      <c r="A261">
        <f>_xlfn.AGGREGATE(3,5,$B$2:B261)</f>
        <v>260</v>
      </c>
      <c r="B261" t="s">
        <v>612</v>
      </c>
      <c r="C261" t="s">
        <v>613</v>
      </c>
      <c r="D261" t="s">
        <v>814</v>
      </c>
      <c r="E261" t="s">
        <v>830</v>
      </c>
      <c r="F261" t="s">
        <v>952</v>
      </c>
      <c r="G261" t="s">
        <v>877</v>
      </c>
      <c r="H261">
        <f t="shared" si="813"/>
        <v>6800</v>
      </c>
      <c r="I261">
        <f>_xlfn.XLOOKUP(B261,'[1]march-2026'!$A:$A,'[1]march-2026'!$C:$C,0,0)</f>
        <v>35500</v>
      </c>
      <c r="J261">
        <f t="shared" si="689"/>
        <v>6390</v>
      </c>
      <c r="K261">
        <f t="shared" si="814"/>
        <v>4260</v>
      </c>
      <c r="L261">
        <f>_xlfn.XLOOKUP(B261,'[1]march-2026'!$A:$A,'[1]march-2026'!$D:$D,0,0)</f>
        <v>400</v>
      </c>
      <c r="M261">
        <f>_xlfn.XLOOKUP(B261,'[1]march-2026'!$A:$A,'[1]march-2026'!$G:$G,0,0)</f>
        <v>0</v>
      </c>
      <c r="N261">
        <f t="shared" si="815"/>
        <v>46550</v>
      </c>
      <c r="O261">
        <f>_xlfn.XLOOKUP(B261,'[1]march-2026'!$A:$A,'[1]march-2026'!$H:$H,0,0)</f>
        <v>2500</v>
      </c>
      <c r="P261">
        <f>_xlfn.XLOOKUP(B261,'[1]march-2026'!$A:$A,'[1]march-2026'!$I:$I,0,0)</f>
        <v>0</v>
      </c>
      <c r="Q261">
        <f t="shared" si="816"/>
        <v>200</v>
      </c>
      <c r="R261">
        <f t="shared" si="817"/>
        <v>43850</v>
      </c>
      <c r="S261">
        <f>_xlfn.XLOOKUP(B261,'[2]april-2026'!$A:$A,'[2]april-2026'!$C:$C,0,0)</f>
        <v>35500</v>
      </c>
      <c r="T261">
        <f t="shared" si="818"/>
        <v>6390</v>
      </c>
      <c r="U261">
        <f t="shared" si="819"/>
        <v>4260</v>
      </c>
      <c r="V261">
        <f>_xlfn.XLOOKUP(B261,'[2]april-2026'!$A:$A,'[2]april-2026'!$D:$D,0,0)</f>
        <v>400</v>
      </c>
      <c r="W261">
        <f>_xlfn.XLOOKUP(B261,'[2]april-2026'!$A:$A,'[2]april-2026'!$G:$G,0,0)</f>
        <v>0</v>
      </c>
      <c r="X261">
        <f t="shared" si="820"/>
        <v>46550</v>
      </c>
      <c r="Y261">
        <f>_xlfn.XLOOKUP(B261,'[2]april-2026'!$A:$A,'[2]april-2026'!$H:$H,0,0)</f>
        <v>2500</v>
      </c>
      <c r="Z261">
        <f>_xlfn.XLOOKUP(B261,'[2]april-2026'!$A:$A,'[2]april-2026'!$I:$I,0,0)</f>
        <v>0</v>
      </c>
      <c r="AA261">
        <f t="shared" si="821"/>
        <v>200</v>
      </c>
      <c r="AB261">
        <f t="shared" si="822"/>
        <v>43850</v>
      </c>
      <c r="AC261">
        <f>_xlfn.XLOOKUP(B261,'[3]may-2026'!$A:$A,'[3]may-2026'!$C:$C,0,0)</f>
        <v>35500</v>
      </c>
      <c r="AD261">
        <f t="shared" si="823"/>
        <v>6390</v>
      </c>
      <c r="AE261">
        <f t="shared" si="824"/>
        <v>4260</v>
      </c>
      <c r="AF261">
        <f>_xlfn.XLOOKUP(B261,'[3]may-2026'!$A:$A,'[3]may-2026'!$D:$D,0,0)</f>
        <v>400</v>
      </c>
      <c r="AG261">
        <f>_xlfn.XLOOKUP(B261,'[3]may-2026'!$A:$A,'[3]may-2026'!$G:$G,0,0)</f>
        <v>0</v>
      </c>
      <c r="AH261">
        <f t="shared" si="825"/>
        <v>46550</v>
      </c>
      <c r="AI261">
        <f>_xlfn.XLOOKUP(B261,'[3]may-2026'!$A:$A,'[3]may-2026'!$H:$H,0,0)</f>
        <v>2500</v>
      </c>
      <c r="AJ261">
        <f>_xlfn.XLOOKUP(B261,'[3]may-2026'!$A:$A,'[3]may-2026'!$I:$I,0,0)</f>
        <v>0</v>
      </c>
      <c r="AK261">
        <f t="shared" si="826"/>
        <v>200</v>
      </c>
      <c r="AL261">
        <f t="shared" si="827"/>
        <v>43850</v>
      </c>
      <c r="AM261">
        <f>_xlfn.XLOOKUP(B261,'[4]june-2026'!$A:$A,'[4]june-2026'!$C:$C,0,0)</f>
        <v>35500</v>
      </c>
      <c r="AN261">
        <f t="shared" si="828"/>
        <v>6390</v>
      </c>
      <c r="AO261">
        <f t="shared" si="829"/>
        <v>4260</v>
      </c>
      <c r="AP261">
        <f>_xlfn.XLOOKUP(B261,'[4]june-2026'!$A:$A,'[4]june-2026'!$D:$D,0,0)</f>
        <v>400</v>
      </c>
      <c r="AQ261">
        <f>_xlfn.XLOOKUP(B261,'[4]june-2026'!$A:$A,'[4]june-2026'!$G:$G,0,0)</f>
        <v>0</v>
      </c>
      <c r="AR261">
        <f t="shared" si="830"/>
        <v>46550</v>
      </c>
      <c r="AS261">
        <f>_xlfn.XLOOKUP(B261,'[4]june-2026'!$A:$A,'[4]june-2026'!$H:$H,0,0)</f>
        <v>2500</v>
      </c>
      <c r="AT261">
        <f>_xlfn.XLOOKUP(B261,'[4]june-2026'!$A:$A,'[4]june-2026'!$I:$I,0,0)</f>
        <v>0</v>
      </c>
      <c r="AU261">
        <f t="shared" si="831"/>
        <v>200</v>
      </c>
      <c r="AV261">
        <f t="shared" si="832"/>
        <v>43850</v>
      </c>
      <c r="AW261">
        <f>_xlfn.XLOOKUP(B261,'[5]july-2026'!$A:$A,'[5]july-2026'!$C:$C,0,0)</f>
        <v>36600</v>
      </c>
      <c r="AX261">
        <f t="shared" si="833"/>
        <v>6588</v>
      </c>
      <c r="AY261">
        <v>259</v>
      </c>
      <c r="AZ261">
        <f t="shared" si="834"/>
        <v>4392</v>
      </c>
      <c r="BA261">
        <f>_xlfn.XLOOKUP(B261,'[5]july-2026'!$A:$A,'[5]july-2026'!$D:$D,0,0)</f>
        <v>400</v>
      </c>
      <c r="BB261">
        <f>_xlfn.XLOOKUP(B261,'[5]july-2026'!$A:$A,'[5]july-2026'!$G:$G,0,0)</f>
        <v>0</v>
      </c>
      <c r="BC261">
        <f t="shared" si="835"/>
        <v>48239</v>
      </c>
      <c r="BD261">
        <f>_xlfn.XLOOKUP(B261,'[5]july-2026'!$A:$A,'[5]july-2026'!$H:$H,0,0)</f>
        <v>2500</v>
      </c>
      <c r="BE261">
        <f>_xlfn.XLOOKUP(B261,'[5]july-2026'!$A:$A,'[5]july-2026'!$I:$I,0,0)</f>
        <v>0</v>
      </c>
      <c r="BF261">
        <f t="shared" si="836"/>
        <v>200</v>
      </c>
      <c r="BG261">
        <f t="shared" si="837"/>
        <v>45539</v>
      </c>
      <c r="BH261">
        <f>_xlfn.XLOOKUP(B261,'[6]august-2026'!$A:$A,'[6]august-2026'!$C:$C,0,0)</f>
        <v>36600</v>
      </c>
      <c r="BI261">
        <f t="shared" si="838"/>
        <v>6588</v>
      </c>
      <c r="BJ261">
        <f t="shared" si="839"/>
        <v>4392</v>
      </c>
      <c r="BK261">
        <f>_xlfn.XLOOKUP(B261,'[6]august-2026'!$A:$A,'[6]august-2026'!$D:$D,0,0)</f>
        <v>400</v>
      </c>
      <c r="BL261">
        <f>_xlfn.XLOOKUP(B261,'[6]august-2026'!$A:$A,'[6]august-2026'!$G:$G,0,0)</f>
        <v>0</v>
      </c>
      <c r="BM261">
        <f t="shared" si="840"/>
        <v>47980</v>
      </c>
      <c r="BN261">
        <f>_xlfn.XLOOKUP(B261,'[6]august-2026'!$A:$A,'[6]august-2026'!$H:$H,0,0)</f>
        <v>2500</v>
      </c>
      <c r="BO261">
        <f>_xlfn.XLOOKUP(B261,'[6]august-2026'!$A:$A,'[6]august-2026'!$I:$I,0,0)</f>
        <v>0</v>
      </c>
      <c r="BP261">
        <f t="shared" si="841"/>
        <v>200</v>
      </c>
      <c r="BQ261">
        <f t="shared" si="842"/>
        <v>45280</v>
      </c>
      <c r="BR261">
        <f>_xlfn.XLOOKUP(B261,'[7]september-2026'!$A:$A,'[7]september-2026'!$C:$C,0,0)</f>
        <v>36600</v>
      </c>
      <c r="BS261">
        <f t="shared" si="843"/>
        <v>6588</v>
      </c>
      <c r="BT261">
        <f t="shared" si="844"/>
        <v>4392</v>
      </c>
      <c r="BU261">
        <f>_xlfn.XLOOKUP(B261,'[7]september-2026'!$A:$A,'[7]september-2026'!$D:$D,0,0)</f>
        <v>400</v>
      </c>
      <c r="BV261">
        <f>_xlfn.XLOOKUP(B261,'[7]september-2026'!$A:$A,'[7]september-2026'!$G:$G,0,0)</f>
        <v>0</v>
      </c>
      <c r="BW261">
        <f t="shared" si="845"/>
        <v>47980</v>
      </c>
      <c r="BX261">
        <f>_xlfn.XLOOKUP(B261,'[7]september-2026'!$A:$A,'[7]september-2026'!$H:$H,0,0)</f>
        <v>2500</v>
      </c>
      <c r="BY261">
        <f>_xlfn.XLOOKUP(B261,'[7]september-2026'!$A:$A,'[7]september-2026'!$I:$I,0,0)</f>
        <v>0</v>
      </c>
      <c r="BZ261">
        <f t="shared" si="846"/>
        <v>200</v>
      </c>
      <c r="CA261">
        <f t="shared" si="847"/>
        <v>45280</v>
      </c>
      <c r="CB261">
        <f>_xlfn.XLOOKUP(B261,'[8]october-2026'!$A:$A,'[8]october-2026'!$C:$C,0,0)</f>
        <v>36600</v>
      </c>
      <c r="CC261">
        <f t="shared" si="848"/>
        <v>6588</v>
      </c>
      <c r="CD261">
        <f t="shared" si="849"/>
        <v>4392</v>
      </c>
      <c r="CE261">
        <f>_xlfn.XLOOKUP(B261,'[8]october-2026'!$A:$A,'[8]october-2026'!$D:$D,0,0)</f>
        <v>400</v>
      </c>
      <c r="CF261">
        <f>_xlfn.XLOOKUP(B261,'[8]october-2026'!$A:$A,'[8]october-2026'!$G:$G,0,0)</f>
        <v>0</v>
      </c>
      <c r="CG261">
        <f t="shared" si="850"/>
        <v>47980</v>
      </c>
      <c r="CH261">
        <f>_xlfn.XLOOKUP(B261,'[8]october-2026'!$A:$A,'[8]october-2026'!$H:$H,0,0)</f>
        <v>2500</v>
      </c>
      <c r="CI261">
        <f>_xlfn.XLOOKUP(B261,'[8]october-2026'!$A:$A,'[8]october-2026'!$I:$I,0,0)</f>
        <v>0</v>
      </c>
      <c r="CJ261">
        <f t="shared" si="851"/>
        <v>200</v>
      </c>
      <c r="CK261">
        <f t="shared" si="852"/>
        <v>45280</v>
      </c>
      <c r="CL261">
        <f>_xlfn.XLOOKUP(B261,'[9]november-2026'!$A:$A,'[9]november-2026'!$C:$C,0,0)</f>
        <v>36600</v>
      </c>
      <c r="CM261">
        <f t="shared" si="853"/>
        <v>6588</v>
      </c>
      <c r="CN261">
        <f t="shared" si="854"/>
        <v>4392</v>
      </c>
      <c r="CO261">
        <f>_xlfn.XLOOKUP(B261,'[9]november-2026'!$A:$A,'[9]november-2026'!$D:$D,0,0)</f>
        <v>400</v>
      </c>
      <c r="CP261">
        <f>_xlfn.XLOOKUP(B261,'[9]november-2026'!$A:$A,'[9]november-2026'!$G:$G,0,0)</f>
        <v>0</v>
      </c>
      <c r="CQ261">
        <f t="shared" si="855"/>
        <v>47980</v>
      </c>
      <c r="CR261">
        <f>_xlfn.XLOOKUP(B261,'[9]november-2026'!$A:$A,'[9]november-2026'!$H:$H,0,0)</f>
        <v>2500</v>
      </c>
      <c r="CS261">
        <f>_xlfn.XLOOKUP(B261,'[9]november-2026'!$A:$A,'[9]november-2026'!$I:$I,0,0)</f>
        <v>0</v>
      </c>
      <c r="CT261">
        <f t="shared" si="856"/>
        <v>200</v>
      </c>
      <c r="CU261">
        <f t="shared" si="857"/>
        <v>45280</v>
      </c>
      <c r="CV261">
        <f>_xlfn.XLOOKUP(B261,'[10]december-2026'!$A:$A,'[10]december-2026'!$C:$C,0,0)</f>
        <v>36600</v>
      </c>
      <c r="CW261">
        <f t="shared" si="858"/>
        <v>6588</v>
      </c>
      <c r="CX261">
        <f t="shared" si="859"/>
        <v>4392</v>
      </c>
      <c r="CY261">
        <f>_xlfn.XLOOKUP(B261,'[10]december-2026'!$A:$A,'[10]december-2026'!$D:$D,0,0)</f>
        <v>400</v>
      </c>
      <c r="CZ261">
        <f>_xlfn.XLOOKUP(B261,'[10]december-2026'!$A:$A,'[10]december-2026'!$G:$G,0,0)</f>
        <v>0</v>
      </c>
      <c r="DA261">
        <f t="shared" si="860"/>
        <v>47980</v>
      </c>
      <c r="DB261">
        <f>_xlfn.XLOOKUP(B261,'[10]december-2026'!$A:$A,'[10]december-2026'!$H:$H,0,0)</f>
        <v>2500</v>
      </c>
      <c r="DC261">
        <f>_xlfn.XLOOKUP(B261,'[10]december-2026'!$A:$A,'[10]december-2026'!$I:$I,0,0)</f>
        <v>0</v>
      </c>
      <c r="DD261">
        <f t="shared" si="861"/>
        <v>200</v>
      </c>
      <c r="DE261">
        <f t="shared" si="862"/>
        <v>45280</v>
      </c>
      <c r="DF261">
        <f xml:space="preserve"> _xlfn.XLOOKUP(B261,
'[11]january-2027'!$A:$A,
'[11]january-2027'!$C:$C,
0,0)</f>
        <v>36600</v>
      </c>
      <c r="DG261">
        <f t="shared" si="863"/>
        <v>6588</v>
      </c>
      <c r="DH261">
        <f t="shared" si="864"/>
        <v>4392</v>
      </c>
      <c r="DI261">
        <f xml:space="preserve"> _xlfn.XLOOKUP(B261,
'[11]january-2027'!$A:$A,
'[11]january-2027'!$D:$D,
0,0)</f>
        <v>400</v>
      </c>
      <c r="DJ261">
        <f xml:space="preserve"> _xlfn.XLOOKUP(B261,
'[11]january-2027'!$A:$A,
'[11]january-2027'!$G:$G,
0,0)</f>
        <v>0</v>
      </c>
      <c r="DK261">
        <f t="shared" si="865"/>
        <v>47980</v>
      </c>
      <c r="DL261">
        <f xml:space="preserve"> _xlfn.XLOOKUP(B261,
'[11]january-2027'!$A:$A,
'[11]january-2027'!$H:$H,
0,0)</f>
        <v>2500</v>
      </c>
      <c r="DM261">
        <f xml:space="preserve"> _xlfn.XLOOKUP(B261,
'[11]january-2027'!$A:$A,
'[11]january-2027'!$I:$I,
0,0)</f>
        <v>0</v>
      </c>
      <c r="DN261">
        <f t="shared" si="866"/>
        <v>200</v>
      </c>
      <c r="DO261">
        <f t="shared" si="867"/>
        <v>45280</v>
      </c>
      <c r="DP261">
        <f xml:space="preserve"> _xlfn.XLOOKUP(B261,
'[12]february-2027'!$A:$A,
'[12]february-2027'!$C:$C,
0,0)</f>
        <v>36600</v>
      </c>
      <c r="DQ261">
        <f t="shared" si="868"/>
        <v>6588</v>
      </c>
      <c r="DR261">
        <f t="shared" si="869"/>
        <v>4392</v>
      </c>
      <c r="DS261">
        <f xml:space="preserve"> _xlfn.XLOOKUP(B261,
'[12]february-2027'!$A:$A,
'[12]february-2027'!$D:$D,
0,0)</f>
        <v>400</v>
      </c>
      <c r="DT261">
        <f xml:space="preserve"> _xlfn.XLOOKUP(B261,
'[12]february-2027'!$A:$A,
'[12]february-2027'!$G:$G,
0,0)</f>
        <v>0</v>
      </c>
      <c r="DU261">
        <f t="shared" si="870"/>
        <v>47980</v>
      </c>
      <c r="DV261">
        <f xml:space="preserve"> _xlfn.XLOOKUP(B261,
'[12]february-2027'!$A:$A,
'[12]february-2027'!$H:$H,
0,0)</f>
        <v>2500</v>
      </c>
      <c r="DW261">
        <f xml:space="preserve"> _xlfn.XLOOKUP(B261,
'[12]february-2027'!$A:$A,
'[12]february-2027'!$I:$I,
0,0)</f>
        <v>0</v>
      </c>
      <c r="DX261">
        <f t="shared" si="871"/>
        <v>200</v>
      </c>
      <c r="DY261">
        <f t="shared" si="872"/>
        <v>45280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873"/>
        <v>0</v>
      </c>
      <c r="EM261">
        <f t="shared" si="874"/>
        <v>577099</v>
      </c>
      <c r="EN261">
        <f t="shared" si="875"/>
        <v>2400</v>
      </c>
      <c r="EO261">
        <f t="shared" si="876"/>
        <v>50000</v>
      </c>
      <c r="EP261">
        <v>0</v>
      </c>
      <c r="EQ261">
        <f t="shared" si="690"/>
        <v>524699</v>
      </c>
      <c r="ER261">
        <f t="shared" si="691"/>
        <v>30000</v>
      </c>
      <c r="ES261">
        <f t="shared" si="692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693"/>
        <v>30000</v>
      </c>
      <c r="FE261">
        <f t="shared" si="694"/>
        <v>30000</v>
      </c>
      <c r="FF261">
        <f t="shared" si="695"/>
        <v>494699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>SUM(FG261:FM261)+(IF(F261="YES",50000,0))</f>
        <v>0</v>
      </c>
      <c r="FO261">
        <f t="shared" si="696"/>
        <v>494699</v>
      </c>
      <c r="FP261">
        <f t="shared" si="697"/>
        <v>12235</v>
      </c>
      <c r="FQ261">
        <f t="shared" si="698"/>
        <v>0</v>
      </c>
      <c r="FR261">
        <f t="shared" si="699"/>
        <v>12235</v>
      </c>
      <c r="FS261">
        <f t="shared" si="700"/>
        <v>0</v>
      </c>
      <c r="FT261">
        <f t="shared" si="701"/>
        <v>0</v>
      </c>
      <c r="FU261">
        <f t="shared" si="702"/>
        <v>0</v>
      </c>
      <c r="FV261">
        <v>0</v>
      </c>
      <c r="FW261">
        <f t="shared" si="703"/>
        <v>0</v>
      </c>
      <c r="FX261" t="b">
        <f t="shared" si="704"/>
        <v>1</v>
      </c>
      <c r="FY261">
        <f t="shared" ca="1" si="705"/>
        <v>522</v>
      </c>
      <c r="FZ261">
        <f t="shared" ca="1" si="706"/>
        <v>577621</v>
      </c>
      <c r="GA261">
        <f t="shared" si="707"/>
        <v>75000</v>
      </c>
      <c r="GB261">
        <f t="shared" ca="1" si="708"/>
        <v>502621</v>
      </c>
      <c r="GC261">
        <f t="shared" ca="1" si="709"/>
        <v>0</v>
      </c>
      <c r="GD261">
        <f t="shared" ca="1" si="710"/>
        <v>0</v>
      </c>
      <c r="GE261">
        <f t="shared" ca="1" si="711"/>
        <v>0</v>
      </c>
      <c r="GF261">
        <f t="shared" ca="1" si="712"/>
        <v>0</v>
      </c>
      <c r="GG261">
        <f t="shared" ca="1" si="713"/>
        <v>0</v>
      </c>
      <c r="GH261">
        <f t="shared" ca="1" si="714"/>
        <v>0</v>
      </c>
      <c r="GI261">
        <f ca="1">IF(GB261&gt;1200000,GB261-1200000-IF(F261="YES",50000,0)-GG261,0)</f>
        <v>0</v>
      </c>
      <c r="GJ261">
        <f t="shared" ca="1" si="715"/>
        <v>0</v>
      </c>
      <c r="GK261">
        <f t="shared" ca="1" si="716"/>
        <v>0</v>
      </c>
      <c r="GL261">
        <f t="shared" ca="1" si="717"/>
        <v>0</v>
      </c>
      <c r="GM261">
        <f t="shared" ca="1" si="718"/>
        <v>102621</v>
      </c>
      <c r="GN261">
        <f t="shared" ca="1" si="719"/>
        <v>5131.05</v>
      </c>
      <c r="GO261">
        <f t="shared" ca="1" si="720"/>
        <v>5131</v>
      </c>
      <c r="GP261">
        <f t="shared" ca="1" si="721"/>
        <v>0</v>
      </c>
      <c r="GQ261">
        <f t="shared" ca="1" si="722"/>
        <v>0</v>
      </c>
      <c r="GR261">
        <f t="shared" ca="1" si="723"/>
        <v>5131</v>
      </c>
      <c r="GS261">
        <f t="shared" ca="1" si="724"/>
        <v>0</v>
      </c>
      <c r="GT261" t="b">
        <f t="shared" ca="1" si="725"/>
        <v>0</v>
      </c>
      <c r="GU261">
        <f t="shared" ca="1" si="726"/>
        <v>0</v>
      </c>
      <c r="GV261">
        <f t="shared" ca="1" si="727"/>
        <v>5131</v>
      </c>
      <c r="GW261">
        <f t="shared" ca="1" si="728"/>
        <v>0</v>
      </c>
      <c r="GX261">
        <f t="shared" ca="1" si="729"/>
        <v>0</v>
      </c>
      <c r="GY261">
        <f t="shared" ca="1" si="730"/>
        <v>0</v>
      </c>
    </row>
    <row r="262" spans="1:207" x14ac:dyDescent="0.25">
      <c r="A262">
        <f>_xlfn.AGGREGATE(3,5,$B$2:B262)</f>
        <v>261</v>
      </c>
      <c r="B262" t="s">
        <v>614</v>
      </c>
      <c r="C262" t="s">
        <v>615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813"/>
        <v>6800</v>
      </c>
      <c r="I262">
        <f>_xlfn.XLOOKUP(B262,'[1]march-2026'!$A:$A,'[1]march-2026'!$C:$C,0,0)</f>
        <v>35500</v>
      </c>
      <c r="J262">
        <f t="shared" ref="J262:J311" si="877">I262*0.18</f>
        <v>6390</v>
      </c>
      <c r="K262">
        <f t="shared" si="814"/>
        <v>4260</v>
      </c>
      <c r="L262">
        <f>_xlfn.XLOOKUP(B262,'[1]march-2026'!$A:$A,'[1]march-2026'!$D:$D,0,0)</f>
        <v>0</v>
      </c>
      <c r="M262">
        <f>_xlfn.XLOOKUP(B262,'[1]march-2026'!$A:$A,'[1]march-2026'!$G:$G,0,0)</f>
        <v>0</v>
      </c>
      <c r="N262">
        <f t="shared" si="815"/>
        <v>46150</v>
      </c>
      <c r="O262">
        <f>_xlfn.XLOOKUP(B262,'[1]march-2026'!$A:$A,'[1]march-2026'!$H:$H,0,0)</f>
        <v>5000</v>
      </c>
      <c r="P262">
        <f>_xlfn.XLOOKUP(B262,'[1]march-2026'!$A:$A,'[1]march-2026'!$I:$I,0,0)</f>
        <v>0</v>
      </c>
      <c r="Q262">
        <f t="shared" si="816"/>
        <v>200</v>
      </c>
      <c r="R262">
        <f t="shared" si="817"/>
        <v>40950</v>
      </c>
      <c r="S262">
        <f>_xlfn.XLOOKUP(B262,'[2]april-2026'!$A:$A,'[2]april-2026'!$C:$C,0,0)</f>
        <v>35500</v>
      </c>
      <c r="T262">
        <f t="shared" si="818"/>
        <v>6390</v>
      </c>
      <c r="U262">
        <f t="shared" si="819"/>
        <v>4260</v>
      </c>
      <c r="V262">
        <f>_xlfn.XLOOKUP(B262,'[2]april-2026'!$A:$A,'[2]april-2026'!$D:$D,0,0)</f>
        <v>0</v>
      </c>
      <c r="W262">
        <f>_xlfn.XLOOKUP(B262,'[2]april-2026'!$A:$A,'[2]april-2026'!$G:$G,0,0)</f>
        <v>0</v>
      </c>
      <c r="X262">
        <f t="shared" si="820"/>
        <v>46150</v>
      </c>
      <c r="Y262">
        <f>_xlfn.XLOOKUP(B262,'[2]april-2026'!$A:$A,'[2]april-2026'!$H:$H,0,0)</f>
        <v>5000</v>
      </c>
      <c r="Z262">
        <f>_xlfn.XLOOKUP(B262,'[2]april-2026'!$A:$A,'[2]april-2026'!$I:$I,0,0)</f>
        <v>0</v>
      </c>
      <c r="AA262">
        <f t="shared" si="821"/>
        <v>200</v>
      </c>
      <c r="AB262">
        <f t="shared" si="822"/>
        <v>40950</v>
      </c>
      <c r="AC262">
        <f>_xlfn.XLOOKUP(B262,'[3]may-2026'!$A:$A,'[3]may-2026'!$C:$C,0,0)</f>
        <v>35500</v>
      </c>
      <c r="AD262">
        <f t="shared" si="823"/>
        <v>6390</v>
      </c>
      <c r="AE262">
        <f t="shared" si="824"/>
        <v>4260</v>
      </c>
      <c r="AF262">
        <f>_xlfn.XLOOKUP(B262,'[3]may-2026'!$A:$A,'[3]may-2026'!$D:$D,0,0)</f>
        <v>0</v>
      </c>
      <c r="AG262">
        <f>_xlfn.XLOOKUP(B262,'[3]may-2026'!$A:$A,'[3]may-2026'!$G:$G,0,0)</f>
        <v>0</v>
      </c>
      <c r="AH262">
        <f t="shared" si="825"/>
        <v>46150</v>
      </c>
      <c r="AI262">
        <f>_xlfn.XLOOKUP(B262,'[3]may-2026'!$A:$A,'[3]may-2026'!$H:$H,0,0)</f>
        <v>5000</v>
      </c>
      <c r="AJ262">
        <f>_xlfn.XLOOKUP(B262,'[3]may-2026'!$A:$A,'[3]may-2026'!$I:$I,0,0)</f>
        <v>0</v>
      </c>
      <c r="AK262">
        <f t="shared" si="826"/>
        <v>200</v>
      </c>
      <c r="AL262">
        <f t="shared" si="827"/>
        <v>40950</v>
      </c>
      <c r="AM262">
        <f>_xlfn.XLOOKUP(B262,'[4]june-2026'!$A:$A,'[4]june-2026'!$C:$C,0,0)</f>
        <v>35500</v>
      </c>
      <c r="AN262">
        <f t="shared" si="828"/>
        <v>6390</v>
      </c>
      <c r="AO262">
        <f t="shared" si="829"/>
        <v>4260</v>
      </c>
      <c r="AP262">
        <f>_xlfn.XLOOKUP(B262,'[4]june-2026'!$A:$A,'[4]june-2026'!$D:$D,0,0)</f>
        <v>0</v>
      </c>
      <c r="AQ262">
        <f>_xlfn.XLOOKUP(B262,'[4]june-2026'!$A:$A,'[4]june-2026'!$G:$G,0,0)</f>
        <v>0</v>
      </c>
      <c r="AR262">
        <f t="shared" si="830"/>
        <v>46150</v>
      </c>
      <c r="AS262">
        <f>_xlfn.XLOOKUP(B262,'[4]june-2026'!$A:$A,'[4]june-2026'!$H:$H,0,0)</f>
        <v>5000</v>
      </c>
      <c r="AT262">
        <f>_xlfn.XLOOKUP(B262,'[4]june-2026'!$A:$A,'[4]june-2026'!$I:$I,0,0)</f>
        <v>0</v>
      </c>
      <c r="AU262">
        <f t="shared" si="831"/>
        <v>200</v>
      </c>
      <c r="AV262">
        <f t="shared" si="832"/>
        <v>40950</v>
      </c>
      <c r="AW262">
        <f>_xlfn.XLOOKUP(B262,'[5]july-2026'!$A:$A,'[5]july-2026'!$C:$C,0,0)</f>
        <v>36600</v>
      </c>
      <c r="AX262">
        <f t="shared" si="833"/>
        <v>6588</v>
      </c>
      <c r="AY262">
        <v>260</v>
      </c>
      <c r="AZ262">
        <f t="shared" si="834"/>
        <v>4392</v>
      </c>
      <c r="BA262">
        <f>_xlfn.XLOOKUP(B262,'[5]july-2026'!$A:$A,'[5]july-2026'!$D:$D,0,0)</f>
        <v>0</v>
      </c>
      <c r="BB262">
        <f>_xlfn.XLOOKUP(B262,'[5]july-2026'!$A:$A,'[5]july-2026'!$G:$G,0,0)</f>
        <v>0</v>
      </c>
      <c r="BC262">
        <f t="shared" si="835"/>
        <v>47840</v>
      </c>
      <c r="BD262">
        <f>_xlfn.XLOOKUP(B262,'[5]july-2026'!$A:$A,'[5]july-2026'!$H:$H,0,0)</f>
        <v>5000</v>
      </c>
      <c r="BE262">
        <f>_xlfn.XLOOKUP(B262,'[5]july-2026'!$A:$A,'[5]july-2026'!$I:$I,0,0)</f>
        <v>0</v>
      </c>
      <c r="BF262">
        <f t="shared" si="836"/>
        <v>200</v>
      </c>
      <c r="BG262">
        <f t="shared" si="837"/>
        <v>42640</v>
      </c>
      <c r="BH262">
        <f>_xlfn.XLOOKUP(B262,'[6]august-2026'!$A:$A,'[6]august-2026'!$C:$C,0,0)</f>
        <v>36600</v>
      </c>
      <c r="BI262">
        <f t="shared" si="838"/>
        <v>6588</v>
      </c>
      <c r="BJ262">
        <f t="shared" si="839"/>
        <v>4392</v>
      </c>
      <c r="BK262">
        <f>_xlfn.XLOOKUP(B262,'[6]august-2026'!$A:$A,'[6]august-2026'!$D:$D,0,0)</f>
        <v>0</v>
      </c>
      <c r="BL262">
        <f>_xlfn.XLOOKUP(B262,'[6]august-2026'!$A:$A,'[6]august-2026'!$G:$G,0,0)</f>
        <v>0</v>
      </c>
      <c r="BM262">
        <f t="shared" si="840"/>
        <v>47580</v>
      </c>
      <c r="BN262">
        <f>_xlfn.XLOOKUP(B262,'[6]august-2026'!$A:$A,'[6]august-2026'!$H:$H,0,0)</f>
        <v>5000</v>
      </c>
      <c r="BO262">
        <f>_xlfn.XLOOKUP(B262,'[6]august-2026'!$A:$A,'[6]august-2026'!$I:$I,0,0)</f>
        <v>0</v>
      </c>
      <c r="BP262">
        <f t="shared" si="841"/>
        <v>200</v>
      </c>
      <c r="BQ262">
        <f t="shared" si="842"/>
        <v>42380</v>
      </c>
      <c r="BR262">
        <f>_xlfn.XLOOKUP(B262,'[7]september-2026'!$A:$A,'[7]september-2026'!$C:$C,0,0)</f>
        <v>36600</v>
      </c>
      <c r="BS262">
        <f t="shared" si="843"/>
        <v>6588</v>
      </c>
      <c r="BT262">
        <f t="shared" si="844"/>
        <v>4392</v>
      </c>
      <c r="BU262">
        <f>_xlfn.XLOOKUP(B262,'[7]september-2026'!$A:$A,'[7]september-2026'!$D:$D,0,0)</f>
        <v>0</v>
      </c>
      <c r="BV262">
        <f>_xlfn.XLOOKUP(B262,'[7]september-2026'!$A:$A,'[7]september-2026'!$G:$G,0,0)</f>
        <v>0</v>
      </c>
      <c r="BW262">
        <f t="shared" si="845"/>
        <v>47580</v>
      </c>
      <c r="BX262">
        <f>_xlfn.XLOOKUP(B262,'[7]september-2026'!$A:$A,'[7]september-2026'!$H:$H,0,0)</f>
        <v>5000</v>
      </c>
      <c r="BY262">
        <f>_xlfn.XLOOKUP(B262,'[7]september-2026'!$A:$A,'[7]september-2026'!$I:$I,0,0)</f>
        <v>0</v>
      </c>
      <c r="BZ262">
        <f t="shared" si="846"/>
        <v>200</v>
      </c>
      <c r="CA262">
        <f t="shared" si="847"/>
        <v>42380</v>
      </c>
      <c r="CB262">
        <f>_xlfn.XLOOKUP(B262,'[8]october-2026'!$A:$A,'[8]october-2026'!$C:$C,0,0)</f>
        <v>36600</v>
      </c>
      <c r="CC262">
        <f t="shared" si="848"/>
        <v>6588</v>
      </c>
      <c r="CD262">
        <f t="shared" si="849"/>
        <v>4392</v>
      </c>
      <c r="CE262">
        <f>_xlfn.XLOOKUP(B262,'[8]october-2026'!$A:$A,'[8]october-2026'!$D:$D,0,0)</f>
        <v>0</v>
      </c>
      <c r="CF262">
        <f>_xlfn.XLOOKUP(B262,'[8]october-2026'!$A:$A,'[8]october-2026'!$G:$G,0,0)</f>
        <v>0</v>
      </c>
      <c r="CG262">
        <f t="shared" si="850"/>
        <v>47580</v>
      </c>
      <c r="CH262">
        <f>_xlfn.XLOOKUP(B262,'[8]october-2026'!$A:$A,'[8]october-2026'!$H:$H,0,0)</f>
        <v>5000</v>
      </c>
      <c r="CI262">
        <f>_xlfn.XLOOKUP(B262,'[8]october-2026'!$A:$A,'[8]october-2026'!$I:$I,0,0)</f>
        <v>0</v>
      </c>
      <c r="CJ262">
        <f t="shared" si="851"/>
        <v>200</v>
      </c>
      <c r="CK262">
        <f t="shared" si="852"/>
        <v>42380</v>
      </c>
      <c r="CL262">
        <f>_xlfn.XLOOKUP(B262,'[9]november-2026'!$A:$A,'[9]november-2026'!$C:$C,0,0)</f>
        <v>36600</v>
      </c>
      <c r="CM262">
        <f t="shared" si="853"/>
        <v>6588</v>
      </c>
      <c r="CN262">
        <f t="shared" si="854"/>
        <v>4392</v>
      </c>
      <c r="CO262">
        <f>_xlfn.XLOOKUP(B262,'[9]november-2026'!$A:$A,'[9]november-2026'!$D:$D,0,0)</f>
        <v>0</v>
      </c>
      <c r="CP262">
        <f>_xlfn.XLOOKUP(B262,'[9]november-2026'!$A:$A,'[9]november-2026'!$G:$G,0,0)</f>
        <v>0</v>
      </c>
      <c r="CQ262">
        <f t="shared" si="855"/>
        <v>47580</v>
      </c>
      <c r="CR262">
        <f>_xlfn.XLOOKUP(B262,'[9]november-2026'!$A:$A,'[9]november-2026'!$H:$H,0,0)</f>
        <v>5000</v>
      </c>
      <c r="CS262">
        <f>_xlfn.XLOOKUP(B262,'[9]november-2026'!$A:$A,'[9]november-2026'!$I:$I,0,0)</f>
        <v>0</v>
      </c>
      <c r="CT262">
        <f t="shared" si="856"/>
        <v>200</v>
      </c>
      <c r="CU262">
        <f t="shared" si="857"/>
        <v>42380</v>
      </c>
      <c r="CV262">
        <f>_xlfn.XLOOKUP(B262,'[10]december-2026'!$A:$A,'[10]december-2026'!$C:$C,0,0)</f>
        <v>36600</v>
      </c>
      <c r="CW262">
        <f t="shared" si="858"/>
        <v>6588</v>
      </c>
      <c r="CX262">
        <f t="shared" si="859"/>
        <v>4392</v>
      </c>
      <c r="CY262">
        <f>_xlfn.XLOOKUP(B262,'[10]december-2026'!$A:$A,'[10]december-2026'!$D:$D,0,0)</f>
        <v>0</v>
      </c>
      <c r="CZ262">
        <f>_xlfn.XLOOKUP(B262,'[10]december-2026'!$A:$A,'[10]december-2026'!$G:$G,0,0)</f>
        <v>0</v>
      </c>
      <c r="DA262">
        <f t="shared" si="860"/>
        <v>47580</v>
      </c>
      <c r="DB262">
        <f>_xlfn.XLOOKUP(B262,'[10]december-2026'!$A:$A,'[10]december-2026'!$H:$H,0,0)</f>
        <v>5000</v>
      </c>
      <c r="DC262">
        <f>_xlfn.XLOOKUP(B262,'[10]december-2026'!$A:$A,'[10]december-2026'!$I:$I,0,0)</f>
        <v>0</v>
      </c>
      <c r="DD262">
        <f t="shared" si="861"/>
        <v>200</v>
      </c>
      <c r="DE262">
        <f t="shared" si="862"/>
        <v>42380</v>
      </c>
      <c r="DF262">
        <f xml:space="preserve"> _xlfn.XLOOKUP(B262,
'[11]january-2027'!$A:$A,
'[11]january-2027'!$C:$C,
0,0)</f>
        <v>36600</v>
      </c>
      <c r="DG262">
        <f t="shared" si="863"/>
        <v>6588</v>
      </c>
      <c r="DH262">
        <f t="shared" si="864"/>
        <v>4392</v>
      </c>
      <c r="DI262">
        <f xml:space="preserve"> _xlfn.XLOOKUP(B262,
'[11]january-2027'!$A:$A,
'[11]january-2027'!$D:$D,
0,0)</f>
        <v>0</v>
      </c>
      <c r="DJ262">
        <f xml:space="preserve"> _xlfn.XLOOKUP(B262,
'[11]january-2027'!$A:$A,
'[11]january-2027'!$G:$G,
0,0)</f>
        <v>0</v>
      </c>
      <c r="DK262">
        <f t="shared" si="865"/>
        <v>47580</v>
      </c>
      <c r="DL262">
        <f xml:space="preserve"> _xlfn.XLOOKUP(B262,
'[11]january-2027'!$A:$A,
'[11]january-2027'!$H:$H,
0,0)</f>
        <v>5000</v>
      </c>
      <c r="DM262">
        <f xml:space="preserve"> _xlfn.XLOOKUP(B262,
'[11]january-2027'!$A:$A,
'[11]january-2027'!$I:$I,
0,0)</f>
        <v>0</v>
      </c>
      <c r="DN262">
        <f t="shared" si="866"/>
        <v>200</v>
      </c>
      <c r="DO262">
        <f t="shared" si="867"/>
        <v>42380</v>
      </c>
      <c r="DP262">
        <f xml:space="preserve"> _xlfn.XLOOKUP(B262,
'[12]february-2027'!$A:$A,
'[12]february-2027'!$C:$C,
0,0)</f>
        <v>36600</v>
      </c>
      <c r="DQ262">
        <f t="shared" si="868"/>
        <v>6588</v>
      </c>
      <c r="DR262">
        <f t="shared" si="869"/>
        <v>4392</v>
      </c>
      <c r="DS262">
        <f xml:space="preserve"> _xlfn.XLOOKUP(B262,
'[12]february-2027'!$A:$A,
'[12]february-2027'!$D:$D,
0,0)</f>
        <v>0</v>
      </c>
      <c r="DT262">
        <f xml:space="preserve"> _xlfn.XLOOKUP(B262,
'[12]february-2027'!$A:$A,
'[12]february-2027'!$G:$G,
0,0)</f>
        <v>0</v>
      </c>
      <c r="DU262">
        <f t="shared" si="870"/>
        <v>47580</v>
      </c>
      <c r="DV262">
        <f xml:space="preserve"> _xlfn.XLOOKUP(B262,
'[12]february-2027'!$A:$A,
'[12]february-2027'!$H:$H,
0,0)</f>
        <v>5000</v>
      </c>
      <c r="DW262">
        <f xml:space="preserve"> _xlfn.XLOOKUP(B262,
'[12]february-2027'!$A:$A,
'[12]february-2027'!$I:$I,
0,0)</f>
        <v>0</v>
      </c>
      <c r="DX262">
        <f t="shared" si="871"/>
        <v>200</v>
      </c>
      <c r="DY262">
        <f t="shared" si="872"/>
        <v>42380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873"/>
        <v>0</v>
      </c>
      <c r="EM262">
        <f t="shared" si="874"/>
        <v>572300</v>
      </c>
      <c r="EN262">
        <f t="shared" si="875"/>
        <v>2400</v>
      </c>
      <c r="EO262">
        <f t="shared" si="876"/>
        <v>50000</v>
      </c>
      <c r="EP262">
        <v>0</v>
      </c>
      <c r="EQ262">
        <f t="shared" si="690"/>
        <v>519900</v>
      </c>
      <c r="ER262">
        <f t="shared" si="691"/>
        <v>60000</v>
      </c>
      <c r="ES262">
        <f t="shared" si="692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693"/>
        <v>60000</v>
      </c>
      <c r="FE262">
        <f t="shared" si="694"/>
        <v>60000</v>
      </c>
      <c r="FF262">
        <f t="shared" si="695"/>
        <v>459900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>SUM(FG262:FM262)+(IF(F262="YES",50000,0))</f>
        <v>0</v>
      </c>
      <c r="FO262">
        <f t="shared" si="696"/>
        <v>459900</v>
      </c>
      <c r="FP262">
        <f t="shared" si="697"/>
        <v>10495</v>
      </c>
      <c r="FQ262">
        <f t="shared" si="698"/>
        <v>0</v>
      </c>
      <c r="FR262">
        <f t="shared" si="699"/>
        <v>10495</v>
      </c>
      <c r="FS262">
        <f t="shared" si="700"/>
        <v>0</v>
      </c>
      <c r="FT262">
        <f t="shared" si="701"/>
        <v>0</v>
      </c>
      <c r="FU262">
        <f t="shared" si="702"/>
        <v>0</v>
      </c>
      <c r="FV262">
        <v>0</v>
      </c>
      <c r="FW262">
        <f t="shared" si="703"/>
        <v>0</v>
      </c>
      <c r="FX262" t="b">
        <f t="shared" si="704"/>
        <v>1</v>
      </c>
      <c r="FY262">
        <f t="shared" ca="1" si="705"/>
        <v>931</v>
      </c>
      <c r="FZ262">
        <f t="shared" ca="1" si="706"/>
        <v>573231</v>
      </c>
      <c r="GA262">
        <f t="shared" si="707"/>
        <v>75000</v>
      </c>
      <c r="GB262">
        <f t="shared" ca="1" si="708"/>
        <v>498231</v>
      </c>
      <c r="GC262">
        <f t="shared" ca="1" si="709"/>
        <v>0</v>
      </c>
      <c r="GD262">
        <f t="shared" ca="1" si="710"/>
        <v>0</v>
      </c>
      <c r="GE262">
        <f t="shared" ca="1" si="711"/>
        <v>0</v>
      </c>
      <c r="GF262">
        <f t="shared" ca="1" si="712"/>
        <v>0</v>
      </c>
      <c r="GG262">
        <f t="shared" ca="1" si="713"/>
        <v>0</v>
      </c>
      <c r="GH262">
        <f t="shared" ca="1" si="714"/>
        <v>0</v>
      </c>
      <c r="GI262">
        <f ca="1">IF(GB262&gt;1200000,GB262-1200000-IF(F262="YES",50000,0)-GG262,0)</f>
        <v>0</v>
      </c>
      <c r="GJ262">
        <f t="shared" ca="1" si="715"/>
        <v>0</v>
      </c>
      <c r="GK262">
        <f t="shared" ca="1" si="716"/>
        <v>0</v>
      </c>
      <c r="GL262">
        <f t="shared" ca="1" si="717"/>
        <v>0</v>
      </c>
      <c r="GM262">
        <f t="shared" ca="1" si="718"/>
        <v>98231</v>
      </c>
      <c r="GN262">
        <f t="shared" ca="1" si="719"/>
        <v>4911.55</v>
      </c>
      <c r="GO262">
        <f t="shared" ca="1" si="720"/>
        <v>4912</v>
      </c>
      <c r="GP262">
        <f t="shared" ca="1" si="721"/>
        <v>0</v>
      </c>
      <c r="GQ262">
        <f t="shared" ca="1" si="722"/>
        <v>0</v>
      </c>
      <c r="GR262">
        <f t="shared" ca="1" si="723"/>
        <v>4912</v>
      </c>
      <c r="GS262">
        <f t="shared" ca="1" si="724"/>
        <v>0</v>
      </c>
      <c r="GT262" t="b">
        <f t="shared" ca="1" si="725"/>
        <v>0</v>
      </c>
      <c r="GU262">
        <f t="shared" ca="1" si="726"/>
        <v>0</v>
      </c>
      <c r="GV262">
        <f t="shared" ca="1" si="727"/>
        <v>4912</v>
      </c>
      <c r="GW262">
        <f t="shared" ca="1" si="728"/>
        <v>0</v>
      </c>
      <c r="GX262">
        <f t="shared" ca="1" si="729"/>
        <v>0</v>
      </c>
      <c r="GY262">
        <f t="shared" ca="1" si="730"/>
        <v>0</v>
      </c>
    </row>
    <row r="263" spans="1:207" x14ac:dyDescent="0.25">
      <c r="A263">
        <f>_xlfn.AGGREGATE(3,5,$B$2:B263)</f>
        <v>262</v>
      </c>
      <c r="B263" t="s">
        <v>616</v>
      </c>
      <c r="C263" t="s">
        <v>617</v>
      </c>
      <c r="D263" t="s">
        <v>815</v>
      </c>
      <c r="E263" t="s">
        <v>830</v>
      </c>
      <c r="F263" t="s">
        <v>952</v>
      </c>
      <c r="G263" t="s">
        <v>879</v>
      </c>
      <c r="H263">
        <f t="shared" si="813"/>
        <v>6800</v>
      </c>
      <c r="I263">
        <f>_xlfn.XLOOKUP(B263,'[1]march-2026'!$A:$A,'[1]march-2026'!$C:$C,0,0)</f>
        <v>53300</v>
      </c>
      <c r="J263">
        <f t="shared" si="877"/>
        <v>9594</v>
      </c>
      <c r="K263">
        <f t="shared" si="814"/>
        <v>6396</v>
      </c>
      <c r="L263">
        <f>_xlfn.XLOOKUP(B263,'[1]march-2026'!$A:$A,'[1]march-2026'!$D:$D,0,0)</f>
        <v>400</v>
      </c>
      <c r="M263">
        <f>_xlfn.XLOOKUP(B263,'[1]march-2026'!$A:$A,'[1]march-2026'!$G:$G,0,0)</f>
        <v>500</v>
      </c>
      <c r="N263">
        <f t="shared" si="815"/>
        <v>70190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816"/>
        <v>200</v>
      </c>
      <c r="R263">
        <f t="shared" si="817"/>
        <v>64990</v>
      </c>
      <c r="S263">
        <f>_xlfn.XLOOKUP(B263,'[2]april-2026'!$A:$A,'[2]april-2026'!$C:$C,0,0)</f>
        <v>53300</v>
      </c>
      <c r="T263">
        <f t="shared" si="818"/>
        <v>9594</v>
      </c>
      <c r="U263">
        <f t="shared" si="819"/>
        <v>6396</v>
      </c>
      <c r="V263">
        <f>_xlfn.XLOOKUP(B263,'[2]april-2026'!$A:$A,'[2]april-2026'!$D:$D,0,0)</f>
        <v>400</v>
      </c>
      <c r="W263">
        <f>_xlfn.XLOOKUP(B263,'[2]april-2026'!$A:$A,'[2]april-2026'!$G:$G,0,0)</f>
        <v>500</v>
      </c>
      <c r="X263">
        <f t="shared" si="820"/>
        <v>70190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821"/>
        <v>200</v>
      </c>
      <c r="AB263">
        <f t="shared" si="822"/>
        <v>64990</v>
      </c>
      <c r="AC263">
        <f>_xlfn.XLOOKUP(B263,'[3]may-2026'!$A:$A,'[3]may-2026'!$C:$C,0,0)</f>
        <v>53300</v>
      </c>
      <c r="AD263">
        <f t="shared" si="823"/>
        <v>9594</v>
      </c>
      <c r="AE263">
        <f t="shared" si="824"/>
        <v>6396</v>
      </c>
      <c r="AF263">
        <f>_xlfn.XLOOKUP(B263,'[3]may-2026'!$A:$A,'[3]may-2026'!$D:$D,0,0)</f>
        <v>400</v>
      </c>
      <c r="AG263">
        <f>_xlfn.XLOOKUP(B263,'[3]may-2026'!$A:$A,'[3]may-2026'!$G:$G,0,0)</f>
        <v>500</v>
      </c>
      <c r="AH263">
        <f t="shared" si="825"/>
        <v>70190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826"/>
        <v>200</v>
      </c>
      <c r="AL263">
        <f t="shared" si="827"/>
        <v>64990</v>
      </c>
      <c r="AM263">
        <f>_xlfn.XLOOKUP(B263,'[4]june-2026'!$A:$A,'[4]june-2026'!$C:$C,0,0)</f>
        <v>53300</v>
      </c>
      <c r="AN263">
        <f t="shared" si="828"/>
        <v>9594</v>
      </c>
      <c r="AO263">
        <f t="shared" si="829"/>
        <v>6396</v>
      </c>
      <c r="AP263">
        <f>_xlfn.XLOOKUP(B263,'[4]june-2026'!$A:$A,'[4]june-2026'!$D:$D,0,0)</f>
        <v>400</v>
      </c>
      <c r="AQ263">
        <f>_xlfn.XLOOKUP(B263,'[4]june-2026'!$A:$A,'[4]june-2026'!$G:$G,0,0)</f>
        <v>500</v>
      </c>
      <c r="AR263">
        <f t="shared" si="830"/>
        <v>70190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831"/>
        <v>200</v>
      </c>
      <c r="AV263">
        <f t="shared" si="832"/>
        <v>64990</v>
      </c>
      <c r="AW263">
        <f>_xlfn.XLOOKUP(B263,'[5]july-2026'!$A:$A,'[5]july-2026'!$C:$C,0,0)</f>
        <v>54900</v>
      </c>
      <c r="AX263">
        <f t="shared" si="833"/>
        <v>9882</v>
      </c>
      <c r="AY263">
        <v>261</v>
      </c>
      <c r="AZ263">
        <f t="shared" si="834"/>
        <v>6588</v>
      </c>
      <c r="BA263">
        <f>_xlfn.XLOOKUP(B263,'[5]july-2026'!$A:$A,'[5]july-2026'!$D:$D,0,0)</f>
        <v>400</v>
      </c>
      <c r="BB263">
        <f>_xlfn.XLOOKUP(B263,'[5]july-2026'!$A:$A,'[5]july-2026'!$G:$G,0,0)</f>
        <v>500</v>
      </c>
      <c r="BC263">
        <f t="shared" si="835"/>
        <v>72531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836"/>
        <v>200</v>
      </c>
      <c r="BG263">
        <f t="shared" si="837"/>
        <v>67331</v>
      </c>
      <c r="BH263">
        <f>_xlfn.XLOOKUP(B263,'[6]august-2026'!$A:$A,'[6]august-2026'!$C:$C,0,0)</f>
        <v>54900</v>
      </c>
      <c r="BI263">
        <f t="shared" si="838"/>
        <v>9882</v>
      </c>
      <c r="BJ263">
        <f t="shared" si="839"/>
        <v>6588</v>
      </c>
      <c r="BK263">
        <f>_xlfn.XLOOKUP(B263,'[6]august-2026'!$A:$A,'[6]august-2026'!$D:$D,0,0)</f>
        <v>400</v>
      </c>
      <c r="BL263">
        <f>_xlfn.XLOOKUP(B263,'[6]august-2026'!$A:$A,'[6]august-2026'!$G:$G,0,0)</f>
        <v>500</v>
      </c>
      <c r="BM263">
        <f t="shared" si="840"/>
        <v>72270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841"/>
        <v>200</v>
      </c>
      <c r="BQ263">
        <f t="shared" si="842"/>
        <v>67070</v>
      </c>
      <c r="BR263">
        <f>_xlfn.XLOOKUP(B263,'[7]september-2026'!$A:$A,'[7]september-2026'!$C:$C,0,0)</f>
        <v>54900</v>
      </c>
      <c r="BS263">
        <f t="shared" si="843"/>
        <v>9882</v>
      </c>
      <c r="BT263">
        <f t="shared" si="844"/>
        <v>6588</v>
      </c>
      <c r="BU263">
        <f>_xlfn.XLOOKUP(B263,'[7]september-2026'!$A:$A,'[7]september-2026'!$D:$D,0,0)</f>
        <v>400</v>
      </c>
      <c r="BV263">
        <f>_xlfn.XLOOKUP(B263,'[7]september-2026'!$A:$A,'[7]september-2026'!$G:$G,0,0)</f>
        <v>500</v>
      </c>
      <c r="BW263">
        <f t="shared" si="845"/>
        <v>72270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846"/>
        <v>200</v>
      </c>
      <c r="CA263">
        <f t="shared" si="847"/>
        <v>67070</v>
      </c>
      <c r="CB263">
        <f>_xlfn.XLOOKUP(B263,'[8]october-2026'!$A:$A,'[8]october-2026'!$C:$C,0,0)</f>
        <v>54900</v>
      </c>
      <c r="CC263">
        <f t="shared" si="848"/>
        <v>9882</v>
      </c>
      <c r="CD263">
        <f t="shared" si="849"/>
        <v>6588</v>
      </c>
      <c r="CE263">
        <f>_xlfn.XLOOKUP(B263,'[8]october-2026'!$A:$A,'[8]october-2026'!$D:$D,0,0)</f>
        <v>400</v>
      </c>
      <c r="CF263">
        <f>_xlfn.XLOOKUP(B263,'[8]october-2026'!$A:$A,'[8]october-2026'!$G:$G,0,0)</f>
        <v>500</v>
      </c>
      <c r="CG263">
        <f t="shared" si="850"/>
        <v>72270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851"/>
        <v>200</v>
      </c>
      <c r="CK263">
        <f t="shared" si="852"/>
        <v>67070</v>
      </c>
      <c r="CL263">
        <f>_xlfn.XLOOKUP(B263,'[9]november-2026'!$A:$A,'[9]november-2026'!$C:$C,0,0)</f>
        <v>54900</v>
      </c>
      <c r="CM263">
        <f t="shared" si="853"/>
        <v>9882</v>
      </c>
      <c r="CN263">
        <f t="shared" si="854"/>
        <v>6588</v>
      </c>
      <c r="CO263">
        <f>_xlfn.XLOOKUP(B263,'[9]november-2026'!$A:$A,'[9]november-2026'!$D:$D,0,0)</f>
        <v>400</v>
      </c>
      <c r="CP263">
        <f>_xlfn.XLOOKUP(B263,'[9]november-2026'!$A:$A,'[9]november-2026'!$G:$G,0,0)</f>
        <v>500</v>
      </c>
      <c r="CQ263">
        <f t="shared" si="855"/>
        <v>72270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856"/>
        <v>200</v>
      </c>
      <c r="CU263">
        <f t="shared" si="857"/>
        <v>67070</v>
      </c>
      <c r="CV263">
        <f>_xlfn.XLOOKUP(B263,'[10]december-2026'!$A:$A,'[10]december-2026'!$C:$C,0,0)</f>
        <v>54900</v>
      </c>
      <c r="CW263">
        <f t="shared" si="858"/>
        <v>9882</v>
      </c>
      <c r="CX263">
        <f t="shared" si="859"/>
        <v>6588</v>
      </c>
      <c r="CY263">
        <f>_xlfn.XLOOKUP(B263,'[10]december-2026'!$A:$A,'[10]december-2026'!$D:$D,0,0)</f>
        <v>400</v>
      </c>
      <c r="CZ263">
        <f>_xlfn.XLOOKUP(B263,'[10]december-2026'!$A:$A,'[10]december-2026'!$G:$G,0,0)</f>
        <v>500</v>
      </c>
      <c r="DA263">
        <f t="shared" si="860"/>
        <v>72270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861"/>
        <v>200</v>
      </c>
      <c r="DE263">
        <f t="shared" si="862"/>
        <v>67070</v>
      </c>
      <c r="DF263">
        <f xml:space="preserve"> _xlfn.XLOOKUP(B263,
'[11]january-2027'!$A:$A,
'[11]january-2027'!$C:$C,
0,0)</f>
        <v>54900</v>
      </c>
      <c r="DG263">
        <f t="shared" si="863"/>
        <v>9882</v>
      </c>
      <c r="DH263">
        <f t="shared" si="864"/>
        <v>6588</v>
      </c>
      <c r="DI263">
        <f xml:space="preserve"> _xlfn.XLOOKUP(B263,
'[11]january-2027'!$A:$A,
'[11]january-2027'!$D:$D,
0,0)</f>
        <v>400</v>
      </c>
      <c r="DJ263">
        <f xml:space="preserve"> _xlfn.XLOOKUP(B263,
'[11]january-2027'!$A:$A,
'[11]january-2027'!$G:$G,
0,0)</f>
        <v>500</v>
      </c>
      <c r="DK263">
        <f t="shared" si="865"/>
        <v>72270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866"/>
        <v>200</v>
      </c>
      <c r="DO263">
        <f t="shared" si="867"/>
        <v>67070</v>
      </c>
      <c r="DP263">
        <f xml:space="preserve"> _xlfn.XLOOKUP(B263,
'[12]february-2027'!$A:$A,
'[12]february-2027'!$C:$C,
0,0)</f>
        <v>54900</v>
      </c>
      <c r="DQ263">
        <f t="shared" si="868"/>
        <v>9882</v>
      </c>
      <c r="DR263">
        <f t="shared" si="869"/>
        <v>6588</v>
      </c>
      <c r="DS263">
        <f xml:space="preserve"> _xlfn.XLOOKUP(B263,
'[12]february-2027'!$A:$A,
'[12]february-2027'!$D:$D,
0,0)</f>
        <v>400</v>
      </c>
      <c r="DT263">
        <f xml:space="preserve"> _xlfn.XLOOKUP(B263,
'[12]february-2027'!$A:$A,
'[12]february-2027'!$G:$G,
0,0)</f>
        <v>500</v>
      </c>
      <c r="DU263">
        <f t="shared" si="870"/>
        <v>72270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871"/>
        <v>200</v>
      </c>
      <c r="DY263">
        <f t="shared" si="872"/>
        <v>67070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873"/>
        <v>0</v>
      </c>
      <c r="EM263">
        <f t="shared" si="874"/>
        <v>865981</v>
      </c>
      <c r="EN263">
        <f t="shared" si="875"/>
        <v>2400</v>
      </c>
      <c r="EO263">
        <f t="shared" si="876"/>
        <v>50000</v>
      </c>
      <c r="EP263">
        <v>0</v>
      </c>
      <c r="EQ263">
        <f t="shared" si="690"/>
        <v>813581</v>
      </c>
      <c r="ER263">
        <f t="shared" si="691"/>
        <v>60000</v>
      </c>
      <c r="ES263">
        <f t="shared" si="692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693"/>
        <v>60000</v>
      </c>
      <c r="FE263">
        <f t="shared" si="694"/>
        <v>60000</v>
      </c>
      <c r="FF263">
        <f t="shared" si="695"/>
        <v>753581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>SUM(FG263:FM263)+(IF(F263="YES",50000,0))</f>
        <v>0</v>
      </c>
      <c r="FO263">
        <f t="shared" si="696"/>
        <v>753581</v>
      </c>
      <c r="FP263">
        <f t="shared" si="697"/>
        <v>12500</v>
      </c>
      <c r="FQ263">
        <f t="shared" si="698"/>
        <v>50716</v>
      </c>
      <c r="FR263">
        <f t="shared" si="699"/>
        <v>63216</v>
      </c>
      <c r="FS263">
        <f t="shared" si="700"/>
        <v>63216</v>
      </c>
      <c r="FT263">
        <f t="shared" si="701"/>
        <v>2528.64</v>
      </c>
      <c r="FU263">
        <f t="shared" si="702"/>
        <v>65745</v>
      </c>
      <c r="FV263">
        <v>0</v>
      </c>
      <c r="FW263">
        <f t="shared" si="703"/>
        <v>65745</v>
      </c>
      <c r="FX263" t="b">
        <f t="shared" si="704"/>
        <v>1</v>
      </c>
      <c r="FY263">
        <f t="shared" ca="1" si="705"/>
        <v>814</v>
      </c>
      <c r="FZ263">
        <f t="shared" ca="1" si="706"/>
        <v>866795</v>
      </c>
      <c r="GA263">
        <f t="shared" si="707"/>
        <v>75000</v>
      </c>
      <c r="GB263">
        <f t="shared" ca="1" si="708"/>
        <v>791795</v>
      </c>
      <c r="GC263">
        <f t="shared" ca="1" si="709"/>
        <v>0</v>
      </c>
      <c r="GD263">
        <f t="shared" ca="1" si="710"/>
        <v>0</v>
      </c>
      <c r="GE263">
        <f t="shared" ca="1" si="711"/>
        <v>0</v>
      </c>
      <c r="GF263">
        <f t="shared" ca="1" si="712"/>
        <v>0</v>
      </c>
      <c r="GG263">
        <f t="shared" ca="1" si="713"/>
        <v>0</v>
      </c>
      <c r="GH263">
        <f t="shared" ca="1" si="714"/>
        <v>0</v>
      </c>
      <c r="GI263">
        <f ca="1">IF(GB263&gt;1200000,GB263-1200000-IF(F263="YES",50000,0)-GG263,0)</f>
        <v>0</v>
      </c>
      <c r="GJ263">
        <f t="shared" ca="1" si="715"/>
        <v>0</v>
      </c>
      <c r="GK263">
        <f t="shared" ca="1" si="716"/>
        <v>0</v>
      </c>
      <c r="GL263">
        <f t="shared" ca="1" si="717"/>
        <v>0</v>
      </c>
      <c r="GM263">
        <f t="shared" ca="1" si="718"/>
        <v>391795</v>
      </c>
      <c r="GN263">
        <f t="shared" ca="1" si="719"/>
        <v>19589.75</v>
      </c>
      <c r="GO263">
        <f t="shared" ca="1" si="720"/>
        <v>19590</v>
      </c>
      <c r="GP263">
        <f t="shared" ca="1" si="721"/>
        <v>0</v>
      </c>
      <c r="GQ263">
        <f t="shared" ca="1" si="722"/>
        <v>0</v>
      </c>
      <c r="GR263">
        <f t="shared" ca="1" si="723"/>
        <v>19590</v>
      </c>
      <c r="GS263">
        <f t="shared" ca="1" si="724"/>
        <v>0</v>
      </c>
      <c r="GT263" t="b">
        <f t="shared" ca="1" si="725"/>
        <v>0</v>
      </c>
      <c r="GU263">
        <f t="shared" ca="1" si="726"/>
        <v>0</v>
      </c>
      <c r="GV263">
        <f t="shared" ca="1" si="727"/>
        <v>19590</v>
      </c>
      <c r="GW263">
        <f t="shared" ca="1" si="728"/>
        <v>0</v>
      </c>
      <c r="GX263">
        <f t="shared" ca="1" si="729"/>
        <v>0</v>
      </c>
      <c r="GY263">
        <f t="shared" ca="1" si="730"/>
        <v>0</v>
      </c>
    </row>
    <row r="264" spans="1:207" x14ac:dyDescent="0.25">
      <c r="A264">
        <f>_xlfn.AGGREGATE(3,5,$B$2:B264)</f>
        <v>263</v>
      </c>
      <c r="B264" t="s">
        <v>618</v>
      </c>
      <c r="C264" t="s">
        <v>619</v>
      </c>
      <c r="D264" t="s">
        <v>815</v>
      </c>
      <c r="E264" t="s">
        <v>830</v>
      </c>
      <c r="F264" t="s">
        <v>952</v>
      </c>
      <c r="G264" t="s">
        <v>877</v>
      </c>
      <c r="H264">
        <f t="shared" si="813"/>
        <v>6800</v>
      </c>
      <c r="I264">
        <f>_xlfn.XLOOKUP(B264,'[1]march-2026'!$A:$A,'[1]march-2026'!$C:$C,0,0)</f>
        <v>35500</v>
      </c>
      <c r="J264">
        <f t="shared" si="877"/>
        <v>6390</v>
      </c>
      <c r="K264">
        <f t="shared" si="814"/>
        <v>4260</v>
      </c>
      <c r="L264">
        <f>_xlfn.XLOOKUP(B264,'[1]march-2026'!$A:$A,'[1]march-2026'!$D:$D,0,0)</f>
        <v>0</v>
      </c>
      <c r="M264">
        <f>_xlfn.XLOOKUP(B264,'[1]march-2026'!$A:$A,'[1]march-2026'!$G:$G,0,0)</f>
        <v>500</v>
      </c>
      <c r="N264">
        <f t="shared" si="815"/>
        <v>46650</v>
      </c>
      <c r="O264">
        <f>_xlfn.XLOOKUP(B264,'[1]march-2026'!$A:$A,'[1]march-2026'!$H:$H,0,0)</f>
        <v>3000</v>
      </c>
      <c r="P264">
        <f>_xlfn.XLOOKUP(B264,'[1]march-2026'!$A:$A,'[1]march-2026'!$I:$I,0,0)</f>
        <v>0</v>
      </c>
      <c r="Q264">
        <f t="shared" si="816"/>
        <v>200</v>
      </c>
      <c r="R264">
        <f t="shared" si="817"/>
        <v>43450</v>
      </c>
      <c r="S264">
        <f>_xlfn.XLOOKUP(B264,'[2]april-2026'!$A:$A,'[2]april-2026'!$C:$C,0,0)</f>
        <v>35500</v>
      </c>
      <c r="T264">
        <f t="shared" si="818"/>
        <v>6390</v>
      </c>
      <c r="U264">
        <f t="shared" si="819"/>
        <v>4260</v>
      </c>
      <c r="V264">
        <f>_xlfn.XLOOKUP(B264,'[2]april-2026'!$A:$A,'[2]april-2026'!$D:$D,0,0)</f>
        <v>0</v>
      </c>
      <c r="W264">
        <f>_xlfn.XLOOKUP(B264,'[2]april-2026'!$A:$A,'[2]april-2026'!$G:$G,0,0)</f>
        <v>500</v>
      </c>
      <c r="X264">
        <f t="shared" si="820"/>
        <v>46650</v>
      </c>
      <c r="Y264">
        <f>_xlfn.XLOOKUP(B264,'[2]april-2026'!$A:$A,'[2]april-2026'!$H:$H,0,0)</f>
        <v>3000</v>
      </c>
      <c r="Z264">
        <f>_xlfn.XLOOKUP(B264,'[2]april-2026'!$A:$A,'[2]april-2026'!$I:$I,0,0)</f>
        <v>0</v>
      </c>
      <c r="AA264">
        <f t="shared" si="821"/>
        <v>200</v>
      </c>
      <c r="AB264">
        <f t="shared" si="822"/>
        <v>43450</v>
      </c>
      <c r="AC264">
        <f>_xlfn.XLOOKUP(B264,'[3]may-2026'!$A:$A,'[3]may-2026'!$C:$C,0,0)</f>
        <v>35500</v>
      </c>
      <c r="AD264">
        <f t="shared" si="823"/>
        <v>6390</v>
      </c>
      <c r="AE264">
        <f t="shared" si="824"/>
        <v>4260</v>
      </c>
      <c r="AF264">
        <f>_xlfn.XLOOKUP(B264,'[3]may-2026'!$A:$A,'[3]may-2026'!$D:$D,0,0)</f>
        <v>0</v>
      </c>
      <c r="AG264">
        <f>_xlfn.XLOOKUP(B264,'[3]may-2026'!$A:$A,'[3]may-2026'!$G:$G,0,0)</f>
        <v>500</v>
      </c>
      <c r="AH264">
        <f t="shared" si="825"/>
        <v>46650</v>
      </c>
      <c r="AI264">
        <f>_xlfn.XLOOKUP(B264,'[3]may-2026'!$A:$A,'[3]may-2026'!$H:$H,0,0)</f>
        <v>3000</v>
      </c>
      <c r="AJ264">
        <f>_xlfn.XLOOKUP(B264,'[3]may-2026'!$A:$A,'[3]may-2026'!$I:$I,0,0)</f>
        <v>0</v>
      </c>
      <c r="AK264">
        <f t="shared" si="826"/>
        <v>200</v>
      </c>
      <c r="AL264">
        <f t="shared" si="827"/>
        <v>43450</v>
      </c>
      <c r="AM264">
        <f>_xlfn.XLOOKUP(B264,'[4]june-2026'!$A:$A,'[4]june-2026'!$C:$C,0,0)</f>
        <v>35500</v>
      </c>
      <c r="AN264">
        <f t="shared" si="828"/>
        <v>6390</v>
      </c>
      <c r="AO264">
        <f t="shared" si="829"/>
        <v>4260</v>
      </c>
      <c r="AP264">
        <f>_xlfn.XLOOKUP(B264,'[4]june-2026'!$A:$A,'[4]june-2026'!$D:$D,0,0)</f>
        <v>0</v>
      </c>
      <c r="AQ264">
        <f>_xlfn.XLOOKUP(B264,'[4]june-2026'!$A:$A,'[4]june-2026'!$G:$G,0,0)</f>
        <v>500</v>
      </c>
      <c r="AR264">
        <f t="shared" si="830"/>
        <v>46650</v>
      </c>
      <c r="AS264">
        <f>_xlfn.XLOOKUP(B264,'[4]june-2026'!$A:$A,'[4]june-2026'!$H:$H,0,0)</f>
        <v>3000</v>
      </c>
      <c r="AT264">
        <f>_xlfn.XLOOKUP(B264,'[4]june-2026'!$A:$A,'[4]june-2026'!$I:$I,0,0)</f>
        <v>0</v>
      </c>
      <c r="AU264">
        <f t="shared" si="831"/>
        <v>200</v>
      </c>
      <c r="AV264">
        <f t="shared" si="832"/>
        <v>43450</v>
      </c>
      <c r="AW264">
        <f>_xlfn.XLOOKUP(B264,'[5]july-2026'!$A:$A,'[5]july-2026'!$C:$C,0,0)</f>
        <v>36600</v>
      </c>
      <c r="AX264">
        <f t="shared" si="833"/>
        <v>6588</v>
      </c>
      <c r="AY264">
        <v>262</v>
      </c>
      <c r="AZ264">
        <f t="shared" si="834"/>
        <v>4392</v>
      </c>
      <c r="BA264">
        <f>_xlfn.XLOOKUP(B264,'[5]july-2026'!$A:$A,'[5]july-2026'!$D:$D,0,0)</f>
        <v>0</v>
      </c>
      <c r="BB264">
        <f>_xlfn.XLOOKUP(B264,'[5]july-2026'!$A:$A,'[5]july-2026'!$G:$G,0,0)</f>
        <v>500</v>
      </c>
      <c r="BC264">
        <f t="shared" si="835"/>
        <v>48342</v>
      </c>
      <c r="BD264">
        <f>_xlfn.XLOOKUP(B264,'[5]july-2026'!$A:$A,'[5]july-2026'!$H:$H,0,0)</f>
        <v>3000</v>
      </c>
      <c r="BE264">
        <f>_xlfn.XLOOKUP(B264,'[5]july-2026'!$A:$A,'[5]july-2026'!$I:$I,0,0)</f>
        <v>0</v>
      </c>
      <c r="BF264">
        <f t="shared" si="836"/>
        <v>200</v>
      </c>
      <c r="BG264">
        <f t="shared" si="837"/>
        <v>45142</v>
      </c>
      <c r="BH264">
        <f>_xlfn.XLOOKUP(B264,'[6]august-2026'!$A:$A,'[6]august-2026'!$C:$C,0,0)</f>
        <v>36600</v>
      </c>
      <c r="BI264">
        <f t="shared" si="838"/>
        <v>6588</v>
      </c>
      <c r="BJ264">
        <f t="shared" si="839"/>
        <v>4392</v>
      </c>
      <c r="BK264">
        <f>_xlfn.XLOOKUP(B264,'[6]august-2026'!$A:$A,'[6]august-2026'!$D:$D,0,0)</f>
        <v>0</v>
      </c>
      <c r="BL264">
        <f>_xlfn.XLOOKUP(B264,'[6]august-2026'!$A:$A,'[6]august-2026'!$G:$G,0,0)</f>
        <v>500</v>
      </c>
      <c r="BM264">
        <f t="shared" si="840"/>
        <v>48080</v>
      </c>
      <c r="BN264">
        <f>_xlfn.XLOOKUP(B264,'[6]august-2026'!$A:$A,'[6]august-2026'!$H:$H,0,0)</f>
        <v>3000</v>
      </c>
      <c r="BO264">
        <f>_xlfn.XLOOKUP(B264,'[6]august-2026'!$A:$A,'[6]august-2026'!$I:$I,0,0)</f>
        <v>0</v>
      </c>
      <c r="BP264">
        <f t="shared" si="841"/>
        <v>200</v>
      </c>
      <c r="BQ264">
        <f t="shared" si="842"/>
        <v>44880</v>
      </c>
      <c r="BR264">
        <f>_xlfn.XLOOKUP(B264,'[7]september-2026'!$A:$A,'[7]september-2026'!$C:$C,0,0)</f>
        <v>36600</v>
      </c>
      <c r="BS264">
        <f t="shared" si="843"/>
        <v>6588</v>
      </c>
      <c r="BT264">
        <f t="shared" si="844"/>
        <v>4392</v>
      </c>
      <c r="BU264">
        <f>_xlfn.XLOOKUP(B264,'[7]september-2026'!$A:$A,'[7]september-2026'!$D:$D,0,0)</f>
        <v>0</v>
      </c>
      <c r="BV264">
        <f>_xlfn.XLOOKUP(B264,'[7]september-2026'!$A:$A,'[7]september-2026'!$G:$G,0,0)</f>
        <v>500</v>
      </c>
      <c r="BW264">
        <f t="shared" si="845"/>
        <v>48080</v>
      </c>
      <c r="BX264">
        <f>_xlfn.XLOOKUP(B264,'[7]september-2026'!$A:$A,'[7]september-2026'!$H:$H,0,0)</f>
        <v>3000</v>
      </c>
      <c r="BY264">
        <f>_xlfn.XLOOKUP(B264,'[7]september-2026'!$A:$A,'[7]september-2026'!$I:$I,0,0)</f>
        <v>0</v>
      </c>
      <c r="BZ264">
        <f t="shared" si="846"/>
        <v>200</v>
      </c>
      <c r="CA264">
        <f t="shared" si="847"/>
        <v>44880</v>
      </c>
      <c r="CB264">
        <f>_xlfn.XLOOKUP(B264,'[8]october-2026'!$A:$A,'[8]october-2026'!$C:$C,0,0)</f>
        <v>36600</v>
      </c>
      <c r="CC264">
        <f t="shared" si="848"/>
        <v>6588</v>
      </c>
      <c r="CD264">
        <f t="shared" si="849"/>
        <v>4392</v>
      </c>
      <c r="CE264">
        <f>_xlfn.XLOOKUP(B264,'[8]october-2026'!$A:$A,'[8]october-2026'!$D:$D,0,0)</f>
        <v>0</v>
      </c>
      <c r="CF264">
        <f>_xlfn.XLOOKUP(B264,'[8]october-2026'!$A:$A,'[8]october-2026'!$G:$G,0,0)</f>
        <v>500</v>
      </c>
      <c r="CG264">
        <f t="shared" si="850"/>
        <v>48080</v>
      </c>
      <c r="CH264">
        <f>_xlfn.XLOOKUP(B264,'[8]october-2026'!$A:$A,'[8]october-2026'!$H:$H,0,0)</f>
        <v>3000</v>
      </c>
      <c r="CI264">
        <f>_xlfn.XLOOKUP(B264,'[8]october-2026'!$A:$A,'[8]october-2026'!$I:$I,0,0)</f>
        <v>0</v>
      </c>
      <c r="CJ264">
        <f t="shared" si="851"/>
        <v>200</v>
      </c>
      <c r="CK264">
        <f t="shared" si="852"/>
        <v>44880</v>
      </c>
      <c r="CL264">
        <f>_xlfn.XLOOKUP(B264,'[9]november-2026'!$A:$A,'[9]november-2026'!$C:$C,0,0)</f>
        <v>36600</v>
      </c>
      <c r="CM264">
        <f t="shared" si="853"/>
        <v>6588</v>
      </c>
      <c r="CN264">
        <f t="shared" si="854"/>
        <v>4392</v>
      </c>
      <c r="CO264">
        <f>_xlfn.XLOOKUP(B264,'[9]november-2026'!$A:$A,'[9]november-2026'!$D:$D,0,0)</f>
        <v>0</v>
      </c>
      <c r="CP264">
        <f>_xlfn.XLOOKUP(B264,'[9]november-2026'!$A:$A,'[9]november-2026'!$G:$G,0,0)</f>
        <v>500</v>
      </c>
      <c r="CQ264">
        <f t="shared" si="855"/>
        <v>48080</v>
      </c>
      <c r="CR264">
        <f>_xlfn.XLOOKUP(B264,'[9]november-2026'!$A:$A,'[9]november-2026'!$H:$H,0,0)</f>
        <v>3000</v>
      </c>
      <c r="CS264">
        <f>_xlfn.XLOOKUP(B264,'[9]november-2026'!$A:$A,'[9]november-2026'!$I:$I,0,0)</f>
        <v>0</v>
      </c>
      <c r="CT264">
        <f t="shared" si="856"/>
        <v>200</v>
      </c>
      <c r="CU264">
        <f t="shared" si="857"/>
        <v>44880</v>
      </c>
      <c r="CV264">
        <f>_xlfn.XLOOKUP(B264,'[10]december-2026'!$A:$A,'[10]december-2026'!$C:$C,0,0)</f>
        <v>36600</v>
      </c>
      <c r="CW264">
        <f t="shared" si="858"/>
        <v>6588</v>
      </c>
      <c r="CX264">
        <f t="shared" si="859"/>
        <v>4392</v>
      </c>
      <c r="CY264">
        <f>_xlfn.XLOOKUP(B264,'[10]december-2026'!$A:$A,'[10]december-2026'!$D:$D,0,0)</f>
        <v>0</v>
      </c>
      <c r="CZ264">
        <f>_xlfn.XLOOKUP(B264,'[10]december-2026'!$A:$A,'[10]december-2026'!$G:$G,0,0)</f>
        <v>500</v>
      </c>
      <c r="DA264">
        <f t="shared" si="860"/>
        <v>48080</v>
      </c>
      <c r="DB264">
        <f>_xlfn.XLOOKUP(B264,'[10]december-2026'!$A:$A,'[10]december-2026'!$H:$H,0,0)</f>
        <v>3000</v>
      </c>
      <c r="DC264">
        <f>_xlfn.XLOOKUP(B264,'[10]december-2026'!$A:$A,'[10]december-2026'!$I:$I,0,0)</f>
        <v>0</v>
      </c>
      <c r="DD264">
        <f t="shared" si="861"/>
        <v>200</v>
      </c>
      <c r="DE264">
        <f t="shared" si="862"/>
        <v>44880</v>
      </c>
      <c r="DF264">
        <f xml:space="preserve"> _xlfn.XLOOKUP(B264,
'[11]january-2027'!$A:$A,
'[11]january-2027'!$C:$C,
0,0)</f>
        <v>36600</v>
      </c>
      <c r="DG264">
        <f t="shared" si="863"/>
        <v>6588</v>
      </c>
      <c r="DH264">
        <f t="shared" si="864"/>
        <v>4392</v>
      </c>
      <c r="DI264">
        <f xml:space="preserve"> _xlfn.XLOOKUP(B264,
'[11]january-2027'!$A:$A,
'[11]january-2027'!$D:$D,
0,0)</f>
        <v>0</v>
      </c>
      <c r="DJ264">
        <f xml:space="preserve"> _xlfn.XLOOKUP(B264,
'[11]january-2027'!$A:$A,
'[11]january-2027'!$G:$G,
0,0)</f>
        <v>500</v>
      </c>
      <c r="DK264">
        <f t="shared" si="865"/>
        <v>48080</v>
      </c>
      <c r="DL264">
        <f xml:space="preserve"> _xlfn.XLOOKUP(B264,
'[11]january-2027'!$A:$A,
'[11]january-2027'!$H:$H,
0,0)</f>
        <v>3000</v>
      </c>
      <c r="DM264">
        <f xml:space="preserve"> _xlfn.XLOOKUP(B264,
'[11]january-2027'!$A:$A,
'[11]january-2027'!$I:$I,
0,0)</f>
        <v>0</v>
      </c>
      <c r="DN264">
        <f t="shared" si="866"/>
        <v>200</v>
      </c>
      <c r="DO264">
        <f t="shared" si="867"/>
        <v>44880</v>
      </c>
      <c r="DP264">
        <f xml:space="preserve"> _xlfn.XLOOKUP(B264,
'[12]february-2027'!$A:$A,
'[12]february-2027'!$C:$C,
0,0)</f>
        <v>36600</v>
      </c>
      <c r="DQ264">
        <f t="shared" si="868"/>
        <v>6588</v>
      </c>
      <c r="DR264">
        <f t="shared" si="869"/>
        <v>4392</v>
      </c>
      <c r="DS264">
        <f xml:space="preserve"> _xlfn.XLOOKUP(B264,
'[12]february-2027'!$A:$A,
'[12]february-2027'!$D:$D,
0,0)</f>
        <v>0</v>
      </c>
      <c r="DT264">
        <f xml:space="preserve"> _xlfn.XLOOKUP(B264,
'[12]february-2027'!$A:$A,
'[12]february-2027'!$G:$G,
0,0)</f>
        <v>500</v>
      </c>
      <c r="DU264">
        <f t="shared" si="870"/>
        <v>48080</v>
      </c>
      <c r="DV264">
        <f xml:space="preserve"> _xlfn.XLOOKUP(B264,
'[12]february-2027'!$A:$A,
'[12]february-2027'!$H:$H,
0,0)</f>
        <v>3000</v>
      </c>
      <c r="DW264">
        <f xml:space="preserve"> _xlfn.XLOOKUP(B264,
'[12]february-2027'!$A:$A,
'[12]february-2027'!$I:$I,
0,0)</f>
        <v>0</v>
      </c>
      <c r="DX264">
        <f t="shared" si="871"/>
        <v>200</v>
      </c>
      <c r="DY264">
        <f t="shared" si="872"/>
        <v>44880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873"/>
        <v>0</v>
      </c>
      <c r="EM264">
        <f t="shared" si="874"/>
        <v>578302</v>
      </c>
      <c r="EN264">
        <f t="shared" si="875"/>
        <v>2400</v>
      </c>
      <c r="EO264">
        <f t="shared" si="876"/>
        <v>50000</v>
      </c>
      <c r="EP264">
        <v>0</v>
      </c>
      <c r="EQ264">
        <f t="shared" si="690"/>
        <v>525902</v>
      </c>
      <c r="ER264">
        <f t="shared" si="691"/>
        <v>36000</v>
      </c>
      <c r="ES264">
        <f t="shared" si="692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693"/>
        <v>36000</v>
      </c>
      <c r="FE264">
        <f t="shared" si="694"/>
        <v>36000</v>
      </c>
      <c r="FF264">
        <f t="shared" si="695"/>
        <v>489902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>SUM(FG264:FM264)+(IF(F264="YES",50000,0))</f>
        <v>0</v>
      </c>
      <c r="FO264">
        <f t="shared" si="696"/>
        <v>489902</v>
      </c>
      <c r="FP264">
        <f t="shared" si="697"/>
        <v>11995</v>
      </c>
      <c r="FQ264">
        <f t="shared" si="698"/>
        <v>0</v>
      </c>
      <c r="FR264">
        <f t="shared" si="699"/>
        <v>11995</v>
      </c>
      <c r="FS264">
        <f t="shared" si="700"/>
        <v>0</v>
      </c>
      <c r="FT264">
        <f t="shared" si="701"/>
        <v>0</v>
      </c>
      <c r="FU264">
        <f t="shared" si="702"/>
        <v>0</v>
      </c>
      <c r="FV264">
        <v>0</v>
      </c>
      <c r="FW264">
        <f t="shared" si="703"/>
        <v>0</v>
      </c>
      <c r="FX264" t="b">
        <f t="shared" si="704"/>
        <v>1</v>
      </c>
      <c r="FY264">
        <f t="shared" ca="1" si="705"/>
        <v>553</v>
      </c>
      <c r="FZ264">
        <f t="shared" ca="1" si="706"/>
        <v>578855</v>
      </c>
      <c r="GA264">
        <f t="shared" si="707"/>
        <v>75000</v>
      </c>
      <c r="GB264">
        <f t="shared" ca="1" si="708"/>
        <v>503855</v>
      </c>
      <c r="GC264">
        <f t="shared" ca="1" si="709"/>
        <v>0</v>
      </c>
      <c r="GD264">
        <f t="shared" ca="1" si="710"/>
        <v>0</v>
      </c>
      <c r="GE264">
        <f t="shared" ca="1" si="711"/>
        <v>0</v>
      </c>
      <c r="GF264">
        <f t="shared" ca="1" si="712"/>
        <v>0</v>
      </c>
      <c r="GG264">
        <f t="shared" ca="1" si="713"/>
        <v>0</v>
      </c>
      <c r="GH264">
        <f t="shared" ca="1" si="714"/>
        <v>0</v>
      </c>
      <c r="GI264">
        <f ca="1">IF(GB264&gt;1200000,GB264-1200000-IF(F264="YES",50000,0)-GG264,0)</f>
        <v>0</v>
      </c>
      <c r="GJ264">
        <f t="shared" ca="1" si="715"/>
        <v>0</v>
      </c>
      <c r="GK264">
        <f t="shared" ca="1" si="716"/>
        <v>0</v>
      </c>
      <c r="GL264">
        <f t="shared" ca="1" si="717"/>
        <v>0</v>
      </c>
      <c r="GM264">
        <f t="shared" ca="1" si="718"/>
        <v>103855</v>
      </c>
      <c r="GN264">
        <f t="shared" ca="1" si="719"/>
        <v>5192.75</v>
      </c>
      <c r="GO264">
        <f t="shared" ca="1" si="720"/>
        <v>5193</v>
      </c>
      <c r="GP264">
        <f t="shared" ca="1" si="721"/>
        <v>0</v>
      </c>
      <c r="GQ264">
        <f t="shared" ca="1" si="722"/>
        <v>0</v>
      </c>
      <c r="GR264">
        <f t="shared" ca="1" si="723"/>
        <v>5193</v>
      </c>
      <c r="GS264">
        <f t="shared" ca="1" si="724"/>
        <v>0</v>
      </c>
      <c r="GT264" t="b">
        <f t="shared" ca="1" si="725"/>
        <v>0</v>
      </c>
      <c r="GU264">
        <f t="shared" ca="1" si="726"/>
        <v>0</v>
      </c>
      <c r="GV264">
        <f t="shared" ca="1" si="727"/>
        <v>5193</v>
      </c>
      <c r="GW264">
        <f t="shared" ca="1" si="728"/>
        <v>0</v>
      </c>
      <c r="GX264">
        <f t="shared" ca="1" si="729"/>
        <v>0</v>
      </c>
      <c r="GY264">
        <f t="shared" ca="1" si="730"/>
        <v>0</v>
      </c>
    </row>
    <row r="265" spans="1:207" x14ac:dyDescent="0.25">
      <c r="A265">
        <f>_xlfn.AGGREGATE(3,5,$B$2:B265)</f>
        <v>264</v>
      </c>
      <c r="B265" t="s">
        <v>620</v>
      </c>
      <c r="C265" t="s">
        <v>621</v>
      </c>
      <c r="D265" t="s">
        <v>815</v>
      </c>
      <c r="E265" t="s">
        <v>830</v>
      </c>
      <c r="F265" t="s">
        <v>952</v>
      </c>
      <c r="G265" t="s">
        <v>880</v>
      </c>
      <c r="H265">
        <f t="shared" si="813"/>
        <v>6800</v>
      </c>
      <c r="I265">
        <f>_xlfn.XLOOKUP(B265,'[1]march-2026'!$A:$A,'[1]march-2026'!$C:$C,0,0)</f>
        <v>29800</v>
      </c>
      <c r="J265">
        <f t="shared" si="877"/>
        <v>5364</v>
      </c>
      <c r="K265">
        <f t="shared" si="814"/>
        <v>3576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815"/>
        <v>39240</v>
      </c>
      <c r="O265">
        <f>_xlfn.XLOOKUP(B265,'[1]march-2026'!$A:$A,'[1]march-2026'!$H:$H,0,0)</f>
        <v>2000</v>
      </c>
      <c r="P265">
        <f>_xlfn.XLOOKUP(B265,'[1]march-2026'!$A:$A,'[1]march-2026'!$I:$I,0,0)</f>
        <v>0</v>
      </c>
      <c r="Q265">
        <f t="shared" si="816"/>
        <v>150</v>
      </c>
      <c r="R265">
        <f t="shared" si="817"/>
        <v>37090</v>
      </c>
      <c r="S265">
        <f>_xlfn.XLOOKUP(B265,'[2]april-2026'!$A:$A,'[2]april-2026'!$C:$C,0,0)</f>
        <v>29800</v>
      </c>
      <c r="T265">
        <f t="shared" si="818"/>
        <v>5364</v>
      </c>
      <c r="U265">
        <f t="shared" si="819"/>
        <v>3576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820"/>
        <v>39240</v>
      </c>
      <c r="Y265">
        <f>_xlfn.XLOOKUP(B265,'[2]april-2026'!$A:$A,'[2]april-2026'!$H:$H,0,0)</f>
        <v>2000</v>
      </c>
      <c r="Z265">
        <f>_xlfn.XLOOKUP(B265,'[2]april-2026'!$A:$A,'[2]april-2026'!$I:$I,0,0)</f>
        <v>0</v>
      </c>
      <c r="AA265">
        <f t="shared" si="821"/>
        <v>150</v>
      </c>
      <c r="AB265">
        <f t="shared" si="822"/>
        <v>37090</v>
      </c>
      <c r="AC265">
        <f>_xlfn.XLOOKUP(B265,'[3]may-2026'!$A:$A,'[3]may-2026'!$C:$C,0,0)</f>
        <v>29800</v>
      </c>
      <c r="AD265">
        <f t="shared" si="823"/>
        <v>5364</v>
      </c>
      <c r="AE265">
        <f t="shared" si="824"/>
        <v>3576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825"/>
        <v>39240</v>
      </c>
      <c r="AI265">
        <f>_xlfn.XLOOKUP(B265,'[3]may-2026'!$A:$A,'[3]may-2026'!$H:$H,0,0)</f>
        <v>2000</v>
      </c>
      <c r="AJ265">
        <f>_xlfn.XLOOKUP(B265,'[3]may-2026'!$A:$A,'[3]may-2026'!$I:$I,0,0)</f>
        <v>0</v>
      </c>
      <c r="AK265">
        <f t="shared" si="826"/>
        <v>150</v>
      </c>
      <c r="AL265">
        <f t="shared" si="827"/>
        <v>37090</v>
      </c>
      <c r="AM265">
        <f>_xlfn.XLOOKUP(B265,'[4]june-2026'!$A:$A,'[4]june-2026'!$C:$C,0,0)</f>
        <v>29800</v>
      </c>
      <c r="AN265">
        <f t="shared" si="828"/>
        <v>5364</v>
      </c>
      <c r="AO265">
        <f t="shared" si="829"/>
        <v>3576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830"/>
        <v>39240</v>
      </c>
      <c r="AS265">
        <f>_xlfn.XLOOKUP(B265,'[4]june-2026'!$A:$A,'[4]june-2026'!$H:$H,0,0)</f>
        <v>2000</v>
      </c>
      <c r="AT265">
        <f>_xlfn.XLOOKUP(B265,'[4]june-2026'!$A:$A,'[4]june-2026'!$I:$I,0,0)</f>
        <v>0</v>
      </c>
      <c r="AU265">
        <f t="shared" si="831"/>
        <v>150</v>
      </c>
      <c r="AV265">
        <f t="shared" si="832"/>
        <v>37090</v>
      </c>
      <c r="AW265">
        <f>_xlfn.XLOOKUP(B265,'[5]july-2026'!$A:$A,'[5]july-2026'!$C:$C,0,0)</f>
        <v>30700</v>
      </c>
      <c r="AX265">
        <f t="shared" si="833"/>
        <v>5526</v>
      </c>
      <c r="AY265">
        <v>263</v>
      </c>
      <c r="AZ265">
        <f t="shared" si="834"/>
        <v>3684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835"/>
        <v>40673</v>
      </c>
      <c r="BD265">
        <f>_xlfn.XLOOKUP(B265,'[5]july-2026'!$A:$A,'[5]july-2026'!$H:$H,0,0)</f>
        <v>2000</v>
      </c>
      <c r="BE265">
        <f>_xlfn.XLOOKUP(B265,'[5]july-2026'!$A:$A,'[5]july-2026'!$I:$I,0,0)</f>
        <v>0</v>
      </c>
      <c r="BF265">
        <f t="shared" si="836"/>
        <v>200</v>
      </c>
      <c r="BG265">
        <f t="shared" si="837"/>
        <v>38473</v>
      </c>
      <c r="BH265">
        <f>_xlfn.XLOOKUP(B265,'[6]august-2026'!$A:$A,'[6]august-2026'!$C:$C,0,0)</f>
        <v>30700</v>
      </c>
      <c r="BI265">
        <f t="shared" si="838"/>
        <v>5526</v>
      </c>
      <c r="BJ265">
        <f t="shared" si="839"/>
        <v>3684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840"/>
        <v>40410</v>
      </c>
      <c r="BN265">
        <f>_xlfn.XLOOKUP(B265,'[6]august-2026'!$A:$A,'[6]august-2026'!$H:$H,0,0)</f>
        <v>2000</v>
      </c>
      <c r="BO265">
        <f>_xlfn.XLOOKUP(B265,'[6]august-2026'!$A:$A,'[6]august-2026'!$I:$I,0,0)</f>
        <v>0</v>
      </c>
      <c r="BP265">
        <f t="shared" si="841"/>
        <v>200</v>
      </c>
      <c r="BQ265">
        <f t="shared" si="842"/>
        <v>38210</v>
      </c>
      <c r="BR265">
        <f>_xlfn.XLOOKUP(B265,'[7]september-2026'!$A:$A,'[7]september-2026'!$C:$C,0,0)</f>
        <v>30700</v>
      </c>
      <c r="BS265">
        <f t="shared" si="843"/>
        <v>5526</v>
      </c>
      <c r="BT265">
        <f t="shared" si="844"/>
        <v>3684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845"/>
        <v>40410</v>
      </c>
      <c r="BX265">
        <f>_xlfn.XLOOKUP(B265,'[7]september-2026'!$A:$A,'[7]september-2026'!$H:$H,0,0)</f>
        <v>2000</v>
      </c>
      <c r="BY265">
        <f>_xlfn.XLOOKUP(B265,'[7]september-2026'!$A:$A,'[7]september-2026'!$I:$I,0,0)</f>
        <v>0</v>
      </c>
      <c r="BZ265">
        <f t="shared" si="846"/>
        <v>200</v>
      </c>
      <c r="CA265">
        <f t="shared" si="847"/>
        <v>38210</v>
      </c>
      <c r="CB265">
        <f>_xlfn.XLOOKUP(B265,'[8]october-2026'!$A:$A,'[8]october-2026'!$C:$C,0,0)</f>
        <v>30700</v>
      </c>
      <c r="CC265">
        <f t="shared" si="848"/>
        <v>5526</v>
      </c>
      <c r="CD265">
        <f t="shared" si="849"/>
        <v>3684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850"/>
        <v>40410</v>
      </c>
      <c r="CH265">
        <f>_xlfn.XLOOKUP(B265,'[8]october-2026'!$A:$A,'[8]october-2026'!$H:$H,0,0)</f>
        <v>2000</v>
      </c>
      <c r="CI265">
        <f>_xlfn.XLOOKUP(B265,'[8]october-2026'!$A:$A,'[8]october-2026'!$I:$I,0,0)</f>
        <v>0</v>
      </c>
      <c r="CJ265">
        <f t="shared" si="851"/>
        <v>200</v>
      </c>
      <c r="CK265">
        <f t="shared" si="852"/>
        <v>38210</v>
      </c>
      <c r="CL265">
        <f>_xlfn.XLOOKUP(B265,'[9]november-2026'!$A:$A,'[9]november-2026'!$C:$C,0,0)</f>
        <v>30700</v>
      </c>
      <c r="CM265">
        <f t="shared" si="853"/>
        <v>5526</v>
      </c>
      <c r="CN265">
        <f t="shared" si="854"/>
        <v>3684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855"/>
        <v>40410</v>
      </c>
      <c r="CR265">
        <f>_xlfn.XLOOKUP(B265,'[9]november-2026'!$A:$A,'[9]november-2026'!$H:$H,0,0)</f>
        <v>2000</v>
      </c>
      <c r="CS265">
        <f>_xlfn.XLOOKUP(B265,'[9]november-2026'!$A:$A,'[9]november-2026'!$I:$I,0,0)</f>
        <v>0</v>
      </c>
      <c r="CT265">
        <f t="shared" si="856"/>
        <v>200</v>
      </c>
      <c r="CU265">
        <f t="shared" si="857"/>
        <v>38210</v>
      </c>
      <c r="CV265">
        <f>_xlfn.XLOOKUP(B265,'[10]december-2026'!$A:$A,'[10]december-2026'!$C:$C,0,0)</f>
        <v>30700</v>
      </c>
      <c r="CW265">
        <f t="shared" si="858"/>
        <v>5526</v>
      </c>
      <c r="CX265">
        <f t="shared" si="859"/>
        <v>3684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860"/>
        <v>40410</v>
      </c>
      <c r="DB265">
        <f>_xlfn.XLOOKUP(B265,'[10]december-2026'!$A:$A,'[10]december-2026'!$H:$H,0,0)</f>
        <v>2000</v>
      </c>
      <c r="DC265">
        <f>_xlfn.XLOOKUP(B265,'[10]december-2026'!$A:$A,'[10]december-2026'!$I:$I,0,0)</f>
        <v>0</v>
      </c>
      <c r="DD265">
        <f t="shared" si="861"/>
        <v>200</v>
      </c>
      <c r="DE265">
        <f t="shared" si="862"/>
        <v>38210</v>
      </c>
      <c r="DF265">
        <f xml:space="preserve"> _xlfn.XLOOKUP(B265,
'[11]january-2027'!$A:$A,
'[11]january-2027'!$C:$C,
0,0)</f>
        <v>30700</v>
      </c>
      <c r="DG265">
        <f t="shared" si="863"/>
        <v>5526</v>
      </c>
      <c r="DH265">
        <f t="shared" si="864"/>
        <v>3684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865"/>
        <v>40410</v>
      </c>
      <c r="DL265">
        <f xml:space="preserve"> _xlfn.XLOOKUP(B265,
'[11]january-2027'!$A:$A,
'[11]january-2027'!$H:$H,
0,0)</f>
        <v>2000</v>
      </c>
      <c r="DM265">
        <f xml:space="preserve"> _xlfn.XLOOKUP(B265,
'[11]january-2027'!$A:$A,
'[11]january-2027'!$I:$I,
0,0)</f>
        <v>0</v>
      </c>
      <c r="DN265">
        <f t="shared" si="866"/>
        <v>200</v>
      </c>
      <c r="DO265">
        <f t="shared" si="867"/>
        <v>38210</v>
      </c>
      <c r="DP265">
        <f xml:space="preserve"> _xlfn.XLOOKUP(B265,
'[12]february-2027'!$A:$A,
'[12]february-2027'!$C:$C,
0,0)</f>
        <v>30700</v>
      </c>
      <c r="DQ265">
        <f t="shared" si="868"/>
        <v>5526</v>
      </c>
      <c r="DR265">
        <f t="shared" si="869"/>
        <v>3684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870"/>
        <v>40410</v>
      </c>
      <c r="DV265">
        <f xml:space="preserve"> _xlfn.XLOOKUP(B265,
'[12]february-2027'!$A:$A,
'[12]february-2027'!$H:$H,
0,0)</f>
        <v>2000</v>
      </c>
      <c r="DW265">
        <f xml:space="preserve"> _xlfn.XLOOKUP(B265,
'[12]february-2027'!$A:$A,
'[12]february-2027'!$I:$I,
0,0)</f>
        <v>0</v>
      </c>
      <c r="DX265">
        <f t="shared" si="871"/>
        <v>200</v>
      </c>
      <c r="DY265">
        <f t="shared" si="872"/>
        <v>38210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873"/>
        <v>0</v>
      </c>
      <c r="EM265">
        <f t="shared" si="874"/>
        <v>487303</v>
      </c>
      <c r="EN265">
        <f t="shared" si="875"/>
        <v>2200</v>
      </c>
      <c r="EO265">
        <f t="shared" si="876"/>
        <v>50000</v>
      </c>
      <c r="EP265">
        <v>0</v>
      </c>
      <c r="EQ265">
        <f t="shared" ref="EQ265:EQ311" si="878">EM265-EN265-EO265+EL265</f>
        <v>435103</v>
      </c>
      <c r="ER265">
        <f t="shared" si="691"/>
        <v>24000</v>
      </c>
      <c r="ES265">
        <f t="shared" si="692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693"/>
        <v>24000</v>
      </c>
      <c r="FE265">
        <f t="shared" si="694"/>
        <v>24000</v>
      </c>
      <c r="FF265">
        <f t="shared" si="695"/>
        <v>411103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>SUM(FG265:FM265)+(IF(F265="YES",50000,0))</f>
        <v>0</v>
      </c>
      <c r="FO265">
        <f t="shared" si="696"/>
        <v>411103</v>
      </c>
      <c r="FP265">
        <f t="shared" si="697"/>
        <v>8055</v>
      </c>
      <c r="FQ265">
        <f t="shared" si="698"/>
        <v>0</v>
      </c>
      <c r="FR265">
        <f t="shared" si="699"/>
        <v>8055</v>
      </c>
      <c r="FS265">
        <f t="shared" si="700"/>
        <v>0</v>
      </c>
      <c r="FT265">
        <f t="shared" si="701"/>
        <v>0</v>
      </c>
      <c r="FU265">
        <f t="shared" si="702"/>
        <v>0</v>
      </c>
      <c r="FV265">
        <v>0</v>
      </c>
      <c r="FW265">
        <f t="shared" si="703"/>
        <v>0</v>
      </c>
      <c r="FX265" t="b">
        <f t="shared" si="704"/>
        <v>0</v>
      </c>
      <c r="FY265">
        <f t="shared" ca="1" si="705"/>
        <v>1780</v>
      </c>
      <c r="FZ265">
        <f t="shared" ca="1" si="706"/>
        <v>489083</v>
      </c>
      <c r="GA265">
        <f t="shared" si="707"/>
        <v>75000</v>
      </c>
      <c r="GB265">
        <f t="shared" ca="1" si="708"/>
        <v>414083</v>
      </c>
      <c r="GC265">
        <f t="shared" ca="1" si="709"/>
        <v>0</v>
      </c>
      <c r="GD265">
        <f t="shared" ca="1" si="710"/>
        <v>0</v>
      </c>
      <c r="GE265">
        <f t="shared" ca="1" si="711"/>
        <v>0</v>
      </c>
      <c r="GF265">
        <f t="shared" ca="1" si="712"/>
        <v>0</v>
      </c>
      <c r="GG265">
        <f t="shared" ca="1" si="713"/>
        <v>0</v>
      </c>
      <c r="GH265">
        <f t="shared" ca="1" si="714"/>
        <v>0</v>
      </c>
      <c r="GI265">
        <f ca="1">IF(GB265&gt;1200000,GB265-1200000-IF(F265="YES",50000,0)-GG265,0)</f>
        <v>0</v>
      </c>
      <c r="GJ265">
        <f t="shared" ca="1" si="715"/>
        <v>0</v>
      </c>
      <c r="GK265">
        <f t="shared" ca="1" si="716"/>
        <v>0</v>
      </c>
      <c r="GL265">
        <f t="shared" ca="1" si="717"/>
        <v>0</v>
      </c>
      <c r="GM265">
        <f t="shared" ca="1" si="718"/>
        <v>14083</v>
      </c>
      <c r="GN265">
        <f t="shared" ca="1" si="719"/>
        <v>704.15000000000009</v>
      </c>
      <c r="GO265">
        <f t="shared" ca="1" si="720"/>
        <v>704</v>
      </c>
      <c r="GP265">
        <f t="shared" ca="1" si="721"/>
        <v>0</v>
      </c>
      <c r="GQ265">
        <f t="shared" ca="1" si="722"/>
        <v>0</v>
      </c>
      <c r="GR265">
        <f t="shared" ca="1" si="723"/>
        <v>704</v>
      </c>
      <c r="GS265">
        <f t="shared" ca="1" si="724"/>
        <v>0</v>
      </c>
      <c r="GT265" t="b">
        <f t="shared" ca="1" si="725"/>
        <v>0</v>
      </c>
      <c r="GU265">
        <f t="shared" ca="1" si="726"/>
        <v>0</v>
      </c>
      <c r="GV265">
        <f t="shared" ca="1" si="727"/>
        <v>704</v>
      </c>
      <c r="GW265">
        <f t="shared" ca="1" si="728"/>
        <v>0</v>
      </c>
      <c r="GX265">
        <f t="shared" ca="1" si="729"/>
        <v>0</v>
      </c>
      <c r="GY265">
        <f t="shared" ca="1" si="730"/>
        <v>0</v>
      </c>
    </row>
    <row r="266" spans="1:207" x14ac:dyDescent="0.25">
      <c r="A266">
        <f>_xlfn.AGGREGATE(3,5,$B$2:B266)</f>
        <v>265</v>
      </c>
      <c r="B266" t="s">
        <v>622</v>
      </c>
      <c r="C266" t="s">
        <v>623</v>
      </c>
      <c r="D266" t="s">
        <v>816</v>
      </c>
      <c r="E266" t="s">
        <v>830</v>
      </c>
      <c r="F266" t="s">
        <v>952</v>
      </c>
      <c r="G266" t="s">
        <v>948</v>
      </c>
      <c r="H266">
        <f t="shared" si="813"/>
        <v>6800</v>
      </c>
      <c r="I266">
        <f>_xlfn.XLOOKUP(B266,'[1]march-2026'!$A:$A,'[1]march-2026'!$C:$C,0,0)</f>
        <v>35500</v>
      </c>
      <c r="J266">
        <f t="shared" si="877"/>
        <v>6390</v>
      </c>
      <c r="K266">
        <f t="shared" si="814"/>
        <v>4260</v>
      </c>
      <c r="L266">
        <f>_xlfn.XLOOKUP(B266,'[1]march-2026'!$A:$A,'[1]march-2026'!$D:$D,0,0)</f>
        <v>400</v>
      </c>
      <c r="M266">
        <f>_xlfn.XLOOKUP(B266,'[1]march-2026'!$A:$A,'[1]march-2026'!$G:$G,0,0)</f>
        <v>500</v>
      </c>
      <c r="N266">
        <f t="shared" si="815"/>
        <v>47050</v>
      </c>
      <c r="O266">
        <f>_xlfn.XLOOKUP(B266,'[1]march-2026'!$A:$A,'[1]march-2026'!$H:$H,0,0)</f>
        <v>3000</v>
      </c>
      <c r="P266">
        <f>_xlfn.XLOOKUP(B266,'[1]march-2026'!$A:$A,'[1]march-2026'!$I:$I,0,0)</f>
        <v>0</v>
      </c>
      <c r="Q266">
        <f t="shared" si="816"/>
        <v>200</v>
      </c>
      <c r="R266">
        <f t="shared" si="817"/>
        <v>43850</v>
      </c>
      <c r="S266">
        <f>_xlfn.XLOOKUP(B266,'[2]april-2026'!$A:$A,'[2]april-2026'!$C:$C,0,0)</f>
        <v>35500</v>
      </c>
      <c r="T266">
        <f t="shared" si="818"/>
        <v>6390</v>
      </c>
      <c r="U266">
        <f t="shared" si="819"/>
        <v>4260</v>
      </c>
      <c r="V266">
        <f>_xlfn.XLOOKUP(B266,'[2]april-2026'!$A:$A,'[2]april-2026'!$D:$D,0,0)</f>
        <v>400</v>
      </c>
      <c r="W266">
        <f>_xlfn.XLOOKUP(B266,'[2]april-2026'!$A:$A,'[2]april-2026'!$G:$G,0,0)</f>
        <v>500</v>
      </c>
      <c r="X266">
        <f t="shared" si="820"/>
        <v>47050</v>
      </c>
      <c r="Y266">
        <f>_xlfn.XLOOKUP(B266,'[2]april-2026'!$A:$A,'[2]april-2026'!$H:$H,0,0)</f>
        <v>3000</v>
      </c>
      <c r="Z266">
        <f>_xlfn.XLOOKUP(B266,'[2]april-2026'!$A:$A,'[2]april-2026'!$I:$I,0,0)</f>
        <v>0</v>
      </c>
      <c r="AA266">
        <f t="shared" si="821"/>
        <v>200</v>
      </c>
      <c r="AB266">
        <f t="shared" si="822"/>
        <v>43850</v>
      </c>
      <c r="AC266">
        <f>_xlfn.XLOOKUP(B266,'[3]may-2026'!$A:$A,'[3]may-2026'!$C:$C,0,0)</f>
        <v>35500</v>
      </c>
      <c r="AD266">
        <f t="shared" si="823"/>
        <v>6390</v>
      </c>
      <c r="AE266">
        <f t="shared" si="824"/>
        <v>4260</v>
      </c>
      <c r="AF266">
        <f>_xlfn.XLOOKUP(B266,'[3]may-2026'!$A:$A,'[3]may-2026'!$D:$D,0,0)</f>
        <v>400</v>
      </c>
      <c r="AG266">
        <f>_xlfn.XLOOKUP(B266,'[3]may-2026'!$A:$A,'[3]may-2026'!$G:$G,0,0)</f>
        <v>500</v>
      </c>
      <c r="AH266">
        <f t="shared" si="825"/>
        <v>47050</v>
      </c>
      <c r="AI266">
        <f>_xlfn.XLOOKUP(B266,'[3]may-2026'!$A:$A,'[3]may-2026'!$H:$H,0,0)</f>
        <v>3000</v>
      </c>
      <c r="AJ266">
        <f>_xlfn.XLOOKUP(B266,'[3]may-2026'!$A:$A,'[3]may-2026'!$I:$I,0,0)</f>
        <v>0</v>
      </c>
      <c r="AK266">
        <f t="shared" si="826"/>
        <v>200</v>
      </c>
      <c r="AL266">
        <f t="shared" si="827"/>
        <v>43850</v>
      </c>
      <c r="AM266">
        <f>_xlfn.XLOOKUP(B266,'[4]june-2026'!$A:$A,'[4]june-2026'!$C:$C,0,0)</f>
        <v>35500</v>
      </c>
      <c r="AN266">
        <f t="shared" si="828"/>
        <v>6390</v>
      </c>
      <c r="AO266">
        <f t="shared" si="829"/>
        <v>4260</v>
      </c>
      <c r="AP266">
        <f>_xlfn.XLOOKUP(B266,'[4]june-2026'!$A:$A,'[4]june-2026'!$D:$D,0,0)</f>
        <v>400</v>
      </c>
      <c r="AQ266">
        <f>_xlfn.XLOOKUP(B266,'[4]june-2026'!$A:$A,'[4]june-2026'!$G:$G,0,0)</f>
        <v>500</v>
      </c>
      <c r="AR266">
        <f t="shared" si="830"/>
        <v>47050</v>
      </c>
      <c r="AS266">
        <f>_xlfn.XLOOKUP(B266,'[4]june-2026'!$A:$A,'[4]june-2026'!$H:$H,0,0)</f>
        <v>3000</v>
      </c>
      <c r="AT266">
        <f>_xlfn.XLOOKUP(B266,'[4]june-2026'!$A:$A,'[4]june-2026'!$I:$I,0,0)</f>
        <v>0</v>
      </c>
      <c r="AU266">
        <f t="shared" si="831"/>
        <v>200</v>
      </c>
      <c r="AV266">
        <f t="shared" si="832"/>
        <v>43850</v>
      </c>
      <c r="AW266">
        <f>_xlfn.XLOOKUP(B266,'[5]july-2026'!$A:$A,'[5]july-2026'!$C:$C,0,0)</f>
        <v>36600</v>
      </c>
      <c r="AX266">
        <f t="shared" si="833"/>
        <v>6588</v>
      </c>
      <c r="AY266">
        <v>264</v>
      </c>
      <c r="AZ266">
        <f t="shared" si="834"/>
        <v>4392</v>
      </c>
      <c r="BA266">
        <f>_xlfn.XLOOKUP(B266,'[5]july-2026'!$A:$A,'[5]july-2026'!$D:$D,0,0)</f>
        <v>400</v>
      </c>
      <c r="BB266">
        <f>_xlfn.XLOOKUP(B266,'[5]july-2026'!$A:$A,'[5]july-2026'!$G:$G,0,0)</f>
        <v>500</v>
      </c>
      <c r="BC266">
        <f t="shared" si="835"/>
        <v>48744</v>
      </c>
      <c r="BD266">
        <f>_xlfn.XLOOKUP(B266,'[5]july-2026'!$A:$A,'[5]july-2026'!$H:$H,0,0)</f>
        <v>3000</v>
      </c>
      <c r="BE266">
        <f>_xlfn.XLOOKUP(B266,'[5]july-2026'!$A:$A,'[5]july-2026'!$I:$I,0,0)</f>
        <v>0</v>
      </c>
      <c r="BF266">
        <f t="shared" si="836"/>
        <v>200</v>
      </c>
      <c r="BG266">
        <f t="shared" si="837"/>
        <v>45544</v>
      </c>
      <c r="BH266">
        <f>_xlfn.XLOOKUP(B266,'[6]august-2026'!$A:$A,'[6]august-2026'!$C:$C,0,0)</f>
        <v>36600</v>
      </c>
      <c r="BI266">
        <f t="shared" si="838"/>
        <v>6588</v>
      </c>
      <c r="BJ266">
        <f t="shared" si="839"/>
        <v>4392</v>
      </c>
      <c r="BK266">
        <f>_xlfn.XLOOKUP(B266,'[6]august-2026'!$A:$A,'[6]august-2026'!$D:$D,0,0)</f>
        <v>400</v>
      </c>
      <c r="BL266">
        <f>_xlfn.XLOOKUP(B266,'[6]august-2026'!$A:$A,'[6]august-2026'!$G:$G,0,0)</f>
        <v>500</v>
      </c>
      <c r="BM266">
        <f t="shared" si="840"/>
        <v>48480</v>
      </c>
      <c r="BN266">
        <f>_xlfn.XLOOKUP(B266,'[6]august-2026'!$A:$A,'[6]august-2026'!$H:$H,0,0)</f>
        <v>3000</v>
      </c>
      <c r="BO266">
        <f>_xlfn.XLOOKUP(B266,'[6]august-2026'!$A:$A,'[6]august-2026'!$I:$I,0,0)</f>
        <v>0</v>
      </c>
      <c r="BP266">
        <f t="shared" si="841"/>
        <v>200</v>
      </c>
      <c r="BQ266">
        <f t="shared" si="842"/>
        <v>45280</v>
      </c>
      <c r="BR266">
        <f>_xlfn.XLOOKUP(B266,'[7]september-2026'!$A:$A,'[7]september-2026'!$C:$C,0,0)</f>
        <v>36600</v>
      </c>
      <c r="BS266">
        <f t="shared" si="843"/>
        <v>6588</v>
      </c>
      <c r="BT266">
        <f t="shared" si="844"/>
        <v>4392</v>
      </c>
      <c r="BU266">
        <f>_xlfn.XLOOKUP(B266,'[7]september-2026'!$A:$A,'[7]september-2026'!$D:$D,0,0)</f>
        <v>400</v>
      </c>
      <c r="BV266">
        <f>_xlfn.XLOOKUP(B266,'[7]september-2026'!$A:$A,'[7]september-2026'!$G:$G,0,0)</f>
        <v>500</v>
      </c>
      <c r="BW266">
        <f t="shared" si="845"/>
        <v>48480</v>
      </c>
      <c r="BX266">
        <f>_xlfn.XLOOKUP(B266,'[7]september-2026'!$A:$A,'[7]september-2026'!$H:$H,0,0)</f>
        <v>3000</v>
      </c>
      <c r="BY266">
        <f>_xlfn.XLOOKUP(B266,'[7]september-2026'!$A:$A,'[7]september-2026'!$I:$I,0,0)</f>
        <v>0</v>
      </c>
      <c r="BZ266">
        <f t="shared" si="846"/>
        <v>200</v>
      </c>
      <c r="CA266">
        <f t="shared" si="847"/>
        <v>45280</v>
      </c>
      <c r="CB266">
        <f>_xlfn.XLOOKUP(B266,'[8]october-2026'!$A:$A,'[8]october-2026'!$C:$C,0,0)</f>
        <v>36600</v>
      </c>
      <c r="CC266">
        <f t="shared" si="848"/>
        <v>6588</v>
      </c>
      <c r="CD266">
        <f t="shared" si="849"/>
        <v>4392</v>
      </c>
      <c r="CE266">
        <f>_xlfn.XLOOKUP(B266,'[8]october-2026'!$A:$A,'[8]october-2026'!$D:$D,0,0)</f>
        <v>400</v>
      </c>
      <c r="CF266">
        <f>_xlfn.XLOOKUP(B266,'[8]october-2026'!$A:$A,'[8]october-2026'!$G:$G,0,0)</f>
        <v>500</v>
      </c>
      <c r="CG266">
        <f t="shared" si="850"/>
        <v>48480</v>
      </c>
      <c r="CH266">
        <f>_xlfn.XLOOKUP(B266,'[8]october-2026'!$A:$A,'[8]october-2026'!$H:$H,0,0)</f>
        <v>3000</v>
      </c>
      <c r="CI266">
        <f>_xlfn.XLOOKUP(B266,'[8]october-2026'!$A:$A,'[8]october-2026'!$I:$I,0,0)</f>
        <v>0</v>
      </c>
      <c r="CJ266">
        <f t="shared" si="851"/>
        <v>200</v>
      </c>
      <c r="CK266">
        <f t="shared" si="852"/>
        <v>45280</v>
      </c>
      <c r="CL266">
        <f>_xlfn.XLOOKUP(B266,'[9]november-2026'!$A:$A,'[9]november-2026'!$C:$C,0,0)</f>
        <v>36600</v>
      </c>
      <c r="CM266">
        <f t="shared" si="853"/>
        <v>6588</v>
      </c>
      <c r="CN266">
        <f t="shared" si="854"/>
        <v>4392</v>
      </c>
      <c r="CO266">
        <f>_xlfn.XLOOKUP(B266,'[9]november-2026'!$A:$A,'[9]november-2026'!$D:$D,0,0)</f>
        <v>400</v>
      </c>
      <c r="CP266">
        <f>_xlfn.XLOOKUP(B266,'[9]november-2026'!$A:$A,'[9]november-2026'!$G:$G,0,0)</f>
        <v>500</v>
      </c>
      <c r="CQ266">
        <f t="shared" si="855"/>
        <v>48480</v>
      </c>
      <c r="CR266">
        <f>_xlfn.XLOOKUP(B266,'[9]november-2026'!$A:$A,'[9]november-2026'!$H:$H,0,0)</f>
        <v>3000</v>
      </c>
      <c r="CS266">
        <f>_xlfn.XLOOKUP(B266,'[9]november-2026'!$A:$A,'[9]november-2026'!$I:$I,0,0)</f>
        <v>0</v>
      </c>
      <c r="CT266">
        <f t="shared" si="856"/>
        <v>200</v>
      </c>
      <c r="CU266">
        <f t="shared" si="857"/>
        <v>45280</v>
      </c>
      <c r="CV266">
        <f>_xlfn.XLOOKUP(B266,'[10]december-2026'!$A:$A,'[10]december-2026'!$C:$C,0,0)</f>
        <v>36600</v>
      </c>
      <c r="CW266">
        <f t="shared" si="858"/>
        <v>6588</v>
      </c>
      <c r="CX266">
        <f t="shared" si="859"/>
        <v>4392</v>
      </c>
      <c r="CY266">
        <f>_xlfn.XLOOKUP(B266,'[10]december-2026'!$A:$A,'[10]december-2026'!$D:$D,0,0)</f>
        <v>400</v>
      </c>
      <c r="CZ266">
        <f>_xlfn.XLOOKUP(B266,'[10]december-2026'!$A:$A,'[10]december-2026'!$G:$G,0,0)</f>
        <v>500</v>
      </c>
      <c r="DA266">
        <f t="shared" si="860"/>
        <v>48480</v>
      </c>
      <c r="DB266">
        <f>_xlfn.XLOOKUP(B266,'[10]december-2026'!$A:$A,'[10]december-2026'!$H:$H,0,0)</f>
        <v>3000</v>
      </c>
      <c r="DC266">
        <f>_xlfn.XLOOKUP(B266,'[10]december-2026'!$A:$A,'[10]december-2026'!$I:$I,0,0)</f>
        <v>0</v>
      </c>
      <c r="DD266">
        <f t="shared" si="861"/>
        <v>200</v>
      </c>
      <c r="DE266">
        <f t="shared" si="862"/>
        <v>45280</v>
      </c>
      <c r="DF266">
        <f xml:space="preserve"> _xlfn.XLOOKUP(B266,
'[11]january-2027'!$A:$A,
'[11]january-2027'!$C:$C,
0,0)</f>
        <v>36600</v>
      </c>
      <c r="DG266">
        <f t="shared" si="863"/>
        <v>6588</v>
      </c>
      <c r="DH266">
        <f t="shared" si="864"/>
        <v>4392</v>
      </c>
      <c r="DI266">
        <f xml:space="preserve"> _xlfn.XLOOKUP(B266,
'[11]january-2027'!$A:$A,
'[11]january-2027'!$D:$D,
0,0)</f>
        <v>400</v>
      </c>
      <c r="DJ266">
        <f xml:space="preserve"> _xlfn.XLOOKUP(B266,
'[11]january-2027'!$A:$A,
'[11]january-2027'!$G:$G,
0,0)</f>
        <v>500</v>
      </c>
      <c r="DK266">
        <f t="shared" si="865"/>
        <v>48480</v>
      </c>
      <c r="DL266">
        <f xml:space="preserve"> _xlfn.XLOOKUP(B266,
'[11]january-2027'!$A:$A,
'[11]january-2027'!$H:$H,
0,0)</f>
        <v>3000</v>
      </c>
      <c r="DM266">
        <f xml:space="preserve"> _xlfn.XLOOKUP(B266,
'[11]january-2027'!$A:$A,
'[11]january-2027'!$I:$I,
0,0)</f>
        <v>0</v>
      </c>
      <c r="DN266">
        <f t="shared" si="866"/>
        <v>200</v>
      </c>
      <c r="DO266">
        <f t="shared" si="867"/>
        <v>45280</v>
      </c>
      <c r="DP266">
        <f xml:space="preserve"> _xlfn.XLOOKUP(B266,
'[12]february-2027'!$A:$A,
'[12]february-2027'!$C:$C,
0,0)</f>
        <v>36600</v>
      </c>
      <c r="DQ266">
        <f t="shared" si="868"/>
        <v>6588</v>
      </c>
      <c r="DR266">
        <f t="shared" si="869"/>
        <v>4392</v>
      </c>
      <c r="DS266">
        <f xml:space="preserve"> _xlfn.XLOOKUP(B266,
'[12]february-2027'!$A:$A,
'[12]february-2027'!$D:$D,
0,0)</f>
        <v>400</v>
      </c>
      <c r="DT266">
        <f xml:space="preserve"> _xlfn.XLOOKUP(B266,
'[12]february-2027'!$A:$A,
'[12]february-2027'!$G:$G,
0,0)</f>
        <v>500</v>
      </c>
      <c r="DU266">
        <f t="shared" si="870"/>
        <v>48480</v>
      </c>
      <c r="DV266">
        <f xml:space="preserve"> _xlfn.XLOOKUP(B266,
'[12]february-2027'!$A:$A,
'[12]february-2027'!$H:$H,
0,0)</f>
        <v>3000</v>
      </c>
      <c r="DW266">
        <f xml:space="preserve"> _xlfn.XLOOKUP(B266,
'[12]february-2027'!$A:$A,
'[12]february-2027'!$I:$I,
0,0)</f>
        <v>0</v>
      </c>
      <c r="DX266">
        <f t="shared" si="871"/>
        <v>200</v>
      </c>
      <c r="DY266">
        <f t="shared" si="872"/>
        <v>45280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873"/>
        <v>0</v>
      </c>
      <c r="EM266">
        <f t="shared" si="874"/>
        <v>583104</v>
      </c>
      <c r="EN266">
        <f t="shared" si="875"/>
        <v>2400</v>
      </c>
      <c r="EO266">
        <f t="shared" si="876"/>
        <v>50000</v>
      </c>
      <c r="EP266">
        <v>0</v>
      </c>
      <c r="EQ266">
        <f t="shared" si="878"/>
        <v>530704</v>
      </c>
      <c r="ER266">
        <f t="shared" ref="ER266:ER311" si="879">DV266+DL266+DB266+CR266+CH266+BX266+BN266+BD266+AS266+AI266+Y266+O266</f>
        <v>36000</v>
      </c>
      <c r="ES266">
        <f t="shared" ref="ES266:ES311" si="880">DW266+DM266+DC266+CS266+CI266+BY266+BO266+BE266+AT266+AJ266+Z266+P266</f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ref="FD266:FD311" si="881">SUM(ER266:FC266)</f>
        <v>36000</v>
      </c>
      <c r="FE266">
        <f t="shared" ref="FE266:FE311" si="882">IF(FD266&gt;=150000,150000,FD266)</f>
        <v>36000</v>
      </c>
      <c r="FF266">
        <f t="shared" ref="FF266:FF311" si="883">EQ266-FE266</f>
        <v>494704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>SUM(FG266:FM266)+(IF(F266="YES",50000,0))</f>
        <v>0</v>
      </c>
      <c r="FO266">
        <f t="shared" ref="FO266:FO311" si="884">FF266-FN266</f>
        <v>494704</v>
      </c>
      <c r="FP266">
        <f t="shared" ref="FP266:FP311" si="885">ROUND(IF(FO266&gt;0,IF(FO266&gt;500000,12500,(FO266-250000)*0.05),0),0)</f>
        <v>12235</v>
      </c>
      <c r="FQ266">
        <f t="shared" ref="FQ266:FQ311" si="886">IF(ROUND(IF(FO266&gt;0,IF(FO266&gt;1000000,25000,(FO266-500000)*0.2),0),0)&lt;0,0,ROUND(IF(FO266&gt;0,IF(FO266&gt;1000000,25000,(FO266-500000)*0.2),0),0))</f>
        <v>0</v>
      </c>
      <c r="FR266">
        <f t="shared" ref="FR266:FR311" si="887">FP266+FQ266</f>
        <v>12235</v>
      </c>
      <c r="FS266">
        <f t="shared" ref="FS266:FS311" si="888">IF(FR266&lt;12500,0,FR266)</f>
        <v>0</v>
      </c>
      <c r="FT266">
        <f t="shared" ref="FT266:FT311" si="889">FS266*0.04</f>
        <v>0</v>
      </c>
      <c r="FU266">
        <f t="shared" ref="FU266:FU311" si="890">ROUND(FT266+FS266,0)</f>
        <v>0</v>
      </c>
      <c r="FV266">
        <v>0</v>
      </c>
      <c r="FW266">
        <f t="shared" ref="FW266:FW311" si="891">FU266-FV266</f>
        <v>0</v>
      </c>
      <c r="FX266" t="b">
        <f t="shared" ref="FX266:FX311" si="892">IF(EM266&gt;500000,TRUE,FALSE)</f>
        <v>1</v>
      </c>
      <c r="FY266">
        <f t="shared" ref="FY266:FY311" ca="1" si="893">IF(FX266,RANDBETWEEN(500,1000),RANDBETWEEN(1000,3000))</f>
        <v>658</v>
      </c>
      <c r="FZ266">
        <f t="shared" ref="FZ266:FZ311" ca="1" si="894">EM266+FY266</f>
        <v>583762</v>
      </c>
      <c r="GA266">
        <f t="shared" ref="GA266:GA311" si="895">IF(EM266&gt;0,75000,0)</f>
        <v>75000</v>
      </c>
      <c r="GB266">
        <f t="shared" ref="GB266:GB311" ca="1" si="896">FZ266-GA266</f>
        <v>508762</v>
      </c>
      <c r="GC266">
        <f t="shared" ref="GC266:GC311" ca="1" si="897">IF(GB266&gt;2400000,GB266-2400000,0)</f>
        <v>0</v>
      </c>
      <c r="GD266">
        <f t="shared" ref="GD266:GD311" ca="1" si="898">GC266*0.3</f>
        <v>0</v>
      </c>
      <c r="GE266">
        <f t="shared" ref="GE266:GE311" ca="1" si="899">IF(GB266&gt;2000000,GB266-2000000,0)</f>
        <v>0</v>
      </c>
      <c r="GF266">
        <f t="shared" ref="GF266:GF311" ca="1" si="900">GE266*0.25</f>
        <v>0</v>
      </c>
      <c r="GG266">
        <f t="shared" ref="GG266:GG311" ca="1" si="901">IF(GB266&gt;1600000,GB266-1600000-GC266,0)</f>
        <v>0</v>
      </c>
      <c r="GH266">
        <f t="shared" ref="GH266:GH311" ca="1" si="902">GG266*0.2</f>
        <v>0</v>
      </c>
      <c r="GI266">
        <f ca="1">IF(GB266&gt;1200000,GB266-1200000-IF(F266="YES",50000,0)-GG266,0)</f>
        <v>0</v>
      </c>
      <c r="GJ266">
        <f t="shared" ref="GJ266:GJ311" ca="1" si="903">GI266*0.15</f>
        <v>0</v>
      </c>
      <c r="GK266">
        <f t="shared" ref="GK266:GK311" ca="1" si="904">IF(GB266&gt;800000,GB266-800000-GC266-GG266-GI266,0)</f>
        <v>0</v>
      </c>
      <c r="GL266">
        <f t="shared" ref="GL266:GL311" ca="1" si="905">GK266*0.1</f>
        <v>0</v>
      </c>
      <c r="GM266">
        <f t="shared" ref="GM266:GM311" ca="1" si="906">IF(GB266&gt;400000,GB266-400000-GC266-GG266-GI266-GK266,0)</f>
        <v>108762</v>
      </c>
      <c r="GN266">
        <f t="shared" ref="GN266:GN311" ca="1" si="907">GM266*0.05</f>
        <v>5438.1</v>
      </c>
      <c r="GO266">
        <f t="shared" ref="GO266:GO311" ca="1" si="908">ROUND(GD266+GF266+GH266+GJ266+GL266+GN266,0)</f>
        <v>5438</v>
      </c>
      <c r="GP266">
        <f t="shared" ref="GP266:GP311" ca="1" si="909">IF(GB266&gt;1200000,GB266,0)</f>
        <v>0</v>
      </c>
      <c r="GQ266">
        <f t="shared" ref="GQ266:GQ311" ca="1" si="910">IF(GB266&gt;1200000,GP266-1200000,0)</f>
        <v>0</v>
      </c>
      <c r="GR266">
        <f t="shared" ref="GR266:GR311" ca="1" si="911">IF(GB266&lt;1200001,MIN(GO266,60000),0)</f>
        <v>5438</v>
      </c>
      <c r="GS266">
        <f t="shared" ref="GS266:GS311" ca="1" si="912">IF(GB266&gt;1200000,GO266-GQ266,0)</f>
        <v>0</v>
      </c>
      <c r="GT266" t="b">
        <f t="shared" ref="GT266:GT311" ca="1" si="913">IF(GS266&gt;0,TRUE,FALSE)</f>
        <v>0</v>
      </c>
      <c r="GU266">
        <f t="shared" ref="GU266:GU311" ca="1" si="914">IF(GT266,GS266,0)</f>
        <v>0</v>
      </c>
      <c r="GV266">
        <f t="shared" ref="GV266:GV311" ca="1" si="915">GR266+GU266</f>
        <v>5438</v>
      </c>
      <c r="GW266">
        <f t="shared" ref="GW266:GW311" ca="1" si="916">ROUND(GO266-GV266,0)</f>
        <v>0</v>
      </c>
      <c r="GX266">
        <f t="shared" ref="GX266:GX311" ca="1" si="917">GW266*0.04</f>
        <v>0</v>
      </c>
      <c r="GY266">
        <f t="shared" ref="GY266:GY311" ca="1" si="918">ROUNDUP(GW266+GX266,0)</f>
        <v>0</v>
      </c>
    </row>
    <row r="267" spans="1:207" x14ac:dyDescent="0.25">
      <c r="A267">
        <f>_xlfn.AGGREGATE(3,5,$B$2:B267)</f>
        <v>266</v>
      </c>
      <c r="B267" t="s">
        <v>624</v>
      </c>
      <c r="C267" t="s">
        <v>625</v>
      </c>
      <c r="D267" t="s">
        <v>816</v>
      </c>
      <c r="E267" t="s">
        <v>830</v>
      </c>
      <c r="F267" t="s">
        <v>952</v>
      </c>
      <c r="G267" t="s">
        <v>881</v>
      </c>
      <c r="H267">
        <f t="shared" si="813"/>
        <v>6800</v>
      </c>
      <c r="I267">
        <f>_xlfn.XLOOKUP(B267,'[1]march-2026'!$A:$A,'[1]march-2026'!$C:$C,0,0)</f>
        <v>32500</v>
      </c>
      <c r="J267">
        <f t="shared" si="877"/>
        <v>5850</v>
      </c>
      <c r="K267">
        <f t="shared" si="814"/>
        <v>3900</v>
      </c>
      <c r="L267">
        <f>_xlfn.XLOOKUP(B267,'[1]march-2026'!$A:$A,'[1]march-2026'!$D:$D,0,0)</f>
        <v>0</v>
      </c>
      <c r="M267">
        <f>_xlfn.XLOOKUP(B267,'[1]march-2026'!$A:$A,'[1]march-2026'!$G:$G,0,0)</f>
        <v>0</v>
      </c>
      <c r="N267">
        <f t="shared" si="815"/>
        <v>42250</v>
      </c>
      <c r="O267">
        <f>_xlfn.XLOOKUP(B267,'[1]march-2026'!$A:$A,'[1]march-2026'!$H:$H,0,0)</f>
        <v>2000</v>
      </c>
      <c r="P267">
        <f>_xlfn.XLOOKUP(B267,'[1]march-2026'!$A:$A,'[1]march-2026'!$I:$I,0,0)</f>
        <v>0</v>
      </c>
      <c r="Q267">
        <f t="shared" si="816"/>
        <v>200</v>
      </c>
      <c r="R267">
        <f t="shared" si="817"/>
        <v>40050</v>
      </c>
      <c r="S267">
        <f>_xlfn.XLOOKUP(B267,'[2]april-2026'!$A:$A,'[2]april-2026'!$C:$C,0,0)</f>
        <v>32500</v>
      </c>
      <c r="T267">
        <f t="shared" si="818"/>
        <v>5850</v>
      </c>
      <c r="U267">
        <f t="shared" si="819"/>
        <v>3900</v>
      </c>
      <c r="V267">
        <f>_xlfn.XLOOKUP(B267,'[2]april-2026'!$A:$A,'[2]april-2026'!$D:$D,0,0)</f>
        <v>0</v>
      </c>
      <c r="W267">
        <f>_xlfn.XLOOKUP(B267,'[2]april-2026'!$A:$A,'[2]april-2026'!$G:$G,0,0)</f>
        <v>0</v>
      </c>
      <c r="X267">
        <f t="shared" si="820"/>
        <v>42250</v>
      </c>
      <c r="Y267">
        <f>_xlfn.XLOOKUP(B267,'[2]april-2026'!$A:$A,'[2]april-2026'!$H:$H,0,0)</f>
        <v>2000</v>
      </c>
      <c r="Z267">
        <f>_xlfn.XLOOKUP(B267,'[2]april-2026'!$A:$A,'[2]april-2026'!$I:$I,0,0)</f>
        <v>0</v>
      </c>
      <c r="AA267">
        <f t="shared" si="821"/>
        <v>200</v>
      </c>
      <c r="AB267">
        <f t="shared" si="822"/>
        <v>40050</v>
      </c>
      <c r="AC267">
        <f>_xlfn.XLOOKUP(B267,'[3]may-2026'!$A:$A,'[3]may-2026'!$C:$C,0,0)</f>
        <v>32500</v>
      </c>
      <c r="AD267">
        <f t="shared" si="823"/>
        <v>5850</v>
      </c>
      <c r="AE267">
        <f t="shared" si="824"/>
        <v>3900</v>
      </c>
      <c r="AF267">
        <f>_xlfn.XLOOKUP(B267,'[3]may-2026'!$A:$A,'[3]may-2026'!$D:$D,0,0)</f>
        <v>0</v>
      </c>
      <c r="AG267">
        <f>_xlfn.XLOOKUP(B267,'[3]may-2026'!$A:$A,'[3]may-2026'!$G:$G,0,0)</f>
        <v>0</v>
      </c>
      <c r="AH267">
        <f t="shared" si="825"/>
        <v>42250</v>
      </c>
      <c r="AI267">
        <f>_xlfn.XLOOKUP(B267,'[3]may-2026'!$A:$A,'[3]may-2026'!$H:$H,0,0)</f>
        <v>2000</v>
      </c>
      <c r="AJ267">
        <f>_xlfn.XLOOKUP(B267,'[3]may-2026'!$A:$A,'[3]may-2026'!$I:$I,0,0)</f>
        <v>0</v>
      </c>
      <c r="AK267">
        <f t="shared" si="826"/>
        <v>200</v>
      </c>
      <c r="AL267">
        <f t="shared" si="827"/>
        <v>40050</v>
      </c>
      <c r="AM267">
        <f>_xlfn.XLOOKUP(B267,'[4]june-2026'!$A:$A,'[4]june-2026'!$C:$C,0,0)</f>
        <v>32500</v>
      </c>
      <c r="AN267">
        <f t="shared" si="828"/>
        <v>5850</v>
      </c>
      <c r="AO267">
        <f t="shared" si="829"/>
        <v>3900</v>
      </c>
      <c r="AP267">
        <f>_xlfn.XLOOKUP(B267,'[4]june-2026'!$A:$A,'[4]june-2026'!$D:$D,0,0)</f>
        <v>0</v>
      </c>
      <c r="AQ267">
        <f>_xlfn.XLOOKUP(B267,'[4]june-2026'!$A:$A,'[4]june-2026'!$G:$G,0,0)</f>
        <v>0</v>
      </c>
      <c r="AR267">
        <f t="shared" si="830"/>
        <v>42250</v>
      </c>
      <c r="AS267">
        <f>_xlfn.XLOOKUP(B267,'[4]june-2026'!$A:$A,'[4]june-2026'!$H:$H,0,0)</f>
        <v>2000</v>
      </c>
      <c r="AT267">
        <f>_xlfn.XLOOKUP(B267,'[4]june-2026'!$A:$A,'[4]june-2026'!$I:$I,0,0)</f>
        <v>0</v>
      </c>
      <c r="AU267">
        <f t="shared" si="831"/>
        <v>200</v>
      </c>
      <c r="AV267">
        <f t="shared" si="832"/>
        <v>40050</v>
      </c>
      <c r="AW267">
        <f>_xlfn.XLOOKUP(B267,'[5]july-2026'!$A:$A,'[5]july-2026'!$C:$C,0,0)</f>
        <v>33500</v>
      </c>
      <c r="AX267">
        <f t="shared" si="833"/>
        <v>6030</v>
      </c>
      <c r="AY267">
        <v>265</v>
      </c>
      <c r="AZ267">
        <f t="shared" si="834"/>
        <v>4020</v>
      </c>
      <c r="BA267">
        <f>_xlfn.XLOOKUP(B267,'[5]july-2026'!$A:$A,'[5]july-2026'!$D:$D,0,0)</f>
        <v>0</v>
      </c>
      <c r="BB267">
        <f>_xlfn.XLOOKUP(B267,'[5]july-2026'!$A:$A,'[5]july-2026'!$G:$G,0,0)</f>
        <v>0</v>
      </c>
      <c r="BC267">
        <f t="shared" si="835"/>
        <v>43815</v>
      </c>
      <c r="BD267">
        <f>_xlfn.XLOOKUP(B267,'[5]july-2026'!$A:$A,'[5]july-2026'!$H:$H,0,0)</f>
        <v>2000</v>
      </c>
      <c r="BE267">
        <f>_xlfn.XLOOKUP(B267,'[5]july-2026'!$A:$A,'[5]july-2026'!$I:$I,0,0)</f>
        <v>0</v>
      </c>
      <c r="BF267">
        <f t="shared" si="836"/>
        <v>200</v>
      </c>
      <c r="BG267">
        <f t="shared" si="837"/>
        <v>41615</v>
      </c>
      <c r="BH267">
        <f>_xlfn.XLOOKUP(B267,'[6]august-2026'!$A:$A,'[6]august-2026'!$C:$C,0,0)</f>
        <v>33500</v>
      </c>
      <c r="BI267">
        <f t="shared" si="838"/>
        <v>6030</v>
      </c>
      <c r="BJ267">
        <f t="shared" si="839"/>
        <v>4020</v>
      </c>
      <c r="BK267">
        <f>_xlfn.XLOOKUP(B267,'[6]august-2026'!$A:$A,'[6]august-2026'!$D:$D,0,0)</f>
        <v>0</v>
      </c>
      <c r="BL267">
        <f>_xlfn.XLOOKUP(B267,'[6]august-2026'!$A:$A,'[6]august-2026'!$G:$G,0,0)</f>
        <v>0</v>
      </c>
      <c r="BM267">
        <f t="shared" si="840"/>
        <v>43550</v>
      </c>
      <c r="BN267">
        <f>_xlfn.XLOOKUP(B267,'[6]august-2026'!$A:$A,'[6]august-2026'!$H:$H,0,0)</f>
        <v>2000</v>
      </c>
      <c r="BO267">
        <f>_xlfn.XLOOKUP(B267,'[6]august-2026'!$A:$A,'[6]august-2026'!$I:$I,0,0)</f>
        <v>0</v>
      </c>
      <c r="BP267">
        <f t="shared" si="841"/>
        <v>200</v>
      </c>
      <c r="BQ267">
        <f t="shared" si="842"/>
        <v>41350</v>
      </c>
      <c r="BR267">
        <f>_xlfn.XLOOKUP(B267,'[7]september-2026'!$A:$A,'[7]september-2026'!$C:$C,0,0)</f>
        <v>33500</v>
      </c>
      <c r="BS267">
        <f t="shared" si="843"/>
        <v>6030</v>
      </c>
      <c r="BT267">
        <f t="shared" si="844"/>
        <v>4020</v>
      </c>
      <c r="BU267">
        <f>_xlfn.XLOOKUP(B267,'[7]september-2026'!$A:$A,'[7]september-2026'!$D:$D,0,0)</f>
        <v>0</v>
      </c>
      <c r="BV267">
        <f>_xlfn.XLOOKUP(B267,'[7]september-2026'!$A:$A,'[7]september-2026'!$G:$G,0,0)</f>
        <v>0</v>
      </c>
      <c r="BW267">
        <f t="shared" si="845"/>
        <v>43550</v>
      </c>
      <c r="BX267">
        <f>_xlfn.XLOOKUP(B267,'[7]september-2026'!$A:$A,'[7]september-2026'!$H:$H,0,0)</f>
        <v>2000</v>
      </c>
      <c r="BY267">
        <f>_xlfn.XLOOKUP(B267,'[7]september-2026'!$A:$A,'[7]september-2026'!$I:$I,0,0)</f>
        <v>0</v>
      </c>
      <c r="BZ267">
        <f t="shared" si="846"/>
        <v>200</v>
      </c>
      <c r="CA267">
        <f t="shared" si="847"/>
        <v>41350</v>
      </c>
      <c r="CB267">
        <f>_xlfn.XLOOKUP(B267,'[8]october-2026'!$A:$A,'[8]october-2026'!$C:$C,0,0)</f>
        <v>33500</v>
      </c>
      <c r="CC267">
        <f t="shared" si="848"/>
        <v>6030</v>
      </c>
      <c r="CD267">
        <f t="shared" si="849"/>
        <v>4020</v>
      </c>
      <c r="CE267">
        <f>_xlfn.XLOOKUP(B267,'[8]october-2026'!$A:$A,'[8]october-2026'!$D:$D,0,0)</f>
        <v>0</v>
      </c>
      <c r="CF267">
        <f>_xlfn.XLOOKUP(B267,'[8]october-2026'!$A:$A,'[8]october-2026'!$G:$G,0,0)</f>
        <v>0</v>
      </c>
      <c r="CG267">
        <f t="shared" si="850"/>
        <v>43550</v>
      </c>
      <c r="CH267">
        <f>_xlfn.XLOOKUP(B267,'[8]october-2026'!$A:$A,'[8]october-2026'!$H:$H,0,0)</f>
        <v>2000</v>
      </c>
      <c r="CI267">
        <f>_xlfn.XLOOKUP(B267,'[8]october-2026'!$A:$A,'[8]october-2026'!$I:$I,0,0)</f>
        <v>0</v>
      </c>
      <c r="CJ267">
        <f t="shared" si="851"/>
        <v>200</v>
      </c>
      <c r="CK267">
        <f t="shared" si="852"/>
        <v>41350</v>
      </c>
      <c r="CL267">
        <f>_xlfn.XLOOKUP(B267,'[9]november-2026'!$A:$A,'[9]november-2026'!$C:$C,0,0)</f>
        <v>33500</v>
      </c>
      <c r="CM267">
        <f t="shared" si="853"/>
        <v>6030</v>
      </c>
      <c r="CN267">
        <f t="shared" si="854"/>
        <v>4020</v>
      </c>
      <c r="CO267">
        <f>_xlfn.XLOOKUP(B267,'[9]november-2026'!$A:$A,'[9]november-2026'!$D:$D,0,0)</f>
        <v>0</v>
      </c>
      <c r="CP267">
        <f>_xlfn.XLOOKUP(B267,'[9]november-2026'!$A:$A,'[9]november-2026'!$G:$G,0,0)</f>
        <v>0</v>
      </c>
      <c r="CQ267">
        <f t="shared" si="855"/>
        <v>43550</v>
      </c>
      <c r="CR267">
        <f>_xlfn.XLOOKUP(B267,'[9]november-2026'!$A:$A,'[9]november-2026'!$H:$H,0,0)</f>
        <v>2000</v>
      </c>
      <c r="CS267">
        <f>_xlfn.XLOOKUP(B267,'[9]november-2026'!$A:$A,'[9]november-2026'!$I:$I,0,0)</f>
        <v>0</v>
      </c>
      <c r="CT267">
        <f t="shared" si="856"/>
        <v>200</v>
      </c>
      <c r="CU267">
        <f t="shared" si="857"/>
        <v>41350</v>
      </c>
      <c r="CV267">
        <f>_xlfn.XLOOKUP(B267,'[10]december-2026'!$A:$A,'[10]december-2026'!$C:$C,0,0)</f>
        <v>33500</v>
      </c>
      <c r="CW267">
        <f t="shared" si="858"/>
        <v>6030</v>
      </c>
      <c r="CX267">
        <f t="shared" si="859"/>
        <v>4020</v>
      </c>
      <c r="CY267">
        <f>_xlfn.XLOOKUP(B267,'[10]december-2026'!$A:$A,'[10]december-2026'!$D:$D,0,0)</f>
        <v>0</v>
      </c>
      <c r="CZ267">
        <f>_xlfn.XLOOKUP(B267,'[10]december-2026'!$A:$A,'[10]december-2026'!$G:$G,0,0)</f>
        <v>0</v>
      </c>
      <c r="DA267">
        <f t="shared" si="860"/>
        <v>43550</v>
      </c>
      <c r="DB267">
        <f>_xlfn.XLOOKUP(B267,'[10]december-2026'!$A:$A,'[10]december-2026'!$H:$H,0,0)</f>
        <v>2000</v>
      </c>
      <c r="DC267">
        <f>_xlfn.XLOOKUP(B267,'[10]december-2026'!$A:$A,'[10]december-2026'!$I:$I,0,0)</f>
        <v>0</v>
      </c>
      <c r="DD267">
        <f t="shared" si="861"/>
        <v>200</v>
      </c>
      <c r="DE267">
        <f t="shared" si="862"/>
        <v>41350</v>
      </c>
      <c r="DF267">
        <f xml:space="preserve"> _xlfn.XLOOKUP(B267,
'[11]january-2027'!$A:$A,
'[11]january-2027'!$C:$C,
0,0)</f>
        <v>33500</v>
      </c>
      <c r="DG267">
        <f t="shared" si="863"/>
        <v>6030</v>
      </c>
      <c r="DH267">
        <f t="shared" si="864"/>
        <v>4020</v>
      </c>
      <c r="DI267">
        <f xml:space="preserve"> _xlfn.XLOOKUP(B267,
'[11]january-2027'!$A:$A,
'[11]january-2027'!$D:$D,
0,0)</f>
        <v>0</v>
      </c>
      <c r="DJ267">
        <f xml:space="preserve"> _xlfn.XLOOKUP(B267,
'[11]january-2027'!$A:$A,
'[11]january-2027'!$G:$G,
0,0)</f>
        <v>0</v>
      </c>
      <c r="DK267">
        <f t="shared" si="865"/>
        <v>43550</v>
      </c>
      <c r="DL267">
        <f xml:space="preserve"> _xlfn.XLOOKUP(B267,
'[11]january-2027'!$A:$A,
'[11]january-2027'!$H:$H,
0,0)</f>
        <v>2000</v>
      </c>
      <c r="DM267">
        <f xml:space="preserve"> _xlfn.XLOOKUP(B267,
'[11]january-2027'!$A:$A,
'[11]january-2027'!$I:$I,
0,0)</f>
        <v>0</v>
      </c>
      <c r="DN267">
        <f t="shared" si="866"/>
        <v>200</v>
      </c>
      <c r="DO267">
        <f t="shared" si="867"/>
        <v>41350</v>
      </c>
      <c r="DP267">
        <f xml:space="preserve"> _xlfn.XLOOKUP(B267,
'[12]february-2027'!$A:$A,
'[12]february-2027'!$C:$C,
0,0)</f>
        <v>33500</v>
      </c>
      <c r="DQ267">
        <f t="shared" si="868"/>
        <v>6030</v>
      </c>
      <c r="DR267">
        <f t="shared" si="869"/>
        <v>4020</v>
      </c>
      <c r="DS267">
        <f xml:space="preserve"> _xlfn.XLOOKUP(B267,
'[12]february-2027'!$A:$A,
'[12]february-2027'!$D:$D,
0,0)</f>
        <v>0</v>
      </c>
      <c r="DT267">
        <f xml:space="preserve"> _xlfn.XLOOKUP(B267,
'[12]february-2027'!$A:$A,
'[12]february-2027'!$G:$G,
0,0)</f>
        <v>0</v>
      </c>
      <c r="DU267">
        <f t="shared" si="870"/>
        <v>43550</v>
      </c>
      <c r="DV267">
        <f xml:space="preserve"> _xlfn.XLOOKUP(B267,
'[12]february-2027'!$A:$A,
'[12]february-2027'!$H:$H,
0,0)</f>
        <v>2000</v>
      </c>
      <c r="DW267">
        <f xml:space="preserve"> _xlfn.XLOOKUP(B267,
'[12]february-2027'!$A:$A,
'[12]february-2027'!$I:$I,
0,0)</f>
        <v>0</v>
      </c>
      <c r="DX267">
        <f t="shared" si="871"/>
        <v>200</v>
      </c>
      <c r="DY267">
        <f t="shared" si="872"/>
        <v>41350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873"/>
        <v>0</v>
      </c>
      <c r="EM267">
        <f t="shared" si="874"/>
        <v>524465</v>
      </c>
      <c r="EN267">
        <f t="shared" si="875"/>
        <v>2400</v>
      </c>
      <c r="EO267">
        <f t="shared" si="876"/>
        <v>50000</v>
      </c>
      <c r="EP267">
        <v>0</v>
      </c>
      <c r="EQ267">
        <f t="shared" si="878"/>
        <v>472065</v>
      </c>
      <c r="ER267">
        <f t="shared" si="879"/>
        <v>24000</v>
      </c>
      <c r="ES267">
        <f t="shared" si="880"/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si="881"/>
        <v>24000</v>
      </c>
      <c r="FE267">
        <f t="shared" si="882"/>
        <v>24000</v>
      </c>
      <c r="FF267">
        <f t="shared" si="883"/>
        <v>448065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>SUM(FG267:FM267)+(IF(F267="YES",50000,0))</f>
        <v>0</v>
      </c>
      <c r="FO267">
        <f t="shared" si="884"/>
        <v>448065</v>
      </c>
      <c r="FP267">
        <f t="shared" si="885"/>
        <v>9903</v>
      </c>
      <c r="FQ267">
        <f t="shared" si="886"/>
        <v>0</v>
      </c>
      <c r="FR267">
        <f t="shared" si="887"/>
        <v>9903</v>
      </c>
      <c r="FS267">
        <f t="shared" si="888"/>
        <v>0</v>
      </c>
      <c r="FT267">
        <f t="shared" si="889"/>
        <v>0</v>
      </c>
      <c r="FU267">
        <f t="shared" si="890"/>
        <v>0</v>
      </c>
      <c r="FV267">
        <v>0</v>
      </c>
      <c r="FW267">
        <f t="shared" si="891"/>
        <v>0</v>
      </c>
      <c r="FX267" t="b">
        <f t="shared" si="892"/>
        <v>1</v>
      </c>
      <c r="FY267">
        <f t="shared" ca="1" si="893"/>
        <v>561</v>
      </c>
      <c r="FZ267">
        <f t="shared" ca="1" si="894"/>
        <v>525026</v>
      </c>
      <c r="GA267">
        <f t="shared" si="895"/>
        <v>75000</v>
      </c>
      <c r="GB267">
        <f t="shared" ca="1" si="896"/>
        <v>450026</v>
      </c>
      <c r="GC267">
        <f t="shared" ca="1" si="897"/>
        <v>0</v>
      </c>
      <c r="GD267">
        <f t="shared" ca="1" si="898"/>
        <v>0</v>
      </c>
      <c r="GE267">
        <f t="shared" ca="1" si="899"/>
        <v>0</v>
      </c>
      <c r="GF267">
        <f t="shared" ca="1" si="900"/>
        <v>0</v>
      </c>
      <c r="GG267">
        <f t="shared" ca="1" si="901"/>
        <v>0</v>
      </c>
      <c r="GH267">
        <f t="shared" ca="1" si="902"/>
        <v>0</v>
      </c>
      <c r="GI267">
        <f ca="1">IF(GB267&gt;1200000,GB267-1200000-IF(F267="YES",50000,0)-GG267,0)</f>
        <v>0</v>
      </c>
      <c r="GJ267">
        <f t="shared" ca="1" si="903"/>
        <v>0</v>
      </c>
      <c r="GK267">
        <f t="shared" ca="1" si="904"/>
        <v>0</v>
      </c>
      <c r="GL267">
        <f t="shared" ca="1" si="905"/>
        <v>0</v>
      </c>
      <c r="GM267">
        <f t="shared" ca="1" si="906"/>
        <v>50026</v>
      </c>
      <c r="GN267">
        <f t="shared" ca="1" si="907"/>
        <v>2501.3000000000002</v>
      </c>
      <c r="GO267">
        <f t="shared" ca="1" si="908"/>
        <v>2501</v>
      </c>
      <c r="GP267">
        <f t="shared" ca="1" si="909"/>
        <v>0</v>
      </c>
      <c r="GQ267">
        <f t="shared" ca="1" si="910"/>
        <v>0</v>
      </c>
      <c r="GR267">
        <f t="shared" ca="1" si="911"/>
        <v>2501</v>
      </c>
      <c r="GS267">
        <f t="shared" ca="1" si="912"/>
        <v>0</v>
      </c>
      <c r="GT267" t="b">
        <f t="shared" ca="1" si="913"/>
        <v>0</v>
      </c>
      <c r="GU267">
        <f t="shared" ca="1" si="914"/>
        <v>0</v>
      </c>
      <c r="GV267">
        <f t="shared" ca="1" si="915"/>
        <v>2501</v>
      </c>
      <c r="GW267">
        <f t="shared" ca="1" si="916"/>
        <v>0</v>
      </c>
      <c r="GX267">
        <f t="shared" ca="1" si="917"/>
        <v>0</v>
      </c>
      <c r="GY267">
        <f t="shared" ca="1" si="918"/>
        <v>0</v>
      </c>
    </row>
    <row r="268" spans="1:207" x14ac:dyDescent="0.25">
      <c r="A268">
        <f>_xlfn.AGGREGATE(3,5,$B$2:B268)</f>
        <v>267</v>
      </c>
      <c r="B268" t="s">
        <v>626</v>
      </c>
      <c r="C268" t="s">
        <v>627</v>
      </c>
      <c r="D268" t="s">
        <v>816</v>
      </c>
      <c r="E268" t="s">
        <v>830</v>
      </c>
      <c r="F268" t="s">
        <v>952</v>
      </c>
      <c r="G268" t="s">
        <v>878</v>
      </c>
      <c r="H268">
        <f t="shared" si="813"/>
        <v>6800</v>
      </c>
      <c r="I268">
        <f>_xlfn.XLOOKUP(B268,'[1]march-2026'!$A:$A,'[1]march-2026'!$C:$C,0,0)</f>
        <v>32500</v>
      </c>
      <c r="J268">
        <f t="shared" si="877"/>
        <v>5850</v>
      </c>
      <c r="K268">
        <f t="shared" si="814"/>
        <v>3900</v>
      </c>
      <c r="L268">
        <f>_xlfn.XLOOKUP(B268,'[1]march-2026'!$A:$A,'[1]march-2026'!$D:$D,0,0)</f>
        <v>0</v>
      </c>
      <c r="M268">
        <f>_xlfn.XLOOKUP(B268,'[1]march-2026'!$A:$A,'[1]march-2026'!$G:$G,0,0)</f>
        <v>500</v>
      </c>
      <c r="N268">
        <f t="shared" si="815"/>
        <v>42750</v>
      </c>
      <c r="O268">
        <f>_xlfn.XLOOKUP(B268,'[1]march-2026'!$A:$A,'[1]march-2026'!$H:$H,0,0)</f>
        <v>2000</v>
      </c>
      <c r="P268">
        <f>_xlfn.XLOOKUP(B268,'[1]march-2026'!$A:$A,'[1]march-2026'!$I:$I,0,0)</f>
        <v>0</v>
      </c>
      <c r="Q268">
        <f t="shared" si="816"/>
        <v>200</v>
      </c>
      <c r="R268">
        <f t="shared" si="817"/>
        <v>40550</v>
      </c>
      <c r="S268">
        <f>_xlfn.XLOOKUP(B268,'[2]april-2026'!$A:$A,'[2]april-2026'!$C:$C,0,0)</f>
        <v>32500</v>
      </c>
      <c r="T268">
        <f t="shared" si="818"/>
        <v>5850</v>
      </c>
      <c r="U268">
        <f t="shared" si="819"/>
        <v>3900</v>
      </c>
      <c r="V268">
        <f>_xlfn.XLOOKUP(B268,'[2]april-2026'!$A:$A,'[2]april-2026'!$D:$D,0,0)</f>
        <v>0</v>
      </c>
      <c r="W268">
        <f>_xlfn.XLOOKUP(B268,'[2]april-2026'!$A:$A,'[2]april-2026'!$G:$G,0,0)</f>
        <v>500</v>
      </c>
      <c r="X268">
        <f t="shared" si="820"/>
        <v>42750</v>
      </c>
      <c r="Y268">
        <f>_xlfn.XLOOKUP(B268,'[2]april-2026'!$A:$A,'[2]april-2026'!$H:$H,0,0)</f>
        <v>2000</v>
      </c>
      <c r="Z268">
        <f>_xlfn.XLOOKUP(B268,'[2]april-2026'!$A:$A,'[2]april-2026'!$I:$I,0,0)</f>
        <v>0</v>
      </c>
      <c r="AA268">
        <f t="shared" si="821"/>
        <v>200</v>
      </c>
      <c r="AB268">
        <f t="shared" si="822"/>
        <v>40550</v>
      </c>
      <c r="AC268">
        <f>_xlfn.XLOOKUP(B268,'[3]may-2026'!$A:$A,'[3]may-2026'!$C:$C,0,0)</f>
        <v>32500</v>
      </c>
      <c r="AD268">
        <f t="shared" si="823"/>
        <v>5850</v>
      </c>
      <c r="AE268">
        <f t="shared" si="824"/>
        <v>3900</v>
      </c>
      <c r="AF268">
        <f>_xlfn.XLOOKUP(B268,'[3]may-2026'!$A:$A,'[3]may-2026'!$D:$D,0,0)</f>
        <v>0</v>
      </c>
      <c r="AG268">
        <f>_xlfn.XLOOKUP(B268,'[3]may-2026'!$A:$A,'[3]may-2026'!$G:$G,0,0)</f>
        <v>500</v>
      </c>
      <c r="AH268">
        <f t="shared" si="825"/>
        <v>42750</v>
      </c>
      <c r="AI268">
        <f>_xlfn.XLOOKUP(B268,'[3]may-2026'!$A:$A,'[3]may-2026'!$H:$H,0,0)</f>
        <v>2000</v>
      </c>
      <c r="AJ268">
        <f>_xlfn.XLOOKUP(B268,'[3]may-2026'!$A:$A,'[3]may-2026'!$I:$I,0,0)</f>
        <v>0</v>
      </c>
      <c r="AK268">
        <f t="shared" si="826"/>
        <v>200</v>
      </c>
      <c r="AL268">
        <f t="shared" si="827"/>
        <v>40550</v>
      </c>
      <c r="AM268">
        <f>_xlfn.XLOOKUP(B268,'[4]june-2026'!$A:$A,'[4]june-2026'!$C:$C,0,0)</f>
        <v>32500</v>
      </c>
      <c r="AN268">
        <f t="shared" si="828"/>
        <v>5850</v>
      </c>
      <c r="AO268">
        <f t="shared" si="829"/>
        <v>3900</v>
      </c>
      <c r="AP268">
        <f>_xlfn.XLOOKUP(B268,'[4]june-2026'!$A:$A,'[4]june-2026'!$D:$D,0,0)</f>
        <v>0</v>
      </c>
      <c r="AQ268">
        <f>_xlfn.XLOOKUP(B268,'[4]june-2026'!$A:$A,'[4]june-2026'!$G:$G,0,0)</f>
        <v>500</v>
      </c>
      <c r="AR268">
        <f t="shared" si="830"/>
        <v>42750</v>
      </c>
      <c r="AS268">
        <f>_xlfn.XLOOKUP(B268,'[4]june-2026'!$A:$A,'[4]june-2026'!$H:$H,0,0)</f>
        <v>2000</v>
      </c>
      <c r="AT268">
        <f>_xlfn.XLOOKUP(B268,'[4]june-2026'!$A:$A,'[4]june-2026'!$I:$I,0,0)</f>
        <v>0</v>
      </c>
      <c r="AU268">
        <f t="shared" si="831"/>
        <v>200</v>
      </c>
      <c r="AV268">
        <f t="shared" si="832"/>
        <v>40550</v>
      </c>
      <c r="AW268">
        <f>_xlfn.XLOOKUP(B268,'[5]july-2026'!$A:$A,'[5]july-2026'!$C:$C,0,0)</f>
        <v>33500</v>
      </c>
      <c r="AX268">
        <f t="shared" si="833"/>
        <v>6030</v>
      </c>
      <c r="AY268">
        <v>266</v>
      </c>
      <c r="AZ268">
        <f t="shared" si="834"/>
        <v>4020</v>
      </c>
      <c r="BA268">
        <f>_xlfn.XLOOKUP(B268,'[5]july-2026'!$A:$A,'[5]july-2026'!$D:$D,0,0)</f>
        <v>0</v>
      </c>
      <c r="BB268">
        <f>_xlfn.XLOOKUP(B268,'[5]july-2026'!$A:$A,'[5]july-2026'!$G:$G,0,0)</f>
        <v>500</v>
      </c>
      <c r="BC268">
        <f t="shared" si="835"/>
        <v>44316</v>
      </c>
      <c r="BD268">
        <f>_xlfn.XLOOKUP(B268,'[5]july-2026'!$A:$A,'[5]july-2026'!$H:$H,0,0)</f>
        <v>2000</v>
      </c>
      <c r="BE268">
        <f>_xlfn.XLOOKUP(B268,'[5]july-2026'!$A:$A,'[5]july-2026'!$I:$I,0,0)</f>
        <v>0</v>
      </c>
      <c r="BF268">
        <f t="shared" si="836"/>
        <v>200</v>
      </c>
      <c r="BG268">
        <f t="shared" si="837"/>
        <v>42116</v>
      </c>
      <c r="BH268">
        <f>_xlfn.XLOOKUP(B268,'[6]august-2026'!$A:$A,'[6]august-2026'!$C:$C,0,0)</f>
        <v>33500</v>
      </c>
      <c r="BI268">
        <f t="shared" si="838"/>
        <v>6030</v>
      </c>
      <c r="BJ268">
        <f t="shared" si="839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500</v>
      </c>
      <c r="BM268">
        <f t="shared" si="840"/>
        <v>44050</v>
      </c>
      <c r="BN268">
        <f>_xlfn.XLOOKUP(B268,'[6]august-2026'!$A:$A,'[6]august-2026'!$H:$H,0,0)</f>
        <v>2000</v>
      </c>
      <c r="BO268">
        <f>_xlfn.XLOOKUP(B268,'[6]august-2026'!$A:$A,'[6]august-2026'!$I:$I,0,0)</f>
        <v>0</v>
      </c>
      <c r="BP268">
        <f t="shared" si="841"/>
        <v>200</v>
      </c>
      <c r="BQ268">
        <f t="shared" si="842"/>
        <v>41850</v>
      </c>
      <c r="BR268">
        <f>_xlfn.XLOOKUP(B268,'[7]september-2026'!$A:$A,'[7]september-2026'!$C:$C,0,0)</f>
        <v>33500</v>
      </c>
      <c r="BS268">
        <f t="shared" si="843"/>
        <v>6030</v>
      </c>
      <c r="BT268">
        <f t="shared" si="844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500</v>
      </c>
      <c r="BW268">
        <f t="shared" si="845"/>
        <v>44050</v>
      </c>
      <c r="BX268">
        <f>_xlfn.XLOOKUP(B268,'[7]september-2026'!$A:$A,'[7]september-2026'!$H:$H,0,0)</f>
        <v>2000</v>
      </c>
      <c r="BY268">
        <f>_xlfn.XLOOKUP(B268,'[7]september-2026'!$A:$A,'[7]september-2026'!$I:$I,0,0)</f>
        <v>0</v>
      </c>
      <c r="BZ268">
        <f t="shared" si="846"/>
        <v>200</v>
      </c>
      <c r="CA268">
        <f t="shared" si="847"/>
        <v>41850</v>
      </c>
      <c r="CB268">
        <f>_xlfn.XLOOKUP(B268,'[8]october-2026'!$A:$A,'[8]october-2026'!$C:$C,0,0)</f>
        <v>33500</v>
      </c>
      <c r="CC268">
        <f t="shared" si="848"/>
        <v>6030</v>
      </c>
      <c r="CD268">
        <f t="shared" si="849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500</v>
      </c>
      <c r="CG268">
        <f t="shared" si="850"/>
        <v>44050</v>
      </c>
      <c r="CH268">
        <f>_xlfn.XLOOKUP(B268,'[8]october-2026'!$A:$A,'[8]october-2026'!$H:$H,0,0)</f>
        <v>2000</v>
      </c>
      <c r="CI268">
        <f>_xlfn.XLOOKUP(B268,'[8]october-2026'!$A:$A,'[8]october-2026'!$I:$I,0,0)</f>
        <v>0</v>
      </c>
      <c r="CJ268">
        <f t="shared" si="851"/>
        <v>200</v>
      </c>
      <c r="CK268">
        <f t="shared" si="852"/>
        <v>41850</v>
      </c>
      <c r="CL268">
        <f>_xlfn.XLOOKUP(B268,'[9]november-2026'!$A:$A,'[9]november-2026'!$C:$C,0,0)</f>
        <v>33500</v>
      </c>
      <c r="CM268">
        <f t="shared" si="853"/>
        <v>6030</v>
      </c>
      <c r="CN268">
        <f t="shared" si="854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500</v>
      </c>
      <c r="CQ268">
        <f t="shared" si="855"/>
        <v>44050</v>
      </c>
      <c r="CR268">
        <f>_xlfn.XLOOKUP(B268,'[9]november-2026'!$A:$A,'[9]november-2026'!$H:$H,0,0)</f>
        <v>2000</v>
      </c>
      <c r="CS268">
        <f>_xlfn.XLOOKUP(B268,'[9]november-2026'!$A:$A,'[9]november-2026'!$I:$I,0,0)</f>
        <v>0</v>
      </c>
      <c r="CT268">
        <f t="shared" si="856"/>
        <v>200</v>
      </c>
      <c r="CU268">
        <f t="shared" si="857"/>
        <v>41850</v>
      </c>
      <c r="CV268">
        <f>_xlfn.XLOOKUP(B268,'[10]december-2026'!$A:$A,'[10]december-2026'!$C:$C,0,0)</f>
        <v>33500</v>
      </c>
      <c r="CW268">
        <f t="shared" si="858"/>
        <v>6030</v>
      </c>
      <c r="CX268">
        <f t="shared" si="859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500</v>
      </c>
      <c r="DA268">
        <f t="shared" si="860"/>
        <v>44050</v>
      </c>
      <c r="DB268">
        <f>_xlfn.XLOOKUP(B268,'[10]december-2026'!$A:$A,'[10]december-2026'!$H:$H,0,0)</f>
        <v>2000</v>
      </c>
      <c r="DC268">
        <f>_xlfn.XLOOKUP(B268,'[10]december-2026'!$A:$A,'[10]december-2026'!$I:$I,0,0)</f>
        <v>0</v>
      </c>
      <c r="DD268">
        <f t="shared" si="861"/>
        <v>200</v>
      </c>
      <c r="DE268">
        <f t="shared" si="862"/>
        <v>41850</v>
      </c>
      <c r="DF268">
        <f xml:space="preserve"> _xlfn.XLOOKUP(B268,
'[11]january-2027'!$A:$A,
'[11]january-2027'!$C:$C,
0,0)</f>
        <v>33500</v>
      </c>
      <c r="DG268">
        <f t="shared" si="863"/>
        <v>6030</v>
      </c>
      <c r="DH268">
        <f t="shared" si="864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500</v>
      </c>
      <c r="DK268">
        <f t="shared" si="865"/>
        <v>44050</v>
      </c>
      <c r="DL268">
        <f xml:space="preserve"> _xlfn.XLOOKUP(B268,
'[11]january-2027'!$A:$A,
'[11]january-2027'!$H:$H,
0,0)</f>
        <v>2000</v>
      </c>
      <c r="DM268">
        <f xml:space="preserve"> _xlfn.XLOOKUP(B268,
'[11]january-2027'!$A:$A,
'[11]january-2027'!$I:$I,
0,0)</f>
        <v>0</v>
      </c>
      <c r="DN268">
        <f t="shared" si="866"/>
        <v>200</v>
      </c>
      <c r="DO268">
        <f t="shared" si="867"/>
        <v>41850</v>
      </c>
      <c r="DP268">
        <f xml:space="preserve"> _xlfn.XLOOKUP(B268,
'[12]february-2027'!$A:$A,
'[12]february-2027'!$C:$C,
0,0)</f>
        <v>33500</v>
      </c>
      <c r="DQ268">
        <f t="shared" si="868"/>
        <v>6030</v>
      </c>
      <c r="DR268">
        <f t="shared" si="869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500</v>
      </c>
      <c r="DU268">
        <f t="shared" si="870"/>
        <v>44050</v>
      </c>
      <c r="DV268">
        <f xml:space="preserve"> _xlfn.XLOOKUP(B268,
'[12]february-2027'!$A:$A,
'[12]february-2027'!$H:$H,
0,0)</f>
        <v>2000</v>
      </c>
      <c r="DW268">
        <f xml:space="preserve"> _xlfn.XLOOKUP(B268,
'[12]february-2027'!$A:$A,
'[12]february-2027'!$I:$I,
0,0)</f>
        <v>0</v>
      </c>
      <c r="DX268">
        <f t="shared" si="871"/>
        <v>200</v>
      </c>
      <c r="DY268">
        <f t="shared" si="872"/>
        <v>41850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873"/>
        <v>0</v>
      </c>
      <c r="EM268">
        <f t="shared" si="874"/>
        <v>530466</v>
      </c>
      <c r="EN268">
        <f t="shared" si="875"/>
        <v>2400</v>
      </c>
      <c r="EO268">
        <f t="shared" si="876"/>
        <v>50000</v>
      </c>
      <c r="EP268">
        <v>0</v>
      </c>
      <c r="EQ268">
        <f t="shared" si="878"/>
        <v>478066</v>
      </c>
      <c r="ER268">
        <f t="shared" si="879"/>
        <v>24000</v>
      </c>
      <c r="ES268">
        <f t="shared" si="880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881"/>
        <v>24000</v>
      </c>
      <c r="FE268">
        <f t="shared" si="882"/>
        <v>24000</v>
      </c>
      <c r="FF268">
        <f t="shared" si="883"/>
        <v>454066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>SUM(FG268:FM268)+(IF(F268="YES",50000,0))</f>
        <v>0</v>
      </c>
      <c r="FO268">
        <f t="shared" si="884"/>
        <v>454066</v>
      </c>
      <c r="FP268">
        <f t="shared" si="885"/>
        <v>10203</v>
      </c>
      <c r="FQ268">
        <f t="shared" si="886"/>
        <v>0</v>
      </c>
      <c r="FR268">
        <f t="shared" si="887"/>
        <v>10203</v>
      </c>
      <c r="FS268">
        <f t="shared" si="888"/>
        <v>0</v>
      </c>
      <c r="FT268">
        <f t="shared" si="889"/>
        <v>0</v>
      </c>
      <c r="FU268">
        <f t="shared" si="890"/>
        <v>0</v>
      </c>
      <c r="FV268">
        <v>0</v>
      </c>
      <c r="FW268">
        <f t="shared" si="891"/>
        <v>0</v>
      </c>
      <c r="FX268" t="b">
        <f t="shared" si="892"/>
        <v>1</v>
      </c>
      <c r="FY268">
        <f t="shared" ca="1" si="893"/>
        <v>886</v>
      </c>
      <c r="FZ268">
        <f t="shared" ca="1" si="894"/>
        <v>531352</v>
      </c>
      <c r="GA268">
        <f t="shared" si="895"/>
        <v>75000</v>
      </c>
      <c r="GB268">
        <f t="shared" ca="1" si="896"/>
        <v>456352</v>
      </c>
      <c r="GC268">
        <f t="shared" ca="1" si="897"/>
        <v>0</v>
      </c>
      <c r="GD268">
        <f t="shared" ca="1" si="898"/>
        <v>0</v>
      </c>
      <c r="GE268">
        <f t="shared" ca="1" si="899"/>
        <v>0</v>
      </c>
      <c r="GF268">
        <f t="shared" ca="1" si="900"/>
        <v>0</v>
      </c>
      <c r="GG268">
        <f t="shared" ca="1" si="901"/>
        <v>0</v>
      </c>
      <c r="GH268">
        <f t="shared" ca="1" si="902"/>
        <v>0</v>
      </c>
      <c r="GI268">
        <f ca="1">IF(GB268&gt;1200000,GB268-1200000-IF(F268="YES",50000,0)-GG268,0)</f>
        <v>0</v>
      </c>
      <c r="GJ268">
        <f t="shared" ca="1" si="903"/>
        <v>0</v>
      </c>
      <c r="GK268">
        <f t="shared" ca="1" si="904"/>
        <v>0</v>
      </c>
      <c r="GL268">
        <f t="shared" ca="1" si="905"/>
        <v>0</v>
      </c>
      <c r="GM268">
        <f t="shared" ca="1" si="906"/>
        <v>56352</v>
      </c>
      <c r="GN268">
        <f t="shared" ca="1" si="907"/>
        <v>2817.6000000000004</v>
      </c>
      <c r="GO268">
        <f t="shared" ca="1" si="908"/>
        <v>2818</v>
      </c>
      <c r="GP268">
        <f t="shared" ca="1" si="909"/>
        <v>0</v>
      </c>
      <c r="GQ268">
        <f t="shared" ca="1" si="910"/>
        <v>0</v>
      </c>
      <c r="GR268">
        <f t="shared" ca="1" si="911"/>
        <v>2818</v>
      </c>
      <c r="GS268">
        <f t="shared" ca="1" si="912"/>
        <v>0</v>
      </c>
      <c r="GT268" t="b">
        <f t="shared" ca="1" si="913"/>
        <v>0</v>
      </c>
      <c r="GU268">
        <f t="shared" ca="1" si="914"/>
        <v>0</v>
      </c>
      <c r="GV268">
        <f t="shared" ca="1" si="915"/>
        <v>2818</v>
      </c>
      <c r="GW268">
        <f t="shared" ca="1" si="916"/>
        <v>0</v>
      </c>
      <c r="GX268">
        <f t="shared" ca="1" si="917"/>
        <v>0</v>
      </c>
      <c r="GY268">
        <f t="shared" ca="1" si="918"/>
        <v>0</v>
      </c>
    </row>
    <row r="269" spans="1:207" x14ac:dyDescent="0.25">
      <c r="A269">
        <f>_xlfn.AGGREGATE(3,5,$B$2:B269)</f>
        <v>268</v>
      </c>
      <c r="B269" t="s">
        <v>960</v>
      </c>
      <c r="C269" t="s">
        <v>963</v>
      </c>
      <c r="D269" t="s">
        <v>816</v>
      </c>
      <c r="E269" t="s">
        <v>830</v>
      </c>
      <c r="F269" t="s">
        <v>952</v>
      </c>
      <c r="G269" s="1">
        <v>42781</v>
      </c>
      <c r="H269">
        <f t="shared" si="813"/>
        <v>6800</v>
      </c>
      <c r="I269">
        <f>_xlfn.XLOOKUP(B269,'[1]march-2026'!$A:$A,'[1]march-2026'!$C:$C,0,0)</f>
        <v>34500</v>
      </c>
      <c r="J269">
        <f t="shared" si="877"/>
        <v>6210</v>
      </c>
      <c r="K269">
        <f t="shared" si="814"/>
        <v>4140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815"/>
        <v>45350</v>
      </c>
      <c r="O269">
        <f>_xlfn.XLOOKUP(B269,'[1]march-2026'!$A:$A,'[1]march-2026'!$H:$H,0,0)</f>
        <v>3000</v>
      </c>
      <c r="P269">
        <f>_xlfn.XLOOKUP(B269,'[1]march-2026'!$A:$A,'[1]march-2026'!$I:$I,0,0)</f>
        <v>0</v>
      </c>
      <c r="Q269">
        <f t="shared" si="816"/>
        <v>200</v>
      </c>
      <c r="R269">
        <f t="shared" si="817"/>
        <v>42150</v>
      </c>
      <c r="S269">
        <f>_xlfn.XLOOKUP(B269,'[2]april-2026'!$A:$A,'[2]april-2026'!$C:$C,0,0)</f>
        <v>34500</v>
      </c>
      <c r="T269">
        <f t="shared" si="818"/>
        <v>6210</v>
      </c>
      <c r="U269">
        <f t="shared" si="819"/>
        <v>4140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820"/>
        <v>45350</v>
      </c>
      <c r="Y269">
        <f>_xlfn.XLOOKUP(B269,'[2]april-2026'!$A:$A,'[2]april-2026'!$H:$H,0,0)</f>
        <v>3000</v>
      </c>
      <c r="Z269">
        <f>_xlfn.XLOOKUP(B269,'[2]april-2026'!$A:$A,'[2]april-2026'!$I:$I,0,0)</f>
        <v>0</v>
      </c>
      <c r="AA269">
        <f t="shared" si="821"/>
        <v>200</v>
      </c>
      <c r="AB269">
        <f t="shared" si="822"/>
        <v>42150</v>
      </c>
      <c r="AC269">
        <f>_xlfn.XLOOKUP(B269,'[3]may-2026'!$A:$A,'[3]may-2026'!$C:$C,0,0)</f>
        <v>34500</v>
      </c>
      <c r="AD269">
        <f t="shared" si="823"/>
        <v>6210</v>
      </c>
      <c r="AE269">
        <f t="shared" si="824"/>
        <v>4140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825"/>
        <v>45350</v>
      </c>
      <c r="AI269">
        <f>_xlfn.XLOOKUP(B269,'[3]may-2026'!$A:$A,'[3]may-2026'!$H:$H,0,0)</f>
        <v>3000</v>
      </c>
      <c r="AJ269">
        <f>_xlfn.XLOOKUP(B269,'[3]may-2026'!$A:$A,'[3]may-2026'!$I:$I,0,0)</f>
        <v>0</v>
      </c>
      <c r="AK269">
        <f t="shared" si="826"/>
        <v>200</v>
      </c>
      <c r="AL269">
        <f t="shared" si="827"/>
        <v>42150</v>
      </c>
      <c r="AM269">
        <f>_xlfn.XLOOKUP(B269,'[4]june-2026'!$A:$A,'[4]june-2026'!$C:$C,0,0)</f>
        <v>34500</v>
      </c>
      <c r="AN269">
        <f t="shared" si="828"/>
        <v>6210</v>
      </c>
      <c r="AO269">
        <f t="shared" si="829"/>
        <v>4140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830"/>
        <v>45350</v>
      </c>
      <c r="AS269">
        <f>_xlfn.XLOOKUP(B269,'[4]june-2026'!$A:$A,'[4]june-2026'!$H:$H,0,0)</f>
        <v>3000</v>
      </c>
      <c r="AT269">
        <f>_xlfn.XLOOKUP(B269,'[4]june-2026'!$A:$A,'[4]june-2026'!$I:$I,0,0)</f>
        <v>0</v>
      </c>
      <c r="AU269">
        <f t="shared" si="831"/>
        <v>200</v>
      </c>
      <c r="AV269">
        <f t="shared" si="832"/>
        <v>42150</v>
      </c>
      <c r="AW269">
        <f>_xlfn.XLOOKUP(B269,'[5]july-2026'!$A:$A,'[5]july-2026'!$C:$C,0,0)</f>
        <v>35500</v>
      </c>
      <c r="AX269">
        <f t="shared" si="833"/>
        <v>6390</v>
      </c>
      <c r="AY269">
        <v>267</v>
      </c>
      <c r="AZ269">
        <f t="shared" si="834"/>
        <v>4260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835"/>
        <v>46917</v>
      </c>
      <c r="BD269">
        <f>_xlfn.XLOOKUP(B269,'[5]july-2026'!$A:$A,'[5]july-2026'!$H:$H,0,0)</f>
        <v>3000</v>
      </c>
      <c r="BE269">
        <f>_xlfn.XLOOKUP(B269,'[5]july-2026'!$A:$A,'[5]july-2026'!$I:$I,0,0)</f>
        <v>0</v>
      </c>
      <c r="BF269">
        <f t="shared" si="836"/>
        <v>200</v>
      </c>
      <c r="BG269">
        <f t="shared" si="837"/>
        <v>43717</v>
      </c>
      <c r="BH269">
        <f>_xlfn.XLOOKUP(B269,'[6]august-2026'!$A:$A,'[6]august-2026'!$C:$C,0,0)</f>
        <v>35500</v>
      </c>
      <c r="BI269">
        <f t="shared" si="838"/>
        <v>6390</v>
      </c>
      <c r="BJ269">
        <f t="shared" si="839"/>
        <v>4260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840"/>
        <v>46650</v>
      </c>
      <c r="BN269">
        <f>_xlfn.XLOOKUP(B269,'[6]august-2026'!$A:$A,'[6]august-2026'!$H:$H,0,0)</f>
        <v>3000</v>
      </c>
      <c r="BO269">
        <f>_xlfn.XLOOKUP(B269,'[6]august-2026'!$A:$A,'[6]august-2026'!$I:$I,0,0)</f>
        <v>0</v>
      </c>
      <c r="BP269">
        <f t="shared" si="841"/>
        <v>200</v>
      </c>
      <c r="BQ269">
        <f t="shared" si="842"/>
        <v>43450</v>
      </c>
      <c r="BR269">
        <f>_xlfn.XLOOKUP(B269,'[7]september-2026'!$A:$A,'[7]september-2026'!$C:$C,0,0)</f>
        <v>35500</v>
      </c>
      <c r="BS269">
        <f t="shared" si="843"/>
        <v>6390</v>
      </c>
      <c r="BT269">
        <f t="shared" si="844"/>
        <v>4260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845"/>
        <v>46650</v>
      </c>
      <c r="BX269">
        <f>_xlfn.XLOOKUP(B269,'[7]september-2026'!$A:$A,'[7]september-2026'!$H:$H,0,0)</f>
        <v>3000</v>
      </c>
      <c r="BY269">
        <f>_xlfn.XLOOKUP(B269,'[7]september-2026'!$A:$A,'[7]september-2026'!$I:$I,0,0)</f>
        <v>0</v>
      </c>
      <c r="BZ269">
        <f t="shared" si="846"/>
        <v>200</v>
      </c>
      <c r="CA269">
        <f t="shared" si="847"/>
        <v>43450</v>
      </c>
      <c r="CB269">
        <f>_xlfn.XLOOKUP(B269,'[8]october-2026'!$A:$A,'[8]october-2026'!$C:$C,0,0)</f>
        <v>35500</v>
      </c>
      <c r="CC269">
        <f t="shared" si="848"/>
        <v>6390</v>
      </c>
      <c r="CD269">
        <f t="shared" si="849"/>
        <v>4260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850"/>
        <v>46650</v>
      </c>
      <c r="CH269">
        <f>_xlfn.XLOOKUP(B269,'[8]october-2026'!$A:$A,'[8]october-2026'!$H:$H,0,0)</f>
        <v>3000</v>
      </c>
      <c r="CI269">
        <f>_xlfn.XLOOKUP(B269,'[8]october-2026'!$A:$A,'[8]october-2026'!$I:$I,0,0)</f>
        <v>0</v>
      </c>
      <c r="CJ269">
        <f t="shared" si="851"/>
        <v>200</v>
      </c>
      <c r="CK269">
        <f t="shared" si="852"/>
        <v>43450</v>
      </c>
      <c r="CL269">
        <f>_xlfn.XLOOKUP(B269,'[9]november-2026'!$A:$A,'[9]november-2026'!$C:$C,0,0)</f>
        <v>35500</v>
      </c>
      <c r="CM269">
        <f t="shared" si="853"/>
        <v>6390</v>
      </c>
      <c r="CN269">
        <f t="shared" si="854"/>
        <v>4260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855"/>
        <v>46650</v>
      </c>
      <c r="CR269">
        <f>_xlfn.XLOOKUP(B269,'[9]november-2026'!$A:$A,'[9]november-2026'!$H:$H,0,0)</f>
        <v>3000</v>
      </c>
      <c r="CS269">
        <f>_xlfn.XLOOKUP(B269,'[9]november-2026'!$A:$A,'[9]november-2026'!$I:$I,0,0)</f>
        <v>0</v>
      </c>
      <c r="CT269">
        <f t="shared" si="856"/>
        <v>200</v>
      </c>
      <c r="CU269">
        <f t="shared" si="857"/>
        <v>43450</v>
      </c>
      <c r="CV269">
        <f>_xlfn.XLOOKUP(B269,'[10]december-2026'!$A:$A,'[10]december-2026'!$C:$C,0,0)</f>
        <v>35500</v>
      </c>
      <c r="CW269">
        <f t="shared" si="858"/>
        <v>6390</v>
      </c>
      <c r="CX269">
        <f t="shared" si="859"/>
        <v>4260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860"/>
        <v>46650</v>
      </c>
      <c r="DB269">
        <f>_xlfn.XLOOKUP(B269,'[10]december-2026'!$A:$A,'[10]december-2026'!$H:$H,0,0)</f>
        <v>3000</v>
      </c>
      <c r="DC269">
        <f>_xlfn.XLOOKUP(B269,'[10]december-2026'!$A:$A,'[10]december-2026'!$I:$I,0,0)</f>
        <v>0</v>
      </c>
      <c r="DD269">
        <f t="shared" si="861"/>
        <v>200</v>
      </c>
      <c r="DE269">
        <f t="shared" si="862"/>
        <v>43450</v>
      </c>
      <c r="DF269">
        <f xml:space="preserve"> _xlfn.XLOOKUP(B269,
'[11]january-2027'!$A:$A,
'[11]january-2027'!$C:$C,
0,0)</f>
        <v>35500</v>
      </c>
      <c r="DG269">
        <f t="shared" si="863"/>
        <v>6390</v>
      </c>
      <c r="DH269">
        <f t="shared" si="864"/>
        <v>4260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865"/>
        <v>46650</v>
      </c>
      <c r="DL269">
        <f xml:space="preserve"> _xlfn.XLOOKUP(B269,
'[11]january-2027'!$A:$A,
'[11]january-2027'!$H:$H,
0,0)</f>
        <v>3000</v>
      </c>
      <c r="DM269">
        <f xml:space="preserve"> _xlfn.XLOOKUP(B269,
'[11]january-2027'!$A:$A,
'[11]january-2027'!$I:$I,
0,0)</f>
        <v>0</v>
      </c>
      <c r="DN269">
        <f t="shared" si="866"/>
        <v>200</v>
      </c>
      <c r="DO269">
        <f t="shared" si="867"/>
        <v>43450</v>
      </c>
      <c r="DP269">
        <f xml:space="preserve"> _xlfn.XLOOKUP(B269,
'[12]february-2027'!$A:$A,
'[12]february-2027'!$C:$C,
0,0)</f>
        <v>35500</v>
      </c>
      <c r="DQ269">
        <f t="shared" si="868"/>
        <v>6390</v>
      </c>
      <c r="DR269">
        <f t="shared" si="869"/>
        <v>4260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870"/>
        <v>46650</v>
      </c>
      <c r="DV269">
        <f xml:space="preserve"> _xlfn.XLOOKUP(B269,
'[12]february-2027'!$A:$A,
'[12]february-2027'!$H:$H,
0,0)</f>
        <v>3000</v>
      </c>
      <c r="DW269">
        <f xml:space="preserve"> _xlfn.XLOOKUP(B269,
'[12]february-2027'!$A:$A,
'[12]february-2027'!$I:$I,
0,0)</f>
        <v>0</v>
      </c>
      <c r="DX269">
        <f t="shared" si="871"/>
        <v>200</v>
      </c>
      <c r="DY269">
        <f t="shared" si="872"/>
        <v>43450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873"/>
        <v>0</v>
      </c>
      <c r="EM269">
        <f t="shared" si="874"/>
        <v>561667</v>
      </c>
      <c r="EN269">
        <f t="shared" si="875"/>
        <v>2400</v>
      </c>
      <c r="EO269">
        <f t="shared" si="876"/>
        <v>50000</v>
      </c>
      <c r="EP269">
        <v>0</v>
      </c>
      <c r="EQ269">
        <f t="shared" si="878"/>
        <v>509267</v>
      </c>
      <c r="ER269">
        <f t="shared" si="879"/>
        <v>36000</v>
      </c>
      <c r="ES269">
        <f t="shared" si="880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881"/>
        <v>36000</v>
      </c>
      <c r="FE269">
        <f t="shared" si="882"/>
        <v>36000</v>
      </c>
      <c r="FF269">
        <f t="shared" si="883"/>
        <v>473267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>SUM(FG269:FM269)+(IF(F269="YES",50000,0))</f>
        <v>0</v>
      </c>
      <c r="FO269">
        <f t="shared" si="884"/>
        <v>473267</v>
      </c>
      <c r="FP269">
        <f t="shared" si="885"/>
        <v>11163</v>
      </c>
      <c r="FQ269">
        <f t="shared" si="886"/>
        <v>0</v>
      </c>
      <c r="FR269">
        <f t="shared" si="887"/>
        <v>11163</v>
      </c>
      <c r="FS269">
        <f t="shared" si="888"/>
        <v>0</v>
      </c>
      <c r="FT269">
        <f t="shared" si="889"/>
        <v>0</v>
      </c>
      <c r="FU269">
        <f t="shared" si="890"/>
        <v>0</v>
      </c>
      <c r="FV269">
        <v>0</v>
      </c>
      <c r="FW269">
        <f t="shared" si="891"/>
        <v>0</v>
      </c>
      <c r="FX269" t="b">
        <f t="shared" si="892"/>
        <v>1</v>
      </c>
      <c r="FY269">
        <f t="shared" ca="1" si="893"/>
        <v>720</v>
      </c>
      <c r="FZ269">
        <f t="shared" ca="1" si="894"/>
        <v>562387</v>
      </c>
      <c r="GA269">
        <f t="shared" si="895"/>
        <v>75000</v>
      </c>
      <c r="GB269">
        <f t="shared" ca="1" si="896"/>
        <v>487387</v>
      </c>
      <c r="GC269">
        <f t="shared" ca="1" si="897"/>
        <v>0</v>
      </c>
      <c r="GD269">
        <f t="shared" ca="1" si="898"/>
        <v>0</v>
      </c>
      <c r="GE269">
        <f t="shared" ca="1" si="899"/>
        <v>0</v>
      </c>
      <c r="GF269">
        <f t="shared" ca="1" si="900"/>
        <v>0</v>
      </c>
      <c r="GG269">
        <f t="shared" ca="1" si="901"/>
        <v>0</v>
      </c>
      <c r="GH269">
        <f t="shared" ca="1" si="902"/>
        <v>0</v>
      </c>
      <c r="GI269">
        <f ca="1">IF(GB269&gt;1200000,GB269-1200000-IF(F269="YES",50000,0)-GG269,0)</f>
        <v>0</v>
      </c>
      <c r="GJ269">
        <f t="shared" ca="1" si="903"/>
        <v>0</v>
      </c>
      <c r="GK269">
        <f t="shared" ca="1" si="904"/>
        <v>0</v>
      </c>
      <c r="GL269">
        <f t="shared" ca="1" si="905"/>
        <v>0</v>
      </c>
      <c r="GM269">
        <f t="shared" ca="1" si="906"/>
        <v>87387</v>
      </c>
      <c r="GN269">
        <f t="shared" ca="1" si="907"/>
        <v>4369.3500000000004</v>
      </c>
      <c r="GO269">
        <f t="shared" ca="1" si="908"/>
        <v>4369</v>
      </c>
      <c r="GP269">
        <f t="shared" ca="1" si="909"/>
        <v>0</v>
      </c>
      <c r="GQ269">
        <f t="shared" ca="1" si="910"/>
        <v>0</v>
      </c>
      <c r="GR269">
        <f t="shared" ca="1" si="911"/>
        <v>4369</v>
      </c>
      <c r="GS269">
        <f t="shared" ca="1" si="912"/>
        <v>0</v>
      </c>
      <c r="GT269" t="b">
        <f t="shared" ca="1" si="913"/>
        <v>0</v>
      </c>
      <c r="GU269">
        <f t="shared" ca="1" si="914"/>
        <v>0</v>
      </c>
      <c r="GV269">
        <f t="shared" ca="1" si="915"/>
        <v>4369</v>
      </c>
      <c r="GW269">
        <f t="shared" ca="1" si="916"/>
        <v>0</v>
      </c>
      <c r="GX269">
        <f t="shared" ca="1" si="917"/>
        <v>0</v>
      </c>
      <c r="GY269">
        <f t="shared" ca="1" si="918"/>
        <v>0</v>
      </c>
    </row>
    <row r="270" spans="1:207" x14ac:dyDescent="0.25">
      <c r="A270">
        <f>_xlfn.AGGREGATE(3,5,$B$2:B270)</f>
        <v>269</v>
      </c>
      <c r="B270" t="s">
        <v>628</v>
      </c>
      <c r="C270" t="s">
        <v>629</v>
      </c>
      <c r="D270" t="s">
        <v>817</v>
      </c>
      <c r="E270" t="s">
        <v>831</v>
      </c>
      <c r="F270" t="s">
        <v>952</v>
      </c>
      <c r="G270" t="s">
        <v>949</v>
      </c>
      <c r="H270">
        <f t="shared" si="813"/>
        <v>6800</v>
      </c>
      <c r="I270">
        <f>_xlfn.XLOOKUP(B270,'[1]march-2026'!$A:$A,'[1]march-2026'!$C:$C,0,0)</f>
        <v>48700</v>
      </c>
      <c r="J270">
        <f t="shared" si="877"/>
        <v>8766</v>
      </c>
      <c r="K270">
        <f t="shared" si="814"/>
        <v>5844</v>
      </c>
      <c r="L270">
        <f>_xlfn.XLOOKUP(B270,'[1]march-2026'!$A:$A,'[1]march-2026'!$D:$D,0,0)</f>
        <v>400</v>
      </c>
      <c r="M270">
        <f>_xlfn.XLOOKUP(B270,'[1]march-2026'!$A:$A,'[1]march-2026'!$G:$G,0,0)</f>
        <v>500</v>
      </c>
      <c r="N270">
        <f t="shared" si="815"/>
        <v>64210</v>
      </c>
      <c r="O270">
        <f>_xlfn.XLOOKUP(B270,'[1]march-2026'!$A:$A,'[1]march-2026'!$H:$H,0,0)</f>
        <v>7000</v>
      </c>
      <c r="P270">
        <f>_xlfn.XLOOKUP(B270,'[1]march-2026'!$A:$A,'[1]march-2026'!$I:$I,0,0)</f>
        <v>60</v>
      </c>
      <c r="Q270">
        <f t="shared" si="816"/>
        <v>200</v>
      </c>
      <c r="R270">
        <f t="shared" si="817"/>
        <v>56950</v>
      </c>
      <c r="S270">
        <f>_xlfn.XLOOKUP(B270,'[2]april-2026'!$A:$A,'[2]april-2026'!$C:$C,0,0)</f>
        <v>48700</v>
      </c>
      <c r="T270">
        <f t="shared" si="818"/>
        <v>8766</v>
      </c>
      <c r="U270">
        <f t="shared" si="819"/>
        <v>5844</v>
      </c>
      <c r="V270">
        <f>_xlfn.XLOOKUP(B270,'[2]april-2026'!$A:$A,'[2]april-2026'!$D:$D,0,0)</f>
        <v>400</v>
      </c>
      <c r="W270">
        <f>_xlfn.XLOOKUP(B270,'[2]april-2026'!$A:$A,'[2]april-2026'!$G:$G,0,0)</f>
        <v>500</v>
      </c>
      <c r="X270">
        <f t="shared" si="820"/>
        <v>64210</v>
      </c>
      <c r="Y270">
        <f>_xlfn.XLOOKUP(B270,'[2]april-2026'!$A:$A,'[2]april-2026'!$H:$H,0,0)</f>
        <v>7000</v>
      </c>
      <c r="Z270">
        <f>_xlfn.XLOOKUP(B270,'[2]april-2026'!$A:$A,'[2]april-2026'!$I:$I,0,0)</f>
        <v>60</v>
      </c>
      <c r="AA270">
        <f t="shared" si="821"/>
        <v>200</v>
      </c>
      <c r="AB270">
        <f t="shared" si="822"/>
        <v>56950</v>
      </c>
      <c r="AC270">
        <f>_xlfn.XLOOKUP(B270,'[3]may-2026'!$A:$A,'[3]may-2026'!$C:$C,0,0)</f>
        <v>48700</v>
      </c>
      <c r="AD270">
        <f t="shared" si="823"/>
        <v>8766</v>
      </c>
      <c r="AE270">
        <f t="shared" si="824"/>
        <v>5844</v>
      </c>
      <c r="AF270">
        <f>_xlfn.XLOOKUP(B270,'[3]may-2026'!$A:$A,'[3]may-2026'!$D:$D,0,0)</f>
        <v>400</v>
      </c>
      <c r="AG270">
        <f>_xlfn.XLOOKUP(B270,'[3]may-2026'!$A:$A,'[3]may-2026'!$G:$G,0,0)</f>
        <v>500</v>
      </c>
      <c r="AH270">
        <f t="shared" si="825"/>
        <v>64210</v>
      </c>
      <c r="AI270">
        <f>_xlfn.XLOOKUP(B270,'[3]may-2026'!$A:$A,'[3]may-2026'!$H:$H,0,0)</f>
        <v>7000</v>
      </c>
      <c r="AJ270">
        <f>_xlfn.XLOOKUP(B270,'[3]may-2026'!$A:$A,'[3]may-2026'!$I:$I,0,0)</f>
        <v>60</v>
      </c>
      <c r="AK270">
        <f t="shared" si="826"/>
        <v>200</v>
      </c>
      <c r="AL270">
        <f t="shared" si="827"/>
        <v>56950</v>
      </c>
      <c r="AM270">
        <f>_xlfn.XLOOKUP(B270,'[4]june-2026'!$A:$A,'[4]june-2026'!$C:$C,0,0)</f>
        <v>48700</v>
      </c>
      <c r="AN270">
        <f t="shared" si="828"/>
        <v>8766</v>
      </c>
      <c r="AO270">
        <f t="shared" si="829"/>
        <v>5844</v>
      </c>
      <c r="AP270">
        <f>_xlfn.XLOOKUP(B270,'[4]june-2026'!$A:$A,'[4]june-2026'!$D:$D,0,0)</f>
        <v>400</v>
      </c>
      <c r="AQ270">
        <f>_xlfn.XLOOKUP(B270,'[4]june-2026'!$A:$A,'[4]june-2026'!$G:$G,0,0)</f>
        <v>500</v>
      </c>
      <c r="AR270">
        <f t="shared" si="830"/>
        <v>64210</v>
      </c>
      <c r="AS270">
        <f>_xlfn.XLOOKUP(B270,'[4]june-2026'!$A:$A,'[4]june-2026'!$H:$H,0,0)</f>
        <v>7000</v>
      </c>
      <c r="AT270">
        <f>_xlfn.XLOOKUP(B270,'[4]june-2026'!$A:$A,'[4]june-2026'!$I:$I,0,0)</f>
        <v>60</v>
      </c>
      <c r="AU270">
        <f t="shared" si="831"/>
        <v>200</v>
      </c>
      <c r="AV270">
        <f t="shared" si="832"/>
        <v>56950</v>
      </c>
      <c r="AW270">
        <f>_xlfn.XLOOKUP(B270,'[5]july-2026'!$A:$A,'[5]july-2026'!$C:$C,0,0)</f>
        <v>50200</v>
      </c>
      <c r="AX270">
        <f t="shared" si="833"/>
        <v>9036</v>
      </c>
      <c r="AY270">
        <v>268</v>
      </c>
      <c r="AZ270">
        <f t="shared" si="834"/>
        <v>6024</v>
      </c>
      <c r="BA270">
        <f>_xlfn.XLOOKUP(B270,'[5]july-2026'!$A:$A,'[5]july-2026'!$D:$D,0,0)</f>
        <v>400</v>
      </c>
      <c r="BB270">
        <f>_xlfn.XLOOKUP(B270,'[5]july-2026'!$A:$A,'[5]july-2026'!$G:$G,0,0)</f>
        <v>500</v>
      </c>
      <c r="BC270">
        <f t="shared" si="835"/>
        <v>66428</v>
      </c>
      <c r="BD270">
        <f>_xlfn.XLOOKUP(B270,'[5]july-2026'!$A:$A,'[5]july-2026'!$H:$H,0,0)</f>
        <v>7000</v>
      </c>
      <c r="BE270">
        <f>_xlfn.XLOOKUP(B270,'[5]july-2026'!$A:$A,'[5]july-2026'!$I:$I,0,0)</f>
        <v>60</v>
      </c>
      <c r="BF270">
        <f t="shared" si="836"/>
        <v>200</v>
      </c>
      <c r="BG270">
        <f t="shared" si="837"/>
        <v>59168</v>
      </c>
      <c r="BH270">
        <f>_xlfn.XLOOKUP(B270,'[6]august-2026'!$A:$A,'[6]august-2026'!$C:$C,0,0)</f>
        <v>50200</v>
      </c>
      <c r="BI270">
        <f t="shared" si="838"/>
        <v>9036</v>
      </c>
      <c r="BJ270">
        <f t="shared" si="839"/>
        <v>6024</v>
      </c>
      <c r="BK270">
        <f>_xlfn.XLOOKUP(B270,'[6]august-2026'!$A:$A,'[6]august-2026'!$D:$D,0,0)</f>
        <v>400</v>
      </c>
      <c r="BL270">
        <f>_xlfn.XLOOKUP(B270,'[6]august-2026'!$A:$A,'[6]august-2026'!$G:$G,0,0)</f>
        <v>500</v>
      </c>
      <c r="BM270">
        <f t="shared" si="840"/>
        <v>66160</v>
      </c>
      <c r="BN270">
        <f>_xlfn.XLOOKUP(B270,'[6]august-2026'!$A:$A,'[6]august-2026'!$H:$H,0,0)</f>
        <v>7000</v>
      </c>
      <c r="BO270">
        <f>_xlfn.XLOOKUP(B270,'[6]august-2026'!$A:$A,'[6]august-2026'!$I:$I,0,0)</f>
        <v>60</v>
      </c>
      <c r="BP270">
        <f t="shared" si="841"/>
        <v>200</v>
      </c>
      <c r="BQ270">
        <f t="shared" si="842"/>
        <v>58900</v>
      </c>
      <c r="BR270">
        <f>_xlfn.XLOOKUP(B270,'[7]september-2026'!$A:$A,'[7]september-2026'!$C:$C,0,0)</f>
        <v>50200</v>
      </c>
      <c r="BS270">
        <f t="shared" si="843"/>
        <v>9036</v>
      </c>
      <c r="BT270">
        <f t="shared" si="844"/>
        <v>6024</v>
      </c>
      <c r="BU270">
        <f>_xlfn.XLOOKUP(B270,'[7]september-2026'!$A:$A,'[7]september-2026'!$D:$D,0,0)</f>
        <v>400</v>
      </c>
      <c r="BV270">
        <f>_xlfn.XLOOKUP(B270,'[7]september-2026'!$A:$A,'[7]september-2026'!$G:$G,0,0)</f>
        <v>500</v>
      </c>
      <c r="BW270">
        <f t="shared" si="845"/>
        <v>66160</v>
      </c>
      <c r="BX270">
        <f>_xlfn.XLOOKUP(B270,'[7]september-2026'!$A:$A,'[7]september-2026'!$H:$H,0,0)</f>
        <v>7000</v>
      </c>
      <c r="BY270">
        <f>_xlfn.XLOOKUP(B270,'[7]september-2026'!$A:$A,'[7]september-2026'!$I:$I,0,0)</f>
        <v>60</v>
      </c>
      <c r="BZ270">
        <f t="shared" si="846"/>
        <v>200</v>
      </c>
      <c r="CA270">
        <f t="shared" si="847"/>
        <v>58900</v>
      </c>
      <c r="CB270">
        <f>_xlfn.XLOOKUP(B270,'[8]october-2026'!$A:$A,'[8]october-2026'!$C:$C,0,0)</f>
        <v>50200</v>
      </c>
      <c r="CC270">
        <f t="shared" si="848"/>
        <v>9036</v>
      </c>
      <c r="CD270">
        <f t="shared" si="849"/>
        <v>6024</v>
      </c>
      <c r="CE270">
        <f>_xlfn.XLOOKUP(B270,'[8]october-2026'!$A:$A,'[8]october-2026'!$D:$D,0,0)</f>
        <v>400</v>
      </c>
      <c r="CF270">
        <f>_xlfn.XLOOKUP(B270,'[8]october-2026'!$A:$A,'[8]october-2026'!$G:$G,0,0)</f>
        <v>500</v>
      </c>
      <c r="CG270">
        <f t="shared" si="850"/>
        <v>66160</v>
      </c>
      <c r="CH270">
        <f>_xlfn.XLOOKUP(B270,'[8]october-2026'!$A:$A,'[8]october-2026'!$H:$H,0,0)</f>
        <v>7000</v>
      </c>
      <c r="CI270">
        <f>_xlfn.XLOOKUP(B270,'[8]october-2026'!$A:$A,'[8]october-2026'!$I:$I,0,0)</f>
        <v>60</v>
      </c>
      <c r="CJ270">
        <f t="shared" si="851"/>
        <v>200</v>
      </c>
      <c r="CK270">
        <f t="shared" si="852"/>
        <v>58900</v>
      </c>
      <c r="CL270">
        <f>_xlfn.XLOOKUP(B270,'[9]november-2026'!$A:$A,'[9]november-2026'!$C:$C,0,0)</f>
        <v>50200</v>
      </c>
      <c r="CM270">
        <f t="shared" si="853"/>
        <v>9036</v>
      </c>
      <c r="CN270">
        <f t="shared" si="854"/>
        <v>6024</v>
      </c>
      <c r="CO270">
        <f>_xlfn.XLOOKUP(B270,'[9]november-2026'!$A:$A,'[9]november-2026'!$D:$D,0,0)</f>
        <v>400</v>
      </c>
      <c r="CP270">
        <f>_xlfn.XLOOKUP(B270,'[9]november-2026'!$A:$A,'[9]november-2026'!$G:$G,0,0)</f>
        <v>500</v>
      </c>
      <c r="CQ270">
        <f t="shared" si="855"/>
        <v>66160</v>
      </c>
      <c r="CR270">
        <f>_xlfn.XLOOKUP(B270,'[9]november-2026'!$A:$A,'[9]november-2026'!$H:$H,0,0)</f>
        <v>7000</v>
      </c>
      <c r="CS270">
        <f>_xlfn.XLOOKUP(B270,'[9]november-2026'!$A:$A,'[9]november-2026'!$I:$I,0,0)</f>
        <v>60</v>
      </c>
      <c r="CT270">
        <f t="shared" si="856"/>
        <v>200</v>
      </c>
      <c r="CU270">
        <f t="shared" si="857"/>
        <v>58900</v>
      </c>
      <c r="CV270">
        <f>_xlfn.XLOOKUP(B270,'[10]december-2026'!$A:$A,'[10]december-2026'!$C:$C,0,0)</f>
        <v>50200</v>
      </c>
      <c r="CW270">
        <f t="shared" si="858"/>
        <v>9036</v>
      </c>
      <c r="CX270">
        <f t="shared" si="859"/>
        <v>6024</v>
      </c>
      <c r="CY270">
        <f>_xlfn.XLOOKUP(B270,'[10]december-2026'!$A:$A,'[10]december-2026'!$D:$D,0,0)</f>
        <v>400</v>
      </c>
      <c r="CZ270">
        <f>_xlfn.XLOOKUP(B270,'[10]december-2026'!$A:$A,'[10]december-2026'!$G:$G,0,0)</f>
        <v>500</v>
      </c>
      <c r="DA270">
        <f t="shared" si="860"/>
        <v>66160</v>
      </c>
      <c r="DB270">
        <f>_xlfn.XLOOKUP(B270,'[10]december-2026'!$A:$A,'[10]december-2026'!$H:$H,0,0)</f>
        <v>7000</v>
      </c>
      <c r="DC270">
        <f>_xlfn.XLOOKUP(B270,'[10]december-2026'!$A:$A,'[10]december-2026'!$I:$I,0,0)</f>
        <v>60</v>
      </c>
      <c r="DD270">
        <f t="shared" si="861"/>
        <v>200</v>
      </c>
      <c r="DE270">
        <f t="shared" si="862"/>
        <v>58900</v>
      </c>
      <c r="DF270">
        <f xml:space="preserve"> _xlfn.XLOOKUP(B270,
'[11]january-2027'!$A:$A,
'[11]january-2027'!$C:$C,
0,0)</f>
        <v>50200</v>
      </c>
      <c r="DG270">
        <f t="shared" si="863"/>
        <v>9036</v>
      </c>
      <c r="DH270">
        <f t="shared" si="864"/>
        <v>6024</v>
      </c>
      <c r="DI270">
        <f xml:space="preserve"> _xlfn.XLOOKUP(B270,
'[11]january-2027'!$A:$A,
'[11]january-2027'!$D:$D,
0,0)</f>
        <v>400</v>
      </c>
      <c r="DJ270">
        <f xml:space="preserve"> _xlfn.XLOOKUP(B270,
'[11]january-2027'!$A:$A,
'[11]january-2027'!$G:$G,
0,0)</f>
        <v>500</v>
      </c>
      <c r="DK270">
        <f t="shared" si="865"/>
        <v>66160</v>
      </c>
      <c r="DL270">
        <f xml:space="preserve"> _xlfn.XLOOKUP(B270,
'[11]january-2027'!$A:$A,
'[11]january-2027'!$H:$H,
0,0)</f>
        <v>7000</v>
      </c>
      <c r="DM270">
        <f xml:space="preserve"> _xlfn.XLOOKUP(B270,
'[11]january-2027'!$A:$A,
'[11]january-2027'!$I:$I,
0,0)</f>
        <v>60</v>
      </c>
      <c r="DN270">
        <f t="shared" si="866"/>
        <v>200</v>
      </c>
      <c r="DO270">
        <f t="shared" si="867"/>
        <v>58900</v>
      </c>
      <c r="DP270">
        <f xml:space="preserve"> _xlfn.XLOOKUP(B270,
'[12]february-2027'!$A:$A,
'[12]february-2027'!$C:$C,
0,0)</f>
        <v>50200</v>
      </c>
      <c r="DQ270">
        <f t="shared" si="868"/>
        <v>9036</v>
      </c>
      <c r="DR270">
        <f t="shared" si="869"/>
        <v>6024</v>
      </c>
      <c r="DS270">
        <f xml:space="preserve"> _xlfn.XLOOKUP(B270,
'[12]february-2027'!$A:$A,
'[12]february-2027'!$D:$D,
0,0)</f>
        <v>400</v>
      </c>
      <c r="DT270">
        <f xml:space="preserve"> _xlfn.XLOOKUP(B270,
'[12]february-2027'!$A:$A,
'[12]february-2027'!$G:$G,
0,0)</f>
        <v>500</v>
      </c>
      <c r="DU270">
        <f t="shared" si="870"/>
        <v>66160</v>
      </c>
      <c r="DV270">
        <f xml:space="preserve"> _xlfn.XLOOKUP(B270,
'[12]february-2027'!$A:$A,
'[12]february-2027'!$H:$H,
0,0)</f>
        <v>7000</v>
      </c>
      <c r="DW270">
        <f xml:space="preserve"> _xlfn.XLOOKUP(B270,
'[12]february-2027'!$A:$A,
'[12]february-2027'!$I:$I,
0,0)</f>
        <v>60</v>
      </c>
      <c r="DX270">
        <f t="shared" si="871"/>
        <v>200</v>
      </c>
      <c r="DY270">
        <f t="shared" si="872"/>
        <v>58900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873"/>
        <v>0</v>
      </c>
      <c r="EM270">
        <f t="shared" si="874"/>
        <v>793188</v>
      </c>
      <c r="EN270">
        <f t="shared" si="875"/>
        <v>2400</v>
      </c>
      <c r="EO270">
        <f t="shared" si="876"/>
        <v>50000</v>
      </c>
      <c r="EP270">
        <v>0</v>
      </c>
      <c r="EQ270">
        <f t="shared" si="878"/>
        <v>740788</v>
      </c>
      <c r="ER270">
        <f t="shared" si="879"/>
        <v>84000</v>
      </c>
      <c r="ES270">
        <f t="shared" si="880"/>
        <v>720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881"/>
        <v>84720</v>
      </c>
      <c r="FE270">
        <f t="shared" si="882"/>
        <v>84720</v>
      </c>
      <c r="FF270">
        <f t="shared" si="883"/>
        <v>656068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>SUM(FG270:FM270)+(IF(F270="YES",50000,0))</f>
        <v>0</v>
      </c>
      <c r="FO270">
        <f t="shared" si="884"/>
        <v>656068</v>
      </c>
      <c r="FP270">
        <f t="shared" si="885"/>
        <v>12500</v>
      </c>
      <c r="FQ270">
        <f t="shared" si="886"/>
        <v>31214</v>
      </c>
      <c r="FR270">
        <f t="shared" si="887"/>
        <v>43714</v>
      </c>
      <c r="FS270">
        <f t="shared" si="888"/>
        <v>43714</v>
      </c>
      <c r="FT270">
        <f t="shared" si="889"/>
        <v>1748.56</v>
      </c>
      <c r="FU270">
        <f t="shared" si="890"/>
        <v>45463</v>
      </c>
      <c r="FV270">
        <v>0</v>
      </c>
      <c r="FW270">
        <f t="shared" si="891"/>
        <v>45463</v>
      </c>
      <c r="FX270" t="b">
        <f t="shared" si="892"/>
        <v>1</v>
      </c>
      <c r="FY270">
        <f t="shared" ca="1" si="893"/>
        <v>755</v>
      </c>
      <c r="FZ270">
        <f t="shared" ca="1" si="894"/>
        <v>793943</v>
      </c>
      <c r="GA270">
        <f t="shared" si="895"/>
        <v>75000</v>
      </c>
      <c r="GB270">
        <f t="shared" ca="1" si="896"/>
        <v>718943</v>
      </c>
      <c r="GC270">
        <f t="shared" ca="1" si="897"/>
        <v>0</v>
      </c>
      <c r="GD270">
        <f t="shared" ca="1" si="898"/>
        <v>0</v>
      </c>
      <c r="GE270">
        <f t="shared" ca="1" si="899"/>
        <v>0</v>
      </c>
      <c r="GF270">
        <f t="shared" ca="1" si="900"/>
        <v>0</v>
      </c>
      <c r="GG270">
        <f t="shared" ca="1" si="901"/>
        <v>0</v>
      </c>
      <c r="GH270">
        <f t="shared" ca="1" si="902"/>
        <v>0</v>
      </c>
      <c r="GI270">
        <f ca="1">IF(GB270&gt;1200000,GB270-1200000-IF(F270="YES",50000,0)-GG270,0)</f>
        <v>0</v>
      </c>
      <c r="GJ270">
        <f t="shared" ca="1" si="903"/>
        <v>0</v>
      </c>
      <c r="GK270">
        <f t="shared" ca="1" si="904"/>
        <v>0</v>
      </c>
      <c r="GL270">
        <f t="shared" ca="1" si="905"/>
        <v>0</v>
      </c>
      <c r="GM270">
        <f t="shared" ca="1" si="906"/>
        <v>318943</v>
      </c>
      <c r="GN270">
        <f t="shared" ca="1" si="907"/>
        <v>15947.150000000001</v>
      </c>
      <c r="GO270">
        <f t="shared" ca="1" si="908"/>
        <v>15947</v>
      </c>
      <c r="GP270">
        <f t="shared" ca="1" si="909"/>
        <v>0</v>
      </c>
      <c r="GQ270">
        <f t="shared" ca="1" si="910"/>
        <v>0</v>
      </c>
      <c r="GR270">
        <f t="shared" ca="1" si="911"/>
        <v>15947</v>
      </c>
      <c r="GS270">
        <f t="shared" ca="1" si="912"/>
        <v>0</v>
      </c>
      <c r="GT270" t="b">
        <f t="shared" ca="1" si="913"/>
        <v>0</v>
      </c>
      <c r="GU270">
        <f t="shared" ca="1" si="914"/>
        <v>0</v>
      </c>
      <c r="GV270">
        <f t="shared" ca="1" si="915"/>
        <v>15947</v>
      </c>
      <c r="GW270">
        <f t="shared" ca="1" si="916"/>
        <v>0</v>
      </c>
      <c r="GX270">
        <f t="shared" ca="1" si="917"/>
        <v>0</v>
      </c>
      <c r="GY270">
        <f t="shared" ca="1" si="918"/>
        <v>0</v>
      </c>
    </row>
    <row r="271" spans="1:207" x14ac:dyDescent="0.25">
      <c r="A271">
        <f>_xlfn.AGGREGATE(3,5,$B$2:B271)</f>
        <v>270</v>
      </c>
      <c r="B271" t="s">
        <v>630</v>
      </c>
      <c r="C271" t="s">
        <v>631</v>
      </c>
      <c r="D271" t="s">
        <v>817</v>
      </c>
      <c r="E271" t="s">
        <v>830</v>
      </c>
      <c r="F271" t="s">
        <v>952</v>
      </c>
      <c r="G271" t="s">
        <v>878</v>
      </c>
      <c r="H271">
        <f t="shared" si="813"/>
        <v>6800</v>
      </c>
      <c r="I271">
        <f>_xlfn.XLOOKUP(B271,'[1]march-2026'!$A:$A,'[1]march-2026'!$C:$C,0,0)</f>
        <v>32500</v>
      </c>
      <c r="J271">
        <f t="shared" si="877"/>
        <v>5850</v>
      </c>
      <c r="K271">
        <f t="shared" si="814"/>
        <v>3900</v>
      </c>
      <c r="L271">
        <f>_xlfn.XLOOKUP(B271,'[1]march-2026'!$A:$A,'[1]march-2026'!$D:$D,0,0)</f>
        <v>0</v>
      </c>
      <c r="M271">
        <f>_xlfn.XLOOKUP(B271,'[1]march-2026'!$A:$A,'[1]march-2026'!$G:$G,0,0)</f>
        <v>0</v>
      </c>
      <c r="N271">
        <f t="shared" si="815"/>
        <v>42250</v>
      </c>
      <c r="O271">
        <f>_xlfn.XLOOKUP(B271,'[1]march-2026'!$A:$A,'[1]march-2026'!$H:$H,0,0)</f>
        <v>5000</v>
      </c>
      <c r="P271">
        <f>_xlfn.XLOOKUP(B271,'[1]march-2026'!$A:$A,'[1]march-2026'!$I:$I,0,0)</f>
        <v>0</v>
      </c>
      <c r="Q271">
        <f t="shared" si="816"/>
        <v>200</v>
      </c>
      <c r="R271">
        <f t="shared" si="817"/>
        <v>37050</v>
      </c>
      <c r="S271">
        <f>_xlfn.XLOOKUP(B271,'[2]april-2026'!$A:$A,'[2]april-2026'!$C:$C,0,0)</f>
        <v>32500</v>
      </c>
      <c r="T271">
        <f t="shared" si="818"/>
        <v>5850</v>
      </c>
      <c r="U271">
        <f t="shared" si="819"/>
        <v>3900</v>
      </c>
      <c r="V271">
        <f>_xlfn.XLOOKUP(B271,'[2]april-2026'!$A:$A,'[2]april-2026'!$D:$D,0,0)</f>
        <v>0</v>
      </c>
      <c r="W271">
        <f>_xlfn.XLOOKUP(B271,'[2]april-2026'!$A:$A,'[2]april-2026'!$G:$G,0,0)</f>
        <v>0</v>
      </c>
      <c r="X271">
        <f t="shared" si="820"/>
        <v>42250</v>
      </c>
      <c r="Y271">
        <f>_xlfn.XLOOKUP(B271,'[2]april-2026'!$A:$A,'[2]april-2026'!$H:$H,0,0)</f>
        <v>5000</v>
      </c>
      <c r="Z271">
        <f>_xlfn.XLOOKUP(B271,'[2]april-2026'!$A:$A,'[2]april-2026'!$I:$I,0,0)</f>
        <v>0</v>
      </c>
      <c r="AA271">
        <f t="shared" si="821"/>
        <v>200</v>
      </c>
      <c r="AB271">
        <f t="shared" si="822"/>
        <v>37050</v>
      </c>
      <c r="AC271">
        <f>_xlfn.XLOOKUP(B271,'[3]may-2026'!$A:$A,'[3]may-2026'!$C:$C,0,0)</f>
        <v>32500</v>
      </c>
      <c r="AD271">
        <f t="shared" si="823"/>
        <v>5850</v>
      </c>
      <c r="AE271">
        <f t="shared" si="824"/>
        <v>3900</v>
      </c>
      <c r="AF271">
        <f>_xlfn.XLOOKUP(B271,'[3]may-2026'!$A:$A,'[3]may-2026'!$D:$D,0,0)</f>
        <v>0</v>
      </c>
      <c r="AG271">
        <f>_xlfn.XLOOKUP(B271,'[3]may-2026'!$A:$A,'[3]may-2026'!$G:$G,0,0)</f>
        <v>0</v>
      </c>
      <c r="AH271">
        <f t="shared" si="825"/>
        <v>42250</v>
      </c>
      <c r="AI271">
        <f>_xlfn.XLOOKUP(B271,'[3]may-2026'!$A:$A,'[3]may-2026'!$H:$H,0,0)</f>
        <v>5000</v>
      </c>
      <c r="AJ271">
        <f>_xlfn.XLOOKUP(B271,'[3]may-2026'!$A:$A,'[3]may-2026'!$I:$I,0,0)</f>
        <v>0</v>
      </c>
      <c r="AK271">
        <f t="shared" si="826"/>
        <v>200</v>
      </c>
      <c r="AL271">
        <f t="shared" si="827"/>
        <v>37050</v>
      </c>
      <c r="AM271">
        <f>_xlfn.XLOOKUP(B271,'[4]june-2026'!$A:$A,'[4]june-2026'!$C:$C,0,0)</f>
        <v>32500</v>
      </c>
      <c r="AN271">
        <f t="shared" si="828"/>
        <v>5850</v>
      </c>
      <c r="AO271">
        <f t="shared" si="829"/>
        <v>3900</v>
      </c>
      <c r="AP271">
        <f>_xlfn.XLOOKUP(B271,'[4]june-2026'!$A:$A,'[4]june-2026'!$D:$D,0,0)</f>
        <v>0</v>
      </c>
      <c r="AQ271">
        <f>_xlfn.XLOOKUP(B271,'[4]june-2026'!$A:$A,'[4]june-2026'!$G:$G,0,0)</f>
        <v>0</v>
      </c>
      <c r="AR271">
        <f t="shared" si="830"/>
        <v>42250</v>
      </c>
      <c r="AS271">
        <f>_xlfn.XLOOKUP(B271,'[4]june-2026'!$A:$A,'[4]june-2026'!$H:$H,0,0)</f>
        <v>5000</v>
      </c>
      <c r="AT271">
        <f>_xlfn.XLOOKUP(B271,'[4]june-2026'!$A:$A,'[4]june-2026'!$I:$I,0,0)</f>
        <v>0</v>
      </c>
      <c r="AU271">
        <f t="shared" si="831"/>
        <v>200</v>
      </c>
      <c r="AV271">
        <f t="shared" si="832"/>
        <v>37050</v>
      </c>
      <c r="AW271">
        <f>_xlfn.XLOOKUP(B271,'[5]july-2026'!$A:$A,'[5]july-2026'!$C:$C,0,0)</f>
        <v>33500</v>
      </c>
      <c r="AX271">
        <f t="shared" si="833"/>
        <v>6030</v>
      </c>
      <c r="AY271">
        <v>269</v>
      </c>
      <c r="AZ271">
        <f t="shared" si="834"/>
        <v>4020</v>
      </c>
      <c r="BA271">
        <f>_xlfn.XLOOKUP(B271,'[5]july-2026'!$A:$A,'[5]july-2026'!$D:$D,0,0)</f>
        <v>0</v>
      </c>
      <c r="BB271">
        <f>_xlfn.XLOOKUP(B271,'[5]july-2026'!$A:$A,'[5]july-2026'!$G:$G,0,0)</f>
        <v>0</v>
      </c>
      <c r="BC271">
        <f t="shared" si="835"/>
        <v>43819</v>
      </c>
      <c r="BD271">
        <f>_xlfn.XLOOKUP(B271,'[5]july-2026'!$A:$A,'[5]july-2026'!$H:$H,0,0)</f>
        <v>5000</v>
      </c>
      <c r="BE271">
        <f>_xlfn.XLOOKUP(B271,'[5]july-2026'!$A:$A,'[5]july-2026'!$I:$I,0,0)</f>
        <v>0</v>
      </c>
      <c r="BF271">
        <f t="shared" si="836"/>
        <v>200</v>
      </c>
      <c r="BG271">
        <f t="shared" si="837"/>
        <v>38619</v>
      </c>
      <c r="BH271">
        <f>_xlfn.XLOOKUP(B271,'[6]august-2026'!$A:$A,'[6]august-2026'!$C:$C,0,0)</f>
        <v>33500</v>
      </c>
      <c r="BI271">
        <f t="shared" si="838"/>
        <v>6030</v>
      </c>
      <c r="BJ271">
        <f t="shared" si="839"/>
        <v>4020</v>
      </c>
      <c r="BK271">
        <f>_xlfn.XLOOKUP(B271,'[6]august-2026'!$A:$A,'[6]august-2026'!$D:$D,0,0)</f>
        <v>0</v>
      </c>
      <c r="BL271">
        <f>_xlfn.XLOOKUP(B271,'[6]august-2026'!$A:$A,'[6]august-2026'!$G:$G,0,0)</f>
        <v>0</v>
      </c>
      <c r="BM271">
        <f t="shared" si="840"/>
        <v>43550</v>
      </c>
      <c r="BN271">
        <f>_xlfn.XLOOKUP(B271,'[6]august-2026'!$A:$A,'[6]august-2026'!$H:$H,0,0)</f>
        <v>5000</v>
      </c>
      <c r="BO271">
        <f>_xlfn.XLOOKUP(B271,'[6]august-2026'!$A:$A,'[6]august-2026'!$I:$I,0,0)</f>
        <v>0</v>
      </c>
      <c r="BP271">
        <f t="shared" si="841"/>
        <v>200</v>
      </c>
      <c r="BQ271">
        <f t="shared" si="842"/>
        <v>38350</v>
      </c>
      <c r="BR271">
        <f>_xlfn.XLOOKUP(B271,'[7]september-2026'!$A:$A,'[7]september-2026'!$C:$C,0,0)</f>
        <v>33500</v>
      </c>
      <c r="BS271">
        <f t="shared" si="843"/>
        <v>6030</v>
      </c>
      <c r="BT271">
        <f t="shared" si="844"/>
        <v>4020</v>
      </c>
      <c r="BU271">
        <f>_xlfn.XLOOKUP(B271,'[7]september-2026'!$A:$A,'[7]september-2026'!$D:$D,0,0)</f>
        <v>0</v>
      </c>
      <c r="BV271">
        <f>_xlfn.XLOOKUP(B271,'[7]september-2026'!$A:$A,'[7]september-2026'!$G:$G,0,0)</f>
        <v>0</v>
      </c>
      <c r="BW271">
        <f t="shared" si="845"/>
        <v>43550</v>
      </c>
      <c r="BX271">
        <f>_xlfn.XLOOKUP(B271,'[7]september-2026'!$A:$A,'[7]september-2026'!$H:$H,0,0)</f>
        <v>5000</v>
      </c>
      <c r="BY271">
        <f>_xlfn.XLOOKUP(B271,'[7]september-2026'!$A:$A,'[7]september-2026'!$I:$I,0,0)</f>
        <v>0</v>
      </c>
      <c r="BZ271">
        <f t="shared" si="846"/>
        <v>200</v>
      </c>
      <c r="CA271">
        <f t="shared" si="847"/>
        <v>38350</v>
      </c>
      <c r="CB271">
        <f>_xlfn.XLOOKUP(B271,'[8]october-2026'!$A:$A,'[8]october-2026'!$C:$C,0,0)</f>
        <v>33500</v>
      </c>
      <c r="CC271">
        <f t="shared" si="848"/>
        <v>6030</v>
      </c>
      <c r="CD271">
        <f t="shared" si="849"/>
        <v>4020</v>
      </c>
      <c r="CE271">
        <f>_xlfn.XLOOKUP(B271,'[8]october-2026'!$A:$A,'[8]october-2026'!$D:$D,0,0)</f>
        <v>0</v>
      </c>
      <c r="CF271">
        <f>_xlfn.XLOOKUP(B271,'[8]october-2026'!$A:$A,'[8]october-2026'!$G:$G,0,0)</f>
        <v>0</v>
      </c>
      <c r="CG271">
        <f t="shared" si="850"/>
        <v>43550</v>
      </c>
      <c r="CH271">
        <f>_xlfn.XLOOKUP(B271,'[8]october-2026'!$A:$A,'[8]october-2026'!$H:$H,0,0)</f>
        <v>5000</v>
      </c>
      <c r="CI271">
        <f>_xlfn.XLOOKUP(B271,'[8]october-2026'!$A:$A,'[8]october-2026'!$I:$I,0,0)</f>
        <v>0</v>
      </c>
      <c r="CJ271">
        <f t="shared" si="851"/>
        <v>200</v>
      </c>
      <c r="CK271">
        <f t="shared" si="852"/>
        <v>38350</v>
      </c>
      <c r="CL271">
        <f>_xlfn.XLOOKUP(B271,'[9]november-2026'!$A:$A,'[9]november-2026'!$C:$C,0,0)</f>
        <v>33500</v>
      </c>
      <c r="CM271">
        <f t="shared" si="853"/>
        <v>6030</v>
      </c>
      <c r="CN271">
        <f t="shared" si="854"/>
        <v>4020</v>
      </c>
      <c r="CO271">
        <f>_xlfn.XLOOKUP(B271,'[9]november-2026'!$A:$A,'[9]november-2026'!$D:$D,0,0)</f>
        <v>0</v>
      </c>
      <c r="CP271">
        <f>_xlfn.XLOOKUP(B271,'[9]november-2026'!$A:$A,'[9]november-2026'!$G:$G,0,0)</f>
        <v>0</v>
      </c>
      <c r="CQ271">
        <f t="shared" si="855"/>
        <v>43550</v>
      </c>
      <c r="CR271">
        <f>_xlfn.XLOOKUP(B271,'[9]november-2026'!$A:$A,'[9]november-2026'!$H:$H,0,0)</f>
        <v>5000</v>
      </c>
      <c r="CS271">
        <f>_xlfn.XLOOKUP(B271,'[9]november-2026'!$A:$A,'[9]november-2026'!$I:$I,0,0)</f>
        <v>0</v>
      </c>
      <c r="CT271">
        <f t="shared" si="856"/>
        <v>200</v>
      </c>
      <c r="CU271">
        <f t="shared" si="857"/>
        <v>38350</v>
      </c>
      <c r="CV271">
        <f>_xlfn.XLOOKUP(B271,'[10]december-2026'!$A:$A,'[10]december-2026'!$C:$C,0,0)</f>
        <v>33500</v>
      </c>
      <c r="CW271">
        <f t="shared" si="858"/>
        <v>6030</v>
      </c>
      <c r="CX271">
        <f t="shared" si="859"/>
        <v>4020</v>
      </c>
      <c r="CY271">
        <f>_xlfn.XLOOKUP(B271,'[10]december-2026'!$A:$A,'[10]december-2026'!$D:$D,0,0)</f>
        <v>0</v>
      </c>
      <c r="CZ271">
        <f>_xlfn.XLOOKUP(B271,'[10]december-2026'!$A:$A,'[10]december-2026'!$G:$G,0,0)</f>
        <v>0</v>
      </c>
      <c r="DA271">
        <f t="shared" si="860"/>
        <v>43550</v>
      </c>
      <c r="DB271">
        <f>_xlfn.XLOOKUP(B271,'[10]december-2026'!$A:$A,'[10]december-2026'!$H:$H,0,0)</f>
        <v>5000</v>
      </c>
      <c r="DC271">
        <f>_xlfn.XLOOKUP(B271,'[10]december-2026'!$A:$A,'[10]december-2026'!$I:$I,0,0)</f>
        <v>0</v>
      </c>
      <c r="DD271">
        <f t="shared" si="861"/>
        <v>200</v>
      </c>
      <c r="DE271">
        <f t="shared" si="862"/>
        <v>38350</v>
      </c>
      <c r="DF271">
        <f xml:space="preserve"> _xlfn.XLOOKUP(B271,
'[11]january-2027'!$A:$A,
'[11]january-2027'!$C:$C,
0,0)</f>
        <v>33500</v>
      </c>
      <c r="DG271">
        <f t="shared" si="863"/>
        <v>6030</v>
      </c>
      <c r="DH271">
        <f t="shared" si="864"/>
        <v>4020</v>
      </c>
      <c r="DI271">
        <f xml:space="preserve"> _xlfn.XLOOKUP(B271,
'[11]january-2027'!$A:$A,
'[11]january-2027'!$D:$D,
0,0)</f>
        <v>0</v>
      </c>
      <c r="DJ271">
        <f xml:space="preserve"> _xlfn.XLOOKUP(B271,
'[11]january-2027'!$A:$A,
'[11]january-2027'!$G:$G,
0,0)</f>
        <v>0</v>
      </c>
      <c r="DK271">
        <f t="shared" si="865"/>
        <v>43550</v>
      </c>
      <c r="DL271">
        <f xml:space="preserve"> _xlfn.XLOOKUP(B271,
'[11]january-2027'!$A:$A,
'[11]january-2027'!$H:$H,
0,0)</f>
        <v>5000</v>
      </c>
      <c r="DM271">
        <f xml:space="preserve"> _xlfn.XLOOKUP(B271,
'[11]january-2027'!$A:$A,
'[11]january-2027'!$I:$I,
0,0)</f>
        <v>0</v>
      </c>
      <c r="DN271">
        <f t="shared" si="866"/>
        <v>200</v>
      </c>
      <c r="DO271">
        <f t="shared" si="867"/>
        <v>38350</v>
      </c>
      <c r="DP271">
        <f xml:space="preserve"> _xlfn.XLOOKUP(B271,
'[12]february-2027'!$A:$A,
'[12]february-2027'!$C:$C,
0,0)</f>
        <v>33500</v>
      </c>
      <c r="DQ271">
        <f t="shared" si="868"/>
        <v>6030</v>
      </c>
      <c r="DR271">
        <f t="shared" si="869"/>
        <v>4020</v>
      </c>
      <c r="DS271">
        <f xml:space="preserve"> _xlfn.XLOOKUP(B271,
'[12]february-2027'!$A:$A,
'[12]february-2027'!$D:$D,
0,0)</f>
        <v>0</v>
      </c>
      <c r="DT271">
        <f xml:space="preserve"> _xlfn.XLOOKUP(B271,
'[12]february-2027'!$A:$A,
'[12]february-2027'!$G:$G,
0,0)</f>
        <v>0</v>
      </c>
      <c r="DU271">
        <f t="shared" si="870"/>
        <v>43550</v>
      </c>
      <c r="DV271">
        <f xml:space="preserve"> _xlfn.XLOOKUP(B271,
'[12]february-2027'!$A:$A,
'[12]february-2027'!$H:$H,
0,0)</f>
        <v>5000</v>
      </c>
      <c r="DW271">
        <f xml:space="preserve"> _xlfn.XLOOKUP(B271,
'[12]february-2027'!$A:$A,
'[12]february-2027'!$I:$I,
0,0)</f>
        <v>0</v>
      </c>
      <c r="DX271">
        <f t="shared" si="871"/>
        <v>200</v>
      </c>
      <c r="DY271">
        <f t="shared" si="872"/>
        <v>38350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873"/>
        <v>0</v>
      </c>
      <c r="EM271">
        <f t="shared" si="874"/>
        <v>524469</v>
      </c>
      <c r="EN271">
        <f t="shared" si="875"/>
        <v>2400</v>
      </c>
      <c r="EO271">
        <f t="shared" si="876"/>
        <v>50000</v>
      </c>
      <c r="EP271">
        <v>0</v>
      </c>
      <c r="EQ271">
        <f t="shared" si="878"/>
        <v>472069</v>
      </c>
      <c r="ER271">
        <f t="shared" si="879"/>
        <v>60000</v>
      </c>
      <c r="ES271">
        <f t="shared" si="880"/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881"/>
        <v>60000</v>
      </c>
      <c r="FE271">
        <f t="shared" si="882"/>
        <v>60000</v>
      </c>
      <c r="FF271">
        <f t="shared" si="883"/>
        <v>412069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>SUM(FG271:FM271)+(IF(F271="YES",50000,0))</f>
        <v>0</v>
      </c>
      <c r="FO271">
        <f t="shared" si="884"/>
        <v>412069</v>
      </c>
      <c r="FP271">
        <f t="shared" si="885"/>
        <v>8103</v>
      </c>
      <c r="FQ271">
        <f t="shared" si="886"/>
        <v>0</v>
      </c>
      <c r="FR271">
        <f t="shared" si="887"/>
        <v>8103</v>
      </c>
      <c r="FS271">
        <f t="shared" si="888"/>
        <v>0</v>
      </c>
      <c r="FT271">
        <f t="shared" si="889"/>
        <v>0</v>
      </c>
      <c r="FU271">
        <f t="shared" si="890"/>
        <v>0</v>
      </c>
      <c r="FV271">
        <v>0</v>
      </c>
      <c r="FW271">
        <f t="shared" si="891"/>
        <v>0</v>
      </c>
      <c r="FX271" t="b">
        <f t="shared" si="892"/>
        <v>1</v>
      </c>
      <c r="FY271">
        <f t="shared" ca="1" si="893"/>
        <v>517</v>
      </c>
      <c r="FZ271">
        <f t="shared" ca="1" si="894"/>
        <v>524986</v>
      </c>
      <c r="GA271">
        <f t="shared" si="895"/>
        <v>75000</v>
      </c>
      <c r="GB271">
        <f t="shared" ca="1" si="896"/>
        <v>449986</v>
      </c>
      <c r="GC271">
        <f t="shared" ca="1" si="897"/>
        <v>0</v>
      </c>
      <c r="GD271">
        <f t="shared" ca="1" si="898"/>
        <v>0</v>
      </c>
      <c r="GE271">
        <f t="shared" ca="1" si="899"/>
        <v>0</v>
      </c>
      <c r="GF271">
        <f t="shared" ca="1" si="900"/>
        <v>0</v>
      </c>
      <c r="GG271">
        <f t="shared" ca="1" si="901"/>
        <v>0</v>
      </c>
      <c r="GH271">
        <f t="shared" ca="1" si="902"/>
        <v>0</v>
      </c>
      <c r="GI271">
        <f ca="1">IF(GB271&gt;1200000,GB271-1200000-IF(F271="YES",50000,0)-GG271,0)</f>
        <v>0</v>
      </c>
      <c r="GJ271">
        <f t="shared" ca="1" si="903"/>
        <v>0</v>
      </c>
      <c r="GK271">
        <f t="shared" ca="1" si="904"/>
        <v>0</v>
      </c>
      <c r="GL271">
        <f t="shared" ca="1" si="905"/>
        <v>0</v>
      </c>
      <c r="GM271">
        <f t="shared" ca="1" si="906"/>
        <v>49986</v>
      </c>
      <c r="GN271">
        <f t="shared" ca="1" si="907"/>
        <v>2499.3000000000002</v>
      </c>
      <c r="GO271">
        <f t="shared" ca="1" si="908"/>
        <v>2499</v>
      </c>
      <c r="GP271">
        <f t="shared" ca="1" si="909"/>
        <v>0</v>
      </c>
      <c r="GQ271">
        <f t="shared" ca="1" si="910"/>
        <v>0</v>
      </c>
      <c r="GR271">
        <f t="shared" ca="1" si="911"/>
        <v>2499</v>
      </c>
      <c r="GS271">
        <f t="shared" ca="1" si="912"/>
        <v>0</v>
      </c>
      <c r="GT271" t="b">
        <f t="shared" ca="1" si="913"/>
        <v>0</v>
      </c>
      <c r="GU271">
        <f t="shared" ca="1" si="914"/>
        <v>0</v>
      </c>
      <c r="GV271">
        <f t="shared" ca="1" si="915"/>
        <v>2499</v>
      </c>
      <c r="GW271">
        <f t="shared" ca="1" si="916"/>
        <v>0</v>
      </c>
      <c r="GX271">
        <f t="shared" ca="1" si="917"/>
        <v>0</v>
      </c>
      <c r="GY271">
        <f t="shared" ca="1" si="918"/>
        <v>0</v>
      </c>
    </row>
    <row r="272" spans="1:207" x14ac:dyDescent="0.25">
      <c r="A272">
        <f>_xlfn.AGGREGATE(3,5,$B$2:B272)</f>
        <v>271</v>
      </c>
      <c r="B272" t="s">
        <v>632</v>
      </c>
      <c r="C272" t="s">
        <v>633</v>
      </c>
      <c r="D272" t="s">
        <v>817</v>
      </c>
      <c r="E272" t="s">
        <v>830</v>
      </c>
      <c r="F272" t="s">
        <v>952</v>
      </c>
      <c r="G272" t="s">
        <v>950</v>
      </c>
      <c r="H272">
        <f t="shared" si="813"/>
        <v>6800</v>
      </c>
      <c r="I272">
        <f>_xlfn.XLOOKUP(B272,'[1]march-2026'!$A:$A,'[1]march-2026'!$C:$C,0,0)</f>
        <v>29800</v>
      </c>
      <c r="J272">
        <f t="shared" si="877"/>
        <v>5364</v>
      </c>
      <c r="K272">
        <f t="shared" si="814"/>
        <v>3576</v>
      </c>
      <c r="L272">
        <f>_xlfn.XLOOKUP(B272,'[1]march-2026'!$A:$A,'[1]march-2026'!$D:$D,0,0)</f>
        <v>0</v>
      </c>
      <c r="M272">
        <f>_xlfn.XLOOKUP(B272,'[1]march-2026'!$A:$A,'[1]march-2026'!$G:$G,0,0)</f>
        <v>500</v>
      </c>
      <c r="N272">
        <f t="shared" si="815"/>
        <v>39240</v>
      </c>
      <c r="O272">
        <f>_xlfn.XLOOKUP(B272,'[1]march-2026'!$A:$A,'[1]march-2026'!$H:$H,0,0)</f>
        <v>2000</v>
      </c>
      <c r="P272">
        <f>_xlfn.XLOOKUP(B272,'[1]march-2026'!$A:$A,'[1]march-2026'!$I:$I,0,0)</f>
        <v>0</v>
      </c>
      <c r="Q272">
        <f t="shared" si="816"/>
        <v>150</v>
      </c>
      <c r="R272">
        <f t="shared" si="817"/>
        <v>37090</v>
      </c>
      <c r="S272">
        <f>_xlfn.XLOOKUP(B272,'[2]april-2026'!$A:$A,'[2]april-2026'!$C:$C,0,0)</f>
        <v>29800</v>
      </c>
      <c r="T272">
        <f t="shared" si="818"/>
        <v>5364</v>
      </c>
      <c r="U272">
        <f t="shared" si="819"/>
        <v>3576</v>
      </c>
      <c r="V272">
        <f>_xlfn.XLOOKUP(B272,'[2]april-2026'!$A:$A,'[2]april-2026'!$D:$D,0,0)</f>
        <v>0</v>
      </c>
      <c r="W272">
        <f>_xlfn.XLOOKUP(B272,'[2]april-2026'!$A:$A,'[2]april-2026'!$G:$G,0,0)</f>
        <v>500</v>
      </c>
      <c r="X272">
        <f t="shared" si="820"/>
        <v>39240</v>
      </c>
      <c r="Y272">
        <f>_xlfn.XLOOKUP(B272,'[2]april-2026'!$A:$A,'[2]april-2026'!$H:$H,0,0)</f>
        <v>2000</v>
      </c>
      <c r="Z272">
        <f>_xlfn.XLOOKUP(B272,'[2]april-2026'!$A:$A,'[2]april-2026'!$I:$I,0,0)</f>
        <v>0</v>
      </c>
      <c r="AA272">
        <f t="shared" si="821"/>
        <v>150</v>
      </c>
      <c r="AB272">
        <f t="shared" si="822"/>
        <v>37090</v>
      </c>
      <c r="AC272">
        <f>_xlfn.XLOOKUP(B272,'[3]may-2026'!$A:$A,'[3]may-2026'!$C:$C,0,0)</f>
        <v>29800</v>
      </c>
      <c r="AD272">
        <f t="shared" si="823"/>
        <v>5364</v>
      </c>
      <c r="AE272">
        <f t="shared" si="824"/>
        <v>3576</v>
      </c>
      <c r="AF272">
        <f>_xlfn.XLOOKUP(B272,'[3]may-2026'!$A:$A,'[3]may-2026'!$D:$D,0,0)</f>
        <v>0</v>
      </c>
      <c r="AG272">
        <f>_xlfn.XLOOKUP(B272,'[3]may-2026'!$A:$A,'[3]may-2026'!$G:$G,0,0)</f>
        <v>500</v>
      </c>
      <c r="AH272">
        <f t="shared" si="825"/>
        <v>39240</v>
      </c>
      <c r="AI272">
        <f>_xlfn.XLOOKUP(B272,'[3]may-2026'!$A:$A,'[3]may-2026'!$H:$H,0,0)</f>
        <v>2000</v>
      </c>
      <c r="AJ272">
        <f>_xlfn.XLOOKUP(B272,'[3]may-2026'!$A:$A,'[3]may-2026'!$I:$I,0,0)</f>
        <v>0</v>
      </c>
      <c r="AK272">
        <f t="shared" si="826"/>
        <v>150</v>
      </c>
      <c r="AL272">
        <f t="shared" si="827"/>
        <v>37090</v>
      </c>
      <c r="AM272">
        <f>_xlfn.XLOOKUP(B272,'[4]june-2026'!$A:$A,'[4]june-2026'!$C:$C,0,0)</f>
        <v>29800</v>
      </c>
      <c r="AN272">
        <f t="shared" si="828"/>
        <v>5364</v>
      </c>
      <c r="AO272">
        <f t="shared" si="829"/>
        <v>3576</v>
      </c>
      <c r="AP272">
        <f>_xlfn.XLOOKUP(B272,'[4]june-2026'!$A:$A,'[4]june-2026'!$D:$D,0,0)</f>
        <v>0</v>
      </c>
      <c r="AQ272">
        <f>_xlfn.XLOOKUP(B272,'[4]june-2026'!$A:$A,'[4]june-2026'!$G:$G,0,0)</f>
        <v>500</v>
      </c>
      <c r="AR272">
        <f t="shared" si="830"/>
        <v>39240</v>
      </c>
      <c r="AS272">
        <f>_xlfn.XLOOKUP(B272,'[4]june-2026'!$A:$A,'[4]june-2026'!$H:$H,0,0)</f>
        <v>2000</v>
      </c>
      <c r="AT272">
        <f>_xlfn.XLOOKUP(B272,'[4]june-2026'!$A:$A,'[4]june-2026'!$I:$I,0,0)</f>
        <v>0</v>
      </c>
      <c r="AU272">
        <f t="shared" si="831"/>
        <v>150</v>
      </c>
      <c r="AV272">
        <f t="shared" si="832"/>
        <v>37090</v>
      </c>
      <c r="AW272">
        <f>_xlfn.XLOOKUP(B272,'[5]july-2026'!$A:$A,'[5]july-2026'!$C:$C,0,0)</f>
        <v>30700</v>
      </c>
      <c r="AX272">
        <f t="shared" si="833"/>
        <v>5526</v>
      </c>
      <c r="AY272">
        <v>270</v>
      </c>
      <c r="AZ272">
        <f t="shared" si="834"/>
        <v>3684</v>
      </c>
      <c r="BA272">
        <f>_xlfn.XLOOKUP(B272,'[5]july-2026'!$A:$A,'[5]july-2026'!$D:$D,0,0)</f>
        <v>0</v>
      </c>
      <c r="BB272">
        <f>_xlfn.XLOOKUP(B272,'[5]july-2026'!$A:$A,'[5]july-2026'!$G:$G,0,0)</f>
        <v>500</v>
      </c>
      <c r="BC272">
        <f t="shared" si="835"/>
        <v>40680</v>
      </c>
      <c r="BD272">
        <f>_xlfn.XLOOKUP(B272,'[5]july-2026'!$A:$A,'[5]july-2026'!$H:$H,0,0)</f>
        <v>2000</v>
      </c>
      <c r="BE272">
        <f>_xlfn.XLOOKUP(B272,'[5]july-2026'!$A:$A,'[5]july-2026'!$I:$I,0,0)</f>
        <v>0</v>
      </c>
      <c r="BF272">
        <f t="shared" si="836"/>
        <v>200</v>
      </c>
      <c r="BG272">
        <f t="shared" si="837"/>
        <v>38480</v>
      </c>
      <c r="BH272">
        <f>_xlfn.XLOOKUP(B272,'[6]august-2026'!$A:$A,'[6]august-2026'!$C:$C,0,0)</f>
        <v>30700</v>
      </c>
      <c r="BI272">
        <f t="shared" si="838"/>
        <v>5526</v>
      </c>
      <c r="BJ272">
        <f t="shared" si="839"/>
        <v>3684</v>
      </c>
      <c r="BK272">
        <f>_xlfn.XLOOKUP(B272,'[6]august-2026'!$A:$A,'[6]august-2026'!$D:$D,0,0)</f>
        <v>0</v>
      </c>
      <c r="BL272">
        <f>_xlfn.XLOOKUP(B272,'[6]august-2026'!$A:$A,'[6]august-2026'!$G:$G,0,0)</f>
        <v>500</v>
      </c>
      <c r="BM272">
        <f t="shared" si="840"/>
        <v>40410</v>
      </c>
      <c r="BN272">
        <f>_xlfn.XLOOKUP(B272,'[6]august-2026'!$A:$A,'[6]august-2026'!$H:$H,0,0)</f>
        <v>2000</v>
      </c>
      <c r="BO272">
        <f>_xlfn.XLOOKUP(B272,'[6]august-2026'!$A:$A,'[6]august-2026'!$I:$I,0,0)</f>
        <v>0</v>
      </c>
      <c r="BP272">
        <f t="shared" si="841"/>
        <v>200</v>
      </c>
      <c r="BQ272">
        <f t="shared" si="842"/>
        <v>38210</v>
      </c>
      <c r="BR272">
        <f>_xlfn.XLOOKUP(B272,'[7]september-2026'!$A:$A,'[7]september-2026'!$C:$C,0,0)</f>
        <v>30700</v>
      </c>
      <c r="BS272">
        <f t="shared" si="843"/>
        <v>5526</v>
      </c>
      <c r="BT272">
        <f t="shared" si="844"/>
        <v>3684</v>
      </c>
      <c r="BU272">
        <f>_xlfn.XLOOKUP(B272,'[7]september-2026'!$A:$A,'[7]september-2026'!$D:$D,0,0)</f>
        <v>0</v>
      </c>
      <c r="BV272">
        <f>_xlfn.XLOOKUP(B272,'[7]september-2026'!$A:$A,'[7]september-2026'!$G:$G,0,0)</f>
        <v>500</v>
      </c>
      <c r="BW272">
        <f t="shared" si="845"/>
        <v>40410</v>
      </c>
      <c r="BX272">
        <f>_xlfn.XLOOKUP(B272,'[7]september-2026'!$A:$A,'[7]september-2026'!$H:$H,0,0)</f>
        <v>2000</v>
      </c>
      <c r="BY272">
        <f>_xlfn.XLOOKUP(B272,'[7]september-2026'!$A:$A,'[7]september-2026'!$I:$I,0,0)</f>
        <v>0</v>
      </c>
      <c r="BZ272">
        <f t="shared" si="846"/>
        <v>200</v>
      </c>
      <c r="CA272">
        <f t="shared" si="847"/>
        <v>38210</v>
      </c>
      <c r="CB272">
        <f>_xlfn.XLOOKUP(B272,'[8]october-2026'!$A:$A,'[8]october-2026'!$C:$C,0,0)</f>
        <v>30700</v>
      </c>
      <c r="CC272">
        <f t="shared" si="848"/>
        <v>5526</v>
      </c>
      <c r="CD272">
        <f t="shared" si="849"/>
        <v>3684</v>
      </c>
      <c r="CE272">
        <f>_xlfn.XLOOKUP(B272,'[8]october-2026'!$A:$A,'[8]october-2026'!$D:$D,0,0)</f>
        <v>0</v>
      </c>
      <c r="CF272">
        <f>_xlfn.XLOOKUP(B272,'[8]october-2026'!$A:$A,'[8]october-2026'!$G:$G,0,0)</f>
        <v>500</v>
      </c>
      <c r="CG272">
        <f t="shared" si="850"/>
        <v>40410</v>
      </c>
      <c r="CH272">
        <f>_xlfn.XLOOKUP(B272,'[8]october-2026'!$A:$A,'[8]october-2026'!$H:$H,0,0)</f>
        <v>2000</v>
      </c>
      <c r="CI272">
        <f>_xlfn.XLOOKUP(B272,'[8]october-2026'!$A:$A,'[8]october-2026'!$I:$I,0,0)</f>
        <v>0</v>
      </c>
      <c r="CJ272">
        <f t="shared" si="851"/>
        <v>200</v>
      </c>
      <c r="CK272">
        <f t="shared" si="852"/>
        <v>38210</v>
      </c>
      <c r="CL272">
        <f>_xlfn.XLOOKUP(B272,'[9]november-2026'!$A:$A,'[9]november-2026'!$C:$C,0,0)</f>
        <v>30700</v>
      </c>
      <c r="CM272">
        <f t="shared" si="853"/>
        <v>5526</v>
      </c>
      <c r="CN272">
        <f t="shared" si="854"/>
        <v>3684</v>
      </c>
      <c r="CO272">
        <f>_xlfn.XLOOKUP(B272,'[9]november-2026'!$A:$A,'[9]november-2026'!$D:$D,0,0)</f>
        <v>0</v>
      </c>
      <c r="CP272">
        <f>_xlfn.XLOOKUP(B272,'[9]november-2026'!$A:$A,'[9]november-2026'!$G:$G,0,0)</f>
        <v>500</v>
      </c>
      <c r="CQ272">
        <f t="shared" si="855"/>
        <v>40410</v>
      </c>
      <c r="CR272">
        <f>_xlfn.XLOOKUP(B272,'[9]november-2026'!$A:$A,'[9]november-2026'!$H:$H,0,0)</f>
        <v>2000</v>
      </c>
      <c r="CS272">
        <f>_xlfn.XLOOKUP(B272,'[9]november-2026'!$A:$A,'[9]november-2026'!$I:$I,0,0)</f>
        <v>0</v>
      </c>
      <c r="CT272">
        <f t="shared" si="856"/>
        <v>200</v>
      </c>
      <c r="CU272">
        <f t="shared" si="857"/>
        <v>38210</v>
      </c>
      <c r="CV272">
        <f>_xlfn.XLOOKUP(B272,'[10]december-2026'!$A:$A,'[10]december-2026'!$C:$C,0,0)</f>
        <v>30700</v>
      </c>
      <c r="CW272">
        <f t="shared" si="858"/>
        <v>5526</v>
      </c>
      <c r="CX272">
        <f t="shared" si="859"/>
        <v>3684</v>
      </c>
      <c r="CY272">
        <f>_xlfn.XLOOKUP(B272,'[10]december-2026'!$A:$A,'[10]december-2026'!$D:$D,0,0)</f>
        <v>0</v>
      </c>
      <c r="CZ272">
        <f>_xlfn.XLOOKUP(B272,'[10]december-2026'!$A:$A,'[10]december-2026'!$G:$G,0,0)</f>
        <v>500</v>
      </c>
      <c r="DA272">
        <f t="shared" si="860"/>
        <v>40410</v>
      </c>
      <c r="DB272">
        <f>_xlfn.XLOOKUP(B272,'[10]december-2026'!$A:$A,'[10]december-2026'!$H:$H,0,0)</f>
        <v>2000</v>
      </c>
      <c r="DC272">
        <f>_xlfn.XLOOKUP(B272,'[10]december-2026'!$A:$A,'[10]december-2026'!$I:$I,0,0)</f>
        <v>0</v>
      </c>
      <c r="DD272">
        <f t="shared" si="861"/>
        <v>200</v>
      </c>
      <c r="DE272">
        <f t="shared" si="862"/>
        <v>38210</v>
      </c>
      <c r="DF272">
        <f xml:space="preserve"> _xlfn.XLOOKUP(B272,
'[11]january-2027'!$A:$A,
'[11]january-2027'!$C:$C,
0,0)</f>
        <v>30700</v>
      </c>
      <c r="DG272">
        <f t="shared" si="863"/>
        <v>5526</v>
      </c>
      <c r="DH272">
        <f t="shared" si="864"/>
        <v>3684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500</v>
      </c>
      <c r="DK272">
        <f t="shared" si="865"/>
        <v>40410</v>
      </c>
      <c r="DL272">
        <f xml:space="preserve"> _xlfn.XLOOKUP(B272,
'[11]january-2027'!$A:$A,
'[11]january-2027'!$H:$H,
0,0)</f>
        <v>2000</v>
      </c>
      <c r="DM272">
        <f xml:space="preserve"> _xlfn.XLOOKUP(B272,
'[11]january-2027'!$A:$A,
'[11]january-2027'!$I:$I,
0,0)</f>
        <v>0</v>
      </c>
      <c r="DN272">
        <f t="shared" si="866"/>
        <v>200</v>
      </c>
      <c r="DO272">
        <f t="shared" si="867"/>
        <v>38210</v>
      </c>
      <c r="DP272">
        <f xml:space="preserve"> _xlfn.XLOOKUP(B272,
'[12]february-2027'!$A:$A,
'[12]february-2027'!$C:$C,
0,0)</f>
        <v>30700</v>
      </c>
      <c r="DQ272">
        <f t="shared" si="868"/>
        <v>5526</v>
      </c>
      <c r="DR272">
        <f t="shared" si="869"/>
        <v>3684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500</v>
      </c>
      <c r="DU272">
        <f t="shared" si="870"/>
        <v>40410</v>
      </c>
      <c r="DV272">
        <f xml:space="preserve"> _xlfn.XLOOKUP(B272,
'[12]february-2027'!$A:$A,
'[12]february-2027'!$H:$H,
0,0)</f>
        <v>2000</v>
      </c>
      <c r="DW272">
        <f xml:space="preserve"> _xlfn.XLOOKUP(B272,
'[12]february-2027'!$A:$A,
'[12]february-2027'!$I:$I,
0,0)</f>
        <v>0</v>
      </c>
      <c r="DX272">
        <f t="shared" si="871"/>
        <v>200</v>
      </c>
      <c r="DY272">
        <f t="shared" si="872"/>
        <v>38210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873"/>
        <v>0</v>
      </c>
      <c r="EM272">
        <f t="shared" si="874"/>
        <v>487310</v>
      </c>
      <c r="EN272">
        <f t="shared" si="875"/>
        <v>2200</v>
      </c>
      <c r="EO272">
        <f t="shared" si="876"/>
        <v>50000</v>
      </c>
      <c r="EP272">
        <v>0</v>
      </c>
      <c r="EQ272">
        <f t="shared" si="878"/>
        <v>435110</v>
      </c>
      <c r="ER272">
        <f t="shared" si="879"/>
        <v>24000</v>
      </c>
      <c r="ES272">
        <f t="shared" si="880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881"/>
        <v>24000</v>
      </c>
      <c r="FE272">
        <f t="shared" si="882"/>
        <v>24000</v>
      </c>
      <c r="FF272">
        <f t="shared" si="883"/>
        <v>411110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>SUM(FG272:FM272)+(IF(F272="YES",50000,0))</f>
        <v>0</v>
      </c>
      <c r="FO272">
        <f t="shared" si="884"/>
        <v>411110</v>
      </c>
      <c r="FP272">
        <f t="shared" si="885"/>
        <v>8056</v>
      </c>
      <c r="FQ272">
        <f t="shared" si="886"/>
        <v>0</v>
      </c>
      <c r="FR272">
        <f t="shared" si="887"/>
        <v>8056</v>
      </c>
      <c r="FS272">
        <f t="shared" si="888"/>
        <v>0</v>
      </c>
      <c r="FT272">
        <f t="shared" si="889"/>
        <v>0</v>
      </c>
      <c r="FU272">
        <f t="shared" si="890"/>
        <v>0</v>
      </c>
      <c r="FV272">
        <v>0</v>
      </c>
      <c r="FW272">
        <f t="shared" si="891"/>
        <v>0</v>
      </c>
      <c r="FX272" t="b">
        <f t="shared" si="892"/>
        <v>0</v>
      </c>
      <c r="FY272">
        <f t="shared" ca="1" si="893"/>
        <v>1924</v>
      </c>
      <c r="FZ272">
        <f t="shared" ca="1" si="894"/>
        <v>489234</v>
      </c>
      <c r="GA272">
        <f t="shared" si="895"/>
        <v>75000</v>
      </c>
      <c r="GB272">
        <f t="shared" ca="1" si="896"/>
        <v>414234</v>
      </c>
      <c r="GC272">
        <f t="shared" ca="1" si="897"/>
        <v>0</v>
      </c>
      <c r="GD272">
        <f t="shared" ca="1" si="898"/>
        <v>0</v>
      </c>
      <c r="GE272">
        <f t="shared" ca="1" si="899"/>
        <v>0</v>
      </c>
      <c r="GF272">
        <f t="shared" ca="1" si="900"/>
        <v>0</v>
      </c>
      <c r="GG272">
        <f t="shared" ca="1" si="901"/>
        <v>0</v>
      </c>
      <c r="GH272">
        <f t="shared" ca="1" si="902"/>
        <v>0</v>
      </c>
      <c r="GI272">
        <f ca="1">IF(GB272&gt;1200000,GB272-1200000-IF(F272="YES",50000,0)-GG272,0)</f>
        <v>0</v>
      </c>
      <c r="GJ272">
        <f t="shared" ca="1" si="903"/>
        <v>0</v>
      </c>
      <c r="GK272">
        <f t="shared" ca="1" si="904"/>
        <v>0</v>
      </c>
      <c r="GL272">
        <f t="shared" ca="1" si="905"/>
        <v>0</v>
      </c>
      <c r="GM272">
        <f t="shared" ca="1" si="906"/>
        <v>14234</v>
      </c>
      <c r="GN272">
        <f t="shared" ca="1" si="907"/>
        <v>711.7</v>
      </c>
      <c r="GO272">
        <f t="shared" ca="1" si="908"/>
        <v>712</v>
      </c>
      <c r="GP272">
        <f t="shared" ca="1" si="909"/>
        <v>0</v>
      </c>
      <c r="GQ272">
        <f t="shared" ca="1" si="910"/>
        <v>0</v>
      </c>
      <c r="GR272">
        <f t="shared" ca="1" si="911"/>
        <v>712</v>
      </c>
      <c r="GS272">
        <f t="shared" ca="1" si="912"/>
        <v>0</v>
      </c>
      <c r="GT272" t="b">
        <f t="shared" ca="1" si="913"/>
        <v>0</v>
      </c>
      <c r="GU272">
        <f t="shared" ca="1" si="914"/>
        <v>0</v>
      </c>
      <c r="GV272">
        <f t="shared" ca="1" si="915"/>
        <v>712</v>
      </c>
      <c r="GW272">
        <f t="shared" ca="1" si="916"/>
        <v>0</v>
      </c>
      <c r="GX272">
        <f t="shared" ca="1" si="917"/>
        <v>0</v>
      </c>
      <c r="GY272">
        <f t="shared" ca="1" si="918"/>
        <v>0</v>
      </c>
    </row>
    <row r="273" spans="1:207" x14ac:dyDescent="0.25">
      <c r="A273">
        <f>_xlfn.AGGREGATE(3,5,$B$2:B273)</f>
        <v>272</v>
      </c>
      <c r="B273" t="s">
        <v>634</v>
      </c>
      <c r="C273" t="s">
        <v>635</v>
      </c>
      <c r="D273" t="s">
        <v>818</v>
      </c>
      <c r="E273" t="s">
        <v>830</v>
      </c>
      <c r="F273" t="s">
        <v>952</v>
      </c>
      <c r="G273" t="s">
        <v>875</v>
      </c>
      <c r="H273">
        <f t="shared" si="813"/>
        <v>6800</v>
      </c>
      <c r="I273">
        <f>_xlfn.XLOOKUP(B273,'[1]march-2026'!$A:$A,'[1]march-2026'!$C:$C,0,0)</f>
        <v>48700</v>
      </c>
      <c r="J273">
        <f t="shared" si="877"/>
        <v>8766</v>
      </c>
      <c r="K273">
        <f t="shared" si="814"/>
        <v>5844</v>
      </c>
      <c r="L273">
        <f>_xlfn.XLOOKUP(B273,'[1]march-2026'!$A:$A,'[1]march-2026'!$D:$D,0,0)</f>
        <v>400</v>
      </c>
      <c r="M273">
        <f>_xlfn.XLOOKUP(B273,'[1]march-2026'!$A:$A,'[1]march-2026'!$G:$G,0,0)</f>
        <v>500</v>
      </c>
      <c r="N273">
        <f t="shared" si="815"/>
        <v>64210</v>
      </c>
      <c r="O273">
        <f>_xlfn.XLOOKUP(B273,'[1]march-2026'!$A:$A,'[1]march-2026'!$H:$H,0,0)</f>
        <v>4000</v>
      </c>
      <c r="P273">
        <f>_xlfn.XLOOKUP(B273,'[1]march-2026'!$A:$A,'[1]march-2026'!$I:$I,0,0)</f>
        <v>60</v>
      </c>
      <c r="Q273">
        <f t="shared" si="816"/>
        <v>200</v>
      </c>
      <c r="R273">
        <f t="shared" si="817"/>
        <v>59950</v>
      </c>
      <c r="S273">
        <f>_xlfn.XLOOKUP(B273,'[2]april-2026'!$A:$A,'[2]april-2026'!$C:$C,0,0)</f>
        <v>48700</v>
      </c>
      <c r="T273">
        <f t="shared" si="818"/>
        <v>8766</v>
      </c>
      <c r="U273">
        <f t="shared" si="819"/>
        <v>5844</v>
      </c>
      <c r="V273">
        <f>_xlfn.XLOOKUP(B273,'[2]april-2026'!$A:$A,'[2]april-2026'!$D:$D,0,0)</f>
        <v>400</v>
      </c>
      <c r="W273">
        <f>_xlfn.XLOOKUP(B273,'[2]april-2026'!$A:$A,'[2]april-2026'!$G:$G,0,0)</f>
        <v>500</v>
      </c>
      <c r="X273">
        <f t="shared" si="820"/>
        <v>64210</v>
      </c>
      <c r="Y273">
        <f>_xlfn.XLOOKUP(B273,'[2]april-2026'!$A:$A,'[2]april-2026'!$H:$H,0,0)</f>
        <v>4000</v>
      </c>
      <c r="Z273">
        <f>_xlfn.XLOOKUP(B273,'[2]april-2026'!$A:$A,'[2]april-2026'!$I:$I,0,0)</f>
        <v>60</v>
      </c>
      <c r="AA273">
        <f t="shared" si="821"/>
        <v>200</v>
      </c>
      <c r="AB273">
        <f t="shared" si="822"/>
        <v>59950</v>
      </c>
      <c r="AC273">
        <f>_xlfn.XLOOKUP(B273,'[3]may-2026'!$A:$A,'[3]may-2026'!$C:$C,0,0)</f>
        <v>48700</v>
      </c>
      <c r="AD273">
        <f t="shared" si="823"/>
        <v>8766</v>
      </c>
      <c r="AE273">
        <f t="shared" si="824"/>
        <v>5844</v>
      </c>
      <c r="AF273">
        <f>_xlfn.XLOOKUP(B273,'[3]may-2026'!$A:$A,'[3]may-2026'!$D:$D,0,0)</f>
        <v>400</v>
      </c>
      <c r="AG273">
        <f>_xlfn.XLOOKUP(B273,'[3]may-2026'!$A:$A,'[3]may-2026'!$G:$G,0,0)</f>
        <v>500</v>
      </c>
      <c r="AH273">
        <f t="shared" si="825"/>
        <v>64210</v>
      </c>
      <c r="AI273">
        <f>_xlfn.XLOOKUP(B273,'[3]may-2026'!$A:$A,'[3]may-2026'!$H:$H,0,0)</f>
        <v>4000</v>
      </c>
      <c r="AJ273">
        <f>_xlfn.XLOOKUP(B273,'[3]may-2026'!$A:$A,'[3]may-2026'!$I:$I,0,0)</f>
        <v>60</v>
      </c>
      <c r="AK273">
        <f t="shared" si="826"/>
        <v>200</v>
      </c>
      <c r="AL273">
        <f t="shared" si="827"/>
        <v>59950</v>
      </c>
      <c r="AM273">
        <f>_xlfn.XLOOKUP(B273,'[4]june-2026'!$A:$A,'[4]june-2026'!$C:$C,0,0)</f>
        <v>48700</v>
      </c>
      <c r="AN273">
        <f t="shared" si="828"/>
        <v>8766</v>
      </c>
      <c r="AO273">
        <f t="shared" si="829"/>
        <v>5844</v>
      </c>
      <c r="AP273">
        <f>_xlfn.XLOOKUP(B273,'[4]june-2026'!$A:$A,'[4]june-2026'!$D:$D,0,0)</f>
        <v>400</v>
      </c>
      <c r="AQ273">
        <f>_xlfn.XLOOKUP(B273,'[4]june-2026'!$A:$A,'[4]june-2026'!$G:$G,0,0)</f>
        <v>500</v>
      </c>
      <c r="AR273">
        <f t="shared" si="830"/>
        <v>64210</v>
      </c>
      <c r="AS273">
        <f>_xlfn.XLOOKUP(B273,'[4]june-2026'!$A:$A,'[4]june-2026'!$H:$H,0,0)</f>
        <v>4000</v>
      </c>
      <c r="AT273">
        <f>_xlfn.XLOOKUP(B273,'[4]june-2026'!$A:$A,'[4]june-2026'!$I:$I,0,0)</f>
        <v>60</v>
      </c>
      <c r="AU273">
        <f t="shared" si="831"/>
        <v>200</v>
      </c>
      <c r="AV273">
        <f t="shared" si="832"/>
        <v>59950</v>
      </c>
      <c r="AW273">
        <f>_xlfn.XLOOKUP(B273,'[5]july-2026'!$A:$A,'[5]july-2026'!$C:$C,0,0)</f>
        <v>50200</v>
      </c>
      <c r="AX273">
        <f t="shared" si="833"/>
        <v>9036</v>
      </c>
      <c r="AY273">
        <v>271</v>
      </c>
      <c r="AZ273">
        <f t="shared" si="834"/>
        <v>6024</v>
      </c>
      <c r="BA273">
        <f>_xlfn.XLOOKUP(B273,'[5]july-2026'!$A:$A,'[5]july-2026'!$D:$D,0,0)</f>
        <v>400</v>
      </c>
      <c r="BB273">
        <f>_xlfn.XLOOKUP(B273,'[5]july-2026'!$A:$A,'[5]july-2026'!$G:$G,0,0)</f>
        <v>500</v>
      </c>
      <c r="BC273">
        <f t="shared" si="835"/>
        <v>66431</v>
      </c>
      <c r="BD273">
        <f>_xlfn.XLOOKUP(B273,'[5]july-2026'!$A:$A,'[5]july-2026'!$H:$H,0,0)</f>
        <v>4000</v>
      </c>
      <c r="BE273">
        <f>_xlfn.XLOOKUP(B273,'[5]july-2026'!$A:$A,'[5]july-2026'!$I:$I,0,0)</f>
        <v>60</v>
      </c>
      <c r="BF273">
        <f t="shared" si="836"/>
        <v>200</v>
      </c>
      <c r="BG273">
        <f t="shared" si="837"/>
        <v>62171</v>
      </c>
      <c r="BH273">
        <f>_xlfn.XLOOKUP(B273,'[6]august-2026'!$A:$A,'[6]august-2026'!$C:$C,0,0)</f>
        <v>50200</v>
      </c>
      <c r="BI273">
        <f t="shared" si="838"/>
        <v>9036</v>
      </c>
      <c r="BJ273">
        <f t="shared" si="839"/>
        <v>6024</v>
      </c>
      <c r="BK273">
        <f>_xlfn.XLOOKUP(B273,'[6]august-2026'!$A:$A,'[6]august-2026'!$D:$D,0,0)</f>
        <v>400</v>
      </c>
      <c r="BL273">
        <f>_xlfn.XLOOKUP(B273,'[6]august-2026'!$A:$A,'[6]august-2026'!$G:$G,0,0)</f>
        <v>500</v>
      </c>
      <c r="BM273">
        <f t="shared" si="840"/>
        <v>66160</v>
      </c>
      <c r="BN273">
        <f>_xlfn.XLOOKUP(B273,'[6]august-2026'!$A:$A,'[6]august-2026'!$H:$H,0,0)</f>
        <v>4000</v>
      </c>
      <c r="BO273">
        <f>_xlfn.XLOOKUP(B273,'[6]august-2026'!$A:$A,'[6]august-2026'!$I:$I,0,0)</f>
        <v>60</v>
      </c>
      <c r="BP273">
        <f t="shared" si="841"/>
        <v>200</v>
      </c>
      <c r="BQ273">
        <f t="shared" si="842"/>
        <v>61900</v>
      </c>
      <c r="BR273">
        <f>_xlfn.XLOOKUP(B273,'[7]september-2026'!$A:$A,'[7]september-2026'!$C:$C,0,0)</f>
        <v>50200</v>
      </c>
      <c r="BS273">
        <f t="shared" si="843"/>
        <v>9036</v>
      </c>
      <c r="BT273">
        <f t="shared" si="844"/>
        <v>6024</v>
      </c>
      <c r="BU273">
        <f>_xlfn.XLOOKUP(B273,'[7]september-2026'!$A:$A,'[7]september-2026'!$D:$D,0,0)</f>
        <v>400</v>
      </c>
      <c r="BV273">
        <f>_xlfn.XLOOKUP(B273,'[7]september-2026'!$A:$A,'[7]september-2026'!$G:$G,0,0)</f>
        <v>500</v>
      </c>
      <c r="BW273">
        <f t="shared" si="845"/>
        <v>66160</v>
      </c>
      <c r="BX273">
        <f>_xlfn.XLOOKUP(B273,'[7]september-2026'!$A:$A,'[7]september-2026'!$H:$H,0,0)</f>
        <v>4000</v>
      </c>
      <c r="BY273">
        <f>_xlfn.XLOOKUP(B273,'[7]september-2026'!$A:$A,'[7]september-2026'!$I:$I,0,0)</f>
        <v>60</v>
      </c>
      <c r="BZ273">
        <f t="shared" si="846"/>
        <v>200</v>
      </c>
      <c r="CA273">
        <f t="shared" si="847"/>
        <v>61900</v>
      </c>
      <c r="CB273">
        <f>_xlfn.XLOOKUP(B273,'[8]october-2026'!$A:$A,'[8]october-2026'!$C:$C,0,0)</f>
        <v>50200</v>
      </c>
      <c r="CC273">
        <f t="shared" si="848"/>
        <v>9036</v>
      </c>
      <c r="CD273">
        <f t="shared" si="849"/>
        <v>6024</v>
      </c>
      <c r="CE273">
        <f>_xlfn.XLOOKUP(B273,'[8]october-2026'!$A:$A,'[8]october-2026'!$D:$D,0,0)</f>
        <v>400</v>
      </c>
      <c r="CF273">
        <f>_xlfn.XLOOKUP(B273,'[8]october-2026'!$A:$A,'[8]october-2026'!$G:$G,0,0)</f>
        <v>500</v>
      </c>
      <c r="CG273">
        <f t="shared" si="850"/>
        <v>66160</v>
      </c>
      <c r="CH273">
        <f>_xlfn.XLOOKUP(B273,'[8]october-2026'!$A:$A,'[8]october-2026'!$H:$H,0,0)</f>
        <v>4000</v>
      </c>
      <c r="CI273">
        <f>_xlfn.XLOOKUP(B273,'[8]october-2026'!$A:$A,'[8]october-2026'!$I:$I,0,0)</f>
        <v>60</v>
      </c>
      <c r="CJ273">
        <f t="shared" si="851"/>
        <v>200</v>
      </c>
      <c r="CK273">
        <f t="shared" si="852"/>
        <v>61900</v>
      </c>
      <c r="CL273">
        <f>_xlfn.XLOOKUP(B273,'[9]november-2026'!$A:$A,'[9]november-2026'!$C:$C,0,0)</f>
        <v>50200</v>
      </c>
      <c r="CM273">
        <f t="shared" si="853"/>
        <v>9036</v>
      </c>
      <c r="CN273">
        <f t="shared" si="854"/>
        <v>6024</v>
      </c>
      <c r="CO273">
        <f>_xlfn.XLOOKUP(B273,'[9]november-2026'!$A:$A,'[9]november-2026'!$D:$D,0,0)</f>
        <v>400</v>
      </c>
      <c r="CP273">
        <f>_xlfn.XLOOKUP(B273,'[9]november-2026'!$A:$A,'[9]november-2026'!$G:$G,0,0)</f>
        <v>500</v>
      </c>
      <c r="CQ273">
        <f t="shared" si="855"/>
        <v>66160</v>
      </c>
      <c r="CR273">
        <f>_xlfn.XLOOKUP(B273,'[9]november-2026'!$A:$A,'[9]november-2026'!$H:$H,0,0)</f>
        <v>4000</v>
      </c>
      <c r="CS273">
        <f>_xlfn.XLOOKUP(B273,'[9]november-2026'!$A:$A,'[9]november-2026'!$I:$I,0,0)</f>
        <v>60</v>
      </c>
      <c r="CT273">
        <f t="shared" si="856"/>
        <v>200</v>
      </c>
      <c r="CU273">
        <f t="shared" si="857"/>
        <v>61900</v>
      </c>
      <c r="CV273">
        <f>_xlfn.XLOOKUP(B273,'[10]december-2026'!$A:$A,'[10]december-2026'!$C:$C,0,0)</f>
        <v>50200</v>
      </c>
      <c r="CW273">
        <f t="shared" si="858"/>
        <v>9036</v>
      </c>
      <c r="CX273">
        <f t="shared" si="859"/>
        <v>6024</v>
      </c>
      <c r="CY273">
        <f>_xlfn.XLOOKUP(B273,'[10]december-2026'!$A:$A,'[10]december-2026'!$D:$D,0,0)</f>
        <v>400</v>
      </c>
      <c r="CZ273">
        <f>_xlfn.XLOOKUP(B273,'[10]december-2026'!$A:$A,'[10]december-2026'!$G:$G,0,0)</f>
        <v>500</v>
      </c>
      <c r="DA273">
        <f t="shared" si="860"/>
        <v>66160</v>
      </c>
      <c r="DB273">
        <f>_xlfn.XLOOKUP(B273,'[10]december-2026'!$A:$A,'[10]december-2026'!$H:$H,0,0)</f>
        <v>4000</v>
      </c>
      <c r="DC273">
        <f>_xlfn.XLOOKUP(B273,'[10]december-2026'!$A:$A,'[10]december-2026'!$I:$I,0,0)</f>
        <v>60</v>
      </c>
      <c r="DD273">
        <f t="shared" si="861"/>
        <v>200</v>
      </c>
      <c r="DE273">
        <f t="shared" si="862"/>
        <v>61900</v>
      </c>
      <c r="DF273">
        <f xml:space="preserve"> _xlfn.XLOOKUP(B273,
'[11]january-2027'!$A:$A,
'[11]january-2027'!$C:$C,
0,0)</f>
        <v>50200</v>
      </c>
      <c r="DG273">
        <f t="shared" si="863"/>
        <v>9036</v>
      </c>
      <c r="DH273">
        <f t="shared" si="864"/>
        <v>6024</v>
      </c>
      <c r="DI273">
        <f xml:space="preserve"> _xlfn.XLOOKUP(B273,
'[11]january-2027'!$A:$A,
'[11]january-2027'!$D:$D,
0,0)</f>
        <v>400</v>
      </c>
      <c r="DJ273">
        <f xml:space="preserve"> _xlfn.XLOOKUP(B273,
'[11]january-2027'!$A:$A,
'[11]january-2027'!$G:$G,
0,0)</f>
        <v>500</v>
      </c>
      <c r="DK273">
        <f t="shared" si="865"/>
        <v>66160</v>
      </c>
      <c r="DL273">
        <f xml:space="preserve"> _xlfn.XLOOKUP(B273,
'[11]january-2027'!$A:$A,
'[11]january-2027'!$H:$H,
0,0)</f>
        <v>4000</v>
      </c>
      <c r="DM273">
        <f xml:space="preserve"> _xlfn.XLOOKUP(B273,
'[11]january-2027'!$A:$A,
'[11]january-2027'!$I:$I,
0,0)</f>
        <v>60</v>
      </c>
      <c r="DN273">
        <f t="shared" si="866"/>
        <v>200</v>
      </c>
      <c r="DO273">
        <f t="shared" si="867"/>
        <v>61900</v>
      </c>
      <c r="DP273">
        <f xml:space="preserve"> _xlfn.XLOOKUP(B273,
'[12]february-2027'!$A:$A,
'[12]february-2027'!$C:$C,
0,0)</f>
        <v>50200</v>
      </c>
      <c r="DQ273">
        <f t="shared" si="868"/>
        <v>9036</v>
      </c>
      <c r="DR273">
        <f t="shared" si="869"/>
        <v>6024</v>
      </c>
      <c r="DS273">
        <f xml:space="preserve"> _xlfn.XLOOKUP(B273,
'[12]february-2027'!$A:$A,
'[12]february-2027'!$D:$D,
0,0)</f>
        <v>400</v>
      </c>
      <c r="DT273">
        <f xml:space="preserve"> _xlfn.XLOOKUP(B273,
'[12]february-2027'!$A:$A,
'[12]february-2027'!$G:$G,
0,0)</f>
        <v>500</v>
      </c>
      <c r="DU273">
        <f t="shared" si="870"/>
        <v>66160</v>
      </c>
      <c r="DV273">
        <f xml:space="preserve"> _xlfn.XLOOKUP(B273,
'[12]february-2027'!$A:$A,
'[12]february-2027'!$H:$H,
0,0)</f>
        <v>4000</v>
      </c>
      <c r="DW273">
        <f xml:space="preserve"> _xlfn.XLOOKUP(B273,
'[12]february-2027'!$A:$A,
'[12]february-2027'!$I:$I,
0,0)</f>
        <v>60</v>
      </c>
      <c r="DX273">
        <f t="shared" si="871"/>
        <v>200</v>
      </c>
      <c r="DY273">
        <f t="shared" si="872"/>
        <v>61900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873"/>
        <v>0</v>
      </c>
      <c r="EM273">
        <f t="shared" si="874"/>
        <v>793191</v>
      </c>
      <c r="EN273">
        <f t="shared" si="875"/>
        <v>2400</v>
      </c>
      <c r="EO273">
        <f t="shared" si="876"/>
        <v>50000</v>
      </c>
      <c r="EP273">
        <v>0</v>
      </c>
      <c r="EQ273">
        <f t="shared" si="878"/>
        <v>740791</v>
      </c>
      <c r="ER273">
        <f t="shared" si="879"/>
        <v>48000</v>
      </c>
      <c r="ES273">
        <f t="shared" si="880"/>
        <v>720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881"/>
        <v>48720</v>
      </c>
      <c r="FE273">
        <f t="shared" si="882"/>
        <v>48720</v>
      </c>
      <c r="FF273">
        <f t="shared" si="883"/>
        <v>692071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>SUM(FG273:FM273)+(IF(F273="YES",50000,0))</f>
        <v>0</v>
      </c>
      <c r="FO273">
        <f t="shared" si="884"/>
        <v>692071</v>
      </c>
      <c r="FP273">
        <f t="shared" si="885"/>
        <v>12500</v>
      </c>
      <c r="FQ273">
        <f t="shared" si="886"/>
        <v>38414</v>
      </c>
      <c r="FR273">
        <f t="shared" si="887"/>
        <v>50914</v>
      </c>
      <c r="FS273">
        <f t="shared" si="888"/>
        <v>50914</v>
      </c>
      <c r="FT273">
        <f t="shared" si="889"/>
        <v>2036.56</v>
      </c>
      <c r="FU273">
        <f t="shared" si="890"/>
        <v>52951</v>
      </c>
      <c r="FV273">
        <v>0</v>
      </c>
      <c r="FW273">
        <f t="shared" si="891"/>
        <v>52951</v>
      </c>
      <c r="FX273" t="b">
        <f t="shared" si="892"/>
        <v>1</v>
      </c>
      <c r="FY273">
        <f t="shared" ca="1" si="893"/>
        <v>597</v>
      </c>
      <c r="FZ273">
        <f t="shared" ca="1" si="894"/>
        <v>793788</v>
      </c>
      <c r="GA273">
        <f t="shared" si="895"/>
        <v>75000</v>
      </c>
      <c r="GB273">
        <f t="shared" ca="1" si="896"/>
        <v>718788</v>
      </c>
      <c r="GC273">
        <f t="shared" ca="1" si="897"/>
        <v>0</v>
      </c>
      <c r="GD273">
        <f t="shared" ca="1" si="898"/>
        <v>0</v>
      </c>
      <c r="GE273">
        <f t="shared" ca="1" si="899"/>
        <v>0</v>
      </c>
      <c r="GF273">
        <f t="shared" ca="1" si="900"/>
        <v>0</v>
      </c>
      <c r="GG273">
        <f t="shared" ca="1" si="901"/>
        <v>0</v>
      </c>
      <c r="GH273">
        <f t="shared" ca="1" si="902"/>
        <v>0</v>
      </c>
      <c r="GI273">
        <f ca="1">IF(GB273&gt;1200000,GB273-1200000-IF(F273="YES",50000,0)-GG273,0)</f>
        <v>0</v>
      </c>
      <c r="GJ273">
        <f t="shared" ca="1" si="903"/>
        <v>0</v>
      </c>
      <c r="GK273">
        <f t="shared" ca="1" si="904"/>
        <v>0</v>
      </c>
      <c r="GL273">
        <f t="shared" ca="1" si="905"/>
        <v>0</v>
      </c>
      <c r="GM273">
        <f t="shared" ca="1" si="906"/>
        <v>318788</v>
      </c>
      <c r="GN273">
        <f t="shared" ca="1" si="907"/>
        <v>15939.400000000001</v>
      </c>
      <c r="GO273">
        <f t="shared" ca="1" si="908"/>
        <v>15939</v>
      </c>
      <c r="GP273">
        <f t="shared" ca="1" si="909"/>
        <v>0</v>
      </c>
      <c r="GQ273">
        <f t="shared" ca="1" si="910"/>
        <v>0</v>
      </c>
      <c r="GR273">
        <f t="shared" ca="1" si="911"/>
        <v>15939</v>
      </c>
      <c r="GS273">
        <f t="shared" ca="1" si="912"/>
        <v>0</v>
      </c>
      <c r="GT273" t="b">
        <f t="shared" ca="1" si="913"/>
        <v>0</v>
      </c>
      <c r="GU273">
        <f t="shared" ca="1" si="914"/>
        <v>0</v>
      </c>
      <c r="GV273">
        <f t="shared" ca="1" si="915"/>
        <v>15939</v>
      </c>
      <c r="GW273">
        <f t="shared" ca="1" si="916"/>
        <v>0</v>
      </c>
      <c r="GX273">
        <f t="shared" ca="1" si="917"/>
        <v>0</v>
      </c>
      <c r="GY273">
        <f t="shared" ca="1" si="918"/>
        <v>0</v>
      </c>
    </row>
    <row r="274" spans="1:207" x14ac:dyDescent="0.25">
      <c r="A274">
        <f>_xlfn.AGGREGATE(3,5,$B$2:B274)</f>
        <v>273</v>
      </c>
      <c r="B274" t="s">
        <v>636</v>
      </c>
      <c r="C274" t="s">
        <v>637</v>
      </c>
      <c r="D274" t="s">
        <v>818</v>
      </c>
      <c r="E274" t="s">
        <v>830</v>
      </c>
      <c r="F274" t="s">
        <v>952</v>
      </c>
      <c r="G274" t="s">
        <v>881</v>
      </c>
      <c r="H274">
        <f t="shared" si="813"/>
        <v>6800</v>
      </c>
      <c r="I274">
        <f>_xlfn.XLOOKUP(B274,'[1]march-2026'!$A:$A,'[1]march-2026'!$C:$C,0,0)</f>
        <v>32500</v>
      </c>
      <c r="J274">
        <f t="shared" si="877"/>
        <v>5850</v>
      </c>
      <c r="K274">
        <f t="shared" si="814"/>
        <v>3900</v>
      </c>
      <c r="L274">
        <f>_xlfn.XLOOKUP(B274,'[1]march-2026'!$A:$A,'[1]march-2026'!$D:$D,0,0)</f>
        <v>0</v>
      </c>
      <c r="M274">
        <f>_xlfn.XLOOKUP(B274,'[1]march-2026'!$A:$A,'[1]march-2026'!$G:$G,0,0)</f>
        <v>500</v>
      </c>
      <c r="N274">
        <f t="shared" si="815"/>
        <v>42750</v>
      </c>
      <c r="O274">
        <f>_xlfn.XLOOKUP(B274,'[1]march-2026'!$A:$A,'[1]march-2026'!$H:$H,0,0)</f>
        <v>2000</v>
      </c>
      <c r="P274">
        <f>_xlfn.XLOOKUP(B274,'[1]march-2026'!$A:$A,'[1]march-2026'!$I:$I,0,0)</f>
        <v>0</v>
      </c>
      <c r="Q274">
        <f t="shared" si="816"/>
        <v>200</v>
      </c>
      <c r="R274">
        <f t="shared" si="817"/>
        <v>40550</v>
      </c>
      <c r="S274">
        <f>_xlfn.XLOOKUP(B274,'[2]april-2026'!$A:$A,'[2]april-2026'!$C:$C,0,0)</f>
        <v>32500</v>
      </c>
      <c r="T274">
        <f t="shared" si="818"/>
        <v>5850</v>
      </c>
      <c r="U274">
        <f t="shared" si="819"/>
        <v>3900</v>
      </c>
      <c r="V274">
        <f>_xlfn.XLOOKUP(B274,'[2]april-2026'!$A:$A,'[2]april-2026'!$D:$D,0,0)</f>
        <v>0</v>
      </c>
      <c r="W274">
        <f>_xlfn.XLOOKUP(B274,'[2]april-2026'!$A:$A,'[2]april-2026'!$G:$G,0,0)</f>
        <v>500</v>
      </c>
      <c r="X274">
        <f t="shared" si="820"/>
        <v>42750</v>
      </c>
      <c r="Y274">
        <f>_xlfn.XLOOKUP(B274,'[2]april-2026'!$A:$A,'[2]april-2026'!$H:$H,0,0)</f>
        <v>2000</v>
      </c>
      <c r="Z274">
        <f>_xlfn.XLOOKUP(B274,'[2]april-2026'!$A:$A,'[2]april-2026'!$I:$I,0,0)</f>
        <v>0</v>
      </c>
      <c r="AA274">
        <f t="shared" si="821"/>
        <v>200</v>
      </c>
      <c r="AB274">
        <f t="shared" si="822"/>
        <v>40550</v>
      </c>
      <c r="AC274">
        <f>_xlfn.XLOOKUP(B274,'[3]may-2026'!$A:$A,'[3]may-2026'!$C:$C,0,0)</f>
        <v>32500</v>
      </c>
      <c r="AD274">
        <f t="shared" si="823"/>
        <v>5850</v>
      </c>
      <c r="AE274">
        <f t="shared" si="824"/>
        <v>3900</v>
      </c>
      <c r="AF274">
        <f>_xlfn.XLOOKUP(B274,'[3]may-2026'!$A:$A,'[3]may-2026'!$D:$D,0,0)</f>
        <v>0</v>
      </c>
      <c r="AG274">
        <f>_xlfn.XLOOKUP(B274,'[3]may-2026'!$A:$A,'[3]may-2026'!$G:$G,0,0)</f>
        <v>500</v>
      </c>
      <c r="AH274">
        <f t="shared" si="825"/>
        <v>42750</v>
      </c>
      <c r="AI274">
        <f>_xlfn.XLOOKUP(B274,'[3]may-2026'!$A:$A,'[3]may-2026'!$H:$H,0,0)</f>
        <v>2000</v>
      </c>
      <c r="AJ274">
        <f>_xlfn.XLOOKUP(B274,'[3]may-2026'!$A:$A,'[3]may-2026'!$I:$I,0,0)</f>
        <v>0</v>
      </c>
      <c r="AK274">
        <f t="shared" si="826"/>
        <v>200</v>
      </c>
      <c r="AL274">
        <f t="shared" si="827"/>
        <v>40550</v>
      </c>
      <c r="AM274">
        <f>_xlfn.XLOOKUP(B274,'[4]june-2026'!$A:$A,'[4]june-2026'!$C:$C,0,0)</f>
        <v>32500</v>
      </c>
      <c r="AN274">
        <f t="shared" si="828"/>
        <v>5850</v>
      </c>
      <c r="AO274">
        <f t="shared" si="829"/>
        <v>3900</v>
      </c>
      <c r="AP274">
        <f>_xlfn.XLOOKUP(B274,'[4]june-2026'!$A:$A,'[4]june-2026'!$D:$D,0,0)</f>
        <v>0</v>
      </c>
      <c r="AQ274">
        <f>_xlfn.XLOOKUP(B274,'[4]june-2026'!$A:$A,'[4]june-2026'!$G:$G,0,0)</f>
        <v>500</v>
      </c>
      <c r="AR274">
        <f t="shared" si="830"/>
        <v>42750</v>
      </c>
      <c r="AS274">
        <f>_xlfn.XLOOKUP(B274,'[4]june-2026'!$A:$A,'[4]june-2026'!$H:$H,0,0)</f>
        <v>2000</v>
      </c>
      <c r="AT274">
        <f>_xlfn.XLOOKUP(B274,'[4]june-2026'!$A:$A,'[4]june-2026'!$I:$I,0,0)</f>
        <v>0</v>
      </c>
      <c r="AU274">
        <f t="shared" si="831"/>
        <v>200</v>
      </c>
      <c r="AV274">
        <f t="shared" si="832"/>
        <v>40550</v>
      </c>
      <c r="AW274">
        <f>_xlfn.XLOOKUP(B274,'[5]july-2026'!$A:$A,'[5]july-2026'!$C:$C,0,0)</f>
        <v>33500</v>
      </c>
      <c r="AX274">
        <f t="shared" si="833"/>
        <v>6030</v>
      </c>
      <c r="AY274">
        <v>272</v>
      </c>
      <c r="AZ274">
        <f t="shared" si="834"/>
        <v>4020</v>
      </c>
      <c r="BA274">
        <f>_xlfn.XLOOKUP(B274,'[5]july-2026'!$A:$A,'[5]july-2026'!$D:$D,0,0)</f>
        <v>0</v>
      </c>
      <c r="BB274">
        <f>_xlfn.XLOOKUP(B274,'[5]july-2026'!$A:$A,'[5]july-2026'!$G:$G,0,0)</f>
        <v>500</v>
      </c>
      <c r="BC274">
        <f t="shared" si="835"/>
        <v>44322</v>
      </c>
      <c r="BD274">
        <f>_xlfn.XLOOKUP(B274,'[5]july-2026'!$A:$A,'[5]july-2026'!$H:$H,0,0)</f>
        <v>2000</v>
      </c>
      <c r="BE274">
        <f>_xlfn.XLOOKUP(B274,'[5]july-2026'!$A:$A,'[5]july-2026'!$I:$I,0,0)</f>
        <v>0</v>
      </c>
      <c r="BF274">
        <f t="shared" si="836"/>
        <v>200</v>
      </c>
      <c r="BG274">
        <f t="shared" si="837"/>
        <v>42122</v>
      </c>
      <c r="BH274">
        <f>_xlfn.XLOOKUP(B274,'[6]august-2026'!$A:$A,'[6]august-2026'!$C:$C,0,0)</f>
        <v>33500</v>
      </c>
      <c r="BI274">
        <f t="shared" si="838"/>
        <v>6030</v>
      </c>
      <c r="BJ274">
        <f t="shared" si="839"/>
        <v>4020</v>
      </c>
      <c r="BK274">
        <f>_xlfn.XLOOKUP(B274,'[6]august-2026'!$A:$A,'[6]august-2026'!$D:$D,0,0)</f>
        <v>0</v>
      </c>
      <c r="BL274">
        <f>_xlfn.XLOOKUP(B274,'[6]august-2026'!$A:$A,'[6]august-2026'!$G:$G,0,0)</f>
        <v>500</v>
      </c>
      <c r="BM274">
        <f t="shared" si="840"/>
        <v>44050</v>
      </c>
      <c r="BN274">
        <f>_xlfn.XLOOKUP(B274,'[6]august-2026'!$A:$A,'[6]august-2026'!$H:$H,0,0)</f>
        <v>2000</v>
      </c>
      <c r="BO274">
        <f>_xlfn.XLOOKUP(B274,'[6]august-2026'!$A:$A,'[6]august-2026'!$I:$I,0,0)</f>
        <v>0</v>
      </c>
      <c r="BP274">
        <f t="shared" si="841"/>
        <v>200</v>
      </c>
      <c r="BQ274">
        <f t="shared" si="842"/>
        <v>41850</v>
      </c>
      <c r="BR274">
        <f>_xlfn.XLOOKUP(B274,'[7]september-2026'!$A:$A,'[7]september-2026'!$C:$C,0,0)</f>
        <v>33500</v>
      </c>
      <c r="BS274">
        <f t="shared" si="843"/>
        <v>6030</v>
      </c>
      <c r="BT274">
        <f t="shared" si="844"/>
        <v>4020</v>
      </c>
      <c r="BU274">
        <f>_xlfn.XLOOKUP(B274,'[7]september-2026'!$A:$A,'[7]september-2026'!$D:$D,0,0)</f>
        <v>0</v>
      </c>
      <c r="BV274">
        <f>_xlfn.XLOOKUP(B274,'[7]september-2026'!$A:$A,'[7]september-2026'!$G:$G,0,0)</f>
        <v>500</v>
      </c>
      <c r="BW274">
        <f t="shared" si="845"/>
        <v>44050</v>
      </c>
      <c r="BX274">
        <f>_xlfn.XLOOKUP(B274,'[7]september-2026'!$A:$A,'[7]september-2026'!$H:$H,0,0)</f>
        <v>2000</v>
      </c>
      <c r="BY274">
        <f>_xlfn.XLOOKUP(B274,'[7]september-2026'!$A:$A,'[7]september-2026'!$I:$I,0,0)</f>
        <v>0</v>
      </c>
      <c r="BZ274">
        <f t="shared" si="846"/>
        <v>200</v>
      </c>
      <c r="CA274">
        <f t="shared" si="847"/>
        <v>41850</v>
      </c>
      <c r="CB274">
        <f>_xlfn.XLOOKUP(B274,'[8]october-2026'!$A:$A,'[8]october-2026'!$C:$C,0,0)</f>
        <v>33500</v>
      </c>
      <c r="CC274">
        <f t="shared" si="848"/>
        <v>6030</v>
      </c>
      <c r="CD274">
        <f t="shared" si="849"/>
        <v>4020</v>
      </c>
      <c r="CE274">
        <f>_xlfn.XLOOKUP(B274,'[8]october-2026'!$A:$A,'[8]october-2026'!$D:$D,0,0)</f>
        <v>0</v>
      </c>
      <c r="CF274">
        <f>_xlfn.XLOOKUP(B274,'[8]october-2026'!$A:$A,'[8]october-2026'!$G:$G,0,0)</f>
        <v>500</v>
      </c>
      <c r="CG274">
        <f t="shared" si="850"/>
        <v>44050</v>
      </c>
      <c r="CH274">
        <f>_xlfn.XLOOKUP(B274,'[8]october-2026'!$A:$A,'[8]october-2026'!$H:$H,0,0)</f>
        <v>2000</v>
      </c>
      <c r="CI274">
        <f>_xlfn.XLOOKUP(B274,'[8]october-2026'!$A:$A,'[8]october-2026'!$I:$I,0,0)</f>
        <v>0</v>
      </c>
      <c r="CJ274">
        <f t="shared" si="851"/>
        <v>200</v>
      </c>
      <c r="CK274">
        <f t="shared" si="852"/>
        <v>41850</v>
      </c>
      <c r="CL274">
        <f>_xlfn.XLOOKUP(B274,'[9]november-2026'!$A:$A,'[9]november-2026'!$C:$C,0,0)</f>
        <v>33500</v>
      </c>
      <c r="CM274">
        <f t="shared" si="853"/>
        <v>6030</v>
      </c>
      <c r="CN274">
        <f t="shared" si="854"/>
        <v>4020</v>
      </c>
      <c r="CO274">
        <f>_xlfn.XLOOKUP(B274,'[9]november-2026'!$A:$A,'[9]november-2026'!$D:$D,0,0)</f>
        <v>0</v>
      </c>
      <c r="CP274">
        <f>_xlfn.XLOOKUP(B274,'[9]november-2026'!$A:$A,'[9]november-2026'!$G:$G,0,0)</f>
        <v>500</v>
      </c>
      <c r="CQ274">
        <f t="shared" si="855"/>
        <v>44050</v>
      </c>
      <c r="CR274">
        <f>_xlfn.XLOOKUP(B274,'[9]november-2026'!$A:$A,'[9]november-2026'!$H:$H,0,0)</f>
        <v>2000</v>
      </c>
      <c r="CS274">
        <f>_xlfn.XLOOKUP(B274,'[9]november-2026'!$A:$A,'[9]november-2026'!$I:$I,0,0)</f>
        <v>0</v>
      </c>
      <c r="CT274">
        <f t="shared" si="856"/>
        <v>200</v>
      </c>
      <c r="CU274">
        <f t="shared" si="857"/>
        <v>41850</v>
      </c>
      <c r="CV274">
        <f>_xlfn.XLOOKUP(B274,'[10]december-2026'!$A:$A,'[10]december-2026'!$C:$C,0,0)</f>
        <v>33500</v>
      </c>
      <c r="CW274">
        <f t="shared" si="858"/>
        <v>6030</v>
      </c>
      <c r="CX274">
        <f t="shared" si="859"/>
        <v>4020</v>
      </c>
      <c r="CY274">
        <f>_xlfn.XLOOKUP(B274,'[10]december-2026'!$A:$A,'[10]december-2026'!$D:$D,0,0)</f>
        <v>0</v>
      </c>
      <c r="CZ274">
        <f>_xlfn.XLOOKUP(B274,'[10]december-2026'!$A:$A,'[10]december-2026'!$G:$G,0,0)</f>
        <v>500</v>
      </c>
      <c r="DA274">
        <f t="shared" si="860"/>
        <v>44050</v>
      </c>
      <c r="DB274">
        <f>_xlfn.XLOOKUP(B274,'[10]december-2026'!$A:$A,'[10]december-2026'!$H:$H,0,0)</f>
        <v>2000</v>
      </c>
      <c r="DC274">
        <f>_xlfn.XLOOKUP(B274,'[10]december-2026'!$A:$A,'[10]december-2026'!$I:$I,0,0)</f>
        <v>0</v>
      </c>
      <c r="DD274">
        <f t="shared" si="861"/>
        <v>200</v>
      </c>
      <c r="DE274">
        <f t="shared" si="862"/>
        <v>41850</v>
      </c>
      <c r="DF274">
        <f xml:space="preserve"> _xlfn.XLOOKUP(B274,
'[11]january-2027'!$A:$A,
'[11]january-2027'!$C:$C,
0,0)</f>
        <v>33500</v>
      </c>
      <c r="DG274">
        <f t="shared" si="863"/>
        <v>6030</v>
      </c>
      <c r="DH274">
        <f t="shared" si="864"/>
        <v>4020</v>
      </c>
      <c r="DI274">
        <f xml:space="preserve"> _xlfn.XLOOKUP(B274,
'[11]january-2027'!$A:$A,
'[11]january-2027'!$D:$D,
0,0)</f>
        <v>0</v>
      </c>
      <c r="DJ274">
        <f xml:space="preserve"> _xlfn.XLOOKUP(B274,
'[11]january-2027'!$A:$A,
'[11]january-2027'!$G:$G,
0,0)</f>
        <v>500</v>
      </c>
      <c r="DK274">
        <f t="shared" si="865"/>
        <v>44050</v>
      </c>
      <c r="DL274">
        <f xml:space="preserve"> _xlfn.XLOOKUP(B274,
'[11]january-2027'!$A:$A,
'[11]january-2027'!$H:$H,
0,0)</f>
        <v>2000</v>
      </c>
      <c r="DM274">
        <f xml:space="preserve"> _xlfn.XLOOKUP(B274,
'[11]january-2027'!$A:$A,
'[11]january-2027'!$I:$I,
0,0)</f>
        <v>0</v>
      </c>
      <c r="DN274">
        <f t="shared" si="866"/>
        <v>200</v>
      </c>
      <c r="DO274">
        <f t="shared" si="867"/>
        <v>41850</v>
      </c>
      <c r="DP274">
        <f xml:space="preserve"> _xlfn.XLOOKUP(B274,
'[12]february-2027'!$A:$A,
'[12]february-2027'!$C:$C,
0,0)</f>
        <v>33500</v>
      </c>
      <c r="DQ274">
        <f t="shared" si="868"/>
        <v>6030</v>
      </c>
      <c r="DR274">
        <f t="shared" si="869"/>
        <v>4020</v>
      </c>
      <c r="DS274">
        <f xml:space="preserve"> _xlfn.XLOOKUP(B274,
'[12]february-2027'!$A:$A,
'[12]february-2027'!$D:$D,
0,0)</f>
        <v>0</v>
      </c>
      <c r="DT274">
        <f xml:space="preserve"> _xlfn.XLOOKUP(B274,
'[12]february-2027'!$A:$A,
'[12]february-2027'!$G:$G,
0,0)</f>
        <v>500</v>
      </c>
      <c r="DU274">
        <f t="shared" si="870"/>
        <v>44050</v>
      </c>
      <c r="DV274">
        <f xml:space="preserve"> _xlfn.XLOOKUP(B274,
'[12]february-2027'!$A:$A,
'[12]february-2027'!$H:$H,
0,0)</f>
        <v>2000</v>
      </c>
      <c r="DW274">
        <f xml:space="preserve"> _xlfn.XLOOKUP(B274,
'[12]february-2027'!$A:$A,
'[12]february-2027'!$I:$I,
0,0)</f>
        <v>0</v>
      </c>
      <c r="DX274">
        <f t="shared" si="871"/>
        <v>200</v>
      </c>
      <c r="DY274">
        <f t="shared" si="872"/>
        <v>41850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873"/>
        <v>0</v>
      </c>
      <c r="EM274">
        <f t="shared" si="874"/>
        <v>530472</v>
      </c>
      <c r="EN274">
        <f t="shared" si="875"/>
        <v>2400</v>
      </c>
      <c r="EO274">
        <f t="shared" si="876"/>
        <v>50000</v>
      </c>
      <c r="EP274">
        <v>0</v>
      </c>
      <c r="EQ274">
        <f t="shared" si="878"/>
        <v>478072</v>
      </c>
      <c r="ER274">
        <f t="shared" si="879"/>
        <v>24000</v>
      </c>
      <c r="ES274">
        <f t="shared" si="880"/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881"/>
        <v>24000</v>
      </c>
      <c r="FE274">
        <f t="shared" si="882"/>
        <v>24000</v>
      </c>
      <c r="FF274">
        <f t="shared" si="883"/>
        <v>454072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>SUM(FG274:FM274)+(IF(F274="YES",50000,0))</f>
        <v>0</v>
      </c>
      <c r="FO274">
        <f t="shared" si="884"/>
        <v>454072</v>
      </c>
      <c r="FP274">
        <f t="shared" si="885"/>
        <v>10204</v>
      </c>
      <c r="FQ274">
        <f t="shared" si="886"/>
        <v>0</v>
      </c>
      <c r="FR274">
        <f t="shared" si="887"/>
        <v>10204</v>
      </c>
      <c r="FS274">
        <f t="shared" si="888"/>
        <v>0</v>
      </c>
      <c r="FT274">
        <f t="shared" si="889"/>
        <v>0</v>
      </c>
      <c r="FU274">
        <f t="shared" si="890"/>
        <v>0</v>
      </c>
      <c r="FV274">
        <v>0</v>
      </c>
      <c r="FW274">
        <f t="shared" si="891"/>
        <v>0</v>
      </c>
      <c r="FX274" t="b">
        <f t="shared" si="892"/>
        <v>1</v>
      </c>
      <c r="FY274">
        <f t="shared" ca="1" si="893"/>
        <v>895</v>
      </c>
      <c r="FZ274">
        <f t="shared" ca="1" si="894"/>
        <v>531367</v>
      </c>
      <c r="GA274">
        <f t="shared" si="895"/>
        <v>75000</v>
      </c>
      <c r="GB274">
        <f t="shared" ca="1" si="896"/>
        <v>456367</v>
      </c>
      <c r="GC274">
        <f t="shared" ca="1" si="897"/>
        <v>0</v>
      </c>
      <c r="GD274">
        <f t="shared" ca="1" si="898"/>
        <v>0</v>
      </c>
      <c r="GE274">
        <f t="shared" ca="1" si="899"/>
        <v>0</v>
      </c>
      <c r="GF274">
        <f t="shared" ca="1" si="900"/>
        <v>0</v>
      </c>
      <c r="GG274">
        <f t="shared" ca="1" si="901"/>
        <v>0</v>
      </c>
      <c r="GH274">
        <f t="shared" ca="1" si="902"/>
        <v>0</v>
      </c>
      <c r="GI274">
        <f ca="1">IF(GB274&gt;1200000,GB274-1200000-IF(F274="YES",50000,0)-GG274,0)</f>
        <v>0</v>
      </c>
      <c r="GJ274">
        <f t="shared" ca="1" si="903"/>
        <v>0</v>
      </c>
      <c r="GK274">
        <f t="shared" ca="1" si="904"/>
        <v>0</v>
      </c>
      <c r="GL274">
        <f t="shared" ca="1" si="905"/>
        <v>0</v>
      </c>
      <c r="GM274">
        <f t="shared" ca="1" si="906"/>
        <v>56367</v>
      </c>
      <c r="GN274">
        <f t="shared" ca="1" si="907"/>
        <v>2818.3500000000004</v>
      </c>
      <c r="GO274">
        <f t="shared" ca="1" si="908"/>
        <v>2818</v>
      </c>
      <c r="GP274">
        <f t="shared" ca="1" si="909"/>
        <v>0</v>
      </c>
      <c r="GQ274">
        <f t="shared" ca="1" si="910"/>
        <v>0</v>
      </c>
      <c r="GR274">
        <f t="shared" ca="1" si="911"/>
        <v>2818</v>
      </c>
      <c r="GS274">
        <f t="shared" ca="1" si="912"/>
        <v>0</v>
      </c>
      <c r="GT274" t="b">
        <f t="shared" ca="1" si="913"/>
        <v>0</v>
      </c>
      <c r="GU274">
        <f t="shared" ca="1" si="914"/>
        <v>0</v>
      </c>
      <c r="GV274">
        <f t="shared" ca="1" si="915"/>
        <v>2818</v>
      </c>
      <c r="GW274">
        <f t="shared" ca="1" si="916"/>
        <v>0</v>
      </c>
      <c r="GX274">
        <f t="shared" ca="1" si="917"/>
        <v>0</v>
      </c>
      <c r="GY274">
        <f t="shared" ca="1" si="918"/>
        <v>0</v>
      </c>
    </row>
    <row r="275" spans="1:207" x14ac:dyDescent="0.25">
      <c r="A275">
        <f>_xlfn.AGGREGATE(3,5,$B$2:B275)</f>
        <v>274</v>
      </c>
      <c r="B275" t="s">
        <v>638</v>
      </c>
      <c r="C275" t="s">
        <v>639</v>
      </c>
      <c r="D275" t="s">
        <v>818</v>
      </c>
      <c r="E275" t="s">
        <v>830</v>
      </c>
      <c r="F275" t="s">
        <v>952</v>
      </c>
      <c r="G275" t="s">
        <v>888</v>
      </c>
      <c r="H275">
        <f t="shared" si="813"/>
        <v>6800</v>
      </c>
      <c r="I275">
        <f>_xlfn.XLOOKUP(B275,'[1]march-2026'!$A:$A,'[1]march-2026'!$C:$C,0,0)</f>
        <v>29800</v>
      </c>
      <c r="J275">
        <f t="shared" si="877"/>
        <v>5364</v>
      </c>
      <c r="K275">
        <f t="shared" si="814"/>
        <v>3576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815"/>
        <v>39240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816"/>
        <v>150</v>
      </c>
      <c r="R275">
        <f t="shared" si="817"/>
        <v>37090</v>
      </c>
      <c r="S275">
        <f>_xlfn.XLOOKUP(B275,'[2]april-2026'!$A:$A,'[2]april-2026'!$C:$C,0,0)</f>
        <v>29800</v>
      </c>
      <c r="T275">
        <f t="shared" si="818"/>
        <v>5364</v>
      </c>
      <c r="U275">
        <f t="shared" si="819"/>
        <v>3576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820"/>
        <v>39240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821"/>
        <v>150</v>
      </c>
      <c r="AB275">
        <f t="shared" si="822"/>
        <v>37090</v>
      </c>
      <c r="AC275">
        <f>_xlfn.XLOOKUP(B275,'[3]may-2026'!$A:$A,'[3]may-2026'!$C:$C,0,0)</f>
        <v>29800</v>
      </c>
      <c r="AD275">
        <f t="shared" si="823"/>
        <v>5364</v>
      </c>
      <c r="AE275">
        <f t="shared" si="824"/>
        <v>3576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825"/>
        <v>39240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826"/>
        <v>150</v>
      </c>
      <c r="AL275">
        <f t="shared" si="827"/>
        <v>37090</v>
      </c>
      <c r="AM275">
        <f>_xlfn.XLOOKUP(B275,'[4]june-2026'!$A:$A,'[4]june-2026'!$C:$C,0,0)</f>
        <v>29800</v>
      </c>
      <c r="AN275">
        <f t="shared" si="828"/>
        <v>5364</v>
      </c>
      <c r="AO275">
        <f t="shared" si="829"/>
        <v>3576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830"/>
        <v>39240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831"/>
        <v>150</v>
      </c>
      <c r="AV275">
        <f t="shared" si="832"/>
        <v>37090</v>
      </c>
      <c r="AW275">
        <f>_xlfn.XLOOKUP(B275,'[5]july-2026'!$A:$A,'[5]july-2026'!$C:$C,0,0)</f>
        <v>30700</v>
      </c>
      <c r="AX275">
        <f t="shared" si="833"/>
        <v>5526</v>
      </c>
      <c r="AY275">
        <v>273</v>
      </c>
      <c r="AZ275">
        <f t="shared" si="834"/>
        <v>3684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835"/>
        <v>40683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836"/>
        <v>200</v>
      </c>
      <c r="BG275">
        <f t="shared" si="837"/>
        <v>38483</v>
      </c>
      <c r="BH275">
        <f>_xlfn.XLOOKUP(B275,'[6]august-2026'!$A:$A,'[6]august-2026'!$C:$C,0,0)</f>
        <v>30700</v>
      </c>
      <c r="BI275">
        <f t="shared" si="838"/>
        <v>5526</v>
      </c>
      <c r="BJ275">
        <f t="shared" si="839"/>
        <v>3684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840"/>
        <v>40410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841"/>
        <v>200</v>
      </c>
      <c r="BQ275">
        <f t="shared" si="842"/>
        <v>38210</v>
      </c>
      <c r="BR275">
        <f>_xlfn.XLOOKUP(B275,'[7]september-2026'!$A:$A,'[7]september-2026'!$C:$C,0,0)</f>
        <v>30700</v>
      </c>
      <c r="BS275">
        <f t="shared" si="843"/>
        <v>5526</v>
      </c>
      <c r="BT275">
        <f t="shared" si="844"/>
        <v>3684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845"/>
        <v>40410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846"/>
        <v>200</v>
      </c>
      <c r="CA275">
        <f t="shared" si="847"/>
        <v>38210</v>
      </c>
      <c r="CB275">
        <f>_xlfn.XLOOKUP(B275,'[8]october-2026'!$A:$A,'[8]october-2026'!$C:$C,0,0)</f>
        <v>30700</v>
      </c>
      <c r="CC275">
        <f t="shared" si="848"/>
        <v>5526</v>
      </c>
      <c r="CD275">
        <f t="shared" si="849"/>
        <v>3684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850"/>
        <v>40410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851"/>
        <v>200</v>
      </c>
      <c r="CK275">
        <f t="shared" si="852"/>
        <v>38210</v>
      </c>
      <c r="CL275">
        <f>_xlfn.XLOOKUP(B275,'[9]november-2026'!$A:$A,'[9]november-2026'!$C:$C,0,0)</f>
        <v>30700</v>
      </c>
      <c r="CM275">
        <f t="shared" si="853"/>
        <v>5526</v>
      </c>
      <c r="CN275">
        <f t="shared" si="854"/>
        <v>3684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855"/>
        <v>40410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856"/>
        <v>200</v>
      </c>
      <c r="CU275">
        <f t="shared" si="857"/>
        <v>38210</v>
      </c>
      <c r="CV275">
        <f>_xlfn.XLOOKUP(B275,'[10]december-2026'!$A:$A,'[10]december-2026'!$C:$C,0,0)</f>
        <v>30700</v>
      </c>
      <c r="CW275">
        <f t="shared" si="858"/>
        <v>5526</v>
      </c>
      <c r="CX275">
        <f t="shared" si="859"/>
        <v>3684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860"/>
        <v>40410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861"/>
        <v>200</v>
      </c>
      <c r="DE275">
        <f t="shared" si="862"/>
        <v>38210</v>
      </c>
      <c r="DF275">
        <f xml:space="preserve"> _xlfn.XLOOKUP(B275,
'[11]january-2027'!$A:$A,
'[11]january-2027'!$C:$C,
0,0)</f>
        <v>30700</v>
      </c>
      <c r="DG275">
        <f t="shared" si="863"/>
        <v>5526</v>
      </c>
      <c r="DH275">
        <f t="shared" si="864"/>
        <v>3684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865"/>
        <v>40410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866"/>
        <v>200</v>
      </c>
      <c r="DO275">
        <f t="shared" si="867"/>
        <v>38210</v>
      </c>
      <c r="DP275">
        <f xml:space="preserve"> _xlfn.XLOOKUP(B275,
'[12]february-2027'!$A:$A,
'[12]february-2027'!$C:$C,
0,0)</f>
        <v>30700</v>
      </c>
      <c r="DQ275">
        <f t="shared" si="868"/>
        <v>5526</v>
      </c>
      <c r="DR275">
        <f t="shared" si="869"/>
        <v>3684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870"/>
        <v>40410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871"/>
        <v>200</v>
      </c>
      <c r="DY275">
        <f t="shared" si="872"/>
        <v>38210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873"/>
        <v>0</v>
      </c>
      <c r="EM275">
        <f t="shared" si="874"/>
        <v>487313</v>
      </c>
      <c r="EN275">
        <f t="shared" si="875"/>
        <v>2200</v>
      </c>
      <c r="EO275">
        <f t="shared" si="876"/>
        <v>50000</v>
      </c>
      <c r="EP275">
        <v>0</v>
      </c>
      <c r="EQ275">
        <f t="shared" si="878"/>
        <v>435113</v>
      </c>
      <c r="ER275">
        <f t="shared" si="879"/>
        <v>24000</v>
      </c>
      <c r="ES275">
        <f t="shared" si="880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881"/>
        <v>24000</v>
      </c>
      <c r="FE275">
        <f t="shared" si="882"/>
        <v>24000</v>
      </c>
      <c r="FF275">
        <f t="shared" si="883"/>
        <v>411113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>SUM(FG275:FM275)+(IF(F275="YES",50000,0))</f>
        <v>0</v>
      </c>
      <c r="FO275">
        <f t="shared" si="884"/>
        <v>411113</v>
      </c>
      <c r="FP275">
        <f t="shared" si="885"/>
        <v>8056</v>
      </c>
      <c r="FQ275">
        <f t="shared" si="886"/>
        <v>0</v>
      </c>
      <c r="FR275">
        <f t="shared" si="887"/>
        <v>8056</v>
      </c>
      <c r="FS275">
        <f t="shared" si="888"/>
        <v>0</v>
      </c>
      <c r="FT275">
        <f t="shared" si="889"/>
        <v>0</v>
      </c>
      <c r="FU275">
        <f t="shared" si="890"/>
        <v>0</v>
      </c>
      <c r="FV275">
        <v>0</v>
      </c>
      <c r="FW275">
        <f t="shared" si="891"/>
        <v>0</v>
      </c>
      <c r="FX275" t="b">
        <f t="shared" si="892"/>
        <v>0</v>
      </c>
      <c r="FY275">
        <f t="shared" ca="1" si="893"/>
        <v>1252</v>
      </c>
      <c r="FZ275">
        <f t="shared" ca="1" si="894"/>
        <v>488565</v>
      </c>
      <c r="GA275">
        <f t="shared" si="895"/>
        <v>75000</v>
      </c>
      <c r="GB275">
        <f t="shared" ca="1" si="896"/>
        <v>413565</v>
      </c>
      <c r="GC275">
        <f t="shared" ca="1" si="897"/>
        <v>0</v>
      </c>
      <c r="GD275">
        <f t="shared" ca="1" si="898"/>
        <v>0</v>
      </c>
      <c r="GE275">
        <f t="shared" ca="1" si="899"/>
        <v>0</v>
      </c>
      <c r="GF275">
        <f t="shared" ca="1" si="900"/>
        <v>0</v>
      </c>
      <c r="GG275">
        <f t="shared" ca="1" si="901"/>
        <v>0</v>
      </c>
      <c r="GH275">
        <f t="shared" ca="1" si="902"/>
        <v>0</v>
      </c>
      <c r="GI275">
        <f ca="1">IF(GB275&gt;1200000,GB275-1200000-IF(F275="YES",50000,0)-GG275,0)</f>
        <v>0</v>
      </c>
      <c r="GJ275">
        <f t="shared" ca="1" si="903"/>
        <v>0</v>
      </c>
      <c r="GK275">
        <f t="shared" ca="1" si="904"/>
        <v>0</v>
      </c>
      <c r="GL275">
        <f t="shared" ca="1" si="905"/>
        <v>0</v>
      </c>
      <c r="GM275">
        <f t="shared" ca="1" si="906"/>
        <v>13565</v>
      </c>
      <c r="GN275">
        <f t="shared" ca="1" si="907"/>
        <v>678.25</v>
      </c>
      <c r="GO275">
        <f t="shared" ca="1" si="908"/>
        <v>678</v>
      </c>
      <c r="GP275">
        <f t="shared" ca="1" si="909"/>
        <v>0</v>
      </c>
      <c r="GQ275">
        <f t="shared" ca="1" si="910"/>
        <v>0</v>
      </c>
      <c r="GR275">
        <f t="shared" ca="1" si="911"/>
        <v>678</v>
      </c>
      <c r="GS275">
        <f t="shared" ca="1" si="912"/>
        <v>0</v>
      </c>
      <c r="GT275" t="b">
        <f t="shared" ca="1" si="913"/>
        <v>0</v>
      </c>
      <c r="GU275">
        <f t="shared" ca="1" si="914"/>
        <v>0</v>
      </c>
      <c r="GV275">
        <f t="shared" ca="1" si="915"/>
        <v>678</v>
      </c>
      <c r="GW275">
        <f t="shared" ca="1" si="916"/>
        <v>0</v>
      </c>
      <c r="GX275">
        <f t="shared" ca="1" si="917"/>
        <v>0</v>
      </c>
      <c r="GY275">
        <f t="shared" ca="1" si="918"/>
        <v>0</v>
      </c>
    </row>
    <row r="276" spans="1:207" x14ac:dyDescent="0.25">
      <c r="A276">
        <f>_xlfn.AGGREGATE(3,5,$B$2:B276)</f>
        <v>275</v>
      </c>
      <c r="B276" t="s">
        <v>868</v>
      </c>
      <c r="C276" t="s">
        <v>869</v>
      </c>
      <c r="D276" t="s">
        <v>818</v>
      </c>
      <c r="E276" t="s">
        <v>831</v>
      </c>
      <c r="F276" t="s">
        <v>953</v>
      </c>
      <c r="G276" t="s">
        <v>951</v>
      </c>
      <c r="H276">
        <f t="shared" si="813"/>
        <v>6800</v>
      </c>
      <c r="I276">
        <f>_xlfn.XLOOKUP(B276,'[1]march-2026'!$A:$A,'[1]march-2026'!$C:$C,0,0)</f>
        <v>25400</v>
      </c>
      <c r="J276">
        <f t="shared" si="877"/>
        <v>4572</v>
      </c>
      <c r="K276">
        <f t="shared" si="814"/>
        <v>3048</v>
      </c>
      <c r="L276">
        <f>_xlfn.XLOOKUP(B276,'[1]march-2026'!$A:$A,'[1]march-2026'!$D:$D,0,0)</f>
        <v>0</v>
      </c>
      <c r="M276">
        <f>_xlfn.XLOOKUP(B276,'[1]march-2026'!$A:$A,'[1]march-2026'!$G:$G,0,0)</f>
        <v>0</v>
      </c>
      <c r="N276">
        <f t="shared" si="815"/>
        <v>33020</v>
      </c>
      <c r="O276">
        <f>_xlfn.XLOOKUP(B276,'[1]march-2026'!$A:$A,'[1]march-2026'!$H:$H,0,0)</f>
        <v>2000</v>
      </c>
      <c r="P276">
        <f>_xlfn.XLOOKUP(B276,'[1]march-2026'!$A:$A,'[1]march-2026'!$I:$I,0,0)</f>
        <v>0</v>
      </c>
      <c r="Q276">
        <f t="shared" si="816"/>
        <v>150</v>
      </c>
      <c r="R276">
        <f t="shared" si="817"/>
        <v>30870</v>
      </c>
      <c r="S276">
        <f>_xlfn.XLOOKUP(B276,'[2]april-2026'!$A:$A,'[2]april-2026'!$C:$C,0,0)</f>
        <v>25400</v>
      </c>
      <c r="T276">
        <f t="shared" si="818"/>
        <v>4572</v>
      </c>
      <c r="U276">
        <f t="shared" si="819"/>
        <v>3048</v>
      </c>
      <c r="V276">
        <f>_xlfn.XLOOKUP(B276,'[2]april-2026'!$A:$A,'[2]april-2026'!$D:$D,0,0)</f>
        <v>0</v>
      </c>
      <c r="W276">
        <f>_xlfn.XLOOKUP(B276,'[2]april-2026'!$A:$A,'[2]april-2026'!$G:$G,0,0)</f>
        <v>0</v>
      </c>
      <c r="X276">
        <f t="shared" si="820"/>
        <v>33020</v>
      </c>
      <c r="Y276">
        <f>_xlfn.XLOOKUP(B276,'[2]april-2026'!$A:$A,'[2]april-2026'!$H:$H,0,0)</f>
        <v>2000</v>
      </c>
      <c r="Z276">
        <f>_xlfn.XLOOKUP(B276,'[2]april-2026'!$A:$A,'[2]april-2026'!$I:$I,0,0)</f>
        <v>0</v>
      </c>
      <c r="AA276">
        <f t="shared" si="821"/>
        <v>0</v>
      </c>
      <c r="AB276">
        <f t="shared" si="822"/>
        <v>31020</v>
      </c>
      <c r="AC276">
        <f>_xlfn.XLOOKUP(B276,'[3]may-2026'!$A:$A,'[3]may-2026'!$C:$C,0,0)</f>
        <v>25400</v>
      </c>
      <c r="AD276">
        <f t="shared" si="823"/>
        <v>4572</v>
      </c>
      <c r="AE276">
        <f t="shared" si="824"/>
        <v>3048</v>
      </c>
      <c r="AF276">
        <f>_xlfn.XLOOKUP(B276,'[3]may-2026'!$A:$A,'[3]may-2026'!$D:$D,0,0)</f>
        <v>0</v>
      </c>
      <c r="AG276">
        <f>_xlfn.XLOOKUP(B276,'[3]may-2026'!$A:$A,'[3]may-2026'!$G:$G,0,0)</f>
        <v>0</v>
      </c>
      <c r="AH276">
        <f t="shared" si="825"/>
        <v>33020</v>
      </c>
      <c r="AI276">
        <f>_xlfn.XLOOKUP(B276,'[3]may-2026'!$A:$A,'[3]may-2026'!$H:$H,0,0)</f>
        <v>2000</v>
      </c>
      <c r="AJ276">
        <f>_xlfn.XLOOKUP(B276,'[3]may-2026'!$A:$A,'[3]may-2026'!$I:$I,0,0)</f>
        <v>0</v>
      </c>
      <c r="AK276">
        <f t="shared" si="826"/>
        <v>0</v>
      </c>
      <c r="AL276">
        <f t="shared" si="827"/>
        <v>31020</v>
      </c>
      <c r="AM276">
        <f>_xlfn.XLOOKUP(B276,'[4]june-2026'!$A:$A,'[4]june-2026'!$C:$C,0,0)</f>
        <v>25400</v>
      </c>
      <c r="AN276">
        <f t="shared" si="828"/>
        <v>4572</v>
      </c>
      <c r="AO276">
        <f t="shared" si="829"/>
        <v>3048</v>
      </c>
      <c r="AP276">
        <f>_xlfn.XLOOKUP(B276,'[4]june-2026'!$A:$A,'[4]june-2026'!$D:$D,0,0)</f>
        <v>0</v>
      </c>
      <c r="AQ276">
        <f>_xlfn.XLOOKUP(B276,'[4]june-2026'!$A:$A,'[4]june-2026'!$G:$G,0,0)</f>
        <v>0</v>
      </c>
      <c r="AR276">
        <f t="shared" si="830"/>
        <v>33020</v>
      </c>
      <c r="AS276">
        <f>_xlfn.XLOOKUP(B276,'[4]june-2026'!$A:$A,'[4]june-2026'!$H:$H,0,0)</f>
        <v>2000</v>
      </c>
      <c r="AT276">
        <f>_xlfn.XLOOKUP(B276,'[4]june-2026'!$A:$A,'[4]june-2026'!$I:$I,0,0)</f>
        <v>0</v>
      </c>
      <c r="AU276">
        <f t="shared" si="831"/>
        <v>0</v>
      </c>
      <c r="AV276">
        <f t="shared" si="832"/>
        <v>31020</v>
      </c>
      <c r="AW276">
        <f>_xlfn.XLOOKUP(B276,'[5]july-2026'!$A:$A,'[5]july-2026'!$C:$C,0,0)</f>
        <v>26200</v>
      </c>
      <c r="AX276">
        <f t="shared" si="833"/>
        <v>4716</v>
      </c>
      <c r="AY276">
        <v>274</v>
      </c>
      <c r="AZ276">
        <f t="shared" si="834"/>
        <v>3144</v>
      </c>
      <c r="BA276">
        <f>_xlfn.XLOOKUP(B276,'[5]july-2026'!$A:$A,'[5]july-2026'!$D:$D,0,0)</f>
        <v>0</v>
      </c>
      <c r="BB276">
        <f>_xlfn.XLOOKUP(B276,'[5]july-2026'!$A:$A,'[5]july-2026'!$G:$G,0,0)</f>
        <v>0</v>
      </c>
      <c r="BC276">
        <f t="shared" si="835"/>
        <v>34334</v>
      </c>
      <c r="BD276">
        <f>_xlfn.XLOOKUP(B276,'[5]july-2026'!$A:$A,'[5]july-2026'!$H:$H,0,0)</f>
        <v>2000</v>
      </c>
      <c r="BE276">
        <f>_xlfn.XLOOKUP(B276,'[5]july-2026'!$A:$A,'[5]july-2026'!$I:$I,0,0)</f>
        <v>0</v>
      </c>
      <c r="BF276">
        <f t="shared" si="836"/>
        <v>0</v>
      </c>
      <c r="BG276">
        <f t="shared" si="837"/>
        <v>32334</v>
      </c>
      <c r="BH276">
        <f>_xlfn.XLOOKUP(B276,'[6]august-2026'!$A:$A,'[6]august-2026'!$C:$C,0,0)</f>
        <v>26200</v>
      </c>
      <c r="BI276">
        <f t="shared" si="838"/>
        <v>4716</v>
      </c>
      <c r="BJ276">
        <f t="shared" si="839"/>
        <v>3144</v>
      </c>
      <c r="BK276">
        <f>_xlfn.XLOOKUP(B276,'[6]august-2026'!$A:$A,'[6]august-2026'!$D:$D,0,0)</f>
        <v>0</v>
      </c>
      <c r="BL276">
        <f>_xlfn.XLOOKUP(B276,'[6]august-2026'!$A:$A,'[6]august-2026'!$G:$G,0,0)</f>
        <v>0</v>
      </c>
      <c r="BM276">
        <f t="shared" si="840"/>
        <v>34060</v>
      </c>
      <c r="BN276">
        <f>_xlfn.XLOOKUP(B276,'[6]august-2026'!$A:$A,'[6]august-2026'!$H:$H,0,0)</f>
        <v>2000</v>
      </c>
      <c r="BO276">
        <f>_xlfn.XLOOKUP(B276,'[6]august-2026'!$A:$A,'[6]august-2026'!$I:$I,0,0)</f>
        <v>0</v>
      </c>
      <c r="BP276">
        <f t="shared" si="841"/>
        <v>0</v>
      </c>
      <c r="BQ276">
        <f t="shared" si="842"/>
        <v>32060</v>
      </c>
      <c r="BR276">
        <f>_xlfn.XLOOKUP(B276,'[7]september-2026'!$A:$A,'[7]september-2026'!$C:$C,0,0)</f>
        <v>26200</v>
      </c>
      <c r="BS276">
        <f t="shared" si="843"/>
        <v>4716</v>
      </c>
      <c r="BT276">
        <f t="shared" si="844"/>
        <v>3144</v>
      </c>
      <c r="BU276">
        <f>_xlfn.XLOOKUP(B276,'[7]september-2026'!$A:$A,'[7]september-2026'!$D:$D,0,0)</f>
        <v>0</v>
      </c>
      <c r="BV276">
        <f>_xlfn.XLOOKUP(B276,'[7]september-2026'!$A:$A,'[7]september-2026'!$G:$G,0,0)</f>
        <v>0</v>
      </c>
      <c r="BW276">
        <f t="shared" si="845"/>
        <v>34060</v>
      </c>
      <c r="BX276">
        <f>_xlfn.XLOOKUP(B276,'[7]september-2026'!$A:$A,'[7]september-2026'!$H:$H,0,0)</f>
        <v>2000</v>
      </c>
      <c r="BY276">
        <f>_xlfn.XLOOKUP(B276,'[7]september-2026'!$A:$A,'[7]september-2026'!$I:$I,0,0)</f>
        <v>0</v>
      </c>
      <c r="BZ276">
        <f t="shared" si="846"/>
        <v>0</v>
      </c>
      <c r="CA276">
        <f t="shared" si="847"/>
        <v>32060</v>
      </c>
      <c r="CB276">
        <f>_xlfn.XLOOKUP(B276,'[8]october-2026'!$A:$A,'[8]october-2026'!$C:$C,0,0)</f>
        <v>26200</v>
      </c>
      <c r="CC276">
        <f t="shared" si="848"/>
        <v>4716</v>
      </c>
      <c r="CD276">
        <f t="shared" si="849"/>
        <v>3144</v>
      </c>
      <c r="CE276">
        <f>_xlfn.XLOOKUP(B276,'[8]october-2026'!$A:$A,'[8]october-2026'!$D:$D,0,0)</f>
        <v>0</v>
      </c>
      <c r="CF276">
        <f>_xlfn.XLOOKUP(B276,'[8]october-2026'!$A:$A,'[8]october-2026'!$G:$G,0,0)</f>
        <v>0</v>
      </c>
      <c r="CG276">
        <f t="shared" si="850"/>
        <v>34060</v>
      </c>
      <c r="CH276">
        <f>_xlfn.XLOOKUP(B276,'[8]october-2026'!$A:$A,'[8]october-2026'!$H:$H,0,0)</f>
        <v>2000</v>
      </c>
      <c r="CI276">
        <f>_xlfn.XLOOKUP(B276,'[8]october-2026'!$A:$A,'[8]october-2026'!$I:$I,0,0)</f>
        <v>0</v>
      </c>
      <c r="CJ276">
        <f t="shared" si="851"/>
        <v>0</v>
      </c>
      <c r="CK276">
        <f t="shared" si="852"/>
        <v>32060</v>
      </c>
      <c r="CL276">
        <f>_xlfn.XLOOKUP(B276,'[9]november-2026'!$A:$A,'[9]november-2026'!$C:$C,0,0)</f>
        <v>26200</v>
      </c>
      <c r="CM276">
        <f t="shared" si="853"/>
        <v>4716</v>
      </c>
      <c r="CN276">
        <f t="shared" si="854"/>
        <v>3144</v>
      </c>
      <c r="CO276">
        <f>_xlfn.XLOOKUP(B276,'[9]november-2026'!$A:$A,'[9]november-2026'!$D:$D,0,0)</f>
        <v>0</v>
      </c>
      <c r="CP276">
        <f>_xlfn.XLOOKUP(B276,'[9]november-2026'!$A:$A,'[9]november-2026'!$G:$G,0,0)</f>
        <v>0</v>
      </c>
      <c r="CQ276">
        <f t="shared" si="855"/>
        <v>34060</v>
      </c>
      <c r="CR276">
        <f>_xlfn.XLOOKUP(B276,'[9]november-2026'!$A:$A,'[9]november-2026'!$H:$H,0,0)</f>
        <v>2000</v>
      </c>
      <c r="CS276">
        <f>_xlfn.XLOOKUP(B276,'[9]november-2026'!$A:$A,'[9]november-2026'!$I:$I,0,0)</f>
        <v>0</v>
      </c>
      <c r="CT276">
        <f t="shared" si="856"/>
        <v>0</v>
      </c>
      <c r="CU276">
        <f t="shared" si="857"/>
        <v>32060</v>
      </c>
      <c r="CV276">
        <f>_xlfn.XLOOKUP(B276,'[10]december-2026'!$A:$A,'[10]december-2026'!$C:$C,0,0)</f>
        <v>29800</v>
      </c>
      <c r="CW276">
        <f t="shared" si="858"/>
        <v>5364</v>
      </c>
      <c r="CX276">
        <f t="shared" si="859"/>
        <v>3576</v>
      </c>
      <c r="CY276">
        <f>_xlfn.XLOOKUP(B276,'[10]december-2026'!$A:$A,'[10]december-2026'!$D:$D,0,0)</f>
        <v>0</v>
      </c>
      <c r="CZ276">
        <f>_xlfn.XLOOKUP(B276,'[10]december-2026'!$A:$A,'[10]december-2026'!$G:$G,0,0)</f>
        <v>0</v>
      </c>
      <c r="DA276">
        <f t="shared" si="860"/>
        <v>38740</v>
      </c>
      <c r="DB276">
        <f>_xlfn.XLOOKUP(B276,'[10]december-2026'!$A:$A,'[10]december-2026'!$H:$H,0,0)</f>
        <v>2000</v>
      </c>
      <c r="DC276">
        <f>_xlfn.XLOOKUP(B276,'[10]december-2026'!$A:$A,'[10]december-2026'!$I:$I,0,0)</f>
        <v>0</v>
      </c>
      <c r="DD276">
        <f t="shared" si="861"/>
        <v>0</v>
      </c>
      <c r="DE276">
        <f t="shared" si="862"/>
        <v>36740</v>
      </c>
      <c r="DF276">
        <f xml:space="preserve"> _xlfn.XLOOKUP(B276,
'[11]january-2027'!$A:$A,
'[11]january-2027'!$C:$C,
0,0)</f>
        <v>26200</v>
      </c>
      <c r="DG276">
        <f t="shared" si="863"/>
        <v>4716</v>
      </c>
      <c r="DH276">
        <f t="shared" si="864"/>
        <v>3144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0</v>
      </c>
      <c r="DK276">
        <f t="shared" si="865"/>
        <v>34060</v>
      </c>
      <c r="DL276">
        <f xml:space="preserve"> _xlfn.XLOOKUP(B276,
'[11]january-2027'!$A:$A,
'[11]january-2027'!$H:$H,
0,0)</f>
        <v>2000</v>
      </c>
      <c r="DM276">
        <f xml:space="preserve"> _xlfn.XLOOKUP(B276,
'[11]january-2027'!$A:$A,
'[11]january-2027'!$I:$I,
0,0)</f>
        <v>0</v>
      </c>
      <c r="DN276">
        <f t="shared" si="866"/>
        <v>0</v>
      </c>
      <c r="DO276">
        <f t="shared" si="867"/>
        <v>32060</v>
      </c>
      <c r="DP276">
        <f xml:space="preserve"> _xlfn.XLOOKUP(B276,
'[12]february-2027'!$A:$A,
'[12]february-2027'!$C:$C,
0,0)</f>
        <v>26200</v>
      </c>
      <c r="DQ276">
        <f t="shared" si="868"/>
        <v>4716</v>
      </c>
      <c r="DR276">
        <f t="shared" si="869"/>
        <v>3144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0</v>
      </c>
      <c r="DU276">
        <f t="shared" si="870"/>
        <v>34060</v>
      </c>
      <c r="DV276">
        <f xml:space="preserve"> _xlfn.XLOOKUP(B276,
'[12]february-2027'!$A:$A,
'[12]february-2027'!$H:$H,
0,0)</f>
        <v>2000</v>
      </c>
      <c r="DW276">
        <f xml:space="preserve"> _xlfn.XLOOKUP(B276,
'[12]february-2027'!$A:$A,
'[12]february-2027'!$I:$I,
0,0)</f>
        <v>0</v>
      </c>
      <c r="DX276">
        <f t="shared" si="871"/>
        <v>0</v>
      </c>
      <c r="DY276">
        <f t="shared" si="872"/>
        <v>32060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873"/>
        <v>0</v>
      </c>
      <c r="EM276">
        <f t="shared" si="874"/>
        <v>416314</v>
      </c>
      <c r="EN276">
        <f t="shared" si="875"/>
        <v>150</v>
      </c>
      <c r="EO276">
        <f t="shared" si="876"/>
        <v>50000</v>
      </c>
      <c r="EP276">
        <v>0</v>
      </c>
      <c r="EQ276">
        <f t="shared" si="878"/>
        <v>366164</v>
      </c>
      <c r="ER276">
        <f t="shared" si="879"/>
        <v>24000</v>
      </c>
      <c r="ES276">
        <f t="shared" si="880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881"/>
        <v>24000</v>
      </c>
      <c r="FE276">
        <f t="shared" si="882"/>
        <v>24000</v>
      </c>
      <c r="FF276">
        <f t="shared" si="883"/>
        <v>342164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>SUM(FG276:FM276)+(IF(F276="YES",50000,0))</f>
        <v>50000</v>
      </c>
      <c r="FO276">
        <f t="shared" si="884"/>
        <v>292164</v>
      </c>
      <c r="FP276">
        <f t="shared" si="885"/>
        <v>2108</v>
      </c>
      <c r="FQ276">
        <f t="shared" si="886"/>
        <v>0</v>
      </c>
      <c r="FR276">
        <f t="shared" si="887"/>
        <v>2108</v>
      </c>
      <c r="FS276">
        <f t="shared" si="888"/>
        <v>0</v>
      </c>
      <c r="FT276">
        <f t="shared" si="889"/>
        <v>0</v>
      </c>
      <c r="FU276">
        <f t="shared" si="890"/>
        <v>0</v>
      </c>
      <c r="FV276">
        <v>0</v>
      </c>
      <c r="FW276">
        <f t="shared" si="891"/>
        <v>0</v>
      </c>
      <c r="FX276" t="b">
        <f t="shared" si="892"/>
        <v>0</v>
      </c>
      <c r="FY276">
        <f t="shared" ca="1" si="893"/>
        <v>2862</v>
      </c>
      <c r="FZ276">
        <f t="shared" ca="1" si="894"/>
        <v>419176</v>
      </c>
      <c r="GA276">
        <f t="shared" si="895"/>
        <v>75000</v>
      </c>
      <c r="GB276">
        <f t="shared" ca="1" si="896"/>
        <v>344176</v>
      </c>
      <c r="GC276">
        <f t="shared" ca="1" si="897"/>
        <v>0</v>
      </c>
      <c r="GD276">
        <f t="shared" ca="1" si="898"/>
        <v>0</v>
      </c>
      <c r="GE276">
        <f t="shared" ca="1" si="899"/>
        <v>0</v>
      </c>
      <c r="GF276">
        <f t="shared" ca="1" si="900"/>
        <v>0</v>
      </c>
      <c r="GG276">
        <f t="shared" ca="1" si="901"/>
        <v>0</v>
      </c>
      <c r="GH276">
        <f t="shared" ca="1" si="902"/>
        <v>0</v>
      </c>
      <c r="GI276">
        <f ca="1">IF(GB276&gt;1200000,GB276-1200000-IF(F276="YES",50000,0)-GG276,0)</f>
        <v>0</v>
      </c>
      <c r="GJ276">
        <f t="shared" ca="1" si="903"/>
        <v>0</v>
      </c>
      <c r="GK276">
        <f t="shared" ca="1" si="904"/>
        <v>0</v>
      </c>
      <c r="GL276">
        <f t="shared" ca="1" si="905"/>
        <v>0</v>
      </c>
      <c r="GM276">
        <f t="shared" ca="1" si="906"/>
        <v>0</v>
      </c>
      <c r="GN276">
        <f t="shared" ca="1" si="907"/>
        <v>0</v>
      </c>
      <c r="GO276">
        <f t="shared" ca="1" si="908"/>
        <v>0</v>
      </c>
      <c r="GP276">
        <f t="shared" ca="1" si="909"/>
        <v>0</v>
      </c>
      <c r="GQ276">
        <f t="shared" ca="1" si="910"/>
        <v>0</v>
      </c>
      <c r="GR276">
        <f t="shared" ca="1" si="911"/>
        <v>0</v>
      </c>
      <c r="GS276">
        <f t="shared" ca="1" si="912"/>
        <v>0</v>
      </c>
      <c r="GT276" t="b">
        <f t="shared" ca="1" si="913"/>
        <v>0</v>
      </c>
      <c r="GU276">
        <f t="shared" ca="1" si="914"/>
        <v>0</v>
      </c>
      <c r="GV276">
        <f t="shared" ca="1" si="915"/>
        <v>0</v>
      </c>
      <c r="GW276">
        <f t="shared" ca="1" si="916"/>
        <v>0</v>
      </c>
      <c r="GX276">
        <f t="shared" ca="1" si="917"/>
        <v>0</v>
      </c>
      <c r="GY276">
        <f t="shared" ca="1" si="918"/>
        <v>0</v>
      </c>
    </row>
    <row r="277" spans="1:207" x14ac:dyDescent="0.25">
      <c r="A277">
        <f>_xlfn.AGGREGATE(3,5,$B$2:B277)</f>
        <v>276</v>
      </c>
      <c r="B277" t="s">
        <v>640</v>
      </c>
      <c r="C277" t="s">
        <v>641</v>
      </c>
      <c r="D277" t="s">
        <v>819</v>
      </c>
      <c r="E277" t="s">
        <v>830</v>
      </c>
      <c r="F277" t="s">
        <v>952</v>
      </c>
      <c r="G277" t="s">
        <v>884</v>
      </c>
      <c r="H277">
        <f t="shared" si="813"/>
        <v>6800</v>
      </c>
      <c r="I277">
        <f>_xlfn.XLOOKUP(B277,'[1]march-2026'!$A:$A,'[1]march-2026'!$C:$C,0,0)</f>
        <v>50200</v>
      </c>
      <c r="J277">
        <f t="shared" si="877"/>
        <v>9036</v>
      </c>
      <c r="K277">
        <f t="shared" si="814"/>
        <v>6024</v>
      </c>
      <c r="L277">
        <f>_xlfn.XLOOKUP(B277,'[1]march-2026'!$A:$A,'[1]march-2026'!$D:$D,0,0)</f>
        <v>400</v>
      </c>
      <c r="M277">
        <f>_xlfn.XLOOKUP(B277,'[1]march-2026'!$A:$A,'[1]march-2026'!$G:$G,0,0)</f>
        <v>0</v>
      </c>
      <c r="N277">
        <f t="shared" si="815"/>
        <v>65660</v>
      </c>
      <c r="O277">
        <f>_xlfn.XLOOKUP(B277,'[1]march-2026'!$A:$A,'[1]march-2026'!$H:$H,0,0)</f>
        <v>5000</v>
      </c>
      <c r="P277">
        <f>_xlfn.XLOOKUP(B277,'[1]march-2026'!$A:$A,'[1]march-2026'!$I:$I,0,0)</f>
        <v>60</v>
      </c>
      <c r="Q277">
        <f t="shared" si="816"/>
        <v>200</v>
      </c>
      <c r="R277">
        <f t="shared" si="817"/>
        <v>60400</v>
      </c>
      <c r="S277">
        <f>_xlfn.XLOOKUP(B277,'[2]april-2026'!$A:$A,'[2]april-2026'!$C:$C,0,0)</f>
        <v>50200</v>
      </c>
      <c r="T277">
        <f t="shared" si="818"/>
        <v>9036</v>
      </c>
      <c r="U277">
        <f t="shared" si="819"/>
        <v>6024</v>
      </c>
      <c r="V277">
        <f>_xlfn.XLOOKUP(B277,'[2]april-2026'!$A:$A,'[2]april-2026'!$D:$D,0,0)</f>
        <v>400</v>
      </c>
      <c r="W277">
        <f>_xlfn.XLOOKUP(B277,'[2]april-2026'!$A:$A,'[2]april-2026'!$G:$G,0,0)</f>
        <v>0</v>
      </c>
      <c r="X277">
        <f t="shared" si="820"/>
        <v>65660</v>
      </c>
      <c r="Y277">
        <f>_xlfn.XLOOKUP(B277,'[2]april-2026'!$A:$A,'[2]april-2026'!$H:$H,0,0)</f>
        <v>5000</v>
      </c>
      <c r="Z277">
        <f>_xlfn.XLOOKUP(B277,'[2]april-2026'!$A:$A,'[2]april-2026'!$I:$I,0,0)</f>
        <v>60</v>
      </c>
      <c r="AA277">
        <f t="shared" si="821"/>
        <v>200</v>
      </c>
      <c r="AB277">
        <f t="shared" si="822"/>
        <v>60400</v>
      </c>
      <c r="AC277">
        <f>_xlfn.XLOOKUP(B277,'[3]may-2026'!$A:$A,'[3]may-2026'!$C:$C,0,0)</f>
        <v>50200</v>
      </c>
      <c r="AD277">
        <f t="shared" si="823"/>
        <v>9036</v>
      </c>
      <c r="AE277">
        <f t="shared" si="824"/>
        <v>6024</v>
      </c>
      <c r="AF277">
        <f>_xlfn.XLOOKUP(B277,'[3]may-2026'!$A:$A,'[3]may-2026'!$D:$D,0,0)</f>
        <v>400</v>
      </c>
      <c r="AG277">
        <f>_xlfn.XLOOKUP(B277,'[3]may-2026'!$A:$A,'[3]may-2026'!$G:$G,0,0)</f>
        <v>0</v>
      </c>
      <c r="AH277">
        <f t="shared" si="825"/>
        <v>65660</v>
      </c>
      <c r="AI277">
        <f>_xlfn.XLOOKUP(B277,'[3]may-2026'!$A:$A,'[3]may-2026'!$H:$H,0,0)</f>
        <v>5000</v>
      </c>
      <c r="AJ277">
        <f>_xlfn.XLOOKUP(B277,'[3]may-2026'!$A:$A,'[3]may-2026'!$I:$I,0,0)</f>
        <v>60</v>
      </c>
      <c r="AK277">
        <f t="shared" si="826"/>
        <v>200</v>
      </c>
      <c r="AL277">
        <f t="shared" si="827"/>
        <v>60400</v>
      </c>
      <c r="AM277">
        <f>_xlfn.XLOOKUP(B277,'[4]june-2026'!$A:$A,'[4]june-2026'!$C:$C,0,0)</f>
        <v>50200</v>
      </c>
      <c r="AN277">
        <f t="shared" si="828"/>
        <v>9036</v>
      </c>
      <c r="AO277">
        <f t="shared" si="829"/>
        <v>6024</v>
      </c>
      <c r="AP277">
        <f>_xlfn.XLOOKUP(B277,'[4]june-2026'!$A:$A,'[4]june-2026'!$D:$D,0,0)</f>
        <v>400</v>
      </c>
      <c r="AQ277">
        <f>_xlfn.XLOOKUP(B277,'[4]june-2026'!$A:$A,'[4]june-2026'!$G:$G,0,0)</f>
        <v>0</v>
      </c>
      <c r="AR277">
        <f t="shared" si="830"/>
        <v>65660</v>
      </c>
      <c r="AS277">
        <f>_xlfn.XLOOKUP(B277,'[4]june-2026'!$A:$A,'[4]june-2026'!$H:$H,0,0)</f>
        <v>5000</v>
      </c>
      <c r="AT277">
        <f>_xlfn.XLOOKUP(B277,'[4]june-2026'!$A:$A,'[4]june-2026'!$I:$I,0,0)</f>
        <v>60</v>
      </c>
      <c r="AU277">
        <f t="shared" si="831"/>
        <v>200</v>
      </c>
      <c r="AV277">
        <f t="shared" si="832"/>
        <v>60400</v>
      </c>
      <c r="AW277">
        <f>_xlfn.XLOOKUP(B277,'[5]july-2026'!$A:$A,'[5]july-2026'!$C:$C,0,0)</f>
        <v>51700</v>
      </c>
      <c r="AX277">
        <f t="shared" si="833"/>
        <v>9306</v>
      </c>
      <c r="AY277">
        <v>275</v>
      </c>
      <c r="AZ277">
        <f t="shared" si="834"/>
        <v>6204</v>
      </c>
      <c r="BA277">
        <f>_xlfn.XLOOKUP(B277,'[5]july-2026'!$A:$A,'[5]july-2026'!$D:$D,0,0)</f>
        <v>400</v>
      </c>
      <c r="BB277">
        <f>_xlfn.XLOOKUP(B277,'[5]july-2026'!$A:$A,'[5]july-2026'!$G:$G,0,0)</f>
        <v>0</v>
      </c>
      <c r="BC277">
        <f t="shared" si="835"/>
        <v>67885</v>
      </c>
      <c r="BD277">
        <f>_xlfn.XLOOKUP(B277,'[5]july-2026'!$A:$A,'[5]july-2026'!$H:$H,0,0)</f>
        <v>5000</v>
      </c>
      <c r="BE277">
        <f>_xlfn.XLOOKUP(B277,'[5]july-2026'!$A:$A,'[5]july-2026'!$I:$I,0,0)</f>
        <v>60</v>
      </c>
      <c r="BF277">
        <f t="shared" si="836"/>
        <v>200</v>
      </c>
      <c r="BG277">
        <f t="shared" si="837"/>
        <v>62625</v>
      </c>
      <c r="BH277">
        <f>_xlfn.XLOOKUP(B277,'[6]august-2026'!$A:$A,'[6]august-2026'!$C:$C,0,0)</f>
        <v>51700</v>
      </c>
      <c r="BI277">
        <f t="shared" si="838"/>
        <v>9306</v>
      </c>
      <c r="BJ277">
        <f t="shared" si="839"/>
        <v>6204</v>
      </c>
      <c r="BK277">
        <f>_xlfn.XLOOKUP(B277,'[6]august-2026'!$A:$A,'[6]august-2026'!$D:$D,0,0)</f>
        <v>400</v>
      </c>
      <c r="BL277">
        <f>_xlfn.XLOOKUP(B277,'[6]august-2026'!$A:$A,'[6]august-2026'!$G:$G,0,0)</f>
        <v>0</v>
      </c>
      <c r="BM277">
        <f t="shared" si="840"/>
        <v>67610</v>
      </c>
      <c r="BN277">
        <f>_xlfn.XLOOKUP(B277,'[6]august-2026'!$A:$A,'[6]august-2026'!$H:$H,0,0)</f>
        <v>5000</v>
      </c>
      <c r="BO277">
        <f>_xlfn.XLOOKUP(B277,'[6]august-2026'!$A:$A,'[6]august-2026'!$I:$I,0,0)</f>
        <v>60</v>
      </c>
      <c r="BP277">
        <f t="shared" si="841"/>
        <v>200</v>
      </c>
      <c r="BQ277">
        <f t="shared" si="842"/>
        <v>62350</v>
      </c>
      <c r="BR277">
        <f>_xlfn.XLOOKUP(B277,'[7]september-2026'!$A:$A,'[7]september-2026'!$C:$C,0,0)</f>
        <v>51700</v>
      </c>
      <c r="BS277">
        <f t="shared" si="843"/>
        <v>9306</v>
      </c>
      <c r="BT277">
        <f t="shared" si="844"/>
        <v>6204</v>
      </c>
      <c r="BU277">
        <f>_xlfn.XLOOKUP(B277,'[7]september-2026'!$A:$A,'[7]september-2026'!$D:$D,0,0)</f>
        <v>400</v>
      </c>
      <c r="BV277">
        <f>_xlfn.XLOOKUP(B277,'[7]september-2026'!$A:$A,'[7]september-2026'!$G:$G,0,0)</f>
        <v>0</v>
      </c>
      <c r="BW277">
        <f t="shared" si="845"/>
        <v>67610</v>
      </c>
      <c r="BX277">
        <f>_xlfn.XLOOKUP(B277,'[7]september-2026'!$A:$A,'[7]september-2026'!$H:$H,0,0)</f>
        <v>5000</v>
      </c>
      <c r="BY277">
        <f>_xlfn.XLOOKUP(B277,'[7]september-2026'!$A:$A,'[7]september-2026'!$I:$I,0,0)</f>
        <v>60</v>
      </c>
      <c r="BZ277">
        <f t="shared" si="846"/>
        <v>200</v>
      </c>
      <c r="CA277">
        <f t="shared" si="847"/>
        <v>62350</v>
      </c>
      <c r="CB277">
        <f>_xlfn.XLOOKUP(B277,'[8]october-2026'!$A:$A,'[8]october-2026'!$C:$C,0,0)</f>
        <v>51700</v>
      </c>
      <c r="CC277">
        <f t="shared" si="848"/>
        <v>9306</v>
      </c>
      <c r="CD277">
        <f t="shared" si="849"/>
        <v>6204</v>
      </c>
      <c r="CE277">
        <f>_xlfn.XLOOKUP(B277,'[8]october-2026'!$A:$A,'[8]october-2026'!$D:$D,0,0)</f>
        <v>400</v>
      </c>
      <c r="CF277">
        <f>_xlfn.XLOOKUP(B277,'[8]october-2026'!$A:$A,'[8]october-2026'!$G:$G,0,0)</f>
        <v>0</v>
      </c>
      <c r="CG277">
        <f t="shared" si="850"/>
        <v>67610</v>
      </c>
      <c r="CH277">
        <f>_xlfn.XLOOKUP(B277,'[8]october-2026'!$A:$A,'[8]october-2026'!$H:$H,0,0)</f>
        <v>5000</v>
      </c>
      <c r="CI277">
        <f>_xlfn.XLOOKUP(B277,'[8]october-2026'!$A:$A,'[8]october-2026'!$I:$I,0,0)</f>
        <v>60</v>
      </c>
      <c r="CJ277">
        <f t="shared" si="851"/>
        <v>200</v>
      </c>
      <c r="CK277">
        <f t="shared" si="852"/>
        <v>62350</v>
      </c>
      <c r="CL277">
        <f>_xlfn.XLOOKUP(B277,'[9]november-2026'!$A:$A,'[9]november-2026'!$C:$C,0,0)</f>
        <v>51700</v>
      </c>
      <c r="CM277">
        <f t="shared" si="853"/>
        <v>9306</v>
      </c>
      <c r="CN277">
        <f t="shared" si="854"/>
        <v>6204</v>
      </c>
      <c r="CO277">
        <f>_xlfn.XLOOKUP(B277,'[9]november-2026'!$A:$A,'[9]november-2026'!$D:$D,0,0)</f>
        <v>400</v>
      </c>
      <c r="CP277">
        <f>_xlfn.XLOOKUP(B277,'[9]november-2026'!$A:$A,'[9]november-2026'!$G:$G,0,0)</f>
        <v>0</v>
      </c>
      <c r="CQ277">
        <f t="shared" si="855"/>
        <v>67610</v>
      </c>
      <c r="CR277">
        <f>_xlfn.XLOOKUP(B277,'[9]november-2026'!$A:$A,'[9]november-2026'!$H:$H,0,0)</f>
        <v>5000</v>
      </c>
      <c r="CS277">
        <f>_xlfn.XLOOKUP(B277,'[9]november-2026'!$A:$A,'[9]november-2026'!$I:$I,0,0)</f>
        <v>60</v>
      </c>
      <c r="CT277">
        <f t="shared" si="856"/>
        <v>200</v>
      </c>
      <c r="CU277">
        <f t="shared" si="857"/>
        <v>62350</v>
      </c>
      <c r="CV277">
        <f>_xlfn.XLOOKUP(B277,'[10]december-2026'!$A:$A,'[10]december-2026'!$C:$C,0,0)</f>
        <v>51700</v>
      </c>
      <c r="CW277">
        <f t="shared" si="858"/>
        <v>9306</v>
      </c>
      <c r="CX277">
        <f t="shared" si="859"/>
        <v>6204</v>
      </c>
      <c r="CY277">
        <f>_xlfn.XLOOKUP(B277,'[10]december-2026'!$A:$A,'[10]december-2026'!$D:$D,0,0)</f>
        <v>400</v>
      </c>
      <c r="CZ277">
        <f>_xlfn.XLOOKUP(B277,'[10]december-2026'!$A:$A,'[10]december-2026'!$G:$G,0,0)</f>
        <v>0</v>
      </c>
      <c r="DA277">
        <f t="shared" si="860"/>
        <v>67610</v>
      </c>
      <c r="DB277">
        <f>_xlfn.XLOOKUP(B277,'[10]december-2026'!$A:$A,'[10]december-2026'!$H:$H,0,0)</f>
        <v>5000</v>
      </c>
      <c r="DC277">
        <f>_xlfn.XLOOKUP(B277,'[10]december-2026'!$A:$A,'[10]december-2026'!$I:$I,0,0)</f>
        <v>60</v>
      </c>
      <c r="DD277">
        <f t="shared" si="861"/>
        <v>200</v>
      </c>
      <c r="DE277">
        <f t="shared" si="862"/>
        <v>62350</v>
      </c>
      <c r="DF277">
        <f xml:space="preserve"> _xlfn.XLOOKUP(B277,
'[11]january-2027'!$A:$A,
'[11]january-2027'!$C:$C,
0,0)</f>
        <v>51700</v>
      </c>
      <c r="DG277">
        <f t="shared" si="863"/>
        <v>9306</v>
      </c>
      <c r="DH277">
        <f t="shared" si="864"/>
        <v>6204</v>
      </c>
      <c r="DI277">
        <f xml:space="preserve"> _xlfn.XLOOKUP(B277,
'[11]january-2027'!$A:$A,
'[11]january-2027'!$D:$D,
0,0)</f>
        <v>400</v>
      </c>
      <c r="DJ277">
        <f xml:space="preserve"> _xlfn.XLOOKUP(B277,
'[11]january-2027'!$A:$A,
'[11]january-2027'!$G:$G,
0,0)</f>
        <v>0</v>
      </c>
      <c r="DK277">
        <f t="shared" si="865"/>
        <v>67610</v>
      </c>
      <c r="DL277">
        <f xml:space="preserve"> _xlfn.XLOOKUP(B277,
'[11]january-2027'!$A:$A,
'[11]january-2027'!$H:$H,
0,0)</f>
        <v>5000</v>
      </c>
      <c r="DM277">
        <f xml:space="preserve"> _xlfn.XLOOKUP(B277,
'[11]january-2027'!$A:$A,
'[11]january-2027'!$I:$I,
0,0)</f>
        <v>60</v>
      </c>
      <c r="DN277">
        <f t="shared" si="866"/>
        <v>200</v>
      </c>
      <c r="DO277">
        <f t="shared" si="867"/>
        <v>62350</v>
      </c>
      <c r="DP277">
        <f xml:space="preserve"> _xlfn.XLOOKUP(B277,
'[12]february-2027'!$A:$A,
'[12]february-2027'!$C:$C,
0,0)</f>
        <v>51700</v>
      </c>
      <c r="DQ277">
        <f t="shared" si="868"/>
        <v>9306</v>
      </c>
      <c r="DR277">
        <f t="shared" si="869"/>
        <v>6204</v>
      </c>
      <c r="DS277">
        <f xml:space="preserve"> _xlfn.XLOOKUP(B277,
'[12]february-2027'!$A:$A,
'[12]february-2027'!$D:$D,
0,0)</f>
        <v>400</v>
      </c>
      <c r="DT277">
        <f xml:space="preserve"> _xlfn.XLOOKUP(B277,
'[12]february-2027'!$A:$A,
'[12]february-2027'!$G:$G,
0,0)</f>
        <v>0</v>
      </c>
      <c r="DU277">
        <f t="shared" si="870"/>
        <v>67610</v>
      </c>
      <c r="DV277">
        <f xml:space="preserve"> _xlfn.XLOOKUP(B277,
'[12]february-2027'!$A:$A,
'[12]february-2027'!$H:$H,
0,0)</f>
        <v>5000</v>
      </c>
      <c r="DW277">
        <f xml:space="preserve"> _xlfn.XLOOKUP(B277,
'[12]february-2027'!$A:$A,
'[12]february-2027'!$I:$I,
0,0)</f>
        <v>60</v>
      </c>
      <c r="DX277">
        <f t="shared" si="871"/>
        <v>200</v>
      </c>
      <c r="DY277">
        <f t="shared" si="872"/>
        <v>62350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873"/>
        <v>0</v>
      </c>
      <c r="EM277">
        <f t="shared" si="874"/>
        <v>810595</v>
      </c>
      <c r="EN277">
        <f t="shared" si="875"/>
        <v>2400</v>
      </c>
      <c r="EO277">
        <f t="shared" si="876"/>
        <v>50000</v>
      </c>
      <c r="EP277">
        <v>0</v>
      </c>
      <c r="EQ277">
        <f t="shared" si="878"/>
        <v>758195</v>
      </c>
      <c r="ER277">
        <f t="shared" si="879"/>
        <v>60000</v>
      </c>
      <c r="ES277">
        <f t="shared" si="880"/>
        <v>720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881"/>
        <v>60720</v>
      </c>
      <c r="FE277">
        <f t="shared" si="882"/>
        <v>60720</v>
      </c>
      <c r="FF277">
        <f t="shared" si="883"/>
        <v>697475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>SUM(FG277:FM277)+(IF(F277="YES",50000,0))</f>
        <v>0</v>
      </c>
      <c r="FO277">
        <f t="shared" si="884"/>
        <v>697475</v>
      </c>
      <c r="FP277">
        <f t="shared" si="885"/>
        <v>12500</v>
      </c>
      <c r="FQ277">
        <f t="shared" si="886"/>
        <v>39495</v>
      </c>
      <c r="FR277">
        <f t="shared" si="887"/>
        <v>51995</v>
      </c>
      <c r="FS277">
        <f t="shared" si="888"/>
        <v>51995</v>
      </c>
      <c r="FT277">
        <f t="shared" si="889"/>
        <v>2079.8000000000002</v>
      </c>
      <c r="FU277">
        <f t="shared" si="890"/>
        <v>54075</v>
      </c>
      <c r="FV277">
        <v>0</v>
      </c>
      <c r="FW277">
        <f t="shared" si="891"/>
        <v>54075</v>
      </c>
      <c r="FX277" t="b">
        <f t="shared" si="892"/>
        <v>1</v>
      </c>
      <c r="FY277">
        <f t="shared" ca="1" si="893"/>
        <v>972</v>
      </c>
      <c r="FZ277">
        <f t="shared" ca="1" si="894"/>
        <v>811567</v>
      </c>
      <c r="GA277">
        <f t="shared" si="895"/>
        <v>75000</v>
      </c>
      <c r="GB277">
        <f t="shared" ca="1" si="896"/>
        <v>736567</v>
      </c>
      <c r="GC277">
        <f t="shared" ca="1" si="897"/>
        <v>0</v>
      </c>
      <c r="GD277">
        <f t="shared" ca="1" si="898"/>
        <v>0</v>
      </c>
      <c r="GE277">
        <f t="shared" ca="1" si="899"/>
        <v>0</v>
      </c>
      <c r="GF277">
        <f t="shared" ca="1" si="900"/>
        <v>0</v>
      </c>
      <c r="GG277">
        <f t="shared" ca="1" si="901"/>
        <v>0</v>
      </c>
      <c r="GH277">
        <f t="shared" ca="1" si="902"/>
        <v>0</v>
      </c>
      <c r="GI277">
        <f ca="1">IF(GB277&gt;1200000,GB277-1200000-IF(F277="YES",50000,0)-GG277,0)</f>
        <v>0</v>
      </c>
      <c r="GJ277">
        <f t="shared" ca="1" si="903"/>
        <v>0</v>
      </c>
      <c r="GK277">
        <f t="shared" ca="1" si="904"/>
        <v>0</v>
      </c>
      <c r="GL277">
        <f t="shared" ca="1" si="905"/>
        <v>0</v>
      </c>
      <c r="GM277">
        <f t="shared" ca="1" si="906"/>
        <v>336567</v>
      </c>
      <c r="GN277">
        <f t="shared" ca="1" si="907"/>
        <v>16828.350000000002</v>
      </c>
      <c r="GO277">
        <f t="shared" ca="1" si="908"/>
        <v>16828</v>
      </c>
      <c r="GP277">
        <f t="shared" ca="1" si="909"/>
        <v>0</v>
      </c>
      <c r="GQ277">
        <f t="shared" ca="1" si="910"/>
        <v>0</v>
      </c>
      <c r="GR277">
        <f t="shared" ca="1" si="911"/>
        <v>16828</v>
      </c>
      <c r="GS277">
        <f t="shared" ca="1" si="912"/>
        <v>0</v>
      </c>
      <c r="GT277" t="b">
        <f t="shared" ca="1" si="913"/>
        <v>0</v>
      </c>
      <c r="GU277">
        <f t="shared" ca="1" si="914"/>
        <v>0</v>
      </c>
      <c r="GV277">
        <f t="shared" ca="1" si="915"/>
        <v>16828</v>
      </c>
      <c r="GW277">
        <f t="shared" ca="1" si="916"/>
        <v>0</v>
      </c>
      <c r="GX277">
        <f t="shared" ca="1" si="917"/>
        <v>0</v>
      </c>
      <c r="GY277">
        <f t="shared" ca="1" si="918"/>
        <v>0</v>
      </c>
    </row>
    <row r="278" spans="1:207" x14ac:dyDescent="0.25">
      <c r="A278">
        <f>_xlfn.AGGREGATE(3,5,$B$2:B278)</f>
        <v>277</v>
      </c>
      <c r="B278" t="s">
        <v>642</v>
      </c>
      <c r="C278" t="s">
        <v>643</v>
      </c>
      <c r="D278" t="s">
        <v>819</v>
      </c>
      <c r="E278" t="s">
        <v>830</v>
      </c>
      <c r="F278" t="s">
        <v>952</v>
      </c>
      <c r="G278" t="s">
        <v>879</v>
      </c>
      <c r="H278">
        <f t="shared" si="813"/>
        <v>6800</v>
      </c>
      <c r="I278">
        <f>_xlfn.XLOOKUP(B278,'[1]march-2026'!$A:$A,'[1]march-2026'!$C:$C,0,0)</f>
        <v>48700</v>
      </c>
      <c r="J278">
        <f t="shared" si="877"/>
        <v>8766</v>
      </c>
      <c r="K278">
        <f t="shared" si="814"/>
        <v>5844</v>
      </c>
      <c r="L278">
        <f>_xlfn.XLOOKUP(B278,'[1]march-2026'!$A:$A,'[1]march-2026'!$D:$D,0,0)</f>
        <v>0</v>
      </c>
      <c r="M278">
        <f>_xlfn.XLOOKUP(B278,'[1]march-2026'!$A:$A,'[1]march-2026'!$G:$G,0,0)</f>
        <v>500</v>
      </c>
      <c r="N278">
        <f t="shared" si="815"/>
        <v>63810</v>
      </c>
      <c r="O278">
        <f>_xlfn.XLOOKUP(B278,'[1]march-2026'!$A:$A,'[1]march-2026'!$H:$H,0,0)</f>
        <v>0</v>
      </c>
      <c r="P278">
        <f>_xlfn.XLOOKUP(B278,'[1]march-2026'!$A:$A,'[1]march-2026'!$I:$I,0,0)</f>
        <v>0</v>
      </c>
      <c r="Q278">
        <f t="shared" si="816"/>
        <v>200</v>
      </c>
      <c r="R278">
        <f t="shared" si="817"/>
        <v>63610</v>
      </c>
      <c r="S278">
        <f>_xlfn.XLOOKUP(B278,'[2]april-2026'!$A:$A,'[2]april-2026'!$C:$C,0,0)</f>
        <v>48700</v>
      </c>
      <c r="T278">
        <f t="shared" si="818"/>
        <v>8766</v>
      </c>
      <c r="U278">
        <f t="shared" si="819"/>
        <v>5844</v>
      </c>
      <c r="V278">
        <f>_xlfn.XLOOKUP(B278,'[2]april-2026'!$A:$A,'[2]april-2026'!$D:$D,0,0)</f>
        <v>0</v>
      </c>
      <c r="W278">
        <f>_xlfn.XLOOKUP(B278,'[2]april-2026'!$A:$A,'[2]april-2026'!$G:$G,0,0)</f>
        <v>500</v>
      </c>
      <c r="X278">
        <f t="shared" si="820"/>
        <v>63810</v>
      </c>
      <c r="Y278">
        <f>_xlfn.XLOOKUP(B278,'[2]april-2026'!$A:$A,'[2]april-2026'!$H:$H,0,0)</f>
        <v>0</v>
      </c>
      <c r="Z278">
        <f>_xlfn.XLOOKUP(B278,'[2]april-2026'!$A:$A,'[2]april-2026'!$I:$I,0,0)</f>
        <v>0</v>
      </c>
      <c r="AA278">
        <f t="shared" si="821"/>
        <v>200</v>
      </c>
      <c r="AB278">
        <f t="shared" si="822"/>
        <v>63610</v>
      </c>
      <c r="AC278">
        <f>_xlfn.XLOOKUP(B278,'[3]may-2026'!$A:$A,'[3]may-2026'!$C:$C,0,0)</f>
        <v>48700</v>
      </c>
      <c r="AD278">
        <f t="shared" si="823"/>
        <v>8766</v>
      </c>
      <c r="AE278">
        <f t="shared" si="824"/>
        <v>5844</v>
      </c>
      <c r="AF278">
        <f>_xlfn.XLOOKUP(B278,'[3]may-2026'!$A:$A,'[3]may-2026'!$D:$D,0,0)</f>
        <v>0</v>
      </c>
      <c r="AG278">
        <f>_xlfn.XLOOKUP(B278,'[3]may-2026'!$A:$A,'[3]may-2026'!$G:$G,0,0)</f>
        <v>500</v>
      </c>
      <c r="AH278">
        <f t="shared" si="825"/>
        <v>63810</v>
      </c>
      <c r="AI278">
        <f>_xlfn.XLOOKUP(B278,'[3]may-2026'!$A:$A,'[3]may-2026'!$H:$H,0,0)</f>
        <v>0</v>
      </c>
      <c r="AJ278">
        <f>_xlfn.XLOOKUP(B278,'[3]may-2026'!$A:$A,'[3]may-2026'!$I:$I,0,0)</f>
        <v>0</v>
      </c>
      <c r="AK278">
        <f t="shared" si="826"/>
        <v>200</v>
      </c>
      <c r="AL278">
        <f t="shared" si="827"/>
        <v>63610</v>
      </c>
      <c r="AM278">
        <f>_xlfn.XLOOKUP(B278,'[4]june-2026'!$A:$A,'[4]june-2026'!$C:$C,0,0)</f>
        <v>48700</v>
      </c>
      <c r="AN278">
        <f t="shared" si="828"/>
        <v>8766</v>
      </c>
      <c r="AO278">
        <f t="shared" si="829"/>
        <v>5844</v>
      </c>
      <c r="AP278">
        <f>_xlfn.XLOOKUP(B278,'[4]june-2026'!$A:$A,'[4]june-2026'!$D:$D,0,0)</f>
        <v>0</v>
      </c>
      <c r="AQ278">
        <f>_xlfn.XLOOKUP(B278,'[4]june-2026'!$A:$A,'[4]june-2026'!$G:$G,0,0)</f>
        <v>500</v>
      </c>
      <c r="AR278">
        <f t="shared" si="830"/>
        <v>63810</v>
      </c>
      <c r="AS278">
        <f>_xlfn.XLOOKUP(B278,'[4]june-2026'!$A:$A,'[4]june-2026'!$H:$H,0,0)</f>
        <v>0</v>
      </c>
      <c r="AT278">
        <f>_xlfn.XLOOKUP(B278,'[4]june-2026'!$A:$A,'[4]june-2026'!$I:$I,0,0)</f>
        <v>0</v>
      </c>
      <c r="AU278">
        <f t="shared" si="831"/>
        <v>200</v>
      </c>
      <c r="AV278">
        <f t="shared" si="832"/>
        <v>63610</v>
      </c>
      <c r="AW278">
        <f>_xlfn.XLOOKUP(B278,'[5]july-2026'!$A:$A,'[5]july-2026'!$C:$C,0,0)</f>
        <v>50200</v>
      </c>
      <c r="AX278">
        <f t="shared" si="833"/>
        <v>9036</v>
      </c>
      <c r="AY278">
        <v>276</v>
      </c>
      <c r="AZ278">
        <f t="shared" si="834"/>
        <v>6024</v>
      </c>
      <c r="BA278">
        <f>_xlfn.XLOOKUP(B278,'[5]july-2026'!$A:$A,'[5]july-2026'!$D:$D,0,0)</f>
        <v>0</v>
      </c>
      <c r="BB278">
        <f>_xlfn.XLOOKUP(B278,'[5]july-2026'!$A:$A,'[5]july-2026'!$G:$G,0,0)</f>
        <v>500</v>
      </c>
      <c r="BC278">
        <f t="shared" si="835"/>
        <v>66036</v>
      </c>
      <c r="BD278">
        <f>_xlfn.XLOOKUP(B278,'[5]july-2026'!$A:$A,'[5]july-2026'!$H:$H,0,0)</f>
        <v>0</v>
      </c>
      <c r="BE278">
        <f>_xlfn.XLOOKUP(B278,'[5]july-2026'!$A:$A,'[5]july-2026'!$I:$I,0,0)</f>
        <v>0</v>
      </c>
      <c r="BF278">
        <f t="shared" si="836"/>
        <v>200</v>
      </c>
      <c r="BG278">
        <f t="shared" si="837"/>
        <v>65836</v>
      </c>
      <c r="BH278">
        <f>_xlfn.XLOOKUP(B278,'[6]august-2026'!$A:$A,'[6]august-2026'!$C:$C,0,0)</f>
        <v>50200</v>
      </c>
      <c r="BI278">
        <f t="shared" si="838"/>
        <v>9036</v>
      </c>
      <c r="BJ278">
        <f t="shared" si="839"/>
        <v>6024</v>
      </c>
      <c r="BK278">
        <f>_xlfn.XLOOKUP(B278,'[6]august-2026'!$A:$A,'[6]august-2026'!$D:$D,0,0)</f>
        <v>0</v>
      </c>
      <c r="BL278">
        <f>_xlfn.XLOOKUP(B278,'[6]august-2026'!$A:$A,'[6]august-2026'!$G:$G,0,0)</f>
        <v>500</v>
      </c>
      <c r="BM278">
        <f t="shared" si="840"/>
        <v>65760</v>
      </c>
      <c r="BN278">
        <f>_xlfn.XLOOKUP(B278,'[6]august-2026'!$A:$A,'[6]august-2026'!$H:$H,0,0)</f>
        <v>0</v>
      </c>
      <c r="BO278">
        <f>_xlfn.XLOOKUP(B278,'[6]august-2026'!$A:$A,'[6]august-2026'!$I:$I,0,0)</f>
        <v>0</v>
      </c>
      <c r="BP278">
        <f t="shared" si="841"/>
        <v>200</v>
      </c>
      <c r="BQ278">
        <f t="shared" si="842"/>
        <v>65560</v>
      </c>
      <c r="BR278">
        <f>_xlfn.XLOOKUP(B278,'[7]september-2026'!$A:$A,'[7]september-2026'!$C:$C,0,0)</f>
        <v>50200</v>
      </c>
      <c r="BS278">
        <f t="shared" si="843"/>
        <v>9036</v>
      </c>
      <c r="BT278">
        <f t="shared" si="844"/>
        <v>6024</v>
      </c>
      <c r="BU278">
        <f>_xlfn.XLOOKUP(B278,'[7]september-2026'!$A:$A,'[7]september-2026'!$D:$D,0,0)</f>
        <v>0</v>
      </c>
      <c r="BV278">
        <f>_xlfn.XLOOKUP(B278,'[7]september-2026'!$A:$A,'[7]september-2026'!$G:$G,0,0)</f>
        <v>500</v>
      </c>
      <c r="BW278">
        <f t="shared" si="845"/>
        <v>65760</v>
      </c>
      <c r="BX278">
        <f>_xlfn.XLOOKUP(B278,'[7]september-2026'!$A:$A,'[7]september-2026'!$H:$H,0,0)</f>
        <v>0</v>
      </c>
      <c r="BY278">
        <f>_xlfn.XLOOKUP(B278,'[7]september-2026'!$A:$A,'[7]september-2026'!$I:$I,0,0)</f>
        <v>0</v>
      </c>
      <c r="BZ278">
        <f t="shared" si="846"/>
        <v>200</v>
      </c>
      <c r="CA278">
        <f t="shared" si="847"/>
        <v>65560</v>
      </c>
      <c r="CB278">
        <f>_xlfn.XLOOKUP(B278,'[8]october-2026'!$A:$A,'[8]october-2026'!$C:$C,0,0)</f>
        <v>50200</v>
      </c>
      <c r="CC278">
        <f t="shared" si="848"/>
        <v>9036</v>
      </c>
      <c r="CD278">
        <f t="shared" si="849"/>
        <v>6024</v>
      </c>
      <c r="CE278">
        <f>_xlfn.XLOOKUP(B278,'[8]october-2026'!$A:$A,'[8]october-2026'!$D:$D,0,0)</f>
        <v>0</v>
      </c>
      <c r="CF278">
        <f>_xlfn.XLOOKUP(B278,'[8]october-2026'!$A:$A,'[8]october-2026'!$G:$G,0,0)</f>
        <v>500</v>
      </c>
      <c r="CG278">
        <f t="shared" si="850"/>
        <v>65760</v>
      </c>
      <c r="CH278">
        <f>_xlfn.XLOOKUP(B278,'[8]october-2026'!$A:$A,'[8]october-2026'!$H:$H,0,0)</f>
        <v>0</v>
      </c>
      <c r="CI278">
        <f>_xlfn.XLOOKUP(B278,'[8]october-2026'!$A:$A,'[8]october-2026'!$I:$I,0,0)</f>
        <v>0</v>
      </c>
      <c r="CJ278">
        <f t="shared" si="851"/>
        <v>200</v>
      </c>
      <c r="CK278">
        <f t="shared" si="852"/>
        <v>65560</v>
      </c>
      <c r="CL278">
        <f>_xlfn.XLOOKUP(B278,'[9]november-2026'!$A:$A,'[9]november-2026'!$C:$C,0,0)</f>
        <v>50200</v>
      </c>
      <c r="CM278">
        <f t="shared" si="853"/>
        <v>9036</v>
      </c>
      <c r="CN278">
        <f t="shared" si="854"/>
        <v>6024</v>
      </c>
      <c r="CO278">
        <f>_xlfn.XLOOKUP(B278,'[9]november-2026'!$A:$A,'[9]november-2026'!$D:$D,0,0)</f>
        <v>0</v>
      </c>
      <c r="CP278">
        <f>_xlfn.XLOOKUP(B278,'[9]november-2026'!$A:$A,'[9]november-2026'!$G:$G,0,0)</f>
        <v>500</v>
      </c>
      <c r="CQ278">
        <f t="shared" si="855"/>
        <v>65760</v>
      </c>
      <c r="CR278">
        <f>_xlfn.XLOOKUP(B278,'[9]november-2026'!$A:$A,'[9]november-2026'!$H:$H,0,0)</f>
        <v>0</v>
      </c>
      <c r="CS278">
        <f>_xlfn.XLOOKUP(B278,'[9]november-2026'!$A:$A,'[9]november-2026'!$I:$I,0,0)</f>
        <v>0</v>
      </c>
      <c r="CT278">
        <f t="shared" si="856"/>
        <v>200</v>
      </c>
      <c r="CU278">
        <f t="shared" si="857"/>
        <v>65560</v>
      </c>
      <c r="CV278">
        <f>_xlfn.XLOOKUP(B278,'[10]december-2026'!$A:$A,'[10]december-2026'!$C:$C,0,0)</f>
        <v>50200</v>
      </c>
      <c r="CW278">
        <f t="shared" si="858"/>
        <v>9036</v>
      </c>
      <c r="CX278">
        <f t="shared" si="859"/>
        <v>6024</v>
      </c>
      <c r="CY278">
        <f>_xlfn.XLOOKUP(B278,'[10]december-2026'!$A:$A,'[10]december-2026'!$D:$D,0,0)</f>
        <v>0</v>
      </c>
      <c r="CZ278">
        <f>_xlfn.XLOOKUP(B278,'[10]december-2026'!$A:$A,'[10]december-2026'!$G:$G,0,0)</f>
        <v>500</v>
      </c>
      <c r="DA278">
        <f t="shared" si="860"/>
        <v>65760</v>
      </c>
      <c r="DB278">
        <f>_xlfn.XLOOKUP(B278,'[10]december-2026'!$A:$A,'[10]december-2026'!$H:$H,0,0)</f>
        <v>0</v>
      </c>
      <c r="DC278">
        <f>_xlfn.XLOOKUP(B278,'[10]december-2026'!$A:$A,'[10]december-2026'!$I:$I,0,0)</f>
        <v>0</v>
      </c>
      <c r="DD278">
        <f t="shared" si="861"/>
        <v>200</v>
      </c>
      <c r="DE278">
        <f t="shared" si="862"/>
        <v>65560</v>
      </c>
      <c r="DF278">
        <f xml:space="preserve"> _xlfn.XLOOKUP(B278,
'[11]january-2027'!$A:$A,
'[11]january-2027'!$C:$C,
0,0)</f>
        <v>50200</v>
      </c>
      <c r="DG278">
        <f t="shared" si="863"/>
        <v>9036</v>
      </c>
      <c r="DH278">
        <f t="shared" si="864"/>
        <v>6024</v>
      </c>
      <c r="DI278">
        <f xml:space="preserve"> _xlfn.XLOOKUP(B278,
'[11]january-2027'!$A:$A,
'[11]january-2027'!$D:$D,
0,0)</f>
        <v>0</v>
      </c>
      <c r="DJ278">
        <f xml:space="preserve"> _xlfn.XLOOKUP(B278,
'[11]january-2027'!$A:$A,
'[11]january-2027'!$G:$G,
0,0)</f>
        <v>500</v>
      </c>
      <c r="DK278">
        <f t="shared" si="865"/>
        <v>65760</v>
      </c>
      <c r="DL278">
        <f xml:space="preserve"> _xlfn.XLOOKUP(B278,
'[11]january-2027'!$A:$A,
'[11]january-2027'!$H:$H,
0,0)</f>
        <v>0</v>
      </c>
      <c r="DM278">
        <f xml:space="preserve"> _xlfn.XLOOKUP(B278,
'[11]january-2027'!$A:$A,
'[11]january-2027'!$I:$I,
0,0)</f>
        <v>0</v>
      </c>
      <c r="DN278">
        <f t="shared" si="866"/>
        <v>200</v>
      </c>
      <c r="DO278">
        <f t="shared" si="867"/>
        <v>65560</v>
      </c>
      <c r="DP278">
        <f xml:space="preserve"> _xlfn.XLOOKUP(B278,
'[12]february-2027'!$A:$A,
'[12]february-2027'!$C:$C,
0,0)</f>
        <v>50200</v>
      </c>
      <c r="DQ278">
        <f t="shared" si="868"/>
        <v>9036</v>
      </c>
      <c r="DR278">
        <f t="shared" si="869"/>
        <v>6024</v>
      </c>
      <c r="DS278">
        <f xml:space="preserve"> _xlfn.XLOOKUP(B278,
'[12]february-2027'!$A:$A,
'[12]february-2027'!$D:$D,
0,0)</f>
        <v>0</v>
      </c>
      <c r="DT278">
        <f xml:space="preserve"> _xlfn.XLOOKUP(B278,
'[12]february-2027'!$A:$A,
'[12]february-2027'!$G:$G,
0,0)</f>
        <v>500</v>
      </c>
      <c r="DU278">
        <f t="shared" si="870"/>
        <v>65760</v>
      </c>
      <c r="DV278">
        <f xml:space="preserve"> _xlfn.XLOOKUP(B278,
'[12]february-2027'!$A:$A,
'[12]february-2027'!$H:$H,
0,0)</f>
        <v>0</v>
      </c>
      <c r="DW278">
        <f xml:space="preserve"> _xlfn.XLOOKUP(B278,
'[12]february-2027'!$A:$A,
'[12]february-2027'!$I:$I,
0,0)</f>
        <v>0</v>
      </c>
      <c r="DX278">
        <f t="shared" si="871"/>
        <v>200</v>
      </c>
      <c r="DY278">
        <f t="shared" si="872"/>
        <v>65560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873"/>
        <v>0</v>
      </c>
      <c r="EM278">
        <f t="shared" si="874"/>
        <v>788396</v>
      </c>
      <c r="EN278">
        <f t="shared" si="875"/>
        <v>2400</v>
      </c>
      <c r="EO278">
        <f t="shared" si="876"/>
        <v>50000</v>
      </c>
      <c r="EP278">
        <v>0</v>
      </c>
      <c r="EQ278">
        <f t="shared" si="878"/>
        <v>735996</v>
      </c>
      <c r="ER278">
        <f t="shared" si="879"/>
        <v>0</v>
      </c>
      <c r="ES278">
        <f t="shared" si="880"/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881"/>
        <v>0</v>
      </c>
      <c r="FE278">
        <f t="shared" si="882"/>
        <v>0</v>
      </c>
      <c r="FF278">
        <f t="shared" si="883"/>
        <v>735996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>SUM(FG278:FM278)+(IF(F278="YES",50000,0))</f>
        <v>0</v>
      </c>
      <c r="FO278">
        <f t="shared" si="884"/>
        <v>735996</v>
      </c>
      <c r="FP278">
        <f t="shared" si="885"/>
        <v>12500</v>
      </c>
      <c r="FQ278">
        <f t="shared" si="886"/>
        <v>47199</v>
      </c>
      <c r="FR278">
        <f t="shared" si="887"/>
        <v>59699</v>
      </c>
      <c r="FS278">
        <f t="shared" si="888"/>
        <v>59699</v>
      </c>
      <c r="FT278">
        <f t="shared" si="889"/>
        <v>2387.96</v>
      </c>
      <c r="FU278">
        <f t="shared" si="890"/>
        <v>62087</v>
      </c>
      <c r="FV278">
        <v>0</v>
      </c>
      <c r="FW278">
        <f t="shared" si="891"/>
        <v>62087</v>
      </c>
      <c r="FX278" t="b">
        <f t="shared" si="892"/>
        <v>1</v>
      </c>
      <c r="FY278">
        <f t="shared" ca="1" si="893"/>
        <v>627</v>
      </c>
      <c r="FZ278">
        <f t="shared" ca="1" si="894"/>
        <v>789023</v>
      </c>
      <c r="GA278">
        <f t="shared" si="895"/>
        <v>75000</v>
      </c>
      <c r="GB278">
        <f t="shared" ca="1" si="896"/>
        <v>714023</v>
      </c>
      <c r="GC278">
        <f t="shared" ca="1" si="897"/>
        <v>0</v>
      </c>
      <c r="GD278">
        <f t="shared" ca="1" si="898"/>
        <v>0</v>
      </c>
      <c r="GE278">
        <f t="shared" ca="1" si="899"/>
        <v>0</v>
      </c>
      <c r="GF278">
        <f t="shared" ca="1" si="900"/>
        <v>0</v>
      </c>
      <c r="GG278">
        <f t="shared" ca="1" si="901"/>
        <v>0</v>
      </c>
      <c r="GH278">
        <f t="shared" ca="1" si="902"/>
        <v>0</v>
      </c>
      <c r="GI278">
        <f ca="1">IF(GB278&gt;1200000,GB278-1200000-IF(F278="YES",50000,0)-GG278,0)</f>
        <v>0</v>
      </c>
      <c r="GJ278">
        <f t="shared" ca="1" si="903"/>
        <v>0</v>
      </c>
      <c r="GK278">
        <f t="shared" ca="1" si="904"/>
        <v>0</v>
      </c>
      <c r="GL278">
        <f t="shared" ca="1" si="905"/>
        <v>0</v>
      </c>
      <c r="GM278">
        <f t="shared" ca="1" si="906"/>
        <v>314023</v>
      </c>
      <c r="GN278">
        <f t="shared" ca="1" si="907"/>
        <v>15701.150000000001</v>
      </c>
      <c r="GO278">
        <f t="shared" ca="1" si="908"/>
        <v>15701</v>
      </c>
      <c r="GP278">
        <f t="shared" ca="1" si="909"/>
        <v>0</v>
      </c>
      <c r="GQ278">
        <f t="shared" ca="1" si="910"/>
        <v>0</v>
      </c>
      <c r="GR278">
        <f t="shared" ca="1" si="911"/>
        <v>15701</v>
      </c>
      <c r="GS278">
        <f t="shared" ca="1" si="912"/>
        <v>0</v>
      </c>
      <c r="GT278" t="b">
        <f t="shared" ca="1" si="913"/>
        <v>0</v>
      </c>
      <c r="GU278">
        <f t="shared" ca="1" si="914"/>
        <v>0</v>
      </c>
      <c r="GV278">
        <f t="shared" ca="1" si="915"/>
        <v>15701</v>
      </c>
      <c r="GW278">
        <f t="shared" ca="1" si="916"/>
        <v>0</v>
      </c>
      <c r="GX278">
        <f t="shared" ca="1" si="917"/>
        <v>0</v>
      </c>
      <c r="GY278">
        <f t="shared" ca="1" si="918"/>
        <v>0</v>
      </c>
    </row>
    <row r="279" spans="1:207" x14ac:dyDescent="0.25">
      <c r="A279">
        <f>_xlfn.AGGREGATE(3,5,$B$2:B279)</f>
        <v>278</v>
      </c>
      <c r="B279" t="s">
        <v>644</v>
      </c>
      <c r="C279" t="s">
        <v>645</v>
      </c>
      <c r="D279" t="s">
        <v>820</v>
      </c>
      <c r="E279" t="s">
        <v>831</v>
      </c>
      <c r="F279" t="s">
        <v>952</v>
      </c>
      <c r="G279" t="s">
        <v>879</v>
      </c>
      <c r="H279">
        <f t="shared" si="813"/>
        <v>6800</v>
      </c>
      <c r="I279">
        <f>_xlfn.XLOOKUP(B279,'[1]march-2026'!$A:$A,'[1]march-2026'!$C:$C,0,0)</f>
        <v>53300</v>
      </c>
      <c r="J279">
        <f t="shared" si="877"/>
        <v>9594</v>
      </c>
      <c r="K279">
        <f t="shared" si="814"/>
        <v>6396</v>
      </c>
      <c r="L279">
        <f>_xlfn.XLOOKUP(B279,'[1]march-2026'!$A:$A,'[1]march-2026'!$D:$D,0,0)</f>
        <v>400</v>
      </c>
      <c r="M279">
        <f>_xlfn.XLOOKUP(B279,'[1]march-2026'!$A:$A,'[1]march-2026'!$G:$G,0,0)</f>
        <v>500</v>
      </c>
      <c r="N279">
        <f t="shared" si="815"/>
        <v>70190</v>
      </c>
      <c r="O279">
        <f>_xlfn.XLOOKUP(B279,'[1]march-2026'!$A:$A,'[1]march-2026'!$H:$H,0,0)</f>
        <v>8000</v>
      </c>
      <c r="P279">
        <f>_xlfn.XLOOKUP(B279,'[1]march-2026'!$A:$A,'[1]march-2026'!$I:$I,0,0)</f>
        <v>60</v>
      </c>
      <c r="Q279">
        <f t="shared" si="816"/>
        <v>200</v>
      </c>
      <c r="R279">
        <f t="shared" si="817"/>
        <v>61930</v>
      </c>
      <c r="S279">
        <f>_xlfn.XLOOKUP(B279,'[2]april-2026'!$A:$A,'[2]april-2026'!$C:$C,0,0)</f>
        <v>53300</v>
      </c>
      <c r="T279">
        <f t="shared" si="818"/>
        <v>9594</v>
      </c>
      <c r="U279">
        <f t="shared" si="819"/>
        <v>6396</v>
      </c>
      <c r="V279">
        <f>_xlfn.XLOOKUP(B279,'[2]april-2026'!$A:$A,'[2]april-2026'!$D:$D,0,0)</f>
        <v>400</v>
      </c>
      <c r="W279">
        <f>_xlfn.XLOOKUP(B279,'[2]april-2026'!$A:$A,'[2]april-2026'!$G:$G,0,0)</f>
        <v>500</v>
      </c>
      <c r="X279">
        <f t="shared" si="820"/>
        <v>70190</v>
      </c>
      <c r="Y279">
        <f>_xlfn.XLOOKUP(B279,'[2]april-2026'!$A:$A,'[2]april-2026'!$H:$H,0,0)</f>
        <v>8000</v>
      </c>
      <c r="Z279">
        <f>_xlfn.XLOOKUP(B279,'[2]april-2026'!$A:$A,'[2]april-2026'!$I:$I,0,0)</f>
        <v>60</v>
      </c>
      <c r="AA279">
        <f t="shared" si="821"/>
        <v>200</v>
      </c>
      <c r="AB279">
        <f t="shared" si="822"/>
        <v>61930</v>
      </c>
      <c r="AC279">
        <f>_xlfn.XLOOKUP(B279,'[3]may-2026'!$A:$A,'[3]may-2026'!$C:$C,0,0)</f>
        <v>53300</v>
      </c>
      <c r="AD279">
        <f t="shared" si="823"/>
        <v>9594</v>
      </c>
      <c r="AE279">
        <f t="shared" si="824"/>
        <v>6396</v>
      </c>
      <c r="AF279">
        <f>_xlfn.XLOOKUP(B279,'[3]may-2026'!$A:$A,'[3]may-2026'!$D:$D,0,0)</f>
        <v>400</v>
      </c>
      <c r="AG279">
        <f>_xlfn.XLOOKUP(B279,'[3]may-2026'!$A:$A,'[3]may-2026'!$G:$G,0,0)</f>
        <v>500</v>
      </c>
      <c r="AH279">
        <f t="shared" si="825"/>
        <v>70190</v>
      </c>
      <c r="AI279">
        <f>_xlfn.XLOOKUP(B279,'[3]may-2026'!$A:$A,'[3]may-2026'!$H:$H,0,0)</f>
        <v>8000</v>
      </c>
      <c r="AJ279">
        <f>_xlfn.XLOOKUP(B279,'[3]may-2026'!$A:$A,'[3]may-2026'!$I:$I,0,0)</f>
        <v>60</v>
      </c>
      <c r="AK279">
        <f t="shared" si="826"/>
        <v>200</v>
      </c>
      <c r="AL279">
        <f t="shared" si="827"/>
        <v>61930</v>
      </c>
      <c r="AM279">
        <f>_xlfn.XLOOKUP(B279,'[4]june-2026'!$A:$A,'[4]june-2026'!$C:$C,0,0)</f>
        <v>53300</v>
      </c>
      <c r="AN279">
        <f t="shared" si="828"/>
        <v>9594</v>
      </c>
      <c r="AO279">
        <f t="shared" si="829"/>
        <v>6396</v>
      </c>
      <c r="AP279">
        <f>_xlfn.XLOOKUP(B279,'[4]june-2026'!$A:$A,'[4]june-2026'!$D:$D,0,0)</f>
        <v>400</v>
      </c>
      <c r="AQ279">
        <f>_xlfn.XLOOKUP(B279,'[4]june-2026'!$A:$A,'[4]june-2026'!$G:$G,0,0)</f>
        <v>500</v>
      </c>
      <c r="AR279">
        <f t="shared" si="830"/>
        <v>70190</v>
      </c>
      <c r="AS279">
        <f>_xlfn.XLOOKUP(B279,'[4]june-2026'!$A:$A,'[4]june-2026'!$H:$H,0,0)</f>
        <v>8000</v>
      </c>
      <c r="AT279">
        <f>_xlfn.XLOOKUP(B279,'[4]june-2026'!$A:$A,'[4]june-2026'!$I:$I,0,0)</f>
        <v>60</v>
      </c>
      <c r="AU279">
        <f t="shared" si="831"/>
        <v>200</v>
      </c>
      <c r="AV279">
        <f t="shared" si="832"/>
        <v>61930</v>
      </c>
      <c r="AW279">
        <f>_xlfn.XLOOKUP(B279,'[5]july-2026'!$A:$A,'[5]july-2026'!$C:$C,0,0)</f>
        <v>54900</v>
      </c>
      <c r="AX279">
        <f t="shared" si="833"/>
        <v>9882</v>
      </c>
      <c r="AY279">
        <v>277</v>
      </c>
      <c r="AZ279">
        <f t="shared" si="834"/>
        <v>6588</v>
      </c>
      <c r="BA279">
        <f>_xlfn.XLOOKUP(B279,'[5]july-2026'!$A:$A,'[5]july-2026'!$D:$D,0,0)</f>
        <v>400</v>
      </c>
      <c r="BB279">
        <f>_xlfn.XLOOKUP(B279,'[5]july-2026'!$A:$A,'[5]july-2026'!$G:$G,0,0)</f>
        <v>500</v>
      </c>
      <c r="BC279">
        <f t="shared" si="835"/>
        <v>72547</v>
      </c>
      <c r="BD279">
        <f>_xlfn.XLOOKUP(B279,'[5]july-2026'!$A:$A,'[5]july-2026'!$H:$H,0,0)</f>
        <v>8000</v>
      </c>
      <c r="BE279">
        <f>_xlfn.XLOOKUP(B279,'[5]july-2026'!$A:$A,'[5]july-2026'!$I:$I,0,0)</f>
        <v>60</v>
      </c>
      <c r="BF279">
        <f t="shared" si="836"/>
        <v>200</v>
      </c>
      <c r="BG279">
        <f t="shared" si="837"/>
        <v>64287</v>
      </c>
      <c r="BH279">
        <f>_xlfn.XLOOKUP(B279,'[6]august-2026'!$A:$A,'[6]august-2026'!$C:$C,0,0)</f>
        <v>54900</v>
      </c>
      <c r="BI279">
        <f t="shared" si="838"/>
        <v>9882</v>
      </c>
      <c r="BJ279">
        <f t="shared" si="839"/>
        <v>6588</v>
      </c>
      <c r="BK279">
        <f>_xlfn.XLOOKUP(B279,'[6]august-2026'!$A:$A,'[6]august-2026'!$D:$D,0,0)</f>
        <v>400</v>
      </c>
      <c r="BL279">
        <f>_xlfn.XLOOKUP(B279,'[6]august-2026'!$A:$A,'[6]august-2026'!$G:$G,0,0)</f>
        <v>500</v>
      </c>
      <c r="BM279">
        <f t="shared" si="840"/>
        <v>72270</v>
      </c>
      <c r="BN279">
        <f>_xlfn.XLOOKUP(B279,'[6]august-2026'!$A:$A,'[6]august-2026'!$H:$H,0,0)</f>
        <v>8000</v>
      </c>
      <c r="BO279">
        <f>_xlfn.XLOOKUP(B279,'[6]august-2026'!$A:$A,'[6]august-2026'!$I:$I,0,0)</f>
        <v>60</v>
      </c>
      <c r="BP279">
        <f t="shared" si="841"/>
        <v>200</v>
      </c>
      <c r="BQ279">
        <f t="shared" si="842"/>
        <v>64010</v>
      </c>
      <c r="BR279">
        <f>_xlfn.XLOOKUP(B279,'[7]september-2026'!$A:$A,'[7]september-2026'!$C:$C,0,0)</f>
        <v>54900</v>
      </c>
      <c r="BS279">
        <f t="shared" si="843"/>
        <v>9882</v>
      </c>
      <c r="BT279">
        <f t="shared" si="844"/>
        <v>6588</v>
      </c>
      <c r="BU279">
        <f>_xlfn.XLOOKUP(B279,'[7]september-2026'!$A:$A,'[7]september-2026'!$D:$D,0,0)</f>
        <v>400</v>
      </c>
      <c r="BV279">
        <f>_xlfn.XLOOKUP(B279,'[7]september-2026'!$A:$A,'[7]september-2026'!$G:$G,0,0)</f>
        <v>500</v>
      </c>
      <c r="BW279">
        <f t="shared" si="845"/>
        <v>72270</v>
      </c>
      <c r="BX279">
        <f>_xlfn.XLOOKUP(B279,'[7]september-2026'!$A:$A,'[7]september-2026'!$H:$H,0,0)</f>
        <v>8000</v>
      </c>
      <c r="BY279">
        <f>_xlfn.XLOOKUP(B279,'[7]september-2026'!$A:$A,'[7]september-2026'!$I:$I,0,0)</f>
        <v>60</v>
      </c>
      <c r="BZ279">
        <f t="shared" si="846"/>
        <v>200</v>
      </c>
      <c r="CA279">
        <f t="shared" si="847"/>
        <v>64010</v>
      </c>
      <c r="CB279">
        <f>_xlfn.XLOOKUP(B279,'[8]october-2026'!$A:$A,'[8]october-2026'!$C:$C,0,0)</f>
        <v>54900</v>
      </c>
      <c r="CC279">
        <f t="shared" si="848"/>
        <v>9882</v>
      </c>
      <c r="CD279">
        <f t="shared" si="849"/>
        <v>6588</v>
      </c>
      <c r="CE279">
        <f>_xlfn.XLOOKUP(B279,'[8]october-2026'!$A:$A,'[8]october-2026'!$D:$D,0,0)</f>
        <v>400</v>
      </c>
      <c r="CF279">
        <f>_xlfn.XLOOKUP(B279,'[8]october-2026'!$A:$A,'[8]october-2026'!$G:$G,0,0)</f>
        <v>500</v>
      </c>
      <c r="CG279">
        <f t="shared" si="850"/>
        <v>72270</v>
      </c>
      <c r="CH279">
        <f>_xlfn.XLOOKUP(B279,'[8]october-2026'!$A:$A,'[8]october-2026'!$H:$H,0,0)</f>
        <v>8000</v>
      </c>
      <c r="CI279">
        <f>_xlfn.XLOOKUP(B279,'[8]october-2026'!$A:$A,'[8]october-2026'!$I:$I,0,0)</f>
        <v>60</v>
      </c>
      <c r="CJ279">
        <f t="shared" si="851"/>
        <v>200</v>
      </c>
      <c r="CK279">
        <f t="shared" si="852"/>
        <v>64010</v>
      </c>
      <c r="CL279">
        <f>_xlfn.XLOOKUP(B279,'[9]november-2026'!$A:$A,'[9]november-2026'!$C:$C,0,0)</f>
        <v>54900</v>
      </c>
      <c r="CM279">
        <f t="shared" si="853"/>
        <v>9882</v>
      </c>
      <c r="CN279">
        <f t="shared" si="854"/>
        <v>6588</v>
      </c>
      <c r="CO279">
        <f>_xlfn.XLOOKUP(B279,'[9]november-2026'!$A:$A,'[9]november-2026'!$D:$D,0,0)</f>
        <v>400</v>
      </c>
      <c r="CP279">
        <f>_xlfn.XLOOKUP(B279,'[9]november-2026'!$A:$A,'[9]november-2026'!$G:$G,0,0)</f>
        <v>500</v>
      </c>
      <c r="CQ279">
        <f t="shared" si="855"/>
        <v>72270</v>
      </c>
      <c r="CR279">
        <f>_xlfn.XLOOKUP(B279,'[9]november-2026'!$A:$A,'[9]november-2026'!$H:$H,0,0)</f>
        <v>8000</v>
      </c>
      <c r="CS279">
        <f>_xlfn.XLOOKUP(B279,'[9]november-2026'!$A:$A,'[9]november-2026'!$I:$I,0,0)</f>
        <v>60</v>
      </c>
      <c r="CT279">
        <f t="shared" si="856"/>
        <v>200</v>
      </c>
      <c r="CU279">
        <f t="shared" si="857"/>
        <v>64010</v>
      </c>
      <c r="CV279">
        <f>_xlfn.XLOOKUP(B279,'[10]december-2026'!$A:$A,'[10]december-2026'!$C:$C,0,0)</f>
        <v>54900</v>
      </c>
      <c r="CW279">
        <f t="shared" si="858"/>
        <v>9882</v>
      </c>
      <c r="CX279">
        <f t="shared" si="859"/>
        <v>6588</v>
      </c>
      <c r="CY279">
        <f>_xlfn.XLOOKUP(B279,'[10]december-2026'!$A:$A,'[10]december-2026'!$D:$D,0,0)</f>
        <v>400</v>
      </c>
      <c r="CZ279">
        <f>_xlfn.XLOOKUP(B279,'[10]december-2026'!$A:$A,'[10]december-2026'!$G:$G,0,0)</f>
        <v>500</v>
      </c>
      <c r="DA279">
        <f t="shared" si="860"/>
        <v>72270</v>
      </c>
      <c r="DB279">
        <f>_xlfn.XLOOKUP(B279,'[10]december-2026'!$A:$A,'[10]december-2026'!$H:$H,0,0)</f>
        <v>8000</v>
      </c>
      <c r="DC279">
        <f>_xlfn.XLOOKUP(B279,'[10]december-2026'!$A:$A,'[10]december-2026'!$I:$I,0,0)</f>
        <v>60</v>
      </c>
      <c r="DD279">
        <f t="shared" si="861"/>
        <v>200</v>
      </c>
      <c r="DE279">
        <f t="shared" si="862"/>
        <v>64010</v>
      </c>
      <c r="DF279">
        <f xml:space="preserve"> _xlfn.XLOOKUP(B279,
'[11]january-2027'!$A:$A,
'[11]january-2027'!$C:$C,
0,0)</f>
        <v>54900</v>
      </c>
      <c r="DG279">
        <f t="shared" si="863"/>
        <v>9882</v>
      </c>
      <c r="DH279">
        <f t="shared" si="864"/>
        <v>6588</v>
      </c>
      <c r="DI279">
        <f xml:space="preserve"> _xlfn.XLOOKUP(B279,
'[11]january-2027'!$A:$A,
'[11]january-2027'!$D:$D,
0,0)</f>
        <v>400</v>
      </c>
      <c r="DJ279">
        <f xml:space="preserve"> _xlfn.XLOOKUP(B279,
'[11]january-2027'!$A:$A,
'[11]january-2027'!$G:$G,
0,0)</f>
        <v>500</v>
      </c>
      <c r="DK279">
        <f t="shared" si="865"/>
        <v>72270</v>
      </c>
      <c r="DL279">
        <f xml:space="preserve"> _xlfn.XLOOKUP(B279,
'[11]january-2027'!$A:$A,
'[11]january-2027'!$H:$H,
0,0)</f>
        <v>8000</v>
      </c>
      <c r="DM279">
        <f xml:space="preserve"> _xlfn.XLOOKUP(B279,
'[11]january-2027'!$A:$A,
'[11]january-2027'!$I:$I,
0,0)</f>
        <v>60</v>
      </c>
      <c r="DN279">
        <f t="shared" si="866"/>
        <v>200</v>
      </c>
      <c r="DO279">
        <f t="shared" si="867"/>
        <v>64010</v>
      </c>
      <c r="DP279">
        <f xml:space="preserve"> _xlfn.XLOOKUP(B279,
'[12]february-2027'!$A:$A,
'[12]february-2027'!$C:$C,
0,0)</f>
        <v>54900</v>
      </c>
      <c r="DQ279">
        <f t="shared" si="868"/>
        <v>9882</v>
      </c>
      <c r="DR279">
        <f t="shared" si="869"/>
        <v>6588</v>
      </c>
      <c r="DS279">
        <f xml:space="preserve"> _xlfn.XLOOKUP(B279,
'[12]february-2027'!$A:$A,
'[12]february-2027'!$D:$D,
0,0)</f>
        <v>400</v>
      </c>
      <c r="DT279">
        <f xml:space="preserve"> _xlfn.XLOOKUP(B279,
'[12]february-2027'!$A:$A,
'[12]february-2027'!$G:$G,
0,0)</f>
        <v>500</v>
      </c>
      <c r="DU279">
        <f t="shared" si="870"/>
        <v>72270</v>
      </c>
      <c r="DV279">
        <f xml:space="preserve"> _xlfn.XLOOKUP(B279,
'[12]february-2027'!$A:$A,
'[12]february-2027'!$H:$H,
0,0)</f>
        <v>8000</v>
      </c>
      <c r="DW279">
        <f xml:space="preserve"> _xlfn.XLOOKUP(B279,
'[12]february-2027'!$A:$A,
'[12]february-2027'!$I:$I,
0,0)</f>
        <v>60</v>
      </c>
      <c r="DX279">
        <f t="shared" si="871"/>
        <v>200</v>
      </c>
      <c r="DY279">
        <f t="shared" si="872"/>
        <v>64010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873"/>
        <v>0</v>
      </c>
      <c r="EM279">
        <f t="shared" si="874"/>
        <v>865997</v>
      </c>
      <c r="EN279">
        <f t="shared" si="875"/>
        <v>2400</v>
      </c>
      <c r="EO279">
        <f t="shared" si="876"/>
        <v>50000</v>
      </c>
      <c r="EP279">
        <v>0</v>
      </c>
      <c r="EQ279">
        <f t="shared" si="878"/>
        <v>813597</v>
      </c>
      <c r="ER279">
        <f t="shared" si="879"/>
        <v>96000</v>
      </c>
      <c r="ES279">
        <f t="shared" si="880"/>
        <v>720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881"/>
        <v>96720</v>
      </c>
      <c r="FE279">
        <f t="shared" si="882"/>
        <v>96720</v>
      </c>
      <c r="FF279">
        <f t="shared" si="883"/>
        <v>716877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>SUM(FG279:FM279)+(IF(F279="YES",50000,0))</f>
        <v>0</v>
      </c>
      <c r="FO279">
        <f t="shared" si="884"/>
        <v>716877</v>
      </c>
      <c r="FP279">
        <f t="shared" si="885"/>
        <v>12500</v>
      </c>
      <c r="FQ279">
        <f t="shared" si="886"/>
        <v>43375</v>
      </c>
      <c r="FR279">
        <f t="shared" si="887"/>
        <v>55875</v>
      </c>
      <c r="FS279">
        <f t="shared" si="888"/>
        <v>55875</v>
      </c>
      <c r="FT279">
        <f t="shared" si="889"/>
        <v>2235</v>
      </c>
      <c r="FU279">
        <f t="shared" si="890"/>
        <v>58110</v>
      </c>
      <c r="FV279">
        <v>0</v>
      </c>
      <c r="FW279">
        <f t="shared" si="891"/>
        <v>58110</v>
      </c>
      <c r="FX279" t="b">
        <f t="shared" si="892"/>
        <v>1</v>
      </c>
      <c r="FY279">
        <f t="shared" ca="1" si="893"/>
        <v>722</v>
      </c>
      <c r="FZ279">
        <f t="shared" ca="1" si="894"/>
        <v>866719</v>
      </c>
      <c r="GA279">
        <f t="shared" si="895"/>
        <v>75000</v>
      </c>
      <c r="GB279">
        <f t="shared" ca="1" si="896"/>
        <v>791719</v>
      </c>
      <c r="GC279">
        <f t="shared" ca="1" si="897"/>
        <v>0</v>
      </c>
      <c r="GD279">
        <f t="shared" ca="1" si="898"/>
        <v>0</v>
      </c>
      <c r="GE279">
        <f t="shared" ca="1" si="899"/>
        <v>0</v>
      </c>
      <c r="GF279">
        <f t="shared" ca="1" si="900"/>
        <v>0</v>
      </c>
      <c r="GG279">
        <f t="shared" ca="1" si="901"/>
        <v>0</v>
      </c>
      <c r="GH279">
        <f t="shared" ca="1" si="902"/>
        <v>0</v>
      </c>
      <c r="GI279">
        <f ca="1">IF(GB279&gt;1200000,GB279-1200000-IF(F279="YES",50000,0)-GG279,0)</f>
        <v>0</v>
      </c>
      <c r="GJ279">
        <f t="shared" ca="1" si="903"/>
        <v>0</v>
      </c>
      <c r="GK279">
        <f t="shared" ca="1" si="904"/>
        <v>0</v>
      </c>
      <c r="GL279">
        <f t="shared" ca="1" si="905"/>
        <v>0</v>
      </c>
      <c r="GM279">
        <f t="shared" ca="1" si="906"/>
        <v>391719</v>
      </c>
      <c r="GN279">
        <f t="shared" ca="1" si="907"/>
        <v>19585.95</v>
      </c>
      <c r="GO279">
        <f t="shared" ca="1" si="908"/>
        <v>19586</v>
      </c>
      <c r="GP279">
        <f t="shared" ca="1" si="909"/>
        <v>0</v>
      </c>
      <c r="GQ279">
        <f t="shared" ca="1" si="910"/>
        <v>0</v>
      </c>
      <c r="GR279">
        <f t="shared" ca="1" si="911"/>
        <v>19586</v>
      </c>
      <c r="GS279">
        <f t="shared" ca="1" si="912"/>
        <v>0</v>
      </c>
      <c r="GT279" t="b">
        <f t="shared" ca="1" si="913"/>
        <v>0</v>
      </c>
      <c r="GU279">
        <f t="shared" ca="1" si="914"/>
        <v>0</v>
      </c>
      <c r="GV279">
        <f t="shared" ca="1" si="915"/>
        <v>19586</v>
      </c>
      <c r="GW279">
        <f t="shared" ca="1" si="916"/>
        <v>0</v>
      </c>
      <c r="GX279">
        <f t="shared" ca="1" si="917"/>
        <v>0</v>
      </c>
      <c r="GY279">
        <f t="shared" ca="1" si="918"/>
        <v>0</v>
      </c>
    </row>
    <row r="280" spans="1:207" x14ac:dyDescent="0.25">
      <c r="A280">
        <f>_xlfn.AGGREGATE(3,5,$B$2:B280)</f>
        <v>279</v>
      </c>
      <c r="B280" t="s">
        <v>646</v>
      </c>
      <c r="C280" t="s">
        <v>647</v>
      </c>
      <c r="D280" t="s">
        <v>820</v>
      </c>
      <c r="E280" t="s">
        <v>831</v>
      </c>
      <c r="F280" t="s">
        <v>952</v>
      </c>
      <c r="G280" t="s">
        <v>887</v>
      </c>
      <c r="H280">
        <f t="shared" si="813"/>
        <v>6800</v>
      </c>
      <c r="I280">
        <f>_xlfn.XLOOKUP(B280,'[1]march-2026'!$A:$A,'[1]march-2026'!$C:$C,0,0)</f>
        <v>38800</v>
      </c>
      <c r="J280">
        <f t="shared" si="877"/>
        <v>6984</v>
      </c>
      <c r="K280">
        <f t="shared" si="814"/>
        <v>4656</v>
      </c>
      <c r="L280">
        <f>_xlfn.XLOOKUP(B280,'[1]march-2026'!$A:$A,'[1]march-2026'!$D:$D,0,0)</f>
        <v>0</v>
      </c>
      <c r="M280">
        <f>_xlfn.XLOOKUP(B280,'[1]march-2026'!$A:$A,'[1]march-2026'!$G:$G,0,0)</f>
        <v>500</v>
      </c>
      <c r="N280">
        <f t="shared" si="815"/>
        <v>50940</v>
      </c>
      <c r="O280">
        <f>_xlfn.XLOOKUP(B280,'[1]march-2026'!$A:$A,'[1]march-2026'!$H:$H,0,0)</f>
        <v>5000</v>
      </c>
      <c r="P280">
        <f>_xlfn.XLOOKUP(B280,'[1]march-2026'!$A:$A,'[1]march-2026'!$I:$I,0,0)</f>
        <v>0</v>
      </c>
      <c r="Q280">
        <f t="shared" si="816"/>
        <v>200</v>
      </c>
      <c r="R280">
        <f t="shared" si="817"/>
        <v>45740</v>
      </c>
      <c r="S280">
        <f>_xlfn.XLOOKUP(B280,'[2]april-2026'!$A:$A,'[2]april-2026'!$C:$C,0,0)</f>
        <v>38800</v>
      </c>
      <c r="T280">
        <f t="shared" si="818"/>
        <v>6984</v>
      </c>
      <c r="U280">
        <f t="shared" si="819"/>
        <v>4656</v>
      </c>
      <c r="V280">
        <f>_xlfn.XLOOKUP(B280,'[2]april-2026'!$A:$A,'[2]april-2026'!$D:$D,0,0)</f>
        <v>0</v>
      </c>
      <c r="W280">
        <f>_xlfn.XLOOKUP(B280,'[2]april-2026'!$A:$A,'[2]april-2026'!$G:$G,0,0)</f>
        <v>500</v>
      </c>
      <c r="X280">
        <f t="shared" si="820"/>
        <v>50940</v>
      </c>
      <c r="Y280">
        <f>_xlfn.XLOOKUP(B280,'[2]april-2026'!$A:$A,'[2]april-2026'!$H:$H,0,0)</f>
        <v>5000</v>
      </c>
      <c r="Z280">
        <f>_xlfn.XLOOKUP(B280,'[2]april-2026'!$A:$A,'[2]april-2026'!$I:$I,0,0)</f>
        <v>0</v>
      </c>
      <c r="AA280">
        <f t="shared" si="821"/>
        <v>200</v>
      </c>
      <c r="AB280">
        <f t="shared" si="822"/>
        <v>45740</v>
      </c>
      <c r="AC280">
        <f>_xlfn.XLOOKUP(B280,'[3]may-2026'!$A:$A,'[3]may-2026'!$C:$C,0,0)</f>
        <v>38800</v>
      </c>
      <c r="AD280">
        <f t="shared" si="823"/>
        <v>6984</v>
      </c>
      <c r="AE280">
        <f t="shared" si="824"/>
        <v>4656</v>
      </c>
      <c r="AF280">
        <f>_xlfn.XLOOKUP(B280,'[3]may-2026'!$A:$A,'[3]may-2026'!$D:$D,0,0)</f>
        <v>0</v>
      </c>
      <c r="AG280">
        <f>_xlfn.XLOOKUP(B280,'[3]may-2026'!$A:$A,'[3]may-2026'!$G:$G,0,0)</f>
        <v>500</v>
      </c>
      <c r="AH280">
        <f t="shared" si="825"/>
        <v>50940</v>
      </c>
      <c r="AI280">
        <f>_xlfn.XLOOKUP(B280,'[3]may-2026'!$A:$A,'[3]may-2026'!$H:$H,0,0)</f>
        <v>5000</v>
      </c>
      <c r="AJ280">
        <f>_xlfn.XLOOKUP(B280,'[3]may-2026'!$A:$A,'[3]may-2026'!$I:$I,0,0)</f>
        <v>0</v>
      </c>
      <c r="AK280">
        <f t="shared" si="826"/>
        <v>200</v>
      </c>
      <c r="AL280">
        <f t="shared" si="827"/>
        <v>45740</v>
      </c>
      <c r="AM280">
        <f>_xlfn.XLOOKUP(B280,'[4]june-2026'!$A:$A,'[4]june-2026'!$C:$C,0,0)</f>
        <v>38800</v>
      </c>
      <c r="AN280">
        <f t="shared" si="828"/>
        <v>6984</v>
      </c>
      <c r="AO280">
        <f t="shared" si="829"/>
        <v>4656</v>
      </c>
      <c r="AP280">
        <f>_xlfn.XLOOKUP(B280,'[4]june-2026'!$A:$A,'[4]june-2026'!$D:$D,0,0)</f>
        <v>0</v>
      </c>
      <c r="AQ280">
        <f>_xlfn.XLOOKUP(B280,'[4]june-2026'!$A:$A,'[4]june-2026'!$G:$G,0,0)</f>
        <v>500</v>
      </c>
      <c r="AR280">
        <f t="shared" si="830"/>
        <v>50940</v>
      </c>
      <c r="AS280">
        <f>_xlfn.XLOOKUP(B280,'[4]june-2026'!$A:$A,'[4]june-2026'!$H:$H,0,0)</f>
        <v>5000</v>
      </c>
      <c r="AT280">
        <f>_xlfn.XLOOKUP(B280,'[4]june-2026'!$A:$A,'[4]june-2026'!$I:$I,0,0)</f>
        <v>0</v>
      </c>
      <c r="AU280">
        <f t="shared" si="831"/>
        <v>200</v>
      </c>
      <c r="AV280">
        <f t="shared" si="832"/>
        <v>45740</v>
      </c>
      <c r="AW280">
        <f>_xlfn.XLOOKUP(B280,'[5]july-2026'!$A:$A,'[5]july-2026'!$C:$C,0,0)</f>
        <v>40000</v>
      </c>
      <c r="AX280">
        <f t="shared" si="833"/>
        <v>7200</v>
      </c>
      <c r="AY280">
        <v>278</v>
      </c>
      <c r="AZ280">
        <f t="shared" si="834"/>
        <v>4800</v>
      </c>
      <c r="BA280">
        <f>_xlfn.XLOOKUP(B280,'[5]july-2026'!$A:$A,'[5]july-2026'!$D:$D,0,0)</f>
        <v>0</v>
      </c>
      <c r="BB280">
        <f>_xlfn.XLOOKUP(B280,'[5]july-2026'!$A:$A,'[5]july-2026'!$G:$G,0,0)</f>
        <v>500</v>
      </c>
      <c r="BC280">
        <f t="shared" si="835"/>
        <v>52778</v>
      </c>
      <c r="BD280">
        <f>_xlfn.XLOOKUP(B280,'[5]july-2026'!$A:$A,'[5]july-2026'!$H:$H,0,0)</f>
        <v>5000</v>
      </c>
      <c r="BE280">
        <f>_xlfn.XLOOKUP(B280,'[5]july-2026'!$A:$A,'[5]july-2026'!$I:$I,0,0)</f>
        <v>0</v>
      </c>
      <c r="BF280">
        <f t="shared" si="836"/>
        <v>200</v>
      </c>
      <c r="BG280">
        <f t="shared" si="837"/>
        <v>47578</v>
      </c>
      <c r="BH280">
        <f>_xlfn.XLOOKUP(B280,'[6]august-2026'!$A:$A,'[6]august-2026'!$C:$C,0,0)</f>
        <v>40000</v>
      </c>
      <c r="BI280">
        <f t="shared" si="838"/>
        <v>7200</v>
      </c>
      <c r="BJ280">
        <f t="shared" si="839"/>
        <v>4800</v>
      </c>
      <c r="BK280">
        <f>_xlfn.XLOOKUP(B280,'[6]august-2026'!$A:$A,'[6]august-2026'!$D:$D,0,0)</f>
        <v>0</v>
      </c>
      <c r="BL280">
        <f>_xlfn.XLOOKUP(B280,'[6]august-2026'!$A:$A,'[6]august-2026'!$G:$G,0,0)</f>
        <v>500</v>
      </c>
      <c r="BM280">
        <f t="shared" si="840"/>
        <v>52500</v>
      </c>
      <c r="BN280">
        <f>_xlfn.XLOOKUP(B280,'[6]august-2026'!$A:$A,'[6]august-2026'!$H:$H,0,0)</f>
        <v>5000</v>
      </c>
      <c r="BO280">
        <f>_xlfn.XLOOKUP(B280,'[6]august-2026'!$A:$A,'[6]august-2026'!$I:$I,0,0)</f>
        <v>0</v>
      </c>
      <c r="BP280">
        <f t="shared" si="841"/>
        <v>200</v>
      </c>
      <c r="BQ280">
        <f t="shared" si="842"/>
        <v>47300</v>
      </c>
      <c r="BR280">
        <f>_xlfn.XLOOKUP(B280,'[7]september-2026'!$A:$A,'[7]september-2026'!$C:$C,0,0)</f>
        <v>40000</v>
      </c>
      <c r="BS280">
        <f t="shared" si="843"/>
        <v>7200</v>
      </c>
      <c r="BT280">
        <f t="shared" si="844"/>
        <v>4800</v>
      </c>
      <c r="BU280">
        <f>_xlfn.XLOOKUP(B280,'[7]september-2026'!$A:$A,'[7]september-2026'!$D:$D,0,0)</f>
        <v>0</v>
      </c>
      <c r="BV280">
        <f>_xlfn.XLOOKUP(B280,'[7]september-2026'!$A:$A,'[7]september-2026'!$G:$G,0,0)</f>
        <v>500</v>
      </c>
      <c r="BW280">
        <f t="shared" si="845"/>
        <v>52500</v>
      </c>
      <c r="BX280">
        <f>_xlfn.XLOOKUP(B280,'[7]september-2026'!$A:$A,'[7]september-2026'!$H:$H,0,0)</f>
        <v>5000</v>
      </c>
      <c r="BY280">
        <f>_xlfn.XLOOKUP(B280,'[7]september-2026'!$A:$A,'[7]september-2026'!$I:$I,0,0)</f>
        <v>0</v>
      </c>
      <c r="BZ280">
        <f t="shared" si="846"/>
        <v>200</v>
      </c>
      <c r="CA280">
        <f t="shared" si="847"/>
        <v>47300</v>
      </c>
      <c r="CB280">
        <f>_xlfn.XLOOKUP(B280,'[8]october-2026'!$A:$A,'[8]october-2026'!$C:$C,0,0)</f>
        <v>40000</v>
      </c>
      <c r="CC280">
        <f t="shared" si="848"/>
        <v>7200</v>
      </c>
      <c r="CD280">
        <f t="shared" si="849"/>
        <v>4800</v>
      </c>
      <c r="CE280">
        <f>_xlfn.XLOOKUP(B280,'[8]october-2026'!$A:$A,'[8]october-2026'!$D:$D,0,0)</f>
        <v>0</v>
      </c>
      <c r="CF280">
        <f>_xlfn.XLOOKUP(B280,'[8]october-2026'!$A:$A,'[8]october-2026'!$G:$G,0,0)</f>
        <v>500</v>
      </c>
      <c r="CG280">
        <f t="shared" si="850"/>
        <v>52500</v>
      </c>
      <c r="CH280">
        <f>_xlfn.XLOOKUP(B280,'[8]october-2026'!$A:$A,'[8]october-2026'!$H:$H,0,0)</f>
        <v>5000</v>
      </c>
      <c r="CI280">
        <f>_xlfn.XLOOKUP(B280,'[8]october-2026'!$A:$A,'[8]october-2026'!$I:$I,0,0)</f>
        <v>0</v>
      </c>
      <c r="CJ280">
        <f t="shared" si="851"/>
        <v>200</v>
      </c>
      <c r="CK280">
        <f t="shared" si="852"/>
        <v>47300</v>
      </c>
      <c r="CL280">
        <f>_xlfn.XLOOKUP(B280,'[9]november-2026'!$A:$A,'[9]november-2026'!$C:$C,0,0)</f>
        <v>40000</v>
      </c>
      <c r="CM280">
        <f t="shared" si="853"/>
        <v>7200</v>
      </c>
      <c r="CN280">
        <f t="shared" si="854"/>
        <v>4800</v>
      </c>
      <c r="CO280">
        <f>_xlfn.XLOOKUP(B280,'[9]november-2026'!$A:$A,'[9]november-2026'!$D:$D,0,0)</f>
        <v>0</v>
      </c>
      <c r="CP280">
        <f>_xlfn.XLOOKUP(B280,'[9]november-2026'!$A:$A,'[9]november-2026'!$G:$G,0,0)</f>
        <v>500</v>
      </c>
      <c r="CQ280">
        <f t="shared" si="855"/>
        <v>52500</v>
      </c>
      <c r="CR280">
        <f>_xlfn.XLOOKUP(B280,'[9]november-2026'!$A:$A,'[9]november-2026'!$H:$H,0,0)</f>
        <v>5000</v>
      </c>
      <c r="CS280">
        <f>_xlfn.XLOOKUP(B280,'[9]november-2026'!$A:$A,'[9]november-2026'!$I:$I,0,0)</f>
        <v>0</v>
      </c>
      <c r="CT280">
        <f t="shared" si="856"/>
        <v>200</v>
      </c>
      <c r="CU280">
        <f t="shared" si="857"/>
        <v>47300</v>
      </c>
      <c r="CV280">
        <f>_xlfn.XLOOKUP(B280,'[10]december-2026'!$A:$A,'[10]december-2026'!$C:$C,0,0)</f>
        <v>40000</v>
      </c>
      <c r="CW280">
        <f t="shared" si="858"/>
        <v>7200</v>
      </c>
      <c r="CX280">
        <f t="shared" si="859"/>
        <v>4800</v>
      </c>
      <c r="CY280">
        <f>_xlfn.XLOOKUP(B280,'[10]december-2026'!$A:$A,'[10]december-2026'!$D:$D,0,0)</f>
        <v>0</v>
      </c>
      <c r="CZ280">
        <f>_xlfn.XLOOKUP(B280,'[10]december-2026'!$A:$A,'[10]december-2026'!$G:$G,0,0)</f>
        <v>500</v>
      </c>
      <c r="DA280">
        <f t="shared" si="860"/>
        <v>52500</v>
      </c>
      <c r="DB280">
        <f>_xlfn.XLOOKUP(B280,'[10]december-2026'!$A:$A,'[10]december-2026'!$H:$H,0,0)</f>
        <v>5000</v>
      </c>
      <c r="DC280">
        <f>_xlfn.XLOOKUP(B280,'[10]december-2026'!$A:$A,'[10]december-2026'!$I:$I,0,0)</f>
        <v>0</v>
      </c>
      <c r="DD280">
        <f t="shared" si="861"/>
        <v>200</v>
      </c>
      <c r="DE280">
        <f t="shared" si="862"/>
        <v>47300</v>
      </c>
      <c r="DF280">
        <f xml:space="preserve"> _xlfn.XLOOKUP(B280,
'[11]january-2027'!$A:$A,
'[11]january-2027'!$C:$C,
0,0)</f>
        <v>40000</v>
      </c>
      <c r="DG280">
        <f t="shared" si="863"/>
        <v>7200</v>
      </c>
      <c r="DH280">
        <f t="shared" si="864"/>
        <v>4800</v>
      </c>
      <c r="DI280">
        <f xml:space="preserve"> _xlfn.XLOOKUP(B280,
'[11]january-2027'!$A:$A,
'[11]january-2027'!$D:$D,
0,0)</f>
        <v>0</v>
      </c>
      <c r="DJ280">
        <f xml:space="preserve"> _xlfn.XLOOKUP(B280,
'[11]january-2027'!$A:$A,
'[11]january-2027'!$G:$G,
0,0)</f>
        <v>500</v>
      </c>
      <c r="DK280">
        <f t="shared" si="865"/>
        <v>52500</v>
      </c>
      <c r="DL280">
        <f xml:space="preserve"> _xlfn.XLOOKUP(B280,
'[11]january-2027'!$A:$A,
'[11]january-2027'!$H:$H,
0,0)</f>
        <v>5000</v>
      </c>
      <c r="DM280">
        <f xml:space="preserve"> _xlfn.XLOOKUP(B280,
'[11]january-2027'!$A:$A,
'[11]january-2027'!$I:$I,
0,0)</f>
        <v>0</v>
      </c>
      <c r="DN280">
        <f t="shared" si="866"/>
        <v>200</v>
      </c>
      <c r="DO280">
        <f t="shared" si="867"/>
        <v>47300</v>
      </c>
      <c r="DP280">
        <f xml:space="preserve"> _xlfn.XLOOKUP(B280,
'[12]february-2027'!$A:$A,
'[12]february-2027'!$C:$C,
0,0)</f>
        <v>40000</v>
      </c>
      <c r="DQ280">
        <f t="shared" si="868"/>
        <v>7200</v>
      </c>
      <c r="DR280">
        <f t="shared" si="869"/>
        <v>4800</v>
      </c>
      <c r="DS280">
        <f xml:space="preserve"> _xlfn.XLOOKUP(B280,
'[12]february-2027'!$A:$A,
'[12]february-2027'!$D:$D,
0,0)</f>
        <v>0</v>
      </c>
      <c r="DT280">
        <f xml:space="preserve"> _xlfn.XLOOKUP(B280,
'[12]february-2027'!$A:$A,
'[12]february-2027'!$G:$G,
0,0)</f>
        <v>500</v>
      </c>
      <c r="DU280">
        <f t="shared" si="870"/>
        <v>52500</v>
      </c>
      <c r="DV280">
        <f xml:space="preserve"> _xlfn.XLOOKUP(B280,
'[12]february-2027'!$A:$A,
'[12]february-2027'!$H:$H,
0,0)</f>
        <v>5000</v>
      </c>
      <c r="DW280">
        <f xml:space="preserve"> _xlfn.XLOOKUP(B280,
'[12]february-2027'!$A:$A,
'[12]february-2027'!$I:$I,
0,0)</f>
        <v>0</v>
      </c>
      <c r="DX280">
        <f t="shared" si="871"/>
        <v>200</v>
      </c>
      <c r="DY280">
        <f t="shared" si="872"/>
        <v>47300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873"/>
        <v>0</v>
      </c>
      <c r="EM280">
        <f t="shared" si="874"/>
        <v>630838</v>
      </c>
      <c r="EN280">
        <f t="shared" si="875"/>
        <v>2400</v>
      </c>
      <c r="EO280">
        <f t="shared" si="876"/>
        <v>50000</v>
      </c>
      <c r="EP280">
        <v>0</v>
      </c>
      <c r="EQ280">
        <f t="shared" si="878"/>
        <v>578438</v>
      </c>
      <c r="ER280">
        <f t="shared" si="879"/>
        <v>60000</v>
      </c>
      <c r="ES280">
        <f t="shared" si="880"/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881"/>
        <v>60000</v>
      </c>
      <c r="FE280">
        <f t="shared" si="882"/>
        <v>60000</v>
      </c>
      <c r="FF280">
        <f t="shared" si="883"/>
        <v>518438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>SUM(FG280:FM280)+(IF(F280="YES",50000,0))</f>
        <v>0</v>
      </c>
      <c r="FO280">
        <f t="shared" si="884"/>
        <v>518438</v>
      </c>
      <c r="FP280">
        <f t="shared" si="885"/>
        <v>12500</v>
      </c>
      <c r="FQ280">
        <f t="shared" si="886"/>
        <v>3688</v>
      </c>
      <c r="FR280">
        <f t="shared" si="887"/>
        <v>16188</v>
      </c>
      <c r="FS280">
        <f t="shared" si="888"/>
        <v>16188</v>
      </c>
      <c r="FT280">
        <f t="shared" si="889"/>
        <v>647.52</v>
      </c>
      <c r="FU280">
        <f t="shared" si="890"/>
        <v>16836</v>
      </c>
      <c r="FV280">
        <v>0</v>
      </c>
      <c r="FW280">
        <f t="shared" si="891"/>
        <v>16836</v>
      </c>
      <c r="FX280" t="b">
        <f t="shared" si="892"/>
        <v>1</v>
      </c>
      <c r="FY280">
        <f t="shared" ca="1" si="893"/>
        <v>873</v>
      </c>
      <c r="FZ280">
        <f t="shared" ca="1" si="894"/>
        <v>631711</v>
      </c>
      <c r="GA280">
        <f t="shared" si="895"/>
        <v>75000</v>
      </c>
      <c r="GB280">
        <f t="shared" ca="1" si="896"/>
        <v>556711</v>
      </c>
      <c r="GC280">
        <f t="shared" ca="1" si="897"/>
        <v>0</v>
      </c>
      <c r="GD280">
        <f t="shared" ca="1" si="898"/>
        <v>0</v>
      </c>
      <c r="GE280">
        <f t="shared" ca="1" si="899"/>
        <v>0</v>
      </c>
      <c r="GF280">
        <f t="shared" ca="1" si="900"/>
        <v>0</v>
      </c>
      <c r="GG280">
        <f t="shared" ca="1" si="901"/>
        <v>0</v>
      </c>
      <c r="GH280">
        <f t="shared" ca="1" si="902"/>
        <v>0</v>
      </c>
      <c r="GI280">
        <f ca="1">IF(GB280&gt;1200000,GB280-1200000-IF(F280="YES",50000,0)-GG280,0)</f>
        <v>0</v>
      </c>
      <c r="GJ280">
        <f t="shared" ca="1" si="903"/>
        <v>0</v>
      </c>
      <c r="GK280">
        <f t="shared" ca="1" si="904"/>
        <v>0</v>
      </c>
      <c r="GL280">
        <f t="shared" ca="1" si="905"/>
        <v>0</v>
      </c>
      <c r="GM280">
        <f t="shared" ca="1" si="906"/>
        <v>156711</v>
      </c>
      <c r="GN280">
        <f t="shared" ca="1" si="907"/>
        <v>7835.55</v>
      </c>
      <c r="GO280">
        <f t="shared" ca="1" si="908"/>
        <v>7836</v>
      </c>
      <c r="GP280">
        <f t="shared" ca="1" si="909"/>
        <v>0</v>
      </c>
      <c r="GQ280">
        <f t="shared" ca="1" si="910"/>
        <v>0</v>
      </c>
      <c r="GR280">
        <f t="shared" ca="1" si="911"/>
        <v>7836</v>
      </c>
      <c r="GS280">
        <f t="shared" ca="1" si="912"/>
        <v>0</v>
      </c>
      <c r="GT280" t="b">
        <f t="shared" ca="1" si="913"/>
        <v>0</v>
      </c>
      <c r="GU280">
        <f t="shared" ca="1" si="914"/>
        <v>0</v>
      </c>
      <c r="GV280">
        <f t="shared" ca="1" si="915"/>
        <v>7836</v>
      </c>
      <c r="GW280">
        <f t="shared" ca="1" si="916"/>
        <v>0</v>
      </c>
      <c r="GX280">
        <f t="shared" ca="1" si="917"/>
        <v>0</v>
      </c>
      <c r="GY280">
        <f t="shared" ca="1" si="918"/>
        <v>0</v>
      </c>
    </row>
    <row r="281" spans="1:207" x14ac:dyDescent="0.25">
      <c r="A281">
        <f>_xlfn.AGGREGATE(3,5,$B$2:B281)</f>
        <v>280</v>
      </c>
      <c r="B281" t="s">
        <v>648</v>
      </c>
      <c r="C281" t="s">
        <v>649</v>
      </c>
      <c r="D281" t="s">
        <v>821</v>
      </c>
      <c r="E281" t="s">
        <v>830</v>
      </c>
      <c r="F281" t="s">
        <v>952</v>
      </c>
      <c r="G281" t="s">
        <v>879</v>
      </c>
      <c r="H281">
        <f t="shared" si="813"/>
        <v>6800</v>
      </c>
      <c r="I281">
        <f>_xlfn.XLOOKUP(B281,'[1]march-2026'!$A:$A,'[1]march-2026'!$C:$C,0,0)</f>
        <v>53300</v>
      </c>
      <c r="J281">
        <f t="shared" si="877"/>
        <v>9594</v>
      </c>
      <c r="K281">
        <f t="shared" si="814"/>
        <v>6396</v>
      </c>
      <c r="L281">
        <f>_xlfn.XLOOKUP(B281,'[1]march-2026'!$A:$A,'[1]march-2026'!$D:$D,0,0)</f>
        <v>400</v>
      </c>
      <c r="M281">
        <f>_xlfn.XLOOKUP(B281,'[1]march-2026'!$A:$A,'[1]march-2026'!$G:$G,0,0)</f>
        <v>500</v>
      </c>
      <c r="N281">
        <f t="shared" si="815"/>
        <v>70190</v>
      </c>
      <c r="O281">
        <f>_xlfn.XLOOKUP(B281,'[1]march-2026'!$A:$A,'[1]march-2026'!$H:$H,0,0)</f>
        <v>4000</v>
      </c>
      <c r="P281">
        <f>_xlfn.XLOOKUP(B281,'[1]march-2026'!$A:$A,'[1]march-2026'!$I:$I,0,0)</f>
        <v>0</v>
      </c>
      <c r="Q281">
        <f t="shared" si="816"/>
        <v>200</v>
      </c>
      <c r="R281">
        <f t="shared" si="817"/>
        <v>65990</v>
      </c>
      <c r="S281">
        <f>_xlfn.XLOOKUP(B281,'[2]april-2026'!$A:$A,'[2]april-2026'!$C:$C,0,0)</f>
        <v>53300</v>
      </c>
      <c r="T281">
        <f t="shared" si="818"/>
        <v>9594</v>
      </c>
      <c r="U281">
        <f t="shared" si="819"/>
        <v>6396</v>
      </c>
      <c r="V281">
        <f>_xlfn.XLOOKUP(B281,'[2]april-2026'!$A:$A,'[2]april-2026'!$D:$D,0,0)</f>
        <v>400</v>
      </c>
      <c r="W281">
        <f>_xlfn.XLOOKUP(B281,'[2]april-2026'!$A:$A,'[2]april-2026'!$G:$G,0,0)</f>
        <v>500</v>
      </c>
      <c r="X281">
        <f t="shared" si="820"/>
        <v>70190</v>
      </c>
      <c r="Y281">
        <f>_xlfn.XLOOKUP(B281,'[2]april-2026'!$A:$A,'[2]april-2026'!$H:$H,0,0)</f>
        <v>4000</v>
      </c>
      <c r="Z281">
        <f>_xlfn.XLOOKUP(B281,'[2]april-2026'!$A:$A,'[2]april-2026'!$I:$I,0,0)</f>
        <v>0</v>
      </c>
      <c r="AA281">
        <f t="shared" si="821"/>
        <v>200</v>
      </c>
      <c r="AB281">
        <f t="shared" si="822"/>
        <v>65990</v>
      </c>
      <c r="AC281">
        <f>_xlfn.XLOOKUP(B281,'[3]may-2026'!$A:$A,'[3]may-2026'!$C:$C,0,0)</f>
        <v>53300</v>
      </c>
      <c r="AD281">
        <f t="shared" si="823"/>
        <v>9594</v>
      </c>
      <c r="AE281">
        <f t="shared" si="824"/>
        <v>6396</v>
      </c>
      <c r="AF281">
        <f>_xlfn.XLOOKUP(B281,'[3]may-2026'!$A:$A,'[3]may-2026'!$D:$D,0,0)</f>
        <v>400</v>
      </c>
      <c r="AG281">
        <f>_xlfn.XLOOKUP(B281,'[3]may-2026'!$A:$A,'[3]may-2026'!$G:$G,0,0)</f>
        <v>500</v>
      </c>
      <c r="AH281">
        <f t="shared" si="825"/>
        <v>70190</v>
      </c>
      <c r="AI281">
        <f>_xlfn.XLOOKUP(B281,'[3]may-2026'!$A:$A,'[3]may-2026'!$H:$H,0,0)</f>
        <v>4000</v>
      </c>
      <c r="AJ281">
        <f>_xlfn.XLOOKUP(B281,'[3]may-2026'!$A:$A,'[3]may-2026'!$I:$I,0,0)</f>
        <v>0</v>
      </c>
      <c r="AK281">
        <f t="shared" si="826"/>
        <v>200</v>
      </c>
      <c r="AL281">
        <f t="shared" si="827"/>
        <v>65990</v>
      </c>
      <c r="AM281">
        <f>_xlfn.XLOOKUP(B281,'[4]june-2026'!$A:$A,'[4]june-2026'!$C:$C,0,0)</f>
        <v>53300</v>
      </c>
      <c r="AN281">
        <f t="shared" si="828"/>
        <v>9594</v>
      </c>
      <c r="AO281">
        <f t="shared" si="829"/>
        <v>6396</v>
      </c>
      <c r="AP281">
        <f>_xlfn.XLOOKUP(B281,'[4]june-2026'!$A:$A,'[4]june-2026'!$D:$D,0,0)</f>
        <v>400</v>
      </c>
      <c r="AQ281">
        <f>_xlfn.XLOOKUP(B281,'[4]june-2026'!$A:$A,'[4]june-2026'!$G:$G,0,0)</f>
        <v>500</v>
      </c>
      <c r="AR281">
        <f t="shared" si="830"/>
        <v>70190</v>
      </c>
      <c r="AS281">
        <f>_xlfn.XLOOKUP(B281,'[4]june-2026'!$A:$A,'[4]june-2026'!$H:$H,0,0)</f>
        <v>4000</v>
      </c>
      <c r="AT281">
        <f>_xlfn.XLOOKUP(B281,'[4]june-2026'!$A:$A,'[4]june-2026'!$I:$I,0,0)</f>
        <v>0</v>
      </c>
      <c r="AU281">
        <f t="shared" si="831"/>
        <v>200</v>
      </c>
      <c r="AV281">
        <f t="shared" si="832"/>
        <v>65990</v>
      </c>
      <c r="AW281">
        <f>_xlfn.XLOOKUP(B281,'[5]july-2026'!$A:$A,'[5]july-2026'!$C:$C,0,0)</f>
        <v>54900</v>
      </c>
      <c r="AX281">
        <f t="shared" si="833"/>
        <v>9882</v>
      </c>
      <c r="AY281">
        <v>279</v>
      </c>
      <c r="AZ281">
        <f t="shared" si="834"/>
        <v>6588</v>
      </c>
      <c r="BA281">
        <f>_xlfn.XLOOKUP(B281,'[5]july-2026'!$A:$A,'[5]july-2026'!$D:$D,0,0)</f>
        <v>400</v>
      </c>
      <c r="BB281">
        <f>_xlfn.XLOOKUP(B281,'[5]july-2026'!$A:$A,'[5]july-2026'!$G:$G,0,0)</f>
        <v>500</v>
      </c>
      <c r="BC281">
        <f t="shared" si="835"/>
        <v>72549</v>
      </c>
      <c r="BD281">
        <f>_xlfn.XLOOKUP(B281,'[5]july-2026'!$A:$A,'[5]july-2026'!$H:$H,0,0)</f>
        <v>4000</v>
      </c>
      <c r="BE281">
        <f>_xlfn.XLOOKUP(B281,'[5]july-2026'!$A:$A,'[5]july-2026'!$I:$I,0,0)</f>
        <v>0</v>
      </c>
      <c r="BF281">
        <f t="shared" si="836"/>
        <v>200</v>
      </c>
      <c r="BG281">
        <f t="shared" si="837"/>
        <v>68349</v>
      </c>
      <c r="BH281">
        <f>_xlfn.XLOOKUP(B281,'[6]august-2026'!$A:$A,'[6]august-2026'!$C:$C,0,0)</f>
        <v>54900</v>
      </c>
      <c r="BI281">
        <f t="shared" si="838"/>
        <v>9882</v>
      </c>
      <c r="BJ281">
        <f t="shared" si="839"/>
        <v>6588</v>
      </c>
      <c r="BK281">
        <f>_xlfn.XLOOKUP(B281,'[6]august-2026'!$A:$A,'[6]august-2026'!$D:$D,0,0)</f>
        <v>400</v>
      </c>
      <c r="BL281">
        <f>_xlfn.XLOOKUP(B281,'[6]august-2026'!$A:$A,'[6]august-2026'!$G:$G,0,0)</f>
        <v>500</v>
      </c>
      <c r="BM281">
        <f t="shared" si="840"/>
        <v>72270</v>
      </c>
      <c r="BN281">
        <f>_xlfn.XLOOKUP(B281,'[6]august-2026'!$A:$A,'[6]august-2026'!$H:$H,0,0)</f>
        <v>4000</v>
      </c>
      <c r="BO281">
        <f>_xlfn.XLOOKUP(B281,'[6]august-2026'!$A:$A,'[6]august-2026'!$I:$I,0,0)</f>
        <v>0</v>
      </c>
      <c r="BP281">
        <f t="shared" si="841"/>
        <v>200</v>
      </c>
      <c r="BQ281">
        <f t="shared" si="842"/>
        <v>68070</v>
      </c>
      <c r="BR281">
        <f>_xlfn.XLOOKUP(B281,'[7]september-2026'!$A:$A,'[7]september-2026'!$C:$C,0,0)</f>
        <v>54900</v>
      </c>
      <c r="BS281">
        <f t="shared" si="843"/>
        <v>9882</v>
      </c>
      <c r="BT281">
        <f t="shared" si="844"/>
        <v>6588</v>
      </c>
      <c r="BU281">
        <f>_xlfn.XLOOKUP(B281,'[7]september-2026'!$A:$A,'[7]september-2026'!$D:$D,0,0)</f>
        <v>400</v>
      </c>
      <c r="BV281">
        <f>_xlfn.XLOOKUP(B281,'[7]september-2026'!$A:$A,'[7]september-2026'!$G:$G,0,0)</f>
        <v>500</v>
      </c>
      <c r="BW281">
        <f t="shared" si="845"/>
        <v>72270</v>
      </c>
      <c r="BX281">
        <f>_xlfn.XLOOKUP(B281,'[7]september-2026'!$A:$A,'[7]september-2026'!$H:$H,0,0)</f>
        <v>4000</v>
      </c>
      <c r="BY281">
        <f>_xlfn.XLOOKUP(B281,'[7]september-2026'!$A:$A,'[7]september-2026'!$I:$I,0,0)</f>
        <v>0</v>
      </c>
      <c r="BZ281">
        <f t="shared" si="846"/>
        <v>200</v>
      </c>
      <c r="CA281">
        <f t="shared" si="847"/>
        <v>68070</v>
      </c>
      <c r="CB281">
        <f>_xlfn.XLOOKUP(B281,'[8]october-2026'!$A:$A,'[8]october-2026'!$C:$C,0,0)</f>
        <v>54900</v>
      </c>
      <c r="CC281">
        <f t="shared" si="848"/>
        <v>9882</v>
      </c>
      <c r="CD281">
        <f t="shared" si="849"/>
        <v>6588</v>
      </c>
      <c r="CE281">
        <f>_xlfn.XLOOKUP(B281,'[8]october-2026'!$A:$A,'[8]october-2026'!$D:$D,0,0)</f>
        <v>400</v>
      </c>
      <c r="CF281">
        <f>_xlfn.XLOOKUP(B281,'[8]october-2026'!$A:$A,'[8]october-2026'!$G:$G,0,0)</f>
        <v>500</v>
      </c>
      <c r="CG281">
        <f t="shared" si="850"/>
        <v>72270</v>
      </c>
      <c r="CH281">
        <f>_xlfn.XLOOKUP(B281,'[8]october-2026'!$A:$A,'[8]october-2026'!$H:$H,0,0)</f>
        <v>4000</v>
      </c>
      <c r="CI281">
        <f>_xlfn.XLOOKUP(B281,'[8]october-2026'!$A:$A,'[8]october-2026'!$I:$I,0,0)</f>
        <v>0</v>
      </c>
      <c r="CJ281">
        <f t="shared" si="851"/>
        <v>200</v>
      </c>
      <c r="CK281">
        <f t="shared" si="852"/>
        <v>68070</v>
      </c>
      <c r="CL281">
        <f>_xlfn.XLOOKUP(B281,'[9]november-2026'!$A:$A,'[9]november-2026'!$C:$C,0,0)</f>
        <v>54900</v>
      </c>
      <c r="CM281">
        <f t="shared" si="853"/>
        <v>9882</v>
      </c>
      <c r="CN281">
        <f t="shared" si="854"/>
        <v>6588</v>
      </c>
      <c r="CO281">
        <f>_xlfn.XLOOKUP(B281,'[9]november-2026'!$A:$A,'[9]november-2026'!$D:$D,0,0)</f>
        <v>400</v>
      </c>
      <c r="CP281">
        <f>_xlfn.XLOOKUP(B281,'[9]november-2026'!$A:$A,'[9]november-2026'!$G:$G,0,0)</f>
        <v>500</v>
      </c>
      <c r="CQ281">
        <f t="shared" si="855"/>
        <v>72270</v>
      </c>
      <c r="CR281">
        <f>_xlfn.XLOOKUP(B281,'[9]november-2026'!$A:$A,'[9]november-2026'!$H:$H,0,0)</f>
        <v>4000</v>
      </c>
      <c r="CS281">
        <f>_xlfn.XLOOKUP(B281,'[9]november-2026'!$A:$A,'[9]november-2026'!$I:$I,0,0)</f>
        <v>0</v>
      </c>
      <c r="CT281">
        <f t="shared" si="856"/>
        <v>200</v>
      </c>
      <c r="CU281">
        <f t="shared" si="857"/>
        <v>68070</v>
      </c>
      <c r="CV281">
        <f>_xlfn.XLOOKUP(B281,'[10]december-2026'!$A:$A,'[10]december-2026'!$C:$C,0,0)</f>
        <v>54900</v>
      </c>
      <c r="CW281">
        <f t="shared" si="858"/>
        <v>9882</v>
      </c>
      <c r="CX281">
        <f t="shared" si="859"/>
        <v>6588</v>
      </c>
      <c r="CY281">
        <f>_xlfn.XLOOKUP(B281,'[10]december-2026'!$A:$A,'[10]december-2026'!$D:$D,0,0)</f>
        <v>400</v>
      </c>
      <c r="CZ281">
        <f>_xlfn.XLOOKUP(B281,'[10]december-2026'!$A:$A,'[10]december-2026'!$G:$G,0,0)</f>
        <v>500</v>
      </c>
      <c r="DA281">
        <f t="shared" si="860"/>
        <v>72270</v>
      </c>
      <c r="DB281">
        <f>_xlfn.XLOOKUP(B281,'[10]december-2026'!$A:$A,'[10]december-2026'!$H:$H,0,0)</f>
        <v>4000</v>
      </c>
      <c r="DC281">
        <f>_xlfn.XLOOKUP(B281,'[10]december-2026'!$A:$A,'[10]december-2026'!$I:$I,0,0)</f>
        <v>0</v>
      </c>
      <c r="DD281">
        <f t="shared" si="861"/>
        <v>200</v>
      </c>
      <c r="DE281">
        <f t="shared" si="862"/>
        <v>68070</v>
      </c>
      <c r="DF281">
        <f xml:space="preserve"> _xlfn.XLOOKUP(B281,
'[11]january-2027'!$A:$A,
'[11]january-2027'!$C:$C,
0,0)</f>
        <v>54900</v>
      </c>
      <c r="DG281">
        <f t="shared" si="863"/>
        <v>9882</v>
      </c>
      <c r="DH281">
        <f t="shared" si="864"/>
        <v>6588</v>
      </c>
      <c r="DI281">
        <f xml:space="preserve"> _xlfn.XLOOKUP(B281,
'[11]january-2027'!$A:$A,
'[11]january-2027'!$D:$D,
0,0)</f>
        <v>400</v>
      </c>
      <c r="DJ281">
        <f xml:space="preserve"> _xlfn.XLOOKUP(B281,
'[11]january-2027'!$A:$A,
'[11]january-2027'!$G:$G,
0,0)</f>
        <v>500</v>
      </c>
      <c r="DK281">
        <f t="shared" si="865"/>
        <v>72270</v>
      </c>
      <c r="DL281">
        <f xml:space="preserve"> _xlfn.XLOOKUP(B281,
'[11]january-2027'!$A:$A,
'[11]january-2027'!$H:$H,
0,0)</f>
        <v>4000</v>
      </c>
      <c r="DM281">
        <f xml:space="preserve"> _xlfn.XLOOKUP(B281,
'[11]january-2027'!$A:$A,
'[11]january-2027'!$I:$I,
0,0)</f>
        <v>0</v>
      </c>
      <c r="DN281">
        <f t="shared" si="866"/>
        <v>200</v>
      </c>
      <c r="DO281">
        <f t="shared" si="867"/>
        <v>68070</v>
      </c>
      <c r="DP281">
        <f xml:space="preserve"> _xlfn.XLOOKUP(B281,
'[12]february-2027'!$A:$A,
'[12]february-2027'!$C:$C,
0,0)</f>
        <v>54900</v>
      </c>
      <c r="DQ281">
        <f t="shared" si="868"/>
        <v>9882</v>
      </c>
      <c r="DR281">
        <f t="shared" si="869"/>
        <v>6588</v>
      </c>
      <c r="DS281">
        <f xml:space="preserve"> _xlfn.XLOOKUP(B281,
'[12]february-2027'!$A:$A,
'[12]february-2027'!$D:$D,
0,0)</f>
        <v>400</v>
      </c>
      <c r="DT281">
        <f xml:space="preserve"> _xlfn.XLOOKUP(B281,
'[12]february-2027'!$A:$A,
'[12]february-2027'!$G:$G,
0,0)</f>
        <v>500</v>
      </c>
      <c r="DU281">
        <f t="shared" si="870"/>
        <v>72270</v>
      </c>
      <c r="DV281">
        <f xml:space="preserve"> _xlfn.XLOOKUP(B281,
'[12]february-2027'!$A:$A,
'[12]february-2027'!$H:$H,
0,0)</f>
        <v>4000</v>
      </c>
      <c r="DW281">
        <f xml:space="preserve"> _xlfn.XLOOKUP(B281,
'[12]february-2027'!$A:$A,
'[12]february-2027'!$I:$I,
0,0)</f>
        <v>0</v>
      </c>
      <c r="DX281">
        <f t="shared" si="871"/>
        <v>200</v>
      </c>
      <c r="DY281">
        <f t="shared" si="872"/>
        <v>68070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873"/>
        <v>0</v>
      </c>
      <c r="EM281">
        <f t="shared" si="874"/>
        <v>865999</v>
      </c>
      <c r="EN281">
        <f t="shared" si="875"/>
        <v>2400</v>
      </c>
      <c r="EO281">
        <f t="shared" si="876"/>
        <v>50000</v>
      </c>
      <c r="EP281">
        <v>0</v>
      </c>
      <c r="EQ281">
        <f t="shared" si="878"/>
        <v>813599</v>
      </c>
      <c r="ER281">
        <f t="shared" si="879"/>
        <v>48000</v>
      </c>
      <c r="ES281">
        <f t="shared" si="880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881"/>
        <v>48000</v>
      </c>
      <c r="FE281">
        <f t="shared" si="882"/>
        <v>48000</v>
      </c>
      <c r="FF281">
        <f t="shared" si="883"/>
        <v>765599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>SUM(FG281:FM281)+(IF(F281="YES",50000,0))</f>
        <v>0</v>
      </c>
      <c r="FO281">
        <f t="shared" si="884"/>
        <v>765599</v>
      </c>
      <c r="FP281">
        <f t="shared" si="885"/>
        <v>12500</v>
      </c>
      <c r="FQ281">
        <f t="shared" si="886"/>
        <v>53120</v>
      </c>
      <c r="FR281">
        <f t="shared" si="887"/>
        <v>65620</v>
      </c>
      <c r="FS281">
        <f t="shared" si="888"/>
        <v>65620</v>
      </c>
      <c r="FT281">
        <f t="shared" si="889"/>
        <v>2624.8</v>
      </c>
      <c r="FU281">
        <f t="shared" si="890"/>
        <v>68245</v>
      </c>
      <c r="FV281">
        <v>0</v>
      </c>
      <c r="FW281">
        <f t="shared" si="891"/>
        <v>68245</v>
      </c>
      <c r="FX281" t="b">
        <f t="shared" si="892"/>
        <v>1</v>
      </c>
      <c r="FY281">
        <f t="shared" ca="1" si="893"/>
        <v>528</v>
      </c>
      <c r="FZ281">
        <f t="shared" ca="1" si="894"/>
        <v>866527</v>
      </c>
      <c r="GA281">
        <f t="shared" si="895"/>
        <v>75000</v>
      </c>
      <c r="GB281">
        <f t="shared" ca="1" si="896"/>
        <v>791527</v>
      </c>
      <c r="GC281">
        <f t="shared" ca="1" si="897"/>
        <v>0</v>
      </c>
      <c r="GD281">
        <f t="shared" ca="1" si="898"/>
        <v>0</v>
      </c>
      <c r="GE281">
        <f t="shared" ca="1" si="899"/>
        <v>0</v>
      </c>
      <c r="GF281">
        <f t="shared" ca="1" si="900"/>
        <v>0</v>
      </c>
      <c r="GG281">
        <f t="shared" ca="1" si="901"/>
        <v>0</v>
      </c>
      <c r="GH281">
        <f t="shared" ca="1" si="902"/>
        <v>0</v>
      </c>
      <c r="GI281">
        <f ca="1">IF(GB281&gt;1200000,GB281-1200000-IF(F281="YES",50000,0)-GG281,0)</f>
        <v>0</v>
      </c>
      <c r="GJ281">
        <f t="shared" ca="1" si="903"/>
        <v>0</v>
      </c>
      <c r="GK281">
        <f t="shared" ca="1" si="904"/>
        <v>0</v>
      </c>
      <c r="GL281">
        <f t="shared" ca="1" si="905"/>
        <v>0</v>
      </c>
      <c r="GM281">
        <f t="shared" ca="1" si="906"/>
        <v>391527</v>
      </c>
      <c r="GN281">
        <f t="shared" ca="1" si="907"/>
        <v>19576.350000000002</v>
      </c>
      <c r="GO281">
        <f t="shared" ca="1" si="908"/>
        <v>19576</v>
      </c>
      <c r="GP281">
        <f t="shared" ca="1" si="909"/>
        <v>0</v>
      </c>
      <c r="GQ281">
        <f t="shared" ca="1" si="910"/>
        <v>0</v>
      </c>
      <c r="GR281">
        <f t="shared" ca="1" si="911"/>
        <v>19576</v>
      </c>
      <c r="GS281">
        <f t="shared" ca="1" si="912"/>
        <v>0</v>
      </c>
      <c r="GT281" t="b">
        <f t="shared" ca="1" si="913"/>
        <v>0</v>
      </c>
      <c r="GU281">
        <f t="shared" ca="1" si="914"/>
        <v>0</v>
      </c>
      <c r="GV281">
        <f t="shared" ca="1" si="915"/>
        <v>19576</v>
      </c>
      <c r="GW281">
        <f t="shared" ca="1" si="916"/>
        <v>0</v>
      </c>
      <c r="GX281">
        <f t="shared" ca="1" si="917"/>
        <v>0</v>
      </c>
      <c r="GY281">
        <f t="shared" ca="1" si="918"/>
        <v>0</v>
      </c>
    </row>
    <row r="282" spans="1:207" x14ac:dyDescent="0.25">
      <c r="A282">
        <f>_xlfn.AGGREGATE(3,5,$B$2:B282)</f>
        <v>281</v>
      </c>
      <c r="B282" t="s">
        <v>650</v>
      </c>
      <c r="C282" t="s">
        <v>651</v>
      </c>
      <c r="D282" t="s">
        <v>821</v>
      </c>
      <c r="E282" t="s">
        <v>830</v>
      </c>
      <c r="F282" t="s">
        <v>952</v>
      </c>
      <c r="G282" t="s">
        <v>876</v>
      </c>
      <c r="H282">
        <f t="shared" si="813"/>
        <v>6800</v>
      </c>
      <c r="I282">
        <f>_xlfn.XLOOKUP(B282,'[1]march-2026'!$A:$A,'[1]march-2026'!$C:$C,0,0)</f>
        <v>30700</v>
      </c>
      <c r="J282">
        <f t="shared" si="877"/>
        <v>5526</v>
      </c>
      <c r="K282">
        <f t="shared" si="814"/>
        <v>3684</v>
      </c>
      <c r="L282">
        <f>_xlfn.XLOOKUP(B282,'[1]march-2026'!$A:$A,'[1]march-2026'!$D:$D,0,0)</f>
        <v>0</v>
      </c>
      <c r="M282">
        <f>_xlfn.XLOOKUP(B282,'[1]march-2026'!$A:$A,'[1]march-2026'!$G:$G,0,0)</f>
        <v>500</v>
      </c>
      <c r="N282">
        <f t="shared" si="815"/>
        <v>40410</v>
      </c>
      <c r="O282">
        <f>_xlfn.XLOOKUP(B282,'[1]march-2026'!$A:$A,'[1]march-2026'!$H:$H,0,0)</f>
        <v>2000</v>
      </c>
      <c r="P282">
        <f>_xlfn.XLOOKUP(B282,'[1]march-2026'!$A:$A,'[1]march-2026'!$I:$I,0,0)</f>
        <v>0</v>
      </c>
      <c r="Q282">
        <f t="shared" si="816"/>
        <v>200</v>
      </c>
      <c r="R282">
        <f t="shared" si="817"/>
        <v>38210</v>
      </c>
      <c r="S282">
        <f>_xlfn.XLOOKUP(B282,'[2]april-2026'!$A:$A,'[2]april-2026'!$C:$C,0,0)</f>
        <v>30700</v>
      </c>
      <c r="T282">
        <f t="shared" si="818"/>
        <v>5526</v>
      </c>
      <c r="U282">
        <f t="shared" si="819"/>
        <v>3684</v>
      </c>
      <c r="V282">
        <f>_xlfn.XLOOKUP(B282,'[2]april-2026'!$A:$A,'[2]april-2026'!$D:$D,0,0)</f>
        <v>0</v>
      </c>
      <c r="W282">
        <f>_xlfn.XLOOKUP(B282,'[2]april-2026'!$A:$A,'[2]april-2026'!$G:$G,0,0)</f>
        <v>500</v>
      </c>
      <c r="X282">
        <f t="shared" si="820"/>
        <v>40410</v>
      </c>
      <c r="Y282">
        <f>_xlfn.XLOOKUP(B282,'[2]april-2026'!$A:$A,'[2]april-2026'!$H:$H,0,0)</f>
        <v>2000</v>
      </c>
      <c r="Z282">
        <f>_xlfn.XLOOKUP(B282,'[2]april-2026'!$A:$A,'[2]april-2026'!$I:$I,0,0)</f>
        <v>0</v>
      </c>
      <c r="AA282">
        <f t="shared" si="821"/>
        <v>200</v>
      </c>
      <c r="AB282">
        <f t="shared" si="822"/>
        <v>38210</v>
      </c>
      <c r="AC282">
        <f>_xlfn.XLOOKUP(B282,'[3]may-2026'!$A:$A,'[3]may-2026'!$C:$C,0,0)</f>
        <v>30700</v>
      </c>
      <c r="AD282">
        <f t="shared" si="823"/>
        <v>5526</v>
      </c>
      <c r="AE282">
        <f t="shared" si="824"/>
        <v>3684</v>
      </c>
      <c r="AF282">
        <f>_xlfn.XLOOKUP(B282,'[3]may-2026'!$A:$A,'[3]may-2026'!$D:$D,0,0)</f>
        <v>0</v>
      </c>
      <c r="AG282">
        <f>_xlfn.XLOOKUP(B282,'[3]may-2026'!$A:$A,'[3]may-2026'!$G:$G,0,0)</f>
        <v>500</v>
      </c>
      <c r="AH282">
        <f t="shared" si="825"/>
        <v>40410</v>
      </c>
      <c r="AI282">
        <f>_xlfn.XLOOKUP(B282,'[3]may-2026'!$A:$A,'[3]may-2026'!$H:$H,0,0)</f>
        <v>2000</v>
      </c>
      <c r="AJ282">
        <f>_xlfn.XLOOKUP(B282,'[3]may-2026'!$A:$A,'[3]may-2026'!$I:$I,0,0)</f>
        <v>0</v>
      </c>
      <c r="AK282">
        <f t="shared" si="826"/>
        <v>200</v>
      </c>
      <c r="AL282">
        <f t="shared" si="827"/>
        <v>38210</v>
      </c>
      <c r="AM282">
        <f>_xlfn.XLOOKUP(B282,'[4]june-2026'!$A:$A,'[4]june-2026'!$C:$C,0,0)</f>
        <v>30700</v>
      </c>
      <c r="AN282">
        <f t="shared" si="828"/>
        <v>5526</v>
      </c>
      <c r="AO282">
        <f t="shared" si="829"/>
        <v>3684</v>
      </c>
      <c r="AP282">
        <f>_xlfn.XLOOKUP(B282,'[4]june-2026'!$A:$A,'[4]june-2026'!$D:$D,0,0)</f>
        <v>0</v>
      </c>
      <c r="AQ282">
        <f>_xlfn.XLOOKUP(B282,'[4]june-2026'!$A:$A,'[4]june-2026'!$G:$G,0,0)</f>
        <v>500</v>
      </c>
      <c r="AR282">
        <f t="shared" si="830"/>
        <v>40410</v>
      </c>
      <c r="AS282">
        <f>_xlfn.XLOOKUP(B282,'[4]june-2026'!$A:$A,'[4]june-2026'!$H:$H,0,0)</f>
        <v>2000</v>
      </c>
      <c r="AT282">
        <f>_xlfn.XLOOKUP(B282,'[4]june-2026'!$A:$A,'[4]june-2026'!$I:$I,0,0)</f>
        <v>0</v>
      </c>
      <c r="AU282">
        <f t="shared" si="831"/>
        <v>200</v>
      </c>
      <c r="AV282">
        <f t="shared" si="832"/>
        <v>38210</v>
      </c>
      <c r="AW282">
        <f>_xlfn.XLOOKUP(B282,'[5]july-2026'!$A:$A,'[5]july-2026'!$C:$C,0,0)</f>
        <v>31600</v>
      </c>
      <c r="AX282">
        <f t="shared" si="833"/>
        <v>5688</v>
      </c>
      <c r="AY282">
        <v>280</v>
      </c>
      <c r="AZ282">
        <f t="shared" si="834"/>
        <v>3792</v>
      </c>
      <c r="BA282">
        <f>_xlfn.XLOOKUP(B282,'[5]july-2026'!$A:$A,'[5]july-2026'!$D:$D,0,0)</f>
        <v>0</v>
      </c>
      <c r="BB282">
        <f>_xlfn.XLOOKUP(B282,'[5]july-2026'!$A:$A,'[5]july-2026'!$G:$G,0,0)</f>
        <v>500</v>
      </c>
      <c r="BC282">
        <f t="shared" si="835"/>
        <v>41860</v>
      </c>
      <c r="BD282">
        <f>_xlfn.XLOOKUP(B282,'[5]july-2026'!$A:$A,'[5]july-2026'!$H:$H,0,0)</f>
        <v>2000</v>
      </c>
      <c r="BE282">
        <f>_xlfn.XLOOKUP(B282,'[5]july-2026'!$A:$A,'[5]july-2026'!$I:$I,0,0)</f>
        <v>0</v>
      </c>
      <c r="BF282">
        <f t="shared" si="836"/>
        <v>200</v>
      </c>
      <c r="BG282">
        <f t="shared" si="837"/>
        <v>39660</v>
      </c>
      <c r="BH282">
        <f>_xlfn.XLOOKUP(B282,'[6]august-2026'!$A:$A,'[6]august-2026'!$C:$C,0,0)</f>
        <v>31600</v>
      </c>
      <c r="BI282">
        <f t="shared" si="838"/>
        <v>5688</v>
      </c>
      <c r="BJ282">
        <f t="shared" si="839"/>
        <v>3792</v>
      </c>
      <c r="BK282">
        <f>_xlfn.XLOOKUP(B282,'[6]august-2026'!$A:$A,'[6]august-2026'!$D:$D,0,0)</f>
        <v>0</v>
      </c>
      <c r="BL282">
        <f>_xlfn.XLOOKUP(B282,'[6]august-2026'!$A:$A,'[6]august-2026'!$G:$G,0,0)</f>
        <v>500</v>
      </c>
      <c r="BM282">
        <f t="shared" si="840"/>
        <v>41580</v>
      </c>
      <c r="BN282">
        <f>_xlfn.XLOOKUP(B282,'[6]august-2026'!$A:$A,'[6]august-2026'!$H:$H,0,0)</f>
        <v>2000</v>
      </c>
      <c r="BO282">
        <f>_xlfn.XLOOKUP(B282,'[6]august-2026'!$A:$A,'[6]august-2026'!$I:$I,0,0)</f>
        <v>0</v>
      </c>
      <c r="BP282">
        <f t="shared" si="841"/>
        <v>200</v>
      </c>
      <c r="BQ282">
        <f t="shared" si="842"/>
        <v>39380</v>
      </c>
      <c r="BR282">
        <f>_xlfn.XLOOKUP(B282,'[7]september-2026'!$A:$A,'[7]september-2026'!$C:$C,0,0)</f>
        <v>31600</v>
      </c>
      <c r="BS282">
        <f t="shared" si="843"/>
        <v>5688</v>
      </c>
      <c r="BT282">
        <f t="shared" si="844"/>
        <v>3792</v>
      </c>
      <c r="BU282">
        <f>_xlfn.XLOOKUP(B282,'[7]september-2026'!$A:$A,'[7]september-2026'!$D:$D,0,0)</f>
        <v>0</v>
      </c>
      <c r="BV282">
        <f>_xlfn.XLOOKUP(B282,'[7]september-2026'!$A:$A,'[7]september-2026'!$G:$G,0,0)</f>
        <v>500</v>
      </c>
      <c r="BW282">
        <f t="shared" si="845"/>
        <v>41580</v>
      </c>
      <c r="BX282">
        <f>_xlfn.XLOOKUP(B282,'[7]september-2026'!$A:$A,'[7]september-2026'!$H:$H,0,0)</f>
        <v>2000</v>
      </c>
      <c r="BY282">
        <f>_xlfn.XLOOKUP(B282,'[7]september-2026'!$A:$A,'[7]september-2026'!$I:$I,0,0)</f>
        <v>0</v>
      </c>
      <c r="BZ282">
        <f t="shared" si="846"/>
        <v>200</v>
      </c>
      <c r="CA282">
        <f t="shared" si="847"/>
        <v>39380</v>
      </c>
      <c r="CB282">
        <f>_xlfn.XLOOKUP(B282,'[8]october-2026'!$A:$A,'[8]october-2026'!$C:$C,0,0)</f>
        <v>31600</v>
      </c>
      <c r="CC282">
        <f t="shared" si="848"/>
        <v>5688</v>
      </c>
      <c r="CD282">
        <f t="shared" si="849"/>
        <v>3792</v>
      </c>
      <c r="CE282">
        <f>_xlfn.XLOOKUP(B282,'[8]october-2026'!$A:$A,'[8]october-2026'!$D:$D,0,0)</f>
        <v>0</v>
      </c>
      <c r="CF282">
        <f>_xlfn.XLOOKUP(B282,'[8]october-2026'!$A:$A,'[8]october-2026'!$G:$G,0,0)</f>
        <v>500</v>
      </c>
      <c r="CG282">
        <f t="shared" si="850"/>
        <v>41580</v>
      </c>
      <c r="CH282">
        <f>_xlfn.XLOOKUP(B282,'[8]october-2026'!$A:$A,'[8]october-2026'!$H:$H,0,0)</f>
        <v>2000</v>
      </c>
      <c r="CI282">
        <f>_xlfn.XLOOKUP(B282,'[8]october-2026'!$A:$A,'[8]october-2026'!$I:$I,0,0)</f>
        <v>0</v>
      </c>
      <c r="CJ282">
        <f t="shared" si="851"/>
        <v>200</v>
      </c>
      <c r="CK282">
        <f t="shared" si="852"/>
        <v>39380</v>
      </c>
      <c r="CL282">
        <f>_xlfn.XLOOKUP(B282,'[9]november-2026'!$A:$A,'[9]november-2026'!$C:$C,0,0)</f>
        <v>31600</v>
      </c>
      <c r="CM282">
        <f t="shared" si="853"/>
        <v>5688</v>
      </c>
      <c r="CN282">
        <f t="shared" si="854"/>
        <v>3792</v>
      </c>
      <c r="CO282">
        <f>_xlfn.XLOOKUP(B282,'[9]november-2026'!$A:$A,'[9]november-2026'!$D:$D,0,0)</f>
        <v>0</v>
      </c>
      <c r="CP282">
        <f>_xlfn.XLOOKUP(B282,'[9]november-2026'!$A:$A,'[9]november-2026'!$G:$G,0,0)</f>
        <v>500</v>
      </c>
      <c r="CQ282">
        <f t="shared" si="855"/>
        <v>41580</v>
      </c>
      <c r="CR282">
        <f>_xlfn.XLOOKUP(B282,'[9]november-2026'!$A:$A,'[9]november-2026'!$H:$H,0,0)</f>
        <v>2000</v>
      </c>
      <c r="CS282">
        <f>_xlfn.XLOOKUP(B282,'[9]november-2026'!$A:$A,'[9]november-2026'!$I:$I,0,0)</f>
        <v>0</v>
      </c>
      <c r="CT282">
        <f t="shared" si="856"/>
        <v>200</v>
      </c>
      <c r="CU282">
        <f t="shared" si="857"/>
        <v>39380</v>
      </c>
      <c r="CV282">
        <f>_xlfn.XLOOKUP(B282,'[10]december-2026'!$A:$A,'[10]december-2026'!$C:$C,0,0)</f>
        <v>31600</v>
      </c>
      <c r="CW282">
        <f t="shared" si="858"/>
        <v>5688</v>
      </c>
      <c r="CX282">
        <f t="shared" si="859"/>
        <v>3792</v>
      </c>
      <c r="CY282">
        <f>_xlfn.XLOOKUP(B282,'[10]december-2026'!$A:$A,'[10]december-2026'!$D:$D,0,0)</f>
        <v>0</v>
      </c>
      <c r="CZ282">
        <f>_xlfn.XLOOKUP(B282,'[10]december-2026'!$A:$A,'[10]december-2026'!$G:$G,0,0)</f>
        <v>500</v>
      </c>
      <c r="DA282">
        <f t="shared" si="860"/>
        <v>41580</v>
      </c>
      <c r="DB282">
        <f>_xlfn.XLOOKUP(B282,'[10]december-2026'!$A:$A,'[10]december-2026'!$H:$H,0,0)</f>
        <v>2000</v>
      </c>
      <c r="DC282">
        <f>_xlfn.XLOOKUP(B282,'[10]december-2026'!$A:$A,'[10]december-2026'!$I:$I,0,0)</f>
        <v>0</v>
      </c>
      <c r="DD282">
        <f t="shared" si="861"/>
        <v>200</v>
      </c>
      <c r="DE282">
        <f t="shared" si="862"/>
        <v>39380</v>
      </c>
      <c r="DF282">
        <f xml:space="preserve"> _xlfn.XLOOKUP(B282,
'[11]january-2027'!$A:$A,
'[11]january-2027'!$C:$C,
0,0)</f>
        <v>31600</v>
      </c>
      <c r="DG282">
        <f t="shared" si="863"/>
        <v>5688</v>
      </c>
      <c r="DH282">
        <f t="shared" si="864"/>
        <v>3792</v>
      </c>
      <c r="DI282">
        <f xml:space="preserve"> _xlfn.XLOOKUP(B282,
'[11]january-2027'!$A:$A,
'[11]january-2027'!$D:$D,
0,0)</f>
        <v>0</v>
      </c>
      <c r="DJ282">
        <f xml:space="preserve"> _xlfn.XLOOKUP(B282,
'[11]january-2027'!$A:$A,
'[11]january-2027'!$G:$G,
0,0)</f>
        <v>500</v>
      </c>
      <c r="DK282">
        <f t="shared" si="865"/>
        <v>41580</v>
      </c>
      <c r="DL282">
        <f xml:space="preserve"> _xlfn.XLOOKUP(B282,
'[11]january-2027'!$A:$A,
'[11]january-2027'!$H:$H,
0,0)</f>
        <v>2000</v>
      </c>
      <c r="DM282">
        <f xml:space="preserve"> _xlfn.XLOOKUP(B282,
'[11]january-2027'!$A:$A,
'[11]january-2027'!$I:$I,
0,0)</f>
        <v>0</v>
      </c>
      <c r="DN282">
        <f t="shared" si="866"/>
        <v>200</v>
      </c>
      <c r="DO282">
        <f t="shared" si="867"/>
        <v>39380</v>
      </c>
      <c r="DP282">
        <f xml:space="preserve"> _xlfn.XLOOKUP(B282,
'[12]february-2027'!$A:$A,
'[12]february-2027'!$C:$C,
0,0)</f>
        <v>31600</v>
      </c>
      <c r="DQ282">
        <f t="shared" si="868"/>
        <v>5688</v>
      </c>
      <c r="DR282">
        <f t="shared" si="869"/>
        <v>3792</v>
      </c>
      <c r="DS282">
        <f xml:space="preserve"> _xlfn.XLOOKUP(B282,
'[12]february-2027'!$A:$A,
'[12]february-2027'!$D:$D,
0,0)</f>
        <v>0</v>
      </c>
      <c r="DT282">
        <f xml:space="preserve"> _xlfn.XLOOKUP(B282,
'[12]february-2027'!$A:$A,
'[12]february-2027'!$G:$G,
0,0)</f>
        <v>500</v>
      </c>
      <c r="DU282">
        <f t="shared" si="870"/>
        <v>41580</v>
      </c>
      <c r="DV282">
        <f xml:space="preserve"> _xlfn.XLOOKUP(B282,
'[12]february-2027'!$A:$A,
'[12]february-2027'!$H:$H,
0,0)</f>
        <v>2000</v>
      </c>
      <c r="DW282">
        <f xml:space="preserve"> _xlfn.XLOOKUP(B282,
'[12]february-2027'!$A:$A,
'[12]february-2027'!$I:$I,
0,0)</f>
        <v>0</v>
      </c>
      <c r="DX282">
        <f t="shared" si="871"/>
        <v>200</v>
      </c>
      <c r="DY282">
        <f t="shared" si="872"/>
        <v>39380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873"/>
        <v>0</v>
      </c>
      <c r="EM282">
        <f t="shared" si="874"/>
        <v>501360</v>
      </c>
      <c r="EN282">
        <f t="shared" si="875"/>
        <v>2400</v>
      </c>
      <c r="EO282">
        <f t="shared" si="876"/>
        <v>50000</v>
      </c>
      <c r="EP282">
        <v>0</v>
      </c>
      <c r="EQ282">
        <f t="shared" si="878"/>
        <v>448960</v>
      </c>
      <c r="ER282">
        <f t="shared" si="879"/>
        <v>24000</v>
      </c>
      <c r="ES282">
        <f t="shared" si="880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881"/>
        <v>24000</v>
      </c>
      <c r="FE282">
        <f t="shared" si="882"/>
        <v>24000</v>
      </c>
      <c r="FF282">
        <f t="shared" si="883"/>
        <v>424960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>SUM(FG282:FM282)+(IF(F282="YES",50000,0))</f>
        <v>0</v>
      </c>
      <c r="FO282">
        <f t="shared" si="884"/>
        <v>424960</v>
      </c>
      <c r="FP282">
        <f t="shared" si="885"/>
        <v>8748</v>
      </c>
      <c r="FQ282">
        <f t="shared" si="886"/>
        <v>0</v>
      </c>
      <c r="FR282">
        <f t="shared" si="887"/>
        <v>8748</v>
      </c>
      <c r="FS282">
        <f t="shared" si="888"/>
        <v>0</v>
      </c>
      <c r="FT282">
        <f t="shared" si="889"/>
        <v>0</v>
      </c>
      <c r="FU282">
        <f t="shared" si="890"/>
        <v>0</v>
      </c>
      <c r="FV282">
        <v>0</v>
      </c>
      <c r="FW282">
        <f t="shared" si="891"/>
        <v>0</v>
      </c>
      <c r="FX282" t="b">
        <f t="shared" si="892"/>
        <v>1</v>
      </c>
      <c r="FY282">
        <f t="shared" ca="1" si="893"/>
        <v>531</v>
      </c>
      <c r="FZ282">
        <f t="shared" ca="1" si="894"/>
        <v>501891</v>
      </c>
      <c r="GA282">
        <f t="shared" si="895"/>
        <v>75000</v>
      </c>
      <c r="GB282">
        <f t="shared" ca="1" si="896"/>
        <v>426891</v>
      </c>
      <c r="GC282">
        <f t="shared" ca="1" si="897"/>
        <v>0</v>
      </c>
      <c r="GD282">
        <f t="shared" ca="1" si="898"/>
        <v>0</v>
      </c>
      <c r="GE282">
        <f t="shared" ca="1" si="899"/>
        <v>0</v>
      </c>
      <c r="GF282">
        <f t="shared" ca="1" si="900"/>
        <v>0</v>
      </c>
      <c r="GG282">
        <f t="shared" ca="1" si="901"/>
        <v>0</v>
      </c>
      <c r="GH282">
        <f t="shared" ca="1" si="902"/>
        <v>0</v>
      </c>
      <c r="GI282">
        <f ca="1">IF(GB282&gt;1200000,GB282-1200000-IF(F282="YES",50000,0)-GG282,0)</f>
        <v>0</v>
      </c>
      <c r="GJ282">
        <f t="shared" ca="1" si="903"/>
        <v>0</v>
      </c>
      <c r="GK282">
        <f t="shared" ca="1" si="904"/>
        <v>0</v>
      </c>
      <c r="GL282">
        <f t="shared" ca="1" si="905"/>
        <v>0</v>
      </c>
      <c r="GM282">
        <f t="shared" ca="1" si="906"/>
        <v>26891</v>
      </c>
      <c r="GN282">
        <f t="shared" ca="1" si="907"/>
        <v>1344.5500000000002</v>
      </c>
      <c r="GO282">
        <f t="shared" ca="1" si="908"/>
        <v>1345</v>
      </c>
      <c r="GP282">
        <f t="shared" ca="1" si="909"/>
        <v>0</v>
      </c>
      <c r="GQ282">
        <f t="shared" ca="1" si="910"/>
        <v>0</v>
      </c>
      <c r="GR282">
        <f t="shared" ca="1" si="911"/>
        <v>1345</v>
      </c>
      <c r="GS282">
        <f t="shared" ca="1" si="912"/>
        <v>0</v>
      </c>
      <c r="GT282" t="b">
        <f t="shared" ca="1" si="913"/>
        <v>0</v>
      </c>
      <c r="GU282">
        <f t="shared" ca="1" si="914"/>
        <v>0</v>
      </c>
      <c r="GV282">
        <f t="shared" ca="1" si="915"/>
        <v>1345</v>
      </c>
      <c r="GW282">
        <f t="shared" ca="1" si="916"/>
        <v>0</v>
      </c>
      <c r="GX282">
        <f t="shared" ca="1" si="917"/>
        <v>0</v>
      </c>
      <c r="GY282">
        <f t="shared" ca="1" si="918"/>
        <v>0</v>
      </c>
    </row>
    <row r="283" spans="1:207" x14ac:dyDescent="0.25">
      <c r="A283">
        <f>_xlfn.AGGREGATE(3,5,$B$2:B283)</f>
        <v>282</v>
      </c>
      <c r="B283" t="s">
        <v>652</v>
      </c>
      <c r="C283" t="s">
        <v>653</v>
      </c>
      <c r="D283" t="s">
        <v>822</v>
      </c>
      <c r="E283" t="s">
        <v>830</v>
      </c>
      <c r="F283" t="s">
        <v>952</v>
      </c>
      <c r="G283" t="s">
        <v>884</v>
      </c>
      <c r="H283">
        <f t="shared" si="813"/>
        <v>6800</v>
      </c>
      <c r="I283">
        <f>_xlfn.XLOOKUP(B283,'[1]march-2026'!$A:$A,'[1]march-2026'!$C:$C,0,0)</f>
        <v>48700</v>
      </c>
      <c r="J283">
        <f t="shared" si="877"/>
        <v>8766</v>
      </c>
      <c r="K283">
        <f t="shared" si="814"/>
        <v>5844</v>
      </c>
      <c r="L283">
        <f>_xlfn.XLOOKUP(B283,'[1]march-2026'!$A:$A,'[1]march-2026'!$D:$D,0,0)</f>
        <v>400</v>
      </c>
      <c r="M283">
        <f>_xlfn.XLOOKUP(B283,'[1]march-2026'!$A:$A,'[1]march-2026'!$G:$G,0,0)</f>
        <v>0</v>
      </c>
      <c r="N283">
        <f t="shared" si="815"/>
        <v>63710</v>
      </c>
      <c r="O283">
        <f>_xlfn.XLOOKUP(B283,'[1]march-2026'!$A:$A,'[1]march-2026'!$H:$H,0,0)</f>
        <v>0</v>
      </c>
      <c r="P283">
        <f>_xlfn.XLOOKUP(B283,'[1]march-2026'!$A:$A,'[1]march-2026'!$I:$I,0,0)</f>
        <v>60</v>
      </c>
      <c r="Q283">
        <f t="shared" si="816"/>
        <v>200</v>
      </c>
      <c r="R283">
        <f t="shared" si="817"/>
        <v>63450</v>
      </c>
      <c r="S283">
        <f>_xlfn.XLOOKUP(B283,'[2]april-2026'!$A:$A,'[2]april-2026'!$C:$C,0,0)</f>
        <v>48700</v>
      </c>
      <c r="T283">
        <f t="shared" si="818"/>
        <v>8766</v>
      </c>
      <c r="U283">
        <f t="shared" si="819"/>
        <v>5844</v>
      </c>
      <c r="V283">
        <f>_xlfn.XLOOKUP(B283,'[2]april-2026'!$A:$A,'[2]april-2026'!$D:$D,0,0)</f>
        <v>400</v>
      </c>
      <c r="W283">
        <f>_xlfn.XLOOKUP(B283,'[2]april-2026'!$A:$A,'[2]april-2026'!$G:$G,0,0)</f>
        <v>0</v>
      </c>
      <c r="X283">
        <f t="shared" si="820"/>
        <v>63710</v>
      </c>
      <c r="Y283">
        <f>_xlfn.XLOOKUP(B283,'[2]april-2026'!$A:$A,'[2]april-2026'!$H:$H,0,0)</f>
        <v>0</v>
      </c>
      <c r="Z283">
        <f>_xlfn.XLOOKUP(B283,'[2]april-2026'!$A:$A,'[2]april-2026'!$I:$I,0,0)</f>
        <v>60</v>
      </c>
      <c r="AA283">
        <f t="shared" si="821"/>
        <v>200</v>
      </c>
      <c r="AB283">
        <f t="shared" si="822"/>
        <v>63450</v>
      </c>
      <c r="AC283">
        <f>_xlfn.XLOOKUP(B283,'[3]may-2026'!$A:$A,'[3]may-2026'!$C:$C,0,0)</f>
        <v>48700</v>
      </c>
      <c r="AD283">
        <f t="shared" si="823"/>
        <v>8766</v>
      </c>
      <c r="AE283">
        <f t="shared" si="824"/>
        <v>5844</v>
      </c>
      <c r="AF283">
        <f>_xlfn.XLOOKUP(B283,'[3]may-2026'!$A:$A,'[3]may-2026'!$D:$D,0,0)</f>
        <v>400</v>
      </c>
      <c r="AG283">
        <f>_xlfn.XLOOKUP(B283,'[3]may-2026'!$A:$A,'[3]may-2026'!$G:$G,0,0)</f>
        <v>0</v>
      </c>
      <c r="AH283">
        <f t="shared" si="825"/>
        <v>63710</v>
      </c>
      <c r="AI283">
        <f>_xlfn.XLOOKUP(B283,'[3]may-2026'!$A:$A,'[3]may-2026'!$H:$H,0,0)</f>
        <v>0</v>
      </c>
      <c r="AJ283">
        <f>_xlfn.XLOOKUP(B283,'[3]may-2026'!$A:$A,'[3]may-2026'!$I:$I,0,0)</f>
        <v>60</v>
      </c>
      <c r="AK283">
        <f t="shared" si="826"/>
        <v>200</v>
      </c>
      <c r="AL283">
        <f t="shared" si="827"/>
        <v>63450</v>
      </c>
      <c r="AM283">
        <f>_xlfn.XLOOKUP(B283,'[4]june-2026'!$A:$A,'[4]june-2026'!$C:$C,0,0)</f>
        <v>48700</v>
      </c>
      <c r="AN283">
        <f t="shared" si="828"/>
        <v>8766</v>
      </c>
      <c r="AO283">
        <f t="shared" si="829"/>
        <v>5844</v>
      </c>
      <c r="AP283">
        <f>_xlfn.XLOOKUP(B283,'[4]june-2026'!$A:$A,'[4]june-2026'!$D:$D,0,0)</f>
        <v>400</v>
      </c>
      <c r="AQ283">
        <f>_xlfn.XLOOKUP(B283,'[4]june-2026'!$A:$A,'[4]june-2026'!$G:$G,0,0)</f>
        <v>0</v>
      </c>
      <c r="AR283">
        <f t="shared" si="830"/>
        <v>63710</v>
      </c>
      <c r="AS283">
        <f>_xlfn.XLOOKUP(B283,'[4]june-2026'!$A:$A,'[4]june-2026'!$H:$H,0,0)</f>
        <v>0</v>
      </c>
      <c r="AT283">
        <f>_xlfn.XLOOKUP(B283,'[4]june-2026'!$A:$A,'[4]june-2026'!$I:$I,0,0)</f>
        <v>60</v>
      </c>
      <c r="AU283">
        <f t="shared" si="831"/>
        <v>200</v>
      </c>
      <c r="AV283">
        <f t="shared" si="832"/>
        <v>63450</v>
      </c>
      <c r="AW283">
        <f>_xlfn.XLOOKUP(B283,'[5]july-2026'!$A:$A,'[5]july-2026'!$C:$C,0,0)</f>
        <v>50200</v>
      </c>
      <c r="AX283">
        <f t="shared" si="833"/>
        <v>9036</v>
      </c>
      <c r="AY283">
        <v>281</v>
      </c>
      <c r="AZ283">
        <f t="shared" si="834"/>
        <v>6024</v>
      </c>
      <c r="BA283">
        <f>_xlfn.XLOOKUP(B283,'[5]july-2026'!$A:$A,'[5]july-2026'!$D:$D,0,0)</f>
        <v>400</v>
      </c>
      <c r="BB283">
        <f>_xlfn.XLOOKUP(B283,'[5]july-2026'!$A:$A,'[5]july-2026'!$G:$G,0,0)</f>
        <v>0</v>
      </c>
      <c r="BC283">
        <f t="shared" si="835"/>
        <v>65941</v>
      </c>
      <c r="BD283">
        <f>_xlfn.XLOOKUP(B283,'[5]july-2026'!$A:$A,'[5]july-2026'!$H:$H,0,0)</f>
        <v>0</v>
      </c>
      <c r="BE283">
        <f>_xlfn.XLOOKUP(B283,'[5]july-2026'!$A:$A,'[5]july-2026'!$I:$I,0,0)</f>
        <v>60</v>
      </c>
      <c r="BF283">
        <f t="shared" si="836"/>
        <v>200</v>
      </c>
      <c r="BG283">
        <f t="shared" si="837"/>
        <v>65681</v>
      </c>
      <c r="BH283">
        <f>_xlfn.XLOOKUP(B283,'[6]august-2026'!$A:$A,'[6]august-2026'!$C:$C,0,0)</f>
        <v>50200</v>
      </c>
      <c r="BI283">
        <f t="shared" si="838"/>
        <v>9036</v>
      </c>
      <c r="BJ283">
        <f t="shared" si="839"/>
        <v>6024</v>
      </c>
      <c r="BK283">
        <f>_xlfn.XLOOKUP(B283,'[6]august-2026'!$A:$A,'[6]august-2026'!$D:$D,0,0)</f>
        <v>400</v>
      </c>
      <c r="BL283">
        <f>_xlfn.XLOOKUP(B283,'[6]august-2026'!$A:$A,'[6]august-2026'!$G:$G,0,0)</f>
        <v>0</v>
      </c>
      <c r="BM283">
        <f t="shared" si="840"/>
        <v>65660</v>
      </c>
      <c r="BN283">
        <f>_xlfn.XLOOKUP(B283,'[6]august-2026'!$A:$A,'[6]august-2026'!$H:$H,0,0)</f>
        <v>0</v>
      </c>
      <c r="BO283">
        <f>_xlfn.XLOOKUP(B283,'[6]august-2026'!$A:$A,'[6]august-2026'!$I:$I,0,0)</f>
        <v>60</v>
      </c>
      <c r="BP283">
        <f t="shared" si="841"/>
        <v>200</v>
      </c>
      <c r="BQ283">
        <f t="shared" si="842"/>
        <v>65400</v>
      </c>
      <c r="BR283">
        <f>_xlfn.XLOOKUP(B283,'[7]september-2026'!$A:$A,'[7]september-2026'!$C:$C,0,0)</f>
        <v>50200</v>
      </c>
      <c r="BS283">
        <f t="shared" si="843"/>
        <v>9036</v>
      </c>
      <c r="BT283">
        <f t="shared" si="844"/>
        <v>6024</v>
      </c>
      <c r="BU283">
        <f>_xlfn.XLOOKUP(B283,'[7]september-2026'!$A:$A,'[7]september-2026'!$D:$D,0,0)</f>
        <v>400</v>
      </c>
      <c r="BV283">
        <f>_xlfn.XLOOKUP(B283,'[7]september-2026'!$A:$A,'[7]september-2026'!$G:$G,0,0)</f>
        <v>0</v>
      </c>
      <c r="BW283">
        <f t="shared" si="845"/>
        <v>65660</v>
      </c>
      <c r="BX283">
        <f>_xlfn.XLOOKUP(B283,'[7]september-2026'!$A:$A,'[7]september-2026'!$H:$H,0,0)</f>
        <v>0</v>
      </c>
      <c r="BY283">
        <f>_xlfn.XLOOKUP(B283,'[7]september-2026'!$A:$A,'[7]september-2026'!$I:$I,0,0)</f>
        <v>60</v>
      </c>
      <c r="BZ283">
        <f t="shared" si="846"/>
        <v>200</v>
      </c>
      <c r="CA283">
        <f t="shared" si="847"/>
        <v>65400</v>
      </c>
      <c r="CB283">
        <f>_xlfn.XLOOKUP(B283,'[8]october-2026'!$A:$A,'[8]october-2026'!$C:$C,0,0)</f>
        <v>50200</v>
      </c>
      <c r="CC283">
        <f t="shared" si="848"/>
        <v>9036</v>
      </c>
      <c r="CD283">
        <f t="shared" si="849"/>
        <v>6024</v>
      </c>
      <c r="CE283">
        <f>_xlfn.XLOOKUP(B283,'[8]october-2026'!$A:$A,'[8]october-2026'!$D:$D,0,0)</f>
        <v>400</v>
      </c>
      <c r="CF283">
        <f>_xlfn.XLOOKUP(B283,'[8]october-2026'!$A:$A,'[8]october-2026'!$G:$G,0,0)</f>
        <v>0</v>
      </c>
      <c r="CG283">
        <f t="shared" si="850"/>
        <v>65660</v>
      </c>
      <c r="CH283">
        <f>_xlfn.XLOOKUP(B283,'[8]october-2026'!$A:$A,'[8]october-2026'!$H:$H,0,0)</f>
        <v>0</v>
      </c>
      <c r="CI283">
        <f>_xlfn.XLOOKUP(B283,'[8]october-2026'!$A:$A,'[8]october-2026'!$I:$I,0,0)</f>
        <v>60</v>
      </c>
      <c r="CJ283">
        <f t="shared" si="851"/>
        <v>200</v>
      </c>
      <c r="CK283">
        <f t="shared" si="852"/>
        <v>65400</v>
      </c>
      <c r="CL283">
        <f>_xlfn.XLOOKUP(B283,'[9]november-2026'!$A:$A,'[9]november-2026'!$C:$C,0,0)</f>
        <v>50200</v>
      </c>
      <c r="CM283">
        <f t="shared" si="853"/>
        <v>9036</v>
      </c>
      <c r="CN283">
        <f t="shared" si="854"/>
        <v>6024</v>
      </c>
      <c r="CO283">
        <f>_xlfn.XLOOKUP(B283,'[9]november-2026'!$A:$A,'[9]november-2026'!$D:$D,0,0)</f>
        <v>400</v>
      </c>
      <c r="CP283">
        <f>_xlfn.XLOOKUP(B283,'[9]november-2026'!$A:$A,'[9]november-2026'!$G:$G,0,0)</f>
        <v>0</v>
      </c>
      <c r="CQ283">
        <f t="shared" si="855"/>
        <v>65660</v>
      </c>
      <c r="CR283">
        <f>_xlfn.XLOOKUP(B283,'[9]november-2026'!$A:$A,'[9]november-2026'!$H:$H,0,0)</f>
        <v>0</v>
      </c>
      <c r="CS283">
        <f>_xlfn.XLOOKUP(B283,'[9]november-2026'!$A:$A,'[9]november-2026'!$I:$I,0,0)</f>
        <v>60</v>
      </c>
      <c r="CT283">
        <f t="shared" si="856"/>
        <v>200</v>
      </c>
      <c r="CU283">
        <f t="shared" si="857"/>
        <v>65400</v>
      </c>
      <c r="CV283">
        <f>_xlfn.XLOOKUP(B283,'[10]december-2026'!$A:$A,'[10]december-2026'!$C:$C,0,0)</f>
        <v>50200</v>
      </c>
      <c r="CW283">
        <f t="shared" si="858"/>
        <v>9036</v>
      </c>
      <c r="CX283">
        <f t="shared" si="859"/>
        <v>6024</v>
      </c>
      <c r="CY283">
        <f>_xlfn.XLOOKUP(B283,'[10]december-2026'!$A:$A,'[10]december-2026'!$D:$D,0,0)</f>
        <v>400</v>
      </c>
      <c r="CZ283">
        <f>_xlfn.XLOOKUP(B283,'[10]december-2026'!$A:$A,'[10]december-2026'!$G:$G,0,0)</f>
        <v>0</v>
      </c>
      <c r="DA283">
        <f t="shared" si="860"/>
        <v>65660</v>
      </c>
      <c r="DB283">
        <f>_xlfn.XLOOKUP(B283,'[10]december-2026'!$A:$A,'[10]december-2026'!$H:$H,0,0)</f>
        <v>0</v>
      </c>
      <c r="DC283">
        <f>_xlfn.XLOOKUP(B283,'[10]december-2026'!$A:$A,'[10]december-2026'!$I:$I,0,0)</f>
        <v>60</v>
      </c>
      <c r="DD283">
        <f t="shared" si="861"/>
        <v>200</v>
      </c>
      <c r="DE283">
        <f t="shared" si="862"/>
        <v>65400</v>
      </c>
      <c r="DF283">
        <f xml:space="preserve"> _xlfn.XLOOKUP(B283,
'[11]january-2027'!$A:$A,
'[11]january-2027'!$C:$C,
0,0)</f>
        <v>50200</v>
      </c>
      <c r="DG283">
        <f t="shared" si="863"/>
        <v>9036</v>
      </c>
      <c r="DH283">
        <f t="shared" si="864"/>
        <v>6024</v>
      </c>
      <c r="DI283">
        <f xml:space="preserve"> _xlfn.XLOOKUP(B283,
'[11]january-2027'!$A:$A,
'[11]january-2027'!$D:$D,
0,0)</f>
        <v>400</v>
      </c>
      <c r="DJ283">
        <f xml:space="preserve"> _xlfn.XLOOKUP(B283,
'[11]january-2027'!$A:$A,
'[11]january-2027'!$G:$G,
0,0)</f>
        <v>0</v>
      </c>
      <c r="DK283">
        <f t="shared" si="865"/>
        <v>65660</v>
      </c>
      <c r="DL283">
        <f xml:space="preserve"> _xlfn.XLOOKUP(B283,
'[11]january-2027'!$A:$A,
'[11]january-2027'!$H:$H,
0,0)</f>
        <v>0</v>
      </c>
      <c r="DM283">
        <f xml:space="preserve"> _xlfn.XLOOKUP(B283,
'[11]january-2027'!$A:$A,
'[11]january-2027'!$I:$I,
0,0)</f>
        <v>60</v>
      </c>
      <c r="DN283">
        <f t="shared" si="866"/>
        <v>200</v>
      </c>
      <c r="DO283">
        <f t="shared" si="867"/>
        <v>65400</v>
      </c>
      <c r="DP283">
        <f xml:space="preserve"> _xlfn.XLOOKUP(B283,
'[12]february-2027'!$A:$A,
'[12]february-2027'!$C:$C,
0,0)</f>
        <v>50200</v>
      </c>
      <c r="DQ283">
        <f t="shared" si="868"/>
        <v>9036</v>
      </c>
      <c r="DR283">
        <f t="shared" si="869"/>
        <v>6024</v>
      </c>
      <c r="DS283">
        <f xml:space="preserve"> _xlfn.XLOOKUP(B283,
'[12]february-2027'!$A:$A,
'[12]february-2027'!$D:$D,
0,0)</f>
        <v>400</v>
      </c>
      <c r="DT283">
        <f xml:space="preserve"> _xlfn.XLOOKUP(B283,
'[12]february-2027'!$A:$A,
'[12]february-2027'!$G:$G,
0,0)</f>
        <v>0</v>
      </c>
      <c r="DU283">
        <f t="shared" si="870"/>
        <v>65660</v>
      </c>
      <c r="DV283">
        <f xml:space="preserve"> _xlfn.XLOOKUP(B283,
'[12]february-2027'!$A:$A,
'[12]february-2027'!$H:$H,
0,0)</f>
        <v>0</v>
      </c>
      <c r="DW283">
        <f xml:space="preserve"> _xlfn.XLOOKUP(B283,
'[12]february-2027'!$A:$A,
'[12]february-2027'!$I:$I,
0,0)</f>
        <v>60</v>
      </c>
      <c r="DX283">
        <f t="shared" si="871"/>
        <v>200</v>
      </c>
      <c r="DY283">
        <f t="shared" si="872"/>
        <v>65400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873"/>
        <v>0</v>
      </c>
      <c r="EM283">
        <f t="shared" si="874"/>
        <v>787201</v>
      </c>
      <c r="EN283">
        <f t="shared" si="875"/>
        <v>2400</v>
      </c>
      <c r="EO283">
        <f t="shared" si="876"/>
        <v>50000</v>
      </c>
      <c r="EP283">
        <v>0</v>
      </c>
      <c r="EQ283">
        <f t="shared" si="878"/>
        <v>734801</v>
      </c>
      <c r="ER283">
        <f t="shared" si="879"/>
        <v>0</v>
      </c>
      <c r="ES283">
        <f t="shared" si="880"/>
        <v>720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881"/>
        <v>720</v>
      </c>
      <c r="FE283">
        <f t="shared" si="882"/>
        <v>720</v>
      </c>
      <c r="FF283">
        <f t="shared" si="883"/>
        <v>734081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>SUM(FG283:FM283)+(IF(F283="YES",50000,0))</f>
        <v>0</v>
      </c>
      <c r="FO283">
        <f t="shared" si="884"/>
        <v>734081</v>
      </c>
      <c r="FP283">
        <f t="shared" si="885"/>
        <v>12500</v>
      </c>
      <c r="FQ283">
        <f t="shared" si="886"/>
        <v>46816</v>
      </c>
      <c r="FR283">
        <f t="shared" si="887"/>
        <v>59316</v>
      </c>
      <c r="FS283">
        <f t="shared" si="888"/>
        <v>59316</v>
      </c>
      <c r="FT283">
        <f t="shared" si="889"/>
        <v>2372.64</v>
      </c>
      <c r="FU283">
        <f t="shared" si="890"/>
        <v>61689</v>
      </c>
      <c r="FV283">
        <v>0</v>
      </c>
      <c r="FW283">
        <f t="shared" si="891"/>
        <v>61689</v>
      </c>
      <c r="FX283" t="b">
        <f t="shared" si="892"/>
        <v>1</v>
      </c>
      <c r="FY283">
        <f t="shared" ca="1" si="893"/>
        <v>909</v>
      </c>
      <c r="FZ283">
        <f t="shared" ca="1" si="894"/>
        <v>788110</v>
      </c>
      <c r="GA283">
        <f t="shared" si="895"/>
        <v>75000</v>
      </c>
      <c r="GB283">
        <f t="shared" ca="1" si="896"/>
        <v>713110</v>
      </c>
      <c r="GC283">
        <f t="shared" ca="1" si="897"/>
        <v>0</v>
      </c>
      <c r="GD283">
        <f t="shared" ca="1" si="898"/>
        <v>0</v>
      </c>
      <c r="GE283">
        <f t="shared" ca="1" si="899"/>
        <v>0</v>
      </c>
      <c r="GF283">
        <f t="shared" ca="1" si="900"/>
        <v>0</v>
      </c>
      <c r="GG283">
        <f t="shared" ca="1" si="901"/>
        <v>0</v>
      </c>
      <c r="GH283">
        <f t="shared" ca="1" si="902"/>
        <v>0</v>
      </c>
      <c r="GI283">
        <f ca="1">IF(GB283&gt;1200000,GB283-1200000-IF(F283="YES",50000,0)-GG283,0)</f>
        <v>0</v>
      </c>
      <c r="GJ283">
        <f t="shared" ca="1" si="903"/>
        <v>0</v>
      </c>
      <c r="GK283">
        <f t="shared" ca="1" si="904"/>
        <v>0</v>
      </c>
      <c r="GL283">
        <f t="shared" ca="1" si="905"/>
        <v>0</v>
      </c>
      <c r="GM283">
        <f t="shared" ca="1" si="906"/>
        <v>313110</v>
      </c>
      <c r="GN283">
        <f t="shared" ca="1" si="907"/>
        <v>15655.5</v>
      </c>
      <c r="GO283">
        <f t="shared" ca="1" si="908"/>
        <v>15656</v>
      </c>
      <c r="GP283">
        <f t="shared" ca="1" si="909"/>
        <v>0</v>
      </c>
      <c r="GQ283">
        <f t="shared" ca="1" si="910"/>
        <v>0</v>
      </c>
      <c r="GR283">
        <f t="shared" ca="1" si="911"/>
        <v>15656</v>
      </c>
      <c r="GS283">
        <f t="shared" ca="1" si="912"/>
        <v>0</v>
      </c>
      <c r="GT283" t="b">
        <f t="shared" ca="1" si="913"/>
        <v>0</v>
      </c>
      <c r="GU283">
        <f t="shared" ca="1" si="914"/>
        <v>0</v>
      </c>
      <c r="GV283">
        <f t="shared" ca="1" si="915"/>
        <v>15656</v>
      </c>
      <c r="GW283">
        <f t="shared" ca="1" si="916"/>
        <v>0</v>
      </c>
      <c r="GX283">
        <f t="shared" ca="1" si="917"/>
        <v>0</v>
      </c>
      <c r="GY283">
        <f t="shared" ca="1" si="918"/>
        <v>0</v>
      </c>
    </row>
    <row r="284" spans="1:207" x14ac:dyDescent="0.25">
      <c r="A284">
        <f>_xlfn.AGGREGATE(3,5,$B$2:B284)</f>
        <v>283</v>
      </c>
      <c r="B284" t="s">
        <v>654</v>
      </c>
      <c r="C284" t="s">
        <v>655</v>
      </c>
      <c r="D284" t="s">
        <v>822</v>
      </c>
      <c r="E284" t="s">
        <v>831</v>
      </c>
      <c r="F284" t="s">
        <v>952</v>
      </c>
      <c r="G284" t="s">
        <v>884</v>
      </c>
      <c r="H284">
        <f t="shared" si="813"/>
        <v>6800</v>
      </c>
      <c r="I284">
        <f>_xlfn.XLOOKUP(B284,'[1]march-2026'!$A:$A,'[1]march-2026'!$C:$C,0,0)</f>
        <v>51700</v>
      </c>
      <c r="J284">
        <f t="shared" si="877"/>
        <v>9306</v>
      </c>
      <c r="K284">
        <f t="shared" si="814"/>
        <v>6204</v>
      </c>
      <c r="L284">
        <f>_xlfn.XLOOKUP(B284,'[1]march-2026'!$A:$A,'[1]march-2026'!$D:$D,0,0)</f>
        <v>0</v>
      </c>
      <c r="M284">
        <f>_xlfn.XLOOKUP(B284,'[1]march-2026'!$A:$A,'[1]march-2026'!$G:$G,0,0)</f>
        <v>500</v>
      </c>
      <c r="N284">
        <f t="shared" si="815"/>
        <v>67710</v>
      </c>
      <c r="O284">
        <f>_xlfn.XLOOKUP(B284,'[1]march-2026'!$A:$A,'[1]march-2026'!$H:$H,0,0)</f>
        <v>5000</v>
      </c>
      <c r="P284">
        <f>_xlfn.XLOOKUP(B284,'[1]march-2026'!$A:$A,'[1]march-2026'!$I:$I,0,0)</f>
        <v>0</v>
      </c>
      <c r="Q284">
        <f t="shared" si="816"/>
        <v>200</v>
      </c>
      <c r="R284">
        <f t="shared" si="817"/>
        <v>62510</v>
      </c>
      <c r="S284">
        <f>_xlfn.XLOOKUP(B284,'[2]april-2026'!$A:$A,'[2]april-2026'!$C:$C,0,0)</f>
        <v>51700</v>
      </c>
      <c r="T284">
        <f t="shared" si="818"/>
        <v>9306</v>
      </c>
      <c r="U284">
        <f t="shared" si="819"/>
        <v>6204</v>
      </c>
      <c r="V284">
        <f>_xlfn.XLOOKUP(B284,'[2]april-2026'!$A:$A,'[2]april-2026'!$D:$D,0,0)</f>
        <v>0</v>
      </c>
      <c r="W284">
        <f>_xlfn.XLOOKUP(B284,'[2]april-2026'!$A:$A,'[2]april-2026'!$G:$G,0,0)</f>
        <v>500</v>
      </c>
      <c r="X284">
        <f t="shared" si="820"/>
        <v>67710</v>
      </c>
      <c r="Y284">
        <f>_xlfn.XLOOKUP(B284,'[2]april-2026'!$A:$A,'[2]april-2026'!$H:$H,0,0)</f>
        <v>5000</v>
      </c>
      <c r="Z284">
        <f>_xlfn.XLOOKUP(B284,'[2]april-2026'!$A:$A,'[2]april-2026'!$I:$I,0,0)</f>
        <v>0</v>
      </c>
      <c r="AA284">
        <f t="shared" si="821"/>
        <v>200</v>
      </c>
      <c r="AB284">
        <f t="shared" si="822"/>
        <v>62510</v>
      </c>
      <c r="AC284">
        <f>_xlfn.XLOOKUP(B284,'[3]may-2026'!$A:$A,'[3]may-2026'!$C:$C,0,0)</f>
        <v>51700</v>
      </c>
      <c r="AD284">
        <f t="shared" si="823"/>
        <v>9306</v>
      </c>
      <c r="AE284">
        <f t="shared" si="824"/>
        <v>6204</v>
      </c>
      <c r="AF284">
        <f>_xlfn.XLOOKUP(B284,'[3]may-2026'!$A:$A,'[3]may-2026'!$D:$D,0,0)</f>
        <v>0</v>
      </c>
      <c r="AG284">
        <f>_xlfn.XLOOKUP(B284,'[3]may-2026'!$A:$A,'[3]may-2026'!$G:$G,0,0)</f>
        <v>500</v>
      </c>
      <c r="AH284">
        <f t="shared" si="825"/>
        <v>67710</v>
      </c>
      <c r="AI284">
        <f>_xlfn.XLOOKUP(B284,'[3]may-2026'!$A:$A,'[3]may-2026'!$H:$H,0,0)</f>
        <v>5000</v>
      </c>
      <c r="AJ284">
        <f>_xlfn.XLOOKUP(B284,'[3]may-2026'!$A:$A,'[3]may-2026'!$I:$I,0,0)</f>
        <v>0</v>
      </c>
      <c r="AK284">
        <f t="shared" si="826"/>
        <v>200</v>
      </c>
      <c r="AL284">
        <f t="shared" si="827"/>
        <v>62510</v>
      </c>
      <c r="AM284">
        <f>_xlfn.XLOOKUP(B284,'[4]june-2026'!$A:$A,'[4]june-2026'!$C:$C,0,0)</f>
        <v>51700</v>
      </c>
      <c r="AN284">
        <f t="shared" si="828"/>
        <v>9306</v>
      </c>
      <c r="AO284">
        <f t="shared" si="829"/>
        <v>6204</v>
      </c>
      <c r="AP284">
        <f>_xlfn.XLOOKUP(B284,'[4]june-2026'!$A:$A,'[4]june-2026'!$D:$D,0,0)</f>
        <v>0</v>
      </c>
      <c r="AQ284">
        <f>_xlfn.XLOOKUP(B284,'[4]june-2026'!$A:$A,'[4]june-2026'!$G:$G,0,0)</f>
        <v>500</v>
      </c>
      <c r="AR284">
        <f t="shared" si="830"/>
        <v>67710</v>
      </c>
      <c r="AS284">
        <f>_xlfn.XLOOKUP(B284,'[4]june-2026'!$A:$A,'[4]june-2026'!$H:$H,0,0)</f>
        <v>5000</v>
      </c>
      <c r="AT284">
        <f>_xlfn.XLOOKUP(B284,'[4]june-2026'!$A:$A,'[4]june-2026'!$I:$I,0,0)</f>
        <v>0</v>
      </c>
      <c r="AU284">
        <f t="shared" si="831"/>
        <v>200</v>
      </c>
      <c r="AV284">
        <f t="shared" si="832"/>
        <v>62510</v>
      </c>
      <c r="AW284">
        <f>_xlfn.XLOOKUP(B284,'[5]july-2026'!$A:$A,'[5]july-2026'!$C:$C,0,0)</f>
        <v>53300</v>
      </c>
      <c r="AX284">
        <f t="shared" si="833"/>
        <v>9594</v>
      </c>
      <c r="AY284">
        <v>282</v>
      </c>
      <c r="AZ284">
        <f t="shared" si="834"/>
        <v>6396</v>
      </c>
      <c r="BA284">
        <f>_xlfn.XLOOKUP(B284,'[5]july-2026'!$A:$A,'[5]july-2026'!$D:$D,0,0)</f>
        <v>0</v>
      </c>
      <c r="BB284">
        <f>_xlfn.XLOOKUP(B284,'[5]july-2026'!$A:$A,'[5]july-2026'!$G:$G,0,0)</f>
        <v>500</v>
      </c>
      <c r="BC284">
        <f t="shared" si="835"/>
        <v>70072</v>
      </c>
      <c r="BD284">
        <f>_xlfn.XLOOKUP(B284,'[5]july-2026'!$A:$A,'[5]july-2026'!$H:$H,0,0)</f>
        <v>5000</v>
      </c>
      <c r="BE284">
        <f>_xlfn.XLOOKUP(B284,'[5]july-2026'!$A:$A,'[5]july-2026'!$I:$I,0,0)</f>
        <v>0</v>
      </c>
      <c r="BF284">
        <f t="shared" si="836"/>
        <v>200</v>
      </c>
      <c r="BG284">
        <f t="shared" si="837"/>
        <v>64872</v>
      </c>
      <c r="BH284">
        <f>_xlfn.XLOOKUP(B284,'[6]august-2026'!$A:$A,'[6]august-2026'!$C:$C,0,0)</f>
        <v>53300</v>
      </c>
      <c r="BI284">
        <f t="shared" si="838"/>
        <v>9594</v>
      </c>
      <c r="BJ284">
        <f t="shared" si="839"/>
        <v>6396</v>
      </c>
      <c r="BK284">
        <f>_xlfn.XLOOKUP(B284,'[6]august-2026'!$A:$A,'[6]august-2026'!$D:$D,0,0)</f>
        <v>0</v>
      </c>
      <c r="BL284">
        <f>_xlfn.XLOOKUP(B284,'[6]august-2026'!$A:$A,'[6]august-2026'!$G:$G,0,0)</f>
        <v>500</v>
      </c>
      <c r="BM284">
        <f t="shared" si="840"/>
        <v>69790</v>
      </c>
      <c r="BN284">
        <f>_xlfn.XLOOKUP(B284,'[6]august-2026'!$A:$A,'[6]august-2026'!$H:$H,0,0)</f>
        <v>5000</v>
      </c>
      <c r="BO284">
        <f>_xlfn.XLOOKUP(B284,'[6]august-2026'!$A:$A,'[6]august-2026'!$I:$I,0,0)</f>
        <v>0</v>
      </c>
      <c r="BP284">
        <f t="shared" si="841"/>
        <v>200</v>
      </c>
      <c r="BQ284">
        <f t="shared" si="842"/>
        <v>64590</v>
      </c>
      <c r="BR284">
        <f>_xlfn.XLOOKUP(B284,'[7]september-2026'!$A:$A,'[7]september-2026'!$C:$C,0,0)</f>
        <v>53300</v>
      </c>
      <c r="BS284">
        <f t="shared" si="843"/>
        <v>9594</v>
      </c>
      <c r="BT284">
        <f t="shared" si="844"/>
        <v>6396</v>
      </c>
      <c r="BU284">
        <f>_xlfn.XLOOKUP(B284,'[7]september-2026'!$A:$A,'[7]september-2026'!$D:$D,0,0)</f>
        <v>0</v>
      </c>
      <c r="BV284">
        <f>_xlfn.XLOOKUP(B284,'[7]september-2026'!$A:$A,'[7]september-2026'!$G:$G,0,0)</f>
        <v>500</v>
      </c>
      <c r="BW284">
        <f t="shared" si="845"/>
        <v>69790</v>
      </c>
      <c r="BX284">
        <f>_xlfn.XLOOKUP(B284,'[7]september-2026'!$A:$A,'[7]september-2026'!$H:$H,0,0)</f>
        <v>5000</v>
      </c>
      <c r="BY284">
        <f>_xlfn.XLOOKUP(B284,'[7]september-2026'!$A:$A,'[7]september-2026'!$I:$I,0,0)</f>
        <v>0</v>
      </c>
      <c r="BZ284">
        <f t="shared" si="846"/>
        <v>200</v>
      </c>
      <c r="CA284">
        <f t="shared" si="847"/>
        <v>64590</v>
      </c>
      <c r="CB284">
        <f>_xlfn.XLOOKUP(B284,'[8]october-2026'!$A:$A,'[8]october-2026'!$C:$C,0,0)</f>
        <v>53300</v>
      </c>
      <c r="CC284">
        <f t="shared" si="848"/>
        <v>9594</v>
      </c>
      <c r="CD284">
        <f t="shared" si="849"/>
        <v>6396</v>
      </c>
      <c r="CE284">
        <f>_xlfn.XLOOKUP(B284,'[8]october-2026'!$A:$A,'[8]october-2026'!$D:$D,0,0)</f>
        <v>0</v>
      </c>
      <c r="CF284">
        <f>_xlfn.XLOOKUP(B284,'[8]october-2026'!$A:$A,'[8]october-2026'!$G:$G,0,0)</f>
        <v>500</v>
      </c>
      <c r="CG284">
        <f t="shared" si="850"/>
        <v>69790</v>
      </c>
      <c r="CH284">
        <f>_xlfn.XLOOKUP(B284,'[8]october-2026'!$A:$A,'[8]october-2026'!$H:$H,0,0)</f>
        <v>5000</v>
      </c>
      <c r="CI284">
        <f>_xlfn.XLOOKUP(B284,'[8]october-2026'!$A:$A,'[8]october-2026'!$I:$I,0,0)</f>
        <v>0</v>
      </c>
      <c r="CJ284">
        <f t="shared" si="851"/>
        <v>200</v>
      </c>
      <c r="CK284">
        <f t="shared" si="852"/>
        <v>64590</v>
      </c>
      <c r="CL284">
        <f>_xlfn.XLOOKUP(B284,'[9]november-2026'!$A:$A,'[9]november-2026'!$C:$C,0,0)</f>
        <v>53300</v>
      </c>
      <c r="CM284">
        <f t="shared" si="853"/>
        <v>9594</v>
      </c>
      <c r="CN284">
        <f t="shared" si="854"/>
        <v>6396</v>
      </c>
      <c r="CO284">
        <f>_xlfn.XLOOKUP(B284,'[9]november-2026'!$A:$A,'[9]november-2026'!$D:$D,0,0)</f>
        <v>0</v>
      </c>
      <c r="CP284">
        <f>_xlfn.XLOOKUP(B284,'[9]november-2026'!$A:$A,'[9]november-2026'!$G:$G,0,0)</f>
        <v>500</v>
      </c>
      <c r="CQ284">
        <f t="shared" si="855"/>
        <v>69790</v>
      </c>
      <c r="CR284">
        <f>_xlfn.XLOOKUP(B284,'[9]november-2026'!$A:$A,'[9]november-2026'!$H:$H,0,0)</f>
        <v>5000</v>
      </c>
      <c r="CS284">
        <f>_xlfn.XLOOKUP(B284,'[9]november-2026'!$A:$A,'[9]november-2026'!$I:$I,0,0)</f>
        <v>0</v>
      </c>
      <c r="CT284">
        <f t="shared" si="856"/>
        <v>200</v>
      </c>
      <c r="CU284">
        <f t="shared" si="857"/>
        <v>64590</v>
      </c>
      <c r="CV284">
        <f>_xlfn.XLOOKUP(B284,'[10]december-2026'!$A:$A,'[10]december-2026'!$C:$C,0,0)</f>
        <v>53300</v>
      </c>
      <c r="CW284">
        <f t="shared" si="858"/>
        <v>9594</v>
      </c>
      <c r="CX284">
        <f t="shared" si="859"/>
        <v>6396</v>
      </c>
      <c r="CY284">
        <f>_xlfn.XLOOKUP(B284,'[10]december-2026'!$A:$A,'[10]december-2026'!$D:$D,0,0)</f>
        <v>0</v>
      </c>
      <c r="CZ284">
        <f>_xlfn.XLOOKUP(B284,'[10]december-2026'!$A:$A,'[10]december-2026'!$G:$G,0,0)</f>
        <v>500</v>
      </c>
      <c r="DA284">
        <f t="shared" si="860"/>
        <v>69790</v>
      </c>
      <c r="DB284">
        <f>_xlfn.XLOOKUP(B284,'[10]december-2026'!$A:$A,'[10]december-2026'!$H:$H,0,0)</f>
        <v>5000</v>
      </c>
      <c r="DC284">
        <f>_xlfn.XLOOKUP(B284,'[10]december-2026'!$A:$A,'[10]december-2026'!$I:$I,0,0)</f>
        <v>0</v>
      </c>
      <c r="DD284">
        <f t="shared" si="861"/>
        <v>200</v>
      </c>
      <c r="DE284">
        <f t="shared" si="862"/>
        <v>64590</v>
      </c>
      <c r="DF284">
        <f xml:space="preserve"> _xlfn.XLOOKUP(B284,
'[11]january-2027'!$A:$A,
'[11]january-2027'!$C:$C,
0,0)</f>
        <v>53300</v>
      </c>
      <c r="DG284">
        <f t="shared" si="863"/>
        <v>9594</v>
      </c>
      <c r="DH284">
        <f t="shared" si="864"/>
        <v>6396</v>
      </c>
      <c r="DI284">
        <f xml:space="preserve"> _xlfn.XLOOKUP(B284,
'[11]january-2027'!$A:$A,
'[11]january-2027'!$D:$D,
0,0)</f>
        <v>0</v>
      </c>
      <c r="DJ284">
        <f xml:space="preserve"> _xlfn.XLOOKUP(B284,
'[11]january-2027'!$A:$A,
'[11]january-2027'!$G:$G,
0,0)</f>
        <v>500</v>
      </c>
      <c r="DK284">
        <f t="shared" si="865"/>
        <v>69790</v>
      </c>
      <c r="DL284">
        <f xml:space="preserve"> _xlfn.XLOOKUP(B284,
'[11]january-2027'!$A:$A,
'[11]january-2027'!$H:$H,
0,0)</f>
        <v>5000</v>
      </c>
      <c r="DM284">
        <f xml:space="preserve"> _xlfn.XLOOKUP(B284,
'[11]january-2027'!$A:$A,
'[11]january-2027'!$I:$I,
0,0)</f>
        <v>0</v>
      </c>
      <c r="DN284">
        <f t="shared" si="866"/>
        <v>200</v>
      </c>
      <c r="DO284">
        <f t="shared" si="867"/>
        <v>64590</v>
      </c>
      <c r="DP284">
        <f xml:space="preserve"> _xlfn.XLOOKUP(B284,
'[12]february-2027'!$A:$A,
'[12]february-2027'!$C:$C,
0,0)</f>
        <v>53300</v>
      </c>
      <c r="DQ284">
        <f t="shared" si="868"/>
        <v>9594</v>
      </c>
      <c r="DR284">
        <f t="shared" si="869"/>
        <v>6396</v>
      </c>
      <c r="DS284">
        <f xml:space="preserve"> _xlfn.XLOOKUP(B284,
'[12]february-2027'!$A:$A,
'[12]february-2027'!$D:$D,
0,0)</f>
        <v>0</v>
      </c>
      <c r="DT284">
        <f xml:space="preserve"> _xlfn.XLOOKUP(B284,
'[12]february-2027'!$A:$A,
'[12]february-2027'!$G:$G,
0,0)</f>
        <v>500</v>
      </c>
      <c r="DU284">
        <f t="shared" si="870"/>
        <v>69790</v>
      </c>
      <c r="DV284">
        <f xml:space="preserve"> _xlfn.XLOOKUP(B284,
'[12]february-2027'!$A:$A,
'[12]february-2027'!$H:$H,
0,0)</f>
        <v>5000</v>
      </c>
      <c r="DW284">
        <f xml:space="preserve"> _xlfn.XLOOKUP(B284,
'[12]february-2027'!$A:$A,
'[12]february-2027'!$I:$I,
0,0)</f>
        <v>0</v>
      </c>
      <c r="DX284">
        <f t="shared" si="871"/>
        <v>200</v>
      </c>
      <c r="DY284">
        <f t="shared" si="872"/>
        <v>64590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873"/>
        <v>0</v>
      </c>
      <c r="EM284">
        <f t="shared" si="874"/>
        <v>836242</v>
      </c>
      <c r="EN284">
        <f t="shared" si="875"/>
        <v>2400</v>
      </c>
      <c r="EO284">
        <f t="shared" si="876"/>
        <v>50000</v>
      </c>
      <c r="EP284">
        <v>0</v>
      </c>
      <c r="EQ284">
        <f t="shared" si="878"/>
        <v>783842</v>
      </c>
      <c r="ER284">
        <f t="shared" si="879"/>
        <v>60000</v>
      </c>
      <c r="ES284">
        <f t="shared" si="880"/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881"/>
        <v>60000</v>
      </c>
      <c r="FE284">
        <f t="shared" si="882"/>
        <v>60000</v>
      </c>
      <c r="FF284">
        <f t="shared" si="883"/>
        <v>723842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>SUM(FG284:FM284)+(IF(F284="YES",50000,0))</f>
        <v>0</v>
      </c>
      <c r="FO284">
        <f t="shared" si="884"/>
        <v>723842</v>
      </c>
      <c r="FP284">
        <f t="shared" si="885"/>
        <v>12500</v>
      </c>
      <c r="FQ284">
        <f t="shared" si="886"/>
        <v>44768</v>
      </c>
      <c r="FR284">
        <f t="shared" si="887"/>
        <v>57268</v>
      </c>
      <c r="FS284">
        <f t="shared" si="888"/>
        <v>57268</v>
      </c>
      <c r="FT284">
        <f t="shared" si="889"/>
        <v>2290.7200000000003</v>
      </c>
      <c r="FU284">
        <f t="shared" si="890"/>
        <v>59559</v>
      </c>
      <c r="FV284">
        <v>0</v>
      </c>
      <c r="FW284">
        <f t="shared" si="891"/>
        <v>59559</v>
      </c>
      <c r="FX284" t="b">
        <f t="shared" si="892"/>
        <v>1</v>
      </c>
      <c r="FY284">
        <f t="shared" ca="1" si="893"/>
        <v>541</v>
      </c>
      <c r="FZ284">
        <f t="shared" ca="1" si="894"/>
        <v>836783</v>
      </c>
      <c r="GA284">
        <f t="shared" si="895"/>
        <v>75000</v>
      </c>
      <c r="GB284">
        <f t="shared" ca="1" si="896"/>
        <v>761783</v>
      </c>
      <c r="GC284">
        <f t="shared" ca="1" si="897"/>
        <v>0</v>
      </c>
      <c r="GD284">
        <f t="shared" ca="1" si="898"/>
        <v>0</v>
      </c>
      <c r="GE284">
        <f t="shared" ca="1" si="899"/>
        <v>0</v>
      </c>
      <c r="GF284">
        <f t="shared" ca="1" si="900"/>
        <v>0</v>
      </c>
      <c r="GG284">
        <f t="shared" ca="1" si="901"/>
        <v>0</v>
      </c>
      <c r="GH284">
        <f t="shared" ca="1" si="902"/>
        <v>0</v>
      </c>
      <c r="GI284">
        <f ca="1">IF(GB284&gt;1200000,GB284-1200000-IF(F284="YES",50000,0)-GG284,0)</f>
        <v>0</v>
      </c>
      <c r="GJ284">
        <f t="shared" ca="1" si="903"/>
        <v>0</v>
      </c>
      <c r="GK284">
        <f t="shared" ca="1" si="904"/>
        <v>0</v>
      </c>
      <c r="GL284">
        <f t="shared" ca="1" si="905"/>
        <v>0</v>
      </c>
      <c r="GM284">
        <f t="shared" ca="1" si="906"/>
        <v>361783</v>
      </c>
      <c r="GN284">
        <f t="shared" ca="1" si="907"/>
        <v>18089.150000000001</v>
      </c>
      <c r="GO284">
        <f t="shared" ca="1" si="908"/>
        <v>18089</v>
      </c>
      <c r="GP284">
        <f t="shared" ca="1" si="909"/>
        <v>0</v>
      </c>
      <c r="GQ284">
        <f t="shared" ca="1" si="910"/>
        <v>0</v>
      </c>
      <c r="GR284">
        <f t="shared" ca="1" si="911"/>
        <v>18089</v>
      </c>
      <c r="GS284">
        <f t="shared" ca="1" si="912"/>
        <v>0</v>
      </c>
      <c r="GT284" t="b">
        <f t="shared" ca="1" si="913"/>
        <v>0</v>
      </c>
      <c r="GU284">
        <f t="shared" ca="1" si="914"/>
        <v>0</v>
      </c>
      <c r="GV284">
        <f t="shared" ca="1" si="915"/>
        <v>18089</v>
      </c>
      <c r="GW284">
        <f t="shared" ca="1" si="916"/>
        <v>0</v>
      </c>
      <c r="GX284">
        <f t="shared" ca="1" si="917"/>
        <v>0</v>
      </c>
      <c r="GY284">
        <f t="shared" ca="1" si="918"/>
        <v>0</v>
      </c>
    </row>
    <row r="285" spans="1:207" x14ac:dyDescent="0.25">
      <c r="A285">
        <f>_xlfn.AGGREGATE(3,5,$B$2:B285)</f>
        <v>284</v>
      </c>
      <c r="B285" t="s">
        <v>656</v>
      </c>
      <c r="C285" t="s">
        <v>657</v>
      </c>
      <c r="D285" t="s">
        <v>822</v>
      </c>
      <c r="E285" t="s">
        <v>830</v>
      </c>
      <c r="F285" t="s">
        <v>952</v>
      </c>
      <c r="G285" t="s">
        <v>885</v>
      </c>
      <c r="H285">
        <f t="shared" si="813"/>
        <v>6800</v>
      </c>
      <c r="I285">
        <f>_xlfn.XLOOKUP(B285,'[1]march-2026'!$A:$A,'[1]march-2026'!$C:$C,0,0)</f>
        <v>34500</v>
      </c>
      <c r="J285">
        <f t="shared" si="877"/>
        <v>6210</v>
      </c>
      <c r="K285">
        <f t="shared" si="814"/>
        <v>4140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815"/>
        <v>45350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816"/>
        <v>200</v>
      </c>
      <c r="R285">
        <f t="shared" si="817"/>
        <v>40150</v>
      </c>
      <c r="S285">
        <f>_xlfn.XLOOKUP(B285,'[2]april-2026'!$A:$A,'[2]april-2026'!$C:$C,0,0)</f>
        <v>34500</v>
      </c>
      <c r="T285">
        <f t="shared" si="818"/>
        <v>6210</v>
      </c>
      <c r="U285">
        <f t="shared" si="819"/>
        <v>4140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820"/>
        <v>45350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821"/>
        <v>200</v>
      </c>
      <c r="AB285">
        <f t="shared" si="822"/>
        <v>40150</v>
      </c>
      <c r="AC285">
        <f>_xlfn.XLOOKUP(B285,'[3]may-2026'!$A:$A,'[3]may-2026'!$C:$C,0,0)</f>
        <v>34500</v>
      </c>
      <c r="AD285">
        <f t="shared" si="823"/>
        <v>6210</v>
      </c>
      <c r="AE285">
        <f t="shared" si="824"/>
        <v>4140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825"/>
        <v>45350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826"/>
        <v>200</v>
      </c>
      <c r="AL285">
        <f t="shared" si="827"/>
        <v>40150</v>
      </c>
      <c r="AM285">
        <f>_xlfn.XLOOKUP(B285,'[4]june-2026'!$A:$A,'[4]june-2026'!$C:$C,0,0)</f>
        <v>34500</v>
      </c>
      <c r="AN285">
        <f t="shared" si="828"/>
        <v>6210</v>
      </c>
      <c r="AO285">
        <f t="shared" si="829"/>
        <v>4140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830"/>
        <v>45350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831"/>
        <v>200</v>
      </c>
      <c r="AV285">
        <f t="shared" si="832"/>
        <v>40150</v>
      </c>
      <c r="AW285">
        <f>_xlfn.XLOOKUP(B285,'[5]july-2026'!$A:$A,'[5]july-2026'!$C:$C,0,0)</f>
        <v>35500</v>
      </c>
      <c r="AX285">
        <f t="shared" si="833"/>
        <v>6390</v>
      </c>
      <c r="AY285">
        <v>283</v>
      </c>
      <c r="AZ285">
        <f t="shared" si="834"/>
        <v>4260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835"/>
        <v>46933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836"/>
        <v>200</v>
      </c>
      <c r="BG285">
        <f t="shared" si="837"/>
        <v>41733</v>
      </c>
      <c r="BH285">
        <f>_xlfn.XLOOKUP(B285,'[6]august-2026'!$A:$A,'[6]august-2026'!$C:$C,0,0)</f>
        <v>35500</v>
      </c>
      <c r="BI285">
        <f t="shared" si="838"/>
        <v>6390</v>
      </c>
      <c r="BJ285">
        <f t="shared" si="839"/>
        <v>4260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840"/>
        <v>46650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841"/>
        <v>200</v>
      </c>
      <c r="BQ285">
        <f t="shared" si="842"/>
        <v>41450</v>
      </c>
      <c r="BR285">
        <f>_xlfn.XLOOKUP(B285,'[7]september-2026'!$A:$A,'[7]september-2026'!$C:$C,0,0)</f>
        <v>35500</v>
      </c>
      <c r="BS285">
        <f t="shared" si="843"/>
        <v>6390</v>
      </c>
      <c r="BT285">
        <f t="shared" si="844"/>
        <v>4260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845"/>
        <v>46650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846"/>
        <v>200</v>
      </c>
      <c r="CA285">
        <f t="shared" si="847"/>
        <v>41450</v>
      </c>
      <c r="CB285">
        <f>_xlfn.XLOOKUP(B285,'[8]october-2026'!$A:$A,'[8]october-2026'!$C:$C,0,0)</f>
        <v>35500</v>
      </c>
      <c r="CC285">
        <f t="shared" si="848"/>
        <v>6390</v>
      </c>
      <c r="CD285">
        <f t="shared" si="849"/>
        <v>4260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850"/>
        <v>46650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851"/>
        <v>200</v>
      </c>
      <c r="CK285">
        <f t="shared" si="852"/>
        <v>41450</v>
      </c>
      <c r="CL285">
        <f>_xlfn.XLOOKUP(B285,'[9]november-2026'!$A:$A,'[9]november-2026'!$C:$C,0,0)</f>
        <v>35500</v>
      </c>
      <c r="CM285">
        <f t="shared" si="853"/>
        <v>6390</v>
      </c>
      <c r="CN285">
        <f t="shared" si="854"/>
        <v>4260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855"/>
        <v>46650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856"/>
        <v>200</v>
      </c>
      <c r="CU285">
        <f t="shared" si="857"/>
        <v>41450</v>
      </c>
      <c r="CV285">
        <f>_xlfn.XLOOKUP(B285,'[10]december-2026'!$A:$A,'[10]december-2026'!$C:$C,0,0)</f>
        <v>35500</v>
      </c>
      <c r="CW285">
        <f t="shared" si="858"/>
        <v>6390</v>
      </c>
      <c r="CX285">
        <f t="shared" si="859"/>
        <v>4260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860"/>
        <v>46650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861"/>
        <v>200</v>
      </c>
      <c r="DE285">
        <f t="shared" si="862"/>
        <v>41450</v>
      </c>
      <c r="DF285">
        <f xml:space="preserve"> _xlfn.XLOOKUP(B285,
'[11]january-2027'!$A:$A,
'[11]january-2027'!$C:$C,
0,0)</f>
        <v>35500</v>
      </c>
      <c r="DG285">
        <f t="shared" si="863"/>
        <v>6390</v>
      </c>
      <c r="DH285">
        <f t="shared" si="864"/>
        <v>4260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865"/>
        <v>46650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866"/>
        <v>200</v>
      </c>
      <c r="DO285">
        <f t="shared" si="867"/>
        <v>41450</v>
      </c>
      <c r="DP285">
        <f xml:space="preserve"> _xlfn.XLOOKUP(B285,
'[12]february-2027'!$A:$A,
'[12]february-2027'!$C:$C,
0,0)</f>
        <v>35500</v>
      </c>
      <c r="DQ285">
        <f t="shared" si="868"/>
        <v>6390</v>
      </c>
      <c r="DR285">
        <f t="shared" si="869"/>
        <v>4260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870"/>
        <v>46650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871"/>
        <v>200</v>
      </c>
      <c r="DY285">
        <f t="shared" si="872"/>
        <v>41450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873"/>
        <v>0</v>
      </c>
      <c r="EM285">
        <f t="shared" si="874"/>
        <v>561683</v>
      </c>
      <c r="EN285">
        <f t="shared" si="875"/>
        <v>2400</v>
      </c>
      <c r="EO285">
        <f t="shared" si="876"/>
        <v>50000</v>
      </c>
      <c r="EP285">
        <v>0</v>
      </c>
      <c r="EQ285">
        <f t="shared" si="878"/>
        <v>509283</v>
      </c>
      <c r="ER285">
        <f t="shared" si="879"/>
        <v>60000</v>
      </c>
      <c r="ES285">
        <f t="shared" si="880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881"/>
        <v>60000</v>
      </c>
      <c r="FE285">
        <f t="shared" si="882"/>
        <v>60000</v>
      </c>
      <c r="FF285">
        <f t="shared" si="883"/>
        <v>449283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>SUM(FG285:FM285)+(IF(F285="YES",50000,0))</f>
        <v>0</v>
      </c>
      <c r="FO285">
        <f t="shared" si="884"/>
        <v>449283</v>
      </c>
      <c r="FP285">
        <f t="shared" si="885"/>
        <v>9964</v>
      </c>
      <c r="FQ285">
        <f t="shared" si="886"/>
        <v>0</v>
      </c>
      <c r="FR285">
        <f t="shared" si="887"/>
        <v>9964</v>
      </c>
      <c r="FS285">
        <f t="shared" si="888"/>
        <v>0</v>
      </c>
      <c r="FT285">
        <f t="shared" si="889"/>
        <v>0</v>
      </c>
      <c r="FU285">
        <f t="shared" si="890"/>
        <v>0</v>
      </c>
      <c r="FV285">
        <v>0</v>
      </c>
      <c r="FW285">
        <f t="shared" si="891"/>
        <v>0</v>
      </c>
      <c r="FX285" t="b">
        <f t="shared" si="892"/>
        <v>1</v>
      </c>
      <c r="FY285">
        <f t="shared" ca="1" si="893"/>
        <v>708</v>
      </c>
      <c r="FZ285">
        <f t="shared" ca="1" si="894"/>
        <v>562391</v>
      </c>
      <c r="GA285">
        <f t="shared" si="895"/>
        <v>75000</v>
      </c>
      <c r="GB285">
        <f t="shared" ca="1" si="896"/>
        <v>487391</v>
      </c>
      <c r="GC285">
        <f t="shared" ca="1" si="897"/>
        <v>0</v>
      </c>
      <c r="GD285">
        <f t="shared" ca="1" si="898"/>
        <v>0</v>
      </c>
      <c r="GE285">
        <f t="shared" ca="1" si="899"/>
        <v>0</v>
      </c>
      <c r="GF285">
        <f t="shared" ca="1" si="900"/>
        <v>0</v>
      </c>
      <c r="GG285">
        <f t="shared" ca="1" si="901"/>
        <v>0</v>
      </c>
      <c r="GH285">
        <f t="shared" ca="1" si="902"/>
        <v>0</v>
      </c>
      <c r="GI285">
        <f ca="1">IF(GB285&gt;1200000,GB285-1200000-IF(F285="YES",50000,0)-GG285,0)</f>
        <v>0</v>
      </c>
      <c r="GJ285">
        <f t="shared" ca="1" si="903"/>
        <v>0</v>
      </c>
      <c r="GK285">
        <f t="shared" ca="1" si="904"/>
        <v>0</v>
      </c>
      <c r="GL285">
        <f t="shared" ca="1" si="905"/>
        <v>0</v>
      </c>
      <c r="GM285">
        <f t="shared" ca="1" si="906"/>
        <v>87391</v>
      </c>
      <c r="GN285">
        <f t="shared" ca="1" si="907"/>
        <v>4369.55</v>
      </c>
      <c r="GO285">
        <f t="shared" ca="1" si="908"/>
        <v>4370</v>
      </c>
      <c r="GP285">
        <f t="shared" ca="1" si="909"/>
        <v>0</v>
      </c>
      <c r="GQ285">
        <f t="shared" ca="1" si="910"/>
        <v>0</v>
      </c>
      <c r="GR285">
        <f t="shared" ca="1" si="911"/>
        <v>4370</v>
      </c>
      <c r="GS285">
        <f t="shared" ca="1" si="912"/>
        <v>0</v>
      </c>
      <c r="GT285" t="b">
        <f t="shared" ca="1" si="913"/>
        <v>0</v>
      </c>
      <c r="GU285">
        <f t="shared" ca="1" si="914"/>
        <v>0</v>
      </c>
      <c r="GV285">
        <f t="shared" ca="1" si="915"/>
        <v>4370</v>
      </c>
      <c r="GW285">
        <f t="shared" ca="1" si="916"/>
        <v>0</v>
      </c>
      <c r="GX285">
        <f t="shared" ca="1" si="917"/>
        <v>0</v>
      </c>
      <c r="GY285">
        <f t="shared" ca="1" si="918"/>
        <v>0</v>
      </c>
    </row>
    <row r="286" spans="1:207" x14ac:dyDescent="0.25">
      <c r="A286">
        <f>_xlfn.AGGREGATE(3,5,$B$2:B286)</f>
        <v>285</v>
      </c>
      <c r="B286" t="s">
        <v>658</v>
      </c>
      <c r="C286" t="s">
        <v>659</v>
      </c>
      <c r="D286" t="s">
        <v>822</v>
      </c>
      <c r="E286" t="s">
        <v>830</v>
      </c>
      <c r="F286" t="s">
        <v>952</v>
      </c>
      <c r="G286" t="s">
        <v>895</v>
      </c>
      <c r="H286">
        <f t="shared" si="813"/>
        <v>6800</v>
      </c>
      <c r="I286">
        <f>_xlfn.XLOOKUP(B286,'[1]march-2026'!$A:$A,'[1]march-2026'!$C:$C,0,0)</f>
        <v>34500</v>
      </c>
      <c r="J286">
        <f t="shared" si="877"/>
        <v>6210</v>
      </c>
      <c r="K286">
        <f t="shared" si="814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815"/>
        <v>45350</v>
      </c>
      <c r="O286">
        <f>_xlfn.XLOOKUP(B286,'[1]march-2026'!$A:$A,'[1]march-2026'!$H:$H,0,0)</f>
        <v>2500</v>
      </c>
      <c r="P286">
        <f>_xlfn.XLOOKUP(B286,'[1]march-2026'!$A:$A,'[1]march-2026'!$I:$I,0,0)</f>
        <v>0</v>
      </c>
      <c r="Q286">
        <f t="shared" si="816"/>
        <v>200</v>
      </c>
      <c r="R286">
        <f t="shared" si="817"/>
        <v>42650</v>
      </c>
      <c r="S286">
        <f>_xlfn.XLOOKUP(B286,'[2]april-2026'!$A:$A,'[2]april-2026'!$C:$C,0,0)</f>
        <v>34500</v>
      </c>
      <c r="T286">
        <f t="shared" si="818"/>
        <v>6210</v>
      </c>
      <c r="U286">
        <f t="shared" si="819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820"/>
        <v>45350</v>
      </c>
      <c r="Y286">
        <f>_xlfn.XLOOKUP(B286,'[2]april-2026'!$A:$A,'[2]april-2026'!$H:$H,0,0)</f>
        <v>2500</v>
      </c>
      <c r="Z286">
        <f>_xlfn.XLOOKUP(B286,'[2]april-2026'!$A:$A,'[2]april-2026'!$I:$I,0,0)</f>
        <v>0</v>
      </c>
      <c r="AA286">
        <f t="shared" si="821"/>
        <v>200</v>
      </c>
      <c r="AB286">
        <f t="shared" si="822"/>
        <v>42650</v>
      </c>
      <c r="AC286">
        <f>_xlfn.XLOOKUP(B286,'[3]may-2026'!$A:$A,'[3]may-2026'!$C:$C,0,0)</f>
        <v>34500</v>
      </c>
      <c r="AD286">
        <f t="shared" si="823"/>
        <v>6210</v>
      </c>
      <c r="AE286">
        <f t="shared" si="824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825"/>
        <v>45350</v>
      </c>
      <c r="AI286">
        <f>_xlfn.XLOOKUP(B286,'[3]may-2026'!$A:$A,'[3]may-2026'!$H:$H,0,0)</f>
        <v>2500</v>
      </c>
      <c r="AJ286">
        <f>_xlfn.XLOOKUP(B286,'[3]may-2026'!$A:$A,'[3]may-2026'!$I:$I,0,0)</f>
        <v>0</v>
      </c>
      <c r="AK286">
        <f t="shared" si="826"/>
        <v>200</v>
      </c>
      <c r="AL286">
        <f t="shared" si="827"/>
        <v>42650</v>
      </c>
      <c r="AM286">
        <f>_xlfn.XLOOKUP(B286,'[4]june-2026'!$A:$A,'[4]june-2026'!$C:$C,0,0)</f>
        <v>34500</v>
      </c>
      <c r="AN286">
        <f t="shared" si="828"/>
        <v>6210</v>
      </c>
      <c r="AO286">
        <f t="shared" si="829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830"/>
        <v>45350</v>
      </c>
      <c r="AS286">
        <f>_xlfn.XLOOKUP(B286,'[4]june-2026'!$A:$A,'[4]june-2026'!$H:$H,0,0)</f>
        <v>2500</v>
      </c>
      <c r="AT286">
        <f>_xlfn.XLOOKUP(B286,'[4]june-2026'!$A:$A,'[4]june-2026'!$I:$I,0,0)</f>
        <v>0</v>
      </c>
      <c r="AU286">
        <f t="shared" si="831"/>
        <v>200</v>
      </c>
      <c r="AV286">
        <f t="shared" si="832"/>
        <v>42650</v>
      </c>
      <c r="AW286">
        <f>_xlfn.XLOOKUP(B286,'[5]july-2026'!$A:$A,'[5]july-2026'!$C:$C,0,0)</f>
        <v>35500</v>
      </c>
      <c r="AX286">
        <f t="shared" si="833"/>
        <v>6390</v>
      </c>
      <c r="AY286">
        <v>284</v>
      </c>
      <c r="AZ286">
        <f t="shared" si="834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835"/>
        <v>46934</v>
      </c>
      <c r="BD286">
        <f>_xlfn.XLOOKUP(B286,'[5]july-2026'!$A:$A,'[5]july-2026'!$H:$H,0,0)</f>
        <v>2500</v>
      </c>
      <c r="BE286">
        <f>_xlfn.XLOOKUP(B286,'[5]july-2026'!$A:$A,'[5]july-2026'!$I:$I,0,0)</f>
        <v>0</v>
      </c>
      <c r="BF286">
        <f t="shared" si="836"/>
        <v>200</v>
      </c>
      <c r="BG286">
        <f t="shared" si="837"/>
        <v>44234</v>
      </c>
      <c r="BH286">
        <f>_xlfn.XLOOKUP(B286,'[6]august-2026'!$A:$A,'[6]august-2026'!$C:$C,0,0)</f>
        <v>35500</v>
      </c>
      <c r="BI286">
        <f t="shared" si="838"/>
        <v>6390</v>
      </c>
      <c r="BJ286">
        <f t="shared" si="839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840"/>
        <v>46650</v>
      </c>
      <c r="BN286">
        <f>_xlfn.XLOOKUP(B286,'[6]august-2026'!$A:$A,'[6]august-2026'!$H:$H,0,0)</f>
        <v>2500</v>
      </c>
      <c r="BO286">
        <f>_xlfn.XLOOKUP(B286,'[6]august-2026'!$A:$A,'[6]august-2026'!$I:$I,0,0)</f>
        <v>0</v>
      </c>
      <c r="BP286">
        <f t="shared" si="841"/>
        <v>200</v>
      </c>
      <c r="BQ286">
        <f t="shared" si="842"/>
        <v>43950</v>
      </c>
      <c r="BR286">
        <f>_xlfn.XLOOKUP(B286,'[7]september-2026'!$A:$A,'[7]september-2026'!$C:$C,0,0)</f>
        <v>35500</v>
      </c>
      <c r="BS286">
        <f t="shared" si="843"/>
        <v>6390</v>
      </c>
      <c r="BT286">
        <f t="shared" si="844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845"/>
        <v>46650</v>
      </c>
      <c r="BX286">
        <f>_xlfn.XLOOKUP(B286,'[7]september-2026'!$A:$A,'[7]september-2026'!$H:$H,0,0)</f>
        <v>2500</v>
      </c>
      <c r="BY286">
        <f>_xlfn.XLOOKUP(B286,'[7]september-2026'!$A:$A,'[7]september-2026'!$I:$I,0,0)</f>
        <v>0</v>
      </c>
      <c r="BZ286">
        <f t="shared" si="846"/>
        <v>200</v>
      </c>
      <c r="CA286">
        <f t="shared" si="847"/>
        <v>43950</v>
      </c>
      <c r="CB286">
        <f>_xlfn.XLOOKUP(B286,'[8]october-2026'!$A:$A,'[8]october-2026'!$C:$C,0,0)</f>
        <v>35500</v>
      </c>
      <c r="CC286">
        <f t="shared" si="848"/>
        <v>6390</v>
      </c>
      <c r="CD286">
        <f t="shared" si="849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850"/>
        <v>46650</v>
      </c>
      <c r="CH286">
        <f>_xlfn.XLOOKUP(B286,'[8]october-2026'!$A:$A,'[8]october-2026'!$H:$H,0,0)</f>
        <v>2500</v>
      </c>
      <c r="CI286">
        <f>_xlfn.XLOOKUP(B286,'[8]october-2026'!$A:$A,'[8]october-2026'!$I:$I,0,0)</f>
        <v>0</v>
      </c>
      <c r="CJ286">
        <f t="shared" si="851"/>
        <v>200</v>
      </c>
      <c r="CK286">
        <f t="shared" si="852"/>
        <v>43950</v>
      </c>
      <c r="CL286">
        <f>_xlfn.XLOOKUP(B286,'[9]november-2026'!$A:$A,'[9]november-2026'!$C:$C,0,0)</f>
        <v>35500</v>
      </c>
      <c r="CM286">
        <f t="shared" si="853"/>
        <v>6390</v>
      </c>
      <c r="CN286">
        <f t="shared" si="854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855"/>
        <v>46650</v>
      </c>
      <c r="CR286">
        <f>_xlfn.XLOOKUP(B286,'[9]november-2026'!$A:$A,'[9]november-2026'!$H:$H,0,0)</f>
        <v>2500</v>
      </c>
      <c r="CS286">
        <f>_xlfn.XLOOKUP(B286,'[9]november-2026'!$A:$A,'[9]november-2026'!$I:$I,0,0)</f>
        <v>0</v>
      </c>
      <c r="CT286">
        <f t="shared" si="856"/>
        <v>200</v>
      </c>
      <c r="CU286">
        <f t="shared" si="857"/>
        <v>43950</v>
      </c>
      <c r="CV286">
        <f>_xlfn.XLOOKUP(B286,'[10]december-2026'!$A:$A,'[10]december-2026'!$C:$C,0,0)</f>
        <v>35500</v>
      </c>
      <c r="CW286">
        <f t="shared" si="858"/>
        <v>6390</v>
      </c>
      <c r="CX286">
        <f t="shared" si="859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860"/>
        <v>46650</v>
      </c>
      <c r="DB286">
        <f>_xlfn.XLOOKUP(B286,'[10]december-2026'!$A:$A,'[10]december-2026'!$H:$H,0,0)</f>
        <v>2500</v>
      </c>
      <c r="DC286">
        <f>_xlfn.XLOOKUP(B286,'[10]december-2026'!$A:$A,'[10]december-2026'!$I:$I,0,0)</f>
        <v>0</v>
      </c>
      <c r="DD286">
        <f t="shared" si="861"/>
        <v>200</v>
      </c>
      <c r="DE286">
        <f t="shared" si="862"/>
        <v>43950</v>
      </c>
      <c r="DF286">
        <f xml:space="preserve"> _xlfn.XLOOKUP(B286,
'[11]january-2027'!$A:$A,
'[11]january-2027'!$C:$C,
0,0)</f>
        <v>35500</v>
      </c>
      <c r="DG286">
        <f t="shared" si="863"/>
        <v>6390</v>
      </c>
      <c r="DH286">
        <f t="shared" si="864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865"/>
        <v>46650</v>
      </c>
      <c r="DL286">
        <f xml:space="preserve"> _xlfn.XLOOKUP(B286,
'[11]january-2027'!$A:$A,
'[11]january-2027'!$H:$H,
0,0)</f>
        <v>2500</v>
      </c>
      <c r="DM286">
        <f xml:space="preserve"> _xlfn.XLOOKUP(B286,
'[11]january-2027'!$A:$A,
'[11]january-2027'!$I:$I,
0,0)</f>
        <v>0</v>
      </c>
      <c r="DN286">
        <f t="shared" si="866"/>
        <v>200</v>
      </c>
      <c r="DO286">
        <f t="shared" si="867"/>
        <v>43950</v>
      </c>
      <c r="DP286">
        <f xml:space="preserve"> _xlfn.XLOOKUP(B286,
'[12]february-2027'!$A:$A,
'[12]february-2027'!$C:$C,
0,0)</f>
        <v>35500</v>
      </c>
      <c r="DQ286">
        <f t="shared" si="868"/>
        <v>6390</v>
      </c>
      <c r="DR286">
        <f t="shared" si="869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870"/>
        <v>46650</v>
      </c>
      <c r="DV286">
        <f xml:space="preserve"> _xlfn.XLOOKUP(B286,
'[12]february-2027'!$A:$A,
'[12]february-2027'!$H:$H,
0,0)</f>
        <v>2500</v>
      </c>
      <c r="DW286">
        <f xml:space="preserve"> _xlfn.XLOOKUP(B286,
'[12]february-2027'!$A:$A,
'[12]february-2027'!$I:$I,
0,0)</f>
        <v>0</v>
      </c>
      <c r="DX286">
        <f t="shared" si="871"/>
        <v>200</v>
      </c>
      <c r="DY286">
        <f t="shared" si="872"/>
        <v>43950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873"/>
        <v>0</v>
      </c>
      <c r="EM286">
        <f t="shared" si="874"/>
        <v>561684</v>
      </c>
      <c r="EN286">
        <f t="shared" si="875"/>
        <v>2400</v>
      </c>
      <c r="EO286">
        <f t="shared" si="876"/>
        <v>50000</v>
      </c>
      <c r="EP286">
        <v>0</v>
      </c>
      <c r="EQ286">
        <f t="shared" si="878"/>
        <v>509284</v>
      </c>
      <c r="ER286">
        <f t="shared" si="879"/>
        <v>30000</v>
      </c>
      <c r="ES286">
        <f t="shared" si="880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881"/>
        <v>30000</v>
      </c>
      <c r="FE286">
        <f t="shared" si="882"/>
        <v>30000</v>
      </c>
      <c r="FF286">
        <f t="shared" si="883"/>
        <v>479284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>SUM(FG286:FM286)+(IF(F286="YES",50000,0))</f>
        <v>0</v>
      </c>
      <c r="FO286">
        <f t="shared" si="884"/>
        <v>479284</v>
      </c>
      <c r="FP286">
        <f t="shared" si="885"/>
        <v>11464</v>
      </c>
      <c r="FQ286">
        <f t="shared" si="886"/>
        <v>0</v>
      </c>
      <c r="FR286">
        <f t="shared" si="887"/>
        <v>11464</v>
      </c>
      <c r="FS286">
        <f t="shared" si="888"/>
        <v>0</v>
      </c>
      <c r="FT286">
        <f t="shared" si="889"/>
        <v>0</v>
      </c>
      <c r="FU286">
        <f t="shared" si="890"/>
        <v>0</v>
      </c>
      <c r="FV286">
        <v>0</v>
      </c>
      <c r="FW286">
        <f t="shared" si="891"/>
        <v>0</v>
      </c>
      <c r="FX286" t="b">
        <f t="shared" si="892"/>
        <v>1</v>
      </c>
      <c r="FY286">
        <f t="shared" ca="1" si="893"/>
        <v>746</v>
      </c>
      <c r="FZ286">
        <f t="shared" ca="1" si="894"/>
        <v>562430</v>
      </c>
      <c r="GA286">
        <f t="shared" si="895"/>
        <v>75000</v>
      </c>
      <c r="GB286">
        <f t="shared" ca="1" si="896"/>
        <v>487430</v>
      </c>
      <c r="GC286">
        <f t="shared" ca="1" si="897"/>
        <v>0</v>
      </c>
      <c r="GD286">
        <f t="shared" ca="1" si="898"/>
        <v>0</v>
      </c>
      <c r="GE286">
        <f t="shared" ca="1" si="899"/>
        <v>0</v>
      </c>
      <c r="GF286">
        <f t="shared" ca="1" si="900"/>
        <v>0</v>
      </c>
      <c r="GG286">
        <f t="shared" ca="1" si="901"/>
        <v>0</v>
      </c>
      <c r="GH286">
        <f t="shared" ca="1" si="902"/>
        <v>0</v>
      </c>
      <c r="GI286">
        <f ca="1">IF(GB286&gt;1200000,GB286-1200000-IF(F286="YES",50000,0)-GG286,0)</f>
        <v>0</v>
      </c>
      <c r="GJ286">
        <f t="shared" ca="1" si="903"/>
        <v>0</v>
      </c>
      <c r="GK286">
        <f t="shared" ca="1" si="904"/>
        <v>0</v>
      </c>
      <c r="GL286">
        <f t="shared" ca="1" si="905"/>
        <v>0</v>
      </c>
      <c r="GM286">
        <f t="shared" ca="1" si="906"/>
        <v>87430</v>
      </c>
      <c r="GN286">
        <f t="shared" ca="1" si="907"/>
        <v>4371.5</v>
      </c>
      <c r="GO286">
        <f t="shared" ca="1" si="908"/>
        <v>4372</v>
      </c>
      <c r="GP286">
        <f t="shared" ca="1" si="909"/>
        <v>0</v>
      </c>
      <c r="GQ286">
        <f t="shared" ca="1" si="910"/>
        <v>0</v>
      </c>
      <c r="GR286">
        <f t="shared" ca="1" si="911"/>
        <v>4372</v>
      </c>
      <c r="GS286">
        <f t="shared" ca="1" si="912"/>
        <v>0</v>
      </c>
      <c r="GT286" t="b">
        <f t="shared" ca="1" si="913"/>
        <v>0</v>
      </c>
      <c r="GU286">
        <f t="shared" ca="1" si="914"/>
        <v>0</v>
      </c>
      <c r="GV286">
        <f t="shared" ca="1" si="915"/>
        <v>4372</v>
      </c>
      <c r="GW286">
        <f t="shared" ca="1" si="916"/>
        <v>0</v>
      </c>
      <c r="GX286">
        <f t="shared" ca="1" si="917"/>
        <v>0</v>
      </c>
      <c r="GY286">
        <f t="shared" ca="1" si="918"/>
        <v>0</v>
      </c>
    </row>
    <row r="287" spans="1:207" x14ac:dyDescent="0.25">
      <c r="A287">
        <f>_xlfn.AGGREGATE(3,5,$B$2:B287)</f>
        <v>286</v>
      </c>
      <c r="B287" t="s">
        <v>660</v>
      </c>
      <c r="C287" t="s">
        <v>661</v>
      </c>
      <c r="D287" t="s">
        <v>822</v>
      </c>
      <c r="E287" t="s">
        <v>833</v>
      </c>
      <c r="F287" t="s">
        <v>952</v>
      </c>
      <c r="G287" t="s">
        <v>878</v>
      </c>
      <c r="H287">
        <f t="shared" si="813"/>
        <v>6800</v>
      </c>
      <c r="I287">
        <f>_xlfn.XLOOKUP(B287,'[1]march-2026'!$A:$A,'[1]march-2026'!$C:$C,0,0)</f>
        <v>32500</v>
      </c>
      <c r="J287">
        <f t="shared" si="877"/>
        <v>5850</v>
      </c>
      <c r="K287">
        <f t="shared" si="814"/>
        <v>3900</v>
      </c>
      <c r="L287">
        <f>_xlfn.XLOOKUP(B287,'[1]march-2026'!$A:$A,'[1]march-2026'!$D:$D,0,0)</f>
        <v>0</v>
      </c>
      <c r="M287">
        <f>_xlfn.XLOOKUP(B287,'[1]march-2026'!$A:$A,'[1]march-2026'!$G:$G,0,0)</f>
        <v>0</v>
      </c>
      <c r="N287">
        <f t="shared" si="815"/>
        <v>42250</v>
      </c>
      <c r="O287">
        <f>_xlfn.XLOOKUP(B287,'[1]march-2026'!$A:$A,'[1]march-2026'!$H:$H,0,0)</f>
        <v>2000</v>
      </c>
      <c r="P287">
        <f>_xlfn.XLOOKUP(B287,'[1]march-2026'!$A:$A,'[1]march-2026'!$I:$I,0,0)</f>
        <v>0</v>
      </c>
      <c r="Q287">
        <f t="shared" si="816"/>
        <v>200</v>
      </c>
      <c r="R287">
        <f t="shared" si="817"/>
        <v>40050</v>
      </c>
      <c r="S287">
        <f>_xlfn.XLOOKUP(B287,'[2]april-2026'!$A:$A,'[2]april-2026'!$C:$C,0,0)</f>
        <v>32500</v>
      </c>
      <c r="T287">
        <f t="shared" si="818"/>
        <v>5850</v>
      </c>
      <c r="U287">
        <f t="shared" si="819"/>
        <v>3900</v>
      </c>
      <c r="V287">
        <f>_xlfn.XLOOKUP(B287,'[2]april-2026'!$A:$A,'[2]april-2026'!$D:$D,0,0)</f>
        <v>0</v>
      </c>
      <c r="W287">
        <f>_xlfn.XLOOKUP(B287,'[2]april-2026'!$A:$A,'[2]april-2026'!$G:$G,0,0)</f>
        <v>0</v>
      </c>
      <c r="X287">
        <f t="shared" si="820"/>
        <v>42250</v>
      </c>
      <c r="Y287">
        <f>_xlfn.XLOOKUP(B287,'[2]april-2026'!$A:$A,'[2]april-2026'!$H:$H,0,0)</f>
        <v>2000</v>
      </c>
      <c r="Z287">
        <f>_xlfn.XLOOKUP(B287,'[2]april-2026'!$A:$A,'[2]april-2026'!$I:$I,0,0)</f>
        <v>0</v>
      </c>
      <c r="AA287">
        <f t="shared" si="821"/>
        <v>200</v>
      </c>
      <c r="AB287">
        <f t="shared" si="822"/>
        <v>40050</v>
      </c>
      <c r="AC287">
        <f>_xlfn.XLOOKUP(B287,'[3]may-2026'!$A:$A,'[3]may-2026'!$C:$C,0,0)</f>
        <v>32500</v>
      </c>
      <c r="AD287">
        <f t="shared" si="823"/>
        <v>5850</v>
      </c>
      <c r="AE287">
        <f t="shared" si="824"/>
        <v>3900</v>
      </c>
      <c r="AF287">
        <f>_xlfn.XLOOKUP(B287,'[3]may-2026'!$A:$A,'[3]may-2026'!$D:$D,0,0)</f>
        <v>0</v>
      </c>
      <c r="AG287">
        <f>_xlfn.XLOOKUP(B287,'[3]may-2026'!$A:$A,'[3]may-2026'!$G:$G,0,0)</f>
        <v>0</v>
      </c>
      <c r="AH287">
        <f t="shared" si="825"/>
        <v>42250</v>
      </c>
      <c r="AI287">
        <f>_xlfn.XLOOKUP(B287,'[3]may-2026'!$A:$A,'[3]may-2026'!$H:$H,0,0)</f>
        <v>2000</v>
      </c>
      <c r="AJ287">
        <f>_xlfn.XLOOKUP(B287,'[3]may-2026'!$A:$A,'[3]may-2026'!$I:$I,0,0)</f>
        <v>0</v>
      </c>
      <c r="AK287">
        <f t="shared" si="826"/>
        <v>200</v>
      </c>
      <c r="AL287">
        <f t="shared" si="827"/>
        <v>40050</v>
      </c>
      <c r="AM287">
        <f>_xlfn.XLOOKUP(B287,'[4]june-2026'!$A:$A,'[4]june-2026'!$C:$C,0,0)</f>
        <v>32500</v>
      </c>
      <c r="AN287">
        <f t="shared" si="828"/>
        <v>5850</v>
      </c>
      <c r="AO287">
        <f t="shared" si="829"/>
        <v>3900</v>
      </c>
      <c r="AP287">
        <f>_xlfn.XLOOKUP(B287,'[4]june-2026'!$A:$A,'[4]june-2026'!$D:$D,0,0)</f>
        <v>0</v>
      </c>
      <c r="AQ287">
        <f>_xlfn.XLOOKUP(B287,'[4]june-2026'!$A:$A,'[4]june-2026'!$G:$G,0,0)</f>
        <v>0</v>
      </c>
      <c r="AR287">
        <f t="shared" si="830"/>
        <v>42250</v>
      </c>
      <c r="AS287">
        <f>_xlfn.XLOOKUP(B287,'[4]june-2026'!$A:$A,'[4]june-2026'!$H:$H,0,0)</f>
        <v>2000</v>
      </c>
      <c r="AT287">
        <f>_xlfn.XLOOKUP(B287,'[4]june-2026'!$A:$A,'[4]june-2026'!$I:$I,0,0)</f>
        <v>0</v>
      </c>
      <c r="AU287">
        <f t="shared" si="831"/>
        <v>200</v>
      </c>
      <c r="AV287">
        <f t="shared" si="832"/>
        <v>40050</v>
      </c>
      <c r="AW287">
        <f>_xlfn.XLOOKUP(B287,'[5]july-2026'!$A:$A,'[5]july-2026'!$C:$C,0,0)</f>
        <v>33500</v>
      </c>
      <c r="AX287">
        <f t="shared" si="833"/>
        <v>6030</v>
      </c>
      <c r="AY287">
        <v>285</v>
      </c>
      <c r="AZ287">
        <f t="shared" si="834"/>
        <v>4020</v>
      </c>
      <c r="BA287">
        <f>_xlfn.XLOOKUP(B287,'[5]july-2026'!$A:$A,'[5]july-2026'!$D:$D,0,0)</f>
        <v>0</v>
      </c>
      <c r="BB287">
        <f>_xlfn.XLOOKUP(B287,'[5]july-2026'!$A:$A,'[5]july-2026'!$G:$G,0,0)</f>
        <v>0</v>
      </c>
      <c r="BC287">
        <f t="shared" si="835"/>
        <v>43835</v>
      </c>
      <c r="BD287">
        <f>_xlfn.XLOOKUP(B287,'[5]july-2026'!$A:$A,'[5]july-2026'!$H:$H,0,0)</f>
        <v>2000</v>
      </c>
      <c r="BE287">
        <f>_xlfn.XLOOKUP(B287,'[5]july-2026'!$A:$A,'[5]july-2026'!$I:$I,0,0)</f>
        <v>0</v>
      </c>
      <c r="BF287">
        <f t="shared" si="836"/>
        <v>200</v>
      </c>
      <c r="BG287">
        <f t="shared" si="837"/>
        <v>41635</v>
      </c>
      <c r="BH287">
        <f>_xlfn.XLOOKUP(B287,'[6]august-2026'!$A:$A,'[6]august-2026'!$C:$C,0,0)</f>
        <v>33500</v>
      </c>
      <c r="BI287">
        <f t="shared" si="838"/>
        <v>6030</v>
      </c>
      <c r="BJ287">
        <f t="shared" si="839"/>
        <v>4020</v>
      </c>
      <c r="BK287">
        <f>_xlfn.XLOOKUP(B287,'[6]august-2026'!$A:$A,'[6]august-2026'!$D:$D,0,0)</f>
        <v>0</v>
      </c>
      <c r="BL287">
        <f>_xlfn.XLOOKUP(B287,'[6]august-2026'!$A:$A,'[6]august-2026'!$G:$G,0,0)</f>
        <v>0</v>
      </c>
      <c r="BM287">
        <f t="shared" si="840"/>
        <v>43550</v>
      </c>
      <c r="BN287">
        <f>_xlfn.XLOOKUP(B287,'[6]august-2026'!$A:$A,'[6]august-2026'!$H:$H,0,0)</f>
        <v>2000</v>
      </c>
      <c r="BO287">
        <f>_xlfn.XLOOKUP(B287,'[6]august-2026'!$A:$A,'[6]august-2026'!$I:$I,0,0)</f>
        <v>0</v>
      </c>
      <c r="BP287">
        <f t="shared" si="841"/>
        <v>200</v>
      </c>
      <c r="BQ287">
        <f t="shared" si="842"/>
        <v>41350</v>
      </c>
      <c r="BR287">
        <f>_xlfn.XLOOKUP(B287,'[7]september-2026'!$A:$A,'[7]september-2026'!$C:$C,0,0)</f>
        <v>33500</v>
      </c>
      <c r="BS287">
        <f t="shared" si="843"/>
        <v>6030</v>
      </c>
      <c r="BT287">
        <f t="shared" si="844"/>
        <v>4020</v>
      </c>
      <c r="BU287">
        <f>_xlfn.XLOOKUP(B287,'[7]september-2026'!$A:$A,'[7]september-2026'!$D:$D,0,0)</f>
        <v>0</v>
      </c>
      <c r="BV287">
        <f>_xlfn.XLOOKUP(B287,'[7]september-2026'!$A:$A,'[7]september-2026'!$G:$G,0,0)</f>
        <v>0</v>
      </c>
      <c r="BW287">
        <f t="shared" si="845"/>
        <v>43550</v>
      </c>
      <c r="BX287">
        <f>_xlfn.XLOOKUP(B287,'[7]september-2026'!$A:$A,'[7]september-2026'!$H:$H,0,0)</f>
        <v>2000</v>
      </c>
      <c r="BY287">
        <f>_xlfn.XLOOKUP(B287,'[7]september-2026'!$A:$A,'[7]september-2026'!$I:$I,0,0)</f>
        <v>0</v>
      </c>
      <c r="BZ287">
        <f t="shared" si="846"/>
        <v>200</v>
      </c>
      <c r="CA287">
        <f t="shared" si="847"/>
        <v>41350</v>
      </c>
      <c r="CB287">
        <f>_xlfn.XLOOKUP(B287,'[8]october-2026'!$A:$A,'[8]october-2026'!$C:$C,0,0)</f>
        <v>33500</v>
      </c>
      <c r="CC287">
        <f t="shared" si="848"/>
        <v>6030</v>
      </c>
      <c r="CD287">
        <f t="shared" si="849"/>
        <v>4020</v>
      </c>
      <c r="CE287">
        <f>_xlfn.XLOOKUP(B287,'[8]october-2026'!$A:$A,'[8]october-2026'!$D:$D,0,0)</f>
        <v>0</v>
      </c>
      <c r="CF287">
        <f>_xlfn.XLOOKUP(B287,'[8]october-2026'!$A:$A,'[8]october-2026'!$G:$G,0,0)</f>
        <v>0</v>
      </c>
      <c r="CG287">
        <f t="shared" si="850"/>
        <v>43550</v>
      </c>
      <c r="CH287">
        <f>_xlfn.XLOOKUP(B287,'[8]october-2026'!$A:$A,'[8]october-2026'!$H:$H,0,0)</f>
        <v>2000</v>
      </c>
      <c r="CI287">
        <f>_xlfn.XLOOKUP(B287,'[8]october-2026'!$A:$A,'[8]october-2026'!$I:$I,0,0)</f>
        <v>0</v>
      </c>
      <c r="CJ287">
        <f t="shared" si="851"/>
        <v>200</v>
      </c>
      <c r="CK287">
        <f t="shared" si="852"/>
        <v>41350</v>
      </c>
      <c r="CL287">
        <f>_xlfn.XLOOKUP(B287,'[9]november-2026'!$A:$A,'[9]november-2026'!$C:$C,0,0)</f>
        <v>33500</v>
      </c>
      <c r="CM287">
        <f t="shared" si="853"/>
        <v>6030</v>
      </c>
      <c r="CN287">
        <f t="shared" si="854"/>
        <v>4020</v>
      </c>
      <c r="CO287">
        <f>_xlfn.XLOOKUP(B287,'[9]november-2026'!$A:$A,'[9]november-2026'!$D:$D,0,0)</f>
        <v>0</v>
      </c>
      <c r="CP287">
        <f>_xlfn.XLOOKUP(B287,'[9]november-2026'!$A:$A,'[9]november-2026'!$G:$G,0,0)</f>
        <v>0</v>
      </c>
      <c r="CQ287">
        <f t="shared" si="855"/>
        <v>43550</v>
      </c>
      <c r="CR287">
        <f>_xlfn.XLOOKUP(B287,'[9]november-2026'!$A:$A,'[9]november-2026'!$H:$H,0,0)</f>
        <v>2000</v>
      </c>
      <c r="CS287">
        <f>_xlfn.XLOOKUP(B287,'[9]november-2026'!$A:$A,'[9]november-2026'!$I:$I,0,0)</f>
        <v>0</v>
      </c>
      <c r="CT287">
        <f t="shared" si="856"/>
        <v>200</v>
      </c>
      <c r="CU287">
        <f t="shared" si="857"/>
        <v>41350</v>
      </c>
      <c r="CV287">
        <f>_xlfn.XLOOKUP(B287,'[10]december-2026'!$A:$A,'[10]december-2026'!$C:$C,0,0)</f>
        <v>33500</v>
      </c>
      <c r="CW287">
        <f t="shared" si="858"/>
        <v>6030</v>
      </c>
      <c r="CX287">
        <f t="shared" si="859"/>
        <v>4020</v>
      </c>
      <c r="CY287">
        <f>_xlfn.XLOOKUP(B287,'[10]december-2026'!$A:$A,'[10]december-2026'!$D:$D,0,0)</f>
        <v>0</v>
      </c>
      <c r="CZ287">
        <f>_xlfn.XLOOKUP(B287,'[10]december-2026'!$A:$A,'[10]december-2026'!$G:$G,0,0)</f>
        <v>0</v>
      </c>
      <c r="DA287">
        <f t="shared" si="860"/>
        <v>43550</v>
      </c>
      <c r="DB287">
        <f>_xlfn.XLOOKUP(B287,'[10]december-2026'!$A:$A,'[10]december-2026'!$H:$H,0,0)</f>
        <v>2000</v>
      </c>
      <c r="DC287">
        <f>_xlfn.XLOOKUP(B287,'[10]december-2026'!$A:$A,'[10]december-2026'!$I:$I,0,0)</f>
        <v>0</v>
      </c>
      <c r="DD287">
        <f t="shared" si="861"/>
        <v>200</v>
      </c>
      <c r="DE287">
        <f t="shared" si="862"/>
        <v>41350</v>
      </c>
      <c r="DF287">
        <f xml:space="preserve"> _xlfn.XLOOKUP(B287,
'[11]january-2027'!$A:$A,
'[11]january-2027'!$C:$C,
0,0)</f>
        <v>33500</v>
      </c>
      <c r="DG287">
        <f t="shared" si="863"/>
        <v>6030</v>
      </c>
      <c r="DH287">
        <f t="shared" si="864"/>
        <v>4020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0</v>
      </c>
      <c r="DK287">
        <f t="shared" si="865"/>
        <v>43550</v>
      </c>
      <c r="DL287">
        <f xml:space="preserve"> _xlfn.XLOOKUP(B287,
'[11]january-2027'!$A:$A,
'[11]january-2027'!$H:$H,
0,0)</f>
        <v>2000</v>
      </c>
      <c r="DM287">
        <f xml:space="preserve"> _xlfn.XLOOKUP(B287,
'[11]january-2027'!$A:$A,
'[11]january-2027'!$I:$I,
0,0)</f>
        <v>0</v>
      </c>
      <c r="DN287">
        <f t="shared" si="866"/>
        <v>200</v>
      </c>
      <c r="DO287">
        <f t="shared" si="867"/>
        <v>41350</v>
      </c>
      <c r="DP287">
        <f xml:space="preserve"> _xlfn.XLOOKUP(B287,
'[12]february-2027'!$A:$A,
'[12]february-2027'!$C:$C,
0,0)</f>
        <v>33500</v>
      </c>
      <c r="DQ287">
        <f t="shared" si="868"/>
        <v>6030</v>
      </c>
      <c r="DR287">
        <f t="shared" si="869"/>
        <v>4020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0</v>
      </c>
      <c r="DU287">
        <f t="shared" si="870"/>
        <v>43550</v>
      </c>
      <c r="DV287">
        <f xml:space="preserve"> _xlfn.XLOOKUP(B287,
'[12]february-2027'!$A:$A,
'[12]february-2027'!$H:$H,
0,0)</f>
        <v>2000</v>
      </c>
      <c r="DW287">
        <f xml:space="preserve"> _xlfn.XLOOKUP(B287,
'[12]february-2027'!$A:$A,
'[12]february-2027'!$I:$I,
0,0)</f>
        <v>0</v>
      </c>
      <c r="DX287">
        <f t="shared" si="871"/>
        <v>200</v>
      </c>
      <c r="DY287">
        <f t="shared" si="872"/>
        <v>41350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873"/>
        <v>0</v>
      </c>
      <c r="EM287">
        <f t="shared" si="874"/>
        <v>524485</v>
      </c>
      <c r="EN287">
        <f t="shared" si="875"/>
        <v>2400</v>
      </c>
      <c r="EO287">
        <f t="shared" si="876"/>
        <v>50000</v>
      </c>
      <c r="EP287">
        <v>0</v>
      </c>
      <c r="EQ287">
        <f t="shared" si="878"/>
        <v>472085</v>
      </c>
      <c r="ER287">
        <f t="shared" si="879"/>
        <v>24000</v>
      </c>
      <c r="ES287">
        <f t="shared" si="880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881"/>
        <v>24000</v>
      </c>
      <c r="FE287">
        <f t="shared" si="882"/>
        <v>24000</v>
      </c>
      <c r="FF287">
        <f t="shared" si="883"/>
        <v>448085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>SUM(FG287:FM287)+(IF(F287="YES",50000,0))</f>
        <v>0</v>
      </c>
      <c r="FO287">
        <f t="shared" si="884"/>
        <v>448085</v>
      </c>
      <c r="FP287">
        <f t="shared" si="885"/>
        <v>9904</v>
      </c>
      <c r="FQ287">
        <f t="shared" si="886"/>
        <v>0</v>
      </c>
      <c r="FR287">
        <f t="shared" si="887"/>
        <v>9904</v>
      </c>
      <c r="FS287">
        <f t="shared" si="888"/>
        <v>0</v>
      </c>
      <c r="FT287">
        <f t="shared" si="889"/>
        <v>0</v>
      </c>
      <c r="FU287">
        <f t="shared" si="890"/>
        <v>0</v>
      </c>
      <c r="FV287">
        <v>0</v>
      </c>
      <c r="FW287">
        <f t="shared" si="891"/>
        <v>0</v>
      </c>
      <c r="FX287" t="b">
        <f t="shared" si="892"/>
        <v>1</v>
      </c>
      <c r="FY287">
        <f t="shared" ca="1" si="893"/>
        <v>571</v>
      </c>
      <c r="FZ287">
        <f t="shared" ca="1" si="894"/>
        <v>525056</v>
      </c>
      <c r="GA287">
        <f t="shared" si="895"/>
        <v>75000</v>
      </c>
      <c r="GB287">
        <f t="shared" ca="1" si="896"/>
        <v>450056</v>
      </c>
      <c r="GC287">
        <f t="shared" ca="1" si="897"/>
        <v>0</v>
      </c>
      <c r="GD287">
        <f t="shared" ca="1" si="898"/>
        <v>0</v>
      </c>
      <c r="GE287">
        <f t="shared" ca="1" si="899"/>
        <v>0</v>
      </c>
      <c r="GF287">
        <f t="shared" ca="1" si="900"/>
        <v>0</v>
      </c>
      <c r="GG287">
        <f t="shared" ca="1" si="901"/>
        <v>0</v>
      </c>
      <c r="GH287">
        <f t="shared" ca="1" si="902"/>
        <v>0</v>
      </c>
      <c r="GI287">
        <f ca="1">IF(GB287&gt;1200000,GB287-1200000-IF(F287="YES",50000,0)-GG287,0)</f>
        <v>0</v>
      </c>
      <c r="GJ287">
        <f t="shared" ca="1" si="903"/>
        <v>0</v>
      </c>
      <c r="GK287">
        <f t="shared" ca="1" si="904"/>
        <v>0</v>
      </c>
      <c r="GL287">
        <f t="shared" ca="1" si="905"/>
        <v>0</v>
      </c>
      <c r="GM287">
        <f t="shared" ca="1" si="906"/>
        <v>50056</v>
      </c>
      <c r="GN287">
        <f t="shared" ca="1" si="907"/>
        <v>2502.8000000000002</v>
      </c>
      <c r="GO287">
        <f t="shared" ca="1" si="908"/>
        <v>2503</v>
      </c>
      <c r="GP287">
        <f t="shared" ca="1" si="909"/>
        <v>0</v>
      </c>
      <c r="GQ287">
        <f t="shared" ca="1" si="910"/>
        <v>0</v>
      </c>
      <c r="GR287">
        <f t="shared" ca="1" si="911"/>
        <v>2503</v>
      </c>
      <c r="GS287">
        <f t="shared" ca="1" si="912"/>
        <v>0</v>
      </c>
      <c r="GT287" t="b">
        <f t="shared" ca="1" si="913"/>
        <v>0</v>
      </c>
      <c r="GU287">
        <f t="shared" ca="1" si="914"/>
        <v>0</v>
      </c>
      <c r="GV287">
        <f t="shared" ca="1" si="915"/>
        <v>2503</v>
      </c>
      <c r="GW287">
        <f t="shared" ca="1" si="916"/>
        <v>0</v>
      </c>
      <c r="GX287">
        <f t="shared" ca="1" si="917"/>
        <v>0</v>
      </c>
      <c r="GY287">
        <f t="shared" ca="1" si="918"/>
        <v>0</v>
      </c>
    </row>
    <row r="288" spans="1:207" x14ac:dyDescent="0.25">
      <c r="A288">
        <f>_xlfn.AGGREGATE(3,5,$B$2:B288)</f>
        <v>287</v>
      </c>
      <c r="B288" t="s">
        <v>662</v>
      </c>
      <c r="C288" t="s">
        <v>663</v>
      </c>
      <c r="D288" t="s">
        <v>822</v>
      </c>
      <c r="E288" t="s">
        <v>830</v>
      </c>
      <c r="F288" t="s">
        <v>952</v>
      </c>
      <c r="G288" t="s">
        <v>878</v>
      </c>
      <c r="H288">
        <f t="shared" si="813"/>
        <v>6800</v>
      </c>
      <c r="I288">
        <f>_xlfn.XLOOKUP(B288,'[1]march-2026'!$A:$A,'[1]march-2026'!$C:$C,0,0)</f>
        <v>27800</v>
      </c>
      <c r="J288">
        <f t="shared" si="877"/>
        <v>5004</v>
      </c>
      <c r="K288">
        <f t="shared" si="814"/>
        <v>3336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815"/>
        <v>36140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816"/>
        <v>150</v>
      </c>
      <c r="R288">
        <f t="shared" si="817"/>
        <v>33990</v>
      </c>
      <c r="S288">
        <f>_xlfn.XLOOKUP(B288,'[2]april-2026'!$A:$A,'[2]april-2026'!$C:$C,0,0)</f>
        <v>27800</v>
      </c>
      <c r="T288">
        <f t="shared" si="818"/>
        <v>5004</v>
      </c>
      <c r="U288">
        <f t="shared" si="819"/>
        <v>3336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820"/>
        <v>36140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821"/>
        <v>150</v>
      </c>
      <c r="AB288">
        <f t="shared" si="822"/>
        <v>33990</v>
      </c>
      <c r="AC288">
        <f>_xlfn.XLOOKUP(B288,'[3]may-2026'!$A:$A,'[3]may-2026'!$C:$C,0,0)</f>
        <v>27800</v>
      </c>
      <c r="AD288">
        <f t="shared" si="823"/>
        <v>5004</v>
      </c>
      <c r="AE288">
        <f t="shared" si="824"/>
        <v>3336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825"/>
        <v>36140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826"/>
        <v>150</v>
      </c>
      <c r="AL288">
        <f t="shared" si="827"/>
        <v>33990</v>
      </c>
      <c r="AM288">
        <f>_xlfn.XLOOKUP(B288,'[4]june-2026'!$A:$A,'[4]june-2026'!$C:$C,0,0)</f>
        <v>27800</v>
      </c>
      <c r="AN288">
        <f t="shared" si="828"/>
        <v>5004</v>
      </c>
      <c r="AO288">
        <f t="shared" si="829"/>
        <v>3336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830"/>
        <v>36140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831"/>
        <v>150</v>
      </c>
      <c r="AV288">
        <f t="shared" si="832"/>
        <v>33990</v>
      </c>
      <c r="AW288">
        <f>_xlfn.XLOOKUP(B288,'[5]july-2026'!$A:$A,'[5]july-2026'!$C:$C,0,0)</f>
        <v>28600</v>
      </c>
      <c r="AX288">
        <f t="shared" si="833"/>
        <v>5148</v>
      </c>
      <c r="AY288">
        <v>286</v>
      </c>
      <c r="AZ288">
        <f t="shared" si="834"/>
        <v>3432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835"/>
        <v>37466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836"/>
        <v>150</v>
      </c>
      <c r="BG288">
        <f t="shared" si="837"/>
        <v>35316</v>
      </c>
      <c r="BH288">
        <f>_xlfn.XLOOKUP(B288,'[6]august-2026'!$A:$A,'[6]august-2026'!$C:$C,0,0)</f>
        <v>28600</v>
      </c>
      <c r="BI288">
        <f t="shared" si="838"/>
        <v>5148</v>
      </c>
      <c r="BJ288">
        <f t="shared" si="839"/>
        <v>3432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840"/>
        <v>37180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841"/>
        <v>150</v>
      </c>
      <c r="BQ288">
        <f t="shared" si="842"/>
        <v>35030</v>
      </c>
      <c r="BR288">
        <f>_xlfn.XLOOKUP(B288,'[7]september-2026'!$A:$A,'[7]september-2026'!$C:$C,0,0)</f>
        <v>28600</v>
      </c>
      <c r="BS288">
        <f t="shared" si="843"/>
        <v>5148</v>
      </c>
      <c r="BT288">
        <f t="shared" si="844"/>
        <v>3432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845"/>
        <v>37180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846"/>
        <v>150</v>
      </c>
      <c r="CA288">
        <f t="shared" si="847"/>
        <v>35030</v>
      </c>
      <c r="CB288">
        <f>_xlfn.XLOOKUP(B288,'[8]october-2026'!$A:$A,'[8]october-2026'!$C:$C,0,0)</f>
        <v>28600</v>
      </c>
      <c r="CC288">
        <f t="shared" si="848"/>
        <v>5148</v>
      </c>
      <c r="CD288">
        <f t="shared" si="849"/>
        <v>3432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850"/>
        <v>37180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851"/>
        <v>150</v>
      </c>
      <c r="CK288">
        <f t="shared" si="852"/>
        <v>35030</v>
      </c>
      <c r="CL288">
        <f>_xlfn.XLOOKUP(B288,'[9]november-2026'!$A:$A,'[9]november-2026'!$C:$C,0,0)</f>
        <v>28600</v>
      </c>
      <c r="CM288">
        <f t="shared" si="853"/>
        <v>5148</v>
      </c>
      <c r="CN288">
        <f t="shared" si="854"/>
        <v>3432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855"/>
        <v>37180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856"/>
        <v>150</v>
      </c>
      <c r="CU288">
        <f t="shared" si="857"/>
        <v>35030</v>
      </c>
      <c r="CV288">
        <f>_xlfn.XLOOKUP(B288,'[10]december-2026'!$A:$A,'[10]december-2026'!$C:$C,0,0)</f>
        <v>28600</v>
      </c>
      <c r="CW288">
        <f t="shared" si="858"/>
        <v>5148</v>
      </c>
      <c r="CX288">
        <f t="shared" si="859"/>
        <v>3432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860"/>
        <v>37180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861"/>
        <v>150</v>
      </c>
      <c r="DE288">
        <f t="shared" si="862"/>
        <v>35030</v>
      </c>
      <c r="DF288">
        <f xml:space="preserve"> _xlfn.XLOOKUP(B288,
'[11]january-2027'!$A:$A,
'[11]january-2027'!$C:$C,
0,0)</f>
        <v>28600</v>
      </c>
      <c r="DG288">
        <f t="shared" si="863"/>
        <v>5148</v>
      </c>
      <c r="DH288">
        <f t="shared" si="864"/>
        <v>3432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865"/>
        <v>37180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866"/>
        <v>150</v>
      </c>
      <c r="DO288">
        <f t="shared" si="867"/>
        <v>35030</v>
      </c>
      <c r="DP288">
        <f xml:space="preserve"> _xlfn.XLOOKUP(B288,
'[12]february-2027'!$A:$A,
'[12]february-2027'!$C:$C,
0,0)</f>
        <v>28600</v>
      </c>
      <c r="DQ288">
        <f t="shared" si="868"/>
        <v>5148</v>
      </c>
      <c r="DR288">
        <f t="shared" si="869"/>
        <v>3432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870"/>
        <v>37180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871"/>
        <v>150</v>
      </c>
      <c r="DY288">
        <f t="shared" si="872"/>
        <v>35030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873"/>
        <v>0</v>
      </c>
      <c r="EM288">
        <f t="shared" si="874"/>
        <v>449086</v>
      </c>
      <c r="EN288">
        <f t="shared" si="875"/>
        <v>1800</v>
      </c>
      <c r="EO288">
        <f t="shared" si="876"/>
        <v>50000</v>
      </c>
      <c r="EP288">
        <v>0</v>
      </c>
      <c r="EQ288">
        <f t="shared" si="878"/>
        <v>397286</v>
      </c>
      <c r="ER288">
        <f t="shared" si="879"/>
        <v>24000</v>
      </c>
      <c r="ES288">
        <f t="shared" si="880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881"/>
        <v>24000</v>
      </c>
      <c r="FE288">
        <f t="shared" si="882"/>
        <v>24000</v>
      </c>
      <c r="FF288">
        <f t="shared" si="883"/>
        <v>373286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>SUM(FG288:FM288)+(IF(F288="YES",50000,0))</f>
        <v>0</v>
      </c>
      <c r="FO288">
        <f t="shared" si="884"/>
        <v>373286</v>
      </c>
      <c r="FP288">
        <f t="shared" si="885"/>
        <v>6164</v>
      </c>
      <c r="FQ288">
        <f t="shared" si="886"/>
        <v>0</v>
      </c>
      <c r="FR288">
        <f t="shared" si="887"/>
        <v>6164</v>
      </c>
      <c r="FS288">
        <f t="shared" si="888"/>
        <v>0</v>
      </c>
      <c r="FT288">
        <f t="shared" si="889"/>
        <v>0</v>
      </c>
      <c r="FU288">
        <f t="shared" si="890"/>
        <v>0</v>
      </c>
      <c r="FV288">
        <v>0</v>
      </c>
      <c r="FW288">
        <f t="shared" si="891"/>
        <v>0</v>
      </c>
      <c r="FX288" t="b">
        <f t="shared" si="892"/>
        <v>0</v>
      </c>
      <c r="FY288">
        <f t="shared" ca="1" si="893"/>
        <v>1657</v>
      </c>
      <c r="FZ288">
        <f t="shared" ca="1" si="894"/>
        <v>450743</v>
      </c>
      <c r="GA288">
        <f t="shared" si="895"/>
        <v>75000</v>
      </c>
      <c r="GB288">
        <f t="shared" ca="1" si="896"/>
        <v>375743</v>
      </c>
      <c r="GC288">
        <f t="shared" ca="1" si="897"/>
        <v>0</v>
      </c>
      <c r="GD288">
        <f t="shared" ca="1" si="898"/>
        <v>0</v>
      </c>
      <c r="GE288">
        <f t="shared" ca="1" si="899"/>
        <v>0</v>
      </c>
      <c r="GF288">
        <f t="shared" ca="1" si="900"/>
        <v>0</v>
      </c>
      <c r="GG288">
        <f t="shared" ca="1" si="901"/>
        <v>0</v>
      </c>
      <c r="GH288">
        <f t="shared" ca="1" si="902"/>
        <v>0</v>
      </c>
      <c r="GI288">
        <f ca="1">IF(GB288&gt;1200000,GB288-1200000-IF(F288="YES",50000,0)-GG288,0)</f>
        <v>0</v>
      </c>
      <c r="GJ288">
        <f t="shared" ca="1" si="903"/>
        <v>0</v>
      </c>
      <c r="GK288">
        <f t="shared" ca="1" si="904"/>
        <v>0</v>
      </c>
      <c r="GL288">
        <f t="shared" ca="1" si="905"/>
        <v>0</v>
      </c>
      <c r="GM288">
        <f t="shared" ca="1" si="906"/>
        <v>0</v>
      </c>
      <c r="GN288">
        <f t="shared" ca="1" si="907"/>
        <v>0</v>
      </c>
      <c r="GO288">
        <f t="shared" ca="1" si="908"/>
        <v>0</v>
      </c>
      <c r="GP288">
        <f t="shared" ca="1" si="909"/>
        <v>0</v>
      </c>
      <c r="GQ288">
        <f t="shared" ca="1" si="910"/>
        <v>0</v>
      </c>
      <c r="GR288">
        <f t="shared" ca="1" si="911"/>
        <v>0</v>
      </c>
      <c r="GS288">
        <f t="shared" ca="1" si="912"/>
        <v>0</v>
      </c>
      <c r="GT288" t="b">
        <f t="shared" ca="1" si="913"/>
        <v>0</v>
      </c>
      <c r="GU288">
        <f t="shared" ca="1" si="914"/>
        <v>0</v>
      </c>
      <c r="GV288">
        <f t="shared" ca="1" si="915"/>
        <v>0</v>
      </c>
      <c r="GW288">
        <f t="shared" ca="1" si="916"/>
        <v>0</v>
      </c>
      <c r="GX288">
        <f t="shared" ca="1" si="917"/>
        <v>0</v>
      </c>
      <c r="GY288">
        <f t="shared" ca="1" si="918"/>
        <v>0</v>
      </c>
    </row>
    <row r="289" spans="1:207" x14ac:dyDescent="0.25">
      <c r="A289">
        <f>_xlfn.AGGREGATE(3,5,$B$2:B289)</f>
        <v>288</v>
      </c>
      <c r="B289" t="s">
        <v>664</v>
      </c>
      <c r="C289" t="s">
        <v>665</v>
      </c>
      <c r="D289" t="s">
        <v>823</v>
      </c>
      <c r="E289" t="s">
        <v>831</v>
      </c>
      <c r="F289" t="s">
        <v>952</v>
      </c>
      <c r="G289" t="s">
        <v>879</v>
      </c>
      <c r="H289">
        <f t="shared" si="813"/>
        <v>6800</v>
      </c>
      <c r="I289">
        <f>_xlfn.XLOOKUP(B289,'[1]march-2026'!$A:$A,'[1]march-2026'!$C:$C,0,0)</f>
        <v>48700</v>
      </c>
      <c r="J289">
        <f t="shared" si="877"/>
        <v>8766</v>
      </c>
      <c r="K289">
        <f t="shared" si="814"/>
        <v>5844</v>
      </c>
      <c r="L289">
        <f>_xlfn.XLOOKUP(B289,'[1]march-2026'!$A:$A,'[1]march-2026'!$D:$D,0,0)</f>
        <v>400</v>
      </c>
      <c r="M289">
        <f>_xlfn.XLOOKUP(B289,'[1]march-2026'!$A:$A,'[1]march-2026'!$G:$G,0,0)</f>
        <v>500</v>
      </c>
      <c r="N289">
        <f t="shared" si="815"/>
        <v>64210</v>
      </c>
      <c r="O289">
        <f>_xlfn.XLOOKUP(B289,'[1]march-2026'!$A:$A,'[1]march-2026'!$H:$H,0,0)</f>
        <v>4000</v>
      </c>
      <c r="P289">
        <f>_xlfn.XLOOKUP(B289,'[1]march-2026'!$A:$A,'[1]march-2026'!$I:$I,0,0)</f>
        <v>0</v>
      </c>
      <c r="Q289">
        <f t="shared" si="816"/>
        <v>200</v>
      </c>
      <c r="R289">
        <f t="shared" si="817"/>
        <v>60010</v>
      </c>
      <c r="S289">
        <f>_xlfn.XLOOKUP(B289,'[2]april-2026'!$A:$A,'[2]april-2026'!$C:$C,0,0)</f>
        <v>48700</v>
      </c>
      <c r="T289">
        <f t="shared" si="818"/>
        <v>8766</v>
      </c>
      <c r="U289">
        <f t="shared" si="819"/>
        <v>5844</v>
      </c>
      <c r="V289">
        <f>_xlfn.XLOOKUP(B289,'[2]april-2026'!$A:$A,'[2]april-2026'!$D:$D,0,0)</f>
        <v>400</v>
      </c>
      <c r="W289">
        <f>_xlfn.XLOOKUP(B289,'[2]april-2026'!$A:$A,'[2]april-2026'!$G:$G,0,0)</f>
        <v>500</v>
      </c>
      <c r="X289">
        <f t="shared" si="820"/>
        <v>64210</v>
      </c>
      <c r="Y289">
        <f>_xlfn.XLOOKUP(B289,'[2]april-2026'!$A:$A,'[2]april-2026'!$H:$H,0,0)</f>
        <v>4000</v>
      </c>
      <c r="Z289">
        <f>_xlfn.XLOOKUP(B289,'[2]april-2026'!$A:$A,'[2]april-2026'!$I:$I,0,0)</f>
        <v>0</v>
      </c>
      <c r="AA289">
        <f t="shared" si="821"/>
        <v>200</v>
      </c>
      <c r="AB289">
        <f t="shared" si="822"/>
        <v>60010</v>
      </c>
      <c r="AC289">
        <f>_xlfn.XLOOKUP(B289,'[3]may-2026'!$A:$A,'[3]may-2026'!$C:$C,0,0)</f>
        <v>48700</v>
      </c>
      <c r="AD289">
        <f t="shared" si="823"/>
        <v>8766</v>
      </c>
      <c r="AE289">
        <f t="shared" si="824"/>
        <v>5844</v>
      </c>
      <c r="AF289">
        <f>_xlfn.XLOOKUP(B289,'[3]may-2026'!$A:$A,'[3]may-2026'!$D:$D,0,0)</f>
        <v>400</v>
      </c>
      <c r="AG289">
        <f>_xlfn.XLOOKUP(B289,'[3]may-2026'!$A:$A,'[3]may-2026'!$G:$G,0,0)</f>
        <v>500</v>
      </c>
      <c r="AH289">
        <f t="shared" si="825"/>
        <v>64210</v>
      </c>
      <c r="AI289">
        <f>_xlfn.XLOOKUP(B289,'[3]may-2026'!$A:$A,'[3]may-2026'!$H:$H,0,0)</f>
        <v>4000</v>
      </c>
      <c r="AJ289">
        <f>_xlfn.XLOOKUP(B289,'[3]may-2026'!$A:$A,'[3]may-2026'!$I:$I,0,0)</f>
        <v>0</v>
      </c>
      <c r="AK289">
        <f t="shared" si="826"/>
        <v>200</v>
      </c>
      <c r="AL289">
        <f t="shared" si="827"/>
        <v>60010</v>
      </c>
      <c r="AM289">
        <f>_xlfn.XLOOKUP(B289,'[4]june-2026'!$A:$A,'[4]june-2026'!$C:$C,0,0)</f>
        <v>48700</v>
      </c>
      <c r="AN289">
        <f t="shared" si="828"/>
        <v>8766</v>
      </c>
      <c r="AO289">
        <f t="shared" si="829"/>
        <v>5844</v>
      </c>
      <c r="AP289">
        <f>_xlfn.XLOOKUP(B289,'[4]june-2026'!$A:$A,'[4]june-2026'!$D:$D,0,0)</f>
        <v>400</v>
      </c>
      <c r="AQ289">
        <f>_xlfn.XLOOKUP(B289,'[4]june-2026'!$A:$A,'[4]june-2026'!$G:$G,0,0)</f>
        <v>500</v>
      </c>
      <c r="AR289">
        <f t="shared" si="830"/>
        <v>64210</v>
      </c>
      <c r="AS289">
        <f>_xlfn.XLOOKUP(B289,'[4]june-2026'!$A:$A,'[4]june-2026'!$H:$H,0,0)</f>
        <v>4000</v>
      </c>
      <c r="AT289">
        <f>_xlfn.XLOOKUP(B289,'[4]june-2026'!$A:$A,'[4]june-2026'!$I:$I,0,0)</f>
        <v>0</v>
      </c>
      <c r="AU289">
        <f t="shared" si="831"/>
        <v>200</v>
      </c>
      <c r="AV289">
        <f t="shared" si="832"/>
        <v>60010</v>
      </c>
      <c r="AW289">
        <f>_xlfn.XLOOKUP(B289,'[5]july-2026'!$A:$A,'[5]july-2026'!$C:$C,0,0)</f>
        <v>50200</v>
      </c>
      <c r="AX289">
        <f t="shared" si="833"/>
        <v>9036</v>
      </c>
      <c r="AY289">
        <v>287</v>
      </c>
      <c r="AZ289">
        <f t="shared" si="834"/>
        <v>6024</v>
      </c>
      <c r="BA289">
        <f>_xlfn.XLOOKUP(B289,'[5]july-2026'!$A:$A,'[5]july-2026'!$D:$D,0,0)</f>
        <v>400</v>
      </c>
      <c r="BB289">
        <f>_xlfn.XLOOKUP(B289,'[5]july-2026'!$A:$A,'[5]july-2026'!$G:$G,0,0)</f>
        <v>500</v>
      </c>
      <c r="BC289">
        <f t="shared" si="835"/>
        <v>66447</v>
      </c>
      <c r="BD289">
        <f>_xlfn.XLOOKUP(B289,'[5]july-2026'!$A:$A,'[5]july-2026'!$H:$H,0,0)</f>
        <v>4000</v>
      </c>
      <c r="BE289">
        <f>_xlfn.XLOOKUP(B289,'[5]july-2026'!$A:$A,'[5]july-2026'!$I:$I,0,0)</f>
        <v>0</v>
      </c>
      <c r="BF289">
        <f t="shared" si="836"/>
        <v>200</v>
      </c>
      <c r="BG289">
        <f t="shared" si="837"/>
        <v>62247</v>
      </c>
      <c r="BH289">
        <f>_xlfn.XLOOKUP(B289,'[6]august-2026'!$A:$A,'[6]august-2026'!$C:$C,0,0)</f>
        <v>50200</v>
      </c>
      <c r="BI289">
        <f t="shared" si="838"/>
        <v>9036</v>
      </c>
      <c r="BJ289">
        <f t="shared" si="839"/>
        <v>6024</v>
      </c>
      <c r="BK289">
        <f>_xlfn.XLOOKUP(B289,'[6]august-2026'!$A:$A,'[6]august-2026'!$D:$D,0,0)</f>
        <v>400</v>
      </c>
      <c r="BL289">
        <f>_xlfn.XLOOKUP(B289,'[6]august-2026'!$A:$A,'[6]august-2026'!$G:$G,0,0)</f>
        <v>500</v>
      </c>
      <c r="BM289">
        <f t="shared" si="840"/>
        <v>66160</v>
      </c>
      <c r="BN289">
        <f>_xlfn.XLOOKUP(B289,'[6]august-2026'!$A:$A,'[6]august-2026'!$H:$H,0,0)</f>
        <v>4000</v>
      </c>
      <c r="BO289">
        <f>_xlfn.XLOOKUP(B289,'[6]august-2026'!$A:$A,'[6]august-2026'!$I:$I,0,0)</f>
        <v>0</v>
      </c>
      <c r="BP289">
        <f t="shared" si="841"/>
        <v>200</v>
      </c>
      <c r="BQ289">
        <f t="shared" si="842"/>
        <v>61960</v>
      </c>
      <c r="BR289">
        <f>_xlfn.XLOOKUP(B289,'[7]september-2026'!$A:$A,'[7]september-2026'!$C:$C,0,0)</f>
        <v>50200</v>
      </c>
      <c r="BS289">
        <f t="shared" si="843"/>
        <v>9036</v>
      </c>
      <c r="BT289">
        <f t="shared" si="844"/>
        <v>6024</v>
      </c>
      <c r="BU289">
        <f>_xlfn.XLOOKUP(B289,'[7]september-2026'!$A:$A,'[7]september-2026'!$D:$D,0,0)</f>
        <v>400</v>
      </c>
      <c r="BV289">
        <f>_xlfn.XLOOKUP(B289,'[7]september-2026'!$A:$A,'[7]september-2026'!$G:$G,0,0)</f>
        <v>500</v>
      </c>
      <c r="BW289">
        <f t="shared" si="845"/>
        <v>66160</v>
      </c>
      <c r="BX289">
        <f>_xlfn.XLOOKUP(B289,'[7]september-2026'!$A:$A,'[7]september-2026'!$H:$H,0,0)</f>
        <v>4000</v>
      </c>
      <c r="BY289">
        <f>_xlfn.XLOOKUP(B289,'[7]september-2026'!$A:$A,'[7]september-2026'!$I:$I,0,0)</f>
        <v>0</v>
      </c>
      <c r="BZ289">
        <f t="shared" si="846"/>
        <v>200</v>
      </c>
      <c r="CA289">
        <f t="shared" si="847"/>
        <v>61960</v>
      </c>
      <c r="CB289">
        <f>_xlfn.XLOOKUP(B289,'[8]october-2026'!$A:$A,'[8]october-2026'!$C:$C,0,0)</f>
        <v>50200</v>
      </c>
      <c r="CC289">
        <f t="shared" si="848"/>
        <v>9036</v>
      </c>
      <c r="CD289">
        <f t="shared" si="849"/>
        <v>6024</v>
      </c>
      <c r="CE289">
        <f>_xlfn.XLOOKUP(B289,'[8]october-2026'!$A:$A,'[8]october-2026'!$D:$D,0,0)</f>
        <v>400</v>
      </c>
      <c r="CF289">
        <f>_xlfn.XLOOKUP(B289,'[8]october-2026'!$A:$A,'[8]october-2026'!$G:$G,0,0)</f>
        <v>500</v>
      </c>
      <c r="CG289">
        <f t="shared" si="850"/>
        <v>66160</v>
      </c>
      <c r="CH289">
        <f>_xlfn.XLOOKUP(B289,'[8]october-2026'!$A:$A,'[8]october-2026'!$H:$H,0,0)</f>
        <v>4000</v>
      </c>
      <c r="CI289">
        <f>_xlfn.XLOOKUP(B289,'[8]october-2026'!$A:$A,'[8]october-2026'!$I:$I,0,0)</f>
        <v>0</v>
      </c>
      <c r="CJ289">
        <f t="shared" si="851"/>
        <v>200</v>
      </c>
      <c r="CK289">
        <f t="shared" si="852"/>
        <v>61960</v>
      </c>
      <c r="CL289">
        <f>_xlfn.XLOOKUP(B289,'[9]november-2026'!$A:$A,'[9]november-2026'!$C:$C,0,0)</f>
        <v>50200</v>
      </c>
      <c r="CM289">
        <f t="shared" si="853"/>
        <v>9036</v>
      </c>
      <c r="CN289">
        <f t="shared" si="854"/>
        <v>6024</v>
      </c>
      <c r="CO289">
        <f>_xlfn.XLOOKUP(B289,'[9]november-2026'!$A:$A,'[9]november-2026'!$D:$D,0,0)</f>
        <v>400</v>
      </c>
      <c r="CP289">
        <f>_xlfn.XLOOKUP(B289,'[9]november-2026'!$A:$A,'[9]november-2026'!$G:$G,0,0)</f>
        <v>500</v>
      </c>
      <c r="CQ289">
        <f t="shared" si="855"/>
        <v>66160</v>
      </c>
      <c r="CR289">
        <f>_xlfn.XLOOKUP(B289,'[9]november-2026'!$A:$A,'[9]november-2026'!$H:$H,0,0)</f>
        <v>4000</v>
      </c>
      <c r="CS289">
        <f>_xlfn.XLOOKUP(B289,'[9]november-2026'!$A:$A,'[9]november-2026'!$I:$I,0,0)</f>
        <v>0</v>
      </c>
      <c r="CT289">
        <f t="shared" si="856"/>
        <v>200</v>
      </c>
      <c r="CU289">
        <f t="shared" si="857"/>
        <v>61960</v>
      </c>
      <c r="CV289">
        <f>_xlfn.XLOOKUP(B289,'[10]december-2026'!$A:$A,'[10]december-2026'!$C:$C,0,0)</f>
        <v>50200</v>
      </c>
      <c r="CW289">
        <f t="shared" si="858"/>
        <v>9036</v>
      </c>
      <c r="CX289">
        <f t="shared" si="859"/>
        <v>6024</v>
      </c>
      <c r="CY289">
        <f>_xlfn.XLOOKUP(B289,'[10]december-2026'!$A:$A,'[10]december-2026'!$D:$D,0,0)</f>
        <v>400</v>
      </c>
      <c r="CZ289">
        <f>_xlfn.XLOOKUP(B289,'[10]december-2026'!$A:$A,'[10]december-2026'!$G:$G,0,0)</f>
        <v>500</v>
      </c>
      <c r="DA289">
        <f t="shared" si="860"/>
        <v>66160</v>
      </c>
      <c r="DB289">
        <f>_xlfn.XLOOKUP(B289,'[10]december-2026'!$A:$A,'[10]december-2026'!$H:$H,0,0)</f>
        <v>4000</v>
      </c>
      <c r="DC289">
        <f>_xlfn.XLOOKUP(B289,'[10]december-2026'!$A:$A,'[10]december-2026'!$I:$I,0,0)</f>
        <v>0</v>
      </c>
      <c r="DD289">
        <f t="shared" si="861"/>
        <v>200</v>
      </c>
      <c r="DE289">
        <f t="shared" si="862"/>
        <v>61960</v>
      </c>
      <c r="DF289">
        <f xml:space="preserve"> _xlfn.XLOOKUP(B289,
'[11]january-2027'!$A:$A,
'[11]january-2027'!$C:$C,
0,0)</f>
        <v>50200</v>
      </c>
      <c r="DG289">
        <f t="shared" si="863"/>
        <v>9036</v>
      </c>
      <c r="DH289">
        <f t="shared" si="864"/>
        <v>6024</v>
      </c>
      <c r="DI289">
        <f xml:space="preserve"> _xlfn.XLOOKUP(B289,
'[11]january-2027'!$A:$A,
'[11]january-2027'!$D:$D,
0,0)</f>
        <v>400</v>
      </c>
      <c r="DJ289">
        <f xml:space="preserve"> _xlfn.XLOOKUP(B289,
'[11]january-2027'!$A:$A,
'[11]january-2027'!$G:$G,
0,0)</f>
        <v>500</v>
      </c>
      <c r="DK289">
        <f t="shared" si="865"/>
        <v>66160</v>
      </c>
      <c r="DL289">
        <f xml:space="preserve"> _xlfn.XLOOKUP(B289,
'[11]january-2027'!$A:$A,
'[11]january-2027'!$H:$H,
0,0)</f>
        <v>4000</v>
      </c>
      <c r="DM289">
        <f xml:space="preserve"> _xlfn.XLOOKUP(B289,
'[11]january-2027'!$A:$A,
'[11]january-2027'!$I:$I,
0,0)</f>
        <v>0</v>
      </c>
      <c r="DN289">
        <f t="shared" si="866"/>
        <v>200</v>
      </c>
      <c r="DO289">
        <f t="shared" si="867"/>
        <v>61960</v>
      </c>
      <c r="DP289">
        <f xml:space="preserve"> _xlfn.XLOOKUP(B289,
'[12]february-2027'!$A:$A,
'[12]february-2027'!$C:$C,
0,0)</f>
        <v>50200</v>
      </c>
      <c r="DQ289">
        <f t="shared" si="868"/>
        <v>9036</v>
      </c>
      <c r="DR289">
        <f t="shared" si="869"/>
        <v>6024</v>
      </c>
      <c r="DS289">
        <f xml:space="preserve"> _xlfn.XLOOKUP(B289,
'[12]february-2027'!$A:$A,
'[12]february-2027'!$D:$D,
0,0)</f>
        <v>400</v>
      </c>
      <c r="DT289">
        <f xml:space="preserve"> _xlfn.XLOOKUP(B289,
'[12]february-2027'!$A:$A,
'[12]february-2027'!$G:$G,
0,0)</f>
        <v>500</v>
      </c>
      <c r="DU289">
        <f t="shared" si="870"/>
        <v>66160</v>
      </c>
      <c r="DV289">
        <f xml:space="preserve"> _xlfn.XLOOKUP(B289,
'[12]february-2027'!$A:$A,
'[12]february-2027'!$H:$H,
0,0)</f>
        <v>4000</v>
      </c>
      <c r="DW289">
        <f xml:space="preserve"> _xlfn.XLOOKUP(B289,
'[12]february-2027'!$A:$A,
'[12]february-2027'!$I:$I,
0,0)</f>
        <v>0</v>
      </c>
      <c r="DX289">
        <f t="shared" si="871"/>
        <v>200</v>
      </c>
      <c r="DY289">
        <f t="shared" si="872"/>
        <v>61960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873"/>
        <v>0</v>
      </c>
      <c r="EM289">
        <f t="shared" si="874"/>
        <v>793207</v>
      </c>
      <c r="EN289">
        <f t="shared" si="875"/>
        <v>2400</v>
      </c>
      <c r="EO289">
        <f t="shared" si="876"/>
        <v>50000</v>
      </c>
      <c r="EP289">
        <v>0</v>
      </c>
      <c r="EQ289">
        <f t="shared" si="878"/>
        <v>740807</v>
      </c>
      <c r="ER289">
        <f t="shared" si="879"/>
        <v>48000</v>
      </c>
      <c r="ES289">
        <f t="shared" si="880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881"/>
        <v>48000</v>
      </c>
      <c r="FE289">
        <f t="shared" si="882"/>
        <v>48000</v>
      </c>
      <c r="FF289">
        <f t="shared" si="883"/>
        <v>692807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>SUM(FG289:FM289)+(IF(F289="YES",50000,0))</f>
        <v>0</v>
      </c>
      <c r="FO289">
        <f t="shared" si="884"/>
        <v>692807</v>
      </c>
      <c r="FP289">
        <f t="shared" si="885"/>
        <v>12500</v>
      </c>
      <c r="FQ289">
        <f t="shared" si="886"/>
        <v>38561</v>
      </c>
      <c r="FR289">
        <f t="shared" si="887"/>
        <v>51061</v>
      </c>
      <c r="FS289">
        <f t="shared" si="888"/>
        <v>51061</v>
      </c>
      <c r="FT289">
        <f t="shared" si="889"/>
        <v>2042.44</v>
      </c>
      <c r="FU289">
        <f t="shared" si="890"/>
        <v>53103</v>
      </c>
      <c r="FV289">
        <v>0</v>
      </c>
      <c r="FW289">
        <f t="shared" si="891"/>
        <v>53103</v>
      </c>
      <c r="FX289" t="b">
        <f t="shared" si="892"/>
        <v>1</v>
      </c>
      <c r="FY289">
        <f t="shared" ca="1" si="893"/>
        <v>648</v>
      </c>
      <c r="FZ289">
        <f t="shared" ca="1" si="894"/>
        <v>793855</v>
      </c>
      <c r="GA289">
        <f t="shared" si="895"/>
        <v>75000</v>
      </c>
      <c r="GB289">
        <f t="shared" ca="1" si="896"/>
        <v>718855</v>
      </c>
      <c r="GC289">
        <f t="shared" ca="1" si="897"/>
        <v>0</v>
      </c>
      <c r="GD289">
        <f t="shared" ca="1" si="898"/>
        <v>0</v>
      </c>
      <c r="GE289">
        <f t="shared" ca="1" si="899"/>
        <v>0</v>
      </c>
      <c r="GF289">
        <f t="shared" ca="1" si="900"/>
        <v>0</v>
      </c>
      <c r="GG289">
        <f t="shared" ca="1" si="901"/>
        <v>0</v>
      </c>
      <c r="GH289">
        <f t="shared" ca="1" si="902"/>
        <v>0</v>
      </c>
      <c r="GI289">
        <f ca="1">IF(GB289&gt;1200000,GB289-1200000-IF(F289="YES",50000,0)-GG289,0)</f>
        <v>0</v>
      </c>
      <c r="GJ289">
        <f t="shared" ca="1" si="903"/>
        <v>0</v>
      </c>
      <c r="GK289">
        <f t="shared" ca="1" si="904"/>
        <v>0</v>
      </c>
      <c r="GL289">
        <f t="shared" ca="1" si="905"/>
        <v>0</v>
      </c>
      <c r="GM289">
        <f t="shared" ca="1" si="906"/>
        <v>318855</v>
      </c>
      <c r="GN289">
        <f t="shared" ca="1" si="907"/>
        <v>15942.75</v>
      </c>
      <c r="GO289">
        <f t="shared" ca="1" si="908"/>
        <v>15943</v>
      </c>
      <c r="GP289">
        <f t="shared" ca="1" si="909"/>
        <v>0</v>
      </c>
      <c r="GQ289">
        <f t="shared" ca="1" si="910"/>
        <v>0</v>
      </c>
      <c r="GR289">
        <f t="shared" ca="1" si="911"/>
        <v>15943</v>
      </c>
      <c r="GS289">
        <f t="shared" ca="1" si="912"/>
        <v>0</v>
      </c>
      <c r="GT289" t="b">
        <f t="shared" ca="1" si="913"/>
        <v>0</v>
      </c>
      <c r="GU289">
        <f t="shared" ca="1" si="914"/>
        <v>0</v>
      </c>
      <c r="GV289">
        <f t="shared" ca="1" si="915"/>
        <v>15943</v>
      </c>
      <c r="GW289">
        <f t="shared" ca="1" si="916"/>
        <v>0</v>
      </c>
      <c r="GX289">
        <f t="shared" ca="1" si="917"/>
        <v>0</v>
      </c>
      <c r="GY289">
        <f t="shared" ca="1" si="918"/>
        <v>0</v>
      </c>
    </row>
    <row r="290" spans="1:207" x14ac:dyDescent="0.25">
      <c r="A290">
        <f>_xlfn.AGGREGATE(3,5,$B$2:B290)</f>
        <v>289</v>
      </c>
      <c r="B290" t="s">
        <v>666</v>
      </c>
      <c r="C290" t="s">
        <v>667</v>
      </c>
      <c r="D290" t="s">
        <v>823</v>
      </c>
      <c r="E290" t="s">
        <v>830</v>
      </c>
      <c r="F290" t="s">
        <v>952</v>
      </c>
      <c r="G290" t="s">
        <v>895</v>
      </c>
      <c r="H290">
        <f t="shared" si="813"/>
        <v>6800</v>
      </c>
      <c r="I290">
        <f>_xlfn.XLOOKUP(B290,'[1]march-2026'!$A:$A,'[1]march-2026'!$C:$C,0,0)</f>
        <v>34500</v>
      </c>
      <c r="J290">
        <f t="shared" si="877"/>
        <v>6210</v>
      </c>
      <c r="K290">
        <f t="shared" si="814"/>
        <v>4140</v>
      </c>
      <c r="L290">
        <f>_xlfn.XLOOKUP(B290,'[1]march-2026'!$A:$A,'[1]march-2026'!$D:$D,0,0)</f>
        <v>0</v>
      </c>
      <c r="M290">
        <f>_xlfn.XLOOKUP(B290,'[1]march-2026'!$A:$A,'[1]march-2026'!$G:$G,0,0)</f>
        <v>500</v>
      </c>
      <c r="N290">
        <f t="shared" si="815"/>
        <v>45350</v>
      </c>
      <c r="O290">
        <f>_xlfn.XLOOKUP(B290,'[1]march-2026'!$A:$A,'[1]march-2026'!$H:$H,0,0)</f>
        <v>2500</v>
      </c>
      <c r="P290">
        <f>_xlfn.XLOOKUP(B290,'[1]march-2026'!$A:$A,'[1]march-2026'!$I:$I,0,0)</f>
        <v>0</v>
      </c>
      <c r="Q290">
        <f t="shared" si="816"/>
        <v>200</v>
      </c>
      <c r="R290">
        <f t="shared" si="817"/>
        <v>42650</v>
      </c>
      <c r="S290">
        <f>_xlfn.XLOOKUP(B290,'[2]april-2026'!$A:$A,'[2]april-2026'!$C:$C,0,0)</f>
        <v>34500</v>
      </c>
      <c r="T290">
        <f t="shared" si="818"/>
        <v>6210</v>
      </c>
      <c r="U290">
        <f t="shared" si="819"/>
        <v>4140</v>
      </c>
      <c r="V290">
        <f>_xlfn.XLOOKUP(B290,'[2]april-2026'!$A:$A,'[2]april-2026'!$D:$D,0,0)</f>
        <v>0</v>
      </c>
      <c r="W290">
        <f>_xlfn.XLOOKUP(B290,'[2]april-2026'!$A:$A,'[2]april-2026'!$G:$G,0,0)</f>
        <v>500</v>
      </c>
      <c r="X290">
        <f t="shared" si="820"/>
        <v>45350</v>
      </c>
      <c r="Y290">
        <f>_xlfn.XLOOKUP(B290,'[2]april-2026'!$A:$A,'[2]april-2026'!$H:$H,0,0)</f>
        <v>2500</v>
      </c>
      <c r="Z290">
        <f>_xlfn.XLOOKUP(B290,'[2]april-2026'!$A:$A,'[2]april-2026'!$I:$I,0,0)</f>
        <v>0</v>
      </c>
      <c r="AA290">
        <f t="shared" si="821"/>
        <v>200</v>
      </c>
      <c r="AB290">
        <f t="shared" si="822"/>
        <v>42650</v>
      </c>
      <c r="AC290">
        <f>_xlfn.XLOOKUP(B290,'[3]may-2026'!$A:$A,'[3]may-2026'!$C:$C,0,0)</f>
        <v>34500</v>
      </c>
      <c r="AD290">
        <f t="shared" si="823"/>
        <v>6210</v>
      </c>
      <c r="AE290">
        <f t="shared" si="824"/>
        <v>4140</v>
      </c>
      <c r="AF290">
        <f>_xlfn.XLOOKUP(B290,'[3]may-2026'!$A:$A,'[3]may-2026'!$D:$D,0,0)</f>
        <v>0</v>
      </c>
      <c r="AG290">
        <f>_xlfn.XLOOKUP(B290,'[3]may-2026'!$A:$A,'[3]may-2026'!$G:$G,0,0)</f>
        <v>500</v>
      </c>
      <c r="AH290">
        <f t="shared" si="825"/>
        <v>45350</v>
      </c>
      <c r="AI290">
        <f>_xlfn.XLOOKUP(B290,'[3]may-2026'!$A:$A,'[3]may-2026'!$H:$H,0,0)</f>
        <v>2500</v>
      </c>
      <c r="AJ290">
        <f>_xlfn.XLOOKUP(B290,'[3]may-2026'!$A:$A,'[3]may-2026'!$I:$I,0,0)</f>
        <v>0</v>
      </c>
      <c r="AK290">
        <f t="shared" si="826"/>
        <v>200</v>
      </c>
      <c r="AL290">
        <f t="shared" si="827"/>
        <v>42650</v>
      </c>
      <c r="AM290">
        <f>_xlfn.XLOOKUP(B290,'[4]june-2026'!$A:$A,'[4]june-2026'!$C:$C,0,0)</f>
        <v>34500</v>
      </c>
      <c r="AN290">
        <f t="shared" si="828"/>
        <v>6210</v>
      </c>
      <c r="AO290">
        <f t="shared" si="829"/>
        <v>4140</v>
      </c>
      <c r="AP290">
        <f>_xlfn.XLOOKUP(B290,'[4]june-2026'!$A:$A,'[4]june-2026'!$D:$D,0,0)</f>
        <v>0</v>
      </c>
      <c r="AQ290">
        <f>_xlfn.XLOOKUP(B290,'[4]june-2026'!$A:$A,'[4]june-2026'!$G:$G,0,0)</f>
        <v>500</v>
      </c>
      <c r="AR290">
        <f t="shared" si="830"/>
        <v>45350</v>
      </c>
      <c r="AS290">
        <f>_xlfn.XLOOKUP(B290,'[4]june-2026'!$A:$A,'[4]june-2026'!$H:$H,0,0)</f>
        <v>2500</v>
      </c>
      <c r="AT290">
        <f>_xlfn.XLOOKUP(B290,'[4]june-2026'!$A:$A,'[4]june-2026'!$I:$I,0,0)</f>
        <v>0</v>
      </c>
      <c r="AU290">
        <f t="shared" si="831"/>
        <v>200</v>
      </c>
      <c r="AV290">
        <f t="shared" si="832"/>
        <v>42650</v>
      </c>
      <c r="AW290">
        <f>_xlfn.XLOOKUP(B290,'[5]july-2026'!$A:$A,'[5]july-2026'!$C:$C,0,0)</f>
        <v>35500</v>
      </c>
      <c r="AX290">
        <f t="shared" si="833"/>
        <v>6390</v>
      </c>
      <c r="AY290">
        <v>288</v>
      </c>
      <c r="AZ290">
        <f t="shared" si="834"/>
        <v>4260</v>
      </c>
      <c r="BA290">
        <f>_xlfn.XLOOKUP(B290,'[5]july-2026'!$A:$A,'[5]july-2026'!$D:$D,0,0)</f>
        <v>0</v>
      </c>
      <c r="BB290">
        <f>_xlfn.XLOOKUP(B290,'[5]july-2026'!$A:$A,'[5]july-2026'!$G:$G,0,0)</f>
        <v>500</v>
      </c>
      <c r="BC290">
        <f t="shared" si="835"/>
        <v>46938</v>
      </c>
      <c r="BD290">
        <f>_xlfn.XLOOKUP(B290,'[5]july-2026'!$A:$A,'[5]july-2026'!$H:$H,0,0)</f>
        <v>2500</v>
      </c>
      <c r="BE290">
        <f>_xlfn.XLOOKUP(B290,'[5]july-2026'!$A:$A,'[5]july-2026'!$I:$I,0,0)</f>
        <v>0</v>
      </c>
      <c r="BF290">
        <f t="shared" si="836"/>
        <v>200</v>
      </c>
      <c r="BG290">
        <f t="shared" si="837"/>
        <v>44238</v>
      </c>
      <c r="BH290">
        <f>_xlfn.XLOOKUP(B290,'[6]august-2026'!$A:$A,'[6]august-2026'!$C:$C,0,0)</f>
        <v>35500</v>
      </c>
      <c r="BI290">
        <f t="shared" si="838"/>
        <v>6390</v>
      </c>
      <c r="BJ290">
        <f t="shared" si="839"/>
        <v>4260</v>
      </c>
      <c r="BK290">
        <f>_xlfn.XLOOKUP(B290,'[6]august-2026'!$A:$A,'[6]august-2026'!$D:$D,0,0)</f>
        <v>0</v>
      </c>
      <c r="BL290">
        <f>_xlfn.XLOOKUP(B290,'[6]august-2026'!$A:$A,'[6]august-2026'!$G:$G,0,0)</f>
        <v>500</v>
      </c>
      <c r="BM290">
        <f t="shared" si="840"/>
        <v>46650</v>
      </c>
      <c r="BN290">
        <f>_xlfn.XLOOKUP(B290,'[6]august-2026'!$A:$A,'[6]august-2026'!$H:$H,0,0)</f>
        <v>2500</v>
      </c>
      <c r="BO290">
        <f>_xlfn.XLOOKUP(B290,'[6]august-2026'!$A:$A,'[6]august-2026'!$I:$I,0,0)</f>
        <v>0</v>
      </c>
      <c r="BP290">
        <f t="shared" si="841"/>
        <v>200</v>
      </c>
      <c r="BQ290">
        <f t="shared" si="842"/>
        <v>43950</v>
      </c>
      <c r="BR290">
        <f>_xlfn.XLOOKUP(B290,'[7]september-2026'!$A:$A,'[7]september-2026'!$C:$C,0,0)</f>
        <v>35500</v>
      </c>
      <c r="BS290">
        <f t="shared" si="843"/>
        <v>6390</v>
      </c>
      <c r="BT290">
        <f t="shared" si="844"/>
        <v>4260</v>
      </c>
      <c r="BU290">
        <f>_xlfn.XLOOKUP(B290,'[7]september-2026'!$A:$A,'[7]september-2026'!$D:$D,0,0)</f>
        <v>0</v>
      </c>
      <c r="BV290">
        <f>_xlfn.XLOOKUP(B290,'[7]september-2026'!$A:$A,'[7]september-2026'!$G:$G,0,0)</f>
        <v>500</v>
      </c>
      <c r="BW290">
        <f t="shared" si="845"/>
        <v>46650</v>
      </c>
      <c r="BX290">
        <f>_xlfn.XLOOKUP(B290,'[7]september-2026'!$A:$A,'[7]september-2026'!$H:$H,0,0)</f>
        <v>2500</v>
      </c>
      <c r="BY290">
        <f>_xlfn.XLOOKUP(B290,'[7]september-2026'!$A:$A,'[7]september-2026'!$I:$I,0,0)</f>
        <v>0</v>
      </c>
      <c r="BZ290">
        <f t="shared" si="846"/>
        <v>200</v>
      </c>
      <c r="CA290">
        <f t="shared" si="847"/>
        <v>43950</v>
      </c>
      <c r="CB290">
        <f>_xlfn.XLOOKUP(B290,'[8]october-2026'!$A:$A,'[8]october-2026'!$C:$C,0,0)</f>
        <v>35500</v>
      </c>
      <c r="CC290">
        <f t="shared" si="848"/>
        <v>6390</v>
      </c>
      <c r="CD290">
        <f t="shared" si="849"/>
        <v>4260</v>
      </c>
      <c r="CE290">
        <f>_xlfn.XLOOKUP(B290,'[8]october-2026'!$A:$A,'[8]october-2026'!$D:$D,0,0)</f>
        <v>0</v>
      </c>
      <c r="CF290">
        <f>_xlfn.XLOOKUP(B290,'[8]october-2026'!$A:$A,'[8]october-2026'!$G:$G,0,0)</f>
        <v>500</v>
      </c>
      <c r="CG290">
        <f t="shared" si="850"/>
        <v>46650</v>
      </c>
      <c r="CH290">
        <f>_xlfn.XLOOKUP(B290,'[8]october-2026'!$A:$A,'[8]october-2026'!$H:$H,0,0)</f>
        <v>2500</v>
      </c>
      <c r="CI290">
        <f>_xlfn.XLOOKUP(B290,'[8]october-2026'!$A:$A,'[8]october-2026'!$I:$I,0,0)</f>
        <v>0</v>
      </c>
      <c r="CJ290">
        <f t="shared" si="851"/>
        <v>200</v>
      </c>
      <c r="CK290">
        <f t="shared" si="852"/>
        <v>43950</v>
      </c>
      <c r="CL290">
        <f>_xlfn.XLOOKUP(B290,'[9]november-2026'!$A:$A,'[9]november-2026'!$C:$C,0,0)</f>
        <v>35500</v>
      </c>
      <c r="CM290">
        <f t="shared" si="853"/>
        <v>6390</v>
      </c>
      <c r="CN290">
        <f t="shared" si="854"/>
        <v>4260</v>
      </c>
      <c r="CO290">
        <f>_xlfn.XLOOKUP(B290,'[9]november-2026'!$A:$A,'[9]november-2026'!$D:$D,0,0)</f>
        <v>0</v>
      </c>
      <c r="CP290">
        <f>_xlfn.XLOOKUP(B290,'[9]november-2026'!$A:$A,'[9]november-2026'!$G:$G,0,0)</f>
        <v>500</v>
      </c>
      <c r="CQ290">
        <f t="shared" si="855"/>
        <v>46650</v>
      </c>
      <c r="CR290">
        <f>_xlfn.XLOOKUP(B290,'[9]november-2026'!$A:$A,'[9]november-2026'!$H:$H,0,0)</f>
        <v>2500</v>
      </c>
      <c r="CS290">
        <f>_xlfn.XLOOKUP(B290,'[9]november-2026'!$A:$A,'[9]november-2026'!$I:$I,0,0)</f>
        <v>0</v>
      </c>
      <c r="CT290">
        <f t="shared" si="856"/>
        <v>200</v>
      </c>
      <c r="CU290">
        <f t="shared" si="857"/>
        <v>43950</v>
      </c>
      <c r="CV290">
        <f>_xlfn.XLOOKUP(B290,'[10]december-2026'!$A:$A,'[10]december-2026'!$C:$C,0,0)</f>
        <v>35500</v>
      </c>
      <c r="CW290">
        <f t="shared" si="858"/>
        <v>6390</v>
      </c>
      <c r="CX290">
        <f t="shared" si="859"/>
        <v>4260</v>
      </c>
      <c r="CY290">
        <f>_xlfn.XLOOKUP(B290,'[10]december-2026'!$A:$A,'[10]december-2026'!$D:$D,0,0)</f>
        <v>0</v>
      </c>
      <c r="CZ290">
        <f>_xlfn.XLOOKUP(B290,'[10]december-2026'!$A:$A,'[10]december-2026'!$G:$G,0,0)</f>
        <v>500</v>
      </c>
      <c r="DA290">
        <f t="shared" si="860"/>
        <v>46650</v>
      </c>
      <c r="DB290">
        <f>_xlfn.XLOOKUP(B290,'[10]december-2026'!$A:$A,'[10]december-2026'!$H:$H,0,0)</f>
        <v>2500</v>
      </c>
      <c r="DC290">
        <f>_xlfn.XLOOKUP(B290,'[10]december-2026'!$A:$A,'[10]december-2026'!$I:$I,0,0)</f>
        <v>0</v>
      </c>
      <c r="DD290">
        <f t="shared" si="861"/>
        <v>200</v>
      </c>
      <c r="DE290">
        <f t="shared" si="862"/>
        <v>43950</v>
      </c>
      <c r="DF290">
        <f xml:space="preserve"> _xlfn.XLOOKUP(B290,
'[11]january-2027'!$A:$A,
'[11]january-2027'!$C:$C,
0,0)</f>
        <v>35500</v>
      </c>
      <c r="DG290">
        <f t="shared" si="863"/>
        <v>6390</v>
      </c>
      <c r="DH290">
        <f t="shared" si="864"/>
        <v>4260</v>
      </c>
      <c r="DI290">
        <f xml:space="preserve"> _xlfn.XLOOKUP(B290,
'[11]january-2027'!$A:$A,
'[11]january-2027'!$D:$D,
0,0)</f>
        <v>0</v>
      </c>
      <c r="DJ290">
        <f xml:space="preserve"> _xlfn.XLOOKUP(B290,
'[11]january-2027'!$A:$A,
'[11]january-2027'!$G:$G,
0,0)</f>
        <v>500</v>
      </c>
      <c r="DK290">
        <f t="shared" si="865"/>
        <v>46650</v>
      </c>
      <c r="DL290">
        <f xml:space="preserve"> _xlfn.XLOOKUP(B290,
'[11]january-2027'!$A:$A,
'[11]january-2027'!$H:$H,
0,0)</f>
        <v>2500</v>
      </c>
      <c r="DM290">
        <f xml:space="preserve"> _xlfn.XLOOKUP(B290,
'[11]january-2027'!$A:$A,
'[11]january-2027'!$I:$I,
0,0)</f>
        <v>0</v>
      </c>
      <c r="DN290">
        <f t="shared" si="866"/>
        <v>200</v>
      </c>
      <c r="DO290">
        <f t="shared" si="867"/>
        <v>43950</v>
      </c>
      <c r="DP290">
        <f xml:space="preserve"> _xlfn.XLOOKUP(B290,
'[12]february-2027'!$A:$A,
'[12]february-2027'!$C:$C,
0,0)</f>
        <v>35500</v>
      </c>
      <c r="DQ290">
        <f t="shared" si="868"/>
        <v>6390</v>
      </c>
      <c r="DR290">
        <f t="shared" si="869"/>
        <v>4260</v>
      </c>
      <c r="DS290">
        <f xml:space="preserve"> _xlfn.XLOOKUP(B290,
'[12]february-2027'!$A:$A,
'[12]february-2027'!$D:$D,
0,0)</f>
        <v>0</v>
      </c>
      <c r="DT290">
        <f xml:space="preserve"> _xlfn.XLOOKUP(B290,
'[12]february-2027'!$A:$A,
'[12]february-2027'!$G:$G,
0,0)</f>
        <v>500</v>
      </c>
      <c r="DU290">
        <f t="shared" si="870"/>
        <v>46650</v>
      </c>
      <c r="DV290">
        <f xml:space="preserve"> _xlfn.XLOOKUP(B290,
'[12]february-2027'!$A:$A,
'[12]february-2027'!$H:$H,
0,0)</f>
        <v>2500</v>
      </c>
      <c r="DW290">
        <f xml:space="preserve"> _xlfn.XLOOKUP(B290,
'[12]february-2027'!$A:$A,
'[12]february-2027'!$I:$I,
0,0)</f>
        <v>0</v>
      </c>
      <c r="DX290">
        <f t="shared" si="871"/>
        <v>200</v>
      </c>
      <c r="DY290">
        <f t="shared" si="872"/>
        <v>43950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873"/>
        <v>0</v>
      </c>
      <c r="EM290">
        <f t="shared" si="874"/>
        <v>561688</v>
      </c>
      <c r="EN290">
        <f t="shared" si="875"/>
        <v>2400</v>
      </c>
      <c r="EO290">
        <f t="shared" si="876"/>
        <v>50000</v>
      </c>
      <c r="EP290">
        <v>0</v>
      </c>
      <c r="EQ290">
        <f t="shared" si="878"/>
        <v>509288</v>
      </c>
      <c r="ER290">
        <f t="shared" si="879"/>
        <v>30000</v>
      </c>
      <c r="ES290">
        <f t="shared" si="880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881"/>
        <v>30000</v>
      </c>
      <c r="FE290">
        <f t="shared" si="882"/>
        <v>30000</v>
      </c>
      <c r="FF290">
        <f t="shared" si="883"/>
        <v>479288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>SUM(FG290:FM290)+(IF(F290="YES",50000,0))</f>
        <v>0</v>
      </c>
      <c r="FO290">
        <f t="shared" si="884"/>
        <v>479288</v>
      </c>
      <c r="FP290">
        <f t="shared" si="885"/>
        <v>11464</v>
      </c>
      <c r="FQ290">
        <f t="shared" si="886"/>
        <v>0</v>
      </c>
      <c r="FR290">
        <f t="shared" si="887"/>
        <v>11464</v>
      </c>
      <c r="FS290">
        <f t="shared" si="888"/>
        <v>0</v>
      </c>
      <c r="FT290">
        <f t="shared" si="889"/>
        <v>0</v>
      </c>
      <c r="FU290">
        <f t="shared" si="890"/>
        <v>0</v>
      </c>
      <c r="FV290">
        <v>0</v>
      </c>
      <c r="FW290">
        <f t="shared" si="891"/>
        <v>0</v>
      </c>
      <c r="FX290" t="b">
        <f t="shared" si="892"/>
        <v>1</v>
      </c>
      <c r="FY290">
        <f t="shared" ca="1" si="893"/>
        <v>656</v>
      </c>
      <c r="FZ290">
        <f t="shared" ca="1" si="894"/>
        <v>562344</v>
      </c>
      <c r="GA290">
        <f t="shared" si="895"/>
        <v>75000</v>
      </c>
      <c r="GB290">
        <f t="shared" ca="1" si="896"/>
        <v>487344</v>
      </c>
      <c r="GC290">
        <f t="shared" ca="1" si="897"/>
        <v>0</v>
      </c>
      <c r="GD290">
        <f t="shared" ca="1" si="898"/>
        <v>0</v>
      </c>
      <c r="GE290">
        <f t="shared" ca="1" si="899"/>
        <v>0</v>
      </c>
      <c r="GF290">
        <f t="shared" ca="1" si="900"/>
        <v>0</v>
      </c>
      <c r="GG290">
        <f t="shared" ca="1" si="901"/>
        <v>0</v>
      </c>
      <c r="GH290">
        <f t="shared" ca="1" si="902"/>
        <v>0</v>
      </c>
      <c r="GI290">
        <f ca="1">IF(GB290&gt;1200000,GB290-1200000-IF(F290="YES",50000,0)-GG290,0)</f>
        <v>0</v>
      </c>
      <c r="GJ290">
        <f t="shared" ca="1" si="903"/>
        <v>0</v>
      </c>
      <c r="GK290">
        <f t="shared" ca="1" si="904"/>
        <v>0</v>
      </c>
      <c r="GL290">
        <f t="shared" ca="1" si="905"/>
        <v>0</v>
      </c>
      <c r="GM290">
        <f t="shared" ca="1" si="906"/>
        <v>87344</v>
      </c>
      <c r="GN290">
        <f t="shared" ca="1" si="907"/>
        <v>4367.2</v>
      </c>
      <c r="GO290">
        <f t="shared" ca="1" si="908"/>
        <v>4367</v>
      </c>
      <c r="GP290">
        <f t="shared" ca="1" si="909"/>
        <v>0</v>
      </c>
      <c r="GQ290">
        <f t="shared" ca="1" si="910"/>
        <v>0</v>
      </c>
      <c r="GR290">
        <f t="shared" ca="1" si="911"/>
        <v>4367</v>
      </c>
      <c r="GS290">
        <f t="shared" ca="1" si="912"/>
        <v>0</v>
      </c>
      <c r="GT290" t="b">
        <f t="shared" ca="1" si="913"/>
        <v>0</v>
      </c>
      <c r="GU290">
        <f t="shared" ca="1" si="914"/>
        <v>0</v>
      </c>
      <c r="GV290">
        <f t="shared" ca="1" si="915"/>
        <v>4367</v>
      </c>
      <c r="GW290">
        <f t="shared" ca="1" si="916"/>
        <v>0</v>
      </c>
      <c r="GX290">
        <f t="shared" ca="1" si="917"/>
        <v>0</v>
      </c>
      <c r="GY290">
        <f t="shared" ca="1" si="918"/>
        <v>0</v>
      </c>
    </row>
    <row r="291" spans="1:207" x14ac:dyDescent="0.25">
      <c r="A291">
        <f>_xlfn.AGGREGATE(3,5,$B$2:B291)</f>
        <v>290</v>
      </c>
      <c r="B291" t="s">
        <v>668</v>
      </c>
      <c r="C291" t="s">
        <v>669</v>
      </c>
      <c r="D291" t="s">
        <v>823</v>
      </c>
      <c r="E291" t="s">
        <v>830</v>
      </c>
      <c r="F291" t="s">
        <v>952</v>
      </c>
      <c r="G291" t="s">
        <v>922</v>
      </c>
      <c r="H291">
        <f t="shared" si="813"/>
        <v>6800</v>
      </c>
      <c r="I291">
        <f>_xlfn.XLOOKUP(B291,'[1]march-2026'!$A:$A,'[1]march-2026'!$C:$C,0,0)</f>
        <v>34500</v>
      </c>
      <c r="J291">
        <f t="shared" si="877"/>
        <v>6210</v>
      </c>
      <c r="K291">
        <f t="shared" si="814"/>
        <v>4140</v>
      </c>
      <c r="L291">
        <f>_xlfn.XLOOKUP(B291,'[1]march-2026'!$A:$A,'[1]march-2026'!$D:$D,0,0)</f>
        <v>0</v>
      </c>
      <c r="M291">
        <f>_xlfn.XLOOKUP(B291,'[1]march-2026'!$A:$A,'[1]march-2026'!$G:$G,0,0)</f>
        <v>0</v>
      </c>
      <c r="N291">
        <f t="shared" si="815"/>
        <v>44850</v>
      </c>
      <c r="O291">
        <f>_xlfn.XLOOKUP(B291,'[1]march-2026'!$A:$A,'[1]march-2026'!$H:$H,0,0)</f>
        <v>5000</v>
      </c>
      <c r="P291">
        <f>_xlfn.XLOOKUP(B291,'[1]march-2026'!$A:$A,'[1]march-2026'!$I:$I,0,0)</f>
        <v>0</v>
      </c>
      <c r="Q291">
        <f t="shared" si="816"/>
        <v>200</v>
      </c>
      <c r="R291">
        <f t="shared" si="817"/>
        <v>39650</v>
      </c>
      <c r="S291">
        <f>_xlfn.XLOOKUP(B291,'[2]april-2026'!$A:$A,'[2]april-2026'!$C:$C,0,0)</f>
        <v>34500</v>
      </c>
      <c r="T291">
        <f t="shared" si="818"/>
        <v>6210</v>
      </c>
      <c r="U291">
        <f t="shared" si="819"/>
        <v>4140</v>
      </c>
      <c r="V291">
        <f>_xlfn.XLOOKUP(B291,'[2]april-2026'!$A:$A,'[2]april-2026'!$D:$D,0,0)</f>
        <v>0</v>
      </c>
      <c r="W291">
        <f>_xlfn.XLOOKUP(B291,'[2]april-2026'!$A:$A,'[2]april-2026'!$G:$G,0,0)</f>
        <v>0</v>
      </c>
      <c r="X291">
        <f t="shared" si="820"/>
        <v>44850</v>
      </c>
      <c r="Y291">
        <f>_xlfn.XLOOKUP(B291,'[2]april-2026'!$A:$A,'[2]april-2026'!$H:$H,0,0)</f>
        <v>5000</v>
      </c>
      <c r="Z291">
        <f>_xlfn.XLOOKUP(B291,'[2]april-2026'!$A:$A,'[2]april-2026'!$I:$I,0,0)</f>
        <v>0</v>
      </c>
      <c r="AA291">
        <f t="shared" si="821"/>
        <v>200</v>
      </c>
      <c r="AB291">
        <f t="shared" si="822"/>
        <v>39650</v>
      </c>
      <c r="AC291">
        <f>_xlfn.XLOOKUP(B291,'[3]may-2026'!$A:$A,'[3]may-2026'!$C:$C,0,0)</f>
        <v>34500</v>
      </c>
      <c r="AD291">
        <f t="shared" si="823"/>
        <v>6210</v>
      </c>
      <c r="AE291">
        <f t="shared" si="824"/>
        <v>4140</v>
      </c>
      <c r="AF291">
        <f>_xlfn.XLOOKUP(B291,'[3]may-2026'!$A:$A,'[3]may-2026'!$D:$D,0,0)</f>
        <v>0</v>
      </c>
      <c r="AG291">
        <f>_xlfn.XLOOKUP(B291,'[3]may-2026'!$A:$A,'[3]may-2026'!$G:$G,0,0)</f>
        <v>0</v>
      </c>
      <c r="AH291">
        <f t="shared" si="825"/>
        <v>44850</v>
      </c>
      <c r="AI291">
        <f>_xlfn.XLOOKUP(B291,'[3]may-2026'!$A:$A,'[3]may-2026'!$H:$H,0,0)</f>
        <v>5000</v>
      </c>
      <c r="AJ291">
        <f>_xlfn.XLOOKUP(B291,'[3]may-2026'!$A:$A,'[3]may-2026'!$I:$I,0,0)</f>
        <v>0</v>
      </c>
      <c r="AK291">
        <f t="shared" si="826"/>
        <v>200</v>
      </c>
      <c r="AL291">
        <f t="shared" si="827"/>
        <v>39650</v>
      </c>
      <c r="AM291">
        <f>_xlfn.XLOOKUP(B291,'[4]june-2026'!$A:$A,'[4]june-2026'!$C:$C,0,0)</f>
        <v>34500</v>
      </c>
      <c r="AN291">
        <f t="shared" si="828"/>
        <v>6210</v>
      </c>
      <c r="AO291">
        <f t="shared" si="829"/>
        <v>4140</v>
      </c>
      <c r="AP291">
        <f>_xlfn.XLOOKUP(B291,'[4]june-2026'!$A:$A,'[4]june-2026'!$D:$D,0,0)</f>
        <v>0</v>
      </c>
      <c r="AQ291">
        <f>_xlfn.XLOOKUP(B291,'[4]june-2026'!$A:$A,'[4]june-2026'!$G:$G,0,0)</f>
        <v>0</v>
      </c>
      <c r="AR291">
        <f t="shared" si="830"/>
        <v>44850</v>
      </c>
      <c r="AS291">
        <f>_xlfn.XLOOKUP(B291,'[4]june-2026'!$A:$A,'[4]june-2026'!$H:$H,0,0)</f>
        <v>5000</v>
      </c>
      <c r="AT291">
        <f>_xlfn.XLOOKUP(B291,'[4]june-2026'!$A:$A,'[4]june-2026'!$I:$I,0,0)</f>
        <v>0</v>
      </c>
      <c r="AU291">
        <f t="shared" si="831"/>
        <v>200</v>
      </c>
      <c r="AV291">
        <f t="shared" si="832"/>
        <v>39650</v>
      </c>
      <c r="AW291">
        <f>_xlfn.XLOOKUP(B291,'[5]july-2026'!$A:$A,'[5]july-2026'!$C:$C,0,0)</f>
        <v>35500</v>
      </c>
      <c r="AX291">
        <f t="shared" si="833"/>
        <v>6390</v>
      </c>
      <c r="AY291">
        <v>289</v>
      </c>
      <c r="AZ291">
        <f t="shared" si="834"/>
        <v>4260</v>
      </c>
      <c r="BA291">
        <f>_xlfn.XLOOKUP(B291,'[5]july-2026'!$A:$A,'[5]july-2026'!$D:$D,0,0)</f>
        <v>0</v>
      </c>
      <c r="BB291">
        <f>_xlfn.XLOOKUP(B291,'[5]july-2026'!$A:$A,'[5]july-2026'!$G:$G,0,0)</f>
        <v>0</v>
      </c>
      <c r="BC291">
        <f t="shared" si="835"/>
        <v>46439</v>
      </c>
      <c r="BD291">
        <f>_xlfn.XLOOKUP(B291,'[5]july-2026'!$A:$A,'[5]july-2026'!$H:$H,0,0)</f>
        <v>5000</v>
      </c>
      <c r="BE291">
        <f>_xlfn.XLOOKUP(B291,'[5]july-2026'!$A:$A,'[5]july-2026'!$I:$I,0,0)</f>
        <v>0</v>
      </c>
      <c r="BF291">
        <f t="shared" si="836"/>
        <v>200</v>
      </c>
      <c r="BG291">
        <f t="shared" si="837"/>
        <v>41239</v>
      </c>
      <c r="BH291">
        <f>_xlfn.XLOOKUP(B291,'[6]august-2026'!$A:$A,'[6]august-2026'!$C:$C,0,0)</f>
        <v>35500</v>
      </c>
      <c r="BI291">
        <f t="shared" si="838"/>
        <v>6390</v>
      </c>
      <c r="BJ291">
        <f t="shared" si="839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0</v>
      </c>
      <c r="BM291">
        <f t="shared" si="840"/>
        <v>46150</v>
      </c>
      <c r="BN291">
        <f>_xlfn.XLOOKUP(B291,'[6]august-2026'!$A:$A,'[6]august-2026'!$H:$H,0,0)</f>
        <v>5000</v>
      </c>
      <c r="BO291">
        <f>_xlfn.XLOOKUP(B291,'[6]august-2026'!$A:$A,'[6]august-2026'!$I:$I,0,0)</f>
        <v>0</v>
      </c>
      <c r="BP291">
        <f t="shared" si="841"/>
        <v>200</v>
      </c>
      <c r="BQ291">
        <f t="shared" si="842"/>
        <v>40950</v>
      </c>
      <c r="BR291">
        <f>_xlfn.XLOOKUP(B291,'[7]september-2026'!$A:$A,'[7]september-2026'!$C:$C,0,0)</f>
        <v>35500</v>
      </c>
      <c r="BS291">
        <f t="shared" si="843"/>
        <v>6390</v>
      </c>
      <c r="BT291">
        <f t="shared" si="844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0</v>
      </c>
      <c r="BW291">
        <f t="shared" si="845"/>
        <v>46150</v>
      </c>
      <c r="BX291">
        <f>_xlfn.XLOOKUP(B291,'[7]september-2026'!$A:$A,'[7]september-2026'!$H:$H,0,0)</f>
        <v>5000</v>
      </c>
      <c r="BY291">
        <f>_xlfn.XLOOKUP(B291,'[7]september-2026'!$A:$A,'[7]september-2026'!$I:$I,0,0)</f>
        <v>0</v>
      </c>
      <c r="BZ291">
        <f t="shared" si="846"/>
        <v>200</v>
      </c>
      <c r="CA291">
        <f t="shared" si="847"/>
        <v>40950</v>
      </c>
      <c r="CB291">
        <f>_xlfn.XLOOKUP(B291,'[8]october-2026'!$A:$A,'[8]october-2026'!$C:$C,0,0)</f>
        <v>35500</v>
      </c>
      <c r="CC291">
        <f t="shared" si="848"/>
        <v>6390</v>
      </c>
      <c r="CD291">
        <f t="shared" si="849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0</v>
      </c>
      <c r="CG291">
        <f t="shared" si="850"/>
        <v>46150</v>
      </c>
      <c r="CH291">
        <f>_xlfn.XLOOKUP(B291,'[8]october-2026'!$A:$A,'[8]october-2026'!$H:$H,0,0)</f>
        <v>5000</v>
      </c>
      <c r="CI291">
        <f>_xlfn.XLOOKUP(B291,'[8]october-2026'!$A:$A,'[8]october-2026'!$I:$I,0,0)</f>
        <v>0</v>
      </c>
      <c r="CJ291">
        <f t="shared" si="851"/>
        <v>200</v>
      </c>
      <c r="CK291">
        <f t="shared" si="852"/>
        <v>40950</v>
      </c>
      <c r="CL291">
        <f>_xlfn.XLOOKUP(B291,'[9]november-2026'!$A:$A,'[9]november-2026'!$C:$C,0,0)</f>
        <v>35500</v>
      </c>
      <c r="CM291">
        <f t="shared" si="853"/>
        <v>6390</v>
      </c>
      <c r="CN291">
        <f t="shared" si="854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0</v>
      </c>
      <c r="CQ291">
        <f t="shared" si="855"/>
        <v>46150</v>
      </c>
      <c r="CR291">
        <f>_xlfn.XLOOKUP(B291,'[9]november-2026'!$A:$A,'[9]november-2026'!$H:$H,0,0)</f>
        <v>5000</v>
      </c>
      <c r="CS291">
        <f>_xlfn.XLOOKUP(B291,'[9]november-2026'!$A:$A,'[9]november-2026'!$I:$I,0,0)</f>
        <v>0</v>
      </c>
      <c r="CT291">
        <f t="shared" si="856"/>
        <v>200</v>
      </c>
      <c r="CU291">
        <f t="shared" si="857"/>
        <v>40950</v>
      </c>
      <c r="CV291">
        <f>_xlfn.XLOOKUP(B291,'[10]december-2026'!$A:$A,'[10]december-2026'!$C:$C,0,0)</f>
        <v>35500</v>
      </c>
      <c r="CW291">
        <f t="shared" si="858"/>
        <v>6390</v>
      </c>
      <c r="CX291">
        <f t="shared" si="859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0</v>
      </c>
      <c r="DA291">
        <f t="shared" si="860"/>
        <v>46150</v>
      </c>
      <c r="DB291">
        <f>_xlfn.XLOOKUP(B291,'[10]december-2026'!$A:$A,'[10]december-2026'!$H:$H,0,0)</f>
        <v>5000</v>
      </c>
      <c r="DC291">
        <f>_xlfn.XLOOKUP(B291,'[10]december-2026'!$A:$A,'[10]december-2026'!$I:$I,0,0)</f>
        <v>0</v>
      </c>
      <c r="DD291">
        <f t="shared" si="861"/>
        <v>200</v>
      </c>
      <c r="DE291">
        <f t="shared" si="862"/>
        <v>40950</v>
      </c>
      <c r="DF291">
        <f xml:space="preserve"> _xlfn.XLOOKUP(B291,
'[11]january-2027'!$A:$A,
'[11]january-2027'!$C:$C,
0,0)</f>
        <v>35500</v>
      </c>
      <c r="DG291">
        <f t="shared" si="863"/>
        <v>6390</v>
      </c>
      <c r="DH291">
        <f t="shared" si="864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0</v>
      </c>
      <c r="DK291">
        <f t="shared" si="865"/>
        <v>46150</v>
      </c>
      <c r="DL291">
        <f xml:space="preserve"> _xlfn.XLOOKUP(B291,
'[11]january-2027'!$A:$A,
'[11]january-2027'!$H:$H,
0,0)</f>
        <v>5000</v>
      </c>
      <c r="DM291">
        <f xml:space="preserve"> _xlfn.XLOOKUP(B291,
'[11]january-2027'!$A:$A,
'[11]january-2027'!$I:$I,
0,0)</f>
        <v>0</v>
      </c>
      <c r="DN291">
        <f t="shared" si="866"/>
        <v>200</v>
      </c>
      <c r="DO291">
        <f t="shared" si="867"/>
        <v>40950</v>
      </c>
      <c r="DP291">
        <f xml:space="preserve"> _xlfn.XLOOKUP(B291,
'[12]february-2027'!$A:$A,
'[12]february-2027'!$C:$C,
0,0)</f>
        <v>35500</v>
      </c>
      <c r="DQ291">
        <f t="shared" si="868"/>
        <v>6390</v>
      </c>
      <c r="DR291">
        <f t="shared" si="869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0</v>
      </c>
      <c r="DU291">
        <f t="shared" si="870"/>
        <v>46150</v>
      </c>
      <c r="DV291">
        <f xml:space="preserve"> _xlfn.XLOOKUP(B291,
'[12]february-2027'!$A:$A,
'[12]february-2027'!$H:$H,
0,0)</f>
        <v>5000</v>
      </c>
      <c r="DW291">
        <f xml:space="preserve"> _xlfn.XLOOKUP(B291,
'[12]february-2027'!$A:$A,
'[12]february-2027'!$I:$I,
0,0)</f>
        <v>0</v>
      </c>
      <c r="DX291">
        <f t="shared" si="871"/>
        <v>200</v>
      </c>
      <c r="DY291">
        <f t="shared" si="872"/>
        <v>40950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873"/>
        <v>0</v>
      </c>
      <c r="EM291">
        <f t="shared" si="874"/>
        <v>555689</v>
      </c>
      <c r="EN291">
        <f t="shared" si="875"/>
        <v>2400</v>
      </c>
      <c r="EO291">
        <f t="shared" si="876"/>
        <v>50000</v>
      </c>
      <c r="EP291">
        <v>0</v>
      </c>
      <c r="EQ291">
        <f t="shared" si="878"/>
        <v>503289</v>
      </c>
      <c r="ER291">
        <f t="shared" si="879"/>
        <v>60000</v>
      </c>
      <c r="ES291">
        <f t="shared" si="880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881"/>
        <v>60000</v>
      </c>
      <c r="FE291">
        <f t="shared" si="882"/>
        <v>60000</v>
      </c>
      <c r="FF291">
        <f t="shared" si="883"/>
        <v>443289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>SUM(FG291:FM291)+(IF(F291="YES",50000,0))</f>
        <v>0</v>
      </c>
      <c r="FO291">
        <f t="shared" si="884"/>
        <v>443289</v>
      </c>
      <c r="FP291">
        <f t="shared" si="885"/>
        <v>9664</v>
      </c>
      <c r="FQ291">
        <f t="shared" si="886"/>
        <v>0</v>
      </c>
      <c r="FR291">
        <f t="shared" si="887"/>
        <v>9664</v>
      </c>
      <c r="FS291">
        <f t="shared" si="888"/>
        <v>0</v>
      </c>
      <c r="FT291">
        <f t="shared" si="889"/>
        <v>0</v>
      </c>
      <c r="FU291">
        <f t="shared" si="890"/>
        <v>0</v>
      </c>
      <c r="FV291">
        <v>0</v>
      </c>
      <c r="FW291">
        <f t="shared" si="891"/>
        <v>0</v>
      </c>
      <c r="FX291" t="b">
        <f t="shared" si="892"/>
        <v>1</v>
      </c>
      <c r="FY291">
        <f t="shared" ca="1" si="893"/>
        <v>659</v>
      </c>
      <c r="FZ291">
        <f t="shared" ca="1" si="894"/>
        <v>556348</v>
      </c>
      <c r="GA291">
        <f t="shared" si="895"/>
        <v>75000</v>
      </c>
      <c r="GB291">
        <f t="shared" ca="1" si="896"/>
        <v>481348</v>
      </c>
      <c r="GC291">
        <f t="shared" ca="1" si="897"/>
        <v>0</v>
      </c>
      <c r="GD291">
        <f t="shared" ca="1" si="898"/>
        <v>0</v>
      </c>
      <c r="GE291">
        <f t="shared" ca="1" si="899"/>
        <v>0</v>
      </c>
      <c r="GF291">
        <f t="shared" ca="1" si="900"/>
        <v>0</v>
      </c>
      <c r="GG291">
        <f t="shared" ca="1" si="901"/>
        <v>0</v>
      </c>
      <c r="GH291">
        <f t="shared" ca="1" si="902"/>
        <v>0</v>
      </c>
      <c r="GI291">
        <f ca="1">IF(GB291&gt;1200000,GB291-1200000-IF(F291="YES",50000,0)-GG291,0)</f>
        <v>0</v>
      </c>
      <c r="GJ291">
        <f t="shared" ca="1" si="903"/>
        <v>0</v>
      </c>
      <c r="GK291">
        <f t="shared" ca="1" si="904"/>
        <v>0</v>
      </c>
      <c r="GL291">
        <f t="shared" ca="1" si="905"/>
        <v>0</v>
      </c>
      <c r="GM291">
        <f t="shared" ca="1" si="906"/>
        <v>81348</v>
      </c>
      <c r="GN291">
        <f t="shared" ca="1" si="907"/>
        <v>4067.4</v>
      </c>
      <c r="GO291">
        <f t="shared" ca="1" si="908"/>
        <v>4067</v>
      </c>
      <c r="GP291">
        <f t="shared" ca="1" si="909"/>
        <v>0</v>
      </c>
      <c r="GQ291">
        <f t="shared" ca="1" si="910"/>
        <v>0</v>
      </c>
      <c r="GR291">
        <f t="shared" ca="1" si="911"/>
        <v>4067</v>
      </c>
      <c r="GS291">
        <f t="shared" ca="1" si="912"/>
        <v>0</v>
      </c>
      <c r="GT291" t="b">
        <f t="shared" ca="1" si="913"/>
        <v>0</v>
      </c>
      <c r="GU291">
        <f t="shared" ca="1" si="914"/>
        <v>0</v>
      </c>
      <c r="GV291">
        <f t="shared" ca="1" si="915"/>
        <v>4067</v>
      </c>
      <c r="GW291">
        <f t="shared" ca="1" si="916"/>
        <v>0</v>
      </c>
      <c r="GX291">
        <f t="shared" ca="1" si="917"/>
        <v>0</v>
      </c>
      <c r="GY291">
        <f t="shared" ca="1" si="918"/>
        <v>0</v>
      </c>
    </row>
    <row r="292" spans="1:207" x14ac:dyDescent="0.25">
      <c r="A292">
        <f>_xlfn.AGGREGATE(3,5,$B$2:B292)</f>
        <v>291</v>
      </c>
      <c r="B292" t="s">
        <v>670</v>
      </c>
      <c r="C292" t="s">
        <v>671</v>
      </c>
      <c r="D292" t="s">
        <v>823</v>
      </c>
      <c r="E292" t="s">
        <v>830</v>
      </c>
      <c r="F292" t="s">
        <v>952</v>
      </c>
      <c r="G292" t="s">
        <v>882</v>
      </c>
      <c r="H292">
        <f t="shared" si="813"/>
        <v>6800</v>
      </c>
      <c r="I292">
        <f>_xlfn.XLOOKUP(B292,'[1]march-2026'!$A:$A,'[1]march-2026'!$C:$C,0,0)</f>
        <v>29800</v>
      </c>
      <c r="J292">
        <f t="shared" si="877"/>
        <v>5364</v>
      </c>
      <c r="K292">
        <f t="shared" si="814"/>
        <v>3576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815"/>
        <v>38740</v>
      </c>
      <c r="O292">
        <f>_xlfn.XLOOKUP(B292,'[1]march-2026'!$A:$A,'[1]march-2026'!$H:$H,0,0)</f>
        <v>2000</v>
      </c>
      <c r="P292">
        <f>_xlfn.XLOOKUP(B292,'[1]march-2026'!$A:$A,'[1]march-2026'!$I:$I,0,0)</f>
        <v>0</v>
      </c>
      <c r="Q292">
        <f t="shared" si="816"/>
        <v>150</v>
      </c>
      <c r="R292">
        <f t="shared" si="817"/>
        <v>36590</v>
      </c>
      <c r="S292">
        <f>_xlfn.XLOOKUP(B292,'[2]april-2026'!$A:$A,'[2]april-2026'!$C:$C,0,0)</f>
        <v>29800</v>
      </c>
      <c r="T292">
        <f t="shared" si="818"/>
        <v>5364</v>
      </c>
      <c r="U292">
        <f t="shared" si="819"/>
        <v>3576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820"/>
        <v>38740</v>
      </c>
      <c r="Y292">
        <f>_xlfn.XLOOKUP(B292,'[2]april-2026'!$A:$A,'[2]april-2026'!$H:$H,0,0)</f>
        <v>2000</v>
      </c>
      <c r="Z292">
        <f>_xlfn.XLOOKUP(B292,'[2]april-2026'!$A:$A,'[2]april-2026'!$I:$I,0,0)</f>
        <v>0</v>
      </c>
      <c r="AA292">
        <f t="shared" si="821"/>
        <v>150</v>
      </c>
      <c r="AB292">
        <f t="shared" si="822"/>
        <v>36590</v>
      </c>
      <c r="AC292">
        <f>_xlfn.XLOOKUP(B292,'[3]may-2026'!$A:$A,'[3]may-2026'!$C:$C,0,0)</f>
        <v>29800</v>
      </c>
      <c r="AD292">
        <f t="shared" si="823"/>
        <v>5364</v>
      </c>
      <c r="AE292">
        <f t="shared" si="824"/>
        <v>3576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825"/>
        <v>38740</v>
      </c>
      <c r="AI292">
        <f>_xlfn.XLOOKUP(B292,'[3]may-2026'!$A:$A,'[3]may-2026'!$H:$H,0,0)</f>
        <v>2000</v>
      </c>
      <c r="AJ292">
        <f>_xlfn.XLOOKUP(B292,'[3]may-2026'!$A:$A,'[3]may-2026'!$I:$I,0,0)</f>
        <v>0</v>
      </c>
      <c r="AK292">
        <f t="shared" si="826"/>
        <v>150</v>
      </c>
      <c r="AL292">
        <f t="shared" si="827"/>
        <v>36590</v>
      </c>
      <c r="AM292">
        <f>_xlfn.XLOOKUP(B292,'[4]june-2026'!$A:$A,'[4]june-2026'!$C:$C,0,0)</f>
        <v>29800</v>
      </c>
      <c r="AN292">
        <f t="shared" si="828"/>
        <v>5364</v>
      </c>
      <c r="AO292">
        <f t="shared" si="829"/>
        <v>3576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830"/>
        <v>38740</v>
      </c>
      <c r="AS292">
        <f>_xlfn.XLOOKUP(B292,'[4]june-2026'!$A:$A,'[4]june-2026'!$H:$H,0,0)</f>
        <v>2000</v>
      </c>
      <c r="AT292">
        <f>_xlfn.XLOOKUP(B292,'[4]june-2026'!$A:$A,'[4]june-2026'!$I:$I,0,0)</f>
        <v>0</v>
      </c>
      <c r="AU292">
        <f t="shared" si="831"/>
        <v>150</v>
      </c>
      <c r="AV292">
        <f t="shared" si="832"/>
        <v>36590</v>
      </c>
      <c r="AW292">
        <f>_xlfn.XLOOKUP(B292,'[5]july-2026'!$A:$A,'[5]july-2026'!$C:$C,0,0)</f>
        <v>30700</v>
      </c>
      <c r="AX292">
        <f t="shared" si="833"/>
        <v>5526</v>
      </c>
      <c r="AY292">
        <v>290</v>
      </c>
      <c r="AZ292">
        <f t="shared" si="834"/>
        <v>3684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835"/>
        <v>40200</v>
      </c>
      <c r="BD292">
        <f>_xlfn.XLOOKUP(B292,'[5]july-2026'!$A:$A,'[5]july-2026'!$H:$H,0,0)</f>
        <v>2000</v>
      </c>
      <c r="BE292">
        <f>_xlfn.XLOOKUP(B292,'[5]july-2026'!$A:$A,'[5]july-2026'!$I:$I,0,0)</f>
        <v>0</v>
      </c>
      <c r="BF292">
        <f t="shared" si="836"/>
        <v>200</v>
      </c>
      <c r="BG292">
        <f t="shared" si="837"/>
        <v>38000</v>
      </c>
      <c r="BH292">
        <f>_xlfn.XLOOKUP(B292,'[6]august-2026'!$A:$A,'[6]august-2026'!$C:$C,0,0)</f>
        <v>30700</v>
      </c>
      <c r="BI292">
        <f t="shared" si="838"/>
        <v>5526</v>
      </c>
      <c r="BJ292">
        <f t="shared" si="839"/>
        <v>3684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840"/>
        <v>39910</v>
      </c>
      <c r="BN292">
        <f>_xlfn.XLOOKUP(B292,'[6]august-2026'!$A:$A,'[6]august-2026'!$H:$H,0,0)</f>
        <v>2000</v>
      </c>
      <c r="BO292">
        <f>_xlfn.XLOOKUP(B292,'[6]august-2026'!$A:$A,'[6]august-2026'!$I:$I,0,0)</f>
        <v>0</v>
      </c>
      <c r="BP292">
        <f t="shared" si="841"/>
        <v>150</v>
      </c>
      <c r="BQ292">
        <f t="shared" si="842"/>
        <v>37760</v>
      </c>
      <c r="BR292">
        <f>_xlfn.XLOOKUP(B292,'[7]september-2026'!$A:$A,'[7]september-2026'!$C:$C,0,0)</f>
        <v>30700</v>
      </c>
      <c r="BS292">
        <f t="shared" si="843"/>
        <v>5526</v>
      </c>
      <c r="BT292">
        <f t="shared" si="844"/>
        <v>3684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845"/>
        <v>39910</v>
      </c>
      <c r="BX292">
        <f>_xlfn.XLOOKUP(B292,'[7]september-2026'!$A:$A,'[7]september-2026'!$H:$H,0,0)</f>
        <v>2000</v>
      </c>
      <c r="BY292">
        <f>_xlfn.XLOOKUP(B292,'[7]september-2026'!$A:$A,'[7]september-2026'!$I:$I,0,0)</f>
        <v>0</v>
      </c>
      <c r="BZ292">
        <f t="shared" si="846"/>
        <v>150</v>
      </c>
      <c r="CA292">
        <f t="shared" si="847"/>
        <v>37760</v>
      </c>
      <c r="CB292">
        <f>_xlfn.XLOOKUP(B292,'[8]october-2026'!$A:$A,'[8]october-2026'!$C:$C,0,0)</f>
        <v>30700</v>
      </c>
      <c r="CC292">
        <f t="shared" si="848"/>
        <v>5526</v>
      </c>
      <c r="CD292">
        <f t="shared" si="849"/>
        <v>3684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850"/>
        <v>39910</v>
      </c>
      <c r="CH292">
        <f>_xlfn.XLOOKUP(B292,'[8]october-2026'!$A:$A,'[8]october-2026'!$H:$H,0,0)</f>
        <v>2000</v>
      </c>
      <c r="CI292">
        <f>_xlfn.XLOOKUP(B292,'[8]october-2026'!$A:$A,'[8]october-2026'!$I:$I,0,0)</f>
        <v>0</v>
      </c>
      <c r="CJ292">
        <f t="shared" si="851"/>
        <v>150</v>
      </c>
      <c r="CK292">
        <f t="shared" si="852"/>
        <v>37760</v>
      </c>
      <c r="CL292">
        <f>_xlfn.XLOOKUP(B292,'[9]november-2026'!$A:$A,'[9]november-2026'!$C:$C,0,0)</f>
        <v>30700</v>
      </c>
      <c r="CM292">
        <f t="shared" si="853"/>
        <v>5526</v>
      </c>
      <c r="CN292">
        <f t="shared" si="854"/>
        <v>3684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855"/>
        <v>39910</v>
      </c>
      <c r="CR292">
        <f>_xlfn.XLOOKUP(B292,'[9]november-2026'!$A:$A,'[9]november-2026'!$H:$H,0,0)</f>
        <v>2000</v>
      </c>
      <c r="CS292">
        <f>_xlfn.XLOOKUP(B292,'[9]november-2026'!$A:$A,'[9]november-2026'!$I:$I,0,0)</f>
        <v>0</v>
      </c>
      <c r="CT292">
        <f t="shared" si="856"/>
        <v>150</v>
      </c>
      <c r="CU292">
        <f t="shared" si="857"/>
        <v>37760</v>
      </c>
      <c r="CV292">
        <f>_xlfn.XLOOKUP(B292,'[10]december-2026'!$A:$A,'[10]december-2026'!$C:$C,0,0)</f>
        <v>30700</v>
      </c>
      <c r="CW292">
        <f t="shared" si="858"/>
        <v>5526</v>
      </c>
      <c r="CX292">
        <f t="shared" si="859"/>
        <v>3684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860"/>
        <v>39910</v>
      </c>
      <c r="DB292">
        <f>_xlfn.XLOOKUP(B292,'[10]december-2026'!$A:$A,'[10]december-2026'!$H:$H,0,0)</f>
        <v>2000</v>
      </c>
      <c r="DC292">
        <f>_xlfn.XLOOKUP(B292,'[10]december-2026'!$A:$A,'[10]december-2026'!$I:$I,0,0)</f>
        <v>0</v>
      </c>
      <c r="DD292">
        <f t="shared" si="861"/>
        <v>150</v>
      </c>
      <c r="DE292">
        <f t="shared" si="862"/>
        <v>37760</v>
      </c>
      <c r="DF292">
        <f xml:space="preserve"> _xlfn.XLOOKUP(B292,
'[11]january-2027'!$A:$A,
'[11]january-2027'!$C:$C,
0,0)</f>
        <v>30700</v>
      </c>
      <c r="DG292">
        <f t="shared" si="863"/>
        <v>5526</v>
      </c>
      <c r="DH292">
        <f t="shared" si="864"/>
        <v>3684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865"/>
        <v>39910</v>
      </c>
      <c r="DL292">
        <f xml:space="preserve"> _xlfn.XLOOKUP(B292,
'[11]january-2027'!$A:$A,
'[11]january-2027'!$H:$H,
0,0)</f>
        <v>2000</v>
      </c>
      <c r="DM292">
        <f xml:space="preserve"> _xlfn.XLOOKUP(B292,
'[11]january-2027'!$A:$A,
'[11]january-2027'!$I:$I,
0,0)</f>
        <v>0</v>
      </c>
      <c r="DN292">
        <f t="shared" si="866"/>
        <v>150</v>
      </c>
      <c r="DO292">
        <f t="shared" si="867"/>
        <v>37760</v>
      </c>
      <c r="DP292">
        <f xml:space="preserve"> _xlfn.XLOOKUP(B292,
'[12]february-2027'!$A:$A,
'[12]february-2027'!$C:$C,
0,0)</f>
        <v>30700</v>
      </c>
      <c r="DQ292">
        <f t="shared" si="868"/>
        <v>5526</v>
      </c>
      <c r="DR292">
        <f t="shared" si="869"/>
        <v>3684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870"/>
        <v>39910</v>
      </c>
      <c r="DV292">
        <f xml:space="preserve"> _xlfn.XLOOKUP(B292,
'[12]february-2027'!$A:$A,
'[12]february-2027'!$H:$H,
0,0)</f>
        <v>2000</v>
      </c>
      <c r="DW292">
        <f xml:space="preserve"> _xlfn.XLOOKUP(B292,
'[12]february-2027'!$A:$A,
'[12]february-2027'!$I:$I,
0,0)</f>
        <v>0</v>
      </c>
      <c r="DX292">
        <f t="shared" si="871"/>
        <v>150</v>
      </c>
      <c r="DY292">
        <f t="shared" si="872"/>
        <v>37760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873"/>
        <v>0</v>
      </c>
      <c r="EM292">
        <f t="shared" si="874"/>
        <v>481330</v>
      </c>
      <c r="EN292">
        <f t="shared" si="875"/>
        <v>1850</v>
      </c>
      <c r="EO292">
        <f t="shared" si="876"/>
        <v>50000</v>
      </c>
      <c r="EP292">
        <v>0</v>
      </c>
      <c r="EQ292">
        <f t="shared" si="878"/>
        <v>429480</v>
      </c>
      <c r="ER292">
        <f t="shared" si="879"/>
        <v>24000</v>
      </c>
      <c r="ES292">
        <f t="shared" si="880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881"/>
        <v>24000</v>
      </c>
      <c r="FE292">
        <f t="shared" si="882"/>
        <v>24000</v>
      </c>
      <c r="FF292">
        <f t="shared" si="883"/>
        <v>405480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>SUM(FG292:FM292)+(IF(F292="YES",50000,0))</f>
        <v>0</v>
      </c>
      <c r="FO292">
        <f t="shared" si="884"/>
        <v>405480</v>
      </c>
      <c r="FP292">
        <f t="shared" si="885"/>
        <v>7774</v>
      </c>
      <c r="FQ292">
        <f t="shared" si="886"/>
        <v>0</v>
      </c>
      <c r="FR292">
        <f t="shared" si="887"/>
        <v>7774</v>
      </c>
      <c r="FS292">
        <f t="shared" si="888"/>
        <v>0</v>
      </c>
      <c r="FT292">
        <f t="shared" si="889"/>
        <v>0</v>
      </c>
      <c r="FU292">
        <f t="shared" si="890"/>
        <v>0</v>
      </c>
      <c r="FV292">
        <v>0</v>
      </c>
      <c r="FW292">
        <f t="shared" si="891"/>
        <v>0</v>
      </c>
      <c r="FX292" t="b">
        <f t="shared" si="892"/>
        <v>0</v>
      </c>
      <c r="FY292">
        <f t="shared" ca="1" si="893"/>
        <v>1453</v>
      </c>
      <c r="FZ292">
        <f t="shared" ca="1" si="894"/>
        <v>482783</v>
      </c>
      <c r="GA292">
        <f t="shared" si="895"/>
        <v>75000</v>
      </c>
      <c r="GB292">
        <f t="shared" ca="1" si="896"/>
        <v>407783</v>
      </c>
      <c r="GC292">
        <f t="shared" ca="1" si="897"/>
        <v>0</v>
      </c>
      <c r="GD292">
        <f t="shared" ca="1" si="898"/>
        <v>0</v>
      </c>
      <c r="GE292">
        <f t="shared" ca="1" si="899"/>
        <v>0</v>
      </c>
      <c r="GF292">
        <f t="shared" ca="1" si="900"/>
        <v>0</v>
      </c>
      <c r="GG292">
        <f t="shared" ca="1" si="901"/>
        <v>0</v>
      </c>
      <c r="GH292">
        <f t="shared" ca="1" si="902"/>
        <v>0</v>
      </c>
      <c r="GI292">
        <f ca="1">IF(GB292&gt;1200000,GB292-1200000-IF(F292="YES",50000,0)-GG292,0)</f>
        <v>0</v>
      </c>
      <c r="GJ292">
        <f t="shared" ca="1" si="903"/>
        <v>0</v>
      </c>
      <c r="GK292">
        <f t="shared" ca="1" si="904"/>
        <v>0</v>
      </c>
      <c r="GL292">
        <f t="shared" ca="1" si="905"/>
        <v>0</v>
      </c>
      <c r="GM292">
        <f t="shared" ca="1" si="906"/>
        <v>7783</v>
      </c>
      <c r="GN292">
        <f t="shared" ca="1" si="907"/>
        <v>389.15000000000003</v>
      </c>
      <c r="GO292">
        <f t="shared" ca="1" si="908"/>
        <v>389</v>
      </c>
      <c r="GP292">
        <f t="shared" ca="1" si="909"/>
        <v>0</v>
      </c>
      <c r="GQ292">
        <f t="shared" ca="1" si="910"/>
        <v>0</v>
      </c>
      <c r="GR292">
        <f t="shared" ca="1" si="911"/>
        <v>389</v>
      </c>
      <c r="GS292">
        <f t="shared" ca="1" si="912"/>
        <v>0</v>
      </c>
      <c r="GT292" t="b">
        <f t="shared" ca="1" si="913"/>
        <v>0</v>
      </c>
      <c r="GU292">
        <f t="shared" ca="1" si="914"/>
        <v>0</v>
      </c>
      <c r="GV292">
        <f t="shared" ca="1" si="915"/>
        <v>389</v>
      </c>
      <c r="GW292">
        <f t="shared" ca="1" si="916"/>
        <v>0</v>
      </c>
      <c r="GX292">
        <f t="shared" ca="1" si="917"/>
        <v>0</v>
      </c>
      <c r="GY292">
        <f t="shared" ca="1" si="918"/>
        <v>0</v>
      </c>
    </row>
    <row r="293" spans="1:207" x14ac:dyDescent="0.25">
      <c r="A293">
        <f>_xlfn.AGGREGATE(3,5,$B$2:B293)</f>
        <v>292</v>
      </c>
      <c r="B293" t="s">
        <v>672</v>
      </c>
      <c r="C293" t="s">
        <v>673</v>
      </c>
      <c r="D293" t="s">
        <v>824</v>
      </c>
      <c r="E293" t="s">
        <v>830</v>
      </c>
      <c r="F293" t="s">
        <v>952</v>
      </c>
      <c r="G293" t="s">
        <v>884</v>
      </c>
      <c r="H293">
        <f t="shared" si="813"/>
        <v>6800</v>
      </c>
      <c r="I293">
        <f>_xlfn.XLOOKUP(B293,'[1]march-2026'!$A:$A,'[1]march-2026'!$C:$C,0,0)</f>
        <v>53300</v>
      </c>
      <c r="J293">
        <f t="shared" si="877"/>
        <v>9594</v>
      </c>
      <c r="K293">
        <f t="shared" si="814"/>
        <v>6396</v>
      </c>
      <c r="L293">
        <f>_xlfn.XLOOKUP(B293,'[1]march-2026'!$A:$A,'[1]march-2026'!$D:$D,0,0)</f>
        <v>400</v>
      </c>
      <c r="M293">
        <f>_xlfn.XLOOKUP(B293,'[1]march-2026'!$A:$A,'[1]march-2026'!$G:$G,0,0)</f>
        <v>0</v>
      </c>
      <c r="N293">
        <f t="shared" si="815"/>
        <v>69690</v>
      </c>
      <c r="O293">
        <f>_xlfn.XLOOKUP(B293,'[1]march-2026'!$A:$A,'[1]march-2026'!$H:$H,0,0)</f>
        <v>4000</v>
      </c>
      <c r="P293">
        <f>_xlfn.XLOOKUP(B293,'[1]march-2026'!$A:$A,'[1]march-2026'!$I:$I,0,0)</f>
        <v>0</v>
      </c>
      <c r="Q293">
        <f t="shared" si="816"/>
        <v>200</v>
      </c>
      <c r="R293">
        <f t="shared" si="817"/>
        <v>65490</v>
      </c>
      <c r="S293">
        <f>_xlfn.XLOOKUP(B293,'[2]april-2026'!$A:$A,'[2]april-2026'!$C:$C,0,0)</f>
        <v>53300</v>
      </c>
      <c r="T293">
        <f t="shared" si="818"/>
        <v>9594</v>
      </c>
      <c r="U293">
        <f t="shared" si="819"/>
        <v>6396</v>
      </c>
      <c r="V293">
        <f>_xlfn.XLOOKUP(B293,'[2]april-2026'!$A:$A,'[2]april-2026'!$D:$D,0,0)</f>
        <v>400</v>
      </c>
      <c r="W293">
        <f>_xlfn.XLOOKUP(B293,'[2]april-2026'!$A:$A,'[2]april-2026'!$G:$G,0,0)</f>
        <v>0</v>
      </c>
      <c r="X293">
        <f t="shared" si="820"/>
        <v>69690</v>
      </c>
      <c r="Y293">
        <f>_xlfn.XLOOKUP(B293,'[2]april-2026'!$A:$A,'[2]april-2026'!$H:$H,0,0)</f>
        <v>4000</v>
      </c>
      <c r="Z293">
        <f>_xlfn.XLOOKUP(B293,'[2]april-2026'!$A:$A,'[2]april-2026'!$I:$I,0,0)</f>
        <v>0</v>
      </c>
      <c r="AA293">
        <f t="shared" si="821"/>
        <v>200</v>
      </c>
      <c r="AB293">
        <f t="shared" si="822"/>
        <v>65490</v>
      </c>
      <c r="AC293">
        <f>_xlfn.XLOOKUP(B293,'[3]may-2026'!$A:$A,'[3]may-2026'!$C:$C,0,0)</f>
        <v>53300</v>
      </c>
      <c r="AD293">
        <f t="shared" si="823"/>
        <v>9594</v>
      </c>
      <c r="AE293">
        <f t="shared" si="824"/>
        <v>6396</v>
      </c>
      <c r="AF293">
        <f>_xlfn.XLOOKUP(B293,'[3]may-2026'!$A:$A,'[3]may-2026'!$D:$D,0,0)</f>
        <v>400</v>
      </c>
      <c r="AG293">
        <f>_xlfn.XLOOKUP(B293,'[3]may-2026'!$A:$A,'[3]may-2026'!$G:$G,0,0)</f>
        <v>0</v>
      </c>
      <c r="AH293">
        <f t="shared" si="825"/>
        <v>69690</v>
      </c>
      <c r="AI293">
        <f>_xlfn.XLOOKUP(B293,'[3]may-2026'!$A:$A,'[3]may-2026'!$H:$H,0,0)</f>
        <v>4000</v>
      </c>
      <c r="AJ293">
        <f>_xlfn.XLOOKUP(B293,'[3]may-2026'!$A:$A,'[3]may-2026'!$I:$I,0,0)</f>
        <v>0</v>
      </c>
      <c r="AK293">
        <f t="shared" si="826"/>
        <v>200</v>
      </c>
      <c r="AL293">
        <f t="shared" si="827"/>
        <v>65490</v>
      </c>
      <c r="AM293">
        <f>_xlfn.XLOOKUP(B293,'[4]june-2026'!$A:$A,'[4]june-2026'!$C:$C,0,0)</f>
        <v>53300</v>
      </c>
      <c r="AN293">
        <f t="shared" si="828"/>
        <v>9594</v>
      </c>
      <c r="AO293">
        <f t="shared" si="829"/>
        <v>6396</v>
      </c>
      <c r="AP293">
        <f>_xlfn.XLOOKUP(B293,'[4]june-2026'!$A:$A,'[4]june-2026'!$D:$D,0,0)</f>
        <v>400</v>
      </c>
      <c r="AQ293">
        <f>_xlfn.XLOOKUP(B293,'[4]june-2026'!$A:$A,'[4]june-2026'!$G:$G,0,0)</f>
        <v>0</v>
      </c>
      <c r="AR293">
        <f t="shared" si="830"/>
        <v>69690</v>
      </c>
      <c r="AS293">
        <f>_xlfn.XLOOKUP(B293,'[4]june-2026'!$A:$A,'[4]june-2026'!$H:$H,0,0)</f>
        <v>4000</v>
      </c>
      <c r="AT293">
        <f>_xlfn.XLOOKUP(B293,'[4]june-2026'!$A:$A,'[4]june-2026'!$I:$I,0,0)</f>
        <v>0</v>
      </c>
      <c r="AU293">
        <f t="shared" si="831"/>
        <v>200</v>
      </c>
      <c r="AV293">
        <f t="shared" si="832"/>
        <v>65490</v>
      </c>
      <c r="AW293">
        <f>_xlfn.XLOOKUP(B293,'[5]july-2026'!$A:$A,'[5]july-2026'!$C:$C,0,0)</f>
        <v>54900</v>
      </c>
      <c r="AX293">
        <f t="shared" si="833"/>
        <v>9882</v>
      </c>
      <c r="AY293">
        <v>291</v>
      </c>
      <c r="AZ293">
        <f t="shared" si="834"/>
        <v>6588</v>
      </c>
      <c r="BA293">
        <f>_xlfn.XLOOKUP(B293,'[5]july-2026'!$A:$A,'[5]july-2026'!$D:$D,0,0)</f>
        <v>400</v>
      </c>
      <c r="BB293">
        <f>_xlfn.XLOOKUP(B293,'[5]july-2026'!$A:$A,'[5]july-2026'!$G:$G,0,0)</f>
        <v>0</v>
      </c>
      <c r="BC293">
        <f t="shared" si="835"/>
        <v>72061</v>
      </c>
      <c r="BD293">
        <f>_xlfn.XLOOKUP(B293,'[5]july-2026'!$A:$A,'[5]july-2026'!$H:$H,0,0)</f>
        <v>4000</v>
      </c>
      <c r="BE293">
        <f>_xlfn.XLOOKUP(B293,'[5]july-2026'!$A:$A,'[5]july-2026'!$I:$I,0,0)</f>
        <v>0</v>
      </c>
      <c r="BF293">
        <f t="shared" si="836"/>
        <v>200</v>
      </c>
      <c r="BG293">
        <f t="shared" si="837"/>
        <v>67861</v>
      </c>
      <c r="BH293">
        <f>_xlfn.XLOOKUP(B293,'[6]august-2026'!$A:$A,'[6]august-2026'!$C:$C,0,0)</f>
        <v>54900</v>
      </c>
      <c r="BI293">
        <f t="shared" si="838"/>
        <v>9882</v>
      </c>
      <c r="BJ293">
        <f t="shared" si="839"/>
        <v>6588</v>
      </c>
      <c r="BK293">
        <f>_xlfn.XLOOKUP(B293,'[6]august-2026'!$A:$A,'[6]august-2026'!$D:$D,0,0)</f>
        <v>400</v>
      </c>
      <c r="BL293">
        <f>_xlfn.XLOOKUP(B293,'[6]august-2026'!$A:$A,'[6]august-2026'!$G:$G,0,0)</f>
        <v>0</v>
      </c>
      <c r="BM293">
        <f t="shared" si="840"/>
        <v>71770</v>
      </c>
      <c r="BN293">
        <f>_xlfn.XLOOKUP(B293,'[6]august-2026'!$A:$A,'[6]august-2026'!$H:$H,0,0)</f>
        <v>4000</v>
      </c>
      <c r="BO293">
        <f>_xlfn.XLOOKUP(B293,'[6]august-2026'!$A:$A,'[6]august-2026'!$I:$I,0,0)</f>
        <v>0</v>
      </c>
      <c r="BP293">
        <f t="shared" si="841"/>
        <v>200</v>
      </c>
      <c r="BQ293">
        <f t="shared" si="842"/>
        <v>67570</v>
      </c>
      <c r="BR293">
        <f>_xlfn.XLOOKUP(B293,'[7]september-2026'!$A:$A,'[7]september-2026'!$C:$C,0,0)</f>
        <v>54900</v>
      </c>
      <c r="BS293">
        <f t="shared" si="843"/>
        <v>9882</v>
      </c>
      <c r="BT293">
        <f t="shared" si="844"/>
        <v>6588</v>
      </c>
      <c r="BU293">
        <f>_xlfn.XLOOKUP(B293,'[7]september-2026'!$A:$A,'[7]september-2026'!$D:$D,0,0)</f>
        <v>400</v>
      </c>
      <c r="BV293">
        <f>_xlfn.XLOOKUP(B293,'[7]september-2026'!$A:$A,'[7]september-2026'!$G:$G,0,0)</f>
        <v>0</v>
      </c>
      <c r="BW293">
        <f t="shared" si="845"/>
        <v>71770</v>
      </c>
      <c r="BX293">
        <f>_xlfn.XLOOKUP(B293,'[7]september-2026'!$A:$A,'[7]september-2026'!$H:$H,0,0)</f>
        <v>4000</v>
      </c>
      <c r="BY293">
        <f>_xlfn.XLOOKUP(B293,'[7]september-2026'!$A:$A,'[7]september-2026'!$I:$I,0,0)</f>
        <v>0</v>
      </c>
      <c r="BZ293">
        <f t="shared" si="846"/>
        <v>200</v>
      </c>
      <c r="CA293">
        <f t="shared" si="847"/>
        <v>67570</v>
      </c>
      <c r="CB293">
        <f>_xlfn.XLOOKUP(B293,'[8]october-2026'!$A:$A,'[8]october-2026'!$C:$C,0,0)</f>
        <v>54900</v>
      </c>
      <c r="CC293">
        <f t="shared" si="848"/>
        <v>9882</v>
      </c>
      <c r="CD293">
        <f t="shared" si="849"/>
        <v>6588</v>
      </c>
      <c r="CE293">
        <f>_xlfn.XLOOKUP(B293,'[8]october-2026'!$A:$A,'[8]october-2026'!$D:$D,0,0)</f>
        <v>400</v>
      </c>
      <c r="CF293">
        <f>_xlfn.XLOOKUP(B293,'[8]october-2026'!$A:$A,'[8]october-2026'!$G:$G,0,0)</f>
        <v>0</v>
      </c>
      <c r="CG293">
        <f t="shared" si="850"/>
        <v>71770</v>
      </c>
      <c r="CH293">
        <f>_xlfn.XLOOKUP(B293,'[8]october-2026'!$A:$A,'[8]october-2026'!$H:$H,0,0)</f>
        <v>4000</v>
      </c>
      <c r="CI293">
        <f>_xlfn.XLOOKUP(B293,'[8]october-2026'!$A:$A,'[8]october-2026'!$I:$I,0,0)</f>
        <v>0</v>
      </c>
      <c r="CJ293">
        <f t="shared" si="851"/>
        <v>200</v>
      </c>
      <c r="CK293">
        <f t="shared" si="852"/>
        <v>67570</v>
      </c>
      <c r="CL293">
        <f>_xlfn.XLOOKUP(B293,'[9]november-2026'!$A:$A,'[9]november-2026'!$C:$C,0,0)</f>
        <v>54900</v>
      </c>
      <c r="CM293">
        <f t="shared" si="853"/>
        <v>9882</v>
      </c>
      <c r="CN293">
        <f t="shared" si="854"/>
        <v>6588</v>
      </c>
      <c r="CO293">
        <f>_xlfn.XLOOKUP(B293,'[9]november-2026'!$A:$A,'[9]november-2026'!$D:$D,0,0)</f>
        <v>400</v>
      </c>
      <c r="CP293">
        <f>_xlfn.XLOOKUP(B293,'[9]november-2026'!$A:$A,'[9]november-2026'!$G:$G,0,0)</f>
        <v>0</v>
      </c>
      <c r="CQ293">
        <f t="shared" si="855"/>
        <v>71770</v>
      </c>
      <c r="CR293">
        <f>_xlfn.XLOOKUP(B293,'[9]november-2026'!$A:$A,'[9]november-2026'!$H:$H,0,0)</f>
        <v>4000</v>
      </c>
      <c r="CS293">
        <f>_xlfn.XLOOKUP(B293,'[9]november-2026'!$A:$A,'[9]november-2026'!$I:$I,0,0)</f>
        <v>0</v>
      </c>
      <c r="CT293">
        <f t="shared" si="856"/>
        <v>200</v>
      </c>
      <c r="CU293">
        <f t="shared" si="857"/>
        <v>67570</v>
      </c>
      <c r="CV293">
        <f>_xlfn.XLOOKUP(B293,'[10]december-2026'!$A:$A,'[10]december-2026'!$C:$C,0,0)</f>
        <v>54900</v>
      </c>
      <c r="CW293">
        <f t="shared" si="858"/>
        <v>9882</v>
      </c>
      <c r="CX293">
        <f t="shared" si="859"/>
        <v>6588</v>
      </c>
      <c r="CY293">
        <f>_xlfn.XLOOKUP(B293,'[10]december-2026'!$A:$A,'[10]december-2026'!$D:$D,0,0)</f>
        <v>400</v>
      </c>
      <c r="CZ293">
        <f>_xlfn.XLOOKUP(B293,'[10]december-2026'!$A:$A,'[10]december-2026'!$G:$G,0,0)</f>
        <v>0</v>
      </c>
      <c r="DA293">
        <f t="shared" si="860"/>
        <v>71770</v>
      </c>
      <c r="DB293">
        <f>_xlfn.XLOOKUP(B293,'[10]december-2026'!$A:$A,'[10]december-2026'!$H:$H,0,0)</f>
        <v>4000</v>
      </c>
      <c r="DC293">
        <f>_xlfn.XLOOKUP(B293,'[10]december-2026'!$A:$A,'[10]december-2026'!$I:$I,0,0)</f>
        <v>0</v>
      </c>
      <c r="DD293">
        <f t="shared" si="861"/>
        <v>200</v>
      </c>
      <c r="DE293">
        <f t="shared" si="862"/>
        <v>67570</v>
      </c>
      <c r="DF293">
        <f xml:space="preserve"> _xlfn.XLOOKUP(B293,
'[11]january-2027'!$A:$A,
'[11]january-2027'!$C:$C,
0,0)</f>
        <v>54900</v>
      </c>
      <c r="DG293">
        <f t="shared" si="863"/>
        <v>9882</v>
      </c>
      <c r="DH293">
        <f t="shared" si="864"/>
        <v>6588</v>
      </c>
      <c r="DI293">
        <f xml:space="preserve"> _xlfn.XLOOKUP(B293,
'[11]january-2027'!$A:$A,
'[11]january-2027'!$D:$D,
0,0)</f>
        <v>400</v>
      </c>
      <c r="DJ293">
        <f xml:space="preserve"> _xlfn.XLOOKUP(B293,
'[11]january-2027'!$A:$A,
'[11]january-2027'!$G:$G,
0,0)</f>
        <v>0</v>
      </c>
      <c r="DK293">
        <f t="shared" si="865"/>
        <v>71770</v>
      </c>
      <c r="DL293">
        <f xml:space="preserve"> _xlfn.XLOOKUP(B293,
'[11]january-2027'!$A:$A,
'[11]january-2027'!$H:$H,
0,0)</f>
        <v>4000</v>
      </c>
      <c r="DM293">
        <f xml:space="preserve"> _xlfn.XLOOKUP(B293,
'[11]january-2027'!$A:$A,
'[11]january-2027'!$I:$I,
0,0)</f>
        <v>0</v>
      </c>
      <c r="DN293">
        <f t="shared" si="866"/>
        <v>200</v>
      </c>
      <c r="DO293">
        <f t="shared" si="867"/>
        <v>67570</v>
      </c>
      <c r="DP293">
        <f xml:space="preserve"> _xlfn.XLOOKUP(B293,
'[12]february-2027'!$A:$A,
'[12]february-2027'!$C:$C,
0,0)</f>
        <v>54900</v>
      </c>
      <c r="DQ293">
        <f t="shared" si="868"/>
        <v>9882</v>
      </c>
      <c r="DR293">
        <f t="shared" si="869"/>
        <v>6588</v>
      </c>
      <c r="DS293">
        <f xml:space="preserve"> _xlfn.XLOOKUP(B293,
'[12]february-2027'!$A:$A,
'[12]february-2027'!$D:$D,
0,0)</f>
        <v>400</v>
      </c>
      <c r="DT293">
        <f xml:space="preserve"> _xlfn.XLOOKUP(B293,
'[12]february-2027'!$A:$A,
'[12]february-2027'!$G:$G,
0,0)</f>
        <v>0</v>
      </c>
      <c r="DU293">
        <f t="shared" si="870"/>
        <v>71770</v>
      </c>
      <c r="DV293">
        <f xml:space="preserve"> _xlfn.XLOOKUP(B293,
'[12]february-2027'!$A:$A,
'[12]february-2027'!$H:$H,
0,0)</f>
        <v>4000</v>
      </c>
      <c r="DW293">
        <f xml:space="preserve"> _xlfn.XLOOKUP(B293,
'[12]february-2027'!$A:$A,
'[12]february-2027'!$I:$I,
0,0)</f>
        <v>0</v>
      </c>
      <c r="DX293">
        <f t="shared" si="871"/>
        <v>200</v>
      </c>
      <c r="DY293">
        <f t="shared" si="872"/>
        <v>67570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873"/>
        <v>0</v>
      </c>
      <c r="EM293">
        <f t="shared" si="874"/>
        <v>860011</v>
      </c>
      <c r="EN293">
        <f t="shared" si="875"/>
        <v>2400</v>
      </c>
      <c r="EO293">
        <f t="shared" si="876"/>
        <v>50000</v>
      </c>
      <c r="EP293">
        <v>0</v>
      </c>
      <c r="EQ293">
        <f t="shared" si="878"/>
        <v>807611</v>
      </c>
      <c r="ER293">
        <f t="shared" si="879"/>
        <v>48000</v>
      </c>
      <c r="ES293">
        <f t="shared" si="880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881"/>
        <v>48000</v>
      </c>
      <c r="FE293">
        <f t="shared" si="882"/>
        <v>48000</v>
      </c>
      <c r="FF293">
        <f t="shared" si="883"/>
        <v>759611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>SUM(FG293:FM293)+(IF(F293="YES",50000,0))</f>
        <v>0</v>
      </c>
      <c r="FO293">
        <f t="shared" si="884"/>
        <v>759611</v>
      </c>
      <c r="FP293">
        <f t="shared" si="885"/>
        <v>12500</v>
      </c>
      <c r="FQ293">
        <f t="shared" si="886"/>
        <v>51922</v>
      </c>
      <c r="FR293">
        <f t="shared" si="887"/>
        <v>64422</v>
      </c>
      <c r="FS293">
        <f t="shared" si="888"/>
        <v>64422</v>
      </c>
      <c r="FT293">
        <f t="shared" si="889"/>
        <v>2576.88</v>
      </c>
      <c r="FU293">
        <f t="shared" si="890"/>
        <v>66999</v>
      </c>
      <c r="FV293">
        <v>0</v>
      </c>
      <c r="FW293">
        <f t="shared" si="891"/>
        <v>66999</v>
      </c>
      <c r="FX293" t="b">
        <f t="shared" si="892"/>
        <v>1</v>
      </c>
      <c r="FY293">
        <f t="shared" ca="1" si="893"/>
        <v>901</v>
      </c>
      <c r="FZ293">
        <f t="shared" ca="1" si="894"/>
        <v>860912</v>
      </c>
      <c r="GA293">
        <f t="shared" si="895"/>
        <v>75000</v>
      </c>
      <c r="GB293">
        <f t="shared" ca="1" si="896"/>
        <v>785912</v>
      </c>
      <c r="GC293">
        <f t="shared" ca="1" si="897"/>
        <v>0</v>
      </c>
      <c r="GD293">
        <f t="shared" ca="1" si="898"/>
        <v>0</v>
      </c>
      <c r="GE293">
        <f t="shared" ca="1" si="899"/>
        <v>0</v>
      </c>
      <c r="GF293">
        <f t="shared" ca="1" si="900"/>
        <v>0</v>
      </c>
      <c r="GG293">
        <f t="shared" ca="1" si="901"/>
        <v>0</v>
      </c>
      <c r="GH293">
        <f t="shared" ca="1" si="902"/>
        <v>0</v>
      </c>
      <c r="GI293">
        <f ca="1">IF(GB293&gt;1200000,GB293-1200000-IF(F293="YES",50000,0)-GG293,0)</f>
        <v>0</v>
      </c>
      <c r="GJ293">
        <f t="shared" ca="1" si="903"/>
        <v>0</v>
      </c>
      <c r="GK293">
        <f t="shared" ca="1" si="904"/>
        <v>0</v>
      </c>
      <c r="GL293">
        <f t="shared" ca="1" si="905"/>
        <v>0</v>
      </c>
      <c r="GM293">
        <f t="shared" ca="1" si="906"/>
        <v>385912</v>
      </c>
      <c r="GN293">
        <f t="shared" ca="1" si="907"/>
        <v>19295.600000000002</v>
      </c>
      <c r="GO293">
        <f t="shared" ca="1" si="908"/>
        <v>19296</v>
      </c>
      <c r="GP293">
        <f t="shared" ca="1" si="909"/>
        <v>0</v>
      </c>
      <c r="GQ293">
        <f t="shared" ca="1" si="910"/>
        <v>0</v>
      </c>
      <c r="GR293">
        <f t="shared" ca="1" si="911"/>
        <v>19296</v>
      </c>
      <c r="GS293">
        <f t="shared" ca="1" si="912"/>
        <v>0</v>
      </c>
      <c r="GT293" t="b">
        <f t="shared" ca="1" si="913"/>
        <v>0</v>
      </c>
      <c r="GU293">
        <f t="shared" ca="1" si="914"/>
        <v>0</v>
      </c>
      <c r="GV293">
        <f t="shared" ca="1" si="915"/>
        <v>19296</v>
      </c>
      <c r="GW293">
        <f t="shared" ca="1" si="916"/>
        <v>0</v>
      </c>
      <c r="GX293">
        <f t="shared" ca="1" si="917"/>
        <v>0</v>
      </c>
      <c r="GY293">
        <f t="shared" ca="1" si="918"/>
        <v>0</v>
      </c>
    </row>
    <row r="294" spans="1:207" x14ac:dyDescent="0.25">
      <c r="A294">
        <f>_xlfn.AGGREGATE(3,5,$B$2:B294)</f>
        <v>293</v>
      </c>
      <c r="B294" t="s">
        <v>674</v>
      </c>
      <c r="C294" t="s">
        <v>675</v>
      </c>
      <c r="D294" t="s">
        <v>824</v>
      </c>
      <c r="E294" t="s">
        <v>830</v>
      </c>
      <c r="F294" t="s">
        <v>952</v>
      </c>
      <c r="G294" t="s">
        <v>877</v>
      </c>
      <c r="H294">
        <f t="shared" si="813"/>
        <v>6800</v>
      </c>
      <c r="I294">
        <f>_xlfn.XLOOKUP(B294,'[1]march-2026'!$A:$A,'[1]march-2026'!$C:$C,0,0)</f>
        <v>35500</v>
      </c>
      <c r="J294">
        <f t="shared" si="877"/>
        <v>6390</v>
      </c>
      <c r="K294">
        <f t="shared" si="814"/>
        <v>4260</v>
      </c>
      <c r="L294">
        <f>_xlfn.XLOOKUP(B294,'[1]march-2026'!$A:$A,'[1]march-2026'!$D:$D,0,0)</f>
        <v>0</v>
      </c>
      <c r="M294">
        <f>_xlfn.XLOOKUP(B294,'[1]march-2026'!$A:$A,'[1]march-2026'!$G:$G,0,0)</f>
        <v>500</v>
      </c>
      <c r="N294">
        <f t="shared" si="815"/>
        <v>46650</v>
      </c>
      <c r="O294">
        <f>_xlfn.XLOOKUP(B294,'[1]march-2026'!$A:$A,'[1]march-2026'!$H:$H,0,0)</f>
        <v>3000</v>
      </c>
      <c r="P294">
        <f>_xlfn.XLOOKUP(B294,'[1]march-2026'!$A:$A,'[1]march-2026'!$I:$I,0,0)</f>
        <v>0</v>
      </c>
      <c r="Q294">
        <f t="shared" si="816"/>
        <v>200</v>
      </c>
      <c r="R294">
        <f t="shared" si="817"/>
        <v>43450</v>
      </c>
      <c r="S294">
        <f>_xlfn.XLOOKUP(B294,'[2]april-2026'!$A:$A,'[2]april-2026'!$C:$C,0,0)</f>
        <v>35500</v>
      </c>
      <c r="T294">
        <f t="shared" si="818"/>
        <v>6390</v>
      </c>
      <c r="U294">
        <f t="shared" si="819"/>
        <v>4260</v>
      </c>
      <c r="V294">
        <f>_xlfn.XLOOKUP(B294,'[2]april-2026'!$A:$A,'[2]april-2026'!$D:$D,0,0)</f>
        <v>0</v>
      </c>
      <c r="W294">
        <f>_xlfn.XLOOKUP(B294,'[2]april-2026'!$A:$A,'[2]april-2026'!$G:$G,0,0)</f>
        <v>500</v>
      </c>
      <c r="X294">
        <f t="shared" si="820"/>
        <v>46650</v>
      </c>
      <c r="Y294">
        <f>_xlfn.XLOOKUP(B294,'[2]april-2026'!$A:$A,'[2]april-2026'!$H:$H,0,0)</f>
        <v>3000</v>
      </c>
      <c r="Z294">
        <f>_xlfn.XLOOKUP(B294,'[2]april-2026'!$A:$A,'[2]april-2026'!$I:$I,0,0)</f>
        <v>0</v>
      </c>
      <c r="AA294">
        <f t="shared" si="821"/>
        <v>200</v>
      </c>
      <c r="AB294">
        <f t="shared" si="822"/>
        <v>43450</v>
      </c>
      <c r="AC294">
        <f>_xlfn.XLOOKUP(B294,'[3]may-2026'!$A:$A,'[3]may-2026'!$C:$C,0,0)</f>
        <v>35500</v>
      </c>
      <c r="AD294">
        <f t="shared" si="823"/>
        <v>6390</v>
      </c>
      <c r="AE294">
        <f t="shared" si="824"/>
        <v>4260</v>
      </c>
      <c r="AF294">
        <f>_xlfn.XLOOKUP(B294,'[3]may-2026'!$A:$A,'[3]may-2026'!$D:$D,0,0)</f>
        <v>0</v>
      </c>
      <c r="AG294">
        <f>_xlfn.XLOOKUP(B294,'[3]may-2026'!$A:$A,'[3]may-2026'!$G:$G,0,0)</f>
        <v>500</v>
      </c>
      <c r="AH294">
        <f t="shared" si="825"/>
        <v>46650</v>
      </c>
      <c r="AI294">
        <f>_xlfn.XLOOKUP(B294,'[3]may-2026'!$A:$A,'[3]may-2026'!$H:$H,0,0)</f>
        <v>3000</v>
      </c>
      <c r="AJ294">
        <f>_xlfn.XLOOKUP(B294,'[3]may-2026'!$A:$A,'[3]may-2026'!$I:$I,0,0)</f>
        <v>0</v>
      </c>
      <c r="AK294">
        <f t="shared" si="826"/>
        <v>200</v>
      </c>
      <c r="AL294">
        <f t="shared" si="827"/>
        <v>43450</v>
      </c>
      <c r="AM294">
        <f>_xlfn.XLOOKUP(B294,'[4]june-2026'!$A:$A,'[4]june-2026'!$C:$C,0,0)</f>
        <v>35500</v>
      </c>
      <c r="AN294">
        <f t="shared" si="828"/>
        <v>6390</v>
      </c>
      <c r="AO294">
        <f t="shared" si="829"/>
        <v>4260</v>
      </c>
      <c r="AP294">
        <f>_xlfn.XLOOKUP(B294,'[4]june-2026'!$A:$A,'[4]june-2026'!$D:$D,0,0)</f>
        <v>0</v>
      </c>
      <c r="AQ294">
        <f>_xlfn.XLOOKUP(B294,'[4]june-2026'!$A:$A,'[4]june-2026'!$G:$G,0,0)</f>
        <v>500</v>
      </c>
      <c r="AR294">
        <f t="shared" si="830"/>
        <v>46650</v>
      </c>
      <c r="AS294">
        <f>_xlfn.XLOOKUP(B294,'[4]june-2026'!$A:$A,'[4]june-2026'!$H:$H,0,0)</f>
        <v>3000</v>
      </c>
      <c r="AT294">
        <f>_xlfn.XLOOKUP(B294,'[4]june-2026'!$A:$A,'[4]june-2026'!$I:$I,0,0)</f>
        <v>0</v>
      </c>
      <c r="AU294">
        <f t="shared" si="831"/>
        <v>200</v>
      </c>
      <c r="AV294">
        <f t="shared" si="832"/>
        <v>43450</v>
      </c>
      <c r="AW294">
        <f>_xlfn.XLOOKUP(B294,'[5]july-2026'!$A:$A,'[5]july-2026'!$C:$C,0,0)</f>
        <v>36600</v>
      </c>
      <c r="AX294">
        <f t="shared" si="833"/>
        <v>6588</v>
      </c>
      <c r="AY294">
        <v>292</v>
      </c>
      <c r="AZ294">
        <f t="shared" si="834"/>
        <v>4392</v>
      </c>
      <c r="BA294">
        <f>_xlfn.XLOOKUP(B294,'[5]july-2026'!$A:$A,'[5]july-2026'!$D:$D,0,0)</f>
        <v>0</v>
      </c>
      <c r="BB294">
        <f>_xlfn.XLOOKUP(B294,'[5]july-2026'!$A:$A,'[5]july-2026'!$G:$G,0,0)</f>
        <v>500</v>
      </c>
      <c r="BC294">
        <f t="shared" si="835"/>
        <v>48372</v>
      </c>
      <c r="BD294">
        <f>_xlfn.XLOOKUP(B294,'[5]july-2026'!$A:$A,'[5]july-2026'!$H:$H,0,0)</f>
        <v>3000</v>
      </c>
      <c r="BE294">
        <f>_xlfn.XLOOKUP(B294,'[5]july-2026'!$A:$A,'[5]july-2026'!$I:$I,0,0)</f>
        <v>0</v>
      </c>
      <c r="BF294">
        <f t="shared" si="836"/>
        <v>200</v>
      </c>
      <c r="BG294">
        <f t="shared" si="837"/>
        <v>45172</v>
      </c>
      <c r="BH294">
        <f>_xlfn.XLOOKUP(B294,'[6]august-2026'!$A:$A,'[6]august-2026'!$C:$C,0,0)</f>
        <v>36600</v>
      </c>
      <c r="BI294">
        <f t="shared" si="838"/>
        <v>6588</v>
      </c>
      <c r="BJ294">
        <f t="shared" si="839"/>
        <v>4392</v>
      </c>
      <c r="BK294">
        <f>_xlfn.XLOOKUP(B294,'[6]august-2026'!$A:$A,'[6]august-2026'!$D:$D,0,0)</f>
        <v>0</v>
      </c>
      <c r="BL294">
        <f>_xlfn.XLOOKUP(B294,'[6]august-2026'!$A:$A,'[6]august-2026'!$G:$G,0,0)</f>
        <v>500</v>
      </c>
      <c r="BM294">
        <f t="shared" si="840"/>
        <v>48080</v>
      </c>
      <c r="BN294">
        <f>_xlfn.XLOOKUP(B294,'[6]august-2026'!$A:$A,'[6]august-2026'!$H:$H,0,0)</f>
        <v>3000</v>
      </c>
      <c r="BO294">
        <f>_xlfn.XLOOKUP(B294,'[6]august-2026'!$A:$A,'[6]august-2026'!$I:$I,0,0)</f>
        <v>0</v>
      </c>
      <c r="BP294">
        <f t="shared" si="841"/>
        <v>200</v>
      </c>
      <c r="BQ294">
        <f t="shared" si="842"/>
        <v>44880</v>
      </c>
      <c r="BR294">
        <f>_xlfn.XLOOKUP(B294,'[7]september-2026'!$A:$A,'[7]september-2026'!$C:$C,0,0)</f>
        <v>36600</v>
      </c>
      <c r="BS294">
        <f t="shared" si="843"/>
        <v>6588</v>
      </c>
      <c r="BT294">
        <f t="shared" si="844"/>
        <v>4392</v>
      </c>
      <c r="BU294">
        <f>_xlfn.XLOOKUP(B294,'[7]september-2026'!$A:$A,'[7]september-2026'!$D:$D,0,0)</f>
        <v>0</v>
      </c>
      <c r="BV294">
        <f>_xlfn.XLOOKUP(B294,'[7]september-2026'!$A:$A,'[7]september-2026'!$G:$G,0,0)</f>
        <v>500</v>
      </c>
      <c r="BW294">
        <f t="shared" si="845"/>
        <v>48080</v>
      </c>
      <c r="BX294">
        <f>_xlfn.XLOOKUP(B294,'[7]september-2026'!$A:$A,'[7]september-2026'!$H:$H,0,0)</f>
        <v>3000</v>
      </c>
      <c r="BY294">
        <f>_xlfn.XLOOKUP(B294,'[7]september-2026'!$A:$A,'[7]september-2026'!$I:$I,0,0)</f>
        <v>0</v>
      </c>
      <c r="BZ294">
        <f t="shared" si="846"/>
        <v>200</v>
      </c>
      <c r="CA294">
        <f t="shared" si="847"/>
        <v>44880</v>
      </c>
      <c r="CB294">
        <f>_xlfn.XLOOKUP(B294,'[8]october-2026'!$A:$A,'[8]october-2026'!$C:$C,0,0)</f>
        <v>36600</v>
      </c>
      <c r="CC294">
        <f t="shared" si="848"/>
        <v>6588</v>
      </c>
      <c r="CD294">
        <f t="shared" si="849"/>
        <v>4392</v>
      </c>
      <c r="CE294">
        <f>_xlfn.XLOOKUP(B294,'[8]october-2026'!$A:$A,'[8]october-2026'!$D:$D,0,0)</f>
        <v>0</v>
      </c>
      <c r="CF294">
        <f>_xlfn.XLOOKUP(B294,'[8]october-2026'!$A:$A,'[8]october-2026'!$G:$G,0,0)</f>
        <v>500</v>
      </c>
      <c r="CG294">
        <f t="shared" si="850"/>
        <v>48080</v>
      </c>
      <c r="CH294">
        <f>_xlfn.XLOOKUP(B294,'[8]october-2026'!$A:$A,'[8]october-2026'!$H:$H,0,0)</f>
        <v>3000</v>
      </c>
      <c r="CI294">
        <f>_xlfn.XLOOKUP(B294,'[8]october-2026'!$A:$A,'[8]october-2026'!$I:$I,0,0)</f>
        <v>0</v>
      </c>
      <c r="CJ294">
        <f t="shared" si="851"/>
        <v>200</v>
      </c>
      <c r="CK294">
        <f t="shared" si="852"/>
        <v>44880</v>
      </c>
      <c r="CL294">
        <f>_xlfn.XLOOKUP(B294,'[9]november-2026'!$A:$A,'[9]november-2026'!$C:$C,0,0)</f>
        <v>36600</v>
      </c>
      <c r="CM294">
        <f t="shared" si="853"/>
        <v>6588</v>
      </c>
      <c r="CN294">
        <f t="shared" si="854"/>
        <v>4392</v>
      </c>
      <c r="CO294">
        <f>_xlfn.XLOOKUP(B294,'[9]november-2026'!$A:$A,'[9]november-2026'!$D:$D,0,0)</f>
        <v>0</v>
      </c>
      <c r="CP294">
        <f>_xlfn.XLOOKUP(B294,'[9]november-2026'!$A:$A,'[9]november-2026'!$G:$G,0,0)</f>
        <v>500</v>
      </c>
      <c r="CQ294">
        <f t="shared" si="855"/>
        <v>48080</v>
      </c>
      <c r="CR294">
        <f>_xlfn.XLOOKUP(B294,'[9]november-2026'!$A:$A,'[9]november-2026'!$H:$H,0,0)</f>
        <v>3000</v>
      </c>
      <c r="CS294">
        <f>_xlfn.XLOOKUP(B294,'[9]november-2026'!$A:$A,'[9]november-2026'!$I:$I,0,0)</f>
        <v>0</v>
      </c>
      <c r="CT294">
        <f t="shared" si="856"/>
        <v>200</v>
      </c>
      <c r="CU294">
        <f t="shared" si="857"/>
        <v>44880</v>
      </c>
      <c r="CV294">
        <f>_xlfn.XLOOKUP(B294,'[10]december-2026'!$A:$A,'[10]december-2026'!$C:$C,0,0)</f>
        <v>36600</v>
      </c>
      <c r="CW294">
        <f t="shared" si="858"/>
        <v>6588</v>
      </c>
      <c r="CX294">
        <f t="shared" si="859"/>
        <v>4392</v>
      </c>
      <c r="CY294">
        <f>_xlfn.XLOOKUP(B294,'[10]december-2026'!$A:$A,'[10]december-2026'!$D:$D,0,0)</f>
        <v>0</v>
      </c>
      <c r="CZ294">
        <f>_xlfn.XLOOKUP(B294,'[10]december-2026'!$A:$A,'[10]december-2026'!$G:$G,0,0)</f>
        <v>500</v>
      </c>
      <c r="DA294">
        <f t="shared" si="860"/>
        <v>48080</v>
      </c>
      <c r="DB294">
        <f>_xlfn.XLOOKUP(B294,'[10]december-2026'!$A:$A,'[10]december-2026'!$H:$H,0,0)</f>
        <v>3000</v>
      </c>
      <c r="DC294">
        <f>_xlfn.XLOOKUP(B294,'[10]december-2026'!$A:$A,'[10]december-2026'!$I:$I,0,0)</f>
        <v>0</v>
      </c>
      <c r="DD294">
        <f t="shared" si="861"/>
        <v>200</v>
      </c>
      <c r="DE294">
        <f t="shared" si="862"/>
        <v>44880</v>
      </c>
      <c r="DF294">
        <f xml:space="preserve"> _xlfn.XLOOKUP(B294,
'[11]january-2027'!$A:$A,
'[11]january-2027'!$C:$C,
0,0)</f>
        <v>36600</v>
      </c>
      <c r="DG294">
        <f t="shared" si="863"/>
        <v>6588</v>
      </c>
      <c r="DH294">
        <f t="shared" si="864"/>
        <v>4392</v>
      </c>
      <c r="DI294">
        <f xml:space="preserve"> _xlfn.XLOOKUP(B294,
'[11]january-2027'!$A:$A,
'[11]january-2027'!$D:$D,
0,0)</f>
        <v>0</v>
      </c>
      <c r="DJ294">
        <f xml:space="preserve"> _xlfn.XLOOKUP(B294,
'[11]january-2027'!$A:$A,
'[11]january-2027'!$G:$G,
0,0)</f>
        <v>500</v>
      </c>
      <c r="DK294">
        <f t="shared" si="865"/>
        <v>48080</v>
      </c>
      <c r="DL294">
        <f xml:space="preserve"> _xlfn.XLOOKUP(B294,
'[11]january-2027'!$A:$A,
'[11]january-2027'!$H:$H,
0,0)</f>
        <v>3000</v>
      </c>
      <c r="DM294">
        <f xml:space="preserve"> _xlfn.XLOOKUP(B294,
'[11]january-2027'!$A:$A,
'[11]january-2027'!$I:$I,
0,0)</f>
        <v>0</v>
      </c>
      <c r="DN294">
        <f t="shared" si="866"/>
        <v>200</v>
      </c>
      <c r="DO294">
        <f t="shared" si="867"/>
        <v>44880</v>
      </c>
      <c r="DP294">
        <f xml:space="preserve"> _xlfn.XLOOKUP(B294,
'[12]february-2027'!$A:$A,
'[12]february-2027'!$C:$C,
0,0)</f>
        <v>36600</v>
      </c>
      <c r="DQ294">
        <f t="shared" si="868"/>
        <v>6588</v>
      </c>
      <c r="DR294">
        <f t="shared" si="869"/>
        <v>4392</v>
      </c>
      <c r="DS294">
        <f xml:space="preserve"> _xlfn.XLOOKUP(B294,
'[12]february-2027'!$A:$A,
'[12]february-2027'!$D:$D,
0,0)</f>
        <v>0</v>
      </c>
      <c r="DT294">
        <f xml:space="preserve"> _xlfn.XLOOKUP(B294,
'[12]february-2027'!$A:$A,
'[12]february-2027'!$G:$G,
0,0)</f>
        <v>500</v>
      </c>
      <c r="DU294">
        <f t="shared" si="870"/>
        <v>48080</v>
      </c>
      <c r="DV294">
        <f xml:space="preserve"> _xlfn.XLOOKUP(B294,
'[12]february-2027'!$A:$A,
'[12]february-2027'!$H:$H,
0,0)</f>
        <v>3000</v>
      </c>
      <c r="DW294">
        <f xml:space="preserve"> _xlfn.XLOOKUP(B294,
'[12]february-2027'!$A:$A,
'[12]february-2027'!$I:$I,
0,0)</f>
        <v>0</v>
      </c>
      <c r="DX294">
        <f t="shared" si="871"/>
        <v>200</v>
      </c>
      <c r="DY294">
        <f t="shared" si="872"/>
        <v>44880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873"/>
        <v>0</v>
      </c>
      <c r="EM294">
        <f t="shared" si="874"/>
        <v>578332</v>
      </c>
      <c r="EN294">
        <f t="shared" si="875"/>
        <v>2400</v>
      </c>
      <c r="EO294">
        <f t="shared" si="876"/>
        <v>50000</v>
      </c>
      <c r="EP294">
        <v>0</v>
      </c>
      <c r="EQ294">
        <f t="shared" si="878"/>
        <v>525932</v>
      </c>
      <c r="ER294">
        <f t="shared" si="879"/>
        <v>36000</v>
      </c>
      <c r="ES294">
        <f t="shared" si="880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881"/>
        <v>36000</v>
      </c>
      <c r="FE294">
        <f t="shared" si="882"/>
        <v>36000</v>
      </c>
      <c r="FF294">
        <f t="shared" si="883"/>
        <v>489932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>SUM(FG294:FM294)+(IF(F294="YES",50000,0))</f>
        <v>0</v>
      </c>
      <c r="FO294">
        <f t="shared" si="884"/>
        <v>489932</v>
      </c>
      <c r="FP294">
        <f t="shared" si="885"/>
        <v>11997</v>
      </c>
      <c r="FQ294">
        <f t="shared" si="886"/>
        <v>0</v>
      </c>
      <c r="FR294">
        <f t="shared" si="887"/>
        <v>11997</v>
      </c>
      <c r="FS294">
        <f t="shared" si="888"/>
        <v>0</v>
      </c>
      <c r="FT294">
        <f t="shared" si="889"/>
        <v>0</v>
      </c>
      <c r="FU294">
        <f t="shared" si="890"/>
        <v>0</v>
      </c>
      <c r="FV294">
        <v>0</v>
      </c>
      <c r="FW294">
        <f t="shared" si="891"/>
        <v>0</v>
      </c>
      <c r="FX294" t="b">
        <f t="shared" si="892"/>
        <v>1</v>
      </c>
      <c r="FY294">
        <f t="shared" ca="1" si="893"/>
        <v>582</v>
      </c>
      <c r="FZ294">
        <f t="shared" ca="1" si="894"/>
        <v>578914</v>
      </c>
      <c r="GA294">
        <f t="shared" si="895"/>
        <v>75000</v>
      </c>
      <c r="GB294">
        <f t="shared" ca="1" si="896"/>
        <v>503914</v>
      </c>
      <c r="GC294">
        <f t="shared" ca="1" si="897"/>
        <v>0</v>
      </c>
      <c r="GD294">
        <f t="shared" ca="1" si="898"/>
        <v>0</v>
      </c>
      <c r="GE294">
        <f t="shared" ca="1" si="899"/>
        <v>0</v>
      </c>
      <c r="GF294">
        <f t="shared" ca="1" si="900"/>
        <v>0</v>
      </c>
      <c r="GG294">
        <f t="shared" ca="1" si="901"/>
        <v>0</v>
      </c>
      <c r="GH294">
        <f t="shared" ca="1" si="902"/>
        <v>0</v>
      </c>
      <c r="GI294">
        <f ca="1">IF(GB294&gt;1200000,GB294-1200000-IF(F294="YES",50000,0)-GG294,0)</f>
        <v>0</v>
      </c>
      <c r="GJ294">
        <f t="shared" ca="1" si="903"/>
        <v>0</v>
      </c>
      <c r="GK294">
        <f t="shared" ca="1" si="904"/>
        <v>0</v>
      </c>
      <c r="GL294">
        <f t="shared" ca="1" si="905"/>
        <v>0</v>
      </c>
      <c r="GM294">
        <f t="shared" ca="1" si="906"/>
        <v>103914</v>
      </c>
      <c r="GN294">
        <f t="shared" ca="1" si="907"/>
        <v>5195.7000000000007</v>
      </c>
      <c r="GO294">
        <f t="shared" ca="1" si="908"/>
        <v>5196</v>
      </c>
      <c r="GP294">
        <f t="shared" ca="1" si="909"/>
        <v>0</v>
      </c>
      <c r="GQ294">
        <f t="shared" ca="1" si="910"/>
        <v>0</v>
      </c>
      <c r="GR294">
        <f t="shared" ca="1" si="911"/>
        <v>5196</v>
      </c>
      <c r="GS294">
        <f t="shared" ca="1" si="912"/>
        <v>0</v>
      </c>
      <c r="GT294" t="b">
        <f t="shared" ca="1" si="913"/>
        <v>0</v>
      </c>
      <c r="GU294">
        <f t="shared" ca="1" si="914"/>
        <v>0</v>
      </c>
      <c r="GV294">
        <f t="shared" ca="1" si="915"/>
        <v>5196</v>
      </c>
      <c r="GW294">
        <f t="shared" ca="1" si="916"/>
        <v>0</v>
      </c>
      <c r="GX294">
        <f t="shared" ca="1" si="917"/>
        <v>0</v>
      </c>
      <c r="GY294">
        <f t="shared" ca="1" si="918"/>
        <v>0</v>
      </c>
    </row>
    <row r="295" spans="1:207" x14ac:dyDescent="0.25">
      <c r="A295">
        <f>_xlfn.AGGREGATE(3,5,$B$2:B295)</f>
        <v>294</v>
      </c>
      <c r="B295" t="s">
        <v>676</v>
      </c>
      <c r="C295" t="s">
        <v>677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813"/>
        <v>6800</v>
      </c>
      <c r="I295">
        <f>_xlfn.XLOOKUP(B295,'[1]march-2026'!$A:$A,'[1]march-2026'!$C:$C,0,0)</f>
        <v>35500</v>
      </c>
      <c r="J295">
        <f t="shared" si="877"/>
        <v>6390</v>
      </c>
      <c r="K295">
        <f t="shared" si="814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815"/>
        <v>46650</v>
      </c>
      <c r="O295">
        <f>_xlfn.XLOOKUP(B295,'[1]march-2026'!$A:$A,'[1]march-2026'!$H:$H,0,0)</f>
        <v>2500</v>
      </c>
      <c r="P295">
        <f>_xlfn.XLOOKUP(B295,'[1]march-2026'!$A:$A,'[1]march-2026'!$I:$I,0,0)</f>
        <v>0</v>
      </c>
      <c r="Q295">
        <f t="shared" si="816"/>
        <v>200</v>
      </c>
      <c r="R295">
        <f t="shared" si="817"/>
        <v>43950</v>
      </c>
      <c r="S295">
        <f>_xlfn.XLOOKUP(B295,'[2]april-2026'!$A:$A,'[2]april-2026'!$C:$C,0,0)</f>
        <v>35500</v>
      </c>
      <c r="T295">
        <f t="shared" si="818"/>
        <v>6390</v>
      </c>
      <c r="U295">
        <f t="shared" si="819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820"/>
        <v>46650</v>
      </c>
      <c r="Y295">
        <f>_xlfn.XLOOKUP(B295,'[2]april-2026'!$A:$A,'[2]april-2026'!$H:$H,0,0)</f>
        <v>2500</v>
      </c>
      <c r="Z295">
        <f>_xlfn.XLOOKUP(B295,'[2]april-2026'!$A:$A,'[2]april-2026'!$I:$I,0,0)</f>
        <v>0</v>
      </c>
      <c r="AA295">
        <f t="shared" si="821"/>
        <v>200</v>
      </c>
      <c r="AB295">
        <f t="shared" si="822"/>
        <v>43950</v>
      </c>
      <c r="AC295">
        <f>_xlfn.XLOOKUP(B295,'[3]may-2026'!$A:$A,'[3]may-2026'!$C:$C,0,0)</f>
        <v>35500</v>
      </c>
      <c r="AD295">
        <f t="shared" si="823"/>
        <v>6390</v>
      </c>
      <c r="AE295">
        <f t="shared" si="824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825"/>
        <v>46650</v>
      </c>
      <c r="AI295">
        <f>_xlfn.XLOOKUP(B295,'[3]may-2026'!$A:$A,'[3]may-2026'!$H:$H,0,0)</f>
        <v>2500</v>
      </c>
      <c r="AJ295">
        <f>_xlfn.XLOOKUP(B295,'[3]may-2026'!$A:$A,'[3]may-2026'!$I:$I,0,0)</f>
        <v>0</v>
      </c>
      <c r="AK295">
        <f t="shared" si="826"/>
        <v>200</v>
      </c>
      <c r="AL295">
        <f t="shared" si="827"/>
        <v>43950</v>
      </c>
      <c r="AM295">
        <f>_xlfn.XLOOKUP(B295,'[4]june-2026'!$A:$A,'[4]june-2026'!$C:$C,0,0)</f>
        <v>35500</v>
      </c>
      <c r="AN295">
        <f t="shared" si="828"/>
        <v>6390</v>
      </c>
      <c r="AO295">
        <f t="shared" si="829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830"/>
        <v>46650</v>
      </c>
      <c r="AS295">
        <f>_xlfn.XLOOKUP(B295,'[4]june-2026'!$A:$A,'[4]june-2026'!$H:$H,0,0)</f>
        <v>2500</v>
      </c>
      <c r="AT295">
        <f>_xlfn.XLOOKUP(B295,'[4]june-2026'!$A:$A,'[4]june-2026'!$I:$I,0,0)</f>
        <v>0</v>
      </c>
      <c r="AU295">
        <f t="shared" si="831"/>
        <v>200</v>
      </c>
      <c r="AV295">
        <f t="shared" si="832"/>
        <v>43950</v>
      </c>
      <c r="AW295">
        <f>_xlfn.XLOOKUP(B295,'[5]july-2026'!$A:$A,'[5]july-2026'!$C:$C,0,0)</f>
        <v>36600</v>
      </c>
      <c r="AX295">
        <f t="shared" si="833"/>
        <v>6588</v>
      </c>
      <c r="AY295">
        <v>293</v>
      </c>
      <c r="AZ295">
        <f t="shared" si="834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835"/>
        <v>48373</v>
      </c>
      <c r="BD295">
        <f>_xlfn.XLOOKUP(B295,'[5]july-2026'!$A:$A,'[5]july-2026'!$H:$H,0,0)</f>
        <v>2500</v>
      </c>
      <c r="BE295">
        <f>_xlfn.XLOOKUP(B295,'[5]july-2026'!$A:$A,'[5]july-2026'!$I:$I,0,0)</f>
        <v>0</v>
      </c>
      <c r="BF295">
        <f t="shared" si="836"/>
        <v>200</v>
      </c>
      <c r="BG295">
        <f t="shared" si="837"/>
        <v>45673</v>
      </c>
      <c r="BH295">
        <f>_xlfn.XLOOKUP(B295,'[6]august-2026'!$A:$A,'[6]august-2026'!$C:$C,0,0)</f>
        <v>36600</v>
      </c>
      <c r="BI295">
        <f t="shared" si="838"/>
        <v>6588</v>
      </c>
      <c r="BJ295">
        <f t="shared" si="839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840"/>
        <v>48080</v>
      </c>
      <c r="BN295">
        <f>_xlfn.XLOOKUP(B295,'[6]august-2026'!$A:$A,'[6]august-2026'!$H:$H,0,0)</f>
        <v>2500</v>
      </c>
      <c r="BO295">
        <f>_xlfn.XLOOKUP(B295,'[6]august-2026'!$A:$A,'[6]august-2026'!$I:$I,0,0)</f>
        <v>0</v>
      </c>
      <c r="BP295">
        <f t="shared" si="841"/>
        <v>200</v>
      </c>
      <c r="BQ295">
        <f t="shared" si="842"/>
        <v>45380</v>
      </c>
      <c r="BR295">
        <f>_xlfn.XLOOKUP(B295,'[7]september-2026'!$A:$A,'[7]september-2026'!$C:$C,0,0)</f>
        <v>36600</v>
      </c>
      <c r="BS295">
        <f t="shared" si="843"/>
        <v>6588</v>
      </c>
      <c r="BT295">
        <f t="shared" si="844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845"/>
        <v>48080</v>
      </c>
      <c r="BX295">
        <f>_xlfn.XLOOKUP(B295,'[7]september-2026'!$A:$A,'[7]september-2026'!$H:$H,0,0)</f>
        <v>2500</v>
      </c>
      <c r="BY295">
        <f>_xlfn.XLOOKUP(B295,'[7]september-2026'!$A:$A,'[7]september-2026'!$I:$I,0,0)</f>
        <v>0</v>
      </c>
      <c r="BZ295">
        <f t="shared" si="846"/>
        <v>200</v>
      </c>
      <c r="CA295">
        <f t="shared" si="847"/>
        <v>45380</v>
      </c>
      <c r="CB295">
        <f>_xlfn.XLOOKUP(B295,'[8]october-2026'!$A:$A,'[8]october-2026'!$C:$C,0,0)</f>
        <v>36600</v>
      </c>
      <c r="CC295">
        <f t="shared" si="848"/>
        <v>6588</v>
      </c>
      <c r="CD295">
        <f t="shared" si="849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850"/>
        <v>48080</v>
      </c>
      <c r="CH295">
        <f>_xlfn.XLOOKUP(B295,'[8]october-2026'!$A:$A,'[8]october-2026'!$H:$H,0,0)</f>
        <v>2500</v>
      </c>
      <c r="CI295">
        <f>_xlfn.XLOOKUP(B295,'[8]october-2026'!$A:$A,'[8]october-2026'!$I:$I,0,0)</f>
        <v>0</v>
      </c>
      <c r="CJ295">
        <f t="shared" si="851"/>
        <v>200</v>
      </c>
      <c r="CK295">
        <f t="shared" si="852"/>
        <v>45380</v>
      </c>
      <c r="CL295">
        <f>_xlfn.XLOOKUP(B295,'[9]november-2026'!$A:$A,'[9]november-2026'!$C:$C,0,0)</f>
        <v>36600</v>
      </c>
      <c r="CM295">
        <f t="shared" si="853"/>
        <v>6588</v>
      </c>
      <c r="CN295">
        <f t="shared" si="854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855"/>
        <v>48080</v>
      </c>
      <c r="CR295">
        <f>_xlfn.XLOOKUP(B295,'[9]november-2026'!$A:$A,'[9]november-2026'!$H:$H,0,0)</f>
        <v>2500</v>
      </c>
      <c r="CS295">
        <f>_xlfn.XLOOKUP(B295,'[9]november-2026'!$A:$A,'[9]november-2026'!$I:$I,0,0)</f>
        <v>0</v>
      </c>
      <c r="CT295">
        <f t="shared" si="856"/>
        <v>200</v>
      </c>
      <c r="CU295">
        <f t="shared" si="857"/>
        <v>45380</v>
      </c>
      <c r="CV295">
        <f>_xlfn.XLOOKUP(B295,'[10]december-2026'!$A:$A,'[10]december-2026'!$C:$C,0,0)</f>
        <v>36600</v>
      </c>
      <c r="CW295">
        <f t="shared" si="858"/>
        <v>6588</v>
      </c>
      <c r="CX295">
        <f t="shared" si="859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860"/>
        <v>48080</v>
      </c>
      <c r="DB295">
        <f>_xlfn.XLOOKUP(B295,'[10]december-2026'!$A:$A,'[10]december-2026'!$H:$H,0,0)</f>
        <v>2500</v>
      </c>
      <c r="DC295">
        <f>_xlfn.XLOOKUP(B295,'[10]december-2026'!$A:$A,'[10]december-2026'!$I:$I,0,0)</f>
        <v>0</v>
      </c>
      <c r="DD295">
        <f t="shared" si="861"/>
        <v>200</v>
      </c>
      <c r="DE295">
        <f t="shared" si="862"/>
        <v>45380</v>
      </c>
      <c r="DF295">
        <f xml:space="preserve"> _xlfn.XLOOKUP(B295,
'[11]january-2027'!$A:$A,
'[11]january-2027'!$C:$C,
0,0)</f>
        <v>36600</v>
      </c>
      <c r="DG295">
        <f t="shared" si="863"/>
        <v>6588</v>
      </c>
      <c r="DH295">
        <f t="shared" si="864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865"/>
        <v>48080</v>
      </c>
      <c r="DL295">
        <f xml:space="preserve"> _xlfn.XLOOKUP(B295,
'[11]january-2027'!$A:$A,
'[11]january-2027'!$H:$H,
0,0)</f>
        <v>2500</v>
      </c>
      <c r="DM295">
        <f xml:space="preserve"> _xlfn.XLOOKUP(B295,
'[11]january-2027'!$A:$A,
'[11]january-2027'!$I:$I,
0,0)</f>
        <v>0</v>
      </c>
      <c r="DN295">
        <f t="shared" si="866"/>
        <v>200</v>
      </c>
      <c r="DO295">
        <f t="shared" si="867"/>
        <v>45380</v>
      </c>
      <c r="DP295">
        <f xml:space="preserve"> _xlfn.XLOOKUP(B295,
'[12]february-2027'!$A:$A,
'[12]february-2027'!$C:$C,
0,0)</f>
        <v>36600</v>
      </c>
      <c r="DQ295">
        <f t="shared" si="868"/>
        <v>6588</v>
      </c>
      <c r="DR295">
        <f t="shared" si="869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870"/>
        <v>48080</v>
      </c>
      <c r="DV295">
        <f xml:space="preserve"> _xlfn.XLOOKUP(B295,
'[12]february-2027'!$A:$A,
'[12]february-2027'!$H:$H,
0,0)</f>
        <v>2500</v>
      </c>
      <c r="DW295">
        <f xml:space="preserve"> _xlfn.XLOOKUP(B295,
'[12]february-2027'!$A:$A,
'[12]february-2027'!$I:$I,
0,0)</f>
        <v>0</v>
      </c>
      <c r="DX295">
        <f t="shared" si="871"/>
        <v>200</v>
      </c>
      <c r="DY295">
        <f t="shared" si="872"/>
        <v>45380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873"/>
        <v>0</v>
      </c>
      <c r="EM295">
        <f t="shared" si="874"/>
        <v>578333</v>
      </c>
      <c r="EN295">
        <f t="shared" si="875"/>
        <v>2400</v>
      </c>
      <c r="EO295">
        <f t="shared" si="876"/>
        <v>50000</v>
      </c>
      <c r="EP295">
        <v>0</v>
      </c>
      <c r="EQ295">
        <f t="shared" si="878"/>
        <v>525933</v>
      </c>
      <c r="ER295">
        <f t="shared" si="879"/>
        <v>30000</v>
      </c>
      <c r="ES295">
        <f t="shared" si="880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881"/>
        <v>30000</v>
      </c>
      <c r="FE295">
        <f t="shared" si="882"/>
        <v>30000</v>
      </c>
      <c r="FF295">
        <f t="shared" si="883"/>
        <v>495933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>SUM(FG295:FM295)+(IF(F295="YES",50000,0))</f>
        <v>0</v>
      </c>
      <c r="FO295">
        <f t="shared" si="884"/>
        <v>495933</v>
      </c>
      <c r="FP295">
        <f t="shared" si="885"/>
        <v>12297</v>
      </c>
      <c r="FQ295">
        <f t="shared" si="886"/>
        <v>0</v>
      </c>
      <c r="FR295">
        <f t="shared" si="887"/>
        <v>12297</v>
      </c>
      <c r="FS295">
        <f t="shared" si="888"/>
        <v>0</v>
      </c>
      <c r="FT295">
        <f t="shared" si="889"/>
        <v>0</v>
      </c>
      <c r="FU295">
        <f t="shared" si="890"/>
        <v>0</v>
      </c>
      <c r="FV295">
        <v>0</v>
      </c>
      <c r="FW295">
        <f t="shared" si="891"/>
        <v>0</v>
      </c>
      <c r="FX295" t="b">
        <f t="shared" si="892"/>
        <v>1</v>
      </c>
      <c r="FY295">
        <f t="shared" ca="1" si="893"/>
        <v>727</v>
      </c>
      <c r="FZ295">
        <f t="shared" ca="1" si="894"/>
        <v>579060</v>
      </c>
      <c r="GA295">
        <f t="shared" si="895"/>
        <v>75000</v>
      </c>
      <c r="GB295">
        <f t="shared" ca="1" si="896"/>
        <v>504060</v>
      </c>
      <c r="GC295">
        <f t="shared" ca="1" si="897"/>
        <v>0</v>
      </c>
      <c r="GD295">
        <f t="shared" ca="1" si="898"/>
        <v>0</v>
      </c>
      <c r="GE295">
        <f t="shared" ca="1" si="899"/>
        <v>0</v>
      </c>
      <c r="GF295">
        <f t="shared" ca="1" si="900"/>
        <v>0</v>
      </c>
      <c r="GG295">
        <f t="shared" ca="1" si="901"/>
        <v>0</v>
      </c>
      <c r="GH295">
        <f t="shared" ca="1" si="902"/>
        <v>0</v>
      </c>
      <c r="GI295">
        <f ca="1">IF(GB295&gt;1200000,GB295-1200000-IF(F295="YES",50000,0)-GG295,0)</f>
        <v>0</v>
      </c>
      <c r="GJ295">
        <f t="shared" ca="1" si="903"/>
        <v>0</v>
      </c>
      <c r="GK295">
        <f t="shared" ca="1" si="904"/>
        <v>0</v>
      </c>
      <c r="GL295">
        <f t="shared" ca="1" si="905"/>
        <v>0</v>
      </c>
      <c r="GM295">
        <f t="shared" ca="1" si="906"/>
        <v>104060</v>
      </c>
      <c r="GN295">
        <f t="shared" ca="1" si="907"/>
        <v>5203</v>
      </c>
      <c r="GO295">
        <f t="shared" ca="1" si="908"/>
        <v>5203</v>
      </c>
      <c r="GP295">
        <f t="shared" ca="1" si="909"/>
        <v>0</v>
      </c>
      <c r="GQ295">
        <f t="shared" ca="1" si="910"/>
        <v>0</v>
      </c>
      <c r="GR295">
        <f t="shared" ca="1" si="911"/>
        <v>5203</v>
      </c>
      <c r="GS295">
        <f t="shared" ca="1" si="912"/>
        <v>0</v>
      </c>
      <c r="GT295" t="b">
        <f t="shared" ca="1" si="913"/>
        <v>0</v>
      </c>
      <c r="GU295">
        <f t="shared" ca="1" si="914"/>
        <v>0</v>
      </c>
      <c r="GV295">
        <f t="shared" ca="1" si="915"/>
        <v>5203</v>
      </c>
      <c r="GW295">
        <f t="shared" ca="1" si="916"/>
        <v>0</v>
      </c>
      <c r="GX295">
        <f t="shared" ca="1" si="917"/>
        <v>0</v>
      </c>
      <c r="GY295">
        <f t="shared" ca="1" si="918"/>
        <v>0</v>
      </c>
    </row>
    <row r="296" spans="1:207" x14ac:dyDescent="0.25">
      <c r="A296">
        <f>_xlfn.AGGREGATE(3,5,$B$2:B296)</f>
        <v>295</v>
      </c>
      <c r="B296" t="s">
        <v>678</v>
      </c>
      <c r="C296" t="s">
        <v>679</v>
      </c>
      <c r="D296" t="s">
        <v>824</v>
      </c>
      <c r="E296" t="s">
        <v>830</v>
      </c>
      <c r="F296" t="s">
        <v>952</v>
      </c>
      <c r="G296" t="s">
        <v>878</v>
      </c>
      <c r="H296">
        <f t="shared" si="813"/>
        <v>6800</v>
      </c>
      <c r="I296">
        <f>_xlfn.XLOOKUP(B296,'[1]march-2026'!$A:$A,'[1]march-2026'!$C:$C,0,0)</f>
        <v>32500</v>
      </c>
      <c r="J296">
        <f t="shared" si="877"/>
        <v>5850</v>
      </c>
      <c r="K296">
        <f t="shared" si="814"/>
        <v>3900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815"/>
        <v>42750</v>
      </c>
      <c r="O296">
        <f>_xlfn.XLOOKUP(B296,'[1]march-2026'!$A:$A,'[1]march-2026'!$H:$H,0,0)</f>
        <v>2000</v>
      </c>
      <c r="P296">
        <f>_xlfn.XLOOKUP(B296,'[1]march-2026'!$A:$A,'[1]march-2026'!$I:$I,0,0)</f>
        <v>0</v>
      </c>
      <c r="Q296">
        <f t="shared" si="816"/>
        <v>200</v>
      </c>
      <c r="R296">
        <f t="shared" si="817"/>
        <v>40550</v>
      </c>
      <c r="S296">
        <f>_xlfn.XLOOKUP(B296,'[2]april-2026'!$A:$A,'[2]april-2026'!$C:$C,0,0)</f>
        <v>32500</v>
      </c>
      <c r="T296">
        <f t="shared" si="818"/>
        <v>5850</v>
      </c>
      <c r="U296">
        <f t="shared" si="819"/>
        <v>3900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820"/>
        <v>42750</v>
      </c>
      <c r="Y296">
        <f>_xlfn.XLOOKUP(B296,'[2]april-2026'!$A:$A,'[2]april-2026'!$H:$H,0,0)</f>
        <v>2000</v>
      </c>
      <c r="Z296">
        <f>_xlfn.XLOOKUP(B296,'[2]april-2026'!$A:$A,'[2]april-2026'!$I:$I,0,0)</f>
        <v>0</v>
      </c>
      <c r="AA296">
        <f t="shared" si="821"/>
        <v>200</v>
      </c>
      <c r="AB296">
        <f t="shared" si="822"/>
        <v>40550</v>
      </c>
      <c r="AC296">
        <f>_xlfn.XLOOKUP(B296,'[3]may-2026'!$A:$A,'[3]may-2026'!$C:$C,0,0)</f>
        <v>32500</v>
      </c>
      <c r="AD296">
        <f t="shared" si="823"/>
        <v>5850</v>
      </c>
      <c r="AE296">
        <f t="shared" si="824"/>
        <v>3900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825"/>
        <v>42750</v>
      </c>
      <c r="AI296">
        <f>_xlfn.XLOOKUP(B296,'[3]may-2026'!$A:$A,'[3]may-2026'!$H:$H,0,0)</f>
        <v>2000</v>
      </c>
      <c r="AJ296">
        <f>_xlfn.XLOOKUP(B296,'[3]may-2026'!$A:$A,'[3]may-2026'!$I:$I,0,0)</f>
        <v>0</v>
      </c>
      <c r="AK296">
        <f t="shared" si="826"/>
        <v>200</v>
      </c>
      <c r="AL296">
        <f t="shared" si="827"/>
        <v>40550</v>
      </c>
      <c r="AM296">
        <f>_xlfn.XLOOKUP(B296,'[4]june-2026'!$A:$A,'[4]june-2026'!$C:$C,0,0)</f>
        <v>32500</v>
      </c>
      <c r="AN296">
        <f t="shared" si="828"/>
        <v>5850</v>
      </c>
      <c r="AO296">
        <f t="shared" si="829"/>
        <v>3900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830"/>
        <v>42750</v>
      </c>
      <c r="AS296">
        <f>_xlfn.XLOOKUP(B296,'[4]june-2026'!$A:$A,'[4]june-2026'!$H:$H,0,0)</f>
        <v>2000</v>
      </c>
      <c r="AT296">
        <f>_xlfn.XLOOKUP(B296,'[4]june-2026'!$A:$A,'[4]june-2026'!$I:$I,0,0)</f>
        <v>0</v>
      </c>
      <c r="AU296">
        <f t="shared" si="831"/>
        <v>200</v>
      </c>
      <c r="AV296">
        <f t="shared" si="832"/>
        <v>40550</v>
      </c>
      <c r="AW296">
        <f>_xlfn.XLOOKUP(B296,'[5]july-2026'!$A:$A,'[5]july-2026'!$C:$C,0,0)</f>
        <v>33500</v>
      </c>
      <c r="AX296">
        <f t="shared" si="833"/>
        <v>6030</v>
      </c>
      <c r="AY296">
        <v>294</v>
      </c>
      <c r="AZ296">
        <f t="shared" si="834"/>
        <v>4020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835"/>
        <v>44344</v>
      </c>
      <c r="BD296">
        <f>_xlfn.XLOOKUP(B296,'[5]july-2026'!$A:$A,'[5]july-2026'!$H:$H,0,0)</f>
        <v>2000</v>
      </c>
      <c r="BE296">
        <f>_xlfn.XLOOKUP(B296,'[5]july-2026'!$A:$A,'[5]july-2026'!$I:$I,0,0)</f>
        <v>0</v>
      </c>
      <c r="BF296">
        <f t="shared" si="836"/>
        <v>200</v>
      </c>
      <c r="BG296">
        <f t="shared" si="837"/>
        <v>42144</v>
      </c>
      <c r="BH296">
        <f>_xlfn.XLOOKUP(B296,'[6]august-2026'!$A:$A,'[6]august-2026'!$C:$C,0,0)</f>
        <v>33500</v>
      </c>
      <c r="BI296">
        <f t="shared" si="838"/>
        <v>6030</v>
      </c>
      <c r="BJ296">
        <f t="shared" si="839"/>
        <v>4020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840"/>
        <v>44050</v>
      </c>
      <c r="BN296">
        <f>_xlfn.XLOOKUP(B296,'[6]august-2026'!$A:$A,'[6]august-2026'!$H:$H,0,0)</f>
        <v>2000</v>
      </c>
      <c r="BO296">
        <f>_xlfn.XLOOKUP(B296,'[6]august-2026'!$A:$A,'[6]august-2026'!$I:$I,0,0)</f>
        <v>0</v>
      </c>
      <c r="BP296">
        <f t="shared" si="841"/>
        <v>200</v>
      </c>
      <c r="BQ296">
        <f t="shared" si="842"/>
        <v>41850</v>
      </c>
      <c r="BR296">
        <f>_xlfn.XLOOKUP(B296,'[7]september-2026'!$A:$A,'[7]september-2026'!$C:$C,0,0)</f>
        <v>33500</v>
      </c>
      <c r="BS296">
        <f t="shared" si="843"/>
        <v>6030</v>
      </c>
      <c r="BT296">
        <f t="shared" si="844"/>
        <v>4020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845"/>
        <v>44050</v>
      </c>
      <c r="BX296">
        <f>_xlfn.XLOOKUP(B296,'[7]september-2026'!$A:$A,'[7]september-2026'!$H:$H,0,0)</f>
        <v>2000</v>
      </c>
      <c r="BY296">
        <f>_xlfn.XLOOKUP(B296,'[7]september-2026'!$A:$A,'[7]september-2026'!$I:$I,0,0)</f>
        <v>0</v>
      </c>
      <c r="BZ296">
        <f t="shared" si="846"/>
        <v>200</v>
      </c>
      <c r="CA296">
        <f t="shared" si="847"/>
        <v>41850</v>
      </c>
      <c r="CB296">
        <f>_xlfn.XLOOKUP(B296,'[8]october-2026'!$A:$A,'[8]october-2026'!$C:$C,0,0)</f>
        <v>33500</v>
      </c>
      <c r="CC296">
        <f t="shared" si="848"/>
        <v>6030</v>
      </c>
      <c r="CD296">
        <f t="shared" si="849"/>
        <v>4020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850"/>
        <v>44050</v>
      </c>
      <c r="CH296">
        <f>_xlfn.XLOOKUP(B296,'[8]october-2026'!$A:$A,'[8]october-2026'!$H:$H,0,0)</f>
        <v>2000</v>
      </c>
      <c r="CI296">
        <f>_xlfn.XLOOKUP(B296,'[8]october-2026'!$A:$A,'[8]october-2026'!$I:$I,0,0)</f>
        <v>0</v>
      </c>
      <c r="CJ296">
        <f t="shared" si="851"/>
        <v>200</v>
      </c>
      <c r="CK296">
        <f t="shared" si="852"/>
        <v>41850</v>
      </c>
      <c r="CL296">
        <f>_xlfn.XLOOKUP(B296,'[9]november-2026'!$A:$A,'[9]november-2026'!$C:$C,0,0)</f>
        <v>33500</v>
      </c>
      <c r="CM296">
        <f t="shared" si="853"/>
        <v>6030</v>
      </c>
      <c r="CN296">
        <f t="shared" si="854"/>
        <v>4020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855"/>
        <v>44050</v>
      </c>
      <c r="CR296">
        <f>_xlfn.XLOOKUP(B296,'[9]november-2026'!$A:$A,'[9]november-2026'!$H:$H,0,0)</f>
        <v>2000</v>
      </c>
      <c r="CS296">
        <f>_xlfn.XLOOKUP(B296,'[9]november-2026'!$A:$A,'[9]november-2026'!$I:$I,0,0)</f>
        <v>0</v>
      </c>
      <c r="CT296">
        <f t="shared" si="856"/>
        <v>200</v>
      </c>
      <c r="CU296">
        <f t="shared" si="857"/>
        <v>41850</v>
      </c>
      <c r="CV296">
        <f>_xlfn.XLOOKUP(B296,'[10]december-2026'!$A:$A,'[10]december-2026'!$C:$C,0,0)</f>
        <v>33500</v>
      </c>
      <c r="CW296">
        <f t="shared" si="858"/>
        <v>6030</v>
      </c>
      <c r="CX296">
        <f t="shared" si="859"/>
        <v>4020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860"/>
        <v>44050</v>
      </c>
      <c r="DB296">
        <f>_xlfn.XLOOKUP(B296,'[10]december-2026'!$A:$A,'[10]december-2026'!$H:$H,0,0)</f>
        <v>2000</v>
      </c>
      <c r="DC296">
        <f>_xlfn.XLOOKUP(B296,'[10]december-2026'!$A:$A,'[10]december-2026'!$I:$I,0,0)</f>
        <v>0</v>
      </c>
      <c r="DD296">
        <f t="shared" si="861"/>
        <v>200</v>
      </c>
      <c r="DE296">
        <f t="shared" si="862"/>
        <v>41850</v>
      </c>
      <c r="DF296">
        <f xml:space="preserve"> _xlfn.XLOOKUP(B296,
'[11]january-2027'!$A:$A,
'[11]january-2027'!$C:$C,
0,0)</f>
        <v>33500</v>
      </c>
      <c r="DG296">
        <f t="shared" si="863"/>
        <v>6030</v>
      </c>
      <c r="DH296">
        <f t="shared" si="864"/>
        <v>4020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865"/>
        <v>44050</v>
      </c>
      <c r="DL296">
        <f xml:space="preserve"> _xlfn.XLOOKUP(B296,
'[11]january-2027'!$A:$A,
'[11]january-2027'!$H:$H,
0,0)</f>
        <v>2000</v>
      </c>
      <c r="DM296">
        <f xml:space="preserve"> _xlfn.XLOOKUP(B296,
'[11]january-2027'!$A:$A,
'[11]january-2027'!$I:$I,
0,0)</f>
        <v>0</v>
      </c>
      <c r="DN296">
        <f t="shared" si="866"/>
        <v>200</v>
      </c>
      <c r="DO296">
        <f t="shared" si="867"/>
        <v>41850</v>
      </c>
      <c r="DP296">
        <f xml:space="preserve"> _xlfn.XLOOKUP(B296,
'[12]february-2027'!$A:$A,
'[12]february-2027'!$C:$C,
0,0)</f>
        <v>33500</v>
      </c>
      <c r="DQ296">
        <f t="shared" si="868"/>
        <v>6030</v>
      </c>
      <c r="DR296">
        <f t="shared" si="869"/>
        <v>4020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870"/>
        <v>44050</v>
      </c>
      <c r="DV296">
        <f xml:space="preserve"> _xlfn.XLOOKUP(B296,
'[12]february-2027'!$A:$A,
'[12]february-2027'!$H:$H,
0,0)</f>
        <v>2000</v>
      </c>
      <c r="DW296">
        <f xml:space="preserve"> _xlfn.XLOOKUP(B296,
'[12]february-2027'!$A:$A,
'[12]february-2027'!$I:$I,
0,0)</f>
        <v>0</v>
      </c>
      <c r="DX296">
        <f t="shared" si="871"/>
        <v>200</v>
      </c>
      <c r="DY296">
        <f t="shared" si="872"/>
        <v>41850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873"/>
        <v>0</v>
      </c>
      <c r="EM296">
        <f t="shared" si="874"/>
        <v>530494</v>
      </c>
      <c r="EN296">
        <f t="shared" si="875"/>
        <v>2400</v>
      </c>
      <c r="EO296">
        <f t="shared" si="876"/>
        <v>50000</v>
      </c>
      <c r="EP296">
        <v>0</v>
      </c>
      <c r="EQ296">
        <f t="shared" si="878"/>
        <v>478094</v>
      </c>
      <c r="ER296">
        <f t="shared" si="879"/>
        <v>24000</v>
      </c>
      <c r="ES296">
        <f t="shared" si="880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881"/>
        <v>24000</v>
      </c>
      <c r="FE296">
        <f t="shared" si="882"/>
        <v>24000</v>
      </c>
      <c r="FF296">
        <f t="shared" si="883"/>
        <v>454094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>SUM(FG296:FM296)+(IF(F296="YES",50000,0))</f>
        <v>0</v>
      </c>
      <c r="FO296">
        <f t="shared" si="884"/>
        <v>454094</v>
      </c>
      <c r="FP296">
        <f t="shared" si="885"/>
        <v>10205</v>
      </c>
      <c r="FQ296">
        <f t="shared" si="886"/>
        <v>0</v>
      </c>
      <c r="FR296">
        <f t="shared" si="887"/>
        <v>10205</v>
      </c>
      <c r="FS296">
        <f t="shared" si="888"/>
        <v>0</v>
      </c>
      <c r="FT296">
        <f t="shared" si="889"/>
        <v>0</v>
      </c>
      <c r="FU296">
        <f t="shared" si="890"/>
        <v>0</v>
      </c>
      <c r="FV296">
        <v>0</v>
      </c>
      <c r="FW296">
        <f t="shared" si="891"/>
        <v>0</v>
      </c>
      <c r="FX296" t="b">
        <f t="shared" si="892"/>
        <v>1</v>
      </c>
      <c r="FY296">
        <f t="shared" ca="1" si="893"/>
        <v>521</v>
      </c>
      <c r="FZ296">
        <f t="shared" ca="1" si="894"/>
        <v>531015</v>
      </c>
      <c r="GA296">
        <f t="shared" si="895"/>
        <v>75000</v>
      </c>
      <c r="GB296">
        <f t="shared" ca="1" si="896"/>
        <v>456015</v>
      </c>
      <c r="GC296">
        <f t="shared" ca="1" si="897"/>
        <v>0</v>
      </c>
      <c r="GD296">
        <f t="shared" ca="1" si="898"/>
        <v>0</v>
      </c>
      <c r="GE296">
        <f t="shared" ca="1" si="899"/>
        <v>0</v>
      </c>
      <c r="GF296">
        <f t="shared" ca="1" si="900"/>
        <v>0</v>
      </c>
      <c r="GG296">
        <f t="shared" ca="1" si="901"/>
        <v>0</v>
      </c>
      <c r="GH296">
        <f t="shared" ca="1" si="902"/>
        <v>0</v>
      </c>
      <c r="GI296">
        <f ca="1">IF(GB296&gt;1200000,GB296-1200000-IF(F296="YES",50000,0)-GG296,0)</f>
        <v>0</v>
      </c>
      <c r="GJ296">
        <f t="shared" ca="1" si="903"/>
        <v>0</v>
      </c>
      <c r="GK296">
        <f t="shared" ca="1" si="904"/>
        <v>0</v>
      </c>
      <c r="GL296">
        <f t="shared" ca="1" si="905"/>
        <v>0</v>
      </c>
      <c r="GM296">
        <f t="shared" ca="1" si="906"/>
        <v>56015</v>
      </c>
      <c r="GN296">
        <f t="shared" ca="1" si="907"/>
        <v>2800.75</v>
      </c>
      <c r="GO296">
        <f t="shared" ca="1" si="908"/>
        <v>2801</v>
      </c>
      <c r="GP296">
        <f t="shared" ca="1" si="909"/>
        <v>0</v>
      </c>
      <c r="GQ296">
        <f t="shared" ca="1" si="910"/>
        <v>0</v>
      </c>
      <c r="GR296">
        <f t="shared" ca="1" si="911"/>
        <v>2801</v>
      </c>
      <c r="GS296">
        <f t="shared" ca="1" si="912"/>
        <v>0</v>
      </c>
      <c r="GT296" t="b">
        <f t="shared" ca="1" si="913"/>
        <v>0</v>
      </c>
      <c r="GU296">
        <f t="shared" ca="1" si="914"/>
        <v>0</v>
      </c>
      <c r="GV296">
        <f t="shared" ca="1" si="915"/>
        <v>2801</v>
      </c>
      <c r="GW296">
        <f t="shared" ca="1" si="916"/>
        <v>0</v>
      </c>
      <c r="GX296">
        <f t="shared" ca="1" si="917"/>
        <v>0</v>
      </c>
      <c r="GY296">
        <f t="shared" ca="1" si="918"/>
        <v>0</v>
      </c>
    </row>
    <row r="297" spans="1:207" x14ac:dyDescent="0.25">
      <c r="A297">
        <f>_xlfn.AGGREGATE(3,5,$B$2:B297)</f>
        <v>296</v>
      </c>
      <c r="B297" t="s">
        <v>680</v>
      </c>
      <c r="C297" t="s">
        <v>681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813"/>
        <v>6800</v>
      </c>
      <c r="I297">
        <f>_xlfn.XLOOKUP(B297,'[1]march-2026'!$A:$A,'[1]march-2026'!$C:$C,0,0)</f>
        <v>32500</v>
      </c>
      <c r="J297">
        <f t="shared" si="877"/>
        <v>5850</v>
      </c>
      <c r="K297">
        <f t="shared" si="814"/>
        <v>3900</v>
      </c>
      <c r="L297">
        <f>_xlfn.XLOOKUP(B297,'[1]march-2026'!$A:$A,'[1]march-2026'!$D:$D,0,0)</f>
        <v>0</v>
      </c>
      <c r="M297">
        <f>_xlfn.XLOOKUP(B297,'[1]march-2026'!$A:$A,'[1]march-2026'!$G:$G,0,0)</f>
        <v>0</v>
      </c>
      <c r="N297">
        <f t="shared" si="815"/>
        <v>42250</v>
      </c>
      <c r="O297">
        <f>_xlfn.XLOOKUP(B297,'[1]march-2026'!$A:$A,'[1]march-2026'!$H:$H,0,0)</f>
        <v>2000</v>
      </c>
      <c r="P297">
        <f>_xlfn.XLOOKUP(B297,'[1]march-2026'!$A:$A,'[1]march-2026'!$I:$I,0,0)</f>
        <v>0</v>
      </c>
      <c r="Q297">
        <f t="shared" si="816"/>
        <v>200</v>
      </c>
      <c r="R297">
        <f t="shared" si="817"/>
        <v>40050</v>
      </c>
      <c r="S297">
        <f>_xlfn.XLOOKUP(B297,'[2]april-2026'!$A:$A,'[2]april-2026'!$C:$C,0,0)</f>
        <v>32500</v>
      </c>
      <c r="T297">
        <f t="shared" si="818"/>
        <v>5850</v>
      </c>
      <c r="U297">
        <f t="shared" si="819"/>
        <v>3900</v>
      </c>
      <c r="V297">
        <f>_xlfn.XLOOKUP(B297,'[2]april-2026'!$A:$A,'[2]april-2026'!$D:$D,0,0)</f>
        <v>0</v>
      </c>
      <c r="W297">
        <f>_xlfn.XLOOKUP(B297,'[2]april-2026'!$A:$A,'[2]april-2026'!$G:$G,0,0)</f>
        <v>0</v>
      </c>
      <c r="X297">
        <f t="shared" si="820"/>
        <v>42250</v>
      </c>
      <c r="Y297">
        <f>_xlfn.XLOOKUP(B297,'[2]april-2026'!$A:$A,'[2]april-2026'!$H:$H,0,0)</f>
        <v>2000</v>
      </c>
      <c r="Z297">
        <f>_xlfn.XLOOKUP(B297,'[2]april-2026'!$A:$A,'[2]april-2026'!$I:$I,0,0)</f>
        <v>0</v>
      </c>
      <c r="AA297">
        <f t="shared" si="821"/>
        <v>200</v>
      </c>
      <c r="AB297">
        <f t="shared" si="822"/>
        <v>40050</v>
      </c>
      <c r="AC297">
        <f>_xlfn.XLOOKUP(B297,'[3]may-2026'!$A:$A,'[3]may-2026'!$C:$C,0,0)</f>
        <v>32500</v>
      </c>
      <c r="AD297">
        <f t="shared" si="823"/>
        <v>5850</v>
      </c>
      <c r="AE297">
        <f t="shared" si="824"/>
        <v>3900</v>
      </c>
      <c r="AF297">
        <f>_xlfn.XLOOKUP(B297,'[3]may-2026'!$A:$A,'[3]may-2026'!$D:$D,0,0)</f>
        <v>0</v>
      </c>
      <c r="AG297">
        <f>_xlfn.XLOOKUP(B297,'[3]may-2026'!$A:$A,'[3]may-2026'!$G:$G,0,0)</f>
        <v>0</v>
      </c>
      <c r="AH297">
        <f t="shared" si="825"/>
        <v>42250</v>
      </c>
      <c r="AI297">
        <f>_xlfn.XLOOKUP(B297,'[3]may-2026'!$A:$A,'[3]may-2026'!$H:$H,0,0)</f>
        <v>2000</v>
      </c>
      <c r="AJ297">
        <f>_xlfn.XLOOKUP(B297,'[3]may-2026'!$A:$A,'[3]may-2026'!$I:$I,0,0)</f>
        <v>0</v>
      </c>
      <c r="AK297">
        <f t="shared" si="826"/>
        <v>200</v>
      </c>
      <c r="AL297">
        <f t="shared" si="827"/>
        <v>40050</v>
      </c>
      <c r="AM297">
        <f>_xlfn.XLOOKUP(B297,'[4]june-2026'!$A:$A,'[4]june-2026'!$C:$C,0,0)</f>
        <v>32500</v>
      </c>
      <c r="AN297">
        <f t="shared" si="828"/>
        <v>5850</v>
      </c>
      <c r="AO297">
        <f t="shared" si="829"/>
        <v>3900</v>
      </c>
      <c r="AP297">
        <f>_xlfn.XLOOKUP(B297,'[4]june-2026'!$A:$A,'[4]june-2026'!$D:$D,0,0)</f>
        <v>0</v>
      </c>
      <c r="AQ297">
        <f>_xlfn.XLOOKUP(B297,'[4]june-2026'!$A:$A,'[4]june-2026'!$G:$G,0,0)</f>
        <v>0</v>
      </c>
      <c r="AR297">
        <f t="shared" si="830"/>
        <v>42250</v>
      </c>
      <c r="AS297">
        <f>_xlfn.XLOOKUP(B297,'[4]june-2026'!$A:$A,'[4]june-2026'!$H:$H,0,0)</f>
        <v>2000</v>
      </c>
      <c r="AT297">
        <f>_xlfn.XLOOKUP(B297,'[4]june-2026'!$A:$A,'[4]june-2026'!$I:$I,0,0)</f>
        <v>0</v>
      </c>
      <c r="AU297">
        <f t="shared" si="831"/>
        <v>200</v>
      </c>
      <c r="AV297">
        <f t="shared" si="832"/>
        <v>40050</v>
      </c>
      <c r="AW297">
        <f>_xlfn.XLOOKUP(B297,'[5]july-2026'!$A:$A,'[5]july-2026'!$C:$C,0,0)</f>
        <v>33500</v>
      </c>
      <c r="AX297">
        <f t="shared" si="833"/>
        <v>6030</v>
      </c>
      <c r="AY297">
        <v>295</v>
      </c>
      <c r="AZ297">
        <f t="shared" si="834"/>
        <v>4020</v>
      </c>
      <c r="BA297">
        <f>_xlfn.XLOOKUP(B297,'[5]july-2026'!$A:$A,'[5]july-2026'!$D:$D,0,0)</f>
        <v>0</v>
      </c>
      <c r="BB297">
        <f>_xlfn.XLOOKUP(B297,'[5]july-2026'!$A:$A,'[5]july-2026'!$G:$G,0,0)</f>
        <v>0</v>
      </c>
      <c r="BC297">
        <f t="shared" si="835"/>
        <v>43845</v>
      </c>
      <c r="BD297">
        <f>_xlfn.XLOOKUP(B297,'[5]july-2026'!$A:$A,'[5]july-2026'!$H:$H,0,0)</f>
        <v>2000</v>
      </c>
      <c r="BE297">
        <f>_xlfn.XLOOKUP(B297,'[5]july-2026'!$A:$A,'[5]july-2026'!$I:$I,0,0)</f>
        <v>0</v>
      </c>
      <c r="BF297">
        <f t="shared" si="836"/>
        <v>200</v>
      </c>
      <c r="BG297">
        <f t="shared" si="837"/>
        <v>41645</v>
      </c>
      <c r="BH297">
        <f>_xlfn.XLOOKUP(B297,'[6]august-2026'!$A:$A,'[6]august-2026'!$C:$C,0,0)</f>
        <v>33500</v>
      </c>
      <c r="BI297">
        <f t="shared" si="838"/>
        <v>6030</v>
      </c>
      <c r="BJ297">
        <f t="shared" si="839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0</v>
      </c>
      <c r="BM297">
        <f t="shared" si="840"/>
        <v>43550</v>
      </c>
      <c r="BN297">
        <f>_xlfn.XLOOKUP(B297,'[6]august-2026'!$A:$A,'[6]august-2026'!$H:$H,0,0)</f>
        <v>2000</v>
      </c>
      <c r="BO297">
        <f>_xlfn.XLOOKUP(B297,'[6]august-2026'!$A:$A,'[6]august-2026'!$I:$I,0,0)</f>
        <v>0</v>
      </c>
      <c r="BP297">
        <f t="shared" si="841"/>
        <v>200</v>
      </c>
      <c r="BQ297">
        <f t="shared" si="842"/>
        <v>41350</v>
      </c>
      <c r="BR297">
        <f>_xlfn.XLOOKUP(B297,'[7]september-2026'!$A:$A,'[7]september-2026'!$C:$C,0,0)</f>
        <v>33500</v>
      </c>
      <c r="BS297">
        <f t="shared" si="843"/>
        <v>6030</v>
      </c>
      <c r="BT297">
        <f t="shared" si="844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0</v>
      </c>
      <c r="BW297">
        <f t="shared" si="845"/>
        <v>43550</v>
      </c>
      <c r="BX297">
        <f>_xlfn.XLOOKUP(B297,'[7]september-2026'!$A:$A,'[7]september-2026'!$H:$H,0,0)</f>
        <v>2000</v>
      </c>
      <c r="BY297">
        <f>_xlfn.XLOOKUP(B297,'[7]september-2026'!$A:$A,'[7]september-2026'!$I:$I,0,0)</f>
        <v>0</v>
      </c>
      <c r="BZ297">
        <f t="shared" si="846"/>
        <v>200</v>
      </c>
      <c r="CA297">
        <f t="shared" si="847"/>
        <v>41350</v>
      </c>
      <c r="CB297">
        <f>_xlfn.XLOOKUP(B297,'[8]october-2026'!$A:$A,'[8]october-2026'!$C:$C,0,0)</f>
        <v>33500</v>
      </c>
      <c r="CC297">
        <f t="shared" si="848"/>
        <v>6030</v>
      </c>
      <c r="CD297">
        <f t="shared" si="849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0</v>
      </c>
      <c r="CG297">
        <f t="shared" si="850"/>
        <v>43550</v>
      </c>
      <c r="CH297">
        <f>_xlfn.XLOOKUP(B297,'[8]october-2026'!$A:$A,'[8]october-2026'!$H:$H,0,0)</f>
        <v>2000</v>
      </c>
      <c r="CI297">
        <f>_xlfn.XLOOKUP(B297,'[8]october-2026'!$A:$A,'[8]october-2026'!$I:$I,0,0)</f>
        <v>0</v>
      </c>
      <c r="CJ297">
        <f t="shared" si="851"/>
        <v>200</v>
      </c>
      <c r="CK297">
        <f t="shared" si="852"/>
        <v>41350</v>
      </c>
      <c r="CL297">
        <f>_xlfn.XLOOKUP(B297,'[9]november-2026'!$A:$A,'[9]november-2026'!$C:$C,0,0)</f>
        <v>33500</v>
      </c>
      <c r="CM297">
        <f t="shared" si="853"/>
        <v>6030</v>
      </c>
      <c r="CN297">
        <f t="shared" si="854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0</v>
      </c>
      <c r="CQ297">
        <f t="shared" si="855"/>
        <v>43550</v>
      </c>
      <c r="CR297">
        <f>_xlfn.XLOOKUP(B297,'[9]november-2026'!$A:$A,'[9]november-2026'!$H:$H,0,0)</f>
        <v>2000</v>
      </c>
      <c r="CS297">
        <f>_xlfn.XLOOKUP(B297,'[9]november-2026'!$A:$A,'[9]november-2026'!$I:$I,0,0)</f>
        <v>0</v>
      </c>
      <c r="CT297">
        <f t="shared" si="856"/>
        <v>200</v>
      </c>
      <c r="CU297">
        <f t="shared" si="857"/>
        <v>41350</v>
      </c>
      <c r="CV297">
        <f>_xlfn.XLOOKUP(B297,'[10]december-2026'!$A:$A,'[10]december-2026'!$C:$C,0,0)</f>
        <v>33500</v>
      </c>
      <c r="CW297">
        <f t="shared" si="858"/>
        <v>6030</v>
      </c>
      <c r="CX297">
        <f t="shared" si="859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0</v>
      </c>
      <c r="DA297">
        <f t="shared" si="860"/>
        <v>43550</v>
      </c>
      <c r="DB297">
        <f>_xlfn.XLOOKUP(B297,'[10]december-2026'!$A:$A,'[10]december-2026'!$H:$H,0,0)</f>
        <v>2000</v>
      </c>
      <c r="DC297">
        <f>_xlfn.XLOOKUP(B297,'[10]december-2026'!$A:$A,'[10]december-2026'!$I:$I,0,0)</f>
        <v>0</v>
      </c>
      <c r="DD297">
        <f t="shared" si="861"/>
        <v>200</v>
      </c>
      <c r="DE297">
        <f t="shared" si="862"/>
        <v>41350</v>
      </c>
      <c r="DF297">
        <f xml:space="preserve"> _xlfn.XLOOKUP(B297,
'[11]january-2027'!$A:$A,
'[11]january-2027'!$C:$C,
0,0)</f>
        <v>33500</v>
      </c>
      <c r="DG297">
        <f t="shared" si="863"/>
        <v>6030</v>
      </c>
      <c r="DH297">
        <f t="shared" si="864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0</v>
      </c>
      <c r="DK297">
        <f t="shared" si="865"/>
        <v>43550</v>
      </c>
      <c r="DL297">
        <f xml:space="preserve"> _xlfn.XLOOKUP(B297,
'[11]january-2027'!$A:$A,
'[11]january-2027'!$H:$H,
0,0)</f>
        <v>2000</v>
      </c>
      <c r="DM297">
        <f xml:space="preserve"> _xlfn.XLOOKUP(B297,
'[11]january-2027'!$A:$A,
'[11]january-2027'!$I:$I,
0,0)</f>
        <v>0</v>
      </c>
      <c r="DN297">
        <f t="shared" si="866"/>
        <v>200</v>
      </c>
      <c r="DO297">
        <f t="shared" si="867"/>
        <v>41350</v>
      </c>
      <c r="DP297">
        <f xml:space="preserve"> _xlfn.XLOOKUP(B297,
'[12]february-2027'!$A:$A,
'[12]february-2027'!$C:$C,
0,0)</f>
        <v>33500</v>
      </c>
      <c r="DQ297">
        <f t="shared" si="868"/>
        <v>6030</v>
      </c>
      <c r="DR297">
        <f t="shared" si="869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0</v>
      </c>
      <c r="DU297">
        <f t="shared" si="870"/>
        <v>43550</v>
      </c>
      <c r="DV297">
        <f xml:space="preserve"> _xlfn.XLOOKUP(B297,
'[12]february-2027'!$A:$A,
'[12]february-2027'!$H:$H,
0,0)</f>
        <v>2000</v>
      </c>
      <c r="DW297">
        <f xml:space="preserve"> _xlfn.XLOOKUP(B297,
'[12]february-2027'!$A:$A,
'[12]february-2027'!$I:$I,
0,0)</f>
        <v>0</v>
      </c>
      <c r="DX297">
        <f t="shared" si="871"/>
        <v>200</v>
      </c>
      <c r="DY297">
        <f t="shared" si="872"/>
        <v>41350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873"/>
        <v>0</v>
      </c>
      <c r="EM297">
        <f t="shared" si="874"/>
        <v>524495</v>
      </c>
      <c r="EN297">
        <f t="shared" si="875"/>
        <v>2400</v>
      </c>
      <c r="EO297">
        <f t="shared" si="876"/>
        <v>50000</v>
      </c>
      <c r="EP297">
        <v>0</v>
      </c>
      <c r="EQ297">
        <f t="shared" si="878"/>
        <v>472095</v>
      </c>
      <c r="ER297">
        <f t="shared" si="879"/>
        <v>24000</v>
      </c>
      <c r="ES297">
        <f t="shared" si="880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881"/>
        <v>24000</v>
      </c>
      <c r="FE297">
        <f t="shared" si="882"/>
        <v>24000</v>
      </c>
      <c r="FF297">
        <f t="shared" si="883"/>
        <v>448095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>SUM(FG297:FM297)+(IF(F297="YES",50000,0))</f>
        <v>0</v>
      </c>
      <c r="FO297">
        <f t="shared" si="884"/>
        <v>448095</v>
      </c>
      <c r="FP297">
        <f t="shared" si="885"/>
        <v>9905</v>
      </c>
      <c r="FQ297">
        <f t="shared" si="886"/>
        <v>0</v>
      </c>
      <c r="FR297">
        <f t="shared" si="887"/>
        <v>9905</v>
      </c>
      <c r="FS297">
        <f t="shared" si="888"/>
        <v>0</v>
      </c>
      <c r="FT297">
        <f t="shared" si="889"/>
        <v>0</v>
      </c>
      <c r="FU297">
        <f t="shared" si="890"/>
        <v>0</v>
      </c>
      <c r="FV297">
        <v>0</v>
      </c>
      <c r="FW297">
        <f t="shared" si="891"/>
        <v>0</v>
      </c>
      <c r="FX297" t="b">
        <f t="shared" si="892"/>
        <v>1</v>
      </c>
      <c r="FY297">
        <f t="shared" ca="1" si="893"/>
        <v>817</v>
      </c>
      <c r="FZ297">
        <f t="shared" ca="1" si="894"/>
        <v>525312</v>
      </c>
      <c r="GA297">
        <f t="shared" si="895"/>
        <v>75000</v>
      </c>
      <c r="GB297">
        <f t="shared" ca="1" si="896"/>
        <v>450312</v>
      </c>
      <c r="GC297">
        <f t="shared" ca="1" si="897"/>
        <v>0</v>
      </c>
      <c r="GD297">
        <f t="shared" ca="1" si="898"/>
        <v>0</v>
      </c>
      <c r="GE297">
        <f t="shared" ca="1" si="899"/>
        <v>0</v>
      </c>
      <c r="GF297">
        <f t="shared" ca="1" si="900"/>
        <v>0</v>
      </c>
      <c r="GG297">
        <f t="shared" ca="1" si="901"/>
        <v>0</v>
      </c>
      <c r="GH297">
        <f t="shared" ca="1" si="902"/>
        <v>0</v>
      </c>
      <c r="GI297">
        <f ca="1">IF(GB297&gt;1200000,GB297-1200000-IF(F297="YES",50000,0)-GG297,0)</f>
        <v>0</v>
      </c>
      <c r="GJ297">
        <f t="shared" ca="1" si="903"/>
        <v>0</v>
      </c>
      <c r="GK297">
        <f t="shared" ca="1" si="904"/>
        <v>0</v>
      </c>
      <c r="GL297">
        <f t="shared" ca="1" si="905"/>
        <v>0</v>
      </c>
      <c r="GM297">
        <f t="shared" ca="1" si="906"/>
        <v>50312</v>
      </c>
      <c r="GN297">
        <f t="shared" ca="1" si="907"/>
        <v>2515.6000000000004</v>
      </c>
      <c r="GO297">
        <f t="shared" ca="1" si="908"/>
        <v>2516</v>
      </c>
      <c r="GP297">
        <f t="shared" ca="1" si="909"/>
        <v>0</v>
      </c>
      <c r="GQ297">
        <f t="shared" ca="1" si="910"/>
        <v>0</v>
      </c>
      <c r="GR297">
        <f t="shared" ca="1" si="911"/>
        <v>2516</v>
      </c>
      <c r="GS297">
        <f t="shared" ca="1" si="912"/>
        <v>0</v>
      </c>
      <c r="GT297" t="b">
        <f t="shared" ca="1" si="913"/>
        <v>0</v>
      </c>
      <c r="GU297">
        <f t="shared" ca="1" si="914"/>
        <v>0</v>
      </c>
      <c r="GV297">
        <f t="shared" ca="1" si="915"/>
        <v>2516</v>
      </c>
      <c r="GW297">
        <f t="shared" ca="1" si="916"/>
        <v>0</v>
      </c>
      <c r="GX297">
        <f t="shared" ca="1" si="917"/>
        <v>0</v>
      </c>
      <c r="GY297">
        <f t="shared" ca="1" si="918"/>
        <v>0</v>
      </c>
    </row>
    <row r="298" spans="1:207" x14ac:dyDescent="0.25">
      <c r="A298">
        <f>_xlfn.AGGREGATE(3,5,$B$2:B298)</f>
        <v>297</v>
      </c>
      <c r="B298" t="s">
        <v>682</v>
      </c>
      <c r="C298" t="s">
        <v>683</v>
      </c>
      <c r="D298" t="s">
        <v>825</v>
      </c>
      <c r="E298" t="s">
        <v>831</v>
      </c>
      <c r="F298" t="s">
        <v>952</v>
      </c>
      <c r="G298" t="s">
        <v>879</v>
      </c>
      <c r="H298">
        <f t="shared" si="813"/>
        <v>6800</v>
      </c>
      <c r="I298">
        <f>_xlfn.XLOOKUP(B298,'[1]march-2026'!$A:$A,'[1]march-2026'!$C:$C,0,0)</f>
        <v>53300</v>
      </c>
      <c r="J298">
        <f t="shared" si="877"/>
        <v>9594</v>
      </c>
      <c r="K298">
        <f t="shared" si="814"/>
        <v>6396</v>
      </c>
      <c r="L298">
        <f>_xlfn.XLOOKUP(B298,'[1]march-2026'!$A:$A,'[1]march-2026'!$D:$D,0,0)</f>
        <v>400</v>
      </c>
      <c r="M298">
        <f>_xlfn.XLOOKUP(B298,'[1]march-2026'!$A:$A,'[1]march-2026'!$G:$G,0,0)</f>
        <v>500</v>
      </c>
      <c r="N298">
        <f t="shared" si="815"/>
        <v>70190</v>
      </c>
      <c r="O298">
        <f>_xlfn.XLOOKUP(B298,'[1]march-2026'!$A:$A,'[1]march-2026'!$H:$H,0,0)</f>
        <v>10000</v>
      </c>
      <c r="P298">
        <f>_xlfn.XLOOKUP(B298,'[1]march-2026'!$A:$A,'[1]march-2026'!$I:$I,0,0)</f>
        <v>0</v>
      </c>
      <c r="Q298">
        <f t="shared" si="816"/>
        <v>200</v>
      </c>
      <c r="R298">
        <f t="shared" si="817"/>
        <v>59990</v>
      </c>
      <c r="S298">
        <f>_xlfn.XLOOKUP(B298,'[2]april-2026'!$A:$A,'[2]april-2026'!$C:$C,0,0)</f>
        <v>53300</v>
      </c>
      <c r="T298">
        <f t="shared" si="818"/>
        <v>9594</v>
      </c>
      <c r="U298">
        <f t="shared" si="819"/>
        <v>6396</v>
      </c>
      <c r="V298">
        <f>_xlfn.XLOOKUP(B298,'[2]april-2026'!$A:$A,'[2]april-2026'!$D:$D,0,0)</f>
        <v>400</v>
      </c>
      <c r="W298">
        <f>_xlfn.XLOOKUP(B298,'[2]april-2026'!$A:$A,'[2]april-2026'!$G:$G,0,0)</f>
        <v>500</v>
      </c>
      <c r="X298">
        <f t="shared" si="820"/>
        <v>70190</v>
      </c>
      <c r="Y298">
        <f>_xlfn.XLOOKUP(B298,'[2]april-2026'!$A:$A,'[2]april-2026'!$H:$H,0,0)</f>
        <v>10000</v>
      </c>
      <c r="Z298">
        <f>_xlfn.XLOOKUP(B298,'[2]april-2026'!$A:$A,'[2]april-2026'!$I:$I,0,0)</f>
        <v>0</v>
      </c>
      <c r="AA298">
        <f t="shared" si="821"/>
        <v>200</v>
      </c>
      <c r="AB298">
        <f t="shared" si="822"/>
        <v>59990</v>
      </c>
      <c r="AC298">
        <f>_xlfn.XLOOKUP(B298,'[3]may-2026'!$A:$A,'[3]may-2026'!$C:$C,0,0)</f>
        <v>53300</v>
      </c>
      <c r="AD298">
        <f t="shared" si="823"/>
        <v>9594</v>
      </c>
      <c r="AE298">
        <f t="shared" si="824"/>
        <v>6396</v>
      </c>
      <c r="AF298">
        <f>_xlfn.XLOOKUP(B298,'[3]may-2026'!$A:$A,'[3]may-2026'!$D:$D,0,0)</f>
        <v>400</v>
      </c>
      <c r="AG298">
        <f>_xlfn.XLOOKUP(B298,'[3]may-2026'!$A:$A,'[3]may-2026'!$G:$G,0,0)</f>
        <v>500</v>
      </c>
      <c r="AH298">
        <f t="shared" si="825"/>
        <v>70190</v>
      </c>
      <c r="AI298">
        <f>_xlfn.XLOOKUP(B298,'[3]may-2026'!$A:$A,'[3]may-2026'!$H:$H,0,0)</f>
        <v>10000</v>
      </c>
      <c r="AJ298">
        <f>_xlfn.XLOOKUP(B298,'[3]may-2026'!$A:$A,'[3]may-2026'!$I:$I,0,0)</f>
        <v>0</v>
      </c>
      <c r="AK298">
        <f t="shared" si="826"/>
        <v>200</v>
      </c>
      <c r="AL298">
        <f t="shared" si="827"/>
        <v>59990</v>
      </c>
      <c r="AM298">
        <f>_xlfn.XLOOKUP(B298,'[4]june-2026'!$A:$A,'[4]june-2026'!$C:$C,0,0)</f>
        <v>53300</v>
      </c>
      <c r="AN298">
        <f t="shared" si="828"/>
        <v>9594</v>
      </c>
      <c r="AO298">
        <f t="shared" si="829"/>
        <v>6396</v>
      </c>
      <c r="AP298">
        <f>_xlfn.XLOOKUP(B298,'[4]june-2026'!$A:$A,'[4]june-2026'!$D:$D,0,0)</f>
        <v>400</v>
      </c>
      <c r="AQ298">
        <f>_xlfn.XLOOKUP(B298,'[4]june-2026'!$A:$A,'[4]june-2026'!$G:$G,0,0)</f>
        <v>500</v>
      </c>
      <c r="AR298">
        <f t="shared" si="830"/>
        <v>70190</v>
      </c>
      <c r="AS298">
        <f>_xlfn.XLOOKUP(B298,'[4]june-2026'!$A:$A,'[4]june-2026'!$H:$H,0,0)</f>
        <v>10000</v>
      </c>
      <c r="AT298">
        <f>_xlfn.XLOOKUP(B298,'[4]june-2026'!$A:$A,'[4]june-2026'!$I:$I,0,0)</f>
        <v>0</v>
      </c>
      <c r="AU298">
        <f t="shared" si="831"/>
        <v>200</v>
      </c>
      <c r="AV298">
        <f t="shared" si="832"/>
        <v>59990</v>
      </c>
      <c r="AW298">
        <f>_xlfn.XLOOKUP(B298,'[5]july-2026'!$A:$A,'[5]july-2026'!$C:$C,0,0)</f>
        <v>54900</v>
      </c>
      <c r="AX298">
        <f t="shared" si="833"/>
        <v>9882</v>
      </c>
      <c r="AY298">
        <v>296</v>
      </c>
      <c r="AZ298">
        <f t="shared" si="834"/>
        <v>6588</v>
      </c>
      <c r="BA298">
        <f>_xlfn.XLOOKUP(B298,'[5]july-2026'!$A:$A,'[5]july-2026'!$D:$D,0,0)</f>
        <v>400</v>
      </c>
      <c r="BB298">
        <f>_xlfn.XLOOKUP(B298,'[5]july-2026'!$A:$A,'[5]july-2026'!$G:$G,0,0)</f>
        <v>500</v>
      </c>
      <c r="BC298">
        <f t="shared" si="835"/>
        <v>72566</v>
      </c>
      <c r="BD298">
        <f>_xlfn.XLOOKUP(B298,'[5]july-2026'!$A:$A,'[5]july-2026'!$H:$H,0,0)</f>
        <v>10000</v>
      </c>
      <c r="BE298">
        <f>_xlfn.XLOOKUP(B298,'[5]july-2026'!$A:$A,'[5]july-2026'!$I:$I,0,0)</f>
        <v>0</v>
      </c>
      <c r="BF298">
        <f t="shared" si="836"/>
        <v>200</v>
      </c>
      <c r="BG298">
        <f t="shared" si="837"/>
        <v>62366</v>
      </c>
      <c r="BH298">
        <f>_xlfn.XLOOKUP(B298,'[6]august-2026'!$A:$A,'[6]august-2026'!$C:$C,0,0)</f>
        <v>54900</v>
      </c>
      <c r="BI298">
        <f t="shared" si="838"/>
        <v>9882</v>
      </c>
      <c r="BJ298">
        <f t="shared" si="839"/>
        <v>6588</v>
      </c>
      <c r="BK298">
        <f>_xlfn.XLOOKUP(B298,'[6]august-2026'!$A:$A,'[6]august-2026'!$D:$D,0,0)</f>
        <v>400</v>
      </c>
      <c r="BL298">
        <f>_xlfn.XLOOKUP(B298,'[6]august-2026'!$A:$A,'[6]august-2026'!$G:$G,0,0)</f>
        <v>500</v>
      </c>
      <c r="BM298">
        <f t="shared" si="840"/>
        <v>72270</v>
      </c>
      <c r="BN298">
        <f>_xlfn.XLOOKUP(B298,'[6]august-2026'!$A:$A,'[6]august-2026'!$H:$H,0,0)</f>
        <v>10000</v>
      </c>
      <c r="BO298">
        <f>_xlfn.XLOOKUP(B298,'[6]august-2026'!$A:$A,'[6]august-2026'!$I:$I,0,0)</f>
        <v>0</v>
      </c>
      <c r="BP298">
        <f t="shared" si="841"/>
        <v>200</v>
      </c>
      <c r="BQ298">
        <f t="shared" si="842"/>
        <v>62070</v>
      </c>
      <c r="BR298">
        <f>_xlfn.XLOOKUP(B298,'[7]september-2026'!$A:$A,'[7]september-2026'!$C:$C,0,0)</f>
        <v>54900</v>
      </c>
      <c r="BS298">
        <f t="shared" si="843"/>
        <v>9882</v>
      </c>
      <c r="BT298">
        <f t="shared" si="844"/>
        <v>6588</v>
      </c>
      <c r="BU298">
        <f>_xlfn.XLOOKUP(B298,'[7]september-2026'!$A:$A,'[7]september-2026'!$D:$D,0,0)</f>
        <v>400</v>
      </c>
      <c r="BV298">
        <f>_xlfn.XLOOKUP(B298,'[7]september-2026'!$A:$A,'[7]september-2026'!$G:$G,0,0)</f>
        <v>500</v>
      </c>
      <c r="BW298">
        <f t="shared" si="845"/>
        <v>72270</v>
      </c>
      <c r="BX298">
        <f>_xlfn.XLOOKUP(B298,'[7]september-2026'!$A:$A,'[7]september-2026'!$H:$H,0,0)</f>
        <v>10000</v>
      </c>
      <c r="BY298">
        <f>_xlfn.XLOOKUP(B298,'[7]september-2026'!$A:$A,'[7]september-2026'!$I:$I,0,0)</f>
        <v>0</v>
      </c>
      <c r="BZ298">
        <f t="shared" si="846"/>
        <v>200</v>
      </c>
      <c r="CA298">
        <f t="shared" si="847"/>
        <v>62070</v>
      </c>
      <c r="CB298">
        <f>_xlfn.XLOOKUP(B298,'[8]october-2026'!$A:$A,'[8]october-2026'!$C:$C,0,0)</f>
        <v>54900</v>
      </c>
      <c r="CC298">
        <f t="shared" si="848"/>
        <v>9882</v>
      </c>
      <c r="CD298">
        <f t="shared" si="849"/>
        <v>6588</v>
      </c>
      <c r="CE298">
        <f>_xlfn.XLOOKUP(B298,'[8]october-2026'!$A:$A,'[8]october-2026'!$D:$D,0,0)</f>
        <v>400</v>
      </c>
      <c r="CF298">
        <f>_xlfn.XLOOKUP(B298,'[8]october-2026'!$A:$A,'[8]october-2026'!$G:$G,0,0)</f>
        <v>500</v>
      </c>
      <c r="CG298">
        <f t="shared" si="850"/>
        <v>72270</v>
      </c>
      <c r="CH298">
        <f>_xlfn.XLOOKUP(B298,'[8]october-2026'!$A:$A,'[8]october-2026'!$H:$H,0,0)</f>
        <v>10000</v>
      </c>
      <c r="CI298">
        <f>_xlfn.XLOOKUP(B298,'[8]october-2026'!$A:$A,'[8]october-2026'!$I:$I,0,0)</f>
        <v>0</v>
      </c>
      <c r="CJ298">
        <f t="shared" si="851"/>
        <v>200</v>
      </c>
      <c r="CK298">
        <f t="shared" si="852"/>
        <v>62070</v>
      </c>
      <c r="CL298">
        <f>_xlfn.XLOOKUP(B298,'[9]november-2026'!$A:$A,'[9]november-2026'!$C:$C,0,0)</f>
        <v>54900</v>
      </c>
      <c r="CM298">
        <f t="shared" si="853"/>
        <v>9882</v>
      </c>
      <c r="CN298">
        <f t="shared" si="854"/>
        <v>6588</v>
      </c>
      <c r="CO298">
        <f>_xlfn.XLOOKUP(B298,'[9]november-2026'!$A:$A,'[9]november-2026'!$D:$D,0,0)</f>
        <v>400</v>
      </c>
      <c r="CP298">
        <f>_xlfn.XLOOKUP(B298,'[9]november-2026'!$A:$A,'[9]november-2026'!$G:$G,0,0)</f>
        <v>500</v>
      </c>
      <c r="CQ298">
        <f t="shared" si="855"/>
        <v>72270</v>
      </c>
      <c r="CR298">
        <f>_xlfn.XLOOKUP(B298,'[9]november-2026'!$A:$A,'[9]november-2026'!$H:$H,0,0)</f>
        <v>10000</v>
      </c>
      <c r="CS298">
        <f>_xlfn.XLOOKUP(B298,'[9]november-2026'!$A:$A,'[9]november-2026'!$I:$I,0,0)</f>
        <v>0</v>
      </c>
      <c r="CT298">
        <f t="shared" si="856"/>
        <v>200</v>
      </c>
      <c r="CU298">
        <f t="shared" si="857"/>
        <v>62070</v>
      </c>
      <c r="CV298">
        <f>_xlfn.XLOOKUP(B298,'[10]december-2026'!$A:$A,'[10]december-2026'!$C:$C,0,0)</f>
        <v>54900</v>
      </c>
      <c r="CW298">
        <f t="shared" si="858"/>
        <v>9882</v>
      </c>
      <c r="CX298">
        <f t="shared" si="859"/>
        <v>6588</v>
      </c>
      <c r="CY298">
        <f>_xlfn.XLOOKUP(B298,'[10]december-2026'!$A:$A,'[10]december-2026'!$D:$D,0,0)</f>
        <v>400</v>
      </c>
      <c r="CZ298">
        <f>_xlfn.XLOOKUP(B298,'[10]december-2026'!$A:$A,'[10]december-2026'!$G:$G,0,0)</f>
        <v>500</v>
      </c>
      <c r="DA298">
        <f t="shared" si="860"/>
        <v>72270</v>
      </c>
      <c r="DB298">
        <f>_xlfn.XLOOKUP(B298,'[10]december-2026'!$A:$A,'[10]december-2026'!$H:$H,0,0)</f>
        <v>10000</v>
      </c>
      <c r="DC298">
        <f>_xlfn.XLOOKUP(B298,'[10]december-2026'!$A:$A,'[10]december-2026'!$I:$I,0,0)</f>
        <v>0</v>
      </c>
      <c r="DD298">
        <f t="shared" si="861"/>
        <v>200</v>
      </c>
      <c r="DE298">
        <f t="shared" si="862"/>
        <v>62070</v>
      </c>
      <c r="DF298">
        <f xml:space="preserve"> _xlfn.XLOOKUP(B298,
'[11]january-2027'!$A:$A,
'[11]january-2027'!$C:$C,
0,0)</f>
        <v>54900</v>
      </c>
      <c r="DG298">
        <f t="shared" si="863"/>
        <v>9882</v>
      </c>
      <c r="DH298">
        <f t="shared" si="864"/>
        <v>6588</v>
      </c>
      <c r="DI298">
        <f xml:space="preserve"> _xlfn.XLOOKUP(B298,
'[11]january-2027'!$A:$A,
'[11]january-2027'!$D:$D,
0,0)</f>
        <v>400</v>
      </c>
      <c r="DJ298">
        <f xml:space="preserve"> _xlfn.XLOOKUP(B298,
'[11]january-2027'!$A:$A,
'[11]january-2027'!$G:$G,
0,0)</f>
        <v>500</v>
      </c>
      <c r="DK298">
        <f t="shared" si="865"/>
        <v>72270</v>
      </c>
      <c r="DL298">
        <f xml:space="preserve"> _xlfn.XLOOKUP(B298,
'[11]january-2027'!$A:$A,
'[11]january-2027'!$H:$H,
0,0)</f>
        <v>10000</v>
      </c>
      <c r="DM298">
        <f xml:space="preserve"> _xlfn.XLOOKUP(B298,
'[11]january-2027'!$A:$A,
'[11]january-2027'!$I:$I,
0,0)</f>
        <v>0</v>
      </c>
      <c r="DN298">
        <f t="shared" si="866"/>
        <v>200</v>
      </c>
      <c r="DO298">
        <f t="shared" si="867"/>
        <v>62070</v>
      </c>
      <c r="DP298">
        <f xml:space="preserve"> _xlfn.XLOOKUP(B298,
'[12]february-2027'!$A:$A,
'[12]february-2027'!$C:$C,
0,0)</f>
        <v>54900</v>
      </c>
      <c r="DQ298">
        <f t="shared" si="868"/>
        <v>9882</v>
      </c>
      <c r="DR298">
        <f t="shared" si="869"/>
        <v>6588</v>
      </c>
      <c r="DS298">
        <f xml:space="preserve"> _xlfn.XLOOKUP(B298,
'[12]february-2027'!$A:$A,
'[12]february-2027'!$D:$D,
0,0)</f>
        <v>400</v>
      </c>
      <c r="DT298">
        <f xml:space="preserve"> _xlfn.XLOOKUP(B298,
'[12]february-2027'!$A:$A,
'[12]february-2027'!$G:$G,
0,0)</f>
        <v>500</v>
      </c>
      <c r="DU298">
        <f t="shared" si="870"/>
        <v>72270</v>
      </c>
      <c r="DV298">
        <f xml:space="preserve"> _xlfn.XLOOKUP(B298,
'[12]february-2027'!$A:$A,
'[12]february-2027'!$H:$H,
0,0)</f>
        <v>10000</v>
      </c>
      <c r="DW298">
        <f xml:space="preserve"> _xlfn.XLOOKUP(B298,
'[12]february-2027'!$A:$A,
'[12]february-2027'!$I:$I,
0,0)</f>
        <v>0</v>
      </c>
      <c r="DX298">
        <f t="shared" si="871"/>
        <v>200</v>
      </c>
      <c r="DY298">
        <f t="shared" si="872"/>
        <v>62070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873"/>
        <v>0</v>
      </c>
      <c r="EM298">
        <f t="shared" si="874"/>
        <v>866016</v>
      </c>
      <c r="EN298">
        <f t="shared" si="875"/>
        <v>2400</v>
      </c>
      <c r="EO298">
        <f t="shared" si="876"/>
        <v>50000</v>
      </c>
      <c r="EP298">
        <v>0</v>
      </c>
      <c r="EQ298">
        <f t="shared" si="878"/>
        <v>813616</v>
      </c>
      <c r="ER298">
        <f t="shared" si="879"/>
        <v>120000</v>
      </c>
      <c r="ES298">
        <f t="shared" si="880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881"/>
        <v>120000</v>
      </c>
      <c r="FE298">
        <f t="shared" si="882"/>
        <v>120000</v>
      </c>
      <c r="FF298">
        <f t="shared" si="883"/>
        <v>693616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>SUM(FG298:FM298)+(IF(F298="YES",50000,0))</f>
        <v>0</v>
      </c>
      <c r="FO298">
        <f t="shared" si="884"/>
        <v>693616</v>
      </c>
      <c r="FP298">
        <f t="shared" si="885"/>
        <v>12500</v>
      </c>
      <c r="FQ298">
        <f t="shared" si="886"/>
        <v>38723</v>
      </c>
      <c r="FR298">
        <f t="shared" si="887"/>
        <v>51223</v>
      </c>
      <c r="FS298">
        <f t="shared" si="888"/>
        <v>51223</v>
      </c>
      <c r="FT298">
        <f t="shared" si="889"/>
        <v>2048.92</v>
      </c>
      <c r="FU298">
        <f t="shared" si="890"/>
        <v>53272</v>
      </c>
      <c r="FV298">
        <v>0</v>
      </c>
      <c r="FW298">
        <f t="shared" si="891"/>
        <v>53272</v>
      </c>
      <c r="FX298" t="b">
        <f t="shared" si="892"/>
        <v>1</v>
      </c>
      <c r="FY298">
        <f t="shared" ca="1" si="893"/>
        <v>539</v>
      </c>
      <c r="FZ298">
        <f t="shared" ca="1" si="894"/>
        <v>866555</v>
      </c>
      <c r="GA298">
        <f t="shared" si="895"/>
        <v>75000</v>
      </c>
      <c r="GB298">
        <f t="shared" ca="1" si="896"/>
        <v>791555</v>
      </c>
      <c r="GC298">
        <f t="shared" ca="1" si="897"/>
        <v>0</v>
      </c>
      <c r="GD298">
        <f t="shared" ca="1" si="898"/>
        <v>0</v>
      </c>
      <c r="GE298">
        <f t="shared" ca="1" si="899"/>
        <v>0</v>
      </c>
      <c r="GF298">
        <f t="shared" ca="1" si="900"/>
        <v>0</v>
      </c>
      <c r="GG298">
        <f t="shared" ca="1" si="901"/>
        <v>0</v>
      </c>
      <c r="GH298">
        <f t="shared" ca="1" si="902"/>
        <v>0</v>
      </c>
      <c r="GI298">
        <f ca="1">IF(GB298&gt;1200000,GB298-1200000-IF(F298="YES",50000,0)-GG298,0)</f>
        <v>0</v>
      </c>
      <c r="GJ298">
        <f t="shared" ca="1" si="903"/>
        <v>0</v>
      </c>
      <c r="GK298">
        <f t="shared" ca="1" si="904"/>
        <v>0</v>
      </c>
      <c r="GL298">
        <f t="shared" ca="1" si="905"/>
        <v>0</v>
      </c>
      <c r="GM298">
        <f t="shared" ca="1" si="906"/>
        <v>391555</v>
      </c>
      <c r="GN298">
        <f t="shared" ca="1" si="907"/>
        <v>19577.75</v>
      </c>
      <c r="GO298">
        <f t="shared" ca="1" si="908"/>
        <v>19578</v>
      </c>
      <c r="GP298">
        <f t="shared" ca="1" si="909"/>
        <v>0</v>
      </c>
      <c r="GQ298">
        <f t="shared" ca="1" si="910"/>
        <v>0</v>
      </c>
      <c r="GR298">
        <f t="shared" ca="1" si="911"/>
        <v>19578</v>
      </c>
      <c r="GS298">
        <f t="shared" ca="1" si="912"/>
        <v>0</v>
      </c>
      <c r="GT298" t="b">
        <f t="shared" ca="1" si="913"/>
        <v>0</v>
      </c>
      <c r="GU298">
        <f t="shared" ca="1" si="914"/>
        <v>0</v>
      </c>
      <c r="GV298">
        <f t="shared" ca="1" si="915"/>
        <v>19578</v>
      </c>
      <c r="GW298">
        <f t="shared" ca="1" si="916"/>
        <v>0</v>
      </c>
      <c r="GX298">
        <f t="shared" ca="1" si="917"/>
        <v>0</v>
      </c>
      <c r="GY298">
        <f t="shared" ca="1" si="918"/>
        <v>0</v>
      </c>
    </row>
    <row r="299" spans="1:207" x14ac:dyDescent="0.25">
      <c r="A299">
        <f>_xlfn.AGGREGATE(3,5,$B$2:B299)</f>
        <v>298</v>
      </c>
      <c r="B299" t="s">
        <v>684</v>
      </c>
      <c r="C299" t="s">
        <v>685</v>
      </c>
      <c r="D299" t="s">
        <v>825</v>
      </c>
      <c r="E299" t="s">
        <v>831</v>
      </c>
      <c r="F299" t="s">
        <v>952</v>
      </c>
      <c r="G299" t="s">
        <v>887</v>
      </c>
      <c r="H299">
        <f t="shared" si="813"/>
        <v>6800</v>
      </c>
      <c r="I299">
        <f>_xlfn.XLOOKUP(B299,'[1]march-2026'!$A:$A,'[1]march-2026'!$C:$C,0,0)</f>
        <v>38800</v>
      </c>
      <c r="J299">
        <f t="shared" si="877"/>
        <v>6984</v>
      </c>
      <c r="K299">
        <f t="shared" si="814"/>
        <v>4656</v>
      </c>
      <c r="L299">
        <f>_xlfn.XLOOKUP(B299,'[1]march-2026'!$A:$A,'[1]march-2026'!$D:$D,0,0)</f>
        <v>0</v>
      </c>
      <c r="M299">
        <f>_xlfn.XLOOKUP(B299,'[1]march-2026'!$A:$A,'[1]march-2026'!$G:$G,0,0)</f>
        <v>500</v>
      </c>
      <c r="N299">
        <f t="shared" si="815"/>
        <v>50940</v>
      </c>
      <c r="O299">
        <f>_xlfn.XLOOKUP(B299,'[1]march-2026'!$A:$A,'[1]march-2026'!$H:$H,0,0)</f>
        <v>5000</v>
      </c>
      <c r="P299">
        <f>_xlfn.XLOOKUP(B299,'[1]march-2026'!$A:$A,'[1]march-2026'!$I:$I,0,0)</f>
        <v>0</v>
      </c>
      <c r="Q299">
        <f t="shared" si="816"/>
        <v>200</v>
      </c>
      <c r="R299">
        <f t="shared" si="817"/>
        <v>45740</v>
      </c>
      <c r="S299">
        <f>_xlfn.XLOOKUP(B299,'[2]april-2026'!$A:$A,'[2]april-2026'!$C:$C,0,0)</f>
        <v>38800</v>
      </c>
      <c r="T299">
        <f t="shared" si="818"/>
        <v>6984</v>
      </c>
      <c r="U299">
        <f t="shared" si="819"/>
        <v>4656</v>
      </c>
      <c r="V299">
        <f>_xlfn.XLOOKUP(B299,'[2]april-2026'!$A:$A,'[2]april-2026'!$D:$D,0,0)</f>
        <v>0</v>
      </c>
      <c r="W299">
        <f>_xlfn.XLOOKUP(B299,'[2]april-2026'!$A:$A,'[2]april-2026'!$G:$G,0,0)</f>
        <v>500</v>
      </c>
      <c r="X299">
        <f t="shared" si="820"/>
        <v>50940</v>
      </c>
      <c r="Y299">
        <f>_xlfn.XLOOKUP(B299,'[2]april-2026'!$A:$A,'[2]april-2026'!$H:$H,0,0)</f>
        <v>5000</v>
      </c>
      <c r="Z299">
        <f>_xlfn.XLOOKUP(B299,'[2]april-2026'!$A:$A,'[2]april-2026'!$I:$I,0,0)</f>
        <v>0</v>
      </c>
      <c r="AA299">
        <f t="shared" si="821"/>
        <v>200</v>
      </c>
      <c r="AB299">
        <f t="shared" si="822"/>
        <v>45740</v>
      </c>
      <c r="AC299">
        <f>_xlfn.XLOOKUP(B299,'[3]may-2026'!$A:$A,'[3]may-2026'!$C:$C,0,0)</f>
        <v>38800</v>
      </c>
      <c r="AD299">
        <f t="shared" si="823"/>
        <v>6984</v>
      </c>
      <c r="AE299">
        <f t="shared" si="824"/>
        <v>4656</v>
      </c>
      <c r="AF299">
        <f>_xlfn.XLOOKUP(B299,'[3]may-2026'!$A:$A,'[3]may-2026'!$D:$D,0,0)</f>
        <v>0</v>
      </c>
      <c r="AG299">
        <f>_xlfn.XLOOKUP(B299,'[3]may-2026'!$A:$A,'[3]may-2026'!$G:$G,0,0)</f>
        <v>500</v>
      </c>
      <c r="AH299">
        <f t="shared" si="825"/>
        <v>50940</v>
      </c>
      <c r="AI299">
        <f>_xlfn.XLOOKUP(B299,'[3]may-2026'!$A:$A,'[3]may-2026'!$H:$H,0,0)</f>
        <v>5000</v>
      </c>
      <c r="AJ299">
        <f>_xlfn.XLOOKUP(B299,'[3]may-2026'!$A:$A,'[3]may-2026'!$I:$I,0,0)</f>
        <v>0</v>
      </c>
      <c r="AK299">
        <f t="shared" si="826"/>
        <v>200</v>
      </c>
      <c r="AL299">
        <f t="shared" si="827"/>
        <v>45740</v>
      </c>
      <c r="AM299">
        <f>_xlfn.XLOOKUP(B299,'[4]june-2026'!$A:$A,'[4]june-2026'!$C:$C,0,0)</f>
        <v>38800</v>
      </c>
      <c r="AN299">
        <f t="shared" si="828"/>
        <v>6984</v>
      </c>
      <c r="AO299">
        <f t="shared" si="829"/>
        <v>4656</v>
      </c>
      <c r="AP299">
        <f>_xlfn.XLOOKUP(B299,'[4]june-2026'!$A:$A,'[4]june-2026'!$D:$D,0,0)</f>
        <v>0</v>
      </c>
      <c r="AQ299">
        <f>_xlfn.XLOOKUP(B299,'[4]june-2026'!$A:$A,'[4]june-2026'!$G:$G,0,0)</f>
        <v>500</v>
      </c>
      <c r="AR299">
        <f t="shared" si="830"/>
        <v>50940</v>
      </c>
      <c r="AS299">
        <f>_xlfn.XLOOKUP(B299,'[4]june-2026'!$A:$A,'[4]june-2026'!$H:$H,0,0)</f>
        <v>5000</v>
      </c>
      <c r="AT299">
        <f>_xlfn.XLOOKUP(B299,'[4]june-2026'!$A:$A,'[4]june-2026'!$I:$I,0,0)</f>
        <v>0</v>
      </c>
      <c r="AU299">
        <f t="shared" si="831"/>
        <v>200</v>
      </c>
      <c r="AV299">
        <f t="shared" si="832"/>
        <v>45740</v>
      </c>
      <c r="AW299">
        <f>_xlfn.XLOOKUP(B299,'[5]july-2026'!$A:$A,'[5]july-2026'!$C:$C,0,0)</f>
        <v>40000</v>
      </c>
      <c r="AX299">
        <f t="shared" si="833"/>
        <v>7200</v>
      </c>
      <c r="AY299">
        <v>297</v>
      </c>
      <c r="AZ299">
        <f t="shared" si="834"/>
        <v>4800</v>
      </c>
      <c r="BA299">
        <f>_xlfn.XLOOKUP(B299,'[5]july-2026'!$A:$A,'[5]july-2026'!$D:$D,0,0)</f>
        <v>0</v>
      </c>
      <c r="BB299">
        <f>_xlfn.XLOOKUP(B299,'[5]july-2026'!$A:$A,'[5]july-2026'!$G:$G,0,0)</f>
        <v>500</v>
      </c>
      <c r="BC299">
        <f t="shared" si="835"/>
        <v>52797</v>
      </c>
      <c r="BD299">
        <f>_xlfn.XLOOKUP(B299,'[5]july-2026'!$A:$A,'[5]july-2026'!$H:$H,0,0)</f>
        <v>5000</v>
      </c>
      <c r="BE299">
        <f>_xlfn.XLOOKUP(B299,'[5]july-2026'!$A:$A,'[5]july-2026'!$I:$I,0,0)</f>
        <v>0</v>
      </c>
      <c r="BF299">
        <f t="shared" si="836"/>
        <v>200</v>
      </c>
      <c r="BG299">
        <f t="shared" si="837"/>
        <v>47597</v>
      </c>
      <c r="BH299">
        <f>_xlfn.XLOOKUP(B299,'[6]august-2026'!$A:$A,'[6]august-2026'!$C:$C,0,0)</f>
        <v>40000</v>
      </c>
      <c r="BI299">
        <f t="shared" si="838"/>
        <v>7200</v>
      </c>
      <c r="BJ299">
        <f t="shared" si="839"/>
        <v>4800</v>
      </c>
      <c r="BK299">
        <f>_xlfn.XLOOKUP(B299,'[6]august-2026'!$A:$A,'[6]august-2026'!$D:$D,0,0)</f>
        <v>0</v>
      </c>
      <c r="BL299">
        <f>_xlfn.XLOOKUP(B299,'[6]august-2026'!$A:$A,'[6]august-2026'!$G:$G,0,0)</f>
        <v>500</v>
      </c>
      <c r="BM299">
        <f t="shared" si="840"/>
        <v>52500</v>
      </c>
      <c r="BN299">
        <f>_xlfn.XLOOKUP(B299,'[6]august-2026'!$A:$A,'[6]august-2026'!$H:$H,0,0)</f>
        <v>5000</v>
      </c>
      <c r="BO299">
        <f>_xlfn.XLOOKUP(B299,'[6]august-2026'!$A:$A,'[6]august-2026'!$I:$I,0,0)</f>
        <v>0</v>
      </c>
      <c r="BP299">
        <f t="shared" si="841"/>
        <v>200</v>
      </c>
      <c r="BQ299">
        <f t="shared" si="842"/>
        <v>47300</v>
      </c>
      <c r="BR299">
        <f>_xlfn.XLOOKUP(B299,'[7]september-2026'!$A:$A,'[7]september-2026'!$C:$C,0,0)</f>
        <v>40000</v>
      </c>
      <c r="BS299">
        <f t="shared" si="843"/>
        <v>7200</v>
      </c>
      <c r="BT299">
        <f t="shared" si="844"/>
        <v>4800</v>
      </c>
      <c r="BU299">
        <f>_xlfn.XLOOKUP(B299,'[7]september-2026'!$A:$A,'[7]september-2026'!$D:$D,0,0)</f>
        <v>0</v>
      </c>
      <c r="BV299">
        <f>_xlfn.XLOOKUP(B299,'[7]september-2026'!$A:$A,'[7]september-2026'!$G:$G,0,0)</f>
        <v>500</v>
      </c>
      <c r="BW299">
        <f t="shared" si="845"/>
        <v>52500</v>
      </c>
      <c r="BX299">
        <f>_xlfn.XLOOKUP(B299,'[7]september-2026'!$A:$A,'[7]september-2026'!$H:$H,0,0)</f>
        <v>5000</v>
      </c>
      <c r="BY299">
        <f>_xlfn.XLOOKUP(B299,'[7]september-2026'!$A:$A,'[7]september-2026'!$I:$I,0,0)</f>
        <v>0</v>
      </c>
      <c r="BZ299">
        <f t="shared" si="846"/>
        <v>200</v>
      </c>
      <c r="CA299">
        <f t="shared" si="847"/>
        <v>47300</v>
      </c>
      <c r="CB299">
        <f>_xlfn.XLOOKUP(B299,'[8]october-2026'!$A:$A,'[8]october-2026'!$C:$C,0,0)</f>
        <v>40000</v>
      </c>
      <c r="CC299">
        <f t="shared" si="848"/>
        <v>7200</v>
      </c>
      <c r="CD299">
        <f t="shared" si="849"/>
        <v>4800</v>
      </c>
      <c r="CE299">
        <f>_xlfn.XLOOKUP(B299,'[8]october-2026'!$A:$A,'[8]october-2026'!$D:$D,0,0)</f>
        <v>0</v>
      </c>
      <c r="CF299">
        <f>_xlfn.XLOOKUP(B299,'[8]october-2026'!$A:$A,'[8]october-2026'!$G:$G,0,0)</f>
        <v>500</v>
      </c>
      <c r="CG299">
        <f t="shared" si="850"/>
        <v>52500</v>
      </c>
      <c r="CH299">
        <f>_xlfn.XLOOKUP(B299,'[8]october-2026'!$A:$A,'[8]october-2026'!$H:$H,0,0)</f>
        <v>5000</v>
      </c>
      <c r="CI299">
        <f>_xlfn.XLOOKUP(B299,'[8]october-2026'!$A:$A,'[8]october-2026'!$I:$I,0,0)</f>
        <v>0</v>
      </c>
      <c r="CJ299">
        <f t="shared" si="851"/>
        <v>200</v>
      </c>
      <c r="CK299">
        <f t="shared" si="852"/>
        <v>47300</v>
      </c>
      <c r="CL299">
        <f>_xlfn.XLOOKUP(B299,'[9]november-2026'!$A:$A,'[9]november-2026'!$C:$C,0,0)</f>
        <v>40000</v>
      </c>
      <c r="CM299">
        <f t="shared" si="853"/>
        <v>7200</v>
      </c>
      <c r="CN299">
        <f t="shared" si="854"/>
        <v>4800</v>
      </c>
      <c r="CO299">
        <f>_xlfn.XLOOKUP(B299,'[9]november-2026'!$A:$A,'[9]november-2026'!$D:$D,0,0)</f>
        <v>0</v>
      </c>
      <c r="CP299">
        <f>_xlfn.XLOOKUP(B299,'[9]november-2026'!$A:$A,'[9]november-2026'!$G:$G,0,0)</f>
        <v>500</v>
      </c>
      <c r="CQ299">
        <f t="shared" si="855"/>
        <v>52500</v>
      </c>
      <c r="CR299">
        <f>_xlfn.XLOOKUP(B299,'[9]november-2026'!$A:$A,'[9]november-2026'!$H:$H,0,0)</f>
        <v>5000</v>
      </c>
      <c r="CS299">
        <f>_xlfn.XLOOKUP(B299,'[9]november-2026'!$A:$A,'[9]november-2026'!$I:$I,0,0)</f>
        <v>0</v>
      </c>
      <c r="CT299">
        <f t="shared" si="856"/>
        <v>200</v>
      </c>
      <c r="CU299">
        <f t="shared" si="857"/>
        <v>47300</v>
      </c>
      <c r="CV299">
        <f>_xlfn.XLOOKUP(B299,'[10]december-2026'!$A:$A,'[10]december-2026'!$C:$C,0,0)</f>
        <v>40000</v>
      </c>
      <c r="CW299">
        <f t="shared" si="858"/>
        <v>7200</v>
      </c>
      <c r="CX299">
        <f t="shared" si="859"/>
        <v>4800</v>
      </c>
      <c r="CY299">
        <f>_xlfn.XLOOKUP(B299,'[10]december-2026'!$A:$A,'[10]december-2026'!$D:$D,0,0)</f>
        <v>0</v>
      </c>
      <c r="CZ299">
        <f>_xlfn.XLOOKUP(B299,'[10]december-2026'!$A:$A,'[10]december-2026'!$G:$G,0,0)</f>
        <v>500</v>
      </c>
      <c r="DA299">
        <f t="shared" si="860"/>
        <v>52500</v>
      </c>
      <c r="DB299">
        <f>_xlfn.XLOOKUP(B299,'[10]december-2026'!$A:$A,'[10]december-2026'!$H:$H,0,0)</f>
        <v>5000</v>
      </c>
      <c r="DC299">
        <f>_xlfn.XLOOKUP(B299,'[10]december-2026'!$A:$A,'[10]december-2026'!$I:$I,0,0)</f>
        <v>0</v>
      </c>
      <c r="DD299">
        <f t="shared" si="861"/>
        <v>200</v>
      </c>
      <c r="DE299">
        <f t="shared" si="862"/>
        <v>47300</v>
      </c>
      <c r="DF299">
        <f xml:space="preserve"> _xlfn.XLOOKUP(B299,
'[11]january-2027'!$A:$A,
'[11]january-2027'!$C:$C,
0,0)</f>
        <v>40000</v>
      </c>
      <c r="DG299">
        <f t="shared" si="863"/>
        <v>7200</v>
      </c>
      <c r="DH299">
        <f t="shared" si="864"/>
        <v>4800</v>
      </c>
      <c r="DI299">
        <f xml:space="preserve"> _xlfn.XLOOKUP(B299,
'[11]january-2027'!$A:$A,
'[11]january-2027'!$D:$D,
0,0)</f>
        <v>0</v>
      </c>
      <c r="DJ299">
        <f xml:space="preserve"> _xlfn.XLOOKUP(B299,
'[11]january-2027'!$A:$A,
'[11]january-2027'!$G:$G,
0,0)</f>
        <v>500</v>
      </c>
      <c r="DK299">
        <f t="shared" si="865"/>
        <v>52500</v>
      </c>
      <c r="DL299">
        <f xml:space="preserve"> _xlfn.XLOOKUP(B299,
'[11]january-2027'!$A:$A,
'[11]january-2027'!$H:$H,
0,0)</f>
        <v>5000</v>
      </c>
      <c r="DM299">
        <f xml:space="preserve"> _xlfn.XLOOKUP(B299,
'[11]january-2027'!$A:$A,
'[11]january-2027'!$I:$I,
0,0)</f>
        <v>0</v>
      </c>
      <c r="DN299">
        <f t="shared" si="866"/>
        <v>200</v>
      </c>
      <c r="DO299">
        <f t="shared" si="867"/>
        <v>47300</v>
      </c>
      <c r="DP299">
        <f xml:space="preserve"> _xlfn.XLOOKUP(B299,
'[12]february-2027'!$A:$A,
'[12]february-2027'!$C:$C,
0,0)</f>
        <v>40000</v>
      </c>
      <c r="DQ299">
        <f t="shared" si="868"/>
        <v>7200</v>
      </c>
      <c r="DR299">
        <f t="shared" si="869"/>
        <v>4800</v>
      </c>
      <c r="DS299">
        <f xml:space="preserve"> _xlfn.XLOOKUP(B299,
'[12]february-2027'!$A:$A,
'[12]february-2027'!$D:$D,
0,0)</f>
        <v>0</v>
      </c>
      <c r="DT299">
        <f xml:space="preserve"> _xlfn.XLOOKUP(B299,
'[12]february-2027'!$A:$A,
'[12]february-2027'!$G:$G,
0,0)</f>
        <v>500</v>
      </c>
      <c r="DU299">
        <f t="shared" si="870"/>
        <v>52500</v>
      </c>
      <c r="DV299">
        <f xml:space="preserve"> _xlfn.XLOOKUP(B299,
'[12]february-2027'!$A:$A,
'[12]february-2027'!$H:$H,
0,0)</f>
        <v>5000</v>
      </c>
      <c r="DW299">
        <f xml:space="preserve"> _xlfn.XLOOKUP(B299,
'[12]february-2027'!$A:$A,
'[12]february-2027'!$I:$I,
0,0)</f>
        <v>0</v>
      </c>
      <c r="DX299">
        <f t="shared" si="871"/>
        <v>200</v>
      </c>
      <c r="DY299">
        <f t="shared" si="872"/>
        <v>47300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873"/>
        <v>0</v>
      </c>
      <c r="EM299">
        <f t="shared" si="874"/>
        <v>630857</v>
      </c>
      <c r="EN299">
        <f t="shared" si="875"/>
        <v>2400</v>
      </c>
      <c r="EO299">
        <f t="shared" si="876"/>
        <v>50000</v>
      </c>
      <c r="EP299">
        <v>0</v>
      </c>
      <c r="EQ299">
        <f t="shared" si="878"/>
        <v>578457</v>
      </c>
      <c r="ER299">
        <f t="shared" si="879"/>
        <v>60000</v>
      </c>
      <c r="ES299">
        <f t="shared" si="880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881"/>
        <v>60000</v>
      </c>
      <c r="FE299">
        <f t="shared" si="882"/>
        <v>60000</v>
      </c>
      <c r="FF299">
        <f t="shared" si="883"/>
        <v>518457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>SUM(FG299:FM299)+(IF(F299="YES",50000,0))</f>
        <v>0</v>
      </c>
      <c r="FO299">
        <f t="shared" si="884"/>
        <v>518457</v>
      </c>
      <c r="FP299">
        <f t="shared" si="885"/>
        <v>12500</v>
      </c>
      <c r="FQ299">
        <f t="shared" si="886"/>
        <v>3691</v>
      </c>
      <c r="FR299">
        <f t="shared" si="887"/>
        <v>16191</v>
      </c>
      <c r="FS299">
        <f t="shared" si="888"/>
        <v>16191</v>
      </c>
      <c r="FT299">
        <f t="shared" si="889"/>
        <v>647.64</v>
      </c>
      <c r="FU299">
        <f t="shared" si="890"/>
        <v>16839</v>
      </c>
      <c r="FV299">
        <v>0</v>
      </c>
      <c r="FW299">
        <f t="shared" si="891"/>
        <v>16839</v>
      </c>
      <c r="FX299" t="b">
        <f t="shared" si="892"/>
        <v>1</v>
      </c>
      <c r="FY299">
        <f t="shared" ca="1" si="893"/>
        <v>950</v>
      </c>
      <c r="FZ299">
        <f t="shared" ca="1" si="894"/>
        <v>631807</v>
      </c>
      <c r="GA299">
        <f t="shared" si="895"/>
        <v>75000</v>
      </c>
      <c r="GB299">
        <f t="shared" ca="1" si="896"/>
        <v>556807</v>
      </c>
      <c r="GC299">
        <f t="shared" ca="1" si="897"/>
        <v>0</v>
      </c>
      <c r="GD299">
        <f t="shared" ca="1" si="898"/>
        <v>0</v>
      </c>
      <c r="GE299">
        <f t="shared" ca="1" si="899"/>
        <v>0</v>
      </c>
      <c r="GF299">
        <f t="shared" ca="1" si="900"/>
        <v>0</v>
      </c>
      <c r="GG299">
        <f t="shared" ca="1" si="901"/>
        <v>0</v>
      </c>
      <c r="GH299">
        <f t="shared" ca="1" si="902"/>
        <v>0</v>
      </c>
      <c r="GI299">
        <f ca="1">IF(GB299&gt;1200000,GB299-1200000-IF(F299="YES",50000,0)-GG299,0)</f>
        <v>0</v>
      </c>
      <c r="GJ299">
        <f t="shared" ca="1" si="903"/>
        <v>0</v>
      </c>
      <c r="GK299">
        <f t="shared" ca="1" si="904"/>
        <v>0</v>
      </c>
      <c r="GL299">
        <f t="shared" ca="1" si="905"/>
        <v>0</v>
      </c>
      <c r="GM299">
        <f t="shared" ca="1" si="906"/>
        <v>156807</v>
      </c>
      <c r="GN299">
        <f t="shared" ca="1" si="907"/>
        <v>7840.35</v>
      </c>
      <c r="GO299">
        <f t="shared" ca="1" si="908"/>
        <v>7840</v>
      </c>
      <c r="GP299">
        <f t="shared" ca="1" si="909"/>
        <v>0</v>
      </c>
      <c r="GQ299">
        <f t="shared" ca="1" si="910"/>
        <v>0</v>
      </c>
      <c r="GR299">
        <f t="shared" ca="1" si="911"/>
        <v>7840</v>
      </c>
      <c r="GS299">
        <f t="shared" ca="1" si="912"/>
        <v>0</v>
      </c>
      <c r="GT299" t="b">
        <f t="shared" ca="1" si="913"/>
        <v>0</v>
      </c>
      <c r="GU299">
        <f t="shared" ca="1" si="914"/>
        <v>0</v>
      </c>
      <c r="GV299">
        <f t="shared" ca="1" si="915"/>
        <v>7840</v>
      </c>
      <c r="GW299">
        <f t="shared" ca="1" si="916"/>
        <v>0</v>
      </c>
      <c r="GX299">
        <f t="shared" ca="1" si="917"/>
        <v>0</v>
      </c>
      <c r="GY299">
        <f t="shared" ca="1" si="918"/>
        <v>0</v>
      </c>
    </row>
    <row r="300" spans="1:207" x14ac:dyDescent="0.25">
      <c r="A300">
        <f>_xlfn.AGGREGATE(3,5,$B$2:B300)</f>
        <v>299</v>
      </c>
      <c r="B300" t="s">
        <v>686</v>
      </c>
      <c r="C300" t="s">
        <v>687</v>
      </c>
      <c r="D300" t="s">
        <v>825</v>
      </c>
      <c r="E300" t="s">
        <v>830</v>
      </c>
      <c r="F300" t="s">
        <v>952</v>
      </c>
      <c r="G300" t="s">
        <v>878</v>
      </c>
      <c r="H300">
        <f t="shared" si="813"/>
        <v>6800</v>
      </c>
      <c r="I300">
        <f>_xlfn.XLOOKUP(B300,'[1]march-2026'!$A:$A,'[1]march-2026'!$C:$C,0,0)</f>
        <v>32500</v>
      </c>
      <c r="J300">
        <f t="shared" si="877"/>
        <v>5850</v>
      </c>
      <c r="K300">
        <f t="shared" si="814"/>
        <v>3900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815"/>
        <v>42750</v>
      </c>
      <c r="O300">
        <f>_xlfn.XLOOKUP(B300,'[1]march-2026'!$A:$A,'[1]march-2026'!$H:$H,0,0)</f>
        <v>2000</v>
      </c>
      <c r="P300">
        <f>_xlfn.XLOOKUP(B300,'[1]march-2026'!$A:$A,'[1]march-2026'!$I:$I,0,0)</f>
        <v>0</v>
      </c>
      <c r="Q300">
        <f t="shared" si="816"/>
        <v>200</v>
      </c>
      <c r="R300">
        <f t="shared" si="817"/>
        <v>40550</v>
      </c>
      <c r="S300">
        <f>_xlfn.XLOOKUP(B300,'[2]april-2026'!$A:$A,'[2]april-2026'!$C:$C,0,0)</f>
        <v>32500</v>
      </c>
      <c r="T300">
        <f t="shared" si="818"/>
        <v>5850</v>
      </c>
      <c r="U300">
        <f t="shared" si="819"/>
        <v>3900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820"/>
        <v>42750</v>
      </c>
      <c r="Y300">
        <f>_xlfn.XLOOKUP(B300,'[2]april-2026'!$A:$A,'[2]april-2026'!$H:$H,0,0)</f>
        <v>2000</v>
      </c>
      <c r="Z300">
        <f>_xlfn.XLOOKUP(B300,'[2]april-2026'!$A:$A,'[2]april-2026'!$I:$I,0,0)</f>
        <v>0</v>
      </c>
      <c r="AA300">
        <f t="shared" si="821"/>
        <v>200</v>
      </c>
      <c r="AB300">
        <f t="shared" si="822"/>
        <v>40550</v>
      </c>
      <c r="AC300">
        <f>_xlfn.XLOOKUP(B300,'[3]may-2026'!$A:$A,'[3]may-2026'!$C:$C,0,0)</f>
        <v>32500</v>
      </c>
      <c r="AD300">
        <f t="shared" si="823"/>
        <v>5850</v>
      </c>
      <c r="AE300">
        <f t="shared" si="824"/>
        <v>3900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825"/>
        <v>42750</v>
      </c>
      <c r="AI300">
        <f>_xlfn.XLOOKUP(B300,'[3]may-2026'!$A:$A,'[3]may-2026'!$H:$H,0,0)</f>
        <v>2000</v>
      </c>
      <c r="AJ300">
        <f>_xlfn.XLOOKUP(B300,'[3]may-2026'!$A:$A,'[3]may-2026'!$I:$I,0,0)</f>
        <v>0</v>
      </c>
      <c r="AK300">
        <f t="shared" si="826"/>
        <v>200</v>
      </c>
      <c r="AL300">
        <f t="shared" si="827"/>
        <v>40550</v>
      </c>
      <c r="AM300">
        <f>_xlfn.XLOOKUP(B300,'[4]june-2026'!$A:$A,'[4]june-2026'!$C:$C,0,0)</f>
        <v>32500</v>
      </c>
      <c r="AN300">
        <f t="shared" si="828"/>
        <v>5850</v>
      </c>
      <c r="AO300">
        <f t="shared" si="829"/>
        <v>3900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830"/>
        <v>42750</v>
      </c>
      <c r="AS300">
        <f>_xlfn.XLOOKUP(B300,'[4]june-2026'!$A:$A,'[4]june-2026'!$H:$H,0,0)</f>
        <v>2000</v>
      </c>
      <c r="AT300">
        <f>_xlfn.XLOOKUP(B300,'[4]june-2026'!$A:$A,'[4]june-2026'!$I:$I,0,0)</f>
        <v>0</v>
      </c>
      <c r="AU300">
        <f t="shared" si="831"/>
        <v>200</v>
      </c>
      <c r="AV300">
        <f t="shared" si="832"/>
        <v>40550</v>
      </c>
      <c r="AW300">
        <f>_xlfn.XLOOKUP(B300,'[5]july-2026'!$A:$A,'[5]july-2026'!$C:$C,0,0)</f>
        <v>33500</v>
      </c>
      <c r="AX300">
        <f t="shared" si="833"/>
        <v>6030</v>
      </c>
      <c r="AY300">
        <v>298</v>
      </c>
      <c r="AZ300">
        <f t="shared" si="834"/>
        <v>4020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835"/>
        <v>44348</v>
      </c>
      <c r="BD300">
        <f>_xlfn.XLOOKUP(B300,'[5]july-2026'!$A:$A,'[5]july-2026'!$H:$H,0,0)</f>
        <v>2000</v>
      </c>
      <c r="BE300">
        <f>_xlfn.XLOOKUP(B300,'[5]july-2026'!$A:$A,'[5]july-2026'!$I:$I,0,0)</f>
        <v>0</v>
      </c>
      <c r="BF300">
        <f t="shared" si="836"/>
        <v>200</v>
      </c>
      <c r="BG300">
        <f t="shared" si="837"/>
        <v>42148</v>
      </c>
      <c r="BH300">
        <f>_xlfn.XLOOKUP(B300,'[6]august-2026'!$A:$A,'[6]august-2026'!$C:$C,0,0)</f>
        <v>33500</v>
      </c>
      <c r="BI300">
        <f t="shared" si="838"/>
        <v>6030</v>
      </c>
      <c r="BJ300">
        <f t="shared" si="839"/>
        <v>4020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840"/>
        <v>44050</v>
      </c>
      <c r="BN300">
        <f>_xlfn.XLOOKUP(B300,'[6]august-2026'!$A:$A,'[6]august-2026'!$H:$H,0,0)</f>
        <v>2000</v>
      </c>
      <c r="BO300">
        <f>_xlfn.XLOOKUP(B300,'[6]august-2026'!$A:$A,'[6]august-2026'!$I:$I,0,0)</f>
        <v>0</v>
      </c>
      <c r="BP300">
        <f t="shared" si="841"/>
        <v>200</v>
      </c>
      <c r="BQ300">
        <f t="shared" si="842"/>
        <v>41850</v>
      </c>
      <c r="BR300">
        <f>_xlfn.XLOOKUP(B300,'[7]september-2026'!$A:$A,'[7]september-2026'!$C:$C,0,0)</f>
        <v>33500</v>
      </c>
      <c r="BS300">
        <f t="shared" si="843"/>
        <v>6030</v>
      </c>
      <c r="BT300">
        <f t="shared" si="844"/>
        <v>4020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845"/>
        <v>44050</v>
      </c>
      <c r="BX300">
        <f>_xlfn.XLOOKUP(B300,'[7]september-2026'!$A:$A,'[7]september-2026'!$H:$H,0,0)</f>
        <v>2000</v>
      </c>
      <c r="BY300">
        <f>_xlfn.XLOOKUP(B300,'[7]september-2026'!$A:$A,'[7]september-2026'!$I:$I,0,0)</f>
        <v>0</v>
      </c>
      <c r="BZ300">
        <f t="shared" si="846"/>
        <v>200</v>
      </c>
      <c r="CA300">
        <f t="shared" si="847"/>
        <v>41850</v>
      </c>
      <c r="CB300">
        <f>_xlfn.XLOOKUP(B300,'[8]october-2026'!$A:$A,'[8]october-2026'!$C:$C,0,0)</f>
        <v>33500</v>
      </c>
      <c r="CC300">
        <f t="shared" si="848"/>
        <v>6030</v>
      </c>
      <c r="CD300">
        <f t="shared" si="849"/>
        <v>4020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850"/>
        <v>44050</v>
      </c>
      <c r="CH300">
        <f>_xlfn.XLOOKUP(B300,'[8]october-2026'!$A:$A,'[8]october-2026'!$H:$H,0,0)</f>
        <v>2000</v>
      </c>
      <c r="CI300">
        <f>_xlfn.XLOOKUP(B300,'[8]october-2026'!$A:$A,'[8]october-2026'!$I:$I,0,0)</f>
        <v>0</v>
      </c>
      <c r="CJ300">
        <f t="shared" si="851"/>
        <v>200</v>
      </c>
      <c r="CK300">
        <f t="shared" si="852"/>
        <v>41850</v>
      </c>
      <c r="CL300">
        <f>_xlfn.XLOOKUP(B300,'[9]november-2026'!$A:$A,'[9]november-2026'!$C:$C,0,0)</f>
        <v>33500</v>
      </c>
      <c r="CM300">
        <f t="shared" si="853"/>
        <v>6030</v>
      </c>
      <c r="CN300">
        <f t="shared" si="854"/>
        <v>4020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855"/>
        <v>44050</v>
      </c>
      <c r="CR300">
        <f>_xlfn.XLOOKUP(B300,'[9]november-2026'!$A:$A,'[9]november-2026'!$H:$H,0,0)</f>
        <v>2000</v>
      </c>
      <c r="CS300">
        <f>_xlfn.XLOOKUP(B300,'[9]november-2026'!$A:$A,'[9]november-2026'!$I:$I,0,0)</f>
        <v>0</v>
      </c>
      <c r="CT300">
        <f t="shared" si="856"/>
        <v>200</v>
      </c>
      <c r="CU300">
        <f t="shared" si="857"/>
        <v>41850</v>
      </c>
      <c r="CV300">
        <f>_xlfn.XLOOKUP(B300,'[10]december-2026'!$A:$A,'[10]december-2026'!$C:$C,0,0)</f>
        <v>33500</v>
      </c>
      <c r="CW300">
        <f t="shared" si="858"/>
        <v>6030</v>
      </c>
      <c r="CX300">
        <f t="shared" si="859"/>
        <v>4020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860"/>
        <v>44050</v>
      </c>
      <c r="DB300">
        <f>_xlfn.XLOOKUP(B300,'[10]december-2026'!$A:$A,'[10]december-2026'!$H:$H,0,0)</f>
        <v>2000</v>
      </c>
      <c r="DC300">
        <f>_xlfn.XLOOKUP(B300,'[10]december-2026'!$A:$A,'[10]december-2026'!$I:$I,0,0)</f>
        <v>0</v>
      </c>
      <c r="DD300">
        <f t="shared" si="861"/>
        <v>200</v>
      </c>
      <c r="DE300">
        <f t="shared" si="862"/>
        <v>41850</v>
      </c>
      <c r="DF300">
        <f xml:space="preserve"> _xlfn.XLOOKUP(B300,
'[11]january-2027'!$A:$A,
'[11]january-2027'!$C:$C,
0,0)</f>
        <v>33500</v>
      </c>
      <c r="DG300">
        <f t="shared" si="863"/>
        <v>6030</v>
      </c>
      <c r="DH300">
        <f t="shared" si="864"/>
        <v>4020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865"/>
        <v>44050</v>
      </c>
      <c r="DL300">
        <f xml:space="preserve"> _xlfn.XLOOKUP(B300,
'[11]january-2027'!$A:$A,
'[11]january-2027'!$H:$H,
0,0)</f>
        <v>2000</v>
      </c>
      <c r="DM300">
        <f xml:space="preserve"> _xlfn.XLOOKUP(B300,
'[11]january-2027'!$A:$A,
'[11]january-2027'!$I:$I,
0,0)</f>
        <v>0</v>
      </c>
      <c r="DN300">
        <f t="shared" si="866"/>
        <v>200</v>
      </c>
      <c r="DO300">
        <f t="shared" si="867"/>
        <v>41850</v>
      </c>
      <c r="DP300">
        <f xml:space="preserve"> _xlfn.XLOOKUP(B300,
'[12]february-2027'!$A:$A,
'[12]february-2027'!$C:$C,
0,0)</f>
        <v>33500</v>
      </c>
      <c r="DQ300">
        <f t="shared" si="868"/>
        <v>6030</v>
      </c>
      <c r="DR300">
        <f t="shared" si="869"/>
        <v>4020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870"/>
        <v>44050</v>
      </c>
      <c r="DV300">
        <f xml:space="preserve"> _xlfn.XLOOKUP(B300,
'[12]february-2027'!$A:$A,
'[12]february-2027'!$H:$H,
0,0)</f>
        <v>2000</v>
      </c>
      <c r="DW300">
        <f xml:space="preserve"> _xlfn.XLOOKUP(B300,
'[12]february-2027'!$A:$A,
'[12]february-2027'!$I:$I,
0,0)</f>
        <v>0</v>
      </c>
      <c r="DX300">
        <f t="shared" si="871"/>
        <v>200</v>
      </c>
      <c r="DY300">
        <f t="shared" si="872"/>
        <v>41850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873"/>
        <v>0</v>
      </c>
      <c r="EM300">
        <f t="shared" si="874"/>
        <v>530498</v>
      </c>
      <c r="EN300">
        <f t="shared" si="875"/>
        <v>2400</v>
      </c>
      <c r="EO300">
        <f t="shared" si="876"/>
        <v>50000</v>
      </c>
      <c r="EP300">
        <v>0</v>
      </c>
      <c r="EQ300">
        <f t="shared" si="878"/>
        <v>478098</v>
      </c>
      <c r="ER300">
        <f t="shared" si="879"/>
        <v>24000</v>
      </c>
      <c r="ES300">
        <f t="shared" si="880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881"/>
        <v>24000</v>
      </c>
      <c r="FE300">
        <f t="shared" si="882"/>
        <v>24000</v>
      </c>
      <c r="FF300">
        <f t="shared" si="883"/>
        <v>454098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>SUM(FG300:FM300)+(IF(F300="YES",50000,0))</f>
        <v>0</v>
      </c>
      <c r="FO300">
        <f t="shared" si="884"/>
        <v>454098</v>
      </c>
      <c r="FP300">
        <f t="shared" si="885"/>
        <v>10205</v>
      </c>
      <c r="FQ300">
        <f t="shared" si="886"/>
        <v>0</v>
      </c>
      <c r="FR300">
        <f t="shared" si="887"/>
        <v>10205</v>
      </c>
      <c r="FS300">
        <f t="shared" si="888"/>
        <v>0</v>
      </c>
      <c r="FT300">
        <f t="shared" si="889"/>
        <v>0</v>
      </c>
      <c r="FU300">
        <f t="shared" si="890"/>
        <v>0</v>
      </c>
      <c r="FV300">
        <v>0</v>
      </c>
      <c r="FW300">
        <f t="shared" si="891"/>
        <v>0</v>
      </c>
      <c r="FX300" t="b">
        <f t="shared" si="892"/>
        <v>1</v>
      </c>
      <c r="FY300">
        <f t="shared" ca="1" si="893"/>
        <v>997</v>
      </c>
      <c r="FZ300">
        <f t="shared" ca="1" si="894"/>
        <v>531495</v>
      </c>
      <c r="GA300">
        <f t="shared" si="895"/>
        <v>75000</v>
      </c>
      <c r="GB300">
        <f t="shared" ca="1" si="896"/>
        <v>456495</v>
      </c>
      <c r="GC300">
        <f t="shared" ca="1" si="897"/>
        <v>0</v>
      </c>
      <c r="GD300">
        <f t="shared" ca="1" si="898"/>
        <v>0</v>
      </c>
      <c r="GE300">
        <f t="shared" ca="1" si="899"/>
        <v>0</v>
      </c>
      <c r="GF300">
        <f t="shared" ca="1" si="900"/>
        <v>0</v>
      </c>
      <c r="GG300">
        <f t="shared" ca="1" si="901"/>
        <v>0</v>
      </c>
      <c r="GH300">
        <f t="shared" ca="1" si="902"/>
        <v>0</v>
      </c>
      <c r="GI300">
        <f ca="1">IF(GB300&gt;1200000,GB300-1200000-IF(F300="YES",50000,0)-GG300,0)</f>
        <v>0</v>
      </c>
      <c r="GJ300">
        <f t="shared" ca="1" si="903"/>
        <v>0</v>
      </c>
      <c r="GK300">
        <f t="shared" ca="1" si="904"/>
        <v>0</v>
      </c>
      <c r="GL300">
        <f t="shared" ca="1" si="905"/>
        <v>0</v>
      </c>
      <c r="GM300">
        <f t="shared" ca="1" si="906"/>
        <v>56495</v>
      </c>
      <c r="GN300">
        <f t="shared" ca="1" si="907"/>
        <v>2824.75</v>
      </c>
      <c r="GO300">
        <f t="shared" ca="1" si="908"/>
        <v>2825</v>
      </c>
      <c r="GP300">
        <f t="shared" ca="1" si="909"/>
        <v>0</v>
      </c>
      <c r="GQ300">
        <f t="shared" ca="1" si="910"/>
        <v>0</v>
      </c>
      <c r="GR300">
        <f t="shared" ca="1" si="911"/>
        <v>2825</v>
      </c>
      <c r="GS300">
        <f t="shared" ca="1" si="912"/>
        <v>0</v>
      </c>
      <c r="GT300" t="b">
        <f t="shared" ca="1" si="913"/>
        <v>0</v>
      </c>
      <c r="GU300">
        <f t="shared" ca="1" si="914"/>
        <v>0</v>
      </c>
      <c r="GV300">
        <f t="shared" ca="1" si="915"/>
        <v>2825</v>
      </c>
      <c r="GW300">
        <f t="shared" ca="1" si="916"/>
        <v>0</v>
      </c>
      <c r="GX300">
        <f t="shared" ca="1" si="917"/>
        <v>0</v>
      </c>
      <c r="GY300">
        <f t="shared" ca="1" si="918"/>
        <v>0</v>
      </c>
    </row>
    <row r="301" spans="1:207" x14ac:dyDescent="0.25">
      <c r="A301">
        <f>_xlfn.AGGREGATE(3,5,$B$2:B301)</f>
        <v>300</v>
      </c>
      <c r="B301" t="s">
        <v>688</v>
      </c>
      <c r="C301" t="s">
        <v>689</v>
      </c>
      <c r="D301" t="s">
        <v>826</v>
      </c>
      <c r="E301" t="s">
        <v>831</v>
      </c>
      <c r="F301" t="s">
        <v>952</v>
      </c>
      <c r="G301" t="s">
        <v>884</v>
      </c>
      <c r="H301">
        <f t="shared" si="813"/>
        <v>6800</v>
      </c>
      <c r="I301">
        <f>_xlfn.XLOOKUP(B301,'[1]march-2026'!$A:$A,'[1]march-2026'!$C:$C,0,0)</f>
        <v>53300</v>
      </c>
      <c r="J301">
        <f t="shared" si="877"/>
        <v>9594</v>
      </c>
      <c r="K301">
        <f t="shared" si="814"/>
        <v>6396</v>
      </c>
      <c r="L301">
        <f>_xlfn.XLOOKUP(B301,'[1]march-2026'!$A:$A,'[1]march-2026'!$D:$D,0,0)</f>
        <v>400</v>
      </c>
      <c r="M301">
        <f>_xlfn.XLOOKUP(B301,'[1]march-2026'!$A:$A,'[1]march-2026'!$G:$G,0,0)</f>
        <v>0</v>
      </c>
      <c r="N301">
        <f t="shared" si="815"/>
        <v>69690</v>
      </c>
      <c r="O301">
        <f>_xlfn.XLOOKUP(B301,'[1]march-2026'!$A:$A,'[1]march-2026'!$H:$H,0,0)</f>
        <v>8000</v>
      </c>
      <c r="P301">
        <f>_xlfn.XLOOKUP(B301,'[1]march-2026'!$A:$A,'[1]march-2026'!$I:$I,0,0)</f>
        <v>60</v>
      </c>
      <c r="Q301">
        <f t="shared" si="816"/>
        <v>200</v>
      </c>
      <c r="R301">
        <f t="shared" si="817"/>
        <v>61430</v>
      </c>
      <c r="S301">
        <f>_xlfn.XLOOKUP(B301,'[2]april-2026'!$A:$A,'[2]april-2026'!$C:$C,0,0)</f>
        <v>53300</v>
      </c>
      <c r="T301">
        <f t="shared" si="818"/>
        <v>9594</v>
      </c>
      <c r="U301">
        <f t="shared" si="819"/>
        <v>6396</v>
      </c>
      <c r="V301">
        <f>_xlfn.XLOOKUP(B301,'[2]april-2026'!$A:$A,'[2]april-2026'!$D:$D,0,0)</f>
        <v>400</v>
      </c>
      <c r="W301">
        <f>_xlfn.XLOOKUP(B301,'[2]april-2026'!$A:$A,'[2]april-2026'!$G:$G,0,0)</f>
        <v>0</v>
      </c>
      <c r="X301">
        <f t="shared" si="820"/>
        <v>69690</v>
      </c>
      <c r="Y301">
        <f>_xlfn.XLOOKUP(B301,'[2]april-2026'!$A:$A,'[2]april-2026'!$H:$H,0,0)</f>
        <v>8000</v>
      </c>
      <c r="Z301">
        <f>_xlfn.XLOOKUP(B301,'[2]april-2026'!$A:$A,'[2]april-2026'!$I:$I,0,0)</f>
        <v>60</v>
      </c>
      <c r="AA301">
        <f t="shared" si="821"/>
        <v>200</v>
      </c>
      <c r="AB301">
        <f t="shared" si="822"/>
        <v>61430</v>
      </c>
      <c r="AC301">
        <f>_xlfn.XLOOKUP(B301,'[3]may-2026'!$A:$A,'[3]may-2026'!$C:$C,0,0)</f>
        <v>53300</v>
      </c>
      <c r="AD301">
        <f t="shared" si="823"/>
        <v>9594</v>
      </c>
      <c r="AE301">
        <f t="shared" si="824"/>
        <v>6396</v>
      </c>
      <c r="AF301">
        <f>_xlfn.XLOOKUP(B301,'[3]may-2026'!$A:$A,'[3]may-2026'!$D:$D,0,0)</f>
        <v>400</v>
      </c>
      <c r="AG301">
        <f>_xlfn.XLOOKUP(B301,'[3]may-2026'!$A:$A,'[3]may-2026'!$G:$G,0,0)</f>
        <v>0</v>
      </c>
      <c r="AH301">
        <f t="shared" si="825"/>
        <v>69690</v>
      </c>
      <c r="AI301">
        <f>_xlfn.XLOOKUP(B301,'[3]may-2026'!$A:$A,'[3]may-2026'!$H:$H,0,0)</f>
        <v>8000</v>
      </c>
      <c r="AJ301">
        <f>_xlfn.XLOOKUP(B301,'[3]may-2026'!$A:$A,'[3]may-2026'!$I:$I,0,0)</f>
        <v>60</v>
      </c>
      <c r="AK301">
        <f t="shared" si="826"/>
        <v>200</v>
      </c>
      <c r="AL301">
        <f t="shared" si="827"/>
        <v>61430</v>
      </c>
      <c r="AM301">
        <f>_xlfn.XLOOKUP(B301,'[4]june-2026'!$A:$A,'[4]june-2026'!$C:$C,0,0)</f>
        <v>53300</v>
      </c>
      <c r="AN301">
        <f t="shared" si="828"/>
        <v>9594</v>
      </c>
      <c r="AO301">
        <f t="shared" si="829"/>
        <v>6396</v>
      </c>
      <c r="AP301">
        <f>_xlfn.XLOOKUP(B301,'[4]june-2026'!$A:$A,'[4]june-2026'!$D:$D,0,0)</f>
        <v>400</v>
      </c>
      <c r="AQ301">
        <f>_xlfn.XLOOKUP(B301,'[4]june-2026'!$A:$A,'[4]june-2026'!$G:$G,0,0)</f>
        <v>0</v>
      </c>
      <c r="AR301">
        <f t="shared" si="830"/>
        <v>69690</v>
      </c>
      <c r="AS301">
        <f>_xlfn.XLOOKUP(B301,'[4]june-2026'!$A:$A,'[4]june-2026'!$H:$H,0,0)</f>
        <v>8000</v>
      </c>
      <c r="AT301">
        <f>_xlfn.XLOOKUP(B301,'[4]june-2026'!$A:$A,'[4]june-2026'!$I:$I,0,0)</f>
        <v>60</v>
      </c>
      <c r="AU301">
        <f t="shared" si="831"/>
        <v>200</v>
      </c>
      <c r="AV301">
        <f t="shared" si="832"/>
        <v>61430</v>
      </c>
      <c r="AW301">
        <f>_xlfn.XLOOKUP(B301,'[5]july-2026'!$A:$A,'[5]july-2026'!$C:$C,0,0)</f>
        <v>54900</v>
      </c>
      <c r="AX301">
        <f t="shared" si="833"/>
        <v>9882</v>
      </c>
      <c r="AY301">
        <v>299</v>
      </c>
      <c r="AZ301">
        <f t="shared" si="834"/>
        <v>6588</v>
      </c>
      <c r="BA301">
        <f>_xlfn.XLOOKUP(B301,'[5]july-2026'!$A:$A,'[5]july-2026'!$D:$D,0,0)</f>
        <v>400</v>
      </c>
      <c r="BB301">
        <f>_xlfn.XLOOKUP(B301,'[5]july-2026'!$A:$A,'[5]july-2026'!$G:$G,0,0)</f>
        <v>0</v>
      </c>
      <c r="BC301">
        <f t="shared" si="835"/>
        <v>72069</v>
      </c>
      <c r="BD301">
        <f>_xlfn.XLOOKUP(B301,'[5]july-2026'!$A:$A,'[5]july-2026'!$H:$H,0,0)</f>
        <v>8000</v>
      </c>
      <c r="BE301">
        <f>_xlfn.XLOOKUP(B301,'[5]july-2026'!$A:$A,'[5]july-2026'!$I:$I,0,0)</f>
        <v>60</v>
      </c>
      <c r="BF301">
        <f t="shared" si="836"/>
        <v>200</v>
      </c>
      <c r="BG301">
        <f t="shared" si="837"/>
        <v>63809</v>
      </c>
      <c r="BH301">
        <f>_xlfn.XLOOKUP(B301,'[6]august-2026'!$A:$A,'[6]august-2026'!$C:$C,0,0)</f>
        <v>54900</v>
      </c>
      <c r="BI301">
        <f t="shared" si="838"/>
        <v>9882</v>
      </c>
      <c r="BJ301">
        <f t="shared" si="839"/>
        <v>6588</v>
      </c>
      <c r="BK301">
        <f>_xlfn.XLOOKUP(B301,'[6]august-2026'!$A:$A,'[6]august-2026'!$D:$D,0,0)</f>
        <v>400</v>
      </c>
      <c r="BL301">
        <f>_xlfn.XLOOKUP(B301,'[6]august-2026'!$A:$A,'[6]august-2026'!$G:$G,0,0)</f>
        <v>0</v>
      </c>
      <c r="BM301">
        <f t="shared" si="840"/>
        <v>71770</v>
      </c>
      <c r="BN301">
        <f>_xlfn.XLOOKUP(B301,'[6]august-2026'!$A:$A,'[6]august-2026'!$H:$H,0,0)</f>
        <v>8000</v>
      </c>
      <c r="BO301">
        <f>_xlfn.XLOOKUP(B301,'[6]august-2026'!$A:$A,'[6]august-2026'!$I:$I,0,0)</f>
        <v>60</v>
      </c>
      <c r="BP301">
        <f t="shared" si="841"/>
        <v>200</v>
      </c>
      <c r="BQ301">
        <f t="shared" si="842"/>
        <v>63510</v>
      </c>
      <c r="BR301">
        <f>_xlfn.XLOOKUP(B301,'[7]september-2026'!$A:$A,'[7]september-2026'!$C:$C,0,0)</f>
        <v>54900</v>
      </c>
      <c r="BS301">
        <f t="shared" si="843"/>
        <v>9882</v>
      </c>
      <c r="BT301">
        <f t="shared" si="844"/>
        <v>6588</v>
      </c>
      <c r="BU301">
        <f>_xlfn.XLOOKUP(B301,'[7]september-2026'!$A:$A,'[7]september-2026'!$D:$D,0,0)</f>
        <v>400</v>
      </c>
      <c r="BV301">
        <f>_xlfn.XLOOKUP(B301,'[7]september-2026'!$A:$A,'[7]september-2026'!$G:$G,0,0)</f>
        <v>0</v>
      </c>
      <c r="BW301">
        <f t="shared" si="845"/>
        <v>71770</v>
      </c>
      <c r="BX301">
        <f>_xlfn.XLOOKUP(B301,'[7]september-2026'!$A:$A,'[7]september-2026'!$H:$H,0,0)</f>
        <v>8000</v>
      </c>
      <c r="BY301">
        <f>_xlfn.XLOOKUP(B301,'[7]september-2026'!$A:$A,'[7]september-2026'!$I:$I,0,0)</f>
        <v>60</v>
      </c>
      <c r="BZ301">
        <f t="shared" si="846"/>
        <v>200</v>
      </c>
      <c r="CA301">
        <f t="shared" si="847"/>
        <v>63510</v>
      </c>
      <c r="CB301">
        <f>_xlfn.XLOOKUP(B301,'[8]october-2026'!$A:$A,'[8]october-2026'!$C:$C,0,0)</f>
        <v>54900</v>
      </c>
      <c r="CC301">
        <f t="shared" si="848"/>
        <v>9882</v>
      </c>
      <c r="CD301">
        <f t="shared" si="849"/>
        <v>6588</v>
      </c>
      <c r="CE301">
        <f>_xlfn.XLOOKUP(B301,'[8]october-2026'!$A:$A,'[8]october-2026'!$D:$D,0,0)</f>
        <v>400</v>
      </c>
      <c r="CF301">
        <f>_xlfn.XLOOKUP(B301,'[8]october-2026'!$A:$A,'[8]october-2026'!$G:$G,0,0)</f>
        <v>0</v>
      </c>
      <c r="CG301">
        <f t="shared" si="850"/>
        <v>71770</v>
      </c>
      <c r="CH301">
        <f>_xlfn.XLOOKUP(B301,'[8]october-2026'!$A:$A,'[8]october-2026'!$H:$H,0,0)</f>
        <v>8000</v>
      </c>
      <c r="CI301">
        <f>_xlfn.XLOOKUP(B301,'[8]october-2026'!$A:$A,'[8]october-2026'!$I:$I,0,0)</f>
        <v>60</v>
      </c>
      <c r="CJ301">
        <f t="shared" si="851"/>
        <v>200</v>
      </c>
      <c r="CK301">
        <f t="shared" si="852"/>
        <v>63510</v>
      </c>
      <c r="CL301">
        <f>_xlfn.XLOOKUP(B301,'[9]november-2026'!$A:$A,'[9]november-2026'!$C:$C,0,0)</f>
        <v>54900</v>
      </c>
      <c r="CM301">
        <f t="shared" si="853"/>
        <v>9882</v>
      </c>
      <c r="CN301">
        <f t="shared" si="854"/>
        <v>6588</v>
      </c>
      <c r="CO301">
        <f>_xlfn.XLOOKUP(B301,'[9]november-2026'!$A:$A,'[9]november-2026'!$D:$D,0,0)</f>
        <v>400</v>
      </c>
      <c r="CP301">
        <f>_xlfn.XLOOKUP(B301,'[9]november-2026'!$A:$A,'[9]november-2026'!$G:$G,0,0)</f>
        <v>0</v>
      </c>
      <c r="CQ301">
        <f t="shared" si="855"/>
        <v>71770</v>
      </c>
      <c r="CR301">
        <f>_xlfn.XLOOKUP(B301,'[9]november-2026'!$A:$A,'[9]november-2026'!$H:$H,0,0)</f>
        <v>8000</v>
      </c>
      <c r="CS301">
        <f>_xlfn.XLOOKUP(B301,'[9]november-2026'!$A:$A,'[9]november-2026'!$I:$I,0,0)</f>
        <v>60</v>
      </c>
      <c r="CT301">
        <f t="shared" si="856"/>
        <v>200</v>
      </c>
      <c r="CU301">
        <f t="shared" si="857"/>
        <v>63510</v>
      </c>
      <c r="CV301">
        <f>_xlfn.XLOOKUP(B301,'[10]december-2026'!$A:$A,'[10]december-2026'!$C:$C,0,0)</f>
        <v>54900</v>
      </c>
      <c r="CW301">
        <f t="shared" si="858"/>
        <v>9882</v>
      </c>
      <c r="CX301">
        <f t="shared" si="859"/>
        <v>6588</v>
      </c>
      <c r="CY301">
        <f>_xlfn.XLOOKUP(B301,'[10]december-2026'!$A:$A,'[10]december-2026'!$D:$D,0,0)</f>
        <v>400</v>
      </c>
      <c r="CZ301">
        <f>_xlfn.XLOOKUP(B301,'[10]december-2026'!$A:$A,'[10]december-2026'!$G:$G,0,0)</f>
        <v>0</v>
      </c>
      <c r="DA301">
        <f t="shared" si="860"/>
        <v>71770</v>
      </c>
      <c r="DB301">
        <f>_xlfn.XLOOKUP(B301,'[10]december-2026'!$A:$A,'[10]december-2026'!$H:$H,0,0)</f>
        <v>8000</v>
      </c>
      <c r="DC301">
        <f>_xlfn.XLOOKUP(B301,'[10]december-2026'!$A:$A,'[10]december-2026'!$I:$I,0,0)</f>
        <v>60</v>
      </c>
      <c r="DD301">
        <f t="shared" si="861"/>
        <v>200</v>
      </c>
      <c r="DE301">
        <f t="shared" si="862"/>
        <v>63510</v>
      </c>
      <c r="DF301">
        <f xml:space="preserve"> _xlfn.XLOOKUP(B301,
'[11]january-2027'!$A:$A,
'[11]january-2027'!$C:$C,
0,0)</f>
        <v>54900</v>
      </c>
      <c r="DG301">
        <f t="shared" si="863"/>
        <v>9882</v>
      </c>
      <c r="DH301">
        <f t="shared" si="864"/>
        <v>6588</v>
      </c>
      <c r="DI301">
        <f xml:space="preserve"> _xlfn.XLOOKUP(B301,
'[11]january-2027'!$A:$A,
'[11]january-2027'!$D:$D,
0,0)</f>
        <v>400</v>
      </c>
      <c r="DJ301">
        <f xml:space="preserve"> _xlfn.XLOOKUP(B301,
'[11]january-2027'!$A:$A,
'[11]january-2027'!$G:$G,
0,0)</f>
        <v>0</v>
      </c>
      <c r="DK301">
        <f t="shared" si="865"/>
        <v>71770</v>
      </c>
      <c r="DL301">
        <f xml:space="preserve"> _xlfn.XLOOKUP(B301,
'[11]january-2027'!$A:$A,
'[11]january-2027'!$H:$H,
0,0)</f>
        <v>8000</v>
      </c>
      <c r="DM301">
        <f xml:space="preserve"> _xlfn.XLOOKUP(B301,
'[11]january-2027'!$A:$A,
'[11]january-2027'!$I:$I,
0,0)</f>
        <v>60</v>
      </c>
      <c r="DN301">
        <f t="shared" si="866"/>
        <v>200</v>
      </c>
      <c r="DO301">
        <f t="shared" si="867"/>
        <v>63510</v>
      </c>
      <c r="DP301">
        <f xml:space="preserve"> _xlfn.XLOOKUP(B301,
'[12]february-2027'!$A:$A,
'[12]february-2027'!$C:$C,
0,0)</f>
        <v>54900</v>
      </c>
      <c r="DQ301">
        <f t="shared" si="868"/>
        <v>9882</v>
      </c>
      <c r="DR301">
        <f t="shared" si="869"/>
        <v>6588</v>
      </c>
      <c r="DS301">
        <f xml:space="preserve"> _xlfn.XLOOKUP(B301,
'[12]february-2027'!$A:$A,
'[12]february-2027'!$D:$D,
0,0)</f>
        <v>400</v>
      </c>
      <c r="DT301">
        <f xml:space="preserve"> _xlfn.XLOOKUP(B301,
'[12]february-2027'!$A:$A,
'[12]february-2027'!$G:$G,
0,0)</f>
        <v>0</v>
      </c>
      <c r="DU301">
        <f t="shared" si="870"/>
        <v>71770</v>
      </c>
      <c r="DV301">
        <f xml:space="preserve"> _xlfn.XLOOKUP(B301,
'[12]february-2027'!$A:$A,
'[12]february-2027'!$H:$H,
0,0)</f>
        <v>8000</v>
      </c>
      <c r="DW301">
        <f xml:space="preserve"> _xlfn.XLOOKUP(B301,
'[12]february-2027'!$A:$A,
'[12]february-2027'!$I:$I,
0,0)</f>
        <v>60</v>
      </c>
      <c r="DX301">
        <f t="shared" si="871"/>
        <v>200</v>
      </c>
      <c r="DY301">
        <f t="shared" si="872"/>
        <v>63510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873"/>
        <v>0</v>
      </c>
      <c r="EM301">
        <f t="shared" si="874"/>
        <v>860019</v>
      </c>
      <c r="EN301">
        <f t="shared" si="875"/>
        <v>2400</v>
      </c>
      <c r="EO301">
        <f t="shared" si="876"/>
        <v>50000</v>
      </c>
      <c r="EP301">
        <v>0</v>
      </c>
      <c r="EQ301">
        <f t="shared" si="878"/>
        <v>807619</v>
      </c>
      <c r="ER301">
        <f t="shared" si="879"/>
        <v>96000</v>
      </c>
      <c r="ES301">
        <f t="shared" si="880"/>
        <v>720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881"/>
        <v>96720</v>
      </c>
      <c r="FE301">
        <f t="shared" si="882"/>
        <v>96720</v>
      </c>
      <c r="FF301">
        <f t="shared" si="883"/>
        <v>710899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>SUM(FG301:FM301)+(IF(F301="YES",50000,0))</f>
        <v>0</v>
      </c>
      <c r="FO301">
        <f t="shared" si="884"/>
        <v>710899</v>
      </c>
      <c r="FP301">
        <f t="shared" si="885"/>
        <v>12500</v>
      </c>
      <c r="FQ301">
        <f t="shared" si="886"/>
        <v>42180</v>
      </c>
      <c r="FR301">
        <f t="shared" si="887"/>
        <v>54680</v>
      </c>
      <c r="FS301">
        <f t="shared" si="888"/>
        <v>54680</v>
      </c>
      <c r="FT301">
        <f t="shared" si="889"/>
        <v>2187.1999999999998</v>
      </c>
      <c r="FU301">
        <f t="shared" si="890"/>
        <v>56867</v>
      </c>
      <c r="FV301">
        <v>0</v>
      </c>
      <c r="FW301">
        <f t="shared" si="891"/>
        <v>56867</v>
      </c>
      <c r="FX301" t="b">
        <f t="shared" si="892"/>
        <v>1</v>
      </c>
      <c r="FY301">
        <f t="shared" ca="1" si="893"/>
        <v>947</v>
      </c>
      <c r="FZ301">
        <f t="shared" ca="1" si="894"/>
        <v>860966</v>
      </c>
      <c r="GA301">
        <f t="shared" si="895"/>
        <v>75000</v>
      </c>
      <c r="GB301">
        <f t="shared" ca="1" si="896"/>
        <v>785966</v>
      </c>
      <c r="GC301">
        <f t="shared" ca="1" si="897"/>
        <v>0</v>
      </c>
      <c r="GD301">
        <f t="shared" ca="1" si="898"/>
        <v>0</v>
      </c>
      <c r="GE301">
        <f t="shared" ca="1" si="899"/>
        <v>0</v>
      </c>
      <c r="GF301">
        <f t="shared" ca="1" si="900"/>
        <v>0</v>
      </c>
      <c r="GG301">
        <f t="shared" ca="1" si="901"/>
        <v>0</v>
      </c>
      <c r="GH301">
        <f t="shared" ca="1" si="902"/>
        <v>0</v>
      </c>
      <c r="GI301">
        <f ca="1">IF(GB301&gt;1200000,GB301-1200000-IF(F301="YES",50000,0)-GG301,0)</f>
        <v>0</v>
      </c>
      <c r="GJ301">
        <f t="shared" ca="1" si="903"/>
        <v>0</v>
      </c>
      <c r="GK301">
        <f t="shared" ca="1" si="904"/>
        <v>0</v>
      </c>
      <c r="GL301">
        <f t="shared" ca="1" si="905"/>
        <v>0</v>
      </c>
      <c r="GM301">
        <f t="shared" ca="1" si="906"/>
        <v>385966</v>
      </c>
      <c r="GN301">
        <f t="shared" ca="1" si="907"/>
        <v>19298.3</v>
      </c>
      <c r="GO301">
        <f t="shared" ca="1" si="908"/>
        <v>19298</v>
      </c>
      <c r="GP301">
        <f t="shared" ca="1" si="909"/>
        <v>0</v>
      </c>
      <c r="GQ301">
        <f t="shared" ca="1" si="910"/>
        <v>0</v>
      </c>
      <c r="GR301">
        <f t="shared" ca="1" si="911"/>
        <v>19298</v>
      </c>
      <c r="GS301">
        <f t="shared" ca="1" si="912"/>
        <v>0</v>
      </c>
      <c r="GT301" t="b">
        <f t="shared" ca="1" si="913"/>
        <v>0</v>
      </c>
      <c r="GU301">
        <f t="shared" ca="1" si="914"/>
        <v>0</v>
      </c>
      <c r="GV301">
        <f t="shared" ca="1" si="915"/>
        <v>19298</v>
      </c>
      <c r="GW301">
        <f t="shared" ca="1" si="916"/>
        <v>0</v>
      </c>
      <c r="GX301">
        <f t="shared" ca="1" si="917"/>
        <v>0</v>
      </c>
      <c r="GY301">
        <f t="shared" ca="1" si="918"/>
        <v>0</v>
      </c>
    </row>
    <row r="302" spans="1:207" x14ac:dyDescent="0.25">
      <c r="A302">
        <f>_xlfn.AGGREGATE(3,5,$B$2:B302)</f>
        <v>301</v>
      </c>
      <c r="B302" t="s">
        <v>690</v>
      </c>
      <c r="C302" t="s">
        <v>691</v>
      </c>
      <c r="D302" t="s">
        <v>826</v>
      </c>
      <c r="E302" t="s">
        <v>830</v>
      </c>
      <c r="F302" t="s">
        <v>952</v>
      </c>
      <c r="G302" t="s">
        <v>908</v>
      </c>
      <c r="H302">
        <f t="shared" si="813"/>
        <v>6800</v>
      </c>
      <c r="I302">
        <f>_xlfn.XLOOKUP(B302,'[1]march-2026'!$A:$A,'[1]march-2026'!$C:$C,0,0)</f>
        <v>34500</v>
      </c>
      <c r="J302">
        <f t="shared" si="877"/>
        <v>6210</v>
      </c>
      <c r="K302">
        <f t="shared" si="814"/>
        <v>4140</v>
      </c>
      <c r="L302">
        <f>_xlfn.XLOOKUP(B302,'[1]march-2026'!$A:$A,'[1]march-2026'!$D:$D,0,0)</f>
        <v>0</v>
      </c>
      <c r="M302">
        <f>_xlfn.XLOOKUP(B302,'[1]march-2026'!$A:$A,'[1]march-2026'!$G:$G,0,0)</f>
        <v>0</v>
      </c>
      <c r="N302">
        <f t="shared" si="815"/>
        <v>44850</v>
      </c>
      <c r="O302">
        <f>_xlfn.XLOOKUP(B302,'[1]march-2026'!$A:$A,'[1]march-2026'!$H:$H,0,0)</f>
        <v>2500</v>
      </c>
      <c r="P302">
        <f>_xlfn.XLOOKUP(B302,'[1]march-2026'!$A:$A,'[1]march-2026'!$I:$I,0,0)</f>
        <v>0</v>
      </c>
      <c r="Q302">
        <f t="shared" si="816"/>
        <v>200</v>
      </c>
      <c r="R302">
        <f t="shared" si="817"/>
        <v>42150</v>
      </c>
      <c r="S302">
        <f>_xlfn.XLOOKUP(B302,'[2]april-2026'!$A:$A,'[2]april-2026'!$C:$C,0,0)</f>
        <v>34500</v>
      </c>
      <c r="T302">
        <f t="shared" si="818"/>
        <v>6210</v>
      </c>
      <c r="U302">
        <f t="shared" si="819"/>
        <v>4140</v>
      </c>
      <c r="V302">
        <f>_xlfn.XLOOKUP(B302,'[2]april-2026'!$A:$A,'[2]april-2026'!$D:$D,0,0)</f>
        <v>0</v>
      </c>
      <c r="W302">
        <f>_xlfn.XLOOKUP(B302,'[2]april-2026'!$A:$A,'[2]april-2026'!$G:$G,0,0)</f>
        <v>0</v>
      </c>
      <c r="X302">
        <f t="shared" si="820"/>
        <v>44850</v>
      </c>
      <c r="Y302">
        <f>_xlfn.XLOOKUP(B302,'[2]april-2026'!$A:$A,'[2]april-2026'!$H:$H,0,0)</f>
        <v>2500</v>
      </c>
      <c r="Z302">
        <f>_xlfn.XLOOKUP(B302,'[2]april-2026'!$A:$A,'[2]april-2026'!$I:$I,0,0)</f>
        <v>0</v>
      </c>
      <c r="AA302">
        <f t="shared" si="821"/>
        <v>200</v>
      </c>
      <c r="AB302">
        <f t="shared" si="822"/>
        <v>42150</v>
      </c>
      <c r="AC302">
        <f>_xlfn.XLOOKUP(B302,'[3]may-2026'!$A:$A,'[3]may-2026'!$C:$C,0,0)</f>
        <v>34500</v>
      </c>
      <c r="AD302">
        <f t="shared" si="823"/>
        <v>6210</v>
      </c>
      <c r="AE302">
        <f t="shared" si="824"/>
        <v>4140</v>
      </c>
      <c r="AF302">
        <f>_xlfn.XLOOKUP(B302,'[3]may-2026'!$A:$A,'[3]may-2026'!$D:$D,0,0)</f>
        <v>0</v>
      </c>
      <c r="AG302">
        <f>_xlfn.XLOOKUP(B302,'[3]may-2026'!$A:$A,'[3]may-2026'!$G:$G,0,0)</f>
        <v>0</v>
      </c>
      <c r="AH302">
        <f t="shared" si="825"/>
        <v>44850</v>
      </c>
      <c r="AI302">
        <f>_xlfn.XLOOKUP(B302,'[3]may-2026'!$A:$A,'[3]may-2026'!$H:$H,0,0)</f>
        <v>2500</v>
      </c>
      <c r="AJ302">
        <f>_xlfn.XLOOKUP(B302,'[3]may-2026'!$A:$A,'[3]may-2026'!$I:$I,0,0)</f>
        <v>0</v>
      </c>
      <c r="AK302">
        <f t="shared" si="826"/>
        <v>200</v>
      </c>
      <c r="AL302">
        <f t="shared" si="827"/>
        <v>42150</v>
      </c>
      <c r="AM302">
        <f>_xlfn.XLOOKUP(B302,'[4]june-2026'!$A:$A,'[4]june-2026'!$C:$C,0,0)</f>
        <v>34500</v>
      </c>
      <c r="AN302">
        <f t="shared" si="828"/>
        <v>6210</v>
      </c>
      <c r="AO302">
        <f t="shared" si="829"/>
        <v>4140</v>
      </c>
      <c r="AP302">
        <f>_xlfn.XLOOKUP(B302,'[4]june-2026'!$A:$A,'[4]june-2026'!$D:$D,0,0)</f>
        <v>0</v>
      </c>
      <c r="AQ302">
        <f>_xlfn.XLOOKUP(B302,'[4]june-2026'!$A:$A,'[4]june-2026'!$G:$G,0,0)</f>
        <v>0</v>
      </c>
      <c r="AR302">
        <f t="shared" si="830"/>
        <v>44850</v>
      </c>
      <c r="AS302">
        <f>_xlfn.XLOOKUP(B302,'[4]june-2026'!$A:$A,'[4]june-2026'!$H:$H,0,0)</f>
        <v>2500</v>
      </c>
      <c r="AT302">
        <f>_xlfn.XLOOKUP(B302,'[4]june-2026'!$A:$A,'[4]june-2026'!$I:$I,0,0)</f>
        <v>0</v>
      </c>
      <c r="AU302">
        <f t="shared" si="831"/>
        <v>200</v>
      </c>
      <c r="AV302">
        <f t="shared" si="832"/>
        <v>42150</v>
      </c>
      <c r="AW302">
        <f>_xlfn.XLOOKUP(B302,'[5]july-2026'!$A:$A,'[5]july-2026'!$C:$C,0,0)</f>
        <v>35500</v>
      </c>
      <c r="AX302">
        <f t="shared" si="833"/>
        <v>6390</v>
      </c>
      <c r="AY302">
        <v>300</v>
      </c>
      <c r="AZ302">
        <f t="shared" si="834"/>
        <v>4260</v>
      </c>
      <c r="BA302">
        <f>_xlfn.XLOOKUP(B302,'[5]july-2026'!$A:$A,'[5]july-2026'!$D:$D,0,0)</f>
        <v>0</v>
      </c>
      <c r="BB302">
        <f>_xlfn.XLOOKUP(B302,'[5]july-2026'!$A:$A,'[5]july-2026'!$G:$G,0,0)</f>
        <v>0</v>
      </c>
      <c r="BC302">
        <f t="shared" si="835"/>
        <v>46450</v>
      </c>
      <c r="BD302">
        <f>_xlfn.XLOOKUP(B302,'[5]july-2026'!$A:$A,'[5]july-2026'!$H:$H,0,0)</f>
        <v>2500</v>
      </c>
      <c r="BE302">
        <f>_xlfn.XLOOKUP(B302,'[5]july-2026'!$A:$A,'[5]july-2026'!$I:$I,0,0)</f>
        <v>0</v>
      </c>
      <c r="BF302">
        <f t="shared" si="836"/>
        <v>200</v>
      </c>
      <c r="BG302">
        <f t="shared" si="837"/>
        <v>43750</v>
      </c>
      <c r="BH302">
        <f>_xlfn.XLOOKUP(B302,'[6]august-2026'!$A:$A,'[6]august-2026'!$C:$C,0,0)</f>
        <v>35500</v>
      </c>
      <c r="BI302">
        <f t="shared" si="838"/>
        <v>6390</v>
      </c>
      <c r="BJ302">
        <f t="shared" si="839"/>
        <v>4260</v>
      </c>
      <c r="BK302">
        <f>_xlfn.XLOOKUP(B302,'[6]august-2026'!$A:$A,'[6]august-2026'!$D:$D,0,0)</f>
        <v>0</v>
      </c>
      <c r="BL302">
        <f>_xlfn.XLOOKUP(B302,'[6]august-2026'!$A:$A,'[6]august-2026'!$G:$G,0,0)</f>
        <v>0</v>
      </c>
      <c r="BM302">
        <f t="shared" si="840"/>
        <v>46150</v>
      </c>
      <c r="BN302">
        <f>_xlfn.XLOOKUP(B302,'[6]august-2026'!$A:$A,'[6]august-2026'!$H:$H,0,0)</f>
        <v>2500</v>
      </c>
      <c r="BO302">
        <f>_xlfn.XLOOKUP(B302,'[6]august-2026'!$A:$A,'[6]august-2026'!$I:$I,0,0)</f>
        <v>0</v>
      </c>
      <c r="BP302">
        <f t="shared" si="841"/>
        <v>200</v>
      </c>
      <c r="BQ302">
        <f t="shared" si="842"/>
        <v>43450</v>
      </c>
      <c r="BR302">
        <f>_xlfn.XLOOKUP(B302,'[7]september-2026'!$A:$A,'[7]september-2026'!$C:$C,0,0)</f>
        <v>35500</v>
      </c>
      <c r="BS302">
        <f t="shared" si="843"/>
        <v>6390</v>
      </c>
      <c r="BT302">
        <f t="shared" si="844"/>
        <v>4260</v>
      </c>
      <c r="BU302">
        <f>_xlfn.XLOOKUP(B302,'[7]september-2026'!$A:$A,'[7]september-2026'!$D:$D,0,0)</f>
        <v>0</v>
      </c>
      <c r="BV302">
        <f>_xlfn.XLOOKUP(B302,'[7]september-2026'!$A:$A,'[7]september-2026'!$G:$G,0,0)</f>
        <v>0</v>
      </c>
      <c r="BW302">
        <f t="shared" si="845"/>
        <v>46150</v>
      </c>
      <c r="BX302">
        <f>_xlfn.XLOOKUP(B302,'[7]september-2026'!$A:$A,'[7]september-2026'!$H:$H,0,0)</f>
        <v>2500</v>
      </c>
      <c r="BY302">
        <f>_xlfn.XLOOKUP(B302,'[7]september-2026'!$A:$A,'[7]september-2026'!$I:$I,0,0)</f>
        <v>0</v>
      </c>
      <c r="BZ302">
        <f t="shared" si="846"/>
        <v>200</v>
      </c>
      <c r="CA302">
        <f t="shared" si="847"/>
        <v>43450</v>
      </c>
      <c r="CB302">
        <f>_xlfn.XLOOKUP(B302,'[8]october-2026'!$A:$A,'[8]october-2026'!$C:$C,0,0)</f>
        <v>35500</v>
      </c>
      <c r="CC302">
        <f t="shared" si="848"/>
        <v>6390</v>
      </c>
      <c r="CD302">
        <f t="shared" si="849"/>
        <v>4260</v>
      </c>
      <c r="CE302">
        <f>_xlfn.XLOOKUP(B302,'[8]october-2026'!$A:$A,'[8]october-2026'!$D:$D,0,0)</f>
        <v>0</v>
      </c>
      <c r="CF302">
        <f>_xlfn.XLOOKUP(B302,'[8]october-2026'!$A:$A,'[8]october-2026'!$G:$G,0,0)</f>
        <v>0</v>
      </c>
      <c r="CG302">
        <f t="shared" si="850"/>
        <v>46150</v>
      </c>
      <c r="CH302">
        <f>_xlfn.XLOOKUP(B302,'[8]october-2026'!$A:$A,'[8]october-2026'!$H:$H,0,0)</f>
        <v>2500</v>
      </c>
      <c r="CI302">
        <f>_xlfn.XLOOKUP(B302,'[8]october-2026'!$A:$A,'[8]october-2026'!$I:$I,0,0)</f>
        <v>0</v>
      </c>
      <c r="CJ302">
        <f t="shared" si="851"/>
        <v>200</v>
      </c>
      <c r="CK302">
        <f t="shared" si="852"/>
        <v>43450</v>
      </c>
      <c r="CL302">
        <f>_xlfn.XLOOKUP(B302,'[9]november-2026'!$A:$A,'[9]november-2026'!$C:$C,0,0)</f>
        <v>35500</v>
      </c>
      <c r="CM302">
        <f t="shared" si="853"/>
        <v>6390</v>
      </c>
      <c r="CN302">
        <f t="shared" si="854"/>
        <v>4260</v>
      </c>
      <c r="CO302">
        <f>_xlfn.XLOOKUP(B302,'[9]november-2026'!$A:$A,'[9]november-2026'!$D:$D,0,0)</f>
        <v>0</v>
      </c>
      <c r="CP302">
        <f>_xlfn.XLOOKUP(B302,'[9]november-2026'!$A:$A,'[9]november-2026'!$G:$G,0,0)</f>
        <v>0</v>
      </c>
      <c r="CQ302">
        <f t="shared" si="855"/>
        <v>46150</v>
      </c>
      <c r="CR302">
        <f>_xlfn.XLOOKUP(B302,'[9]november-2026'!$A:$A,'[9]november-2026'!$H:$H,0,0)</f>
        <v>2500</v>
      </c>
      <c r="CS302">
        <f>_xlfn.XLOOKUP(B302,'[9]november-2026'!$A:$A,'[9]november-2026'!$I:$I,0,0)</f>
        <v>0</v>
      </c>
      <c r="CT302">
        <f t="shared" si="856"/>
        <v>200</v>
      </c>
      <c r="CU302">
        <f t="shared" si="857"/>
        <v>43450</v>
      </c>
      <c r="CV302">
        <f>_xlfn.XLOOKUP(B302,'[10]december-2026'!$A:$A,'[10]december-2026'!$C:$C,0,0)</f>
        <v>35500</v>
      </c>
      <c r="CW302">
        <f t="shared" si="858"/>
        <v>6390</v>
      </c>
      <c r="CX302">
        <f t="shared" si="859"/>
        <v>4260</v>
      </c>
      <c r="CY302">
        <f>_xlfn.XLOOKUP(B302,'[10]december-2026'!$A:$A,'[10]december-2026'!$D:$D,0,0)</f>
        <v>0</v>
      </c>
      <c r="CZ302">
        <f>_xlfn.XLOOKUP(B302,'[10]december-2026'!$A:$A,'[10]december-2026'!$G:$G,0,0)</f>
        <v>0</v>
      </c>
      <c r="DA302">
        <f t="shared" si="860"/>
        <v>46150</v>
      </c>
      <c r="DB302">
        <f>_xlfn.XLOOKUP(B302,'[10]december-2026'!$A:$A,'[10]december-2026'!$H:$H,0,0)</f>
        <v>2500</v>
      </c>
      <c r="DC302">
        <f>_xlfn.XLOOKUP(B302,'[10]december-2026'!$A:$A,'[10]december-2026'!$I:$I,0,0)</f>
        <v>0</v>
      </c>
      <c r="DD302">
        <f t="shared" si="861"/>
        <v>200</v>
      </c>
      <c r="DE302">
        <f t="shared" si="862"/>
        <v>43450</v>
      </c>
      <c r="DF302">
        <f xml:space="preserve"> _xlfn.XLOOKUP(B302,
'[11]january-2027'!$A:$A,
'[11]january-2027'!$C:$C,
0,0)</f>
        <v>35500</v>
      </c>
      <c r="DG302">
        <f t="shared" si="863"/>
        <v>6390</v>
      </c>
      <c r="DH302">
        <f t="shared" si="864"/>
        <v>4260</v>
      </c>
      <c r="DI302">
        <f xml:space="preserve"> _xlfn.XLOOKUP(B302,
'[11]january-2027'!$A:$A,
'[11]january-2027'!$D:$D,
0,0)</f>
        <v>0</v>
      </c>
      <c r="DJ302">
        <f xml:space="preserve"> _xlfn.XLOOKUP(B302,
'[11]january-2027'!$A:$A,
'[11]january-2027'!$G:$G,
0,0)</f>
        <v>0</v>
      </c>
      <c r="DK302">
        <f t="shared" si="865"/>
        <v>46150</v>
      </c>
      <c r="DL302">
        <f xml:space="preserve"> _xlfn.XLOOKUP(B302,
'[11]january-2027'!$A:$A,
'[11]january-2027'!$H:$H,
0,0)</f>
        <v>2500</v>
      </c>
      <c r="DM302">
        <f xml:space="preserve"> _xlfn.XLOOKUP(B302,
'[11]january-2027'!$A:$A,
'[11]january-2027'!$I:$I,
0,0)</f>
        <v>0</v>
      </c>
      <c r="DN302">
        <f t="shared" si="866"/>
        <v>200</v>
      </c>
      <c r="DO302">
        <f t="shared" si="867"/>
        <v>43450</v>
      </c>
      <c r="DP302">
        <f xml:space="preserve"> _xlfn.XLOOKUP(B302,
'[12]february-2027'!$A:$A,
'[12]february-2027'!$C:$C,
0,0)</f>
        <v>35500</v>
      </c>
      <c r="DQ302">
        <f t="shared" si="868"/>
        <v>6390</v>
      </c>
      <c r="DR302">
        <f t="shared" si="869"/>
        <v>4260</v>
      </c>
      <c r="DS302">
        <f xml:space="preserve"> _xlfn.XLOOKUP(B302,
'[12]february-2027'!$A:$A,
'[12]february-2027'!$D:$D,
0,0)</f>
        <v>0</v>
      </c>
      <c r="DT302">
        <f xml:space="preserve"> _xlfn.XLOOKUP(B302,
'[12]february-2027'!$A:$A,
'[12]february-2027'!$G:$G,
0,0)</f>
        <v>0</v>
      </c>
      <c r="DU302">
        <f t="shared" si="870"/>
        <v>46150</v>
      </c>
      <c r="DV302">
        <f xml:space="preserve"> _xlfn.XLOOKUP(B302,
'[12]february-2027'!$A:$A,
'[12]february-2027'!$H:$H,
0,0)</f>
        <v>2500</v>
      </c>
      <c r="DW302">
        <f xml:space="preserve"> _xlfn.XLOOKUP(B302,
'[12]february-2027'!$A:$A,
'[12]february-2027'!$I:$I,
0,0)</f>
        <v>0</v>
      </c>
      <c r="DX302">
        <f t="shared" si="871"/>
        <v>200</v>
      </c>
      <c r="DY302">
        <f t="shared" si="872"/>
        <v>43450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873"/>
        <v>0</v>
      </c>
      <c r="EM302">
        <f t="shared" si="874"/>
        <v>555700</v>
      </c>
      <c r="EN302">
        <f t="shared" si="875"/>
        <v>2400</v>
      </c>
      <c r="EO302">
        <f t="shared" si="876"/>
        <v>50000</v>
      </c>
      <c r="EP302">
        <v>0</v>
      </c>
      <c r="EQ302">
        <f t="shared" si="878"/>
        <v>503300</v>
      </c>
      <c r="ER302">
        <f t="shared" si="879"/>
        <v>30000</v>
      </c>
      <c r="ES302">
        <f t="shared" si="880"/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881"/>
        <v>30000</v>
      </c>
      <c r="FE302">
        <f t="shared" si="882"/>
        <v>30000</v>
      </c>
      <c r="FF302">
        <f t="shared" si="883"/>
        <v>473300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>SUM(FG302:FM302)+(IF(F302="YES",50000,0))</f>
        <v>0</v>
      </c>
      <c r="FO302">
        <f t="shared" si="884"/>
        <v>473300</v>
      </c>
      <c r="FP302">
        <f t="shared" si="885"/>
        <v>11165</v>
      </c>
      <c r="FQ302">
        <f t="shared" si="886"/>
        <v>0</v>
      </c>
      <c r="FR302">
        <f t="shared" si="887"/>
        <v>11165</v>
      </c>
      <c r="FS302">
        <f t="shared" si="888"/>
        <v>0</v>
      </c>
      <c r="FT302">
        <f t="shared" si="889"/>
        <v>0</v>
      </c>
      <c r="FU302">
        <f t="shared" si="890"/>
        <v>0</v>
      </c>
      <c r="FV302">
        <v>0</v>
      </c>
      <c r="FW302">
        <f t="shared" si="891"/>
        <v>0</v>
      </c>
      <c r="FX302" t="b">
        <f t="shared" si="892"/>
        <v>1</v>
      </c>
      <c r="FY302">
        <f t="shared" ca="1" si="893"/>
        <v>694</v>
      </c>
      <c r="FZ302">
        <f t="shared" ca="1" si="894"/>
        <v>556394</v>
      </c>
      <c r="GA302">
        <f t="shared" si="895"/>
        <v>75000</v>
      </c>
      <c r="GB302">
        <f t="shared" ca="1" si="896"/>
        <v>481394</v>
      </c>
      <c r="GC302">
        <f t="shared" ca="1" si="897"/>
        <v>0</v>
      </c>
      <c r="GD302">
        <f t="shared" ca="1" si="898"/>
        <v>0</v>
      </c>
      <c r="GE302">
        <f t="shared" ca="1" si="899"/>
        <v>0</v>
      </c>
      <c r="GF302">
        <f t="shared" ca="1" si="900"/>
        <v>0</v>
      </c>
      <c r="GG302">
        <f t="shared" ca="1" si="901"/>
        <v>0</v>
      </c>
      <c r="GH302">
        <f t="shared" ca="1" si="902"/>
        <v>0</v>
      </c>
      <c r="GI302">
        <f ca="1">IF(GB302&gt;1200000,GB302-1200000-IF(F302="YES",50000,0)-GG302,0)</f>
        <v>0</v>
      </c>
      <c r="GJ302">
        <f t="shared" ca="1" si="903"/>
        <v>0</v>
      </c>
      <c r="GK302">
        <f t="shared" ca="1" si="904"/>
        <v>0</v>
      </c>
      <c r="GL302">
        <f t="shared" ca="1" si="905"/>
        <v>0</v>
      </c>
      <c r="GM302">
        <f t="shared" ca="1" si="906"/>
        <v>81394</v>
      </c>
      <c r="GN302">
        <f t="shared" ca="1" si="907"/>
        <v>4069.7000000000003</v>
      </c>
      <c r="GO302">
        <f t="shared" ca="1" si="908"/>
        <v>4070</v>
      </c>
      <c r="GP302">
        <f t="shared" ca="1" si="909"/>
        <v>0</v>
      </c>
      <c r="GQ302">
        <f t="shared" ca="1" si="910"/>
        <v>0</v>
      </c>
      <c r="GR302">
        <f t="shared" ca="1" si="911"/>
        <v>4070</v>
      </c>
      <c r="GS302">
        <f t="shared" ca="1" si="912"/>
        <v>0</v>
      </c>
      <c r="GT302" t="b">
        <f t="shared" ca="1" si="913"/>
        <v>0</v>
      </c>
      <c r="GU302">
        <f t="shared" ca="1" si="914"/>
        <v>0</v>
      </c>
      <c r="GV302">
        <f t="shared" ca="1" si="915"/>
        <v>4070</v>
      </c>
      <c r="GW302">
        <f t="shared" ca="1" si="916"/>
        <v>0</v>
      </c>
      <c r="GX302">
        <f t="shared" ca="1" si="917"/>
        <v>0</v>
      </c>
      <c r="GY302">
        <f t="shared" ca="1" si="918"/>
        <v>0</v>
      </c>
    </row>
    <row r="303" spans="1:207" x14ac:dyDescent="0.25">
      <c r="A303">
        <f>_xlfn.AGGREGATE(3,5,$B$2:B303)</f>
        <v>302</v>
      </c>
      <c r="B303" t="s">
        <v>870</v>
      </c>
      <c r="C303" t="s">
        <v>871</v>
      </c>
      <c r="D303" t="s">
        <v>826</v>
      </c>
      <c r="E303" t="s">
        <v>830</v>
      </c>
      <c r="F303" t="s">
        <v>954</v>
      </c>
      <c r="G303" s="1">
        <v>46035</v>
      </c>
      <c r="H303">
        <f t="shared" si="813"/>
        <v>0</v>
      </c>
      <c r="I303">
        <f>_xlfn.XLOOKUP(B303,'[1]march-2026'!$A:$A,'[1]march-2026'!$C:$C,0,0)</f>
        <v>28900</v>
      </c>
      <c r="J303">
        <f t="shared" si="877"/>
        <v>5202</v>
      </c>
      <c r="K303">
        <f t="shared" si="814"/>
        <v>3468</v>
      </c>
      <c r="L303">
        <f>_xlfn.XLOOKUP(B303,'[1]march-2026'!$A:$A,'[1]march-2026'!$D:$D,0,0)</f>
        <v>0</v>
      </c>
      <c r="M303">
        <f>_xlfn.XLOOKUP(B303,'[1]march-2026'!$A:$A,'[1]march-2026'!$G:$G,0,0)</f>
        <v>500</v>
      </c>
      <c r="N303">
        <f t="shared" si="815"/>
        <v>38070</v>
      </c>
      <c r="O303">
        <f>_xlfn.XLOOKUP(B303,'[1]march-2026'!$A:$A,'[1]march-2026'!$H:$H,0,0)</f>
        <v>2000</v>
      </c>
      <c r="P303">
        <f>_xlfn.XLOOKUP(B303,'[1]march-2026'!$A:$A,'[1]march-2026'!$I:$I,0,0)</f>
        <v>0</v>
      </c>
      <c r="Q303">
        <f t="shared" si="816"/>
        <v>150</v>
      </c>
      <c r="R303">
        <f t="shared" si="817"/>
        <v>35920</v>
      </c>
      <c r="S303">
        <f>_xlfn.XLOOKUP(B303,'[2]april-2026'!$A:$A,'[2]april-2026'!$C:$C,0,0)</f>
        <v>28900</v>
      </c>
      <c r="T303">
        <f t="shared" si="818"/>
        <v>5202</v>
      </c>
      <c r="U303">
        <f t="shared" si="819"/>
        <v>3468</v>
      </c>
      <c r="V303">
        <f>_xlfn.XLOOKUP(B303,'[2]april-2026'!$A:$A,'[2]april-2026'!$D:$D,0,0)</f>
        <v>0</v>
      </c>
      <c r="W303">
        <f>_xlfn.XLOOKUP(B303,'[2]april-2026'!$A:$A,'[2]april-2026'!$G:$G,0,0)</f>
        <v>500</v>
      </c>
      <c r="X303">
        <f t="shared" si="820"/>
        <v>38070</v>
      </c>
      <c r="Y303">
        <f>_xlfn.XLOOKUP(B303,'[2]april-2026'!$A:$A,'[2]april-2026'!$H:$H,0,0)</f>
        <v>2000</v>
      </c>
      <c r="Z303">
        <f>_xlfn.XLOOKUP(B303,'[2]april-2026'!$A:$A,'[2]april-2026'!$I:$I,0,0)</f>
        <v>0</v>
      </c>
      <c r="AA303">
        <f t="shared" si="821"/>
        <v>150</v>
      </c>
      <c r="AB303">
        <f t="shared" si="822"/>
        <v>35920</v>
      </c>
      <c r="AC303">
        <f>_xlfn.XLOOKUP(B303,'[3]may-2026'!$A:$A,'[3]may-2026'!$C:$C,0,0)</f>
        <v>28900</v>
      </c>
      <c r="AD303">
        <f t="shared" si="823"/>
        <v>5202</v>
      </c>
      <c r="AE303">
        <f t="shared" si="824"/>
        <v>3468</v>
      </c>
      <c r="AF303">
        <f>_xlfn.XLOOKUP(B303,'[3]may-2026'!$A:$A,'[3]may-2026'!$D:$D,0,0)</f>
        <v>0</v>
      </c>
      <c r="AG303">
        <f>_xlfn.XLOOKUP(B303,'[3]may-2026'!$A:$A,'[3]may-2026'!$G:$G,0,0)</f>
        <v>500</v>
      </c>
      <c r="AH303">
        <f t="shared" si="825"/>
        <v>38070</v>
      </c>
      <c r="AI303">
        <f>_xlfn.XLOOKUP(B303,'[3]may-2026'!$A:$A,'[3]may-2026'!$H:$H,0,0)</f>
        <v>2000</v>
      </c>
      <c r="AJ303">
        <f>_xlfn.XLOOKUP(B303,'[3]may-2026'!$A:$A,'[3]may-2026'!$I:$I,0,0)</f>
        <v>0</v>
      </c>
      <c r="AK303">
        <f t="shared" si="826"/>
        <v>150</v>
      </c>
      <c r="AL303">
        <f t="shared" si="827"/>
        <v>35920</v>
      </c>
      <c r="AM303">
        <f>_xlfn.XLOOKUP(B303,'[4]june-2026'!$A:$A,'[4]june-2026'!$C:$C,0,0)</f>
        <v>28900</v>
      </c>
      <c r="AN303">
        <f t="shared" si="828"/>
        <v>5202</v>
      </c>
      <c r="AO303">
        <f t="shared" si="829"/>
        <v>3468</v>
      </c>
      <c r="AP303">
        <f>_xlfn.XLOOKUP(B303,'[4]june-2026'!$A:$A,'[4]june-2026'!$D:$D,0,0)</f>
        <v>0</v>
      </c>
      <c r="AQ303">
        <f>_xlfn.XLOOKUP(B303,'[4]june-2026'!$A:$A,'[4]june-2026'!$G:$G,0,0)</f>
        <v>500</v>
      </c>
      <c r="AR303">
        <f t="shared" si="830"/>
        <v>38070</v>
      </c>
      <c r="AS303">
        <f>_xlfn.XLOOKUP(B303,'[4]june-2026'!$A:$A,'[4]june-2026'!$H:$H,0,0)</f>
        <v>2000</v>
      </c>
      <c r="AT303">
        <f>_xlfn.XLOOKUP(B303,'[4]june-2026'!$A:$A,'[4]june-2026'!$I:$I,0,0)</f>
        <v>0</v>
      </c>
      <c r="AU303">
        <f t="shared" si="831"/>
        <v>150</v>
      </c>
      <c r="AV303">
        <f t="shared" si="832"/>
        <v>35920</v>
      </c>
      <c r="AW303">
        <f>_xlfn.XLOOKUP(B303,'[5]july-2026'!$A:$A,'[5]july-2026'!$C:$C,0,0)</f>
        <v>29800</v>
      </c>
      <c r="AX303">
        <f t="shared" si="833"/>
        <v>5364</v>
      </c>
      <c r="AY303">
        <v>301</v>
      </c>
      <c r="AZ303">
        <f t="shared" si="834"/>
        <v>3576</v>
      </c>
      <c r="BA303">
        <f>_xlfn.XLOOKUP(B303,'[5]july-2026'!$A:$A,'[5]july-2026'!$D:$D,0,0)</f>
        <v>0</v>
      </c>
      <c r="BB303">
        <f>_xlfn.XLOOKUP(B303,'[5]july-2026'!$A:$A,'[5]july-2026'!$G:$G,0,0)</f>
        <v>500</v>
      </c>
      <c r="BC303">
        <f t="shared" si="835"/>
        <v>39541</v>
      </c>
      <c r="BD303">
        <f>_xlfn.XLOOKUP(B303,'[5]july-2026'!$A:$A,'[5]july-2026'!$H:$H,0,0)</f>
        <v>2000</v>
      </c>
      <c r="BE303">
        <f>_xlfn.XLOOKUP(B303,'[5]july-2026'!$A:$A,'[5]july-2026'!$I:$I,0,0)</f>
        <v>0</v>
      </c>
      <c r="BF303">
        <f t="shared" si="836"/>
        <v>150</v>
      </c>
      <c r="BG303">
        <f t="shared" si="837"/>
        <v>37391</v>
      </c>
      <c r="BH303">
        <f>_xlfn.XLOOKUP(B303,'[6]august-2026'!$A:$A,'[6]august-2026'!$C:$C,0,0)</f>
        <v>29800</v>
      </c>
      <c r="BI303">
        <f t="shared" si="838"/>
        <v>5364</v>
      </c>
      <c r="BJ303">
        <f t="shared" si="839"/>
        <v>3576</v>
      </c>
      <c r="BK303">
        <f>_xlfn.XLOOKUP(B303,'[6]august-2026'!$A:$A,'[6]august-2026'!$D:$D,0,0)</f>
        <v>0</v>
      </c>
      <c r="BL303">
        <f>_xlfn.XLOOKUP(B303,'[6]august-2026'!$A:$A,'[6]august-2026'!$G:$G,0,0)</f>
        <v>500</v>
      </c>
      <c r="BM303">
        <f t="shared" si="840"/>
        <v>39240</v>
      </c>
      <c r="BN303">
        <f>_xlfn.XLOOKUP(B303,'[6]august-2026'!$A:$A,'[6]august-2026'!$H:$H,0,0)</f>
        <v>2000</v>
      </c>
      <c r="BO303">
        <f>_xlfn.XLOOKUP(B303,'[6]august-2026'!$A:$A,'[6]august-2026'!$I:$I,0,0)</f>
        <v>0</v>
      </c>
      <c r="BP303">
        <f t="shared" si="841"/>
        <v>150</v>
      </c>
      <c r="BQ303">
        <f t="shared" si="842"/>
        <v>37090</v>
      </c>
      <c r="BR303">
        <f>_xlfn.XLOOKUP(B303,'[7]september-2026'!$A:$A,'[7]september-2026'!$C:$C,0,0)</f>
        <v>29800</v>
      </c>
      <c r="BS303">
        <f t="shared" si="843"/>
        <v>5364</v>
      </c>
      <c r="BT303">
        <f t="shared" si="844"/>
        <v>3576</v>
      </c>
      <c r="BU303">
        <f>_xlfn.XLOOKUP(B303,'[7]september-2026'!$A:$A,'[7]september-2026'!$D:$D,0,0)</f>
        <v>0</v>
      </c>
      <c r="BV303">
        <f>_xlfn.XLOOKUP(B303,'[7]september-2026'!$A:$A,'[7]september-2026'!$G:$G,0,0)</f>
        <v>500</v>
      </c>
      <c r="BW303">
        <f t="shared" si="845"/>
        <v>39240</v>
      </c>
      <c r="BX303">
        <f>_xlfn.XLOOKUP(B303,'[7]september-2026'!$A:$A,'[7]september-2026'!$H:$H,0,0)</f>
        <v>2000</v>
      </c>
      <c r="BY303">
        <f>_xlfn.XLOOKUP(B303,'[7]september-2026'!$A:$A,'[7]september-2026'!$I:$I,0,0)</f>
        <v>0</v>
      </c>
      <c r="BZ303">
        <f t="shared" si="846"/>
        <v>150</v>
      </c>
      <c r="CA303">
        <f t="shared" si="847"/>
        <v>37090</v>
      </c>
      <c r="CB303">
        <f>_xlfn.XLOOKUP(B303,'[8]october-2026'!$A:$A,'[8]october-2026'!$C:$C,0,0)</f>
        <v>29800</v>
      </c>
      <c r="CC303">
        <f t="shared" si="848"/>
        <v>5364</v>
      </c>
      <c r="CD303">
        <f t="shared" si="849"/>
        <v>3576</v>
      </c>
      <c r="CE303">
        <f>_xlfn.XLOOKUP(B303,'[8]october-2026'!$A:$A,'[8]october-2026'!$D:$D,0,0)</f>
        <v>0</v>
      </c>
      <c r="CF303">
        <f>_xlfn.XLOOKUP(B303,'[8]october-2026'!$A:$A,'[8]october-2026'!$G:$G,0,0)</f>
        <v>500</v>
      </c>
      <c r="CG303">
        <f t="shared" si="850"/>
        <v>39240</v>
      </c>
      <c r="CH303">
        <f>_xlfn.XLOOKUP(B303,'[8]october-2026'!$A:$A,'[8]october-2026'!$H:$H,0,0)</f>
        <v>2000</v>
      </c>
      <c r="CI303">
        <f>_xlfn.XLOOKUP(B303,'[8]october-2026'!$A:$A,'[8]october-2026'!$I:$I,0,0)</f>
        <v>0</v>
      </c>
      <c r="CJ303">
        <f t="shared" si="851"/>
        <v>150</v>
      </c>
      <c r="CK303">
        <f t="shared" si="852"/>
        <v>37090</v>
      </c>
      <c r="CL303">
        <f>_xlfn.XLOOKUP(B303,'[9]november-2026'!$A:$A,'[9]november-2026'!$C:$C,0,0)</f>
        <v>29800</v>
      </c>
      <c r="CM303">
        <f t="shared" si="853"/>
        <v>5364</v>
      </c>
      <c r="CN303">
        <f t="shared" si="854"/>
        <v>3576</v>
      </c>
      <c r="CO303">
        <f>_xlfn.XLOOKUP(B303,'[9]november-2026'!$A:$A,'[9]november-2026'!$D:$D,0,0)</f>
        <v>0</v>
      </c>
      <c r="CP303">
        <f>_xlfn.XLOOKUP(B303,'[9]november-2026'!$A:$A,'[9]november-2026'!$G:$G,0,0)</f>
        <v>500</v>
      </c>
      <c r="CQ303">
        <f t="shared" si="855"/>
        <v>39240</v>
      </c>
      <c r="CR303">
        <f>_xlfn.XLOOKUP(B303,'[9]november-2026'!$A:$A,'[9]november-2026'!$H:$H,0,0)</f>
        <v>2000</v>
      </c>
      <c r="CS303">
        <f>_xlfn.XLOOKUP(B303,'[9]november-2026'!$A:$A,'[9]november-2026'!$I:$I,0,0)</f>
        <v>0</v>
      </c>
      <c r="CT303">
        <f t="shared" si="856"/>
        <v>150</v>
      </c>
      <c r="CU303">
        <f t="shared" si="857"/>
        <v>37090</v>
      </c>
      <c r="CV303">
        <f>_xlfn.XLOOKUP(B303,'[10]december-2026'!$A:$A,'[10]december-2026'!$C:$C,0,0)</f>
        <v>29800</v>
      </c>
      <c r="CW303">
        <f t="shared" si="858"/>
        <v>5364</v>
      </c>
      <c r="CX303">
        <f t="shared" si="859"/>
        <v>3576</v>
      </c>
      <c r="CY303">
        <f>_xlfn.XLOOKUP(B303,'[10]december-2026'!$A:$A,'[10]december-2026'!$D:$D,0,0)</f>
        <v>0</v>
      </c>
      <c r="CZ303">
        <f>_xlfn.XLOOKUP(B303,'[10]december-2026'!$A:$A,'[10]december-2026'!$G:$G,0,0)</f>
        <v>500</v>
      </c>
      <c r="DA303">
        <f t="shared" si="860"/>
        <v>39240</v>
      </c>
      <c r="DB303">
        <f>_xlfn.XLOOKUP(B303,'[10]december-2026'!$A:$A,'[10]december-2026'!$H:$H,0,0)</f>
        <v>2000</v>
      </c>
      <c r="DC303">
        <f>_xlfn.XLOOKUP(B303,'[10]december-2026'!$A:$A,'[10]december-2026'!$I:$I,0,0)</f>
        <v>0</v>
      </c>
      <c r="DD303">
        <f t="shared" si="861"/>
        <v>150</v>
      </c>
      <c r="DE303">
        <f t="shared" si="862"/>
        <v>37090</v>
      </c>
      <c r="DF303">
        <f xml:space="preserve"> _xlfn.XLOOKUP(B303,
'[11]january-2027'!$A:$A,
'[11]january-2027'!$C:$C,
0,0)</f>
        <v>29800</v>
      </c>
      <c r="DG303">
        <f t="shared" si="863"/>
        <v>5364</v>
      </c>
      <c r="DH303">
        <f t="shared" si="864"/>
        <v>3576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500</v>
      </c>
      <c r="DK303">
        <f t="shared" si="865"/>
        <v>39240</v>
      </c>
      <c r="DL303">
        <f xml:space="preserve"> _xlfn.XLOOKUP(B303,
'[11]january-2027'!$A:$A,
'[11]january-2027'!$H:$H,
0,0)</f>
        <v>2000</v>
      </c>
      <c r="DM303">
        <f xml:space="preserve"> _xlfn.XLOOKUP(B303,
'[11]january-2027'!$A:$A,
'[11]january-2027'!$I:$I,
0,0)</f>
        <v>0</v>
      </c>
      <c r="DN303">
        <f t="shared" si="866"/>
        <v>150</v>
      </c>
      <c r="DO303">
        <f t="shared" si="867"/>
        <v>37090</v>
      </c>
      <c r="DP303">
        <f xml:space="preserve"> _xlfn.XLOOKUP(B303,
'[12]february-2027'!$A:$A,
'[12]february-2027'!$C:$C,
0,0)</f>
        <v>29800</v>
      </c>
      <c r="DQ303">
        <f t="shared" si="868"/>
        <v>5364</v>
      </c>
      <c r="DR303">
        <f t="shared" si="869"/>
        <v>3576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500</v>
      </c>
      <c r="DU303">
        <f t="shared" si="870"/>
        <v>39240</v>
      </c>
      <c r="DV303">
        <f xml:space="preserve"> _xlfn.XLOOKUP(B303,
'[12]february-2027'!$A:$A,
'[12]february-2027'!$H:$H,
0,0)</f>
        <v>2000</v>
      </c>
      <c r="DW303">
        <f xml:space="preserve"> _xlfn.XLOOKUP(B303,
'[12]february-2027'!$A:$A,
'[12]february-2027'!$I:$I,
0,0)</f>
        <v>0</v>
      </c>
      <c r="DX303">
        <f t="shared" si="871"/>
        <v>150</v>
      </c>
      <c r="DY303">
        <f t="shared" si="872"/>
        <v>37090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873"/>
        <v>0</v>
      </c>
      <c r="EM303">
        <f t="shared" si="874"/>
        <v>466501</v>
      </c>
      <c r="EN303">
        <f t="shared" si="875"/>
        <v>1800</v>
      </c>
      <c r="EO303">
        <f t="shared" si="876"/>
        <v>50000</v>
      </c>
      <c r="EP303">
        <v>0</v>
      </c>
      <c r="EQ303">
        <f t="shared" si="878"/>
        <v>414701</v>
      </c>
      <c r="ER303">
        <f t="shared" si="879"/>
        <v>24000</v>
      </c>
      <c r="ES303">
        <f t="shared" si="880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881"/>
        <v>24000</v>
      </c>
      <c r="FE303">
        <f t="shared" si="882"/>
        <v>24000</v>
      </c>
      <c r="FF303">
        <f t="shared" si="883"/>
        <v>390701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>SUM(FG303:FM303)+(IF(F303="YES",50000,0))</f>
        <v>0</v>
      </c>
      <c r="FO303">
        <f t="shared" si="884"/>
        <v>390701</v>
      </c>
      <c r="FP303">
        <f t="shared" si="885"/>
        <v>7035</v>
      </c>
      <c r="FQ303">
        <f t="shared" si="886"/>
        <v>0</v>
      </c>
      <c r="FR303">
        <f t="shared" si="887"/>
        <v>7035</v>
      </c>
      <c r="FS303">
        <f t="shared" si="888"/>
        <v>0</v>
      </c>
      <c r="FT303">
        <f t="shared" si="889"/>
        <v>0</v>
      </c>
      <c r="FU303">
        <f t="shared" si="890"/>
        <v>0</v>
      </c>
      <c r="FV303">
        <v>0</v>
      </c>
      <c r="FW303">
        <f t="shared" si="891"/>
        <v>0</v>
      </c>
      <c r="FX303" t="b">
        <f t="shared" si="892"/>
        <v>0</v>
      </c>
      <c r="FY303">
        <f t="shared" ca="1" si="893"/>
        <v>2382</v>
      </c>
      <c r="FZ303">
        <f t="shared" ca="1" si="894"/>
        <v>468883</v>
      </c>
      <c r="GA303">
        <f t="shared" si="895"/>
        <v>75000</v>
      </c>
      <c r="GB303">
        <f t="shared" ca="1" si="896"/>
        <v>393883</v>
      </c>
      <c r="GC303">
        <f t="shared" ca="1" si="897"/>
        <v>0</v>
      </c>
      <c r="GD303">
        <f t="shared" ca="1" si="898"/>
        <v>0</v>
      </c>
      <c r="GE303">
        <f t="shared" ca="1" si="899"/>
        <v>0</v>
      </c>
      <c r="GF303">
        <f t="shared" ca="1" si="900"/>
        <v>0</v>
      </c>
      <c r="GG303">
        <f t="shared" ca="1" si="901"/>
        <v>0</v>
      </c>
      <c r="GH303">
        <f t="shared" ca="1" si="902"/>
        <v>0</v>
      </c>
      <c r="GI303">
        <f ca="1">IF(GB303&gt;1200000,GB303-1200000-IF(F303="YES",50000,0)-GG303,0)</f>
        <v>0</v>
      </c>
      <c r="GJ303">
        <f t="shared" ca="1" si="903"/>
        <v>0</v>
      </c>
      <c r="GK303">
        <f t="shared" ca="1" si="904"/>
        <v>0</v>
      </c>
      <c r="GL303">
        <f t="shared" ca="1" si="905"/>
        <v>0</v>
      </c>
      <c r="GM303">
        <f t="shared" ca="1" si="906"/>
        <v>0</v>
      </c>
      <c r="GN303">
        <f t="shared" ca="1" si="907"/>
        <v>0</v>
      </c>
      <c r="GO303">
        <f t="shared" ca="1" si="908"/>
        <v>0</v>
      </c>
      <c r="GP303">
        <f t="shared" ca="1" si="909"/>
        <v>0</v>
      </c>
      <c r="GQ303">
        <f t="shared" ca="1" si="910"/>
        <v>0</v>
      </c>
      <c r="GR303">
        <f t="shared" ca="1" si="911"/>
        <v>0</v>
      </c>
      <c r="GS303">
        <f t="shared" ca="1" si="912"/>
        <v>0</v>
      </c>
      <c r="GT303" t="b">
        <f t="shared" ca="1" si="913"/>
        <v>0</v>
      </c>
      <c r="GU303">
        <f t="shared" ca="1" si="914"/>
        <v>0</v>
      </c>
      <c r="GV303">
        <f t="shared" ca="1" si="915"/>
        <v>0</v>
      </c>
      <c r="GW303">
        <f t="shared" ca="1" si="916"/>
        <v>0</v>
      </c>
      <c r="GX303">
        <f t="shared" ca="1" si="917"/>
        <v>0</v>
      </c>
      <c r="GY303">
        <f t="shared" ca="1" si="918"/>
        <v>0</v>
      </c>
    </row>
    <row r="304" spans="1:207" x14ac:dyDescent="0.25">
      <c r="A304">
        <f>_xlfn.AGGREGATE(3,5,$B$2:B304)</f>
        <v>303</v>
      </c>
      <c r="B304" t="s">
        <v>692</v>
      </c>
      <c r="C304" t="s">
        <v>693</v>
      </c>
      <c r="D304" t="s">
        <v>827</v>
      </c>
      <c r="E304" t="s">
        <v>830</v>
      </c>
      <c r="F304" t="s">
        <v>952</v>
      </c>
      <c r="G304" t="s">
        <v>945</v>
      </c>
      <c r="H304">
        <f t="shared" si="813"/>
        <v>6800</v>
      </c>
      <c r="I304">
        <f>_xlfn.XLOOKUP(B304,'[1]march-2026'!$A:$A,'[1]march-2026'!$C:$C,0,0)</f>
        <v>50200</v>
      </c>
      <c r="J304">
        <f t="shared" si="877"/>
        <v>9036</v>
      </c>
      <c r="K304">
        <f t="shared" si="814"/>
        <v>6024</v>
      </c>
      <c r="L304">
        <f>_xlfn.XLOOKUP(B304,'[1]march-2026'!$A:$A,'[1]march-2026'!$D:$D,0,0)</f>
        <v>400</v>
      </c>
      <c r="M304">
        <f>_xlfn.XLOOKUP(B304,'[1]march-2026'!$A:$A,'[1]march-2026'!$G:$G,0,0)</f>
        <v>0</v>
      </c>
      <c r="N304">
        <f t="shared" si="815"/>
        <v>65660</v>
      </c>
      <c r="O304">
        <f>_xlfn.XLOOKUP(B304,'[1]march-2026'!$A:$A,'[1]march-2026'!$H:$H,0,0)</f>
        <v>12000</v>
      </c>
      <c r="P304">
        <f>_xlfn.XLOOKUP(B304,'[1]march-2026'!$A:$A,'[1]march-2026'!$I:$I,0,0)</f>
        <v>0</v>
      </c>
      <c r="Q304">
        <f t="shared" si="816"/>
        <v>200</v>
      </c>
      <c r="R304">
        <f t="shared" si="817"/>
        <v>53460</v>
      </c>
      <c r="S304">
        <f>_xlfn.XLOOKUP(B304,'[2]april-2026'!$A:$A,'[2]april-2026'!$C:$C,0,0)</f>
        <v>50200</v>
      </c>
      <c r="T304">
        <f t="shared" si="818"/>
        <v>9036</v>
      </c>
      <c r="U304">
        <f t="shared" si="819"/>
        <v>6024</v>
      </c>
      <c r="V304">
        <f>_xlfn.XLOOKUP(B304,'[2]april-2026'!$A:$A,'[2]april-2026'!$D:$D,0,0)</f>
        <v>400</v>
      </c>
      <c r="W304">
        <f>_xlfn.XLOOKUP(B304,'[2]april-2026'!$A:$A,'[2]april-2026'!$G:$G,0,0)</f>
        <v>0</v>
      </c>
      <c r="X304">
        <f t="shared" si="820"/>
        <v>65660</v>
      </c>
      <c r="Y304">
        <f>_xlfn.XLOOKUP(B304,'[2]april-2026'!$A:$A,'[2]april-2026'!$H:$H,0,0)</f>
        <v>12000</v>
      </c>
      <c r="Z304">
        <f>_xlfn.XLOOKUP(B304,'[2]april-2026'!$A:$A,'[2]april-2026'!$I:$I,0,0)</f>
        <v>0</v>
      </c>
      <c r="AA304">
        <f t="shared" si="821"/>
        <v>200</v>
      </c>
      <c r="AB304">
        <f t="shared" si="822"/>
        <v>53460</v>
      </c>
      <c r="AC304">
        <f>_xlfn.XLOOKUP(B304,'[3]may-2026'!$A:$A,'[3]may-2026'!$C:$C,0,0)</f>
        <v>50200</v>
      </c>
      <c r="AD304">
        <f t="shared" si="823"/>
        <v>9036</v>
      </c>
      <c r="AE304">
        <f t="shared" si="824"/>
        <v>6024</v>
      </c>
      <c r="AF304">
        <f>_xlfn.XLOOKUP(B304,'[3]may-2026'!$A:$A,'[3]may-2026'!$D:$D,0,0)</f>
        <v>400</v>
      </c>
      <c r="AG304">
        <f>_xlfn.XLOOKUP(B304,'[3]may-2026'!$A:$A,'[3]may-2026'!$G:$G,0,0)</f>
        <v>0</v>
      </c>
      <c r="AH304">
        <f t="shared" si="825"/>
        <v>65660</v>
      </c>
      <c r="AI304">
        <f>_xlfn.XLOOKUP(B304,'[3]may-2026'!$A:$A,'[3]may-2026'!$H:$H,0,0)</f>
        <v>12000</v>
      </c>
      <c r="AJ304">
        <f>_xlfn.XLOOKUP(B304,'[3]may-2026'!$A:$A,'[3]may-2026'!$I:$I,0,0)</f>
        <v>0</v>
      </c>
      <c r="AK304">
        <f t="shared" si="826"/>
        <v>200</v>
      </c>
      <c r="AL304">
        <f t="shared" si="827"/>
        <v>53460</v>
      </c>
      <c r="AM304">
        <f>_xlfn.XLOOKUP(B304,'[4]june-2026'!$A:$A,'[4]june-2026'!$C:$C,0,0)</f>
        <v>50200</v>
      </c>
      <c r="AN304">
        <f t="shared" si="828"/>
        <v>9036</v>
      </c>
      <c r="AO304">
        <f t="shared" si="829"/>
        <v>6024</v>
      </c>
      <c r="AP304">
        <f>_xlfn.XLOOKUP(B304,'[4]june-2026'!$A:$A,'[4]june-2026'!$D:$D,0,0)</f>
        <v>400</v>
      </c>
      <c r="AQ304">
        <f>_xlfn.XLOOKUP(B304,'[4]june-2026'!$A:$A,'[4]june-2026'!$G:$G,0,0)</f>
        <v>0</v>
      </c>
      <c r="AR304">
        <f t="shared" si="830"/>
        <v>65660</v>
      </c>
      <c r="AS304">
        <f>_xlfn.XLOOKUP(B304,'[4]june-2026'!$A:$A,'[4]june-2026'!$H:$H,0,0)</f>
        <v>12000</v>
      </c>
      <c r="AT304">
        <f>_xlfn.XLOOKUP(B304,'[4]june-2026'!$A:$A,'[4]june-2026'!$I:$I,0,0)</f>
        <v>0</v>
      </c>
      <c r="AU304">
        <f t="shared" si="831"/>
        <v>200</v>
      </c>
      <c r="AV304">
        <f t="shared" si="832"/>
        <v>53460</v>
      </c>
      <c r="AW304">
        <f>_xlfn.XLOOKUP(B304,'[5]july-2026'!$A:$A,'[5]july-2026'!$C:$C,0,0)</f>
        <v>51700</v>
      </c>
      <c r="AX304">
        <f t="shared" si="833"/>
        <v>9306</v>
      </c>
      <c r="AY304">
        <v>302</v>
      </c>
      <c r="AZ304">
        <f t="shared" si="834"/>
        <v>6204</v>
      </c>
      <c r="BA304">
        <f>_xlfn.XLOOKUP(B304,'[5]july-2026'!$A:$A,'[5]july-2026'!$D:$D,0,0)</f>
        <v>400</v>
      </c>
      <c r="BB304">
        <f>_xlfn.XLOOKUP(B304,'[5]july-2026'!$A:$A,'[5]july-2026'!$G:$G,0,0)</f>
        <v>0</v>
      </c>
      <c r="BC304">
        <f t="shared" si="835"/>
        <v>67912</v>
      </c>
      <c r="BD304">
        <f>_xlfn.XLOOKUP(B304,'[5]july-2026'!$A:$A,'[5]july-2026'!$H:$H,0,0)</f>
        <v>12000</v>
      </c>
      <c r="BE304">
        <f>_xlfn.XLOOKUP(B304,'[5]july-2026'!$A:$A,'[5]july-2026'!$I:$I,0,0)</f>
        <v>0</v>
      </c>
      <c r="BF304">
        <f t="shared" si="836"/>
        <v>200</v>
      </c>
      <c r="BG304">
        <f t="shared" si="837"/>
        <v>55712</v>
      </c>
      <c r="BH304">
        <f>_xlfn.XLOOKUP(B304,'[6]august-2026'!$A:$A,'[6]august-2026'!$C:$C,0,0)</f>
        <v>51700</v>
      </c>
      <c r="BI304">
        <f t="shared" si="838"/>
        <v>9306</v>
      </c>
      <c r="BJ304">
        <f t="shared" si="839"/>
        <v>6204</v>
      </c>
      <c r="BK304">
        <f>_xlfn.XLOOKUP(B304,'[6]august-2026'!$A:$A,'[6]august-2026'!$D:$D,0,0)</f>
        <v>400</v>
      </c>
      <c r="BL304">
        <f>_xlfn.XLOOKUP(B304,'[6]august-2026'!$A:$A,'[6]august-2026'!$G:$G,0,0)</f>
        <v>0</v>
      </c>
      <c r="BM304">
        <f t="shared" si="840"/>
        <v>67610</v>
      </c>
      <c r="BN304">
        <f>_xlfn.XLOOKUP(B304,'[6]august-2026'!$A:$A,'[6]august-2026'!$H:$H,0,0)</f>
        <v>12000</v>
      </c>
      <c r="BO304">
        <f>_xlfn.XLOOKUP(B304,'[6]august-2026'!$A:$A,'[6]august-2026'!$I:$I,0,0)</f>
        <v>0</v>
      </c>
      <c r="BP304">
        <f t="shared" si="841"/>
        <v>200</v>
      </c>
      <c r="BQ304">
        <f t="shared" si="842"/>
        <v>55410</v>
      </c>
      <c r="BR304">
        <f>_xlfn.XLOOKUP(B304,'[7]september-2026'!$A:$A,'[7]september-2026'!$C:$C,0,0)</f>
        <v>51700</v>
      </c>
      <c r="BS304">
        <f t="shared" si="843"/>
        <v>9306</v>
      </c>
      <c r="BT304">
        <f t="shared" si="844"/>
        <v>6204</v>
      </c>
      <c r="BU304">
        <f>_xlfn.XLOOKUP(B304,'[7]september-2026'!$A:$A,'[7]september-2026'!$D:$D,0,0)</f>
        <v>400</v>
      </c>
      <c r="BV304">
        <f>_xlfn.XLOOKUP(B304,'[7]september-2026'!$A:$A,'[7]september-2026'!$G:$G,0,0)</f>
        <v>0</v>
      </c>
      <c r="BW304">
        <f t="shared" si="845"/>
        <v>67610</v>
      </c>
      <c r="BX304">
        <f>_xlfn.XLOOKUP(B304,'[7]september-2026'!$A:$A,'[7]september-2026'!$H:$H,0,0)</f>
        <v>12000</v>
      </c>
      <c r="BY304">
        <f>_xlfn.XLOOKUP(B304,'[7]september-2026'!$A:$A,'[7]september-2026'!$I:$I,0,0)</f>
        <v>0</v>
      </c>
      <c r="BZ304">
        <f t="shared" si="846"/>
        <v>200</v>
      </c>
      <c r="CA304">
        <f t="shared" si="847"/>
        <v>55410</v>
      </c>
      <c r="CB304">
        <f>_xlfn.XLOOKUP(B304,'[8]october-2026'!$A:$A,'[8]october-2026'!$C:$C,0,0)</f>
        <v>51700</v>
      </c>
      <c r="CC304">
        <f t="shared" si="848"/>
        <v>9306</v>
      </c>
      <c r="CD304">
        <f t="shared" si="849"/>
        <v>6204</v>
      </c>
      <c r="CE304">
        <f>_xlfn.XLOOKUP(B304,'[8]october-2026'!$A:$A,'[8]october-2026'!$D:$D,0,0)</f>
        <v>400</v>
      </c>
      <c r="CF304">
        <f>_xlfn.XLOOKUP(B304,'[8]october-2026'!$A:$A,'[8]october-2026'!$G:$G,0,0)</f>
        <v>0</v>
      </c>
      <c r="CG304">
        <f t="shared" si="850"/>
        <v>67610</v>
      </c>
      <c r="CH304">
        <f>_xlfn.XLOOKUP(B304,'[8]october-2026'!$A:$A,'[8]october-2026'!$H:$H,0,0)</f>
        <v>12000</v>
      </c>
      <c r="CI304">
        <f>_xlfn.XLOOKUP(B304,'[8]october-2026'!$A:$A,'[8]october-2026'!$I:$I,0,0)</f>
        <v>0</v>
      </c>
      <c r="CJ304">
        <f t="shared" si="851"/>
        <v>200</v>
      </c>
      <c r="CK304">
        <f t="shared" si="852"/>
        <v>55410</v>
      </c>
      <c r="CL304">
        <f>_xlfn.XLOOKUP(B304,'[9]november-2026'!$A:$A,'[9]november-2026'!$C:$C,0,0)</f>
        <v>51700</v>
      </c>
      <c r="CM304">
        <f t="shared" si="853"/>
        <v>9306</v>
      </c>
      <c r="CN304">
        <f t="shared" si="854"/>
        <v>6204</v>
      </c>
      <c r="CO304">
        <f>_xlfn.XLOOKUP(B304,'[9]november-2026'!$A:$A,'[9]november-2026'!$D:$D,0,0)</f>
        <v>400</v>
      </c>
      <c r="CP304">
        <f>_xlfn.XLOOKUP(B304,'[9]november-2026'!$A:$A,'[9]november-2026'!$G:$G,0,0)</f>
        <v>0</v>
      </c>
      <c r="CQ304">
        <f t="shared" si="855"/>
        <v>67610</v>
      </c>
      <c r="CR304">
        <f>_xlfn.XLOOKUP(B304,'[9]november-2026'!$A:$A,'[9]november-2026'!$H:$H,0,0)</f>
        <v>12000</v>
      </c>
      <c r="CS304">
        <f>_xlfn.XLOOKUP(B304,'[9]november-2026'!$A:$A,'[9]november-2026'!$I:$I,0,0)</f>
        <v>0</v>
      </c>
      <c r="CT304">
        <f t="shared" si="856"/>
        <v>200</v>
      </c>
      <c r="CU304">
        <f t="shared" si="857"/>
        <v>55410</v>
      </c>
      <c r="CV304">
        <f>_xlfn.XLOOKUP(B304,'[10]december-2026'!$A:$A,'[10]december-2026'!$C:$C,0,0)</f>
        <v>51700</v>
      </c>
      <c r="CW304">
        <f t="shared" si="858"/>
        <v>9306</v>
      </c>
      <c r="CX304">
        <f t="shared" si="859"/>
        <v>6204</v>
      </c>
      <c r="CY304">
        <f>_xlfn.XLOOKUP(B304,'[10]december-2026'!$A:$A,'[10]december-2026'!$D:$D,0,0)</f>
        <v>400</v>
      </c>
      <c r="CZ304">
        <f>_xlfn.XLOOKUP(B304,'[10]december-2026'!$A:$A,'[10]december-2026'!$G:$G,0,0)</f>
        <v>0</v>
      </c>
      <c r="DA304">
        <f t="shared" si="860"/>
        <v>67610</v>
      </c>
      <c r="DB304">
        <f>_xlfn.XLOOKUP(B304,'[10]december-2026'!$A:$A,'[10]december-2026'!$H:$H,0,0)</f>
        <v>12000</v>
      </c>
      <c r="DC304">
        <f>_xlfn.XLOOKUP(B304,'[10]december-2026'!$A:$A,'[10]december-2026'!$I:$I,0,0)</f>
        <v>0</v>
      </c>
      <c r="DD304">
        <f t="shared" si="861"/>
        <v>200</v>
      </c>
      <c r="DE304">
        <f t="shared" si="862"/>
        <v>55410</v>
      </c>
      <c r="DF304">
        <f xml:space="preserve"> _xlfn.XLOOKUP(B304,
'[11]january-2027'!$A:$A,
'[11]january-2027'!$C:$C,
0,0)</f>
        <v>51700</v>
      </c>
      <c r="DG304">
        <f t="shared" si="863"/>
        <v>9306</v>
      </c>
      <c r="DH304">
        <f t="shared" si="864"/>
        <v>6204</v>
      </c>
      <c r="DI304">
        <f xml:space="preserve"> _xlfn.XLOOKUP(B304,
'[11]january-2027'!$A:$A,
'[11]january-2027'!$D:$D,
0,0)</f>
        <v>400</v>
      </c>
      <c r="DJ304">
        <f xml:space="preserve"> _xlfn.XLOOKUP(B304,
'[11]january-2027'!$A:$A,
'[11]january-2027'!$G:$G,
0,0)</f>
        <v>0</v>
      </c>
      <c r="DK304">
        <f t="shared" si="865"/>
        <v>67610</v>
      </c>
      <c r="DL304">
        <f xml:space="preserve"> _xlfn.XLOOKUP(B304,
'[11]january-2027'!$A:$A,
'[11]january-2027'!$H:$H,
0,0)</f>
        <v>12000</v>
      </c>
      <c r="DM304">
        <f xml:space="preserve"> _xlfn.XLOOKUP(B304,
'[11]january-2027'!$A:$A,
'[11]january-2027'!$I:$I,
0,0)</f>
        <v>0</v>
      </c>
      <c r="DN304">
        <f t="shared" si="866"/>
        <v>200</v>
      </c>
      <c r="DO304">
        <f t="shared" si="867"/>
        <v>55410</v>
      </c>
      <c r="DP304">
        <f xml:space="preserve"> _xlfn.XLOOKUP(B304,
'[12]february-2027'!$A:$A,
'[12]february-2027'!$C:$C,
0,0)</f>
        <v>51700</v>
      </c>
      <c r="DQ304">
        <f t="shared" si="868"/>
        <v>9306</v>
      </c>
      <c r="DR304">
        <f t="shared" si="869"/>
        <v>6204</v>
      </c>
      <c r="DS304">
        <f xml:space="preserve"> _xlfn.XLOOKUP(B304,
'[12]february-2027'!$A:$A,
'[12]february-2027'!$D:$D,
0,0)</f>
        <v>400</v>
      </c>
      <c r="DT304">
        <f xml:space="preserve"> _xlfn.XLOOKUP(B304,
'[12]february-2027'!$A:$A,
'[12]february-2027'!$G:$G,
0,0)</f>
        <v>0</v>
      </c>
      <c r="DU304">
        <f t="shared" si="870"/>
        <v>67610</v>
      </c>
      <c r="DV304">
        <f xml:space="preserve"> _xlfn.XLOOKUP(B304,
'[12]february-2027'!$A:$A,
'[12]february-2027'!$H:$H,
0,0)</f>
        <v>12000</v>
      </c>
      <c r="DW304">
        <f xml:space="preserve"> _xlfn.XLOOKUP(B304,
'[12]february-2027'!$A:$A,
'[12]february-2027'!$I:$I,
0,0)</f>
        <v>0</v>
      </c>
      <c r="DX304">
        <f t="shared" si="871"/>
        <v>200</v>
      </c>
      <c r="DY304">
        <f t="shared" si="872"/>
        <v>55410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873"/>
        <v>0</v>
      </c>
      <c r="EM304">
        <f t="shared" si="874"/>
        <v>810622</v>
      </c>
      <c r="EN304">
        <f t="shared" si="875"/>
        <v>2400</v>
      </c>
      <c r="EO304">
        <f t="shared" si="876"/>
        <v>50000</v>
      </c>
      <c r="EP304">
        <v>0</v>
      </c>
      <c r="EQ304">
        <f t="shared" si="878"/>
        <v>758222</v>
      </c>
      <c r="ER304">
        <f t="shared" si="879"/>
        <v>144000</v>
      </c>
      <c r="ES304">
        <f t="shared" si="880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881"/>
        <v>144000</v>
      </c>
      <c r="FE304">
        <f t="shared" si="882"/>
        <v>144000</v>
      </c>
      <c r="FF304">
        <f t="shared" si="883"/>
        <v>614222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>SUM(FG304:FM304)+(IF(F304="YES",50000,0))</f>
        <v>0</v>
      </c>
      <c r="FO304">
        <f t="shared" si="884"/>
        <v>614222</v>
      </c>
      <c r="FP304">
        <f t="shared" si="885"/>
        <v>12500</v>
      </c>
      <c r="FQ304">
        <f t="shared" si="886"/>
        <v>22844</v>
      </c>
      <c r="FR304">
        <f t="shared" si="887"/>
        <v>35344</v>
      </c>
      <c r="FS304">
        <f t="shared" si="888"/>
        <v>35344</v>
      </c>
      <c r="FT304">
        <f t="shared" si="889"/>
        <v>1413.76</v>
      </c>
      <c r="FU304">
        <f t="shared" si="890"/>
        <v>36758</v>
      </c>
      <c r="FV304">
        <v>0</v>
      </c>
      <c r="FW304">
        <f t="shared" si="891"/>
        <v>36758</v>
      </c>
      <c r="FX304" t="b">
        <f t="shared" si="892"/>
        <v>1</v>
      </c>
      <c r="FY304">
        <f t="shared" ca="1" si="893"/>
        <v>867</v>
      </c>
      <c r="FZ304">
        <f t="shared" ca="1" si="894"/>
        <v>811489</v>
      </c>
      <c r="GA304">
        <f t="shared" si="895"/>
        <v>75000</v>
      </c>
      <c r="GB304">
        <f t="shared" ca="1" si="896"/>
        <v>736489</v>
      </c>
      <c r="GC304">
        <f t="shared" ca="1" si="897"/>
        <v>0</v>
      </c>
      <c r="GD304">
        <f t="shared" ca="1" si="898"/>
        <v>0</v>
      </c>
      <c r="GE304">
        <f t="shared" ca="1" si="899"/>
        <v>0</v>
      </c>
      <c r="GF304">
        <f t="shared" ca="1" si="900"/>
        <v>0</v>
      </c>
      <c r="GG304">
        <f t="shared" ca="1" si="901"/>
        <v>0</v>
      </c>
      <c r="GH304">
        <f t="shared" ca="1" si="902"/>
        <v>0</v>
      </c>
      <c r="GI304">
        <f ca="1">IF(GB304&gt;1200000,GB304-1200000-IF(F304="YES",50000,0)-GG304,0)</f>
        <v>0</v>
      </c>
      <c r="GJ304">
        <f t="shared" ca="1" si="903"/>
        <v>0</v>
      </c>
      <c r="GK304">
        <f t="shared" ca="1" si="904"/>
        <v>0</v>
      </c>
      <c r="GL304">
        <f t="shared" ca="1" si="905"/>
        <v>0</v>
      </c>
      <c r="GM304">
        <f t="shared" ca="1" si="906"/>
        <v>336489</v>
      </c>
      <c r="GN304">
        <f t="shared" ca="1" si="907"/>
        <v>16824.45</v>
      </c>
      <c r="GO304">
        <f t="shared" ca="1" si="908"/>
        <v>16824</v>
      </c>
      <c r="GP304">
        <f t="shared" ca="1" si="909"/>
        <v>0</v>
      </c>
      <c r="GQ304">
        <f t="shared" ca="1" si="910"/>
        <v>0</v>
      </c>
      <c r="GR304">
        <f t="shared" ca="1" si="911"/>
        <v>16824</v>
      </c>
      <c r="GS304">
        <f t="shared" ca="1" si="912"/>
        <v>0</v>
      </c>
      <c r="GT304" t="b">
        <f t="shared" ca="1" si="913"/>
        <v>0</v>
      </c>
      <c r="GU304">
        <f t="shared" ca="1" si="914"/>
        <v>0</v>
      </c>
      <c r="GV304">
        <f t="shared" ca="1" si="915"/>
        <v>16824</v>
      </c>
      <c r="GW304">
        <f t="shared" ca="1" si="916"/>
        <v>0</v>
      </c>
      <c r="GX304">
        <f t="shared" ca="1" si="917"/>
        <v>0</v>
      </c>
      <c r="GY304">
        <f t="shared" ca="1" si="918"/>
        <v>0</v>
      </c>
    </row>
    <row r="305" spans="1:207" x14ac:dyDescent="0.25">
      <c r="A305">
        <f>_xlfn.AGGREGATE(3,5,$B$2:B305)</f>
        <v>304</v>
      </c>
      <c r="B305" t="s">
        <v>694</v>
      </c>
      <c r="C305" t="s">
        <v>695</v>
      </c>
      <c r="D305" t="s">
        <v>827</v>
      </c>
      <c r="E305" t="s">
        <v>830</v>
      </c>
      <c r="F305" t="s">
        <v>952</v>
      </c>
      <c r="G305" t="s">
        <v>929</v>
      </c>
      <c r="H305">
        <f t="shared" si="813"/>
        <v>6800</v>
      </c>
      <c r="I305">
        <f>_xlfn.XLOOKUP(B305,'[1]march-2026'!$A:$A,'[1]march-2026'!$C:$C,0,0)</f>
        <v>34500</v>
      </c>
      <c r="J305">
        <f t="shared" si="877"/>
        <v>6210</v>
      </c>
      <c r="K305">
        <f t="shared" si="814"/>
        <v>4140</v>
      </c>
      <c r="L305">
        <f>_xlfn.XLOOKUP(B305,'[1]march-2026'!$A:$A,'[1]march-2026'!$D:$D,0,0)</f>
        <v>0</v>
      </c>
      <c r="M305">
        <f>_xlfn.XLOOKUP(B305,'[1]march-2026'!$A:$A,'[1]march-2026'!$G:$G,0,0)</f>
        <v>500</v>
      </c>
      <c r="N305">
        <f t="shared" si="815"/>
        <v>45350</v>
      </c>
      <c r="O305">
        <f>_xlfn.XLOOKUP(B305,'[1]march-2026'!$A:$A,'[1]march-2026'!$H:$H,0,0)</f>
        <v>3000</v>
      </c>
      <c r="P305">
        <f>_xlfn.XLOOKUP(B305,'[1]march-2026'!$A:$A,'[1]march-2026'!$I:$I,0,0)</f>
        <v>0</v>
      </c>
      <c r="Q305">
        <f t="shared" si="816"/>
        <v>200</v>
      </c>
      <c r="R305">
        <f t="shared" si="817"/>
        <v>42150</v>
      </c>
      <c r="S305">
        <f>_xlfn.XLOOKUP(B305,'[2]april-2026'!$A:$A,'[2]april-2026'!$C:$C,0,0)</f>
        <v>34500</v>
      </c>
      <c r="T305">
        <f t="shared" si="818"/>
        <v>6210</v>
      </c>
      <c r="U305">
        <f t="shared" si="819"/>
        <v>4140</v>
      </c>
      <c r="V305">
        <f>_xlfn.XLOOKUP(B305,'[2]april-2026'!$A:$A,'[2]april-2026'!$D:$D,0,0)</f>
        <v>0</v>
      </c>
      <c r="W305">
        <f>_xlfn.XLOOKUP(B305,'[2]april-2026'!$A:$A,'[2]april-2026'!$G:$G,0,0)</f>
        <v>500</v>
      </c>
      <c r="X305">
        <f t="shared" si="820"/>
        <v>45350</v>
      </c>
      <c r="Y305">
        <f>_xlfn.XLOOKUP(B305,'[2]april-2026'!$A:$A,'[2]april-2026'!$H:$H,0,0)</f>
        <v>3000</v>
      </c>
      <c r="Z305">
        <f>_xlfn.XLOOKUP(B305,'[2]april-2026'!$A:$A,'[2]april-2026'!$I:$I,0,0)</f>
        <v>0</v>
      </c>
      <c r="AA305">
        <f t="shared" si="821"/>
        <v>200</v>
      </c>
      <c r="AB305">
        <f t="shared" si="822"/>
        <v>42150</v>
      </c>
      <c r="AC305">
        <f>_xlfn.XLOOKUP(B305,'[3]may-2026'!$A:$A,'[3]may-2026'!$C:$C,0,0)</f>
        <v>34500</v>
      </c>
      <c r="AD305">
        <f t="shared" si="823"/>
        <v>6210</v>
      </c>
      <c r="AE305">
        <f t="shared" si="824"/>
        <v>4140</v>
      </c>
      <c r="AF305">
        <f>_xlfn.XLOOKUP(B305,'[3]may-2026'!$A:$A,'[3]may-2026'!$D:$D,0,0)</f>
        <v>0</v>
      </c>
      <c r="AG305">
        <f>_xlfn.XLOOKUP(B305,'[3]may-2026'!$A:$A,'[3]may-2026'!$G:$G,0,0)</f>
        <v>500</v>
      </c>
      <c r="AH305">
        <f t="shared" si="825"/>
        <v>45350</v>
      </c>
      <c r="AI305">
        <f>_xlfn.XLOOKUP(B305,'[3]may-2026'!$A:$A,'[3]may-2026'!$H:$H,0,0)</f>
        <v>3000</v>
      </c>
      <c r="AJ305">
        <f>_xlfn.XLOOKUP(B305,'[3]may-2026'!$A:$A,'[3]may-2026'!$I:$I,0,0)</f>
        <v>0</v>
      </c>
      <c r="AK305">
        <f t="shared" si="826"/>
        <v>200</v>
      </c>
      <c r="AL305">
        <f t="shared" si="827"/>
        <v>42150</v>
      </c>
      <c r="AM305">
        <f>_xlfn.XLOOKUP(B305,'[4]june-2026'!$A:$A,'[4]june-2026'!$C:$C,0,0)</f>
        <v>34500</v>
      </c>
      <c r="AN305">
        <f t="shared" si="828"/>
        <v>6210</v>
      </c>
      <c r="AO305">
        <f t="shared" si="829"/>
        <v>4140</v>
      </c>
      <c r="AP305">
        <f>_xlfn.XLOOKUP(B305,'[4]june-2026'!$A:$A,'[4]june-2026'!$D:$D,0,0)</f>
        <v>0</v>
      </c>
      <c r="AQ305">
        <f>_xlfn.XLOOKUP(B305,'[4]june-2026'!$A:$A,'[4]june-2026'!$G:$G,0,0)</f>
        <v>500</v>
      </c>
      <c r="AR305">
        <f t="shared" si="830"/>
        <v>45350</v>
      </c>
      <c r="AS305">
        <f>_xlfn.XLOOKUP(B305,'[4]june-2026'!$A:$A,'[4]june-2026'!$H:$H,0,0)</f>
        <v>3000</v>
      </c>
      <c r="AT305">
        <f>_xlfn.XLOOKUP(B305,'[4]june-2026'!$A:$A,'[4]june-2026'!$I:$I,0,0)</f>
        <v>0</v>
      </c>
      <c r="AU305">
        <f t="shared" si="831"/>
        <v>200</v>
      </c>
      <c r="AV305">
        <f t="shared" si="832"/>
        <v>42150</v>
      </c>
      <c r="AW305">
        <f>_xlfn.XLOOKUP(B305,'[5]july-2026'!$A:$A,'[5]july-2026'!$C:$C,0,0)</f>
        <v>35500</v>
      </c>
      <c r="AX305">
        <f t="shared" si="833"/>
        <v>6390</v>
      </c>
      <c r="AY305">
        <v>303</v>
      </c>
      <c r="AZ305">
        <f t="shared" si="834"/>
        <v>4260</v>
      </c>
      <c r="BA305">
        <f>_xlfn.XLOOKUP(B305,'[5]july-2026'!$A:$A,'[5]july-2026'!$D:$D,0,0)</f>
        <v>0</v>
      </c>
      <c r="BB305">
        <f>_xlfn.XLOOKUP(B305,'[5]july-2026'!$A:$A,'[5]july-2026'!$G:$G,0,0)</f>
        <v>500</v>
      </c>
      <c r="BC305">
        <f t="shared" si="835"/>
        <v>46953</v>
      </c>
      <c r="BD305">
        <f>_xlfn.XLOOKUP(B305,'[5]july-2026'!$A:$A,'[5]july-2026'!$H:$H,0,0)</f>
        <v>3000</v>
      </c>
      <c r="BE305">
        <f>_xlfn.XLOOKUP(B305,'[5]july-2026'!$A:$A,'[5]july-2026'!$I:$I,0,0)</f>
        <v>0</v>
      </c>
      <c r="BF305">
        <f t="shared" si="836"/>
        <v>200</v>
      </c>
      <c r="BG305">
        <f t="shared" si="837"/>
        <v>43753</v>
      </c>
      <c r="BH305">
        <f>_xlfn.XLOOKUP(B305,'[6]august-2026'!$A:$A,'[6]august-2026'!$C:$C,0,0)</f>
        <v>35500</v>
      </c>
      <c r="BI305">
        <f t="shared" si="838"/>
        <v>6390</v>
      </c>
      <c r="BJ305">
        <f t="shared" si="839"/>
        <v>4260</v>
      </c>
      <c r="BK305">
        <f>_xlfn.XLOOKUP(B305,'[6]august-2026'!$A:$A,'[6]august-2026'!$D:$D,0,0)</f>
        <v>0</v>
      </c>
      <c r="BL305">
        <f>_xlfn.XLOOKUP(B305,'[6]august-2026'!$A:$A,'[6]august-2026'!$G:$G,0,0)</f>
        <v>500</v>
      </c>
      <c r="BM305">
        <f t="shared" si="840"/>
        <v>46650</v>
      </c>
      <c r="BN305">
        <f>_xlfn.XLOOKUP(B305,'[6]august-2026'!$A:$A,'[6]august-2026'!$H:$H,0,0)</f>
        <v>3000</v>
      </c>
      <c r="BO305">
        <f>_xlfn.XLOOKUP(B305,'[6]august-2026'!$A:$A,'[6]august-2026'!$I:$I,0,0)</f>
        <v>0</v>
      </c>
      <c r="BP305">
        <f t="shared" si="841"/>
        <v>200</v>
      </c>
      <c r="BQ305">
        <f t="shared" si="842"/>
        <v>43450</v>
      </c>
      <c r="BR305">
        <f>_xlfn.XLOOKUP(B305,'[7]september-2026'!$A:$A,'[7]september-2026'!$C:$C,0,0)</f>
        <v>35500</v>
      </c>
      <c r="BS305">
        <f t="shared" si="843"/>
        <v>6390</v>
      </c>
      <c r="BT305">
        <f t="shared" si="844"/>
        <v>4260</v>
      </c>
      <c r="BU305">
        <f>_xlfn.XLOOKUP(B305,'[7]september-2026'!$A:$A,'[7]september-2026'!$D:$D,0,0)</f>
        <v>0</v>
      </c>
      <c r="BV305">
        <f>_xlfn.XLOOKUP(B305,'[7]september-2026'!$A:$A,'[7]september-2026'!$G:$G,0,0)</f>
        <v>500</v>
      </c>
      <c r="BW305">
        <f t="shared" si="845"/>
        <v>46650</v>
      </c>
      <c r="BX305">
        <f>_xlfn.XLOOKUP(B305,'[7]september-2026'!$A:$A,'[7]september-2026'!$H:$H,0,0)</f>
        <v>3000</v>
      </c>
      <c r="BY305">
        <f>_xlfn.XLOOKUP(B305,'[7]september-2026'!$A:$A,'[7]september-2026'!$I:$I,0,0)</f>
        <v>0</v>
      </c>
      <c r="BZ305">
        <f t="shared" si="846"/>
        <v>200</v>
      </c>
      <c r="CA305">
        <f t="shared" si="847"/>
        <v>43450</v>
      </c>
      <c r="CB305">
        <f>_xlfn.XLOOKUP(B305,'[8]october-2026'!$A:$A,'[8]october-2026'!$C:$C,0,0)</f>
        <v>35500</v>
      </c>
      <c r="CC305">
        <f t="shared" si="848"/>
        <v>6390</v>
      </c>
      <c r="CD305">
        <f t="shared" si="849"/>
        <v>4260</v>
      </c>
      <c r="CE305">
        <f>_xlfn.XLOOKUP(B305,'[8]october-2026'!$A:$A,'[8]october-2026'!$D:$D,0,0)</f>
        <v>0</v>
      </c>
      <c r="CF305">
        <f>_xlfn.XLOOKUP(B305,'[8]october-2026'!$A:$A,'[8]october-2026'!$G:$G,0,0)</f>
        <v>500</v>
      </c>
      <c r="CG305">
        <f t="shared" si="850"/>
        <v>46650</v>
      </c>
      <c r="CH305">
        <f>_xlfn.XLOOKUP(B305,'[8]october-2026'!$A:$A,'[8]october-2026'!$H:$H,0,0)</f>
        <v>3000</v>
      </c>
      <c r="CI305">
        <f>_xlfn.XLOOKUP(B305,'[8]october-2026'!$A:$A,'[8]october-2026'!$I:$I,0,0)</f>
        <v>0</v>
      </c>
      <c r="CJ305">
        <f t="shared" si="851"/>
        <v>200</v>
      </c>
      <c r="CK305">
        <f t="shared" si="852"/>
        <v>43450</v>
      </c>
      <c r="CL305">
        <f>_xlfn.XLOOKUP(B305,'[9]november-2026'!$A:$A,'[9]november-2026'!$C:$C,0,0)</f>
        <v>35500</v>
      </c>
      <c r="CM305">
        <f t="shared" si="853"/>
        <v>6390</v>
      </c>
      <c r="CN305">
        <f t="shared" si="854"/>
        <v>4260</v>
      </c>
      <c r="CO305">
        <f>_xlfn.XLOOKUP(B305,'[9]november-2026'!$A:$A,'[9]november-2026'!$D:$D,0,0)</f>
        <v>0</v>
      </c>
      <c r="CP305">
        <f>_xlfn.XLOOKUP(B305,'[9]november-2026'!$A:$A,'[9]november-2026'!$G:$G,0,0)</f>
        <v>500</v>
      </c>
      <c r="CQ305">
        <f t="shared" si="855"/>
        <v>46650</v>
      </c>
      <c r="CR305">
        <f>_xlfn.XLOOKUP(B305,'[9]november-2026'!$A:$A,'[9]november-2026'!$H:$H,0,0)</f>
        <v>3000</v>
      </c>
      <c r="CS305">
        <f>_xlfn.XLOOKUP(B305,'[9]november-2026'!$A:$A,'[9]november-2026'!$I:$I,0,0)</f>
        <v>0</v>
      </c>
      <c r="CT305">
        <f t="shared" si="856"/>
        <v>200</v>
      </c>
      <c r="CU305">
        <f t="shared" si="857"/>
        <v>43450</v>
      </c>
      <c r="CV305">
        <f>_xlfn.XLOOKUP(B305,'[10]december-2026'!$A:$A,'[10]december-2026'!$C:$C,0,0)</f>
        <v>35500</v>
      </c>
      <c r="CW305">
        <f t="shared" si="858"/>
        <v>6390</v>
      </c>
      <c r="CX305">
        <f t="shared" si="859"/>
        <v>4260</v>
      </c>
      <c r="CY305">
        <f>_xlfn.XLOOKUP(B305,'[10]december-2026'!$A:$A,'[10]december-2026'!$D:$D,0,0)</f>
        <v>0</v>
      </c>
      <c r="CZ305">
        <f>_xlfn.XLOOKUP(B305,'[10]december-2026'!$A:$A,'[10]december-2026'!$G:$G,0,0)</f>
        <v>500</v>
      </c>
      <c r="DA305">
        <f t="shared" si="860"/>
        <v>46650</v>
      </c>
      <c r="DB305">
        <f>_xlfn.XLOOKUP(B305,'[10]december-2026'!$A:$A,'[10]december-2026'!$H:$H,0,0)</f>
        <v>3000</v>
      </c>
      <c r="DC305">
        <f>_xlfn.XLOOKUP(B305,'[10]december-2026'!$A:$A,'[10]december-2026'!$I:$I,0,0)</f>
        <v>0</v>
      </c>
      <c r="DD305">
        <f t="shared" si="861"/>
        <v>200</v>
      </c>
      <c r="DE305">
        <f t="shared" si="862"/>
        <v>43450</v>
      </c>
      <c r="DF305">
        <f xml:space="preserve"> _xlfn.XLOOKUP(B305,
'[11]january-2027'!$A:$A,
'[11]january-2027'!$C:$C,
0,0)</f>
        <v>35500</v>
      </c>
      <c r="DG305">
        <f t="shared" si="863"/>
        <v>6390</v>
      </c>
      <c r="DH305">
        <f t="shared" si="864"/>
        <v>4260</v>
      </c>
      <c r="DI305">
        <f xml:space="preserve"> _xlfn.XLOOKUP(B305,
'[11]january-2027'!$A:$A,
'[11]january-2027'!$D:$D,
0,0)</f>
        <v>0</v>
      </c>
      <c r="DJ305">
        <f xml:space="preserve"> _xlfn.XLOOKUP(B305,
'[11]january-2027'!$A:$A,
'[11]january-2027'!$G:$G,
0,0)</f>
        <v>500</v>
      </c>
      <c r="DK305">
        <f t="shared" si="865"/>
        <v>46650</v>
      </c>
      <c r="DL305">
        <f xml:space="preserve"> _xlfn.XLOOKUP(B305,
'[11]january-2027'!$A:$A,
'[11]january-2027'!$H:$H,
0,0)</f>
        <v>3000</v>
      </c>
      <c r="DM305">
        <f xml:space="preserve"> _xlfn.XLOOKUP(B305,
'[11]january-2027'!$A:$A,
'[11]january-2027'!$I:$I,
0,0)</f>
        <v>0</v>
      </c>
      <c r="DN305">
        <f t="shared" si="866"/>
        <v>200</v>
      </c>
      <c r="DO305">
        <f t="shared" si="867"/>
        <v>43450</v>
      </c>
      <c r="DP305">
        <f xml:space="preserve"> _xlfn.XLOOKUP(B305,
'[12]february-2027'!$A:$A,
'[12]february-2027'!$C:$C,
0,0)</f>
        <v>35500</v>
      </c>
      <c r="DQ305">
        <f t="shared" si="868"/>
        <v>6390</v>
      </c>
      <c r="DR305">
        <f t="shared" si="869"/>
        <v>4260</v>
      </c>
      <c r="DS305">
        <f xml:space="preserve"> _xlfn.XLOOKUP(B305,
'[12]february-2027'!$A:$A,
'[12]february-2027'!$D:$D,
0,0)</f>
        <v>0</v>
      </c>
      <c r="DT305">
        <f xml:space="preserve"> _xlfn.XLOOKUP(B305,
'[12]february-2027'!$A:$A,
'[12]february-2027'!$G:$G,
0,0)</f>
        <v>500</v>
      </c>
      <c r="DU305">
        <f t="shared" si="870"/>
        <v>46650</v>
      </c>
      <c r="DV305">
        <f xml:space="preserve"> _xlfn.XLOOKUP(B305,
'[12]february-2027'!$A:$A,
'[12]february-2027'!$H:$H,
0,0)</f>
        <v>3000</v>
      </c>
      <c r="DW305">
        <f xml:space="preserve"> _xlfn.XLOOKUP(B305,
'[12]february-2027'!$A:$A,
'[12]february-2027'!$I:$I,
0,0)</f>
        <v>0</v>
      </c>
      <c r="DX305">
        <f t="shared" si="871"/>
        <v>200</v>
      </c>
      <c r="DY305">
        <f t="shared" si="872"/>
        <v>43450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873"/>
        <v>0</v>
      </c>
      <c r="EM305">
        <f t="shared" si="874"/>
        <v>561703</v>
      </c>
      <c r="EN305">
        <f t="shared" si="875"/>
        <v>2400</v>
      </c>
      <c r="EO305">
        <f t="shared" si="876"/>
        <v>50000</v>
      </c>
      <c r="EP305">
        <v>0</v>
      </c>
      <c r="EQ305">
        <f t="shared" si="878"/>
        <v>509303</v>
      </c>
      <c r="ER305">
        <f t="shared" si="879"/>
        <v>36000</v>
      </c>
      <c r="ES305">
        <f t="shared" si="880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881"/>
        <v>36000</v>
      </c>
      <c r="FE305">
        <f t="shared" si="882"/>
        <v>36000</v>
      </c>
      <c r="FF305">
        <f t="shared" si="883"/>
        <v>473303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>SUM(FG305:FM305)+(IF(F305="YES",50000,0))</f>
        <v>0</v>
      </c>
      <c r="FO305">
        <f t="shared" si="884"/>
        <v>473303</v>
      </c>
      <c r="FP305">
        <f t="shared" si="885"/>
        <v>11165</v>
      </c>
      <c r="FQ305">
        <f t="shared" si="886"/>
        <v>0</v>
      </c>
      <c r="FR305">
        <f t="shared" si="887"/>
        <v>11165</v>
      </c>
      <c r="FS305">
        <f t="shared" si="888"/>
        <v>0</v>
      </c>
      <c r="FT305">
        <f t="shared" si="889"/>
        <v>0</v>
      </c>
      <c r="FU305">
        <f t="shared" si="890"/>
        <v>0</v>
      </c>
      <c r="FV305">
        <v>0</v>
      </c>
      <c r="FW305">
        <f t="shared" si="891"/>
        <v>0</v>
      </c>
      <c r="FX305" t="b">
        <f t="shared" si="892"/>
        <v>1</v>
      </c>
      <c r="FY305">
        <f t="shared" ca="1" si="893"/>
        <v>654</v>
      </c>
      <c r="FZ305">
        <f t="shared" ca="1" si="894"/>
        <v>562357</v>
      </c>
      <c r="GA305">
        <f t="shared" si="895"/>
        <v>75000</v>
      </c>
      <c r="GB305">
        <f t="shared" ca="1" si="896"/>
        <v>487357</v>
      </c>
      <c r="GC305">
        <f t="shared" ca="1" si="897"/>
        <v>0</v>
      </c>
      <c r="GD305">
        <f t="shared" ca="1" si="898"/>
        <v>0</v>
      </c>
      <c r="GE305">
        <f t="shared" ca="1" si="899"/>
        <v>0</v>
      </c>
      <c r="GF305">
        <f t="shared" ca="1" si="900"/>
        <v>0</v>
      </c>
      <c r="GG305">
        <f t="shared" ca="1" si="901"/>
        <v>0</v>
      </c>
      <c r="GH305">
        <f t="shared" ca="1" si="902"/>
        <v>0</v>
      </c>
      <c r="GI305">
        <f ca="1">IF(GB305&gt;1200000,GB305-1200000-IF(F305="YES",50000,0)-GG305,0)</f>
        <v>0</v>
      </c>
      <c r="GJ305">
        <f t="shared" ca="1" si="903"/>
        <v>0</v>
      </c>
      <c r="GK305">
        <f t="shared" ca="1" si="904"/>
        <v>0</v>
      </c>
      <c r="GL305">
        <f t="shared" ca="1" si="905"/>
        <v>0</v>
      </c>
      <c r="GM305">
        <f t="shared" ca="1" si="906"/>
        <v>87357</v>
      </c>
      <c r="GN305">
        <f t="shared" ca="1" si="907"/>
        <v>4367.8500000000004</v>
      </c>
      <c r="GO305">
        <f t="shared" ca="1" si="908"/>
        <v>4368</v>
      </c>
      <c r="GP305">
        <f t="shared" ca="1" si="909"/>
        <v>0</v>
      </c>
      <c r="GQ305">
        <f t="shared" ca="1" si="910"/>
        <v>0</v>
      </c>
      <c r="GR305">
        <f t="shared" ca="1" si="911"/>
        <v>4368</v>
      </c>
      <c r="GS305">
        <f t="shared" ca="1" si="912"/>
        <v>0</v>
      </c>
      <c r="GT305" t="b">
        <f t="shared" ca="1" si="913"/>
        <v>0</v>
      </c>
      <c r="GU305">
        <f t="shared" ca="1" si="914"/>
        <v>0</v>
      </c>
      <c r="GV305">
        <f t="shared" ca="1" si="915"/>
        <v>4368</v>
      </c>
      <c r="GW305">
        <f t="shared" ca="1" si="916"/>
        <v>0</v>
      </c>
      <c r="GX305">
        <f t="shared" ca="1" si="917"/>
        <v>0</v>
      </c>
      <c r="GY305">
        <f t="shared" ca="1" si="918"/>
        <v>0</v>
      </c>
    </row>
    <row r="306" spans="1:207" x14ac:dyDescent="0.25">
      <c r="A306">
        <f>_xlfn.AGGREGATE(3,5,$B$2:B306)</f>
        <v>305</v>
      </c>
      <c r="B306" t="s">
        <v>696</v>
      </c>
      <c r="C306" t="s">
        <v>697</v>
      </c>
      <c r="D306" t="s">
        <v>827</v>
      </c>
      <c r="E306" t="s">
        <v>830</v>
      </c>
      <c r="F306" t="s">
        <v>952</v>
      </c>
      <c r="G306" t="s">
        <v>895</v>
      </c>
      <c r="H306">
        <f t="shared" si="813"/>
        <v>6800</v>
      </c>
      <c r="I306">
        <f>_xlfn.XLOOKUP(B306,'[1]march-2026'!$A:$A,'[1]march-2026'!$C:$C,0,0)</f>
        <v>34500</v>
      </c>
      <c r="J306">
        <f t="shared" si="877"/>
        <v>6210</v>
      </c>
      <c r="K306">
        <f t="shared" si="814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815"/>
        <v>45350</v>
      </c>
      <c r="O306">
        <f>_xlfn.XLOOKUP(B306,'[1]march-2026'!$A:$A,'[1]march-2026'!$H:$H,0,0)</f>
        <v>5000</v>
      </c>
      <c r="P306">
        <f>_xlfn.XLOOKUP(B306,'[1]march-2026'!$A:$A,'[1]march-2026'!$I:$I,0,0)</f>
        <v>0</v>
      </c>
      <c r="Q306">
        <f t="shared" si="816"/>
        <v>200</v>
      </c>
      <c r="R306">
        <f t="shared" si="817"/>
        <v>40150</v>
      </c>
      <c r="S306">
        <f>_xlfn.XLOOKUP(B306,'[2]april-2026'!$A:$A,'[2]april-2026'!$C:$C,0,0)</f>
        <v>34500</v>
      </c>
      <c r="T306">
        <f t="shared" si="818"/>
        <v>6210</v>
      </c>
      <c r="U306">
        <f t="shared" si="819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820"/>
        <v>45350</v>
      </c>
      <c r="Y306">
        <f>_xlfn.XLOOKUP(B306,'[2]april-2026'!$A:$A,'[2]april-2026'!$H:$H,0,0)</f>
        <v>5000</v>
      </c>
      <c r="Z306">
        <f>_xlfn.XLOOKUP(B306,'[2]april-2026'!$A:$A,'[2]april-2026'!$I:$I,0,0)</f>
        <v>0</v>
      </c>
      <c r="AA306">
        <f t="shared" si="821"/>
        <v>200</v>
      </c>
      <c r="AB306">
        <f t="shared" si="822"/>
        <v>40150</v>
      </c>
      <c r="AC306">
        <f>_xlfn.XLOOKUP(B306,'[3]may-2026'!$A:$A,'[3]may-2026'!$C:$C,0,0)</f>
        <v>34500</v>
      </c>
      <c r="AD306">
        <f t="shared" si="823"/>
        <v>6210</v>
      </c>
      <c r="AE306">
        <f t="shared" si="824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825"/>
        <v>45350</v>
      </c>
      <c r="AI306">
        <f>_xlfn.XLOOKUP(B306,'[3]may-2026'!$A:$A,'[3]may-2026'!$H:$H,0,0)</f>
        <v>5000</v>
      </c>
      <c r="AJ306">
        <f>_xlfn.XLOOKUP(B306,'[3]may-2026'!$A:$A,'[3]may-2026'!$I:$I,0,0)</f>
        <v>0</v>
      </c>
      <c r="AK306">
        <f t="shared" si="826"/>
        <v>200</v>
      </c>
      <c r="AL306">
        <f t="shared" si="827"/>
        <v>40150</v>
      </c>
      <c r="AM306">
        <f>_xlfn.XLOOKUP(B306,'[4]june-2026'!$A:$A,'[4]june-2026'!$C:$C,0,0)</f>
        <v>34500</v>
      </c>
      <c r="AN306">
        <f t="shared" si="828"/>
        <v>6210</v>
      </c>
      <c r="AO306">
        <f t="shared" si="829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830"/>
        <v>45350</v>
      </c>
      <c r="AS306">
        <f>_xlfn.XLOOKUP(B306,'[4]june-2026'!$A:$A,'[4]june-2026'!$H:$H,0,0)</f>
        <v>5000</v>
      </c>
      <c r="AT306">
        <f>_xlfn.XLOOKUP(B306,'[4]june-2026'!$A:$A,'[4]june-2026'!$I:$I,0,0)</f>
        <v>0</v>
      </c>
      <c r="AU306">
        <f t="shared" si="831"/>
        <v>200</v>
      </c>
      <c r="AV306">
        <f t="shared" si="832"/>
        <v>40150</v>
      </c>
      <c r="AW306">
        <f>_xlfn.XLOOKUP(B306,'[5]july-2026'!$A:$A,'[5]july-2026'!$C:$C,0,0)</f>
        <v>35500</v>
      </c>
      <c r="AX306">
        <f t="shared" si="833"/>
        <v>6390</v>
      </c>
      <c r="AY306">
        <v>304</v>
      </c>
      <c r="AZ306">
        <f t="shared" si="834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835"/>
        <v>46954</v>
      </c>
      <c r="BD306">
        <f>_xlfn.XLOOKUP(B306,'[5]july-2026'!$A:$A,'[5]july-2026'!$H:$H,0,0)</f>
        <v>5000</v>
      </c>
      <c r="BE306">
        <f>_xlfn.XLOOKUP(B306,'[5]july-2026'!$A:$A,'[5]july-2026'!$I:$I,0,0)</f>
        <v>0</v>
      </c>
      <c r="BF306">
        <f t="shared" si="836"/>
        <v>200</v>
      </c>
      <c r="BG306">
        <f t="shared" si="837"/>
        <v>41754</v>
      </c>
      <c r="BH306">
        <f>_xlfn.XLOOKUP(B306,'[6]august-2026'!$A:$A,'[6]august-2026'!$C:$C,0,0)</f>
        <v>35500</v>
      </c>
      <c r="BI306">
        <f t="shared" si="838"/>
        <v>6390</v>
      </c>
      <c r="BJ306">
        <f t="shared" si="839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840"/>
        <v>46650</v>
      </c>
      <c r="BN306">
        <f>_xlfn.XLOOKUP(B306,'[6]august-2026'!$A:$A,'[6]august-2026'!$H:$H,0,0)</f>
        <v>5000</v>
      </c>
      <c r="BO306">
        <f>_xlfn.XLOOKUP(B306,'[6]august-2026'!$A:$A,'[6]august-2026'!$I:$I,0,0)</f>
        <v>0</v>
      </c>
      <c r="BP306">
        <f t="shared" si="841"/>
        <v>200</v>
      </c>
      <c r="BQ306">
        <f t="shared" si="842"/>
        <v>41450</v>
      </c>
      <c r="BR306">
        <f>_xlfn.XLOOKUP(B306,'[7]september-2026'!$A:$A,'[7]september-2026'!$C:$C,0,0)</f>
        <v>35500</v>
      </c>
      <c r="BS306">
        <f t="shared" si="843"/>
        <v>6390</v>
      </c>
      <c r="BT306">
        <f t="shared" si="844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845"/>
        <v>46650</v>
      </c>
      <c r="BX306">
        <f>_xlfn.XLOOKUP(B306,'[7]september-2026'!$A:$A,'[7]september-2026'!$H:$H,0,0)</f>
        <v>5000</v>
      </c>
      <c r="BY306">
        <f>_xlfn.XLOOKUP(B306,'[7]september-2026'!$A:$A,'[7]september-2026'!$I:$I,0,0)</f>
        <v>0</v>
      </c>
      <c r="BZ306">
        <f t="shared" si="846"/>
        <v>200</v>
      </c>
      <c r="CA306">
        <f t="shared" si="847"/>
        <v>41450</v>
      </c>
      <c r="CB306">
        <f>_xlfn.XLOOKUP(B306,'[8]october-2026'!$A:$A,'[8]october-2026'!$C:$C,0,0)</f>
        <v>35500</v>
      </c>
      <c r="CC306">
        <f t="shared" si="848"/>
        <v>6390</v>
      </c>
      <c r="CD306">
        <f t="shared" si="849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850"/>
        <v>46650</v>
      </c>
      <c r="CH306">
        <f>_xlfn.XLOOKUP(B306,'[8]october-2026'!$A:$A,'[8]october-2026'!$H:$H,0,0)</f>
        <v>5000</v>
      </c>
      <c r="CI306">
        <f>_xlfn.XLOOKUP(B306,'[8]october-2026'!$A:$A,'[8]october-2026'!$I:$I,0,0)</f>
        <v>0</v>
      </c>
      <c r="CJ306">
        <f t="shared" si="851"/>
        <v>200</v>
      </c>
      <c r="CK306">
        <f t="shared" si="852"/>
        <v>41450</v>
      </c>
      <c r="CL306">
        <f>_xlfn.XLOOKUP(B306,'[9]november-2026'!$A:$A,'[9]november-2026'!$C:$C,0,0)</f>
        <v>35500</v>
      </c>
      <c r="CM306">
        <f t="shared" si="853"/>
        <v>6390</v>
      </c>
      <c r="CN306">
        <f t="shared" si="854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855"/>
        <v>46650</v>
      </c>
      <c r="CR306">
        <f>_xlfn.XLOOKUP(B306,'[9]november-2026'!$A:$A,'[9]november-2026'!$H:$H,0,0)</f>
        <v>5000</v>
      </c>
      <c r="CS306">
        <f>_xlfn.XLOOKUP(B306,'[9]november-2026'!$A:$A,'[9]november-2026'!$I:$I,0,0)</f>
        <v>0</v>
      </c>
      <c r="CT306">
        <f t="shared" si="856"/>
        <v>200</v>
      </c>
      <c r="CU306">
        <f t="shared" si="857"/>
        <v>41450</v>
      </c>
      <c r="CV306">
        <f>_xlfn.XLOOKUP(B306,'[10]december-2026'!$A:$A,'[10]december-2026'!$C:$C,0,0)</f>
        <v>35500</v>
      </c>
      <c r="CW306">
        <f t="shared" si="858"/>
        <v>6390</v>
      </c>
      <c r="CX306">
        <f t="shared" si="859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860"/>
        <v>46650</v>
      </c>
      <c r="DB306">
        <f>_xlfn.XLOOKUP(B306,'[10]december-2026'!$A:$A,'[10]december-2026'!$H:$H,0,0)</f>
        <v>5000</v>
      </c>
      <c r="DC306">
        <f>_xlfn.XLOOKUP(B306,'[10]december-2026'!$A:$A,'[10]december-2026'!$I:$I,0,0)</f>
        <v>0</v>
      </c>
      <c r="DD306">
        <f t="shared" si="861"/>
        <v>200</v>
      </c>
      <c r="DE306">
        <f t="shared" si="862"/>
        <v>41450</v>
      </c>
      <c r="DF306">
        <f xml:space="preserve"> _xlfn.XLOOKUP(B306,
'[11]january-2027'!$A:$A,
'[11]january-2027'!$C:$C,
0,0)</f>
        <v>35500</v>
      </c>
      <c r="DG306">
        <f t="shared" si="863"/>
        <v>6390</v>
      </c>
      <c r="DH306">
        <f t="shared" si="864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865"/>
        <v>46650</v>
      </c>
      <c r="DL306">
        <f xml:space="preserve"> _xlfn.XLOOKUP(B306,
'[11]january-2027'!$A:$A,
'[11]january-2027'!$H:$H,
0,0)</f>
        <v>5000</v>
      </c>
      <c r="DM306">
        <f xml:space="preserve"> _xlfn.XLOOKUP(B306,
'[11]january-2027'!$A:$A,
'[11]january-2027'!$I:$I,
0,0)</f>
        <v>0</v>
      </c>
      <c r="DN306">
        <f t="shared" si="866"/>
        <v>200</v>
      </c>
      <c r="DO306">
        <f t="shared" si="867"/>
        <v>41450</v>
      </c>
      <c r="DP306">
        <f xml:space="preserve"> _xlfn.XLOOKUP(B306,
'[12]february-2027'!$A:$A,
'[12]february-2027'!$C:$C,
0,0)</f>
        <v>35500</v>
      </c>
      <c r="DQ306">
        <f t="shared" si="868"/>
        <v>6390</v>
      </c>
      <c r="DR306">
        <f t="shared" si="869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870"/>
        <v>46650</v>
      </c>
      <c r="DV306">
        <f xml:space="preserve"> _xlfn.XLOOKUP(B306,
'[12]february-2027'!$A:$A,
'[12]february-2027'!$H:$H,
0,0)</f>
        <v>5000</v>
      </c>
      <c r="DW306">
        <f xml:space="preserve"> _xlfn.XLOOKUP(B306,
'[12]february-2027'!$A:$A,
'[12]february-2027'!$I:$I,
0,0)</f>
        <v>0</v>
      </c>
      <c r="DX306">
        <f t="shared" si="871"/>
        <v>200</v>
      </c>
      <c r="DY306">
        <f t="shared" si="872"/>
        <v>41450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873"/>
        <v>0</v>
      </c>
      <c r="EM306">
        <f t="shared" si="874"/>
        <v>561704</v>
      </c>
      <c r="EN306">
        <f t="shared" si="875"/>
        <v>2400</v>
      </c>
      <c r="EO306">
        <f t="shared" si="876"/>
        <v>50000</v>
      </c>
      <c r="EP306">
        <v>0</v>
      </c>
      <c r="EQ306">
        <f t="shared" si="878"/>
        <v>509304</v>
      </c>
      <c r="ER306">
        <f t="shared" si="879"/>
        <v>60000</v>
      </c>
      <c r="ES306">
        <f t="shared" si="880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881"/>
        <v>60000</v>
      </c>
      <c r="FE306">
        <f t="shared" si="882"/>
        <v>60000</v>
      </c>
      <c r="FF306">
        <f t="shared" si="883"/>
        <v>449304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>SUM(FG306:FM306)+(IF(F306="YES",50000,0))</f>
        <v>0</v>
      </c>
      <c r="FO306">
        <f t="shared" si="884"/>
        <v>449304</v>
      </c>
      <c r="FP306">
        <f t="shared" si="885"/>
        <v>9965</v>
      </c>
      <c r="FQ306">
        <f t="shared" si="886"/>
        <v>0</v>
      </c>
      <c r="FR306">
        <f t="shared" si="887"/>
        <v>9965</v>
      </c>
      <c r="FS306">
        <f t="shared" si="888"/>
        <v>0</v>
      </c>
      <c r="FT306">
        <f t="shared" si="889"/>
        <v>0</v>
      </c>
      <c r="FU306">
        <f t="shared" si="890"/>
        <v>0</v>
      </c>
      <c r="FV306">
        <v>0</v>
      </c>
      <c r="FW306">
        <f t="shared" si="891"/>
        <v>0</v>
      </c>
      <c r="FX306" t="b">
        <f t="shared" si="892"/>
        <v>1</v>
      </c>
      <c r="FY306">
        <f t="shared" ca="1" si="893"/>
        <v>794</v>
      </c>
      <c r="FZ306">
        <f t="shared" ca="1" si="894"/>
        <v>562498</v>
      </c>
      <c r="GA306">
        <f t="shared" si="895"/>
        <v>75000</v>
      </c>
      <c r="GB306">
        <f t="shared" ca="1" si="896"/>
        <v>487498</v>
      </c>
      <c r="GC306">
        <f t="shared" ca="1" si="897"/>
        <v>0</v>
      </c>
      <c r="GD306">
        <f t="shared" ca="1" si="898"/>
        <v>0</v>
      </c>
      <c r="GE306">
        <f t="shared" ca="1" si="899"/>
        <v>0</v>
      </c>
      <c r="GF306">
        <f t="shared" ca="1" si="900"/>
        <v>0</v>
      </c>
      <c r="GG306">
        <f t="shared" ca="1" si="901"/>
        <v>0</v>
      </c>
      <c r="GH306">
        <f t="shared" ca="1" si="902"/>
        <v>0</v>
      </c>
      <c r="GI306">
        <f ca="1">IF(GB306&gt;1200000,GB306-1200000-IF(F306="YES",50000,0)-GG306,0)</f>
        <v>0</v>
      </c>
      <c r="GJ306">
        <f t="shared" ca="1" si="903"/>
        <v>0</v>
      </c>
      <c r="GK306">
        <f t="shared" ca="1" si="904"/>
        <v>0</v>
      </c>
      <c r="GL306">
        <f t="shared" ca="1" si="905"/>
        <v>0</v>
      </c>
      <c r="GM306">
        <f t="shared" ca="1" si="906"/>
        <v>87498</v>
      </c>
      <c r="GN306">
        <f t="shared" ca="1" si="907"/>
        <v>4374.9000000000005</v>
      </c>
      <c r="GO306">
        <f t="shared" ca="1" si="908"/>
        <v>4375</v>
      </c>
      <c r="GP306">
        <f t="shared" ca="1" si="909"/>
        <v>0</v>
      </c>
      <c r="GQ306">
        <f t="shared" ca="1" si="910"/>
        <v>0</v>
      </c>
      <c r="GR306">
        <f t="shared" ca="1" si="911"/>
        <v>4375</v>
      </c>
      <c r="GS306">
        <f t="shared" ca="1" si="912"/>
        <v>0</v>
      </c>
      <c r="GT306" t="b">
        <f t="shared" ca="1" si="913"/>
        <v>0</v>
      </c>
      <c r="GU306">
        <f t="shared" ca="1" si="914"/>
        <v>0</v>
      </c>
      <c r="GV306">
        <f t="shared" ca="1" si="915"/>
        <v>4375</v>
      </c>
      <c r="GW306">
        <f t="shared" ca="1" si="916"/>
        <v>0</v>
      </c>
      <c r="GX306">
        <f t="shared" ca="1" si="917"/>
        <v>0</v>
      </c>
      <c r="GY306">
        <f t="shared" ca="1" si="918"/>
        <v>0</v>
      </c>
    </row>
    <row r="307" spans="1:207" x14ac:dyDescent="0.25">
      <c r="A307">
        <f>_xlfn.AGGREGATE(3,5,$B$2:B307)</f>
        <v>306</v>
      </c>
      <c r="B307" t="s">
        <v>698</v>
      </c>
      <c r="C307" t="s">
        <v>699</v>
      </c>
      <c r="D307" t="s">
        <v>828</v>
      </c>
      <c r="E307" t="s">
        <v>830</v>
      </c>
      <c r="F307" t="s">
        <v>952</v>
      </c>
      <c r="G307" t="s">
        <v>877</v>
      </c>
      <c r="H307">
        <f t="shared" si="813"/>
        <v>6800</v>
      </c>
      <c r="I307">
        <f>_xlfn.XLOOKUP(B307,'[1]march-2026'!$A:$A,'[1]march-2026'!$C:$C,0,0)</f>
        <v>35500</v>
      </c>
      <c r="J307">
        <f t="shared" si="877"/>
        <v>6390</v>
      </c>
      <c r="K307">
        <f t="shared" si="814"/>
        <v>4260</v>
      </c>
      <c r="L307">
        <f>_xlfn.XLOOKUP(B307,'[1]march-2026'!$A:$A,'[1]march-2026'!$D:$D,0,0)</f>
        <v>400</v>
      </c>
      <c r="M307">
        <f>_xlfn.XLOOKUP(B307,'[1]march-2026'!$A:$A,'[1]march-2026'!$G:$G,0,0)</f>
        <v>0</v>
      </c>
      <c r="N307">
        <f t="shared" si="815"/>
        <v>46550</v>
      </c>
      <c r="O307">
        <f>_xlfn.XLOOKUP(B307,'[1]march-2026'!$A:$A,'[1]march-2026'!$H:$H,0,0)</f>
        <v>2500</v>
      </c>
      <c r="P307">
        <f>_xlfn.XLOOKUP(B307,'[1]march-2026'!$A:$A,'[1]march-2026'!$I:$I,0,0)</f>
        <v>0</v>
      </c>
      <c r="Q307">
        <f t="shared" si="816"/>
        <v>200</v>
      </c>
      <c r="R307">
        <f t="shared" si="817"/>
        <v>43850</v>
      </c>
      <c r="S307">
        <f>_xlfn.XLOOKUP(B307,'[2]april-2026'!$A:$A,'[2]april-2026'!$C:$C,0,0)</f>
        <v>35500</v>
      </c>
      <c r="T307">
        <f t="shared" si="818"/>
        <v>6390</v>
      </c>
      <c r="U307">
        <f t="shared" si="819"/>
        <v>4260</v>
      </c>
      <c r="V307">
        <f>_xlfn.XLOOKUP(B307,'[2]april-2026'!$A:$A,'[2]april-2026'!$D:$D,0,0)</f>
        <v>400</v>
      </c>
      <c r="W307">
        <f>_xlfn.XLOOKUP(B307,'[2]april-2026'!$A:$A,'[2]april-2026'!$G:$G,0,0)</f>
        <v>0</v>
      </c>
      <c r="X307">
        <f t="shared" si="820"/>
        <v>46550</v>
      </c>
      <c r="Y307">
        <f>_xlfn.XLOOKUP(B307,'[2]april-2026'!$A:$A,'[2]april-2026'!$H:$H,0,0)</f>
        <v>2500</v>
      </c>
      <c r="Z307">
        <f>_xlfn.XLOOKUP(B307,'[2]april-2026'!$A:$A,'[2]april-2026'!$I:$I,0,0)</f>
        <v>0</v>
      </c>
      <c r="AA307">
        <f t="shared" si="821"/>
        <v>200</v>
      </c>
      <c r="AB307">
        <f t="shared" si="822"/>
        <v>43850</v>
      </c>
      <c r="AC307">
        <f>_xlfn.XLOOKUP(B307,'[3]may-2026'!$A:$A,'[3]may-2026'!$C:$C,0,0)</f>
        <v>35500</v>
      </c>
      <c r="AD307">
        <f t="shared" si="823"/>
        <v>6390</v>
      </c>
      <c r="AE307">
        <f t="shared" si="824"/>
        <v>4260</v>
      </c>
      <c r="AF307">
        <f>_xlfn.XLOOKUP(B307,'[3]may-2026'!$A:$A,'[3]may-2026'!$D:$D,0,0)</f>
        <v>400</v>
      </c>
      <c r="AG307">
        <f>_xlfn.XLOOKUP(B307,'[3]may-2026'!$A:$A,'[3]may-2026'!$G:$G,0,0)</f>
        <v>0</v>
      </c>
      <c r="AH307">
        <f t="shared" si="825"/>
        <v>46550</v>
      </c>
      <c r="AI307">
        <f>_xlfn.XLOOKUP(B307,'[3]may-2026'!$A:$A,'[3]may-2026'!$H:$H,0,0)</f>
        <v>2500</v>
      </c>
      <c r="AJ307">
        <f>_xlfn.XLOOKUP(B307,'[3]may-2026'!$A:$A,'[3]may-2026'!$I:$I,0,0)</f>
        <v>0</v>
      </c>
      <c r="AK307">
        <f t="shared" si="826"/>
        <v>200</v>
      </c>
      <c r="AL307">
        <f t="shared" si="827"/>
        <v>43850</v>
      </c>
      <c r="AM307">
        <f>_xlfn.XLOOKUP(B307,'[4]june-2026'!$A:$A,'[4]june-2026'!$C:$C,0,0)</f>
        <v>35500</v>
      </c>
      <c r="AN307">
        <f t="shared" si="828"/>
        <v>6390</v>
      </c>
      <c r="AO307">
        <f t="shared" si="829"/>
        <v>4260</v>
      </c>
      <c r="AP307">
        <f>_xlfn.XLOOKUP(B307,'[4]june-2026'!$A:$A,'[4]june-2026'!$D:$D,0,0)</f>
        <v>400</v>
      </c>
      <c r="AQ307">
        <f>_xlfn.XLOOKUP(B307,'[4]june-2026'!$A:$A,'[4]june-2026'!$G:$G,0,0)</f>
        <v>0</v>
      </c>
      <c r="AR307">
        <f t="shared" si="830"/>
        <v>46550</v>
      </c>
      <c r="AS307">
        <f>_xlfn.XLOOKUP(B307,'[4]june-2026'!$A:$A,'[4]june-2026'!$H:$H,0,0)</f>
        <v>2500</v>
      </c>
      <c r="AT307">
        <f>_xlfn.XLOOKUP(B307,'[4]june-2026'!$A:$A,'[4]june-2026'!$I:$I,0,0)</f>
        <v>0</v>
      </c>
      <c r="AU307">
        <f t="shared" si="831"/>
        <v>200</v>
      </c>
      <c r="AV307">
        <f t="shared" si="832"/>
        <v>43850</v>
      </c>
      <c r="AW307">
        <f>_xlfn.XLOOKUP(B307,'[5]july-2026'!$A:$A,'[5]july-2026'!$C:$C,0,0)</f>
        <v>36600</v>
      </c>
      <c r="AX307">
        <f t="shared" si="833"/>
        <v>6588</v>
      </c>
      <c r="AY307">
        <v>305</v>
      </c>
      <c r="AZ307">
        <f t="shared" si="834"/>
        <v>4392</v>
      </c>
      <c r="BA307">
        <f>_xlfn.XLOOKUP(B307,'[5]july-2026'!$A:$A,'[5]july-2026'!$D:$D,0,0)</f>
        <v>400</v>
      </c>
      <c r="BB307">
        <f>_xlfn.XLOOKUP(B307,'[5]july-2026'!$A:$A,'[5]july-2026'!$G:$G,0,0)</f>
        <v>0</v>
      </c>
      <c r="BC307">
        <f t="shared" si="835"/>
        <v>48285</v>
      </c>
      <c r="BD307">
        <f>_xlfn.XLOOKUP(B307,'[5]july-2026'!$A:$A,'[5]july-2026'!$H:$H,0,0)</f>
        <v>2500</v>
      </c>
      <c r="BE307">
        <f>_xlfn.XLOOKUP(B307,'[5]july-2026'!$A:$A,'[5]july-2026'!$I:$I,0,0)</f>
        <v>0</v>
      </c>
      <c r="BF307">
        <f t="shared" si="836"/>
        <v>200</v>
      </c>
      <c r="BG307">
        <f t="shared" si="837"/>
        <v>45585</v>
      </c>
      <c r="BH307">
        <f>_xlfn.XLOOKUP(B307,'[6]august-2026'!$A:$A,'[6]august-2026'!$C:$C,0,0)</f>
        <v>36600</v>
      </c>
      <c r="BI307">
        <f t="shared" si="838"/>
        <v>6588</v>
      </c>
      <c r="BJ307">
        <f t="shared" si="839"/>
        <v>4392</v>
      </c>
      <c r="BK307">
        <f>_xlfn.XLOOKUP(B307,'[6]august-2026'!$A:$A,'[6]august-2026'!$D:$D,0,0)</f>
        <v>400</v>
      </c>
      <c r="BL307">
        <f>_xlfn.XLOOKUP(B307,'[6]august-2026'!$A:$A,'[6]august-2026'!$G:$G,0,0)</f>
        <v>0</v>
      </c>
      <c r="BM307">
        <f t="shared" si="840"/>
        <v>47980</v>
      </c>
      <c r="BN307">
        <f>_xlfn.XLOOKUP(B307,'[6]august-2026'!$A:$A,'[6]august-2026'!$H:$H,0,0)</f>
        <v>2500</v>
      </c>
      <c r="BO307">
        <f>_xlfn.XLOOKUP(B307,'[6]august-2026'!$A:$A,'[6]august-2026'!$I:$I,0,0)</f>
        <v>0</v>
      </c>
      <c r="BP307">
        <f t="shared" si="841"/>
        <v>200</v>
      </c>
      <c r="BQ307">
        <f t="shared" si="842"/>
        <v>45280</v>
      </c>
      <c r="BR307">
        <f>_xlfn.XLOOKUP(B307,'[7]september-2026'!$A:$A,'[7]september-2026'!$C:$C,0,0)</f>
        <v>36600</v>
      </c>
      <c r="BS307">
        <f t="shared" si="843"/>
        <v>6588</v>
      </c>
      <c r="BT307">
        <f t="shared" si="844"/>
        <v>4392</v>
      </c>
      <c r="BU307">
        <f>_xlfn.XLOOKUP(B307,'[7]september-2026'!$A:$A,'[7]september-2026'!$D:$D,0,0)</f>
        <v>400</v>
      </c>
      <c r="BV307">
        <f>_xlfn.XLOOKUP(B307,'[7]september-2026'!$A:$A,'[7]september-2026'!$G:$G,0,0)</f>
        <v>0</v>
      </c>
      <c r="BW307">
        <f t="shared" si="845"/>
        <v>47980</v>
      </c>
      <c r="BX307">
        <f>_xlfn.XLOOKUP(B307,'[7]september-2026'!$A:$A,'[7]september-2026'!$H:$H,0,0)</f>
        <v>2500</v>
      </c>
      <c r="BY307">
        <f>_xlfn.XLOOKUP(B307,'[7]september-2026'!$A:$A,'[7]september-2026'!$I:$I,0,0)</f>
        <v>0</v>
      </c>
      <c r="BZ307">
        <f t="shared" si="846"/>
        <v>200</v>
      </c>
      <c r="CA307">
        <f t="shared" si="847"/>
        <v>45280</v>
      </c>
      <c r="CB307">
        <f>_xlfn.XLOOKUP(B307,'[8]october-2026'!$A:$A,'[8]october-2026'!$C:$C,0,0)</f>
        <v>36600</v>
      </c>
      <c r="CC307">
        <f t="shared" si="848"/>
        <v>6588</v>
      </c>
      <c r="CD307">
        <f t="shared" si="849"/>
        <v>4392</v>
      </c>
      <c r="CE307">
        <f>_xlfn.XLOOKUP(B307,'[8]october-2026'!$A:$A,'[8]october-2026'!$D:$D,0,0)</f>
        <v>400</v>
      </c>
      <c r="CF307">
        <f>_xlfn.XLOOKUP(B307,'[8]october-2026'!$A:$A,'[8]october-2026'!$G:$G,0,0)</f>
        <v>0</v>
      </c>
      <c r="CG307">
        <f t="shared" si="850"/>
        <v>47980</v>
      </c>
      <c r="CH307">
        <f>_xlfn.XLOOKUP(B307,'[8]october-2026'!$A:$A,'[8]october-2026'!$H:$H,0,0)</f>
        <v>2500</v>
      </c>
      <c r="CI307">
        <f>_xlfn.XLOOKUP(B307,'[8]october-2026'!$A:$A,'[8]october-2026'!$I:$I,0,0)</f>
        <v>0</v>
      </c>
      <c r="CJ307">
        <f t="shared" si="851"/>
        <v>200</v>
      </c>
      <c r="CK307">
        <f t="shared" si="852"/>
        <v>45280</v>
      </c>
      <c r="CL307">
        <f>_xlfn.XLOOKUP(B307,'[9]november-2026'!$A:$A,'[9]november-2026'!$C:$C,0,0)</f>
        <v>36600</v>
      </c>
      <c r="CM307">
        <f t="shared" si="853"/>
        <v>6588</v>
      </c>
      <c r="CN307">
        <f t="shared" si="854"/>
        <v>4392</v>
      </c>
      <c r="CO307">
        <f>_xlfn.XLOOKUP(B307,'[9]november-2026'!$A:$A,'[9]november-2026'!$D:$D,0,0)</f>
        <v>400</v>
      </c>
      <c r="CP307">
        <f>_xlfn.XLOOKUP(B307,'[9]november-2026'!$A:$A,'[9]november-2026'!$G:$G,0,0)</f>
        <v>0</v>
      </c>
      <c r="CQ307">
        <f t="shared" si="855"/>
        <v>47980</v>
      </c>
      <c r="CR307">
        <f>_xlfn.XLOOKUP(B307,'[9]november-2026'!$A:$A,'[9]november-2026'!$H:$H,0,0)</f>
        <v>2500</v>
      </c>
      <c r="CS307">
        <f>_xlfn.XLOOKUP(B307,'[9]november-2026'!$A:$A,'[9]november-2026'!$I:$I,0,0)</f>
        <v>0</v>
      </c>
      <c r="CT307">
        <f t="shared" si="856"/>
        <v>200</v>
      </c>
      <c r="CU307">
        <f t="shared" si="857"/>
        <v>45280</v>
      </c>
      <c r="CV307">
        <f>_xlfn.XLOOKUP(B307,'[10]december-2026'!$A:$A,'[10]december-2026'!$C:$C,0,0)</f>
        <v>36600</v>
      </c>
      <c r="CW307">
        <f t="shared" si="858"/>
        <v>6588</v>
      </c>
      <c r="CX307">
        <f t="shared" si="859"/>
        <v>4392</v>
      </c>
      <c r="CY307">
        <f>_xlfn.XLOOKUP(B307,'[10]december-2026'!$A:$A,'[10]december-2026'!$D:$D,0,0)</f>
        <v>400</v>
      </c>
      <c r="CZ307">
        <f>_xlfn.XLOOKUP(B307,'[10]december-2026'!$A:$A,'[10]december-2026'!$G:$G,0,0)</f>
        <v>0</v>
      </c>
      <c r="DA307">
        <f t="shared" si="860"/>
        <v>47980</v>
      </c>
      <c r="DB307">
        <f>_xlfn.XLOOKUP(B307,'[10]december-2026'!$A:$A,'[10]december-2026'!$H:$H,0,0)</f>
        <v>2500</v>
      </c>
      <c r="DC307">
        <f>_xlfn.XLOOKUP(B307,'[10]december-2026'!$A:$A,'[10]december-2026'!$I:$I,0,0)</f>
        <v>0</v>
      </c>
      <c r="DD307">
        <f t="shared" si="861"/>
        <v>200</v>
      </c>
      <c r="DE307">
        <f t="shared" si="862"/>
        <v>45280</v>
      </c>
      <c r="DF307">
        <f xml:space="preserve"> _xlfn.XLOOKUP(B307,
'[11]january-2027'!$A:$A,
'[11]january-2027'!$C:$C,
0,0)</f>
        <v>36600</v>
      </c>
      <c r="DG307">
        <f t="shared" si="863"/>
        <v>6588</v>
      </c>
      <c r="DH307">
        <f t="shared" si="864"/>
        <v>4392</v>
      </c>
      <c r="DI307">
        <f xml:space="preserve"> _xlfn.XLOOKUP(B307,
'[11]january-2027'!$A:$A,
'[11]january-2027'!$D:$D,
0,0)</f>
        <v>400</v>
      </c>
      <c r="DJ307">
        <f xml:space="preserve"> _xlfn.XLOOKUP(B307,
'[11]january-2027'!$A:$A,
'[11]january-2027'!$G:$G,
0,0)</f>
        <v>0</v>
      </c>
      <c r="DK307">
        <f t="shared" si="865"/>
        <v>47980</v>
      </c>
      <c r="DL307">
        <f xml:space="preserve"> _xlfn.XLOOKUP(B307,
'[11]january-2027'!$A:$A,
'[11]january-2027'!$H:$H,
0,0)</f>
        <v>2500</v>
      </c>
      <c r="DM307">
        <f xml:space="preserve"> _xlfn.XLOOKUP(B307,
'[11]january-2027'!$A:$A,
'[11]january-2027'!$I:$I,
0,0)</f>
        <v>0</v>
      </c>
      <c r="DN307">
        <f t="shared" si="866"/>
        <v>200</v>
      </c>
      <c r="DO307">
        <f t="shared" si="867"/>
        <v>45280</v>
      </c>
      <c r="DP307">
        <f xml:space="preserve"> _xlfn.XLOOKUP(B307,
'[12]february-2027'!$A:$A,
'[12]february-2027'!$C:$C,
0,0)</f>
        <v>36600</v>
      </c>
      <c r="DQ307">
        <f t="shared" si="868"/>
        <v>6588</v>
      </c>
      <c r="DR307">
        <f t="shared" si="869"/>
        <v>4392</v>
      </c>
      <c r="DS307">
        <f xml:space="preserve"> _xlfn.XLOOKUP(B307,
'[12]february-2027'!$A:$A,
'[12]february-2027'!$D:$D,
0,0)</f>
        <v>400</v>
      </c>
      <c r="DT307">
        <f xml:space="preserve"> _xlfn.XLOOKUP(B307,
'[12]february-2027'!$A:$A,
'[12]february-2027'!$G:$G,
0,0)</f>
        <v>0</v>
      </c>
      <c r="DU307">
        <f t="shared" si="870"/>
        <v>47980</v>
      </c>
      <c r="DV307">
        <f xml:space="preserve"> _xlfn.XLOOKUP(B307,
'[12]february-2027'!$A:$A,
'[12]february-2027'!$H:$H,
0,0)</f>
        <v>2500</v>
      </c>
      <c r="DW307">
        <f xml:space="preserve"> _xlfn.XLOOKUP(B307,
'[12]february-2027'!$A:$A,
'[12]february-2027'!$I:$I,
0,0)</f>
        <v>0</v>
      </c>
      <c r="DX307">
        <f t="shared" si="871"/>
        <v>200</v>
      </c>
      <c r="DY307">
        <f t="shared" si="872"/>
        <v>45280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873"/>
        <v>0</v>
      </c>
      <c r="EM307">
        <f t="shared" si="874"/>
        <v>577145</v>
      </c>
      <c r="EN307">
        <f t="shared" si="875"/>
        <v>2400</v>
      </c>
      <c r="EO307">
        <f t="shared" si="876"/>
        <v>50000</v>
      </c>
      <c r="EP307">
        <v>0</v>
      </c>
      <c r="EQ307">
        <f t="shared" si="878"/>
        <v>524745</v>
      </c>
      <c r="ER307">
        <f t="shared" si="879"/>
        <v>30000</v>
      </c>
      <c r="ES307">
        <f t="shared" si="880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881"/>
        <v>30000</v>
      </c>
      <c r="FE307">
        <f t="shared" si="882"/>
        <v>30000</v>
      </c>
      <c r="FF307">
        <f t="shared" si="883"/>
        <v>494745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>SUM(FG307:FM307)+(IF(F307="YES",50000,0))</f>
        <v>0</v>
      </c>
      <c r="FO307">
        <f t="shared" si="884"/>
        <v>494745</v>
      </c>
      <c r="FP307">
        <f t="shared" si="885"/>
        <v>12237</v>
      </c>
      <c r="FQ307">
        <f t="shared" si="886"/>
        <v>0</v>
      </c>
      <c r="FR307">
        <f t="shared" si="887"/>
        <v>12237</v>
      </c>
      <c r="FS307">
        <f t="shared" si="888"/>
        <v>0</v>
      </c>
      <c r="FT307">
        <f t="shared" si="889"/>
        <v>0</v>
      </c>
      <c r="FU307">
        <f t="shared" si="890"/>
        <v>0</v>
      </c>
      <c r="FV307">
        <v>0</v>
      </c>
      <c r="FW307">
        <f t="shared" si="891"/>
        <v>0</v>
      </c>
      <c r="FX307" t="b">
        <f t="shared" si="892"/>
        <v>1</v>
      </c>
      <c r="FY307">
        <f t="shared" ca="1" si="893"/>
        <v>615</v>
      </c>
      <c r="FZ307">
        <f t="shared" ca="1" si="894"/>
        <v>577760</v>
      </c>
      <c r="GA307">
        <f t="shared" si="895"/>
        <v>75000</v>
      </c>
      <c r="GB307">
        <f t="shared" ca="1" si="896"/>
        <v>502760</v>
      </c>
      <c r="GC307">
        <f t="shared" ca="1" si="897"/>
        <v>0</v>
      </c>
      <c r="GD307">
        <f t="shared" ca="1" si="898"/>
        <v>0</v>
      </c>
      <c r="GE307">
        <f t="shared" ca="1" si="899"/>
        <v>0</v>
      </c>
      <c r="GF307">
        <f t="shared" ca="1" si="900"/>
        <v>0</v>
      </c>
      <c r="GG307">
        <f t="shared" ca="1" si="901"/>
        <v>0</v>
      </c>
      <c r="GH307">
        <f t="shared" ca="1" si="902"/>
        <v>0</v>
      </c>
      <c r="GI307">
        <f ca="1">IF(GB307&gt;1200000,GB307-1200000-IF(F307="YES",50000,0)-GG307,0)</f>
        <v>0</v>
      </c>
      <c r="GJ307">
        <f t="shared" ca="1" si="903"/>
        <v>0</v>
      </c>
      <c r="GK307">
        <f t="shared" ca="1" si="904"/>
        <v>0</v>
      </c>
      <c r="GL307">
        <f t="shared" ca="1" si="905"/>
        <v>0</v>
      </c>
      <c r="GM307">
        <f t="shared" ca="1" si="906"/>
        <v>102760</v>
      </c>
      <c r="GN307">
        <f t="shared" ca="1" si="907"/>
        <v>5138</v>
      </c>
      <c r="GO307">
        <f t="shared" ca="1" si="908"/>
        <v>5138</v>
      </c>
      <c r="GP307">
        <f t="shared" ca="1" si="909"/>
        <v>0</v>
      </c>
      <c r="GQ307">
        <f t="shared" ca="1" si="910"/>
        <v>0</v>
      </c>
      <c r="GR307">
        <f t="shared" ca="1" si="911"/>
        <v>5138</v>
      </c>
      <c r="GS307">
        <f t="shared" ca="1" si="912"/>
        <v>0</v>
      </c>
      <c r="GT307" t="b">
        <f t="shared" ca="1" si="913"/>
        <v>0</v>
      </c>
      <c r="GU307">
        <f t="shared" ca="1" si="914"/>
        <v>0</v>
      </c>
      <c r="GV307">
        <f t="shared" ca="1" si="915"/>
        <v>5138</v>
      </c>
      <c r="GW307">
        <f t="shared" ca="1" si="916"/>
        <v>0</v>
      </c>
      <c r="GX307">
        <f t="shared" ca="1" si="917"/>
        <v>0</v>
      </c>
      <c r="GY307">
        <f t="shared" ca="1" si="918"/>
        <v>0</v>
      </c>
    </row>
    <row r="308" spans="1:207" x14ac:dyDescent="0.25">
      <c r="A308">
        <f>_xlfn.AGGREGATE(3,5,$B$2:B308)</f>
        <v>307</v>
      </c>
      <c r="B308" t="s">
        <v>700</v>
      </c>
      <c r="C308" t="s">
        <v>701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813"/>
        <v>6800</v>
      </c>
      <c r="I308">
        <f>_xlfn.XLOOKUP(B308,'[1]march-2026'!$A:$A,'[1]march-2026'!$C:$C,0,0)</f>
        <v>35500</v>
      </c>
      <c r="J308">
        <f t="shared" si="877"/>
        <v>6390</v>
      </c>
      <c r="K308">
        <f t="shared" si="814"/>
        <v>4260</v>
      </c>
      <c r="L308">
        <f>_xlfn.XLOOKUP(B308,'[1]march-2026'!$A:$A,'[1]march-2026'!$D:$D,0,0)</f>
        <v>0</v>
      </c>
      <c r="M308">
        <f>_xlfn.XLOOKUP(B308,'[1]march-2026'!$A:$A,'[1]march-2026'!$G:$G,0,0)</f>
        <v>500</v>
      </c>
      <c r="N308">
        <f t="shared" si="815"/>
        <v>46650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816"/>
        <v>200</v>
      </c>
      <c r="R308">
        <f t="shared" si="817"/>
        <v>43950</v>
      </c>
      <c r="S308">
        <f>_xlfn.XLOOKUP(B308,'[2]april-2026'!$A:$A,'[2]april-2026'!$C:$C,0,0)</f>
        <v>35500</v>
      </c>
      <c r="T308">
        <f t="shared" si="818"/>
        <v>6390</v>
      </c>
      <c r="U308">
        <f t="shared" si="819"/>
        <v>4260</v>
      </c>
      <c r="V308">
        <f>_xlfn.XLOOKUP(B308,'[2]april-2026'!$A:$A,'[2]april-2026'!$D:$D,0,0)</f>
        <v>0</v>
      </c>
      <c r="W308">
        <f>_xlfn.XLOOKUP(B308,'[2]april-2026'!$A:$A,'[2]april-2026'!$G:$G,0,0)</f>
        <v>500</v>
      </c>
      <c r="X308">
        <f t="shared" si="820"/>
        <v>46650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821"/>
        <v>200</v>
      </c>
      <c r="AB308">
        <f t="shared" si="822"/>
        <v>43950</v>
      </c>
      <c r="AC308">
        <f>_xlfn.XLOOKUP(B308,'[3]may-2026'!$A:$A,'[3]may-2026'!$C:$C,0,0)</f>
        <v>35500</v>
      </c>
      <c r="AD308">
        <f t="shared" si="823"/>
        <v>6390</v>
      </c>
      <c r="AE308">
        <f t="shared" si="824"/>
        <v>4260</v>
      </c>
      <c r="AF308">
        <f>_xlfn.XLOOKUP(B308,'[3]may-2026'!$A:$A,'[3]may-2026'!$D:$D,0,0)</f>
        <v>0</v>
      </c>
      <c r="AG308">
        <f>_xlfn.XLOOKUP(B308,'[3]may-2026'!$A:$A,'[3]may-2026'!$G:$G,0,0)</f>
        <v>500</v>
      </c>
      <c r="AH308">
        <f t="shared" si="825"/>
        <v>46650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826"/>
        <v>200</v>
      </c>
      <c r="AL308">
        <f t="shared" si="827"/>
        <v>43950</v>
      </c>
      <c r="AM308">
        <f>_xlfn.XLOOKUP(B308,'[4]june-2026'!$A:$A,'[4]june-2026'!$C:$C,0,0)</f>
        <v>35500</v>
      </c>
      <c r="AN308">
        <f t="shared" si="828"/>
        <v>6390</v>
      </c>
      <c r="AO308">
        <f t="shared" si="829"/>
        <v>4260</v>
      </c>
      <c r="AP308">
        <f>_xlfn.XLOOKUP(B308,'[4]june-2026'!$A:$A,'[4]june-2026'!$D:$D,0,0)</f>
        <v>0</v>
      </c>
      <c r="AQ308">
        <f>_xlfn.XLOOKUP(B308,'[4]june-2026'!$A:$A,'[4]june-2026'!$G:$G,0,0)</f>
        <v>500</v>
      </c>
      <c r="AR308">
        <f t="shared" si="830"/>
        <v>46650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831"/>
        <v>200</v>
      </c>
      <c r="AV308">
        <f t="shared" si="832"/>
        <v>43950</v>
      </c>
      <c r="AW308">
        <f>_xlfn.XLOOKUP(B308,'[5]july-2026'!$A:$A,'[5]july-2026'!$C:$C,0,0)</f>
        <v>36600</v>
      </c>
      <c r="AX308">
        <f t="shared" si="833"/>
        <v>6588</v>
      </c>
      <c r="AY308">
        <v>306</v>
      </c>
      <c r="AZ308">
        <f t="shared" si="834"/>
        <v>4392</v>
      </c>
      <c r="BA308">
        <f>_xlfn.XLOOKUP(B308,'[5]july-2026'!$A:$A,'[5]july-2026'!$D:$D,0,0)</f>
        <v>0</v>
      </c>
      <c r="BB308">
        <f>_xlfn.XLOOKUP(B308,'[5]july-2026'!$A:$A,'[5]july-2026'!$G:$G,0,0)</f>
        <v>500</v>
      </c>
      <c r="BC308">
        <f t="shared" si="835"/>
        <v>48386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836"/>
        <v>200</v>
      </c>
      <c r="BG308">
        <f t="shared" si="837"/>
        <v>45686</v>
      </c>
      <c r="BH308">
        <f>_xlfn.XLOOKUP(B308,'[6]august-2026'!$A:$A,'[6]august-2026'!$C:$C,0,0)</f>
        <v>36600</v>
      </c>
      <c r="BI308">
        <f t="shared" si="838"/>
        <v>6588</v>
      </c>
      <c r="BJ308">
        <f t="shared" si="839"/>
        <v>4392</v>
      </c>
      <c r="BK308">
        <f>_xlfn.XLOOKUP(B308,'[6]august-2026'!$A:$A,'[6]august-2026'!$D:$D,0,0)</f>
        <v>0</v>
      </c>
      <c r="BL308">
        <f>_xlfn.XLOOKUP(B308,'[6]august-2026'!$A:$A,'[6]august-2026'!$G:$G,0,0)</f>
        <v>500</v>
      </c>
      <c r="BM308">
        <f t="shared" si="840"/>
        <v>48080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841"/>
        <v>200</v>
      </c>
      <c r="BQ308">
        <f t="shared" si="842"/>
        <v>45380</v>
      </c>
      <c r="BR308">
        <f>_xlfn.XLOOKUP(B308,'[7]september-2026'!$A:$A,'[7]september-2026'!$C:$C,0,0)</f>
        <v>36600</v>
      </c>
      <c r="BS308">
        <f t="shared" si="843"/>
        <v>6588</v>
      </c>
      <c r="BT308">
        <f t="shared" si="844"/>
        <v>4392</v>
      </c>
      <c r="BU308">
        <f>_xlfn.XLOOKUP(B308,'[7]september-2026'!$A:$A,'[7]september-2026'!$D:$D,0,0)</f>
        <v>0</v>
      </c>
      <c r="BV308">
        <f>_xlfn.XLOOKUP(B308,'[7]september-2026'!$A:$A,'[7]september-2026'!$G:$G,0,0)</f>
        <v>500</v>
      </c>
      <c r="BW308">
        <f t="shared" si="845"/>
        <v>48080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846"/>
        <v>200</v>
      </c>
      <c r="CA308">
        <f t="shared" si="847"/>
        <v>45380</v>
      </c>
      <c r="CB308">
        <f>_xlfn.XLOOKUP(B308,'[8]october-2026'!$A:$A,'[8]october-2026'!$C:$C,0,0)</f>
        <v>36600</v>
      </c>
      <c r="CC308">
        <f t="shared" si="848"/>
        <v>6588</v>
      </c>
      <c r="CD308">
        <f t="shared" si="849"/>
        <v>4392</v>
      </c>
      <c r="CE308">
        <f>_xlfn.XLOOKUP(B308,'[8]october-2026'!$A:$A,'[8]october-2026'!$D:$D,0,0)</f>
        <v>0</v>
      </c>
      <c r="CF308">
        <f>_xlfn.XLOOKUP(B308,'[8]october-2026'!$A:$A,'[8]october-2026'!$G:$G,0,0)</f>
        <v>500</v>
      </c>
      <c r="CG308">
        <f t="shared" si="850"/>
        <v>48080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851"/>
        <v>200</v>
      </c>
      <c r="CK308">
        <f t="shared" si="852"/>
        <v>45380</v>
      </c>
      <c r="CL308">
        <f>_xlfn.XLOOKUP(B308,'[9]november-2026'!$A:$A,'[9]november-2026'!$C:$C,0,0)</f>
        <v>36600</v>
      </c>
      <c r="CM308">
        <f t="shared" si="853"/>
        <v>6588</v>
      </c>
      <c r="CN308">
        <f t="shared" si="854"/>
        <v>4392</v>
      </c>
      <c r="CO308">
        <f>_xlfn.XLOOKUP(B308,'[9]november-2026'!$A:$A,'[9]november-2026'!$D:$D,0,0)</f>
        <v>0</v>
      </c>
      <c r="CP308">
        <f>_xlfn.XLOOKUP(B308,'[9]november-2026'!$A:$A,'[9]november-2026'!$G:$G,0,0)</f>
        <v>500</v>
      </c>
      <c r="CQ308">
        <f t="shared" si="855"/>
        <v>48080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856"/>
        <v>200</v>
      </c>
      <c r="CU308">
        <f t="shared" si="857"/>
        <v>45380</v>
      </c>
      <c r="CV308">
        <f>_xlfn.XLOOKUP(B308,'[10]december-2026'!$A:$A,'[10]december-2026'!$C:$C,0,0)</f>
        <v>36600</v>
      </c>
      <c r="CW308">
        <f t="shared" si="858"/>
        <v>6588</v>
      </c>
      <c r="CX308">
        <f t="shared" si="859"/>
        <v>4392</v>
      </c>
      <c r="CY308">
        <f>_xlfn.XLOOKUP(B308,'[10]december-2026'!$A:$A,'[10]december-2026'!$D:$D,0,0)</f>
        <v>0</v>
      </c>
      <c r="CZ308">
        <f>_xlfn.XLOOKUP(B308,'[10]december-2026'!$A:$A,'[10]december-2026'!$G:$G,0,0)</f>
        <v>500</v>
      </c>
      <c r="DA308">
        <f t="shared" si="860"/>
        <v>48080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861"/>
        <v>200</v>
      </c>
      <c r="DE308">
        <f t="shared" si="862"/>
        <v>45380</v>
      </c>
      <c r="DF308">
        <f xml:space="preserve"> _xlfn.XLOOKUP(B308,
'[11]january-2027'!$A:$A,
'[11]january-2027'!$C:$C,
0,0)</f>
        <v>36600</v>
      </c>
      <c r="DG308">
        <f t="shared" si="863"/>
        <v>6588</v>
      </c>
      <c r="DH308">
        <f t="shared" si="864"/>
        <v>4392</v>
      </c>
      <c r="DI308">
        <f xml:space="preserve"> _xlfn.XLOOKUP(B308,
'[11]january-2027'!$A:$A,
'[11]january-2027'!$D:$D,
0,0)</f>
        <v>0</v>
      </c>
      <c r="DJ308">
        <f xml:space="preserve"> _xlfn.XLOOKUP(B308,
'[11]january-2027'!$A:$A,
'[11]january-2027'!$G:$G,
0,0)</f>
        <v>500</v>
      </c>
      <c r="DK308">
        <f t="shared" si="865"/>
        <v>48080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866"/>
        <v>200</v>
      </c>
      <c r="DO308">
        <f t="shared" si="867"/>
        <v>45380</v>
      </c>
      <c r="DP308">
        <f xml:space="preserve"> _xlfn.XLOOKUP(B308,
'[12]february-2027'!$A:$A,
'[12]february-2027'!$C:$C,
0,0)</f>
        <v>36600</v>
      </c>
      <c r="DQ308">
        <f t="shared" si="868"/>
        <v>6588</v>
      </c>
      <c r="DR308">
        <f t="shared" si="869"/>
        <v>4392</v>
      </c>
      <c r="DS308">
        <f xml:space="preserve"> _xlfn.XLOOKUP(B308,
'[12]february-2027'!$A:$A,
'[12]february-2027'!$D:$D,
0,0)</f>
        <v>0</v>
      </c>
      <c r="DT308">
        <f xml:space="preserve"> _xlfn.XLOOKUP(B308,
'[12]february-2027'!$A:$A,
'[12]february-2027'!$G:$G,
0,0)</f>
        <v>500</v>
      </c>
      <c r="DU308">
        <f t="shared" si="870"/>
        <v>48080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871"/>
        <v>200</v>
      </c>
      <c r="DY308">
        <f t="shared" si="872"/>
        <v>45380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873"/>
        <v>0</v>
      </c>
      <c r="EM308">
        <f t="shared" si="874"/>
        <v>578346</v>
      </c>
      <c r="EN308">
        <f t="shared" si="875"/>
        <v>2400</v>
      </c>
      <c r="EO308">
        <f t="shared" si="876"/>
        <v>50000</v>
      </c>
      <c r="EP308">
        <v>0</v>
      </c>
      <c r="EQ308">
        <f t="shared" si="878"/>
        <v>525946</v>
      </c>
      <c r="ER308">
        <f t="shared" si="879"/>
        <v>30000</v>
      </c>
      <c r="ES308">
        <f t="shared" si="880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881"/>
        <v>30000</v>
      </c>
      <c r="FE308">
        <f t="shared" si="882"/>
        <v>30000</v>
      </c>
      <c r="FF308">
        <f t="shared" si="883"/>
        <v>495946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>SUM(FG308:FM308)+(IF(F308="YES",50000,0))</f>
        <v>0</v>
      </c>
      <c r="FO308">
        <f t="shared" si="884"/>
        <v>495946</v>
      </c>
      <c r="FP308">
        <f t="shared" si="885"/>
        <v>12297</v>
      </c>
      <c r="FQ308">
        <f t="shared" si="886"/>
        <v>0</v>
      </c>
      <c r="FR308">
        <f t="shared" si="887"/>
        <v>12297</v>
      </c>
      <c r="FS308">
        <f t="shared" si="888"/>
        <v>0</v>
      </c>
      <c r="FT308">
        <f t="shared" si="889"/>
        <v>0</v>
      </c>
      <c r="FU308">
        <f t="shared" si="890"/>
        <v>0</v>
      </c>
      <c r="FV308">
        <v>0</v>
      </c>
      <c r="FW308">
        <f t="shared" si="891"/>
        <v>0</v>
      </c>
      <c r="FX308" t="b">
        <f t="shared" si="892"/>
        <v>1</v>
      </c>
      <c r="FY308">
        <f t="shared" ca="1" si="893"/>
        <v>832</v>
      </c>
      <c r="FZ308">
        <f t="shared" ca="1" si="894"/>
        <v>579178</v>
      </c>
      <c r="GA308">
        <f t="shared" si="895"/>
        <v>75000</v>
      </c>
      <c r="GB308">
        <f t="shared" ca="1" si="896"/>
        <v>504178</v>
      </c>
      <c r="GC308">
        <f t="shared" ca="1" si="897"/>
        <v>0</v>
      </c>
      <c r="GD308">
        <f t="shared" ca="1" si="898"/>
        <v>0</v>
      </c>
      <c r="GE308">
        <f t="shared" ca="1" si="899"/>
        <v>0</v>
      </c>
      <c r="GF308">
        <f t="shared" ca="1" si="900"/>
        <v>0</v>
      </c>
      <c r="GG308">
        <f t="shared" ca="1" si="901"/>
        <v>0</v>
      </c>
      <c r="GH308">
        <f t="shared" ca="1" si="902"/>
        <v>0</v>
      </c>
      <c r="GI308">
        <f ca="1">IF(GB308&gt;1200000,GB308-1200000-IF(F308="YES",50000,0)-GG308,0)</f>
        <v>0</v>
      </c>
      <c r="GJ308">
        <f t="shared" ca="1" si="903"/>
        <v>0</v>
      </c>
      <c r="GK308">
        <f t="shared" ca="1" si="904"/>
        <v>0</v>
      </c>
      <c r="GL308">
        <f t="shared" ca="1" si="905"/>
        <v>0</v>
      </c>
      <c r="GM308">
        <f t="shared" ca="1" si="906"/>
        <v>104178</v>
      </c>
      <c r="GN308">
        <f t="shared" ca="1" si="907"/>
        <v>5208.9000000000005</v>
      </c>
      <c r="GO308">
        <f t="shared" ca="1" si="908"/>
        <v>5209</v>
      </c>
      <c r="GP308">
        <f t="shared" ca="1" si="909"/>
        <v>0</v>
      </c>
      <c r="GQ308">
        <f t="shared" ca="1" si="910"/>
        <v>0</v>
      </c>
      <c r="GR308">
        <f t="shared" ca="1" si="911"/>
        <v>5209</v>
      </c>
      <c r="GS308">
        <f t="shared" ca="1" si="912"/>
        <v>0</v>
      </c>
      <c r="GT308" t="b">
        <f t="shared" ca="1" si="913"/>
        <v>0</v>
      </c>
      <c r="GU308">
        <f t="shared" ca="1" si="914"/>
        <v>0</v>
      </c>
      <c r="GV308">
        <f t="shared" ca="1" si="915"/>
        <v>5209</v>
      </c>
      <c r="GW308">
        <f t="shared" ca="1" si="916"/>
        <v>0</v>
      </c>
      <c r="GX308">
        <f t="shared" ca="1" si="917"/>
        <v>0</v>
      </c>
      <c r="GY308">
        <f t="shared" ca="1" si="918"/>
        <v>0</v>
      </c>
    </row>
    <row r="309" spans="1:207" x14ac:dyDescent="0.25">
      <c r="A309">
        <f>_xlfn.AGGREGATE(3,5,$B$2:B309)</f>
        <v>308</v>
      </c>
      <c r="B309" t="s">
        <v>702</v>
      </c>
      <c r="C309" t="s">
        <v>703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813"/>
        <v>6800</v>
      </c>
      <c r="I309">
        <f>_xlfn.XLOOKUP(B309,'[1]march-2026'!$A:$A,'[1]march-2026'!$C:$C,0,0)</f>
        <v>35500</v>
      </c>
      <c r="J309">
        <f t="shared" si="877"/>
        <v>6390</v>
      </c>
      <c r="K309">
        <f t="shared" si="814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815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816"/>
        <v>200</v>
      </c>
      <c r="R309">
        <f t="shared" si="817"/>
        <v>43950</v>
      </c>
      <c r="S309">
        <f>_xlfn.XLOOKUP(B309,'[2]april-2026'!$A:$A,'[2]april-2026'!$C:$C,0,0)</f>
        <v>35500</v>
      </c>
      <c r="T309">
        <f t="shared" si="818"/>
        <v>6390</v>
      </c>
      <c r="U309">
        <f t="shared" si="819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820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821"/>
        <v>200</v>
      </c>
      <c r="AB309">
        <f t="shared" si="822"/>
        <v>43950</v>
      </c>
      <c r="AC309">
        <f>_xlfn.XLOOKUP(B309,'[3]may-2026'!$A:$A,'[3]may-2026'!$C:$C,0,0)</f>
        <v>35500</v>
      </c>
      <c r="AD309">
        <f t="shared" si="823"/>
        <v>6390</v>
      </c>
      <c r="AE309">
        <f t="shared" si="824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825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826"/>
        <v>200</v>
      </c>
      <c r="AL309">
        <f t="shared" si="827"/>
        <v>43950</v>
      </c>
      <c r="AM309">
        <f>_xlfn.XLOOKUP(B309,'[4]june-2026'!$A:$A,'[4]june-2026'!$C:$C,0,0)</f>
        <v>35500</v>
      </c>
      <c r="AN309">
        <f t="shared" si="828"/>
        <v>6390</v>
      </c>
      <c r="AO309">
        <f t="shared" si="829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830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831"/>
        <v>200</v>
      </c>
      <c r="AV309">
        <f t="shared" si="832"/>
        <v>43950</v>
      </c>
      <c r="AW309">
        <f>_xlfn.XLOOKUP(B309,'[5]july-2026'!$A:$A,'[5]july-2026'!$C:$C,0,0)</f>
        <v>36600</v>
      </c>
      <c r="AX309">
        <f t="shared" si="833"/>
        <v>6588</v>
      </c>
      <c r="AY309">
        <v>307</v>
      </c>
      <c r="AZ309">
        <f t="shared" si="834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835"/>
        <v>48387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836"/>
        <v>200</v>
      </c>
      <c r="BG309">
        <f t="shared" si="837"/>
        <v>45687</v>
      </c>
      <c r="BH309">
        <f>_xlfn.XLOOKUP(B309,'[6]august-2026'!$A:$A,'[6]august-2026'!$C:$C,0,0)</f>
        <v>36600</v>
      </c>
      <c r="BI309">
        <f t="shared" si="838"/>
        <v>6588</v>
      </c>
      <c r="BJ309">
        <f t="shared" si="839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840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841"/>
        <v>200</v>
      </c>
      <c r="BQ309">
        <f t="shared" si="842"/>
        <v>45380</v>
      </c>
      <c r="BR309">
        <f>_xlfn.XLOOKUP(B309,'[7]september-2026'!$A:$A,'[7]september-2026'!$C:$C,0,0)</f>
        <v>36600</v>
      </c>
      <c r="BS309">
        <f t="shared" si="843"/>
        <v>6588</v>
      </c>
      <c r="BT309">
        <f t="shared" si="844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845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846"/>
        <v>200</v>
      </c>
      <c r="CA309">
        <f t="shared" si="847"/>
        <v>45380</v>
      </c>
      <c r="CB309">
        <f>_xlfn.XLOOKUP(B309,'[8]october-2026'!$A:$A,'[8]october-2026'!$C:$C,0,0)</f>
        <v>36600</v>
      </c>
      <c r="CC309">
        <f t="shared" si="848"/>
        <v>6588</v>
      </c>
      <c r="CD309">
        <f t="shared" si="849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850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851"/>
        <v>200</v>
      </c>
      <c r="CK309">
        <f t="shared" si="852"/>
        <v>45380</v>
      </c>
      <c r="CL309">
        <f>_xlfn.XLOOKUP(B309,'[9]november-2026'!$A:$A,'[9]november-2026'!$C:$C,0,0)</f>
        <v>36600</v>
      </c>
      <c r="CM309">
        <f t="shared" si="853"/>
        <v>6588</v>
      </c>
      <c r="CN309">
        <f t="shared" si="854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855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856"/>
        <v>200</v>
      </c>
      <c r="CU309">
        <f t="shared" si="857"/>
        <v>45380</v>
      </c>
      <c r="CV309">
        <f>_xlfn.XLOOKUP(B309,'[10]december-2026'!$A:$A,'[10]december-2026'!$C:$C,0,0)</f>
        <v>36600</v>
      </c>
      <c r="CW309">
        <f t="shared" si="858"/>
        <v>6588</v>
      </c>
      <c r="CX309">
        <f t="shared" si="859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860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861"/>
        <v>200</v>
      </c>
      <c r="DE309">
        <f t="shared" si="862"/>
        <v>45380</v>
      </c>
      <c r="DF309">
        <f xml:space="preserve"> _xlfn.XLOOKUP(B309,
'[11]january-2027'!$A:$A,
'[11]january-2027'!$C:$C,
0,0)</f>
        <v>36600</v>
      </c>
      <c r="DG309">
        <f t="shared" si="863"/>
        <v>6588</v>
      </c>
      <c r="DH309">
        <f t="shared" si="864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865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866"/>
        <v>200</v>
      </c>
      <c r="DO309">
        <f t="shared" si="867"/>
        <v>45380</v>
      </c>
      <c r="DP309">
        <f xml:space="preserve"> _xlfn.XLOOKUP(B309,
'[12]february-2027'!$A:$A,
'[12]february-2027'!$C:$C,
0,0)</f>
        <v>36600</v>
      </c>
      <c r="DQ309">
        <f t="shared" si="868"/>
        <v>6588</v>
      </c>
      <c r="DR309">
        <f t="shared" si="869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870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871"/>
        <v>200</v>
      </c>
      <c r="DY309">
        <f t="shared" si="872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873"/>
        <v>0</v>
      </c>
      <c r="EM309">
        <f t="shared" si="874"/>
        <v>578347</v>
      </c>
      <c r="EN309">
        <f t="shared" si="875"/>
        <v>2400</v>
      </c>
      <c r="EO309">
        <f t="shared" si="876"/>
        <v>50000</v>
      </c>
      <c r="EP309">
        <v>0</v>
      </c>
      <c r="EQ309">
        <f t="shared" si="878"/>
        <v>525947</v>
      </c>
      <c r="ER309">
        <f t="shared" si="879"/>
        <v>30000</v>
      </c>
      <c r="ES309">
        <f t="shared" si="880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881"/>
        <v>30000</v>
      </c>
      <c r="FE309">
        <f t="shared" si="882"/>
        <v>30000</v>
      </c>
      <c r="FF309">
        <f t="shared" si="883"/>
        <v>495947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>SUM(FG309:FM309)+(IF(F309="YES",50000,0))</f>
        <v>0</v>
      </c>
      <c r="FO309">
        <f t="shared" si="884"/>
        <v>495947</v>
      </c>
      <c r="FP309">
        <f t="shared" si="885"/>
        <v>12297</v>
      </c>
      <c r="FQ309">
        <f t="shared" si="886"/>
        <v>0</v>
      </c>
      <c r="FR309">
        <f t="shared" si="887"/>
        <v>12297</v>
      </c>
      <c r="FS309">
        <f t="shared" si="888"/>
        <v>0</v>
      </c>
      <c r="FT309">
        <f t="shared" si="889"/>
        <v>0</v>
      </c>
      <c r="FU309">
        <f t="shared" si="890"/>
        <v>0</v>
      </c>
      <c r="FV309">
        <v>0</v>
      </c>
      <c r="FW309">
        <f t="shared" si="891"/>
        <v>0</v>
      </c>
      <c r="FX309" t="b">
        <f t="shared" si="892"/>
        <v>1</v>
      </c>
      <c r="FY309">
        <f t="shared" ca="1" si="893"/>
        <v>647</v>
      </c>
      <c r="FZ309">
        <f t="shared" ca="1" si="894"/>
        <v>578994</v>
      </c>
      <c r="GA309">
        <f t="shared" si="895"/>
        <v>75000</v>
      </c>
      <c r="GB309">
        <f t="shared" ca="1" si="896"/>
        <v>503994</v>
      </c>
      <c r="GC309">
        <f t="shared" ca="1" si="897"/>
        <v>0</v>
      </c>
      <c r="GD309">
        <f t="shared" ca="1" si="898"/>
        <v>0</v>
      </c>
      <c r="GE309">
        <f t="shared" ca="1" si="899"/>
        <v>0</v>
      </c>
      <c r="GF309">
        <f t="shared" ca="1" si="900"/>
        <v>0</v>
      </c>
      <c r="GG309">
        <f t="shared" ca="1" si="901"/>
        <v>0</v>
      </c>
      <c r="GH309">
        <f t="shared" ca="1" si="902"/>
        <v>0</v>
      </c>
      <c r="GI309">
        <f ca="1">IF(GB309&gt;1200000,GB309-1200000-IF(F309="YES",50000,0)-GG309,0)</f>
        <v>0</v>
      </c>
      <c r="GJ309">
        <f t="shared" ca="1" si="903"/>
        <v>0</v>
      </c>
      <c r="GK309">
        <f t="shared" ca="1" si="904"/>
        <v>0</v>
      </c>
      <c r="GL309">
        <f t="shared" ca="1" si="905"/>
        <v>0</v>
      </c>
      <c r="GM309">
        <f t="shared" ca="1" si="906"/>
        <v>103994</v>
      </c>
      <c r="GN309">
        <f t="shared" ca="1" si="907"/>
        <v>5199.7000000000007</v>
      </c>
      <c r="GO309">
        <f t="shared" ca="1" si="908"/>
        <v>5200</v>
      </c>
      <c r="GP309">
        <f t="shared" ca="1" si="909"/>
        <v>0</v>
      </c>
      <c r="GQ309">
        <f t="shared" ca="1" si="910"/>
        <v>0</v>
      </c>
      <c r="GR309">
        <f t="shared" ca="1" si="911"/>
        <v>5200</v>
      </c>
      <c r="GS309">
        <f t="shared" ca="1" si="912"/>
        <v>0</v>
      </c>
      <c r="GT309" t="b">
        <f t="shared" ca="1" si="913"/>
        <v>0</v>
      </c>
      <c r="GU309">
        <f t="shared" ca="1" si="914"/>
        <v>0</v>
      </c>
      <c r="GV309">
        <f t="shared" ca="1" si="915"/>
        <v>5200</v>
      </c>
      <c r="GW309">
        <f t="shared" ca="1" si="916"/>
        <v>0</v>
      </c>
      <c r="GX309">
        <f t="shared" ca="1" si="917"/>
        <v>0</v>
      </c>
      <c r="GY309">
        <f t="shared" ca="1" si="918"/>
        <v>0</v>
      </c>
    </row>
    <row r="310" spans="1:207" x14ac:dyDescent="0.25">
      <c r="A310">
        <f>_xlfn.AGGREGATE(3,5,$B$2:B310)</f>
        <v>309</v>
      </c>
      <c r="B310" t="s">
        <v>704</v>
      </c>
      <c r="C310" t="s">
        <v>705</v>
      </c>
      <c r="D310" t="s">
        <v>828</v>
      </c>
      <c r="E310" t="s">
        <v>830</v>
      </c>
      <c r="F310" t="s">
        <v>952</v>
      </c>
      <c r="G310" t="s">
        <v>878</v>
      </c>
      <c r="H310">
        <f t="shared" si="813"/>
        <v>6800</v>
      </c>
      <c r="I310">
        <f>_xlfn.XLOOKUP(B310,'[1]march-2026'!$A:$A,'[1]march-2026'!$C:$C,0,0)</f>
        <v>32500</v>
      </c>
      <c r="J310">
        <f t="shared" si="877"/>
        <v>5850</v>
      </c>
      <c r="K310">
        <f t="shared" si="814"/>
        <v>3900</v>
      </c>
      <c r="L310">
        <f>_xlfn.XLOOKUP(B310,'[1]march-2026'!$A:$A,'[1]march-2026'!$D:$D,0,0)</f>
        <v>0</v>
      </c>
      <c r="M310">
        <f>_xlfn.XLOOKUP(B310,'[1]march-2026'!$A:$A,'[1]march-2026'!$G:$G,0,0)</f>
        <v>0</v>
      </c>
      <c r="N310">
        <f t="shared" si="815"/>
        <v>42250</v>
      </c>
      <c r="O310">
        <f>_xlfn.XLOOKUP(B310,'[1]march-2026'!$A:$A,'[1]march-2026'!$H:$H,0,0)</f>
        <v>2000</v>
      </c>
      <c r="P310">
        <f>_xlfn.XLOOKUP(B310,'[1]march-2026'!$A:$A,'[1]march-2026'!$I:$I,0,0)</f>
        <v>0</v>
      </c>
      <c r="Q310">
        <f t="shared" si="816"/>
        <v>200</v>
      </c>
      <c r="R310">
        <f t="shared" si="817"/>
        <v>40050</v>
      </c>
      <c r="S310">
        <f>_xlfn.XLOOKUP(B310,'[2]april-2026'!$A:$A,'[2]april-2026'!$C:$C,0,0)</f>
        <v>32500</v>
      </c>
      <c r="T310">
        <f t="shared" si="818"/>
        <v>5850</v>
      </c>
      <c r="U310">
        <f t="shared" si="819"/>
        <v>3900</v>
      </c>
      <c r="V310">
        <f>_xlfn.XLOOKUP(B310,'[2]april-2026'!$A:$A,'[2]april-2026'!$D:$D,0,0)</f>
        <v>0</v>
      </c>
      <c r="W310">
        <f>_xlfn.XLOOKUP(B310,'[2]april-2026'!$A:$A,'[2]april-2026'!$G:$G,0,0)</f>
        <v>0</v>
      </c>
      <c r="X310">
        <f t="shared" si="820"/>
        <v>42250</v>
      </c>
      <c r="Y310">
        <f>_xlfn.XLOOKUP(B310,'[2]april-2026'!$A:$A,'[2]april-2026'!$H:$H,0,0)</f>
        <v>2000</v>
      </c>
      <c r="Z310">
        <f>_xlfn.XLOOKUP(B310,'[2]april-2026'!$A:$A,'[2]april-2026'!$I:$I,0,0)</f>
        <v>0</v>
      </c>
      <c r="AA310">
        <f t="shared" si="821"/>
        <v>200</v>
      </c>
      <c r="AB310">
        <f t="shared" si="822"/>
        <v>40050</v>
      </c>
      <c r="AC310">
        <f>_xlfn.XLOOKUP(B310,'[3]may-2026'!$A:$A,'[3]may-2026'!$C:$C,0,0)</f>
        <v>32500</v>
      </c>
      <c r="AD310">
        <f t="shared" si="823"/>
        <v>5850</v>
      </c>
      <c r="AE310">
        <f t="shared" si="824"/>
        <v>3900</v>
      </c>
      <c r="AF310">
        <f>_xlfn.XLOOKUP(B310,'[3]may-2026'!$A:$A,'[3]may-2026'!$D:$D,0,0)</f>
        <v>0</v>
      </c>
      <c r="AG310">
        <f>_xlfn.XLOOKUP(B310,'[3]may-2026'!$A:$A,'[3]may-2026'!$G:$G,0,0)</f>
        <v>0</v>
      </c>
      <c r="AH310">
        <f t="shared" si="825"/>
        <v>42250</v>
      </c>
      <c r="AI310">
        <f>_xlfn.XLOOKUP(B310,'[3]may-2026'!$A:$A,'[3]may-2026'!$H:$H,0,0)</f>
        <v>2000</v>
      </c>
      <c r="AJ310">
        <f>_xlfn.XLOOKUP(B310,'[3]may-2026'!$A:$A,'[3]may-2026'!$I:$I,0,0)</f>
        <v>0</v>
      </c>
      <c r="AK310">
        <f t="shared" si="826"/>
        <v>200</v>
      </c>
      <c r="AL310">
        <f t="shared" si="827"/>
        <v>40050</v>
      </c>
      <c r="AM310">
        <f>_xlfn.XLOOKUP(B310,'[4]june-2026'!$A:$A,'[4]june-2026'!$C:$C,0,0)</f>
        <v>32500</v>
      </c>
      <c r="AN310">
        <f t="shared" si="828"/>
        <v>5850</v>
      </c>
      <c r="AO310">
        <f t="shared" si="829"/>
        <v>3900</v>
      </c>
      <c r="AP310">
        <f>_xlfn.XLOOKUP(B310,'[4]june-2026'!$A:$A,'[4]june-2026'!$D:$D,0,0)</f>
        <v>0</v>
      </c>
      <c r="AQ310">
        <f>_xlfn.XLOOKUP(B310,'[4]june-2026'!$A:$A,'[4]june-2026'!$G:$G,0,0)</f>
        <v>0</v>
      </c>
      <c r="AR310">
        <f t="shared" si="830"/>
        <v>42250</v>
      </c>
      <c r="AS310">
        <f>_xlfn.XLOOKUP(B310,'[4]june-2026'!$A:$A,'[4]june-2026'!$H:$H,0,0)</f>
        <v>2000</v>
      </c>
      <c r="AT310">
        <f>_xlfn.XLOOKUP(B310,'[4]june-2026'!$A:$A,'[4]june-2026'!$I:$I,0,0)</f>
        <v>0</v>
      </c>
      <c r="AU310">
        <f t="shared" si="831"/>
        <v>200</v>
      </c>
      <c r="AV310">
        <f t="shared" si="832"/>
        <v>40050</v>
      </c>
      <c r="AW310">
        <f>_xlfn.XLOOKUP(B310,'[5]july-2026'!$A:$A,'[5]july-2026'!$C:$C,0,0)</f>
        <v>33500</v>
      </c>
      <c r="AX310">
        <f t="shared" si="833"/>
        <v>6030</v>
      </c>
      <c r="AY310">
        <v>308</v>
      </c>
      <c r="AZ310">
        <f t="shared" si="834"/>
        <v>4020</v>
      </c>
      <c r="BA310">
        <f>_xlfn.XLOOKUP(B310,'[5]july-2026'!$A:$A,'[5]july-2026'!$D:$D,0,0)</f>
        <v>0</v>
      </c>
      <c r="BB310">
        <f>_xlfn.XLOOKUP(B310,'[5]july-2026'!$A:$A,'[5]july-2026'!$G:$G,0,0)</f>
        <v>0</v>
      </c>
      <c r="BC310">
        <f t="shared" si="835"/>
        <v>43858</v>
      </c>
      <c r="BD310">
        <f>_xlfn.XLOOKUP(B310,'[5]july-2026'!$A:$A,'[5]july-2026'!$H:$H,0,0)</f>
        <v>2000</v>
      </c>
      <c r="BE310">
        <f>_xlfn.XLOOKUP(B310,'[5]july-2026'!$A:$A,'[5]july-2026'!$I:$I,0,0)</f>
        <v>0</v>
      </c>
      <c r="BF310">
        <f t="shared" si="836"/>
        <v>200</v>
      </c>
      <c r="BG310">
        <f t="shared" si="837"/>
        <v>41658</v>
      </c>
      <c r="BH310">
        <f>_xlfn.XLOOKUP(B310,'[6]august-2026'!$A:$A,'[6]august-2026'!$C:$C,0,0)</f>
        <v>33500</v>
      </c>
      <c r="BI310">
        <f t="shared" si="838"/>
        <v>6030</v>
      </c>
      <c r="BJ310">
        <f t="shared" si="839"/>
        <v>4020</v>
      </c>
      <c r="BK310">
        <f>_xlfn.XLOOKUP(B310,'[6]august-2026'!$A:$A,'[6]august-2026'!$D:$D,0,0)</f>
        <v>0</v>
      </c>
      <c r="BL310">
        <f>_xlfn.XLOOKUP(B310,'[6]august-2026'!$A:$A,'[6]august-2026'!$G:$G,0,0)</f>
        <v>0</v>
      </c>
      <c r="BM310">
        <f t="shared" si="840"/>
        <v>43550</v>
      </c>
      <c r="BN310">
        <f>_xlfn.XLOOKUP(B310,'[6]august-2026'!$A:$A,'[6]august-2026'!$H:$H,0,0)</f>
        <v>2000</v>
      </c>
      <c r="BO310">
        <f>_xlfn.XLOOKUP(B310,'[6]august-2026'!$A:$A,'[6]august-2026'!$I:$I,0,0)</f>
        <v>0</v>
      </c>
      <c r="BP310">
        <f t="shared" si="841"/>
        <v>200</v>
      </c>
      <c r="BQ310">
        <f t="shared" si="842"/>
        <v>41350</v>
      </c>
      <c r="BR310">
        <f>_xlfn.XLOOKUP(B310,'[7]september-2026'!$A:$A,'[7]september-2026'!$C:$C,0,0)</f>
        <v>33500</v>
      </c>
      <c r="BS310">
        <f t="shared" si="843"/>
        <v>6030</v>
      </c>
      <c r="BT310">
        <f t="shared" si="844"/>
        <v>4020</v>
      </c>
      <c r="BU310">
        <f>_xlfn.XLOOKUP(B310,'[7]september-2026'!$A:$A,'[7]september-2026'!$D:$D,0,0)</f>
        <v>0</v>
      </c>
      <c r="BV310">
        <f>_xlfn.XLOOKUP(B310,'[7]september-2026'!$A:$A,'[7]september-2026'!$G:$G,0,0)</f>
        <v>0</v>
      </c>
      <c r="BW310">
        <f t="shared" si="845"/>
        <v>43550</v>
      </c>
      <c r="BX310">
        <f>_xlfn.XLOOKUP(B310,'[7]september-2026'!$A:$A,'[7]september-2026'!$H:$H,0,0)</f>
        <v>2000</v>
      </c>
      <c r="BY310">
        <f>_xlfn.XLOOKUP(B310,'[7]september-2026'!$A:$A,'[7]september-2026'!$I:$I,0,0)</f>
        <v>0</v>
      </c>
      <c r="BZ310">
        <f t="shared" si="846"/>
        <v>200</v>
      </c>
      <c r="CA310">
        <f t="shared" si="847"/>
        <v>41350</v>
      </c>
      <c r="CB310">
        <f>_xlfn.XLOOKUP(B310,'[8]october-2026'!$A:$A,'[8]october-2026'!$C:$C,0,0)</f>
        <v>33500</v>
      </c>
      <c r="CC310">
        <f t="shared" si="848"/>
        <v>6030</v>
      </c>
      <c r="CD310">
        <f t="shared" si="849"/>
        <v>4020</v>
      </c>
      <c r="CE310">
        <f>_xlfn.XLOOKUP(B310,'[8]october-2026'!$A:$A,'[8]october-2026'!$D:$D,0,0)</f>
        <v>0</v>
      </c>
      <c r="CF310">
        <f>_xlfn.XLOOKUP(B310,'[8]october-2026'!$A:$A,'[8]october-2026'!$G:$G,0,0)</f>
        <v>0</v>
      </c>
      <c r="CG310">
        <f t="shared" si="850"/>
        <v>43550</v>
      </c>
      <c r="CH310">
        <f>_xlfn.XLOOKUP(B310,'[8]october-2026'!$A:$A,'[8]october-2026'!$H:$H,0,0)</f>
        <v>2000</v>
      </c>
      <c r="CI310">
        <f>_xlfn.XLOOKUP(B310,'[8]october-2026'!$A:$A,'[8]october-2026'!$I:$I,0,0)</f>
        <v>0</v>
      </c>
      <c r="CJ310">
        <f t="shared" si="851"/>
        <v>200</v>
      </c>
      <c r="CK310">
        <f t="shared" si="852"/>
        <v>41350</v>
      </c>
      <c r="CL310">
        <f>_xlfn.XLOOKUP(B310,'[9]november-2026'!$A:$A,'[9]november-2026'!$C:$C,0,0)</f>
        <v>33500</v>
      </c>
      <c r="CM310">
        <f t="shared" si="853"/>
        <v>6030</v>
      </c>
      <c r="CN310">
        <f t="shared" si="854"/>
        <v>4020</v>
      </c>
      <c r="CO310">
        <f>_xlfn.XLOOKUP(B310,'[9]november-2026'!$A:$A,'[9]november-2026'!$D:$D,0,0)</f>
        <v>0</v>
      </c>
      <c r="CP310">
        <f>_xlfn.XLOOKUP(B310,'[9]november-2026'!$A:$A,'[9]november-2026'!$G:$G,0,0)</f>
        <v>0</v>
      </c>
      <c r="CQ310">
        <f t="shared" si="855"/>
        <v>43550</v>
      </c>
      <c r="CR310">
        <f>_xlfn.XLOOKUP(B310,'[9]november-2026'!$A:$A,'[9]november-2026'!$H:$H,0,0)</f>
        <v>2000</v>
      </c>
      <c r="CS310">
        <f>_xlfn.XLOOKUP(B310,'[9]november-2026'!$A:$A,'[9]november-2026'!$I:$I,0,0)</f>
        <v>0</v>
      </c>
      <c r="CT310">
        <f t="shared" si="856"/>
        <v>200</v>
      </c>
      <c r="CU310">
        <f t="shared" si="857"/>
        <v>41350</v>
      </c>
      <c r="CV310">
        <f>_xlfn.XLOOKUP(B310,'[10]december-2026'!$A:$A,'[10]december-2026'!$C:$C,0,0)</f>
        <v>33500</v>
      </c>
      <c r="CW310">
        <f t="shared" si="858"/>
        <v>6030</v>
      </c>
      <c r="CX310">
        <f t="shared" si="859"/>
        <v>4020</v>
      </c>
      <c r="CY310">
        <f>_xlfn.XLOOKUP(B310,'[10]december-2026'!$A:$A,'[10]december-2026'!$D:$D,0,0)</f>
        <v>0</v>
      </c>
      <c r="CZ310">
        <f>_xlfn.XLOOKUP(B310,'[10]december-2026'!$A:$A,'[10]december-2026'!$G:$G,0,0)</f>
        <v>0</v>
      </c>
      <c r="DA310">
        <f t="shared" si="860"/>
        <v>43550</v>
      </c>
      <c r="DB310">
        <f>_xlfn.XLOOKUP(B310,'[10]december-2026'!$A:$A,'[10]december-2026'!$H:$H,0,0)</f>
        <v>2000</v>
      </c>
      <c r="DC310">
        <f>_xlfn.XLOOKUP(B310,'[10]december-2026'!$A:$A,'[10]december-2026'!$I:$I,0,0)</f>
        <v>0</v>
      </c>
      <c r="DD310">
        <f t="shared" si="861"/>
        <v>200</v>
      </c>
      <c r="DE310">
        <f t="shared" si="862"/>
        <v>41350</v>
      </c>
      <c r="DF310">
        <f xml:space="preserve"> _xlfn.XLOOKUP(B310,
'[11]january-2027'!$A:$A,
'[11]january-2027'!$C:$C,
0,0)</f>
        <v>33500</v>
      </c>
      <c r="DG310">
        <f t="shared" si="863"/>
        <v>6030</v>
      </c>
      <c r="DH310">
        <f t="shared" si="864"/>
        <v>4020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0</v>
      </c>
      <c r="DK310">
        <f t="shared" si="865"/>
        <v>43550</v>
      </c>
      <c r="DL310">
        <f xml:space="preserve"> _xlfn.XLOOKUP(B310,
'[11]january-2027'!$A:$A,
'[11]january-2027'!$H:$H,
0,0)</f>
        <v>2000</v>
      </c>
      <c r="DM310">
        <f xml:space="preserve"> _xlfn.XLOOKUP(B310,
'[11]january-2027'!$A:$A,
'[11]january-2027'!$I:$I,
0,0)</f>
        <v>0</v>
      </c>
      <c r="DN310">
        <f t="shared" si="866"/>
        <v>200</v>
      </c>
      <c r="DO310">
        <f t="shared" si="867"/>
        <v>41350</v>
      </c>
      <c r="DP310">
        <f xml:space="preserve"> _xlfn.XLOOKUP(B310,
'[12]february-2027'!$A:$A,
'[12]february-2027'!$C:$C,
0,0)</f>
        <v>33500</v>
      </c>
      <c r="DQ310">
        <f t="shared" si="868"/>
        <v>6030</v>
      </c>
      <c r="DR310">
        <f t="shared" si="869"/>
        <v>4020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0</v>
      </c>
      <c r="DU310">
        <f t="shared" si="870"/>
        <v>43550</v>
      </c>
      <c r="DV310">
        <f xml:space="preserve"> _xlfn.XLOOKUP(B310,
'[12]february-2027'!$A:$A,
'[12]february-2027'!$H:$H,
0,0)</f>
        <v>2000</v>
      </c>
      <c r="DW310">
        <f xml:space="preserve"> _xlfn.XLOOKUP(B310,
'[12]february-2027'!$A:$A,
'[12]february-2027'!$I:$I,
0,0)</f>
        <v>0</v>
      </c>
      <c r="DX310">
        <f t="shared" si="871"/>
        <v>200</v>
      </c>
      <c r="DY310">
        <f t="shared" si="872"/>
        <v>41350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873"/>
        <v>0</v>
      </c>
      <c r="EM310">
        <f t="shared" si="874"/>
        <v>524508</v>
      </c>
      <c r="EN310">
        <f t="shared" si="875"/>
        <v>2400</v>
      </c>
      <c r="EO310">
        <f t="shared" si="876"/>
        <v>50000</v>
      </c>
      <c r="EP310">
        <v>0</v>
      </c>
      <c r="EQ310">
        <f t="shared" si="878"/>
        <v>472108</v>
      </c>
      <c r="ER310">
        <f t="shared" si="879"/>
        <v>24000</v>
      </c>
      <c r="ES310">
        <f t="shared" si="880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881"/>
        <v>24000</v>
      </c>
      <c r="FE310">
        <f t="shared" si="882"/>
        <v>24000</v>
      </c>
      <c r="FF310">
        <f t="shared" si="883"/>
        <v>448108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>SUM(FG310:FM310)+(IF(F310="YES",50000,0))</f>
        <v>0</v>
      </c>
      <c r="FO310">
        <f t="shared" si="884"/>
        <v>448108</v>
      </c>
      <c r="FP310">
        <f t="shared" si="885"/>
        <v>9905</v>
      </c>
      <c r="FQ310">
        <f t="shared" si="886"/>
        <v>0</v>
      </c>
      <c r="FR310">
        <f t="shared" si="887"/>
        <v>9905</v>
      </c>
      <c r="FS310">
        <f t="shared" si="888"/>
        <v>0</v>
      </c>
      <c r="FT310">
        <f t="shared" si="889"/>
        <v>0</v>
      </c>
      <c r="FU310">
        <f t="shared" si="890"/>
        <v>0</v>
      </c>
      <c r="FV310">
        <v>0</v>
      </c>
      <c r="FW310">
        <f t="shared" si="891"/>
        <v>0</v>
      </c>
      <c r="FX310" t="b">
        <f t="shared" si="892"/>
        <v>1</v>
      </c>
      <c r="FY310">
        <f t="shared" ca="1" si="893"/>
        <v>544</v>
      </c>
      <c r="FZ310">
        <f t="shared" ca="1" si="894"/>
        <v>525052</v>
      </c>
      <c r="GA310">
        <f t="shared" si="895"/>
        <v>75000</v>
      </c>
      <c r="GB310">
        <f t="shared" ca="1" si="896"/>
        <v>450052</v>
      </c>
      <c r="GC310">
        <f t="shared" ca="1" si="897"/>
        <v>0</v>
      </c>
      <c r="GD310">
        <f t="shared" ca="1" si="898"/>
        <v>0</v>
      </c>
      <c r="GE310">
        <f t="shared" ca="1" si="899"/>
        <v>0</v>
      </c>
      <c r="GF310">
        <f t="shared" ca="1" si="900"/>
        <v>0</v>
      </c>
      <c r="GG310">
        <f t="shared" ca="1" si="901"/>
        <v>0</v>
      </c>
      <c r="GH310">
        <f t="shared" ca="1" si="902"/>
        <v>0</v>
      </c>
      <c r="GI310">
        <f ca="1">IF(GB310&gt;1200000,GB310-1200000-IF(F310="YES",50000,0)-GG310,0)</f>
        <v>0</v>
      </c>
      <c r="GJ310">
        <f t="shared" ca="1" si="903"/>
        <v>0</v>
      </c>
      <c r="GK310">
        <f t="shared" ca="1" si="904"/>
        <v>0</v>
      </c>
      <c r="GL310">
        <f t="shared" ca="1" si="905"/>
        <v>0</v>
      </c>
      <c r="GM310">
        <f t="shared" ca="1" si="906"/>
        <v>50052</v>
      </c>
      <c r="GN310">
        <f t="shared" ca="1" si="907"/>
        <v>2502.6000000000004</v>
      </c>
      <c r="GO310">
        <f t="shared" ca="1" si="908"/>
        <v>2503</v>
      </c>
      <c r="GP310">
        <f t="shared" ca="1" si="909"/>
        <v>0</v>
      </c>
      <c r="GQ310">
        <f t="shared" ca="1" si="910"/>
        <v>0</v>
      </c>
      <c r="GR310">
        <f t="shared" ca="1" si="911"/>
        <v>2503</v>
      </c>
      <c r="GS310">
        <f t="shared" ca="1" si="912"/>
        <v>0</v>
      </c>
      <c r="GT310" t="b">
        <f t="shared" ca="1" si="913"/>
        <v>0</v>
      </c>
      <c r="GU310">
        <f t="shared" ca="1" si="914"/>
        <v>0</v>
      </c>
      <c r="GV310">
        <f t="shared" ca="1" si="915"/>
        <v>2503</v>
      </c>
      <c r="GW310">
        <f t="shared" ca="1" si="916"/>
        <v>0</v>
      </c>
      <c r="GX310">
        <f t="shared" ca="1" si="917"/>
        <v>0</v>
      </c>
      <c r="GY310">
        <f t="shared" ca="1" si="918"/>
        <v>0</v>
      </c>
    </row>
    <row r="311" spans="1:207" x14ac:dyDescent="0.25">
      <c r="A311">
        <f>_xlfn.AGGREGATE(3,5,$B$2:B311)</f>
        <v>310</v>
      </c>
      <c r="B311" t="s">
        <v>961</v>
      </c>
      <c r="C311" t="s">
        <v>962</v>
      </c>
      <c r="D311" t="s">
        <v>828</v>
      </c>
      <c r="E311" t="s">
        <v>830</v>
      </c>
      <c r="F311" t="s">
        <v>952</v>
      </c>
      <c r="G311" s="1">
        <v>44529</v>
      </c>
      <c r="H311">
        <f t="shared" si="813"/>
        <v>6800</v>
      </c>
      <c r="I311">
        <f>_xlfn.XLOOKUP(B311,'[1]march-2026'!$A:$A,'[1]march-2026'!$C:$C,0,0)</f>
        <v>32500</v>
      </c>
      <c r="J311">
        <f t="shared" si="877"/>
        <v>5850</v>
      </c>
      <c r="K311">
        <f t="shared" si="814"/>
        <v>3900</v>
      </c>
      <c r="L311">
        <f>_xlfn.XLOOKUP(B311,'[1]march-2026'!$A:$A,'[1]march-2026'!$D:$D,0,0)</f>
        <v>0</v>
      </c>
      <c r="M311">
        <f>_xlfn.XLOOKUP(B311,'[1]march-2026'!$A:$A,'[1]march-2026'!$G:$G,0,0)</f>
        <v>500</v>
      </c>
      <c r="N311">
        <f t="shared" si="815"/>
        <v>42750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816"/>
        <v>200</v>
      </c>
      <c r="R311">
        <f t="shared" si="817"/>
        <v>40550</v>
      </c>
      <c r="S311">
        <f>_xlfn.XLOOKUP(B311,'[2]april-2026'!$A:$A,'[2]april-2026'!$C:$C,0,0)</f>
        <v>32500</v>
      </c>
      <c r="T311">
        <f t="shared" si="818"/>
        <v>5850</v>
      </c>
      <c r="U311">
        <f t="shared" si="819"/>
        <v>3900</v>
      </c>
      <c r="V311">
        <f>_xlfn.XLOOKUP(B311,'[2]april-2026'!$A:$A,'[2]april-2026'!$D:$D,0,0)</f>
        <v>0</v>
      </c>
      <c r="W311">
        <f>_xlfn.XLOOKUP(B311,'[2]april-2026'!$A:$A,'[2]april-2026'!$G:$G,0,0)</f>
        <v>500</v>
      </c>
      <c r="X311">
        <f t="shared" si="820"/>
        <v>42750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821"/>
        <v>200</v>
      </c>
      <c r="AB311">
        <f t="shared" si="822"/>
        <v>40550</v>
      </c>
      <c r="AC311">
        <f>_xlfn.XLOOKUP(B311,'[3]may-2026'!$A:$A,'[3]may-2026'!$C:$C,0,0)</f>
        <v>32500</v>
      </c>
      <c r="AD311">
        <f t="shared" si="823"/>
        <v>5850</v>
      </c>
      <c r="AE311">
        <f t="shared" si="824"/>
        <v>3900</v>
      </c>
      <c r="AF311">
        <f>_xlfn.XLOOKUP(B311,'[3]may-2026'!$A:$A,'[3]may-2026'!$D:$D,0,0)</f>
        <v>0</v>
      </c>
      <c r="AG311">
        <f>_xlfn.XLOOKUP(B311,'[3]may-2026'!$A:$A,'[3]may-2026'!$G:$G,0,0)</f>
        <v>500</v>
      </c>
      <c r="AH311">
        <f t="shared" si="825"/>
        <v>42750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826"/>
        <v>200</v>
      </c>
      <c r="AL311">
        <f t="shared" si="827"/>
        <v>40550</v>
      </c>
      <c r="AM311">
        <f>_xlfn.XLOOKUP(B311,'[4]june-2026'!$A:$A,'[4]june-2026'!$C:$C,0,0)</f>
        <v>32500</v>
      </c>
      <c r="AN311">
        <f t="shared" si="828"/>
        <v>5850</v>
      </c>
      <c r="AO311">
        <f t="shared" si="829"/>
        <v>3900</v>
      </c>
      <c r="AP311">
        <f>_xlfn.XLOOKUP(B311,'[4]june-2026'!$A:$A,'[4]june-2026'!$D:$D,0,0)</f>
        <v>0</v>
      </c>
      <c r="AQ311">
        <f>_xlfn.XLOOKUP(B311,'[4]june-2026'!$A:$A,'[4]june-2026'!$G:$G,0,0)</f>
        <v>500</v>
      </c>
      <c r="AR311">
        <f t="shared" si="830"/>
        <v>42750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831"/>
        <v>200</v>
      </c>
      <c r="AV311">
        <f t="shared" si="832"/>
        <v>40550</v>
      </c>
      <c r="AW311">
        <f>_xlfn.XLOOKUP(B311,'[5]july-2026'!$A:$A,'[5]july-2026'!$C:$C,0,0)</f>
        <v>33500</v>
      </c>
      <c r="AX311">
        <f t="shared" si="833"/>
        <v>6030</v>
      </c>
      <c r="AY311">
        <v>309</v>
      </c>
      <c r="AZ311">
        <f t="shared" si="834"/>
        <v>4020</v>
      </c>
      <c r="BA311">
        <f>_xlfn.XLOOKUP(B311,'[5]july-2026'!$A:$A,'[5]july-2026'!$D:$D,0,0)</f>
        <v>0</v>
      </c>
      <c r="BB311">
        <f>_xlfn.XLOOKUP(B311,'[5]july-2026'!$A:$A,'[5]july-2026'!$G:$G,0,0)</f>
        <v>500</v>
      </c>
      <c r="BC311">
        <f t="shared" si="835"/>
        <v>44359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836"/>
        <v>200</v>
      </c>
      <c r="BG311">
        <f t="shared" si="837"/>
        <v>42159</v>
      </c>
      <c r="BH311">
        <f>_xlfn.XLOOKUP(B311,'[6]august-2026'!$A:$A,'[6]august-2026'!$C:$C,0,0)</f>
        <v>33500</v>
      </c>
      <c r="BI311">
        <f t="shared" si="838"/>
        <v>6030</v>
      </c>
      <c r="BJ311">
        <f t="shared" si="839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500</v>
      </c>
      <c r="BM311">
        <f t="shared" si="840"/>
        <v>44050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841"/>
        <v>200</v>
      </c>
      <c r="BQ311">
        <f t="shared" si="842"/>
        <v>41850</v>
      </c>
      <c r="BR311">
        <f>_xlfn.XLOOKUP(B311,'[7]september-2026'!$A:$A,'[7]september-2026'!$C:$C,0,0)</f>
        <v>33500</v>
      </c>
      <c r="BS311">
        <f t="shared" si="843"/>
        <v>6030</v>
      </c>
      <c r="BT311">
        <f t="shared" si="844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500</v>
      </c>
      <c r="BW311">
        <f t="shared" si="845"/>
        <v>44050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846"/>
        <v>200</v>
      </c>
      <c r="CA311">
        <f t="shared" si="847"/>
        <v>41850</v>
      </c>
      <c r="CB311">
        <f>_xlfn.XLOOKUP(B311,'[8]october-2026'!$A:$A,'[8]october-2026'!$C:$C,0,0)</f>
        <v>33500</v>
      </c>
      <c r="CC311">
        <f t="shared" si="848"/>
        <v>6030</v>
      </c>
      <c r="CD311">
        <f t="shared" si="849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500</v>
      </c>
      <c r="CG311">
        <f t="shared" si="850"/>
        <v>44050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851"/>
        <v>200</v>
      </c>
      <c r="CK311">
        <f t="shared" si="852"/>
        <v>41850</v>
      </c>
      <c r="CL311">
        <f>_xlfn.XLOOKUP(B311,'[9]november-2026'!$A:$A,'[9]november-2026'!$C:$C,0,0)</f>
        <v>33500</v>
      </c>
      <c r="CM311">
        <f t="shared" si="853"/>
        <v>6030</v>
      </c>
      <c r="CN311">
        <f t="shared" si="854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500</v>
      </c>
      <c r="CQ311">
        <f t="shared" si="855"/>
        <v>44050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856"/>
        <v>200</v>
      </c>
      <c r="CU311">
        <f t="shared" si="857"/>
        <v>41850</v>
      </c>
      <c r="CV311">
        <f>_xlfn.XLOOKUP(B311,'[10]december-2026'!$A:$A,'[10]december-2026'!$C:$C,0,0)</f>
        <v>33500</v>
      </c>
      <c r="CW311">
        <f t="shared" si="858"/>
        <v>6030</v>
      </c>
      <c r="CX311">
        <f t="shared" si="859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500</v>
      </c>
      <c r="DA311">
        <f t="shared" si="860"/>
        <v>44050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861"/>
        <v>200</v>
      </c>
      <c r="DE311">
        <f t="shared" si="862"/>
        <v>41850</v>
      </c>
      <c r="DF311">
        <f xml:space="preserve"> _xlfn.XLOOKUP(B311,
'[11]january-2027'!$A:$A,
'[11]january-2027'!$C:$C,
0,0)</f>
        <v>33500</v>
      </c>
      <c r="DG311">
        <f t="shared" si="863"/>
        <v>6030</v>
      </c>
      <c r="DH311">
        <f t="shared" si="864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500</v>
      </c>
      <c r="DK311">
        <f t="shared" si="865"/>
        <v>44050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866"/>
        <v>200</v>
      </c>
      <c r="DO311">
        <f t="shared" si="867"/>
        <v>41850</v>
      </c>
      <c r="DP311">
        <f xml:space="preserve"> _xlfn.XLOOKUP(B311,
'[12]february-2027'!$A:$A,
'[12]february-2027'!$C:$C,
0,0)</f>
        <v>33500</v>
      </c>
      <c r="DQ311">
        <f t="shared" si="868"/>
        <v>6030</v>
      </c>
      <c r="DR311">
        <f t="shared" si="869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500</v>
      </c>
      <c r="DU311">
        <f t="shared" si="870"/>
        <v>44050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871"/>
        <v>200</v>
      </c>
      <c r="DY311">
        <f t="shared" si="872"/>
        <v>41850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873"/>
        <v>0</v>
      </c>
      <c r="EM311">
        <f t="shared" si="874"/>
        <v>530509</v>
      </c>
      <c r="EN311">
        <f t="shared" si="875"/>
        <v>2400</v>
      </c>
      <c r="EO311">
        <f t="shared" si="876"/>
        <v>50000</v>
      </c>
      <c r="EP311">
        <v>0</v>
      </c>
      <c r="EQ311">
        <f t="shared" si="878"/>
        <v>478109</v>
      </c>
      <c r="ER311">
        <f t="shared" si="879"/>
        <v>24000</v>
      </c>
      <c r="ES311">
        <f t="shared" si="880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881"/>
        <v>24000</v>
      </c>
      <c r="FE311">
        <f t="shared" si="882"/>
        <v>24000</v>
      </c>
      <c r="FF311">
        <f t="shared" si="883"/>
        <v>454109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>SUM(FG311:FM311)+(IF(F311="YES",50000,0))</f>
        <v>0</v>
      </c>
      <c r="FO311">
        <f t="shared" si="884"/>
        <v>454109</v>
      </c>
      <c r="FP311">
        <f t="shared" si="885"/>
        <v>10205</v>
      </c>
      <c r="FQ311">
        <f t="shared" si="886"/>
        <v>0</v>
      </c>
      <c r="FR311">
        <f t="shared" si="887"/>
        <v>10205</v>
      </c>
      <c r="FS311">
        <f t="shared" si="888"/>
        <v>0</v>
      </c>
      <c r="FT311">
        <f t="shared" si="889"/>
        <v>0</v>
      </c>
      <c r="FU311">
        <f t="shared" si="890"/>
        <v>0</v>
      </c>
      <c r="FV311">
        <v>0</v>
      </c>
      <c r="FW311">
        <f t="shared" si="891"/>
        <v>0</v>
      </c>
      <c r="FX311" t="b">
        <f t="shared" si="892"/>
        <v>1</v>
      </c>
      <c r="FY311">
        <f t="shared" ca="1" si="893"/>
        <v>872</v>
      </c>
      <c r="FZ311">
        <f t="shared" ca="1" si="894"/>
        <v>531381</v>
      </c>
      <c r="GA311">
        <f t="shared" si="895"/>
        <v>75000</v>
      </c>
      <c r="GB311">
        <f t="shared" ca="1" si="896"/>
        <v>456381</v>
      </c>
      <c r="GC311">
        <f t="shared" ca="1" si="897"/>
        <v>0</v>
      </c>
      <c r="GD311">
        <f t="shared" ca="1" si="898"/>
        <v>0</v>
      </c>
      <c r="GE311">
        <f t="shared" ca="1" si="899"/>
        <v>0</v>
      </c>
      <c r="GF311">
        <f t="shared" ca="1" si="900"/>
        <v>0</v>
      </c>
      <c r="GG311">
        <f t="shared" ca="1" si="901"/>
        <v>0</v>
      </c>
      <c r="GH311">
        <f t="shared" ca="1" si="902"/>
        <v>0</v>
      </c>
      <c r="GI311">
        <f ca="1">IF(GB311&gt;1200000,GB311-1200000-IF(F311="YES",50000,0)-GG311,0)</f>
        <v>0</v>
      </c>
      <c r="GJ311">
        <f t="shared" ca="1" si="903"/>
        <v>0</v>
      </c>
      <c r="GK311">
        <f t="shared" ca="1" si="904"/>
        <v>0</v>
      </c>
      <c r="GL311">
        <f t="shared" ca="1" si="905"/>
        <v>0</v>
      </c>
      <c r="GM311">
        <f t="shared" ca="1" si="906"/>
        <v>56381</v>
      </c>
      <c r="GN311">
        <f t="shared" ca="1" si="907"/>
        <v>2819.05</v>
      </c>
      <c r="GO311">
        <f t="shared" ca="1" si="908"/>
        <v>2819</v>
      </c>
      <c r="GP311">
        <f t="shared" ca="1" si="909"/>
        <v>0</v>
      </c>
      <c r="GQ311">
        <f t="shared" ca="1" si="910"/>
        <v>0</v>
      </c>
      <c r="GR311">
        <f t="shared" ca="1" si="911"/>
        <v>2819</v>
      </c>
      <c r="GS311">
        <f t="shared" ca="1" si="912"/>
        <v>0</v>
      </c>
      <c r="GT311" t="b">
        <f t="shared" ca="1" si="913"/>
        <v>0</v>
      </c>
      <c r="GU311">
        <f t="shared" ca="1" si="914"/>
        <v>0</v>
      </c>
      <c r="GV311">
        <f t="shared" ca="1" si="915"/>
        <v>2819</v>
      </c>
      <c r="GW311">
        <f t="shared" ca="1" si="916"/>
        <v>0</v>
      </c>
      <c r="GX311">
        <f t="shared" ca="1" si="917"/>
        <v>0</v>
      </c>
      <c r="GY311">
        <f t="shared" ca="1" si="918"/>
        <v>0</v>
      </c>
    </row>
  </sheetData>
  <sortState xmlns:xlrd2="http://schemas.microsoft.com/office/spreadsheetml/2017/richdata2" ref="A2:GY311">
    <sortCondition ref="D2:D311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2026-02-24T04:19:37Z</dcterms:modified>
</cp:coreProperties>
</file>